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G:\Consorcio Metro\subcontratistas\src\"/>
    </mc:Choice>
  </mc:AlternateContent>
  <xr:revisionPtr revIDLastSave="0" documentId="13_ncr:1_{75A56DCA-2697-4CD2-AEFD-5AECF4CB2CC5}" xr6:coauthVersionLast="47" xr6:coauthVersionMax="47" xr10:uidLastSave="{00000000-0000-0000-0000-000000000000}"/>
  <bookViews>
    <workbookView xWindow="-120" yWindow="-120" windowWidth="38640" windowHeight="21120" activeTab="4" xr2:uid="{00000000-000D-0000-FFFF-FFFF00000000}"/>
  </bookViews>
  <sheets>
    <sheet name="Reporte Social - RRHH" sheetId="11" r:id="rId1"/>
    <sheet name="CJ Y EPC" sheetId="17" r:id="rId2"/>
    <sheet name="Hoja1" sheetId="12" state="hidden" r:id="rId3"/>
    <sheet name="Cuadro" sheetId="1" r:id="rId4"/>
    <sheet name="Contratistas" sheetId="9" r:id="rId5"/>
    <sheet name="Tabla" sheetId="3" r:id="rId6"/>
    <sheet name="Sheet1" sheetId="16" state="hidden" r:id="rId7"/>
    <sheet name="Dos Subcontratas por Mes" sheetId="13" r:id="rId8"/>
    <sheet name="Validacion" sheetId="10" state="hidden" r:id="rId9"/>
  </sheets>
  <definedNames>
    <definedName name="PeriodoEtiqueta">Hoja1!$P$4</definedName>
    <definedName name="PeriodoFin">Hoja1!$P$3</definedName>
    <definedName name="PeriodoInicio">Hoja1!$P$2</definedName>
  </definedNames>
  <calcPr calcId="191029" fullCalcOnLoad="1"/>
  <pivotCaches>
    <pivotCache cacheId="5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Alberto Tavara Ortega</author>
    <author>Orlando Encinas Seminario</author>
  </authors>
  <commentList>
    <comment ref="G1" authorId="0" shapeId="0" xr:uid="{00000000-0006-0000-0200-000001000000}">
      <text>
        <r>
          <rPr>
            <sz val="9"/>
            <color indexed="81"/>
            <rFont val="Tahoma"/>
            <family val="2"/>
          </rPr>
          <t>01 = EMPLEADO
02 = OBRERO DE CONSTRUCCION CIVIL
03 = OBRERO</t>
        </r>
      </text>
    </comment>
    <comment ref="I1" authorId="1" shapeId="0" xr:uid="{00000000-0006-0000-0200-000002000000}">
      <text>
        <r>
          <rPr>
            <b/>
            <sz val="9"/>
            <color indexed="81"/>
            <rFont val="Tahoma"/>
            <family val="2"/>
          </rPr>
          <t>Orlando Encinas Seminario:</t>
        </r>
        <r>
          <rPr>
            <sz val="9"/>
            <color indexed="81"/>
            <rFont val="Tahoma"/>
            <family val="2"/>
          </rPr>
          <t xml:space="preserve">
E19, E20, E21 etc
PV19b, PV20, PV21 etc
Microdesvio A etc
Patio TallerSA etc
</t>
        </r>
      </text>
    </comment>
    <comment ref="L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01 = MASCULINO
02 = FEMENINO</t>
        </r>
      </text>
    </comment>
    <comment ref="P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 xml:space="preserve">01 = ACTIVO
02 = CESADO
</t>
        </r>
      </text>
    </comment>
    <comment ref="Q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01 = PLAZO FIJO
02 = PLAZO INDETERMINADO
03 = CONTRATO DE EXTRANJERO.
04 = SIN CONTRATO REGIMEN CIVIL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<sst xmlns="http://schemas.openxmlformats.org/spreadsheetml/2006/main" count="11112" uniqueCount="3335">
  <si>
    <t>RUC</t>
  </si>
  <si>
    <t>EMPRESA</t>
  </si>
  <si>
    <t>CONTRATISTA PRNCIPAL</t>
  </si>
  <si>
    <t>Nro. DNI / CE</t>
  </si>
  <si>
    <t>APELLIDOS Y NOMBRES</t>
  </si>
  <si>
    <t>FECHA NACIMIENTO</t>
  </si>
  <si>
    <t>TIPO TRABAJADOR</t>
  </si>
  <si>
    <t>TITULO DE PUESTO/CARGO</t>
  </si>
  <si>
    <t>NOMBRE DE OBRA DONDE ESTA ASIGNADO DURANTE EL MES REPORTADO</t>
  </si>
  <si>
    <t>DOMICILIO DE TRABAJADOR</t>
  </si>
  <si>
    <t>DISTRITO SEGÚN DNI</t>
  </si>
  <si>
    <t>GENERO</t>
  </si>
  <si>
    <t>NACIONALIDAD</t>
  </si>
  <si>
    <t>FECHA INICIO DE LABORES EN OBRA</t>
  </si>
  <si>
    <t>FECHA CESE/BAJA</t>
  </si>
  <si>
    <t>ESTADO</t>
  </si>
  <si>
    <t>TIPO DE CONTRATO LABORAL</t>
  </si>
  <si>
    <t>OFICINA TÉCNICA DE ESTUDIOS Y CONTROL DE OBRAS SA SUCURSAL DEL PERÚ</t>
  </si>
  <si>
    <t>Cuenta de RUC</t>
  </si>
  <si>
    <t>EECOL ELECTRIC PERU SAC</t>
  </si>
  <si>
    <t>SONINGEO S.A.C.</t>
  </si>
  <si>
    <t>Contratistas</t>
  </si>
  <si>
    <t>Suma de Contratistas</t>
  </si>
  <si>
    <t>Total</t>
  </si>
  <si>
    <t>SOCIEDAD DIVING SERVICE SALVAGE PERU S.A.C</t>
  </si>
  <si>
    <t>ZITRON PERÚ SAC</t>
  </si>
  <si>
    <t xml:space="preserve">SOLETANCHE BACHY PERU SAC </t>
  </si>
  <si>
    <t xml:space="preserve">COBRA PERU S.A </t>
  </si>
  <si>
    <t>ValidarDNI</t>
  </si>
  <si>
    <t>Corregir</t>
  </si>
  <si>
    <t>Validacion Fecha de Nacimiento</t>
  </si>
  <si>
    <t>Validacion Documento de Identidad</t>
  </si>
  <si>
    <t>VENTANILLA</t>
  </si>
  <si>
    <t>MARKINT SAC</t>
  </si>
  <si>
    <t>CALLAO</t>
  </si>
  <si>
    <t>EL AGUSTINO</t>
  </si>
  <si>
    <t>SANTA ANITA</t>
  </si>
  <si>
    <t>ACP AMBIENTAL SAC</t>
  </si>
  <si>
    <t>HARLAM SYO PERU SAC</t>
  </si>
  <si>
    <t>PROSEGURIDAD S.A</t>
  </si>
  <si>
    <t>TERMO SISTEMAS S.A.C</t>
  </si>
  <si>
    <t>HYDREX INGENIERIA Y CONSTRUCCION S.A.C</t>
  </si>
  <si>
    <t>AGF PERU SA</t>
  </si>
  <si>
    <t>GRUAS DEL PACIFICO SAC</t>
  </si>
  <si>
    <t>GRUINSA SAC</t>
  </si>
  <si>
    <t>PROSEGUR TECNOLOGIA S.A.</t>
  </si>
  <si>
    <t>PILOTES TERRATEST PERU SAC</t>
  </si>
  <si>
    <t>GESTION COMERCIAL DE EMPRESAS EIRL</t>
  </si>
  <si>
    <t>AHORRO Y EFICIENCIA DE ENERGIA SAC</t>
  </si>
  <si>
    <t>EULEN SERVICIOS COMPLEMENTARIOS S.A.</t>
  </si>
  <si>
    <t>INTERSENDAS S.A.C.</t>
  </si>
  <si>
    <t>INVESTIGACION Y CONTROL DE CALIDAD SA SUCURSAL PERU</t>
  </si>
  <si>
    <t>CALLO</t>
  </si>
  <si>
    <t>BK MODULAR  S.A.C</t>
  </si>
  <si>
    <t>PIRES GIOVANETTI GUARDIA PERU S.A.C.</t>
  </si>
  <si>
    <t>CO-OL CONSTRUCCIONES MODULARES</t>
  </si>
  <si>
    <t>LUPPAAR CONTRATISTAS GENERALES</t>
  </si>
  <si>
    <t>CUBERTA PERU SAC</t>
  </si>
  <si>
    <t>TK ELEVADORES PERU SAC</t>
  </si>
  <si>
    <t>CONSORCIO OBRAS DE METRO</t>
  </si>
  <si>
    <t>INVERSIONES ROLDAN EIRL</t>
  </si>
  <si>
    <t>ERSI PERU SAC</t>
  </si>
  <si>
    <t>GREENLAB PERÚ SAC</t>
  </si>
  <si>
    <t>TRANSPORTES ACOINSA SAC</t>
  </si>
  <si>
    <t>JLF SERVICIOS GENERALES SAC</t>
  </si>
  <si>
    <t>J &amp; V RESGUARDO SAC</t>
  </si>
  <si>
    <t>SAN LUIS</t>
  </si>
  <si>
    <t>Cercado De Lima</t>
  </si>
  <si>
    <t>ATE</t>
  </si>
  <si>
    <t>LA VICTORIA</t>
  </si>
  <si>
    <t>CERCADO LIMA</t>
  </si>
  <si>
    <t>LA PERLA</t>
  </si>
  <si>
    <t>BREÑA</t>
  </si>
  <si>
    <t>70053516</t>
  </si>
  <si>
    <t>BACILIO MELGAREJO NELSON VLADIMIR</t>
  </si>
  <si>
    <t>76535983</t>
  </si>
  <si>
    <t xml:space="preserve">ARROYO ALANIA MISAEL BENJAMÍN </t>
  </si>
  <si>
    <t>41067648</t>
  </si>
  <si>
    <t>IZAGUIRRE MICHUE KATTY DENISSE</t>
  </si>
  <si>
    <t>VASQUEZ RISCO CARLOS HUGO</t>
  </si>
  <si>
    <t>77672001</t>
  </si>
  <si>
    <t xml:space="preserve">VEGA MENESES JUAN ALBERTO </t>
  </si>
  <si>
    <t>76016431</t>
  </si>
  <si>
    <t>DE LA CRUZ CALDERON JUAN KLIVER</t>
  </si>
  <si>
    <t>76183659</t>
  </si>
  <si>
    <t>AYALA GARCIA GRECIA MILAGROS</t>
  </si>
  <si>
    <t>76086479</t>
  </si>
  <si>
    <t>ROJAS MARREROS ALDO ANDRÉ</t>
  </si>
  <si>
    <t>70609001</t>
  </si>
  <si>
    <t xml:space="preserve">COHA HUARANCCA FELIPE </t>
  </si>
  <si>
    <t>72275195</t>
  </si>
  <si>
    <t>RAMOS COVEÑAS EDWIN JAVIER</t>
  </si>
  <si>
    <t>71329055</t>
  </si>
  <si>
    <t>AGUILAR CUZCANO YEN MEI-LI</t>
  </si>
  <si>
    <t>QUINTANILLA SANCHEZ WILLY GUALBERTO</t>
  </si>
  <si>
    <t>46775498</t>
  </si>
  <si>
    <t>BONILLA OSORIO JACK LENIN</t>
  </si>
  <si>
    <t>VITARTE</t>
  </si>
  <si>
    <t>RIVA AGÜERO</t>
  </si>
  <si>
    <t>CALLAO</t>
  </si>
  <si>
    <t>CALLAO-VENTANILLA</t>
  </si>
  <si>
    <t>CALLAO-CALLAO</t>
  </si>
  <si>
    <t>VENTANILLA -CALLAO</t>
  </si>
  <si>
    <t>CALLAO</t>
  </si>
  <si>
    <t>MI PERU</t>
  </si>
  <si>
    <t>SAN LUIS</t>
  </si>
  <si>
    <t>BREÑA</t>
  </si>
  <si>
    <t>CASTILLO SEGURA ROSA LUCIA</t>
  </si>
  <si>
    <t>ZANTALLA BONIFACIO CLAUDIA MILAGROS</t>
  </si>
  <si>
    <t>SILVA PEÑA KETY PATRICIA</t>
  </si>
  <si>
    <t>43743803</t>
  </si>
  <si>
    <t xml:space="preserve">MENDOZA FLORES MARIA MILAGROS </t>
  </si>
  <si>
    <t xml:space="preserve"> CARDENAS PACHECO GRETI ANNE</t>
  </si>
  <si>
    <t>10220022</t>
  </si>
  <si>
    <t>ALDAMA CABRERA ZORAIDA ALICIA</t>
  </si>
  <si>
    <t>ORTIZ GALLEGOS CATTERINE ASUNCIÓN</t>
  </si>
  <si>
    <t>CHANG PRADO MARIA VICTORIA</t>
  </si>
  <si>
    <t>07092740</t>
  </si>
  <si>
    <t xml:space="preserve">HERRERA LLERENA SUSANA LUZ </t>
  </si>
  <si>
    <t>07285959</t>
  </si>
  <si>
    <t>SOTO ACHAHUANCO BASILIA</t>
  </si>
  <si>
    <t>40968721</t>
  </si>
  <si>
    <t xml:space="preserve">HUAMAN REMUZGO ROSALIN </t>
  </si>
  <si>
    <t>SANTA ANITA</t>
  </si>
  <si>
    <t>80277056</t>
  </si>
  <si>
    <t>CHOQUE APONTE WILFREDO MARINO</t>
  </si>
  <si>
    <t>40039262</t>
  </si>
  <si>
    <t>ZAMORA GUERRA MARCO ANTONIO</t>
  </si>
  <si>
    <t>40219138</t>
  </si>
  <si>
    <t>POMAR POMAR DAVID JESUS</t>
  </si>
  <si>
    <t>CERCADO DE LIMA</t>
  </si>
  <si>
    <t>CARMEN DE LA LEGUA-REYNOSO</t>
  </si>
  <si>
    <t>cercado</t>
  </si>
  <si>
    <t>Bellavista</t>
  </si>
  <si>
    <t>LA PERLA CALLAO</t>
  </si>
  <si>
    <t>Ventanilla</t>
  </si>
  <si>
    <t>CARMEN DE LA LEGUA REYNOSO</t>
  </si>
  <si>
    <t>TAJ &amp; M S.A.C.</t>
  </si>
  <si>
    <t>INGENIERIA INTEGRAL CORPORATIVA SAC</t>
  </si>
  <si>
    <t>Zona de Influencia</t>
  </si>
  <si>
    <t>Validar Genero</t>
  </si>
  <si>
    <t>Distrito</t>
  </si>
  <si>
    <t>18-23</t>
  </si>
  <si>
    <t>59 - A mas</t>
  </si>
  <si>
    <t>24-31</t>
  </si>
  <si>
    <t>32-40</t>
  </si>
  <si>
    <t>41-49</t>
  </si>
  <si>
    <t>50-58</t>
  </si>
  <si>
    <t>18 - 23</t>
  </si>
  <si>
    <t>24 - 31</t>
  </si>
  <si>
    <t>32 - 40</t>
  </si>
  <si>
    <t>41 - 49</t>
  </si>
  <si>
    <t>50 - 58</t>
  </si>
  <si>
    <t>59 +</t>
  </si>
  <si>
    <t>Rango de Edades</t>
  </si>
  <si>
    <t>VILLA EL SALVADOR</t>
  </si>
  <si>
    <t>PERUANA</t>
  </si>
  <si>
    <t>SUPERVISOR DE OPERACIONES</t>
  </si>
  <si>
    <t>CHORRILLOS</t>
  </si>
  <si>
    <t>SAN ISIDRO</t>
  </si>
  <si>
    <t>VILLA MARIA DEL TRIUNFO</t>
  </si>
  <si>
    <t>SAN JUAN DE LURIGANCHO</t>
  </si>
  <si>
    <t>-</t>
  </si>
  <si>
    <t>ATE VITARTE</t>
  </si>
  <si>
    <t>PEON</t>
  </si>
  <si>
    <t>OPERARIO FIERRERO</t>
  </si>
  <si>
    <t>LA VICTORIA</t>
  </si>
  <si>
    <t>LICHTHAUS S.A.C.</t>
  </si>
  <si>
    <t>OFICIAL FIERRERO</t>
  </si>
  <si>
    <t>SOCIAL CAPITAL GROUP SAC</t>
  </si>
  <si>
    <t>PLANTA DOVELAS</t>
  </si>
  <si>
    <t>MORALES ESCOBEDO MILAGROS ELIZABET</t>
  </si>
  <si>
    <t>AGUSTINO</t>
  </si>
  <si>
    <t>45917423</t>
  </si>
  <si>
    <t>REALIPERU S.A.C.</t>
  </si>
  <si>
    <t>2A TECH SCRL</t>
  </si>
  <si>
    <t>PEÓN</t>
  </si>
  <si>
    <t>TUNELES Y PREFABRICADOS INKA SAC</t>
  </si>
  <si>
    <t xml:space="preserve">ARTE Y TECNOLOGIA DEL CONCRETO SAC </t>
  </si>
  <si>
    <t>Trabajador</t>
  </si>
  <si>
    <t>Edad</t>
  </si>
  <si>
    <t>Rango Edades</t>
  </si>
  <si>
    <t>Validar Edad</t>
  </si>
  <si>
    <t>CONSORCIO</t>
  </si>
  <si>
    <t>EPC</t>
  </si>
  <si>
    <t>Tipo de Empresa</t>
  </si>
  <si>
    <t>Ancro S.A.C.</t>
  </si>
  <si>
    <t>CASSADO S.A.</t>
  </si>
  <si>
    <t>CB METAL S.A</t>
  </si>
  <si>
    <t>CONTRUCTORA ARQUITRABE SAC</t>
  </si>
  <si>
    <t>CORPORACION C.C. REGEYSER S.A.C.</t>
  </si>
  <si>
    <t>Controles Automáticos SAC</t>
  </si>
  <si>
    <t>CENTURY ECOLOGICAL CORPORATION S.A.C.</t>
  </si>
  <si>
    <t>EPOS S.A. -  SUCURSAL DEL PERU</t>
  </si>
  <si>
    <t>J&amp;V RESGUARDO SAC</t>
  </si>
  <si>
    <t>_x000D_
MCORP SAC</t>
  </si>
  <si>
    <t>MOVITECNICA S.A</t>
  </si>
  <si>
    <t>72497987</t>
  </si>
  <si>
    <t xml:space="preserve">VILLALOBOS GUZMAN CRISTIAN ALEXANDER </t>
  </si>
  <si>
    <t>PG OBRAS GENERALES SAC</t>
  </si>
  <si>
    <t>masculino</t>
  </si>
  <si>
    <t>femenino</t>
  </si>
  <si>
    <t>RAUM SAC</t>
  </si>
  <si>
    <t>Rossello &amp; Cía S.A.</t>
  </si>
  <si>
    <t>SERVICIO DE LOGISTICA EXPRESS S.A.C.</t>
  </si>
  <si>
    <t>Social Capital Group SAC</t>
  </si>
  <si>
    <t>SUIZA ALERTA</t>
  </si>
  <si>
    <t>Union de Concreteras S.A</t>
  </si>
  <si>
    <t>Column Labels</t>
  </si>
  <si>
    <t>(Multiple Items)</t>
  </si>
  <si>
    <t>Grand Total</t>
  </si>
  <si>
    <t>(All)</t>
  </si>
  <si>
    <t>EPC/CJV</t>
  </si>
  <si>
    <t>GEOLAM S.A.C.</t>
  </si>
  <si>
    <t>72851189</t>
  </si>
  <si>
    <t>ESPINOZA CASTILLO ERICK ALEXANDER</t>
  </si>
  <si>
    <t>PROJECT AUTOMATION PERU</t>
  </si>
  <si>
    <t>BM1 Obras &amp; Servicios Industriales S.A.C</t>
  </si>
  <si>
    <t>SOLER &amp; PALAU PERU S.A.</t>
  </si>
  <si>
    <t>OBRAS SUBTERRANEAS SA</t>
  </si>
  <si>
    <t>POSADA PERU SAC</t>
  </si>
  <si>
    <t xml:space="preserve">MCON PERU </t>
  </si>
  <si>
    <t>AMPHOS 21 CONSULTING PERÚ SAC</t>
  </si>
  <si>
    <t>ENTREPISOS LIMA S.A.C</t>
  </si>
  <si>
    <t>YNG CONSTRUCTORA SAC</t>
  </si>
  <si>
    <t>JJ TECH CONTROL EIRL</t>
  </si>
  <si>
    <t>Ccima Señalizaciones S.A.C</t>
  </si>
  <si>
    <t>DYNAMIC CONTROL PERU SAC</t>
  </si>
  <si>
    <t>MANAGING Y COORDINACION VALLES PERU S.R.L.</t>
  </si>
  <si>
    <t>PREFABRICADOS ANDINOS PERU SAC</t>
  </si>
  <si>
    <t>TRASNPORTES GLORIA G&amp;N</t>
  </si>
  <si>
    <t>PEREZ OBLITAS RITA EMPERATRIZ</t>
  </si>
  <si>
    <t xml:space="preserve">GESTION DE SERVICIOS AMBIENTALES SAC </t>
  </si>
  <si>
    <t>TOP FIBRA SAC</t>
  </si>
  <si>
    <t>ENEL DISTRIBUCION S.A.A.</t>
  </si>
  <si>
    <t>(blank)</t>
  </si>
  <si>
    <t>A2 TECH</t>
  </si>
  <si>
    <t>ACP AMBIENTAL</t>
  </si>
  <si>
    <t>AMBIPAR</t>
  </si>
  <si>
    <t>AGF PERU</t>
  </si>
  <si>
    <t>AHORRO Y EFICIENCIA DE ENERGIA S.A.C. (AE ENERGY)</t>
  </si>
  <si>
    <t>AMPHOS 21</t>
  </si>
  <si>
    <t>ANCRO SRL</t>
  </si>
  <si>
    <t>ARTE Y TECNOLOGIA DEL CONCRETO SAC (ARTCO)</t>
  </si>
  <si>
    <t>BK MODULAR (ABERTIS)</t>
  </si>
  <si>
    <t>CB METAL S.A.C.</t>
  </si>
  <si>
    <t xml:space="preserve">CCIMA SEÑALIZACIONES </t>
  </si>
  <si>
    <t>CASSADO</t>
  </si>
  <si>
    <t>COBRA PERU SA</t>
  </si>
  <si>
    <t>CONSORCIO OBRAS DE METRO SA</t>
  </si>
  <si>
    <t>CONSTRUCTORA ARQUITRABE SAC</t>
  </si>
  <si>
    <t>CONTROLES AUTOMATICOS SAC (CONTROL MATIC)</t>
  </si>
  <si>
    <t>CORPORACION REGEYSER SAC</t>
  </si>
  <si>
    <t>ECOCENTURY SAC</t>
  </si>
  <si>
    <t>ENEL DISTRIBUCION PERU S.A.A.</t>
  </si>
  <si>
    <t>ENTREPISOS LIMA SAC</t>
  </si>
  <si>
    <t xml:space="preserve">EPOS - EMPRESA PORTUGUESA DE OBRAS SUBTERRANEAS </t>
  </si>
  <si>
    <t>EULEN</t>
  </si>
  <si>
    <t>GEOLAM</t>
  </si>
  <si>
    <t>GESTION COMERCIAL DE EMPRESAS EIRL (GECODEM)</t>
  </si>
  <si>
    <t>GH GRUAS PERU SAC</t>
  </si>
  <si>
    <t>GREENLAB</t>
  </si>
  <si>
    <t>GRUINSA</t>
  </si>
  <si>
    <t>HYDREX INGENIEROS SAC</t>
  </si>
  <si>
    <t>INGENIERIA INTEGRAL CORPORATIVA S.A.C.</t>
  </si>
  <si>
    <t>INTERSENDAS SAC</t>
  </si>
  <si>
    <t>INVESTIGACION Y CONTROL DE CALIDAD SA (INCOSA)</t>
  </si>
  <si>
    <t>JJTECH CONTROL EIRL</t>
  </si>
  <si>
    <t xml:space="preserve">JV RESGUARDO </t>
  </si>
  <si>
    <t>LICHTHAUS</t>
  </si>
  <si>
    <t>LUPPAAR CONTRATISTAS GENERALES SRL</t>
  </si>
  <si>
    <t>MC VALLES</t>
  </si>
  <si>
    <t>MCON PERU SAC</t>
  </si>
  <si>
    <t>MCORP SAC</t>
  </si>
  <si>
    <t>MOVITECNICA</t>
  </si>
  <si>
    <t>OBRAS SUBTERRANEAS SA SUCURSAL EN LA REPUBLICA DEL PERU (OSSA)</t>
  </si>
  <si>
    <t>OBRAS Y SERVICIOS INDUSTRIALES SAC (BM1)</t>
  </si>
  <si>
    <t>OFITECO PERU SAC</t>
  </si>
  <si>
    <t>PG. OBRAS GENERALES SAC</t>
  </si>
  <si>
    <t>PILOTES TERRATEST SA</t>
  </si>
  <si>
    <t>PIRES GIOVANOTTI GUARDIA</t>
  </si>
  <si>
    <t>POSADA</t>
  </si>
  <si>
    <t>PREFABRICADOS ANDINOS PERU SAC (PREANSA)</t>
  </si>
  <si>
    <t>PROJECT AUTOMATION (PAP)</t>
  </si>
  <si>
    <t>PROSEGURIDAD</t>
  </si>
  <si>
    <t>PROSEGUR TECNOLOGIA PERU SA</t>
  </si>
  <si>
    <t>RAUM</t>
  </si>
  <si>
    <t>REALI PERU SAC</t>
  </si>
  <si>
    <t>RITA PEREZ OBLITAS  (INVERSIONES CI &amp; CRIS)</t>
  </si>
  <si>
    <t>ROSELLO &amp; CIA SA</t>
  </si>
  <si>
    <t>SERVICIO DE LOGISTICA EXPRESS SAC (SLE)</t>
  </si>
  <si>
    <t>SOCIAL CAPITAL</t>
  </si>
  <si>
    <t>SOLER Y PALAU (DSA INGENIERIA Y PROYECTOS)</t>
  </si>
  <si>
    <t>SOLETANCHE BACHY (SBP)</t>
  </si>
  <si>
    <t>SOCIEDAD DIVING SERVICE SALVAGE PERU  SAC</t>
  </si>
  <si>
    <t>SONINGEO SAC</t>
  </si>
  <si>
    <t>SUIZA ALERTA SAC</t>
  </si>
  <si>
    <t>TAJ&amp;M SAC</t>
  </si>
  <si>
    <t>TERMOSISTEMAS SAC</t>
  </si>
  <si>
    <t>THYSSENKRUPP ELEVADORES SAC (TK ELEVADORES)</t>
  </si>
  <si>
    <t>TOP FIBRA</t>
  </si>
  <si>
    <t>TRANSPORTES JIKAL SAC</t>
  </si>
  <si>
    <t>TRANSPORTES ACOINSA</t>
  </si>
  <si>
    <t xml:space="preserve">TRANSPORTES GLORIA </t>
  </si>
  <si>
    <t>TUNELES Y PREFRABRICADOS INCA (TPI)</t>
  </si>
  <si>
    <t>UNION DE CONCRETERAS SA (UNICON)</t>
  </si>
  <si>
    <t>YVAN NEIRA GARCIA (YNG)</t>
  </si>
  <si>
    <t>ZITRON PERU SAC</t>
  </si>
  <si>
    <t>Razon Social</t>
  </si>
  <si>
    <t>Nombre Comercial</t>
  </si>
  <si>
    <t>Altas</t>
  </si>
  <si>
    <t>Trabajadores Unicos</t>
  </si>
  <si>
    <t>Secundaria</t>
  </si>
  <si>
    <t>Principal</t>
  </si>
  <si>
    <t>43505343</t>
  </si>
  <si>
    <t>RENTERIA CHAMORRO MARIA GRICELDA</t>
  </si>
  <si>
    <t>001734253</t>
  </si>
  <si>
    <t>76275805</t>
  </si>
  <si>
    <t>RIOS CASTRO ALI SAMIR</t>
  </si>
  <si>
    <t>AMPUERO SAMANIEGO JOAO ALEXANDER</t>
  </si>
  <si>
    <t>ATE</t>
  </si>
  <si>
    <t>EL AGUSTINO</t>
  </si>
  <si>
    <t>BELLAVISTA</t>
  </si>
  <si>
    <t>PIURA</t>
  </si>
  <si>
    <t>VEGUETA</t>
  </si>
  <si>
    <t>46104998</t>
  </si>
  <si>
    <t>43065739</t>
  </si>
  <si>
    <t>41380678</t>
  </si>
  <si>
    <t>MARUCO CAPCHA DANIEL EDUARDO</t>
  </si>
  <si>
    <t>72299174</t>
  </si>
  <si>
    <t>GOMEZ HUAMAN MATHIUS MICHAEL</t>
  </si>
  <si>
    <t>CISNEROS CANCHARI WALTER SAMUEL</t>
  </si>
  <si>
    <t>DE LA CRUZ ACHATA FRANCISCO</t>
  </si>
  <si>
    <t>KOU DEL AGUILA LUIS ANTONIO</t>
  </si>
  <si>
    <t>72036314</t>
  </si>
  <si>
    <t>RODRIGUEZ ROMAN RODRIGO ANTHONY</t>
  </si>
  <si>
    <t>TORRES INJANTE JULIO</t>
  </si>
  <si>
    <t>25424143</t>
  </si>
  <si>
    <t>FARIAS MORALES ROBERTO</t>
  </si>
  <si>
    <t>CJV</t>
  </si>
  <si>
    <t>Carmen de la Legua</t>
  </si>
  <si>
    <t>ROJAS VELASQUEZ CRISTIAN RAUL</t>
  </si>
  <si>
    <t>43303102</t>
  </si>
  <si>
    <t>NEYRA LLERENA JAVIER ERNESTO</t>
  </si>
  <si>
    <t>002184646</t>
  </si>
  <si>
    <t>PEREZ VELASCO GUSTAVO ANTONIO</t>
  </si>
  <si>
    <t>75007389</t>
  </si>
  <si>
    <t>CE 002341346</t>
  </si>
  <si>
    <t>MARCO TULIO PRECILLA LICET</t>
  </si>
  <si>
    <t>PERALES QUISPE MIGUEL ANGEL</t>
  </si>
  <si>
    <t>PERALES QUISPE TAYLOR JUAN</t>
  </si>
  <si>
    <t>46975125</t>
  </si>
  <si>
    <t>HUAMAN ALBERCA MARIO ANTONIO</t>
  </si>
  <si>
    <t>43969453</t>
  </si>
  <si>
    <t>007001006-VENTANILLA</t>
  </si>
  <si>
    <t>No</t>
  </si>
  <si>
    <t>Total Bajas</t>
  </si>
  <si>
    <t>Total Ingresos</t>
  </si>
  <si>
    <t>Reporte Zona de Influencia</t>
  </si>
  <si>
    <t>Ingresos y Salidas de Personal</t>
  </si>
  <si>
    <t>Fecha de Inicio</t>
  </si>
  <si>
    <t>Fecha de  Inicio</t>
  </si>
  <si>
    <t>Detalle total Zona de Influencia</t>
  </si>
  <si>
    <t>Detalle Cesados Zona de Influencia</t>
  </si>
  <si>
    <t>Detalle Ingresos Zona de Influencia</t>
  </si>
  <si>
    <t>CARMEN DE LA LEGUA -REYNOSO</t>
  </si>
  <si>
    <t>015001015-LA VICTORIA</t>
  </si>
  <si>
    <t xml:space="preserve">ECHEVARRIA SURICHAQUI, WILLIAM LUIS </t>
  </si>
  <si>
    <t>45158479</t>
  </si>
  <si>
    <t>CONDORI RIVERA DANIEL</t>
  </si>
  <si>
    <t>RIVERA PARDO EDGAR WILFREDO</t>
  </si>
  <si>
    <t>25445344</t>
  </si>
  <si>
    <t>ASIAN CASTILLO PEDRO ARNALDO</t>
  </si>
  <si>
    <t>AYLAS QUISPE WILDER</t>
  </si>
  <si>
    <t>CAYCHO CERVANTES MAURO</t>
  </si>
  <si>
    <t>FERNANDEZ ROJAS JULIO</t>
  </si>
  <si>
    <t>25578236</t>
  </si>
  <si>
    <t>Trabajdores Unicos Zona Influencia</t>
  </si>
  <si>
    <t>Sum of Trabajdores Unicos Zona Influencia</t>
  </si>
  <si>
    <t>Altas Zona de Influencia</t>
  </si>
  <si>
    <t>Bajas Zona Influencia</t>
  </si>
  <si>
    <t>Sum of Altas Zona de Influencia</t>
  </si>
  <si>
    <t>Sum of Bajas Zona Influencia</t>
  </si>
  <si>
    <t>VARGAS HERRERA WILMER</t>
  </si>
  <si>
    <t>Bajas2</t>
  </si>
  <si>
    <t>BajasAntiguas</t>
  </si>
  <si>
    <t>CJV Y EPC</t>
  </si>
  <si>
    <t>Sum of Trabajadores Unicos</t>
  </si>
  <si>
    <t>007001001-CALLAO</t>
  </si>
  <si>
    <t>015001037-SANTA ANITA</t>
  </si>
  <si>
    <t>015001011-EL AGUSTINO</t>
  </si>
  <si>
    <t>Cashpa Yarasca Luis Alfredo</t>
  </si>
  <si>
    <t>Guidotti Quispe Dercy Gabriel</t>
  </si>
  <si>
    <t xml:space="preserve">Limaco Espinoza Elen Dino </t>
  </si>
  <si>
    <t>Rivera Peña Ronal</t>
  </si>
  <si>
    <t>Ronceros Ccasani Abel</t>
  </si>
  <si>
    <t>Villanueva Sayas Cirilo</t>
  </si>
  <si>
    <t>LITHMAN S.A.C.</t>
  </si>
  <si>
    <t>VILLALBA MATAMOROS  RAQUEL ROCIO</t>
  </si>
  <si>
    <t>ANCHANTE GUIMARAES CROMWELL STEVEN</t>
  </si>
  <si>
    <t>SEMINARIO CAMPOS ALEX EDUARDO</t>
  </si>
  <si>
    <t>ARANGO  LLAMOCCA JAYME</t>
  </si>
  <si>
    <t>EULOGIO TORPOCO PERCY WILLIAMS</t>
  </si>
  <si>
    <t>YATACO ORTIZ HIGINIO ROLANDO</t>
  </si>
  <si>
    <t>HAYQUI ROMERO LUIS ANGEL</t>
  </si>
  <si>
    <t>TORRES ESCALANTE JUNIOR ARTURO</t>
  </si>
  <si>
    <t>RAJO DELGADO ABEL ESEQUIAS</t>
  </si>
  <si>
    <t>09777634</t>
  </si>
  <si>
    <t>LOZANO SANCHEZ HENRY IGNACIO</t>
  </si>
  <si>
    <t>14/12/20223</t>
  </si>
  <si>
    <t>GRANDEZ ACHO TOMAS</t>
  </si>
  <si>
    <t>80338241</t>
  </si>
  <si>
    <t>FATAMA SALAS EDGAR</t>
  </si>
  <si>
    <t>GOMEZ TAPULLIMA DERIAN GINO</t>
  </si>
  <si>
    <t>ROJAS SANCHEZ JULIO ALBERTO</t>
  </si>
  <si>
    <t>DE LA CRUZ PURIHUAMAN SEGUNDO LEOPOLDO</t>
  </si>
  <si>
    <t>MATOS GAMBOA VALERIE GIANNELA</t>
  </si>
  <si>
    <t>CARDENAS SIERRA FIDEL ANTONI</t>
  </si>
  <si>
    <t>PEREZ ZAMBRANO ELMER ANTONIO</t>
  </si>
  <si>
    <t xml:space="preserve"> 46876632</t>
  </si>
  <si>
    <t>002175497</t>
  </si>
  <si>
    <t>FERNANDEZ ZAMBRANO JUAN CARLOS</t>
  </si>
  <si>
    <t>HPT</t>
  </si>
  <si>
    <t># Trabajadores</t>
  </si>
  <si>
    <t># Horas</t>
  </si>
  <si>
    <t>80269763</t>
  </si>
  <si>
    <t>ESCOBAL HERRERA JUAN JOSE</t>
  </si>
  <si>
    <t>CONDUCTOR DE UNIDAD DE CONTINGENCIA</t>
  </si>
  <si>
    <t>ESTACIONES Y PATIO TALLER</t>
  </si>
  <si>
    <t>MZ. F LOTE 10 ASENT. H MARCAVILCA</t>
  </si>
  <si>
    <t>15611131</t>
  </si>
  <si>
    <t>GUARDIA ESPINOZA JULIO CESAR</t>
  </si>
  <si>
    <t>CALLE MANUEL FUENTES A. 915 URB. CHACARILLA DE SANTA CRUZ</t>
  </si>
  <si>
    <t/>
  </si>
  <si>
    <t/>
  </si>
  <si>
    <t>AV. GUARDIA PERUANA 350 URB. MATELLINI</t>
  </si>
  <si>
    <t>46264712</t>
  </si>
  <si>
    <t>LOJA GAMERO RICHARD</t>
  </si>
  <si>
    <t>COOPERATIVA LAS VERTIENTES MZ Y LOTE 7</t>
  </si>
  <si>
    <t/>
  </si>
  <si>
    <t/>
  </si>
  <si>
    <t>AUXILIAR DE RESIDUOS</t>
  </si>
  <si>
    <t>SECTOR 6 GRUPO 8-A MZ. N LT 23</t>
  </si>
  <si>
    <t>42959086</t>
  </si>
  <si>
    <t>LUCAS MALLQUI LUIS ALBERTO</t>
  </si>
  <si>
    <t>CALLE LOS EUCALIPTOS MZ L2 LT 22</t>
  </si>
  <si>
    <t>80247495</t>
  </si>
  <si>
    <t>VALENCIA ACOSTA JUAN CARLOS</t>
  </si>
  <si>
    <t>MZ. 35 LT.7 P.J. CESAR VALLEJO</t>
  </si>
  <si>
    <t>undefined</t>
  </si>
  <si>
    <t>10457124</t>
  </si>
  <si>
    <t>Callupe Contreras Juan Jose</t>
  </si>
  <si>
    <t>KJ GRUPO INMOBILIARIO S.A.C</t>
  </si>
  <si>
    <t xml:space="preserve">SANTIAGO LOPEZ, RICHARD DARIO </t>
  </si>
  <si>
    <t xml:space="preserve">GALA PARDO, ALEXANDER CRISTHIAN MARIANO </t>
  </si>
  <si>
    <t>PUQUIO CIRILO ALDAIR RENZO</t>
  </si>
  <si>
    <t>CJV &amp; EPC</t>
  </si>
  <si>
    <t>44361643</t>
  </si>
  <si>
    <t>MEDINA CALLE JUAN CARLOS</t>
  </si>
  <si>
    <t>CALLE LOS CAMPESINOS MZ Z LT 36</t>
  </si>
  <si>
    <t>14/05/2021</t>
  </si>
  <si>
    <t>AT E</t>
  </si>
  <si>
    <t>ALEGRE RIVERA, CESAR KICEMLLER</t>
  </si>
  <si>
    <t>PARIONA CONDORI, FRANCOIS LEONARDO</t>
  </si>
  <si>
    <t xml:space="preserve">CALAGUA SANCHEZ, ENRI RAUL </t>
  </si>
  <si>
    <t>74193055</t>
  </si>
  <si>
    <t>ARAUJO LOYOLA ANGEL JESUS</t>
  </si>
  <si>
    <t>SALAS PANDURO JHOAO</t>
  </si>
  <si>
    <t>TEJEIRA ALVAREZ ALVARO DANIEL</t>
  </si>
  <si>
    <t>74254029</t>
  </si>
  <si>
    <t>INGENIERIA, CONSULTORIA Y EJECUCION DE PROYECTOS MINERALES SOCIEDAD ANONIMA CERRADA - ICEP MINERALES</t>
  </si>
  <si>
    <t>43392132</t>
  </si>
  <si>
    <t>25780812</t>
  </si>
  <si>
    <t>DURAND DAMIAN CARMEN LUISA</t>
  </si>
  <si>
    <t>42424968</t>
  </si>
  <si>
    <t>CRUZADO OCARIS ROBERT WILLIAMS</t>
  </si>
  <si>
    <t>SAYAN MORALES RODRIGO ALONSO</t>
  </si>
  <si>
    <t>LUPACA HUARAC MELANIE BRIDGET</t>
  </si>
  <si>
    <t>PALOMINO ESCALATE RANDU ANTONIO</t>
  </si>
  <si>
    <t>SANCHEZ PUERTAS JAIME</t>
  </si>
  <si>
    <t>TORRES FERNANDEZ AUGUSTO MANUEL</t>
  </si>
  <si>
    <t>ESPINOZA DE LA CRUZ, JULIO CESAR</t>
  </si>
  <si>
    <t>RODRIGUEZ UCAÑAN CARLOS MANUEL</t>
  </si>
  <si>
    <t>SIFUENTES SAIRE SAMUEL ENRIQUE</t>
  </si>
  <si>
    <t>TELLO TEAGUA JOSE LUIS ANTONIO</t>
  </si>
  <si>
    <t>SULLCA FACHIN ADRIAN ANDERSON</t>
  </si>
  <si>
    <t>GUERREROS UCAÑAM JHONNY</t>
  </si>
  <si>
    <t>74583330</t>
  </si>
  <si>
    <t>MARREROS ADVINCULA YONER ALONSO</t>
  </si>
  <si>
    <t>TORRES FERNANDEZ  MAURICIO MARTIN</t>
  </si>
  <si>
    <t>FLORES PRADA JOHSON ARNOLD</t>
  </si>
  <si>
    <t>42561267</t>
  </si>
  <si>
    <t>RIVAS MUÑOZ CESAR ALEJANDRO</t>
  </si>
  <si>
    <t>CHAPILLIQUEN FLORIAN, ENRIQUE</t>
  </si>
  <si>
    <t>PEÑA PEÑA, WILDER</t>
  </si>
  <si>
    <t>LEYVA REYNALTE RICARDO ALEXIS</t>
  </si>
  <si>
    <t>IDELFONSO REYES JIMMY ROBERTO</t>
  </si>
  <si>
    <t>MENDOZA CHOQUE, JOSE LUIS</t>
  </si>
  <si>
    <t>OLIVERA NINAQUISPE DENILSON FRANCK</t>
  </si>
  <si>
    <t>03/02/2024</t>
  </si>
  <si>
    <t>43430307</t>
  </si>
  <si>
    <t>OCHANTE CHUMBE DONATO</t>
  </si>
  <si>
    <t>ARIAS MALLMA CELSO TEOFILO</t>
  </si>
  <si>
    <t>Borrar</t>
  </si>
  <si>
    <t>SALCEDO JARA RONALD EDUARDO</t>
  </si>
  <si>
    <t>43536562</t>
  </si>
  <si>
    <t>CANCHAN AMARO JHOLVI JHONATAN</t>
  </si>
  <si>
    <t>42817866</t>
  </si>
  <si>
    <t>GARCIA INUMA CHRISTIAN</t>
  </si>
  <si>
    <t>74380606</t>
  </si>
  <si>
    <t>PALOMARES ALAYO JOSE LUIS</t>
  </si>
  <si>
    <t>41824096</t>
  </si>
  <si>
    <t>LUJAN INFANTE YERRY WILLIAMS</t>
  </si>
  <si>
    <t>72931153</t>
  </si>
  <si>
    <t>VARGAS MACHUCA PALACIOS CESAR ANDRES</t>
  </si>
  <si>
    <t>003305271</t>
  </si>
  <si>
    <t>ESTEVEZ MILLAN DEYBIZ ALBERTO</t>
  </si>
  <si>
    <t>42517618</t>
  </si>
  <si>
    <t>MEDINA MALDONADO GABRIELA DEL PILAR</t>
  </si>
  <si>
    <t>43635706</t>
  </si>
  <si>
    <t>BALDEON CISNEROS SAMUEL</t>
  </si>
  <si>
    <t>75745420</t>
  </si>
  <si>
    <t>YALI ESPINOZA JORGE LUIS</t>
  </si>
  <si>
    <t>18891824</t>
  </si>
  <si>
    <t>OTINIANO PAREDES SANTOS</t>
  </si>
  <si>
    <t>45969393</t>
  </si>
  <si>
    <t>LUJAN INFANTE EDWIN</t>
  </si>
  <si>
    <t>46873800</t>
  </si>
  <si>
    <t>LOPEZ VILLANUEVA JEANPIERRE</t>
  </si>
  <si>
    <t>10179183</t>
  </si>
  <si>
    <t>MIRELLES LOBATON JUAN CARLOS</t>
  </si>
  <si>
    <t>62577317</t>
  </si>
  <si>
    <t>AGURTO QUISPE JUAN DE DIOS</t>
  </si>
  <si>
    <t>70668299</t>
  </si>
  <si>
    <t>NAVARRO CASTILLO MAYRA FRANCHESCA</t>
  </si>
  <si>
    <t>61757215</t>
  </si>
  <si>
    <t>TOCTO ARIRAMA JHONATAN GUSTAVO</t>
  </si>
  <si>
    <t>PEÑA AQUINO DENILSON JESUS</t>
  </si>
  <si>
    <t>72397005</t>
  </si>
  <si>
    <t>MOLINA BENAVENTE MANUEL EMILIO</t>
  </si>
  <si>
    <t>75190564</t>
  </si>
  <si>
    <t>HUAMAN LEON FREDDY JUNIOR</t>
  </si>
  <si>
    <t>42726952</t>
  </si>
  <si>
    <t>HURTADO SALAZAR JOSE LUIS</t>
  </si>
  <si>
    <t>44558864</t>
  </si>
  <si>
    <t>QUISPE NOA ERICK</t>
  </si>
  <si>
    <t>42306306</t>
  </si>
  <si>
    <t>MIRANDA ARRUNATEGUI GEORGE BENNY</t>
  </si>
  <si>
    <t>25862137</t>
  </si>
  <si>
    <t>SALCEDO VASQUEZ LUIS ERNESTO</t>
  </si>
  <si>
    <t>07526404</t>
  </si>
  <si>
    <t>FLORES SOLOGUREN CARLOS ALFREDO</t>
  </si>
  <si>
    <t>43918245</t>
  </si>
  <si>
    <t>NAZARIO CRUZ JUAN CARLOS</t>
  </si>
  <si>
    <t>70663530</t>
  </si>
  <si>
    <t>MAYHUA PAYTAN JORGE YOVER</t>
  </si>
  <si>
    <t>74717917</t>
  </si>
  <si>
    <t>ORE VILLANUEVA EDWIN CRISTIAN</t>
  </si>
  <si>
    <t>25753155</t>
  </si>
  <si>
    <t>TAPIA HERNANDEZ JORGE ANTONIO</t>
  </si>
  <si>
    <t>HUAYLLACCAHUA GUTIERREZ RUBEN</t>
  </si>
  <si>
    <t>EDISON ERNESTO CCAHUAY HUAMANI</t>
  </si>
  <si>
    <t>46126442</t>
  </si>
  <si>
    <t>FERNANDO ROMARIO RODRIGUEZ POMAJULCA</t>
  </si>
  <si>
    <t>75328123</t>
  </si>
  <si>
    <t>GABRIEL ADAN POMAJULCA HERRERA</t>
  </si>
  <si>
    <t>72983390</t>
  </si>
  <si>
    <t>JEFFERSON EDSON VILLAJUAN AYALA</t>
  </si>
  <si>
    <t>72001350</t>
  </si>
  <si>
    <t>DIEGO CARLESSY GASTELU PAYTAN</t>
  </si>
  <si>
    <t>70751760</t>
  </si>
  <si>
    <t>CCOLQUEHUANCA MEDINA MARTIN ALONSO</t>
  </si>
  <si>
    <t>25759379</t>
  </si>
  <si>
    <t>HUAMAN ASTORGA CARLOS FELIX</t>
  </si>
  <si>
    <t>LOPEZ SOLIS LUIS CARLOS</t>
  </si>
  <si>
    <t>44750145</t>
  </si>
  <si>
    <t>ALANYA GALINDO  AMADEO CRISTIAN</t>
  </si>
  <si>
    <t>43326800</t>
  </si>
  <si>
    <t>ALEJOS BOORQUEZ ABEL ROMULO</t>
  </si>
  <si>
    <t>40399514</t>
  </si>
  <si>
    <t>ALLCCA ANDRADE  MARIO  SENOBIO</t>
  </si>
  <si>
    <t>ARIAS ESPINOZA  WALDO CARLOS</t>
  </si>
  <si>
    <t>CANAZA LAURA PABLO</t>
  </si>
  <si>
    <t>42462070</t>
  </si>
  <si>
    <t>CANCHANYA ARROYO EDUARDO JAVIER</t>
  </si>
  <si>
    <t>CERON CRUZ   JUAN MANUEL</t>
  </si>
  <si>
    <t xml:space="preserve">CHAVEZ YALTA MARCELO </t>
  </si>
  <si>
    <t>43011888</t>
  </si>
  <si>
    <t xml:space="preserve">CONTRERAS AQUINO FERNANDO JESUS </t>
  </si>
  <si>
    <t xml:space="preserve">CORTES  HUAMAN  VIDAL </t>
  </si>
  <si>
    <t>DE LA CRUZ AVILA RAFAEL ISAAC</t>
  </si>
  <si>
    <t>07502952</t>
  </si>
  <si>
    <t>ESPINOZA LAVADO  ROY  RONALD</t>
  </si>
  <si>
    <t>71554341</t>
  </si>
  <si>
    <t>FRANCO HUAMAN JHONATAN STEVEN</t>
  </si>
  <si>
    <t>20688395</t>
  </si>
  <si>
    <t>FRANCO INGA   ELEODORO MARCELINO</t>
  </si>
  <si>
    <t>06592060</t>
  </si>
  <si>
    <t xml:space="preserve">FRANCO INGA RAUL CESAR </t>
  </si>
  <si>
    <t>GRADOS  QUISPE ANTONIO DAVID</t>
  </si>
  <si>
    <t>43409058</t>
  </si>
  <si>
    <t xml:space="preserve">HIPOLITO FALCON ALAN GUIOMAR </t>
  </si>
  <si>
    <t>44964246</t>
  </si>
  <si>
    <t>IBAÑEZ GUTIERREZ JUAN ALBERTO</t>
  </si>
  <si>
    <t>LEDESMA CHAMORRO ELEODORO</t>
  </si>
  <si>
    <t>40645216</t>
  </si>
  <si>
    <t>MAYTA  ARELLANOS  FABIO LIZARDO</t>
  </si>
  <si>
    <t>MEZA  AGUILAR  JAVIER ROSALIO</t>
  </si>
  <si>
    <t>ORTIZ ÑAHUI CROWER WALTER</t>
  </si>
  <si>
    <t>44666800</t>
  </si>
  <si>
    <t>ORTIZ ÑAHUI NELSON WILBER</t>
  </si>
  <si>
    <t>42201915</t>
  </si>
  <si>
    <t xml:space="preserve">MARTEL RAMIREZ  JANINA LILIANA  </t>
  </si>
  <si>
    <t>RAMOS VILLANUEVA HERNAN</t>
  </si>
  <si>
    <t>SUMARAN CALDERON FREDY</t>
  </si>
  <si>
    <t>43712538</t>
  </si>
  <si>
    <t>TORRES  CLAVIJO CLEISY  MIGUEL</t>
  </si>
  <si>
    <t>TORRES LLANOS JOSE VICTOR</t>
  </si>
  <si>
    <t>RIVEROS VALDIVIA  EUSEBIO</t>
  </si>
  <si>
    <t>CARRERA VALENTIN LUIS HERMINIO</t>
  </si>
  <si>
    <t>ACARO AQUINO JOSE OSWALD</t>
  </si>
  <si>
    <t>71554340</t>
  </si>
  <si>
    <t>FRANCO HUAMAN MAX ELIO</t>
  </si>
  <si>
    <t>10247461</t>
  </si>
  <si>
    <t>QUISPE BALDEON  EDGAR  CARLOS</t>
  </si>
  <si>
    <t>10/02/024</t>
  </si>
  <si>
    <t>CALDERON VENTURA  DESIDERIO</t>
  </si>
  <si>
    <t>43650696</t>
  </si>
  <si>
    <t>VELASQUEZ PEÑA  GILBERTO</t>
  </si>
  <si>
    <t>ESPINOZA PONSECA JHORDANO JOHNNY</t>
  </si>
  <si>
    <t>25592629</t>
  </si>
  <si>
    <t>TAVARA RAMIREZ EDUARDO</t>
  </si>
  <si>
    <t>Total Personal (Inc Bajas)</t>
  </si>
  <si>
    <t>Total Trabajadores Activos</t>
  </si>
  <si>
    <t>75578651</t>
  </si>
  <si>
    <t>IBARRA COSTAS ANA PAOLA</t>
  </si>
  <si>
    <t>44068316</t>
  </si>
  <si>
    <t xml:space="preserve">YAÑEZ MIRANDA JAQUELINE </t>
  </si>
  <si>
    <t>SALAZAR IDROGO JESUS NICOLAS</t>
  </si>
  <si>
    <t>INGENIERÍA INTEGRAL CORPORATIVA SAC</t>
  </si>
  <si>
    <t xml:space="preserve">MOYA NATIVIDAD IVAN </t>
  </si>
  <si>
    <t>VILCA OCAMPO JUAN CARLOS</t>
  </si>
  <si>
    <t>006371251</t>
  </si>
  <si>
    <t>NIETO QUINTO RICHARD JOSE</t>
  </si>
  <si>
    <t>71202390</t>
  </si>
  <si>
    <t>SULLCA LAURA PERCY ROGER</t>
  </si>
  <si>
    <t>47706156</t>
  </si>
  <si>
    <t>QUIROGA LOPEZ FRANZ MARCO</t>
  </si>
  <si>
    <t>25810014</t>
  </si>
  <si>
    <t>VALDIVIA CANGALAYA SANDRO EDGAR</t>
  </si>
  <si>
    <t>42362237</t>
  </si>
  <si>
    <t>CASADO ALVARES DAVID GUILLERMO</t>
  </si>
  <si>
    <t>48023308</t>
  </si>
  <si>
    <t>ARCE MARCOS GERARDO AGUSTO</t>
  </si>
  <si>
    <t>48606521</t>
  </si>
  <si>
    <t>JESUS ALFREDO TORRES  ZAMBRANO</t>
  </si>
  <si>
    <t>73050167</t>
  </si>
  <si>
    <t>ALDO JEFFERSON GONZALEZ SANTOS</t>
  </si>
  <si>
    <t>74646865</t>
  </si>
  <si>
    <t>JOHNNY LERNER AREVALO ZUMBA</t>
  </si>
  <si>
    <t>70033316</t>
  </si>
  <si>
    <t>ENRIQUE IRWING ARRIS BERMUDEZ CARDENAS</t>
  </si>
  <si>
    <t>41015434</t>
  </si>
  <si>
    <t>PEPE ROLANDO CORDOVA MONDRAGON</t>
  </si>
  <si>
    <t>74986453</t>
  </si>
  <si>
    <t xml:space="preserve">HECTOR GABRIEL DELGADO ALARCON </t>
  </si>
  <si>
    <t>47968170</t>
  </si>
  <si>
    <t>GONZALES SMITH CESAR ERNESTO</t>
  </si>
  <si>
    <t>25857057</t>
  </si>
  <si>
    <t>INGA BALDEON, RAFAEL FELICIANO</t>
  </si>
  <si>
    <t>BIDDLE INC SAC</t>
  </si>
  <si>
    <t>TUYA VILLANUEVA LUIS ENRIQUE</t>
  </si>
  <si>
    <t>MANRIQUE JERONIMO ALMENDRA RUBI</t>
  </si>
  <si>
    <t>DE LA TORRE PADILLA OSEAS JUSTO</t>
  </si>
  <si>
    <t>ALVA SEVILLANOS HENRI</t>
  </si>
  <si>
    <t>10073054</t>
  </si>
  <si>
    <t>CAMPOS TUME MARCO ANTONIO</t>
  </si>
  <si>
    <t xml:space="preserve">HUAYTAN RUIZ PAULO CESAR </t>
  </si>
  <si>
    <t>80101062</t>
  </si>
  <si>
    <t>QUISPE DE LA CRUZ MICHEL FREDI</t>
  </si>
  <si>
    <t>HERRERA CAPA  HANSY</t>
  </si>
  <si>
    <t>TEJADA ARIAS  MIGUEL ANGEL</t>
  </si>
  <si>
    <t>ESTEBAN CRISPIN JHONNY ARTURO</t>
  </si>
  <si>
    <t>CUCHULA RAMOS JOSEPH ANDRE</t>
  </si>
  <si>
    <t>JIMENEZ DURAND JOSE LUIS</t>
  </si>
  <si>
    <t>MORENO GUADALUPE WILDER</t>
  </si>
  <si>
    <t>HUAYTAN RUIZ EDER GUSTAVO</t>
  </si>
  <si>
    <t xml:space="preserve">HUAYHUAS VARGAS CIPRIANO </t>
  </si>
  <si>
    <t>CIENFUEGOS DE LOS RIOS MARCO ANTONIO</t>
  </si>
  <si>
    <t>07051173</t>
  </si>
  <si>
    <t>ALARCON AYALA   TOMAS</t>
  </si>
  <si>
    <t>SANCHEZ SILVA  HECTOR ULISES</t>
  </si>
  <si>
    <t>09502884</t>
  </si>
  <si>
    <t xml:space="preserve">PARIONA CEGGE ANDRES ROILAND </t>
  </si>
  <si>
    <t>BENITES GUTIERREZ GIAN CARLOS</t>
  </si>
  <si>
    <t>DE LA CRUZ GUIZADO MIGUEL ORLANDO</t>
  </si>
  <si>
    <t>10180600</t>
  </si>
  <si>
    <t>MOSCAISA CARDENAS, KRISPHER LUIS</t>
  </si>
  <si>
    <t>DURAND RIVERA SEGUNDINO</t>
  </si>
  <si>
    <t>OTAZU FLORES,  EUDES</t>
  </si>
  <si>
    <t>42688635</t>
  </si>
  <si>
    <t>PALOMINO CESPEDES, JAIME</t>
  </si>
  <si>
    <t>44728270</t>
  </si>
  <si>
    <t>ORE VILELA, CESAR ALEXANDER</t>
  </si>
  <si>
    <t>ALEJANDRIA PACHECO JIMMY</t>
  </si>
  <si>
    <t>09782836</t>
  </si>
  <si>
    <t>IRRAZABAL HUAUYA DAVID GERONIMO</t>
  </si>
  <si>
    <t xml:space="preserve">OLAYUNCA CACERES JOSE LUIS </t>
  </si>
  <si>
    <t>PIMENTEL CORDOVA ANICETO</t>
  </si>
  <si>
    <t>BAZAN ARCE RAUL SALOMON</t>
  </si>
  <si>
    <t>40497660</t>
  </si>
  <si>
    <t>PINTO QUISPE JIMMY CARLOS</t>
  </si>
  <si>
    <t>42597151</t>
  </si>
  <si>
    <t>RODAS RUA ARNOLD DENNIS</t>
  </si>
  <si>
    <t>GALVEZ AMAYA JOSE HERNAN</t>
  </si>
  <si>
    <t>LIBIAS BECERRA NICOLE BRENDA</t>
  </si>
  <si>
    <t>GOMEZ TELLO JESUS ALEXANDER</t>
  </si>
  <si>
    <t>09762980</t>
  </si>
  <si>
    <t>ROJAS ASCENCIO PEDRO JORGE</t>
  </si>
  <si>
    <t>SOLIS BELTRAN, LOURDES STEPHANIE</t>
  </si>
  <si>
    <t>48469482</t>
  </si>
  <si>
    <t>CAMPOS GALINDO MICHAEL DENNIS</t>
  </si>
  <si>
    <t>MACEDO ZARZOSA PABLO ENRIQUE</t>
  </si>
  <si>
    <t>ORTIZ GALLEGOS KEILA PRISCILA VASTI</t>
  </si>
  <si>
    <t xml:space="preserve">LOPEZ OTERO RIBALDO </t>
  </si>
  <si>
    <t>SALAZAR HUAMAN ALEJANDRO</t>
  </si>
  <si>
    <t>SALCEDO TAIPE OSCAR</t>
  </si>
  <si>
    <t>ALVARADO AGURTO SEGUNDO</t>
  </si>
  <si>
    <t>06575937</t>
  </si>
  <si>
    <t>AYALA ESCRIBA SIXTO FELICISIMO</t>
  </si>
  <si>
    <t>AYCACHI JIMENEZ HUGO ROGER</t>
  </si>
  <si>
    <t>CALDERON VELASQUEZ OILER WILDER</t>
  </si>
  <si>
    <t>CORREA SANDOVAL MARCO ANTONIO</t>
  </si>
  <si>
    <t xml:space="preserve">DELGADO IZQUIERDO CHRISTIAN ALFREDO </t>
  </si>
  <si>
    <t xml:space="preserve">DIAZ TABOADA CRISTIAN OMAR </t>
  </si>
  <si>
    <t xml:space="preserve">DIAZ TURPO EDWIN WALTHER </t>
  </si>
  <si>
    <t>ECHEGARAY CHIPA FEDERICO</t>
  </si>
  <si>
    <t>09745783</t>
  </si>
  <si>
    <t>ENCARNACION RODRIGUEZ ROMULO TOMAS</t>
  </si>
  <si>
    <t>47478757</t>
  </si>
  <si>
    <t>ESCOBAR CORDOVA JORGE ANIBAL</t>
  </si>
  <si>
    <t>FASABI VEINTEMILLA PEPE</t>
  </si>
  <si>
    <t>FERIA NUNJAR YEFER IVAN</t>
  </si>
  <si>
    <t>FERNANDEZ PEREZ MARIO</t>
  </si>
  <si>
    <t>FLORES VELASQUEZ LUIS ALBERTO</t>
  </si>
  <si>
    <t>GARIBAY BALBOA BENJAMIN</t>
  </si>
  <si>
    <t xml:space="preserve">GASTELU CERVANTES EDWIN RAUL </t>
  </si>
  <si>
    <t>GONZALES ABAN NINO EDGAR</t>
  </si>
  <si>
    <t>GUEVARA LLATAS MANUEL</t>
  </si>
  <si>
    <t xml:space="preserve">HERRERA CASTILLO EDSON </t>
  </si>
  <si>
    <t>75487939</t>
  </si>
  <si>
    <t xml:space="preserve">HUACHO DOMINGUEZ JESUS ALEXANDER </t>
  </si>
  <si>
    <t>HUACHO MIRANDA JESUS</t>
  </si>
  <si>
    <t xml:space="preserve">HUAMAN CARDENAS BRAULIO </t>
  </si>
  <si>
    <t>70505720</t>
  </si>
  <si>
    <t>LINDERMAN REBAZA MIGUEL ANGEL</t>
  </si>
  <si>
    <t>PAYAJO CAMPOS JUAN</t>
  </si>
  <si>
    <t xml:space="preserve">PEREZ LAVERIANO MANUEL TORIBIO </t>
  </si>
  <si>
    <t>PEREZ PEREZ NESTOR</t>
  </si>
  <si>
    <t xml:space="preserve">PERICHE OLAYA FERNANDO JAVIER </t>
  </si>
  <si>
    <t>PRADA ZUMAETA VALERIN</t>
  </si>
  <si>
    <t>RAMOS FARRO JEREMHIS JARED</t>
  </si>
  <si>
    <t xml:space="preserve">SANTAMARIA ACOSTA JOSE ARNALDO </t>
  </si>
  <si>
    <t>SARAVIA VELA FERNANDO</t>
  </si>
  <si>
    <t xml:space="preserve">SOLORZANO SANTOS ARTURO </t>
  </si>
  <si>
    <t>TAPIA MANTARI JOSE PELAYO</t>
  </si>
  <si>
    <t>09845623</t>
  </si>
  <si>
    <t>TOLEDO CARDENAS ALEJANDRO SABINO</t>
  </si>
  <si>
    <t>VARGAS MARTINEZ ANGEL GABRIEL</t>
  </si>
  <si>
    <t>44996233</t>
  </si>
  <si>
    <t xml:space="preserve">VASQUEZ CANCINO BACILIO JUSTO </t>
  </si>
  <si>
    <t>ROJAS FASABI FIORELLA ESTEFANY</t>
  </si>
  <si>
    <t>CHONG ROJAS INES</t>
  </si>
  <si>
    <t xml:space="preserve">OLIVEIRA CORNEJO JAIRO MAURICIO </t>
  </si>
  <si>
    <t xml:space="preserve">PURISACA DIAZ EDUARDO SEGUNDO </t>
  </si>
  <si>
    <t>ALVARADO CALDERON GIOVANNI ENRIQUE</t>
  </si>
  <si>
    <t>RAMOS VILLAVICENCIO JAVIER HUGO</t>
  </si>
  <si>
    <t>DURAN COBEÑAS PASCUAL</t>
  </si>
  <si>
    <t>TUPACYUPANQUI NAVARRO EDISON MANUEL</t>
  </si>
  <si>
    <t>VILLANUEVA ALVARADO OMAR EXALTACION</t>
  </si>
  <si>
    <t>ONOFRE TAPARA ALEX</t>
  </si>
  <si>
    <t>ANCAJIMA CHUNGA ALEXANDER JAVIER</t>
  </si>
  <si>
    <t>PEREZ FERNANDEZ EDWAR</t>
  </si>
  <si>
    <t xml:space="preserve">GOMEZ ESPINOZA YONATAN </t>
  </si>
  <si>
    <t xml:space="preserve">CUSI CARAHUANCO DENNIS JESUS </t>
  </si>
  <si>
    <t>AQUINO PAYAN CARLOS ALEX</t>
  </si>
  <si>
    <t>LLIUYACC ZEVALLOS RAUL</t>
  </si>
  <si>
    <t>BELTRAN BAZALAR ANTHONY RENZO</t>
  </si>
  <si>
    <t>QUISPE QUISPE RUSBEL</t>
  </si>
  <si>
    <t>HUAMAN QUISPE FREDY</t>
  </si>
  <si>
    <t>RUIZ ESCOBAR EMERSON</t>
  </si>
  <si>
    <t>CLIMAXI INGENIEROS EIRL</t>
  </si>
  <si>
    <t>CONTRERAS INGA EVER</t>
  </si>
  <si>
    <t>FASANANDO CASTRO ELVIN DIEGO</t>
  </si>
  <si>
    <t>CASTILLO ROJAS LUIS ANTONIO</t>
  </si>
  <si>
    <t>CENTURION GARCIA JESUS SERGIO</t>
  </si>
  <si>
    <t>FASANANDO CASTRO TEDDY</t>
  </si>
  <si>
    <t>INGA SALAZAR ROSBERTH ALBERTO</t>
  </si>
  <si>
    <t>ALVA HUAMATO WILI CESAR</t>
  </si>
  <si>
    <t>ARANDA HERRERA HEBER PEPE</t>
  </si>
  <si>
    <t>ARAUCO RAMIREZ LUIS ARMANDO</t>
  </si>
  <si>
    <t>AVALOS MENDOZA ALEXANDER</t>
  </si>
  <si>
    <t>AVENDAÑO UZCATEGUI JESUS LEONEL</t>
  </si>
  <si>
    <t>BRAVO ISMODES JORGE MAURICIO</t>
  </si>
  <si>
    <t>BUSTAMANTE TIRADO ALVARO</t>
  </si>
  <si>
    <t>CALLATA VILCA AURELIO</t>
  </si>
  <si>
    <t>CARBAJAL MENDOZA YEFERSON</t>
  </si>
  <si>
    <t>CARHUAMACA MIRANDA ROSA</t>
  </si>
  <si>
    <t>CASAVILCA PAUCAR LUIS ANTONIO</t>
  </si>
  <si>
    <t>CASTRO MORENO EDUARDO RUBEN</t>
  </si>
  <si>
    <t>CAURACURI SANTA MARIA JAIME ARTURO</t>
  </si>
  <si>
    <t>CCORI MACHACA KEVIN FRAISER</t>
  </si>
  <si>
    <t>CHUQUIMANGO SANCHEZ PAUL</t>
  </si>
  <si>
    <t>CONTRERAS URRUTIA ABEL</t>
  </si>
  <si>
    <t>CUADROS MELGAREJO DONNY ALEX</t>
  </si>
  <si>
    <t>CURO LEON ALCIDES ANTENOR</t>
  </si>
  <si>
    <t>DIAZ RODRIGUEZ MERY ISABEL</t>
  </si>
  <si>
    <t>FIESTAS CARDENAS PAOLA ROCIO</t>
  </si>
  <si>
    <t>FUNG SEMINO DIANA ESTHER</t>
  </si>
  <si>
    <t>GALAN SULCA JUAN CARLOS</t>
  </si>
  <si>
    <t>GARCIA MONTERO JORGE LUIS</t>
  </si>
  <si>
    <t>GARRIDO CORREA WILLIAM SAMUEL</t>
  </si>
  <si>
    <t>GIL HUANCA CESAR ELOY</t>
  </si>
  <si>
    <t>GONZALES TOCAS MIGUEL ANGEL</t>
  </si>
  <si>
    <t>GUEVARA INOSTROZA MERSIL OMAR</t>
  </si>
  <si>
    <t>HAMANN GARCIA CHRISTIAN PAOLO</t>
  </si>
  <si>
    <t>HUAMAN CARRERA LUIS ALBERTO</t>
  </si>
  <si>
    <t>HUAMAN TUCTO CARLOS ALBERTO</t>
  </si>
  <si>
    <t>HUAMANCHA LUNA SEGUNDO REYNALDO</t>
  </si>
  <si>
    <t>HUAYLLA FERNANDEZ TOMAS JORGE</t>
  </si>
  <si>
    <t>JOAQUIN MARCHENA JAVIER</t>
  </si>
  <si>
    <t>LEON ZAMBRANO HENRY BLADIMIR</t>
  </si>
  <si>
    <t>LEON ZAPATA LUIS ALBERTO</t>
  </si>
  <si>
    <t>LOPEZ AVILA SEGUNDO VICTOR</t>
  </si>
  <si>
    <t>MENDOZA MORENO JUAN GUALBERTO</t>
  </si>
  <si>
    <t>MENDOZA RIOS MARIANO</t>
  </si>
  <si>
    <t>MILLONES REQUE JAIME</t>
  </si>
  <si>
    <t>MONTENEGRO LARA RONALD JAIR</t>
  </si>
  <si>
    <t>MONTERO MENDOZA ALBERTO EDUARDO</t>
  </si>
  <si>
    <t>MORENO LOPEZ ROMULO</t>
  </si>
  <si>
    <t>NELO ROMERO ARTURO JOSE</t>
  </si>
  <si>
    <t>PALOMINO NAVIO GONZALO</t>
  </si>
  <si>
    <t>POMA HUAMAN CESAR DANIEL</t>
  </si>
  <si>
    <t>PONCE MONTALVAN MILTON DANIEL</t>
  </si>
  <si>
    <t>PURIZACA ANTON EDWIN LINCOLN</t>
  </si>
  <si>
    <t>QUISPE BENDEZU FERNANDO RAUL</t>
  </si>
  <si>
    <t>QUISPE CCAPA TONY</t>
  </si>
  <si>
    <t>QUISPE PINEDA ROGER</t>
  </si>
  <si>
    <t>QUISPE SULCA DAVID</t>
  </si>
  <si>
    <t>RAMOS MEZA JUAN CARLOS</t>
  </si>
  <si>
    <t>SALON CHAVEZ ROBERTO</t>
  </si>
  <si>
    <t>SARANGO CHINGUEL HILDO NOE</t>
  </si>
  <si>
    <t>SOTO FIESTAS DERECK ANDRE</t>
  </si>
  <si>
    <t>TARRILLO BLANCO NILTON ALBERTO</t>
  </si>
  <si>
    <t>VASQUEZ QUISPE ANGEL</t>
  </si>
  <si>
    <t>45644199</t>
  </si>
  <si>
    <t>CHUYES VILLEGAS LUIGI ALEXANDER</t>
  </si>
  <si>
    <t>42425978</t>
  </si>
  <si>
    <t>JACINTO FERNANDEZ JOSE LUIS</t>
  </si>
  <si>
    <t>43881636</t>
  </si>
  <si>
    <t>PAJUELO BEUNZA VICTOR CLAUDIO</t>
  </si>
  <si>
    <t>10714062</t>
  </si>
  <si>
    <t>VARGAS AHUANARI JORGE AUGUSTO</t>
  </si>
  <si>
    <t>41383901</t>
  </si>
  <si>
    <t>RUMICHE MONTES JOSE LUIS</t>
  </si>
  <si>
    <t>42651339</t>
  </si>
  <si>
    <t>RUPAY AGUILAR JUVER WILLIAM</t>
  </si>
  <si>
    <t>44789033</t>
  </si>
  <si>
    <t>HUAYNATEZ SUERE EDER</t>
  </si>
  <si>
    <t>75961369</t>
  </si>
  <si>
    <t>PINARES ESCALANTE WILLIAM JORDY</t>
  </si>
  <si>
    <t>45470522</t>
  </si>
  <si>
    <t>ESPINOZA CARRASCO RICHAR</t>
  </si>
  <si>
    <t>47043697</t>
  </si>
  <si>
    <t>TORRES CASAS MARIO FROCTUOSO</t>
  </si>
  <si>
    <t>46040447</t>
  </si>
  <si>
    <t>PIHUE COMUN WILLIAMS CESAR</t>
  </si>
  <si>
    <t>40638205</t>
  </si>
  <si>
    <t>RAMOS PAZ JOSE MAXIMO</t>
  </si>
  <si>
    <t>48310564</t>
  </si>
  <si>
    <t>PAITAN CAMASCA DANIEL</t>
  </si>
  <si>
    <t>48204208</t>
  </si>
  <si>
    <t>LUNA CHUNGA MELISSA ANTHUANET</t>
  </si>
  <si>
    <t>76058213</t>
  </si>
  <si>
    <t>PRECIADO ASCURRA LUCAS ENRRIQUE</t>
  </si>
  <si>
    <t>47374873</t>
  </si>
  <si>
    <t>GALVEZ BARDALES XAVIER IGNACIO</t>
  </si>
  <si>
    <t>70166983</t>
  </si>
  <si>
    <t>TINCO IPURRE JESUS ANIBAL</t>
  </si>
  <si>
    <t>46908365</t>
  </si>
  <si>
    <t>ARGUMEDO PAMPA CARLOS ENRIQUE</t>
  </si>
  <si>
    <t>76309987</t>
  </si>
  <si>
    <t>CUEVA LUNA MANUEL ALEJANDRO LEONARDO</t>
  </si>
  <si>
    <t>70745583</t>
  </si>
  <si>
    <t xml:space="preserve">VILCA CALERO JONATHAN </t>
  </si>
  <si>
    <t>41756095</t>
  </si>
  <si>
    <t>PINEDA NEGRON JESUS MARTIN</t>
  </si>
  <si>
    <t>77429888</t>
  </si>
  <si>
    <t>06802679</t>
  </si>
  <si>
    <t>LLUNCOR MORE CRIHSTIAN JUAN</t>
  </si>
  <si>
    <t>73092822</t>
  </si>
  <si>
    <t>PASTOR QUISPE ANGEL DAVID HERNAN</t>
  </si>
  <si>
    <t>25577845</t>
  </si>
  <si>
    <t>ARAMBURU PALOMINO RICHARD LUIS</t>
  </si>
  <si>
    <t>46878332</t>
  </si>
  <si>
    <t>DIAZ SOTO CHRISTOFER ROBIN</t>
  </si>
  <si>
    <t>25808461</t>
  </si>
  <si>
    <t>OROYA RAMOS JULIO GREGORIO</t>
  </si>
  <si>
    <t>09585570</t>
  </si>
  <si>
    <t xml:space="preserve">JORGE TORRES ISAIAS OESTES </t>
  </si>
  <si>
    <t>72310242</t>
  </si>
  <si>
    <t>GUTIERREZ ALAYZA ARIKE EDUARDO</t>
  </si>
  <si>
    <t>CALDERON COSSIO JAHIR ERNESTO ALONSO</t>
  </si>
  <si>
    <t xml:space="preserve">GIRON MORENO RENZO ALEJANDRO </t>
  </si>
  <si>
    <t>25763464</t>
  </si>
  <si>
    <t>TERREROS TRUJILLO MARCO ANTONIO</t>
  </si>
  <si>
    <t>73660496</t>
  </si>
  <si>
    <t>VENEGAS CARRASCO LUIS ANTONIO</t>
  </si>
  <si>
    <t>47730312</t>
  </si>
  <si>
    <t>PESCORAN ZEVALLOS JIMMY FRANCESC</t>
  </si>
  <si>
    <t>03840444</t>
  </si>
  <si>
    <t>DIOSES CASTILLO JOSE DE CALAZAN</t>
  </si>
  <si>
    <t>TERREROS TRUJILLO JULIO CESAR</t>
  </si>
  <si>
    <t>76774305</t>
  </si>
  <si>
    <t>ZUTA DELGADO SANDER JHOEL</t>
  </si>
  <si>
    <t>71755327</t>
  </si>
  <si>
    <t>CARHUALLANQUI MANRIQUE KEVIN BRAYAN</t>
  </si>
  <si>
    <t>TERRAZO Y SISTEMAS DE SUELO EIRL</t>
  </si>
  <si>
    <t>ALLCA CARRASCO CRISTOFER DANTE</t>
  </si>
  <si>
    <t>25723564</t>
  </si>
  <si>
    <t>ARAUJO YANGALI ROSALINO LUIS</t>
  </si>
  <si>
    <t>DAMACEN CASTILLO LEILA LUCIANA</t>
  </si>
  <si>
    <t>46833170</t>
  </si>
  <si>
    <t>EGUSQUIZA OJEDA CARLOS ALBERTO</t>
  </si>
  <si>
    <t>HERRERA MENDOZA VALERIA LUCIA</t>
  </si>
  <si>
    <t>JUAREZ PULACHE JHORLIN JOEL</t>
  </si>
  <si>
    <t>PIMENTEL LLIUYA JULIO CESAR</t>
  </si>
  <si>
    <t>RABANAL ARRIETA NELLY CHARLOTTE</t>
  </si>
  <si>
    <t>ROMERO LAVAN JUAN CARLOS</t>
  </si>
  <si>
    <t>ZAPATA CHUNGA DEIVE GABRIEL</t>
  </si>
  <si>
    <t>43548799</t>
  </si>
  <si>
    <t>FRETEL SANTILLAN FRAN PERCY</t>
  </si>
  <si>
    <t>PADILLA SANTOS HOLGER JUAN</t>
  </si>
  <si>
    <t>23016037</t>
  </si>
  <si>
    <t>CUEVA SANTILLAN ALVARO</t>
  </si>
  <si>
    <t>74997439</t>
  </si>
  <si>
    <t>CUEVA PAREDES CHRISTIAN ALEXANDER</t>
  </si>
  <si>
    <t>002310802</t>
  </si>
  <si>
    <t>VALERA MELENDEZ LUISANA ANDREINA</t>
  </si>
  <si>
    <t>AGUILA CACHIQUE JOHN DEL AGUILA</t>
  </si>
  <si>
    <t>CALLUPE JIMENEZ YONY</t>
  </si>
  <si>
    <t>CANALES MANCILLA RAYMILLER</t>
  </si>
  <si>
    <t>CAPCHA ROMARICO JOSE ANTONIO</t>
  </si>
  <si>
    <t>CARMONA ZAVALA TOMAS GUIDO</t>
  </si>
  <si>
    <t>CARRASCO FERNANDEZ CLEICER</t>
  </si>
  <si>
    <t>CAVERO CANALES JIMMY ROY</t>
  </si>
  <si>
    <t>CAVERO CANALES RICHARD ALBERT</t>
  </si>
  <si>
    <t>CRUZ SANCHEZ JEAN CARLOS RONALDO</t>
  </si>
  <si>
    <t>DAVILA TORRES JORGE</t>
  </si>
  <si>
    <t>HILARIO ALVAREZ JESUS ENRIQUE</t>
  </si>
  <si>
    <t>HILARIO ALVAREZ RAUL SANTOS</t>
  </si>
  <si>
    <t>73012221</t>
  </si>
  <si>
    <t>IBAÑEZ PRIMO MIGUEL ANTONY</t>
  </si>
  <si>
    <t>JANAMPA VALLE EDERSON KENYO</t>
  </si>
  <si>
    <t>LUQUE MAMANI JOSE RICARDO</t>
  </si>
  <si>
    <t>LUQUE QUISPE LUIS HERNAN</t>
  </si>
  <si>
    <t>MESIA ALVAREZ MERITA FIORELLY</t>
  </si>
  <si>
    <t>QUISPE MORALES MITCHEL EDU</t>
  </si>
  <si>
    <t>RAMOS BERAUN PERCY ESTEBAN</t>
  </si>
  <si>
    <t>RIOS CASTILLO EDHER JACINTO</t>
  </si>
  <si>
    <t xml:space="preserve">SALAZAR DOMINGUEZ ALEXANDER </t>
  </si>
  <si>
    <t>TESHIROQUI CHAMORRO PAMELA IVONNE</t>
  </si>
  <si>
    <t>VASQUEZ QUIQUINLLA RONALDINE</t>
  </si>
  <si>
    <t>003802528</t>
  </si>
  <si>
    <t>ASCANIO AULAR PABLO JOSE</t>
  </si>
  <si>
    <t>003680803</t>
  </si>
  <si>
    <t xml:space="preserve">BUENO MENDOZA ANGELO ALCIDES </t>
  </si>
  <si>
    <t>CABRERA MARTINEZ GERALS ALAN ANTHONY</t>
  </si>
  <si>
    <t>CAHUANA SUAREZ YVAN</t>
  </si>
  <si>
    <t>CASQUERO ALVAREZ ERICK VICENTE</t>
  </si>
  <si>
    <t>CRUZ LOPEZ JUAN CARLOS</t>
  </si>
  <si>
    <t>ESPINOZA PEREZ KAREN MELINA</t>
  </si>
  <si>
    <t>GARCIA PERALTA CESAR</t>
  </si>
  <si>
    <t>IGNACIO SANAMPE WALTER ALEXANDER</t>
  </si>
  <si>
    <t>002750411</t>
  </si>
  <si>
    <t>MALAVE MARCANO VICTOR ALFONSO</t>
  </si>
  <si>
    <t>MAMANI LLUNGO CESAR ESTEBAN</t>
  </si>
  <si>
    <t>MARTINEZ MIRANDA ESTIP EUGENIO</t>
  </si>
  <si>
    <t>MELGAREJO MORENO JAIME EFRAIN</t>
  </si>
  <si>
    <t>NAVARRO MURILLO DANIEL ADOLFO</t>
  </si>
  <si>
    <t>OSCATEGUI RAFAEL CRISTIAN HERBERT</t>
  </si>
  <si>
    <t>PINEDO MALDONADO CESAR BENJAMIN</t>
  </si>
  <si>
    <t>RIOS OCHOA CHURCHI</t>
  </si>
  <si>
    <t>SAAVEDRA ALDANA MANUEL EDGARDO</t>
  </si>
  <si>
    <t>SATALAYA MOZOMBITE KEITER</t>
  </si>
  <si>
    <t>TITO CARDENAS GUIDO CRISTOBAL</t>
  </si>
  <si>
    <t>TORRES VELASQUEZ JESUS GABRIEL</t>
  </si>
  <si>
    <t>09620129</t>
  </si>
  <si>
    <t>UGALDE RAMOS NILTON</t>
  </si>
  <si>
    <t>VILLAVICENCIO COLLAZOS RUBEN</t>
  </si>
  <si>
    <t>SANCHEZ CRUZADO KELLY ESTEFANY</t>
  </si>
  <si>
    <t>IGLESIAS VICENTE JULIO ERNESTO</t>
  </si>
  <si>
    <t>HUAMAN PUSCAN FILBERTO</t>
  </si>
  <si>
    <t xml:space="preserve">RETUERTO BLAS ALEX ANIBAL </t>
  </si>
  <si>
    <t>CARBAJAL CAHUANA DEMETRIO</t>
  </si>
  <si>
    <t>YUCRA YAROS DIEGO ALFREDO</t>
  </si>
  <si>
    <t xml:space="preserve">MAMANI LLUNGO JOSE LUIS </t>
  </si>
  <si>
    <t>LOPEZ BOLIVAR OMAR ALEXANDER</t>
  </si>
  <si>
    <t>VELARDE LUJAN LESTHER ALEXANDER</t>
  </si>
  <si>
    <t>VICENTE GIRON AMADO</t>
  </si>
  <si>
    <t>TRILLO GONZALO ROY MIGUEL</t>
  </si>
  <si>
    <t>VELASQUE OROSCO DIANA</t>
  </si>
  <si>
    <t>SANTAMARIA ACOSTA SEGUNDO</t>
  </si>
  <si>
    <t>ALEJOS RIVERA GUILLERMO</t>
  </si>
  <si>
    <t>FASABI MENDOZA JAIRO MARTIN TONY</t>
  </si>
  <si>
    <t>GOMEZ JANCACHAGUA DANIEL</t>
  </si>
  <si>
    <t>CHANDUVI CLAROS ANGEL ABEL</t>
  </si>
  <si>
    <t>HUAMAN MANDORTUPA EDWIN</t>
  </si>
  <si>
    <t>JIMENEZ TABOADA OMAR ERINSON</t>
  </si>
  <si>
    <t>22882996</t>
  </si>
  <si>
    <t>LASTRA SALAZAR ANIVAL</t>
  </si>
  <si>
    <t>43098334</t>
  </si>
  <si>
    <t>SANDI ROMAYNA PAUL</t>
  </si>
  <si>
    <t>ABAD CUNYARACHE  ROMY JASON</t>
  </si>
  <si>
    <t>CUEVA CHUQUIHUANGA YAN CARLOS</t>
  </si>
  <si>
    <t xml:space="preserve">INGA MAYTA OMAR JERSHON </t>
  </si>
  <si>
    <t>ANDAGUA BRITO SANTOS CRISTOBAL</t>
  </si>
  <si>
    <t>AVALOS PICHIGUA, FORTUNATO</t>
  </si>
  <si>
    <t>CONDORI CALLA, JUAN</t>
  </si>
  <si>
    <t>PEREZ PAREDES, ALFARO</t>
  </si>
  <si>
    <t>RODRIGUEZ LEDEZMA, SANTOS JULIAN</t>
  </si>
  <si>
    <t>BARDALES CASTILLO LUIS ANGEL</t>
  </si>
  <si>
    <t>LEONARDO VENTURA JOSUE</t>
  </si>
  <si>
    <t>MANOTUPA QUINTO MELQUIADES</t>
  </si>
  <si>
    <t>72663225</t>
  </si>
  <si>
    <t>SALCEDO STARRIPA SOFIA MILAGROS</t>
  </si>
  <si>
    <t>25755159</t>
  </si>
  <si>
    <t>SANCHEZ AQUINO YULI GENOVEVA</t>
  </si>
  <si>
    <t>VARGAS PIZANGO LUIS</t>
  </si>
  <si>
    <t>PARDO CAMONES CHRISTIAN</t>
  </si>
  <si>
    <t>CORREA SAAVEDRA CARLOS</t>
  </si>
  <si>
    <t>09782021</t>
  </si>
  <si>
    <t>ROJAS CALDERON GUIDO ZENOBIO</t>
  </si>
  <si>
    <t xml:space="preserve">TOLEDO MARTINEZ YOVANNY BORIS </t>
  </si>
  <si>
    <t>08179701</t>
  </si>
  <si>
    <t>GALVEZ VELIZ DAVID</t>
  </si>
  <si>
    <t>FLORES PRADA JOSE MANUEL</t>
  </si>
  <si>
    <t>CABALLA DONAYRE GERSON ARTURO</t>
  </si>
  <si>
    <t>AYALA SERVAN CHRISSTIAN PIERO</t>
  </si>
  <si>
    <t>LOPEZ ENCISO ALEXANDER</t>
  </si>
  <si>
    <t>BAQUEDANO MAYO CESAR AUGUSTO</t>
  </si>
  <si>
    <t>FARFAN TORRES DARWIN ARISTIDES</t>
  </si>
  <si>
    <t>46198536</t>
  </si>
  <si>
    <t>RODRIGUEZ OCHAVANO JORGE ANTONIO</t>
  </si>
  <si>
    <t>VASQUEZ PANIURA BRAYAN</t>
  </si>
  <si>
    <t>412780002</t>
  </si>
  <si>
    <t>RIVAS RAMIREZ RENELMO RAFAEL</t>
  </si>
  <si>
    <t>76665610</t>
  </si>
  <si>
    <t>INGA FELIX MAYCOL NILTON</t>
  </si>
  <si>
    <t>48740674</t>
  </si>
  <si>
    <t>GARCIA VILCAPOMA JORGE LUIS</t>
  </si>
  <si>
    <t>41360557</t>
  </si>
  <si>
    <t>GONZALES YAIPEN MARLON EDUARDO</t>
  </si>
  <si>
    <t>40833866</t>
  </si>
  <si>
    <t>MACALOPU YAQUE CESAR AUGUSTO</t>
  </si>
  <si>
    <t>BENDEZU SUAREZ JUNIOR BRAYAN</t>
  </si>
  <si>
    <t>46423243</t>
  </si>
  <si>
    <t>ALLCCA VARGAS ADOLFO</t>
  </si>
  <si>
    <t>73627180</t>
  </si>
  <si>
    <t>HERMOSA MELENDEZ JAIR DAVID</t>
  </si>
  <si>
    <t>70884419</t>
  </si>
  <si>
    <t>PANTA LLAMOSA ANTHONY WILLIAMS</t>
  </si>
  <si>
    <t>71278499</t>
  </si>
  <si>
    <t>LULO CCENTE ROLY CIRO</t>
  </si>
  <si>
    <t>43214068</t>
  </si>
  <si>
    <t>TAKI  UKUNCHAM NOE</t>
  </si>
  <si>
    <t>47090556</t>
  </si>
  <si>
    <t>ESPINOZA DAVILA SAUL JOEL</t>
  </si>
  <si>
    <t>10702657</t>
  </si>
  <si>
    <t>VENTURA DIEGO EDBERT WILLIAM</t>
  </si>
  <si>
    <t>46066476</t>
  </si>
  <si>
    <t>TUANAMA REATEGUI LUIS SERGIO JAIDEN</t>
  </si>
  <si>
    <t>70474117</t>
  </si>
  <si>
    <t>MORENO QUINTANILLA RAFAEL JEANPIERE</t>
  </si>
  <si>
    <t>77479111</t>
  </si>
  <si>
    <t>ELVIS JESUS ALEJANDRO CHUMPITAZ  TORRES</t>
  </si>
  <si>
    <t>71717763</t>
  </si>
  <si>
    <t>VICTOR GIANCARLO ALARCON ACUÑA</t>
  </si>
  <si>
    <t>41502518</t>
  </si>
  <si>
    <t>JONATHAN EDWIN HUGO CASHPA</t>
  </si>
  <si>
    <t>72639351</t>
  </si>
  <si>
    <t>LUIS ERICK SOLSOL RAMIREZ</t>
  </si>
  <si>
    <t>73118954</t>
  </si>
  <si>
    <t>JOSEPH GIANFRANCO SANCHEZ VASQUEZ</t>
  </si>
  <si>
    <t>TRIA PERU SAC</t>
  </si>
  <si>
    <t>ALVARADO MUÑOZ EDGARD YAMPOL</t>
  </si>
  <si>
    <t>ALVARADO VASQUEZ GARY</t>
  </si>
  <si>
    <t>ALVAREZ AMAYA FREDY GREGORIO</t>
  </si>
  <si>
    <t>FLORES CUNYA CLEMEX ANTONIO</t>
  </si>
  <si>
    <t>GUEVARA QUISPE YOYBER ALBERTO</t>
  </si>
  <si>
    <t>MEDINA YLLANES MANUEL</t>
  </si>
  <si>
    <t>MEZA MAURA  WASHINGTON  JOSEPH</t>
  </si>
  <si>
    <t>NIÑO ALVAREZ CESAR ENRIQUE</t>
  </si>
  <si>
    <t>SANCHEZ VELASQUEZ JESUS EDUARDO</t>
  </si>
  <si>
    <t>FLOREZ SAAVEDRA VICTOR HUGO</t>
  </si>
  <si>
    <t>DE LA CRUZ CORDOVA HUGO</t>
  </si>
  <si>
    <t>CASTILLO VASQUEZ ALEXANDER DAVID</t>
  </si>
  <si>
    <t>SANTOS ULLOA NICOLAS CRISTIAN</t>
  </si>
  <si>
    <t>MACHUCA CONDORI ESAU</t>
  </si>
  <si>
    <t>VARGAS LLAMOZA WALTER WILSON</t>
  </si>
  <si>
    <t>23</t>
  </si>
  <si>
    <t>22</t>
  </si>
  <si>
    <t>CCIMA SEÑALIZACIONES S.A.C</t>
  </si>
  <si>
    <t>FERNANDEZ RIVERA HERMES BENEDICTO</t>
  </si>
  <si>
    <t>MANUYAMA PACAYA CESAR</t>
  </si>
  <si>
    <t>SALAZAR PRUDENCIO MIGUEL ANGEL</t>
  </si>
  <si>
    <t>VEGA BERNAOLA RICHAR</t>
  </si>
  <si>
    <t>HUAMAN SANTOS MARIO</t>
  </si>
  <si>
    <t>LLANOS CHAHUA PEDRO</t>
  </si>
  <si>
    <t>76472771</t>
  </si>
  <si>
    <t>73852789</t>
  </si>
  <si>
    <t>VERASTEGUI SANCHEZ RENZO CESAR</t>
  </si>
  <si>
    <t>Díaz Bazan Jhon Bryan</t>
  </si>
  <si>
    <t>Figueroa López Antonella Ingrid</t>
  </si>
  <si>
    <t>Honores Balcazar César Francisco</t>
  </si>
  <si>
    <t>Jacobo Salinas pamela Alexandra</t>
  </si>
  <si>
    <t>Nuñez Macalupu Jeanpierre Leonides</t>
  </si>
  <si>
    <t xml:space="preserve">Oyarce Medina Jorge Luis </t>
  </si>
  <si>
    <t>Ramirez Martinez Juan</t>
  </si>
  <si>
    <t>Ramirez Martinez Ronald</t>
  </si>
  <si>
    <t>Romero Cordova Gerson Tomas</t>
  </si>
  <si>
    <t xml:space="preserve">Vasquez Figueroa Noider </t>
  </si>
  <si>
    <t>SILVA VASQUEZ JOSE ROMEL</t>
  </si>
  <si>
    <t>AGUILAR LEON KELWIN MICHAEL</t>
  </si>
  <si>
    <t>HUAMAN RIVERA IDON ARTURO</t>
  </si>
  <si>
    <t>BRENA - LIMA</t>
  </si>
  <si>
    <t>DELGADO MARROQUIN JOSE ALFREDO</t>
  </si>
  <si>
    <t>BREÑA - LIMA</t>
  </si>
  <si>
    <t>SULCA BAUTISTA ROLAN</t>
  </si>
  <si>
    <t>71016403</t>
  </si>
  <si>
    <t>ALBAN MICHELLY CESAR GIANPIER</t>
  </si>
  <si>
    <t>PILLCO QUISPE PERCY ELVIS</t>
  </si>
  <si>
    <t>QUISPE ARIAS ORLANDO IVAN</t>
  </si>
  <si>
    <t>PEÑA SERRANO ROGGER</t>
  </si>
  <si>
    <t>16765501</t>
  </si>
  <si>
    <t>25831722</t>
  </si>
  <si>
    <t>25792689</t>
  </si>
  <si>
    <t>80106410</t>
  </si>
  <si>
    <t>09325017</t>
  </si>
  <si>
    <t>25752359</t>
  </si>
  <si>
    <t xml:space="preserve">AGUILAR PAIMA MIGUEL ANGEL </t>
  </si>
  <si>
    <t>25449520</t>
  </si>
  <si>
    <t>80367375</t>
  </si>
  <si>
    <t>43810957</t>
  </si>
  <si>
    <t>75394105</t>
  </si>
  <si>
    <t>22292929</t>
  </si>
  <si>
    <t>MCON PERU S.A.C</t>
  </si>
  <si>
    <t>ALARCON CARBONELL JOSE LUIS</t>
  </si>
  <si>
    <t>003143442</t>
  </si>
  <si>
    <t xml:space="preserve">ANGULO VIVAS HERIBERTO XAVIER </t>
  </si>
  <si>
    <t>CENTENO HARO JUAN EDINSON</t>
  </si>
  <si>
    <t>CENTENO YANCE ARTEMIO</t>
  </si>
  <si>
    <t>CERVANTES MALLQUI GERMAN</t>
  </si>
  <si>
    <t>CERVANTES MALLQUI LENIN</t>
  </si>
  <si>
    <t>CHAMORRO ESTACIO ARMANDO PERCY</t>
  </si>
  <si>
    <t>CONCHA HUALLPACUSI BRAYAN ADRIAN</t>
  </si>
  <si>
    <t>CUADROS CONTRERAS LUIS FERNANDO</t>
  </si>
  <si>
    <t>CUELA CALIZAYA JULIO CESAR</t>
  </si>
  <si>
    <t>DEL ROSARIO ARELLANO LUIS JAVIER</t>
  </si>
  <si>
    <t>FALCON ESPINOZA JHON FRANKLIN</t>
  </si>
  <si>
    <t xml:space="preserve">HEREDIA UPARI SAMUEL </t>
  </si>
  <si>
    <t>HUAYTALLA ROSALES JACKELINE JOVANA</t>
  </si>
  <si>
    <t>IZQUIERDO LEON VICTOR</t>
  </si>
  <si>
    <t>LAURENO MEZA MAY MARCIAL</t>
  </si>
  <si>
    <t>LAURENTE FLORES SANTIAGO RICHAR</t>
  </si>
  <si>
    <t>LUJAN ZARATE DITER YOBER</t>
  </si>
  <si>
    <t>MACAHUACHI COQUINCHE CLIPSTER</t>
  </si>
  <si>
    <t>45484900</t>
  </si>
  <si>
    <t>MANIZARI LOZANO NORBERTO</t>
  </si>
  <si>
    <t>MARIÑO CARRERA GUIDO DANTE</t>
  </si>
  <si>
    <t xml:space="preserve">MENDOZA NAPA  WILVER ALFREDO </t>
  </si>
  <si>
    <t>NAVARRO RIOFRIO KEVIN OMAR</t>
  </si>
  <si>
    <t>OBANDO MORENO FRANCISCO DANIEL</t>
  </si>
  <si>
    <t>74972374</t>
  </si>
  <si>
    <t>OBREGON BAILON JHORKAN RONI</t>
  </si>
  <si>
    <t xml:space="preserve">OBREGON JIMENEZ ROGER JHORDY </t>
  </si>
  <si>
    <t>PEREZ YARINGAÑO OSCAR PEPE</t>
  </si>
  <si>
    <t xml:space="preserve">PORRAS BUTILER DEIVID ANTHONY </t>
  </si>
  <si>
    <t>RIVERA LOPEZ ROBERT AUGUSTO</t>
  </si>
  <si>
    <t>RODRIGUEZ DELGADO GENESIS ROSALIA</t>
  </si>
  <si>
    <t xml:space="preserve">SALINAS RAMIREZ ALEXANDER BRYAN </t>
  </si>
  <si>
    <t>SANCHEZ ALIAGA GABRIELA RUTH</t>
  </si>
  <si>
    <t>SANDOVAL VALENZUELA JASON ANDREE</t>
  </si>
  <si>
    <t>SOTO CASTRO YEISON TEOFILO</t>
  </si>
  <si>
    <t>TACURI CARREÑO JARLY FELIPE</t>
  </si>
  <si>
    <t>TOLENTINO ANDRADE JULIO CESAR</t>
  </si>
  <si>
    <t>TORRES INGA JHONATAN EDWIN</t>
  </si>
  <si>
    <t>TRILLO MENDOZA RICHARD ALBERTO</t>
  </si>
  <si>
    <t>URBANO FLORES JUAN CARLOS</t>
  </si>
  <si>
    <t>76221712</t>
  </si>
  <si>
    <t>VARGAS NAVARRO FARION JHONATAN</t>
  </si>
  <si>
    <t>VELASQUEZ VALLEJO JOSE ALBERTO</t>
  </si>
  <si>
    <t>ACHER EZETA MOISES</t>
  </si>
  <si>
    <t>SOSA PIZARRO RICARDO</t>
  </si>
  <si>
    <t>ALVES DA SILVA RISOMILDO</t>
  </si>
  <si>
    <t xml:space="preserve">AYBAR QUINTE LUZ GIANNI </t>
  </si>
  <si>
    <t>43725183</t>
  </si>
  <si>
    <t>CARRILLO BENAVENTE ANGEL MARTIN</t>
  </si>
  <si>
    <t>41097216</t>
  </si>
  <si>
    <t>CARMEN SOLORZANO DUSTIN</t>
  </si>
  <si>
    <t>10876658</t>
  </si>
  <si>
    <t>CISNEROS VARGAS FREDDY JORGE</t>
  </si>
  <si>
    <t>47317036</t>
  </si>
  <si>
    <t>CRISPIN ZAMORA JHONNATAN WILFREDO</t>
  </si>
  <si>
    <t>45758825</t>
  </si>
  <si>
    <t>GUERRA ASPAJO WALTER OSCAR</t>
  </si>
  <si>
    <t>LIVAQUE CASTILLO JOSE ENRIQUE</t>
  </si>
  <si>
    <t>MEJIA DURAN DAVID ANGELO</t>
  </si>
  <si>
    <t>SALAZAR FERNANDEZ CARLOS ALBERTO</t>
  </si>
  <si>
    <t>75780749</t>
  </si>
  <si>
    <t>ZUNINI SALAZAR ERIK MIGUEL ANGEL</t>
  </si>
  <si>
    <t>41344895</t>
  </si>
  <si>
    <t>VIERA CABALLERO CARLOS RAUL</t>
  </si>
  <si>
    <t>ROJAS ISUIZA BERNARDO</t>
  </si>
  <si>
    <t>GIRALDO NEYRA JUAN CARLOS</t>
  </si>
  <si>
    <t>MARIN MACHUCA CIRILO JULIAN</t>
  </si>
  <si>
    <t>70831186</t>
  </si>
  <si>
    <t xml:space="preserve">MELENDEZ MARTINEZ YAMIR ALEXANDER </t>
  </si>
  <si>
    <t>46858911</t>
  </si>
  <si>
    <t>DELGADO MONAJULCA FERNANDO GERSON</t>
  </si>
  <si>
    <t>80089868</t>
  </si>
  <si>
    <t>CARPIO QUIJANO JOSE PATRICIO</t>
  </si>
  <si>
    <t>46282976</t>
  </si>
  <si>
    <t xml:space="preserve">TORIBIOPERES CRISTHIAN OCTAVIO </t>
  </si>
  <si>
    <t>40899837</t>
  </si>
  <si>
    <t xml:space="preserve">FLORES  QUISPE JUAN CARLOS </t>
  </si>
  <si>
    <t>VERDECIA MORENO MAYKEL</t>
  </si>
  <si>
    <t>003574737</t>
  </si>
  <si>
    <t xml:space="preserve">GRATEROL GUZMAN EMYLY JOSE </t>
  </si>
  <si>
    <t>09947767</t>
  </si>
  <si>
    <t>BURGA GARCIA SEGUNDO EBER</t>
  </si>
  <si>
    <t>JUSTANO CAMAC NINO LUIS</t>
  </si>
  <si>
    <t>MORALES TORRES DAVID</t>
  </si>
  <si>
    <t>AYASTA VILCA JOSE MIGUEL</t>
  </si>
  <si>
    <t>77205649</t>
  </si>
  <si>
    <t>GUERRA APAGUEÑO CELENI KARLITA</t>
  </si>
  <si>
    <t>LUNA JAKELINNE</t>
  </si>
  <si>
    <t>SANCHEZ DIAZ KLEYVELIS COROMOTO</t>
  </si>
  <si>
    <t>CORTINA SANTANA, ALBERTO</t>
  </si>
  <si>
    <t>CACERES SANDOVAL, JONATHAN CARLO</t>
  </si>
  <si>
    <t>002082547</t>
  </si>
  <si>
    <t>MARTINEZ CAMPOS MARIA GABRIELA</t>
  </si>
  <si>
    <t>07453746</t>
  </si>
  <si>
    <t>GARCIA CORONADO WILLY ERNESTO</t>
  </si>
  <si>
    <t>25772487</t>
  </si>
  <si>
    <t>ZULU SAC</t>
  </si>
  <si>
    <t>ACURIO PEREZ-CANETTO MIGUEL</t>
  </si>
  <si>
    <t xml:space="preserve"> - </t>
  </si>
  <si>
    <t>AGREDA BENITEZ GLENDY MADELEYNE</t>
  </si>
  <si>
    <t>ALVARADO DE LA SOTA GINO RAFFO</t>
  </si>
  <si>
    <t>16556345</t>
  </si>
  <si>
    <t>BARCO LLONTOP TITO ALEJANDRO</t>
  </si>
  <si>
    <t>BAUTISTA GARCIA JESUS MIGUEL</t>
  </si>
  <si>
    <t>41870125</t>
  </si>
  <si>
    <t>BELTRAN CHUNGA JESUS TEOBALDO</t>
  </si>
  <si>
    <t>77011018</t>
  </si>
  <si>
    <t>BERNA CANGALAYA JARET KARIM</t>
  </si>
  <si>
    <t>CAMPOS PARRA FRANSAIS STEVE</t>
  </si>
  <si>
    <t>CARHUAPOMA ARANGUEZ EDWARD JESUS</t>
  </si>
  <si>
    <t>COLMENARES VELASQUEZ ALEX INDALECIO</t>
  </si>
  <si>
    <t>44100356</t>
  </si>
  <si>
    <t>FELIX SOTO AARON DAVIS</t>
  </si>
  <si>
    <t>25713600</t>
  </si>
  <si>
    <t>FERNANDEZ TASAYCO SANDRO SALVADOR</t>
  </si>
  <si>
    <t>75394182</t>
  </si>
  <si>
    <t>GALLO ROMERO JEAN FRANCO</t>
  </si>
  <si>
    <t xml:space="preserve">GONZALES LAVI LONIO </t>
  </si>
  <si>
    <t>GONZALES MAJIN HERLYN PIERO</t>
  </si>
  <si>
    <t>LEON PACAYA TERESITA</t>
  </si>
  <si>
    <t>LOBATON VILCHERREZ JORGE ANTONIO</t>
  </si>
  <si>
    <t>LOPEZ HUANCI CRISTIAN JAIME</t>
  </si>
  <si>
    <t>MADUEÑO RIOS CARLOS ALBERTO</t>
  </si>
  <si>
    <t>MEZA MALLQUI POMPEYO ESQUIEL</t>
  </si>
  <si>
    <t>43600963</t>
  </si>
  <si>
    <t>MONTES MOTTA DANIEL ERNESTO</t>
  </si>
  <si>
    <t>MORALES VARGAS TAYNE</t>
  </si>
  <si>
    <t>MORENO FAJARDO JAIME LUIS</t>
  </si>
  <si>
    <t>NUNURA CANOVA LUIS ALFREDO</t>
  </si>
  <si>
    <t>PACAYA TANCHIVA CARLOS XAVIER</t>
  </si>
  <si>
    <t>PEREA CELIZ MAYCOL BRAYAN</t>
  </si>
  <si>
    <t>PEREZ GONZALES JOSE ELI</t>
  </si>
  <si>
    <t>PEREZ RODRIGUEZ FRANCISCO ANTONIO</t>
  </si>
  <si>
    <t>CARRILLO BARAZARTE JUANA MARIA</t>
  </si>
  <si>
    <t>07320087</t>
  </si>
  <si>
    <t>CAVA YOSHIMITO ARTURO ENRIQUE</t>
  </si>
  <si>
    <t>COSME REYES YOSELIN YASMIN</t>
  </si>
  <si>
    <t>JIMENEZ SANDOVAL RONALDO  ROMARIO</t>
  </si>
  <si>
    <t>MORALES RAMIREZ JOSE ANTONIO</t>
  </si>
  <si>
    <t>76759585</t>
  </si>
  <si>
    <t>ORTEGA BAZAN ESTEBAN ZENON  DARIO</t>
  </si>
  <si>
    <t>CASTILLO CHIRINO YIKSON MANUEL</t>
  </si>
  <si>
    <t>74992719</t>
  </si>
  <si>
    <t>CHIROQUE NIEVES JUAN DE DIOS</t>
  </si>
  <si>
    <t>75563285</t>
  </si>
  <si>
    <t>HUANCA ROJAS ANTONY</t>
  </si>
  <si>
    <t>NINA DE LOS SANTOS ANNAPAULA LISCY</t>
  </si>
  <si>
    <t>MOGOLLON URANGA LUIS ENRIQUE</t>
  </si>
  <si>
    <t>25537068</t>
  </si>
  <si>
    <t xml:space="preserve">CORDOVA ARIAS RAFAEL </t>
  </si>
  <si>
    <t>25838140</t>
  </si>
  <si>
    <t>MUÑOZ REFORME JOSE ANTONIO</t>
  </si>
  <si>
    <t>41582203</t>
  </si>
  <si>
    <t>ASIN YACILA JOAN CRISTIAN</t>
  </si>
  <si>
    <t>25573357</t>
  </si>
  <si>
    <t>CARPIO CUEVA JUAN JOSE</t>
  </si>
  <si>
    <t>VIVAS VASQUEZ MIROSLAVA JESSICA</t>
  </si>
  <si>
    <t>09773168</t>
  </si>
  <si>
    <t>COLLAZOS MEJIA FERNANDO</t>
  </si>
  <si>
    <t>BECERRA MAMANI EDER</t>
  </si>
  <si>
    <t>72500161</t>
  </si>
  <si>
    <t>CHACA DURAND,GREGORY TORIBIO</t>
  </si>
  <si>
    <t>44308907</t>
  </si>
  <si>
    <t>VILLANUEVA TARAZONA,JAIME YONEL</t>
  </si>
  <si>
    <t>10259732</t>
  </si>
  <si>
    <t>AGUILAR AVALOS,FRANKLIN</t>
  </si>
  <si>
    <t>74557471</t>
  </si>
  <si>
    <t>KUKUSH TINCHO,JACK</t>
  </si>
  <si>
    <t>80393349</t>
  </si>
  <si>
    <t>PEREZ LAHUANA,YSRAEL ROGER</t>
  </si>
  <si>
    <t>LEON HUISA, FAUSTINO</t>
  </si>
  <si>
    <t>RIOS SANCHEZ, WILDOMAR</t>
  </si>
  <si>
    <t>ALVAREZ CALDERON, EDGAR OMAR</t>
  </si>
  <si>
    <t>ZUTA BAZAN, SEGUNDO</t>
  </si>
  <si>
    <t>AVALOS SOTOMAYOR, PAUL JUSTO</t>
  </si>
  <si>
    <t>HOYOS MARTINEZ, YHERLIN DAVID</t>
  </si>
  <si>
    <t>RAMOS IMAN, CARLOS ALBERTO</t>
  </si>
  <si>
    <t>05336891</t>
  </si>
  <si>
    <t>TAFUR LAYANGO, IRIS MARILIN</t>
  </si>
  <si>
    <t>PALOMINO BERROCAL, OMAR KEVIN</t>
  </si>
  <si>
    <t>SOVERO MERCADO, HERNANDO ANTONIO</t>
  </si>
  <si>
    <t>ACUÑA QUINTOS, CARLOS ALBERTO</t>
  </si>
  <si>
    <t>CARAHUANCO VASQUEZ, CARLOS ENRIQUE</t>
  </si>
  <si>
    <t>ROMERO GUERRA, JOSHET ANDRES</t>
  </si>
  <si>
    <t>07501857</t>
  </si>
  <si>
    <t>PRADO VENTOCILLA JOSE LUIS</t>
  </si>
  <si>
    <t>CABANILLAS AMBROCIO, JUAN ROBERT</t>
  </si>
  <si>
    <t>PALACIOS DIAZ, JULIAN ALEJANDRO</t>
  </si>
  <si>
    <t>JIMENEZ PACASI, BRIGIT WENDY</t>
  </si>
  <si>
    <t xml:space="preserve">DE LA CRUZ NEGRON JONATHAN </t>
  </si>
  <si>
    <t>ATE - VITARTE</t>
  </si>
  <si>
    <t>PAYEHUANCA PADIN, RAFAEL ORLANDO</t>
  </si>
  <si>
    <t>VILLEGAS BARRIOS JOSE LUIS</t>
  </si>
  <si>
    <t>TAUMA TAFUR, ZADITH</t>
  </si>
  <si>
    <t>07105925</t>
  </si>
  <si>
    <t>BELLEZA YACTAYO VICENTE</t>
  </si>
  <si>
    <t>TRINIDAD ESTELA, NILTON OMAR</t>
  </si>
  <si>
    <t>CACHIQUE MACAHUACHI, JHEAN CARLOS</t>
  </si>
  <si>
    <t>PEREZ TORRES, FREDY ALFREDO</t>
  </si>
  <si>
    <t>MANCILLA GUZMAN, ALEX BRAYAN</t>
  </si>
  <si>
    <t>09564095</t>
  </si>
  <si>
    <t>AGUILAR PALIZA, FREDY</t>
  </si>
  <si>
    <t>VICENTE SANDOVAL FELIX PABLO</t>
  </si>
  <si>
    <t>09512932</t>
  </si>
  <si>
    <t>ALMINAGORTA CANO, CARLOS</t>
  </si>
  <si>
    <t>CALDERON ALCANTARA, JONATHAN RAUL</t>
  </si>
  <si>
    <t>LORA MIRANDA JUAN CARLOS</t>
  </si>
  <si>
    <t>SANCHEZ CORDOVA LUIS GABRIEL</t>
  </si>
  <si>
    <t>08748808</t>
  </si>
  <si>
    <t>SANTA MARIA ZAFRA  PEDRO</t>
  </si>
  <si>
    <t>VELI GARAGATE  JOSE LUIS</t>
  </si>
  <si>
    <t>PURIHUAMAN NUNTON, MANUEL JOSE</t>
  </si>
  <si>
    <t>ARIMUYA TAMARI JHON</t>
  </si>
  <si>
    <t>INGAROCA PAUCAR  CHARLES GUIDO</t>
  </si>
  <si>
    <t>MARCOS CAMPOS MEQUIAS</t>
  </si>
  <si>
    <t>HUATUCO BALDEON, MICHAEL KENNYI</t>
  </si>
  <si>
    <t>SOTO BLANCO, LUIS MIGUEL</t>
  </si>
  <si>
    <t>VALDIVIEZO CASTILLO JEAN</t>
  </si>
  <si>
    <t>PALACIOS SINCHE ANGEL TOLEDO</t>
  </si>
  <si>
    <t>FLORENCIO BARBOZA EMERCH</t>
  </si>
  <si>
    <t>09768500</t>
  </si>
  <si>
    <t>NAUPAY ESPINOZA ROGER FERNANDO</t>
  </si>
  <si>
    <t>FERNANDEZ VILCA, DANIEL JOSUE</t>
  </si>
  <si>
    <t>SANTIAGO ÑAUPA, ESTEBAN ABRAN</t>
  </si>
  <si>
    <t>08543302</t>
  </si>
  <si>
    <t>CHANG CUEVA, CESAR ANTONIO</t>
  </si>
  <si>
    <t xml:space="preserve">HUARCAYA COCCHE JESUS </t>
  </si>
  <si>
    <t>LIMA YLLA AGUSTIN</t>
  </si>
  <si>
    <t>MENDOZA MONTAÑEZ  RAFAEL RAMIRO</t>
  </si>
  <si>
    <t>LADINES BERNABLE MARIBEL</t>
  </si>
  <si>
    <t>LLAMOCCA CANDIA, ESTEBAN</t>
  </si>
  <si>
    <t>JAVIER CARHUAVILCA, LUIS ALBERTO</t>
  </si>
  <si>
    <t>CARPIO CANDIA EMILIANO</t>
  </si>
  <si>
    <t>FLORES MELO GUIDO ELDIBRANDO</t>
  </si>
  <si>
    <t>ATE-VITARTE</t>
  </si>
  <si>
    <t>LANASCA  AGUILAR, RONALD</t>
  </si>
  <si>
    <t>HIDALGO MANRIQUE, EDUARDO ALFONSO</t>
  </si>
  <si>
    <t>QUISPE CUYA, ROSA SOFIA</t>
  </si>
  <si>
    <t>ARIAS  ALARCON, PERCY</t>
  </si>
  <si>
    <t>LOZANO ZUÑIGA, LUI BENJAMIN</t>
  </si>
  <si>
    <t>DOMINGUEZ HUAMAN, ARCENIO</t>
  </si>
  <si>
    <t>09232438</t>
  </si>
  <si>
    <t>MASGO HUAMANI, LUIS RICARDO</t>
  </si>
  <si>
    <t>76043011</t>
  </si>
  <si>
    <t>ERNAU GIL,PABLO DANIEL</t>
  </si>
  <si>
    <t>75967877</t>
  </si>
  <si>
    <t>LLANOS QUEROL,CRISTHOFER SEBASTIAN</t>
  </si>
  <si>
    <t>74756649</t>
  </si>
  <si>
    <t>NINO BALTAZAR,ANDERSON</t>
  </si>
  <si>
    <t>03659727</t>
  </si>
  <si>
    <t>YOVERA SILVA,MAXIMO</t>
  </si>
  <si>
    <t>61589006</t>
  </si>
  <si>
    <t>CARRERA DUENAS,VICTOR AUGUSTO</t>
  </si>
  <si>
    <t>77164554</t>
  </si>
  <si>
    <t>SOSA HUAMAN ,ALEX ELIAS</t>
  </si>
  <si>
    <t>06672865</t>
  </si>
  <si>
    <t>ARCELA ROGGERO,ALFREDO</t>
  </si>
  <si>
    <t>62775257</t>
  </si>
  <si>
    <t>FERNANDEZ ANGELES JESUS GABRIEL</t>
  </si>
  <si>
    <t>72292322</t>
  </si>
  <si>
    <t>ÑAHUINCOPA HUARANCA ALFREDO</t>
  </si>
  <si>
    <t>FARFAN VARGAS, JESUS MARTIN</t>
  </si>
  <si>
    <t>CALDAS MARINO, GABRIEL FRANCISCO</t>
  </si>
  <si>
    <t>GARCIA LOPEZ, CRITHIAN</t>
  </si>
  <si>
    <t>DURAN RODRIGUEZ, DAVID ANTONIO</t>
  </si>
  <si>
    <t>06797644</t>
  </si>
  <si>
    <t>MORANTE BARRENECHEA, LUIS ALBERTO</t>
  </si>
  <si>
    <t>PEREZ CAMBERO, LUIS ALVINO</t>
  </si>
  <si>
    <t>CHERO VALERIO, OSWALDO ENRIQUE</t>
  </si>
  <si>
    <t>15365365</t>
  </si>
  <si>
    <t>PEÑA AVALOS,ALEJANDRO JOSE</t>
  </si>
  <si>
    <t>74127479</t>
  </si>
  <si>
    <t>PARDO ESPINOZA,WUALDEMAR</t>
  </si>
  <si>
    <t>44182978</t>
  </si>
  <si>
    <t>MAGAN CHIORZO,ALEXANDER</t>
  </si>
  <si>
    <t>75649113</t>
  </si>
  <si>
    <t>SALAZAR ROMERO ENRIQUE ALEJANDRO</t>
  </si>
  <si>
    <t>60632322</t>
  </si>
  <si>
    <t>GRANDEZ SINARAHUA CARLOS DANIEL</t>
  </si>
  <si>
    <t>41083670</t>
  </si>
  <si>
    <t>TORRES TORRES,WILMER</t>
  </si>
  <si>
    <t>76132188</t>
  </si>
  <si>
    <t>VALLES GUERRA,VICTOR AUGUSTO</t>
  </si>
  <si>
    <t>40955815</t>
  </si>
  <si>
    <t>DIAZ COLLAZOS,DARLING</t>
  </si>
  <si>
    <t>72593483</t>
  </si>
  <si>
    <t>DURAN FRIAS,YOSTIN</t>
  </si>
  <si>
    <t>45517102</t>
  </si>
  <si>
    <t>GUEDES MACEDO,MILVER BIBIANO</t>
  </si>
  <si>
    <t>73630288</t>
  </si>
  <si>
    <t>ALANYA HERRERA,LEONARDO ALEXIS</t>
  </si>
  <si>
    <t>70842517</t>
  </si>
  <si>
    <t>CRISPIN CORREA,ANGELO ALEXANDER</t>
  </si>
  <si>
    <t>75565318</t>
  </si>
  <si>
    <t>VALLES MALDONADO,ALEXIS ENRIQUE</t>
  </si>
  <si>
    <t>80185951</t>
  </si>
  <si>
    <t>72123902</t>
  </si>
  <si>
    <t>BALDERA PAZ,VICTOR MANUEL</t>
  </si>
  <si>
    <t>74664464</t>
  </si>
  <si>
    <t>CARRERA VALDERRAMA,PERCY ERNESTO</t>
  </si>
  <si>
    <t>a</t>
  </si>
  <si>
    <t>25</t>
  </si>
  <si>
    <t>06</t>
  </si>
  <si>
    <t>1988</t>
  </si>
  <si>
    <t>12</t>
  </si>
  <si>
    <t>09</t>
  </si>
  <si>
    <t>1994</t>
  </si>
  <si>
    <t>13</t>
  </si>
  <si>
    <t>08</t>
  </si>
  <si>
    <t>1984</t>
  </si>
  <si>
    <t>21</t>
  </si>
  <si>
    <t>02</t>
  </si>
  <si>
    <t>1996</t>
  </si>
  <si>
    <t>20</t>
  </si>
  <si>
    <t>1977</t>
  </si>
  <si>
    <t>24</t>
  </si>
  <si>
    <t>10</t>
  </si>
  <si>
    <t>18</t>
  </si>
  <si>
    <t>01</t>
  </si>
  <si>
    <t>1986</t>
  </si>
  <si>
    <t>05</t>
  </si>
  <si>
    <t>2000</t>
  </si>
  <si>
    <t>03</t>
  </si>
  <si>
    <t>1997</t>
  </si>
  <si>
    <t>28</t>
  </si>
  <si>
    <t>04</t>
  </si>
  <si>
    <t>1992</t>
  </si>
  <si>
    <t>1998</t>
  </si>
  <si>
    <t>07</t>
  </si>
  <si>
    <t>1968</t>
  </si>
  <si>
    <t>1991</t>
  </si>
  <si>
    <t>1985</t>
  </si>
  <si>
    <t>16</t>
  </si>
  <si>
    <t>1981</t>
  </si>
  <si>
    <t>1999</t>
  </si>
  <si>
    <t>11</t>
  </si>
  <si>
    <t>1974</t>
  </si>
  <si>
    <t>1987</t>
  </si>
  <si>
    <t>2004</t>
  </si>
  <si>
    <t>27</t>
  </si>
  <si>
    <t>31</t>
  </si>
  <si>
    <t>30</t>
  </si>
  <si>
    <t>1989</t>
  </si>
  <si>
    <t>14</t>
  </si>
  <si>
    <t>1973</t>
  </si>
  <si>
    <t>19</t>
  </si>
  <si>
    <t>1980</t>
  </si>
  <si>
    <t>1993</t>
  </si>
  <si>
    <t>1967</t>
  </si>
  <si>
    <t>1978</t>
  </si>
  <si>
    <t>1990</t>
  </si>
  <si>
    <t>1983</t>
  </si>
  <si>
    <t>17</t>
  </si>
  <si>
    <t>26</t>
  </si>
  <si>
    <t>29</t>
  </si>
  <si>
    <t>1979</t>
  </si>
  <si>
    <t>1995</t>
  </si>
  <si>
    <t>1976</t>
  </si>
  <si>
    <t>1972</t>
  </si>
  <si>
    <t>15</t>
  </si>
  <si>
    <t>2001</t>
  </si>
  <si>
    <t>2002</t>
  </si>
  <si>
    <t>1982</t>
  </si>
  <si>
    <t>1975</t>
  </si>
  <si>
    <t>1969</t>
  </si>
  <si>
    <t>1966</t>
  </si>
  <si>
    <t xml:space="preserve">HUARCAYA VASQUEZ CESAR </t>
  </si>
  <si>
    <t xml:space="preserve">ROSALES ESPINOZA JODIN ELMER </t>
  </si>
  <si>
    <t>NINANYA CHUQUIVILCA FRANCK JONHSON</t>
  </si>
  <si>
    <t>PALOMINO SIMBRON JUAN CARLO</t>
  </si>
  <si>
    <t>SABINO SEVILLANO ALEX ROBERTO</t>
  </si>
  <si>
    <t>GRANDEZ CHOCACA WILDER</t>
  </si>
  <si>
    <t>ARTICA ROJAS VIVAR CHRISTIAN</t>
  </si>
  <si>
    <t>VASQUEZ VIDAL WALTER HUGO</t>
  </si>
  <si>
    <t>07088393</t>
  </si>
  <si>
    <t>LOPEZ APAICO BERTRAND PALMIRO</t>
  </si>
  <si>
    <t>DE LA CRUZ SALCEDO JUAN DIEGO</t>
  </si>
  <si>
    <t>PACAYA MARTINEZ MARCOS</t>
  </si>
  <si>
    <t>MEGO VARGAS LUIS FERNANDO</t>
  </si>
  <si>
    <t>VIERA ROSALES WILSON HERNAN</t>
  </si>
  <si>
    <t>SANTAMARIA ACOSTA JOSE HECTOR</t>
  </si>
  <si>
    <t>QUIJANA ALCAZAR CIRO MARTIN</t>
  </si>
  <si>
    <t>LAMA VILLACORTA CARLOS DANIEL</t>
  </si>
  <si>
    <t>CURAY PALACIOS FRANCISCO JAVIER</t>
  </si>
  <si>
    <t>ARRIETA CANDIA AUGUSTO</t>
  </si>
  <si>
    <t>CALDERON ARANDA LUIS ALBERTO</t>
  </si>
  <si>
    <t>CHAMAN SISNIEGAS ANTHONY PHILIP</t>
  </si>
  <si>
    <t>LECCA CASAS BORIS ERNESTO</t>
  </si>
  <si>
    <t>MANIZARI LOZANO PEDRO MANUEL</t>
  </si>
  <si>
    <t>PAREDES CALIXTO DAVID OLIMPIO</t>
  </si>
  <si>
    <t>PIANTO JUNCHAYA PEDROALBERTO JERSON</t>
  </si>
  <si>
    <t>ROMERO MENDIETA ROCIO LILIBETH</t>
  </si>
  <si>
    <t>SALAZAR MEJIA EDUARDO MARTIN</t>
  </si>
  <si>
    <t>VIDAL PEREYRA JORGE LUIS</t>
  </si>
  <si>
    <t>ESPIRITU CALDAS ANTONIO</t>
  </si>
  <si>
    <t xml:space="preserve">PINO ROSALES STUART </t>
  </si>
  <si>
    <t>RAMOS CRUZ ISABEL REYNALDO</t>
  </si>
  <si>
    <t>CONSTRUCC &amp; TRANS EURO AMERICA S.A.C.</t>
  </si>
  <si>
    <t>PEÑA DOMINGUEZ MELCIADES JOEL</t>
  </si>
  <si>
    <t>ALBAN DOMINGUEZ ANDY ANTONY</t>
  </si>
  <si>
    <t>DE LA CRUZ PEÑA RENZO EMANUEL</t>
  </si>
  <si>
    <t>FERNANDEZ DULANTO KEVIN ANDRE</t>
  </si>
  <si>
    <t>OLAYUNCA CACERES ROGER ANDERSON</t>
  </si>
  <si>
    <t>RODRIGUEZ HUAMANI JESUS ARTURO</t>
  </si>
  <si>
    <t>VILLACORTA PACAYA, CHRISTIAN</t>
  </si>
  <si>
    <t>HERRERA NOVOA FREDD MARTIN ANGEL</t>
  </si>
  <si>
    <t>PAREDES CHECA JOSUE JOZABED</t>
  </si>
  <si>
    <t>HUILLCA SALLO ALVARO</t>
  </si>
  <si>
    <t>AGUILAR RUELAS BRANDON</t>
  </si>
  <si>
    <t>43703304</t>
  </si>
  <si>
    <t>AGURTO MA SAN JONATHAN SAUL</t>
  </si>
  <si>
    <t>73058655</t>
  </si>
  <si>
    <t>MORENO PUMA JANZ</t>
  </si>
  <si>
    <t>45491384</t>
  </si>
  <si>
    <t xml:space="preserve"> JUAN SANTOS ATAHUALPA GUARNIZ SANTIAGO </t>
  </si>
  <si>
    <t>09835073</t>
  </si>
  <si>
    <t>ARANGO HUARANCA JOSE ARMANDO</t>
  </si>
  <si>
    <t>74324106</t>
  </si>
  <si>
    <t>BENDEZU GONZALES JAISON VICTOR</t>
  </si>
  <si>
    <t>71730788</t>
  </si>
  <si>
    <t xml:space="preserve">BENDEZU GONZALES RONALDIÑO  JESUS </t>
  </si>
  <si>
    <t>42505434</t>
  </si>
  <si>
    <t>CABALLERO CAMARA FREDDY WALTER</t>
  </si>
  <si>
    <t>25759990</t>
  </si>
  <si>
    <t>CALVO ARICA JAVIER FRANCISCO</t>
  </si>
  <si>
    <t>48360763</t>
  </si>
  <si>
    <t>CARRANZA ALVIS FRANK BRUNER</t>
  </si>
  <si>
    <t>73988820</t>
  </si>
  <si>
    <t>CARRASCO CASTILLO GIOVANNI</t>
  </si>
  <si>
    <t>41288176</t>
  </si>
  <si>
    <t>CHINCHAY HUAYAMA EDILBERTO</t>
  </si>
  <si>
    <t>45792047</t>
  </si>
  <si>
    <t>COLETO GUTIERREZ WILMER SAMUEL</t>
  </si>
  <si>
    <t>48347628</t>
  </si>
  <si>
    <t>COLLANTES LOZANO JEREMIAS</t>
  </si>
  <si>
    <t>25841367</t>
  </si>
  <si>
    <t>ESPINAL OSCANOA LUIS ALFONSO</t>
  </si>
  <si>
    <t>70862103</t>
  </si>
  <si>
    <t>GONZALES BENITES JAIR ALBERTO</t>
  </si>
  <si>
    <t>45437577</t>
  </si>
  <si>
    <t>GRADOS MACINES JIMMY ALBERT</t>
  </si>
  <si>
    <t>75197869</t>
  </si>
  <si>
    <t>HERNANDEZ DIAZ ANGEL ALEXIS</t>
  </si>
  <si>
    <t>40588611</t>
  </si>
  <si>
    <t>HUAMAN ROJAS CESAR PAUL</t>
  </si>
  <si>
    <t>80689404</t>
  </si>
  <si>
    <t>HUATORONGO JURADO JOSE MARCOS</t>
  </si>
  <si>
    <t>44754190</t>
  </si>
  <si>
    <t>IRRAZABAL MALLCO WILDE</t>
  </si>
  <si>
    <t>44162016</t>
  </si>
  <si>
    <t>MACAVILCA GUZMAN MIGUEL ANGEL</t>
  </si>
  <si>
    <t>42556206</t>
  </si>
  <si>
    <t>MONCADA MERINO EDWIN JOEL</t>
  </si>
  <si>
    <t>46026362</t>
  </si>
  <si>
    <t>MUÑOZ MARTINEZ FRANKLING ROBERTO</t>
  </si>
  <si>
    <t>44587110</t>
  </si>
  <si>
    <t>NUÑEZ BUSTAMANTE LEEYON MAY</t>
  </si>
  <si>
    <t>44333796</t>
  </si>
  <si>
    <t>NUÑEZ ORE ROLANDO RAMIRO</t>
  </si>
  <si>
    <t>42088944</t>
  </si>
  <si>
    <t>OBREGON SANCHEZ CLINGER RIVELINO</t>
  </si>
  <si>
    <t>42855999</t>
  </si>
  <si>
    <t>PADILLA MINAYA HECTOR</t>
  </si>
  <si>
    <t>10054186</t>
  </si>
  <si>
    <t>PALOMINO JORGE DAVID</t>
  </si>
  <si>
    <t>46329110</t>
  </si>
  <si>
    <t>PASTOR CUAREZ RICHARD JHONNY</t>
  </si>
  <si>
    <t>45102939</t>
  </si>
  <si>
    <t>PILCO ARIAS ALEXIS ARTURO</t>
  </si>
  <si>
    <t>25847891</t>
  </si>
  <si>
    <t xml:space="preserve">RAMIREZ MUÑANTE  ARTURO MIGUEL </t>
  </si>
  <si>
    <t>61863607</t>
  </si>
  <si>
    <t xml:space="preserve">ROJAS RAMIREZ SAMUEL </t>
  </si>
  <si>
    <t>72606363</t>
  </si>
  <si>
    <t>ROJAS ROSAS CARLOS AUGUSTO</t>
  </si>
  <si>
    <t>71661437</t>
  </si>
  <si>
    <t>ROMANI VILCHEZ SAUL</t>
  </si>
  <si>
    <t>40348276</t>
  </si>
  <si>
    <t>SANCHEZ  HILARES FLORENTINO</t>
  </si>
  <si>
    <t>44177981</t>
  </si>
  <si>
    <t>SANCHEZ PAQUIYAURI HERNAN CHRISTIAN</t>
  </si>
  <si>
    <t>SANDOVAL SANCHEZ VICTOR HUGO</t>
  </si>
  <si>
    <t>48056384</t>
  </si>
  <si>
    <t>SAYES TAMARIZ  AARON ERICK SANTIAGO</t>
  </si>
  <si>
    <t>71609795</t>
  </si>
  <si>
    <t xml:space="preserve">SERPA ALCOSER MAYCOL JHORDAN </t>
  </si>
  <si>
    <t>03901447</t>
  </si>
  <si>
    <t>TURPO QUISPE RAUL OSCAR</t>
  </si>
  <si>
    <t>45482156</t>
  </si>
  <si>
    <t>VIERA CASTRO GIORGIO ANDRE</t>
  </si>
  <si>
    <t>25748448</t>
  </si>
  <si>
    <t>FERNANDEZ RODRIGUEZ RONY</t>
  </si>
  <si>
    <t>80281829</t>
  </si>
  <si>
    <t>MONSALVE RIVERA  RONNIE  RAUL</t>
  </si>
  <si>
    <t>47583114</t>
  </si>
  <si>
    <t>44792960</t>
  </si>
  <si>
    <t>ESTRADA ALVARADO JOEL MICHAEL</t>
  </si>
  <si>
    <t>SAMANAMUD MEDINA WALTER FABRIZIO</t>
  </si>
  <si>
    <t>48092843</t>
  </si>
  <si>
    <t>ESPEJO CUYA JUNIOR JESUS</t>
  </si>
  <si>
    <t>75429406</t>
  </si>
  <si>
    <t>GUTIERREZ GUERRA MATTHEW</t>
  </si>
  <si>
    <t>25683604</t>
  </si>
  <si>
    <t>HIDALGO BAZALAR JESUS ALBERTO</t>
  </si>
  <si>
    <t>PAIMA ZEBALLOS GEORJE</t>
  </si>
  <si>
    <t>VENTURA DIEGO EDBERT</t>
  </si>
  <si>
    <t>TRANSPORTE TOVAR SAC</t>
  </si>
  <si>
    <t>17448068</t>
  </si>
  <si>
    <t>ASCENCIO BERECHE JUAN EXEQUIEL</t>
  </si>
  <si>
    <t>44422531</t>
  </si>
  <si>
    <t>BARRENECHEA ESTRADA GONZALO</t>
  </si>
  <si>
    <t>MURAYARI RICOPA WILDER</t>
  </si>
  <si>
    <t>09947013</t>
  </si>
  <si>
    <t xml:space="preserve">PUCLLA CUETO, VICTOR OTTO </t>
  </si>
  <si>
    <t>257789334</t>
  </si>
  <si>
    <t>CASTRO ROSAS NANCY JAQUELINE</t>
  </si>
  <si>
    <t>Angulo Insil Franco Eduardo</t>
  </si>
  <si>
    <t>Rodriguez Dominguez Frankler Amner</t>
  </si>
  <si>
    <t>Casimiro Paucar Katherine Sharon</t>
  </si>
  <si>
    <t>Arotinco Nomberto Betsye Isabel</t>
  </si>
  <si>
    <t>Paso Onayram Josselyn Carla</t>
  </si>
  <si>
    <t>OLIVA ALBERTO BAYRON ANGELO</t>
  </si>
  <si>
    <t>CHANDUVI CLAROS JOSE MARTIN</t>
  </si>
  <si>
    <t>60576706</t>
  </si>
  <si>
    <t>Quispe Carbajal Manuel</t>
  </si>
  <si>
    <t>CALAGUA CASTRO, ALEXIS ANDERSON</t>
  </si>
  <si>
    <t>HUALLPA GUZMAN JOHN ROBERT</t>
  </si>
  <si>
    <t>45798038</t>
  </si>
  <si>
    <t>MACHARE SOSA JOSE LUIS</t>
  </si>
  <si>
    <t>MARQUEZ NOA, SANTIAGO</t>
  </si>
  <si>
    <t>VARGAS ALVAREZ , CARLOS ALBERTO</t>
  </si>
  <si>
    <t>06848183</t>
  </si>
  <si>
    <t>COSTILLA FERNANDEZ FERNANDO MIGUEL</t>
  </si>
  <si>
    <t>RUIZ SORIA JESUS ANDRES</t>
  </si>
  <si>
    <t>ARMAS ASCATE LEONCIO VALERIANO</t>
  </si>
  <si>
    <t>CASTAÑEDA NARRO LUIS CARLOS</t>
  </si>
  <si>
    <t>CHUQUIZUTA VERA  JOAN MANUEL</t>
  </si>
  <si>
    <t>GONZALES CALDERON FREDY ANTONIO</t>
  </si>
  <si>
    <t>HINOSTROZA ALARCON WILFREDO</t>
  </si>
  <si>
    <t>JARA MORALES JOSE FELIPE</t>
  </si>
  <si>
    <t>JUAREZ PULACHE  JHORLIN JOEL</t>
  </si>
  <si>
    <t>10501549</t>
  </si>
  <si>
    <t>ROBLES ACHIHUAMAN BORIS ALBERTO</t>
  </si>
  <si>
    <t>77807647</t>
  </si>
  <si>
    <t>CALDERON TASAYCO,MARCOS ANTONIO</t>
  </si>
  <si>
    <t>TINCO RODRIGUEZ  NOE MOISES</t>
  </si>
  <si>
    <t>44754143</t>
  </si>
  <si>
    <t>ALTAMIRANO MAÑUICO JUNIOR</t>
  </si>
  <si>
    <t>74299491</t>
  </si>
  <si>
    <t>ISIDRO DELGADO LUIS ALBERTO</t>
  </si>
  <si>
    <t>09761712</t>
  </si>
  <si>
    <t>UTANI FERNANDEZ JOSE LUIS</t>
  </si>
  <si>
    <t>VILCHEZ CUADROS PAUL JESUS</t>
  </si>
  <si>
    <t>73880268</t>
  </si>
  <si>
    <t>DE LA CADENA FIORENTINI ALDO ALDAHIR</t>
  </si>
  <si>
    <t>76806883</t>
  </si>
  <si>
    <t>ZEVALLOS MURAYARI DENIS OSWALDO</t>
  </si>
  <si>
    <t>46057179</t>
  </si>
  <si>
    <t>GARCIA GARCIA JESUS MARTIN</t>
  </si>
  <si>
    <t>25831334</t>
  </si>
  <si>
    <t>ALVA MAGUIÑA ALEX</t>
  </si>
  <si>
    <t>07085678</t>
  </si>
  <si>
    <t>QUIROZ ALAYO CESAR MIGUEL</t>
  </si>
  <si>
    <t>41356174</t>
  </si>
  <si>
    <t>FELIPE VENTURA JOHAN WILSON ALEJANDRO</t>
  </si>
  <si>
    <t>47139113</t>
  </si>
  <si>
    <t>SULLCA RAMOS JUAN MANUEL</t>
  </si>
  <si>
    <t>45123825</t>
  </si>
  <si>
    <t>SANCHEZ COSINGA DARWIN ROGER</t>
  </si>
  <si>
    <t>70779929</t>
  </si>
  <si>
    <t>DIAZ ABREGU YELSON</t>
  </si>
  <si>
    <t>42904469</t>
  </si>
  <si>
    <t>VEGA PEREZ VICTOR HUGO</t>
  </si>
  <si>
    <t>47769265</t>
  </si>
  <si>
    <t>JULIO CESAR NOLE ALGUEDAS</t>
  </si>
  <si>
    <t>47325560</t>
  </si>
  <si>
    <t>JORGE LUIS CONTRERAS ALARCON</t>
  </si>
  <si>
    <t>46270553</t>
  </si>
  <si>
    <t>JOSE ARMANDO REGALADO MARTINEZ</t>
  </si>
  <si>
    <t>COBEÑAS WAN SILVIA MEYLIN</t>
  </si>
  <si>
    <t>48102660</t>
  </si>
  <si>
    <t>PIMENTEL GIRON JOHN ANTHONY</t>
  </si>
  <si>
    <t>CANTA</t>
  </si>
  <si>
    <t>VALENZUELA BARBA JUAN FRANCISCO</t>
  </si>
  <si>
    <t>25843508</t>
  </si>
  <si>
    <t>22308126</t>
  </si>
  <si>
    <t>HUAPAYA TORREALVA ALEX WIRIBALDO</t>
  </si>
  <si>
    <t>SALSAVILCA SILVESTRE MIGUEL ANGEL</t>
  </si>
  <si>
    <t>OROYA TORRES JESUS MIGUEL</t>
  </si>
  <si>
    <t>CURILLA PAICO LUIS ALFONSO</t>
  </si>
  <si>
    <t>FUENTES TENORIO ELEVI</t>
  </si>
  <si>
    <t>ROJAS ANAYA BRAULIO</t>
  </si>
  <si>
    <t>MENDOZA OBREGON JOSE ANTONIO</t>
  </si>
  <si>
    <t>FUENTES TENORIO MARCO ABEL</t>
  </si>
  <si>
    <t>42527723</t>
  </si>
  <si>
    <t>ONOCURI FUENTES VICTOR RAUL</t>
  </si>
  <si>
    <t xml:space="preserve">CARDENAS MORALES EDUARDO </t>
  </si>
  <si>
    <t>CASTRO GONZALES NELSON FRANCISCO</t>
  </si>
  <si>
    <t>FARFAN FUENTES JOHNNY OMAR</t>
  </si>
  <si>
    <t>PONCE FLORES JHON PETER</t>
  </si>
  <si>
    <t>SANTISTEBAN SIESQUEN ALLEN</t>
  </si>
  <si>
    <t>09966198</t>
  </si>
  <si>
    <t>TORRES LLOCLLE JULIO CESAR</t>
  </si>
  <si>
    <t>71455036</t>
  </si>
  <si>
    <t>BEJARANO ROJAS JEAN PIERRE</t>
  </si>
  <si>
    <t>NO APLICA</t>
  </si>
  <si>
    <t>VALQUI BRICEÑO ANDRES ALEJANDRO</t>
  </si>
  <si>
    <t>HUMAN RIVERA PERCY FLORENCIO</t>
  </si>
  <si>
    <t>CASTRO ROMERO ADOLFO CARLOS</t>
  </si>
  <si>
    <t>ABREO FLORES JHIMAR</t>
  </si>
  <si>
    <t xml:space="preserve">ACARO RUIZ AQUILES </t>
  </si>
  <si>
    <t>25768323</t>
  </si>
  <si>
    <t>BERROCAL GARCIA DAVID ARTURO</t>
  </si>
  <si>
    <t>80364345</t>
  </si>
  <si>
    <t>BOLAÑOS APESTEGUIA RONALD WILMER</t>
  </si>
  <si>
    <t>72683641</t>
  </si>
  <si>
    <t>CABREJOS RIVADENEYRA JHON</t>
  </si>
  <si>
    <t>CAMPOS NUÑEZ MARIA FERNANDA</t>
  </si>
  <si>
    <t>CARDENAS ZARATE DAMIAN</t>
  </si>
  <si>
    <t>CORDOVA RODRIGUEZ HIDELIA</t>
  </si>
  <si>
    <t>DEL RIO MORALES CARLOS ALBERTO</t>
  </si>
  <si>
    <t>ESPINO BENDEZU GIANCARLO MITCHEL</t>
  </si>
  <si>
    <t>45358664</t>
  </si>
  <si>
    <t>ESPINO BENDEZU JAM PIER HASSAN</t>
  </si>
  <si>
    <t>45286550</t>
  </si>
  <si>
    <t>FLORES CALAMPA DANMER GERALD</t>
  </si>
  <si>
    <t>73278571</t>
  </si>
  <si>
    <t>FREUNDT CHANG LUIS JUNIOR</t>
  </si>
  <si>
    <t>GOMEZ DIAZ ELMER JAVIER</t>
  </si>
  <si>
    <t>47497038</t>
  </si>
  <si>
    <t>GONZALES MELGAR CARLOS</t>
  </si>
  <si>
    <t>25760330</t>
  </si>
  <si>
    <t>GONZALES MORENO MILTON CESAR</t>
  </si>
  <si>
    <t>JORDAN CORREA CESAR GIOVANI</t>
  </si>
  <si>
    <t>JURADO IDELFONSO FELIPE TEODOMIRO</t>
  </si>
  <si>
    <t>25570559</t>
  </si>
  <si>
    <t>LEON DAVILA LUIS ELOY</t>
  </si>
  <si>
    <t>44707787</t>
  </si>
  <si>
    <t>LINARES PISCO JULIO</t>
  </si>
  <si>
    <t>42634691</t>
  </si>
  <si>
    <t>LOPEZ YOVERA JULIO  CESAR</t>
  </si>
  <si>
    <t>LUNA GUEVARA ANDRES AVELINO</t>
  </si>
  <si>
    <t>08454882</t>
  </si>
  <si>
    <t>MARTINEZ HERNANDEZ JORGE LUIS</t>
  </si>
  <si>
    <t>17443171</t>
  </si>
  <si>
    <t>MIÑOPE TEZEN ANGEL AUGSTIN</t>
  </si>
  <si>
    <t>NUNTON OLIDEN GIANFRANCO JESUS</t>
  </si>
  <si>
    <t>PACUTAYPE DURAND JOSE LUIS</t>
  </si>
  <si>
    <t>75242056</t>
  </si>
  <si>
    <t>PEÑA MENDOZA RICHARD CHRISTIAN</t>
  </si>
  <si>
    <t>PERALES TORRES ELFER</t>
  </si>
  <si>
    <t>PERDOMO BALLESTEROS LEDYS YINETH</t>
  </si>
  <si>
    <t>PRADO NEYRA LUIS GERARDO</t>
  </si>
  <si>
    <t>42784478</t>
  </si>
  <si>
    <t>PULACHE ELIAS ANGEL JAIME</t>
  </si>
  <si>
    <t>PUPUCHE SANCHEZ AYLSON</t>
  </si>
  <si>
    <t>42336607</t>
  </si>
  <si>
    <t>QUINECHE URBIZAGASTEGUI JOHAIRA ZENAIDA</t>
  </si>
  <si>
    <t>76098650</t>
  </si>
  <si>
    <t>RADAHELLY CABRERA KATHERINE ARACELLY</t>
  </si>
  <si>
    <t>05954245</t>
  </si>
  <si>
    <t xml:space="preserve">RAMIREZ PINEDO JOSIAS </t>
  </si>
  <si>
    <t>18079449</t>
  </si>
  <si>
    <t>REYES SEGURA LISTER ALBERTO</t>
  </si>
  <si>
    <t>ROA GODOS MANUEL</t>
  </si>
  <si>
    <t>SALAZAR VIDAURRE STEPHANO</t>
  </si>
  <si>
    <t>41052990</t>
  </si>
  <si>
    <t>SALINAS GUIZADO WALTER EDUARDO</t>
  </si>
  <si>
    <t xml:space="preserve">SURCO MEDINA CARLOS MARTIN </t>
  </si>
  <si>
    <t>47638097</t>
  </si>
  <si>
    <t>TAIPE MENDOZA RUBEN ANGEL</t>
  </si>
  <si>
    <t>17433213</t>
  </si>
  <si>
    <t>TELLO MARCELO FRANCO</t>
  </si>
  <si>
    <t>TINEDO MENDOZA YINMI SAMUEL</t>
  </si>
  <si>
    <t>76697344</t>
  </si>
  <si>
    <t>VERONA ALTAMIRANO JOSE ALBERTO</t>
  </si>
  <si>
    <t>VIDAURRE CABEZAS JUANA</t>
  </si>
  <si>
    <t>40919234</t>
  </si>
  <si>
    <t>ZEVALLOS ACEVEDO OSCAR ENRIQUE</t>
  </si>
  <si>
    <t>ZUÑIGA LEGUIA HIMERON</t>
  </si>
  <si>
    <t>HUAMAN RIOS LEDGAR CRISTIAN</t>
  </si>
  <si>
    <t>MONTES MEZA MARTIN LUIS</t>
  </si>
  <si>
    <t>ATENCIO CHAVEZ JESUS</t>
  </si>
  <si>
    <t>OBRAS SUBTERRANEAS SA SUCURSAL EN LA REPUBLICA DEL PERU</t>
  </si>
  <si>
    <t>ACHATA HUAYHUAS FREDY</t>
  </si>
  <si>
    <t>ADAUTO LARA LUCIO</t>
  </si>
  <si>
    <t xml:space="preserve">AGURTO QUISPE JAIME ALONSO </t>
  </si>
  <si>
    <t>80528236</t>
  </si>
  <si>
    <t>AMAYA RIVERA  JIM MEIK</t>
  </si>
  <si>
    <t>43812893</t>
  </si>
  <si>
    <t>AMAYA RIVERA MILKER GIN</t>
  </si>
  <si>
    <t>ARNAO CORDOVA ANGEL JESUS</t>
  </si>
  <si>
    <t>70307947</t>
  </si>
  <si>
    <t>ARROYO SORIANO HUBER SUNIL</t>
  </si>
  <si>
    <t>10467048</t>
  </si>
  <si>
    <t>ARROYO SORIANO YUBER ANIL</t>
  </si>
  <si>
    <t>ARTEAGA CASIHUE SAMUEL ABELARDO</t>
  </si>
  <si>
    <t>AVALOS GALVEZ LUIS ALEJANDRO</t>
  </si>
  <si>
    <t>AYALA CALDERON EDHER CLINTHON</t>
  </si>
  <si>
    <t>AYALA CALDERON MARCEL NOBEL</t>
  </si>
  <si>
    <t>AYAY CORREA PEDRO</t>
  </si>
  <si>
    <t xml:space="preserve">AZURZA ALLCCARIMA YOVANI </t>
  </si>
  <si>
    <t>BACA SANCHEZ CARLA BRIGITH</t>
  </si>
  <si>
    <t>BACON FIGUEROA MIGUEL ANGEL</t>
  </si>
  <si>
    <t>BALDERA MAZA CESAR AUGUSTO</t>
  </si>
  <si>
    <t>41255925</t>
  </si>
  <si>
    <t>BAUTISTA VERASTEGUI GINO ALEXANDER</t>
  </si>
  <si>
    <t>BENITES QUIQUIA MANUEL ANIBAL</t>
  </si>
  <si>
    <t>BERNUY ANGELDONES JAIME OCTAVIO</t>
  </si>
  <si>
    <t>BLANCAS SOTO JESUS JOSUE</t>
  </si>
  <si>
    <t>BLANCAS SOTO YONSSON JONAS</t>
  </si>
  <si>
    <t>BLAS HIDALGO JAVIER NEFTALI</t>
  </si>
  <si>
    <t>BUENDIA CORONADO JIMMY YSMAEL</t>
  </si>
  <si>
    <t>BUENO HURTADO ELMER</t>
  </si>
  <si>
    <t>CALDERON LINO MARCOS ANTONIO</t>
  </si>
  <si>
    <t>40901532</t>
  </si>
  <si>
    <t xml:space="preserve">CALLE ARMACCANCE CESAR </t>
  </si>
  <si>
    <t>CALVAY HUAMAN PABLO</t>
  </si>
  <si>
    <t>CARRERA MONTESINOS VICTOR DAN</t>
  </si>
  <si>
    <t>CARRILLO SANCHEZ ANGEL LOMBARDO</t>
  </si>
  <si>
    <t>CASTAÑEDA CRUZ DIMAS</t>
  </si>
  <si>
    <t>CASTILLO ROMAN NIKE ROBERSON</t>
  </si>
  <si>
    <t>CASTRO SUAREZ JAIR JORDAN</t>
  </si>
  <si>
    <t>CERVANTES SHUPINGAHUA REIDOR</t>
  </si>
  <si>
    <t>CHAVEZ MINCHAN HECTOR</t>
  </si>
  <si>
    <t>CHIRCCA ZARATE JUVENAL</t>
  </si>
  <si>
    <t>CHUJUTALLI CENEPO SANDRO</t>
  </si>
  <si>
    <t>COLCHADO FASABI JHONATAN PRIX</t>
  </si>
  <si>
    <t>COLOS CAMPOS ARCIDEZ</t>
  </si>
  <si>
    <t>10621145</t>
  </si>
  <si>
    <t>CORREA DURAN VICTOR</t>
  </si>
  <si>
    <t xml:space="preserve">CRUZ BARRERA MOISES </t>
  </si>
  <si>
    <t>CUBA RAMIREZ JOSE LUIS</t>
  </si>
  <si>
    <t>06772216</t>
  </si>
  <si>
    <t>CUEVA RODRIGUEZ CARLOS</t>
  </si>
  <si>
    <t>73515181</t>
  </si>
  <si>
    <t>DE LA CRUZ PURIHUAMAN NOE</t>
  </si>
  <si>
    <t>DEL AGUILA RAMIREZ JUAN CARLOS</t>
  </si>
  <si>
    <t>DOMINGUEZ CRUZ ALEX MILNER</t>
  </si>
  <si>
    <t>ENCALADA ESTEBAN ELEAZAR</t>
  </si>
  <si>
    <t>43679870</t>
  </si>
  <si>
    <t>ENCARNACION COTRINA ALEJANDRO OMAR</t>
  </si>
  <si>
    <t>ESCALANTE MANRIQUE JOEL</t>
  </si>
  <si>
    <t>ESPINOZA COLCHADO JUAN APOLINARIO</t>
  </si>
  <si>
    <t>FARROÑAN DE LA PIEDRA ALAN FELIPE</t>
  </si>
  <si>
    <t>FERNANDEZ PADILLA EISER ELI</t>
  </si>
  <si>
    <t>FERNANDEZ PADILLA SEGUNDO ANDRES</t>
  </si>
  <si>
    <t>FERNANDEZ VICTORINO ELMER</t>
  </si>
  <si>
    <t>03878379</t>
  </si>
  <si>
    <t>FLORES VERA DEMETRIO</t>
  </si>
  <si>
    <t>GACIUT COBEÑAS DAVID JONATHAN</t>
  </si>
  <si>
    <t>GAMBOA PONCE RICARDO AUGUSTO</t>
  </si>
  <si>
    <t>41424840</t>
  </si>
  <si>
    <t>GARCIA ALVARADO JORGE RAYMUNDO</t>
  </si>
  <si>
    <t>GARCIA GUEVARA ANGELINA GIORELLY</t>
  </si>
  <si>
    <t>GARCIA PRIETO LILIO WILDE</t>
  </si>
  <si>
    <t>45508326</t>
  </si>
  <si>
    <t>GOMEZ CASTILLO CARLOS</t>
  </si>
  <si>
    <t>HIDALGO RUIZ JAVIER</t>
  </si>
  <si>
    <t>HINOSTROZA BELLIDO VIDAL</t>
  </si>
  <si>
    <t>31462501</t>
  </si>
  <si>
    <t>HUACHACA SALAS ERASAMO</t>
  </si>
  <si>
    <t>HUARACA TINEO JUAN CARLOS</t>
  </si>
  <si>
    <t>HUARACA TINEO WILLIAMS JESUS</t>
  </si>
  <si>
    <t>HUIMAN DE LA CRUZ LUIS MIGUEL</t>
  </si>
  <si>
    <t>HURTADO COTRINA DIEGO GABRIEL</t>
  </si>
  <si>
    <t>KIN QUISPE VALENTIN</t>
  </si>
  <si>
    <t>LEON FAJARDO WILLIAMS WILFREDO</t>
  </si>
  <si>
    <t>LEYVA CASTRO AQUILES ALONSO</t>
  </si>
  <si>
    <t>LOPEZ CASTRO DEYNIS ARLEN</t>
  </si>
  <si>
    <t xml:space="preserve">LOPEZ OROZCO MILTHON </t>
  </si>
  <si>
    <t>LOZANO RIOS TEODOBERTO</t>
  </si>
  <si>
    <t>80086234</t>
  </si>
  <si>
    <t>LUCIANO VALERIO WILLY</t>
  </si>
  <si>
    <t>MACHUCA MEDINA SANTOS JAIME</t>
  </si>
  <si>
    <t>MAMANI CHEJE RENE</t>
  </si>
  <si>
    <t>MAÑEZ CENEPO ALEXANDER</t>
  </si>
  <si>
    <t xml:space="preserve">MARIN MENDOZA SLEITER </t>
  </si>
  <si>
    <t>MARIN QUIRICA ABEL</t>
  </si>
  <si>
    <t>MARTINEZ ARAMBURU MICHAEL GERALD</t>
  </si>
  <si>
    <t>MARTINEZ CAMPOS RAUL AGUSTIN</t>
  </si>
  <si>
    <t>MARTINEZ PALOMINO MIGUEL ANGEL</t>
  </si>
  <si>
    <t>MARTINEZ PAZ SEGUNDO HOMERO</t>
  </si>
  <si>
    <t>MELENDEZ PICON JORGE ANTONIO</t>
  </si>
  <si>
    <t>MENDEZ HINOSTROZA JOSE ANTONIO</t>
  </si>
  <si>
    <t>MILLONES ZARPAN ANIBAL ALEXANDER</t>
  </si>
  <si>
    <t>10359352</t>
  </si>
  <si>
    <t>MITMA JANAMPA ADRIANO</t>
  </si>
  <si>
    <t xml:space="preserve">MONTALVO CRUZ RICHARD MICKY </t>
  </si>
  <si>
    <t>MORA ARTEAGA JOSE MERCEDES</t>
  </si>
  <si>
    <t>MORENO DEL AGUILA REGNER</t>
  </si>
  <si>
    <t>MORI ZEGARRA ALDO WILSON</t>
  </si>
  <si>
    <t>ÑAHUARIMA TICA DETER YASMANI</t>
  </si>
  <si>
    <t>ÑAHUI ALVAREZ JAIME</t>
  </si>
  <si>
    <t>OJANAMA INUMA DENIS</t>
  </si>
  <si>
    <t>OROYA RUMAY RIMER JAVIER</t>
  </si>
  <si>
    <t>ORTEGA MIRABAL BERNARDINO</t>
  </si>
  <si>
    <t>PACHECO VILLANO ALEXANDER</t>
  </si>
  <si>
    <t xml:space="preserve">PAICO RIVERA HEINER </t>
  </si>
  <si>
    <t>PALACIOS BALDEON INOCENCIO</t>
  </si>
  <si>
    <t>PALMA BALDEON CESAR RUBEN</t>
  </si>
  <si>
    <t>PALMA BALDEON CRISTOBAL AURELIO</t>
  </si>
  <si>
    <t>PALMARES QUISPE VICTOR</t>
  </si>
  <si>
    <t>PARCCO CRESPO SERGIO</t>
  </si>
  <si>
    <t>PARRA MEDINA LIZ ARACELI</t>
  </si>
  <si>
    <t>PASTOR PAREDES EDWARD JOEL</t>
  </si>
  <si>
    <t>PEREZ ALBA SAMUEL SEBASTIAN</t>
  </si>
  <si>
    <t>PEREZ BERAUN BRYAN NELSON</t>
  </si>
  <si>
    <t>POLO CRUZADO ELVIS</t>
  </si>
  <si>
    <t>POLO CRUZADO MAXIMO</t>
  </si>
  <si>
    <t>POMAR HUAMALIANO JHON HERLY</t>
  </si>
  <si>
    <t>PUENTE FERNANDEZ JOHAN SAGITARIO</t>
  </si>
  <si>
    <t>PUERTA BARDALES JERBER KEMEL</t>
  </si>
  <si>
    <t>PUYCAN TINEO FREDDY RICHARD</t>
  </si>
  <si>
    <t>QUINO HUINCHO MICHAEL RONALD</t>
  </si>
  <si>
    <t>QUINTERO FERNANDEZ MANUEL FRANCISCO</t>
  </si>
  <si>
    <t>QUISPE AZURZA WILVER SEBASTIAN</t>
  </si>
  <si>
    <t>70190725</t>
  </si>
  <si>
    <t xml:space="preserve">QUISPE MALASQUEZ ANDRES AMADOR </t>
  </si>
  <si>
    <t>QUISPE PALOMINO WILLIAM NAZARIO</t>
  </si>
  <si>
    <t>71882930</t>
  </si>
  <si>
    <t>RAMIREZ ALBERCA ALEX</t>
  </si>
  <si>
    <t>RAMIREZ HERNADEZ ALEXANDER MOISES</t>
  </si>
  <si>
    <t>RAMIREZ HOLGUIN NYLSON XAVIER</t>
  </si>
  <si>
    <t>RAMOS MUÑOZ MOISES</t>
  </si>
  <si>
    <t>RAYCO PEREZ CARLOS</t>
  </si>
  <si>
    <t>REBAZA SOLIS FABRIZIO</t>
  </si>
  <si>
    <t>REBAZA SOLIS PAULO CESAR</t>
  </si>
  <si>
    <t>REYES FAJARDO HEBERT RENSO</t>
  </si>
  <si>
    <t>REYNA BENITES IVAR DANI</t>
  </si>
  <si>
    <t>10055473</t>
  </si>
  <si>
    <t>RIOS CHANCAHUAÑA JULIO CESAR</t>
  </si>
  <si>
    <t>ROJAS ATENCIA RAFAEL</t>
  </si>
  <si>
    <t>ROJAS COLUNCHE DARLIN ANTONI</t>
  </si>
  <si>
    <t>ROJAS GUERRA ALEJANDRO JOSE</t>
  </si>
  <si>
    <t xml:space="preserve">ROMERO SOTO DITMAR ROGGER </t>
  </si>
  <si>
    <t xml:space="preserve">RUIZ CHAVEZ DAVID </t>
  </si>
  <si>
    <t>SAMANEZ BOEZO ROLY</t>
  </si>
  <si>
    <t>SANDOVAL AGUILAR JOSE MIGUEL</t>
  </si>
  <si>
    <t>41033358</t>
  </si>
  <si>
    <t>SERPA HUAYANAY AGUSTIN LIRA</t>
  </si>
  <si>
    <t>SHUÑA MURRIETA JAIRO</t>
  </si>
  <si>
    <t>SIESQUEN TUÑOQUE PEDRO</t>
  </si>
  <si>
    <t>03600290</t>
  </si>
  <si>
    <t>SILVA FLORES JOSE</t>
  </si>
  <si>
    <t>SILVA KAMT PIER JOAQUIN</t>
  </si>
  <si>
    <t>TACURE CALLE JAIME</t>
  </si>
  <si>
    <t>TECHERA AYMACHOQUE FRANK DINO</t>
  </si>
  <si>
    <t>61398471</t>
  </si>
  <si>
    <t xml:space="preserve">TINEO EVANGELISTA JEIMI JORDAN </t>
  </si>
  <si>
    <t>TORRES VALENTIN MIGUEL CARLOS</t>
  </si>
  <si>
    <t>TOVAR TIPIANI VICTOR</t>
  </si>
  <si>
    <t>46581859</t>
  </si>
  <si>
    <t>TRUJILLO CASTRO AMED JAZAN</t>
  </si>
  <si>
    <t>TUANAMA PANDURO JAVIER</t>
  </si>
  <si>
    <t>TURPO CAHUANA ROSALIO</t>
  </si>
  <si>
    <t>VALDIVIA CONTRERAS LORENZO ALBERTO</t>
  </si>
  <si>
    <t>VALENZUELA CUENCA SAMUEL</t>
  </si>
  <si>
    <t>VARGAS POMA JULIAN</t>
  </si>
  <si>
    <t>005521664</t>
  </si>
  <si>
    <t>VASQUEZ LA CRUZ ALBERTO</t>
  </si>
  <si>
    <t>VASQUEZ PINEDA WILFREDO</t>
  </si>
  <si>
    <t>43688099</t>
  </si>
  <si>
    <t>VASQUEZ SOTO JIM</t>
  </si>
  <si>
    <t>VELARDE CONDORI MILKO MIGUEL</t>
  </si>
  <si>
    <t>VELASQUEZ ROQUE DANIEL FELIX</t>
  </si>
  <si>
    <t>VIERA HUALCAS YERSEN</t>
  </si>
  <si>
    <t>45889609</t>
  </si>
  <si>
    <t>VILLALBA CHIPANA DIEGO</t>
  </si>
  <si>
    <t>VILLAVICENCIO ESCATE EDWIN GERALDO</t>
  </si>
  <si>
    <t>BEDON VALENCIA GUILLERMO</t>
  </si>
  <si>
    <t>EGUSQUIZA EGUSQUIZA CARLOS</t>
  </si>
  <si>
    <t>ENRIQUEZ TELLO JEAN PAUL</t>
  </si>
  <si>
    <t>HUAYANAY RAMIREZ CARLOS PAUL</t>
  </si>
  <si>
    <t>CORP CLIMATE SYSTEM S.A.C.</t>
  </si>
  <si>
    <t>SALCEDO JARA WILLY JACOBO</t>
  </si>
  <si>
    <t>VILLAVICENCIO PAREDES ALDAIR ALEXIS</t>
  </si>
  <si>
    <t>ALONSO RENGIFO MATIAS ORESTES</t>
  </si>
  <si>
    <t>CABEZAS CARDENAS MARISOL MARIA</t>
  </si>
  <si>
    <t>ESPINOZA MAJIPO DEYVI OMAR</t>
  </si>
  <si>
    <t>71430749</t>
  </si>
  <si>
    <t xml:space="preserve">ALVARADO CHIPANA LUIS  FELIPE </t>
  </si>
  <si>
    <t>HUAYANEY VALENTIN PEDRO LUIS</t>
  </si>
  <si>
    <t>BRENA - LIMA</t>
  </si>
  <si>
    <t>ACIS PROCESS S.A.C.</t>
  </si>
  <si>
    <t xml:space="preserve">PINEDO TORRE ARIEL GIRALDO </t>
  </si>
  <si>
    <t xml:space="preserve">ABANTO ROJAS JOSE CLAUDIO </t>
  </si>
  <si>
    <t xml:space="preserve">CHAVEZ VERGARAY CINTHYA VANESSA </t>
  </si>
  <si>
    <t xml:space="preserve">YBAÑEZ TUESTA JOSE MIGUEL </t>
  </si>
  <si>
    <t>FLORES FLORES JHOANA EDITH</t>
  </si>
  <si>
    <t>ROQUE PRIETO GEAMPIERE</t>
  </si>
  <si>
    <t>FARJE SANDOVAL JORGE</t>
  </si>
  <si>
    <t>CAMACHO CHAVEZ RICHARD DANIEL</t>
  </si>
  <si>
    <t>CARDOZA BAÑEZ HAROLD RUBEN</t>
  </si>
  <si>
    <t>BERNALES MACEDO ARTURO</t>
  </si>
  <si>
    <t>CHANCHARI GOMEZ ZHAO DILSON</t>
  </si>
  <si>
    <t>LEVANO YALICO ELIO ANDRE</t>
  </si>
  <si>
    <t>QUISPE LLAMOCCA MARINO</t>
  </si>
  <si>
    <t>SILVESTRE VALVERDE JOSE ANTONIO</t>
  </si>
  <si>
    <t>ASTO QUISPE GERARDO</t>
  </si>
  <si>
    <t>BALBOA GOMEZ ANGEL</t>
  </si>
  <si>
    <t>BERNALES MACEDO LUIS</t>
  </si>
  <si>
    <t>LOPEZ ROMANI ALBERTO</t>
  </si>
  <si>
    <t>RODRIGUEZ RODRIGUEZ CARLOS FRANCISCO</t>
  </si>
  <si>
    <t>45614019</t>
  </si>
  <si>
    <t>76246009</t>
  </si>
  <si>
    <t>HERRERA CAPA VICENTE</t>
  </si>
  <si>
    <t>HORNA MIRANDA DAVID</t>
  </si>
  <si>
    <t>41412750</t>
  </si>
  <si>
    <t>MARCELO BECERRA ROSA JULIA</t>
  </si>
  <si>
    <t>QUINCHO CHAUPIN ALFONZO</t>
  </si>
  <si>
    <t>GONZALES FUERTES JEAN STEFANO</t>
  </si>
  <si>
    <t>72750790</t>
  </si>
  <si>
    <t>MARIN ANICETO PAUL ANTHONY</t>
  </si>
  <si>
    <t>MURGA MORENO PEDRO MICHELL</t>
  </si>
  <si>
    <t xml:space="preserve">QUIROZ CESIAS NELSON ALDAIR </t>
  </si>
  <si>
    <t>TRUJILLO BENITES JORGE DANIEL</t>
  </si>
  <si>
    <t>BARRANTES OLGUIN CESAR AUGUSTO</t>
  </si>
  <si>
    <t>GORDILLO AZABACHE SEGUNDO TEODORO</t>
  </si>
  <si>
    <t>LEZAMA CASTAÑEDA JUAN CARLOS</t>
  </si>
  <si>
    <t>MINCHAN CAHUANA JUAN</t>
  </si>
  <si>
    <t>AREVALO CARDOZA MARTIN AUGUSTO</t>
  </si>
  <si>
    <t>CESIAS MORENO VICTOR CECILIO</t>
  </si>
  <si>
    <t>ARCE MENDOZA JULIO CESAR</t>
  </si>
  <si>
    <t>CRUZ POLO ANGEL</t>
  </si>
  <si>
    <t>44123628</t>
  </si>
  <si>
    <t>INTI ALVA MARCO RUBEN</t>
  </si>
  <si>
    <t>42622320</t>
  </si>
  <si>
    <t>AYALA LASTRA, ISAIAS RAMON</t>
  </si>
  <si>
    <t>TAPIA MARTELL DANILO NICANOR</t>
  </si>
  <si>
    <t>48398781</t>
  </si>
  <si>
    <t>MARCELO ZUÑIGA JONATHAN MIGUEL</t>
  </si>
  <si>
    <t>CASTILLO RAYMUNDO JOSE BRAULIO</t>
  </si>
  <si>
    <t xml:space="preserve">72497485  </t>
  </si>
  <si>
    <t>ROSPIGLIOSI SANCHEZ GIANLOUI GIULIANO</t>
  </si>
  <si>
    <t>Jamanca Hurtado Eder Alexander</t>
  </si>
  <si>
    <t>HEREDIA VASQUEZ GEINER</t>
  </si>
  <si>
    <t>10335321</t>
  </si>
  <si>
    <t>CUYA CONDORI MANUEL</t>
  </si>
  <si>
    <t>46290087</t>
  </si>
  <si>
    <t xml:space="preserve">77236257 </t>
  </si>
  <si>
    <t>LASTARRIA ENRIQUEZ ROBERT WILFREDO</t>
  </si>
  <si>
    <t>ESPINOZA MENDIZABAL EVELYN GERALDINE</t>
  </si>
  <si>
    <t>MOLINA JERI DANTE DANIEL</t>
  </si>
  <si>
    <t xml:space="preserve">PERCY ENRIQUE FERRER CALDERON </t>
  </si>
  <si>
    <t>42490474</t>
  </si>
  <si>
    <t>RAMIREZ GUILLEN CESAR JAIME</t>
  </si>
  <si>
    <t>CRISTIAN RAUL ROJAS VELASQUEZ</t>
  </si>
  <si>
    <t>JOSE ALBERTO VASQUEZ SARMIENTO</t>
  </si>
  <si>
    <t>NEHEMIAS ALCANTARA PAULINO</t>
  </si>
  <si>
    <t>44189769</t>
  </si>
  <si>
    <t>ALEX MACEDO TANGOA</t>
  </si>
  <si>
    <t>WALTER LOARTE EVANGELISTA</t>
  </si>
  <si>
    <t>AMAYA VELIZ WILLIAM GIOVANNI</t>
  </si>
  <si>
    <t>CARRIZALES VASQUEZ HANZ ALBERTO</t>
  </si>
  <si>
    <t>CENTENO ROCA CARLOS ENRIQUE</t>
  </si>
  <si>
    <t>CUADROS VASQUEZ EDILBERTO</t>
  </si>
  <si>
    <t>UCEDA VILLAMARES JULIO CESAR</t>
  </si>
  <si>
    <t>72832773</t>
  </si>
  <si>
    <t>MENDOZA ROJAS YAJAIRA MADELEIN</t>
  </si>
  <si>
    <t>25709656</t>
  </si>
  <si>
    <t xml:space="preserve">QUIÑONEZ OJEDA MATIAS JESUS </t>
  </si>
  <si>
    <t>AYUQUE QUISPE ALBARO</t>
  </si>
  <si>
    <t>CARREÑO FERNANDEZ LANDI ALFONSO</t>
  </si>
  <si>
    <t xml:space="preserve">CHIPANA QUISPE DELFIN </t>
  </si>
  <si>
    <t>75524207</t>
  </si>
  <si>
    <t>CORDOVA ARZAPALO CECILIA CHARITO</t>
  </si>
  <si>
    <t>DAVILA RIMARACHIN JORGE ALEX</t>
  </si>
  <si>
    <t xml:space="preserve">DAVILA RODRIGUEZ JAIRO OMAR </t>
  </si>
  <si>
    <t xml:space="preserve">GUZMAN ARANA WILFREDO	</t>
  </si>
  <si>
    <t xml:space="preserve">HUAMAN CAJACHAHUA LUIS ENRIQUE </t>
  </si>
  <si>
    <t>75411677</t>
  </si>
  <si>
    <t>MEZA MONTES LUIS BRAYAN</t>
  </si>
  <si>
    <t xml:space="preserve">SAENZ CHICO BRYNNER FREDDY </t>
  </si>
  <si>
    <t>SAMANAMUD MEDINA WALTER FABRICIO</t>
  </si>
  <si>
    <t>SANCHEZ DEL POZO LENIN ALI</t>
  </si>
  <si>
    <t>42310834</t>
  </si>
  <si>
    <t>SOLIER SANCHEZ JOEL</t>
  </si>
  <si>
    <t>VERDE VALLEJO LEONARDI OVIDIO</t>
  </si>
  <si>
    <t>GUILLEN BARZOLA FREDY</t>
  </si>
  <si>
    <t>HUANHUAYO CLEMENTE WALTER</t>
  </si>
  <si>
    <t>LEÓN CAISAHUANA GOLEAT RENE</t>
  </si>
  <si>
    <t>NUÑEZ CASTILLO JOSUE</t>
  </si>
  <si>
    <t>URTECHO COTRINA BENITO MANUEL</t>
  </si>
  <si>
    <t>48494702</t>
  </si>
  <si>
    <t>ZEGARRA ALVAREZ JULIO CESAR</t>
  </si>
  <si>
    <t>CORDOVA REYES JUAN PABLO DAVID</t>
  </si>
  <si>
    <t>41672079</t>
  </si>
  <si>
    <t>CCASAME CHAVEZ ROBERTO JEREMIAS  </t>
  </si>
  <si>
    <t>25859958</t>
  </si>
  <si>
    <t>RIVERA TARAZONA EDWIN FRANCISCO</t>
  </si>
  <si>
    <t>25849334</t>
  </si>
  <si>
    <t>AGUIRRE LOPEZ CLODOALDO JUAN</t>
  </si>
  <si>
    <t>RODRIGUEZ ANTICONA RICHARD ALONSO</t>
  </si>
  <si>
    <t>CAJAHUARINGA SANTOS GIANCARLOS</t>
  </si>
  <si>
    <t>VEGA ALARCON OSCAR ESTEBAN</t>
  </si>
  <si>
    <t>DAMIAN RIOS GERSON ISRAEL</t>
  </si>
  <si>
    <t>09597238</t>
  </si>
  <si>
    <t>GARCIA ROSADO RAUL</t>
  </si>
  <si>
    <t>AJON SANDA FREDDY</t>
  </si>
  <si>
    <t>09397112</t>
  </si>
  <si>
    <t>GARCIA ROJAS JOSE LUIS</t>
  </si>
  <si>
    <t>77224624</t>
  </si>
  <si>
    <t>LASTARRIA ENRIQUEZ,AMALIA ANABEL</t>
  </si>
  <si>
    <t>73994986</t>
  </si>
  <si>
    <t>YAPO CANGANA,HENRY JAVIER</t>
  </si>
  <si>
    <t>77340804</t>
  </si>
  <si>
    <t>CENTURION DELGADO,GEUMER</t>
  </si>
  <si>
    <t>13/06/204</t>
  </si>
  <si>
    <t>71413609</t>
  </si>
  <si>
    <t>CARDENAS LUCAS,YORDAN RAMOS</t>
  </si>
  <si>
    <t>74088537</t>
  </si>
  <si>
    <t>ROJAS MEDRANO,JUAN MANUEL</t>
  </si>
  <si>
    <t>71240639</t>
  </si>
  <si>
    <t>ALTAMIRANO NAVARRO,KENNEDY JHON</t>
  </si>
  <si>
    <t>72957587</t>
  </si>
  <si>
    <t>GOMEZ GOMEZ,GUILLEN</t>
  </si>
  <si>
    <t>76848297</t>
  </si>
  <si>
    <t>MUNAYLLA PEREZ,RICARDO BENJAMIN</t>
  </si>
  <si>
    <t>76844216</t>
  </si>
  <si>
    <t>DAHUA NOA,FRANCISCO</t>
  </si>
  <si>
    <t>10504655</t>
  </si>
  <si>
    <t>JIMENEZ MOZOMBITE ALEX</t>
  </si>
  <si>
    <t>40879830</t>
  </si>
  <si>
    <t>RAMIREZ RODRIGUEZ RONY</t>
  </si>
  <si>
    <t>45239029</t>
  </si>
  <si>
    <t>CARBAJAL VARAS JHOLBER ENRRIQUE</t>
  </si>
  <si>
    <t>72780061</t>
  </si>
  <si>
    <t>VELASCO URDIALES MIGUEL JESUS</t>
  </si>
  <si>
    <t xml:space="preserve">SANCHEZ JIMENEZ ALEXANDER </t>
  </si>
  <si>
    <t>LOPERA JULCA AARON</t>
  </si>
  <si>
    <t>40895255</t>
  </si>
  <si>
    <t>ANGULO AMASIFUEN JORGE LENY</t>
  </si>
  <si>
    <t xml:space="preserve">GAMBOA CAJAS JHOSUEN ALEXEI </t>
  </si>
  <si>
    <t>07626176</t>
  </si>
  <si>
    <t>CARDENAS SALDIVAR EDWARD</t>
  </si>
  <si>
    <t>72318285</t>
  </si>
  <si>
    <t>BELITO SOTO DAVID ADJAMIR</t>
  </si>
  <si>
    <t>15298916</t>
  </si>
  <si>
    <t>CASTRO ROMERO PERCY LUIS</t>
  </si>
  <si>
    <t>43521924</t>
  </si>
  <si>
    <t>CURICHIMBA ARMAS SEGUNDO</t>
  </si>
  <si>
    <t>47635016</t>
  </si>
  <si>
    <t>LLICO PABLO MARCO JHONI</t>
  </si>
  <si>
    <t>72801026</t>
  </si>
  <si>
    <t>YATACO TASAYCO JONATHAN JOEL</t>
  </si>
  <si>
    <t>41913491</t>
  </si>
  <si>
    <t>ROJAS RENGIFO JUAN MANUEL</t>
  </si>
  <si>
    <t>44383525</t>
  </si>
  <si>
    <t>CASTAÑEDA FLORES JANS NAÑES</t>
  </si>
  <si>
    <t>42279152</t>
  </si>
  <si>
    <t>MARTINEZ RAMIREZ MARCO ANTONIO</t>
  </si>
  <si>
    <t>45489006</t>
  </si>
  <si>
    <t>MORENO ALMEYDA JOSE LUIS</t>
  </si>
  <si>
    <t>46726776</t>
  </si>
  <si>
    <t>ARBILDO PISCO BERNABE</t>
  </si>
  <si>
    <t>74423671</t>
  </si>
  <si>
    <t>BARONI MARMOLEJO MARCOS ALBERTO</t>
  </si>
  <si>
    <t>10786234</t>
  </si>
  <si>
    <t>MORI LOPEZ JULIAN</t>
  </si>
  <si>
    <t>46190836</t>
  </si>
  <si>
    <t>BAZAN MENDOZA BIZET BENJAMIN</t>
  </si>
  <si>
    <t>SOLEX GRUPO SAC</t>
  </si>
  <si>
    <t>SANCHEZ ESTEBAN HENRY FELIX</t>
  </si>
  <si>
    <t>FABIAN CASTRO ALCIDES JUSTINO</t>
  </si>
  <si>
    <t xml:space="preserve">YAULI DELGADO WILIAMS MAYKI </t>
  </si>
  <si>
    <t xml:space="preserve">ARMAS INGA JEAN CARLOS </t>
  </si>
  <si>
    <t>QUISPE YANAC CARLOS ANTONIO</t>
  </si>
  <si>
    <t>SILLET BLANCO WENDY CAROLINA</t>
  </si>
  <si>
    <t>72421415</t>
  </si>
  <si>
    <t>CARLOS DANIEL JUAREZ NAVARRO</t>
  </si>
  <si>
    <t>10250911</t>
  </si>
  <si>
    <t>CUYUBAMBA TOVAR WILMER JHONY</t>
  </si>
  <si>
    <t>FLORES HUAYAMBAO RAUL</t>
  </si>
  <si>
    <t>VILLANUEVA VILLAVICENCIO JORGE LUIS</t>
  </si>
  <si>
    <t>VARGAS MALASQUEZ JORGE JAVIER</t>
  </si>
  <si>
    <t xml:space="preserve">CARMEN PILLACA JOHNNY MOISES </t>
  </si>
  <si>
    <t>HUAYTA MILLA FELIX CELSO</t>
  </si>
  <si>
    <t>ROJAS ANAYA EDWIN</t>
  </si>
  <si>
    <t>LADERA ORE AUGUSTO JAVIER</t>
  </si>
  <si>
    <t>GARCIA MENDOZA GERSON JOSE AUGUSTO</t>
  </si>
  <si>
    <t>NIÑO ALVAREZ WALTER JHONNY</t>
  </si>
  <si>
    <t>QUISPE HUAMAN JHONY EDGAR</t>
  </si>
  <si>
    <t>ESPINOZA INGA DAVID</t>
  </si>
  <si>
    <t>RUIZ BANCES JOSE ERASMO</t>
  </si>
  <si>
    <t>CARHUAMACA HUAYANAY JULIO</t>
  </si>
  <si>
    <t>FERNANDEZ ROJAS CHRISTIAN JOEL</t>
  </si>
  <si>
    <t>ESTRADA NOLE EDAR RODRIGO</t>
  </si>
  <si>
    <t>GONZALES SAEZ SAYARI</t>
  </si>
  <si>
    <t>COCA DURAND EDWIN</t>
  </si>
  <si>
    <t xml:space="preserve">QUISPE MONTES EMERSON </t>
  </si>
  <si>
    <t>GARCIA TACUCHI ANTHONY STUART</t>
  </si>
  <si>
    <t xml:space="preserve">CHUQUIYAURI GARCIA HERMINIO MAXIMO </t>
  </si>
  <si>
    <t>GARRIDO PEREDA ANGEL</t>
  </si>
  <si>
    <t>ROJAS OJEDA JOSE LUIS</t>
  </si>
  <si>
    <t>GARCIA SOVERO SERGIO LUIS</t>
  </si>
  <si>
    <t>BULEJE SOSA ROBERTO CARLOS</t>
  </si>
  <si>
    <t>SEDANO QUISPE CRISTHIAN FABIAN</t>
  </si>
  <si>
    <t>OCHANTE CHIPANA WALTER RODOLFO</t>
  </si>
  <si>
    <t>BANEGAS CHMABILLA TOMAS</t>
  </si>
  <si>
    <t>GARCIA SOVERO GABRIEL ARTURO</t>
  </si>
  <si>
    <t>YACHAS INGA MOISES</t>
  </si>
  <si>
    <t>GUTIERREZ CUEVA DIEGO ALFONSO</t>
  </si>
  <si>
    <t>HUAMAN HONISMAN RICARDO DIEGO</t>
  </si>
  <si>
    <t>LLOCCE SANCHEZ MIGUEL</t>
  </si>
  <si>
    <t>SANCHEZ LOAYZA LUIS JAVIER</t>
  </si>
  <si>
    <t>08483594</t>
  </si>
  <si>
    <t>SULBARAN XXX KERVIN DANILO</t>
  </si>
  <si>
    <t>AGREDA BENITEZ DAVID OSWALDO</t>
  </si>
  <si>
    <t>05340128</t>
  </si>
  <si>
    <t>RUIZ ORTIZ ROBINSON GUILLERMO</t>
  </si>
  <si>
    <t xml:space="preserve">DIAZ MARABOTTO DAVID </t>
  </si>
  <si>
    <t>VERA BAEZ HENRRY ANTONIO</t>
  </si>
  <si>
    <t>ROSADO CABELLO EUGENIO</t>
  </si>
  <si>
    <t>07621705</t>
  </si>
  <si>
    <t>PEZO PINEDO VICTOR</t>
  </si>
  <si>
    <t>08221098</t>
  </si>
  <si>
    <t>SANCHEZ OSORIO JOSE LUIS</t>
  </si>
  <si>
    <t>CHAPOÑAN HERNADEZ CARLOS ALBERTO</t>
  </si>
  <si>
    <t>CACERES ZEVALLOS JOSE ALEJANDRO</t>
  </si>
  <si>
    <t>09955473</t>
  </si>
  <si>
    <t>SOTO MOZOMBITE MIGUEL ANGEL</t>
  </si>
  <si>
    <t>HERRERA EGOAVIL FERNANDO MARTIN</t>
  </si>
  <si>
    <t>IPARRAGUIRRE CUBA JAIME ELIAS</t>
  </si>
  <si>
    <t xml:space="preserve">FLORES POLANCO OMAR ANDRES </t>
  </si>
  <si>
    <t>10713594</t>
  </si>
  <si>
    <t>LUY LEON JOSÉ TEOFILO</t>
  </si>
  <si>
    <t>18179337</t>
  </si>
  <si>
    <t>VALENTIN SMITH LEONARDO JOSE</t>
  </si>
  <si>
    <t>18906181</t>
  </si>
  <si>
    <t>SOTO SIPIRAN WILMAR MANUEL</t>
  </si>
  <si>
    <t>25515495</t>
  </si>
  <si>
    <t>SOTERO AGUIRRE CESAR RAUL</t>
  </si>
  <si>
    <t>25549384</t>
  </si>
  <si>
    <t>SILVA RIOS ENRIQUE MANUEL</t>
  </si>
  <si>
    <t>25741169</t>
  </si>
  <si>
    <t>TAFUR MECHAN OSCAR ANTONIO</t>
  </si>
  <si>
    <t>25751647</t>
  </si>
  <si>
    <t>SORIANO HERRERA MAXIMILIANO PEDRO</t>
  </si>
  <si>
    <t>25754630</t>
  </si>
  <si>
    <t>MOLOCHE MARQUEZ ANGEL DAVID</t>
  </si>
  <si>
    <t>25758216</t>
  </si>
  <si>
    <t xml:space="preserve">BRAVO CAMERO EDGAR LUCIANO </t>
  </si>
  <si>
    <t>25761218</t>
  </si>
  <si>
    <t>CASTILLO MARTINEZ HECTOR  OMAR</t>
  </si>
  <si>
    <t>25777892</t>
  </si>
  <si>
    <t>VILLANUEVA VALLE VICTOR AUGUSTO</t>
  </si>
  <si>
    <t>25781810</t>
  </si>
  <si>
    <t>MOROTE COLACA RUBEN MELO</t>
  </si>
  <si>
    <t>25805883</t>
  </si>
  <si>
    <t>VIDAL SANDOVAL DOMENICO PAUL</t>
  </si>
  <si>
    <t>25827758</t>
  </si>
  <si>
    <t>TARAZONA CAVALCANTI LUIS ALBERTO</t>
  </si>
  <si>
    <t>25831371</t>
  </si>
  <si>
    <t>VALDIVIEZO MOGOLLON MARCO ANTONIO</t>
  </si>
  <si>
    <t>25849063</t>
  </si>
  <si>
    <t>CONTRERAS ROCCA FERNANDO RAUL</t>
  </si>
  <si>
    <t>40653526</t>
  </si>
  <si>
    <t>MALDONADO ALIAGA HUGO SEBASTIAN</t>
  </si>
  <si>
    <t>40700161</t>
  </si>
  <si>
    <t>MORANTE CORDOVA RUBEN IVAN</t>
  </si>
  <si>
    <t>ORTIZ ARENAS MANUEL ALONZO</t>
  </si>
  <si>
    <t>VILLEGAS  HUERTAS JUAN  MANUEL</t>
  </si>
  <si>
    <t>43316041</t>
  </si>
  <si>
    <t>SANGAMA FASANANDO DARWIN</t>
  </si>
  <si>
    <t>45179861</t>
  </si>
  <si>
    <t>CHUCHON VASQUEZ BRAULIO FRANCIS</t>
  </si>
  <si>
    <t>BARRETO SARMIENTO MANUEL HERNAN</t>
  </si>
  <si>
    <t>PACAYA TAMANI ABRAHAM LINCOLN</t>
  </si>
  <si>
    <t>ULLOA ROJAS JOHN ROBERT</t>
  </si>
  <si>
    <t>47376815</t>
  </si>
  <si>
    <t>UGARTE ECHAZU LUIS GILLERMO</t>
  </si>
  <si>
    <t>SARZO TORREALBA VICTOR MANUEL</t>
  </si>
  <si>
    <t>VASQUEZ CALLE NEYVITH</t>
  </si>
  <si>
    <t>70231425</t>
  </si>
  <si>
    <t>PACAYA TANCHIVA EDSON ERICK</t>
  </si>
  <si>
    <t>72574117</t>
  </si>
  <si>
    <t>HUAPAYA ALEJANDRO STHEVEN DULMAN CARLOS</t>
  </si>
  <si>
    <t>73809490</t>
  </si>
  <si>
    <t>OLIVERA QUINTO MARTHEN OMAR</t>
  </si>
  <si>
    <t>74047798</t>
  </si>
  <si>
    <t>SOTO MOREY JONATHAN RYAN RAY</t>
  </si>
  <si>
    <t>MONTEZA BECERRA YOISER ISMAEL</t>
  </si>
  <si>
    <t>74526706</t>
  </si>
  <si>
    <t>MEJIA BERASTAIN CARLOS AUGUSTO</t>
  </si>
  <si>
    <t xml:space="preserve">QUISPE CLAROS LUIS ENRIQUE </t>
  </si>
  <si>
    <t>75868957</t>
  </si>
  <si>
    <t>ALVARADO CARBAJAL ANDERSON FABIAN</t>
  </si>
  <si>
    <t>TANCHIVA INCHE DIEGO ELI</t>
  </si>
  <si>
    <t>POMA ROJAS ALEXSIS HAIR</t>
  </si>
  <si>
    <t>77686478</t>
  </si>
  <si>
    <t>URVIOLA RAVELLO ENRIQUE ALFONSO</t>
  </si>
  <si>
    <t>80138926</t>
  </si>
  <si>
    <t>VALENZUELA CANCHARI JUAN RAUL</t>
  </si>
  <si>
    <t>SALINAS CUSIRRAMOS ANGEL ARMANDO</t>
  </si>
  <si>
    <t xml:space="preserve">MEJIA CONDORI JOHAN </t>
  </si>
  <si>
    <t>MELENDEZ TARAZONA RAUL</t>
  </si>
  <si>
    <t>MALCA AMBROSIO HAROLD MISAEL</t>
  </si>
  <si>
    <t>ESPINOZA LIZA DEUN ALDAIR</t>
  </si>
  <si>
    <t>ORTIZ RAFAEL ALDO</t>
  </si>
  <si>
    <t>VIVAR VELA CARLOS GERSON</t>
  </si>
  <si>
    <t>RAFAEL CHAVEZ ANIBAL</t>
  </si>
  <si>
    <t>MARTINEZ GUEVARA WELL WAIZ</t>
  </si>
  <si>
    <t>MOCILOTE SANCHEZ DODI ALEXANDER</t>
  </si>
  <si>
    <t>SILVA LIMAY JUAN</t>
  </si>
  <si>
    <t>07303342</t>
  </si>
  <si>
    <t>GUEVARA NARVAEZ RAUL</t>
  </si>
  <si>
    <t>HORNA GOMEZ LUIS ALEXANDER</t>
  </si>
  <si>
    <t>RIVERA ORTIZ JOSE ROSENDO</t>
  </si>
  <si>
    <t>DUEÑAS MACHUCA ROY</t>
  </si>
  <si>
    <t>MENDOZA QUISPE RANDY</t>
  </si>
  <si>
    <t>MORENO JAIMES EDINZON YIYO</t>
  </si>
  <si>
    <t>70599404</t>
  </si>
  <si>
    <t>REBAZA ANAYA BILLY JACK</t>
  </si>
  <si>
    <t>NIQUIN  CENTURION MIGUEL ANGEL</t>
  </si>
  <si>
    <t>DIAZ COSME ROY ROGGER</t>
  </si>
  <si>
    <t>10039229</t>
  </si>
  <si>
    <t>GUTIERREZ QUISPE ALFONSO</t>
  </si>
  <si>
    <t>MARIÑO HAYA MARIA MILAGROS</t>
  </si>
  <si>
    <t>ALDAVE RAMIREZ LEVENTEM DULANTO</t>
  </si>
  <si>
    <t>CARRANZA VICENTE ADOLFO</t>
  </si>
  <si>
    <t>DIAZ REQUEJO ALBERTO</t>
  </si>
  <si>
    <t>GARAMENDI FERNANDEZ CESAR LUIS</t>
  </si>
  <si>
    <t>JULCA MUNAYLLA ALVARADO GEANPIERRE</t>
  </si>
  <si>
    <t>MENESES ALAYO LEONARDO ROMAN</t>
  </si>
  <si>
    <t>NEIRA LOPEZ D'ANGELLO FRANCISCO ANDREE</t>
  </si>
  <si>
    <t>PERALTA MENDIETA LUIS ALBERTO</t>
  </si>
  <si>
    <t>QUISPE ROJAS PERCY</t>
  </si>
  <si>
    <t>05415607</t>
  </si>
  <si>
    <t>DAVILA MURAYARI JOSE</t>
  </si>
  <si>
    <t>INGA FLORES WUILMER</t>
  </si>
  <si>
    <t>43681078</t>
  </si>
  <si>
    <t>LEON JESUS DANNY JOHN</t>
  </si>
  <si>
    <t>MAURICIO YUPANQUI FELIX MANUEL</t>
  </si>
  <si>
    <t>75255987</t>
  </si>
  <si>
    <t>RAMIREZ FLORENCIO CESAR AUGUSTO</t>
  </si>
  <si>
    <t>RAMOS VARGAS IVAN FRANCISCO</t>
  </si>
  <si>
    <t>41444367</t>
  </si>
  <si>
    <t>RODRIGUEZ MURAYARI IVAN</t>
  </si>
  <si>
    <t>ARROYO MURGA REVEN ARTURO</t>
  </si>
  <si>
    <t>CARDENAS PUMAYAULI EDWARD</t>
  </si>
  <si>
    <t>10424320</t>
  </si>
  <si>
    <t>CORDOVA GASPAR EVARISTO RUBEN</t>
  </si>
  <si>
    <t>GALINDO DE LA CRUZ WILFREDO</t>
  </si>
  <si>
    <t>GURMENDI BERRIOS CESAR AUGUSTO</t>
  </si>
  <si>
    <t>CHAVEZ ROJAS MANUEL</t>
  </si>
  <si>
    <t xml:space="preserve">CHERO BERRIOS CHRISTIAN JAVIER </t>
  </si>
  <si>
    <t>GIL VASQUEZ ANTHONY GEORGE</t>
  </si>
  <si>
    <t>BAZAN SEQUEIROS FELIX</t>
  </si>
  <si>
    <t>SORA HINOJOSA JULIO CESAR</t>
  </si>
  <si>
    <t>LLOCCE IPURRE DENNIS MARIANO</t>
  </si>
  <si>
    <t>JUAREZ ASIPALI EDUARDO JESUS</t>
  </si>
  <si>
    <t>04831328</t>
  </si>
  <si>
    <t>MORALES DE LA CRUZ ELIO</t>
  </si>
  <si>
    <t>BARRETO VIVANCO JOSE LUIS</t>
  </si>
  <si>
    <t>003656006</t>
  </si>
  <si>
    <t>GARCIA GONZALES EMILIO JOSE</t>
  </si>
  <si>
    <t>16123977</t>
  </si>
  <si>
    <t>GONZALES COTERA LUIS ALBERTO</t>
  </si>
  <si>
    <t>Chuquillanqui Estrada Diego Augusto</t>
  </si>
  <si>
    <t>MALPARTIDA SANTOS RODOLFO</t>
  </si>
  <si>
    <t>SANCHEZ QUINTANA JHERSON NAUN</t>
  </si>
  <si>
    <t>04760777</t>
  </si>
  <si>
    <t>71013198</t>
  </si>
  <si>
    <t>BOJANICH RAMIREZ BRATZO ALEXANDER</t>
  </si>
  <si>
    <t>AGUILAR GARCIA, ISAAC ANDRES</t>
  </si>
  <si>
    <t>VARGAS AGUILAR, CARLOS MARCELO</t>
  </si>
  <si>
    <t>40133207</t>
  </si>
  <si>
    <t>TAPIA ARIAS, WILFREDO VICTOR</t>
  </si>
  <si>
    <t>VILLANUEVA BOHORQUEZ CESAR AUGUSTO</t>
  </si>
  <si>
    <t>60101334</t>
  </si>
  <si>
    <t>77133052</t>
  </si>
  <si>
    <t>73515183</t>
  </si>
  <si>
    <t>ESTACION 10- ESTACION 11-PZ 16-PZ-17-PZ18</t>
  </si>
  <si>
    <t>MEZA ARTEAGA EFRAIN LUIS</t>
  </si>
  <si>
    <t>BAHAMONDE BENAVENTE CESAR EMILIO</t>
  </si>
  <si>
    <t>42412699</t>
  </si>
  <si>
    <t xml:space="preserve">MARIN MUÑOZ ALEXI BENITO </t>
  </si>
  <si>
    <t>VILA FRANCIA JESUS ANGEL</t>
  </si>
  <si>
    <t>CASTRO CARDENAS LEONARDO MANUEL</t>
  </si>
  <si>
    <t>RUDY RUBEN VILLANERA LINARES</t>
  </si>
  <si>
    <t>CARDENAS HUAMANI EVER EMILIO</t>
  </si>
  <si>
    <t>44853996</t>
  </si>
  <si>
    <t xml:space="preserve"> CASTILLO ROSA ERICK MARTIN</t>
  </si>
  <si>
    <t xml:space="preserve"> HUAYANAY VILLARREAL YOJAR GUSTAVO </t>
  </si>
  <si>
    <t xml:space="preserve"> MAYLLE BALDEON ISAAC </t>
  </si>
  <si>
    <t xml:space="preserve"> GUTIERREZ SERNAQUE CRISTHIAN RAFAEL </t>
  </si>
  <si>
    <t xml:space="preserve"> ARTICA RODRIGUEZ MIGUEL ANGEL </t>
  </si>
  <si>
    <t xml:space="preserve"> VILLEGAS ALVAREZ LAZARO ISMAEL</t>
  </si>
  <si>
    <t>BARDALES SOZA CELSO</t>
  </si>
  <si>
    <t>NEYRA HUAMAN PEDRO</t>
  </si>
  <si>
    <t>ORTEGA SIPION RODOLFO</t>
  </si>
  <si>
    <t>AREVALO INUMA MOISES</t>
  </si>
  <si>
    <t>002861048</t>
  </si>
  <si>
    <t>SANCHEZ SECO JUSTINO ANDERSON</t>
  </si>
  <si>
    <t>CASTILLO PILIPE JOSE ARCENIO</t>
  </si>
  <si>
    <t>74911792</t>
  </si>
  <si>
    <t>RAMOS QUISPE RICARDO MIGUEL</t>
  </si>
  <si>
    <t>MENDOZA GARCIA MANUEL</t>
  </si>
  <si>
    <t>PALACIOS ANCAJIMA EDGARD</t>
  </si>
  <si>
    <t>RODRIGUEZ LLALLIRE PIERO ALEJANDRO</t>
  </si>
  <si>
    <t>CALLAHUA FLORES JJORGE</t>
  </si>
  <si>
    <t>ZELAYARAN MEZA GIANCARLOS BRYAN</t>
  </si>
  <si>
    <t>TINCO VALLEJOS RICHARD</t>
  </si>
  <si>
    <t>CARRION FLORES REY PAULINO</t>
  </si>
  <si>
    <t>HUAMANI CASTRO VICTOR WILDER</t>
  </si>
  <si>
    <t>ACHIRCANO HUAMAN TEOFILO</t>
  </si>
  <si>
    <t>CABANILLAS CENTENO ROBERTO CARLOS</t>
  </si>
  <si>
    <t>CALZADILLA ARAUJO JOSE LINDOMAR</t>
  </si>
  <si>
    <t>CRUZ NAVARRO ROLANDO</t>
  </si>
  <si>
    <t>CUBA TORRES CARLOS WINSTON</t>
  </si>
  <si>
    <t>ESPIRITU OSCCO JOSE ENRIQUE</t>
  </si>
  <si>
    <t>GUANILO RAMIREZ RAUL EDUARDO</t>
  </si>
  <si>
    <t>40951273</t>
  </si>
  <si>
    <t>HUACCACHI  LUZA YURI</t>
  </si>
  <si>
    <t>JUSTINIANO LAURA JORGE LUIS</t>
  </si>
  <si>
    <t>61228013</t>
  </si>
  <si>
    <t>LUJAN  NINASAUME MAXIMO</t>
  </si>
  <si>
    <t>NUÑEZ HUAMANI NILTON CESAR</t>
  </si>
  <si>
    <t>ORE VALVERDE DANNY</t>
  </si>
  <si>
    <t>003179171</t>
  </si>
  <si>
    <t>RAMOS RANGEL YULEINY</t>
  </si>
  <si>
    <t>RAYME RIVERA RAUL FERNANDO</t>
  </si>
  <si>
    <t>ROJAS MAYO JOEL AMOS</t>
  </si>
  <si>
    <t>MALDONADO VENEGAS JEAN CARLOS</t>
  </si>
  <si>
    <t>42931622</t>
  </si>
  <si>
    <t>ALBAN MUÑOZ, JORGE ALFONSO</t>
  </si>
  <si>
    <t>70136781</t>
  </si>
  <si>
    <t>HIDALGO BARZOLA,EMILIO VICTOR</t>
  </si>
  <si>
    <t>70025107</t>
  </si>
  <si>
    <t>REATEGUI CHUNG,GIBSON ALEXANDER</t>
  </si>
  <si>
    <t>72607068</t>
  </si>
  <si>
    <t>JANANPA MARTINEZ,DIEGO ALONSO</t>
  </si>
  <si>
    <t>717228869</t>
  </si>
  <si>
    <t>MACAVILCA GODOY,CARLOS</t>
  </si>
  <si>
    <t>72732191</t>
  </si>
  <si>
    <t>FLORES MARTINEZ,MARTIN ALEXIS</t>
  </si>
  <si>
    <t>73880759</t>
  </si>
  <si>
    <t>MUNAYLLA PEREZ,JESUS ARNOLD CRISTHIAN</t>
  </si>
  <si>
    <t>73967611</t>
  </si>
  <si>
    <t>ALEJANDRIA GUEVARA,LEONARDO EULISES</t>
  </si>
  <si>
    <t>72896277</t>
  </si>
  <si>
    <t>GUEVARA ALVAREZ,JOAQUIN ALONSO</t>
  </si>
  <si>
    <t>47129494</t>
  </si>
  <si>
    <t>SANTISTEBAN MORI,ALEXANDER</t>
  </si>
  <si>
    <t>45169349</t>
  </si>
  <si>
    <t xml:space="preserve">TANTA JAHUAY,JAVIER </t>
  </si>
  <si>
    <t>73403509</t>
  </si>
  <si>
    <t>BALBIN DE LA CRUZ LUIS ALEXANDER</t>
  </si>
  <si>
    <t>10880926</t>
  </si>
  <si>
    <t>LUJAN TORRE JUAN CARLOS</t>
  </si>
  <si>
    <t>60195798</t>
  </si>
  <si>
    <t>REATEGUI PORTELO ANDY JOSEPH</t>
  </si>
  <si>
    <t>42329877</t>
  </si>
  <si>
    <t>LOZANO REYES VICENTE</t>
  </si>
  <si>
    <t>CAMPOS VELA ELVIS PIERO</t>
  </si>
  <si>
    <t>42406647</t>
  </si>
  <si>
    <t>CAICHIHUA ROBLES VICTOR HUGO</t>
  </si>
  <si>
    <t>40681368</t>
  </si>
  <si>
    <t>RAMOS HIDALGO GERMAN GILMAR</t>
  </si>
  <si>
    <t>70602027</t>
  </si>
  <si>
    <t>ALTAMIRANO HUACHUHUILCA ANILU GIANELLA</t>
  </si>
  <si>
    <t>42808553</t>
  </si>
  <si>
    <t>RUIZ CELIS WENDER RICHARD</t>
  </si>
  <si>
    <t>76616129</t>
  </si>
  <si>
    <t>VITE CHARCA PEDRO LUIS</t>
  </si>
  <si>
    <t>07441402</t>
  </si>
  <si>
    <t>FRISANCHO FERNANDEZ LUIS ALBERTO</t>
  </si>
  <si>
    <t>72780282</t>
  </si>
  <si>
    <t>CHAVEZ GUERRERO VICTOR JUNIOR</t>
  </si>
  <si>
    <t>49041915</t>
  </si>
  <si>
    <t>42063033</t>
  </si>
  <si>
    <t>CHAVEZ CASTILLEJO WILLIAM JUAN</t>
  </si>
  <si>
    <t>70083795</t>
  </si>
  <si>
    <t>VALVERDE PAREJA CLAUDIA GABRIELA</t>
  </si>
  <si>
    <t>47632712</t>
  </si>
  <si>
    <t>RAMOS ROJAS BERNARDO RAUL</t>
  </si>
  <si>
    <t>PADILLA YARANGA BRAYAN JUNIOR</t>
  </si>
  <si>
    <t>MORALES ORDIALES KEVIN</t>
  </si>
  <si>
    <t>ACHAMIZO VARGAS RUDY ROGER</t>
  </si>
  <si>
    <t>AREVALO VITON JOSE KEVIN</t>
  </si>
  <si>
    <t>CASTILLO SILVA JOSE RUBEN FRANCO</t>
  </si>
  <si>
    <t>CORCUERA MARTINEZ GERSON MIGUEL</t>
  </si>
  <si>
    <t>DELGADO DIAZ NELZON</t>
  </si>
  <si>
    <t>GARAMENDI GOMEZ RICHARD EPIFANIO</t>
  </si>
  <si>
    <t>GASLA PACAYA DARCYN JHON</t>
  </si>
  <si>
    <t>GOMEZ ROBLES VLADIMIR</t>
  </si>
  <si>
    <t>GRANDEZ CHAMAMOTH ALBERTO</t>
  </si>
  <si>
    <t>GUEVARA TELLO HAROLD GIUSEPP</t>
  </si>
  <si>
    <t>HUAMANI MENENDEZ  LUIS ALBERTO</t>
  </si>
  <si>
    <t>LOPEZ CASTILLO JAIRO FAVIAN</t>
  </si>
  <si>
    <t>LOPEZ CASTILLO JUAN CARLOS</t>
  </si>
  <si>
    <t xml:space="preserve">PEREZ VELI MILER </t>
  </si>
  <si>
    <t>MONTESINOS PERALTA ANTONIO</t>
  </si>
  <si>
    <t>PAREDEZ DIAZ GUILLERMO OTONIEL</t>
  </si>
  <si>
    <t>RAMOS CUSACANI ROBERTO</t>
  </si>
  <si>
    <t>RAMOS SEGURA WILLY JHONNY</t>
  </si>
  <si>
    <t>RODRIGUEZ ECHEVARRIA JORGE  LUIS</t>
  </si>
  <si>
    <t>SANTOS CHAVARRIA ANGEL ANTONIO</t>
  </si>
  <si>
    <t>SOCOLA QUISPICHO MIGUEL</t>
  </si>
  <si>
    <t>TORRES BARCENA SAUL SEBASTIAN</t>
  </si>
  <si>
    <t>VICENTE ESPINOZA WUALDIR JACOB</t>
  </si>
  <si>
    <t>YUCRA LIMA RUSVELL DANIEL</t>
  </si>
  <si>
    <t>TENA JERY JUAN EDUARDO</t>
  </si>
  <si>
    <t>GUERRA MARTINEZ TOMMY ALEXIS</t>
  </si>
  <si>
    <t>25544770</t>
  </si>
  <si>
    <t>FAJARDO ALDEA BRAULIO HERNAN</t>
  </si>
  <si>
    <t>MARTINEZ VARGAS JOSE ANTONIO</t>
  </si>
  <si>
    <t>75868964</t>
  </si>
  <si>
    <t>CORDOVA BARRIENTOS FELIX MARTIN</t>
  </si>
  <si>
    <t>TORRES FERNANDEZ CESAR GABRIEL</t>
  </si>
  <si>
    <t>MENDOZA RAMOS DANNYS ALEXANDER</t>
  </si>
  <si>
    <t>ARAPA QUISPE ELVIS FRANCISCO</t>
  </si>
  <si>
    <t>YGNACIO LEYVA EDUARDO JOSIMAR</t>
  </si>
  <si>
    <t>25439741</t>
  </si>
  <si>
    <t>CARDENAS MOLINA LUIS ANTONIO</t>
  </si>
  <si>
    <t>MONTOYA ROMERO EDWIN JAVIER</t>
  </si>
  <si>
    <t>VILA OLIVERA BECKER DANIEL</t>
  </si>
  <si>
    <t>PATIÑO ALIAGA GUSTAVO ADOLFO</t>
  </si>
  <si>
    <t>SUAREZ MONTEJO BRUCEE ALI</t>
  </si>
  <si>
    <t>RAMIREZ ALLCCA JULIO ALEXANDER</t>
  </si>
  <si>
    <t>MARTINEZ PANCHO SAMUEL ALEJANDRO</t>
  </si>
  <si>
    <t>06776754</t>
  </si>
  <si>
    <t>LIENDO HUAMAN ANIBAL</t>
  </si>
  <si>
    <t>80184440</t>
  </si>
  <si>
    <t>HIDALGO RODRIGUEZ ERIC JOANY</t>
  </si>
  <si>
    <t>SANTOME GARCIA ENRIQUE ALEXANDER</t>
  </si>
  <si>
    <t>GARCIA PIZARRO HUGO RICHARD</t>
  </si>
  <si>
    <t>BARRETO CARRILLO RAFAEL ANTONIO</t>
  </si>
  <si>
    <t>80229392</t>
  </si>
  <si>
    <t>VIERA HUARCA JUAN JOSE</t>
  </si>
  <si>
    <t>CARRASCO CASTILLO DENIS DANILO</t>
  </si>
  <si>
    <t>CORPORACION TELEPARTES SAC</t>
  </si>
  <si>
    <t>CORDOVA VARA SEBASTIAN</t>
  </si>
  <si>
    <t>MANRIQUE CHIPANA SAMMY IVAN</t>
  </si>
  <si>
    <t>MEDRANO YUPANQUI JHOAN LU</t>
  </si>
  <si>
    <t>HUALLA PALOMINO EDGAR EDWIN</t>
  </si>
  <si>
    <t>ROJAS CALDERON RONALD</t>
  </si>
  <si>
    <t>41617631</t>
  </si>
  <si>
    <t>PAZOS CARRILLO DINO IVAN</t>
  </si>
  <si>
    <t>41648530</t>
  </si>
  <si>
    <t>QUISPE DE LA CRUZ ANGEL SAUL</t>
  </si>
  <si>
    <t>ESTACION 03 RAMAL 4</t>
  </si>
  <si>
    <t>43034649</t>
  </si>
  <si>
    <t>CIPRIANO PUJAY GLICERIO VICTOR</t>
  </si>
  <si>
    <t>25763704</t>
  </si>
  <si>
    <t xml:space="preserve">ZAMORA MAUROLAGOITIA CARLOS </t>
  </si>
  <si>
    <t>72633211</t>
  </si>
  <si>
    <t xml:space="preserve">CHALLCO ESPINO OSCAR </t>
  </si>
  <si>
    <t>25820095</t>
  </si>
  <si>
    <t>VAIS MALASQUEZ ROSA IDAVIA</t>
  </si>
  <si>
    <t>07524697</t>
  </si>
  <si>
    <t>ENERO GONZALES ALCIDES MANUEL</t>
  </si>
  <si>
    <t>71127200</t>
  </si>
  <si>
    <t>CERNA CALDERON ROLANDO OTTO</t>
  </si>
  <si>
    <t>45799202</t>
  </si>
  <si>
    <t>TAPULLIMA INUMA RITS</t>
  </si>
  <si>
    <t>25860268</t>
  </si>
  <si>
    <t>MEJIA GUTIERREZ MILTON ADRIAN</t>
  </si>
  <si>
    <t>73031618</t>
  </si>
  <si>
    <t>CALVO ZÚÑIGA HERNÁN</t>
  </si>
  <si>
    <t>40844789</t>
  </si>
  <si>
    <t>GUEVARA YARANGA JORGE DANTE</t>
  </si>
  <si>
    <t>46864167</t>
  </si>
  <si>
    <t>BANCES BALDERA SEGUNDO</t>
  </si>
  <si>
    <t>43200843</t>
  </si>
  <si>
    <t>ESTRADA CRUZ JOSE</t>
  </si>
  <si>
    <t>44198456</t>
  </si>
  <si>
    <t>HUAMANI VIVIANO JOB</t>
  </si>
  <si>
    <t>70240168</t>
  </si>
  <si>
    <t>COCHACHI YARASCA HOLBER PAUL</t>
  </si>
  <si>
    <t>48462957</t>
  </si>
  <si>
    <t>CAMARENA JURADO DANIEL CARLOS</t>
  </si>
  <si>
    <t>49082528</t>
  </si>
  <si>
    <t>TASSARA ESQUIVES ALENIS RAMSES</t>
  </si>
  <si>
    <t>ASENT H. BOCANEGRA MZ A37 LT 1</t>
  </si>
  <si>
    <t>VARGAS TOLENTINO MARIANO</t>
  </si>
  <si>
    <t>47856229</t>
  </si>
  <si>
    <t>VELASQUEZ GUEVARA MANUEL VIDAL</t>
  </si>
  <si>
    <t>76347282</t>
  </si>
  <si>
    <t>FULCHI PEREZ MIGUEL ANGEL</t>
  </si>
  <si>
    <t>47173265</t>
  </si>
  <si>
    <t>PEREZ HUAMAN OSCAR ANDRES</t>
  </si>
  <si>
    <t>70255834</t>
  </si>
  <si>
    <t>GALLO AGUILAR ANGELO</t>
  </si>
  <si>
    <t>PAIMA ZEBALLOS GEORGE</t>
  </si>
  <si>
    <t>72287559</t>
  </si>
  <si>
    <t>MONTES BARRERA LUIS DAVID</t>
  </si>
  <si>
    <t>74303148</t>
  </si>
  <si>
    <t>VALENCIA AGURTO AMERICO ANGEL</t>
  </si>
  <si>
    <t>70749763</t>
  </si>
  <si>
    <t>HUAREZ ALBINES JULIO CESAR JULINHO</t>
  </si>
  <si>
    <t>ESTACION 13 / ESTACION 03 RAMAL 4</t>
  </si>
  <si>
    <t>43659308</t>
  </si>
  <si>
    <t>BAUTISTA VALVERDE ULISES</t>
  </si>
  <si>
    <t>48194581</t>
  </si>
  <si>
    <t>ESPINOZA PEREZ ANGEL ABRAN</t>
  </si>
  <si>
    <t>72362701</t>
  </si>
  <si>
    <t>PUSMA COELLO JUAN ISMAEL</t>
  </si>
  <si>
    <t xml:space="preserve">CASERIO CAJAS SHAPAYA </t>
  </si>
  <si>
    <t>71264743</t>
  </si>
  <si>
    <t>MERMA CAMACHI PIERO ALESSANDRO</t>
  </si>
  <si>
    <t>AV PRIMAVERA 2120 SAN GABRIEL VALLECITO ALTO MZ A11 LT 13</t>
  </si>
  <si>
    <t>002225456</t>
  </si>
  <si>
    <t>SOTO BRITO YOEL ENRIQUE</t>
  </si>
  <si>
    <t>41998796</t>
  </si>
  <si>
    <t>ORTIZ ROJAS MIGUEL ANGEL</t>
  </si>
  <si>
    <t>44178038</t>
  </si>
  <si>
    <t>NOLBERTO GUZMAN SIMION</t>
  </si>
  <si>
    <t>PEREZ ARANDA JOSE LUIS</t>
  </si>
  <si>
    <t>004001292</t>
  </si>
  <si>
    <t>MENDOZA MORA  JONNATHAN ENRIQUE</t>
  </si>
  <si>
    <t>ACEVEDO CLEMENTE LUIS</t>
  </si>
  <si>
    <t>BOBADILLA SAAVEDRA TOMAS</t>
  </si>
  <si>
    <t>BONILLA SUCA ERICK</t>
  </si>
  <si>
    <t>CAMPODÓNICO JIMENEZ LUIS</t>
  </si>
  <si>
    <t>CARHUAPOMA QUISPE LUIS</t>
  </si>
  <si>
    <t>CCAICO ATOCCSA GERARDS ELISEO</t>
  </si>
  <si>
    <t>CHANAME SANTISTEBAN WUILLIAM</t>
  </si>
  <si>
    <t xml:space="preserve">CORBACHO RIVERA VICTOR RAUL </t>
  </si>
  <si>
    <t>CURO AUCCASI MATIAS</t>
  </si>
  <si>
    <t>GONZALES ORTIZ RAFAEL ALFONSO</t>
  </si>
  <si>
    <t>GONZÁLEZ CASTRO CHRISTIAN</t>
  </si>
  <si>
    <t>GUIZADO GONZALES JHON</t>
  </si>
  <si>
    <t>HERRERA PEÑA JOAO PAOLO</t>
  </si>
  <si>
    <t>HUAMANI CASTILLO RAUL</t>
  </si>
  <si>
    <t>MOZOMBITE CUMAPA JOSE</t>
  </si>
  <si>
    <t>MOZOMBITE LABAJOS BRACOVICH</t>
  </si>
  <si>
    <t>PALOMINO INFANTE CELESTINO</t>
  </si>
  <si>
    <t>TAICA CUBAS WILIAR</t>
  </si>
  <si>
    <t>VARGAS TAQUIRE ANGEL</t>
  </si>
  <si>
    <t>VASQUEZ SÁNCHEZ OSMEL</t>
  </si>
  <si>
    <t>ALTAMIRANO PACHECO KIARA BELEN</t>
  </si>
  <si>
    <t>APONTE TORRES KAREN MADELEY</t>
  </si>
  <si>
    <t>GALINDO CONDE HECTOR</t>
  </si>
  <si>
    <t>LUNA DIOSES ANYERSON JAIRO</t>
  </si>
  <si>
    <t>MENDIETA PISCO RUBI ESMERALDA</t>
  </si>
  <si>
    <t>OGOÑA ABAD LEYLI YANET</t>
  </si>
  <si>
    <t>RODAS FLORES WILLIAMS RAFAEL</t>
  </si>
  <si>
    <t>TORRES GAMERO VICTOR ELIAS</t>
  </si>
  <si>
    <t>07522944</t>
  </si>
  <si>
    <t>AGUIRRE LAMA ROLANDO</t>
  </si>
  <si>
    <t>MORE PAIBA FELIPE ALEXANDER</t>
  </si>
  <si>
    <t>44221851</t>
  </si>
  <si>
    <t>UBILLUS SOLIS ALFREDO VALERIO</t>
  </si>
  <si>
    <t>22307989</t>
  </si>
  <si>
    <t>ESTUPIÑAN AGUIRRE MIGUEL JOSE</t>
  </si>
  <si>
    <t>ANCHAYHUA HUAYTALLA JUAN DE DIOS</t>
  </si>
  <si>
    <t>LLAJARUNA TANDAYPAN PEDRO CARLOS</t>
  </si>
  <si>
    <t>MARCOS RUBIO MARTIN SEBASTIAN</t>
  </si>
  <si>
    <t>43868945</t>
  </si>
  <si>
    <t>VILLALOBOS HUAMAN DENIS RAUL</t>
  </si>
  <si>
    <t>CALOGGERO CORONADO JEAN AARON</t>
  </si>
  <si>
    <t>LLAJARUNA RAMOS ALEX JOSE</t>
  </si>
  <si>
    <t>ESTRADA BRUNO JEAN CARLOS</t>
  </si>
  <si>
    <t>CACERES TICLLAS JHORDAN JHAIR</t>
  </si>
  <si>
    <t>CARBAJAL VIGO LUIS ENRIQUE</t>
  </si>
  <si>
    <t>CHAUCA YOPLAC DEMETRIO</t>
  </si>
  <si>
    <t>PIÑA PETTERMAN TEDDY</t>
  </si>
  <si>
    <t>VIGO GOICOCHEA EDWAR GIANMARCO</t>
  </si>
  <si>
    <t>73783805</t>
  </si>
  <si>
    <t>MARTINEZ PECHO MADERYCK ANGEL</t>
  </si>
  <si>
    <t>RAMOS ORTIZ ALAN LUIS</t>
  </si>
  <si>
    <t>CHACON AVILA MARCO ANTONIO</t>
  </si>
  <si>
    <t>46354980</t>
  </si>
  <si>
    <t>GAMBOA GAMONAL NELSON</t>
  </si>
  <si>
    <t>42505209</t>
  </si>
  <si>
    <t>ALARCON ANGULO, MIGUEL ANGEL</t>
  </si>
  <si>
    <t>ANASTACIO LOLI, EBELIN JASMIN</t>
  </si>
  <si>
    <t>ANCAJIMA MELENDEZ EDGAR PAUL</t>
  </si>
  <si>
    <t>AVILA GOMEZ WALTER ARMANDO</t>
  </si>
  <si>
    <t>CONTRERAS TORRES FRNCISCO</t>
  </si>
  <si>
    <t>DE LA TORRE MARIÑO, MARLON GIORDAN</t>
  </si>
  <si>
    <t>DIAZ URIARTE FREDESBINDO</t>
  </si>
  <si>
    <t>DURAND CARBAJAL, ROLANDO MAURICIO</t>
  </si>
  <si>
    <t>GARCIA SULLCA, RAFAEL</t>
  </si>
  <si>
    <t>GOMEZ LOPEZ, JULIO CESAR</t>
  </si>
  <si>
    <t>GUZMAN ASPAJO RICHARD</t>
  </si>
  <si>
    <t>HERRERA ESCOBAR GHERSON WILFREDO</t>
  </si>
  <si>
    <t>HUAYTAN RUIZ NILTON CESAR</t>
  </si>
  <si>
    <t>INGA NAUPAY, OLIGARIO</t>
  </si>
  <si>
    <t>40457019</t>
  </si>
  <si>
    <t>LUNA PRADO, FERNANDO YOSELIN</t>
  </si>
  <si>
    <t>42926243</t>
  </si>
  <si>
    <t xml:space="preserve">MARQUEZ CORONADO MARZOLINI </t>
  </si>
  <si>
    <t>MARTINEZ CABANILLAS CHRISTIAN</t>
  </si>
  <si>
    <t xml:space="preserve">MERCADO MUÑOZ ALEX DANIEL </t>
  </si>
  <si>
    <t>PRIMO CIRIACO, HERNAN</t>
  </si>
  <si>
    <t xml:space="preserve">QUIÑONES MANTILLA ERICSON HEYDEN </t>
  </si>
  <si>
    <t>RAMIREZ GUERRA, ALEX</t>
  </si>
  <si>
    <t>71846117</t>
  </si>
  <si>
    <t>ROBLES TOLENTINO, SAMUEL ROMERL</t>
  </si>
  <si>
    <t xml:space="preserve">RODRIGUEZ AVALOS, CESAR GIL </t>
  </si>
  <si>
    <t>16797726</t>
  </si>
  <si>
    <t>RODRIGUEZ PAREDES, ALEX</t>
  </si>
  <si>
    <t>44386883</t>
  </si>
  <si>
    <t>ROSALES SIÑOS, CARLOS ENRIQUE</t>
  </si>
  <si>
    <t>45358252</t>
  </si>
  <si>
    <t>RUIZ CACHIQUE, LUIS ALEJANDRO</t>
  </si>
  <si>
    <t xml:space="preserve">SALAS AMACIFUEN REITER </t>
  </si>
  <si>
    <t>09845325</t>
  </si>
  <si>
    <t>SALAZAR MENDOZA JAIME JONAS</t>
  </si>
  <si>
    <t>48585983</t>
  </si>
  <si>
    <t>SALCEDO ESCATE, LUIS ALDAYR</t>
  </si>
  <si>
    <t>SARMIENTO ESPINO GEORGE LEONE</t>
  </si>
  <si>
    <t>SEGURA PAUCAR FRANCO</t>
  </si>
  <si>
    <t>SONCCO QUISPE, DELFIN LEONARDO</t>
  </si>
  <si>
    <t>TORRES INFANTE WILSON SOCRATES</t>
  </si>
  <si>
    <t>TAPULLIMA FACHO, MIGUEL ANGEL</t>
  </si>
  <si>
    <t>TICLAVILCA RIOS, EFRAIN ANTONIO</t>
  </si>
  <si>
    <t>TINEO RAMOS, JOHN CHARLES</t>
  </si>
  <si>
    <t>46910828</t>
  </si>
  <si>
    <t xml:space="preserve">TORRES DAVILA  MARIO GALER </t>
  </si>
  <si>
    <t>TORRES DAVILA ANATER</t>
  </si>
  <si>
    <t>YANCCE OGOSI WALTER</t>
  </si>
  <si>
    <t>YNFANZON SALAS, ELMO DANIEL</t>
  </si>
  <si>
    <t>ZORRILLA RIOFRIO, SHIRLEY LASTENIA</t>
  </si>
  <si>
    <t>RODRIGUEZ RODRIGUEZ JUAN</t>
  </si>
  <si>
    <t>TESEN PUSE FRANK ENRIQUE</t>
  </si>
  <si>
    <t>CORDOVA MARTINEZ KEVIN HECTOR</t>
  </si>
  <si>
    <t xml:space="preserve">BERNALES CHANDUVI ALEX RICARDO </t>
  </si>
  <si>
    <t>BERNALES MAZA CARLOS DANIEL</t>
  </si>
  <si>
    <t>70381237</t>
  </si>
  <si>
    <t>VILCALURI PAREDES MAILY BERLI</t>
  </si>
  <si>
    <t>16714631</t>
  </si>
  <si>
    <t>FERNANDEZ AQUINO MARIA DELMIRA</t>
  </si>
  <si>
    <t>Diaz Shuña Andrea Alexandra</t>
  </si>
  <si>
    <t>Solorzano Hurtado Luis Alberto</t>
  </si>
  <si>
    <t>Fermin Aguilar Charlie Cristian</t>
  </si>
  <si>
    <t xml:space="preserve">Uzcategui Ramos Richard Alexander </t>
  </si>
  <si>
    <t>Piñan Palacios Ossain</t>
  </si>
  <si>
    <t>Suyo Burga Erik</t>
  </si>
  <si>
    <t>Paucar Chumbipuma  Wrayan Enrique</t>
  </si>
  <si>
    <t>Huaraca Reyes Jesus Santiago</t>
  </si>
  <si>
    <t>Zumaeta Garcia Cesar Riquel</t>
  </si>
  <si>
    <t>DELFIN OLAYA CARLOS EDUARDO</t>
  </si>
  <si>
    <t>40426652</t>
  </si>
  <si>
    <t>CAMPOS DURAND CESAR DAVIS</t>
  </si>
  <si>
    <t>BRAVO CORDOVA MILAGROS AURELIA</t>
  </si>
  <si>
    <t>HUAYA OBREGON JUAN CARLOS</t>
  </si>
  <si>
    <t>42826717</t>
  </si>
  <si>
    <t>RAMOS HIPOLITO MILNER SERGIO</t>
  </si>
  <si>
    <t>VARELA MACAHUACHI ,NILO ANDRES</t>
  </si>
  <si>
    <t>BELITO SOTO, ADOLFO HITLER</t>
  </si>
  <si>
    <t>42098103</t>
  </si>
  <si>
    <t>LLANOS LAURENTE, JORGE LUIS</t>
  </si>
  <si>
    <t>76970487</t>
  </si>
  <si>
    <t>QUIÑONES ZARATECESAR</t>
  </si>
  <si>
    <t xml:space="preserve">CASAS GOMEZ, WERNER FELIX </t>
  </si>
  <si>
    <t>MATO PUJAY, CARLOS JONEL</t>
  </si>
  <si>
    <t>AVENDAÑO VENEGAS BRAYAN</t>
  </si>
  <si>
    <t>BUTILER ARELLANO  ALAN VLADIMIR</t>
  </si>
  <si>
    <t>ESPIRITU MEDRANO MIGUEL MANUEL</t>
  </si>
  <si>
    <t>GONZALES LEDEZMA LILIANNY</t>
  </si>
  <si>
    <t xml:space="preserve">HUAMANI HUAYTALLA LEONARDO SAUL </t>
  </si>
  <si>
    <t xml:space="preserve">MEJIA ALANYA ELI JONATHAN </t>
  </si>
  <si>
    <t>MONTESINOS DURAND LUIS EDUARDO</t>
  </si>
  <si>
    <t>MORALES TACO BRYAN STYVE</t>
  </si>
  <si>
    <t>MOZOMBITE HEREDIA CESAR ADRIAN</t>
  </si>
  <si>
    <t>NEYRA TEJADA  ARNOLD CARLOS</t>
  </si>
  <si>
    <t>73272851</t>
  </si>
  <si>
    <t xml:space="preserve">RAMOS YANAC PABLO JOSEPH </t>
  </si>
  <si>
    <t>RAYGADA ESCALANTE RICARDO RAUL</t>
  </si>
  <si>
    <t xml:space="preserve">RODRIGUEZ GARCIA JORGE LUIS </t>
  </si>
  <si>
    <t>ROSSI CASIMIRO FABIO ALESSANDRO</t>
  </si>
  <si>
    <t>ROSSI HEREDIA ANGEL ANTONIO</t>
  </si>
  <si>
    <t>TOSCANO MARTINEZ GIOVANNY JAIRO</t>
  </si>
  <si>
    <t>75326707</t>
  </si>
  <si>
    <t xml:space="preserve">HUERTA REYNALDO ANGEL </t>
  </si>
  <si>
    <t xml:space="preserve">HIDALGO ROMERO, CESAR LUIS </t>
  </si>
  <si>
    <t>VALLE MATOS LUIS MANUEL</t>
  </si>
  <si>
    <t>FLORES RUIZ YSRAEL JEAN</t>
  </si>
  <si>
    <t>46602690</t>
  </si>
  <si>
    <t>ABRIL CERVANTES,JESUS ABEL</t>
  </si>
  <si>
    <t>42764881</t>
  </si>
  <si>
    <t>CHINO QUIÑONEZ,WALTER</t>
  </si>
  <si>
    <t>49080996</t>
  </si>
  <si>
    <t>INUMA PEREZ,TEDY</t>
  </si>
  <si>
    <t>78625896</t>
  </si>
  <si>
    <t>MAUTINO ACAPANA,JERSON EFRAIN</t>
  </si>
  <si>
    <t>75087609</t>
  </si>
  <si>
    <t>CORNEJO SILVA,NESTOR JAVIER</t>
  </si>
  <si>
    <t>74467320</t>
  </si>
  <si>
    <t>VELASQUEZ ROMERO,ELVIS JANDER</t>
  </si>
  <si>
    <t>70868294</t>
  </si>
  <si>
    <t>VALDERRAMA HIDALGO,AXEL YAJAIRO</t>
  </si>
  <si>
    <t>75401581</t>
  </si>
  <si>
    <t>RODRIGUEZ ROJAS,RONALDO ANDREY</t>
  </si>
  <si>
    <t>61066971</t>
  </si>
  <si>
    <t>USHIÑAHUA NAVARRO,CARLOS SANTIAGO</t>
  </si>
  <si>
    <t>73338876</t>
  </si>
  <si>
    <t>DONAYRE MELASQUEZ,RONALD HAIRO</t>
  </si>
  <si>
    <t>32988196</t>
  </si>
  <si>
    <t>LEYTON BELLO,RODOLFO GINO</t>
  </si>
  <si>
    <t>61833237</t>
  </si>
  <si>
    <t>RIVAS HURTADO,PABLO</t>
  </si>
  <si>
    <t>HURTADO LARA JUAN CARLOS</t>
  </si>
  <si>
    <t>10163292</t>
  </si>
  <si>
    <t>AHUANARI TAMANI HAROLD RAMON</t>
  </si>
  <si>
    <t>71857725</t>
  </si>
  <si>
    <t>DEL CARPIO FARIAS OSCAR HILDEMARO</t>
  </si>
  <si>
    <t>42891300</t>
  </si>
  <si>
    <t xml:space="preserve">TORREJON RAMOS VICTOR ANDRES </t>
  </si>
  <si>
    <t>43488471</t>
  </si>
  <si>
    <t>GARCIA AGUILAR LUIS ENRIQUE</t>
  </si>
  <si>
    <t>75379458</t>
  </si>
  <si>
    <t>ALACHE MARQUEZ ENRIQUE ALEJANDRO</t>
  </si>
  <si>
    <t>48364567</t>
  </si>
  <si>
    <t>TRUJILLO LLASHAG DANIEL</t>
  </si>
  <si>
    <t>48261288</t>
  </si>
  <si>
    <t>DENEGRI SALVADOR ANDREE LUIS</t>
  </si>
  <si>
    <t>SKAVA S.A.C</t>
  </si>
  <si>
    <t>TESSADA LUSCHER JUAN PABLO</t>
  </si>
  <si>
    <t>RIMAPA HERNANDEZ WILLINGTON JAIR</t>
  </si>
  <si>
    <t>CHAVEZ PERALES NILTON EDILIO</t>
  </si>
  <si>
    <t>GAMBOA FLORES JUAN GUILLERMO</t>
  </si>
  <si>
    <t>48298586</t>
  </si>
  <si>
    <t>MEZARES BENITES JOSUE</t>
  </si>
  <si>
    <t>40353674</t>
  </si>
  <si>
    <t xml:space="preserve">YOEL DANTE LOPEZ MUCHA </t>
  </si>
  <si>
    <t>72550037</t>
  </si>
  <si>
    <t>LUIS ALEXIS ROMERO OJEDA</t>
  </si>
  <si>
    <t>74716658</t>
  </si>
  <si>
    <t>ADRIANO ANGEL YANQUE HUALLPAR</t>
  </si>
  <si>
    <t>TAPIA FERNANDEZ ESBER</t>
  </si>
  <si>
    <t>CAMACHO LACHIRA WILDER ALBERTO</t>
  </si>
  <si>
    <t>CAJO REYES JEAN CARLOS</t>
  </si>
  <si>
    <t>CRUZ JARAMILLO DARCY YOBANY</t>
  </si>
  <si>
    <t>ALBAN BARRIOS HUMBERTO ADRIAN</t>
  </si>
  <si>
    <t>GUARNIZ BERMUDEZ TOMAS MANUEL</t>
  </si>
  <si>
    <t>GUTIERREZ SARAVIA RAUL MANUEL</t>
  </si>
  <si>
    <t>Zevallos Villanueva Rule Rendo</t>
  </si>
  <si>
    <t>43546969</t>
  </si>
  <si>
    <t>CISNEROS BECERRA MANUEL FRANCISCO</t>
  </si>
  <si>
    <t>48215863</t>
  </si>
  <si>
    <t>ALFARO ALMONTE LEOPOLDO</t>
  </si>
  <si>
    <t>74837421</t>
  </si>
  <si>
    <t>CALDERON TORO RENZO ZAMUEL</t>
  </si>
  <si>
    <t>25791561</t>
  </si>
  <si>
    <t>HUMMEL LEE VICTOR ANDRES</t>
  </si>
  <si>
    <t>75150197</t>
  </si>
  <si>
    <t>CASAS GOCHE RENZO JACK ANDRY</t>
  </si>
  <si>
    <t>10697674</t>
  </si>
  <si>
    <t>DIPAS SOSA JOSE ALFREDO</t>
  </si>
  <si>
    <t>25857873</t>
  </si>
  <si>
    <t>CRUZ CONSTANTINO MANUEL LEONARDO</t>
  </si>
  <si>
    <t>VILLEGAS LLAUCE ALVARO HENRRY</t>
  </si>
  <si>
    <t>AMASIFUEN VASQUEZ SANTIAGO PIER</t>
  </si>
  <si>
    <t>CAMPOS PORRAS PABLO FERMIN</t>
  </si>
  <si>
    <t>42869479</t>
  </si>
  <si>
    <t>MALDONADO ALFARO JUAN MANUEL</t>
  </si>
  <si>
    <t>40680286</t>
  </si>
  <si>
    <t>HUAMAN ARAUJO UBER</t>
  </si>
  <si>
    <t>CASIMIRO YALLE FREDY JUAN</t>
  </si>
  <si>
    <t>REQUEJO LLAMO RENE</t>
  </si>
  <si>
    <t>77333063</t>
  </si>
  <si>
    <t>SANGAMA MANGUINURI SAMIR AQUILES</t>
  </si>
  <si>
    <t>ALZAMORA INCA CALEP MAURICE</t>
  </si>
  <si>
    <t>GUTIERREZ ESTRADA RUBEN</t>
  </si>
  <si>
    <t>RAMOS PAREDES ISAC SAIA</t>
  </si>
  <si>
    <t>003626700</t>
  </si>
  <si>
    <t>GARAMENDI GOMEZ NIXON GASPAR</t>
  </si>
  <si>
    <t>ROJAS CRIALES PERCY IGNACIO</t>
  </si>
  <si>
    <t>BERECHE NUÑEZ JORGE ANTONIO</t>
  </si>
  <si>
    <t>HUAYMANA CUELO LUIS ARTURO</t>
  </si>
  <si>
    <t>GONZALES VASQUEZ ASUNCION</t>
  </si>
  <si>
    <t>VILCHEZ CORONADO  ERLI</t>
  </si>
  <si>
    <t>ROMERO SOTO ALFREDO FLORIAN</t>
  </si>
  <si>
    <t>YSLA ESPINOZA BRANDON</t>
  </si>
  <si>
    <t>DELFIN RIVAS JUAN JOSE JESUS</t>
  </si>
  <si>
    <t>CAMILOAGA DIAZ JORGE LUIS</t>
  </si>
  <si>
    <t>MERA REQUEJO LUIS EDUAR</t>
  </si>
  <si>
    <t>NUNTA YUMBATO MIGUEL</t>
  </si>
  <si>
    <t>TACILLA SANCHEZ JOSE CARMEN</t>
  </si>
  <si>
    <t>MERA REQUEJO ELI DONET</t>
  </si>
  <si>
    <t>TASAYCO CESPEDES ALEXANDER JOEL</t>
  </si>
  <si>
    <t>TENAZOA ACOSTA MARLON ELIAS</t>
  </si>
  <si>
    <t>70034834</t>
  </si>
  <si>
    <t>DIAZ DIONICIO BRAYAN ALBERTO</t>
  </si>
  <si>
    <t>40185167</t>
  </si>
  <si>
    <t>MALDONADO YCAZA ERICK ALBERTO</t>
  </si>
  <si>
    <t>MILLA HUAMANI VICTOR ALEJANDRO</t>
  </si>
  <si>
    <t>43158824</t>
  </si>
  <si>
    <t>RIQUELME ARIAS ARMANDO JOSÉ</t>
  </si>
  <si>
    <t>25753204</t>
  </si>
  <si>
    <t>LOPEZ ROJAS AUGUSTO EMILIO</t>
  </si>
  <si>
    <t>NIZAMA LEZAMA ABRAHAM AUGUSTO</t>
  </si>
  <si>
    <t>PEÑA CASTILLO ALEXIS JESUS</t>
  </si>
  <si>
    <t>08521942</t>
  </si>
  <si>
    <t>SILVA PRIETO NEIZER ROMEL</t>
  </si>
  <si>
    <t>06805661</t>
  </si>
  <si>
    <t>ORMEÑO JIMENEZ CARLOS ANTONIO</t>
  </si>
  <si>
    <t>HUAMAN CORILLOCLLA LUIS RICARDO</t>
  </si>
  <si>
    <t>TRUJILLO CAHUANA JORGE LUIS</t>
  </si>
  <si>
    <t>VASQUEZ AGREDA YORKYS JOSE</t>
  </si>
  <si>
    <t>ACUACHE DE LA CRUZ WILLIAM REYNALDO</t>
  </si>
  <si>
    <t>CUADROS ESPINOZA MARCIAL</t>
  </si>
  <si>
    <t>FERNANDEZ URBANO JHONNY FRANK</t>
  </si>
  <si>
    <t>45120902</t>
  </si>
  <si>
    <t xml:space="preserve">NAVARRO SALAZAR JONATHAN ALEX </t>
  </si>
  <si>
    <t>76945629</t>
  </si>
  <si>
    <t>QUEZADA TRUJILLO KAREN MIRNA</t>
  </si>
  <si>
    <t>QUISPE ESPINAL LEYDI VANESSA</t>
  </si>
  <si>
    <t>QUISPE LOZA LENER BERNARDO</t>
  </si>
  <si>
    <t>ROSARIO SANGAY EDITH STEPHANY</t>
  </si>
  <si>
    <t>SALCEDO SEQUEIROS NILZON</t>
  </si>
  <si>
    <t>SANCHEZ HUACACHI RAUL</t>
  </si>
  <si>
    <t xml:space="preserve">SOBRADO JAIMES MOISES RUBEN </t>
  </si>
  <si>
    <t>TOCTO DIAZ NORVIL</t>
  </si>
  <si>
    <t>MONTEJO CALLE BLADIMIR LENIN</t>
  </si>
  <si>
    <t>CAMACHO GARAVITO CARLOS ENRIQUE</t>
  </si>
  <si>
    <t>78199885</t>
  </si>
  <si>
    <t>AZAÑERO VASQUEZ BRYAN JOSSUAT</t>
  </si>
  <si>
    <t>CAÑOLA VALDIVIEZO DEYBI DAVID</t>
  </si>
  <si>
    <t>POMA ARANGO RUBEN</t>
  </si>
  <si>
    <t>BARRIENTOS DE LA CRUZ JUAN</t>
  </si>
  <si>
    <t>CHIRINOS DOMINGUEZ CARLOS EDUARDO</t>
  </si>
  <si>
    <t>ALAMA HOLGUIN NILSSON ALAIN</t>
  </si>
  <si>
    <t>MILLA PANAIFO MARCOS ADRIAN</t>
  </si>
  <si>
    <t>CASAS MANCCO, JUAN CARLOS</t>
  </si>
  <si>
    <t xml:space="preserve">ESPINOZA CAJAMARCA, RICHARD ANDRES </t>
  </si>
  <si>
    <t>CRESPIN BERNARDO WILMER AMADO</t>
  </si>
  <si>
    <t>76927513</t>
  </si>
  <si>
    <t>SOBRADO JAIMES CALEB ISRAEL</t>
  </si>
  <si>
    <t>FAJARDO MURGA JUAN DOMINGO</t>
  </si>
  <si>
    <t>44974548</t>
  </si>
  <si>
    <t>ROMERO GOMEZ, BLADIMIR</t>
  </si>
  <si>
    <t xml:space="preserve">SANCHEZ HUACACHI ELVIS RAFAEL </t>
  </si>
  <si>
    <t>ALCANTARA FAJARDO KEVIN CHRISTOPHER</t>
  </si>
  <si>
    <t>ESPINAR GONZALES STWARDO MATIAS</t>
  </si>
  <si>
    <t>RODRIGUEZ GONZALES LI JAIRO JHAIR</t>
  </si>
  <si>
    <t>HUAMANI MACHUCA, MIGUEL ANGEL</t>
  </si>
  <si>
    <t>40942106</t>
  </si>
  <si>
    <t>ALZAMORA PALOMINO PABLO</t>
  </si>
  <si>
    <t>43257704</t>
  </si>
  <si>
    <t>GONZALES JORGES JUAN JOSE</t>
  </si>
  <si>
    <t>MASTER PLAN S.A.C.</t>
  </si>
  <si>
    <t>BELISARIO GARCIA VILLADOMA</t>
  </si>
  <si>
    <t>FRANCO PAOLO ACOSTA BARTOLO</t>
  </si>
  <si>
    <t>KARGEL OLORTEGUI DOSANTOS</t>
  </si>
  <si>
    <t>RICHARD COELLO ALOR</t>
  </si>
  <si>
    <t>CATASHUNGA PIÑA JUAN</t>
  </si>
  <si>
    <t>TAPAYURI MURAYARI VICTOR HUGO</t>
  </si>
  <si>
    <t>SILVA GIL JORGE ANDRE</t>
  </si>
  <si>
    <t>GARCIA ROJAS KIKE</t>
  </si>
  <si>
    <t>DEL AGUILA CACHIQUE MARLON</t>
  </si>
  <si>
    <t>URACO ACHO JACK WILLER</t>
  </si>
  <si>
    <t>TRANSPORTES GLORIA G&amp;N</t>
  </si>
  <si>
    <t xml:space="preserve">CCM2 - LIMA </t>
  </si>
  <si>
    <t>AVENDAÑO PEZO VICTOR</t>
  </si>
  <si>
    <t>CASTILLO ARTEAGA  JEAN CLISMA</t>
  </si>
  <si>
    <t>FIGUEROA PARIONA KEVIN</t>
  </si>
  <si>
    <t xml:space="preserve">LIZARDO ATOCHE EDINSON ULISES </t>
  </si>
  <si>
    <t>LLECLLISHTORRES VICTOR ALEXANDER</t>
  </si>
  <si>
    <t>LUQUE TARAZONA JHON ALEXANDER</t>
  </si>
  <si>
    <t xml:space="preserve">MONZON CCATAMAYO KEVIN ARNOLD </t>
  </si>
  <si>
    <t>NOREÑA DURAND RODOLFO</t>
  </si>
  <si>
    <t>PIMENTEL LOPEZ DEYTON</t>
  </si>
  <si>
    <t>SANCHEZ ROSAS FRANKLIN PAUL</t>
  </si>
  <si>
    <t>TABOADA GOMES DIEGO</t>
  </si>
  <si>
    <t>74144625</t>
  </si>
  <si>
    <t>GONZALES MEDINA ISRAEL FERNANDO</t>
  </si>
  <si>
    <t xml:space="preserve">CALLE MADRE DE DIOS PUEBLO JOVEN JOSE OLAYA MZ C LT 14 </t>
  </si>
  <si>
    <t>10870145</t>
  </si>
  <si>
    <t>MANCO PEREZ JESUS JOSE</t>
  </si>
  <si>
    <t>25436956</t>
  </si>
  <si>
    <t>TINEO SANCHEZ RICARDO ANTONIO</t>
  </si>
  <si>
    <t>CALDERON RAMOS EVER</t>
  </si>
  <si>
    <t>PAQUIYAURI FARFAN LAZARO</t>
  </si>
  <si>
    <t>RIMAC MENDOZA HUMBERTO</t>
  </si>
  <si>
    <t>VICENTE PANTOJA RUPERTO JHONNI</t>
  </si>
  <si>
    <t>VILCHEZ TAIPE HENRYJHON</t>
  </si>
  <si>
    <t>ARONI GONZALES, CARLOS ANTONIO</t>
  </si>
  <si>
    <t>BICERRA TORRES JAVIER</t>
  </si>
  <si>
    <t>CALDERON CAMPOS EVER HERNAN</t>
  </si>
  <si>
    <t>CARDENAS SOTO, JORGE</t>
  </si>
  <si>
    <t>CARDOZA ROJAS KOTY YURIKO</t>
  </si>
  <si>
    <t>CCORAHUA HUANACO JUAN</t>
  </si>
  <si>
    <t>CELADITA RIVAS, ROBERTO</t>
  </si>
  <si>
    <t>CHIPANA DAVALOS JOSE LUIS</t>
  </si>
  <si>
    <t>CISNEROS LAZARTE, VICTOR RAÚL</t>
  </si>
  <si>
    <t>CONDORI OLORTEGUI, FREDY</t>
  </si>
  <si>
    <t>DE LA CRUZ NAVARRO JESUS DIONICIO</t>
  </si>
  <si>
    <t>DEL AGUILA DEL AGUILA EDINSON</t>
  </si>
  <si>
    <t>DIAZ VARGAS PEDRO</t>
  </si>
  <si>
    <t>GARCIA AMASIFUEN MICKEY</t>
  </si>
  <si>
    <t>GARCIA POMA ALEX</t>
  </si>
  <si>
    <t>JAUREGUI PACAYA KENJI</t>
  </si>
  <si>
    <t>LUNA BURGA JESSICA SHARON</t>
  </si>
  <si>
    <t>MALPICA TOLENTINO OMAR JHONATAN</t>
  </si>
  <si>
    <t>07466319</t>
  </si>
  <si>
    <t>MELENDEZ RODRIGUEZ ROGER WALTER</t>
  </si>
  <si>
    <t>MUNAYLLA MESCUA EDSON</t>
  </si>
  <si>
    <t>PACHECO PALACIOS JOSE DANIEL</t>
  </si>
  <si>
    <t>PACOMPIA VARGAS MIGUEL ANGEL</t>
  </si>
  <si>
    <t>RICALDE CARHUACHAGUA, ROBERTO</t>
  </si>
  <si>
    <t>ROJAS PEREZ JULIO CESAR</t>
  </si>
  <si>
    <t>SANCHEZ POLICIO ANDY RONALDO</t>
  </si>
  <si>
    <t>SOTO ALANYA JOSIMAR</t>
  </si>
  <si>
    <t>SULCA LUJAN, MIGUEL ANGEL</t>
  </si>
  <si>
    <t>TAMAYO LLACSAHUANGA YONI</t>
  </si>
  <si>
    <t>TORRES BALTAZAR WILFREDO</t>
  </si>
  <si>
    <t>TORRES VALENZUELA LIDO RODOLFO</t>
  </si>
  <si>
    <t>VICENTE MALCA WALTER</t>
  </si>
  <si>
    <t>ZEGARRA ALVAREZ FABIANO ARTURO</t>
  </si>
  <si>
    <t>ZEGARRA VASQUEZ CARLOS ALFONSO</t>
  </si>
  <si>
    <t>VARGAS BEROCAL RAUL</t>
  </si>
  <si>
    <t>ACUÑA VASQUEZ BAYRON BERNY</t>
  </si>
  <si>
    <t xml:space="preserve">	CERRON FLORES  HANS ANTONY</t>
  </si>
  <si>
    <t>MONTES DE LA CRUZ  ANGEL ROBINSON</t>
  </si>
  <si>
    <t>VARAS MENDEZ JUAN CARLOS</t>
  </si>
  <si>
    <t>AYALA LASTRA OFNEL TRINIDAD</t>
  </si>
  <si>
    <t xml:space="preserve">LOPEZ ROJAS GIOVANNA SHIRLEY </t>
  </si>
  <si>
    <t>REYES MANRIQUE, ROMER ADELFO</t>
  </si>
  <si>
    <t>AYALA LASTRA ABIMAEL FRANCISCO</t>
  </si>
  <si>
    <t>BARROSO ACUÑA, ANDY MANUEL</t>
  </si>
  <si>
    <t>CACERES GUERRA, LUIS FABIO</t>
  </si>
  <si>
    <t>CALDERON CUADROS EDGAR</t>
  </si>
  <si>
    <t>CORTEZ LOPEZ, JESUS GERSON</t>
  </si>
  <si>
    <t>CUBA HUAMAN    SANTIAGO</t>
  </si>
  <si>
    <t>GALVEZ MEZA, KEVIN</t>
  </si>
  <si>
    <t>GUTIERREZ ROSALES, ROLANDO HERMOGENES</t>
  </si>
  <si>
    <t>JIMENEZ DURAN APOLONIO</t>
  </si>
  <si>
    <t>LOPEZ CHUMPITAZ, JHON LUIS</t>
  </si>
  <si>
    <t>MENDOZA ROMERO, ABEL</t>
  </si>
  <si>
    <t>MEREL RAMIREZ, DARWING EDUARDO</t>
  </si>
  <si>
    <t>NALVARTE ALVA, HELI FRANCISCO</t>
  </si>
  <si>
    <t>40903516</t>
  </si>
  <si>
    <t>OROZCO QUESÑAY, ERNESTO ENRIQUE</t>
  </si>
  <si>
    <t>PASTOR FUENTES, ROBERT</t>
  </si>
  <si>
    <t>VILLALOBOS SALVADOR, ALEXIS JOSUE</t>
  </si>
  <si>
    <t>OSORIO SIFUENTES VLADIMIR</t>
  </si>
  <si>
    <t>BALTAZAR DUEÑAS CARLOS JOSE</t>
  </si>
  <si>
    <t>CARBAJAL NOE KEVIN JHONNER</t>
  </si>
  <si>
    <t>41821873</t>
  </si>
  <si>
    <t>GONZALES ALEJANDRO EDINSON CARLOS</t>
  </si>
  <si>
    <t>LICONA SUMA HERONIMO</t>
  </si>
  <si>
    <t>VEGA ACUÑA TAUMO</t>
  </si>
  <si>
    <t>72002707</t>
  </si>
  <si>
    <t>TAIPE TELLO AMADEO VALENTIN</t>
  </si>
  <si>
    <t>71446218</t>
  </si>
  <si>
    <t>BASILIO TELLO HECTOR JUNIOR</t>
  </si>
  <si>
    <t>SUBILETA RODRIGUEZ EDGAR</t>
  </si>
  <si>
    <t>VALVERDE LAURIANO, CARLOS RAFAEL</t>
  </si>
  <si>
    <t>QUIROZ TRUJILLO, NEMECIO</t>
  </si>
  <si>
    <t>RAZA PALACIOS, GIAN CARLOS</t>
  </si>
  <si>
    <t>ROJAS SANCHEZ, SEGUNDO CLEMENTE</t>
  </si>
  <si>
    <t>CORREA ALBAN, EDIL YURANDIL</t>
  </si>
  <si>
    <t>46987950</t>
  </si>
  <si>
    <t>ACOSTA FLORES, FRANCIS</t>
  </si>
  <si>
    <t>CISNEROS GOYONECHE, JOHN CRISTHIAN</t>
  </si>
  <si>
    <t>GUEVARA LLATAS, DAVID</t>
  </si>
  <si>
    <t>COLUNCHE CARUAJULCA, ELI</t>
  </si>
  <si>
    <t>42609179</t>
  </si>
  <si>
    <t>GAMARRA BLONDET, VANESSA LIZBETH</t>
  </si>
  <si>
    <t>20584840</t>
  </si>
  <si>
    <t>GASPAR FERIL, HIPOLITO</t>
  </si>
  <si>
    <t>25561715</t>
  </si>
  <si>
    <t>ZEGARRA BARRERA, JORGE RENE</t>
  </si>
  <si>
    <t>27430116</t>
  </si>
  <si>
    <t>BRAVO BRAVO, ELI JAIME</t>
  </si>
  <si>
    <t>DIAZ REATEGUI, ALDO</t>
  </si>
  <si>
    <t>SANDOVAL ROSAS, JHON BERLIS</t>
  </si>
  <si>
    <t>47230349</t>
  </si>
  <si>
    <t>HEREDIA CARRANZA JOSEY OTOSA</t>
  </si>
  <si>
    <t>BM1 OBRAS Y SERVICIOS INDUSTRIALES S.A.C.</t>
  </si>
  <si>
    <t>MORALES VERA CRISTOFFER JOEL</t>
  </si>
  <si>
    <t>QUISPE SILVA JUNIOR DANIEL</t>
  </si>
  <si>
    <t>LLANOS ESPINOZA ALEX CRISTIAN</t>
  </si>
  <si>
    <t>ALEGRE RIOS DAVID JOSUE</t>
  </si>
  <si>
    <t>NIETO VARGAS LUIGUI</t>
  </si>
  <si>
    <t xml:space="preserve">CORDOVA JULIAN GIUSSEPE EDUARDO </t>
  </si>
  <si>
    <t>76971772</t>
  </si>
  <si>
    <t xml:space="preserve">PACHECO VALLE MARIA FERNANADA </t>
  </si>
  <si>
    <t xml:space="preserve">CARHUALLANQUI CAMARENA DEDI </t>
  </si>
  <si>
    <t>HUAPAYA RIVERA LESLIE MABEL</t>
  </si>
  <si>
    <t>CUNYAS RODRIGUEZ FELIX ANGEL</t>
  </si>
  <si>
    <t xml:space="preserve">PUMA CRUCES EDWIN EDGAR </t>
  </si>
  <si>
    <t xml:space="preserve">HERNANDEZ SANCHEZ JUAN ALEXIS </t>
  </si>
  <si>
    <t xml:space="preserve">MENDOZA HUARCAYA JEAN CARLOS </t>
  </si>
  <si>
    <t xml:space="preserve">CONGORA MUÑOZ DENIS YERSON </t>
  </si>
  <si>
    <t xml:space="preserve">GUERRA CHAVEZ DIEGO ALMAGRO </t>
  </si>
  <si>
    <t xml:space="preserve">BARZOLA HUAYANCA RICHARD ELMER </t>
  </si>
  <si>
    <t>43013253</t>
  </si>
  <si>
    <t>REATEGUI PADILLA MILTON WILLIAMS</t>
  </si>
  <si>
    <t>06312904</t>
  </si>
  <si>
    <t>ESPINOZA VILCHEZ ERNESTO ROBERTO</t>
  </si>
  <si>
    <t>74759892</t>
  </si>
  <si>
    <t>ESPINOZA DUEÑAS ERNESTO ROBERTO</t>
  </si>
  <si>
    <t>80225106</t>
  </si>
  <si>
    <t>BERNALES YARLEQUE JORGE LUIS</t>
  </si>
  <si>
    <t>44138784</t>
  </si>
  <si>
    <t>LAUREANO ROMERO JAVIER EDISON</t>
  </si>
  <si>
    <t>70887618</t>
  </si>
  <si>
    <t>ZAMBRANO FERRE STHEFANO ALEJANDRO</t>
  </si>
  <si>
    <t>75056829</t>
  </si>
  <si>
    <t>BARRIENTOS CHAUCA NATALIA JESUS</t>
  </si>
  <si>
    <t>41576473</t>
  </si>
  <si>
    <t>CRUZ HUAMAN SANDRO</t>
  </si>
  <si>
    <t>74941976</t>
  </si>
  <si>
    <t>AGUILAR MOGOLLON RICARDO RAY</t>
  </si>
  <si>
    <t>43927758</t>
  </si>
  <si>
    <t>HERNANDEZ VIGO EDICSON ALEXIS</t>
  </si>
  <si>
    <t>71410835</t>
  </si>
  <si>
    <t>MANRIQUE ESPINOZA MARLON MANUEL</t>
  </si>
  <si>
    <t>48907744</t>
  </si>
  <si>
    <t>MOORE TABOADA MARCOS EUSEBIO</t>
  </si>
  <si>
    <t>60823475</t>
  </si>
  <si>
    <t>VIA Y RADA MANRIQUE MARLON AARON</t>
  </si>
  <si>
    <t xml:space="preserve"> ALVARADO PUYCON AYRTRON AARAON SEGUNDO</t>
  </si>
  <si>
    <t xml:space="preserve">ALVARADO SIFUENTES JESUS HENDERSON </t>
  </si>
  <si>
    <t xml:space="preserve">HUAYLINOS ESPINOZA ROBERT FRANK </t>
  </si>
  <si>
    <t xml:space="preserve">45801216 </t>
  </si>
  <si>
    <t>SINDULFO RICARDO ZURITA CRUZ</t>
  </si>
  <si>
    <t>MANUEL ALEJANDRO PAOLO MOLOCHE ORUNA</t>
  </si>
  <si>
    <t>25745711</t>
  </si>
  <si>
    <t>CRUZ CONSTANTINO FELIX MARTIN OCTAVIO</t>
  </si>
  <si>
    <t>42740241</t>
  </si>
  <si>
    <t>BERROCAL VENTURA CIRILO</t>
  </si>
  <si>
    <t>ALVARADO ANGULO MARIO ARTURO DEIVID MANUEL</t>
  </si>
  <si>
    <t>CHECA TIGRE LUIGI ANTHONY</t>
  </si>
  <si>
    <t xml:space="preserve">GUERRERO SALAZAR EDIL JAIS </t>
  </si>
  <si>
    <t>Vigente</t>
  </si>
  <si>
    <t>ALVAREZ DE LA CRUZ ABDON</t>
  </si>
  <si>
    <t>44767181</t>
  </si>
  <si>
    <t xml:space="preserve">AQUINO RAVINES ROBERTH JOHNATAN </t>
  </si>
  <si>
    <t>73641700</t>
  </si>
  <si>
    <t>CAMPANA BARRETO AYRTON</t>
  </si>
  <si>
    <t>CAMPOS LLERENA BRAYAN ENRIQUE</t>
  </si>
  <si>
    <t>73515182</t>
  </si>
  <si>
    <t>DE LA CRUZ PURIHUAMAN HECTOR</t>
  </si>
  <si>
    <t>GARRO BUSTAMANTE LUIS ALBERTO</t>
  </si>
  <si>
    <t>HUAMAN SALVADOR DIONY</t>
  </si>
  <si>
    <t xml:space="preserve">LÓPEZ VARGAS YIMMY CALEB </t>
  </si>
  <si>
    <t>MORÁN BRAVO JOSÉ ALEXANDER</t>
  </si>
  <si>
    <t>MORENO ALBERCA PETTER PAUL</t>
  </si>
  <si>
    <t>PAREDES CORTEZ JORGE LUIS</t>
  </si>
  <si>
    <t>46836186</t>
  </si>
  <si>
    <t xml:space="preserve">PATRICIO FERNANDEZ BERNALES JONTHER </t>
  </si>
  <si>
    <t xml:space="preserve">QUISPE GONZALES JUNIOR RAFAEL </t>
  </si>
  <si>
    <t>RONDON LARA JEYSER DAVID</t>
  </si>
  <si>
    <t xml:space="preserve">TAZZA BALDEON KEN JOHN ELMAIN </t>
  </si>
  <si>
    <t xml:space="preserve">VILLARREAL LEON MILTON CLEMER  </t>
  </si>
  <si>
    <t>75608454</t>
  </si>
  <si>
    <t>GUTIERREZ VALDIVIA ENZO ANDRE</t>
  </si>
  <si>
    <t>BARROSO ALFARO RODRIGO LEANDRO</t>
  </si>
  <si>
    <t>74661394</t>
  </si>
  <si>
    <t>GUERRERO GARCIA ELSER GIANPIERE</t>
  </si>
  <si>
    <t xml:space="preserve">ARAMBURU SARDA LUIS GABRIEL </t>
  </si>
  <si>
    <t>CALLAN RAMOS CHRISTIAN ALEXANDER</t>
  </si>
  <si>
    <t>005486114</t>
  </si>
  <si>
    <t>LAREZ ROJAS JOSCARINA DEL VALLE</t>
  </si>
  <si>
    <t>FUENTES SANDOVAL JOHAN MANUEL FRANCISCO</t>
  </si>
  <si>
    <t>PINTO ROJAS BILLY JOEL</t>
  </si>
  <si>
    <t>MEDINA RIVERA FRANCO RUDIL</t>
  </si>
  <si>
    <t>ROSAS RIVERA ANGEL NOEL</t>
  </si>
  <si>
    <t>RUBIN PORTAL ROBERTO</t>
  </si>
  <si>
    <t>ALVAREZ MAMANI IVAN</t>
  </si>
  <si>
    <t>ARMAS FLORES JOSIAS</t>
  </si>
  <si>
    <t>MALLMA CACERES DANIEL GIOVANI</t>
  </si>
  <si>
    <t>003705995</t>
  </si>
  <si>
    <t>PAEZ TIMAURE FREDDY JOSE</t>
  </si>
  <si>
    <t>76521554</t>
  </si>
  <si>
    <t>INOLOPU ONCEBAY,ROBERTO BRAYAN</t>
  </si>
  <si>
    <t>70325289</t>
  </si>
  <si>
    <t>MUCHAYPIÑA BARRIALES,ANDY RAFAEL</t>
  </si>
  <si>
    <t>71693523</t>
  </si>
  <si>
    <t>MARIN DIAZ,HENRY LEONARDO</t>
  </si>
  <si>
    <t>PILLACA  VILLA  RONALD</t>
  </si>
  <si>
    <t>CORTIJO DAVILA  ROBERT GERSON</t>
  </si>
  <si>
    <t>ESKENASI HURTADO JUNIOR YANPIER</t>
  </si>
  <si>
    <t>75002388</t>
  </si>
  <si>
    <t>JIMENEZ CALIXTO JOSEPH ROBERTO</t>
  </si>
  <si>
    <t>77595796</t>
  </si>
  <si>
    <t>MONTES MORI YHONNY ANDRE</t>
  </si>
  <si>
    <t>45307386</t>
  </si>
  <si>
    <t>MONTESINOS RIOS MIGUEL ANGEL</t>
  </si>
  <si>
    <t>43028358</t>
  </si>
  <si>
    <t>ASIPALI SILVA BRIAN JOSE</t>
  </si>
  <si>
    <t>47772249</t>
  </si>
  <si>
    <t>GODOY LOPEZ EDER ROLANDO</t>
  </si>
  <si>
    <t>43039534</t>
  </si>
  <si>
    <t>CACERES NAJARRO ANGEL NICOLAS</t>
  </si>
  <si>
    <t>46346243</t>
  </si>
  <si>
    <t>TORRES FERNANDEZ GRIEGO ESAUL</t>
  </si>
  <si>
    <t>47318984</t>
  </si>
  <si>
    <t>ORTEGA GUTIERREZ JULIO MARTIN</t>
  </si>
  <si>
    <t>77479938</t>
  </si>
  <si>
    <t>MALDONADO GONZALES LUCAS</t>
  </si>
  <si>
    <t>80607229</t>
  </si>
  <si>
    <t>NUÑEZ CASTRO LUIS ALBERTO</t>
  </si>
  <si>
    <t>41396626</t>
  </si>
  <si>
    <t>BUSTINZA VENTURA ELEAZAR ESTONID</t>
  </si>
  <si>
    <t>GUTIERREZ LEON BRYAN DIEGO</t>
  </si>
  <si>
    <t>BOCANEGRA MIRANDA DENNYS JOSUE</t>
  </si>
  <si>
    <t>ARRIETA JIMENEZ NEREIDA MAYELIN</t>
  </si>
  <si>
    <t>GUTIERREZ CASTILLO LUIS ALEJANDRO</t>
  </si>
  <si>
    <t>CIVICO VEGA OSCAR IVAN</t>
  </si>
  <si>
    <t>GONZALES MENDOZA FRANKLIN</t>
  </si>
  <si>
    <t>VALENCIA COARITE WALTER</t>
  </si>
  <si>
    <t>ARAUCO ROJAS JEAN PIERRE</t>
  </si>
  <si>
    <t>DIAZ MEZA DIEGO EDUARDO</t>
  </si>
  <si>
    <t xml:space="preserve">SONCCO CCUITO TEOFILO SANTOS </t>
  </si>
  <si>
    <t>RIVERA CORREA KING GIAN</t>
  </si>
  <si>
    <t>NORIEGA AGUILAR DIEGO WALDIR</t>
  </si>
  <si>
    <t>ZAVALA MARIO JOSE</t>
  </si>
  <si>
    <t>BOLAÑOS VARGAS NOE</t>
  </si>
  <si>
    <t>GUERRA RIOS CLEBER</t>
  </si>
  <si>
    <t>PINEDO ACHACA BRIHAN</t>
  </si>
  <si>
    <t>GONZALES CAHUAZA CARLOS ALBERTO</t>
  </si>
  <si>
    <t>75417944</t>
  </si>
  <si>
    <t>AUGURTO ANGELDONIS RODRIGO DENILSON</t>
  </si>
  <si>
    <t>CARHUALLANQUI REYES BRAYAN JULIO</t>
  </si>
  <si>
    <t>CHAPA CASAS JUAN CARLOS</t>
  </si>
  <si>
    <t>HUAYTA CORNELIO RENZO AUGUSTO</t>
  </si>
  <si>
    <t>LEON RODRIGUEZ DARIO FELICIANO</t>
  </si>
  <si>
    <t>MARCOS VARGAS ENRIQUE YONATAN</t>
  </si>
  <si>
    <t>72188038</t>
  </si>
  <si>
    <t>MARTINEZ GELVET MICHAEL JAIR</t>
  </si>
  <si>
    <t>MERA VASQUEZ JHONATAN SIDANI</t>
  </si>
  <si>
    <t>RUIZ BANCES MAURICIO</t>
  </si>
  <si>
    <t>TAIPE BUENDIA GERARDO FELIX</t>
  </si>
  <si>
    <t>75706714</t>
  </si>
  <si>
    <t>HUAMAN ARAUJO PAULO CESAR</t>
  </si>
  <si>
    <t>LOPEZ ROESCHLI JEAN JEPSEN</t>
  </si>
  <si>
    <t>002127366</t>
  </si>
  <si>
    <t>PITALUA PEREZ JULLY ENRIQUE</t>
  </si>
  <si>
    <t>43180878</t>
  </si>
  <si>
    <t>RAMOS MESIA PAUL AVELINO</t>
  </si>
  <si>
    <t>SALAZAR NUÑEZ CESAR AUGUSTO</t>
  </si>
  <si>
    <t>SANCHEZ PEREZ FABIAN ALEXIS</t>
  </si>
  <si>
    <t>EFRAIN LUIS MEZA ARTEAGA</t>
  </si>
  <si>
    <t>PINEDA SANCHEZ LUIS JESUS</t>
  </si>
  <si>
    <t>02990464</t>
  </si>
  <si>
    <t>04225245</t>
  </si>
  <si>
    <t>05151536</t>
  </si>
  <si>
    <t>06708543</t>
  </si>
  <si>
    <t>07354604</t>
  </si>
  <si>
    <t>03092723</t>
  </si>
  <si>
    <t>06811541</t>
  </si>
  <si>
    <t>71851560</t>
  </si>
  <si>
    <t>AMPUERO VEGA ANDRES DANIEL</t>
  </si>
  <si>
    <t>PORTAL FALLA JUAN HUMBERTO</t>
  </si>
  <si>
    <t>78882278</t>
  </si>
  <si>
    <t>MENDOZA VERGARAY JUAN GIUSEPPI</t>
  </si>
  <si>
    <t>75868963</t>
  </si>
  <si>
    <t>CORDOVA BARRIENTOS GHOMAR ALEXANDER</t>
  </si>
  <si>
    <t>44542336</t>
  </si>
  <si>
    <t>CANALES ALGUEDAS JUAN RAUL</t>
  </si>
  <si>
    <t>09442491</t>
  </si>
  <si>
    <t>MARTINEZ PARIONA WILLIAM</t>
  </si>
  <si>
    <t>VALVERDE SAENZ EDSON ALBERTO</t>
  </si>
  <si>
    <t>SIMOSA XXXX MIGUEL ANGEL</t>
  </si>
  <si>
    <t>LUNA ROJO JUAN ROBERTO</t>
  </si>
  <si>
    <t>20562049</t>
  </si>
  <si>
    <t>MENDOZA ZUÑIGA EDWIN DANTE</t>
  </si>
  <si>
    <t>40963192</t>
  </si>
  <si>
    <t>QUISPE VILLANOS MOISES</t>
  </si>
  <si>
    <t>43068395</t>
  </si>
  <si>
    <t>QUEREVALU CHUNGA JOHNNY ARTURO</t>
  </si>
  <si>
    <t>48036961</t>
  </si>
  <si>
    <t>ALVARADO PRADO JOSEPH AARON</t>
  </si>
  <si>
    <t>HUAMAN CORILLOCLLA MIGUEL ANGEL</t>
  </si>
  <si>
    <t>44880228</t>
  </si>
  <si>
    <t>OBREGON GUILLERMO JONATHAN BRUNO VICTOR</t>
  </si>
  <si>
    <t>25581427</t>
  </si>
  <si>
    <t>PISANGO SINUIRI JORGE RAUL</t>
  </si>
  <si>
    <t>#VALUE!</t>
  </si>
  <si>
    <t>9-2024</t>
  </si>
  <si>
    <t/>
  </si>
  <si>
    <t/>
  </si>
  <si>
    <t/>
  </si>
  <si>
    <t/>
  </si>
  <si>
    <t>PeriodoInicio</t>
  </si>
  <si>
    <t>PeriodoFin</t>
  </si>
  <si>
    <t>PeriodoEtiqueta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</si>
</sst>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dd\.mm\.yyyy;@"/>
    <numFmt numFmtId="165" formatCode="dd/mm/yyyy;@"/>
    <numFmt numFmtId="166" formatCode="_-* #,##0_-;\-* #,##0_-;_-* &quot;-&quot;??_-;_-@_-"/>
    <numFmt numFmtId="167" formatCode="_ * #,##0.00_ ;_ * \-#,##0.00_ ;_ * &quot;-&quot;??_ ;_ @_ "/>
    <numFmt numFmtId="168" formatCode="d/mm/yyyy"/>
  </numFmts>
  <fonts count="3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Calibri"/>
      <family val="2"/>
    </font>
    <font>
      <sz val="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4" tint="-0.499984740745262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  <border>
      <left style="thin">
        <color theme="8" tint="-0.24994659260841701"/>
      </left>
      <right style="thin">
        <color theme="8" tint="-0.24994659260841701"/>
      </right>
      <top style="double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indexed="65"/>
      </left>
      <right/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indexed="65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/>
      <right/>
      <top/>
      <bottom style="thin">
        <color theme="8" tint="0.39997558519241921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 style="thin">
        <color theme="8" tint="-0.24994659260841701"/>
      </left>
      <right style="thin">
        <color theme="8" tint="-0.24994659260841701"/>
      </right>
      <top style="thin">
        <color rgb="FFABABAB"/>
      </top>
      <bottom/>
      <diagonal/>
    </border>
    <border>
      <left style="thin">
        <color theme="8" tint="-0.24994659260841701"/>
      </left>
      <right style="thin">
        <color theme="8" tint="-0.24994659260841701"/>
      </right>
      <top style="thin">
        <color rgb="FFABABAB"/>
      </top>
      <bottom style="thin">
        <color theme="8" tint="-0.249946592608417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9">
    <xf numFmtId="0" fontId="0" fillId="0" borderId="0"/>
    <xf numFmtId="0" fontId="1" fillId="0" borderId="0"/>
    <xf numFmtId="0" fontId="1" fillId="0" borderId="2" applyNumberFormat="0" applyFont="0" applyFill="0" applyAlignment="0"/>
    <xf numFmtId="0" fontId="1" fillId="0" borderId="0"/>
    <xf numFmtId="0" fontId="1" fillId="0" borderId="0"/>
    <xf numFmtId="0" fontId="1" fillId="0" borderId="0" applyFill="0" applyBorder="0"/>
    <xf numFmtId="0" fontId="1" fillId="0" borderId="0"/>
    <xf numFmtId="0" fontId="1" fillId="0" borderId="0"/>
    <xf numFmtId="0" fontId="1" fillId="0" borderId="0" applyFill="0" applyBorder="0"/>
    <xf numFmtId="0" fontId="1" fillId="0" borderId="0"/>
    <xf numFmtId="0" fontId="1" fillId="0" borderId="0"/>
    <xf numFmtId="0" fontId="1" fillId="0" borderId="0"/>
    <xf numFmtId="0" fontId="1" fillId="0" borderId="0"/>
    <xf numFmtId="43" fontId="7" fillId="0" borderId="0" applyFont="0" applyFill="0" applyBorder="0" applyAlignment="0" applyProtection="0"/>
    <xf numFmtId="0" fontId="1" fillId="0" borderId="0" applyFill="0" applyBorder="0"/>
    <xf numFmtId="9" fontId="7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36" applyNumberFormat="0" applyFill="0" applyAlignment="0" applyProtection="0"/>
    <xf numFmtId="0" fontId="19" fillId="0" borderId="37" applyNumberFormat="0" applyFill="0" applyAlignment="0" applyProtection="0"/>
    <xf numFmtId="0" fontId="20" fillId="0" borderId="38" applyNumberFormat="0" applyFill="0" applyAlignment="0" applyProtection="0"/>
    <xf numFmtId="0" fontId="20" fillId="0" borderId="0" applyNumberFormat="0" applyFill="0" applyBorder="0" applyAlignment="0" applyProtection="0"/>
    <xf numFmtId="0" fontId="21" fillId="12" borderId="0" applyNumberFormat="0" applyBorder="0" applyAlignment="0" applyProtection="0"/>
    <xf numFmtId="0" fontId="22" fillId="13" borderId="0" applyNumberFormat="0" applyBorder="0" applyAlignment="0" applyProtection="0"/>
    <xf numFmtId="0" fontId="23" fillId="15" borderId="39" applyNumberFormat="0" applyAlignment="0" applyProtection="0"/>
    <xf numFmtId="0" fontId="24" fillId="16" borderId="40" applyNumberFormat="0" applyAlignment="0" applyProtection="0"/>
    <xf numFmtId="0" fontId="25" fillId="16" borderId="39" applyNumberFormat="0" applyAlignment="0" applyProtection="0"/>
    <xf numFmtId="0" fontId="26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7" fillId="17" borderId="42" applyNumberFormat="0" applyFont="0" applyAlignment="0" applyProtection="0"/>
    <xf numFmtId="0" fontId="28" fillId="0" borderId="0" applyNumberFormat="0" applyFill="0" applyBorder="0" applyAlignment="0" applyProtection="0"/>
    <xf numFmtId="0" fontId="8" fillId="0" borderId="43" applyNumberFormat="0" applyFill="0" applyAlignment="0" applyProtection="0"/>
    <xf numFmtId="0" fontId="13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13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13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13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13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13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43" fontId="7" fillId="0" borderId="0" applyFont="0" applyFill="0" applyBorder="0" applyAlignment="0" applyProtection="0"/>
    <xf numFmtId="0" fontId="30" fillId="14" borderId="0" applyNumberFormat="0" applyBorder="0" applyAlignment="0" applyProtection="0"/>
    <xf numFmtId="0" fontId="13" fillId="21" borderId="0" applyNumberFormat="0" applyBorder="0" applyAlignment="0" applyProtection="0"/>
    <xf numFmtId="0" fontId="13" fillId="25" borderId="0" applyNumberFormat="0" applyBorder="0" applyAlignment="0" applyProtection="0"/>
    <xf numFmtId="0" fontId="13" fillId="29" borderId="0" applyNumberFormat="0" applyBorder="0" applyAlignment="0" applyProtection="0"/>
    <xf numFmtId="0" fontId="13" fillId="33" borderId="0" applyNumberFormat="0" applyBorder="0" applyAlignment="0" applyProtection="0"/>
    <xf numFmtId="0" fontId="13" fillId="37" borderId="0" applyNumberFormat="0" applyBorder="0" applyAlignment="0" applyProtection="0"/>
    <xf numFmtId="0" fontId="13" fillId="41" borderId="0" applyNumberFormat="0" applyBorder="0" applyAlignment="0" applyProtection="0"/>
    <xf numFmtId="167" fontId="7" fillId="0" borderId="0" applyFont="0" applyFill="0" applyBorder="0" applyAlignment="0" applyProtection="0"/>
    <xf numFmtId="0" fontId="1" fillId="0" borderId="0"/>
  </cellStyleXfs>
  <cellXfs count="16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/>
    </xf>
    <xf numFmtId="49" fontId="2" fillId="2" borderId="1" xfId="1" applyNumberFormat="1" applyFont="1" applyFill="1" applyBorder="1" applyAlignment="1" applyProtection="1">
      <alignment horizontal="center" vertical="center" wrapText="1"/>
      <protection locked="0"/>
    </xf>
    <xf numFmtId="0" fontId="2" fillId="2" borderId="1" xfId="1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43" fontId="3" fillId="0" borderId="1" xfId="13" applyFont="1" applyBorder="1"/>
    <xf numFmtId="14" fontId="0" fillId="0" borderId="0" xfId="0" applyNumberFormat="1"/>
    <xf numFmtId="164" fontId="0" fillId="0" borderId="0" xfId="0" applyNumberFormat="1" applyAlignment="1">
      <alignment horizontal="center"/>
    </xf>
    <xf numFmtId="165" fontId="0" fillId="0" borderId="1" xfId="0" applyNumberFormat="1" applyBorder="1" applyAlignment="1">
      <alignment horizontal="center"/>
    </xf>
    <xf numFmtId="14" fontId="2" fillId="2" borderId="1" xfId="1" applyNumberFormat="1" applyFont="1" applyFill="1" applyBorder="1" applyAlignment="1" applyProtection="1">
      <alignment horizontal="center" vertical="center"/>
      <protection locked="0"/>
    </xf>
    <xf numFmtId="165" fontId="2" fillId="2" borderId="1" xfId="1" applyNumberFormat="1" applyFont="1" applyFill="1" applyBorder="1" applyAlignment="1" applyProtection="1">
      <alignment horizontal="center" vertical="center" wrapText="1"/>
      <protection locked="0"/>
    </xf>
    <xf numFmtId="165" fontId="0" fillId="0" borderId="0" xfId="0" applyNumberFormat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9" fontId="0" fillId="0" borderId="4" xfId="15" applyFont="1" applyBorder="1" applyAlignment="1">
      <alignment horizontal="center"/>
    </xf>
    <xf numFmtId="9" fontId="8" fillId="0" borderId="5" xfId="15" applyFont="1" applyBorder="1" applyAlignment="1">
      <alignment horizontal="center"/>
    </xf>
    <xf numFmtId="49" fontId="2" fillId="5" borderId="1" xfId="1" applyNumberFormat="1" applyFont="1" applyFill="1" applyBorder="1" applyAlignment="1" applyProtection="1">
      <alignment horizontal="center" vertical="center" wrapText="1"/>
      <protection locked="0"/>
    </xf>
    <xf numFmtId="1" fontId="3" fillId="0" borderId="1" xfId="13" applyNumberFormat="1" applyFont="1" applyBorder="1" applyAlignment="1">
      <alignment horizontal="center"/>
    </xf>
    <xf numFmtId="0" fontId="3" fillId="0" borderId="1" xfId="13" applyNumberFormat="1" applyFont="1" applyBorder="1" applyAlignment="1">
      <alignment horizontal="center"/>
    </xf>
    <xf numFmtId="49" fontId="2" fillId="6" borderId="1" xfId="1" applyNumberFormat="1" applyFont="1" applyFill="1" applyBorder="1" applyAlignment="1" applyProtection="1">
      <alignment horizontal="center" vertical="center" wrapText="1"/>
      <protection locked="0"/>
    </xf>
    <xf numFmtId="14" fontId="2" fillId="2" borderId="1" xfId="1" applyNumberFormat="1" applyFont="1" applyFill="1" applyBorder="1" applyAlignment="1" applyProtection="1">
      <alignment horizontal="center" vertical="center" wrapText="1"/>
      <protection locked="0"/>
    </xf>
    <xf numFmtId="14" fontId="0" fillId="0" borderId="0" xfId="0" applyNumberFormat="1" applyAlignment="1">
      <alignment horizontal="center"/>
    </xf>
    <xf numFmtId="0" fontId="8" fillId="0" borderId="10" xfId="0" applyFont="1" applyBorder="1"/>
    <xf numFmtId="0" fontId="12" fillId="5" borderId="3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0" fontId="8" fillId="0" borderId="0" xfId="0" applyFont="1"/>
    <xf numFmtId="49" fontId="2" fillId="5" borderId="0" xfId="1" applyNumberFormat="1" applyFont="1" applyFill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right"/>
    </xf>
    <xf numFmtId="14" fontId="0" fillId="0" borderId="1" xfId="0" applyNumberFormat="1" applyBorder="1"/>
    <xf numFmtId="0" fontId="11" fillId="8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0" fillId="0" borderId="11" xfId="0" applyBorder="1"/>
    <xf numFmtId="2" fontId="8" fillId="0" borderId="6" xfId="0" applyNumberFormat="1" applyFont="1" applyBorder="1" applyAlignment="1">
      <alignment horizontal="center"/>
    </xf>
    <xf numFmtId="0" fontId="0" fillId="5" borderId="0" xfId="0" applyFill="1"/>
    <xf numFmtId="43" fontId="3" fillId="0" borderId="1" xfId="13" applyFont="1" applyBorder="1" applyAlignment="1">
      <alignment horizontal="center"/>
    </xf>
    <xf numFmtId="0" fontId="0" fillId="10" borderId="0" xfId="0" applyFill="1"/>
    <xf numFmtId="0" fontId="0" fillId="11" borderId="0" xfId="0" applyFill="1"/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8" fillId="0" borderId="17" xfId="0" applyFont="1" applyBorder="1"/>
    <xf numFmtId="0" fontId="0" fillId="0" borderId="22" xfId="0" pivotButton="1" applyBorder="1"/>
    <xf numFmtId="0" fontId="0" fillId="0" borderId="23" xfId="0" applyBorder="1"/>
    <xf numFmtId="0" fontId="0" fillId="0" borderId="21" xfId="0" pivotButton="1" applyBorder="1"/>
    <xf numFmtId="0" fontId="0" fillId="0" borderId="22" xfId="0" applyBorder="1"/>
    <xf numFmtId="0" fontId="8" fillId="0" borderId="21" xfId="0" pivotButton="1" applyFont="1" applyBorder="1"/>
    <xf numFmtId="0" fontId="0" fillId="0" borderId="24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21" xfId="0" applyBorder="1" applyAlignment="1">
      <alignment horizontal="left"/>
    </xf>
    <xf numFmtId="0" fontId="8" fillId="0" borderId="21" xfId="0" applyFont="1" applyBorder="1" applyAlignment="1">
      <alignment horizontal="center"/>
    </xf>
    <xf numFmtId="0" fontId="8" fillId="0" borderId="22" xfId="0" pivotButton="1" applyFont="1" applyBorder="1"/>
    <xf numFmtId="0" fontId="0" fillId="0" borderId="21" xfId="0" applyBorder="1" applyAlignment="1">
      <alignment horizontal="center"/>
    </xf>
    <xf numFmtId="43" fontId="3" fillId="0" borderId="0" xfId="13" applyFont="1" applyBorder="1"/>
    <xf numFmtId="2" fontId="0" fillId="9" borderId="12" xfId="0" applyNumberFormat="1" applyFill="1" applyBorder="1" applyAlignment="1">
      <alignment horizontal="center"/>
    </xf>
    <xf numFmtId="0" fontId="0" fillId="9" borderId="7" xfId="0" applyFill="1" applyBorder="1"/>
    <xf numFmtId="0" fontId="0" fillId="9" borderId="8" xfId="0" applyFill="1" applyBorder="1"/>
    <xf numFmtId="0" fontId="0" fillId="9" borderId="9" xfId="0" applyFill="1" applyBorder="1"/>
    <xf numFmtId="2" fontId="8" fillId="9" borderId="6" xfId="0" applyNumberFormat="1" applyFont="1" applyFill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" fontId="0" fillId="0" borderId="17" xfId="0" applyNumberFormat="1" applyBorder="1" applyAlignment="1">
      <alignment horizontal="center"/>
    </xf>
    <xf numFmtId="1" fontId="0" fillId="0" borderId="18" xfId="0" applyNumberFormat="1" applyBorder="1" applyAlignment="1">
      <alignment horizontal="center"/>
    </xf>
    <xf numFmtId="1" fontId="0" fillId="0" borderId="19" xfId="0" applyNumberFormat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166" fontId="0" fillId="0" borderId="13" xfId="0" applyNumberFormat="1" applyBorder="1" applyAlignment="1">
      <alignment horizontal="center"/>
    </xf>
    <xf numFmtId="166" fontId="0" fillId="0" borderId="14" xfId="0" applyNumberFormat="1" applyBorder="1" applyAlignment="1">
      <alignment horizontal="center"/>
    </xf>
    <xf numFmtId="166" fontId="0" fillId="0" borderId="15" xfId="0" applyNumberFormat="1" applyBorder="1" applyAlignment="1">
      <alignment horizontal="center"/>
    </xf>
    <xf numFmtId="166" fontId="0" fillId="0" borderId="16" xfId="0" applyNumberFormat="1" applyBorder="1" applyAlignment="1">
      <alignment horizontal="center"/>
    </xf>
    <xf numFmtId="166" fontId="0" fillId="0" borderId="17" xfId="0" applyNumberFormat="1" applyBorder="1" applyAlignment="1">
      <alignment horizontal="center"/>
    </xf>
    <xf numFmtId="166" fontId="0" fillId="0" borderId="18" xfId="0" applyNumberFormat="1" applyBorder="1" applyAlignment="1">
      <alignment horizontal="center"/>
    </xf>
    <xf numFmtId="166" fontId="0" fillId="0" borderId="19" xfId="0" applyNumberFormat="1" applyBorder="1" applyAlignment="1">
      <alignment horizontal="center"/>
    </xf>
    <xf numFmtId="166" fontId="0" fillId="0" borderId="20" xfId="0" applyNumberForma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/>
    </xf>
    <xf numFmtId="14" fontId="6" fillId="4" borderId="1" xfId="0" applyNumberFormat="1" applyFont="1" applyFill="1" applyBorder="1" applyAlignment="1">
      <alignment horizontal="center"/>
    </xf>
    <xf numFmtId="1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8" fillId="0" borderId="6" xfId="0" applyNumberFormat="1" applyFont="1" applyBorder="1" applyAlignment="1">
      <alignment horizontal="center"/>
    </xf>
    <xf numFmtId="0" fontId="0" fillId="0" borderId="12" xfId="0" applyBorder="1" applyAlignment="1">
      <alignment horizontal="right"/>
    </xf>
    <xf numFmtId="0" fontId="14" fillId="0" borderId="14" xfId="0" applyFont="1" applyBorder="1" applyAlignment="1">
      <alignment horizontal="center"/>
    </xf>
    <xf numFmtId="0" fontId="14" fillId="0" borderId="0" xfId="0" applyFont="1" applyAlignment="1">
      <alignment horizontal="center"/>
    </xf>
    <xf numFmtId="9" fontId="0" fillId="0" borderId="0" xfId="15" applyFont="1" applyBorder="1" applyAlignment="1">
      <alignment horizontal="center"/>
    </xf>
    <xf numFmtId="0" fontId="0" fillId="0" borderId="13" xfId="0" pivotButton="1" applyBorder="1"/>
    <xf numFmtId="0" fontId="0" fillId="0" borderId="16" xfId="0" applyBorder="1" applyAlignment="1">
      <alignment horizontal="left"/>
    </xf>
    <xf numFmtId="0" fontId="0" fillId="0" borderId="23" xfId="0" applyBorder="1" applyAlignment="1">
      <alignment horizontal="left"/>
    </xf>
    <xf numFmtId="0" fontId="14" fillId="0" borderId="14" xfId="0" applyFont="1" applyBorder="1"/>
    <xf numFmtId="0" fontId="0" fillId="0" borderId="14" xfId="0" applyBorder="1" applyAlignment="1">
      <alignment horizontal="center"/>
    </xf>
    <xf numFmtId="43" fontId="0" fillId="0" borderId="15" xfId="0" applyNumberFormat="1" applyBorder="1" applyAlignment="1">
      <alignment horizontal="center"/>
    </xf>
    <xf numFmtId="43" fontId="0" fillId="0" borderId="17" xfId="0" applyNumberFormat="1" applyBorder="1" applyAlignment="1">
      <alignment horizontal="center"/>
    </xf>
    <xf numFmtId="43" fontId="0" fillId="0" borderId="2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27" xfId="0" applyBorder="1"/>
    <xf numFmtId="0" fontId="0" fillId="0" borderId="11" xfId="0" applyBorder="1" applyAlignment="1">
      <alignment horizontal="right"/>
    </xf>
    <xf numFmtId="0" fontId="0" fillId="0" borderId="28" xfId="0" pivotButton="1" applyBorder="1"/>
    <xf numFmtId="0" fontId="0" fillId="0" borderId="29" xfId="0" applyBorder="1"/>
    <xf numFmtId="0" fontId="0" fillId="0" borderId="30" xfId="0" applyBorder="1"/>
    <xf numFmtId="0" fontId="0" fillId="0" borderId="28" xfId="0" applyBorder="1"/>
    <xf numFmtId="14" fontId="0" fillId="0" borderId="28" xfId="0" applyNumberFormat="1" applyBorder="1"/>
    <xf numFmtId="0" fontId="0" fillId="0" borderId="31" xfId="0" applyBorder="1"/>
    <xf numFmtId="0" fontId="0" fillId="0" borderId="32" xfId="0" pivotButton="1" applyBorder="1"/>
    <xf numFmtId="0" fontId="0" fillId="0" borderId="32" xfId="0" applyBorder="1"/>
    <xf numFmtId="0" fontId="0" fillId="0" borderId="30" xfId="0" applyBorder="1" applyAlignment="1">
      <alignment horizontal="center"/>
    </xf>
    <xf numFmtId="0" fontId="0" fillId="0" borderId="33" xfId="0" applyBorder="1"/>
    <xf numFmtId="1" fontId="0" fillId="0" borderId="34" xfId="0" applyNumberFormat="1" applyBorder="1" applyAlignment="1">
      <alignment horizontal="center"/>
    </xf>
    <xf numFmtId="0" fontId="0" fillId="0" borderId="34" xfId="0" applyBorder="1" applyAlignment="1">
      <alignment horizontal="right"/>
    </xf>
    <xf numFmtId="0" fontId="0" fillId="0" borderId="35" xfId="0" applyBorder="1" applyAlignment="1">
      <alignment horizontal="right"/>
    </xf>
    <xf numFmtId="0" fontId="0" fillId="0" borderId="28" xfId="0" applyBorder="1" applyAlignment="1">
      <alignment horizontal="right"/>
    </xf>
    <xf numFmtId="0" fontId="0" fillId="0" borderId="31" xfId="0" applyBorder="1" applyAlignment="1">
      <alignment horizontal="right"/>
    </xf>
    <xf numFmtId="0" fontId="0" fillId="5" borderId="28" xfId="0" applyFill="1" applyBorder="1" applyAlignment="1">
      <alignment horizontal="right"/>
    </xf>
    <xf numFmtId="0" fontId="0" fillId="5" borderId="31" xfId="0" applyFill="1" applyBorder="1" applyAlignment="1">
      <alignment horizontal="right"/>
    </xf>
    <xf numFmtId="0" fontId="0" fillId="5" borderId="28" xfId="0" applyFill="1" applyBorder="1"/>
    <xf numFmtId="0" fontId="0" fillId="5" borderId="33" xfId="0" applyFill="1" applyBorder="1"/>
    <xf numFmtId="2" fontId="0" fillId="0" borderId="34" xfId="0" applyNumberFormat="1" applyBorder="1" applyAlignment="1">
      <alignment horizontal="center"/>
    </xf>
    <xf numFmtId="0" fontId="0" fillId="0" borderId="0" xfId="0" pivotButton="1"/>
    <xf numFmtId="168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 vertical="center"/>
    </xf>
    <xf numFmtId="43" fontId="32" fillId="0" borderId="1" xfId="13" applyFont="1" applyBorder="1"/>
    <xf numFmtId="1" fontId="32" fillId="0" borderId="1" xfId="13" applyNumberFormat="1" applyFont="1" applyBorder="1" applyAlignment="1">
      <alignment horizontal="center"/>
    </xf>
    <xf numFmtId="0" fontId="32" fillId="0" borderId="1" xfId="13" applyNumberFormat="1" applyFont="1" applyBorder="1" applyAlignment="1">
      <alignment horizontal="center"/>
    </xf>
    <xf numFmtId="43" fontId="32" fillId="0" borderId="1" xfId="13" applyFont="1" applyBorder="1" applyAlignment="1">
      <alignment horizontal="center"/>
    </xf>
    <xf numFmtId="43" fontId="3" fillId="0" borderId="0" xfId="13" applyFont="1"/>
    <xf numFmtId="14" fontId="29" fillId="0" borderId="1" xfId="0" applyNumberFormat="1" applyFont="1" applyBorder="1" applyAlignment="1">
      <alignment horizontal="center"/>
    </xf>
    <xf numFmtId="14" fontId="0" fillId="0" borderId="1" xfId="0" quotePrefix="1" applyNumberFormat="1" applyBorder="1" applyAlignment="1">
      <alignment horizontal="center"/>
    </xf>
    <xf numFmtId="14" fontId="0" fillId="0" borderId="44" xfId="0" applyNumberFormat="1" applyBorder="1" applyAlignment="1">
      <alignment horizontal="center"/>
    </xf>
    <xf numFmtId="2" fontId="0" fillId="9" borderId="34" xfId="0" applyNumberFormat="1" applyFill="1" applyBorder="1" applyAlignment="1">
      <alignment horizontal="center"/>
    </xf>
    <xf numFmtId="14" fontId="29" fillId="0" borderId="1" xfId="0" applyNumberFormat="1" applyFont="1" applyBorder="1" applyAlignment="1">
      <alignment horizontal="center" vertical="center"/>
    </xf>
    <xf numFmtId="14" fontId="29" fillId="9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29" fillId="0" borderId="1" xfId="0" applyFont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18" xfId="0" applyBorder="1" applyAlignment="1">
      <alignment horizontal="left"/>
    </xf>
    <xf numFmtId="1" fontId="0" fillId="0" borderId="0" xfId="0" applyNumberFormat="1" applyAlignment="1">
      <alignment horizontal="center"/>
    </xf>
    <xf numFmtId="0" fontId="14" fillId="0" borderId="14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0" fillId="0" borderId="0" xfId="0" applyNumberFormat="1"/>
  </cellXfs>
  <cellStyles count="59">
    <cellStyle name="0752-93035 2" xfId="7" xr:uid="{00000000-0005-0000-0000-000000000000}"/>
    <cellStyle name="20% - Accent1" xfId="32" builtinId="30" customBuiltin="1"/>
    <cellStyle name="20% - Accent2" xfId="35" builtinId="34" customBuiltin="1"/>
    <cellStyle name="20% - Accent3" xfId="38" builtinId="38" customBuiltin="1"/>
    <cellStyle name="20% - Accent4" xfId="41" builtinId="42" customBuiltin="1"/>
    <cellStyle name="20% - Accent5" xfId="44" builtinId="46" customBuiltin="1"/>
    <cellStyle name="20% - Accent6" xfId="47" builtinId="50" customBuiltin="1"/>
    <cellStyle name="40% - Accent1" xfId="33" builtinId="31" customBuiltin="1"/>
    <cellStyle name="40% - Accent2" xfId="36" builtinId="35" customBuiltin="1"/>
    <cellStyle name="40% - Accent3" xfId="39" builtinId="39" customBuiltin="1"/>
    <cellStyle name="40% - Accent4" xfId="42" builtinId="43" customBuiltin="1"/>
    <cellStyle name="40% - Accent5" xfId="45" builtinId="47" customBuiltin="1"/>
    <cellStyle name="40% - Accent6" xfId="48" builtinId="51" customBuiltin="1"/>
    <cellStyle name="60% - Énfasis1 2" xfId="51" xr:uid="{29A6D8C1-594F-4DA5-84A3-B5768191294C}"/>
    <cellStyle name="60% - Énfasis2 2" xfId="52" xr:uid="{BCD4ABA4-A55D-4791-B4ED-A405EB2A08A8}"/>
    <cellStyle name="60% - Énfasis3 2" xfId="53" xr:uid="{EE09D8F7-AE08-4872-B01B-39CB938D4669}"/>
    <cellStyle name="60% - Énfasis4 2" xfId="54" xr:uid="{DD1902BD-6572-4340-9342-96FD3D716EC4}"/>
    <cellStyle name="60% - Énfasis5 2" xfId="55" xr:uid="{BF77FC20-B39D-4F53-939B-AE5F1A8CAEE0}"/>
    <cellStyle name="60% - Énfasis6 2" xfId="56" xr:uid="{54B1BB89-E7E1-4D49-90A4-D70371F5A152}"/>
    <cellStyle name="Accent1" xfId="31" builtinId="29" customBuiltin="1"/>
    <cellStyle name="Accent2" xfId="34" builtinId="33" customBuiltin="1"/>
    <cellStyle name="Accent3" xfId="37" builtinId="37" customBuiltin="1"/>
    <cellStyle name="Accent4" xfId="40" builtinId="41" customBuiltin="1"/>
    <cellStyle name="Accent5" xfId="43" builtinId="45" customBuiltin="1"/>
    <cellStyle name="Accent6" xfId="46" builtinId="49" customBuiltin="1"/>
    <cellStyle name="Bad" xfId="22" builtinId="27" customBuiltin="1"/>
    <cellStyle name="Calculation" xfId="25" builtinId="22" customBuiltin="1"/>
    <cellStyle name="Comma" xfId="13" builtinId="3"/>
    <cellStyle name="Comma 2" xfId="49" xr:uid="{99E14EF0-713D-4DE3-9E43-8FC65DFC0C38}"/>
    <cellStyle name="Diseño" xfId="8" xr:uid="{00000000-0005-0000-0000-000001000000}"/>
    <cellStyle name="Explanatory Text" xfId="29" builtinId="53" customBuiltin="1"/>
    <cellStyle name="Good" xfId="21" builtinId="26" customBuiltin="1"/>
    <cellStyle name="Heading 1" xfId="17" builtinId="16" customBuiltin="1"/>
    <cellStyle name="Heading 2" xfId="18" builtinId="17" customBuiltin="1"/>
    <cellStyle name="Heading 3" xfId="19" builtinId="18" customBuiltin="1"/>
    <cellStyle name="Heading 4" xfId="20" builtinId="19" customBuiltin="1"/>
    <cellStyle name="Input" xfId="23" builtinId="20" customBuiltin="1"/>
    <cellStyle name="l]_x000a__x000a_Path=M:\RIOCEN01_x000a__x000a_Name=Carlos Emilio Brousse_x000a__x000a_DDEApps=nsf,nsg,nsh,ntf,ns2,ors,org_x000a__x000a_SmartIcons=Todos_x000a__x000a_" xfId="10" xr:uid="{00000000-0005-0000-0000-000002000000}"/>
    <cellStyle name="l]_x000d__x000a_Path=M:\RIOCEN01_x000d__x000a_Name=Carlos Emilio Brousse_x000d__x000a_DDEApps=nsf,nsg,nsh,ntf,ns2,ors,org_x000d__x000a_SmartIcons=Todos_x000d__x000a_" xfId="1" xr:uid="{00000000-0005-0000-0000-000003000000}"/>
    <cellStyle name="l]_x000d__x000d_Path=M:\RIOCEN01_x000d__x000d_Name=Carlos Emilio Brousse_x000d__x000d_DDEApps=nsf,nsg,nsh,ntf,ns2,ors,org_x000d__x000d_SmartIcons=Todos_x000d__x000d_" xfId="3" xr:uid="{00000000-0005-0000-0000-000004000000}"/>
    <cellStyle name="Linked Cell" xfId="26" builtinId="24" customBuiltin="1"/>
    <cellStyle name="Millares 2" xfId="57" xr:uid="{CADD6AA7-B2AC-4BBB-8590-53439031A43D}"/>
    <cellStyle name="Neutral 2" xfId="50" xr:uid="{9F9E1272-D592-48B1-A37F-A033F9A90412}"/>
    <cellStyle name="Normal" xfId="0" builtinId="0"/>
    <cellStyle name="Normal 18" xfId="11" xr:uid="{00000000-0005-0000-0000-000007000000}"/>
    <cellStyle name="Normal 19" xfId="12" xr:uid="{00000000-0005-0000-0000-000008000000}"/>
    <cellStyle name="Normal 2" xfId="2" xr:uid="{00000000-0005-0000-0000-000009000000}"/>
    <cellStyle name="Normal 2 2" xfId="4" xr:uid="{00000000-0005-0000-0000-00000A000000}"/>
    <cellStyle name="Normal 2 3" xfId="6" xr:uid="{00000000-0005-0000-0000-00000B000000}"/>
    <cellStyle name="Normal 3" xfId="5" xr:uid="{00000000-0005-0000-0000-00000C000000}"/>
    <cellStyle name="Normal 3 2" xfId="58" xr:uid="{E7F4C668-51F7-4980-BA2E-CBDE7CC13B05}"/>
    <cellStyle name="Normal 4" xfId="14" xr:uid="{00000000-0005-0000-0000-00000D000000}"/>
    <cellStyle name="Normal 5" xfId="9" xr:uid="{00000000-0005-0000-0000-00000E000000}"/>
    <cellStyle name="Note" xfId="28" builtinId="10" customBuiltin="1"/>
    <cellStyle name="Output" xfId="24" builtinId="21" customBuiltin="1"/>
    <cellStyle name="Percent" xfId="15" builtinId="5"/>
    <cellStyle name="Title" xfId="16" builtinId="15" customBuiltin="1"/>
    <cellStyle name="Total" xfId="30" builtinId="25" customBuiltin="1"/>
    <cellStyle name="Warning Text" xfId="27" builtinId="11" customBuiltin="1"/>
  </cellStyles>
  <dxfs count="360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8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8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z val="8"/>
        <color auto="1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8" formatCode="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dd/mm/yyyy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8" formatCode="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8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yyyy/mm/dd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alignment horizontal="center"/>
    </dxf>
    <dxf>
      <numFmt numFmtId="35" formatCode="_-* #,##0.00_-;\-* #,##0.00_-;_-* &quot;-&quot;??_-;_-@_-"/>
    </dxf>
    <dxf>
      <numFmt numFmtId="1" formatCode="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font>
        <b/>
      </font>
    </dxf>
    <dxf>
      <alignment horizontal="center"/>
    </dxf>
    <dxf>
      <alignment horizontal="center"/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numFmt numFmtId="166" formatCode="_-* #,##0_-;\-* #,##0_-;_-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/>
    </dxf>
    <dxf>
      <alignment horizontal="left"/>
    </dxf>
    <dxf>
      <font>
        <b/>
      </font>
    </dxf>
    <dxf>
      <font>
        <b/>
      </font>
    </dxf>
    <dxf>
      <alignment horizontal="center"/>
    </dxf>
    <dxf>
      <alignment horizont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right" readingOrder="0"/>
    </dxf>
    <dxf>
      <alignment horizontal="center" readingOrder="0"/>
    </dxf>
    <dxf>
      <numFmt numFmtId="2" formatCode="0.00"/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readingOrder="0"/>
    </dxf>
    <dxf>
      <alignment horizontal="left" readingOrder="0"/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top style="double">
          <color theme="8" tint="-0.24994659260841701"/>
        </top>
      </border>
    </dxf>
    <dxf>
      <border>
        <left/>
        <right/>
        <top/>
        <bottom/>
      </border>
    </dxf>
    <dxf>
      <border>
        <top style="double">
          <color rgb="FFABABAB"/>
        </top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right" readingOrder="0"/>
    </dxf>
    <dxf>
      <alignment horizontal="center" readingOrder="0"/>
    </dxf>
    <dxf>
      <numFmt numFmtId="2" formatCode="0.00"/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readingOrder="0"/>
    </dxf>
    <dxf>
      <alignment horizontal="left" readingOrder="0"/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top style="double">
          <color theme="8" tint="-0.24994659260841701"/>
        </top>
      </border>
    </dxf>
    <dxf>
      <border>
        <left/>
        <right/>
        <top/>
        <bottom/>
      </border>
    </dxf>
    <dxf>
      <border>
        <top style="double">
          <color rgb="FFABABAB"/>
        </top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font>
        <b/>
      </font>
    </dxf>
    <dxf>
      <alignment horizontal="center"/>
    </dxf>
    <dxf>
      <alignment horizontal="center"/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numFmt numFmtId="166" formatCode="_-* #,##0_-;\-* #,##0_-;_-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font>
        <b/>
      </font>
    </dxf>
    <dxf>
      <alignment horizontal="center"/>
    </dxf>
    <dxf>
      <alignment horizontal="center"/>
    </dxf>
    <dxf>
      <numFmt numFmtId="1" formatCode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right" readingOrder="0"/>
    </dxf>
    <dxf>
      <alignment horizontal="center" readingOrder="0"/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readingOrder="0"/>
    </dxf>
    <dxf>
      <alignment horizontal="left" readingOrder="0"/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top style="double">
          <color theme="8" tint="-0.24994659260841701"/>
        </top>
      </border>
    </dxf>
    <dxf>
      <border>
        <left/>
        <right/>
        <top/>
        <bottom/>
      </border>
    </dxf>
    <dxf>
      <border>
        <top style="double">
          <color rgb="FFABABAB"/>
        </top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bottom style="medium">
          <color indexed="64"/>
        </bottom>
      </border>
    </dxf>
    <dxf>
      <numFmt numFmtId="1" formatCode="0"/>
    </dxf>
    <dxf>
      <numFmt numFmtId="35" formatCode="_-* #,##0.00_-;\-* #,##0.00_-;_-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font>
        <b/>
      </font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1273692</xdr:colOff>
      <xdr:row>1337</xdr:row>
      <xdr:rowOff>0</xdr:rowOff>
    </xdr:from>
    <xdr:to>
      <xdr:col>7</xdr:col>
      <xdr:colOff>1578492</xdr:colOff>
      <xdr:row>1338</xdr:row>
      <xdr:rowOff>116514</xdr:rowOff>
    </xdr:to>
    <xdr:sp macro="" textlink="">
      <xdr:nvSpPr>
        <xdr:cNvPr id="3" name="AutoShape 1" descr="Está bien esta foto?">
          <a:extLst>
            <a:ext uri="{FF2B5EF4-FFF2-40B4-BE49-F238E27FC236}">
              <a16:creationId xmlns:a16="http://schemas.microsoft.com/office/drawing/2014/main" id="{AF673F6F-0C5F-44DE-8167-E87BF356B788}"/>
            </a:ext>
          </a:extLst>
        </xdr:cNvPr>
        <xdr:cNvSpPr>
          <a:spLocks noChangeAspect="1" noChangeArrowheads="1"/>
        </xdr:cNvSpPr>
      </xdr:nvSpPr>
      <xdr:spPr bwMode="auto">
        <a:xfrm>
          <a:off x="8217417" y="2566655"/>
          <a:ext cx="304800" cy="3070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1273692</xdr:colOff>
      <xdr:row>401</xdr:row>
      <xdr:rowOff>0</xdr:rowOff>
    </xdr:from>
    <xdr:to>
      <xdr:col>7</xdr:col>
      <xdr:colOff>1578492</xdr:colOff>
      <xdr:row>402</xdr:row>
      <xdr:rowOff>116514</xdr:rowOff>
    </xdr:to>
    <xdr:sp macro="" textlink="">
      <xdr:nvSpPr>
        <xdr:cNvPr id="4" name="AutoShape 1" descr="Está bien esta foto?">
          <a:extLst>
            <a:ext uri="{FF2B5EF4-FFF2-40B4-BE49-F238E27FC236}">
              <a16:creationId xmlns:a16="http://schemas.microsoft.com/office/drawing/2014/main" id="{7BC1377C-108D-4776-AB4E-4189F75DB9A7}"/>
            </a:ext>
          </a:extLst>
        </xdr:cNvPr>
        <xdr:cNvSpPr>
          <a:spLocks noChangeAspect="1" noChangeArrowheads="1"/>
        </xdr:cNvSpPr>
      </xdr:nvSpPr>
      <xdr:spPr bwMode="auto">
        <a:xfrm>
          <a:off x="6093342" y="0"/>
          <a:ext cx="304800" cy="3070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1273692</xdr:colOff>
      <xdr:row>4474</xdr:row>
      <xdr:rowOff>0</xdr:rowOff>
    </xdr:from>
    <xdr:to>
      <xdr:col>7</xdr:col>
      <xdr:colOff>1578492</xdr:colOff>
      <xdr:row>4475</xdr:row>
      <xdr:rowOff>108894</xdr:rowOff>
    </xdr:to>
    <xdr:sp macro="" textlink="">
      <xdr:nvSpPr>
        <xdr:cNvPr id="2" name="AutoShape 1" descr="Está bien esta foto?">
          <a:extLst>
            <a:ext uri="{FF2B5EF4-FFF2-40B4-BE49-F238E27FC236}">
              <a16:creationId xmlns:a16="http://schemas.microsoft.com/office/drawing/2014/main" id="{33BD79DC-8ACB-43DF-BCEF-33839505C764}"/>
            </a:ext>
          </a:extLst>
        </xdr:cNvPr>
        <xdr:cNvSpPr>
          <a:spLocks noChangeAspect="1" noChangeArrowheads="1"/>
        </xdr:cNvSpPr>
      </xdr:nvSpPr>
      <xdr:spPr bwMode="auto">
        <a:xfrm>
          <a:off x="13351392" y="428625"/>
          <a:ext cx="304800" cy="2993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1273692</xdr:colOff>
      <xdr:row>4474</xdr:row>
      <xdr:rowOff>0</xdr:rowOff>
    </xdr:from>
    <xdr:to>
      <xdr:col>7</xdr:col>
      <xdr:colOff>1578492</xdr:colOff>
      <xdr:row>4475</xdr:row>
      <xdr:rowOff>108894</xdr:rowOff>
    </xdr:to>
    <xdr:sp macro="" textlink="">
      <xdr:nvSpPr>
        <xdr:cNvPr id="5" name="AutoShape 1" descr="Está bien esta foto?">
          <a:extLst>
            <a:ext uri="{FF2B5EF4-FFF2-40B4-BE49-F238E27FC236}">
              <a16:creationId xmlns:a16="http://schemas.microsoft.com/office/drawing/2014/main" id="{B203471A-C7D0-43ED-B0E3-BBF3EE7D233B}"/>
            </a:ext>
          </a:extLst>
        </xdr:cNvPr>
        <xdr:cNvSpPr>
          <a:spLocks noChangeAspect="1" noChangeArrowheads="1"/>
        </xdr:cNvSpPr>
      </xdr:nvSpPr>
      <xdr:spPr bwMode="auto">
        <a:xfrm>
          <a:off x="13351392" y="428625"/>
          <a:ext cx="304800" cy="2993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7</xdr:col>
      <xdr:colOff>1273692</xdr:colOff>
      <xdr:row>3464</xdr:row>
      <xdr:rowOff>0</xdr:rowOff>
    </xdr:from>
    <xdr:ext cx="304800" cy="295584"/>
    <xdr:sp macro="" textlink="">
      <xdr:nvSpPr>
        <xdr:cNvPr id="6" name="AutoShape 1" descr="Está bien esta foto?">
          <a:extLst>
            <a:ext uri="{FF2B5EF4-FFF2-40B4-BE49-F238E27FC236}">
              <a16:creationId xmlns:a16="http://schemas.microsoft.com/office/drawing/2014/main" id="{9EB48629-971E-4E39-8459-FA75FB799867}"/>
            </a:ext>
          </a:extLst>
        </xdr:cNvPr>
        <xdr:cNvSpPr>
          <a:spLocks noChangeAspect="1" noChangeArrowheads="1"/>
        </xdr:cNvSpPr>
      </xdr:nvSpPr>
      <xdr:spPr bwMode="auto">
        <a:xfrm>
          <a:off x="13351392" y="1476375"/>
          <a:ext cx="304800" cy="295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1273692</xdr:colOff>
      <xdr:row>3464</xdr:row>
      <xdr:rowOff>0</xdr:rowOff>
    </xdr:from>
    <xdr:ext cx="304800" cy="295584"/>
    <xdr:sp macro="" textlink="">
      <xdr:nvSpPr>
        <xdr:cNvPr id="7" name="AutoShape 1" descr="Está bien esta foto?">
          <a:extLst>
            <a:ext uri="{FF2B5EF4-FFF2-40B4-BE49-F238E27FC236}">
              <a16:creationId xmlns:a16="http://schemas.microsoft.com/office/drawing/2014/main" id="{FA1A745A-38D9-4581-9BDE-E50393379CCB}"/>
            </a:ext>
          </a:extLst>
        </xdr:cNvPr>
        <xdr:cNvSpPr>
          <a:spLocks noChangeAspect="1" noChangeArrowheads="1"/>
        </xdr:cNvSpPr>
      </xdr:nvSpPr>
      <xdr:spPr bwMode="auto">
        <a:xfrm>
          <a:off x="13351392" y="1476375"/>
          <a:ext cx="304800" cy="295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1273692</xdr:colOff>
      <xdr:row>1546</xdr:row>
      <xdr:rowOff>0</xdr:rowOff>
    </xdr:from>
    <xdr:ext cx="304800" cy="295584"/>
    <xdr:sp macro="" textlink="">
      <xdr:nvSpPr>
        <xdr:cNvPr id="8" name="AutoShape 1" descr="Está bien esta foto?">
          <a:extLst>
            <a:ext uri="{FF2B5EF4-FFF2-40B4-BE49-F238E27FC236}">
              <a16:creationId xmlns:a16="http://schemas.microsoft.com/office/drawing/2014/main" id="{29DC7DA7-0455-4DE8-B3BC-A902D1674DA0}"/>
            </a:ext>
          </a:extLst>
        </xdr:cNvPr>
        <xdr:cNvSpPr>
          <a:spLocks noChangeAspect="1" noChangeArrowheads="1"/>
        </xdr:cNvSpPr>
      </xdr:nvSpPr>
      <xdr:spPr bwMode="auto">
        <a:xfrm>
          <a:off x="13351392" y="2943225"/>
          <a:ext cx="304800" cy="295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1273692</xdr:colOff>
      <xdr:row>1546</xdr:row>
      <xdr:rowOff>0</xdr:rowOff>
    </xdr:from>
    <xdr:ext cx="304800" cy="295584"/>
    <xdr:sp macro="" textlink="">
      <xdr:nvSpPr>
        <xdr:cNvPr id="9" name="AutoShape 1" descr="Está bien esta foto?">
          <a:extLst>
            <a:ext uri="{FF2B5EF4-FFF2-40B4-BE49-F238E27FC236}">
              <a16:creationId xmlns:a16="http://schemas.microsoft.com/office/drawing/2014/main" id="{3AEE1960-FA2D-456C-8D60-7DC1103DD0A1}"/>
            </a:ext>
          </a:extLst>
        </xdr:cNvPr>
        <xdr:cNvSpPr>
          <a:spLocks noChangeAspect="1" noChangeArrowheads="1"/>
        </xdr:cNvSpPr>
      </xdr:nvSpPr>
      <xdr:spPr bwMode="auto">
        <a:xfrm>
          <a:off x="13351392" y="2943225"/>
          <a:ext cx="304800" cy="295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7</xdr:col>
      <xdr:colOff>1273692</xdr:colOff>
      <xdr:row>4474</xdr:row>
      <xdr:rowOff>0</xdr:rowOff>
    </xdr:from>
    <xdr:to>
      <xdr:col>7</xdr:col>
      <xdr:colOff>1578492</xdr:colOff>
      <xdr:row>4475</xdr:row>
      <xdr:rowOff>108894</xdr:rowOff>
    </xdr:to>
    <xdr:sp macro="" textlink="">
      <xdr:nvSpPr>
        <xdr:cNvPr id="10" name="AutoShape 1" descr="Está bien esta foto?">
          <a:extLst>
            <a:ext uri="{FF2B5EF4-FFF2-40B4-BE49-F238E27FC236}">
              <a16:creationId xmlns:a16="http://schemas.microsoft.com/office/drawing/2014/main" id="{591F3366-3924-4D2F-B644-B11287243C52}"/>
            </a:ext>
          </a:extLst>
        </xdr:cNvPr>
        <xdr:cNvSpPr>
          <a:spLocks noChangeAspect="1" noChangeArrowheads="1"/>
        </xdr:cNvSpPr>
      </xdr:nvSpPr>
      <xdr:spPr bwMode="auto">
        <a:xfrm>
          <a:off x="13351392" y="428625"/>
          <a:ext cx="304800" cy="2993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1273692</xdr:colOff>
      <xdr:row>4474</xdr:row>
      <xdr:rowOff>0</xdr:rowOff>
    </xdr:from>
    <xdr:to>
      <xdr:col>7</xdr:col>
      <xdr:colOff>1578492</xdr:colOff>
      <xdr:row>4475</xdr:row>
      <xdr:rowOff>108894</xdr:rowOff>
    </xdr:to>
    <xdr:sp macro="" textlink="">
      <xdr:nvSpPr>
        <xdr:cNvPr id="11" name="AutoShape 1" descr="Está bien esta foto?">
          <a:extLst>
            <a:ext uri="{FF2B5EF4-FFF2-40B4-BE49-F238E27FC236}">
              <a16:creationId xmlns:a16="http://schemas.microsoft.com/office/drawing/2014/main" id="{C23C0D94-C3C6-4EB4-9315-CD1F9386D08D}"/>
            </a:ext>
          </a:extLst>
        </xdr:cNvPr>
        <xdr:cNvSpPr>
          <a:spLocks noChangeAspect="1" noChangeArrowheads="1"/>
        </xdr:cNvSpPr>
      </xdr:nvSpPr>
      <xdr:spPr bwMode="auto">
        <a:xfrm>
          <a:off x="13351392" y="428625"/>
          <a:ext cx="304800" cy="2993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7</xdr:col>
      <xdr:colOff>1273692</xdr:colOff>
      <xdr:row>3464</xdr:row>
      <xdr:rowOff>0</xdr:rowOff>
    </xdr:from>
    <xdr:ext cx="304800" cy="295584"/>
    <xdr:sp macro="" textlink="">
      <xdr:nvSpPr>
        <xdr:cNvPr id="12" name="AutoShape 1" descr="Está bien esta foto?">
          <a:extLst>
            <a:ext uri="{FF2B5EF4-FFF2-40B4-BE49-F238E27FC236}">
              <a16:creationId xmlns:a16="http://schemas.microsoft.com/office/drawing/2014/main" id="{2AE4EC76-FC30-46FF-BFFF-96974E01CC4B}"/>
            </a:ext>
          </a:extLst>
        </xdr:cNvPr>
        <xdr:cNvSpPr>
          <a:spLocks noChangeAspect="1" noChangeArrowheads="1"/>
        </xdr:cNvSpPr>
      </xdr:nvSpPr>
      <xdr:spPr bwMode="auto">
        <a:xfrm>
          <a:off x="13351392" y="1476375"/>
          <a:ext cx="304800" cy="295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1273692</xdr:colOff>
      <xdr:row>3464</xdr:row>
      <xdr:rowOff>0</xdr:rowOff>
    </xdr:from>
    <xdr:ext cx="304800" cy="295584"/>
    <xdr:sp macro="" textlink="">
      <xdr:nvSpPr>
        <xdr:cNvPr id="13" name="AutoShape 1" descr="Está bien esta foto?">
          <a:extLst>
            <a:ext uri="{FF2B5EF4-FFF2-40B4-BE49-F238E27FC236}">
              <a16:creationId xmlns:a16="http://schemas.microsoft.com/office/drawing/2014/main" id="{E0914787-8BC3-4FD0-A9E2-4B1469B279F1}"/>
            </a:ext>
          </a:extLst>
        </xdr:cNvPr>
        <xdr:cNvSpPr>
          <a:spLocks noChangeAspect="1" noChangeArrowheads="1"/>
        </xdr:cNvSpPr>
      </xdr:nvSpPr>
      <xdr:spPr bwMode="auto">
        <a:xfrm>
          <a:off x="13351392" y="1476375"/>
          <a:ext cx="304800" cy="295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1273692</xdr:colOff>
      <xdr:row>1546</xdr:row>
      <xdr:rowOff>0</xdr:rowOff>
    </xdr:from>
    <xdr:ext cx="304800" cy="295584"/>
    <xdr:sp macro="" textlink="">
      <xdr:nvSpPr>
        <xdr:cNvPr id="14" name="AutoShape 1" descr="Está bien esta foto?">
          <a:extLst>
            <a:ext uri="{FF2B5EF4-FFF2-40B4-BE49-F238E27FC236}">
              <a16:creationId xmlns:a16="http://schemas.microsoft.com/office/drawing/2014/main" id="{5EE66581-A327-49D0-A5FF-A8C8106E8EE5}"/>
            </a:ext>
          </a:extLst>
        </xdr:cNvPr>
        <xdr:cNvSpPr>
          <a:spLocks noChangeAspect="1" noChangeArrowheads="1"/>
        </xdr:cNvSpPr>
      </xdr:nvSpPr>
      <xdr:spPr bwMode="auto">
        <a:xfrm>
          <a:off x="13351392" y="2943225"/>
          <a:ext cx="304800" cy="295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1273692</xdr:colOff>
      <xdr:row>1546</xdr:row>
      <xdr:rowOff>0</xdr:rowOff>
    </xdr:from>
    <xdr:ext cx="304800" cy="295584"/>
    <xdr:sp macro="" textlink="">
      <xdr:nvSpPr>
        <xdr:cNvPr id="15" name="AutoShape 1" descr="Está bien esta foto?">
          <a:extLst>
            <a:ext uri="{FF2B5EF4-FFF2-40B4-BE49-F238E27FC236}">
              <a16:creationId xmlns:a16="http://schemas.microsoft.com/office/drawing/2014/main" id="{0F377053-965F-4FE9-BD7D-E54484D10D5D}"/>
            </a:ext>
          </a:extLst>
        </xdr:cNvPr>
        <xdr:cNvSpPr>
          <a:spLocks noChangeAspect="1" noChangeArrowheads="1"/>
        </xdr:cNvSpPr>
      </xdr:nvSpPr>
      <xdr:spPr bwMode="auto">
        <a:xfrm>
          <a:off x="13351392" y="2943225"/>
          <a:ext cx="304800" cy="295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varo" refreshedDate="45566.353735300923" createdVersion="6" refreshedVersion="8" minRefreshableVersion="3" recordCount="5070" xr:uid="{00000000-000A-0000-FFFF-FFFF00000000}">
  <cacheSource type="worksheet">
    <worksheetSource name="Tabla2"/>
  </cacheSource>
  <cacheFields count="36">
    <cacheField name="RUC" numFmtId="0">
      <sharedItems containsBlank="1" containsMixedTypes="1" containsNumber="1" containsInteger="1" minValue="2055163079" maxValue="20611358386"/>
    </cacheField>
    <cacheField name="EMPRESA" numFmtId="0">
      <sharedItems containsBlank="1" containsMixedTypes="1" containsNumber="1" containsInteger="1" minValue="0" maxValue="0" count="78">
        <s v="ACIS PROCESS S.A.C."/>
        <s v="AGF PERU SA"/>
        <s v="BIDDLE INC SAC"/>
        <s v="SOLUCIONES JIMNARCOLD SAC"/>
        <s v="BM1 OBRAS Y SERVICIOS INDUSTRIALES S.A.C."/>
        <s v="CCIMA SEÑALIZACIONES S.A.C"/>
        <s v="CUBERTA PERU SAC"/>
        <s v="ERSI PERU SAC"/>
        <s v="EULEN SERVICIOS COMPLEMENTARIOS S.A."/>
        <s v="GESTION COMERCIAL DE EMPRESAS EIRL"/>
        <s v="GREENLAB PERÚ SAC"/>
        <s v="GRUPO 7F SAC"/>
        <s v="HYDREX INGENIERIA Y CONSTRUCCION S.A.C"/>
        <s v="INVERSIONES ROLDAN EIRL"/>
        <s v="JLF SERVICIOS GENERALES SAC"/>
        <s v="KJ GRUPO INMOBILIARIO S.A.C"/>
        <s v="LITHMAN S.A.C."/>
        <s v="FK CONSULTING AND CONSTRUCTION SAC"/>
        <s v="MCON PERU S.A.C"/>
        <s v="OBRAS SUBTERRANEAS SA SUCURSAL EN LA REPUBLICA DEL PERU"/>
        <s v="OFICINA TÉCNICA DE ESTUDIOS Y CONTROL DE OBRAS SA SUCURSAL DEL PERÚ"/>
        <s v="POSADA PERU SAC"/>
        <s v="PROSEGURIDAD S.A"/>
        <s v="REALIPERU S.A.C."/>
        <s v="IMPERIUM PERU SAC"/>
        <s v="SOLETANCHE BACHY PERU SAC "/>
        <s v="SOLER &amp; PALAU PERU S.A."/>
        <s v="SOLEX GRUPO SAC"/>
        <s v="SONINGEO S.A.C."/>
        <s v="CONDITIONING F Y R SERVICE S.A.C."/>
        <s v="CORP CLIMATE SYSTEM S.A.C."/>
        <s v="CORP FAST COLD"/>
        <s v="DI PAOLA VILLAVICENCIO ANTONIO PAUL MARTIN"/>
        <s v="RIVERA GRANADOS JORGE LUIS"/>
        <s v="TERMO SISTEMAS S.A.C."/>
        <s v="TERRAZO Y SISTEMAS DE SUELO EIRL"/>
        <s v="TRIA PERU SAC"/>
        <s v="Union de Concreteras S.A"/>
        <s v="YNG CONSTRUCTORA SAC"/>
        <s v="INGENIERIA, CONSULTORIA Y EJECUCION DE PROYECTOS MINERALES SOCIEDAD ANONIMA CERRADA - ICEP MINERALES"/>
        <s v="ENELECTRIC S.A.C."/>
        <s v="ZULU SAC"/>
        <s v="ACP AMBIENTAL SAC"/>
        <s v="FERRALIA PERU SAC"/>
        <s v="Ancro S.A.C."/>
        <s v="SOIL ROCK SAC"/>
        <s v="CONSTRUCC &amp; TRANS EURO AMERICA S.A.C."/>
        <s v="D&amp;V SOLUCIONES INTEGRALES"/>
        <s v="BK MODULAR  S.A.C"/>
        <s v="ELETEX COMPANY SAC"/>
        <s v="CLIMAXI INGENIEROS EIRL"/>
        <s v="CONSORCIO OBRAS DE METRO"/>
        <s v="CORPORACION TELEPARTES SAC"/>
        <s v="TRANSPORTE TOVAR SAC"/>
        <s v="GEOLAM S.A.C."/>
        <s v="INGENIERÍA INTEGRAL CORPORATIVA SAC"/>
        <s v="MARKINT SAC"/>
        <s v="MASTER PLAN S.A.C."/>
        <s v="PIRES GIOVANETTI GUARDIA PERU S.A.C."/>
        <s v="GRIJALVA GARCIA CARLOS AUGUSTO"/>
        <s v="RAUM SAC"/>
        <s v="TREMACH GROUP S.A.C"/>
        <s v="SUIZA ALERTA"/>
        <s v="TRANSPORTES ACOINSA SAC"/>
        <s v="TRANSPORTES GLORIA G&amp;N"/>
        <s v="ZITRON PERÚ SAC"/>
        <s v="EYM TRANSPORTES DIVERSOS SAC"/>
        <s v="CORPORACION INDUSTRIAL OXIGENO ROMERO GROUP S.A.C"/>
        <s v="ALVAC S.A. SUCURSAL DEL PERU"/>
        <s v="TRIA PERU S.A.C."/>
        <s v="GRUAS DEL PACIFICO SAC"/>
        <s v="SKAVA S.A.C"/>
        <s v="SERVICIO DE LOGISTICA EXPRESS S.A.C."/>
        <s v="SERVOSA COMBUSTIBLES SAC"/>
        <s v="AIR CONTROL INDUSTRIAL SAC"/>
        <s v="INDUSTRIAL MAINTENANCE SERVICE SAC"/>
        <m/>
        <n v="0" u="1"/>
      </sharedItems>
    </cacheField>
    <cacheField name="CONTRATISTA PRNCIPAL" numFmtId="0">
      <sharedItems containsBlank="1" count="352">
        <s v="CCM2 - LIMA "/>
        <s v="AGF PERU SA"/>
        <s v="BIDDLE INC SAC"/>
        <s v="BK MODULAR  S.A.C"/>
        <s v="BM1 OBRAS Y SERVICIOS INDUSTRIALES S.A.C."/>
        <s v="CCIMA SEÑALIZACIONES S.A.C"/>
        <s v="CUBERTA PERU SAC"/>
        <s v="ERSI PERU SAC"/>
        <s v="EULEN SERVICIOS COMPLEMENTARIOS S.A."/>
        <s v="GESTION COMERCIAL DE EMPRESAS EIRL"/>
        <s v="GREENLAB PERÚ SAC"/>
        <m/>
        <s v="HYDREX INGENIERIA Y CONSTRUCCION S.A.C"/>
        <s v="INVERSIONES ROLDAN EIRL"/>
        <s v="JLF SERVICIOS GENERALES SAC"/>
        <s v="KJ GRUPO INMOBILIARIO S.A.C"/>
        <s v="LITHMAN S.A.C."/>
        <s v="MARKINT SAC"/>
        <s v="MCON PERU S.A.C"/>
        <s v="OBRAS SUBTERRANEAS SA SUCURSAL EN LA REPUBLICA DEL PERU"/>
        <s v="OFICINA TÉCNICA DE ESTUDIOS Y CONTROL DE OBRAS SA SUCURSAL DEL PERÚ"/>
        <s v="POSADA PERU SAC"/>
        <s v="PROSEGURIDAD S.A"/>
        <s v="REALIPERU S.A.C."/>
        <s v="SOLETANCHE BACHY PERU SAC "/>
        <s v="SOLER &amp; PALAU PERU S.A."/>
        <s v="SOLEX GRUPO SAC"/>
        <s v="SONINGEO S.A.C."/>
        <s v="TERMO SISTEMAS S.A.C"/>
        <s v="TERRAZO Y SISTEMAS DE SUELO EIRL"/>
        <s v="TRIA PERU SAC"/>
        <s v="Union de Concreteras S.A"/>
        <s v="YNG CONSTRUCTORA SAC"/>
        <s v="ZITRON PERÚ SAC"/>
        <s v="ZULU SAC"/>
        <s v="ACP AMBIENTAL SAC"/>
        <s v="Ancro S.A.C."/>
        <s v="CLIMAXI INGENIEROS EIRL"/>
        <s v="CONSORCIO OBRAS DE METRO"/>
        <s v="CORPORACION TELEPARTES SAC"/>
        <s v="GEOLAM S.A.C."/>
        <s v="INGENIERÍA INTEGRAL CORPORATIVA SAC"/>
        <s v="MASTER PLAN S.A.C."/>
        <s v="PIRES GIOVANETTI GUARDIA PERU S.A.C."/>
        <s v="RAUM SAC"/>
        <s v="SUIZA ALERTA"/>
        <s v="TRANSPORTES ACOINSA SAC"/>
        <s v="TRANSPORTES GLORIA G&amp;N"/>
        <s v="GRUAS DEL PACIFICO SAC"/>
        <s v="SKAVA S.A.C"/>
        <s v="SERVICIO DE LOGISTICA EXPRESS S.A.C."/>
        <s v=" SAEG PERU S.A." u="1"/>
        <s v="ACIS PROCESS S.A.C." u="1"/>
        <s v="AMPHOS 21 CONSULTING PERÚ SAC" u="1"/>
        <s v="ARTE Y TECNOLOGIA DEL CONCRETO SAC " u="1"/>
        <s v="BM1 OBRAS&amp;SERVICIOS INDUSTRIALES S.A.C." u="1"/>
        <s v="CASSADO S.A" u="1"/>
        <s v="CB METAL S.A" u="1"/>
        <s v="CONSORCIO INTSEN SIGELEC" u="1"/>
        <s v="CONTRUCTORA ARQUITRABE SAC" u="1"/>
        <s v="CORPORACION HSP SAC" u="1"/>
        <s v="DYNAMIC CONTROL PERU SAC" u="1"/>
        <s v="EECOL ELECTRIC PERU SAC" u="1"/>
        <s v="EPOS S.A. -  SUCURSAL DEL PERU" u="1"/>
        <s v="FABREKO INGENIEROS CONTRATISTAS S.A.C." u="1"/>
        <s v="GESTION DE SERVICIOS AMBIENTALES SAC" u="1"/>
        <s v="HARLAM SYO PERU SAC" u="1"/>
        <s v="LICHTHAUS S.A.C." u="1"/>
        <s v="LUPPAAR CONTRATISTAS GENERALES" u="1"/>
        <s v="MANAGING Y COORDINACION VALLES PERU S.R.L." u="1"/>
        <s v="PAVIMAQ SAC" u="1"/>
        <s v="PEREZ OBLITAS RITA EMPERATRIZ" u="1"/>
        <s v="PG OBRAS GENERALES SAC" u="1"/>
        <s v="PILOTES TERRATEST PERU SAC" u="1"/>
        <s v="PLUZ ENERGIA S.A.A." u="1"/>
        <s v="PREFABRICADOS ANDINOS PERÚ SAC" u="1"/>
        <s v="RED TOWER GROUP SAC" u="1"/>
        <s v="ROBERTO A. TORRES SA  " u="1"/>
        <s v="RYM FUMYMSER S.R.L." u="1"/>
        <s v="SOCIAL CAPITAL GROUP SAC " u="1"/>
        <s v="SOLUCIONES TECNICA AMERCA SRL" u="1"/>
        <s v="TAJ &amp; M S.A.C." u="1"/>
        <s v="TECNISAN EIRL" u="1"/>
        <s v="TK ELEVADORES PERU SAC" u="1"/>
        <s v="TRANSPORTE JIKAL SRL" u="1"/>
        <s v="TUNELES Y PREFABRICADOS INKA SAC" u="1"/>
        <s v="UNION DE CONCRETERAS S.A." u="1"/>
        <s v="UPLC SAC" u="1"/>
        <s v="Consorcio SA" u="1"/>
        <s v="Social Capital Group SAC" u="1"/>
        <s v="AMPHOS 21 CONSULTING PERU SAC" u="1"/>
        <s v="PREFABRICADOS ANDINOS PERU SAC" u="1"/>
        <s v="CONSORCIO CONSTRUCTOR M2 LIMA" u="1"/>
        <s v="BATALLA DE JUNIN SAC " u="1"/>
        <s v="BM1 OBRAS Y SERVICIOS INDUSTRIALES SAC" u="1"/>
        <s v="CONSORCIO MINERO BETZ S.A.C. " u="1"/>
        <s v="ENEL DISTRIBUCION S.A.A." u="1"/>
        <s v="INTEGRAL SOLUTIONS IN ENGINEERING SAC" u="1"/>
        <s v="KAPPA CONSTRUCTORA SAC" u="1"/>
        <s v="PROSEGUR TECNOLOGIA S.A." u="1"/>
        <s v="SANTANGELO S.A.C." u="1"/>
        <s v="SOCIAL  CAPITAL  GROUP SAC" u="1"/>
        <s v="TECNIFLOOR S.A.C." u="1"/>
        <s v="TRANSPORTE ROVECSA S.A.C" u="1"/>
        <s v="ENTREPISOS LIMA S.A.C" u="1"/>
        <s v="SOCIEDAD DIVING SERVICE SALVAGE PERU S.A.C" u="1"/>
        <s v="CCM2L" u="1"/>
        <s v="METRO 2 DE LIMA" u="1"/>
        <s v="BM1 OBRAS &amp; SERVICIOS INDUSTRIALES S.A.C." u="1"/>
        <s v="GRUPO 7F SAC" u="1"/>
        <s v="MCORP SAC" u="1"/>
        <s v="AC BRAVO INGENIEROS SAC" u="1"/>
        <s v="ANCRO S.C.A." u="1"/>
        <s v="CLJ CONSTRUCTORA SAC" u="1"/>
        <s v="ACIS PROCESS S.A.C" u="1"/>
        <s v="ITELCA SAS SUCURSAL PERÚ" u="1"/>
        <s v="AHORRO Y EFICIENCIA DE ENERGIA SAC" u="1"/>
        <s v="CHLORIDE SAS" u="1"/>
        <s v="GMC PROYECTOS Y CONSTRUCCIONES SAC " u="1"/>
        <s v="PAVIMAQ S.A.C" u="1"/>
        <s v="TRASNPORTES GLORIA G&amp;N" u="1"/>
        <s v="MOVITECNICA S.A" u="1"/>
        <s v="DOMINIONPERU" u="1"/>
        <s v="Consorcio S.A." u="1"/>
        <s v="TECNOPATROL PERU SAC" u="1"/>
        <s v="J&amp;V RESGUARDO SAC" u="1"/>
        <s v="JOHNSON CONTROLS PERU SRL" u="1"/>
        <s v="TRANSPORTES GLORIAS G&amp;N" u="1"/>
        <s v="2A TECH SCRL" u="1"/>
        <s v="AMPHOS 21 CONSULTING PERU S.A.C" u="1"/>
        <s v="CREANDINA SAC" u="1"/>
        <s v="PALCON PERU S.A.C." u="1"/>
        <s v="INGENIERIA INTEGRAL CORPORATIVA SAC" u="1"/>
        <s v="INGENIERIA INTEGRAL CORPORATIVA SAC " u="1"/>
        <s v="OSSA" u="1"/>
        <s v="LOGISTICA Y EDIFICACIONES " u="1"/>
        <s v="GM Y M GENERAL SOLUTIONS_x000d__x000a_AND CONSULTING S.A.C" u="1"/>
        <s v="INVESTIGACION Y CONTROL DE CALIDAD SA SUCURSAL PERU" u="1"/>
        <s v="AVT AEROPARTS S.A.C." u="1"/>
        <s v="BM1 OBRAS &amp;SERVICIOS INDUSTRIALES S.A.C" u="1"/>
        <s v="Ahorro y Eficiencia de Energía SAC" u="1"/>
        <s v="LOGISTICA Y EDIFICACIONES SAC " u="1"/>
        <s v="GRUINSA SAC " u="1"/>
        <s v=" TELECOMMUNICATION AND PROJECT S.A.C" u="1"/>
        <s v="BM1 Obras &amp; Servicios Industriales S.A.C" u="1"/>
        <s v="CASSADÓ SA" u="1"/>
        <s v="CCIMA SEÑALIZACIONES S.A.C." u="1"/>
        <s v="COBRA PERU S.A " u="1"/>
        <s v="CONSTRUC AMAFE CONTRAT GRALES SAC" u="1"/>
        <s v="GRUINSA SAC" u="1"/>
        <s v="INTERSENDAS S.A.C." u="1"/>
        <s v="ESSO COMBUSTIBLES S.A.C." u="1"/>
        <s v="CONSULTING&amp;INGENIERIA YETZACRINA FIGUEROA EIRL " u="1"/>
        <s v="CONSORCIO METRO 2" u="1"/>
        <s v="HARLAM SYO PERU S.A.C." u="1"/>
        <s v="ENEL X" u="1"/>
        <s v="FC INGENIERIA &amp; CONSTRUCCIÓN SAC" u="1"/>
        <s v="GMC Proyectos y Construcciones SAC." u="1"/>
        <s v="MCON PERU " u="1"/>
        <s v="TUNELES Y PREFABRICADOS INKA S.A.C." u="1"/>
        <s v="ESSO" u="1"/>
        <s v="CONSORCIO CONSTRUCTOR METRO 2 DE LIMA " u="1"/>
        <s v="-" u="1"/>
        <s v="JJ TECH CONTROL EIRL" u="1"/>
        <s v="OBRAS SUBTERRANEAS SA" u="1"/>
        <s v="PROJECT AUTOMATION PERU" u="1"/>
        <s v="CORPORACION C.C. REGEYSER S.A.C." u="1"/>
        <s v="Rossello &amp; Cía S.A." u="1"/>
        <s v="TRANSPOTES GLORIA G&amp;N" u="1"/>
        <s v="TUNELES PREFABRICADOS INKA SAC" u="1"/>
        <s v="GRUAS MAJUZA SAC" u="1"/>
        <s v="ANCRO S..A.C." u="1"/>
        <s v="BIIDDLE INC SAC" u="1"/>
        <s v="Controles Automáticos SAC" u="1"/>
        <s v="_x000d__x000a_MCORP SAC" u="1"/>
        <s v="OBRAS SUBTERRANEAS SA SUC EN LA REPUBLICA DEL PERU " u="1"/>
        <s v="PALCON PERU S.A.C" u="1"/>
        <s v="TRANSPORTES GLORIAG&amp;N" u="1"/>
        <s v="CASSADO S.A." u="1"/>
        <s v="CENTURY ECOLOGICAL CORPORATION S.A.C." u="1"/>
        <s v="CO-OL CONSTRUCCIONES MODULARES" u="1"/>
        <s v="GESTION DE SERVICIOS AMBIENTALES SAC " u="1"/>
        <s v="TOP FIBRA SAC" u="1"/>
        <s v="TRASNPORTES JIKAL SRL" u="1"/>
        <s v="CONSORCIO CONSTRUCTOR M2 LIMA " u="1"/>
        <s v="CONSORCIO MINERO BETZ SAC " u="1"/>
        <s v="APPLUS NORCONTROL PERU SAC " u="1"/>
        <s v="CCIMA SEÑALIZACIONES SAC" u="1"/>
        <s v="OBRAS SUBTERRRANEAS S.A. SUC EN LA REPUBLICA DEL PERU " u="1"/>
        <s v="PETROLEOS SOLORZANO SAC" u="1"/>
        <s v="CONSORCIO MINERO BEST SAC " u="1"/>
        <s v="APPPLUS NORCONTROL PERU SAC" u="1"/>
        <s v="PILOTES-TERRATEST PERÚ S.A.C. " u="1"/>
        <s v="AMPHOS 21 CONSULTING PERU S.A.C." u="1"/>
        <s v="GREEN BUILDING TECH SAC" u="1"/>
        <s v="ECOGLOBO S.A.C." u="1"/>
        <s v="WESTFIRE SUDAMERICA S.R.L." u="1"/>
        <s v="INGENIERIA Y AUTOMATIZACION S.A." u="1"/>
        <s v="EMPRESA DE SERVICIOS DE TRANSPORTES SAN GERMAN" u="1"/>
        <s v="PRAHERSA SAC" u="1"/>
        <s v="ACOUSTIC &amp; LIGHT S.A.C" u="1"/>
        <s v="GYG ARQUITECTOS S.A.C." u="1"/>
        <s v="EPOS S.A." u="1"/>
        <s v="CLJ CONTRUCTORA SAC" u="1"/>
        <s v="Consorcio Minero Betz SAC" u="1"/>
        <s v="C.A.H. CONTRATISTAS GENERALES S.A." u="1"/>
        <s v="MC VALLES" u="1"/>
        <s v="NOX-CRETE LATINAMERICA PERÚ S.A.C." u="1"/>
        <s v="FLESAN DEL PERU" u="1"/>
        <s v="PILOTES TERRATEST PERÚ S.A.C." u="1"/>
        <s v="FC Ingeniería y construcción sac " u="1"/>
        <s v="EMPRESA DE TRANSPORTES SAN GERMAN S.A." u="1"/>
        <s v="EMPRESA DE SERVICIOS DE TRANSPORTES SAN GERMAN S.A." u="1"/>
        <s v="EMPRESA DE SERVICIOS DE TRASNPORTES SAN GERMAN S.A." u="1"/>
        <s v="Energética S.A." u="1"/>
        <s v="ERSINDUSTRIES PERU SAC" u="1"/>
        <s v="CLIMAXI INGENEIROS EIRL" u="1"/>
        <s v="E.T.S SAN GERMAN " u="1"/>
        <s v="TRANSPORTE TOVAR SAC" u="1"/>
        <s v="SUTEC PERU S.A.C" u="1"/>
        <s v="OBRAS SUBTERRANEAS S.A.SUC EN LA REPUBLICA DEL PERU " u="1"/>
        <s v="PIRES &amp; GIOVANETTI ENGENHARIA E ARQUITETURA LTDA. SUCURSAL PERU" u="1"/>
        <s v="fiere " u="1"/>
        <s v="MOVITECNICA S.A." u="1"/>
        <s v="CPGGCT" u="1"/>
        <s v="ANCRO SAC" u="1"/>
        <s v="Hermes Llatas" u="1"/>
        <s v="TRANSPORTE JIKAL  SRL" u="1"/>
        <s v="SERVICIOS DE LOGISTICA EXPRESS S.A." u="1"/>
        <s v="POSADA PERU SAC " u="1"/>
        <s v="CCIMA SEÑALIZACIONES" u="1"/>
        <s v="TRANSPORTE YEISON S.A.C" u="1"/>
        <s v="LICHTHAUS" u="1"/>
        <s v="TRANSPORTES SAN GERMAN  S.A." u="1"/>
        <s v="SAEG PERU S.A." u="1"/>
        <s v="TRANSPORTE JIKAL " u="1"/>
        <s v="CONSTRUCTORA ARQUITRABE SAC" u="1"/>
        <s v="CONSORCIO BEP INFRESTRUCTURA" u="1"/>
        <s v="SBP SAC" u="1"/>
        <s v="CORPORACION C.C. REGEYSER SAC" u="1"/>
        <s v="INVESTIGACION Y CONTROL DE CALIDAD SA SUCURSA PERU" u="1"/>
        <s v="INGETRAFIC SRL " u="1"/>
        <s v="GREEN BUILDING TECH S.A." u="1"/>
        <s v="FC INGENIERIA Y CONSTRUCCION SAC" u="1"/>
        <s v="OBRAS SUBTERRANEAS S.A. SUC EN LA REPUBLICA DEL PERU " u="1"/>
        <s v="INTSEN SAC" u="1"/>
        <s v="PILOTES TERRATEST PERU S.A.C." u="1"/>
        <s v="EMPRESA DE SERVICIOS DE TRANSPORTES SAN GERMAN S.A," u="1"/>
        <s v="JUARDEAG S.A.C." u="1"/>
        <s v="TRANSPORTES GLORIA G &amp; N" u="1"/>
        <s v="ARTEMISA SELVA S.A.C." u="1"/>
        <s v="TRANPORTES GLORIA G&amp;N" u="1"/>
        <s v="TRANSPORTES SAN GERMAN " u="1"/>
        <s v="OBRAS SUBTERRANEAS S.A. SUCURSAL EN LA REPUBLICA DEL PERU" u="1"/>
        <s v="ENEL DISTRIBUCIÓN S.A.A." u="1"/>
        <s v="STP PERU" u="1"/>
        <s v="GRUPO SEFEME SAC" u="1"/>
        <s v="HM SERVICIOS INDUSTRIALES S.A.C." u="1"/>
        <s v="CONINGTEC S.A.C" u="1"/>
        <s v="SERVICIOS LOGISTICA EXPRESS S.A.C." u="1"/>
        <s v="SOLER &amp; PALAU S.A." u="1"/>
        <s v="ET. SAN GERMAN S.A." u="1"/>
        <s v="ARTE Y TECNOLOGIA DEL CONCRETO SAC" u="1"/>
        <s v="SERVICIOS LOGISTICOS EXPRESS S.A.C." u="1"/>
        <s v="TECNOSOIL SAC" u="1"/>
        <s v="CIMMA SEÑALIZACIONES" u="1"/>
        <s v="MEDICO SALUD EN ALERTA SAC" u="1"/>
        <s v="TUNELES Y PREFABRICADOS INKA SAC " u="1"/>
        <s v="JUARDEAG SAC" u="1"/>
        <s v="OLIVA CONTRATISTAS SAC" u="1"/>
        <s v="HYDREX INGENIEROS S.A.C." u="1"/>
        <s v="TECNOLOGIA EN CONTROL DE PROCESOS E INSTRUMENTACION S.A.C." u="1"/>
        <s v="fwfwf" u="1"/>
        <s v="RAUM SAC " u="1"/>
        <s v="Markint S.A.C." u="1"/>
        <s v="CONSORCIO MINERO BEST SAC" u="1"/>
        <s v="EMPRESA DE SERVICIO DE TRANSPORTES SAN GERMAN " u="1"/>
        <s v="ITALTHES S.A.C." u="1"/>
        <s v="J &amp; V RESGUARDO SAC" u="1"/>
        <s v="ROSSELLO &amp; CIA S.A." u="1"/>
        <s v="CONSORCIO MINERO BESTZ SAC " u="1"/>
        <s v="CONSTRUCTORA ARQUITRABE SAC " u="1"/>
        <s v="TIEMPO VERDE S.A.C." u="1"/>
        <s v="Ingeniería &amp; Automatización de Iluminación S.A" u="1"/>
        <s v="ENERGETICA S.A." u="1"/>
        <s v="GESTIÓN DE SERVICIOS AMBIENTALES S.A.C" u="1"/>
        <s v="OBRAS SUBTERRANEAS SUC EN LA REPUBLICA DEL PERU S.A." u="1"/>
        <s v="GEOLAM SAC " u="1"/>
        <s v="CONSTRUCCIONES METALICAS UNION S.A" u="1"/>
        <s v="PILOTES TERRATEST PERÚ SAC" u="1"/>
        <s v="EMPESA DE SERVICIOS DE TRASNPORTES SAN GERMAN S.A." u="1"/>
        <s v="Amphos 21 " u="1"/>
        <s v="SOLIMETAL SAC" u="1"/>
        <s v="Faveco S.A.C" u="1"/>
        <s v="E.T SAN GERMAN  S.A." u="1"/>
        <s v="RED PERU INDUSTRIAL SAC" u="1"/>
        <s v="YVAN ALFREDO NEIRA GARCIA" u="1"/>
        <s v="BELSAN ESEICO CONSORCIADOS" u="1"/>
        <s v="LUPPAAR CONTRATISTAS GENERALES S.R.L" u="1"/>
        <s v="PALCON PERU SAC" u="1"/>
        <s v="PG OBRAS GENERALES SAC " u="1"/>
        <s v="H.P.P. DE ADITIVOS E.I.R.L. " u="1"/>
        <s v="EMPRESA DE TRANSPORTES SAN GEMAN " u="1"/>
        <s v="SERVICIOS DE LOGISTICA EXPRESS SAC" u="1"/>
        <s v="INVERSIONES CONVERGENTES DEL PERU S.A.C" u="1"/>
        <s v="COBRA FCC INDUSTRIAL " u="1"/>
        <s v="wwfwf" u="1"/>
        <s v="TRASNPORES SAN GERMAN" u="1"/>
        <s v="CONTRUCTORA ARQUITRABE SAC " u="1"/>
        <s v="PROJECT AUTOMATION PERU S.A.C." u="1"/>
        <s v="CPS SUCURSAL PERÚ" u="1"/>
        <s v="CCIMA SEÑALIZACIONES " u="1"/>
        <s v="FIRE PROTECTION PERU SAC " u="1"/>
        <s v="CCIMA PERU SAC" u="1"/>
        <s v=" CLJ CONTRUCTORA SAC" u="1"/>
        <s v="PG OBRAS GENERALAES SAC" u="1"/>
        <s v="AGF PERU" u="1"/>
        <s v="EECOL ELECTRIC - INTSEN" u="1"/>
        <s v="SLE   S.A.C." u="1"/>
        <s v="SUIZA ALERTA S.A.C" u="1"/>
        <s v="ESONDI   S.A" u="1"/>
        <s v="TERMO SISTEMAS SAC" u="1"/>
        <s v="SOCIAL CAPITAL GOUP SAC" u="1"/>
        <s v="ENEL DISTRIBUCIÓN PERU SAA" u="1"/>
        <s v="CLEAN FORCE S.A.C." u="1"/>
        <s v="ROSSELLO &amp;CIA S.A." u="1"/>
        <s v="OUTSOURCING GREEN S.A.C." u="1"/>
        <s v="Transportes San German S.A." u="1"/>
        <s v="EMPRESA DE TRANSPORTES SAN GERMAN " u="1"/>
        <s v="EMPRESA DE TRASNPORTES SAN GERMAN " u="1"/>
        <s v="OBRAS SUBTERRANEAS S.A.SUCURSAL EN LA REPUBLICA DEL PERU " u="1"/>
        <s v="EPOS - EMPRESA PORTUGUESA DE OBRAS SUBTERRANEAS S.A. -  SUCURSAL DEL PERU" u="1"/>
        <s v="APLICOR SAC" u="1"/>
        <s v="EMPRESA DE SERVICIOS DE TRANSPORTES SAN GERMAN " u="1"/>
        <s v="DEMOL SAC" u="1"/>
        <s v="CB METAL S.A." u="1"/>
        <s v="IZAJES PARA LA CONSTRUCCION SAC" u="1"/>
        <s v="ECOCENTURY S.A.C." u="1"/>
        <s v="CONTROLES AUTOMATICOS SAC " u="1"/>
        <s v="CONTROLOS AUTOMATICOS SAC " u="1"/>
        <s v="TOP FIBRA SAC " u="1"/>
        <s v="TRASNPORTES SAN GERMAN " u="1"/>
        <s v="ENEL DISTRIBUCIÓN PERU SAC" u="1"/>
        <s v="ITELCA SAS SUCURSAL PERU" u="1"/>
        <s v="AVT AEROPARTS" u="1"/>
        <s v="HARLAM SYO SAC" u="1"/>
        <s v="MOBI OFFICE SAC" u="1"/>
        <s v="ENEL S.A.A" u="1"/>
        <s v="SERVICIOS DE LOGISTICA EXPRESS SAC " u="1"/>
        <s v="GEOLAM SAC" u="1"/>
        <s v="ASTRUM VITA SAC" u="1"/>
        <s v="CONTROLES AUTOMATICOS SAC" u="1"/>
      </sharedItems>
    </cacheField>
    <cacheField name="Nro. DNI / CE" numFmtId="0">
      <sharedItems containsBlank="1" containsMixedTypes="1" containsNumber="1" containsInteger="1" minValue="15587" maxValue="982440291" count="6549">
        <s v="73025025"/>
        <n v="75704814"/>
        <n v="73268726"/>
        <n v="70328544"/>
        <n v="72182796"/>
        <n v="72967128"/>
        <s v="70599404"/>
        <s v="49082528"/>
        <s v="72362701"/>
        <s v="71264743"/>
        <s v="74144625"/>
        <n v="79949870"/>
        <s v="71001095"/>
        <s v="71412368"/>
        <n v="73066949"/>
        <s v="60569834"/>
        <n v="71635324"/>
        <n v="77584467"/>
        <n v="74656204"/>
        <n v="74579431"/>
        <s v="61391621"/>
        <s v="75215838"/>
        <s v="75255987"/>
        <s v="70505720"/>
        <s v="73783805"/>
        <n v="70364573"/>
        <s v="76945629"/>
        <n v="75954524"/>
        <n v="77205739"/>
        <s v="75977936"/>
        <n v="74767302"/>
        <s v="74759892"/>
        <s v="78008582"/>
        <s v="61143311"/>
        <s v="70887618"/>
        <s v="72606356"/>
        <s v="76472771"/>
        <s v="75429406"/>
        <s v="75578651"/>
        <s v="72663225"/>
        <s v="63145610"/>
        <s v="75056829"/>
        <s v="74855017"/>
        <s v="60823475"/>
        <n v="71729604"/>
        <n v="60932118"/>
        <s v="76396409"/>
        <n v="74311715"/>
        <n v="77246626"/>
        <n v="76177226"/>
        <n v="72107986"/>
        <s v="75582542"/>
        <s v="71013198"/>
        <s v="75781262"/>
        <s v="75302414"/>
        <s v="60101334"/>
        <s v="73515183"/>
        <s v="74201350"/>
        <s v="74410734"/>
        <s v="75562185"/>
        <s v="72534971"/>
        <s v="74911792"/>
        <n v="74447631"/>
        <s v="60785695"/>
        <s v="75608454"/>
        <s v="72806696"/>
        <n v="74443858"/>
        <s v="73515181"/>
        <n v="73223068"/>
        <n v="74559877"/>
        <s v="61074118"/>
        <n v="72358590"/>
        <n v="72921129"/>
        <n v="72639843"/>
        <s v="61348431"/>
        <s v="76160851"/>
        <s v="71667289"/>
        <s v="76504667"/>
        <n v="75562955"/>
        <n v="60805354"/>
        <s v="74661394"/>
        <n v="72292406"/>
        <s v="74557471"/>
        <s v="77659779"/>
        <s v="72021057"/>
        <n v="75606076"/>
        <n v="71846485"/>
        <n v="71124847"/>
        <n v="72377161"/>
        <n v="74700203"/>
        <n v="74690809"/>
        <s v="76043011"/>
        <s v="74756649"/>
        <s v="77330196"/>
        <s v="70666733"/>
        <s v="74910309"/>
        <s v="61589006"/>
        <s v="72689335"/>
        <s v="77164554"/>
        <s v="70563517"/>
        <s v="76833604"/>
        <s v="62775257"/>
        <s v="75631550"/>
        <s v="72292322"/>
        <n v="72161267"/>
        <n v="72297461"/>
        <n v="76508574"/>
        <s v="77706547"/>
        <s v="75649113"/>
        <s v="61749525"/>
        <s v="60632322"/>
        <s v="72593483"/>
        <s v="73630288"/>
        <s v="73442676"/>
        <s v="70547824"/>
        <s v="74840892"/>
        <s v="74664464"/>
        <s v="75641039"/>
        <s v="61106132"/>
        <s v="74088537"/>
        <s v="76848297"/>
        <s v="74766694"/>
        <s v="72209651"/>
        <s v="72607068"/>
        <s v="717228869"/>
        <s v="72732191"/>
        <s v="74742599"/>
        <s v="73967611"/>
        <s v="71720278"/>
        <s v="76746249"/>
        <s v="70346602"/>
        <s v="60617787"/>
        <s v="78625896"/>
        <s v="71440978"/>
        <s v="74467320"/>
        <s v="78199684"/>
        <s v="75401581"/>
        <s v="61066971"/>
        <s v="78439589"/>
        <s v="61833237"/>
        <s v="76627541"/>
        <s v="76521554"/>
        <s v="71693523"/>
        <s v="73595613"/>
        <s v="73884393"/>
        <n v="73268998"/>
        <s v="75002388"/>
        <s v="77595796"/>
        <n v="45209939"/>
        <s v="60195798"/>
        <s v="73800713"/>
        <s v="71566988"/>
        <s v="74254029"/>
        <s v="73093318"/>
        <s v="75343702"/>
        <s v="60915753"/>
        <s v="70897829"/>
        <s v="76806883"/>
        <n v="73778593"/>
        <n v="79549830"/>
        <s v="73873460"/>
        <s v="71281569"/>
        <s v="71376015"/>
        <s v="77096325"/>
        <s v="74503807"/>
        <s v="77096326"/>
        <s v="76496794"/>
        <s v="61296354"/>
        <s v="63274146"/>
        <s v="72129737"/>
        <s v="75451599"/>
        <s v="73050167"/>
        <s v="74646865"/>
        <s v="74986453"/>
        <s v="71731496"/>
        <s v="73118954"/>
        <s v="71717763"/>
        <s v="77479111"/>
        <s v="72421415"/>
        <s v="74716658"/>
        <n v="75781464"/>
        <n v="70940423"/>
        <n v="60662311"/>
        <n v="71768665"/>
        <n v="72757392"/>
        <n v="76012069"/>
        <n v="75750491"/>
        <n v="74956444"/>
        <n v="72767054"/>
        <n v="61772702"/>
        <n v="73924333"/>
        <n v="75245866"/>
        <n v="76737183"/>
        <n v="76701912"/>
        <n v="77613904"/>
        <n v="77468899"/>
        <n v="76045218"/>
        <n v="75784987"/>
        <s v="73012221"/>
        <s v="73693140"/>
        <n v="74972503"/>
        <s v="74837421"/>
        <s v="75150197"/>
        <s v="75743873"/>
        <s v="63096355"/>
        <n v="74824890"/>
        <n v="74652611"/>
        <s v="71455036"/>
        <s v="60698617"/>
        <s v="60429478"/>
        <n v="60782024"/>
        <s v="756833441"/>
        <s v="04225245"/>
        <s v="70929018"/>
        <s v="71199145"/>
        <s v="72574117"/>
        <s v="72683641"/>
        <s v="73278571"/>
        <s v="74457848"/>
        <s v="74718257"/>
        <s v="74992719"/>
        <s v="75080917"/>
        <s v="75394105"/>
        <s v="75394182"/>
        <s v="75563285"/>
        <s v="75868957"/>
        <s v="76653048"/>
        <s v="77011018"/>
        <s v="72715579"/>
        <s v="06921227"/>
        <s v="71851560"/>
        <s v="78882278"/>
        <n v="76392101"/>
        <n v="76903068"/>
        <n v="72871209"/>
        <s v="70797219"/>
        <s v="00088784"/>
        <n v="75596719"/>
        <n v="47720586"/>
        <n v="47941195"/>
        <s v="70566500"/>
        <n v="70056387"/>
        <n v="70779717"/>
        <n v="75538067"/>
        <n v="71245874"/>
        <s v="74073189"/>
        <n v="72852696"/>
        <n v="70100651"/>
        <n v="72497756"/>
        <n v="72520880"/>
        <n v="72755541"/>
        <n v="74705243"/>
        <n v="76721839"/>
        <n v="70384899"/>
        <n v="76040119"/>
        <n v="76469349"/>
        <n v="72909572"/>
        <n v="77083704"/>
        <s v="71244274"/>
        <s v="73932936"/>
        <s v="72633211"/>
        <s v="71127200"/>
        <s v="70342913"/>
        <s v="73031618"/>
        <s v="76347281"/>
        <s v="47758105"/>
        <s v="75352400"/>
        <n v="76288472"/>
        <s v="48462957"/>
        <s v="41893202"/>
        <s v="70407262"/>
        <s v="47856229"/>
        <s v="70255834"/>
        <s v="71526945"/>
        <s v="70921960"/>
        <s v="48506073"/>
        <s v="72287559"/>
        <s v="74303148"/>
        <s v="70749763"/>
        <s v="73037655"/>
        <s v="48194581"/>
        <s v="70349916"/>
        <s v="73341149"/>
        <s v="48338720"/>
        <s v="76291456"/>
        <s v="47761871"/>
        <s v="75920312"/>
        <s v="48191362"/>
        <s v="77131484"/>
        <s v="76520065"/>
        <s v="48230093"/>
        <s v=" 70788827"/>
        <s v="72321036"/>
        <n v="77531113"/>
        <s v="76170187"/>
        <s v="48469482"/>
        <n v="73585694"/>
        <n v="70056280"/>
        <n v="74485473"/>
        <n v="47786650"/>
        <s v="75487939"/>
        <n v="77152431"/>
        <n v="71310621"/>
        <n v="73140395"/>
        <n v="73808872"/>
        <n v="48335090"/>
        <n v="74622538"/>
        <n v="75822840"/>
        <n v="75948984"/>
        <s v="76217578"/>
        <n v="77678548"/>
        <n v="77671772"/>
        <n v="48674784"/>
        <n v="76312734"/>
        <n v="73235212"/>
        <n v="48504786"/>
        <n v="73813054"/>
        <n v="75687396"/>
        <n v="72266721"/>
        <n v="62515119"/>
        <n v="74466137"/>
        <n v="72116429"/>
        <s v="76742420 "/>
        <n v="71419180"/>
        <n v="72549462"/>
        <n v="74994207"/>
        <n v="76313872"/>
        <n v="62593124"/>
        <n v="76862629"/>
        <n v="75044478"/>
        <n v="76559710"/>
        <s v="72388267"/>
        <n v="75654895"/>
        <n v="74342499"/>
        <n v="72094405"/>
        <n v="48226326"/>
        <n v="74760552"/>
        <n v="42030696"/>
        <s v="73700786"/>
        <s v="73356322"/>
        <s v="72762157"/>
        <s v="71728107"/>
        <n v="73725010"/>
        <s v="48558906"/>
        <s v="72484419"/>
        <s v="76246009"/>
        <s v="71937857"/>
        <s v="72750790"/>
        <s v="71658536"/>
        <s v="76735782"/>
        <s v="70783695"/>
        <s v="47968170"/>
        <s v="77288672"/>
        <s v="74653713"/>
        <s v="72002707"/>
        <s v="73592846"/>
        <s v="70673615"/>
        <s v="73669384"/>
        <s v="76298649"/>
        <s v="71446218"/>
        <s v="75458781"/>
        <s v="70475235"/>
        <n v="70762129"/>
        <n v="75175589"/>
        <s v="71928403"/>
        <s v="70174272"/>
        <s v="74200953"/>
        <s v="70830450"/>
        <s v="78199885"/>
        <s v="76580542"/>
        <n v="76334311"/>
        <s v="72780529"/>
        <s v="70463736"/>
        <n v="74820873"/>
        <s v="48398781"/>
        <n v="75074322"/>
        <n v="75601671"/>
        <n v="72890049"/>
        <s v="48221540"/>
        <s v="77298663"/>
        <s v="62852281"/>
        <s v="74983855"/>
        <s v="60218278"/>
        <s v="72079719"/>
        <s v="75693175"/>
        <s v="75394445"/>
        <s v="48754633"/>
        <s v="73029954"/>
        <s v="72006240"/>
        <n v="73137558"/>
        <n v="71129765"/>
        <n v="76077075"/>
        <s v="70882792"/>
        <s v="73321085"/>
        <s v="04831328"/>
        <n v="75085311"/>
        <n v="77154425"/>
        <n v="78551139"/>
        <n v="71465671"/>
        <s v="76222076"/>
        <s v="48615916"/>
        <s v="73008703"/>
        <s v="73895231"/>
        <s v="73058655"/>
        <s v="16016480"/>
        <s v="74324106"/>
        <s v="71730788"/>
        <s v="61699371"/>
        <s v="48360763"/>
        <s v="73988820"/>
        <s v="76397181"/>
        <s v="10646296"/>
        <s v="48347628"/>
        <s v="48814941"/>
        <s v="71016063"/>
        <s v="47959677"/>
        <s v="75984540"/>
        <s v="48401461"/>
        <s v="47929820"/>
        <s v="70862103"/>
        <s v="45437577"/>
        <s v="75197869"/>
        <s v="48476124"/>
        <s v="71639696"/>
        <s v="72497485  "/>
        <s v="61863608"/>
        <s v="61863607"/>
        <s v="72606363"/>
        <s v="71661437"/>
        <s v="71736018"/>
        <s v="48056384"/>
        <s v="71609795"/>
        <s v="41853373"/>
        <s v="47583114"/>
        <s v="48042201"/>
        <s v="76673970"/>
        <s v="61698371"/>
        <s v="72466062"/>
        <s v="75187830"/>
        <s v="73852789"/>
        <s v="44477705"/>
        <s v="71549667"/>
        <n v="47643733"/>
        <s v="71843051"/>
        <s v="72430862"/>
        <s v="70381237"/>
        <s v="70424156"/>
        <n v="70245881"/>
        <n v="60595877"/>
        <s v="75857708"/>
        <s v="42173047"/>
        <s v="74941976"/>
        <s v="71466378"/>
        <s v="71410835"/>
        <s v="48907744"/>
        <s v="71550952"/>
        <s v="77691169"/>
        <s v="48661760"/>
        <n v="77281673"/>
        <n v="72217196"/>
        <n v="75076164"/>
        <n v="75985564"/>
        <n v="73042353"/>
        <s v="75372414"/>
        <s v="76196016"/>
        <s v="73257998"/>
        <n v="74865918"/>
        <n v="78461680"/>
        <n v="76936650"/>
        <n v="70311640"/>
        <n v="73490007"/>
        <n v="70297207"/>
        <n v="71939352"/>
        <n v="76174821"/>
        <s v="70552353"/>
        <s v="77236257 "/>
        <s v="73326502 "/>
        <n v="48437297"/>
        <s v="72359031"/>
        <s v="75077865"/>
        <n v="48338544"/>
        <s v="76414261"/>
        <n v="71666962"/>
        <n v="74447614"/>
        <n v="72970514"/>
        <s v="48766651"/>
        <n v="47759265"/>
        <n v="70683469"/>
        <n v="47961950"/>
        <n v="47689990"/>
        <s v="72730390"/>
        <s v="47496635"/>
        <s v="71201322"/>
        <s v="74714148"/>
        <s v="70901216"/>
        <s v="77037301"/>
        <s v="70057989"/>
        <s v="48493828"/>
        <s v="74256032"/>
        <s v="70802811"/>
        <s v="71536295"/>
        <s v="72885460"/>
        <s v="62618820"/>
        <s v="70151817"/>
        <s v="74583330"/>
        <s v="48492910"/>
        <s v="74996801"/>
        <s v="47988947"/>
        <s v="71260648"/>
        <s v="47961445"/>
        <s v="74635308"/>
        <s v="76665610"/>
        <s v="48740674"/>
        <s v="74618029"/>
        <s v="71352198"/>
        <n v="48041432"/>
        <s v="48280815"/>
        <s v="72301722"/>
        <s v="76970487"/>
        <s v="70902886"/>
        <s v="76550527"/>
        <s v="47663709"/>
        <s v="76430084"/>
        <s v="70104941"/>
        <s v="77133052"/>
        <s v="72029086"/>
        <s v="09777634"/>
        <s v="62495917"/>
        <s v="48086129"/>
        <s v="72299174"/>
        <s v="76154094"/>
        <s v="73106650"/>
        <n v="76693646"/>
        <n v="73475386"/>
        <s v="75718553"/>
        <s v="70261351"/>
        <n v="71428664"/>
        <s v="70231459"/>
        <n v="47004135"/>
        <s v="72633347"/>
        <s v="75040828"/>
        <s v="73641700"/>
        <s v="48101918"/>
        <n v="73183351"/>
        <n v="48891269"/>
        <n v="74697428"/>
        <n v="71476786"/>
        <s v="75524207"/>
        <n v="75467531"/>
        <n v="77923385"/>
        <s v="73515182"/>
        <n v="75697962"/>
        <s v="70024065"/>
        <n v="75522313"/>
        <n v="74719315"/>
        <s v="75411677"/>
        <s v="73524075"/>
        <s v="48358552"/>
        <n v="70583300"/>
        <s v="74871316"/>
        <n v="77148676"/>
        <n v="77351994"/>
        <s v="004865678"/>
        <s v="72742425"/>
        <s v="74642263"/>
        <s v="48613124"/>
        <n v="75759987"/>
        <n v="76439458"/>
        <n v="78460876"/>
        <s v="73184977"/>
        <n v="47583114"/>
        <s v="70307947"/>
        <n v="72603951"/>
        <n v="71332497"/>
        <s v="71423631"/>
        <n v="48283746"/>
        <n v="77149254"/>
        <s v="48193728"/>
        <s v="76681479"/>
        <n v="63360021"/>
        <s v="70783167"/>
        <n v="72608442"/>
        <s v="78150207"/>
        <s v="72917976"/>
        <s v="77235599"/>
        <n v="47846255"/>
        <n v="77231007"/>
        <s v="77349733"/>
        <s v="72188455"/>
        <s v="73315361"/>
        <s v="71390220"/>
        <s v="43076940"/>
        <s v="71195523"/>
        <n v="74208675"/>
        <n v="71498216"/>
        <s v="73599310"/>
        <s v="004622105"/>
        <s v="70190725"/>
        <s v="74590953"/>
        <n v="72690624"/>
        <n v="72724419"/>
        <s v="75326707"/>
        <n v="70504227"/>
        <s v="72527844"/>
        <s v="48465043"/>
        <s v="70046580"/>
        <s v="61398471"/>
        <n v="70261456"/>
        <s v="72815077"/>
        <s v="71711534"/>
        <s v="76776954"/>
        <s v="72698490"/>
        <s v="75229046"/>
        <s v="76535983"/>
        <n v="74318292"/>
        <n v="71300037"/>
        <n v="48266511"/>
        <s v="77672001"/>
        <s v="70309815"/>
        <s v="70263238"/>
        <s v="72392059"/>
        <s v="76016431"/>
        <s v="76183659"/>
        <s v="74645275"/>
        <s v="76086479"/>
        <s v="70609001"/>
        <s v="75625952"/>
        <s v="48807352"/>
        <s v="75257565"/>
        <s v="75495940"/>
        <s v="72275195"/>
        <s v="71329055"/>
        <n v="76219338"/>
        <s v="75406116"/>
        <s v="76822326"/>
        <s v="71171646"/>
        <n v="72778461"/>
        <s v="70862927"/>
        <s v="47958097"/>
        <s v="47381948"/>
        <s v="47727568"/>
        <s v="72851189"/>
        <s v="76275805"/>
        <s v="72430469"/>
        <n v="74404052"/>
        <n v="71636128"/>
        <n v="70831714"/>
        <s v="47979415"/>
        <n v="75549777"/>
        <s v="71218942"/>
        <n v="72281069"/>
        <s v="60105995"/>
        <s v="71255052"/>
        <s v="76527075"/>
        <n v="70318566"/>
        <n v="74801507"/>
        <n v="72566453"/>
        <n v="47601897"/>
        <s v="74810782"/>
        <s v="72535927"/>
        <s v="73967635"/>
        <s v="76999293"/>
        <n v="76335113"/>
        <s v="75780749"/>
        <s v="48591942"/>
        <n v="76928550"/>
        <s v="76214766"/>
        <s v="77429888"/>
        <n v="71349227"/>
        <n v="60829242"/>
        <n v="41760279"/>
        <n v="40958694"/>
        <n v="71774815"/>
        <n v="73172616"/>
        <s v="005486114"/>
        <n v="70095614"/>
        <n v="75074932"/>
        <n v="60574740"/>
        <n v="76821655"/>
        <n v="47491064"/>
        <n v="72956341"/>
        <n v="72478794"/>
        <n v="70070372"/>
        <n v="70071216"/>
        <n v="70508559"/>
        <n v="74883670"/>
        <n v="72387432"/>
        <n v="72638375"/>
        <s v="72500161"/>
        <s v="75067840"/>
        <s v="71427960"/>
        <s v="76372468"/>
        <s v="48865829"/>
        <n v="71977944"/>
        <n v="48283886"/>
        <n v="77095133"/>
        <n v="76208852"/>
        <n v="74597322"/>
        <n v="74210610"/>
        <n v="75445105"/>
        <n v="70056502"/>
        <n v="74299177"/>
        <n v="73248223"/>
        <n v="70773194"/>
        <n v="73361941"/>
        <n v="73856865"/>
        <n v="76053510"/>
        <n v="47553390"/>
        <n v="80320373"/>
        <n v="74550247"/>
        <n v="75479110"/>
        <n v="76328581"/>
        <n v="48182680"/>
        <n v="48571459"/>
        <n v="72293642"/>
        <n v="75378396"/>
        <n v="70419363"/>
        <n v="73675908"/>
        <n v="72483120"/>
        <n v="70164906"/>
        <n v="74611044"/>
        <n v="61454425"/>
        <n v="71029771"/>
        <n v="75830799"/>
        <n v="72910803"/>
        <n v="74566254"/>
        <s v="09501731"/>
        <n v="75845235"/>
        <n v="60392301"/>
        <n v="72956375"/>
        <n v="75847004"/>
        <n v="71793601"/>
        <n v="72074039"/>
        <s v="75967877"/>
        <s v="74991558"/>
        <s v="70835950"/>
        <s v="74597891"/>
        <n v="70894636"/>
        <n v="73646665"/>
        <n v="70115069"/>
        <s v="74127479"/>
        <s v="73930393"/>
        <s v="72865723"/>
        <s v="73341040"/>
        <s v="70373152"/>
        <s v="76132188"/>
        <s v="70553578"/>
        <s v="70842517"/>
        <s v="75565318"/>
        <s v="48753866"/>
        <s v="71269810"/>
        <s v="72123902"/>
        <s v="75623622"/>
        <s v="77807647"/>
        <s v="48087731"/>
        <s v="77224624"/>
        <s v="73994986"/>
        <s v="77340804"/>
        <s v="71413609"/>
        <s v="71240639"/>
        <s v="72957587"/>
        <s v="76844216"/>
        <s v="73023345"/>
        <s v="70136781"/>
        <s v="70034998"/>
        <s v="75265714"/>
        <s v="48525510"/>
        <s v="73880759"/>
        <s v="72896277"/>
        <s v="47568954"/>
        <s v="48277548"/>
        <s v="77603601"/>
        <s v="70868294"/>
        <s v="73338876"/>
        <s v="75830382"/>
        <s v="48623555"/>
        <s v="62466897"/>
        <s v="77295287"/>
        <s v="70885873"/>
        <s v="70325289"/>
        <s v="72173658"/>
        <s v="73869348"/>
        <s v="78016393"/>
        <s v="71554341"/>
        <s v="71554340"/>
        <n v="72032908"/>
        <s v="71262989"/>
        <s v="73403509"/>
        <s v="73216891"/>
        <s v="72605234"/>
        <s v="48422610"/>
        <n v="47749350"/>
        <s v="73880268"/>
        <s v="71857725"/>
        <n v="70447410"/>
        <s v="71016403"/>
        <s v="75671764"/>
        <s v="72059296"/>
        <s v="70825727"/>
        <s v="70881920"/>
        <s v="74299491"/>
        <n v="70777695"/>
        <s v="73420126"/>
        <s v="74925696"/>
        <s v="76242225"/>
        <s v="70578422"/>
        <s v="72785151"/>
        <s v="73451331"/>
        <n v="70867403"/>
        <s v="71611394"/>
        <s v="72036314"/>
        <s v="70923850"/>
        <s v="70257432"/>
        <n v="72784882"/>
        <s v="71202390"/>
        <s v="71611070"/>
        <s v="72780061"/>
        <s v="74217869"/>
        <s v="70761700"/>
        <s v="76741039"/>
        <s v="73064176"/>
        <s v="70674060"/>
        <s v="10756298"/>
        <s v="71939429"/>
        <s v="75143686"/>
        <s v="75831843"/>
        <s v="72262010"/>
        <s v="74248049"/>
        <s v="000636145"/>
        <s v="75961369"/>
        <s v="70220833"/>
        <s v="AW934547"/>
        <s v="74940677"/>
        <s v="71469763"/>
        <s v="71712191"/>
        <s v="72050443"/>
        <s v="72479461"/>
        <s v="72507082"/>
        <s v="76092838"/>
        <s v="48310564"/>
        <s v="48204208"/>
        <s v="76058213"/>
        <s v="AV486817"/>
        <s v="71441739"/>
        <s v="73037299"/>
        <s v="47833955"/>
        <s v="70166983"/>
        <s v="76309987"/>
        <s v="48661752"/>
        <s v="76177394"/>
        <s v="70086832"/>
        <s v="73092822"/>
        <s v="47710960"/>
        <s v="72310242"/>
        <n v="72456151"/>
        <n v="70885998"/>
        <s v="77220634"/>
        <s v="47759867"/>
        <n v="73380318"/>
        <s v="48111222"/>
        <s v="72387491_x000d__x000a_"/>
        <s v="73660496"/>
        <s v="71918868"/>
        <s v="72929707"/>
        <s v="76774305"/>
        <s v="71755327"/>
        <s v="76431942"/>
        <n v="77202207"/>
        <n v="72639545"/>
        <n v="73937200"/>
        <n v="47774423"/>
        <s v="76788906"/>
        <s v="70602027"/>
        <s v="71034945"/>
        <s v="75379458"/>
        <s v="48364567"/>
        <s v="48261288"/>
        <s v="76958727"/>
        <s v="70859377"/>
        <s v="76616129"/>
        <n v="47406828"/>
        <n v="60522304"/>
        <n v="73497292"/>
        <n v="60977082"/>
        <n v="48162018"/>
        <n v="71253358"/>
        <s v="71263243"/>
        <s v="74255624"/>
        <s v="46126442"/>
        <s v="75328123"/>
        <s v="48296464"/>
        <s v="73240783"/>
        <s v="72192499"/>
        <s v="72983390"/>
        <s v="74503806"/>
        <s v="72493984"/>
        <s v="71050426"/>
        <s v="71642098"/>
        <s v="71020453"/>
        <s v="48600428"/>
        <s v="70485209"/>
        <s v="71778975"/>
        <s v="72001350"/>
        <s v="72730577"/>
        <s v="48606521"/>
        <s v="70033316"/>
        <s v="75280831"/>
        <s v="70164692"/>
        <s v="72639351"/>
        <s v="47835859"/>
        <s v="76406241"/>
        <s v="74834570"/>
        <s v="76168235"/>
        <s v="74905946"/>
        <s v="72550037"/>
        <s v="77205649"/>
        <n v="71967353"/>
        <n v="70294886"/>
        <n v="75994010"/>
        <n v="70566587"/>
        <n v="75680820"/>
        <n v="74838717"/>
        <n v="47869227"/>
        <n v="48287617"/>
        <n v="70454895"/>
        <n v="76612225"/>
        <n v="74825183"/>
        <n v="72862867"/>
        <n v="75589856"/>
        <n v="73778589"/>
        <n v="76019572"/>
        <s v="75011639"/>
        <s v="004792681"/>
        <n v="75268101"/>
        <n v="76085365"/>
        <n v="75572369"/>
        <n v="75769986"/>
        <n v="70859412"/>
        <n v="71235976"/>
        <s v="48561810"/>
        <n v="77469162"/>
        <n v="47605067"/>
        <n v="76292890"/>
        <n v="47662622"/>
        <n v="75343312"/>
        <n v="47784058"/>
        <n v="76692824"/>
        <n v="48021109"/>
        <n v="47909976"/>
        <n v="75967628"/>
        <n v="48259340"/>
        <n v="74235645"/>
        <s v="76286225"/>
        <n v="72437056"/>
        <n v="47507019"/>
        <n v="70044922"/>
        <s v="70679513"/>
        <s v="73008268"/>
        <s v="75522313"/>
        <n v="76301381"/>
        <s v="74997439"/>
        <n v="73092996"/>
        <s v="72774527"/>
        <n v="71450074"/>
        <n v="75353896"/>
        <s v="70751760"/>
        <s v="77534751"/>
        <n v="75415265"/>
        <n v="76608041"/>
        <s v="73759593"/>
        <s v="70855327"/>
        <n v="71093258"/>
        <n v="70030371"/>
        <n v="70313990"/>
        <s v="76477192"/>
        <n v="48554695"/>
        <n v="48802917"/>
        <n v="77464056"/>
        <n v="48237595"/>
        <n v="60698937"/>
        <s v="77333063"/>
        <s v="77433427"/>
        <n v="71750001"/>
        <n v="74987691"/>
        <n v="75907903"/>
        <n v="73176391"/>
        <n v="74861242"/>
        <n v="74861240"/>
        <n v="76640786"/>
        <n v="71258250"/>
        <n v="70037518"/>
        <n v="76459345"/>
        <n v="47563812"/>
        <n v="75781887"/>
        <n v="74979099"/>
        <n v="73760919"/>
        <n v="48143710"/>
        <s v="74951909"/>
        <n v="73779992"/>
        <n v="70839611"/>
        <n v="47771823"/>
        <s v="75417944"/>
        <s v="48338723"/>
        <s v="72844816"/>
        <s v="72188038"/>
        <s v="75706714"/>
        <s v="75869486"/>
        <n v="71849925"/>
        <n v="40665847"/>
        <n v="47980625"/>
        <n v="70860157"/>
        <n v="70800659"/>
        <n v="70370932"/>
        <n v="74768650"/>
        <n v="48383634"/>
        <n v="75503535"/>
        <n v="70911733"/>
        <n v="72694827"/>
        <s v="77393959"/>
        <s v=" 77242560"/>
        <s v="75295689"/>
        <s v="70753675"/>
        <s v="48392154"/>
        <n v="70517289"/>
        <n v="48656917"/>
        <s v="75007389"/>
        <s v="73993445"/>
        <n v="71689229"/>
        <n v="73878432"/>
        <s v="74888680"/>
        <n v="76309723"/>
        <s v="77075906"/>
        <s v="74804416"/>
        <s v="70034834"/>
        <s v="06155778"/>
        <s v="47497038"/>
        <s v="48751875"/>
        <s v="70136395"/>
        <s v="70416050"/>
        <s v="70977738"/>
        <s v="72313496"/>
        <s v="73312510"/>
        <s v="73809490"/>
        <s v="74047798"/>
        <s v="74526706"/>
        <s v="75242056"/>
        <s v="75254475"/>
        <s v="76098650"/>
        <s v="76697344"/>
        <s v="76759585"/>
        <s v="76798533"/>
        <s v="76873738"/>
        <s v="77334287"/>
        <s v="77686478"/>
        <s v="78106496"/>
        <s v="03092723"/>
        <s v="75868964"/>
        <s v="48504448"/>
        <s v="74848980"/>
        <s v="06811541"/>
        <s v="75868963"/>
        <s v="48036961"/>
        <s v="44702520"/>
        <s v="44866346"/>
        <n v="70514763"/>
        <n v="46251622"/>
        <n v="72259232"/>
        <s v="43986734"/>
        <n v="44127830"/>
        <n v="43823535"/>
        <n v="46505974"/>
        <n v="44650460"/>
        <n v="44838762"/>
        <n v="61774417"/>
        <n v="44427841"/>
        <n v="46017760"/>
        <n v="43266534"/>
        <n v="47124577"/>
        <s v="45653363"/>
        <s v="46264712"/>
        <s v="42959086"/>
        <n v="43979098"/>
        <s v="44149025"/>
        <s v="45864506"/>
        <s v="45799202"/>
        <s v="47173145"/>
        <s v="70675848"/>
        <s v="42992685"/>
        <s v="43520865"/>
        <s v="44240752"/>
        <s v="71561167"/>
        <s v="46864167"/>
        <s v="47395510"/>
        <s v="47289507"/>
        <s v="42901069"/>
        <s v="45266522"/>
        <s v="43200843"/>
        <s v="44198456"/>
        <s v="47547782"/>
        <s v="70240168"/>
        <s v="47616626"/>
        <s v="44417254"/>
        <s v="45672723"/>
        <s v="46750377"/>
        <n v="43796631"/>
        <s v="47173265"/>
        <s v="44960400"/>
        <s v="44417973"/>
        <s v="46301339"/>
        <s v="43969453"/>
        <s v="43446391"/>
        <s v="45241743"/>
        <s v="47102839"/>
        <s v="003346076"/>
        <n v="43930594"/>
        <s v="45815942"/>
        <s v="47072357"/>
        <s v="44064481"/>
        <s v="44648590"/>
        <s v="42656836"/>
        <s v="43659308"/>
        <s v="47811638"/>
        <s v="45779443"/>
        <s v="45545858"/>
        <s v="42631602"/>
        <s v="42721297"/>
        <s v="46260528"/>
        <s v="43135026"/>
        <s v="004796568"/>
        <s v="46219469"/>
        <s v="42065621"/>
        <s v="46788875"/>
        <s v="70980704"/>
        <s v="47247324"/>
        <s v="45734033"/>
        <s v="46372956"/>
        <s v="44178038"/>
        <s v="45610583"/>
        <n v="45144047"/>
        <s v="004001292"/>
        <n v="45617838"/>
        <n v="44260726"/>
        <n v="46349339"/>
        <n v="44993707"/>
        <n v="43550845"/>
        <n v="44496791"/>
        <n v="42546578"/>
        <n v="47044609"/>
        <n v="43393326"/>
        <n v="43442961"/>
        <s v="47478757"/>
        <s v="44471711"/>
        <n v="46484612"/>
        <n v="70227591"/>
        <n v="46833961"/>
        <n v="46288174"/>
        <n v="47655041"/>
        <n v="71006788"/>
        <n v="42639224"/>
        <n v="44634204"/>
        <n v="46233707"/>
        <n v="42280389"/>
        <n v="45957906"/>
        <n v="45836184"/>
        <n v="45918992"/>
        <n v="71705639"/>
        <n v="17623899"/>
        <s v="47550992"/>
        <s v="42636650"/>
        <n v="46334626"/>
        <n v="46322903"/>
        <n v="45476320"/>
        <n v="46942168"/>
        <n v="47953041"/>
        <s v="05645980"/>
        <n v="43260685"/>
        <n v="44766874"/>
        <n v="44561813"/>
        <n v="44757511"/>
        <n v="46311999"/>
        <n v="45618030"/>
        <n v="45241753"/>
        <n v="47437183"/>
        <n v="47771987"/>
        <n v="46528571"/>
        <n v="44291478"/>
        <n v="43842013"/>
        <n v="45205456"/>
        <n v="46057697"/>
        <n v="43029991"/>
        <n v="47505410"/>
        <n v="70359039"/>
        <n v="44608940"/>
        <n v="47376925"/>
        <n v="46457736"/>
        <n v="43755688"/>
        <n v="45892762"/>
        <n v="46938017"/>
        <n v="44784529"/>
        <n v="44354262"/>
        <n v="45945094"/>
        <n v="42887759"/>
        <n v="44245006"/>
        <n v="42322415"/>
        <n v="45801244"/>
        <n v="45708404"/>
        <n v="42602436"/>
        <n v="44523235"/>
        <n v="42945326"/>
        <s v="42505209"/>
        <s v="44681937"/>
        <n v="44971534"/>
        <s v="45765511"/>
        <s v="001734253"/>
        <s v="42852935"/>
        <n v="42717786"/>
        <n v="47473411"/>
        <n v="46479230"/>
        <n v="43719351"/>
        <s v="43505139"/>
        <n v="45941170"/>
        <n v="46894019"/>
        <n v="44352619"/>
        <s v="44326428"/>
        <s v="42926243"/>
        <s v="45722853"/>
        <n v="44908521"/>
        <n v="42293076"/>
        <s v="44728270"/>
        <s v="42688635"/>
        <s v="44945316"/>
        <s v="71846117"/>
        <s v="42522023"/>
        <n v="46628634"/>
        <s v="46910828"/>
        <n v="43895734"/>
        <s v="42838075"/>
        <s v="44221851"/>
        <s v="42690447"/>
        <s v="45252189"/>
        <s v="43037994"/>
        <s v="47555167"/>
        <s v="45614019"/>
        <s v="47297626"/>
        <s v="45979342"/>
        <s v="44902986"/>
        <s v="44247430"/>
        <s v="43261639"/>
        <s v="43591766"/>
        <s v="45484900"/>
        <s v="42311251"/>
        <s v="42609991"/>
        <s v="44123628"/>
        <s v="42622320"/>
        <s v="45678782"/>
        <s v="43576831"/>
        <s v="45026866"/>
        <s v="43868945"/>
        <s v="46174451"/>
        <s v="47202814"/>
        <s v="44139339"/>
        <s v="46354980"/>
        <s v="46637103"/>
        <s v="46987950"/>
        <s v="70057050"/>
        <s v="47012215"/>
        <s v="42609179"/>
        <s v="47085509"/>
        <s v="15357844"/>
        <s v="47230349"/>
        <n v="44192085"/>
        <n v="42552606"/>
        <n v="42540910"/>
        <s v="45120902"/>
        <s v="43953160"/>
        <s v="46843846"/>
        <n v="44106244"/>
        <s v="44892975"/>
        <s v="47408661"/>
        <s v="46356385"/>
        <n v="72944854"/>
        <s v="45430589"/>
        <n v="44989648"/>
        <s v="43090233"/>
        <s v="46617101"/>
        <s v="76927513"/>
        <s v="44974548"/>
        <s v="73039534"/>
        <n v="46992711"/>
        <n v="70257775"/>
        <s v="40942106"/>
        <n v="43921879"/>
        <n v="43755177"/>
        <s v="47008756"/>
        <n v="47474681"/>
        <s v="76971772"/>
        <s v="47045021"/>
        <n v="43516164"/>
        <n v="43697482"/>
        <n v="45112214"/>
        <n v="46208869"/>
        <n v="43864246"/>
        <n v="70767420"/>
        <n v="44591373"/>
        <n v="47160902"/>
        <n v="46789172"/>
        <n v="71287461"/>
        <s v="46208757"/>
        <s v="70957758"/>
        <s v="005626592"/>
        <s v="003656006"/>
        <s v="46583428"/>
        <s v="48442344"/>
        <s v="47568491"/>
        <n v="47088806"/>
        <s v="45474578"/>
        <s v="42381393"/>
        <s v="44138784"/>
        <s v="45472818"/>
        <s v="006429056"/>
        <s v="43703304"/>
        <s v="46248413"/>
        <s v="46392656"/>
        <s v="46679419"/>
        <s v="47513548  "/>
        <s v="43613366"/>
        <s v="47467562"/>
        <s v="46682231"/>
        <s v="43366992"/>
        <s v="47879033"/>
        <s v="45491384"/>
        <s v="42505813"/>
        <s v="44147589"/>
        <s v="43774136"/>
        <s v="43563809"/>
        <s v="42505434"/>
        <s v="43014600"/>
        <s v="46059379"/>
        <s v="45792047"/>
        <s v="45820329"/>
        <s v="45753988"/>
        <s v="47075316"/>
        <s v="70025440"/>
        <s v="45768973"/>
        <s v="42612065"/>
        <s v="45256432"/>
        <s v="45934885"/>
        <s v="44305554"/>
        <s v="44754190"/>
        <s v="43628840"/>
        <s v="46441975"/>
        <s v="44162016"/>
        <s v="70156040"/>
        <s v="70934560"/>
        <s v="42556206"/>
        <s v="46026362"/>
        <s v="44351203"/>
        <s v="44587110"/>
        <s v="44333796"/>
        <s v="42855999"/>
        <s v="42789685"/>
        <s v="46329110"/>
        <s v="47197208"/>
        <s v="45102939"/>
        <s v="46720500"/>
        <s v="46382769"/>
        <s v="70550520"/>
        <s v="44177981"/>
        <s v="43137672"/>
        <s v="42431232"/>
        <s v="74823865"/>
        <s v="43101441"/>
        <s v="44777473"/>
        <s v="47305442"/>
        <s v="45763511"/>
        <s v="45482156"/>
        <s v="44127106"/>
        <s v="003077772"/>
        <s v="004354092"/>
        <s v="44792960"/>
        <s v="44916150"/>
        <s v="48092843"/>
        <s v="46545239"/>
        <s v="46975125"/>
        <s v="46104998"/>
        <s v="47367225"/>
        <s v="43823532"/>
        <s v="44422531"/>
        <s v="45368998"/>
        <s v="09389575"/>
        <s v="47894776"/>
        <s v="43743803"/>
        <s v="44830851"/>
        <s v="45917423"/>
        <s v="46460395"/>
        <s v="43325077"/>
        <s v="70787765"/>
        <s v="44202720"/>
        <s v="44372269"/>
        <s v="43927758"/>
        <s v="42710078"/>
        <s v="002517638"/>
        <s v="46985661"/>
        <s v="45960749"/>
        <s v="45917863"/>
        <s v="73228733"/>
        <s v="46700327"/>
        <s v="46435256"/>
        <s v="47627764"/>
        <s v="77016058"/>
        <s v="43017257"/>
        <s v="45024544"/>
        <s v="45671361"/>
        <n v="46308352"/>
        <n v="46338989"/>
        <n v="47801030"/>
        <n v="43417588"/>
        <n v="45636667"/>
        <n v="70445629"/>
        <s v="45801216 "/>
        <n v="47223728"/>
        <n v="42474360"/>
        <n v="43464933"/>
        <s v="42075465"/>
        <s v="43821452"/>
        <s v="42621191"/>
        <s v="46290087"/>
        <s v="04760777"/>
        <s v="43769331"/>
        <n v="42714932"/>
        <s v="42037650"/>
        <s v="42424968"/>
        <n v="43013294"/>
        <s v="60576706"/>
        <n v="44545503"/>
        <n v="45763719"/>
        <n v="46894108"/>
        <s v="70900532"/>
        <s v="44255204"/>
        <s v="43896591"/>
        <s v="46990322"/>
        <s v="70385454"/>
        <s v="47514343"/>
        <s v="001008746"/>
        <s v="47343199"/>
        <s v="45239851"/>
        <s v="45998773"/>
        <s v="42826717"/>
        <s v="42920703"/>
        <s v="47472575"/>
        <s v="42561267"/>
        <s v="44870688"/>
        <s v="46630105"/>
        <s v="44808585"/>
        <s v="43984380"/>
        <s v="46198536"/>
        <s v="43228776"/>
        <s v="45798038"/>
        <s v="45496031"/>
        <s v="44221587"/>
        <s v="44189769"/>
        <s v="43491839"/>
        <n v="44371844"/>
        <s v="42098103"/>
        <s v="45531309"/>
        <s v="42094563"/>
        <s v="43819686"/>
        <s v="44132534"/>
        <s v="47426112"/>
        <s v="47612519"/>
        <n v="43577870"/>
        <s v="45633047"/>
        <s v="40049868"/>
        <n v="43086606"/>
        <n v="45634571"/>
        <n v="47397596"/>
        <n v="46587982"/>
        <n v="43592537"/>
        <n v="61121343"/>
        <n v="70542701"/>
        <s v="44767181"/>
        <s v="43486022"/>
        <s v="47030205"/>
        <n v="47454352"/>
        <n v="45941735"/>
        <n v="44447062"/>
        <s v="45644199"/>
        <s v="47886379"/>
        <s v="71768236"/>
        <s v="43876542"/>
        <s v="45297319"/>
        <n v="47123607"/>
        <s v="44853996"/>
        <s v="46831150"/>
        <s v="46836186"/>
        <s v="47201457"/>
        <s v="73272851"/>
        <s v="44332932"/>
        <n v="43218711"/>
        <s v="42597151"/>
        <s v="44910436"/>
        <s v="42310834"/>
        <s v="42799231"/>
        <s v="47594469"/>
        <s v="002861048"/>
        <s v="42860777"/>
        <n v="45560881"/>
        <n v="46373520"/>
        <n v="42915677"/>
        <s v="47206715"/>
        <s v="42722045"/>
        <n v="46984493"/>
        <s v="46838019"/>
        <s v="46050559"/>
        <n v="45218809"/>
        <s v="43322966"/>
        <s v="71218899"/>
        <n v="44239995"/>
        <s v="70547006"/>
        <s v="43679870"/>
        <n v="43864169"/>
        <n v="47253861"/>
        <n v="47376482"/>
        <n v="44924890"/>
        <n v="43460245"/>
        <n v="44161843"/>
        <s v="40951273"/>
        <s v="47288904"/>
        <s v="42532262"/>
        <s v="48786827"/>
        <s v="42573787"/>
        <s v="42579578"/>
        <s v="25766905"/>
        <s v="46950020"/>
        <s v="43659391"/>
        <s v="70125693"/>
        <s v="70406111"/>
        <n v="43107664"/>
        <s v="42457038"/>
        <s v="71882930"/>
        <s v="45508326"/>
        <s v="003179171"/>
        <s v="47004032"/>
        <s v="09987533"/>
        <n v="47335222"/>
        <n v="45664121"/>
        <n v="43144701"/>
        <n v="73888395"/>
        <s v="46581859"/>
        <n v="44963182"/>
        <n v="45079208"/>
        <n v="42605189"/>
        <s v="43688099"/>
        <n v="43893787"/>
        <s v="45889609"/>
        <s v="002673648"/>
        <s v="46879574"/>
        <s v="70104312"/>
        <s v="70053516"/>
        <s v="43747406"/>
        <s v="46544295"/>
        <n v="47120068"/>
        <s v="71994426"/>
        <s v="45917192"/>
        <s v="43485683"/>
        <n v="43119880"/>
        <s v="72497987"/>
        <s v="46775498"/>
        <n v="44968123"/>
        <s v="45158479"/>
        <s v="43065739"/>
        <n v="46930102"/>
        <s v="46879698"/>
        <n v="43504371"/>
        <n v="44737173"/>
        <s v="44734511"/>
        <s v="72232194"/>
        <n v="42723439"/>
        <s v="43725183"/>
        <s v="70757142 "/>
        <s v="46711157 "/>
        <s v="47317036"/>
        <s v="45758825"/>
        <s v="43730039"/>
        <s v="44999794 "/>
        <s v="42892618"/>
        <s v="45629876"/>
        <s v="43154077"/>
        <s v="44326594"/>
        <s v="44543964"/>
        <s v="70831186"/>
        <s v="46676800"/>
        <s v="46858911"/>
        <s v="46282976"/>
        <s v="48551817"/>
        <s v="72437227"/>
        <s v="003070552"/>
        <s v="004723430"/>
        <s v="72264392"/>
        <n v="42870642"/>
        <n v="43377243"/>
        <s v="47565408"/>
        <n v="44461687"/>
        <n v="48108401"/>
        <n v="45015508"/>
        <n v="44739987"/>
        <n v="47271705"/>
        <n v="61267224"/>
        <n v="47137989"/>
        <n v="72103384"/>
        <s v="42931622"/>
        <n v="43789063"/>
        <n v="45641429"/>
        <n v="42503895"/>
        <n v="45712857"/>
        <n v="47019153"/>
        <n v="44506776"/>
        <n v="45987199"/>
        <n v="70063540"/>
        <n v="46156222"/>
        <n v="46849279"/>
        <n v="43028691"/>
        <n v="46065190"/>
        <n v="46825421"/>
        <n v="70081209"/>
        <n v="44422051"/>
        <n v="42872927"/>
        <s v="003705995"/>
        <n v="42145540"/>
        <n v="47292467"/>
        <n v="43656622"/>
        <s v="48540450"/>
        <s v="47286681"/>
        <n v="45711589"/>
        <n v="43800218"/>
        <n v="43037909"/>
        <n v="70382488"/>
        <n v="47167782"/>
        <n v="44793223"/>
        <n v="48011814"/>
        <n v="43211514"/>
        <n v="46868696"/>
        <n v="44742865"/>
        <n v="45871256"/>
        <n v="45035338"/>
        <n v="47284706"/>
        <n v="44920346"/>
        <n v="43610163"/>
        <n v="45339699"/>
        <n v="45846503"/>
        <n v="70911344"/>
        <n v="76323301"/>
        <n v="44390110"/>
        <n v="45915304"/>
        <n v="44541226"/>
        <n v="43389284"/>
        <n v="44611406"/>
        <s v="44078329"/>
        <s v="44554839"/>
        <n v="42955963"/>
        <s v="44182978"/>
        <s v="45517102"/>
        <s v="45302784"/>
        <s v="45046844"/>
        <s v="45958145"/>
        <s v="70025107"/>
        <s v="73117092"/>
        <s v="44366958"/>
        <s v="44244797"/>
        <s v="47129494"/>
        <s v="45169349"/>
        <s v="70584123"/>
        <s v="46602690"/>
        <s v="44920619"/>
        <s v="45219745"/>
        <s v="42527857"/>
        <s v="70899166"/>
        <s v="71657223"/>
        <s v="43577600"/>
        <s v="44750145"/>
        <s v="43707200"/>
        <s v="43011888"/>
        <s v="44964246"/>
        <s v="47508257"/>
        <s v="43409058"/>
        <s v="45724501"/>
        <s v="44666800"/>
        <s v="43712538"/>
        <s v="43474497"/>
        <n v="45264960"/>
        <n v="46004740"/>
        <s v="44754143"/>
        <s v="47856949"/>
        <s v="45333457"/>
        <s v="44636216"/>
        <n v="42326423"/>
        <n v="43862367"/>
        <n v="48241723"/>
        <s v="45239029"/>
        <s v="46600519"/>
        <n v="72199426"/>
        <n v="44858973"/>
        <n v="42624301"/>
        <s v="47015331"/>
        <s v="48216153"/>
        <n v="74308361"/>
        <s v="71741121"/>
        <s v="44971078"/>
        <s v="45000926"/>
        <s v="47558557"/>
        <s v="70789977"/>
        <s v="45307386"/>
        <s v="44952361"/>
        <s v="43464982"/>
        <n v="43462550"/>
        <n v="46802433"/>
        <s v="43196238"/>
        <s v="47713641"/>
        <s v="44236894"/>
        <s v="42834449"/>
        <s v="43908326"/>
        <s v="40466910"/>
        <s v="47515657"/>
        <n v="46764698"/>
        <s v="44234047"/>
        <s v="47858249"/>
        <s v="46887981"/>
        <s v="44191310"/>
        <s v="45157219"/>
        <s v="42220911"/>
        <s v="70841369"/>
        <s v="42425978"/>
        <s v="72685494"/>
        <s v="45302845"/>
        <s v="42972663"/>
        <s v="43994272"/>
        <s v="42653553"/>
        <s v="47541080"/>
        <s v="42083995"/>
        <s v="43881636"/>
        <s v="42708039"/>
        <s v="45980682"/>
        <s v="46395400"/>
        <s v="71020856"/>
        <s v="46107232"/>
        <s v="46462374"/>
        <s v="46184100"/>
        <s v="46261612"/>
        <s v="ZA491538"/>
        <s v="44719240"/>
        <s v="42651339"/>
        <s v="43301128"/>
        <s v="44789033"/>
        <s v="71474245"/>
        <s v="44024199"/>
        <s v="70320670"/>
        <s v="003773888"/>
        <s v="43440695"/>
        <s v="48531759"/>
        <s v="46306126"/>
        <s v="47417890"/>
        <s v="45470522"/>
        <s v="45641090"/>
        <s v="47043697"/>
        <s v="43482062"/>
        <s v="72121842"/>
        <s v="47405916"/>
        <s v="46040447"/>
        <s v="46751860"/>
        <s v="44648524"/>
        <s v="43007159"/>
        <s v="46059780"/>
        <s v="47374873"/>
        <s v="45392779"/>
        <s v="46908365"/>
        <s v="70745583"/>
        <s v="45420653"/>
        <s v="46878332"/>
        <n v="45749027"/>
        <s v="47958317"/>
        <n v="45511144"/>
        <n v="46858107"/>
        <n v="46855715"/>
        <s v="43929750"/>
        <s v="45150307"/>
        <s v="47730312"/>
        <s v="48740050"/>
        <s v="44737151"/>
        <s v="42688814"/>
        <n v="45884715"/>
        <n v="43097707"/>
        <n v="45532206"/>
        <s v="47685051"/>
        <s v="43230046"/>
        <s v="42891300"/>
        <s v="43488471"/>
        <s v="47040373"/>
        <s v="71956381"/>
        <s v="43028358"/>
        <s v="46806611"/>
        <s v="42750879"/>
        <s v="46911300"/>
        <s v="P17233166"/>
        <s v="15433191"/>
        <s v="46603057"/>
        <s v="44466930"/>
        <s v="45123825"/>
        <s v="46371490"/>
        <s v="42904469"/>
        <s v="45489006"/>
        <s v="45376611"/>
        <s v="43356004"/>
        <s v="03824704"/>
        <s v="46726776"/>
        <s v="46503420"/>
        <s v="42313768"/>
        <s v="43356714"/>
        <s v="46190836"/>
        <s v="43671791"/>
        <n v="42766576"/>
        <n v="45632224"/>
        <n v="43160680"/>
        <n v="46625676"/>
        <n v="72666581"/>
        <n v="72430237"/>
        <s v="47190632"/>
        <s v="48257758"/>
        <s v="46472092"/>
        <s v="43462669"/>
        <s v="44177131"/>
        <s v="46270553"/>
        <s v="47769265"/>
        <s v="47325560"/>
        <s v="42805236"/>
        <s v="43173389"/>
        <s v="47274927"/>
        <n v="44342083"/>
        <s v="004713941"/>
        <s v="002234262"/>
        <s v="003574737"/>
        <s v="005247493"/>
        <n v="44433027"/>
        <s v="002082547"/>
        <s v="007294113"/>
        <n v="48879549"/>
        <n v="43369023"/>
        <n v="43335410"/>
        <n v="46529428"/>
        <n v="43567442"/>
        <n v="44264063"/>
        <n v="44005042"/>
        <n v="47210380"/>
        <n v="46879453"/>
        <n v="46386922"/>
        <n v="45911248"/>
        <s v="43372163"/>
        <n v="43723001"/>
        <n v="44811891"/>
        <n v="42405390"/>
        <n v="47123989"/>
        <s v="46870246"/>
        <n v="46137675"/>
        <n v="47749114"/>
        <s v="47837631"/>
        <n v="47140538"/>
        <n v="44119103"/>
        <n v="44673418"/>
        <s v="71430749"/>
        <n v="42464803"/>
        <n v="46557750"/>
        <n v="45359478"/>
        <n v="43287752"/>
        <n v="46037527"/>
        <n v="47645528"/>
        <n v="45668400"/>
        <n v="45114424"/>
        <s v="46833170"/>
        <n v="44742633"/>
        <s v="42454968"/>
        <s v="43548799"/>
        <s v="002310802"/>
        <n v="47579158"/>
        <n v="46434008"/>
        <n v="42335827"/>
        <n v="43875530"/>
        <n v="42815929"/>
        <n v="47734441"/>
        <n v="45278797"/>
        <n v="73272851"/>
        <n v="43591303"/>
        <n v="45404957"/>
        <n v="46837857"/>
        <n v="42962253"/>
        <n v="46987230"/>
        <n v="70009094"/>
        <s v="48102660"/>
        <s v="42509732"/>
        <n v="47510733"/>
        <n v="45970432"/>
        <n v="45789355"/>
        <n v="44163935"/>
        <n v="46053611"/>
        <n v="46451972"/>
        <n v="45830268"/>
        <n v="47598163"/>
        <s v="47958778"/>
        <s v="45528301"/>
        <n v="42402439"/>
        <s v="42527723"/>
        <n v="44898287"/>
        <n v="47402390"/>
        <n v="43757776"/>
        <n v="42084232"/>
        <n v="47132041"/>
        <n v="45424105"/>
        <n v="44132052"/>
        <n v="42537236"/>
        <n v="46929664"/>
        <n v="44125553"/>
        <n v="44767168"/>
        <n v="47928688"/>
        <n v="47573072"/>
        <n v="43832491"/>
        <n v="44009821"/>
        <s v="43546969"/>
        <s v="48215863"/>
        <s v="43465352"/>
        <s v="48000055"/>
        <s v="42869479"/>
        <n v="42258791"/>
        <n v="47153985"/>
        <n v="45086206"/>
        <n v="46991358"/>
        <n v="46996470"/>
        <n v="46038405"/>
        <n v="44323253"/>
        <n v="47298324"/>
        <n v="43085106"/>
        <n v="70474168"/>
        <n v="44277999"/>
        <n v="43738164"/>
        <n v="43190939"/>
        <n v="42052517"/>
        <n v="73446044"/>
        <n v="43160655"/>
        <n v="43392402"/>
        <n v="46135356"/>
        <n v="43398119"/>
        <n v="46645877"/>
        <s v="003626700"/>
        <n v="42423671"/>
        <n v="46900605"/>
        <n v="44128997"/>
        <n v="44662243"/>
        <n v="46558346"/>
        <n v="47403473"/>
        <n v="42782122"/>
        <n v="46001761"/>
        <n v="45197891"/>
        <n v="43099163"/>
        <n v="44543425"/>
        <n v="71751514"/>
        <n v="42879650"/>
        <s v="003435385"/>
        <n v="46402664"/>
        <n v="70366263"/>
        <n v="42979188"/>
        <n v="43076940"/>
        <n v="43479364"/>
        <s v="004224277"/>
        <n v="45828949"/>
        <n v="44117401"/>
        <s v="42147568"/>
        <s v="70931100"/>
        <n v="47773872"/>
        <s v="42229462"/>
        <s v="43180878"/>
        <n v="45766301"/>
        <n v="71864899"/>
        <n v="42615232"/>
        <n v="44885799"/>
        <n v="42920588"/>
        <s v="003802528"/>
        <n v="47519243"/>
        <n v="44796333"/>
        <n v="45961964"/>
        <n v="44455349"/>
        <n v="47376865"/>
        <n v="42717351"/>
        <n v="71962253"/>
        <n v="44646042"/>
        <n v="45887465"/>
        <s v="004686397"/>
        <n v="42570647"/>
        <n v="46745998"/>
        <n v="42251919"/>
        <n v="44263926"/>
        <s v="002750411"/>
        <n v="44796651"/>
        <n v="43600610"/>
        <n v="46020729"/>
        <n v="45622082"/>
        <n v="46113340"/>
        <n v="43831435"/>
        <n v="43897248"/>
        <n v="44363668"/>
        <n v="44179455"/>
        <n v="45551342"/>
        <n v="47313870"/>
        <n v="47592932"/>
        <n v="42600850"/>
        <n v="46126442"/>
        <n v="44996707"/>
        <n v="42890338"/>
        <n v="45740939"/>
        <n v="42285807"/>
        <n v="47828526"/>
        <n v="44089301"/>
        <n v="43080680"/>
        <s v="43269448"/>
        <s v="46017944"/>
        <s v="003959445"/>
        <s v=" 42194520"/>
        <s v=" 46876632"/>
        <s v=" 005196406"/>
        <s v=" 43086111"/>
        <s v="002175497"/>
        <s v="47524051"/>
        <s v="47195554"/>
        <n v="44609320"/>
        <s v="46368936"/>
        <s v="43064762"/>
        <s v="43194001"/>
        <s v="007468272"/>
        <n v="42984945"/>
        <s v="46864864"/>
        <s v="45880321"/>
        <n v="47229140"/>
        <n v="44238430"/>
        <s v="44292190"/>
        <s v="CE 002341346"/>
        <s v="002258894"/>
        <n v="45292428"/>
        <n v="42445302"/>
        <n v="45164025"/>
        <n v="43024758"/>
        <n v="43343348"/>
        <n v="46381895"/>
        <s v="46517516"/>
        <s v="44780870"/>
        <n v="46647951"/>
        <s v="47195335"/>
        <s v="03917765"/>
        <s v="06708543"/>
        <s v="07354604"/>
        <s v="42738463"/>
        <s v="43316041"/>
        <s v="43527801"/>
        <s v="43600963"/>
        <s v="43841127"/>
        <s v="43916690"/>
        <s v="44092442"/>
        <s v="44100356"/>
        <s v="44707787"/>
        <s v="45179861"/>
        <s v="45286550"/>
        <s v="45358664"/>
        <s v="46050146"/>
        <s v="46335786"/>
        <s v="46405917"/>
        <s v="47047796"/>
        <s v="47347550"/>
        <s v="47376815"/>
        <s v="47638097"/>
        <s v="49027330"/>
        <s v="70231425"/>
        <s v="44354985"/>
        <s v="45559881"/>
        <s v="46998361"/>
        <s v="46420025"/>
        <s v="47305384"/>
        <s v="70512319"/>
        <s v="45846538"/>
        <s v="07335070"/>
        <s v="45704893"/>
        <s v="44926898"/>
        <s v="43068395"/>
        <s v="44880228"/>
        <s v="41613376"/>
        <s v="41714531"/>
        <s v="03672332"/>
        <s v="41617631"/>
        <s v="41648530"/>
        <n v="43890534"/>
        <n v="41652950"/>
        <s v="80269763"/>
        <s v="44361643"/>
        <s v="43034649"/>
        <s v="03692360"/>
        <s v="41928679"/>
        <s v="25820095"/>
        <s v="10006039"/>
        <s v="42556220"/>
        <s v="80232847"/>
        <s v="42175054"/>
        <s v="25860268"/>
        <s v="44050619"/>
        <s v="09908599"/>
        <s v="40844789"/>
        <s v="40415115"/>
        <s v="76347282"/>
        <s v="80306905"/>
        <s v="10708663"/>
        <s v="41347605"/>
        <n v="41003926"/>
        <s v="002225456"/>
        <s v="41840355"/>
        <s v="41373796"/>
        <s v="41998796"/>
        <s v="08889478"/>
        <n v="40822066"/>
        <n v="42005210"/>
        <n v="16735079"/>
        <n v="41539064"/>
        <n v="40067219"/>
        <n v="27436899"/>
        <n v="40004669"/>
        <n v="22307712"/>
        <n v="40425650"/>
        <n v="41607597"/>
        <n v="41703835"/>
        <n v="40917183"/>
        <s v="10099654"/>
        <n v="41780796"/>
        <s v="44996233"/>
        <n v="41581978"/>
        <n v="80365084"/>
        <n v="40947145"/>
        <n v="41393213"/>
        <n v="40219003"/>
        <n v="18206542"/>
        <n v="41968454"/>
        <n v="42009438"/>
        <n v="41662346"/>
        <n v="42431945"/>
        <n v="41795249"/>
        <n v="41658030"/>
        <n v="44454996"/>
        <n v="42825634"/>
        <n v="44347083"/>
        <n v="25791003"/>
        <n v="41519407"/>
        <s v="43098334"/>
        <n v="25852919"/>
        <s v="42287732"/>
        <n v="41000016"/>
        <n v="43511090"/>
        <n v="80360442"/>
        <n v="17452454"/>
        <n v="80281799"/>
        <n v="10516064"/>
        <n v="40313378"/>
        <n v="10874896"/>
        <n v="41376578"/>
        <n v="42601464"/>
        <s v="09984231"/>
        <n v="31486912"/>
        <n v="40158449"/>
        <n v="41602174"/>
        <n v="41780774"/>
        <s v="05411732"/>
        <n v="41206832"/>
        <n v="40784116"/>
        <n v="42695870"/>
        <n v="40598400"/>
        <n v="10378695"/>
        <n v="40967548"/>
        <n v="16806946"/>
        <s v="80093063"/>
        <s v="41634524"/>
        <s v="43890108"/>
        <n v="42335775"/>
        <s v="40892504"/>
        <n v="42128077"/>
        <n v="80204665"/>
        <s v="09782836"/>
        <s v="42019262"/>
        <s v="07525642"/>
        <n v="40121089"/>
        <n v="25848881"/>
        <s v="41467012"/>
        <s v="40903516"/>
        <s v="80548093"/>
        <s v="10102085"/>
        <s v="40497660"/>
        <s v="10671091"/>
        <s v="16797726"/>
        <n v="40915271"/>
        <n v="42929353"/>
        <s v="10625997"/>
        <s v="43344303"/>
        <s v="42379145"/>
        <s v="41412750"/>
        <s v="18165339"/>
        <s v="41904582"/>
        <s v="40476776"/>
        <s v="40507388"/>
        <s v="16740583"/>
        <s v="44094138"/>
        <s v="40403438"/>
        <s v="05415607"/>
        <s v="43681078"/>
        <s v="40717935"/>
        <s v="41444367"/>
        <s v="40799669"/>
        <s v="10810829"/>
        <s v="22307989"/>
        <s v="40743632"/>
        <s v="41821873"/>
        <s v="18903323"/>
        <s v="41196991"/>
        <s v="40823677"/>
        <s v="41911967"/>
        <s v="03371266"/>
        <s v="80065899"/>
        <n v="42257225"/>
        <s v="42765877"/>
        <s v="40678080"/>
        <s v="003589166"/>
        <n v="10622779"/>
        <s v="41804425"/>
        <n v="80327125"/>
        <n v="43077473"/>
        <n v="80373840"/>
        <s v="80634487"/>
        <n v="42573951"/>
        <n v="45378497"/>
        <s v="40802800"/>
        <s v="001853346"/>
        <n v="46302382"/>
        <n v="40470741"/>
        <n v="40797810"/>
        <n v="40417712"/>
        <n v="41946020"/>
        <n v="40316216"/>
        <n v="10766438"/>
        <n v="42412592"/>
        <s v="43013253"/>
        <s v="08162158"/>
        <s v="42180424"/>
        <s v="80101062"/>
        <s v="80225106"/>
        <s v="40785011"/>
        <s v="004987297"/>
        <s v="42755036"/>
        <s v="09835073"/>
        <s v="40133680"/>
        <s v="41952604"/>
        <s v="41288176"/>
        <s v="41848309"/>
        <s v="25841367"/>
        <s v="41046676"/>
        <s v="41905581"/>
        <s v="42016041"/>
        <s v="41749941"/>
        <s v="40588611"/>
        <s v="41189893"/>
        <s v="80689404"/>
        <s v="003126450"/>
        <s v="42088944"/>
        <s v="46149260"/>
        <s v="42168745"/>
        <s v="25847891"/>
        <s v="41923399"/>
        <s v="80651309"/>
        <s v="40348276"/>
        <s v="40242547"/>
        <s v="42869476"/>
        <s v="10650510"/>
        <s v="40493337"/>
        <s v="41789866"/>
        <s v="10702657"/>
        <s v="17448068"/>
        <s v="09947013"/>
        <s v="42366532"/>
        <s v="25426854"/>
        <n v="44343380"/>
        <n v="41918219"/>
        <n v="25854992"/>
        <n v="10791717"/>
        <n v="44180637"/>
        <n v="41800209"/>
        <n v="42674663"/>
        <s v="43505343"/>
        <n v="80241666"/>
        <s v="40968721"/>
        <n v="41190172"/>
        <s v="40039262"/>
        <s v="40219138"/>
        <n v="41495294"/>
        <s v="40902024"/>
        <s v="25780812"/>
        <s v="44068316"/>
        <s v="41576473"/>
        <s v="003278870"/>
        <s v="41195102"/>
        <s v="10791859"/>
        <s v="43257704"/>
        <s v="41706733"/>
        <s v="40512996"/>
        <s v="46621231"/>
        <s v="46014426"/>
        <s v="41628032"/>
        <n v="41134159"/>
        <n v="41038120"/>
        <n v="27991696"/>
        <s v="40450337"/>
        <n v="40848274"/>
        <s v="41905141"/>
        <n v="40272616"/>
        <n v="10683286"/>
        <n v="80615148"/>
        <n v="80272277"/>
        <n v="41519853"/>
        <n v="29714266"/>
        <n v="40205720"/>
        <n v="40974387"/>
        <n v="10657766"/>
        <n v="25815496"/>
        <s v="10335321"/>
        <s v="41525076"/>
        <s v="40212175"/>
        <n v="40100878"/>
        <s v="42054189"/>
        <s v="40426652"/>
        <n v="41429374"/>
        <n v="42770032"/>
        <s v="42740241"/>
        <n v="10123284"/>
        <s v="08179701"/>
        <s v="40884046"/>
        <s v="42044585"/>
        <s v="41587915"/>
        <s v="41130959"/>
        <s v="41219730"/>
        <s v="08178144"/>
        <s v="74193055"/>
        <s v="09782021"/>
        <s v="80282517"/>
        <s v="41407647"/>
        <s v="42376331"/>
        <s v="412780002"/>
        <s v="42490474"/>
        <s v="80207619"/>
        <n v="41003555"/>
        <s v="40133207"/>
        <s v="10180600"/>
        <s v="41986948"/>
        <s v="80338241"/>
        <s v="40689350"/>
        <s v="10595951"/>
        <s v="41386388"/>
        <n v="40416446"/>
        <s v="09900993"/>
        <s v="41289235"/>
        <n v="80493595"/>
        <s v="41799555"/>
        <n v="41398604"/>
        <s v="41581798"/>
        <s v="40475691"/>
        <s v="42039851"/>
        <s v="42669591"/>
        <s v="41403918"/>
        <n v="80085933"/>
        <s v="10549394"/>
        <s v="40607251"/>
        <s v="41178731"/>
        <n v="41816941"/>
        <n v="41130075"/>
        <s v="80528236"/>
        <s v="43812893"/>
        <s v="10467048"/>
        <s v="40450706"/>
        <s v="41255925"/>
        <s v="40040727"/>
        <s v="41878279"/>
        <n v="10333792"/>
        <s v="42075840"/>
        <s v="40901532"/>
        <s v="002668598"/>
        <n v="42481848"/>
        <s v="41002041"/>
        <n v="41803246"/>
        <s v="10621145"/>
        <s v="40687791"/>
        <n v="44545937"/>
        <n v="42183246"/>
        <n v="41156538"/>
        <s v="42194317"/>
        <s v="41147187"/>
        <s v="41424840"/>
        <s v="44471598"/>
        <s v="42902814 "/>
        <n v="42525683"/>
        <s v="23277852"/>
        <n v="24372721"/>
        <s v="09821247"/>
        <s v="42957646"/>
        <s v="80086234"/>
        <s v="61228013"/>
        <s v="40787121"/>
        <s v="05410828"/>
        <s v="42621319    "/>
        <s v="80617200"/>
        <n v="41085988"/>
        <s v="41449389"/>
        <s v="41910378"/>
        <s v="10783132"/>
        <s v="23227584"/>
        <n v="40412956"/>
        <s v="42560908"/>
        <s v="41692022 "/>
        <s v="41863724"/>
        <n v="45858220"/>
        <s v="40005180"/>
        <s v="40028420"/>
        <s v="42463205"/>
        <s v="41842482"/>
        <s v="41033358"/>
        <n v="41262431"/>
        <n v="40242547"/>
        <s v="41876969"/>
        <s v="80274389"/>
        <n v="80499352"/>
        <s v="005521664"/>
        <s v="43297657"/>
        <s v="40346714    "/>
        <s v="41067648"/>
        <s v="002467944"/>
        <s v="10501549"/>
        <n v="29680263"/>
        <s v="41097216"/>
        <s v="10876658"/>
        <s v="41344895"/>
        <s v="41800880"/>
        <s v="42060657"/>
        <s v="80089868"/>
        <s v="40899837"/>
        <s v="41672079"/>
        <s v="&quot;000668292"/>
        <s v="17638674"/>
        <s v="25859958"/>
        <s v="25849334"/>
        <s v="10675832"/>
        <s v="41395780"/>
        <n v="41982056"/>
        <n v="40571411"/>
        <s v="42294182"/>
        <n v="41568233"/>
        <n v="10723455"/>
        <n v="44094138"/>
        <n v="10180366"/>
        <n v="25782664"/>
        <n v="40460486"/>
        <n v="40052620"/>
        <n v="10180513"/>
        <n v="10740319"/>
        <n v="16722588"/>
        <n v="10173358"/>
        <n v="10625764"/>
        <n v="41710487"/>
        <s v="44308907"/>
        <s v="80393349"/>
        <n v="10660585"/>
        <n v="41980543"/>
        <n v="42226971"/>
        <n v="42882050"/>
        <n v="10298470"/>
        <n v="40854664"/>
        <n v="42270738"/>
        <n v="20672473"/>
        <n v="41729683"/>
        <n v="10602660"/>
        <n v="41225872"/>
        <s v="07501857"/>
        <n v="18201884"/>
        <s v="07518246"/>
        <n v="80397807"/>
        <n v="40236895"/>
        <n v="10761069"/>
        <n v="80237224"/>
        <n v="40856696"/>
        <n v="10727560"/>
        <n v="43891151"/>
        <n v="40854542"/>
        <n v="44034894"/>
        <n v="43239877"/>
        <n v="42488850"/>
        <n v="44804579"/>
        <n v="10349216"/>
        <n v="41459649"/>
        <n v="40723663"/>
        <n v="41626712"/>
        <n v="40069211"/>
        <n v="40559945"/>
        <n v="40617609"/>
        <n v="40320202"/>
        <n v="40703410"/>
        <n v="40486958"/>
        <n v="42179058"/>
        <n v="40171810"/>
        <n v="41128261"/>
        <n v="40455727"/>
        <n v="40448542"/>
        <s v="10194461"/>
        <s v="10629467"/>
        <s v="40747783"/>
        <s v="41265537"/>
        <n v="40705096"/>
        <s v="06797644"/>
        <n v="80418696"/>
        <n v="41802865"/>
        <s v="10747873"/>
        <s v="41083670"/>
        <s v="40955815"/>
        <s v="80185951"/>
        <s v="45571276"/>
        <s v="40748224"/>
        <s v="42764881"/>
        <s v="49080996"/>
        <s v="32988196"/>
        <s v="40399514"/>
        <s v="10440166"/>
        <s v="42462070"/>
        <s v="07502952"/>
        <s v="40645216"/>
        <s v="42201915"/>
        <n v="40107305"/>
        <s v="10664319"/>
        <s v="10247461"/>
        <s v="80334641"/>
        <s v="42365649"/>
        <s v="43650696"/>
        <n v="41979590"/>
        <s v="10163644"/>
        <s v="41083602"/>
        <s v="10091421"/>
        <s v="40600733"/>
        <s v="05645533"/>
        <n v="41677837"/>
        <n v="40971461"/>
        <s v="10504655"/>
        <n v="41058435"/>
        <n v="40770744"/>
        <s v="42329877"/>
        <s v="10880926"/>
        <s v="40833866"/>
        <n v="43067497"/>
        <s v="42123475"/>
        <s v="48142195"/>
        <s v="41740975"/>
        <s v="40879830"/>
        <s v="80601894"/>
        <s v="41670944"/>
        <n v="80672439"/>
        <n v="80150774"/>
        <s v="43103123"/>
        <s v="40970625"/>
        <s v="10674949"/>
        <s v="41196589"/>
        <s v="10577043"/>
        <s v="41064626"/>
        <s v="10714062"/>
        <s v="80680271"/>
        <s v="002233005"/>
        <s v="41383901"/>
        <s v="10094142"/>
        <s v="42216952"/>
        <s v="42302618"/>
        <s v="44299514"/>
        <s v="46275912"/>
        <s v="42081926"/>
        <s v="42124263"/>
        <s v="002024274"/>
        <s v="45375745"/>
        <s v="40779080"/>
        <s v="40638205"/>
        <s v="41320309"/>
        <s v="40179495"/>
        <s v="40257298"/>
        <s v="40356109"/>
        <s v="41756095"/>
        <s v="40355211"/>
        <s v="06802679"/>
        <s v="42513065"/>
        <s v="41862745"/>
        <s v="10279958"/>
        <s v="10862310"/>
        <s v="003587730"/>
        <s v="25808461"/>
        <s v="´003782632"/>
        <n v="41557076"/>
        <s v="45330916"/>
        <s v="41104415"/>
        <s v="40297342"/>
        <s v="41291605"/>
        <s v="22707008"/>
        <s v="40895255"/>
        <n v="42501692"/>
        <s v="10098231"/>
        <s v="42406647"/>
        <s v="40681368"/>
        <s v="41360557"/>
        <s v="41761280"/>
        <s v="10741460"/>
        <s v="43303102"/>
        <s v="40966079"/>
        <s v="43546463"/>
        <s v="40639360"/>
        <s v="44383525"/>
        <s v="42279152"/>
        <s v="43737796"/>
        <s v="42808553"/>
        <s v="004486671"/>
        <s v="49007104"/>
        <n v="49076036"/>
        <n v="80580828"/>
        <s v="001327718"/>
        <s v="40579059"/>
        <s v="42208665"/>
        <s v="25842045"/>
        <s v="41015434"/>
        <s v="41502518"/>
        <s v="40353674"/>
        <s v="10250911"/>
        <s v="004667752"/>
        <n v="40860921"/>
        <n v="10352429"/>
        <n v="40386792"/>
        <n v="80610708"/>
        <n v="48327303"/>
        <s v="06803429"/>
        <s v="42332154"/>
        <n v="47820408"/>
        <n v="70133739"/>
        <n v="40137651"/>
        <s v="41010603"/>
        <s v="41255563"/>
        <n v="25809857"/>
        <s v="10626248"/>
        <s v="41894963"/>
        <n v="41824684"/>
        <n v="47885110"/>
        <n v="40533914"/>
        <n v="41244548"/>
        <s v="08177191"/>
        <s v="40902141"/>
        <s v="40911617"/>
        <n v="10818778"/>
        <n v="40049199"/>
        <n v="41962572"/>
        <n v="10607976"/>
        <n v="40451071"/>
        <n v="41634170"/>
        <s v="007727718"/>
        <s v="80007452"/>
        <n v="40320420"/>
        <n v="40287897"/>
        <s v="25843508"/>
        <s v="40826069"/>
        <n v="41468125"/>
        <n v="80505000"/>
        <n v="42831655"/>
        <n v="10097927"/>
        <s v="42862036"/>
        <s v="002116960"/>
        <s v="40894231"/>
        <n v="40861486"/>
        <n v="42587628"/>
        <n v="80159175"/>
        <n v="22733245"/>
        <n v="42077242"/>
        <n v="40561002"/>
        <n v="40435781"/>
        <n v="41118373"/>
        <n v="40893837"/>
        <s v="25791561"/>
        <s v="10697674"/>
        <s v="25857873"/>
        <s v="43973148"/>
        <s v="40680286"/>
        <s v="40186496"/>
        <n v="80125621"/>
        <n v="42983560"/>
        <s v="02882014"/>
        <n v="10696535"/>
        <n v="80002184"/>
        <n v="42353072"/>
        <n v="41559214"/>
        <n v="40272768"/>
        <n v="42766817"/>
        <n v="43438668"/>
        <n v="40907260"/>
        <n v="42583589"/>
        <n v="40066075"/>
        <n v="43722674"/>
        <n v="42445455"/>
        <n v="42435510"/>
        <n v="80260464"/>
        <n v="24583811"/>
        <n v="42774332"/>
        <s v="41059236"/>
        <n v="40478844"/>
        <n v="40851772"/>
        <n v="40686426"/>
        <s v="003680803"/>
        <s v="003999403"/>
        <n v="41194640"/>
        <n v="41638332"/>
        <n v="21289068"/>
        <n v="25841815"/>
        <n v="10254626"/>
        <n v="40579120"/>
        <n v="10763998"/>
        <n v="10316816"/>
        <n v="42312512"/>
        <n v="41678848"/>
        <n v="10368224"/>
        <n v="41385693"/>
        <n v="41932085"/>
        <n v="10607332"/>
        <n v="10882184"/>
        <n v="41236582"/>
        <n v="10592596"/>
        <n v="10323108"/>
        <n v="40690349"/>
        <n v="10036368"/>
        <n v="40490729"/>
        <n v="43384177"/>
        <n v="10683616"/>
        <n v="10729511"/>
        <n v="41853107"/>
        <n v="10057881"/>
        <n v="43324352"/>
        <n v="40558869"/>
        <n v="40416445"/>
        <n v="17627465"/>
        <n v="41700269"/>
        <n v="25810369"/>
        <n v="42083398"/>
        <n v="20430792"/>
        <n v="40641325"/>
        <s v="80520190"/>
        <s v="42047928"/>
        <s v="41707332"/>
        <s v="42220865"/>
        <s v="40663189"/>
        <s v=" 40076356"/>
        <s v=" 80650024"/>
        <n v="41183363"/>
        <s v="42447100"/>
        <s v="40793160"/>
        <n v="41889301"/>
        <n v="21287349"/>
        <n v="42296060"/>
        <n v="41149843"/>
        <s v="25857057"/>
        <s v="40955916"/>
        <s v="02990464"/>
        <s v="03114415"/>
        <s v="04778804"/>
        <s v="05151536"/>
        <s v="05954245"/>
        <s v="06585705"/>
        <s v="06659984"/>
        <s v="10283352"/>
        <s v="10288399"/>
        <s v="10587224"/>
        <s v="17443026"/>
        <s v="18179337"/>
        <s v="25768323"/>
        <s v="25781810"/>
        <s v="25792689"/>
        <s v="25805883"/>
        <s v="25827758"/>
        <s v="25831722"/>
        <s v="25838140"/>
        <s v="25855248"/>
        <s v="40653526"/>
        <s v="40700161"/>
        <s v="40816894"/>
        <s v="40919234"/>
        <s v="41052990"/>
        <s v="41247160"/>
        <s v="41383959"/>
        <s v="41582203"/>
        <s v="41862292"/>
        <s v="41870125"/>
        <s v="42336607"/>
        <s v="42634691"/>
        <s v="42784478"/>
        <s v="43810957"/>
        <s v="43952374"/>
        <s v="80106410"/>
        <s v="80364345"/>
        <s v="80367375"/>
        <s v="80457720"/>
        <s v="80184440"/>
        <s v="80229392"/>
        <s v="41227435"/>
        <s v="40185167"/>
        <s v="43158824"/>
        <s v="06805661"/>
        <s v="40034972"/>
        <s v="40963192"/>
        <s v="80616296"/>
        <s v="10039229"/>
        <n v="80660959"/>
        <s v="25763704"/>
        <s v="07524697"/>
        <s v="80256065"/>
        <s v="001264181"/>
        <s v="09434364"/>
        <s v="44255322"/>
        <s v="10870145"/>
        <s v="25436956"/>
        <s v="09479691"/>
        <s v="09587067"/>
        <s v="09418299"/>
        <s v="000990518"/>
        <n v="10107644"/>
        <n v="27072660"/>
        <s v="09762980"/>
        <s v="06575937"/>
        <n v="32110646"/>
        <s v="09745783"/>
        <s v="00864670"/>
        <n v="21549450"/>
        <s v="09845623"/>
        <n v="10262299"/>
        <s v="02823962"/>
        <n v="17616240"/>
        <s v="09586946"/>
        <n v="25716006"/>
        <s v="22882996"/>
        <n v="17561880"/>
        <s v="09822468"/>
        <n v="10066609"/>
        <n v="25824920"/>
        <n v="16771956"/>
        <s v="09502884"/>
        <n v="29567195"/>
        <n v="25701780"/>
        <n v="10510333"/>
        <n v="10355460"/>
        <s v="07522944"/>
        <n v="10000049"/>
        <n v="10355721"/>
        <s v="09702738"/>
        <s v="07466319"/>
        <n v="10447031"/>
        <s v="09757049"/>
        <s v="09771848"/>
        <s v="06098097"/>
        <s v="10073054"/>
        <s v="09960866"/>
        <s v="09845325"/>
        <s v="10690384"/>
        <n v="10487560"/>
        <n v="10023292"/>
        <n v="25757099"/>
        <s v="10529322"/>
        <n v="21866154"/>
        <s v="07051173"/>
        <n v="48214351"/>
        <n v="40229345"/>
        <n v="10321949"/>
        <n v="32730607"/>
        <n v="19253734"/>
        <s v="18146095"/>
        <s v="07457762"/>
        <s v="09790508"/>
        <s v="21504517"/>
        <s v="10424320"/>
        <s v="18903435"/>
        <s v="16176049"/>
        <s v="33806533"/>
        <s v="18903333"/>
        <s v="20584840"/>
        <s v="25561715"/>
        <s v="27430116"/>
        <s v="09891563"/>
        <s v="21559079"/>
        <s v="09760704"/>
        <n v="27747130"/>
        <s v="09953765"/>
        <n v="31175910"/>
        <n v="32608370"/>
        <s v="09738910"/>
        <n v="10163957"/>
        <s v="16123977"/>
        <s v="10217722"/>
        <s v="09392512"/>
        <s v="08864952"/>
        <s v="09682296"/>
        <s v="21854284"/>
        <s v="25759990"/>
        <s v="03237279"/>
        <s v="10054186"/>
        <s v="10228788"/>
        <s v="07452941"/>
        <s v="09725666"/>
        <s v="10388340"/>
        <s v="09964882"/>
        <s v="09682295"/>
        <s v="03901447"/>
        <s v="07498667"/>
        <s v="06276893"/>
        <s v="25748448"/>
        <s v="80281829"/>
        <s v="25683604"/>
        <s v="08149776"/>
        <s v="05349171"/>
        <s v="06885625"/>
        <s v="09514181"/>
        <s v="08484464"/>
        <s v="10220022"/>
        <n v="10804650"/>
        <s v="07285959"/>
        <s v="80277056"/>
        <s v="09826276"/>
        <s v="25755159"/>
        <s v="257789334"/>
        <s v="16714631"/>
        <s v="04069095"/>
        <s v="09292186"/>
        <s v="09620629"/>
        <s v="18836207"/>
        <s v="09902281"/>
        <s v="32875257"/>
        <n v="80543547"/>
        <s v="25772487"/>
        <s v="09592493"/>
        <s v="10036139"/>
        <s v="09657603"/>
        <n v="22890348"/>
        <s v="002435618"/>
        <s v="25745711"/>
        <s v="000899464"/>
        <s v="000503372"/>
        <s v="10117998"/>
        <s v="09707028"/>
        <s v="006371251"/>
        <s v="10201355"/>
        <s v="'09791766"/>
        <s v="20434151"/>
        <s v="80036426"/>
        <s v="10083935"/>
        <s v="05379953"/>
        <s v="15438121"/>
        <s v="10403710"/>
        <n v="10286308"/>
        <n v="32657850"/>
        <s v="09747783"/>
        <s v="09552733"/>
        <n v="10466932"/>
        <s v="10738596 "/>
        <n v="19329777"/>
        <s v="10399689"/>
        <s v="06772216"/>
        <s v="00153102    "/>
        <s v="03878379"/>
        <s v="31462501"/>
        <s v="09617022"/>
        <s v="10359352"/>
        <s v="09840809"/>
        <n v="26633611"/>
        <s v="48494702"/>
        <n v="1259645"/>
        <n v="16705472"/>
        <s v="80448043"/>
        <n v="25445289"/>
        <s v="25445344"/>
        <s v="25716216"/>
        <s v="001239315"/>
        <s v="10519078"/>
        <s v="07471819"/>
        <s v="09597238"/>
        <n v="20727748"/>
        <n v="19237506"/>
        <n v="25576253"/>
        <n v="25562448"/>
        <s v="08144887"/>
        <s v="09418223"/>
        <s v="09900226"/>
        <n v="25573721"/>
        <s v="08981315"/>
        <s v="09773168"/>
        <s v="00257233"/>
        <s v="10259732"/>
        <s v="09596451"/>
        <s v="05336891"/>
        <n v="42506524"/>
        <n v="19678824"/>
        <s v="05353249"/>
        <s v="09564095"/>
        <n v="44173544"/>
        <n v="15405842"/>
        <s v="09512932"/>
        <n v="10043520"/>
        <n v="10351545"/>
        <s v="09768500"/>
        <n v="41649817"/>
        <n v="15450854"/>
        <n v="25072204"/>
        <n v="10259084"/>
        <n v="10502142"/>
        <n v="21286344"/>
        <s v="09583061"/>
        <s v="09232438"/>
        <s v="09655688"/>
        <s v="08168836"/>
        <s v="03659727"/>
        <s v="23004750"/>
        <s v="1888400"/>
        <s v="06672865"/>
        <s v="09636058"/>
        <s v="15365365"/>
        <s v="43326800"/>
        <s v="04070925"/>
        <n v="10043409"/>
        <s v="09510218"/>
        <s v="06592060"/>
        <s v="23176255"/>
        <s v="16124936"/>
        <s v="10163292"/>
        <n v="25835545"/>
        <s v="25424143"/>
        <s v="09761712"/>
        <s v="00124903"/>
        <s v="10618694"/>
        <s v="25577845"/>
        <s v="09585570"/>
        <s v="03882086 "/>
        <s v="00799407 "/>
        <s v="25763464"/>
        <s v="AT908129"/>
        <n v="25760822"/>
        <s v="09640935"/>
        <s v="42474487"/>
        <s v="07626176"/>
        <s v="09947767"/>
        <s v="20740166"/>
        <s v="07453746"/>
        <s v="004503240"/>
        <s v="25723564"/>
        <s v="23016037"/>
        <n v="22669874"/>
        <s v="10457124"/>
        <n v="10554471"/>
        <s v="22308126"/>
        <n v="21106975"/>
        <n v="25743063"/>
        <n v="10079215"/>
        <s v="09712434"/>
        <s v="07469877"/>
        <n v="10151815"/>
        <s v="07517463"/>
        <n v="25814380"/>
        <s v="80680194"/>
        <s v="05384256"/>
        <n v="10047089"/>
        <n v="26682974"/>
        <n v="10463552"/>
        <n v="10127168"/>
        <s v="00096324"/>
        <s v="21286352"/>
        <s v="09803180"/>
        <s v="09724265"/>
        <s v="002127366"/>
        <n v="25571743"/>
        <s v="09590111"/>
        <n v="10576400"/>
        <n v="10217068"/>
        <s v="07997981"/>
        <n v="10106024"/>
        <s v="09908421"/>
        <n v="10010234"/>
        <n v="10586121"/>
        <s v="09801824"/>
        <n v="10600945"/>
        <n v="44871060"/>
        <n v="21298085"/>
        <s v="09979280"/>
        <s v="09477859"/>
        <n v="10482585"/>
        <n v="31181113"/>
        <s v="09611095"/>
        <s v="09966198"/>
        <s v="09620129"/>
        <n v="18201615"/>
        <s v="09606222"/>
        <s v="08167996"/>
        <s v="09526468"/>
        <s v="09531043"/>
        <s v="06259713"/>
        <s v="08146777"/>
        <s v="002184646"/>
        <n v="10110697"/>
        <s v="08483594"/>
        <s v="10322922"/>
        <s v="09921519"/>
        <s v="25769837"/>
        <s v="02859318"/>
        <s v="05340128"/>
        <s v="06276880"/>
        <s v="07620799"/>
        <s v="08454882"/>
        <s v="09439261"/>
        <s v="09475244"/>
        <s v="09517602"/>
        <s v="09955473"/>
        <s v="09983645"/>
        <s v="16567225"/>
        <s v="16765501"/>
        <s v="17433213"/>
        <s v="17443171"/>
        <s v="18079449"/>
        <s v="18906181"/>
        <s v="22292929"/>
        <s v="25549384"/>
        <s v="25570559"/>
        <s v="25573357"/>
        <s v="25713600"/>
        <s v="25741169"/>
        <s v="25751647"/>
        <s v="25752359"/>
        <s v="25754630"/>
        <s v="25758216"/>
        <s v="25760330"/>
        <s v="25761218"/>
        <s v="25777892"/>
        <s v="25831371"/>
        <s v="25849063"/>
        <s v="80138926"/>
        <s v="25544770"/>
        <s v="09644988"/>
        <s v="08012090"/>
        <s v="25439741"/>
        <s v="06776754"/>
        <s v="09900761"/>
        <s v="25753204"/>
        <s v="09445012"/>
        <s v="25843201"/>
        <s v="44542336"/>
        <s v="09442491"/>
        <s v="04927161"/>
        <s v="20562049"/>
        <s v="07303342"/>
        <m/>
        <s v="15611131"/>
        <n v="10511232"/>
        <s v="07088393"/>
        <n v="21840391"/>
        <s v="07982439"/>
        <s v="09380592"/>
        <n v="43372468"/>
        <n v="10378328"/>
        <s v="06156150"/>
        <s v="07980542"/>
        <s v="02643338"/>
        <s v="06312904"/>
        <s v="07544414"/>
        <s v="09265738"/>
        <s v="07092740"/>
        <s v="06714884"/>
        <s v="`09125762"/>
        <s v="32807122 "/>
        <s v="25592629"/>
        <s v="45434409"/>
        <s v="10676510"/>
        <s v="73885796"/>
        <s v="10113305"/>
        <s v="42412699"/>
        <s v="45722294"/>
        <s v="70862342"/>
        <s v="73834394"/>
        <s v="44004778"/>
        <s v="06848183"/>
        <s v="10309978"/>
        <s v="74213024"/>
        <s v="74124907"/>
        <s v="72832773"/>
        <s v="47229868"/>
        <s v="48080108"/>
        <s v="47340892"/>
        <s v="40509656"/>
        <s v="07788887"/>
        <s v="06309404"/>
        <s v="25709656"/>
        <n v="25756269"/>
        <s v="09467749"/>
        <s v="28575427"/>
        <s v="03600290"/>
        <s v="06012258"/>
        <s v="08604839"/>
        <s v="09055579"/>
        <n v="25440277"/>
        <s v="09397112"/>
        <s v="08904924"/>
        <s v="07064453"/>
        <s v="03601565"/>
        <s v="08046267"/>
        <n v="15404067"/>
        <s v="07105925"/>
        <n v="21090967"/>
        <s v="06881809"/>
        <n v="10613463"/>
        <s v="09217902"/>
        <s v="08748808"/>
        <n v="30500675"/>
        <n v="31521861"/>
        <s v="08488006"/>
        <n v="16707167"/>
        <n v="10517682"/>
        <s v="08543302"/>
        <n v="19988492"/>
        <s v="06579737"/>
        <s v="09298200"/>
        <s v="75087609"/>
        <s v="09108121"/>
        <s v="20688395"/>
        <s v="02691858"/>
        <s v="17967412"/>
        <s v="15593426"/>
        <s v="17IA66418"/>
        <s v="08387404"/>
        <s v="03840444"/>
        <s v="25476771"/>
        <s v="08764967"/>
        <s v="40139097"/>
        <n v="10061729"/>
        <s v="25578236"/>
        <s v="03839721"/>
        <s v="07577450"/>
        <s v="43572027"/>
        <s v="16420268"/>
        <n v="25614741"/>
        <s v="0´7597291"/>
        <s v="25759379"/>
        <s v="08993167"/>
        <n v="41996878"/>
        <n v="25442112"/>
        <s v="15668536"/>
        <s v="06611316"/>
        <s v="06889656"/>
        <s v="07045311"/>
        <s v="07320087"/>
        <s v="07621705"/>
        <s v="08221098"/>
        <s v="08450979"/>
        <s v="09325017"/>
        <s v="10713594"/>
        <s v="16556345"/>
        <s v="25449520"/>
        <s v="25515495"/>
        <s v="25537068"/>
        <s v="43886146"/>
        <s v="07395251"/>
        <s v="08521942"/>
        <s v="06273583"/>
        <s v="25581427"/>
        <s v="80247495"/>
        <s v="46368968"/>
        <s v="48680037"/>
        <s v="07494180"/>
        <s v="44386883"/>
        <n v="40709879"/>
        <s v="40273391"/>
        <n v="46006887"/>
        <s v="42044180"/>
        <s v="40457019"/>
        <s v="70767429"/>
        <s v="00114473"/>
        <s v="45358252"/>
        <s v="48585983"/>
        <n v="40734137"/>
        <s v="43066850"/>
        <n v="43566306"/>
        <n v="47947533"/>
        <n v="48416828"/>
        <s v="41380678"/>
        <s v="09687005"/>
        <s v="43394611"/>
        <s v="43430307"/>
        <n v="43608067"/>
        <s v="003143442"/>
        <n v="60310239"/>
        <n v="45437410"/>
        <s v="71653142"/>
        <n v="80684400"/>
        <s v="004805734"/>
        <s v="43093733"/>
        <s v="44292008"/>
        <n v="46981509"/>
        <n v="45372904"/>
        <n v="71514158"/>
        <s v="10314080"/>
        <n v="43923681"/>
        <s v="74972374"/>
        <n v="71986227"/>
        <n v="45881180"/>
        <n v="42520120"/>
        <s v="004777452"/>
        <n v="72726090"/>
        <s v="47025988"/>
        <n v="70689143"/>
        <n v="72051769"/>
        <n v="43650683"/>
        <s v="44730626"/>
        <s v="49032135"/>
        <n v="48196338"/>
        <s v="76221712"/>
        <s v="44975847"/>
        <n v="76589340"/>
        <n v="75923917"/>
        <n v="40217385"/>
        <s v="75824700"/>
        <n v="10531437"/>
        <s v="47991436"/>
        <s v="10055473"/>
        <s v="43536562"/>
        <s v="42801421"/>
        <s v="47099400"/>
        <s v="74380606"/>
        <s v="41824096"/>
        <s v="72931153"/>
        <s v="46155121"/>
        <s v="45991583"/>
        <s v="21558052"/>
        <s v="003305271"/>
        <s v="46458734"/>
        <s v="46128822"/>
        <s v="42517618"/>
        <s v="70066521"/>
        <s v="43635706"/>
        <s v="70073001"/>
        <s v="42034703"/>
        <s v="72860289"/>
        <s v="41758107"/>
        <s v="10084289"/>
        <s v="75745420"/>
        <s v="18891824"/>
        <s v="70170041"/>
        <s v="45969393"/>
        <s v="73504863"/>
        <s v="09648186"/>
        <s v="46873800"/>
        <s v="10179183"/>
        <s v="45205035"/>
        <s v="41133758"/>
        <s v="70948249"/>
        <s v="74391046"/>
        <s v="47080315"/>
        <s v="10233702"/>
        <s v="70515075"/>
        <s v="62577317"/>
        <s v="70668299"/>
        <s v="76468608"/>
        <s v="73746998"/>
        <s v="09671466"/>
        <s v="09658337"/>
        <s v="45876302"/>
        <s v="61757215"/>
        <s v="47772249"/>
        <s v="74074473"/>
        <s v="72756387"/>
        <s v="22998188"/>
        <s v="47856833"/>
        <s v="05310904"/>
        <s v="40568797"/>
        <s v="76219928"/>
        <s v="70502293"/>
        <s v="72397005"/>
        <s v="43960088"/>
        <s v="43039534"/>
        <s v="75190564"/>
        <s v="42726952"/>
        <s v="75324951"/>
        <s v="44558864"/>
        <s v="42306306"/>
        <s v="73546771"/>
        <s v="45157308"/>
        <s v="25862137"/>
        <s v="42514006"/>
        <s v="40077883"/>
        <s v="45904194"/>
        <s v="48141113"/>
        <s v="47706156"/>
        <s v="07526404"/>
        <s v="43918245"/>
        <s v="43677381"/>
        <s v="70663530"/>
        <s v="74717917"/>
        <s v="42217619"/>
        <s v="42098495"/>
        <s v="75340212"/>
        <s v="09382697"/>
        <s v="70365628"/>
        <s v="43392132"/>
        <s v="72801025"/>
        <s v="42018299"/>
        <s v="25810014"/>
        <s v="42362237"/>
        <s v="48023308"/>
        <s v="44947169"/>
        <s v="46423243"/>
        <s v="72756388"/>
        <s v="73627180"/>
        <s v="70884419"/>
        <s v="70647874"/>
        <s v="22289570"/>
        <s v="46223411"/>
        <s v="72772118"/>
        <s v="72362807"/>
        <s v="71278499"/>
        <s v="10678517"/>
        <s v="43214068"/>
        <s v="003939738"/>
        <s v="72841409"/>
        <s v="60440173"/>
        <s v="47090556"/>
        <s v="46346243"/>
        <s v="71066392"/>
        <s v="45803288"/>
        <s v="46066476"/>
        <s v="70474117"/>
        <s v="72816466"/>
        <s v="25831334"/>
        <s v="47051514"/>
        <s v="07085678"/>
        <s v="41356174"/>
        <s v="73091959"/>
        <s v="47318984"/>
        <s v="47139113"/>
        <s v="46588743"/>
        <s v="72392434"/>
        <s v="73546871"/>
        <s v="70779929"/>
        <s v="76130940"/>
        <s v="44422275"/>
        <s v="72318285"/>
        <s v="15298916"/>
        <s v="73138052"/>
        <s v="47635016"/>
        <s v="72801026"/>
        <s v="44615807"/>
        <s v="41913491"/>
        <s v="48770140"/>
        <s v="70582662"/>
        <s v="73834947"/>
        <s v="07441402"/>
        <s v="72780282"/>
        <s v="49041915"/>
        <s v="17924685"/>
        <s v="42063033"/>
        <s v="70083795"/>
        <s v="42528329"/>
        <s v="47632712"/>
        <s v="10771454"/>
        <s v="71402655"/>
        <s v="42817866"/>
        <s v="80328862"/>
        <s v="43521924"/>
        <s v="46057179"/>
        <s v="48298586"/>
        <s v="10786234"/>
        <s v="73989631"/>
        <s v="41362380"/>
        <s v="40999720"/>
        <s v="74423671"/>
        <s v="80011757"/>
        <s v="001746096"/>
        <s v="43743934"/>
        <s v="40692216"/>
        <s v="49052291"/>
        <s v="40559676"/>
        <s v="76154824"/>
        <s v="77479938"/>
        <s v="25753155"/>
        <s v="71302068"/>
        <s v="80607229"/>
        <s v="47714003"/>
        <s v="45119963"/>
        <s v="48207774"/>
        <s v="44215839"/>
        <s v="46666584"/>
        <s v="41396626"/>
        <s v="09514999"/>
        <s v="44903612"/>
        <s v="71918207"/>
        <s v="42179322"/>
        <s v="21885703"/>
        <s v="45105151"/>
        <s v="09441385"/>
        <s v="01139601"/>
        <s v="43375427"/>
        <n v="76159998" u="1"/>
        <n v="71797076" u="1"/>
        <n v="73331168" u="1"/>
        <n v="75334745" u="1"/>
        <n v="47970437" u="1"/>
        <n v="46687107" u="1"/>
        <n v="41012601" u="1"/>
        <n v="72883294" u="1"/>
        <n v="77337516" u="1"/>
        <n v="77144442" u="1"/>
        <n v="72489494" u="1"/>
        <n v="72912960" u="1"/>
        <n v="70931755" u="1"/>
        <n v="46769590" u="1"/>
        <n v="72179473" u="1"/>
        <n v="72528698" u="1"/>
        <n v="73312974" u="1"/>
        <n v="77389783" u="1"/>
        <n v="47612122" u="1"/>
        <n v="76577996" u="1"/>
        <n v="46159353" u="1"/>
        <n v="43409266" u="1"/>
        <n v="75107203" u="1"/>
        <n v="73233513" u="1"/>
        <n v="74425855" u="1"/>
        <n v="72679593" u="1"/>
        <n v="71114595" u="1"/>
        <n v="74418113" u="1"/>
        <n v="72082836" u="1"/>
        <n v="70222314" u="1"/>
        <n v="76421793" u="1"/>
        <n v="72577077" u="1"/>
        <n v="71269396" u="1"/>
        <n v="73878207" u="1"/>
        <n v="71497892" u="1"/>
        <n v="78011788" u="1"/>
        <n v="47990613" u="1"/>
        <n v="72203313" u="1"/>
        <n v="43661250" u="1"/>
        <n v="77225245" u="1"/>
        <n v="48125473" u="1"/>
        <n v="46900601" u="1"/>
        <n v="71333477" u="1"/>
        <n v="70551441" u="1"/>
        <n v="43287638" u="1"/>
        <n v="42787070" u="1"/>
        <n v="44328891" u="1"/>
        <n v="47219334" u="1"/>
        <n v="47537394" u="1"/>
        <n v="44391904" u="1"/>
        <n v="46380943" u="1"/>
        <n v="44694386" u="1"/>
        <n v="44060853" u="1"/>
        <n v="45112561" u="1"/>
        <n v="42958092" u="1"/>
        <n v="43463683" u="1"/>
        <n v="43035038" u="1"/>
        <n v="44236412" u="1"/>
        <n v="42794364" u="1"/>
        <n v="71648824" u="1"/>
        <n v="42323550" u="1"/>
        <n v="74405685" u="1"/>
        <n v="42962897" u="1"/>
        <n v="47261143" u="1"/>
        <n v="42967559" u="1"/>
        <n v="45229124" u="1"/>
        <n v="43150982" u="1"/>
        <n v="45642397" u="1"/>
        <n v="43632248" u="1"/>
        <n v="45448406" u="1"/>
        <n v="43193105" u="1"/>
        <n v="46051425" u="1"/>
        <n v="72208423" u="1"/>
        <n v="45236511" u="1"/>
        <n v="42262423" u="1"/>
        <n v="42429804" u="1"/>
        <n v="43885728" u="1"/>
        <n v="44873745" u="1"/>
        <n v="42033553" u="1"/>
        <n v="40013648" u="1"/>
        <n v="40199366" u="1"/>
        <n v="40695738" u="1"/>
        <n v="40938864" u="1"/>
        <n v="40211067" u="1"/>
        <n v="40960519" u="1"/>
        <n v="40812052" u="1"/>
        <n v="18861868" u="1"/>
        <n v="42484594" u="1"/>
        <n v="80437392" u="1"/>
        <n v="44125219" u="1"/>
        <n v="80105751" u="1"/>
        <n v="40061998" u="1"/>
        <n v="40438291" u="1"/>
        <n v="25708778" u="1"/>
        <n v="10394870" u="1"/>
        <n v="10110620" u="1"/>
        <n v="10025075" u="1"/>
        <n v="31648647" u="1"/>
        <n v="23708352" u="1"/>
        <n v="9270709" u="1"/>
        <n v="48614263" u="1"/>
        <n v="45586568" u="1"/>
        <n v="44849049" u="1"/>
        <n v="43176344" u="1"/>
        <n v="70015336" u="1"/>
        <n v="60018826" u="1"/>
        <n v="71738953" u="1"/>
        <n v="70570836" u="1"/>
        <n v="45165596" u="1"/>
        <n v="47088821" u="1"/>
        <n v="43079421" u="1"/>
        <n v="43567378" u="1"/>
        <n v="47234652" u="1"/>
        <n v="40555185" u="1"/>
        <n v="23097025" u="1"/>
        <n v="80309592" u="1"/>
        <n v="73336371" u="1"/>
        <n v="73256926" u="1"/>
        <n v="74712100" u="1"/>
        <n v="76195275" u="1"/>
        <n v="72270922" u="1"/>
        <n v="76518950" u="1"/>
        <n v="70776368" u="1"/>
        <n v="47713860" u="1"/>
        <n v="44380230" u="1"/>
        <n v="42393841" u="1"/>
        <n v="45979655" u="1"/>
        <n v="42556299" u="1"/>
        <n v="25614895" u="1"/>
        <n v="72215292" u="1"/>
        <n v="62333701" u="1"/>
        <n v="76045636" u="1"/>
        <n v="71231814" u="1"/>
        <n v="47349243" u="1"/>
        <n v="42732643" u="1"/>
        <n v="44352769" u="1"/>
        <n v="45816572" u="1"/>
        <n v="45251812" u="1"/>
        <n v="43602292" u="1"/>
        <n v="45913998" u="1"/>
        <n v="43582605" u="1"/>
        <n v="47039818" u="1"/>
        <n v="42172217" u="1"/>
        <n v="43915323" u="1"/>
        <n v="10803613" u="1"/>
        <n v="26962121" u="1"/>
        <n v="41437328" u="1"/>
        <n v="77307775" u="1"/>
        <n v="48024512" u="1"/>
        <n v="48097474" u="1"/>
        <n v="77904030" u="1"/>
        <n v="43511155" u="1"/>
        <n v="42160684" u="1"/>
        <n v="42639404" u="1"/>
        <n v="73246892" u="1"/>
        <n v="60218278" u="1"/>
        <n v="73029954" u="1"/>
        <n v="47045021" u="1"/>
        <n v="76851465" u="1"/>
        <n v="72637378" u="1"/>
        <n v="70088909" u="1"/>
        <n v="73646583" u="1"/>
        <n v="77125005" u="1"/>
        <n v="73249441" u="1"/>
        <n v="48380988" u="1"/>
        <n v="75308116" u="1"/>
        <n v="42963453" u="1"/>
        <n v="42780098" u="1"/>
        <n v="46187654" u="1"/>
        <n v="43159328" u="1"/>
        <n v="47390549" u="1"/>
        <n v="41737129" u="1"/>
        <n v="40602480" u="1"/>
        <n v="41783530" u="1"/>
        <n v="40822120" u="1"/>
        <n v="43247985" u="1"/>
        <n v="45023610" u="1"/>
        <n v="41059236" u="1"/>
        <n v="25559542" u="1"/>
        <n v="45197397" u="1"/>
        <n v="73213668" u="1"/>
        <n v="76586816" u="1"/>
        <n v="72776407" u="1"/>
        <n v="70447052" u="1"/>
        <n v="43121246" u="1"/>
        <n v="42119003" u="1"/>
        <n v="42112121" u="1"/>
        <n v="80086494" u="1"/>
        <n v="25838316" u="1"/>
        <n v="41601434" u="1"/>
        <n v="62380793" u="1"/>
        <n v="43829918" u="1"/>
        <n v="32298869" u="1"/>
        <n v="20063251" u="1"/>
        <n v="25743039" u="1"/>
        <n v="43331462" u="1"/>
        <n v="42065894" u="1"/>
        <n v="10714058" u="1"/>
        <n v="75495341" u="1"/>
        <n v="44719063" u="1"/>
        <n v="47088837" u="1"/>
        <n v="44491861" u="1"/>
        <n v="23525034" u="1"/>
        <n v="73440186" u="1"/>
        <n v="76316551" u="1"/>
        <n v="76661131" u="1"/>
        <n v="44489140" u="1"/>
        <n v="21289719" u="1"/>
        <n v="41145463" u="1"/>
        <n v="71845170" u="1"/>
        <n v="70910606" u="1"/>
        <n v="70512592" u="1"/>
        <n v="72807417" u="1"/>
        <n v="43108266" u="1"/>
        <n v="43719297" u="1"/>
        <n v="43232997" u="1"/>
        <n v="40120494" u="1"/>
        <n v="46617232" u="1"/>
        <n v="44803357" u="1"/>
        <n v="44439885" u="1"/>
        <n v="41699122" u="1"/>
        <n v="73666312" u="1"/>
        <n v="75803421" u="1"/>
        <n v="43737554" u="1"/>
        <n v="44956316" u="1"/>
        <n v="46312206" u="1"/>
        <n v="42058581" u="1"/>
        <n v="41527593" u="1"/>
        <n v="40832473" u="1"/>
        <n v="77431882" u="1"/>
        <n v="47619347" u="1"/>
        <n v="74450656" u="1"/>
        <n v="48197140" u="1"/>
        <n v="70616705" u="1"/>
        <n v="73035792" u="1"/>
        <n v="47129183" u="1"/>
        <n v="42277019" u="1"/>
        <n v="45760468" u="1"/>
        <n v="46194513" u="1"/>
        <n v="45023631" u="1"/>
        <n v="42776508" u="1"/>
        <n v="44768802" u="1"/>
        <n v="41519398" u="1"/>
        <n v="47852400" u="1"/>
        <n v="25557831" u="1"/>
        <n v="76640178" u="1"/>
        <n v="45572635" u="1"/>
        <n v="70507904" u="1"/>
        <n v="70501501" u="1"/>
        <n v="46173100" u="1"/>
        <n v="75464565" u="1"/>
        <n v="76830640" u="1"/>
        <n v="70331935" u="1"/>
        <n v="45848458" u="1"/>
        <n v="44551875" u="1"/>
        <n v="44806577" u="1"/>
        <n v="47367225" u="1"/>
        <n v="45400501" u="1"/>
        <n v="25713659" u="1"/>
        <n v="10217747" u="1"/>
        <n v="32658215" u="1"/>
        <n v="48194949" u="1"/>
        <n v="44488045" u="1"/>
        <n v="73182601" u="1"/>
        <n v="74923747" u="1"/>
        <n v="47012215" u="1"/>
        <n v="40112130" u="1"/>
        <n v="43882842" u="1"/>
        <n v="43793217" u="1"/>
        <n v="42084649" u="1"/>
        <n v="41142614" u="1"/>
        <n v="32404634" u="1"/>
        <n v="10487671" u="1"/>
        <n v="22483155" u="1"/>
        <n v="27543373" u="1"/>
        <n v="45400847" u="1"/>
        <n v="76433377" u="1"/>
        <n v="71598893" u="1"/>
        <n v="77124842" u="1"/>
        <n v="42188572" u="1"/>
        <n v="46887499" u="1"/>
        <n v="46674156" u="1"/>
        <n v="44036486" u="1"/>
        <n v="71658321" u="1"/>
        <n v="41941747" u="1"/>
        <n v="10461629" u="1"/>
        <n v="40974409" u="1"/>
        <n v="28604273" u="1"/>
        <n v="10638217" u="1"/>
        <n v="25694457" u="1"/>
        <n v="10004410" u="1"/>
        <n v="77541773" u="1"/>
        <n v="77377515" u="1"/>
        <n v="76189508" u="1"/>
        <n v="74806752" u="1"/>
        <n v="48228695" u="1"/>
        <n v="71756534" u="1"/>
        <n v="70472475" u="1"/>
        <n v="74694941" u="1"/>
        <n v="71615152" u="1"/>
        <n v="60359698" u="1"/>
        <n v="73009393" u="1"/>
        <n v="45709345" u="1"/>
        <n v="70091730" u="1"/>
        <n v="44714449" u="1"/>
        <n v="46017387" u="1"/>
        <n v="43681882" u="1"/>
        <n v="47663600" u="1"/>
        <n v="47098844" u="1"/>
        <n v="10171546" u="1"/>
        <n v="41804716" u="1"/>
        <n v="41227413" u="1"/>
        <n v="40426812" u="1"/>
        <n v="15438746" u="1"/>
        <n v="40133178" u="1"/>
        <n v="10744401" u="1"/>
        <n v="10539070" u="1"/>
        <n v="10292469" u="1"/>
        <n v="40199221" u="1"/>
        <n v="71949014" u="1"/>
        <n v="70035686" u="1"/>
        <n v="75899866" u="1"/>
        <n v="42916981" u="1"/>
        <n v="10469755" u="1"/>
        <n v="10707760" u="1"/>
        <n v="43558594" u="1"/>
        <n v="45236943" u="1"/>
        <n v="72852578" u="1"/>
        <n v="74125040" u="1"/>
        <n v="45598877" u="1"/>
        <n v="46852388" u="1"/>
        <n v="40277792" u="1"/>
        <n v="40064445" u="1"/>
        <n v="44273185" u="1"/>
        <n v="10029009" u="1"/>
        <n v="47403031" u="1"/>
        <n v="47761084" u="1"/>
        <n v="23706730" u="1"/>
        <n v="71867925" u="1"/>
        <n v="43231627" u="1"/>
        <n v="45366511" u="1"/>
        <n v="22509692" u="1"/>
        <n v="46644645" u="1"/>
        <n v="75404644" u="1"/>
        <n v="74906348" u="1"/>
        <n v="71012951" u="1"/>
        <n v="41778214" u="1"/>
        <n v="45156064" u="1"/>
        <n v="72740218" u="1"/>
        <n v="72854141" u="1"/>
        <n v="74537845" u="1"/>
        <n v="74768851" u="1"/>
        <n v="46972223" u="1"/>
        <n v="47747510" u="1"/>
        <n v="48307340" u="1"/>
        <n v="45743924" u="1"/>
        <n v="47916962" u="1"/>
        <n v="41315411" u="1"/>
        <n v="41482112" u="1"/>
        <n v="75462543" u="1"/>
        <n v="47795008" u="1"/>
        <n v="47967355" u="1"/>
        <n v="76177496" u="1"/>
        <n v="71715553" u="1"/>
        <n v="42902265" u="1"/>
        <n v="42502008" u="1"/>
        <n v="45333527" u="1"/>
        <n v="46178548" u="1"/>
        <n v="46657457" u="1"/>
        <n v="40870996" u="1"/>
        <n v="10081195" u="1"/>
        <n v="9442641" u="1"/>
        <n v="75477665" u="1"/>
        <n v="76378469" u="1"/>
        <n v="75110783" u="1"/>
        <n v="47759550" u="1"/>
        <n v="61836367" u="1"/>
        <n v="70089694" u="1"/>
        <n v="42911759" u="1"/>
        <n v="40275710" u="1"/>
        <n v="77129388" u="1"/>
        <n v="75664716" u="1"/>
        <n v="71102865" u="1"/>
        <n v="72769348" u="1"/>
        <n v="74840377" u="1"/>
        <n v="46373731" u="1"/>
        <n v="44484296" u="1"/>
        <n v="70043594" u="1"/>
        <n v="43142009" u="1"/>
        <n v="43499356" u="1"/>
        <n v="42419575" u="1"/>
        <n v="46787964" u="1"/>
        <n v="43556311" u="1"/>
        <n v="43982808" u="1"/>
        <n v="45580986" u="1"/>
        <n v="43374139" u="1"/>
        <n v="45880338" u="1"/>
        <n v="41320052" u="1"/>
        <n v="40964721" u="1"/>
        <n v="41637109" u="1"/>
        <n v="41882757" u="1"/>
        <n v="40261382" u="1"/>
        <n v="25831073" u="1"/>
        <n v="10044767" u="1"/>
        <n v="25796483" u="1"/>
        <n v="25419858" u="1"/>
        <n v="15402513" u="1"/>
        <n v="77381638" u="1"/>
        <n v="45968619" u="1"/>
        <n v="10461420" u="1"/>
        <n v="71780550" u="1"/>
        <n v="71762256" u="1"/>
        <n v="73853033" u="1"/>
        <n v="75215838" u="1"/>
        <n v="42922090" u="1"/>
        <n v="77685495" u="1"/>
        <n v="75229154" u="1"/>
        <n v="77166554" u="1"/>
        <n v="72569321" u="1"/>
        <n v="73033176" u="1"/>
        <n v="72569323" u="1"/>
        <n v="76265365" u="1"/>
        <n v="74593461" u="1"/>
        <n v="74511419" u="1"/>
        <n v="74881216" u="1"/>
        <n v="73777790" u="1"/>
        <n v="70905847" u="1"/>
        <n v="47570377" u="1"/>
        <n v="71703359" u="1"/>
        <n v="75615769" u="1"/>
        <n v="47959003" u="1"/>
        <n v="73202720" u="1"/>
        <n v="73193114" u="1"/>
        <n v="73344755" u="1"/>
        <n v="76879755" u="1"/>
        <n v="72484419" u="1"/>
        <n v="76970487" u="1"/>
        <n v="76601317" u="1"/>
        <n v="72393940" u="1"/>
        <n v="48883244" u="1"/>
        <n v="76134837" u="1"/>
        <n v="70174532" u="1"/>
        <n v="70392050" u="1"/>
        <n v="70874351" u="1"/>
        <n v="48338723" u="1"/>
        <n v="75723673" u="1"/>
        <n v="75331071" u="1"/>
        <n v="73672160" u="1"/>
        <n v="72002707" u="1"/>
        <n v="48229466" u="1"/>
        <n v="72777233" u="1"/>
        <n v="76856892" u="1"/>
        <n v="77225731" u="1"/>
        <n v="76020197" u="1"/>
        <n v="72381475" u="1"/>
        <n v="73048556" u="1"/>
        <n v="47660540" u="1"/>
        <n v="48298586" u="1"/>
        <n v="48022378" u="1"/>
        <n v="76104674" u="1"/>
        <n v="81222450" u="1"/>
        <n v="61151120" u="1"/>
        <n v="47614940" u="1"/>
        <n v="76278897" u="1"/>
        <n v="74562064" u="1"/>
        <n v="71769243" u="1"/>
        <n v="70554607" u="1"/>
        <n v="48019001" u="1"/>
        <n v="47109368" u="1"/>
        <n v="48819054" u="1"/>
        <n v="42891300" u="1"/>
        <n v="42837982" u="1"/>
        <n v="45084874" u="1"/>
        <n v="42992566" u="1"/>
        <n v="46274261" u="1"/>
        <n v="46364334" u="1"/>
        <n v="46874695" u="1"/>
        <n v="46627877" u="1"/>
        <n v="46329142" u="1"/>
        <n v="46502888" u="1"/>
        <n v="42838075" u="1"/>
        <n v="44221851" u="1"/>
        <n v="42690447" u="1"/>
        <n v="45252189" u="1"/>
        <n v="42699530" u="1"/>
        <n v="46460998" u="1"/>
        <n v="42689690" u="1"/>
        <n v="46454270" u="1"/>
        <n v="72451238" u="1"/>
        <n v="42940581" u="1"/>
        <n v="70886994" u="1"/>
        <n v="45880901" u="1"/>
        <n v="43827934" u="1"/>
        <n v="47581140" u="1"/>
        <n v="70977937" u="1"/>
        <n v="45324089" u="1"/>
        <n v="44341330" u="1"/>
        <n v="45026866" u="1"/>
        <n v="44141845" u="1"/>
        <n v="43769231" u="1"/>
        <n v="44064481" u="1"/>
        <n v="46168313" u="1"/>
        <n v="43521705" u="1"/>
        <n v="24372307" u="1"/>
        <n v="46134173" u="1"/>
        <n v="46210808" u="1"/>
        <n v="42699338" u="1"/>
        <n v="45112345" u="1"/>
        <n v="71667529" u="1"/>
        <n v="42228901" u="1"/>
        <n v="47033743" u="1"/>
        <n v="45949314" u="1"/>
        <n v="47287145" u="1"/>
        <n v="45036210" u="1"/>
        <n v="43034841" u="1"/>
        <n v="42407070" u="1"/>
        <n v="44131567" u="1"/>
        <n v="46543962" u="1"/>
        <n v="42966376" u="1"/>
        <n v="47265594" u="1"/>
        <n v="45627673" u="1"/>
        <n v="45937288" u="1"/>
        <n v="46109465" u="1"/>
        <n v="41419695" u="1"/>
        <n v="18147540" u="1"/>
        <n v="41389474" u="1"/>
        <n v="40474438" u="1"/>
        <n v="41879596" u="1"/>
        <n v="40171982" u="1"/>
        <n v="10625997" u="1"/>
        <n v="26961837" u="1"/>
        <n v="28318024" u="1"/>
        <n v="41758892" u="1"/>
        <n v="40186496" u="1"/>
        <n v="41696815" u="1"/>
        <n v="40212175" u="1"/>
        <n v="10036139" u="1"/>
        <n v="44490188" u="1"/>
        <n v="10230034" u="1"/>
        <n v="41135320" u="1"/>
        <n v="48365063" u="1"/>
        <n v="80638756" u="1"/>
        <n v="10215967" u="1"/>
        <n v="41335381" u="1"/>
        <n v="40584047" u="1"/>
        <n v="43986124" u="1"/>
        <n v="41570144" u="1"/>
        <n v="10198354" u="1"/>
        <n v="40024912" u="1"/>
        <n v="10776868" u="1"/>
        <n v="40401869" u="1"/>
        <n v="9692392" u="1"/>
        <n v="18856641" u="1"/>
        <n v="10115281" u="1"/>
        <n v="10171509" u="1"/>
        <n v="10365155" u="1"/>
        <n v="20584840" u="1"/>
        <n v="20714350" u="1"/>
        <n v="10095384" u="1"/>
        <n v="16176049" u="1"/>
        <n v="10521282" u="1"/>
        <n v="10089190" u="1"/>
        <n v="24372306" u="1"/>
        <n v="10460109" u="1"/>
        <n v="10021480" u="1"/>
        <n v="15668915" u="1"/>
        <n v="73076395" u="1"/>
        <n v="46218832" u="1"/>
        <n v="71870691" u="1"/>
        <n v="42503491" u="1"/>
        <n v="43740947" u="1"/>
        <n v="70783843" u="1"/>
        <n v="76020191" u="1"/>
        <n v="44740076" u="1"/>
        <n v="40681046" u="1"/>
        <n v="16446890" u="1"/>
        <n v="43991212" u="1"/>
        <n v="70398544" u="1"/>
        <n v="74837640" u="1"/>
        <n v="70598670" u="1"/>
        <n v="81694169" u="1"/>
        <n v="76640603" u="1"/>
        <n v="76912261" u="1"/>
        <n v="60101334" u="1"/>
        <n v="73515183" u="1"/>
        <n v="70744952" u="1"/>
        <n v="71393223" u="1"/>
        <n v="71218943" u="1"/>
        <n v="46373738" u="1"/>
        <n v="78106961" u="1"/>
        <n v="47615507" u="1"/>
        <n v="74945213" u="1"/>
        <n v="47273226" u="1"/>
        <n v="73707114" u="1"/>
        <n v="70349916" u="1"/>
        <n v="48174186" u="1"/>
        <n v="71410835" u="1"/>
        <n v="71063573" u="1"/>
        <n v="73669384" u="1"/>
        <n v="71465673" u="1"/>
        <n v="75610892" u="1"/>
        <n v="71387112" u="1"/>
        <n v="47662697" u="1"/>
        <n v="48096087" u="1"/>
        <n v="71160769" u="1"/>
        <n v="76430084" u="1"/>
        <n v="70104941" u="1"/>
        <n v="77133052" u="1"/>
        <n v="72029086" u="1"/>
        <n v="62495917" u="1"/>
        <n v="48537437" u="1"/>
        <n v="75651612" u="1"/>
        <n v="70354491" u="1"/>
        <n v="75436457" u="1"/>
        <n v="71252036" u="1"/>
        <n v="47968170" u="1"/>
        <n v="71374184" u="1"/>
        <n v="72417271" u="1"/>
        <n v="75298992" u="1"/>
        <n v="74400350" u="1"/>
        <n v="74952154" u="1"/>
        <n v="46373732" u="1"/>
        <n v="46373733" u="1"/>
        <n v="46373734" u="1"/>
        <n v="46373735" u="1"/>
        <n v="43848077" u="1"/>
        <n v="44803407" u="1"/>
        <n v="44422824" u="1"/>
        <n v="47258208" u="1"/>
        <n v="45640285" u="1"/>
        <n v="44105906" u="1"/>
        <n v="43732957" u="1"/>
        <n v="46299734" u="1"/>
        <n v="46909953" u="1"/>
        <n v="45631373" u="1"/>
        <n v="46266567" u="1"/>
        <n v="46636923" u="1"/>
        <n v="47206181" u="1"/>
        <n v="43752699" u="1"/>
        <n v="45201894" u="1"/>
        <n v="44653180" u="1"/>
        <n v="46887964" u="1"/>
        <n v="45085514" u="1"/>
        <n v="46760762" u="1"/>
        <n v="48154857" u="1"/>
        <n v="43779961" u="1"/>
        <n v="43793560" u="1"/>
        <n v="70025289" u="1"/>
        <n v="43180878" u="1"/>
        <n v="45015142" u="1"/>
        <n v="46290087" u="1"/>
        <n v="44667971" u="1"/>
        <n v="42356283" u="1"/>
        <n v="45614048" u="1"/>
        <n v="72437227" u="1"/>
        <n v="44788201" u="1"/>
        <n v="42094563" u="1"/>
        <n v="43819686" u="1"/>
        <n v="44132534" u="1"/>
        <n v="47426112" u="1"/>
        <n v="44901289" u="1"/>
        <n v="71900839" u="1"/>
        <n v="46167138" u="1"/>
        <n v="45795063" u="1"/>
        <n v="46354980" u="1"/>
        <n v="44235101" u="1"/>
        <n v="42961220" u="1"/>
        <n v="44139339" u="1"/>
        <n v="42120505" u="1"/>
        <n v="46879698" u="1"/>
        <n v="44333913" u="1"/>
        <n v="44598049" u="1"/>
        <n v="72931260" u="1"/>
        <n v="46373736" u="1"/>
        <n v="46373737" u="1"/>
        <n v="18196963" u="1"/>
        <n v="41431611" u="1"/>
        <n v="8889478" u="1"/>
        <n v="32958045" u="1"/>
        <n v="40103293" u="1"/>
        <n v="10302000" u="1"/>
        <n v="20999701" u="1"/>
        <n v="41682084" u="1"/>
        <n v="40716076" u="1"/>
        <n v="40787216" u="1"/>
        <n v="42695238" u="1"/>
        <n v="10751372" u="1"/>
        <n v="10660713" u="1"/>
        <n v="43013253" u="1"/>
        <n v="10181180" u="1"/>
        <n v="41374917" u="1"/>
        <n v="10256958" u="1"/>
        <n v="41464025" u="1"/>
        <n v="41933990" u="1"/>
        <n v="45358252" u="1"/>
        <n v="25855598" u="1"/>
        <n v="42891489" u="1"/>
        <n v="45709264" u="1"/>
        <n v="10602494" u="1"/>
        <n v="10721459" u="1"/>
        <n v="9983542" u="1"/>
        <n v="42432441" u="1"/>
        <n v="40568635" u="1"/>
        <n v="10790094" u="1"/>
        <n v="23394618" u="1"/>
        <n v="41729700" u="1"/>
        <n v="80036426" u="1"/>
        <n v="41986948" u="1"/>
        <n v="41217889" u="1"/>
        <n v="43065247" u="1"/>
        <n v="43681078" u="1"/>
        <n v="41863724" u="1"/>
        <n v="41640962" u="1"/>
        <n v="10748175" u="1"/>
        <n v="42820522" u="1"/>
        <n v="41963059" u="1"/>
        <n v="10860468" u="1"/>
        <n v="40891752" u="1"/>
        <n v="20022122" u="1"/>
        <n v="86664097" u="1"/>
        <n v="30413394" u="1"/>
        <n v="10658494" u="1"/>
        <n v="17430354" u="1"/>
        <n v="10416244" u="1"/>
        <n v="20056941" u="1"/>
        <n v="80209786" u="1"/>
        <n v="46585367" u="1"/>
        <n v="45608983" u="1"/>
        <n v="42577292" u="1"/>
        <n v="70989777" u="1"/>
        <n v="44394892" u="1"/>
        <n v="77225546" u="1"/>
        <n v="74837421" u="1"/>
        <n v="70451621" u="1"/>
        <n v="47123193" u="1"/>
        <n v="43179929" u="1"/>
        <n v="46737131" u="1"/>
        <n v="76856544" u="1"/>
        <n v="44853996" u="1"/>
        <n v="72742425" u="1"/>
        <n v="10309978" u="1"/>
        <n v="40942406" u="1"/>
        <n v="47401866" u="1"/>
        <n v="73138052" u="1"/>
        <n v="77378433" u="1"/>
        <n v="70724144" u="1"/>
        <n v="73138055" u="1"/>
        <n v="60429478" u="1"/>
        <n v="74759892" u="1"/>
        <n v="75225934" u="1"/>
        <n v="71745932" u="1"/>
        <n v="71943109" u="1"/>
        <n v="72016469" u="1"/>
        <n v="74886453" u="1"/>
        <n v="76093194" u="1"/>
        <n v="72410824" u="1"/>
        <n v="71918207" u="1"/>
        <n v="73227471" u="1"/>
        <n v="73980877" u="1"/>
        <n v="77044201" u="1"/>
        <n v="48570609" u="1"/>
        <n v="47297626" u="1"/>
        <n v="76246009" u="1"/>
        <n v="74892654" u="1"/>
        <n v="73081797" u="1"/>
        <n v="75367311" u="1"/>
        <n v="48421539" u="1"/>
        <n v="72149622" u="1"/>
        <n v="73672117" u="1"/>
        <n v="70207342" u="1"/>
        <n v="72719096" u="1"/>
        <n v="73037655" u="1"/>
        <n v="73759593" u="1"/>
        <n v="76616248" u="1"/>
        <n v="71797389" u="1"/>
        <n v="72723288" u="1"/>
        <n v="75414285" u="1"/>
        <n v="76063698" u="1"/>
        <n v="71269726" u="1"/>
        <n v="74720129" u="1"/>
        <n v="72870903" u="1"/>
        <n v="72614283" u="1"/>
        <n v="77384296" u="1"/>
        <n v="70339586" u="1"/>
        <n v="71957785" u="1"/>
        <n v="73199235" u="1"/>
        <n v="47832141" u="1"/>
        <n v="73223062" u="1"/>
        <n v="47661424" u="1"/>
        <n v="73587093" u="1"/>
        <n v="75559494" u="1"/>
        <n v="48647079" u="1"/>
        <n v="48467250" u="1"/>
        <n v="73664987" u="1"/>
        <n v="71756039" u="1"/>
        <n v="73486431" u="1"/>
        <n v="73989581" u="1"/>
        <n v="75683728" u="1"/>
        <n v="71352198" u="1"/>
        <n v="74548481" u="1"/>
        <n v="46368302" u="1"/>
        <n v="44748120" u="1"/>
        <n v="46440553" u="1"/>
        <n v="46509035" u="1"/>
        <n v="46418077" u="1"/>
        <n v="42871286" u="1"/>
        <n v="46902545" u="1"/>
        <n v="47555167" u="1"/>
        <n v="45614019" u="1"/>
        <n v="71551436" u="1"/>
        <n v="43932778" u="1"/>
        <n v="40746057" u="1"/>
        <n v="44528963" u="1"/>
        <n v="47038136" u="1"/>
        <n v="46688430" u="1"/>
        <n v="47482263" u="1"/>
        <n v="46208757" u="1"/>
        <n v="42242617" u="1"/>
        <n v="45619971" u="1"/>
        <n v="46772225" u="1"/>
        <n v="44675011" u="1"/>
        <n v="43821452" u="1"/>
        <n v="44675759" u="1"/>
        <n v="44374344" u="1"/>
        <n v="44282161" u="1"/>
        <n v="42072911" u="1"/>
        <n v="48667772" u="1"/>
        <n v="43079926" u="1"/>
        <n v="47431284" u="1"/>
        <n v="44447389" u="1"/>
        <n v="44255312" u="1"/>
        <n v="44421402" u="1"/>
        <n v="44466930" u="1"/>
        <n v="42622320" u="1"/>
        <n v="73054235" u="1"/>
        <n v="42836665" u="1"/>
        <n v="44955516" u="1"/>
        <n v="47084397" u="1"/>
        <n v="48461772" u="1"/>
        <n v="46795972" u="1"/>
        <n v="46497836" u="1"/>
        <n v="46295190" u="1"/>
        <n v="44974548" u="1"/>
        <n v="40768961" u="1"/>
        <n v="10229480" u="1"/>
        <n v="42379145" u="1"/>
        <n v="15438121" u="1"/>
        <n v="10755096" u="1"/>
        <n v="42183083" u="1"/>
        <n v="40584762" u="1"/>
        <n v="41444367" u="1"/>
        <n v="10335321" u="1"/>
        <n v="10653353" u="1"/>
        <n v="40190145" u="1"/>
        <n v="41828795" u="1"/>
        <n v="42325163" u="1"/>
        <n v="40945585" u="1"/>
        <n v="40671174" u="1"/>
        <n v="80121515" u="1"/>
        <n v="40656985" u="1"/>
        <n v="41526656" u="1"/>
        <n v="16740583" u="1"/>
        <n v="44215438" u="1"/>
        <n v="33674024" u="1"/>
        <n v="10432191" u="1"/>
        <n v="31667625" u="1"/>
        <n v="42497402" u="1"/>
        <n v="25713756" u="1"/>
        <n v="9918526" u="1"/>
        <n v="40346553" u="1"/>
        <n v="18153362" u="1"/>
        <n v="8483594" u="1"/>
        <n v="8144887" u="1"/>
        <n v="6312904" u="1"/>
        <n v="45610544" u="1"/>
        <n v="10113305" u="1"/>
        <n v="75629874" u="1"/>
        <n v="42412699" u="1"/>
        <n v="46307127" u="1"/>
        <n v="41999844" u="1"/>
        <n v="80007452" u="1"/>
        <n v="47580955" u="1"/>
        <n v="43143264" u="1"/>
        <n v="10293430" u="1"/>
        <n v="72387434" u="1"/>
        <n v="43609140" u="1"/>
        <n v="44123628" u="1"/>
        <n v="47911446" u="1"/>
        <n v="75973128" u="1"/>
        <n v="47958778" u="1"/>
        <n v="40824925" u="1"/>
        <n v="77235599" u="1"/>
        <n v="46425163" u="1"/>
        <n v="45921885" u="1"/>
        <n v="20114245" u="1"/>
        <n v="25621979" u="1"/>
        <n v="70578422" u="1"/>
        <n v="70809553" u="1"/>
        <n v="76279440" u="1"/>
        <n v="25709656" u="1"/>
        <n v="80017125" u="1"/>
        <n v="21535167" u="1"/>
        <n v="10259531" u="1"/>
        <n v="41811662" u="1"/>
        <n v="25791674" u="1"/>
        <n v="10354869" u="1"/>
        <n v="16703358" u="1"/>
        <n v="44255094" u="1"/>
        <n v="25843508" u="1"/>
        <n v="44504720" u="1"/>
        <n v="10365177" u="1"/>
        <n v="40308201" u="1"/>
        <n v="41386388" u="1"/>
        <n v="25766905" u="1"/>
        <n v="40481094" u="1"/>
        <n v="10098231" u="1"/>
        <n v="41566350" u="1"/>
        <n v="10236721" u="1"/>
        <n v="44760351" u="1"/>
        <n v="46150443" u="1"/>
        <n v="47027511" u="1"/>
        <n v="45592706" u="1"/>
        <n v="44508525" u="1"/>
        <n v="47583077" u="1"/>
        <n v="46144553" u="1"/>
        <n v="42226499" u="1"/>
        <n v="46636168" u="1"/>
        <n v="45423321" u="1"/>
        <n v="43685153" u="1"/>
        <n v="43688123" u="1"/>
        <n v="48725678" u="1"/>
        <n v="42354739" u="1"/>
        <n v="70267261" u="1"/>
        <n v="46244588" u="1"/>
        <n v="46810165" u="1"/>
        <n v="46018877" u="1"/>
        <n v="45860759" u="1"/>
        <n v="44971078" u="1"/>
        <n v="44312977" u="1"/>
        <n v="43226889" u="1"/>
        <n v="47073603" u="1"/>
        <n v="43691253" u="1"/>
        <n v="45052639" u="1"/>
        <n v="45698657" u="1"/>
        <n v="44358421" u="1"/>
        <n v="70766994" u="1"/>
        <n v="47362891" u="1"/>
        <n v="78106969" u="1"/>
        <n v="74152624" u="1"/>
        <n v="73074261" u="1"/>
        <n v="72642607" u="1"/>
        <n v="70842311" u="1"/>
        <n v="48298507" u="1"/>
        <n v="74356214" u="1"/>
        <n v="75505450" u="1"/>
        <n v="17442982" u="1"/>
        <n v="75718553" u="1"/>
        <n v="75757360" u="1"/>
        <n v="77424365" u="1"/>
        <n v="73322707" u="1"/>
        <n v="60542100" u="1"/>
        <n v="75524207" u="1"/>
        <n v="72301562" u="1"/>
        <n v="48623102" u="1"/>
        <n v="73711754" u="1"/>
        <n v="48667371" u="1"/>
        <n v="77145550" u="1"/>
        <n v="73323903" u="1"/>
        <n v="75871078" u="1"/>
        <n v="48171970" u="1"/>
        <n v="74755385" u="1"/>
        <n v="70350983" u="1"/>
        <n v="75856636" u="1"/>
        <n v="77913517" u="1"/>
        <n v="72014841" u="1"/>
        <n v="75462557" u="1"/>
        <n v="77167397" u="1"/>
        <n v="76396409" u="1"/>
        <n v="72318285" u="1"/>
        <n v="73373683" u="1"/>
        <n v="74420472" u="1"/>
        <n v="70738213" u="1"/>
        <n v="71052523" u="1"/>
        <n v="75226215" u="1"/>
        <n v="74844679" u="1"/>
        <n v="75319710" u="1"/>
        <n v="44638411" u="1"/>
        <n v="41876311" u="1"/>
        <n v="40236085" u="1"/>
        <n v="10122143" u="1"/>
        <n v="47883052" u="1"/>
        <n v="41675359" u="1"/>
        <n v="76262691" u="1"/>
        <n v="47709674" u="1"/>
        <n v="47672799" u="1"/>
        <n v="76145687" u="1"/>
        <n v="46442190" u="1"/>
        <n v="47708774" u="1"/>
        <n v="63104572" u="1"/>
        <n v="61212198" u="1"/>
        <n v="78633671" u="1"/>
        <n v="48355703" u="1"/>
        <n v="74262999" u="1"/>
        <n v="72100392" u="1"/>
        <n v="75910203" u="1"/>
        <n v="43619351" u="1"/>
        <n v="43159115" u="1"/>
        <n v="41884256" u="1"/>
        <n v="42164267" u="1"/>
        <n v="45640750" u="1"/>
        <n v="71284190" u="1"/>
        <n v="43888223" u="1"/>
        <n v="46883284" u="1"/>
        <n v="46439813" u="1"/>
        <n v="45636868" u="1"/>
        <n v="40782094" u="1"/>
        <n v="10618738" u="1"/>
        <n v="41135816" u="1"/>
        <n v="41124010" u="1"/>
        <n v="40780043" u="1"/>
        <n v="40834944" u="1"/>
        <n v="40390771" u="1"/>
        <n v="27544607" u="1"/>
        <n v="43896914" u="1"/>
        <n v="42432598" u="1"/>
        <n v="16156041" u="1"/>
        <n v="29153611" u="1"/>
        <n v="77081515" u="1"/>
        <n v="70939303" u="1"/>
        <n v="47667375" u="1"/>
        <n v="47036858" u="1"/>
        <n v="42819862" u="1"/>
        <n v="42893132" u="1"/>
        <n v="29724026" u="1"/>
        <n v="40349115" u="1"/>
        <n v="42873683" u="1"/>
        <n v="43112936" u="1"/>
        <n v="27721322" u="1"/>
        <n v="70912474" u="1"/>
        <n v="43789552" u="1"/>
        <n v="70326677" u="1"/>
        <n v="76527785" u="1"/>
        <n v="75912375" u="1"/>
        <n v="48232218" u="1"/>
        <n v="72329030" u="1"/>
        <n v="45191311" u="1"/>
        <n v="43489214" u="1"/>
        <n v="42323191" u="1"/>
        <n v="40489940" u="1"/>
        <n v="10151099" u="1"/>
        <n v="70380511" u="1"/>
        <n v="43155973" u="1"/>
        <n v="45803288" u="1"/>
        <n v="42479272" u="1"/>
        <n v="10754500" u="1"/>
        <n v="45390867" u="1"/>
        <n v="17639343" u="1"/>
        <n v="41504978" u="1"/>
        <n v="46510482" u="1"/>
        <n v="75254478" u="1"/>
        <n v="70463104" u="1"/>
        <n v="43853598" u="1"/>
        <n v="46961069" u="1"/>
        <n v="45633047" u="1"/>
        <n v="78163455" u="1"/>
        <n v="45830164" u="1"/>
        <n v="41094237" u="1"/>
        <n v="71830977" u="1"/>
        <n v="25566783" u="1"/>
        <n v="10212844" u="1"/>
        <n v="43843578" u="1"/>
        <n v="40713739" u="1"/>
        <n v="74202719" u="1"/>
        <n v="74202718" u="1"/>
        <n v="46995195" u="1"/>
        <n v="47517093" u="1"/>
        <n v="46156337" u="1"/>
        <n v="47175909" u="1"/>
        <n v="43699415" u="1"/>
        <n v="72173482" u="1"/>
        <n v="73222701" u="1"/>
        <n v="42793240" u="1"/>
        <n v="80133585" u="1"/>
        <n v="74998854" u="1"/>
        <n v="77456984" u="1"/>
        <n v="70450214" u="1"/>
        <n v="72258211" u="1"/>
        <n v="63284391" u="1"/>
        <n v="46927800" u="1"/>
        <n v="257233" u="1"/>
        <n v="10044370" u="1"/>
        <n v="8981315" u="1"/>
        <n v="40466910" u="1"/>
        <n v="75174456" u="1"/>
        <n v="71710417" u="1"/>
        <n v="70805647" u="1"/>
        <n v="75274075" u="1"/>
        <n v="75860939" u="1"/>
        <n v="74538384" u="1"/>
        <n v="46605703" u="1"/>
        <n v="43710890" u="1"/>
        <n v="47368002" u="1"/>
        <n v="72090506" u="1"/>
        <n v="46950020" u="1"/>
        <n v="73481959" u="1"/>
        <n v="72852309" u="1"/>
        <n v="62774458" u="1"/>
        <n v="71337104" u="1"/>
        <n v="74442795" u="1"/>
        <n v="73236959" u="1"/>
        <n v="73965451" u="1"/>
        <n v="75587987" u="1"/>
        <n v="70654612" u="1"/>
        <n v="77537290" u="1"/>
        <n v="75693175" u="1"/>
        <n v="70404480" u="1"/>
        <n v="72510121" u="1"/>
        <n v="72813352" u="1"/>
        <n v="48754633" u="1"/>
        <n v="70904039" u="1"/>
        <n v="76435337" u="1"/>
        <n v="75495694" u="1"/>
        <n v="77251929" u="1"/>
        <n v="76403776" u="1"/>
        <n v="48347390" u="1"/>
        <n v="70524010" u="1"/>
        <n v="45269241" u="1"/>
        <n v="71492214" u="1"/>
        <n v="70447053" u="1"/>
        <n v="47939282" u="1"/>
        <n v="72609627" u="1"/>
        <n v="70146470" u="1"/>
        <n v="47975583" u="1"/>
        <n v="46920283" u="1"/>
        <n v="47367296" u="1"/>
        <n v="47317824" u="1"/>
        <n v="46989289" u="1"/>
        <n v="47013893" u="1"/>
        <n v="47051514" u="1"/>
        <n v="46282976" u="1"/>
        <n v="46613048" u="1"/>
        <n v="46432751" u="1"/>
        <n v="46601864" u="1"/>
        <n v="70116739" u="1"/>
        <n v="45115988" u="1"/>
        <n v="45514450" u="1"/>
        <n v="46262111" u="1"/>
        <n v="45609517" u="1"/>
        <n v="44459401" u="1"/>
        <n v="44306754" u="1"/>
        <n v="45025509" u="1"/>
        <n v="45202982" u="1"/>
        <n v="44270992" u="1"/>
        <n v="43800083" u="1"/>
        <n v="43191450" u="1"/>
        <n v="43175229" u="1"/>
        <n v="42414108" u="1"/>
        <n v="42460828" u="1"/>
        <n v="42718269" u="1"/>
        <n v="43929804" u="1"/>
        <n v="42087629" u="1"/>
        <n v="42633381" u="1"/>
        <n v="42696882" u="1"/>
        <n v="40777363" u="1"/>
        <n v="40489255" u="1"/>
        <n v="43823880" u="1"/>
        <n v="10729594" u="1"/>
        <n v="42566996" u="1"/>
        <n v="10862775" u="1"/>
        <n v="40172013" u="1"/>
        <n v="25831999" u="1"/>
        <n v="45505841" u="1"/>
        <n v="10381055" u="1"/>
        <n v="46920456" u="1"/>
        <n v="27498667" u="1"/>
        <n v="10331009" u="1"/>
        <n v="44359029" u="1"/>
        <n v="25560433" u="1"/>
        <n v="10412169" u="1"/>
        <n v="25414513" u="1"/>
        <n v="25548202" u="1"/>
        <n v="43062518" u="1"/>
        <n v="48799326" u="1"/>
        <n v="41097850" u="1"/>
        <n v="42039851" u="1"/>
        <n v="75260887" u="1"/>
        <n v="73070611" u="1"/>
        <n v="77809799" u="1"/>
        <n v="73778588" u="1"/>
        <n v="75715313" u="1"/>
        <n v="71576125" u="1"/>
        <n v="71576127" u="1"/>
        <n v="70916543" u="1"/>
        <n v="73506547" u="1"/>
        <n v="71751682" u="1"/>
        <n v="77531140" u="1"/>
        <n v="70976128" u="1"/>
        <n v="62471856" u="1"/>
        <n v="77802426" u="1"/>
        <n v="70113667" u="1"/>
        <n v="74560069" u="1"/>
        <n v="76152668" u="1"/>
        <n v="72421415" u="1"/>
        <n v="70599404" u="1"/>
        <n v="60651854" u="1"/>
        <n v="75377829" u="1"/>
        <n v="60245961" u="1"/>
        <n v="70814627" u="1"/>
        <n v="75861959" u="1"/>
        <n v="71401816" u="1"/>
        <n v="76130940" u="1"/>
        <n v="74849336" u="1"/>
        <n v="72899727" u="1"/>
        <n v="75858150" u="1"/>
        <n v="72850064" u="1"/>
        <n v="75464886" u="1"/>
        <n v="49006806" u="1"/>
        <n v="73968547" u="1"/>
        <n v="76291553" u="1"/>
        <n v="76616129" u="1"/>
        <n v="74503368" u="1"/>
        <n v="71101987" u="1"/>
        <n v="75824700" u="1"/>
        <n v="74408193" u="1"/>
        <n v="74399401" u="1"/>
        <n v="75468315" u="1"/>
        <n v="75242051" u="1"/>
        <n v="77415711" u="1"/>
        <n v="62334242" u="1"/>
        <n v="73333870" u="1"/>
        <n v="72477956" u="1"/>
        <n v="74299967" u="1"/>
        <n v="75571200" u="1"/>
        <n v="77380120" u="1"/>
        <n v="73113252" u="1"/>
        <n v="71444161" u="1"/>
        <n v="75957953" u="1"/>
        <n v="76791493" u="1"/>
        <n v="70179040" u="1"/>
        <n v="75152013" u="1"/>
        <n v="77277091" u="1"/>
        <n v="75171208" u="1"/>
        <n v="75408237" u="1"/>
        <n v="76934920" u="1"/>
        <n v="70104550" u="1"/>
        <n v="75229366" u="1"/>
        <n v="75481529" u="1"/>
        <n v="74751594" u="1"/>
        <n v="77626372" u="1"/>
        <n v="77343391" u="1"/>
        <n v="72679609" u="1"/>
        <n v="72678852" u="1"/>
        <n v="62521831" u="1"/>
        <n v="75439137" u="1"/>
        <n v="76601243" u="1"/>
        <n v="76271015" u="1"/>
        <n v="75764604" u="1"/>
        <n v="74593426" u="1"/>
        <n v="72305732" u="1"/>
        <n v="70542843" u="1"/>
        <n v="70887288" u="1"/>
        <n v="74136542" u="1"/>
        <n v="73749055" u="1"/>
        <n v="70363148" u="1"/>
        <n v="48597333" u="1"/>
        <n v="72972381" u="1"/>
        <n v="70164692" u="1"/>
        <n v="42392355" u="1"/>
        <n v="48194591" u="1"/>
        <n v="48055933" u="1"/>
        <n v="48138362" u="1"/>
        <n v="47806077" u="1"/>
        <n v="71905057" u="1"/>
        <n v="47206715" u="1"/>
        <n v="70397865" u="1"/>
        <n v="47290100" u="1"/>
        <n v="70869459" u="1"/>
        <n v="47425638" u="1"/>
        <n v="47343199" u="1"/>
        <n v="71550171" u="1"/>
        <n v="72771550" u="1"/>
        <n v="47332981" u="1"/>
        <n v="49003892" u="1"/>
        <n v="61133339" u="1"/>
        <n v="47632582" u="1"/>
        <n v="47897215" u="1"/>
        <n v="47162433" u="1"/>
        <n v="47055941" u="1"/>
        <n v="47589314" u="1"/>
        <n v="46763817" u="1"/>
        <n v="70827254" u="1"/>
        <n v="46420259" u="1"/>
        <n v="46671591" u="1"/>
        <n v="46654475" u="1"/>
        <n v="61340654" u="1"/>
        <n v="46400191" u="1"/>
        <n v="46616204" u="1"/>
        <n v="46878689" u="1"/>
        <n v="46261496" u="1"/>
        <n v="46415264" u="1"/>
        <n v="47022335" u="1"/>
        <n v="45862851" u="1"/>
        <n v="46163984" u="1"/>
        <n v="45603539" u="1"/>
        <n v="46290115" u="1"/>
        <n v="46161627" u="1"/>
        <n v="45859342" u="1"/>
        <n v="45898721" u="1"/>
        <n v="72310620" u="1"/>
        <n v="46085761" u="1"/>
        <n v="46286123" u="1"/>
        <n v="47342952" u="1"/>
        <n v="45600941" u="1"/>
        <n v="70284797" u="1"/>
        <n v="45508327" u="1"/>
        <n v="46007143" u="1"/>
        <n v="45116768" u="1"/>
        <n v="46338508" u="1"/>
        <n v="41663472" u="1"/>
        <n v="46700851" u="1"/>
        <n v="45396960" u="1"/>
        <n v="45129278" u="1"/>
        <n v="45672347" u="1"/>
        <n v="45307046" u="1"/>
        <n v="70112625" u="1"/>
        <n v="44960400" u="1"/>
        <n v="44422275" u="1"/>
        <n v="44947169" u="1"/>
        <n v="44849646" u="1"/>
        <n v="44284837" u="1"/>
        <n v="43834963" u="1"/>
        <n v="43527259" u="1"/>
        <n v="43528333" u="1"/>
        <n v="70100625" u="1"/>
        <n v="43765043" u="1"/>
        <n v="43896344" u="1"/>
        <n v="43086798" u="1"/>
        <n v="43866059" u="1"/>
        <n v="43184340" u="1"/>
        <n v="42994247" u="1"/>
        <n v="43210363" u="1"/>
        <n v="43627520" u="1"/>
        <n v="42746879" u="1"/>
        <n v="44600179" u="1"/>
        <n v="42712425" u="1"/>
        <n v="43078726" u="1"/>
        <n v="42716860" u="1"/>
        <n v="41049471" u="1"/>
        <n v="42534869" u="1"/>
        <n v="42588391" u="1"/>
        <n v="10815501" u="1"/>
        <n v="42618372" u="1"/>
        <n v="42149050" u="1"/>
        <n v="3996975" u="1"/>
        <n v="42587370" u="1"/>
        <n v="42656990" u="1"/>
        <n v="42057214" u="1"/>
        <n v="42164313" u="1"/>
        <n v="42125954" u="1"/>
        <n v="42206444" u="1"/>
        <n v="42218360" u="1"/>
        <n v="41543914" u="1"/>
        <n v="49010158" u="1"/>
        <n v="42490474" u="1"/>
        <n v="41255928" u="1"/>
        <n v="42348052" u="1"/>
        <n v="41202952" u="1"/>
        <n v="42836201" u="1"/>
        <n v="41140054" u="1"/>
        <n v="44062812" u="1"/>
        <n v="41436370" u="1"/>
        <n v="42261643" u="1"/>
        <n v="41895470" u="1"/>
        <n v="41401357" u="1"/>
        <n v="41603591" u="1"/>
        <n v="80539206" u="1"/>
        <n v="41798369" u="1"/>
        <n v="41186098" u="1"/>
        <n v="42801556" u="1"/>
        <n v="41316047" u="1"/>
        <n v="41439672" u="1"/>
        <n v="40659658" u="1"/>
        <n v="40603828" u="1"/>
        <n v="40579006" u="1"/>
        <n v="42762207" u="1"/>
        <n v="42758068" u="1"/>
        <n v="41501268" u="1"/>
        <n v="41564172" u="1"/>
        <n v="40577768" u="1"/>
        <n v="40879901" u="1"/>
        <n v="40459899" u="1"/>
        <n v="40629283" u="1"/>
        <n v="40126541" u="1"/>
        <n v="40549832" u="1"/>
        <n v="40384184" u="1"/>
        <n v="40430091" u="1"/>
        <n v="40236620" u="1"/>
        <n v="80275681" u="1"/>
        <n v="40188879" u="1"/>
        <n v="41178172" u="1"/>
        <n v="40363583" u="1"/>
        <n v="49016772" u="1"/>
        <n v="10677240" u="1"/>
        <n v="10817673" u="1"/>
        <n v="40132790" u="1"/>
        <n v="41177946" u="1"/>
        <n v="40198558" u="1"/>
        <n v="10880281" u="1"/>
        <n v="17641809" u="1"/>
        <n v="40068574" u="1"/>
        <n v="40006285" u="1"/>
        <n v="40194863" u="1"/>
        <n v="7526404" u="1"/>
        <n v="80395498" u="1"/>
        <n v="19331530" u="1"/>
        <n v="40039337" u="1"/>
        <n v="32984517" u="1"/>
        <n v="40078182" u="1"/>
        <n v="40137543" u="1"/>
        <n v="10585248" u="1"/>
        <n v="10469157" u="1"/>
        <n v="40336988" u="1"/>
        <n v="40365768" u="1"/>
        <n v="80194174" u="1"/>
        <n v="10626690" u="1"/>
        <n v="18222165" u="1"/>
        <n v="25849334" u="1"/>
        <n v="10489861" u="1"/>
        <n v="10217340" u="1"/>
        <n v="10487809" u="1"/>
        <n v="10325706" u="1"/>
        <n v="32291779" u="1"/>
        <n v="10514691" u="1"/>
        <n v="10723122" u="1"/>
        <n v="7498667" u="1"/>
        <n v="10247219" u="1"/>
        <n v="10524104" u="1"/>
        <n v="48210665" u="1"/>
        <n v="17637285" u="1"/>
        <n v="17443008" u="1"/>
        <n v="27750046" u="1"/>
        <n v="10021981" u="1"/>
        <n v="10153718" u="1"/>
        <n v="10111328" u="1"/>
        <n v="10106660" u="1"/>
        <n v="18185205" u="1"/>
        <n v="10526311" u="1"/>
        <n v="10274853" u="1"/>
        <n v="10014238" u="1"/>
        <n v="25805521" u="1"/>
        <n v="15365365" u="1"/>
        <n v="10189062" u="1"/>
        <n v="23272908" u="1"/>
        <n v="15714117" u="1"/>
        <n v="15369888" u="1"/>
        <n v="19068229" u="1"/>
        <n v="25816836" u="1"/>
        <n v="43456583" u="1"/>
        <n v="25511877" u="1"/>
        <n v="47889557" u="1"/>
        <n v="41289235" u="1"/>
        <n v="43489231" u="1"/>
        <n v="74767071" u="1"/>
        <n v="72844588" u="1"/>
        <n v="46588150" u="1"/>
        <n v="76361150" u="1"/>
        <n v="43553575" u="1"/>
        <n v="74931743" u="1"/>
        <n v="80540626" u="1"/>
        <n v="73391961" u="1"/>
        <n v="78673257" u="1"/>
        <n v="77494534" u="1"/>
        <n v="45310934" u="1"/>
        <n v="42336304" u="1"/>
        <n v="75678298" u="1"/>
        <n v="40716375" u="1"/>
        <n v="42729709" u="1"/>
        <n v="45229154" u="1"/>
        <n v="75680722" u="1"/>
        <n v="20033229" u="1"/>
        <n v="71552767" u="1"/>
        <n v="23262940" u="1"/>
        <n v="62095522" u="1"/>
        <n v="44444382" u="1"/>
        <n v="43435660" u="1"/>
        <n v="80051438" u="1"/>
        <n v="10102098" u="1"/>
        <n v="61391621" u="1"/>
        <n v="47408661" u="1"/>
        <n v="45278445" u="1"/>
        <n v="25614896" u="1"/>
        <n v="45496295" u="1"/>
        <n v="44553954" u="1"/>
        <n v="42870921" u="1"/>
        <n v="71212565" u="1"/>
        <n v="73750567" u="1"/>
        <n v="45467373" u="1"/>
        <n v="44764198" u="1"/>
        <n v="43802817" u="1"/>
        <n v="10549874" u="1"/>
        <n v="47169252" u="1"/>
        <n v="41898421" u="1"/>
        <n v="33802502" u="1"/>
        <n v="40731290" u="1"/>
        <n v="48506882" u="1"/>
        <n v="72949522" u="1"/>
        <n v="42579578" u="1"/>
        <n v="10517208" u="1"/>
        <n v="10014226" u="1"/>
        <n v="80320827" u="1"/>
        <n v="45232412" u="1"/>
        <n v="42323924" u="1"/>
        <n v="71781732" u="1"/>
        <n v="42693465" u="1"/>
        <n v="41583416" u="1"/>
        <n v="74902708" u="1"/>
        <n v="71488072" u="1"/>
        <n v="47445047" u="1"/>
        <n v="77095613" u="1"/>
        <n v="70993082" u="1"/>
        <n v="70918370" u="1"/>
        <n v="43039534" u="1"/>
        <n v="45389543" u="1"/>
        <n v="71441633" u="1"/>
        <n v="42174087" u="1"/>
        <n v="46137013" u="1"/>
        <n v="70143358" u="1"/>
        <n v="41231824" u="1"/>
        <n v="75589626" u="1"/>
        <n v="10235088" u="1"/>
        <n v="43008673" u="1"/>
        <n v="70768112" u="1"/>
        <n v="43681155" u="1"/>
        <n v="40600733" u="1"/>
        <n v="47195554" u="1"/>
        <n v="40038677" u="1"/>
        <n v="10600027" u="1"/>
        <n v="46539490" u="1"/>
        <n v="46343810" u="1"/>
        <n v="44608233" u="1"/>
        <n v="44993975" u="1"/>
        <n v="40133207" u="1"/>
        <n v="41180384" u="1"/>
        <n v="40939596" u="1"/>
        <n v="40130097" u="1"/>
        <n v="46361713" u="1"/>
        <n v="46959818" u="1"/>
        <n v="47554145" u="1"/>
        <n v="44901549" u="1"/>
        <n v="41005016" u="1"/>
        <n v="43094281" u="1"/>
        <n v="70504667" u="1"/>
        <n v="76776433" u="1"/>
        <n v="46375286" u="1"/>
        <n v="10741630" u="1"/>
        <n v="45242672" u="1"/>
        <n v="42640649" u="1"/>
        <n v="45286222" u="1"/>
        <n v="47853202" u="1"/>
        <n v="47947233" u="1"/>
        <n v="75630368" u="1"/>
        <n v="45979342" u="1"/>
        <n v="27526404" u="1"/>
        <n v="43996975" u="1"/>
        <n v="48121166" u="1"/>
        <n v="48583526" u="1"/>
        <n v="42868862" u="1"/>
        <n v="45267167" u="1"/>
        <n v="70832009" u="1"/>
        <n v="40256015" u="1"/>
        <n v="42995996" u="1"/>
        <n v="48071948" u="1"/>
        <n v="46407585" u="1"/>
        <n v="9187778" u="1"/>
        <n v="41526626" u="1"/>
        <n v="47091225" u="1"/>
        <n v="70976522" u="1"/>
        <n v="47148251" u="1"/>
        <n v="72497804" u="1"/>
        <n v="42799872" u="1"/>
        <n v="43836394" u="1"/>
        <n v="46802370" u="1"/>
        <n v="45295716" u="1"/>
        <n v="41259625" u="1"/>
        <n v="45518326" u="1"/>
        <n v="74653386" u="1"/>
        <n v="43740120" u="1"/>
        <n v="75952233" u="1"/>
        <n v="44507335" u="1"/>
        <n v="72203952" u="1"/>
        <n v="41512354" u="1"/>
        <n v="41178548" u="1"/>
        <n v="61686800" u="1"/>
        <n v="44474430" u="1"/>
        <n v="43497925" u="1"/>
        <n v="45944110" u="1"/>
        <n v="71499070" u="1"/>
        <n v="75603219" u="1"/>
        <n v="72359950" u="1"/>
        <n v="76578709" u="1"/>
        <n v="80087257" u="1"/>
        <n v="10347769" u="1"/>
        <n v="44362699" u="1"/>
        <n v="44510237" u="1"/>
        <n v="47882765" u="1"/>
        <n v="41270418" u="1"/>
        <n v="72032735" u="1"/>
        <n v="72932097" u="1"/>
        <n v="49041915" u="1"/>
        <n v="43880455" u="1"/>
        <n v="43867674" u="1"/>
        <n v="48233810" u="1"/>
        <n v="47767957" u="1"/>
        <n v="25866135" u="1"/>
        <n v="72232946" u="1"/>
        <n v="47146515" u="1"/>
        <n v="45813683" u="1"/>
        <n v="47796462" u="1"/>
        <n v="46717960" u="1"/>
        <n v="47074083" u="1"/>
        <n v="71465243" u="1"/>
        <n v="73249625" u="1"/>
        <n v="41855614" u="1"/>
        <n v="41613885" u="1"/>
        <n v="25816034" u="1"/>
        <n v="44385266" u="1"/>
        <n v="40599506" u="1"/>
        <n v="80035300" u="1"/>
        <n v="70024012" u="1"/>
        <n v="10121052" u="1"/>
        <n v="44912581" u="1"/>
        <n v="25767115" u="1"/>
        <n v="40537516" u="1"/>
        <n v="45453079" u="1"/>
        <n v="71344049" u="1"/>
        <n v="46876632" u="1"/>
        <n v="80132358" u="1"/>
        <n v="40037091" u="1"/>
        <n v="70924694" u="1"/>
        <n v="46793834" u="1"/>
        <n v="73366253" u="1"/>
        <n v="70555530" u="1"/>
        <n v="47692969" u="1"/>
        <n v="43709050" u="1"/>
        <n v="80792665" u="1"/>
        <n v="42710146" u="1"/>
        <n v="76242001" u="1"/>
        <n v="43890108" u="1"/>
        <n v="76242000" u="1"/>
        <n v="40553355" u="1"/>
        <n v="70196581" u="1"/>
        <n v="71379232" u="1"/>
        <n v="48128791" u="1"/>
        <n v="72041624" u="1"/>
        <n v="73266695" u="1"/>
        <n v="44769132" u="1"/>
        <n v="73852789" u="1"/>
        <n v="75467501" u="1"/>
        <n v="47765514" u="1"/>
        <n v="45425206" u="1"/>
        <n v="10252196" u="1"/>
        <n v="75750631" u="1"/>
        <n v="44506371" u="1"/>
        <n v="43009054" u="1"/>
        <n v="10249110" u="1"/>
        <n v="40978751" u="1"/>
        <n v="47755136" u="1"/>
        <n v="10526653" u="1"/>
        <n v="44171045" u="1"/>
        <n v="40743612" u="1"/>
        <n v="47445035" u="1"/>
        <n v="42749310" u="1"/>
        <n v="43619988" u="1"/>
        <n v="48247555" u="1"/>
        <n v="77376031" u="1"/>
        <n v="45219179" u="1"/>
        <n v="71342925" u="1"/>
        <n v="25428702" u="1"/>
        <n v="75498561" u="1"/>
        <n v="41308509" u="1"/>
        <n v="76888792" u="1"/>
        <n v="74941976" u="1"/>
        <n v="10185783" u="1"/>
        <n v="43602410" u="1"/>
        <n v="47217569" u="1"/>
        <n v="44265858" u="1"/>
        <n v="16123977" u="1"/>
        <n v="73947618" u="1"/>
        <n v="76217274" u="1"/>
        <n v="3478582" u="1"/>
        <n v="48442344" u="1"/>
        <n v="40742808" u="1"/>
        <n v="78008582" u="1"/>
        <n v="48615916" u="1"/>
        <n v="47664442" u="1"/>
        <n v="47893951" u="1"/>
        <n v="47568491" u="1"/>
        <n v="10217722" u="1"/>
        <n v="47729600" u="1"/>
        <n v="41870448" u="1"/>
        <n v="10673210" u="1"/>
        <n v="45909943" u="1"/>
        <n v="45208074" u="1"/>
        <n v="40274593" u="1"/>
        <n v="71234755" u="1"/>
        <n v="70578800" u="1"/>
        <n v="47964061" u="1"/>
        <n v="75714481" u="1"/>
        <n v="42075465" u="1"/>
        <n v="43597149" u="1"/>
        <n v="17619612" u="1"/>
        <n v="47247427" u="1"/>
        <n v="71060021" u="1"/>
        <n v="40516138" u="1"/>
        <n v="77033854" u="1"/>
        <n v="45750153" u="1"/>
        <n v="46480832" u="1"/>
        <n v="47231056" u="1"/>
        <n v="48418421" u="1"/>
        <n v="74714148" u="1"/>
        <n v="46116659" u="1"/>
        <n v="71972654" u="1"/>
        <n v="47137192" u="1"/>
        <n v="70567011" u="1"/>
        <n v="76011851" u="1"/>
        <n v="41810776" u="1"/>
        <n v="42313519" u="1"/>
        <n v="73570488" u="1"/>
        <n v="75379275" u="1"/>
        <n v="70375375" u="1"/>
        <n v="47791088" u="1"/>
        <n v="41103262" u="1"/>
        <n v="46395980" u="1"/>
        <n v="44790851" u="1"/>
        <n v="76170187" u="1"/>
        <n v="43565608" u="1"/>
        <n v="80052208" u="1"/>
        <n v="42669591" u="1"/>
        <n v="9658198" u="1"/>
        <n v="42607887" u="1"/>
        <n v="22090874" u="1"/>
        <n v="43500584" u="1"/>
        <n v="47314035" u="1"/>
        <n v="10584378" u="1"/>
        <n v="75481660" u="1"/>
        <n v="75876967" u="1"/>
        <n v="71320175" u="1"/>
        <n v="72318286" u="1"/>
        <n v="73597173" u="1"/>
        <n v="73592177" u="1"/>
        <n v="41795289" u="1"/>
        <n v="76246359" u="1"/>
        <n v="60800895" u="1"/>
        <n v="46716921" u="1"/>
        <n v="74177023" u="1"/>
        <n v="75336004" u="1"/>
        <n v="48001347" u="1"/>
        <n v="76724942" u="1"/>
        <n v="71263243" u="1"/>
        <n v="77096326" u="1"/>
        <n v="76920302" u="1"/>
        <n v="77083082" u="1"/>
        <n v="10125510" u="1"/>
        <n v="44509177" u="1"/>
        <n v="42559087" u="1"/>
        <n v="10297778" u="1"/>
        <n v="10172648" u="1"/>
        <n v="40839937" u="1"/>
        <n v="22079569" u="1"/>
        <n v="43014719" u="1"/>
        <n v="43908451" u="1"/>
        <n v="44232602" u="1"/>
        <n v="41804406" u="1"/>
        <n v="42422250" u="1"/>
        <n v="47035047" u="1"/>
        <n v="74452950" u="1"/>
        <n v="44917194" u="1"/>
        <n v="79452114" u="1"/>
        <n v="48716086" u="1"/>
        <n v="71848319" u="1"/>
        <n v="10596795" u="1"/>
        <n v="10078411" u="1"/>
        <n v="10880926" u="1"/>
        <n v="46360518" u="1"/>
        <n v="42012987" u="1"/>
        <n v="70419074" u="1"/>
        <n v="43308689" u="1"/>
        <n v="72556490" u="1"/>
        <n v="46955722" u="1"/>
        <n v="15659856" u="1"/>
        <n v="43959380" u="1"/>
        <n v="47156716" u="1"/>
        <n v="47439887" u="1"/>
        <n v="41119583" u="1"/>
        <n v="10502721" u="1"/>
        <n v="70345702" u="1"/>
        <n v="47107134" u="1"/>
        <n v="49016722" u="1"/>
        <n v="73082936" u="1"/>
        <n v="22196893" u="1"/>
        <n v="42686109" u="1"/>
        <n v="80133916" u="1"/>
        <n v="77549710" u="1"/>
        <n v="78250992" u="1"/>
        <n v="47783063" u="1"/>
        <n v="44004778" u="1"/>
        <n v="40684519" u="1"/>
        <n v="46465348" u="1"/>
        <n v="74528375" u="1"/>
        <n v="10724876" u="1"/>
        <n v="70732827" u="1"/>
        <n v="74231954" u="1"/>
        <n v="97779337" u="1"/>
        <n v="70008064" u="1"/>
        <n v="72494170" u="1"/>
        <n v="74389795" u="1"/>
        <n v="75414469" u="1"/>
        <n v="44202445" u="1"/>
        <n v="45705476" u="1"/>
        <n v="44100029" u="1"/>
        <n v="72937998" u="1"/>
        <n v="27418409" u="1"/>
        <n v="10724941" u="1"/>
        <n v="43759554" u="1"/>
        <n v="47065408" u="1"/>
        <n v="43169849" u="1"/>
        <n v="18202932" u="1"/>
        <n v="19184923" u="1"/>
        <n v="27729333" u="1"/>
        <n v="71237063" u="1"/>
        <n v="73101018" u="1"/>
        <n v="10113811" u="1"/>
        <n v="46735759" u="1"/>
        <n v="42900895" u="1"/>
        <n v="10632709" u="1"/>
        <n v="72174097" u="1"/>
        <n v="72437399" u="1"/>
        <n v="71143240" u="1"/>
        <n v="76633807" u="1"/>
        <n v="47420943" u="1"/>
        <n v="42943302" u="1"/>
        <n v="42020163" u="1"/>
        <n v="44731911" u="1"/>
        <n v="77667424" u="1"/>
        <n v="46002808" u="1"/>
        <n v="45007336" u="1"/>
        <n v="75505872" u="1"/>
        <n v="40525136" u="1"/>
        <n v="75986913" u="1"/>
        <n v="80214677" u="1"/>
        <n v="72319339" u="1"/>
        <n v="10290536" u="1"/>
        <n v="43411271" u="1"/>
        <n v="26721970" u="1"/>
        <n v="80352881" u="1"/>
        <n v="40865585" u="1"/>
        <n v="25578236" u="1"/>
        <n v="41029989" u="1"/>
        <n v="43144955" u="1"/>
        <n v="982440291" u="1"/>
        <n v="44283259" u="1"/>
        <n v="18039228" u="1"/>
        <n v="41489537" u="1"/>
        <n v="43168519" u="1"/>
        <n v="44292190" u="1"/>
        <n v="70874687" u="1"/>
        <n v="48801475" u="1"/>
        <n v="43937831" u="1"/>
        <n v="76836716" u="1"/>
        <n v="46675779" u="1"/>
        <n v="22543019" u="1"/>
        <n v="72227894" u="1"/>
        <n v="47918333" u="1"/>
        <n v="47157246" u="1"/>
        <n v="75730969" u="1"/>
        <n v="76453395" u="1"/>
        <n v="25784285" u="1"/>
        <n v="45424038" u="1"/>
        <n v="22090634" u="1"/>
        <n v="44222766" u="1"/>
        <n v="41669285" u="1"/>
        <n v="42606357" u="1"/>
        <n v="43568827" u="1"/>
        <n v="42227166" u="1"/>
        <n v="45486967" u="1"/>
        <n v="40614930" u="1"/>
        <n v="23859567" u="1"/>
        <n v="10745530" u="1"/>
        <n v="46759684" u="1"/>
        <n v="42759614" u="1"/>
        <n v="42437525" u="1"/>
        <n v="42847811" u="1"/>
        <n v="77492171" u="1"/>
        <n v="46545568" u="1"/>
        <n v="70255963" u="1"/>
        <n v="76303583" u="1"/>
        <n v="77214273" u="1"/>
        <n v="42265967" u="1"/>
        <n v="10228528" u="1"/>
        <n v="72455076" u="1"/>
        <n v="74789628" u="1"/>
        <n v="74434126" u="1"/>
        <n v="72853708" u="1"/>
        <n v="10876658" u="1"/>
        <n v="74498556" u="1"/>
        <n v="43435195" u="1"/>
        <n v="45421449" u="1"/>
        <n v="46993753" u="1"/>
        <n v="46392656" u="1"/>
        <n v="47467562" u="1"/>
        <n v="42016041" u="1"/>
        <n v="44351203" u="1"/>
        <n v="48476124" u="1"/>
        <n v="44417973" u="1"/>
        <n v="42855999" u="1"/>
        <n v="47197208" u="1"/>
        <n v="41853373" u="1"/>
        <n v="17448068" u="1"/>
        <n v="44422531" u="1"/>
        <n v="25426854" u="1"/>
        <n v="43065739" u="1"/>
        <n v="44034859" u="1"/>
        <n v="74310592" u="1"/>
        <n v="71927503" u="1"/>
        <n v="70153194" u="1"/>
        <n v="72047165" u="1"/>
        <n v="72173605" u="1"/>
        <n v="76491980" u="1"/>
        <n v="44476627" u="1"/>
        <n v="47096942" u="1"/>
        <n v="45753219" u="1"/>
        <n v="43755338" u="1"/>
        <n v="41774839" u="1"/>
        <n v="41855772" u="1"/>
        <n v="49032135" u="1"/>
        <n v="45886329" u="1"/>
        <n v="42905618" u="1"/>
        <n v="10317633" u="1"/>
        <n v="42155587" u="1"/>
        <n v="47557300" u="1"/>
        <n v="74722500" u="1"/>
        <n v="73043453" u="1"/>
        <n v="77361245" u="1"/>
        <n v="78820945" u="1"/>
        <n v="22666068" u="1"/>
        <n v="47253019" u="1"/>
        <n v="47138832" u="1"/>
        <n v="47284795" u="1"/>
        <n v="74529447" u="1"/>
        <n v="71788143" u="1"/>
        <n v="71649002" u="1"/>
        <n v="47433120" u="1"/>
        <n v="47547804" u="1"/>
        <n v="47876545" u="1"/>
        <n v="46620591" u="1"/>
        <n v="48178316" u="1"/>
        <n v="71610654" u="1"/>
        <n v="47967296" u="1"/>
        <n v="46250218" u="1"/>
        <n v="43972880" u="1"/>
        <n v="43330122" u="1"/>
        <n v="44313821" u="1"/>
        <n v="10181243" u="1"/>
        <n v="74201662" u="1"/>
        <n v="77292545" u="1"/>
        <n v="60101335" u="1"/>
        <n v="43093733" u="1"/>
        <n v="43031715" u="1"/>
        <n v="70490895" u="1"/>
        <n v="9368544" u="1"/>
        <n v="7897985" u="1"/>
        <n v="74053810" u="1"/>
        <n v="43424629" u="1"/>
        <n v="70785772" u="1"/>
        <n v="31490158" u="1"/>
        <n v="43651395" u="1"/>
        <n v="74220861" u="1"/>
        <n v="43693977" u="1"/>
        <n v="42841298" u="1"/>
        <n v="43269883" u="1"/>
        <n v="75417860" u="1"/>
        <n v="48807471" u="1"/>
        <n v="10797104" u="1"/>
        <n v="72549829" u="1"/>
        <n v="71838963" u="1"/>
        <n v="76248670" u="1"/>
        <n v="60410113" u="1"/>
        <n v="48746537" u="1"/>
        <n v="76592690" u="1"/>
        <n v="75180426" u="1"/>
        <n v="74564978" u="1"/>
        <n v="10510921" u="1"/>
        <n v="10705727" u="1"/>
        <n v="42664972" u="1"/>
        <n v="70848644" u="1"/>
        <n v="47621496" u="1"/>
        <n v="44251704" u="1"/>
        <n v="10455487" u="1"/>
        <n v="42158878" u="1"/>
        <n v="44168160" u="1"/>
        <n v="48493472" u="1"/>
        <n v="80528432" u="1"/>
        <n v="40632473" u="1"/>
        <n v="25800784" u="1"/>
        <n v="17433727" u="1"/>
        <n v="25713914" u="1"/>
        <n v="43409058" u="1"/>
        <n v="10810848" u="1"/>
        <n v="70774154" u="1"/>
        <n v="41283056" u="1"/>
        <n v="25784561" u="1"/>
        <n v="47589990" u="1"/>
        <n v="24282135" u="1"/>
        <n v="40480990" u="1"/>
        <n v="42748978" u="1"/>
        <n v="44540544" u="1"/>
        <n v="73428371" u="1"/>
        <n v="72964051" u="1"/>
        <n v="70054936" u="1"/>
        <n v="40136644" u="1"/>
        <n v="76758252" u="1"/>
        <n v="74434874" u="1"/>
        <n v="41207861" u="1"/>
        <n v="45822026" u="1"/>
        <n v="1592525" u="1"/>
        <n v="80321970" u="1"/>
        <n v="74398211" u="1"/>
        <n v="47455821" u="1"/>
        <n v="16626926" u="1"/>
        <n v="42517623" u="1"/>
        <n v="26737818" u="1"/>
        <n v="32266929" u="1"/>
        <n v="40680475" u="1"/>
        <n v="47107337" u="1"/>
        <n v="20899822" u="1"/>
        <n v="72760714" u="1"/>
        <n v="72394121" u="1"/>
        <n v="10581316" u="1"/>
        <n v="40145622" u="1"/>
        <n v="41462650" u="1"/>
        <n v="47427685" u="1"/>
        <n v="47487868" u="1"/>
        <n v="41392822" u="1"/>
        <n v="70086333" u="1"/>
        <n v="23946905" u="1"/>
        <n v="15925251" u="1"/>
        <n v="93685441" u="1"/>
        <n v="78979851" u="1"/>
        <n v="73469733" u="1"/>
        <n v="32807122" u="1"/>
        <n v="72088208" u="1"/>
        <n v="76044698" u="1"/>
        <n v="40139616" u="1"/>
        <n v="10073847" u="1"/>
        <n v="10702657" u="1"/>
        <n v="76727152" u="1"/>
        <n v="72485789" u="1"/>
        <n v="47769674" u="1"/>
        <n v="44974184" u="1"/>
        <n v="48023308" u="1"/>
        <n v="48083176" u="1"/>
        <n v="21846011" u="1"/>
        <n v="73339913" u="1"/>
        <n v="40955572" u="1"/>
        <n v="75340212" u="1"/>
        <n v="21873245" u="1"/>
        <n v="46023494" u="1"/>
        <n v="46505043" u="1"/>
        <n v="45637142" u="1"/>
        <n v="76268370" u="1"/>
        <n v="70189612" u="1"/>
        <n v="44232899" u="1"/>
        <n v="43232137" u="1"/>
        <n v="40589083" u="1"/>
        <n v="10627618" u="1"/>
        <n v="43392132" u="1"/>
        <n v="60220994" u="1"/>
        <n v="41834522" u="1"/>
        <n v="74050306" u="1"/>
        <n v="77479938" u="1"/>
        <n v="77893359" u="1"/>
        <n v="48109430" u="1"/>
        <n v="46271701" u="1"/>
        <n v="72150406" u="1"/>
        <n v="48318377" u="1"/>
        <n v="45489006" u="1"/>
        <n v="70474117" u="1"/>
        <n v="73478176" u="1"/>
        <n v="47890175" u="1"/>
        <n v="70295515" u="1"/>
        <n v="73464855" u="1"/>
        <n v="41962533" u="1"/>
        <n v="10673394" u="1"/>
        <n v="44564610" u="1"/>
        <n v="43677381" u="1"/>
        <n v="77809813" u="1"/>
        <n v="77676137" u="1"/>
        <n v="74689594" u="1"/>
        <n v="47639634" u="1"/>
        <n v="46296920" u="1"/>
        <n v="74928700" u="1"/>
        <n v="75723865" u="1"/>
        <n v="44812782" u="1"/>
        <n v="42710719" u="1"/>
        <n v="74826803" u="1"/>
        <n v="10435615" u="1"/>
        <n v="72785151" u="1"/>
        <n v="41887336" u="1"/>
        <n v="10115391" u="1"/>
        <n v="72555748" u="1"/>
        <n v="72392194" u="1"/>
        <n v="47293289" u="1"/>
        <n v="71202390" u="1"/>
        <n v="48216153" u="1"/>
        <n v="10083935" u="1"/>
        <n v="10709536" u="1"/>
        <n v="40925362" u="1"/>
        <n v="43136656" u="1"/>
        <n v="46431460" u="1"/>
        <n v="44083279" u="1"/>
        <n v="46015542" u="1"/>
        <n v="45974477" u="1"/>
        <n v="46245140" u="1"/>
        <n v="44278221" u="1"/>
        <n v="70062419" u="1"/>
        <n v="40350930" u="1"/>
        <n v="48134534" u="1"/>
        <n v="60164719" u="1"/>
        <n v="48383617" u="1"/>
        <n v="46987952" u="1"/>
        <n v="48414895" u="1"/>
        <n v="74611127" u="1"/>
        <n v="74656299" u="1"/>
        <n v="72813931" u="1"/>
        <n v="75845223" u="1"/>
        <n v="75202638" u="1"/>
        <n v="60220280" u="1"/>
        <n v="73062724" u="1"/>
        <n v="60831726" u="1"/>
        <n v="45542511" u="1"/>
        <n v="70057062" u="1"/>
        <n v="77683456" u="1"/>
        <n v="76388825" u="1"/>
        <n v="43423737" u="1"/>
        <n v="76778522" u="1"/>
        <n v="71254736" u="1"/>
        <n v="76278746" u="1"/>
        <n v="41868587" u="1"/>
        <n v="71546199" u="1"/>
        <n v="72532771" u="1"/>
        <n v="74177315" u="1"/>
        <n v="49014334" u="1"/>
        <n v="40400190" u="1"/>
        <n v="42818385" u="1"/>
        <n v="70357241" u="1"/>
        <n v="41270453" u="1"/>
        <n v="72545644" u="1"/>
        <n v="75268402" u="1"/>
        <n v="48530131" u="1"/>
        <n v="44159283" u="1"/>
        <n v="22899464" u="1"/>
        <n v="48092843" u="1"/>
        <n v="76821978" u="1"/>
        <n v="72965557" u="1"/>
        <n v="41344895" u="1"/>
        <n v="74882581" u="1"/>
        <n v="45209752" u="1"/>
        <n v="71003674" u="1"/>
        <n v="72363084" u="1"/>
        <n v="29634521" u="1"/>
        <n v="73542228" u="1"/>
        <n v="72854443" u="1"/>
        <n v="71765898" u="1"/>
        <n v="40620943" u="1"/>
        <n v="45737846" u="1"/>
        <n v="46023264" u="1"/>
        <n v="21541161" u="1"/>
        <n v="73791081" u="1"/>
        <n v="60097872" u="1"/>
        <n v="71020856" u="1"/>
        <n v="47173265" u="1"/>
        <n v="73677668" u="1"/>
        <n v="70948249" u="1"/>
        <n v="73114667" u="1"/>
        <n v="44544052" u="1"/>
        <n v="10646592" u="1"/>
        <n v="44964246" u="1"/>
        <n v="47947405" u="1"/>
        <n v="40026292" u="1"/>
        <n v="47265595" u="1"/>
        <n v="41072167" u="1"/>
        <n v="46140301" u="1"/>
        <n v="48433975" u="1"/>
        <n v="70335831" u="1"/>
        <n v="9501731" u="1"/>
        <n v="46040447" u="1"/>
        <n v="29302968" u="1"/>
        <n v="45799202" u="1"/>
        <n v="74809510" u="1"/>
        <n v="73623491" u="1"/>
        <n v="43658167" u="1"/>
        <n v="75301955" u="1"/>
        <n v="75927088" u="1"/>
        <n v="42021432" u="1"/>
        <n v="63275139" u="1"/>
        <n v="10147114" u="1"/>
        <n v="47025246" u="1"/>
        <n v="48024280" u="1"/>
        <n v="48545292" u="1"/>
        <n v="75078345" u="1"/>
        <n v="71480780" u="1"/>
        <n v="41749537" u="1"/>
        <n v="16004064" u="1"/>
        <n v="70257432" u="1"/>
        <n v="411009552" u="1"/>
        <n v="70170041" u="1"/>
        <n v="40263609" u="1"/>
        <n v="45201851" u="1"/>
        <n v="46579734" u="1"/>
        <n v="76265964" u="1"/>
        <n v="9049407" u="1"/>
        <n v="43093778" u="1"/>
        <n v="45108681" u="1"/>
        <n v="48914141" u="1"/>
        <n v="1646776" u="1"/>
        <n v="26962609" u="1"/>
        <n v="42120346" u="1"/>
        <n v="10712708" u="1"/>
        <n v="43362649" u="1"/>
        <n v="46366243" u="1"/>
        <n v="60080477" u="1"/>
        <n v="45111057" u="1"/>
        <n v="42216952" u="1"/>
        <n v="45917423" u="1"/>
        <n v="46128822" u="1"/>
        <n v="70793755" u="1"/>
        <n v="43685721" u="1"/>
        <n v="47980227" u="1"/>
        <n v="40802800" u="1"/>
        <n v="45864506" u="1"/>
        <n v="7105925" u="1"/>
        <n v="21832773" u="1"/>
        <n v="7154341" u="1"/>
        <n v="75745420" u="1"/>
        <n v="79298200" u="1"/>
        <n v="17619790" u="1"/>
        <n v="73758851" u="1"/>
        <n v="25849198" u="1"/>
        <n v="75831843" u="1"/>
        <n v="43144951" u="1"/>
        <n v="74756597" u="1"/>
        <n v="77061359" u="1"/>
        <n v="46918733" u="1"/>
        <n v="9372687" u="1"/>
        <n v="40659025" u="1"/>
        <n v="10326125" u="1"/>
        <n v="75002434" u="1"/>
        <n v="77155873" u="1"/>
        <n v="70346207" u="1"/>
        <n v="29902281" u="1"/>
        <n v="41509692" u="1"/>
        <n v="71463278" u="1"/>
        <n v="43286114" u="1"/>
        <n v="40511782" u="1"/>
        <n v="46291796" u="1"/>
        <n v="70174961" u="1"/>
        <n v="71376015" u="1"/>
        <n v="47173145" u="1"/>
        <n v="42094828" u="1"/>
        <n v="41689957" u="1"/>
        <n v="45302845" u="1"/>
        <n v="10294173" u="1"/>
        <n v="76002228" u="1"/>
        <n v="48079361" u="1"/>
        <n v="29482887" u="1"/>
        <n v="46775502" u="1"/>
        <n v="44254654" u="1"/>
        <n v="44836610" u="1"/>
        <n v="26819458" u="1"/>
        <n v="44770298" u="1"/>
        <n v="29368544" u="1"/>
        <n v="41307413" u="1"/>
        <n v="75434600" u="1"/>
        <n v="75593950" u="1"/>
        <n v="43707200" u="1"/>
        <n v="10875116" u="1"/>
        <n v="73615408" u="1"/>
        <n v="41801914" u="1"/>
        <n v="47275015" u="1"/>
        <n v="62071558" u="1"/>
        <n v="7202952" u="1"/>
        <n v="25851232" u="1"/>
        <n v="42517618" u="1"/>
        <n v="75093721" u="1"/>
        <n v="49224698" u="1"/>
        <n v="10277465" u="1"/>
        <n v="47482074" u="1"/>
        <n v="47113509" u="1"/>
        <n v="73930577" u="1"/>
        <n v="29419095" u="1"/>
        <n v="60975690" u="1"/>
        <n v="46177475" u="1"/>
        <n v="42419916" u="1"/>
        <n v="26579737" u="1"/>
        <n v="47389000" u="1"/>
        <n v="72421743" u="1"/>
        <n v="45595067" u="1"/>
        <n v="10729754" u="1"/>
        <n v="7501857" u="1"/>
        <n v="49232438" u="1"/>
        <n v="7518246" u="1"/>
        <n v="25496076" u="1"/>
        <n v="47080315" u="1"/>
        <n v="10228975" u="1"/>
        <n v="73097373" u="1"/>
        <n v="77497672" u="1"/>
        <n v="10084289" u="1"/>
        <n v="47951577" u="1"/>
        <n v="46727169" u="1"/>
        <n v="48264242" u="1"/>
        <n v="80256065" u="1"/>
        <n v="45538615" u="1"/>
        <n v="71740753" u="1"/>
        <n v="71420893" u="1"/>
        <n v="44743812" u="1"/>
        <n v="9632689" u="1"/>
        <n v="43353882" u="1"/>
        <n v="42034024" u="1"/>
        <n v="71939429" u="1"/>
        <n v="2266107" u="1"/>
        <n v="40856361" u="1"/>
        <n v="44922729" u="1"/>
        <n v="75743185" u="1"/>
        <n v="48067682" u="1"/>
        <n v="17897985" u="1"/>
        <n v="73668654" u="1"/>
        <n v="48071570" u="1"/>
        <n v="46084229" u="1"/>
        <n v="70066521" u="1"/>
        <n v="70841369" u="1"/>
        <n v="76360475" u="1"/>
        <n v="48023857" u="1"/>
        <n v="75371268" u="1"/>
        <n v="72965565" u="1"/>
        <n v="74993516" u="1"/>
        <n v="45829489" u="1"/>
        <n v="74239930" u="1"/>
        <n v="41661435" u="1"/>
        <n v="75343702" u="1"/>
        <n v="61143412" u="1"/>
        <n v="41258428" u="1"/>
        <n v="42647586" u="1"/>
        <n v="70427883" u="1"/>
        <n v="43552294" u="1"/>
        <n v="47008756" u="1"/>
        <n v="45648736" u="1"/>
        <n v="48748808" u="1"/>
        <n v="60560584" u="1"/>
        <n v="48441443" u="1"/>
        <n v="42569835" u="1"/>
        <n v="47325560" u="1"/>
        <n v="73057828" u="1"/>
        <n v="32875257" u="1"/>
        <n v="70975777" u="1"/>
        <n v="44149025" u="1"/>
        <n v="77499696" u="1"/>
        <n v="73137179" u="1"/>
        <n v="73894872" u="1"/>
        <n v="80441026" u="1"/>
        <n v="47523496" u="1"/>
        <n v="40795049" u="1"/>
        <n v="46151365" u="1"/>
        <n v="70032379" u="1"/>
        <n v="41326596" u="1"/>
        <n v="62720730" u="1"/>
        <n v="72358275" u="1"/>
        <n v="29583061" u="1"/>
        <n v="70764626" u="1"/>
        <n v="43894637" u="1"/>
        <n v="73228733" u="1"/>
        <n v="1126745" u="1"/>
        <n v="16168785" u="1"/>
        <n v="47652420" u="1"/>
        <n v="73270243" u="1"/>
        <n v="43230046" u="1"/>
        <n v="46155121" u="1"/>
        <n v="42619272" u="1"/>
        <n v="44896143" u="1"/>
        <n v="15668536" u="1"/>
        <n v="71765900" u="1"/>
        <n v="48167996" u="1"/>
        <n v="42462070" u="1"/>
        <n v="10149702" u="1"/>
        <n v="44088873" u="1"/>
        <n v="47202952" u="1"/>
        <n v="42992685" u="1"/>
        <n v="46445323" u="1"/>
        <n v="43329476" u="1"/>
        <n v="76221712" u="1"/>
        <n v="72740128" u="1"/>
        <n v="40811456" u="1"/>
        <n v="9118701" u="1"/>
        <n v="3839721" u="1"/>
        <n v="44558864" u="1"/>
        <n v="47508257" u="1"/>
        <n v="41928559" u="1"/>
        <n v="74851089" u="1"/>
        <n v="80082205" u="1"/>
        <n v="44360956" u="1"/>
        <n v="10150360" u="1"/>
        <n v="48285033" u="1"/>
        <n v="47961445" u="1"/>
        <n v="45991583" u="1"/>
        <n v="10409532" u="1"/>
        <n v="47009476" u="1"/>
        <n v="41199616" u="1"/>
        <n v="47060045" u="1"/>
        <n v="8488006" u="1"/>
        <n v="72772118" u="1"/>
        <n v="74330617" u="1"/>
        <n v="80977717" u="1"/>
        <n v="40799469" u="1"/>
        <n v="42090445" u="1"/>
        <n v="21145348" u="1"/>
        <n v="49847256" u="1"/>
        <n v="46432176" u="1"/>
        <n v="74472297" u="1"/>
        <n v="46462374" u="1"/>
        <n v="76656057" u="1"/>
        <n v="70345780" u="1"/>
        <n v="74654389" u="1"/>
        <n v="40811640" u="1"/>
        <n v="40915446" u="1"/>
        <n v="72886547" u="1"/>
        <n v="44862137" u="1"/>
        <n v="41928679" u="1"/>
        <n v="43011888" u="1"/>
        <n v="6881809" u="1"/>
        <n v="74035808" u="1"/>
        <n v="43785708" u="1"/>
        <n v="73165990" u="1"/>
        <n v="70459121" u="1"/>
        <n v="47897985" u="1"/>
        <n v="70999892" u="1"/>
        <n v="45558530" u="1"/>
        <n v="43187461" u="1"/>
        <n v="42556220" u="1"/>
        <n v="71066392" u="1"/>
        <n v="25810263" u="1"/>
        <n v="46107232" u="1"/>
        <n v="6962609" u="1"/>
        <n v="70655221" u="1"/>
        <n v="70675848" u="1"/>
        <n v="71942634" u="1"/>
        <n v="41832773" u="1"/>
        <n v="41094775" u="1"/>
        <n v="46880408" u="1"/>
        <n v="25517789" u="1"/>
        <n v="80043884" u="1"/>
        <n v="48366236" u="1"/>
        <n v="76639659" u="1"/>
        <n v="42962371" u="1"/>
        <n v="41754766" u="1"/>
        <n v="46710711" u="1"/>
        <n v="45157219" u="1"/>
        <n v="44984246" u="1"/>
        <n v="72839234" u="1"/>
        <n v="76395806" u="1"/>
        <n v="44240752" u="1"/>
        <n v="41530900" u="1"/>
        <n v="80646838" u="1"/>
        <n v="10006039" u="1"/>
        <n v="46288133" u="1"/>
        <n v="77035518" u="1"/>
        <n v="43095727" u="1"/>
        <n v="70830235" u="1"/>
        <n v="40931301" u="1"/>
        <n v="76665601" u="1"/>
        <n v="75116673" u="1"/>
        <n v="75651788" u="1"/>
        <n v="2022535" u="1"/>
        <n v="43500530" u="1"/>
        <n v="77095015" u="1"/>
        <n v="25763704" u="1"/>
        <n v="28151398" u="1"/>
        <n v="10151623" u="1"/>
        <n v="44464318" u="1"/>
        <n v="43999403" u="1"/>
        <n v="45969393" u="1"/>
        <n v="10199854" u="1"/>
        <n v="7261099" u="1"/>
        <n v="70220833" u="1"/>
        <n v="77474367" u="1"/>
        <n v="47694762" u="1"/>
        <n v="21067781" u="1"/>
        <n v="70342913" u="1"/>
        <n v="71283991" u="1"/>
        <n v="21517789" u="1"/>
        <n v="7947405" u="1"/>
        <n v="72633211" u="1"/>
        <n v="46775499" u="1"/>
        <n v="20567026" u="1"/>
        <n v="72152841" u="1"/>
        <n v="48290273" u="1"/>
        <n v="47727176" u="1"/>
        <n v="42225997" u="1"/>
        <n v="45771289" u="1"/>
        <n v="40966955" u="1"/>
        <n v="28150688" u="1"/>
        <n v="43372046" u="1"/>
        <n v="7019902" u="1"/>
        <n v="42270298" u="1"/>
        <n v="42674589" u="1"/>
        <n v="10475257" u="1"/>
        <n v="40822540" u="1"/>
        <n v="44774695" u="1"/>
        <n v="41383901" u="1"/>
        <n v="41824434" u="1"/>
        <n v="72931153" u="1"/>
        <n v="70839595" u="1"/>
        <n v="70813568" u="1"/>
        <n v="8205520" u="1"/>
        <n v="72299204" u="1"/>
        <n v="74070966" u="1"/>
        <n v="71107662" u="1"/>
        <n v="74619380" u="1"/>
        <n v="75204872" u="1"/>
        <n v="40399514" u="1"/>
        <n v="25570918" u="1"/>
        <n v="71911100" u="1"/>
        <n v="46418585" u="1"/>
        <n v="8748808" u="1"/>
        <n v="76750064" u="1"/>
        <n v="9232438" u="1"/>
        <n v="46859246" u="1"/>
        <n v="42972663" u="1"/>
        <n v="72967447" u="1"/>
        <n v="76580495" u="1"/>
        <n v="40951524" u="1"/>
        <n v="46243232" u="1"/>
        <n v="44471598" u="1"/>
        <n v="46809253" u="1"/>
        <n v="27524697" u="1"/>
        <n v="40905903" u="1"/>
        <n v="41126745" u="1"/>
        <n v="41632850" u="1"/>
        <n v="25782635" u="1"/>
        <n v="43003533" u="1"/>
        <n v="46162557" u="1"/>
        <n v="48636884" u="1"/>
        <n v="41196589" u="1"/>
        <n v="46243324" u="1"/>
        <n v="48491121" u="1"/>
        <n v="2674589" u="1"/>
        <n v="45958258" u="1"/>
        <n v="48588947" u="1"/>
        <n v="70174272" u="1"/>
        <n v="45372282" u="1"/>
        <n v="76949108" u="1"/>
        <n v="20006153" u="1"/>
        <n v="29364583" u="1"/>
        <n v="75686375" u="1"/>
        <n v="44715951" u="1"/>
        <n v="9329902" u="1"/>
        <n v="47552223" u="1"/>
        <n v="75831074" u="1"/>
        <n v="45601928" u="1"/>
        <n v="46362449" u="1"/>
        <n v="75910361" u="1"/>
        <n v="10040681" u="1"/>
        <n v="9298200" u="1"/>
        <n v="48151398" u="1"/>
        <n v="47376934" u="1"/>
        <n v="42394999" u="1"/>
        <n v="46503420" u="1"/>
        <n v="71783977" u="1"/>
        <n v="71612027" u="1"/>
        <n v="41842565" u="1"/>
        <n v="71455501" u="1"/>
        <n v="46926762" u="1"/>
        <n v="27105925" u="1"/>
        <n v="45056946" u="1"/>
        <n v="63595241" u="1"/>
        <n v="45535256" u="1"/>
        <n v="7552692" u="1"/>
        <n v="76347282" u="1"/>
        <n v="45651525" u="1"/>
        <n v="45245658" u="1"/>
        <n v="75861320" u="1"/>
        <n v="29768500" u="1"/>
        <n v="76362829" u="1"/>
        <n v="40586379" u="1"/>
        <n v="9847256" u="1"/>
        <n v="24070925" u="1"/>
        <n v="43520865" u="1"/>
        <n v="74905783" u="1"/>
        <n v="71351144" u="1"/>
        <n v="72666438" u="1"/>
        <n v="7577450" u="1"/>
        <n v="79510606" u="1"/>
        <n v="74096430" u="1"/>
        <n v="46588743" u="1"/>
        <n v="29606222" u="1"/>
        <n v="90038698" u="1"/>
        <n v="76428617" u="1"/>
        <n v="43720181" u="1"/>
        <n v="29477728" u="1"/>
        <n v="75149300" u="1"/>
        <n v="46154282" u="1"/>
        <n v="43266765" u="1"/>
        <n v="43089132" u="1"/>
        <n v="76006843" u="1"/>
        <n v="42571044" u="1"/>
        <n v="9217902" u="1"/>
        <n v="40180248" u="1"/>
        <n v="44071555" u="1"/>
        <n v="46605702" u="1"/>
        <n v="42246716" u="1"/>
        <n v="26074645" u="1"/>
        <n v="42489309" u="1"/>
        <n v="43463061" u="1"/>
        <n v="44963476" u="1"/>
        <n v="45973849" u="1"/>
        <n v="47152508" u="1"/>
        <n v="73623111" u="1"/>
        <n v="75546324" u="1"/>
        <n v="18201385" u="1"/>
        <n v="48465043" u="1"/>
        <n v="48106981" u="1"/>
        <n v="43521625" u="1"/>
        <n v="47850733" u="1"/>
        <n v="71618355" u="1"/>
        <n v="76078351" u="1"/>
        <n v="72273115" u="1"/>
        <n v="44605894" u="1"/>
        <n v="27397747" u="1"/>
        <n v="41236595" u="1"/>
        <n v="42365649" u="1"/>
        <n v="49477728" u="1"/>
        <n v="77916101" u="1"/>
        <n v="16124936" u="1"/>
        <n v="40650363" u="1"/>
        <n v="45071193" u="1"/>
        <n v="71561167" u="1"/>
        <n v="73761319" u="1"/>
        <n v="45022648" u="1"/>
        <n v="45024544" u="1"/>
        <n v="4333803" u="1"/>
        <n v="10542426" u="1"/>
        <n v="17618221" u="1"/>
        <n v="72729127" u="1"/>
        <n v="41765730" u="1"/>
        <n v="6819458" u="1"/>
        <n v="43635706" u="1"/>
        <n v="74093190" u="1"/>
        <n v="10380680" u="1"/>
        <n v="72746794" u="1"/>
        <n v="10236661" u="1"/>
        <n v="9768500" u="1"/>
        <n v="47524697" u="1"/>
        <n v="27577450" u="1"/>
        <n v="72543486" u="1"/>
        <n v="40587871" u="1"/>
        <n v="45315518" u="1"/>
        <n v="47577450" u="1"/>
        <n v="70922143" u="1"/>
        <n v="29657603" u="1"/>
        <n v="45724501" u="1"/>
        <n v="46590043" u="1"/>
        <n v="41380678" u="1"/>
        <n v="42931630" u="1"/>
        <n v="71830319" u="1"/>
        <n v="43869076" u="1"/>
        <n v="73504863" u="1"/>
        <n v="42527723" u="1"/>
        <n v="77102684" u="1"/>
        <n v="2517789" u="1"/>
        <n v="29512932" u="1"/>
        <n v="7085681" u="1"/>
        <n v="46190152" u="1"/>
        <n v="46511940" u="1"/>
        <n v="71546692" u="1"/>
        <n v="78248089" u="1"/>
        <n v="28046267" u="1"/>
        <n v="80566145" u="1"/>
        <n v="72467463" u="1"/>
        <n v="42201915" u="1"/>
        <n v="42687393" u="1"/>
        <n v="44800542" u="1"/>
        <n v="71201322" u="1"/>
        <n v="41236711" u="1"/>
        <n v="9606222" u="1"/>
        <n v="4070925" u="1"/>
        <n v="42799034" u="1"/>
        <n v="45881339" u="1"/>
        <n v="60440173" u="1"/>
        <n v="40346554" u="1"/>
        <n v="29592493" u="1"/>
        <n v="25784879" u="1"/>
        <n v="45641090" u="1"/>
        <n v="40769544" u="1"/>
        <n v="9477728" u="1"/>
        <n v="74727811" u="1"/>
        <n v="42931622" u="1"/>
        <n v="75848930" u="1"/>
        <n v="45706498" u="1"/>
        <n v="45736472" u="1"/>
        <n v="40639360" u="1"/>
        <n v="75671969" u="1"/>
        <n v="40578672" u="1"/>
        <n v="42704960" u="1"/>
        <n v="8150688" u="1"/>
        <n v="77296584" u="1"/>
        <n v="46273031" u="1"/>
        <n v="42064724" u="1"/>
        <n v="75353517" u="1"/>
        <n v="75860549" u="1"/>
        <n v="10349006" u="1"/>
        <n v="61552480" u="1"/>
        <n v="79368544" u="1"/>
        <n v="47904750" u="1"/>
        <n v="42033206" u="1"/>
        <n v="44901284" u="1"/>
        <n v="9655688" u="1"/>
        <n v="43821899" u="1"/>
        <n v="45113711" u="1"/>
        <n v="76080556" u="1"/>
        <n v="43967114" u="1"/>
        <n v="47513338" u="1"/>
        <n v="25835668" u="1"/>
        <n v="46775500" u="1"/>
        <n v="32645172" u="1"/>
        <n v="44696277" u="1"/>
        <n v="48435169" u="1"/>
        <n v="899464" u="1"/>
        <n v="29772208" u="1"/>
        <n v="45466369" u="1"/>
        <n v="78205520" u="1"/>
        <n v="8151398" u="1"/>
        <n v="45195182" u="1"/>
        <n v="80044750" u="1"/>
        <n v="43755775" u="1"/>
        <n v="46902528" u="1"/>
        <n v="29531043" u="1"/>
        <n v="71327162" u="1"/>
        <n v="45306919" u="1"/>
        <n v="40951853" u="1"/>
        <n v="74851088" u="1"/>
        <n v="4070966" u="1"/>
        <n v="21092548" u="1"/>
        <n v="48068140" u="1"/>
        <n v="76402968" u="1"/>
        <n v="74248049" u="1"/>
        <n v="26754893" u="1"/>
        <n v="44149043" u="1"/>
        <n v="45904194" u="1"/>
        <n v="46048285" u="1"/>
        <n v="76319881" u="1"/>
        <n v="43196238" u="1"/>
        <n v="46261612" u="1"/>
        <n v="231832773" u="1"/>
        <n v="29596451" u="1"/>
        <n v="10721922" u="1"/>
        <n v="70939759" u="1"/>
        <n v="75905115" u="1"/>
        <n v="46151511" u="1"/>
        <n v="48630429" u="1"/>
        <n v="45228392" u="1"/>
        <n v="70468768" u="1"/>
        <n v="7482074" u="1"/>
        <n v="10577043" u="1"/>
        <n v="73516823" u="1"/>
        <n v="46957297" u="1"/>
        <n v="48227870" u="1"/>
        <n v="74907361" u="1"/>
        <n v="70303370" u="1"/>
        <n v="48488006" u="1"/>
        <n v="46358086" u="1"/>
        <n v="71751800" u="1"/>
        <n v="72488871" u="1"/>
        <n v="15433191" u="1"/>
        <n v="75143686" u="1"/>
        <n v="10075814" u="1"/>
        <n v="45180583" u="1"/>
        <n v="72646293" u="1"/>
        <n v="73437848" u="1"/>
        <n v="25400863" u="1"/>
        <n v="29369869" u="1"/>
        <n v="73539050" u="1"/>
        <n v="80214420" u="1"/>
        <n v="8046267" u="1"/>
        <n v="10206179" u="1"/>
        <n v="40645216" u="1"/>
        <n v="75049484" u="1"/>
        <n v="75103781" u="1"/>
        <n v="15587" u="1"/>
        <n v="9657603" u="1"/>
        <n v="70423071" u="1"/>
        <n v="75326615" u="1"/>
        <n v="26145689" u="1"/>
        <n v="40420066" u="1"/>
        <n v="74040103" u="1"/>
        <n v="42474487" u="1"/>
        <n v="46632513" u="1"/>
        <n v="70607411" u="1"/>
        <n v="42361558" u="1"/>
        <n v="44282135" u="1"/>
        <n v="45136242" u="1"/>
        <n v="8543302" u="1"/>
        <n v="43325442" u="1"/>
        <n v="10674949" u="1"/>
        <n v="9512932" u="1"/>
        <n v="70257409" u="1"/>
        <n v="75426585" u="1"/>
        <n v="74581117" u="1"/>
        <n v="80232847" u="1"/>
        <n v="21288854" u="1"/>
        <n v="47959211" u="1"/>
        <n v="25791561" u="1"/>
        <n v="46251349" u="1"/>
        <n v="72726204" u="1"/>
        <n v="77272431" u="1"/>
        <n v="41566975" u="1"/>
        <n v="45084285" u="1"/>
        <n v="517789" u="1"/>
        <n v="23694587" u="1"/>
        <n v="74070925" u="1"/>
        <n v="40436697" u="1"/>
        <n v="43712538" u="1"/>
        <n v="43796681" u="1"/>
        <n v="46392544" u="1"/>
        <n v="73541786" u="1"/>
        <n v="16757046" u="1"/>
        <n v="72137237" u="1"/>
        <n v="29049407" u="1"/>
        <n v="79981919" u="1"/>
        <n v="48075796" u="1"/>
        <n v="77903532" u="1"/>
        <n v="27518246" u="1"/>
        <n v="43374683" u="1"/>
        <n v="42314865" u="1"/>
        <n v="8167996" u="1"/>
        <n v="46650652" u="1"/>
        <n v="42083995" u="1"/>
        <n v="46395400" u="1"/>
        <n v="10819431" u="1"/>
        <n v="47736913" u="1"/>
        <n v="42022535" u="1"/>
        <n v="72750927" u="1"/>
        <n v="46107570" u="1"/>
        <n v="47330242" u="1"/>
        <n v="9302968" u="1"/>
        <n v="78289180" u="1"/>
        <n v="74611232" u="1"/>
        <n v="46718760" u="1"/>
        <n v="73526287" u="1"/>
        <n v="46254069" u="1"/>
        <n v="70164855" u="1"/>
        <n v="62597836" u="1"/>
        <n v="40568797" u="1"/>
        <n v="74063906" u="1"/>
        <n v="25840774" u="1"/>
        <n v="76834894" u="1"/>
        <n v="46054297" u="1"/>
        <n v="10723361" u="1"/>
        <n v="70500459" u="1"/>
        <n v="71127200" u="1"/>
        <n v="43474497" u="1"/>
        <n v="48417367" u="1"/>
        <n v="40365302" u="1"/>
        <n v="20902000" u="1"/>
        <n v="46236138" u="1"/>
        <n v="43172660" u="1"/>
        <n v="15403612" u="1"/>
        <n v="2691858" u="1"/>
        <n v="42975492" u="1"/>
        <n v="48561810" u="1"/>
        <n v="77133996" u="1"/>
        <n v="16420268" u="1"/>
        <n v="40120809" u="1"/>
        <n v="74380606" u="1"/>
        <n v="70908465" u="1"/>
        <n v="18983815" u="1"/>
        <n v="46981428" u="1"/>
        <n v="45297756" u="1"/>
        <n v="70614888" u="1"/>
        <n v="72433363" u="1"/>
        <n v="74700914" u="1"/>
        <n v="72506866" u="1"/>
        <n v="41636803" u="1"/>
        <n v="21646776" u="1"/>
        <n v="70674060" u="1"/>
        <n v="42834449" u="1"/>
        <n v="73093318" u="1"/>
        <n v="29632689" u="1"/>
        <n v="44496978" u="1"/>
        <n v="71602863" u="1"/>
        <n v="6692466" u="1"/>
        <n v="43572027" u="1"/>
        <n v="70443890" u="1"/>
        <n v="43301128" u="1"/>
        <n v="16146412" u="1"/>
        <n v="44127125" u="1"/>
        <n v="6054929" u="1"/>
        <n v="17967412" u="1"/>
        <n v="46899045" u="1"/>
        <n v="25535991" u="1"/>
        <n v="47075938" u="1"/>
        <n v="46692466" u="1"/>
        <n v="45980682" u="1"/>
        <n v="43608037" u="1"/>
        <n v="27552692" u="1"/>
        <n v="44111474" u="1"/>
        <n v="40346555" u="1"/>
        <n v="70281897" u="1"/>
        <n v="9369869" u="1"/>
        <n v="41573919" u="1"/>
        <n v="80145461" u="1"/>
        <n v="42691858" u="1"/>
        <n v="40866955" u="1"/>
        <n v="9772208" u="1"/>
        <n v="44383525" u="1"/>
        <n v="5353249" u="1"/>
        <n v="29312663" u="1"/>
        <n v="42175054" u="1"/>
        <n v="45077670" u="1"/>
        <n v="44415587" u="1"/>
        <n v="9981919" u="1"/>
        <n v="9531043" u="1"/>
        <n v="3999403" u="1"/>
        <n v="23325442" u="1"/>
        <n v="70266206" u="1"/>
        <n v="45624828" u="1"/>
        <n v="45818460" u="1"/>
        <n v="40866563" u="1"/>
        <n v="72854385" u="1"/>
        <n v="6579737" u="1"/>
        <n v="76347281" u="1"/>
        <n v="41000503" u="1"/>
        <n v="70520582" u="1"/>
        <n v="76258415" u="1"/>
        <n v="43545313" u="1"/>
        <n v="80634487" u="1"/>
        <n v="73001780" u="1"/>
        <n v="46775501" u="1"/>
        <n v="47194699" u="1"/>
        <n v="47837631" u="1"/>
        <n v="9224698" u="1"/>
        <n v="45353249" u="1"/>
        <n v="72262010" u="1"/>
        <n v="40725744" u="1"/>
        <n v="76628644" u="1"/>
        <n v="73470963" u="1"/>
        <n v="40706625" u="1"/>
        <n v="42030723" u="1"/>
        <n v="29845778" u="1"/>
        <n v="74945156" u="1"/>
        <n v="9773168" u="1"/>
        <n v="48117714" u="1"/>
        <n v="29847256" u="1"/>
        <n v="70975682" u="1"/>
        <n v="9596451" u="1"/>
        <n v="43594330" u="1"/>
        <n v="44466268" u="1"/>
        <n v="80590646" u="1"/>
        <n v="43986734" u="1"/>
        <n v="42034703" u="1"/>
        <n v="73888606" u="1"/>
        <n v="70364032" u="1"/>
        <n v="40450337" u="1"/>
        <n v="47020846" u="1"/>
        <n v="48661752" u="1"/>
        <n v="9482887" u="1"/>
        <n v="74433868" u="1"/>
        <n v="75496514" u="1"/>
        <n v="71777317" u="1"/>
        <n v="47679777" u="1"/>
        <n v="72266290" u="1"/>
        <n v="10597757" u="1"/>
        <n v="46972877" u="1"/>
        <n v="77054178" u="1"/>
        <n v="48184466" u="1"/>
        <n v="45263215" u="1"/>
        <n v="10064682" u="1"/>
        <n v="40323429" u="1"/>
        <n v="72145810" u="1"/>
        <n v="10354471" u="1"/>
        <n v="44666800" u="1"/>
        <n v="48198149" u="1"/>
        <n v="41551081" u="1"/>
        <n v="10726418" u="1"/>
        <n v="3959445" u="1"/>
        <n v="22022535" u="1"/>
        <n v="48340760" u="1"/>
        <n v="70474858" u="1"/>
        <n v="76738993" u="1"/>
        <n v="74823364" u="1"/>
        <n v="75388421" u="1"/>
        <n v="46216848" u="1"/>
        <n v="76050888" u="1"/>
        <n v="22215587" u="1"/>
        <n v="41984186" u="1"/>
        <n v="73952194" u="1"/>
        <n v="42049854" u="1"/>
        <n v="46442542" u="1"/>
        <n v="42974033" u="1"/>
        <n v="27202952" u="1"/>
        <n v="47019902" u="1"/>
        <n v="8435169" u="1"/>
        <n v="29655688" u="1"/>
        <n v="75332065" u="1"/>
        <n v="48992140" u="1"/>
        <n v="43394611" u="1"/>
        <n v="41565080" u="1"/>
        <n v="45536962" u="1"/>
        <n v="46762462" u="1"/>
        <n v="77572306" u="1"/>
        <n v="43068611" u="1"/>
        <n v="45293081" u="1"/>
        <n v="76092838" u="1"/>
        <n v="27154341" u="1"/>
        <n v="70422409" u="1"/>
        <n v="40970625" u="1"/>
        <n v="43488773" u="1"/>
        <n v="44103435" u="1"/>
        <n v="42329905" u="1"/>
        <n v="6983900" u="1"/>
        <n v="7524697" u="1"/>
        <n v="43034649" u="1"/>
        <n v="72458963" u="1"/>
        <n v="43154518" u="1"/>
        <n v="6048285" u="1"/>
        <n v="72156258" u="1"/>
        <n v="42120946" u="1"/>
        <n v="44363183" u="1"/>
        <n v="47397747" u="1"/>
        <n v="41876969" u="1"/>
        <n v="73172831" u="1"/>
        <n v="43200843" u="1"/>
        <n v="10387711" u="1"/>
        <n v="43567672" u="1"/>
        <n v="43309656" u="1"/>
      </sharedItems>
    </cacheField>
    <cacheField name="APELLIDOS Y NOMBRES" numFmtId="0">
      <sharedItems containsBlank="1" count="8000">
        <s v="CORDOVA VARA SEBASTIAN"/>
        <s v="DUEÑAS MACHUCA ROY"/>
        <s v="ESPINOZA LIZA DEUN ALDAIR"/>
        <s v="LLECLLISHTORRES VICTOR ALEXANDER"/>
        <s v="LUQUE TARAZONA JHON ALEXANDER"/>
        <s v="MACHUCA CONDORI ESAU"/>
        <s v="REBAZA ANAYA BILLY JACK"/>
        <s v="TASSARA ESQUIVES ALENIS RAMSES"/>
        <s v="PUSMA COELLO JUAN ISMAEL"/>
        <s v="MERMA CAMACHI PIERO ALESSANDRO"/>
        <s v="GONZALES MEDINA ISRAEL FERNANDO"/>
        <s v="ORTIZ GALLEGOS KEILA PRISCILA VASTI"/>
        <s v="LOPEZ OTERO RIBALDO "/>
        <s v="RAMOS FARRO JEREMHIS JARED"/>
        <s v="OLIVEIRA CORNEJO JAIRO MAURICIO "/>
        <s v="CUEVA CHUQUIHUANGA YAN CARLOS"/>
        <s v="CAMACHO CHAVEZ RICHARD DANIEL"/>
        <s v="ZEGARRA ALVAREZ FABIANO ARTURO"/>
        <s v="MERCADO MUÑOZ ALEX DANIEL "/>
        <s v="RODRIGUEZ HUAMANI JESUS ARTURO"/>
        <s v="SARMIENTO ESPINO GEORGE LEONE"/>
        <s v="GONZALES ABAN NINO EDGAR"/>
        <s v="RAMIREZ FLORENCIO CESAR AUGUSTO"/>
        <s v="LINDERMAN REBAZA MIGUEL ANGEL"/>
        <s v="MARTINEZ PECHO MADERYCK ANGEL"/>
        <s v="BOJORQUEZ SAPAILLE JEAN PIERRE ISACC"/>
        <s v="QUEZADA TRUJILLO KAREN MIRNA"/>
        <s v="ESPINAR GONZALES STWARDO MATIAS"/>
        <s v="HERRERA NOVOA FREDD MARTIN ANGEL"/>
        <s v="QUINGA RENGIFO ALEXIS"/>
        <s v="RUIZ BERNALES JEAN PIERRE"/>
        <s v="ESPINOZA DUEÑAS ERNESTO ROBERTO"/>
        <s v="PISCO SANGAMA JOSIAS"/>
        <s v="SEVILLANO FLORES, JHOJAN GIANPIER"/>
        <s v="ZAMBRANO FERRE STHEFANO ALEJANDRO"/>
        <s v="ROJAS ROSAS DIEGO NICOLAS"/>
        <s v="SAMANAMUD MEDINA WALTER FABRIZIO"/>
        <s v="GUTIERREZ GUERRA MATTHEW"/>
        <s v="IBARRA COSTAS ANA PAOLA"/>
        <s v="SALCEDO STARRIPA SOFIA MILAGROS"/>
        <s v="CONDE PIÑA TREYSI RUTH"/>
        <s v="BARRIENTOS CHAUCA NATALIA JESUS"/>
        <s v="AYLAS CESPEDES NEYER JAIRO"/>
        <s v="VIA Y RADA MANRIQUE MARLON AARON"/>
        <s v="Figueroa López Antonella Ingrid"/>
        <s v="Jacobo Salinas pamela Alexandra"/>
        <s v="Romero Cordova Gerson Tomas"/>
        <s v="Paso Onayram Josselyn Carla"/>
        <s v="RAMIREZ SANCHEZ JUAN MIGUEL "/>
        <s v="TOVAR FERNANDEZ JOSEPH PIERE"/>
        <s v="Alvarado Rodriguez Osmar Mair"/>
        <s v="GARCIA VASQUEZ LUIS MARIO"/>
        <s v="BOJANICH RAMIREZ BRATZO ALEXANDER"/>
        <s v="OLIVERA NINAQUISPE DENILSON FRANCK"/>
        <s v="BAQUEDANO MAYO CESAR AUGUSTO"/>
        <s v="HAYQUI ROMERO LUIS ANGEL"/>
        <s v="DE LA CRUZ PURIHUAMAN SEGUNDO LEOPOLDO"/>
        <s v="TEJEIRA ALVAREZ ALVARO DANIEL"/>
        <s v="ISUIZA DEL AGUILA ALBERTO DANIEL "/>
        <s v="ASALDE ACOSTA JHERSSON FABIAN"/>
        <s v="HUAMAN SALVADOR DIONY"/>
        <s v="RAMOS QUISPE RICARDO MIGUEL"/>
        <s v="RODRIGUEZ LLALLIRE PIERO ALEJANDRO"/>
        <s v="ROSSI CASIMIRO FABIO ALESSANDRO"/>
        <s v="SAMANAMUD MEDINA WALTER FABRICIO"/>
        <s v="GUTIERREZ VALDIVIA ENZO ANDRE"/>
        <s v="BACA SANCHEZ CARLA BRIGITH"/>
        <s v="CORDOVA REYES JUAN PABLO DAVID"/>
        <s v="DE LA CRUZ PURIHUAMAN NOE"/>
        <s v="HURTADO COTRINA DIEGO GABRIEL"/>
        <s v="ROJAS COLUNCHE DARLIN ANTONI"/>
        <s v="SANDOVAL AGUILAR JOSE MIGUEL"/>
        <s v="TORRES VALENTIN MIGUEL CARLOS"/>
        <s v="WALDE CISNEROS HAROLD JAIR"/>
        <s v="MAMANI RAYMUNDO JHONNY RAFAEL "/>
        <s v="HUAMÁN CÁRDENAS JOYSIE ARIANA "/>
        <s v="CALERO VEGA GONZALO FELIX "/>
        <s v="CONDORI CUTIPA DARWIN YOSEPHY "/>
        <s v="COVEÑAS SILVA LUIS ALBERTO"/>
        <s v="PERALES PALMA ROBERT MITCHEL "/>
        <s v="SIAS SANTILLAN JHAROLD MAYKLIN "/>
        <s v="GUERRERO GARCIA ELSER GIANPIERE"/>
        <s v="SOTO NUÑEZ LIBERSON"/>
        <s v="KUKUSH TINCHO,JACK"/>
        <s v="QUISPE ROSAS,JHOSEPT CIXE"/>
        <s v="MEDINA ARICA,CARLOS RUBEN"/>
        <s v="RIOS SANCHEZ, WILDOMAR"/>
        <s v="PORRAS LAURA, JHAMIL"/>
        <s v="CASTILLO YNGA, RUBEN EFRAIN"/>
        <s v="SIMON VEGA, YHOLINO ALVANO"/>
        <s v="DIAZ CADENILLAS, SIXTO ANDRES"/>
        <s v="JESUS REGALADO, FIORELLA LIZETH"/>
        <s v="ERNAU GIL,PABLO DANIEL"/>
        <s v="NINO BALTAZAR,ANDERSON"/>
        <s v="PASIGUAN LIZANO,ANTHONY FRANCISCO"/>
        <s v="VALQUI VASQUEZ,CRISTHOFER ANTONY"/>
        <s v="JIMENEZ MORE,FELIX OMAR"/>
        <s v="CARRERA DUENAS,VICTOR AUGUSTO"/>
        <s v="REDHEAD HUAMAN,FABIAN ROBERT"/>
        <s v="SOSA HUAMAN ,ALEX ELIAS"/>
        <s v="CHUJUTALLI ROJAS,ALEXIS MAURO"/>
        <s v="SALDAÑA ARAUJO JEAN"/>
        <s v="FERNANDEZ ANGELES JESUS GABRIEL"/>
        <s v="LOPEZ DEL CASTILLO EDUARDO"/>
        <s v="ÑAHUINCOPA HUARANCA ALFREDO"/>
        <s v="LEON BARRETO, JUAN MANUEL"/>
        <s v="GARCIA LOPEZ, CRITHIAN"/>
        <s v="VELARDE CONDEZO, GIULIANNO STHEFANO"/>
        <s v="LOPEZ CRUZ MILUSKA DEL PILAR"/>
        <s v="SALAZAR ROMERO ENRIQUE ALEJANDRO"/>
        <s v="MORENO ESTRADA ANGEL ANIBAL"/>
        <s v="GRANDEZ SINARAHUA CARLOS DANIEL"/>
        <s v="DURAN FRIAS,YOSTIN"/>
        <s v="ALANYA HERRERA,LEONARDO ALEXIS"/>
        <s v="TORRES MATTO,ESTEFANO DANIEL"/>
        <s v="TORRES PEREZ,CESAR ANDRES"/>
        <s v="HUMAREDA NUÑEZ,JOSEPH LEONARDO FRANCO"/>
        <s v="CARRERA VALDERRAMA,PERCY ERNESTO"/>
        <s v="CHAVEZ QUISPE,GARY JUNIOR"/>
        <s v="ARIAS IJUMA,JOSE LUIS"/>
        <s v="ROJAS MEDRANO,JUAN MANUEL"/>
        <s v="MUNAYLLA PEREZ,RICARDO BENJAMIN"/>
        <s v="PEREZ RAMOS,EDINSON LEONARDO"/>
        <s v="MORALES CAHUANA,CRISTHIAN WILFREDO"/>
        <s v="JANANPA MARTINEZ,DIEGO ALONSO"/>
        <s v="MACAVILCA GODOY,CARLOS"/>
        <s v="FLORES MARTINEZ,MARTIN ALEXIS"/>
        <s v="MONTEZA CACERES,JEREMY ANDRE"/>
        <s v="ALEJANDRIA GUEVARA,LEONARDO EULISES"/>
        <s v="GUEVARA GUEVARA,JOSE REILI"/>
        <s v="GAVIDIA COLLANA,JEFFERSON JAIR"/>
        <s v="ZAMBRANO BOCANEGRA,ROLIN ENOC"/>
        <s v="ZAMBRANO CATASHUNGA,JUAN DIEGO"/>
        <s v="MAUTINO ACAPANA,JERSON EFRAIN"/>
        <s v="ANTARA YALI,ROBERTO"/>
        <s v="VELASQUEZ ROMERO,ELVIS JANDER"/>
        <s v="YOVERA CASTRO,DEYVI JAIR"/>
        <s v="RODRIGUEZ ROJAS,RONALDO ANDREY"/>
        <s v="USHIÑAHUA NAVARRO,CARLOS SANTIAGO"/>
        <s v="PINCHI MONTES,JOSUE ESTEBAN"/>
        <s v="RIVAS HURTADO,PABLO"/>
        <s v="SANDOVAL CASTILLO,ALEJANDRO EFRAIN"/>
        <s v="INOLOPU ONCEBAY,ROBERTO BRAYAN"/>
        <s v="MARIN DIAZ,HENRY LEONARDO"/>
        <s v="VERA VILLEGAS,NILTON JONATAN"/>
        <s v="FUNG GAMERO LI SAN"/>
        <s v="HIPOLITO CABANILLAS PIERO ALEXANDER"/>
        <s v="JIMENEZ CALIXTO JOSEPH ROBERTO"/>
        <s v="MONTES MORI YHONNY ANDRE"/>
        <s v="PASCO GARFIAS HECTOR ALBERTO"/>
        <s v="REATEGUI PORTELO ANDY JOSEPH"/>
        <s v="ROJAS FERNANDEZ DANIEL STEVEN"/>
        <s v="SALAZAR CHAVEZ YAN MARCO"/>
        <s v="VILCHEZ CUADROS PAUL JESUS"/>
        <s v="LOZADA GARCIA STEFANO MICHELL"/>
        <s v="GUEVARA MERECI OLENKA MARIANA"/>
        <s v="CALDERON CHUJUTALLI JOEL ANTONIO"/>
        <s v="VARGAS RONDON JEAN PAUL SEGUNDO"/>
        <s v="ZEVALLOS MURAYARI DENIS OSWALDO"/>
        <s v="SANCHEZ JIMENEZ ALEXANDER "/>
        <s v="LOPERA JULCA AARON"/>
        <s v="OCHOA SAAVEDRA JUAN DAVID"/>
        <s v="ESPINOZA CHAPILLIQUEN PEDRO"/>
        <s v="PADILLA YARANGA BRAYAN JUNIOR"/>
        <s v="GUIDO PEDRO BRONCANO LIVIA"/>
        <s v="YOVANY GORDHY RODAS PALOMINO "/>
        <s v="JHAN FELIX RIVERA LIVIA"/>
        <s v="JORGE LUIS TADEO CAMONES"/>
        <s v="GINO FABRIZIO ROSARIO ARAUJO"/>
        <s v="ERICK ALVARO MONTERO AYUSTA"/>
        <s v="GERARDO ISMAEL JAVIER MORALES"/>
        <s v="JOSE LUIS ESQUECHE AGURTO"/>
        <s v="ALDO JEFFERSON GONZALEZ SANTOS"/>
        <s v="JOHNNY LERNER AREVALO ZUMBA"/>
        <s v="HECTOR GABRIEL DELGADO ALARCON "/>
        <s v="RENZO SANTIAGO CHUQUITAL ZAVALETA "/>
        <s v="JOSEPH GIANFRANCO SANCHEZ VASQUEZ"/>
        <s v="VICTOR GIANCARLO ALARCON ACUÑA"/>
        <s v="ELVIS JESUS ALEJANDRO CHUMPITAZ  TORRES"/>
        <s v="CARLOS DANIEL JUAREZ NAVARRO"/>
        <s v="ADRIANO ANGEL YANQUE HUALLPAR"/>
        <s v="CAJO REYES JEAN CARLOS"/>
        <s v="CHAVEZ ENCALADA EDWIN LISANDRO"/>
        <s v="CIVICO VEGA OSCAR IVAN"/>
        <s v="GALVEZ GALVEZ ROGER ANDERSON"/>
        <s v="HUAYANAY RAMIREZ CARLOS PAUL"/>
        <s v="HURTADO PIO LUIS FRANCO"/>
        <s v="URQUIAGA CARRERA DENILSON ALDAIR"/>
        <s v="ZAZZALI MARTINEZ LUIS LIV ARTUR"/>
        <s v="ALONSO RENGIFO MATIAS ORESTES"/>
        <s v="PALACIOS BERROA DAVID ALFREDO"/>
        <s v="RIOS GARIBAY JERSON DANIEL"/>
        <s v="VIDAL VILLANUEVA JEAN PAUL LIZANDRO"/>
        <s v="ALVARADO ALVARADO ZANDRO"/>
        <s v="PALOMINO ARROYO DAVID ESTUWAR"/>
        <s v="CASTRO PACHECO ANDERSON LEONARDO"/>
        <s v="MIJAHUANGA GUEVARA YHAN CARLOS"/>
        <s v="PAREDES DEL AGUILA ADZARIA CESAR"/>
        <s v="ORENCIO PRINCIPE DEYANIRA ANTUANE"/>
        <s v="IBAÑEZ PRIMO MIGUEL ANTONY"/>
        <s v="MESIA ALVAREZ MERITA FIORELLY"/>
        <s v="CARDENAS MORALES EDUARDO "/>
        <s v="CALDERON TORO RENZO ZAMUEL"/>
        <s v="CASAS GOCHE RENZO JACK ANDRY"/>
        <s v="HUAYTA CORNELIO RENZO AUGUSTO"/>
        <s v="MERA VASQUEZ JHONATAN SIDANI"/>
        <s v="ABARCA GARCIA JORGE MIGUEL"/>
        <s v="SANCHEZ PEREZ FABIAN ALEXIS"/>
        <s v="BEJARANO ROJAS JEAN PIERRE"/>
        <s v="GUEVARA ABANTO IARLEY JOSELITO "/>
        <s v="CUETO ITURRIZAGA CESAR RONALDO JOHAO"/>
        <s v="PINEDA SANCHEZ LUIS JESUS"/>
        <s v="AYERVE SALDAÑA PIERO HERNANDO"/>
        <s v="CAMPOS PARRA FRANSAIS STEVE"/>
        <s v="SALAZAR VIDAURRE STEPHANO"/>
        <s v="JORDAN CORREA CESAR GIOVANI"/>
        <s v="HUAPAYA ALEJANDRO STHEVEN DULMAN CARLOS"/>
        <s v="CABREJOS RIVADENEYRA JHON"/>
        <s v="FREUNDT CHANG LUIS JUNIOR"/>
        <s v="MONTEZA BECERRA YOISER ISMAEL"/>
        <s v="QUISPE CLAROS LUIS ENRIQUE "/>
        <s v="CHIROQUE NIEVES JUAN DE DIOS"/>
        <s v="COSME REYES YOSELIN YASMIN"/>
        <s v="CARHUAPOMA ARANGUEZ EDWARD JESUS"/>
        <s v="GALLO ROMERO JEAN FRANCO"/>
        <s v="HUANCA ROJAS ANTONY"/>
        <s v="ALVARADO CARBAJAL ANDERSON FABIAN"/>
        <s v="TANCHIVA INCHE DIEGO ELI"/>
        <s v="BERNA CANGALAYA JARET KARIM"/>
        <s v="SUAREZ MONTEJO BRUCEE ALI"/>
        <s v="VASQUEZ AGREDA YORKYS JOSE"/>
        <s v="AMPUERO VEGA ANDRES DANIEL"/>
        <s v="MENDOZA VERGARAY JUAN GIUSEPPI"/>
        <s v="ARTICA ROJAS VIVAR CHRISTIAN"/>
        <s v="CASTILLO ARTEAGA  JEAN CLISMA"/>
        <s v="CASTILLO VASQUEZ ALEXANDER DAVID"/>
        <s v="DIAZ COSME ROY ROGGER"/>
        <s v="FARJE SANDOVAL JORGE"/>
        <s v="FLORES FLORES JHOANA EDITH"/>
        <s v="HORNA GOMEZ LUIS ALEXANDER"/>
        <s v="MANRIQUE CHIPANA SAMMY IVAN"/>
        <s v="MARIÑO HAYA MARIA MILAGROS"/>
        <s v="MEDRANO YUPANQUI JHOAN LU"/>
        <s v="MOCILOTE SANCHEZ DODI ALEXANDER"/>
        <s v="MONZON CCATAMAYO KEVIN ARNOLD "/>
        <s v="NINANYA CHUQUIVILCA FRANCK JONHSON"/>
        <s v="NIQUIN  CENTURION MIGUEL ANGEL"/>
        <s v="ORTIZ RAFAEL ALDO"/>
        <s v="PALOMINO SIMBRON JUAN CARLO"/>
        <s v="PIMENTEL LOPEZ DEYTON"/>
        <s v="PINEDO TORRE ARIEL GIRALDO "/>
        <s v="RIVERA ORTIZ JOSE ROSENDO"/>
        <s v="ROQUE PRIETO GEAMPIERE"/>
        <s v="ROSALES ESPINOZA JODIN ELMER "/>
        <s v="SANCHEZ ROSAS FRANKLIN PAUL"/>
        <s v="SANTOS ULLOA NICOLAS CRISTIAN"/>
        <s v="SILVA LIMAY JUAN"/>
        <s v="TABOADA GOMES DIEGO"/>
        <s v="VIVAR VELA CARLOS GERSON"/>
        <s v="GUARDIA RIOS ELLIOT JOULE"/>
        <s v="LOPEZ PICON JEAN CARLOS"/>
        <s v="CHALLCO ESPINO OSCAR "/>
        <s v="CERNA CALDERON ROLANDO OTTO"/>
        <s v="POZO FUSTER RAFAEL"/>
        <s v="CALVO ZÚÑIGA HERNÁN"/>
        <s v="FELIX RAMOS MAYRA ALEJANDRA"/>
        <s v="CULQUICONDOR GUERRERO JAIME"/>
        <s v="VALERIO MIRANDA GIOVANI ALDAIR "/>
        <s v="MEDRANO ECHEGARAY JOSE"/>
        <s v="CAMARENA JURADO DANIEL CARLOS"/>
        <s v="MURO CARPENA LUIS DANIEL"/>
        <s v="BARCO BARCO JAIRO"/>
        <s v="VELASQUEZ GUEVARA MANUEL VIDAL"/>
        <s v="GALLO AGUILAR ANGELO"/>
        <s v="PORRAS CUNYAS ROYER RANDY"/>
        <s v="CONDORI ERASO JIAN CARLOS"/>
        <s v="CALLAÑAUPA ROMERO CESAR "/>
        <s v="MONTES BARRERA LUIS DAVID"/>
        <s v="VALENCIA AGURTO AMERICO ANGEL"/>
        <s v="HUAREZ ALBINES JULIO CESAR JULINHO"/>
        <s v="MILLA TAMARIZ ALEXANDER PASCUAL"/>
        <s v="ESPINOZA PEREZ ANGEL ABRAN"/>
        <s v="ROJAS CORNEJO JOEL"/>
        <s v="LOPEZ MARQUEZ JEFFERSON"/>
        <s v="VARGAS LANAZCA LUIS ALFREDO"/>
        <s v="CUEVA OBREGON MIGUEL ANTONIO"/>
        <s v="GIL VERA MILER"/>
        <s v="HUERTO PALOMINO MELANY MAYRA"/>
        <s v="PUSCAN ROJAS ELVIS"/>
        <s v="SULLCARAY REQUIS JHON RICARDO"/>
        <s v="TORREZ MELENDES MISAEL"/>
        <s v="YOVERA ESPINOZA LUIS MIGUEL"/>
        <s v="LIMA SULLCA GERSON"/>
        <s v="COSME VALLADARES MAYSOL RODRIGO"/>
        <s v="LLANTOY REYES CLEDER ALVARO"/>
        <s v="LIBIAS BECERRA NICOLE BRENDA"/>
        <s v="CAMPOS GALINDO MICHAEL DENNIS"/>
        <s v="GARIBAY BALBOA BENJAMIN"/>
        <s v="GUEVARA LLATAS MANUEL"/>
        <s v="DIAZ TABOADA CRISTIAN OMAR "/>
        <s v="FERIA NUNJAR YEFER IVAN"/>
        <s v="HUACHO DOMINGUEZ JESUS ALEXANDER "/>
        <s v="LLIUYACC ZEVALLOS RAUL"/>
        <s v="RUIZ ESCOBAR EMERSON"/>
        <s v="SANCHEZ CRUZADO KELLY ESTEFANY"/>
        <s v="GOMEZ JANCACHAGUA DANIEL"/>
        <s v="HUAMAN MANDORTUPA EDWIN"/>
        <s v="MEGO VARGAS LUIS FERNANDO"/>
        <s v="LAMA VILLACORTA CARLOS DANIEL"/>
        <s v="CURAY PALACIOS FRANCISCO JAVIER"/>
        <s v="QUIJANA ALCAZAR CIRO MARTIN"/>
        <s v="CARDOZA BAÑEZ HAROLD RUBEN"/>
        <s v="BERNALES MACEDO ARTURO"/>
        <s v="LEVANO YALICO ELIO ANDRE"/>
        <s v="BERNALES MACEDO LUIS"/>
        <s v="RODRIGUEZ RODRIGUEZ CARLOS FRANCISCO"/>
        <s v="NEIRA LOPEZ D'ANGELLO FRANCISCO ANDREE"/>
        <s v="JULCA MUNAYLLA ALVARADO GEANPIERRE"/>
        <s v="BONILLA SUCA ERICK"/>
        <s v="CCAICO ATOCCSA GERARDS ELISEO"/>
        <s v="HERRERA PEÑA JOAO PAOLO"/>
        <s v="MOZOMBITE LABAJOS BRACOVICH"/>
        <s v="CALDERON RAMOS EVER"/>
        <s v="HERRERA CASTILLO EDSON "/>
        <s v="ALTAMIRANO PACHECO KIARA BELEN"/>
        <s v="MENDIETA PISCO RUBI ESMERALDA"/>
        <s v="CHUYES VILLEGAS LUIGI ALEXANDER"/>
        <s v="JAUREGUI PACAYA KENJI"/>
        <s v="PACHECO PALACIOS JOSE DANIEL"/>
        <s v="ROJAS PEREZ JULIO CESAR"/>
        <s v="SOTO ALANYA JOSIMAR"/>
        <s v="ACUÑA VASQUEZ BAYRON BERNY"/>
        <s v="MANRIQUE JERONIMO ALMENDRA RUBI"/>
        <s v="BARROSO ACUÑA, ANDY MANUEL"/>
        <s v="CACERES GUERRA, LUIS FABIO"/>
        <s v="CORTEZ LOPEZ, JESUS GERSON"/>
        <s v="FERNANDEZ DULANTO KEVIN ANDRE"/>
        <s v="GALVEZ MEZA, KEVIN"/>
        <s v="GARCIA SULLCA, RAFAEL"/>
        <s v="INGA NAUPAY, OLIGARIO"/>
        <s v="RAMIREZ GUERRA, ALEX"/>
        <s v="TORRES DAVILA ANATER"/>
        <s v="TORRES INFANTE WILSON SOCRATES"/>
        <s v="VILLALOBOS SALVADOR, ALEXIS JOSUE"/>
        <s v="YNFANZON SALAS, ELMO DANIEL"/>
        <s v="ROMERO MENDIETA ROCIO LILIBETH"/>
        <s v="ALBAN DOMINGUEZ ANDY ANTONY"/>
        <s v="GONZALES FUERTES JEAN STEFANO"/>
        <s v="MARIN ANICETO PAUL ANTHONY"/>
        <s v="QUIROZ CESIAS NELSON ALDAIR "/>
        <s v="CARBAJAL NOE KEVIN JHONNER"/>
        <s v="HEREDIA VASQUEZ GEINER"/>
        <s v="GONZALES SMITH CESAR ERNESTO"/>
        <s v="ARROYO MURGA REVEN ARTURO"/>
        <s v="MARCOS RUBIO MARTIN SEBASTIAN"/>
        <s v="TAIPE TELLO AMADEO VALENTIN"/>
        <s v="CACERES TICLLAS JHORDAN JHAIR"/>
        <s v="CARBAJAL VIGO LUIS ENRIQUE"/>
        <s v="PIÑA PETTERMAN TEDDY"/>
        <s v="VIGO GOICOCHEA EDWAR GIANMARCO"/>
        <s v="BASILIO TELLO HECTOR JUNIOR"/>
        <s v="VALVERDE LAURIANO, CARLOS RAFAEL"/>
        <s v="HERNANDEZ CCAHUANA JUAN MANUEL"/>
        <s v="CONTRERAS PANIAGUA JUNIOR EFRAIN "/>
        <s v="DIAZ PEDRAZA EDSON DAVID"/>
        <s v="ACUACHE DE LA CRUZ WILLIAM REYNALDO"/>
        <s v="FERNANDEZ URBANO JHONNY FRANK"/>
        <s v="QUISPE ESPINAL LEYDI VANESSA"/>
        <s v="SALCEDO SEQUEIROS NILZON"/>
        <s v="AZAÑERO VASQUEZ BRYAN JOSSUAT"/>
        <s v="ALAMA HOLGUIN NILSSON ALAIN"/>
        <s v="RODRIGUEZ GONZALES LI JAIRO JHAIR"/>
        <s v="MORALES VERA CRISTOFFER JOEL"/>
        <s v="QUISPE SILVA JUNIOR DANIEL"/>
        <s v="PAREDES CHECA JOSUE JOZABED"/>
        <s v="MARCELO ZUÑIGA JONATHAN MIGUEL"/>
        <s v="LLANOS ESPINOZA ALEX CRISTIAN"/>
        <s v="ALEGRE RIOS DAVID JOSUE"/>
        <s v="CASTILLO ROJAS LUIS ANTONIO"/>
        <s v="CENTURION GARCIA JESUS SERGIO"/>
        <s v="NIETO VARGAS LUIGUI"/>
        <s v="BARDALES CASTILLO LUIS ANGEL"/>
        <s v="CORDOVA JULIAN GIUSSEPE EDUARDO "/>
        <s v="CARHUALLANQUI CAMARENA DEDI "/>
        <s v="HUAPAYA RIVERA LESLIE MABEL"/>
        <s v="HERNANDEZ SANCHEZ JUAN ALEXIS "/>
        <s v="MENDOZA HUARCAYA JEAN CARLOS "/>
        <s v="CONGORA MUÑOZ DENIS YERSON "/>
        <s v="GUERRA CHAVEZ DIEGO ALMAGRO "/>
        <s v="BARZOLA HUAYANCA RICHARD ELMER "/>
        <s v="GUEVARA INOSTROZA MERSIL OMAR"/>
        <s v="QUISPE CCACCYA SAUL"/>
        <s v="CHERO BERRIOS CHRISTIAN JAVIER "/>
        <s v="MENDIVIL GARCIA  JHARUMY MELANYE"/>
        <s v="ENCARNACION VARILLAS YOVER YOSMELITO"/>
        <s v="MORALES DE LA CRUZ ELIO"/>
        <s v="BARRETO VIVANCO JOSE LUIS"/>
        <s v="CORDOVA MARTINEZ KEVIN HECTOR"/>
        <s v="BERNALES CHANDUVI ALEX RICARDO "/>
        <s v="BERNALES MAZA CARLOS DANIEL"/>
        <s v="RIVAS LEANDRES JOSE CRISTIAN ALEJANDRO"/>
        <s v="PISCO SANGAMA EROHITO"/>
        <s v="CHAHUA CORRO CESAR OLMER"/>
        <s v="BECERRA CONDE ERICK BRAYAN"/>
        <s v="MORENO PUMA JANZ"/>
        <s v="PILLACA QUISPE DARIO MOISES"/>
        <s v="BENDEZU GONZALES JAISON VICTOR"/>
        <s v="BENDEZU GONZALES RONALDIÑO  JESUS "/>
        <s v="BERROCAL INOCENTE  JHON FRANKLIN "/>
        <s v="CARRANZA ALVIS FRANK BRUNER"/>
        <s v="CARRASCO CASTILLO GIOVANNI"/>
        <s v="CCANTO GONZALES  KEVIN JEFFERSON"/>
        <s v="CHURATA CHUQUIJA ELISEO"/>
        <s v="COLLANTES LOZANO JEREMIAS"/>
        <s v="CONDORI ERASO  JUAN CARLOS"/>
        <s v="DAZA LUNA ROGELIO ENRIQUE"/>
        <s v="MEZA GARCIA NELZON"/>
        <s v="DE LA CRUZ INGA MIGUEL ANGEL"/>
        <s v="DE MARCO GAMARRA MARCO ALDAIR"/>
        <s v="DE MARCO GAMARRA MIJAID ANDERSON"/>
        <s v="GARCIA NIMA YAIR STALIN"/>
        <s v="GONZALES BENITES JAIR ALBERTO"/>
        <s v="GRADOS MACINES JIMMY ALBERT"/>
        <s v="HERNANDEZ DIAZ ANGEL ALEXIS"/>
        <s v="NIQUIN NAUPA AYRTON ANTHO"/>
        <s v="PICHARDO ESPINAL WILVER"/>
        <s v="ROSPIGLIOSI SANCHEZ GIANLOUI GIULIANO"/>
        <s v="ROJAS RAMIREZ ISAIAS"/>
        <s v="ROJAS RAMIREZ SAMUEL "/>
        <s v="ROJAS ROSAS CARLOS AUGUSTO"/>
        <s v="ROMANI VILCHEZ SAUL"/>
        <s v="SANTIESTEBAN PEREZ  JOSE ALFREDO"/>
        <s v="SAYES TAMARIZ  AARON ERICK SANTIAGO"/>
        <s v="SERPA ALCOSER MAYCOL JHORDAN "/>
        <s v="TINOCO ARELLANO EDSON ORESTES"/>
        <s v="ACHER EZETA MOISES"/>
        <s v="PASHANASI AMASIFUEN LISTER"/>
        <s v="QUESADA BENAVIDES BILLY BRYAN"/>
        <s v="BERROCAL INOCENTE JHON FRANKLIN"/>
        <s v="PILLACA BLAS JHONNATTAN DARIO"/>
        <s v="SOLARI ROBLES MAYCOL ESTIBEN"/>
        <s v="VERASTEGUI SANCHEZ RENZO CESAR"/>
        <s v="LAPA YUPANQUI, ALFREDO"/>
        <s v="PEREZ MALLMA, NELSON"/>
        <s v="SILVA PEÑA KETY PATRICIA"/>
        <s v="HUACHOPOMA CARHUANCHO LOISEL JOSE"/>
        <s v="PALACIN VENTURO PAULA ALBERTA"/>
        <s v="VILCALURI PAREDES MAILY BERLI"/>
        <s v="Paucar Chumbipuma  Wrayan Enrique"/>
        <s v="Huaraca Reyes Jesus Santiago"/>
        <s v="Zumaeta Garcia Cesar Riquel"/>
        <s v=" MARTINEZ DAVILA CESAR CRISTHOFER"/>
        <s v="ACOSTA RIOS CARMEN JUDITH"/>
        <s v="AGUILAR MOGOLLON RICARDO RAY"/>
        <s v="CARRILLO ROCA MILAGRO DE JESUS"/>
        <s v="MANRIQUE ESPINOZA MARLON MANUEL"/>
        <s v="MOORE TABOADA MARCOS EUSEBIO"/>
        <s v="PULUCHE SHAPIAMA BILLY BRANDON"/>
        <s v="SANGAMA FLORES MARCOS CAMILO"/>
        <s v="VENTURA ORTIZ MAX ALEXIS"/>
        <s v="Díaz Bazan Jhon Bryan"/>
        <s v="Nuñez Macalupu Jeanpierre Leonides"/>
        <s v="Oyarce Medina Jorge Luis "/>
        <s v="Ramirez Martinez Juan"/>
        <s v="Angulo Insil Franco Eduardo"/>
        <s v="Rodriguez Dominguez Frankler Amner"/>
        <s v="Casimiro Paucar Katherine Sharon"/>
        <s v="Arotinco Nomberto Betsye Isabel"/>
        <s v="Jamanca Hurtado Eder Alexander"/>
        <s v="Chuquillanqui Estrada Diego Augusto"/>
        <s v="CANCHARI QUISPE MIGUEL ANGEL "/>
        <s v="RODRIGUEZ SOLANO JHEYSON FERNANDO"/>
        <s v="MARTINEZ CALAGUA MARCOS BRUNO JOSE"/>
        <s v="CORDOVA DIAZ MARIA CLEOFE"/>
        <s v="LEGUIA MORENO GABRIEL ALEJANDRO"/>
        <s v="TOVAR FERNANDEZ FRANCEESCO PEDRO"/>
        <s v="SULLCA  CAHUANA  RAUL"/>
        <s v="LASTARRIA ENRIQUEZ ROBERT WILFREDO"/>
        <s v="SOTO BORJAS FRANK CHRISTIAN"/>
        <s v="IGLESIAS PERFECTO JUAN"/>
        <s v="MORALES VILCA CESAR AUGUSTO"/>
        <s v="REVILLA COTRINA JOE LUIS"/>
        <s v="FLORES CHISTAMA JHON"/>
        <s v="QUISPE ZAMATA JOSE ENRIQUE"/>
        <s v="Cordova Muchaypiña Waldir Josimar"/>
        <s v="Galvan Vargas Erick Joel"/>
        <s v="Guidotti Quispe Dercy Gabriel"/>
        <s v="Malpartida Hernandez Lister"/>
        <s v="Ortiz Flores Lander Gabriel"/>
        <s v="Quispe Maurtua Italo Xavier"/>
        <s v="Rosales Seclen Felix Fermin "/>
        <s v="Vega Reyes Paul Eduardo"/>
        <s v="RIVAS ORTIZ ASTRID CAROLINA"/>
        <s v="MEJIA SARAVIA ALEX MIGUEL"/>
        <s v="CORTEZ CHAUPE LUIS EDUARDO"/>
        <s v="USURIAGA DELGADO LUIS ANGEL"/>
        <s v="LUPACA HUARAC MELANIE BRIDGET"/>
        <s v="PALOMINO ESCALATE RANDU ANTONIO"/>
        <s v="GALA PARDO, ALEXANDER CRISTHIAN MARIANO "/>
        <s v="PUQUIO CIRILO ALDAIR RENZO"/>
        <s v="VILCA OCAMPO JUAN CARLOS"/>
        <s v="ESPINOZA MENDIZABAL EVELYN GERALDINE"/>
        <s v="UCEDA VILLAMARES JULIO CESAR"/>
        <s v="HUAYA OBREGON JUAN CARLOS"/>
        <s v="TELLO TEAGUA JOSE LUIS ANTONIO"/>
        <s v="SULLCA FACHIN ADRIAN ANDERSON"/>
        <s v="MARREROS ADVINCULA YONER ALONSO"/>
        <s v="IDELFONSO REYES JIMMY ROBERTO"/>
        <s v="MENDOZA CHOQUE, JOSE LUIS"/>
        <s v="CALAGUA CASTRO, ALEXIS ANDERSON"/>
        <s v="CABALLA DONAYRE GERSON ARTURO"/>
        <s v="FARFAN TORRES DARWIN ARISTIDES"/>
        <s v="VASQUEZ PANIURA BRAYAN"/>
        <s v="INGA FELIX MAYCOL NILTON"/>
        <s v="GARCIA VILCAPOMA JORGE LUIS"/>
        <s v="AGUILAR GARCIA, ISAAC ANDRES"/>
        <s v="VARGAS AGUILAR, CARLOS MARCELO"/>
        <s v="CARRIZALES VASQUEZ HANZ ALBERTO"/>
        <s v="VARELA MACAHUACHI ,NILO ANDRES"/>
        <s v="BELITO SOTO, ADOLFO HITLER"/>
        <s v="BENITES GUTIERREZ GIAN CARLOS"/>
        <s v="ALVARADO ANGULO MARIO ARTURO DEIVID MANUEL"/>
        <s v="CHECA TIGRE LUIGI ANTHONY"/>
        <s v="SEMINARIO CAMPOS ALEX EDUARDO"/>
        <s v="YATACO ORTIZ HIGINIO ROLANDO"/>
        <s v="TORRES ESCALANTE JUNIOR ARTURO"/>
        <s v="RAJO DELGADO ABEL ESEQUIAS"/>
        <s v="GOMEZ HUAMAN MATHIUS MICHAEL"/>
        <s v="LOZANO SANCHEZ HENRY IGNACIO"/>
        <s v="GOMEZ TAPULLIMA DERIAN GINO"/>
        <s v="SALAS PANDURO JHOAO"/>
        <s v="MATOS GAMBOA VALERIE GIANNELA"/>
        <s v="VARGAS VASQUEZ ELIZABETH ADAYANA "/>
        <s v="CHAUCA JAUNE KORAYMA VAITEARE "/>
        <s v="MANRIQUE BUSTAMANTE JOSE ANTONIO "/>
        <s v="PAUCARAJA PEREZ JOEL JUSTO"/>
        <s v="ORTIZ JUAREZ ALEXIS VALENTIN "/>
        <s v="SINCHE ZEVALLOS FRANCK ANTHONY "/>
        <s v="FRANCO PAOLO ACOSTA BARTOLO"/>
        <s v="CATASHUNGA PIÑA JUAN"/>
        <s v="ALARCON CARBONELL JOSE LUIS"/>
        <s v="AREVALO INUMA MOISES"/>
        <s v="AVENDAÑO VENEGAS BRAYAN"/>
        <s v="CAMPANA BARRETO AYRTON"/>
        <s v="CAMPOS LLERENA BRAYAN ENRIQUE"/>
        <s v="CASTAÑEDA NARRO LUIS CARLOS"/>
        <s v="CENTENO HARO JUAN EDINSON"/>
        <s v="CERVANTES MALLQUI LENIN"/>
        <s v="CHUQUIZUTA VERA  JOAN MANUEL"/>
        <s v="CORDOVA ARZAPALO CECILIA CHARITO"/>
        <s v="CUADROS CONTRERAS LUIS FERNANDO"/>
        <s v="DAVILA RODRIGUEZ JAIRO OMAR "/>
        <s v="DE LA CRUZ PURIHUAMAN HECTOR"/>
        <s v="HUAMAN CAJACHAHUA LUIS ENRIQUE "/>
        <s v="HUAYTALLA ROSALES JACKELINE JOVANA"/>
        <s v="JUAREZ PULACHE  JHORLIN JOEL"/>
        <s v="MEJIA ALANYA ELI JONATHAN "/>
        <s v="MEZA MONTES LUIS BRAYAN"/>
        <s v="MORALES TACO BRYAN STYVE"/>
        <s v="MOZOMBITE HEREDIA CESAR ADRIAN"/>
        <s v="NAVARRO RIOFRIO KEVIN OMAR"/>
        <s v="NEYRA TEJADA  ARNOLD CARLOS"/>
        <s v="PEREZ YARINGAÑO OSCAR PEPE"/>
        <s v="RODRIGUEZ GARCIA JORGE LUIS "/>
        <s v="RONDON LARA JEYSER DAVID"/>
        <s v="RUIZ SORIA JESUS ANDRES"/>
        <s v="SANCHEZ DEL POZO LENIN ALI"/>
        <s v="TAZZA BALDEON KEN JOHN ELMAIN "/>
        <s v="TOLENTINO ANDRADE JULIO CESAR"/>
        <s v="TOSCANO MARTINEZ GIOVANNY JAIRO"/>
        <s v="FALCON ESPINOZA JHON FRANKLIN"/>
        <s v="MONTESINOS DURAND LUIS EDUARDO"/>
        <s v="ARROYO SORIANO HUBER SUNIL"/>
        <s v="AYALA CALDERON MARCEL NOBEL"/>
        <s v="BACON FIGUEROA MIGUEL ANGEL"/>
        <s v="BARROSO ALFARO RODRIGO LEANDRO"/>
        <s v="BLANCAS SOTO YONSSON JONAS"/>
        <s v="CARRERA MONTESINOS VICTOR DAN"/>
        <s v="CASTRO SUAREZ JAIR JORDAN"/>
        <s v="CERVANTES SHUPINGAHUA REIDOR"/>
        <s v="COLCHADO FASABI JHONATAN PRIX"/>
        <s v="ESCALANTE MANRIQUE JOEL"/>
        <s v="ESPINOZA COLCHADO JUAN APOLINARIO"/>
        <s v="ESPIRITU OSCCO JOSE ENRIQUE"/>
        <s v="GARCIA GUEVARA ANGELINA GIORELLY"/>
        <s v="HUIMAN DE LA CRUZ LUIS MIGUEL"/>
        <s v="JUSTINIANO LAURA JORGE LUIS"/>
        <s v="LEÓN CAISAHUANA GOLEAT RENE"/>
        <s v="LEYVA CASTRO AQUILES ALONSO"/>
        <s v="MARIN MENDOZA SLEITER "/>
        <s v="MONTALVO CRUZ RICHARD MICKY "/>
        <s v="NUÑEZ CASTILLO JOSUE"/>
        <s v="NUÑEZ HUAMANI NILTON CESAR"/>
        <s v="PAICO RIVERA HEINER "/>
        <s v="PASTOR PAREDES EDWARD JOEL"/>
        <s v="PEREZ BERAUN BRYAN NELSON"/>
        <s v="PUERTA BARDALES JERBER KEMEL"/>
        <s v="QUINTERO FERNANDEZ MANUEL FRANCISCO"/>
        <s v="QUISPE MALASQUEZ ANDRES AMADOR "/>
        <s v="RAMIREZ HERNADEZ ALEXANDER MOISES"/>
        <s v="RAMIREZ HOLGUIN NYLSON XAVIER"/>
        <s v="REBAZA SOLIS FABRIZIO"/>
        <s v="REBAZA SOLIS PAULO CESAR"/>
        <s v="REYES FAJARDO HEBERT RENSO"/>
        <s v="ROJAS GUERRA ALEJANDRO JOSE"/>
        <s v="ROMERO SOTO DITMAR ROGGER "/>
        <s v="RUIZ CHAVEZ DAVID "/>
        <s v="TINEO EVANGELISTA JEIMI JORDAN "/>
        <s v="VELARDE CONDORI MILKO MIGUEL"/>
        <s v="VILLAVICENCIO ESCATE EDWIN GERALDO"/>
        <s v="CHAVEZ CESPEDES MANUEL AUGUSTO"/>
        <s v="ALTAMIRANO ORTIZ JOSE EDUARDO"/>
        <s v="SULCA VENERO ALVARO SERGIO"/>
        <s v="DIAZ ABAL JOSE LUIS EMANUEL"/>
        <s v="ARROYO ALANIA MISAEL BENJAMÍN "/>
        <s v="VEGA RIVERA CELIA DIANA"/>
        <s v="YARLEQUE ZAPATA LUIS YOSET"/>
        <s v="GONZALES BAUTISTA DEAN BRYAN"/>
        <s v="VEGA MENESES JUAN ALBERTO "/>
        <s v="VILLANTOY ZUÑIGA RENZO YOVANNI"/>
        <s v="MARCA FELIPE ANDY VICTOR"/>
        <s v="MORENO BELLIDO RICHARD EMERSON "/>
        <s v="DE LA CRUZ CALDERON JUAN KLIVER"/>
        <s v="CALLAPIÑA TINCO LUIS EDUARDO"/>
        <s v="AYALA GARCIA GRECIA MILAGROS"/>
        <s v="GIL ZELADA LISBETH"/>
        <s v="ROJAS MARREROS ALDO ANDRÉ"/>
        <s v="COHA HUARANCCA FELIPE "/>
        <s v="TAIPE RODRIGUEZ JUAN JAIME "/>
        <s v="MANZANARES DE LA CRUZ DEIVIS EDUARDO "/>
        <s v="RODRIGUEZ CABANILLAS MARIA REYNA ANTUANET "/>
        <s v="BERRIOS CORREA LUIS SANTIAGO"/>
        <s v="RAMOS COVEÑAS EDWIN JAVIER"/>
        <s v="AGUILAR CUZCANO YEN MEI-LI"/>
        <s v="LOZANO HUERTA OSCAR JESUS"/>
        <s v="CHACCHI RICRA MANUEL ALEXIS"/>
        <s v="BUSTAMANTE TENA HANS FRANSHESCO"/>
        <s v="ROJAS QUIROZ CHRISTIAN EDUARDO"/>
        <s v="VILLALOBOS GUZMAN CRISTIAN ALEXANDER "/>
        <s v="PINEDA LIVIAS EMERSON HECTOR"/>
        <s v="PADILLA GARCIA ADRIAN JESUS"/>
        <s v="CRUZ VALERIO LUIS ALFREDO "/>
        <s v="CASTRO HUAMAN CHRISTIAN AVELINO "/>
        <s v="ESPINOZA CASTILLO ERICK ALEXANDER"/>
        <s v="RIOS CASTRO ALI SAMIR"/>
        <s v="VALDERRAMA MEDINA JOSE JULIAN"/>
        <s v="CARDENAS SIERRA FIDEL ANTONI"/>
        <s v=" CHACCHI RAMOS JESUS"/>
        <s v=" PONTE APCHO PAOLO"/>
        <s v="COZ PARIONA ERICK MICHELL"/>
        <s v="VILLAVICENCIO CHAVEZ DANNY JOSEPH"/>
        <s v="PANTA PALMA JHON LESTER "/>
        <s v="CARBAJAL MARTINEZ  MICHAEL RONALD "/>
        <s v="CONDOR ARAUCO EDWIN"/>
        <s v="MONTES MARTINEZ CARLOS PAUL"/>
        <s v="MARQUEZ APARCO JUAN BRAYAN"/>
        <s v="PRADO YOVERA NOE DEL CARMEN "/>
        <s v="UCHARIMA HINOSTROZA EDISON JAIR "/>
        <s v="RODRIGUEZ SEGOVIA KEVIN "/>
        <s v="HUANCA CURRO CARLOS EDISON"/>
        <s v="CARLOS RUIZ FABIOLA ANDREA "/>
        <s v="GONZALES SALAS RICKY MARTIN "/>
        <s v="VICTOR DANIEL HUAMANI MALASQUEZ  "/>
        <s v="VILLANUEVA LIZANA EDINSON "/>
        <s v="MEJIA DURAN DAVID ANGELO"/>
        <s v="ZUNINI SALAZAR ERIK MIGUEL ANGEL"/>
        <s v="SALAZAR CABANILLAS JEAN CARLOS "/>
        <s v="MARIÑO CAJAS  JEAN   PIERO"/>
        <s v="SAAVEDRA CRUZ RONALDINHO "/>
        <s v="ARAMBURU SARDA LUIS GABRIEL "/>
        <s v="ACUÑA SOTO MARLENY YHOVANA"/>
        <s v="MALDONADO VENEGAS JEAN CARLOS"/>
        <s v="HIDALGO ROMERO, CESAR LUIS "/>
        <s v="REMIGIO MATTO VALENTIN"/>
        <s v="TORRE LEYBA WALTER EDWIN"/>
        <s v="CHIRINOS PUMA ROBERTO DANIEL RICARDO"/>
        <s v="LAREZ ROJAS JOSCARINA DEL VALLE"/>
        <s v="MAYHUA HURTADO AIRTON MILLER"/>
        <s v="FUENTES SANDOVAL JOHAN MANUEL FRANCISCO"/>
        <s v="CONDOR CANGALAYA JUAN DE DIOS"/>
        <s v="PALACIOS DIAZ JULIAN ALEJANDRO"/>
        <s v="CARRASCO PALOMINO CEDER"/>
        <s v="MEDINA RIVERA FRANCO RUDIL"/>
        <s v="PEÑA AQUINO DENILSON JESUS"/>
        <s v="VILLAVICENCIO ARIAS SERGIO JOEL"/>
        <s v="SALAZAR CASAFRANCA JUAN CARLOS "/>
        <s v="ASCENCIO CEDILLO GIANFRANCO EDU"/>
        <s v="ALMERCO QUILCA GADY MILENY"/>
        <s v="MALLMA CACERES DANIEL GIOVANI"/>
        <s v="PASTOR RODRIGUEZ TIFFANY SONIA"/>
        <s v="CHACA DURAND,GREGORY TORIBIO"/>
        <s v="PAPA RIOJA,JHOR SHUL"/>
        <s v="BRICENO ARROYO,RICHARD JUNIOR"/>
        <s v="TORRES CANAMERO,MOISES ANDRE"/>
        <s v="NOVOA CUNAYAPA,JUAN DIEGO"/>
        <s v="SORIANO MONTALVO, FRANK HELER"/>
        <s v="YGNACIO CASAHUAMAN, LUIS ALBERTO"/>
        <s v="ZUTA BAZAN, SEGUNDO"/>
        <s v="AVALOS SOTOMAYOR, PAUL JUSTO"/>
        <s v="CARHUALLANQUI FONSECA, MIGUEL ANGEL"/>
        <s v="HOYOS MARTINEZ, YHERLIN DAVID"/>
        <s v="RAMOS IMAN, CARLOS ALBERTO"/>
        <s v="HANCCO IRRIBARREN, LUIS ANTONIO"/>
        <s v="PALOMINO BERROCAL, OMAR KEVIN"/>
        <s v="ACUÑA QUINTOS, CARLOS ALBERTO"/>
        <s v="CASTILLO HUAMAN, FERNANDO DARIO"/>
        <s v="COLLANTES DE LA CRUZ, JHON"/>
        <s v="ROMERO GUERRA, JOSHET ANDRES"/>
        <s v="BENDEZU BENDEZU JAIME RICHARD"/>
        <s v="PALACIOS DIAZ, JULIAN ALEJANDRO"/>
        <s v="JIMENEZ PACASI, BRIGIT WENDY"/>
        <s v="VILLEGAS BARRIOS JOSE LUIS"/>
        <s v="SUNI MEZA, CESAR AUGUSTO"/>
        <s v="TRINIDAD ESTELA, NILTON OMAR"/>
        <s v="CACHIQUE MACAHUACHI, JHEAN CARLOS"/>
        <s v="ATANACIO AQUINO, ENER DAVID"/>
        <s v="MANCILLA GUZMAN, ALEX BRAYAN"/>
        <s v="JIMENEZ FLORES, ROMER"/>
        <s v="KCAJAMARCA FUNETES FERNANDO"/>
        <s v="YUCRA MENDOZA, ROQUE RICHARD"/>
        <s v="ARIMUYA TAMARI JHON"/>
        <s v="INGAROCA PAUCAR  CHARLES GUIDO"/>
        <s v="HUATUCO BALDEON, MICHAEL KENNYI"/>
        <s v="SOTO BLANCO, LUIS MIGUEL"/>
        <s v="ARBIETO MENDOZA, AXEL JESUS"/>
        <s v="ALANYA CASIQUE, JOSE LUIS"/>
        <s v="ROSALES DURAND, ANGEL ESTUARDO"/>
        <s v="FERNANDEZ VILCA, DANIEL JOSUE"/>
        <s v="SANTIAGO ÑAUPA, ESTEBAN ABRAN"/>
        <s v="TELLO HUAMAN, ALBERTO NICOLAS"/>
        <s v="ARZAPALO RAMOS, DAVID"/>
        <s v="LANASCA  AGUILAR, RONALD"/>
        <s v="PALOMINO ABAL, FRANS LUCIO"/>
        <s v="AMBICHO CALERO, YERLIN LINCOLN"/>
        <s v="LOZANO ZUÑIGA, LUI BENJAMIN"/>
        <s v="HUAMAN ROMERO ORDOÑEZ"/>
        <s v="LLANOS QUEROL,CRISTHOFER SEBASTIAN"/>
        <s v="GUZMAN TITTO,REDY"/>
        <s v="SEQUEIROS SIANCAS DIEGO"/>
        <s v="NUÑEZ CUARESMA DANIEL"/>
        <s v="TORRES GALLARDO, JEAN MARCO"/>
        <s v="CALDAS MARINO, GABRIEL FRANCISCO"/>
        <s v="DURAN RODRIGUEZ, DAVID ANTONIO"/>
        <s v="PARDO ESPINOZA,WUALDEMAR"/>
        <s v="CHANCA CERRON,CARLOS ALBERTO"/>
        <s v="VENTOCILLA JAVIER,VICTOR TEOFILO"/>
        <s v="OLIVERA CALIXTO,ALEXANDER HENRY"/>
        <s v="OYOLA CIPIRIAN,JOSE LUIS"/>
        <s v="VALLES GUERRA,VICTOR AUGUSTO"/>
        <s v="TELLO AÑAZGO,PIERRE JESUS"/>
        <s v="CRISPIN CORREA,ANGELO ALEXANDER"/>
        <s v="VALLES MALDONADO,ALEXIS ENRIQUE"/>
        <s v="DA SILVA ALTAMIRANO,FRANKLIN ALONSO"/>
        <s v="ROMERO BUENDIA,BRANDO CRISTHIAN"/>
        <s v="BALDERA PAZ,VICTOR MANUEL"/>
        <s v="PUPUCHI LINARES,NILSER DIOMEDES"/>
        <s v="CALDERON TASAYCO,MARCOS ANTONIO"/>
        <s v="URIBE ORTIZ,ANGELO DANIEL"/>
        <s v="LASTARRIA ENRIQUEZ,AMALIA ANABEL"/>
        <s v="YAPO CANGANA,HENRY JAVIER"/>
        <s v="CENTURION DELGADO,GEUMER"/>
        <s v="CARDENAS LUCAS,YORDAN RAMOS"/>
        <s v="ALTAMIRANO NAVARRO,KENNEDY JHON"/>
        <s v="GOMEZ GOMEZ,GUILLEN"/>
        <s v="DAHUA NOA,FRANCISCO"/>
        <s v="CASTRO TOLENTINO,FRED ANTONI"/>
        <s v="HIDALGO BARZOLA,EMILIO VICTOR"/>
        <s v="MATTA TRILLO,CESAR JEAN PAUL"/>
        <s v="VILLEGAS RODRIGUEZ,HUMBERTO"/>
        <s v="ROJAS FERNANDEZ,BRYAN AARON"/>
        <s v="MUNAYLLA PEREZ,JESUS ARNOLD CRISTHIAN"/>
        <s v="GUEVARA ALVAREZ,JOAQUIN ALONSO"/>
        <s v="CASTRO SAAVEDRA,JULIO CESAR"/>
        <s v="SAMANEZ HUERTA,TEODOMI CELIO"/>
        <s v="RODRIGUEZ FUENTES,PAULO ANDRE"/>
        <s v="VALDERRAMA HIDALGO,AXEL YAJAIRO"/>
        <s v="DONAYRE MELASQUEZ,RONALD HAIRO"/>
        <s v="DIAZ DOMINGUEZ,HILTON"/>
        <s v="SHAVIER PIZANGO,JULIO EDUARDO"/>
        <s v="ESPINOZA BONILLA,JHOSEP ANGHELO"/>
        <s v="CHUQUILLANQUI CHUQUILLANQUI,RAFAEL JHUNIOR"/>
        <s v="PILLHUAMAN ALCA,DIEGO ARMANDO"/>
        <s v="MUCHAYPIÑA BARRIALES,ANDY RAFAEL"/>
        <s v="HUALLPA ZUÑIGA,KEVIN"/>
        <s v="CORONEL ROMERO,JEANCARLO LORENZO"/>
        <s v="RUIZ PEREZ,BRANDO LEE"/>
        <s v="FRANCO HUAMAN JHONATAN STEVEN"/>
        <s v="FRANCO HUAMAN MAX ELIO"/>
        <s v="MARTEL RAMIREZ  JANINA LILIANA  "/>
        <s v="AGUIRRE PEREZ JEIZON ANGELO"/>
        <s v="BALBIN DE LA CRUZ LUIS ALEXANDER"/>
        <s v="BATANA LLASHAG ALDO ALVARO"/>
        <s v="BELITO SOTO ALEXANDER"/>
        <s v="CARDENAS URIARTE JUAN CARLOS"/>
        <s v="CHAPPA QUIROZ GERSIN FLORES"/>
        <s v="DE LA CADENA FIORENTINI ALDO ALDAHIR"/>
        <s v="DEL CARPIO FARIAS OSCAR HILDEMARO"/>
        <s v="DIAZ QUIROZ ADRIAN ALEJANDRO"/>
        <s v="ESKENASI HURTADO JUNIOR YANPIER"/>
        <s v="ESPINOZA RIOFRIO JHON JESUS"/>
        <s v="ESPINOZA RIOFRIO YEAN PIER"/>
        <s v="FELIPE MORENO BRAYAN JODMAN"/>
        <s v="HUACALLO GUILLEN ROMMEL MANUEL"/>
        <s v="ISIDRO DELGADO LUIS ALBERTO"/>
        <s v="MARTINEZ LEGARIO LUIS IAN"/>
        <s v="MEGO TAN EDIN"/>
        <s v="MEJIA ARIETA JESUS ANTONIO"/>
        <s v="NAMUCHE ALDANA AMERICO"/>
        <s v="ÑAHUE PORTILLO CARLOS ALBERTO"/>
        <s v="PASACHE BANDA CESAR DAVID"/>
        <s v="PEREZ DENEGRI JORGE EDUARDO"/>
        <s v="PRUDENCIO ALVITES RENZO"/>
        <s v="RIVAS LLASHAG RUSSE WILLIAMS"/>
        <s v="RODRIGUEZ ROMAN RODRIGO ANTHONY"/>
        <s v="ROMAN CHUQUILLANQUI ANDREA MISHELL"/>
        <s v="ROMERO HIDALGO RODOLFO SEGUNDO"/>
        <s v="SALAZAR CABAÑAS ESTEÑO"/>
        <s v="SULLCA LAURA PERCY ROGER"/>
        <s v="TAVARA LOPEZ JORGE LARRY"/>
        <s v="VELASCO URDIALES MIGUEL JESUS"/>
        <s v="YLASACA SABOYA BRAJHAN BRAULIO"/>
        <s v="DIAZ CHAYACAÑA VICTOR JHOEEL JOSUE"/>
        <s v="GOMEZ CARDENAS LUIS ALBERTO"/>
        <s v="MEDINA FLORES CHRISTIAN GABRIEL"/>
        <s v="ZUÑIGA QUISPE NORMAN FERNANDO"/>
        <s v="CHUQUILIN FLORES PERCY"/>
        <s v="GHIORZO AVALOS DANIELLA AYME"/>
        <s v="SANTOS VALLE JOEL TONI"/>
        <s v="MEDINA FLORES JHONATAN FABRICIO AAROW"/>
        <s v="SILVA FLORES GEISER"/>
        <s v="ALVARO PONTE ANGEL JAIME"/>
        <s v="PINEDA SALDARRIAGA CHRISTIAN WANDERLEY"/>
        <s v="PINARES ESCALANTE WILLIAM JORDY"/>
        <s v="MOSCOSO GUTIERREZ TONY EDWARD"/>
        <s v="DUARTE MELO CAMILO ANDRES"/>
        <s v="ARIRAMA BARRERA MONICA DELTA"/>
        <s v="YUCRA RODAS SOSIMO"/>
        <s v="FLORES VELARDE PATRICK MARCELO"/>
        <s v="LAMAS ANICAMA MARCELO FABIAN"/>
        <s v="ARROYO MEJIA ROMEL JAIRO"/>
        <s v="IÑIPE CACHAY MICHEL"/>
        <s v="NAVARRO YAYA MARIA GRACIA"/>
        <s v="PAITAN CAMASCA DANIEL"/>
        <s v="LUNA CHUNGA MELISSA ANTHUANET"/>
        <s v="PRECIADO ASCURRA LUCAS ENRRIQUE"/>
        <s v="MADIEDO DEVIA JUAN CARLOS"/>
        <s v="SEÑAS VASQUEZ BRENDA YADIRA"/>
        <s v="CARDENAS ORTIZ PIERO ALEXANDER"/>
        <s v="ECHENIQUE SOTO HERNÁN AARÓN"/>
        <s v="TINCO IPURRE JESUS ANIBAL"/>
        <s v="CUEVA LUNA MANUEL ALEJANDRO LEONARDO"/>
        <s v="QUESADA BENAVIDES JONATHAN JESÚS"/>
        <s v="GOMEZ PAREDES LIZ MARIA JOSE"/>
        <s v="MADRID CONTRERAS CLISMAN ROMARIO"/>
        <s v="PASTOR QUISPE ANGEL DAVID HERNAN"/>
        <s v="VEGA MATAMOROS FRANCIS"/>
        <s v="GUTIERREZ ALAYZA ARIKE EDUARDO"/>
        <s v="CALDERON COSSIO JAHIR ERNESTO ALONSO"/>
        <s v="GIRON MORENO RENZO ALEJANDRO "/>
        <s v="CONDOR CALLUPE EMANUEL ANGEL "/>
        <s v="ROMERO MANRIQUE JEAM PIEER "/>
        <s v="LLACZA TOLENTINO MARCO ANTONIO"/>
        <s v="VILLA MANCHAY HERBERTH "/>
        <s v="DE LA CRUZ PAIMA RENZO"/>
        <s v="VENEGAS CARRASCO LUIS ANTONIO"/>
        <s v="NAVARRO GARAY JOSE TORIBIO"/>
        <s v="VELASCO BECERRA DANIEL ALBERTO"/>
        <s v="ZUTA DELGADO SANDER JHOEL"/>
        <s v="CARHUALLANQUI MANRIQUE KEVIN BRAYAN"/>
        <s v="SALINAS SORIA NATALIE NICOLE"/>
        <s v="CHERRE DIOSES ANGEL GABRIEL"/>
        <s v="GAMBOA CAJAS JHOSUEN ALEXEI "/>
        <s v="COMUN BARRA JHONATAN"/>
        <s v="ATOCCSA TORIBIO DARIO BRYAN"/>
        <s v="MENDOZA INGUNZA JEAN PIERRE ENRIQUE"/>
        <s v="ALTAMIRANO HUACHUHUILCA ANILU GIANELLA"/>
        <s v="SALDAÑA AREVALO RENZO ANTONIO "/>
        <s v="ALACHE MARQUEZ ENRIQUE ALEJANDRO"/>
        <s v="TRUJILLO LLASHAG DANIEL"/>
        <s v="DENEGRI SALVADOR ANDREE LUIS"/>
        <s v="LEON PASCUAL JASON STEVEN"/>
        <s v="VERA RAMIREZ JESUS ITAMAR"/>
        <s v="VITE CHARCA PEDRO LUIS"/>
        <s v="SANCHEZ ESTEBAN HENRY FELIX"/>
        <s v="YAULI DELGADO WILIAMS MAYKI "/>
        <s v="ARMAS INGA JEAN CARLOS "/>
        <s v="GUTIERREZ LEON BRYAN DIEGO"/>
        <s v="EDISON ERNESTO CCAHUAY HUAMANI"/>
        <s v="JOSE CARLOS AGURTO ARAUJO"/>
        <s v="CESAR AUGUSTO ROSARIO ARAUJO"/>
        <s v="ALEX ALEJANDRO PALOMINO HUAMANI"/>
        <s v="FERNANDO ROMARIO RODRIGUEZ POMAJULCA"/>
        <s v="GABRIEL ADAN POMAJULCA HERRERA"/>
        <s v="ALDO CRISTIAN SUAREZ REYES"/>
        <s v="CARLOS FRANZ HUAYTA MENDOZA"/>
        <s v="JOHANN CHRISTIAN ROMAN AYALA"/>
        <s v="JEFFERSON EDSON VILLAJUAN AYALA"/>
        <s v="JAIME RODAS PALOMINO"/>
        <s v="ANTONY ALEXANDER HINOSTROZA ARIAS"/>
        <s v="JOSE ANDRES QUISPE TAPIA"/>
        <s v="JUNIOR ANTONIO AVILA GARCIA"/>
        <s v="BRUNO ANDRE  GARCES ALVAREZ "/>
        <s v="CRISTHIAN ZAMORA LAZARO"/>
        <s v="JHONATTAN PAOLO JIMENEZ AQUINO"/>
        <s v="ANTHONI CHARLON FERNANDEZ ACOSTA"/>
        <s v="DIEGO CARLESSY GASTELU PAYTAN"/>
        <s v="CESAR SEBASTIAN SACCATOMA VARGAS"/>
        <s v="JESUS ALFREDO TORRES  ZAMBRANO"/>
        <s v="ENRIQUE IRWING ARRIS BERMUDEZ CARDENAS"/>
        <s v="FERNANDO LUCIO ALCCAHUA HUAMANI"/>
        <s v="JORDY JONATHAN VEGA VISITACION"/>
        <s v="LUIS ERICK SOLSOL RAMIREZ"/>
        <s v="CARLOS EDUARDO OSORIO LLAMOGA"/>
        <s v="LUIGGI FRANCESCO LUPERDI CORZANO"/>
        <s v="MANUEL ALEJANDRO CUSTODIO SALAS"/>
        <s v="ELIAN JHORDAN ICHPAS MALDONADO"/>
        <s v="ALEX JESUS ARTEAGA CARGUACHIN"/>
        <s v="LUIS ALEXIS ROMERO OJEDA"/>
        <s v="GUERRA APAGUEÑO CELENI KARLITA"/>
        <s v="TAPIA FERNANDEZ ESBER"/>
        <s v="CAMACHO LACHIRA WILDER ALBERTO"/>
        <s v="ARAUJO VELASQUEZ VICTOR MANUEL"/>
        <s v="CRUZ JARAMILLO DARCY YOBANY"/>
        <s v="ENRIQUEZ TELLO JEAN PAUL"/>
        <s v="ESCOBAR ZEGARRA JECKSON"/>
        <s v="ESTRELLA MASHUCURI LENINS IDEL"/>
        <s v="FELIX GOMEZ KEVIN"/>
        <s v="JIMENEZ MOSQUERA MANOLO"/>
        <s v="LIZANA GIRON ANGEL FRANCISCO"/>
        <s v="ORTECHO SALVADOR ROBERT ALESSANDRO"/>
        <s v="RODRIGUEZ DAVILA JOSE MANUEL"/>
        <s v="SOLANO RODRIGUEZ CHRISTIAN SANTIAGO"/>
        <s v="GUTIERREZ SARAVIA RAUL MANUEL"/>
        <s v="CABRERA MELLADO PIERO FRANCISCO"/>
        <s v="ESCALANTE MEDINA MIGUEL ANGEL "/>
        <s v="GONZALES ROJAS JOSE TOMAS"/>
        <s v="SANCHEZ VIDAL LEONARDO JUNIOR"/>
        <s v="VELASQUEZ OLIVA DIEGO JACINTO"/>
        <s v="CABALLERO GRADOS BRYAMS NILK ISAAC"/>
        <s v="DE LA CRUZ DEL CASTILLO OSCAR MIGUEL"/>
        <s v="DELGADO CONTRERAS CALEF JOICE"/>
        <s v="FLORES HUAYAMBAO RAUL"/>
        <s v="GRANADOS AGAPITO JENRRY DANI"/>
        <s v="INGA ESPINOZA JUNIOR IVAN"/>
        <s v="LUCIO RENGIFO WILLIAM ALBERTO"/>
        <s v="NOLASCO FLORIANO GEORGE MICHAEL"/>
        <s v="QUINTANA MORALES SAMUEL"/>
        <s v="SANCHEZ VILCHEZ RAUL JESUS"/>
        <s v="VARGAS MONCADA ROBERTO MANUEL"/>
        <s v="BRONCANO ALVARADO MARTIN ALEXANDER"/>
        <s v="CERNA RAMOS DAVID SANTIAGO"/>
        <s v="RIVAS AZUCENA JORDY SANTOS"/>
        <s v="CHALLCO GRANADOS KEVIN GUSTAVO"/>
        <s v="GONZALES CORALES RAY CHRISTIAN"/>
        <s v="HUAYANEY VALENTIN PEDRO LUIS"/>
        <s v="LEYVA ORENCIO ROBERTO"/>
        <s v="LOPEZ ZAMUDIO GENARO DANIEL "/>
        <s v="SANDOVAL BANCES, CESAR RUBEN "/>
        <s v="SHICCHI VARILLAS JESUS BRUCE STEVE"/>
        <s v="TOMAS COLQUI JURGEN ALEXIS"/>
        <s v="HERRERA MENDOZA VALERIA LUCIA"/>
        <s v="JUAREZ PULACHE JHORLIN JOEL"/>
        <s v="ZAPATA CHUNGA DEIVE GABRIEL"/>
        <s v="CUEVA PAREDES CHRISTIAN ALEXANDER"/>
        <s v="CRUZ SANCHEZ JEAN CARLOS RONALDO"/>
        <s v="JANAMPA VALLE EDERSON KENYO"/>
        <s v="LUQUE QUISPE LUIS HERNAN"/>
        <s v="VASQUEZ QUIQUINLLA RONALDINE"/>
        <s v="CCOLQUEHUANCA MEDINA MARTIN ALONSO"/>
        <s v="Quispe Aquino Juan David"/>
        <s v="Vaquez Zevallos Cristian Michael"/>
        <s v="Aquino Alvarado Abdias Isai"/>
        <s v="HUAMAN TUCTO CARLOS ALBERTO"/>
        <s v="MORALES ORDIALES KEVIN"/>
        <s v="ALVARADO VASQUEZ GARY"/>
        <s v="LEON ZAMBRANO HENRY BLADIMIR"/>
        <s v="SOTO FIESTAS DERECK ANDRE"/>
        <s v="OROYA TORRES JESUS MIGUEL"/>
        <s v="ROJAS ANAYA EDWIN"/>
        <s v="NIÑO ALVAREZ WALTER JHONNY"/>
        <s v="OCHANTE CHIPANA WALTER RODOLFO"/>
        <s v="YACHAS INGA MOISES"/>
        <s v="LLOCCE SANCHEZ MIGUEL"/>
        <s v="SANGAMA MANGUINURI SAMIR AQUILES"/>
        <s v="ALZAMORA INCA CALEP MAURICE"/>
        <s v="AREVALO VITON JOSE KEVIN"/>
        <s v="CORCUERA MARTINEZ GERSON MIGUEL"/>
        <s v="GARCIA MONTERO JORGE LUIS"/>
        <s v="GUEVARA TELLO HAROLD GIUSEPP"/>
        <s v="LOPEZ CASTILLO JAIRO FAVIAN"/>
        <s v="LOPEZ CASTILLO JUAN CARLOS"/>
        <s v="MENDOZA RIOS MARIANO"/>
        <s v="SOCOLA QUISPICHO MIGUEL"/>
        <s v="TORRES BARCENA SAUL SEBASTIAN"/>
        <s v="AGUILAR RUELAS BRANDON"/>
        <s v="HUAMAN RIOS LEDGAR CRISTIAN"/>
        <s v="AVALOS MENDOZA ALEXANDER"/>
        <s v="ARAUCO ROJAS JEAN PIERRE"/>
        <s v="DIAZ MEZA DIEGO EDUARDO"/>
        <s v="RIVERA CORREA KING GIAN"/>
        <s v="PILLCO QUISPE PERCY ELVIS"/>
        <s v="NORIEGA AGUILAR DIEGO WALDIR"/>
        <s v="SANCHEZ QUINTANA JHERSON NAUN"/>
        <s v="GONZALES CAHUAZA CARLOS ALBERTO"/>
        <s v="AUGURTO ANGELDONIS RODRIGO DENILSON"/>
        <s v="CARHUALLANQUI REYES BRAYAN JULIO"/>
        <s v="CHAPA CASAS JUAN CARLOS"/>
        <s v="MARTINEZ GELVET MICHAEL JAIR"/>
        <s v="HUAMAN ARAUJO PAULO CESAR"/>
        <s v="SALAZAR NUÑEZ CESAR AUGUSTO"/>
        <s v="CAMPOS DIAZ JEAN CARLOS JUNIOR"/>
        <s v="CECILIANO TRIBURCIO WUILMER JANCARLOS "/>
        <s v="CERNA DURAN RICHARD JOHN"/>
        <s v="CHURA TINTAYA SAMUEL RICARDO"/>
        <s v="IGNACIO SANAMPE WALTER ALEXANDER"/>
        <s v="MARCO ANTONIO, LEONARDO GONZALES"/>
        <s v="MESIAS TELLO LUIS ANDREE"/>
        <s v="OROSCO ASTETE JONATHAN MARLO"/>
        <s v="PEÑA CANTURIN GILBERTO JESUS"/>
        <s v="SANTISTEBAN SIESQUEN ALLEN"/>
        <s v="TORRES VELASQUEZ JESUS GABRIEL"/>
        <s v="TRUJILLO AGUIRRE, MIGUEL EDUARDO"/>
        <s v="FERNANDEZ CUNZA JUNIOR "/>
        <s v="VERA CUBA TEOFILO "/>
        <s v="BAJONERO LOPEZ RUIZ RANDU"/>
        <s v="HUILLCAYA PAMPAÑAUPA ALEXANDER"/>
        <s v="OBREGON BUSTAMANTE LISBETH MILAGROS "/>
        <s v="RICALDI VALERA KARLA LETICIA"/>
        <s v="QUISPE CASTRO JULIO CESAR "/>
        <s v="EFRAIN LUIS MEZA ARTEAGA"/>
        <s v="COLLANTES DÍAZ KEVIN NIDTHLER"/>
        <s v="ROMERO ORIHUELA JAIME ROBINSON"/>
        <s v="TRUJILLO GAVELAN JOHNY DANIEL"/>
        <s v="GALARZA VINCES, GIANMARCO ADRIAN"/>
        <s v="GUERRERO CHUQUISPUMA MIGUEL ANGEL"/>
        <s v="VARGAS VILCHEZ MAYRA ALEJANDRA"/>
        <s v="ALIPIO HUERTA MARCO ANTONIO"/>
        <s v="DIAZ DIONICIO BRAYAN ALBERTO"/>
        <s v="PERDOMO BALLESTEROS LEDYS YINETH"/>
        <s v="GONZALES MELGAR CARLOS"/>
        <s v="NINA DE LOS SANTOS ANNAPAULA LISCY"/>
        <s v="VASQUEZ CALLE NEYVITH"/>
        <s v="PEREA CELIZ MAYCOL BRAYAN"/>
        <s v="ABREO FLORES JHIMAR"/>
        <s v="NUNTON OLIDEN GIANFRANCO JESUS"/>
        <s v="GONZALES MAJIN HERLYN PIERO"/>
        <s v="OLIVERA QUINTO MARTHEN OMAR"/>
        <s v="SOTO MOREY JONATHAN RYAN RAY"/>
        <s v="MEJIA BERASTAIN CARLOS AUGUSTO"/>
        <s v="PEÑA MENDOZA RICHARD CHRISTIAN"/>
        <s v="JIMENEZ SANDOVAL RONALDO  ROMARIO"/>
        <s v="RADAHELLY CABRERA KATHERINE ARACELLY"/>
        <s v="VERONA ALTAMIRANO JOSE ALBERTO"/>
        <s v="ORTEGA BAZAN ESTEBAN ZENON  DARIO"/>
        <s v="POMA ROJAS ALEXSIS HAIR"/>
        <s v="CAMPOS NUÑEZ MARIA FERNANDA"/>
        <s v="GONZALES LAVI LONIO "/>
        <s v="URVIOLA RAVELLO ENRIQUE ALFONSO"/>
        <s v="LOPEZ HUANCI CRISTIAN JAIME"/>
        <s v="GUERRA MARTINEZ TOMMY ALEXIS"/>
        <s v="CORDOVA BARRIENTOS FELIX MARTIN"/>
        <s v="YGNACIO LEYVA EDUARDO JOSIMAR"/>
        <s v="VILA OLIVERA BECKER DANIEL"/>
        <s v="MARTINEZ PANCHO SAMUEL ALEJANDRO"/>
        <s v="CORDOVA BARRIENTOS GHOMAR ALEXANDER"/>
        <s v="ALVARADO PRADO JOSEPH AARON"/>
        <s v="ABANTO ROJAS JOSE CLAUDIO "/>
        <s v="ALDAVE RAMIREZ LEVENTEM DULANTO"/>
        <s v="DE LA CRUZ CORDOVA HUGO"/>
        <s v="FIGUEROA PARIONA KEVIN"/>
        <s v="GRANDEZ CHOCACA WILDER"/>
        <s v="HUALLA PALOMINO EDGAR EDWIN"/>
        <s v="HUARCAYA VASQUEZ CESAR "/>
        <s v="MALCA AMBROSIO HAROLD MISAEL"/>
        <s v="MARTINEZ GUEVARA WELL WAIZ"/>
        <s v="MEJIA CONDORI JOHAN "/>
        <s v="MELENDEZ TARAZONA RAUL"/>
        <s v="MENDOZA QUISPE RANDY"/>
        <s v="MORENO JAIMES EDINZON YIYO"/>
        <s v="NOREÑA DURAND RODOLFO"/>
        <s v="ROJAS CALDERON RONALD"/>
        <s v="SABINO SEVILLANO ALEX ROBERTO"/>
        <s v="YBAÑEZ TUESTA JOSE MIGUEL "/>
        <s v="LOJA GAMERO RICHARD"/>
        <s v="LUCAS MALLQUI LUIS ALBERTO"/>
        <s v="ALTAMIRANO LAURA PERCY"/>
        <s v="SANTACRUZ AYALA PERCY"/>
        <s v="HUAYTA TORES JORGE MARTIN"/>
        <s v="TAPULLIMA INUMA RITS"/>
        <s v="CUISANO MARREROS PAMELA"/>
        <s v="RECHARTE TELLO FERNANDO ARTURO"/>
        <s v="SUAREZ OLIVA JENNYFER"/>
        <s v="SOCA JANAMPA MARIO CÉSAR"/>
        <s v="PACCO VALENCIA LEYLA ANDREA"/>
        <s v="SAUÑE RAMIREZ VIOLETA INÉS"/>
        <s v="BANCES BALDERA SEGUNDO"/>
        <s v="GONGORA TRUJILLO ADRIANO ANTONIO"/>
        <s v="MEGO FERNANDEZ WALTER"/>
        <s v="GOICOCHEA CHIZA LUIS ENRIQUE"/>
        <s v="PINTADO BUENO TULIO AGRIPINO"/>
        <s v="ESTRADA CRUZ JOSE"/>
        <s v="HUAMANI VIVIANO JOB"/>
        <s v="HERRERA GUERRERO RONALD"/>
        <s v="COCHACHI YARASCA HOLBER PAUL"/>
        <s v="CIPRIANI GUZMAN SHIRLEY"/>
        <s v="QUISPE MENDOZA EDGAR SIMON"/>
        <s v="GARCIA CHANG PIERRE GIANFRANCO"/>
        <s v="TUCTO VASQUEZ JAQUINELER"/>
        <s v="VARGAS TOLENTINO MARIANO"/>
        <s v="PEREZ HUAMAN OSCAR ANDRES"/>
        <s v="SUDARIO BRAVO DARIO"/>
        <s v="OLARTE SUAREZ FREIRE"/>
        <s v="PERALES QUISPE MIGUEL ANGEL"/>
        <s v="PAIMA ZEBALLOS GEORGE"/>
        <s v="PERALES QUISPE TAYLOR JUAN"/>
        <s v="PORRAS CUNYAS ELMER"/>
        <s v="CHILCON JULCA JOEL"/>
        <s v="CEPEDA FERREBUS BRIGI BEXSABETH"/>
        <s v="MAYHUA VILCA FERNANDO"/>
        <s v="ALVA VALQUI ELIZARDO"/>
        <s v="MOYA MATTA CESAR JOSMELL ANDERSON"/>
        <s v="FLORES VILCHEZ YIFEERR YONI"/>
        <s v="HORNA MELENDEZ JHUNIOR "/>
        <s v="BERNILLA CARLOS ALEJANDRO GUILLERMO"/>
        <s v="BAUTISTA VALVERDE ULISES"/>
        <s v="QUISPE DIAZ JACOB"/>
        <s v="PEREZ PAMPAÑAUPA ANDRE RODRIGO"/>
        <s v="MENDOZA LEON LUCIO "/>
        <s v="MUÑOZ HERRERA WILMER"/>
        <s v="RAMIREZ PALACIOS ALEX"/>
        <s v="CASTRO SILUPU JOSE DANILO"/>
        <s v="ARCELA SOSA JOSE USNALDO"/>
        <s v="BRIZUELA RIVERO JORGE"/>
        <s v="CHAVEZ ISAMANI ESFRAIN"/>
        <s v="CONTRERAS GORDILLO RICHARD"/>
        <s v="GRANADOS BRAMON PAUL"/>
        <s v="MOREYRA ENRIQUEZ NEWTON "/>
        <s v="PEREZ PEDRAZA ENYNER"/>
        <s v="RAMOS PARODI DEIVEN"/>
        <s v="DIAZ PAZ DALMACIO"/>
        <s v="NOLBERTO GUZMAN SIMION"/>
        <s v="SAAVEDRA BAILON DANIEL"/>
        <s v="ROMERO QUINDE STEVEN"/>
        <s v="MENDOZA MORA  JONNATHAN ENRIQUE"/>
        <s v="MUÑOZ RAMOS HAROLD RANDY"/>
        <s v="DE LA CRUZ SALCEDO JUAN DIEGO"/>
        <s v="SOLIS BELTRAN, LOURDES STEPHANIE"/>
        <s v="VARGAS MARTINEZ ANGEL GABRIEL"/>
        <s v="CALDERON VELASQUEZ OILER WILDER"/>
        <s v="FLORES VELASQUEZ LUIS ALBERTO"/>
        <s v="PERICHE OLAYA FERNANDO JAVIER "/>
        <s v="PRADA ZUMAETA VALERIN"/>
        <s v="SOLORZANO SANTOS ARTURO "/>
        <s v="GOMEZ TELLO JESUS ALEXANDER"/>
        <s v="ESCOBAR CORDOVA JORGE ANIBAL"/>
        <s v="PAYAJO CAMPOS JUAN"/>
        <s v="TUPACYUPANQUI NAVARRO EDISON MANUEL"/>
        <s v="ONOFRE TAPARA ALEX"/>
        <s v="ROJAS FASABI FIORELLA ESTEFANY"/>
        <s v="GOMEZ ESPINOZA YONATAN "/>
        <s v="BELTRAN BAZALAR ANTHONY RENZO"/>
        <s v="QUISPE QUISPE RUSBEL"/>
        <s v="HUAMAN PUSCAN FILBERTO"/>
        <s v="RETUERTO BLAS ALEX ANIBAL "/>
        <s v="CARBAJAL CAHUANA DEMETRIO"/>
        <s v="MAMANI LLUNGO JOSE LUIS "/>
        <s v="LOPEZ BOLIVAR OMAR ALEXANDER"/>
        <s v="TRILLO GONZALO ROY MIGUEL"/>
        <s v="VELASQUE OROSCO DIANA"/>
        <s v="FASABI MENDOZA JAIRO MARTIN TONY"/>
        <s v="SANTAMARIA ACOSTA SEGUNDO"/>
        <s v="INGA MAYTA OMAR JERSHON "/>
        <s v="JIMENEZ TABOADA OMAR ERINSON"/>
        <s v="CHANCHARI GOMEZ ZHAO DILSON"/>
        <s v="SILVESTRE VALVERDE JOSE ANTONIO"/>
        <s v="ASTO QUISPE GERARDO"/>
        <s v="MENESES ALAYO LEONARDO ROMAN"/>
        <s v="PERALTA MENDIETA LUIS ALBERTO"/>
        <s v="QUISPE ROJAS PERCY"/>
        <s v="GARAMENDI FERNANDEZ CESAR LUIS"/>
        <s v="CAMPODÓNICO JIMENEZ LUIS"/>
        <s v="CARHUAPOMA QUISPE LUIS"/>
        <s v="CORBACHO RIVERA VICTOR RAUL "/>
        <s v="CURO AUCCASI MATIAS"/>
        <s v="ESPIRITU CALDAS ANTONIO"/>
        <s v="GUIZADO GONZALES JHON"/>
        <s v="HORNA MIRANDA DAVID"/>
        <s v="HUAMANI CASTILLO RAUL"/>
        <s v="PIMENTEL CORDOVA ANICETO"/>
        <s v="TAICA CUBAS WILIAR"/>
        <s v="VARGAS TAQUIRE ANGEL"/>
        <s v="VASQUEZ SÁNCHEZ OSMEL"/>
        <s v="VICENTE PANTOJA RUPERTO JHONNI"/>
        <s v="VILCHEZ TAIPE HENRYJHON"/>
        <s v="APONTE TORRES KAREN MADELEY"/>
        <s v="LUNA DIOSES ANYERSON JAIRO"/>
        <s v="OGOÑA ABAD LEYLI YANET"/>
        <s v="RODAS FLORES WILLIAMS RAFAEL"/>
        <s v="TORRES GAMERO VICTOR ELIAS"/>
        <s v="CARDENAS SOTO, JORGE"/>
        <s v="CARDOZA ROJAS KOTY YURIKO"/>
        <s v="CHIPANA DAVALOS JOSE LUIS"/>
        <s v="DEL AGUILA DEL AGUILA EDINSON"/>
        <s v="GARCIA POMA ALEX"/>
        <s v="LUNA BURGA JESSICA SHARON"/>
        <s v="MALPICA TOLENTINO OMAR JHONATAN"/>
        <s v="PACOMPIA VARGAS MIGUEL ANGEL"/>
        <s v="RICALDE CARHUACHAGUA, ROBERTO"/>
        <s v="SANCHEZ POLICIO ANDY RONALDO"/>
        <s v="VARGAS BEROCAL RAUL"/>
        <s v="_x0009_CERRON FLORES  HANS ANTONY"/>
        <s v="MONTES DE LA CRUZ  ANGEL ROBINSON"/>
        <s v="VARAS MENDEZ JUAN CARLOS"/>
        <s v="ALARCON ANGULO, MIGUEL ANGEL"/>
        <s v="AVILA GOMEZ WALTER ARMANDO"/>
        <s v="AYALA LASTRA OFNEL TRINIDAD"/>
        <s v="DE LA CRUZ PEÑA RENZO EMANUEL"/>
        <s v="LOPEZ ROJAS GIOVANNA SHIRLEY "/>
        <s v="QUIÑONES MANTILLA ERICSON HEYDEN "/>
        <s v="REYES MANRIQUE, ROMER ADELFO"/>
        <s v="AYALA LASTRA ABIMAEL FRANCISCO"/>
        <s v="CUCHULA RAMOS JOSEPH ANDRE"/>
        <s v="DE LA CRUZ GUIZADO MIGUEL ORLANDO"/>
        <s v="DIAZ URIARTE FREDESBINDO"/>
        <s v="HERRERA CAPA  HANSY"/>
        <s v="HERRERA ESCOBAR GHERSON WILFREDO"/>
        <s v="HUAYTAN RUIZ EDER GUSTAVO"/>
        <s v="HUAYTAN RUIZ NILTON CESAR"/>
        <s v="MARQUEZ CORONADO MARZOLINI "/>
        <s v="MARTINEZ CABANILLAS CHRISTIAN"/>
        <s v="MOSCAISA CARDENAS, KRISPHER LUIS"/>
        <s v="OLAYUNCA CACERES ROGER ANDERSON"/>
        <s v="ORE VILELA, CESAR ALEXANDER"/>
        <s v="PALOMINO CESPEDES, JAIME"/>
        <s v="PEREZ PAREDES, ALFARO"/>
        <s v="ROBLES TOLENTINO, SAMUEL ROMERL"/>
        <s v="RODRIGUEZ LEDEZMA, SANTOS JULIAN"/>
        <s v="SEGURA PAUCAR FRANCO"/>
        <s v="TORRES DAVILA  MARIO GALER "/>
        <s v="YANCCE OGOSI WALTER"/>
        <s v="CHAMAN SISNIEGAS ANTHONY PHILIP"/>
        <s v="MANIZARI LOZANO PEDRO MANUEL"/>
        <s v="PAREDES CALIXTO DAVID OLIMPIO"/>
        <s v="PIANTO JUNCHAYA PEDROALBERTO JERSON"/>
        <s v="PINO ROSALES STUART "/>
        <s v="PEÑA SERRANO ROGGER"/>
        <s v="ALBAN MICHELLY CESAR GIANPIER"/>
        <s v="AGUILAR LEON KELWIN MICHAEL"/>
        <s v="HERRERA CAPA VICENTE"/>
        <s v="MURGA MORENO PEDRO MICHELL"/>
        <s v="TRUJILLO BENITES JORGE DANIEL"/>
        <s v="BARRANTES OLGUIN CESAR AUGUSTO"/>
        <s v="LEZAMA CASTAÑEDA JUAN CARLOS"/>
        <s v="MANIZARI LOZANO NORBERTO"/>
        <s v="CESIAS MORENO VICTOR CECILIO"/>
        <s v="ARCE MENDOZA JULIO CESAR"/>
        <s v="INTI ALVA MARCO RUBEN"/>
        <s v="AYALA LASTRA, ISAIAS RAMON"/>
        <s v="INGA FLORES WUILMER"/>
        <s v="MAURICIO YUPANQUI FELIX MANUEL"/>
        <s v="LICONA SUMA HERONIMO"/>
        <s v="VILLALOBOS HUAMAN DENIS RAUL"/>
        <s v="CALOGGERO CORONADO JEAN AARON"/>
        <s v="ESTRADA BRUNO JEAN CARLOS"/>
        <s v="RAMOS ORTIZ ALAN LUIS"/>
        <s v="GAMBOA GAMONAL NELSON"/>
        <s v="QUIROZ TRUJILLO, NEMECIO"/>
        <s v="ACOSTA FLORES, FRANCIS"/>
        <s v="GUEVARA LLATAS, DAVID"/>
        <s v="COLUNCHE CARUAJULCA, ELI"/>
        <s v="GAMARRA BLONDET, VANESSA LIZBETH"/>
        <s v="DIAZ REATEGUI, ALDO"/>
        <s v="SANDOVAL ROSAS, JHON BERLIS"/>
        <s v="HEREDIA CARRANZA JOSEY OTOSA"/>
        <s v="YARCAHUANI AREVALO JAIRO JERONIMO"/>
        <s v="PEREZ CAMPOS VICTOR MOISES"/>
        <s v="FERNANDEZ SAPAYLLE JIMMY LUIS"/>
        <s v="NAVARRO SALAZAR JONATHAN ALEX "/>
        <s v="QUISPE LOZA LENER BERNARDO"/>
        <s v="ROSARIO SANGAY EDITH STEPHANY"/>
        <s v="SOBRADO JAIMES MOISES RUBEN "/>
        <s v="TOCTO DIAZ NORVIL"/>
        <s v="MONTEJO CALLE BLADIMIR LENIN"/>
        <s v="CAÑOLA VALDIVIEZO DEYBI DAVID"/>
        <s v="POMA ARANGO RUBEN"/>
        <s v="BARRIENTOS DE LA CRUZ JUAN"/>
        <s v="MILLA PANAIFO MARCOS ADRIAN"/>
        <s v="CASAS MANCCO, JUAN CARLOS"/>
        <s v="CRESPIN BERNARDO WILMER AMADO"/>
        <s v="SOBRADO JAIMES CALEB ISRAEL"/>
        <s v="ROMERO GOMEZ, BLADIMIR"/>
        <s v="SANCHEZ HUACACHI ELVIS RAFAEL "/>
        <s v="ALCANTARA FAJARDO KEVIN CHRISTOPHER"/>
        <s v="HUAMANI MACHUCA, MIGUEL ANGEL"/>
        <s v="ALZAMORA PALOMINO PABLO"/>
        <s v="VEGA BERNAOLA RICHAR"/>
        <s v="LLANOS CHAHUA PEDRO"/>
        <s v="FASANANDO CASTRO ELVIN DIEGO"/>
        <s v="INGA SALAZAR ROSBERTH ALBERTO"/>
        <s v="PACHECO VALLE MARIA FERNANADA "/>
        <s v="TESEN PUSE FRANK ENRIQUE"/>
        <s v="CARRANZA TAPIA MARCO AURELIO"/>
        <s v="CURO LEON ALCIDES ANTENOR"/>
        <s v="GONZALES TOCAS MIGUEL ANGEL"/>
        <s v="IPURRE UCHARIMA HERMANN HILARIO"/>
        <s v="NEISER ORLANDO TAPIA LESCANO"/>
        <s v="POMA HUAMAN JESUS"/>
        <s v="TARRILLO BLANCO NILTON ALBERTO"/>
        <s v="GIL VASQUEZ ANTHONY GEORGE"/>
        <s v="LLOCCE IPURRE DENNIS MARIANO"/>
        <s v="ENCARNACION VARILLAS LUZ MARY"/>
        <s v="ARZOLA CASTRO EDITH YULISSA"/>
        <s v="TORRES ESPINOZA JHONATAN WILLIAN"/>
        <s v="BASTARDO MARIN FRANK ENRIQUE"/>
        <s v="GARCIA GONZALES EMILIO JOSE"/>
        <s v="PACHECO HUAMAN FREDDY"/>
        <s v="RIVAS LEANDRES SERGIO RUFINO"/>
        <s v="CAMPOS TOLEDANO CRISTIAN "/>
        <s v="QUISPE LEON JOSE ALBERTO "/>
        <s v="CANO MELLADO ROBIN JEMI "/>
        <s v="HERRERA LAURENTE MICHELL"/>
        <s v="LAUREANO ROMERO JAVIER EDISON"/>
        <s v="RIOS MONCADA GREY "/>
        <s v="SUAREZ ELWIS ALEJANDROPAUL"/>
        <s v="AGURTO MA SAN JONATHAN SAUL"/>
        <s v="CARREÑO JUAREZ ROSA MARYLIA"/>
        <s v="CHAVEZ CHUQUILLANQUI,CRISTER JESUS"/>
        <s v="CHAVEZ MUÑOZ, RUBY SUSIBEL"/>
        <s v="CORDERO MEZA SERGIO MICHAEL"/>
        <s v="FERNANDEZ PACHERRES PAUL YVAN"/>
        <s v="LAZO NUÑEZ,ALVARO DIEGO"/>
        <s v="NAVARRO ALLCCA JOSE ARMANDO"/>
        <s v="VASQUEZ GALLEGOS CESAR KIN"/>
        <s v="VASQUEZ GALLEGOS DEYVI"/>
        <s v=" JUAN SANTOS ATAHUALPA GUARNIZ SANTIAGO "/>
        <s v="AGUIRRE TREJO FERNANDO"/>
        <s v="ALMONACID SULLCA JORGE LUIS"/>
        <s v="AZAÑERO RONCAL CIRILO"/>
        <s v="BUSTOS SERRATO DIEGO ANTONIO"/>
        <s v="CABALLERO CAMARA FREDDY WALTER"/>
        <s v="CACERES PEREZ GIOVANNI"/>
        <s v="CACERES PEREZ JOSE LUIS"/>
        <s v="COLETO GUTIERREZ WILMER SAMUEL"/>
        <s v="CORDOVA RAMIREZ COLLINS"/>
        <s v="CUSTODIO RUIZ  JOSE LUIS"/>
        <s v="DAZA SUAREZ JUAN CARLOS "/>
        <s v="DEL BUSTO ATUSPARIA MANUEL ALFREDO"/>
        <s v="ESPINAL VILLANUEVA ROGER ALONSO"/>
        <s v="FELIPA CUSIPUMA HUMBERTO ANTONIO"/>
        <s v="FLORES VASQUEZ SEGUNDO AVECIAS"/>
        <s v="GUEVARA SOLANO  GERSON ALBERT"/>
        <s v="INOÑAN CUZO GUILLERMO"/>
        <s v="IRRAZABAL MALLCO WILDE"/>
        <s v="LIMA APAZA ENRIQUE DANIEL"/>
        <s v="LLANQUE GARCIA CESAR AUGUSTO"/>
        <s v="MACAVILCA GUZMAN MIGUEL ANGEL"/>
        <s v="MASIAS CHUMPITAZ  CRISTIAN JAIR"/>
        <s v="MERCADO TORRES LEONARDO RENATO"/>
        <s v="MONCADA MERINO EDWIN JOEL"/>
        <s v="MUÑOZ MARTINEZ FRANKLING ROBERTO"/>
        <s v="MURAYARI TAMANI LARRY"/>
        <s v="NUÑEZ BUSTAMANTE LEEYON MAY"/>
        <s v="NUÑEZ ORE ROLANDO RAMIRO"/>
        <s v="OLARTE SUAREZ FREIRE JAVE"/>
        <s v="PADILLA MINAYA HECTOR"/>
        <s v="PALOMINO CONDORI JOSE ANTONIO"/>
        <s v="PASTOR CUAREZ RICHARD JHONNY"/>
        <s v="PAUCAR LOPEZ EBONY ALBERTO"/>
        <s v="PILCO ARIAS ALEXIS ARTURO"/>
        <s v="RAMIREZ BOLIVAR ABELARDO JESUS"/>
        <s v="REGALADO VELA FRANKLIN WILLIAM"/>
        <s v="ROJAS YUYALE DANIEL ENRIQUE"/>
        <s v="SANCHEZ PAQUIYAURI HERNAN CHRISTIAN"/>
        <s v="SANCHO HUANCOILLO MAXIMO"/>
        <s v="SANDOVAL NARO HARLAN"/>
        <s v="SANDOVAL SANCHEZ VICTOR HUGO"/>
        <s v="SOLIS CAMACHO JORGE"/>
        <s v="VASQUEZ PATIÑO VICTOR"/>
        <s v="VELASQUEZ RIVERA HAIDER"/>
        <s v="VENTURA PEZO  JOSE MANUEL"/>
        <s v="VIERA CASTRO GIORGIO ANDRE"/>
        <s v="VIZARRESMAGUIÑA RENZO RENATO"/>
        <s v="CABELLOS WILLIAMS OSWALDO"/>
        <s v="MARQUEZ MUÑOZ VICTOR ANTONIO"/>
        <s v="ESTRADA ALVARADO JOEL MICHAEL"/>
        <s v="VELIZ INOÑAN ALEX RONALD"/>
        <s v="ESPEJO CUYA JUNIOR JESUS"/>
        <s v="FLORES JIMENEZ GABRIEL JESUS"/>
        <s v="HUAMAN ALBERCA MARIO ANTONIO"/>
        <s v="PAIMA ZEBALLOS GEORJE"/>
        <s v="ROJAS VELASQUEZ CRISTIAN RAUL"/>
        <s v="ZEVALLOS GARCIA XAVIER JONATHAN"/>
        <s v="BARRENECHEA ESTRADA GONZALO"/>
        <s v="CHAVEZ RAYMUNDO ROBINSON JAVIER"/>
        <s v="CORDOVA ZELA WALTER"/>
        <s v="LESCANO CABUDIVO, TONY"/>
        <s v="MENDOZA FLORES MARIA MILAGROS "/>
        <s v="LABRA CARREÑO MARGOT MAGALI"/>
        <s v="MORALES ESCOBEDO MILAGROS ELIZABET"/>
        <s v="Diaz Shuña Andrea Alexandra"/>
        <s v="Fermin Aguilar Charlie Cristian"/>
        <s v="Suyo Burga Erik"/>
        <s v=" NARVAEZ CASANOVA JERSON AGENOR"/>
        <s v="ALFARO PAZ MOISES RAUL"/>
        <s v="HERNANDEZ VIGO EDICSON ALEXIS"/>
        <s v="HILARIO VEGA MARCELINO"/>
        <s v="ISAAC BRITO DANIEL REYNALDO"/>
        <s v="MUÑOZ GOMEZ LUIS"/>
        <s v="NUÑEZ BEJARANO ALBERTO YUNIOR"/>
        <s v="PULIDO SUAREZ JORGE MIGUEL"/>
        <s v="SANCHEZ VARGAS MACHUCA MARK BRYAN "/>
        <s v="VIVAR ZAVALETA JAIR STEFANO"/>
        <s v="ESCRIBA LOPEZ LUIS CELEDONIO"/>
        <s v="GRANDEZ PUTAPAÑA  JESUS "/>
        <s v="ROJAS CARTAGENA LUIS ENRIQUE"/>
        <s v="VICENTE MERMA JONATHAN EDISON"/>
        <s v="LLANTOY GARCIA JOEL GIANCARLO"/>
        <s v="CCOYCCA CCAULLA ANGEL DE JESUS"/>
        <s v=" ALVARADO PUYCON AYRTRON AARAON SEGUNDO"/>
        <s v="ALVARADO SIFUENTES JESUS HENDERSON "/>
        <s v="HUAYLINOS ESPINOZA ROBERT FRANK "/>
        <s v="PACHECO ROBERTO JOEL FRANKLIN"/>
        <s v="PACHECO ROBERTO VIDMAR"/>
        <s v="ROBERTO CARLOS NUÑEZ"/>
        <s v="SINDULFO RICARDO ZURITA CRUZ"/>
        <s v="YAÑEZ BALTAZAR WILLIAMS BRIAN"/>
        <s v="ROMERO GAMARRA RENZO ANTONIO"/>
        <s v="MENDOZA TICSE JESSICA"/>
        <s v="CASTRO SALAZAR JUAN CARLOS"/>
        <s v="SALAZAR VARGAS RODER FORD"/>
        <s v="PEÑA GASPAR VICTOR HUGO"/>
        <s v="ESPINOZA PONSECA JHORDANO JOHNNY"/>
        <s v="SALAZAR IDROGO JESUS NICOLAS"/>
        <s v="LIZANA  QUISPE ANTENOR"/>
        <s v="RAMIREZ HUAMAN VICTOR RAUL"/>
        <s v="CHOCHOCA ACCO RAUL GUSTAVO"/>
        <s v="CRUZADO OCARIS ROBERT WILLIAMS"/>
        <s v="Cashpa Yarasca Luis Alfredo"/>
        <s v="Quispe Carbajal Manuel"/>
        <s v="Rivera Peña Ronal"/>
        <s v="Ronceros Ccasani Abel"/>
        <s v="Villanueva Sayas Eber"/>
        <s v="NUÑEZ RAFAEL EDISON GERLIS"/>
        <s v="CORREA RODRIGUEZ CARLOS ALFONSO"/>
        <s v="PEREZ ESPINOZA ERIK ELMER"/>
        <s v="SANTIAGO LOPEZ, RICHARD DARIO "/>
        <s v="SAYAN MORALES RODRIGO ALONSO"/>
        <s v="MOYA NATIVIDAD IVAN "/>
        <s v="SANCHEZ PUERTAS JAIME"/>
        <s v="ALEGRE RIVERA, CESAR KICEMLLER"/>
        <s v="PARIONA CONDORI, FRANCOIS LEONARDO"/>
        <s v="BRAVO CORDOVA MILAGROS AURELIA"/>
        <s v="RAMOS HIPOLITO MILNER SERGIO"/>
        <s v="ESPINOZA DE LA CRUZ, JULIO CESAR"/>
        <s v="FLORES PRADA JOHSON ARNOLD"/>
        <s v="RIVAS MUÑOZ CESAR ALEJANDRO"/>
        <s v="CHAPILLIQUEN FLORIAN, ENRIQUE"/>
        <s v="PEÑA PEÑA, WILDER"/>
        <s v="LEYVA REYNALTE RICARDO ALEXIS"/>
        <s v="FLORES PRADA JOSE MANUEL"/>
        <s v="RODRIGUEZ OCHAVANO JORGE ANTONIO"/>
        <s v="HUALLPA GUZMAN JOHN ROBERT"/>
        <s v="MACHARE SOSA JOSE LUIS"/>
        <s v="MARQUEZ NOA, SANTIAGO"/>
        <s v="CRISTIAN RAUL ROJAS VELASQUEZ"/>
        <s v="NEHEMIAS ALCANTARA PAULINO"/>
        <s v="ALEX MACEDO TANGOA"/>
        <s v="AMAYA VELIZ WILLIAM GIOVANNI"/>
        <s v="CENTENO ROCA CARLOS ENRIQUE"/>
        <s v="LLANOS LAURENTE, JORGE LUIS"/>
        <s v="MATO PUJAY, CARLOS JONEL"/>
        <s v="VILLALBA MATAMOROS  RAQUEL ROCIO"/>
        <s v="ANCHANTE GUIMARAES CROMWELL STEVEN"/>
        <s v="GRANDEZ ACHO TOMAS"/>
        <s v="VARGAS HERRERA WILMER"/>
        <s v="ROJAS SANCHEZ JULIO ALBERTO"/>
        <s v="HORNA SANCARRANCO JHONNY RICHARD"/>
        <s v="HORNA SANCARRANCO FERNANDO ABDIAS  "/>
        <s v="CAIRA CASTILLO DAVID JAVIER"/>
        <s v="PAZ ROMERO JUAN EDGAR"/>
        <s v="BELISARIO GARCIA VILLADOMA"/>
        <s v="KARGEL OLORTEGUI DOSANTOS"/>
        <s v="SILVA GIL JORGE ANDRE"/>
        <s v="GARCIA ROJAS KIKE"/>
        <s v="DEL AGUILA CACHIQUE MARLON"/>
        <s v="URACO ACHO JACK WILLER"/>
        <s v="AQUINO RAVINES ROBERTH JOHNATAN "/>
        <s v="AYUQUE QUISPE ALBARO"/>
        <s v="BARDALES SOZA CELSO"/>
        <s v="CERVANTES MALLQUI GERMAN"/>
        <s v="HUAMANI CASTRO VICTOR WILDER"/>
        <s v="HUAMANI HUAYTALLA LEONARDO SAUL "/>
        <s v="JARA MORALES JOSE FELIPE"/>
        <s v="LÓPEZ VARGAS YIMMY CALEB "/>
        <s v="MENDOZA GARCIA MANUEL"/>
        <s v="MORÁN BRAVO JOSÉ ALEXANDER"/>
        <s v="MORENO ALBERCA PETTER PAUL"/>
        <s v="OBANDO MORENO FRANCISCO DANIEL"/>
        <s v="PALACIOS ANCAJIMA EDGARD"/>
        <s v="PAREDES CORTEZ JORGE LUIS"/>
        <s v="PATRICIO FERNANDEZ BERNALES JONTHER "/>
        <s v="QUISPE GONZALES JUNIOR RAFAEL "/>
        <s v="QUISPE MORALES MITCHEL EDU"/>
        <s v="RAYGADA ESCALANTE RICARDO RAUL"/>
        <s v="RIVERA LOPEZ ROBERT AUGUSTO"/>
        <s v="RODAS RUA ARNOLD DENNIS"/>
        <s v="ROSSI HEREDIA ANGEL ANTONIO"/>
        <s v="SOLIER SANCHEZ JOEL"/>
        <s v="TINCO VALLEJOS RICHARD"/>
        <s v="ZELAYARAN MEZA GIANCARLOS BRYAN"/>
        <s v="SANCHEZ SECO JUSTINO ANDERSON"/>
        <s v="ACHATA HUAYHUAS FREDY"/>
        <s v="AGURTO QUISPE JAIME ALONSO "/>
        <s v="ATENCIO CHAVEZ JESUS"/>
        <s v="AVALOS GALVEZ LUIS ALEJANDRO"/>
        <s v="AYALA CALDERON EDHER CLINTHON"/>
        <s v="BALDERA MAZA CESAR AUGUSTO"/>
        <s v="BLANCAS SOTO JESUS JOSUE"/>
        <s v="BUENDIA CORONADO JIMMY YSMAEL"/>
        <s v="BUENO HURTADO ELMER"/>
        <s v="CASTILLO ROMAN NIKE ROBERSON"/>
        <s v="CHAVEZ MINCHAN HECTOR"/>
        <s v="CHIRCCA ZARATE JUVENAL"/>
        <s v="CHUJUTALLI CENEPO SANDRO"/>
        <s v="DEL AGUILA RAMIREZ JUAN CARLOS"/>
        <s v="ENCARNACION COTRINA ALEJANDRO OMAR"/>
        <s v="FARROÑAN DE LA PIEDRA ALAN FELIPE"/>
        <s v="FERNANDEZ PADILLA EISER ELI"/>
        <s v="GACIUT COBEÑAS DAVID JONATHAN"/>
        <s v="GAMBOA PONCE RICARDO AUGUSTO"/>
        <s v="GARCIA PRIETO LILIO WILDE"/>
        <s v="GUILLEN BARZOLA FREDY"/>
        <s v="HUACCACHI  LUZA YURI"/>
        <s v="HUARACA TINEO JUAN CARLOS"/>
        <s v="LEON FAJARDO WILLIAMS WILFREDO"/>
        <s v="LOPEZ OROZCO MILTHON "/>
        <s v="MACHUCA MEDINA SANTOS JAIME"/>
        <s v="MARTINEZ ARAMBURU MICHAEL GERALD"/>
        <s v="ÑAHUARIMA TICA DETER YASMANI"/>
        <s v="OJANAMA INUMA DENIS"/>
        <s v="OROYA RUMAY RIMER JAVIER"/>
        <s v="PARCCO CRESPO SERGIO"/>
        <s v="PEREZ ALBA SAMUEL SEBASTIAN"/>
        <s v="POLO CRUZADO ELVIS"/>
        <s v="QUISPE AZURZA WILVER SEBASTIAN"/>
        <s v="RAMIREZ ALBERCA ALEX"/>
        <s v="RAMOS MUÑOZ MOISES"/>
        <s v="RAMOS RANGEL YULEINY"/>
        <s v="RAYME RIVERA RAUL FERNANDO"/>
        <s v="REYNA BENITES IVAR DANI"/>
        <s v="ROJAS MAYO JOEL AMOS"/>
        <s v="SILVA KAMT PIER JOAQUIN"/>
        <s v="TACURE CALLE JAIME"/>
        <s v="TECHERA AYMACHOQUE FRANK DINO"/>
        <s v="TRUJILLO CASTRO AMED JAZAN"/>
        <s v="TUANAMA PANDURO JAVIER"/>
        <s v="VALDIVIA CONTRERAS LORENZO ALBERTO"/>
        <s v="VARGAS POMA JULIAN"/>
        <s v="VASQUEZ SOTO JIM"/>
        <s v="VIERA HUALCAS YERSEN"/>
        <s v="VILLALBA CHIPANA DIEGO"/>
        <s v="POU PEÑA GUILLERMO"/>
        <s v="ROMERO YANCE JOEL JOSUE "/>
        <s v="QUISPE SANCHEZ PERCY LUIS"/>
        <s v="BACILIO MELGAREJO NELSON VLADIMIR"/>
        <s v="POVIS MUÑOZ RONALD ERICK "/>
        <s v="YUPANQUI CAMPOS JHON TUPAC "/>
        <s v="VASQUEZ RISCO CARLOS HUGO"/>
        <s v="FLUKER CUEVA FRANK"/>
        <s v="PALACIOS MALCA ROYER"/>
        <s v="AGUILAR EUSEBIO RICARDO"/>
        <s v="DIOSES ANASTACIO MANUEL ARTURO"/>
        <s v="QUINTANILLA SANCHEZ WILLY GUALBERTO"/>
        <s v="BONILLA OSORIO JACK LENIN"/>
        <s v="ECHEVARRIA SURICHAQUI, WILLIAM LUIS "/>
        <s v="CONDORI RIVERA DANIEL"/>
        <s v="RIVERA PARDO EDGAR WILFREDO"/>
        <s v="PUJAY ACUÑA CHRISTIAN TAHILOR"/>
        <s v="GOMEZ NOA DAVID MANUEL"/>
        <s v="AYBAR QUINTE LUZ GIANNI "/>
        <s v="BENITES TORRES DANY DANIEL"/>
        <s v="BENITEZ MONCADA JOSE ENRIQUE"/>
        <s v="BRAVO LUNA VICTORIA ROSA MARIA"/>
        <s v="CAICEDO CUSTODIO JOSE DEL CARMEN"/>
        <s v="CARRILLO BENAVENTE ANGEL MARTIN"/>
        <s v="CASTILLO DIAZ JUAN FRANCISCO"/>
        <s v="CHUJUTALLI YSUIZA ADAN ORLANDO"/>
        <s v="CRISPIN ZAMORA JHONNATAN WILFREDO"/>
        <s v="GUERRA ASPAJO WALTER OSCAR"/>
        <s v="LA MOTTA PUMA FAUSTO"/>
        <s v="MEZA ORIHUELA CARLOS HUMBERTO"/>
        <s v="PINEDO DEL AGUILA RAMON WILY"/>
        <s v="ROMERO PEZO DILMER JOAQUIN"/>
        <s v="ALVARADO SANDOVAL CHANEL MICHEL"/>
        <s v="DIAZ MATOS ANGEL JUSTINO"/>
        <s v="CONTRERAS QUISPE HECTOR ENRIQUE "/>
        <s v="MELENDEZ MARTINEZ YAMIR ALEXANDER "/>
        <s v="BETETA BERMUDEZ NESON"/>
        <s v="DELGADO MONAJULCA FERNANDO GERSON"/>
        <s v="TORIBIOPERES CRISTHIAN OCTAVIO "/>
        <s v="TAPULLIMA CHANZAPA, WILCLER"/>
        <s v="LIMAS ENCINAS ENZO SANTOS"/>
        <s v="OLMEDO CARPIO MANUEL ANTONIO"/>
        <s v="GUIÑAZU ALVAREZ MAURICIO ALEJANDRO"/>
        <s v="SEDANO QUISPE DIEGO ARMANDO"/>
        <s v="CHIPANA HUAYHUAS VICTOR JAIME"/>
        <s v="HUERTA REYNALDO ANGEL "/>
        <s v="JIMENEZ FLORES CESAR EDUARDO"/>
        <s v="AGUIRRE LOPEZ CLODOALDO JUAN"/>
        <s v="CAJAHUARINGA SANTOS GIANCARLOS"/>
        <s v="DAMIAN RIOS GERSON ISRAEL"/>
        <s v="TUPIA ANSIETA CARLOS"/>
        <s v="AJON SANDA FREDDY"/>
        <s v="RAMIREZ MOZOMBITE LUIS MIGUEL"/>
        <s v="POBLET MORI RICARDO SATURNINO"/>
        <s v="AGUIRRE SALAZAR JHOAN ALEXANDER"/>
        <s v="ALBAN MUÑOZ, JORGE ALFONSO"/>
        <s v="MEZA ASCONA JUAN CARLOS"/>
        <s v="AGUIRRE SALAZAR DANIEL ALBERTO"/>
        <s v="VASQUEZ CHAVEZ MARCOS ARMANDO"/>
        <s v="QUIROZ TORRES JHONY YAFET"/>
        <s v="PINTO ROJAS BILLY JOEL"/>
        <s v="DAVALOS PACHECO OCTAVIO"/>
        <s v="MAURICIO MENDOZA JEREMIAS"/>
        <s v="ESQUIVEL MATEO SAUL DAVID"/>
        <s v="BARRIGA CHAVEZ TOSHIO AKYHITO JAVIER "/>
        <s v="ALFARO MONTEZA RONALD"/>
        <s v="ALVAREZ MAMANI IVAN"/>
        <s v="ARMAS FLORES JOSIAS"/>
        <s v="CACHAY MIRANDA JESSICA BEATRIZ"/>
        <s v="ESTRELLA BALVIN JEAN ERICK"/>
        <s v="AGUIRRE LOPEZ HALDO LEONARDO"/>
        <s v="BALTAZAR MUÑOZ JORGE GIANCARLO"/>
        <s v="PAEZ TIMAURE FREDDY JOSE"/>
        <s v="VIVAS VASQUEZ MIROSLAVA JESSICA"/>
        <s v="BECERRA MAMANI EDER"/>
        <s v="BOLO JARAMILLO, JHON VICTOR"/>
        <s v="ROMERO ZEGARRA,SANTOS"/>
        <s v="HERRERA QUINTANA JOAO IVAN"/>
        <s v="HUAMAN GONZALES, JUANITA JOVANA"/>
        <s v="QUISPE VEGA, LUIS MIGUE"/>
        <s v="BALDEON ECHEGARAY, ALAN"/>
        <s v="CORNEJO MOSCOL, REDDY ELVIS"/>
        <s v="CAMPOS CUBAS, LUQUI"/>
        <s v="ALDANA CAMPOS, LUIS ALBERTO"/>
        <s v="DE LA CRUZ NEGRON JONATHAN "/>
        <s v="PEREZ TORRES, FREDY ALFREDO"/>
        <s v="GARCIA CORDOVA, ALEXANDER"/>
        <s v="CALDERON ALCANTARA, JONATHAN RAUL"/>
        <s v="SANCHEZ CORDOVA LUIS GABRIEL"/>
        <s v="SORIANO FARFAN, ROGER GUNTER"/>
        <s v="PURIHUAMAN NUNTON, MANUEL JOSE"/>
        <s v="GRANADOS AVILA, JUAN JOSE"/>
        <s v="SOLIS BURGOS, ARTURO FRANK"/>
        <s v="VALDIVIEZO CASTILLO JEAN"/>
        <s v="FLORENCIO BARBOZA EMERCH"/>
        <s v="COMECA RUBIO, ROBER"/>
        <s v="MERA GUERRERO WALTER"/>
        <s v="LIMA YLLA AGUSTIN"/>
        <s v="MENDOZA MONTAÑEZ  RAFAEL RAMIRO"/>
        <s v="CCANCHI VELARDE  JUAN CARLOS"/>
        <s v="CALLE CORDOVA SEGUNDO ISAUD"/>
        <s v="DOMINGUEZ HUAMAN, ARCENIO"/>
        <s v="ILLESCAS CHARUN,JHONNY WILLIAM"/>
        <s v="GASPAR ALIAGA,ANDRES JIMMY"/>
        <s v="SANCHEZ FEITOSA, JHON JAMES"/>
        <s v="MAGAN CHIORZO,ALEXANDER"/>
        <s v="GUEDES MACEDO,MILVER BIBIANO"/>
        <s v="SANCHEZ BARRERA,JOHN PAUL"/>
        <s v="CAJALEON MAYON,JUAN CARLOS"/>
        <s v="FALLAQUE CANARIO,RICARDO PAUL"/>
        <s v="REATEGUI CHUNG,GIBSON ALEXANDER"/>
        <s v="NUÑEZ PANDO,CESAR ALBERTO"/>
        <s v="CUSQUISIBAN SILVA,ANDY JHONATAN"/>
        <s v="MANRIQUE ALVA,NIEL GRET"/>
        <s v="SANTISTEBAN MORI,ALEXANDER"/>
        <s v="TANTA JAHUAY,JAVIER "/>
        <s v="ZEVALLOS PIZARRO,VLADIMIR"/>
        <s v="ABRIL CERVANTES,JESUS ABEL"/>
        <s v="GALLARDO VILCA,JUAN MITCHEL"/>
        <s v="MONSALVE SOTO,RAUL ROGELIO"/>
        <s v="SANTIAGO ISLA,IVAN FLEMIN"/>
        <s v="ESPINOZA HONORIO,JUAN CARLOS"/>
        <s v="TOVAR FERNANDEZ,JULIO CESAR"/>
        <s v="ACARO AQUINO JOSE OSWALD"/>
        <s v="ALANYA GALINDO  AMADEO CRISTIAN"/>
        <s v="CHAVEZ YALTA MARCELO "/>
        <s v="CONTRERAS AQUINO FERNANDO JESUS "/>
        <s v="IBAÑEZ GUTIERREZ JUAN ALBERTO"/>
        <s v="DE LA CRUZ AVILA RAFAEL ISAAC"/>
        <s v="HIPOLITO FALCON ALAN GUIOMAR "/>
        <s v="ORTIZ ÑAHUI CROWER WALTER"/>
        <s v="ORTIZ ÑAHUI NELSON WILBER"/>
        <s v="TORRES  CLAVIJO CLEISY  MIGUEL"/>
        <s v="TORRES LLANOS JOSE VICTOR"/>
        <s v="HURTADO LARA JUAN CARLOS"/>
        <s v="CORTIJO DAVILA  ROBERT GERSON"/>
        <s v="ALTAMIRANO MAÑUICO JUNIOR"/>
        <s v="ALVAREZ AYALA EDUARDO JOAQUIN"/>
        <s v="ANGULO NAMOC JOSE NICOLAS"/>
        <s v="ASCONA HERRERA CHARLES"/>
        <s v="AVILA DE LA CRUZ JOEL JUNIOR"/>
        <s v="BATANA LLASHAG EVER"/>
        <s v="CAMPOS VELA ELVIS PIERO"/>
        <s v="CARBAJAL VARAS JHOLBER ENRRIQUE"/>
        <s v="CHAVEZ CHUQUITAL MIGUEL"/>
        <s v="CHUMA GUILLEN ALDO CHRISTIAN"/>
        <s v="CISNEROS CANCHARI WALTER SAMUEL"/>
        <s v="COBA HUAMAN LORENZO"/>
        <s v="DURAND IMAN CARLOS ALFREDO"/>
        <s v="ELIZALDE MORAN IZRI UZUEL"/>
        <s v="GRANDEZ MACEDO JEEM"/>
        <s v="GUERRA ALVA DARWIN"/>
        <s v="HUAYTALLA CUYA JORGE LUIS"/>
        <s v="JIMENEZ GUEVARA ALEXANDER"/>
        <s v="MELGAREJO SANABRIA JOEL"/>
        <s v="MITIVIRI RIOS ANTHONY JOAO"/>
        <s v="MONTESINOS RIOS MIGUEL ANGEL"/>
        <s v="NAMUCHE ALDANA SEGUNDO"/>
        <s v="ONCEBAY QUISPE HERBERT"/>
        <s v="PALACIOS DE LA CRUZ DANIEL RIGOBERTO"/>
        <s v="PANTALEON AVILA VICTOR HUGO"/>
        <s v="ROJAS VASQUEZ EDILBERTO"/>
        <s v="SERNAQUE PURIZACA JOSE HUMBERTO"/>
        <s v="SUSANIBAR HUAMAN JUAN FREDDY"/>
        <s v="TAPULLIMA PIÑA FELIPE"/>
        <s v="TAVARA LOPEZ ELVIS STEVEN"/>
        <s v="TEJADA PAZ EDWIN SAMUEL"/>
        <s v="TUEROCONZA SUAREZ HECTOR NOEL"/>
        <s v="URBANO YARINGANO MIGUEL ANGEL"/>
        <s v="URBANO YARINGANO, ANTHONY"/>
        <s v="VALVERDE GARCIA LENNYN OSCAR"/>
        <s v="YUPE SANCHEZ BEINKER"/>
        <s v="ZEÑA ALCANTARA IVAN"/>
        <s v="SAAVEDRA BERRU YSOE PRIMITIVO"/>
        <s v="CHAVEZ BARRIOS HYNOLDS ALBERTO AMADOR"/>
        <s v="SOTO TORRES CHRISTOPER ALEXANDER"/>
        <s v="JACINTO FERNANDEZ JOSE LUIS"/>
        <s v="LEON PINEDO JHONATAN OSCAR"/>
        <s v="TAMARIZ CASTRO RONAL ZICO"/>
        <s v="CHOCCÑA JOAQUIN RAFAEL"/>
        <s v="GAMARRA RODRIGUEZ GUILLERMO THOMAS"/>
        <s v="SALCEDO BORDA ENRIQUE CLAUDIO"/>
        <s v="SALCEDO SAAVEDRA LUIS ALBERTO"/>
        <s v="RIOS BLANCO MARTIN ALONSO"/>
        <s v="PAJUELO BEUNZA VICTOR CLAUDIO"/>
        <s v="RIVERA NOLAZCO CARLOS ALFREDO"/>
        <s v="ESPINO PEREZ WILLIAM ISMAEL"/>
        <s v="ATAUCUSI LOPEZ ENRIQUE "/>
        <s v="RAMIREZ CASTAÑEDA CARLOS ALBERTO"/>
        <s v="ADRIANZEN RIOS JOSE ALBERTO"/>
        <s v="ZORRILLA CARHUAMANTA JOEL GREGORIO"/>
        <s v="LAVERIANO ESPINOZA YERSON JAVIER"/>
        <s v="TRILLO CHIRE LUIS ENRIQUE"/>
        <s v="COMBE NICOLAS JEAN "/>
        <s v="ALLCCA ROMAN ISMAEL"/>
        <s v="RUPAY AGUILAR JUVER WILLIAM"/>
        <s v="ARIAS CASTILLO ANDI STUAR"/>
        <s v="HUAYNATEZ SUERE EDER"/>
        <s v="BASTIDAS POMA KATHERINE KHETTY"/>
        <s v="POMACHAGUA VALDEZ CESAR RAUL"/>
        <s v="SALAZAR ROJAS ANDREA YASMIN"/>
        <s v="RAMIREZ LOPEZ ALEXIS OMAR"/>
        <s v="CRISTOBAL LOYOLA ESLY OBET"/>
        <s v="MAZA HUAMANI SANDIBEL MARYORY"/>
        <s v="YUPANQUI BAUTISTA JUAN CARLOS"/>
        <s v="BALDEON ALAYO JERRY FRANCES"/>
        <s v="ESPINOZA CARRASCO RICHAR"/>
        <s v="AGUILAR CABRERAS JHON ALEXANDER"/>
        <s v="TORRES CASAS MARIO FROCTUOSO"/>
        <s v="OCAÑA QUEREVALU LUIS CARLOS"/>
        <s v="PASHANASI PAREDES RICK ABNER"/>
        <s v="MEZA MALLQUI JAVIER SAUL"/>
        <s v="PIHUE COMUN WILLIAMS CESAR"/>
        <s v="VILLANUEVA RAMIREZ DEIVI CRISTIAN"/>
        <s v="SILVANO GALVEZ CARLOS ELY"/>
        <s v="NUÑEZ PATIÑO ANGEL DANGELO"/>
        <s v="FLORES PICOY HUGO OCTAVIO"/>
        <s v="GALVEZ BARDALES XAVIER IGNACIO"/>
        <s v="PIMENTEL PAUCARCHUCO PERCY CESAR"/>
        <s v="ARGUMEDO PAMPA CARLOS ENRIQUE"/>
        <s v="VILCA CALERO JONATHAN "/>
        <s v="ZAVALETA AMORETTI LISSETE GABRIELA"/>
        <s v="DIAZ SOTO CHRISTOFER ROBIN"/>
        <s v="ESPINOZA SARRIN JOHN RICHARD"/>
        <s v="GUEVARA CRUZADO ELFERES"/>
        <s v="PUENTE FUNG OMAR CRISTIAN"/>
        <s v="TAVARA MENDOZA MIGUEL ESTEBAN "/>
        <s v="ROJAS GARCIA IRVIN JOSUE"/>
        <s v="CALDERON DIOSES JOSE LUIS"/>
        <s v="YAMUNAQUE GUERRERO JOSE DEL CARMEN "/>
        <s v="PESCORAN ZEVALLOS JIMMY FRANCESC"/>
        <s v="RETAMOZO GONZALEZ JORGE MANUEL"/>
        <s v="AGUIRRE ARONE MIGUEL ELIAS"/>
        <s v="INGA SAAVEDRA JOHN MARLON "/>
        <s v="FELICES YUCRA DAVID"/>
        <s v="CAMONES CASIMIRO JENNY MIRELLA"/>
        <s v="CHAVEZ AQUINO LUIS ORLANDO"/>
        <s v="MAMANI RAMOS DELIA"/>
        <s v="JESUS TOVAR JOSE JORGE"/>
        <s v="TORREJON RAMOS VICTOR ANDRES "/>
        <s v="GARCIA AGUILAR LUIS ENRIQUE"/>
        <s v="LUNA TORRES ANGEL IVA"/>
        <s v="HERRERA LEON CAROL VANESSA"/>
        <s v="ASIPALI SILVA BRIAN JOSE"/>
        <s v="AGUIRRE CASTRO LUIS ANGEL"/>
        <s v="GAYTUIRO ROSAS JORGE LUIS"/>
        <s v="PEREZ ZAMBRANO ELMER ANTONIO"/>
        <s v="TESSADA LUSCHER JUAN PABLO"/>
        <s v="LLICAHUA LUPA WILDOR"/>
        <s v="RIOS PATIÑO MICHAEL HAROL"/>
        <s v="REATEGUI HERNANDEZ EDWIN LEONARDO"/>
        <s v="SANCHEZ COSINGA DARWIN ROGER"/>
        <s v="HUASHUAYO GONZA MIGUEL ANGEL"/>
        <s v="VEGA PEREZ VICTOR HUGO"/>
        <s v="MORENO ALMEYDA JOSE LUIS"/>
        <s v="VALENTIN VELIZ ALEXANDER JESUS"/>
        <s v="ZEGARRA TELLO EPIFANIO"/>
        <s v="SANDOVAL VILCHEZ ALDO"/>
        <s v="ARBILDO PISCO BERNABE"/>
        <s v="SANCHEZ RONDOY HENRY"/>
        <s v="CARRERA CABANILLAS MARCO ANTONIO"/>
        <s v="MEZA MOQUILLAZA GREGORIO ALEXANDER"/>
        <s v="BAZAN MENDOZA BIZET BENJAMIN"/>
        <s v="NIEVES RODRIGUEZ LUIS FRANKLIN"/>
        <s v="FABIAN CASTRO ALCIDES JUSTINO"/>
        <s v="QUISPE YANAC CARLOS ANTONIO"/>
        <s v="MIGUEL ANGEL NEGRETE PALACIOS"/>
        <s v="JOSE HONORIO SAGASTEGUI REATEGUI"/>
        <s v="PEDRO LUIS AGURTO ARAUJO"/>
        <s v="WALTHER EDUARDO ADRIANZEN JUAREZ"/>
        <s v="ALEX MARTIN OLIVAR QUISPE"/>
        <s v="JORGE LUIS MONTERO BERMUDEZ"/>
        <s v="CRISTIAN IVAN CASTAÑEDA RODRIGUEZ"/>
        <s v="WILLY FRANCISCO CHAVEZ CHINCHAY "/>
        <s v="OMAR ANTONIO BERLANGA GRANDI"/>
        <s v="JOSE ARMANDO REGALADO MARTINEZ"/>
        <s v="JULIO CESAR NOLE ALGUEDAS"/>
        <s v="JORGE LUIS CONTRERAS ALARCON"/>
        <s v="MORALES TORRES DAVID"/>
        <s v="AYASTA VILCA JOSE MIGUEL"/>
        <s v="BOCANEGRA MIRANDA DENNYS JOSUE"/>
        <s v="COBEÑAS WAN SILVIA MEYLIN"/>
        <s v="CORTINA SANTANA, ALBERTO"/>
        <s v="VERDECIA MORENO MAYKEL"/>
        <s v="GRATEROL GUZMAN EMYLY JOSE "/>
        <s v="SANCHEZ DIAZ KLEYVELIS COROMOTO"/>
        <s v="CACERES SANDOVAL, JONATHAN CARLO"/>
        <s v="MARTINEZ CAMPOS MARIA GABRIELA"/>
        <s v="GUTIERREZ CASTILLO LUIS ALEJANDRO"/>
        <s v="CAPCHA FLORES ANDY"/>
        <s v="LLANCARI HUAYLLAS, FRANKLIN"/>
        <s v="RAMIREZ SATALAYA DARWIN"/>
        <s v="ALBAN BARRIOS HUMBERTO ADRIAN"/>
        <s v="ANTON TAPIA JHON MAICOL"/>
        <s v="SALCEDO JARA RONALD EDUARDO"/>
        <s v="SALCEDO JARA WILLY JACOBO"/>
        <s v="VILLAVICENCIO PAREDES ALDAIR ALEXIS"/>
        <s v="CABEZAS CARDENAS MARISOL MARIA"/>
        <s v="CHAMBA CIEZA VICTOR JAVIER"/>
        <s v="DE LA CRUZ NOVOA JUAN ELIOT"/>
        <s v="HIGA VALVERDE JULIO TAKESHI "/>
        <s v="HUAPAYA CAMPOS PAUL DENNYS"/>
        <s v="JAQUE CHAVEZ EDGAR ZENOBIO"/>
        <s v="RAYMUNDO ZEGARRA CARLOS SLIM"/>
        <s v="VERAMENDI CHANAME ANTHONY RAUL"/>
        <s v="ALVARADO ALVARADO, ISAI"/>
        <s v="POQUIS GOMEZ  RONAL"/>
        <s v="POQUIS GOMEZ ORLANDO"/>
        <s v="VELASQUEZ AGAPITO EVER"/>
        <s v="AGRADA SANCHEZ YURANNY"/>
        <s v="ROJAS VENTURA JOSE LUIS"/>
        <s v="VARGAS FLORES LUIS FELICIANO"/>
        <s v="ALVARADO CHIPANA LUIS  FELIPE "/>
        <s v="CARBAJAL ROSAS LUIS ANDRES"/>
        <s v="CUADROS HUALLA RICHARD"/>
        <s v="DE LA SOTA VALLEJOS DAVE  STEVE"/>
        <s v="GONZALES MENDOZA FRANKLIN"/>
        <s v="MEDINA AMAYA JONATHAN JOEL"/>
        <s v="SACACA CCOPA HERBETH"/>
        <s v="ALLCA CARRASCO CRISTOFER DANTE"/>
        <s v="DAMACEN CASTILLO LEILA LUCIANA"/>
        <s v="EGUSQUIZA OJEDA CARLOS ALBERTO"/>
        <s v="PIMENTEL LLIUYA JULIO CESAR"/>
        <s v="ROMERO LAVAN JUAN CARLOS"/>
        <s v="FRETEL SANTILLAN FRAN PERCY"/>
        <s v="VALERA MELENDEZ LUISANA ANDREINA"/>
        <s v="AGUILA CACHIQUE JOHN DEL AGUILA"/>
        <s v="CANALES MANCILLA RAYMILLER"/>
        <s v="CAPCHA ROMARICO JOSE ANTONIO"/>
        <s v="CAVERO CANALES JIMMY ROY"/>
        <s v="CAVERO CANALES RICHARD ALBERT"/>
        <s v="HILARIO ALVAREZ JESUS ENRIQUE"/>
        <s v="HILARIO ALVAREZ RAUL SANTOS"/>
        <s v="RAMOS BERAUN PERCY ESTEBAN"/>
        <s v="RIOS CASTILLO EDHER JACINTO"/>
        <s v="TESHIROQUI CHAMORRO PAMELA IVONNE"/>
        <s v="Aquino Rojas, Ever Juan"/>
        <s v="Concha Ylizarbe, Robinson Rulo"/>
        <s v="BRAVO ISMODES JORGE MAURICIO"/>
        <s v="PIMENTEL GIRON JOHN ANTHONY"/>
        <s v="VILLANUEVA VILLAVICENCIO JORGE LUIS"/>
        <s v="ALVARADO MUÑOZ EDGARD YAMPOL"/>
        <s v="CHUQUIMANGO SANCHEZ PAUL"/>
        <s v="GIL HUANCA CESAR ELOY"/>
        <s v="GUEVARA QUISPE YOYBER ALBERTO"/>
        <s v="JOAQUIN MARCHENA JAVIER"/>
        <s v="MEDINA YLLANES MANUEL"/>
        <s v="MEZA MAURA  WASHINGTON  JOSEPH"/>
        <s v="NIÑO ALVAREZ CESAR ENRIQUE"/>
        <s v="CONTRERAS URRUTIA ABEL"/>
        <s v="ROJAS ANAYA BRAULIO"/>
        <s v="QUISPE BENDEZU FERNANDO RAUL"/>
        <s v="ONOCURI FUENTES VICTOR RAUL"/>
        <s v="CASTRO GONZALES NELSON FRANCISCO"/>
        <s v="GALAN SULCA JUAN CARLOS"/>
        <s v="HUILLCA SALLO ALVARO"/>
        <s v="CARHUAMACA HUAYANAY JULIO"/>
        <s v="FERNANDEZ ROJAS CHRISTIAN JOEL"/>
        <s v="ESTRADA NOLE EDAR RODRIGO"/>
        <s v="GONZALES SAEZ SAYARI"/>
        <s v="MORENO LOPEZ ROMULO"/>
        <s v="QUISPE MONTES EMERSON "/>
        <s v="BULEJE SOSA ROBERTO CARLOS"/>
        <s v="SEDANO QUISPE CRISTHIAN FABIAN"/>
        <s v="GARCIA SOVERO GABRIEL ARTURO"/>
        <s v="BENDEZU SUAREZ JUNIOR BRAYAN"/>
        <s v="GUTIERREZ CUEVA DIEGO ALFONSO"/>
        <s v="SANCHEZ LOAYZA LUIS JAVIER"/>
        <s v="CISNEROS BECERRA MANUEL FRANCISCO"/>
        <s v="ALFARO ALMONTE LEOPOLDO"/>
        <s v="VILLEGAS LLAUCE ALVARO HENRRY"/>
        <s v="AMASIFUEN VASQUEZ SANTIAGO PIER"/>
        <s v="MALDONADO ALFARO JUAN MANUEL"/>
        <s v="ACHAMIZO VARGAS RUDY ROGER"/>
        <s v="CARBAJAL MENDOZA YEFERSON"/>
        <s v="CASAVILCA PAUCAR LUIS ANTONIO"/>
        <s v="CASTILLO SILVA JOSE RUBEN FRANCO"/>
        <s v="CCORI MACHACA KEVIN FRAISER"/>
        <s v="DELGADO DIAZ NELZON"/>
        <s v="GASLA PACAYA DARCYN JHON"/>
        <s v="GOMEZ ROBLES VLADIMIR"/>
        <s v="GRANDEZ CHAMAMOTH ALBERTO"/>
        <s v="LOPEZ AVILA SEGUNDO VICTOR"/>
        <s v="LOPEZ SOLIS LUIS CARLOS"/>
        <s v="MENDOZA MORENO JUAN GUALBERTO"/>
        <s v="PEREZ VELI MILER "/>
        <s v="MILLONES REQUE JAIME"/>
        <s v="MONTENEGRO LARA RONALD JAIR"/>
        <s v="MONTESINOS PERALTA ANTONIO"/>
        <s v="PALOMINO NAVIO GONZALO"/>
        <s v="QUISPE CCAPA TONY"/>
        <s v="SANTOS CHAVARRIA ANGEL ANTONIO"/>
        <s v="YUCRA LIMA RUSVELL DANIEL"/>
        <s v="DIAZ RODRIGUEZ MERY ISABEL"/>
        <s v="ROJAS CRIALES PERCY IGNACIO"/>
        <s v="BERECHE NUÑEZ JORGE ANTONIO"/>
        <s v="MONTERO MENDOZA ALBERTO EDUARDO"/>
        <s v="SILVA VASQUEZ JOSE ROMEL"/>
        <s v="VILCHEZ CORONADO  ERLI"/>
        <s v="YSLA ESPINOZA BRANDON"/>
        <s v="DELFIN RIVAS JUAN JOSE JESUS"/>
        <s v="OLIVA ALBERTO BAYRON ANGELO"/>
        <s v="BUSTAMANTE TIRADO ALVARO"/>
        <s v="SALON CHAVEZ ROBERTO"/>
        <s v="CAMILOAGA DIAZ JORGE LUIS"/>
        <s v="MERA REQUEJO LUIS EDUAR"/>
        <s v="MANOTUPA QUINTO MELQUIADES"/>
        <s v="AVENDAÑO UZCATEGUI JESUS LEONEL"/>
        <s v="POMA HUAMAN CESAR DANIEL"/>
        <s v="NUNTA YUMBATO MIGUEL"/>
        <s v="MERA REQUEJO ELI DONET"/>
        <s v="MALPARTIDA SANTOS RODOLFO"/>
        <s v="QUISPE PALOMINO WILLIAM NAZARIO"/>
        <s v="ZAVALA MARIO JOSE"/>
        <s v="BOLAÑOS VARGAS NOE"/>
        <s v="GUERRA RIOS CLEBER"/>
        <s v="MARCOS VARGAS ENRIQUE YONATAN"/>
        <s v="RUIZ BANCES MAURICIO"/>
        <s v="HUAMAN CARRERA LUIS ALBERTO"/>
        <s v="LOPEZ ROESCHLI JEAN JEPSEN"/>
        <s v="RAMOS MESIA PAUL AVELINO"/>
        <s v="ALAMO VILLANUEVA JOHNNY LUIS"/>
        <s v="ANGELES DURAND FRANK ROLANDO"/>
        <s v="ANGO MENDEZ JOSE LUIS"/>
        <s v="ARANGURI LEANDRES ARTURO LEANDRO "/>
        <s v="ARCE RAMOS ELMER DAVID"/>
        <s v="ASCANIO AULAR PABLO JOSE"/>
        <s v="CABRERA MARTINEZ GERALS ALAN ANTHONY"/>
        <s v="CALLE CORDOVA CALEB ALINSON"/>
        <s v="CASTILLO CARDENAS YURI"/>
        <s v="CASTRO ORTIZ SEGUNDO JOSE"/>
        <s v="ESPINOZA PEREZ KAREN MELINA"/>
        <s v="FARFAN FUENTES JOHNNY OMAR"/>
        <s v="FLOREZ MENDOZA MIGUEL ANGEL"/>
        <s v="GARCIA PERALTA CESAR"/>
        <s v="GONZALEZ MORALES OSCAR ARTURO"/>
        <s v="GONZALEZ RAMIREZ, JOSE ARMANDO"/>
        <s v="HUAMAN BELLOTA, FROILAN"/>
        <s v="JUIPA CAMPOS CESAR AUGUSTO"/>
        <s v="LEANDRO ESPINOZA JOSE LUIS"/>
        <s v="LOPEZ PACHECO MICHELL JONATHAN"/>
        <s v="MALAVE MARCANO VICTOR ALFONSO"/>
        <s v="MARTINEZ SERNAQUE JESUS YANPIER"/>
        <s v="MELGAREJO MORENO JAIME EFRAIN"/>
        <s v="MURILLO LOPEZ JULIO CESAR"/>
        <s v="NAVARRO MURILLO DANIEL ADOLFO"/>
        <s v="OSCATEGUI RAFAEL CRISTIAN HERBERT"/>
        <s v="PACHECHO CONTRERAS JOSE LUIS"/>
        <s v="PONCE FLORES JHON PETER"/>
        <s v="RAMON QUIROZ ISAIAS LUCAS"/>
        <s v="RENGIFO VARGAS EDGAR"/>
        <s v="RICAPA SOLIS JONATHAN FRANK"/>
        <s v="RIOS OCHOA CHURCHI"/>
        <s v="ROMERO HILARIO JHON PETER"/>
        <s v="RONCEROS HUAMAN LUIS ALBERTO"/>
        <s v="SANCHEZ JERONIMO CARLOS MARTIN"/>
        <s v="SATALAYA MOZOMBITE KEITER"/>
        <s v="SOLANO CHICLLA ALBERTO"/>
        <s v="SOTO AIRA BRAYAN ANDREE"/>
        <s v="TENAZOA ACOSTA MARLON ELIAS"/>
        <s v="VALVERDE VASQUEZ JESUS ANTONIO"/>
        <s v="VARGAS DAHUA SERGIO"/>
        <s v="VELARDE MESCUA PAULO CESAR"/>
        <s v="VELÁSQUEZ MEJÍA CRISTIAN DEYVIS"/>
        <s v="ZAMBRANO QUISPE ALEJANDRO NICOLAS"/>
        <s v="NEYRA FARFAN EDDY MIGUEL "/>
        <s v="YOVERA PALOMINO MIGUEL ANGEL"/>
        <s v="RIVAS RIVAS JOSE EDUARDO"/>
        <s v="VALERIO HINOSTROZA RAUL "/>
        <s v="AMPUERO SAMANIEGO JOAO ALEXANDER"/>
        <s v="PEÑA PINEDA LUIS RAFAEL"/>
        <s v="INGA CACHUAN JOEL JOHN"/>
        <s v="FERNANDEZ ZAMBRANO JUAN CARLOS"/>
        <s v="SANTA CRUZ CORDOVA LORENA DE JESUS"/>
        <s v="SANTIAGO NARCISO YALITH "/>
        <s v="DAVILA CRUZ CHRISTIAN MARTIN "/>
        <s v="JERONIMO BERNABE RAPHAEL ALFREDO"/>
        <s v="ALMANZA AMANCA ALFREDO"/>
        <s v="CANCHO ZAMORA MARCO ANTONIO"/>
        <s v="MARIN QUIJADA JOSE ANTONIO"/>
        <s v="SANTIAGO GUISADO MILTON ANDERSON "/>
        <s v="LLENQUE CHUNGA VICTOR MANUEL"/>
        <s v="TENORIO ALANIA RONAL JULIAN "/>
        <s v="RAMOS JACOBI JHOWELL ADOLFO"/>
        <s v="ROJAS BERRU ROBERT RAUL"/>
        <s v="MENDOZA BEDOYA RICARDO BRUNO"/>
        <s v="MARCO TULIO PRECILLA LICET"/>
        <s v="SOLORZANO TOCUYO ELIEZER GIOVANNY"/>
        <s v="LOPEZ VALERIO WILMER UBALDO"/>
        <s v="REYNA GUZMAN LUIS MIGUEL"/>
        <s v="CALZADA ESPINOZA DAN LEE"/>
        <s v="HILARIO VILCAHUAMAN LUIS ENRIQUE"/>
        <s v="ROJAS HUARIPUMA JAIME ORLANDO"/>
        <s v="ALBA SOTOMAYOR GEORGE GUSTAVO"/>
        <s v="COILA DELGADO, ABELL ALEXIS"/>
        <s v="GUEVARA TERRONES, JOSE SANTOS"/>
        <s v="ZEGARRA CACERES JUAN"/>
        <s v="DIAZ NAVARRO BERLY ALBERTO"/>
        <s v="SULBARAN XXX KERVIN DANILO"/>
        <s v="MOGOLLON URANGA LUIS ENRIQUE"/>
        <s v="CASTILLO CHIRINO YIKSON MANUEL"/>
        <s v="PERALES TORRES ELFER"/>
        <s v="SANGAMA FASANANDO DARWIN"/>
        <s v="PEREZ GONZALES JOSE ELI"/>
        <s v="MONTES MOTTA DANIEL ERNESTO"/>
        <s v="NUNURA CANOVA LUIS ALFREDO"/>
        <s v="TINEDO MENDOZA YINMI SAMUEL"/>
        <s v="AGUILAR PAIMA MIGUEL ANGEL "/>
        <s v="FELIX SOTO AARON DAVIS"/>
        <s v="LINARES PISCO JULIO"/>
        <s v="CHUCHON VASQUEZ BRAULIO FRANCIS"/>
        <s v="FLORES CALAMPA DANMER GERALD"/>
        <s v="ESPINO BENDEZU JAM PIER HASSAN"/>
        <s v="PUPUCHE SANCHEZ AYLSON"/>
        <s v="BARRETO SARMIENTO MANUEL HERNAN"/>
        <s v="PACAYA TANCHIVA CARLOS XAVIER"/>
        <s v="PACAYA TAMANI ABRAHAM LINCOLN"/>
        <s v="ULLOA ROJAS JOHN ROBERT"/>
        <s v="UGARTE ECHAZU LUIS GILLERMO"/>
        <s v="TAIPE MENDOZA RUBEN ANGEL"/>
        <s v="SARZO TORREALBA VICTOR MANUEL"/>
        <s v="PACAYA TANCHIVA EDSON ERICK"/>
        <s v="MENDOZA RAMOS DANNYS ALEXANDER"/>
        <s v="MONTOYA ROMERO EDWIN JAVIER"/>
        <s v="PATIÑO ALIAGA GUSTAVO ADOLFO"/>
        <s v="RAMIREZ ALLCCA JULIO ALEXANDER"/>
        <s v="SANTOME GARCIA ENRIQUE ALEXANDER"/>
        <s v="MILLA HUAMANI VICTOR ALEJANDRO"/>
        <s v="NIZAMA LEZAMA ABRAHAM AUGUSTO"/>
        <s v="PEÑA CASTILLO ALEXIS JESUS"/>
        <s v="TRUJILLO CAHUANA JORGE LUIS"/>
        <s v="VALVERDE SAENZ EDSON ALBERTO"/>
        <s v="QUEREVALU CHUNGA JOHNNY ARTURO"/>
        <s v="OBREGON GUILLERMO JONATHAN BRUNO VICTOR"/>
        <s v="AVENDAÑO PEZO VICTOR"/>
        <s v="CHAVEZ VERGARAY CINTHYA VANESSA "/>
        <s v="LIZARDO ATOCHE EDINSON ULISES "/>
        <s v="PAZOS CARRILLO DINO IVAN"/>
        <s v="QUISPE DE LA CRUZ ANGEL SAUL"/>
        <s v="VARGAS LLAMOZA WALTER WILSON"/>
        <s v="VASQUEZ VIDAL WALTER HUGO"/>
        <s v="ESCOBAL HERRERA JUAN JOSE"/>
        <s v="MEDINA CALLE JUAN CARLOS"/>
        <s v="CIPRIANO PUJAY GLICERIO VICTOR"/>
        <s v="ESCAJADILLO MALLANGA CESAR MARTIN"/>
        <s v="SILVANO GALVEZ LUIS FELIPE"/>
        <s v="VAIS MALASQUEZ ROSA IDAVIA"/>
        <s v="MALLQUI CASTILLO GENER ERICK "/>
        <s v="PIJO TICSE JUAN JOSE"/>
        <s v="PAULINO QUINAYA CARLOS ESTEBAN"/>
        <s v="FLORES JANAMPA WILDER "/>
        <s v="MEJIA GUTIERREZ MILTON ADRIAN"/>
        <s v="AZAÑERO CORTEZ CESAR ALBERTO"/>
        <s v="ANGULO PEÑA LUIS ENRIQUE"/>
        <s v="GUEVARA YARANGA JORGE DANTE"/>
        <s v="TOVAR BLAS PEDRO"/>
        <s v="FULCHI PEREZ MIGUEL ANGEL"/>
        <s v="SAAVEDRA RIOS TEDDY ERNESTO"/>
        <s v="MERMA SANTOS EFRAIN"/>
        <s v="INCA QUILLAS EDGAR JULIO"/>
        <s v="RISCO ABURTO JUAN PEDRO"/>
        <s v="SOTO BRITO YOEL ENRIQUE"/>
        <s v="TINEO GORDILLO JULIAN ARTURO"/>
        <s v="MILLA TAMARIZ MIGUEL ANGEL"/>
        <s v="ORTIZ ROJAS MIGUEL ANGEL"/>
        <s v="MEZA PINO GUSTAVO"/>
        <s v="PEREZ ARANDA JOSE LUIS"/>
        <s v="BECERRA MOJONERO FRANCISCO"/>
        <s v="COTRINA SANCHEZ JOSE JULIO"/>
        <s v="ALIAGA CHAVEZ EDWIN JOHNY"/>
        <s v="CAMARENA ARCAYA ABRAHAM"/>
        <s v="FERNANDEZ PEREZ MARIO"/>
        <s v="PEREZ PEREZ NESTOR"/>
        <s v="SARAVIA VELA FERNANDO"/>
        <s v="AYCACHI JIMENEZ HUGO ROGER"/>
        <s v="GASTELU CERVANTES EDWIN RAUL "/>
        <s v="HUAMAN CARDENAS BRAULIO "/>
        <s v="TAPIA MANTARI JOSE PELAYO"/>
        <s v="SALAZAR HUAMAN ALEJANDRO"/>
        <s v="DIAZ TURPO EDWIN WALTHER "/>
        <s v="VASQUEZ CANCINO BACILIO JUSTO "/>
        <s v="SALCEDO TAIPE OSCAR"/>
        <s v="ALVARADO CALDERON GIOVANNI ENRIQUE"/>
        <s v="PURISACA DIAZ EDUARDO SEGUNDO "/>
        <s v="DURAN COBEÑAS PASCUAL"/>
        <s v="ANCAJIMA CHUNGA ALEXANDER JAVIER"/>
        <s v="VILLANUEVA ALVARADO OMAR EXALTACION"/>
        <s v="PEREZ FERNANDEZ EDWAR"/>
        <s v="CHONG ROJAS INES"/>
        <s v="AQUINO PAYAN CARLOS ALEX"/>
        <s v="CUSI CARAHUANCO DENNIS JESUS "/>
        <s v="HUAMAN QUISPE FREDY"/>
        <s v="YUCRA YAROS DIEGO ALFREDO"/>
        <s v="VELARDE LUJAN LESTHER ALEXANDER"/>
        <s v="VICENTE GIRON AMADO"/>
        <s v="ALEJOS RIVERA GUILLERMO"/>
        <s v="CHANDUVI CLAROS ANGEL ABEL"/>
        <s v="PACAYA MARTINEZ MARCOS"/>
        <s v="SANDI ROMAYNA PAUL"/>
        <s v="VIERA ROSALES WILSON HERNAN"/>
        <s v="ABAD CUNYARACHE  ROMY JASON"/>
        <s v="QUISPE LLAMOCCA MARINO"/>
        <s v="BALBOA GOMEZ ANGEL"/>
        <s v="BOBADILLA SAAVEDRA TOMAS"/>
        <s v="CHANAME SANTISTEBAN WUILLIAM"/>
        <s v="GONZÁLEZ CASTRO CHRISTIAN"/>
        <s v="MORENO GUADALUPE WILDER"/>
        <s v="MOZOMBITE CUMAPA JOSE"/>
        <s v="ALVARADO AGURTO SEGUNDO"/>
        <s v="GALINDO CONDE HECTOR"/>
        <s v="ARONI GONZALES, CARLOS ANTONIO"/>
        <s v="CALDERON CAMPOS EVER HERNAN"/>
        <s v="CCORAHUA HUANACO JUAN"/>
        <s v="CONDORI OLORTEGUI, FREDY"/>
        <s v="DE LA CRUZ NAVARRO JESUS DIONICIO"/>
        <s v="DELGADO IZQUIERDO CHRISTIAN ALFREDO "/>
        <s v="DIAZ VARGAS PEDRO"/>
        <s v="GARCIA AMASIFUEN MICKEY"/>
        <s v="MUNAYLLA MESCUA EDSON"/>
        <s v="SULCA LUJAN, MIGUEL ANGEL"/>
        <s v="TORRES BALTAZAR WILFREDO"/>
        <s v="VICENTE MALCA WALTER"/>
        <s v="VILLACORTA PACAYA, CHRISTIAN"/>
        <s v="ALEJANDRIA PACHECO JIMMY"/>
        <s v="AVALOS PICHIGUA, FORTUNATO"/>
        <s v="BAZAN ARCE RAUL SALOMON"/>
        <s v="DURAND RIVERA SEGUNDINO"/>
        <s v="ESTEBAN CRISPIN JHONNY ARTURO"/>
        <s v="GOMEZ LOPEZ, JULIO CESAR"/>
        <s v="HUAYHUAS VARGAS CIPRIANO "/>
        <s v="HUAYTAN RUIZ PAULO CESAR "/>
        <s v="IRRAZABAL HUAUYA DAVID GERONIMO"/>
        <s v="JIMENEZ DURAND JOSE LUIS"/>
        <s v="LOPEZ CHUMPITAZ, JHON LUIS"/>
        <s v="MEREL RAMIREZ, DARWING EDUARDO"/>
        <s v="NALVARTE ALVA, HELI FRANCISCO"/>
        <s v="OLAYUNCA CACERES JOSE LUIS "/>
        <s v="OROZCO QUESÑAY, ERNESTO ENRIQUE"/>
        <s v="OTAZU FLORES,  EUDES"/>
        <s v="PARIONA CEGGE ANDRES ROILAND "/>
        <s v="PINTO QUISPE JIMMY CARLOS"/>
        <s v="RODRIGUEZ AVALOS, CESAR GIL "/>
        <s v="RODRIGUEZ PAREDES, ALEX"/>
        <s v="SALAS AMACIFUEN REITER "/>
        <s v="SANCHEZ SILVA  HECTOR ULISES"/>
        <s v="SALAZAR MEJIA EDUARDO MARTIN"/>
        <s v="RAMOS CRUZ ISABEL REYNALDO"/>
        <s v="PEÑA DOMINGUEZ MELCIADES JOEL"/>
        <s v="MARCELO BECERRA ROSA JULIA"/>
        <s v="GORDILLO AZABACHE SEGUNDO TEODORO"/>
        <s v="MINCHAN CAHUANA JUAN"/>
        <s v="AREVALO CARDOZA MARTIN AUGUSTO"/>
        <s v="CRUZ POLO ANGEL"/>
        <s v="SIESQUEN TUÑOQUE PEDRO"/>
        <s v="OSORIO SIFUENTES VLADIMIR"/>
        <s v="BALTAZAR DUEÑAS CARLOS JOSE"/>
        <s v="DAVILA MURAYARI JOSE"/>
        <s v="LEON JESUS DANNY JOHN"/>
        <s v="RAMOS VARGAS IVAN FRANCISCO"/>
        <s v="RODRIGUEZ MURAYARI IVAN"/>
        <s v="CARDENAS PUMAYAULI EDWARD"/>
        <s v="GALINDO DE LA CRUZ WILFREDO"/>
        <s v="ESTUPIÑAN AGUIRRE MIGUEL JOSE"/>
        <s v="ANCHAYHUA HUAYTALLA JUAN DE DIOS"/>
        <s v="GONZALES ALEJANDRO EDINSON CARLOS"/>
        <s v="LLAJARUNA RAMOS ALEX JOSE"/>
        <s v="SUBILETA RODRIGUEZ EDGAR"/>
        <s v="RAZA PALACIOS, GIAN CARLOS"/>
        <s v="ROJAS SANCHEZ, SEGUNDO CLEMENTE"/>
        <s v="CORREA ALBAN, EDIL YURANDIL"/>
        <s v="CISNEROS GOYONECHE, JOHN CRISTHIAN"/>
        <s v=" PAZ CORREA JOSÉ CARLOS"/>
        <s v=" APARICIO YARLEQUE HUGO FRANCISCO"/>
        <s v="SANCHEZ HUACACHI RAUL"/>
        <s v="CHIRINOS DOMINGUEZ CARLOS EDUARDO"/>
        <s v="ESPINOZA CAJAMARCA, RICHARD ANDRES "/>
        <s v="FAJARDO MURGA JUAN DOMINGO"/>
        <s v="MANUYAMA PACAYA CESAR"/>
        <s v="SALAZAR PRUDENCIO MIGUEL ANGEL"/>
        <s v="HUAMAN SANTOS MARIO"/>
        <s v="CONTRERAS INGA EVER"/>
        <s v="FASANANDO CASTRO TEDDY"/>
        <s v="RODRIGUEZ RODRIGUEZ JUAN"/>
        <s v="CUNYAS RODRIGUEZ FELIX ANGEL"/>
        <s v="ALFONZO MONTILLA ERICK GERARDO"/>
        <s v="ALVAREZ RUMAY JHON HERNAN"/>
        <s v="FIESTAS CARDENAS PAOLA ROCIO"/>
        <s v="LEONARDO VENTURA JOSUE"/>
        <s v="PURIZACA ANTON EDWIN LINCOLN"/>
        <s v="GURMENDI BERRIOS CESAR AUGUSTO"/>
        <s v="BAZAN SEQUEIROS FELIX"/>
        <s v="SORA HINOJOSA JULIO CESAR"/>
        <s v="JUAREZ ASIPALI EDUARDO JESUS"/>
        <s v="REATEGUI PADILLA MILTON WILLIAMS"/>
        <s v="FABERIO VIDAL MITCHELL RAMIRO"/>
        <s v="HUAMAN HUAMAN WILSON ARTURO"/>
        <s v="QUISPE DE LA CRUZ MICHEL FREDI"/>
        <s v="BERNALES YARLEQUE JORGE LUIS"/>
        <s v="HERRERA LAURENTE MARCOS"/>
        <s v="CRESPO AGUIRRE DOUGLAS ORLANDO"/>
        <s v="RODRIGUEZ DIAZ WALTER HUGO"/>
        <s v="ARANGO HUARANCA JOSE ARMANDO"/>
        <s v="CAMARGO CHIPANA EDURDO MIGUEL"/>
        <s v="CHAMBI COLQUE LEE ELIBAN"/>
        <s v="CHINCHAY HUAYAMA EDILBERTO"/>
        <s v="DELGADO REYES  JOSE MANUEL"/>
        <s v="ESPINAL OSCANOA LUIS ALFONSO"/>
        <s v="FRANCIA TORRES RICARDO ADAN"/>
        <s v="HERRERA CARDENAS ALEXANDER MALIXTO"/>
        <s v="HONORIO MENDO PERCI EDINSON"/>
        <s v="HUAMAN CAÑARI JAIME PAUL"/>
        <s v="HUAMAN ROJAS CESAR PAUL"/>
        <s v="HUAMANI OCASANI FELICIANO"/>
        <s v="HUATORONGO JURADO JOSE MARCOS"/>
        <s v="MENDEZ VILORIA LEONARDO ENRIQUE"/>
        <s v="OBREGON SANCHEZ CLINGER RIVELINO"/>
        <s v="PACAYA ROBLEDO SGUNDO ALEJANDRO"/>
        <s v="PERALES QUISPE LUCIO ERNESTO"/>
        <s v="RAMIREZ MUÑANTE  ARTURO MIGUEL "/>
        <s v="RODRIGUEZ PINO DEYVI RONAL"/>
        <s v="RODRIGUEZ RIVERA ROBERTO"/>
        <s v="SANCHEZ  HILARES FLORENTINO"/>
        <s v="SOSA PIZARRO RICARDO"/>
        <s v="VALDIVIEZO PAREDES JOSE ARMANDO"/>
        <s v="VALENCIA LOAYZA ABEN ERIKSON"/>
        <s v="SALAS ALVAREZ RAUL VICENTE"/>
        <s v="TRUJILLO VELA JOSE PEPITO"/>
        <s v="VENTURA DIEGO EDBERT"/>
        <s v="ASCENCIO BERECHE JUAN EXEQUIEL"/>
        <s v="PUCLLA CUETO, VICTOR OTTO "/>
        <s v="QUISPE CALDERON, GREGORIO"/>
        <s v="SOLIS RAMIREZ ALEJANDRO  NEMESIO"/>
        <s v="CHOQUE HUAÑEC CELIA"/>
        <s v="CASTILLO SEGURA ROSA LUCIA"/>
        <s v="ZANTALLA BONIFACIO CLAUDIA MILAGROS"/>
        <s v="ESCUDERO SANCA MARYSOL"/>
        <s v=" CHUMBE SABOYA MIRELA"/>
        <s v=" CARDENAS PACHECO GRETI ANNE"/>
        <s v="ORTIZ GALLEGOS CATTERINE ASUNCIÓN"/>
        <s v="RENTERIA CHAMORRO MARIA GRICELDA"/>
        <s v="CHANG PRADO MARIA VICTORIA"/>
        <s v="HUAMAN REMUZGO ROSALIN "/>
        <s v="SAYAN RAMIREZ MARIA CECILIA "/>
        <s v="ZAMORA GUERRA MARCO ANTONIO"/>
        <s v="POMAR POMAR DAVID JESUS"/>
        <s v="FLORES BUITRON ROSSMERY DAISY"/>
        <s v="HUAMACCTO GUTIERREZ SONIA BEATRIZ"/>
        <s v="DURAND DAMIAN CARMEN LUISA"/>
        <s v="YAÑEZ MIRANDA JAQUELINE "/>
        <s v="CRUZ HUAMAN SANDRO"/>
        <s v="Uzcategui Ramos Richard Alexander "/>
        <s v="BARDALES MEZA JHON MANUEL"/>
        <s v="CARPIO MORGAN ALEJANDRO "/>
        <s v="GONZALES JORGES JUAN JOSE"/>
        <s v="HUAMANI COSINGA LUZVENIA"/>
        <s v="ORTIZ MEDINA OBED SAUL "/>
        <s v="SAJAMI VENANCINO JORGE HUGO"/>
        <s v="TUESTA VASQUEZ LAXMI "/>
        <s v="VASSALLO VASQUEZ DANTE MANUEL "/>
        <s v="Honores Balcazar César Francisco"/>
        <s v="Ramirez Martinez Ronald"/>
        <s v="Vasquez Figueroa Noider "/>
        <s v="OSCCO HUAYNA JOSE LUIS"/>
        <s v="DELFIN OLAYA CARLOS EDUARDO"/>
        <s v="LUYO ALFARO ORLANDO ARTURO"/>
        <s v="MANUEL ALEJANDRO PAOLO MOLOCHE ORUNA"/>
        <s v="PADILLA MONTOYA CESAR AUGUSTO "/>
        <s v="PARDO CAMONES CHRISTIAN"/>
        <s v="CORDOVA VILCA LUIS ALBERTO"/>
        <s v="GAVINO PONCE ANDRES AVELINO"/>
        <s v="PAREDES VALENCIA JOSE ADOLFO"/>
        <s v="TOVAR PEREZ ALEXIS ARTHUR"/>
        <s v="CORREA SAAVEDRA CARLOS"/>
        <s v="CAVERO CHINCHAY JAIME RAUL"/>
        <s v="CARBAJAL SOSA GIOVANNI YOMAR"/>
        <s v="CUYA CONDORI MANUEL"/>
        <s v="MEZA GAMBOA RUBEN CESAR"/>
        <s v="AZABACHE REYNOSO CHRISTIAN ATIN HECTOR"/>
        <s v="GUIZADO GUIA JOHNNY RICHARD"/>
        <s v="LOPEZ CHUMPITAZ JHON LUIS"/>
        <s v="ARTICA PEÑALOZA MIGUEL ANGEL"/>
        <s v="CAMPOS DURAND CESAR DAVIS"/>
        <s v="Limaco Espinoza Elen Dino "/>
        <s v="Villanueva Sayas Cirilo"/>
        <s v="BERROCAL VENTURA CIRILO"/>
        <s v="JOSE ANTONIO PACHECO ALVAREZ"/>
        <s v="GALVEZ VELIZ DAVID"/>
        <s v="VARGAS ALVAREZ , CARLOS ALBERTO"/>
        <s v="MOLINA JERI DANTE DANIEL"/>
        <s v="TORRES FERNANDEZ AUGUSTO MANUEL"/>
        <s v="RODRIGUEZ UCAÑAN CARLOS MANUEL"/>
        <s v="GUERREROS UCAÑAM JHONNY"/>
        <s v="TORRES FERNANDEZ  MAURICIO MARTIN"/>
        <s v="ARAUJO LOYOLA ANGEL JESUS"/>
        <s v="ROJAS CALDERON GUIDO ZENOBIO"/>
        <s v="TOLEDO MARTINEZ YOVANNY BORIS "/>
        <s v="AYALA SERVAN CHRISSTIAN PIERO"/>
        <s v="LOPEZ ENCISO ALEXANDER"/>
        <s v="RIVAS RAMIREZ RENELMO RAFAEL"/>
        <s v="RAMIREZ GUILLEN CESAR JAIME"/>
        <s v="WALTER LOARTE EVANGELISTA"/>
        <s v="CUADROS VASQUEZ EDILBERTO"/>
        <s v="TAPIA ARIAS, WILFREDO VICTOR"/>
        <s v="QUIÑONES ZARATECESAR"/>
        <s v="EULOGIO TORPOCO PERCY WILLIAMS"/>
        <s v="FATAMA SALAS EDGAR"/>
        <s v="SALDARRIAGA CRUZ DANIEL"/>
        <s v="SANTI HUARACHA TEODORO MARTIN"/>
        <s v="VALLES ROJAS HUMBERTO "/>
        <s v="RICHARD COELLO ALOR"/>
        <s v="ARNAO CORDOVA ANGEL JESUS"/>
        <s v="BUTILER ARELLANO  ALAN VLADIMIR"/>
        <s v="CARREÑO FERNANDEZ LANDI ALFONSO"/>
        <s v="CHIPANA QUISPE DELFIN "/>
        <s v="DAVILA RIMARACHIN JORGE ALEX"/>
        <s v="GARRO BUSTAMANTE LUIS ALBERTO"/>
        <s v="GUZMAN ARANA WILFREDO_x0009_"/>
        <s v="HINOSTROZA ALARCON WILFREDO"/>
        <s v="NEYRA HUAMAN PEDRO"/>
        <s v="ORTEGA SIPION RODOLFO"/>
        <s v="QUISPE ARIAS ORLANDO IVAN"/>
        <s v="SAENZ CHICO BRYNNER FREDDY "/>
        <s v="VERDE VALLEJO LEONARDI OVIDIO"/>
        <s v="VILLARREAL LEON MILTON CLEMER  "/>
        <s v="GONZALES CALDERON FREDY ANTONIO"/>
        <s v="ACHIRCANO HUAMAN TEOFILO"/>
        <s v="AMAYA RIVERA  JIM MEIK"/>
        <s v="AMAYA RIVERA MILKER GIN"/>
        <s v="ARROYO SORIANO YUBER ANIL"/>
        <s v="AZURZA ALLCCARIMA YOVANI "/>
        <s v="BAUTISTA VERASTEGUI GINO ALEXANDER"/>
        <s v="BERNUY ANGELDONES JAIME OCTAVIO"/>
        <s v="BLAS HIDALGO JAVIER NEFTALI"/>
        <s v="CABANILLAS CENTENO ROBERTO CARLOS"/>
        <s v="CALDERON LINO MARCOS ANTONIO"/>
        <s v="CALLE ARMACCANCE CESAR "/>
        <s v="CALZADILLA ARAUJO JOSE LINDOMAR"/>
        <s v="CARRILLO SANCHEZ ANGEL LOMBARDO"/>
        <s v="CASTAÑEDA CRUZ DIMAS"/>
        <s v="COLOS CAMPOS ARCIDEZ"/>
        <s v="CORREA DURAN VICTOR"/>
        <s v="CRUZ BARRERA MOISES "/>
        <s v="CUBA RAMIREZ JOSE LUIS"/>
        <s v="CUEVA RODRIGUEZ CARLOS"/>
        <s v="DOMINGUEZ CRUZ ALEX MILNER"/>
        <s v="ENCALADA ESTEBAN ELEAZAR"/>
        <s v="FERNANDEZ PADILLA SEGUNDO ANDRES"/>
        <s v="GARCIA ALVARADO JORGE RAYMUNDO"/>
        <s v="GOMEZ CASTILLO CARLOS"/>
        <s v="GUANILO RAMIREZ RAUL EDUARDO"/>
        <s v="HIDALGO RUIZ JAVIER"/>
        <s v="HINOSTROZA BELLIDO VIDAL"/>
        <s v="HUANHUAYO CLEMENTE WALTER"/>
        <s v="KIN QUISPE VALENTIN"/>
        <s v="LOPEZ CASTRO DEYNIS ARLEN"/>
        <s v="LOZANO RIOS TEODOBERTO"/>
        <s v="LUCIANO VALERIO WILLY"/>
        <s v="LUJAN  NINASAUME MAXIMO"/>
        <s v="MAMANI CHEJE RENE"/>
        <s v="MAÑEZ CENEPO ALEXANDER"/>
        <s v="MARTINEZ CAMPOS RAUL AGUSTIN"/>
        <s v="MARTINEZ PALOMINO MIGUEL ANGEL"/>
        <s v="MARTINEZ PAZ SEGUNDO HOMERO"/>
        <s v="MENDEZ HINOSTROZA JOSE ANTONIO"/>
        <s v="MORA ARTEAGA JOSE MERCEDES"/>
        <s v="MORI ZEGARRA ALDO WILSON"/>
        <s v="ÑAHUI ALVAREZ JAIME"/>
        <s v="ORE VALVERDE DANNY"/>
        <s v="ORTEGA MIRABAL BERNARDINO"/>
        <s v="PACHECO VILLANO ALEXANDER"/>
        <s v="PARRA MEDINA LIZ ARACELI"/>
        <s v="POLO CRUZADO MAXIMO"/>
        <s v="POMAR HUAMALIANO JHON HERLY"/>
        <s v="PUENTE FERNANDEZ JOHAN SAGITARIO"/>
        <s v="PUYCAN TINEO FREDDY RICHARD"/>
        <s v="ROJAS ATENCIA RAFAEL"/>
        <s v="SAMANEZ BOEZO ROLY"/>
        <s v="SERPA HUAYANAY AGUSTIN LIRA"/>
        <s v="SHUÑA MURRIETA JAIRO"/>
        <s v="SULCA BAUTISTA ROLAN"/>
        <s v="TOVAR TIPIANI VICTOR"/>
        <s v="URTECHO COTRINA BENITO MANUEL"/>
        <s v="VASQUEZ LA CRUZ ALBERTO"/>
        <s v="VASQUEZ PINEDA WILFREDO"/>
        <s v="VELASQUEZ ROQUE DANIEL FELIX"/>
        <s v="IZAGUIRRE MICHUE KATTY DENISSE"/>
        <s v="FRANCO DIAZ JOSE GREGORIO"/>
        <s v="ROBLES ACHIHUAMAN BORIS ALBERTO"/>
        <s v="BELUPU JACINTO JORGE LUIS "/>
        <s v="CARMEN SOLORZANO DUSTIN"/>
        <s v="CISNEROS VARGAS FREDDY JORGE"/>
        <s v="VIERA CABALLERO CARLOS RAUL"/>
        <s v="ROJAS ISUIZA BERNARDO"/>
        <s v="MARIN MACHUCA CIRILO JULIAN"/>
        <s v="CARPIO QUIJANO JOSE PATRICIO"/>
        <s v="FLORES  QUISPE JUAN CARLOS "/>
        <s v="CCASAME CHAVEZ ROBERTO JEREMIAS  "/>
        <s v="DA SILVA SALES EVANDRO"/>
        <s v="NUNURA MIO SANTOS"/>
        <s v="RIVERA TARAZONA EDWIN FRANCISCO"/>
        <s v="CALLAN RAMOS CHRISTIAN ALEXANDER"/>
        <s v="GAMARRA YANAYACO EDELMIRO JOE"/>
        <s v="VICENTE REYNALDO HENRY NEYCER"/>
        <s v="LEON CUETO RENE MAGARRI"/>
        <s v="RODRIGUEZ ANTICONA RICHARD ALONSO"/>
        <s v="CARPIO MAMANI, JOSE LUIS"/>
        <s v="PANGALIMA SAAVEDRA AUGUSTO"/>
        <s v="CONDORI BALLENA, DANNI HOMAR"/>
        <s v="GOMEZ AYALA EDWIN NESTOR"/>
        <s v="FLORES RUIZ YSRAEL JEAN"/>
        <s v="CARDENAS PONCE FLORENCIO VENTUCO "/>
        <s v="ROSAS RIVERA ANGEL NOEL"/>
        <s v="RUBIN PORTAL ROBERTO"/>
        <s v="CHALA MERIZ CARLOS JACINTO"/>
        <s v="CASTILLO MOLINA JUAN CARLOS"/>
        <s v="CUYUBAMBA TORRES MIGUEL ELIAS"/>
        <s v="HUAYASCACHE LOPEZ MAXIMO EFRAIN"/>
        <s v="VARGAS YOPLAC ELMER"/>
        <s v="VILLANUEVA TARAZONA,JAIME YONEL"/>
        <s v="PEREZ LAHUANA,YSRAEL ROGER"/>
        <s v="LEON HUISA, FAUSTINO"/>
        <s v="GARCIA FLORES  CHARLES E"/>
        <s v="ALVAREZ CALDERON, EDGAR OMAR"/>
        <s v="GORMAS FASANANDO, JUAN GABRIEL"/>
        <s v="SANCHEZ ARAPA, ADRIAN"/>
        <s v="SINARAHUA DIAZ, VICTOR"/>
        <s v="MARTINEZ LACHIRA, JOSE JONY"/>
        <s v="SOVERO MERCADO, HERNANDO ANTONIO"/>
        <s v="PALOMARES CACERES, JOSE LUIS"/>
        <s v="CARAHUANCO VASQUEZ, CARLOS ENRIQUE"/>
        <s v="PEREZ SALAS, ROLY"/>
        <s v="PRADO VENTOCILLA JOSE LUIS"/>
        <s v="CABANILLAS AMBROCIO, JUAN ROBERT"/>
        <s v="PAREDES QUISPE, JUAN CARLOS"/>
        <s v="JUSCAMAITA CCANTO, ROLANDO"/>
        <s v="CORREA RODRIGUEZ LUIS"/>
        <s v="TAUMA TAFUR, ZADITH"/>
        <s v="GONZALES DIAZ, RICHER"/>
        <s v="CARBONELL CESPEDES JOSUE    "/>
        <s v="ESPINO PALOMINO, YONNY RENEE"/>
        <s v="DIAZ REQUEJO, JERSON"/>
        <s v="APARI PALOMINO, HERDULFO"/>
        <s v="CUMAPA MOENA  EDUARDO"/>
        <s v="MARCOS CAMPOS MEQUIAS"/>
        <s v="LAPIZ MICXAN LUIS FRANKLIN"/>
        <s v="CORDOVA IBIAS LORENZO"/>
        <s v="PALACIOS SINCHE ANGEL TOLEDO"/>
        <s v="RODRIGUEZ HERRERA, ANTONY"/>
        <s v="PARIAN HERMITAÑO, ABEL WILLY"/>
        <s v="BAUTISTA PRADO ELISANDRO"/>
        <s v="PUMACAYO QUISPE FREDY"/>
        <s v="LADINES BERNABLE MARIBEL"/>
        <s v="CARPIO CANDIA EMILIANO"/>
        <s v="GARCIA ZUMBA JUAN CARLOS"/>
        <s v="HIDALGO MANRIQUE, EDUARDO ALFONSO"/>
        <s v="QUISPE CUYA, ROSA SOFIA"/>
        <s v="ARIAS  ALARCON, PERCY"/>
        <s v="BENITES ROSILLO, CRISTHIAM MARTIN"/>
        <s v="PALOMINO RAFAEL, LUZ MARIA"/>
        <s v="VILLANUEVA PALOMINO, RUBEN"/>
        <s v="QUISPE PILLACA, CARLOS ORLANDO"/>
        <s v="VARGAS CASAVILCA,LLYWOOD"/>
        <s v="VASCONZUELO AZAMA,HENRY JESUS"/>
        <s v="MONJA VALDERA,NORVI ENRIQUE"/>
        <s v="TORRES AYASTA,MIGUE ANGEL"/>
        <s v="FARFAN VARGAS, JESUS MARTIN"/>
        <s v="MORANTE BARRENECHEA, LUIS ALBERTO"/>
        <s v="PEREZ CAMBERO, LUIS ALVINO"/>
        <s v="CHERO VALERIO, OSWALDO ENRIQUE"/>
        <s v="ROJAS MARCA,VICTOR HUGO"/>
        <s v="TORRES TORRES,WILMER"/>
        <s v="DIAZ COLLAZOS,DARLING"/>
        <s v="GARCIA PIZARRO,HUGO RICHAR"/>
        <s v="NEYRA DIAZ,JOSE LUIS"/>
        <s v="BATALLANOS LIZARBE,JOSE LUIS"/>
        <s v="CHINO QUIÑONEZ,WALTER"/>
        <s v="INUMA PEREZ,TEDY"/>
        <s v="LEYTON BELLO,RODOLFO GINO"/>
        <s v="ALLCCA ANDRADE  MARIO  SENOBIO"/>
        <s v="CANAZA LAURA PABLO"/>
        <s v="CANCHANYA ARROYO EDUARDO JAVIER"/>
        <s v="ESPINOZA LAVADO  ROY  RONALD"/>
        <s v="MAYTA  ARELLANOS  FABIO LIZARDO"/>
        <s v="PILLACA  VILLA  RONALD"/>
        <s v="LEDESMA CHAMORRO ELEODORO"/>
        <s v="CERON CRUZ   JUAN MANUEL"/>
        <s v="QUISPE BALDEON  EDGAR  CARLOS"/>
        <s v="RIVEROS VALDIVIA  EUSEBIO"/>
        <s v="SUMARAN CALDERON FREDY"/>
        <s v="VELASQUEZ PEÑA  GILBERTO"/>
        <s v="TINCO RODRIGUEZ  NOE MOISES"/>
        <s v="AHUANARI TAMANI JUAN MANUEL"/>
        <s v="AMAYO REVOLLEDO HAROLD MANUEL"/>
        <s v="ASTUHUAYHUA CORRALES VICTOR RAUL"/>
        <s v="FIGARI GARCIA VICTOR RAUL"/>
        <s v="FLORES CERREO FREDDY ALEXANDER"/>
        <s v="GRANDEZ MACEDO KENNER"/>
        <s v="GRANDEZ MACEDO WILSON"/>
        <s v="JIMENEZ MOZOMBITE ALEX"/>
        <s v="KOU DEL AGUILA LUIS ANTONIO"/>
        <s v="LOAYZA FERNANDEZ LEOPOLDO RENE"/>
        <s v="LOZANO REYES VICENTE"/>
        <s v="LUJAN TORRE JUAN CARLOS"/>
        <s v="MACALOPU YAQUE CESAR AUGUSTO"/>
        <s v="MARQUEZ IBARRA RIDBERG ALEX"/>
        <s v="MERINO JARA HECTOR"/>
        <s v="NAMUCHE ZAPATA AUGUSTO REINALDO"/>
        <s v="ORTIZ SILVA ABEL"/>
        <s v="RAMIREZ RODRIGUEZ RONY"/>
        <s v="REYES POZO GENRY AGUSTIN"/>
        <s v="SANTOS BORJA ELFER EDUARDO"/>
        <s v="TOCTO ILATOMA JAVIER"/>
        <s v="TORRES INJANTE JULIO"/>
        <s v="VEGA CASTRO CARLOS ALBERTO"/>
        <s v="VENTURA DIEGO EDBERT WILLIAM"/>
        <s v="DAVILA BARDALES LENNIN"/>
        <s v="MATOS GODOY IVAN SEVERO"/>
        <s v="PRIETO GARCIA GINO TOMAS"/>
        <s v="FLORES CORDOVA JOSE GUILLERMO"/>
        <s v="ROJAS GARCIA ROLANDO DEIVINS"/>
        <s v="VARGAS AHUANARI JORGE AUGUSTO"/>
        <s v="VARILLAS URRUTIA JORGE ARMANDO"/>
        <s v="RAMIREZ ARANGO CARLOS ALIRIO"/>
        <s v="RUMICHE MONTES JOSE LUIS"/>
        <s v="GUTIERREZ DE LA CRUZ ULISES MAURO"/>
        <s v="MEDRANO CAMARENA ENRRIQUE"/>
        <s v="MALLQUI MEDRANO REINHARD VICO"/>
        <s v="ACOSTA BERROSPI ISAAC"/>
        <s v="RENGIFO PEREZ TEODOBERTO"/>
        <s v="BACA SAAVEDA RONALD OMAR"/>
        <s v="PINTO OVIEDO CARLOS ALBERTO"/>
        <s v="LUCENA PALACIO HECTOR JOSE"/>
        <s v="MORALES MALCA JACOBO"/>
        <s v="CHOCCÑA JOAQUIN GILBERTO DEMETRIO"/>
        <s v="RAMOS PAZ JOSE MAXIMO"/>
        <s v="INOCENTE RIVERA CASELLY"/>
        <s v="BENITES VILCHEZ HENRRY"/>
        <s v="SOLOGUREN AGAMA DORKA"/>
        <s v="CESPEDES ROMO PABLO CESAR"/>
        <s v="PINEDA NEGRON JESUS MARTIN"/>
        <s v="COICCA DE LA CRUZ CESAR POLICARPO"/>
        <s v="LLUNCOR MORE CRIHSTIAN JUAN"/>
        <s v="ESPINOZA OJEDA LARRY MILTON"/>
        <s v="PEREZ PINO JOSE JORGE"/>
        <s v="DIAZ BUSTAMANTE EDINSON"/>
        <s v="LASTRA LAGUNA LILA"/>
        <s v="GOMEZ MONTILLA JORGE OLMEDO "/>
        <s v="OROYA RAMOS JULIO GREGORIO"/>
        <s v="BASTARDO VELAZQUEZ SANTOS RAFAEL"/>
        <s v="GAMARRA SAAVEDRA JUAN CARLOS"/>
        <s v="TORRES AGUILAR MARCO ANTONIO"/>
        <s v="UBALDO HUATUCO MIGUEL ENRIQUE"/>
        <s v="TEJADA PUYO LLONIKEN"/>
        <s v="ZABALA ANKASS LAZARO LUIS"/>
        <s v="JUIPA NEIRA EDSON"/>
        <s v="ANGULO AMASIFUEN JORGE LENY"/>
        <s v="YAURI SALAZAR JULIO WILTON"/>
        <s v="GARAMENDI HUAMANI ENRIQUE"/>
        <s v="CAICHIHUA ROBLES VICTOR HUGO"/>
        <s v="RAMOS HIDALGO GERMAN GILMAR"/>
        <s v="GONZALES YAIPEN MARLON EDUARDO"/>
        <s v="IBAÑES QUISPE JHON PAUL "/>
        <s v="ZAVALA RAMOS MIGUEL ANGEL"/>
        <s v="AYLAS QUISPE WILDER"/>
        <s v="RIMAPA HERNANDEZ WILLINGTON JAIR"/>
        <s v="CHAVEZ PERALES NILTON EDILIO"/>
        <s v="ROCA GARAMENDI MARCOS"/>
        <s v="CASTAÑEDA FLORES JANS NAÑES"/>
        <s v="MARTINEZ RAMIREZ MARCO ANTONIO"/>
        <s v="HILARIO LAURA JORGE ARMANDO"/>
        <s v="RUIZ CELIS WENDER RICHARD"/>
        <s v="SILLET BLANCO WENDY CAROLINA"/>
        <s v="JOSE MARIA LAYA LLOREDA"/>
        <s v="FERNANDO URIBE PEREZ "/>
        <s v="WILIAM ENRIQUE ARIAS PEÑA"/>
        <s v="LOURDES JOLENNY BECHARA VILLAMIZAR"/>
        <s v="FELIX FELIPE PAREDES SANCHEZ"/>
        <s v="JUAN JOSE RODRIGUEZ CARRERA"/>
        <s v="WILMER GAUDENCIO LOPEZ MUCHA"/>
        <s v="PEPE ROLANDO CORDOVA MONDRAGON"/>
        <s v="JONATHAN EDWIN HUGO CASHPA"/>
        <s v="YOEL DANTE LOPEZ MUCHA "/>
        <s v="CUYUBAMBA TOVAR WILMER JHONY"/>
        <s v="ARRIETA JIMENEZ NEREIDA MAYELIN"/>
        <s v="BEDON VALENCIA GUILLERMO"/>
        <s v="BENSON PICOY JUAN CARLOS"/>
        <s v="GUARNIZ BERMUDEZ TOMAS MANUEL"/>
        <s v="ESPINOZA MAJIPO DEYVI OMAR"/>
        <s v="HUARCAYA PACHECO LUIS MIGUEL "/>
        <s v="MARTINEZ CASANA HERNAN"/>
        <s v="YAURI NAOLA, ROBERT DARIO"/>
        <s v="MENDOZA PEREZ JULIO LUCAS"/>
        <s v="BALDEON LLANCO ROY ANTONY "/>
        <s v="CALERO LUNA VICTOR STANY"/>
        <s v="IZAGUIRRE AMBUKKA PEDRO ALEXANDER"/>
        <s v="ROSAS VALDIVIA EDWIN MARVIN"/>
        <s v="RABANAL ARRIETA NELLY CHARLOTTE"/>
        <s v="PADILLA SANTOS HOLGER JUAN"/>
        <s v="CARMONA ZAVALA TOMAS GUIDO"/>
        <s v="CARRASCO FERNANDEZ CLEICER"/>
        <s v="DAVILA TORRES JORGE"/>
        <s v="LUQUE MAMANI JOSE RICARDO"/>
        <s v="SALAZAR DOMINGUEZ ALEXANDER "/>
        <s v="AURIS CONISLLA CARLOS IGNACIO"/>
        <s v="CARTY VASQUEZ LUIS MARCEL"/>
        <s v="CHAVEZ JAIMES LUIS ALBERTO"/>
        <s v="Zevallos Villanueva Rule Rendo"/>
        <s v="Lazaro Palomino Juan Felix"/>
        <s v="ALVAREZ AMAYA FREDY GREGORIO"/>
        <s v="SANCHEZ VELASQUEZ JESUS EDUARDO"/>
        <s v="FLOREZ SAAVEDRA VICTOR HUGO"/>
        <s v="VASQUEZ QUISPE ANGEL"/>
        <s v="VALENZUELA BARBA JUAN FRANCISCO"/>
        <s v="QUISPE PINEDA ROGER"/>
        <s v="FLORES CUNYA CLEMEX ANTONIO"/>
        <s v="RAMOS MEZA JUAN CARLOS"/>
        <s v="HAMANN GARCIA CHRISTIAN PAOLO"/>
        <s v="SALSAVILCA SILVESTRE MIGUEL ANGEL"/>
        <s v="CUADROS MELGAREJO DONNY ALEX"/>
        <s v="CURILLA PAICO LUIS ALFONSO"/>
        <s v="FUENTES TENORIO ELEVI"/>
        <s v="MENDOZA OBREGON JOSE ANTONIO"/>
        <s v="FUENTES TENORIO MARCO ABEL"/>
        <s v="NELO ROMERO ARTURO JOSE"/>
        <s v="VALENCIA COARITE WALTER"/>
        <s v="CARMEN PILLACA JOHNNY MOISES "/>
        <s v="LADERA ORE AUGUSTO JAVIER"/>
        <s v="GARCIA MENDOZA GERSON JOSE AUGUSTO"/>
        <s v="ESPINOZA INGA DAVID"/>
        <s v="RUIZ BANCES JOSE ERASMO"/>
        <s v="COCA DURAND EDWIN"/>
        <s v="GARRIDO PEREDA ANGEL"/>
        <s v="GARCIA SOVERO SERGIO LUIS"/>
        <s v="HUAMAN HONISMAN RICARDO DIEGO"/>
        <s v="HUMMEL LEE VICTOR ANDRES"/>
        <s v="DIPAS SOSA JOSE ALFREDO"/>
        <s v="CRUZ CONSTANTINO MANUEL LEONARDO"/>
        <s v="CAMPOS PORRAS PABLO FERMIN"/>
        <s v="HUAMAN ARAUJO UBER"/>
        <s v="CASIMIRO YALLE FREDY JUAN"/>
        <s v="ALVA HUAMATO WILI CESAR"/>
        <s v="CARHUAMACA MIRANDA ROSA"/>
        <s v="CASTILLO RAYMUNDO JOSE BRAULIO"/>
        <s v="GARAMENDI GOMEZ RICHARD EPIFANIO"/>
        <s v="GARCIA TACUCHI ANTHONY STUART"/>
        <s v="GARRIDO CORREA WILLIAM SAMUEL"/>
        <s v="RAMOS CUSACANI ROBERTO"/>
        <s v="RAMOS SEGURA WILLY JHONNY"/>
        <s v="RODRIGUEZ ECHEVARRIA JORGE  LUIS"/>
        <s v="SARANGO CHINGUEL HILDO NOE"/>
        <s v="VICENTE ESPINOZA WUALDIR JACOB"/>
        <s v="GUTIERREZ ESTRADA RUBEN"/>
        <s v="RAMOS PAREDES ISAC SAIA"/>
        <s v="HUAYMANA CUELO LUIS ARTURO"/>
        <s v="GONZALES VASQUEZ ASUNCION"/>
        <s v="ROMERO SOTO ALFREDO FLORIAN"/>
        <s v="CASTRO MORENO EDUARDO RUBEN"/>
        <s v="SONCCO CCUITO TEOFILO SANTOS "/>
        <s v="PINEDO ACHACA BRIHAN"/>
        <s v="HUAMANCHA LUNA SEGUNDO REYNALDO"/>
        <s v="AGUILAR TINEO ANIBAL ENRIQUE"/>
        <s v="AYALA SILVA GUILLERMO IVAN "/>
        <s v="BAZALAR DONAYRE CESAR ROBINSON"/>
        <s v="BUENO MENDOZA ANGELO ALCIDES "/>
        <s v="CADENAS ORTUÑO ANTONIO JOSE"/>
        <s v="CAHUANA SUAREZ YVAN"/>
        <s v="CASQUERO ALVAREZ ERICK VICENTE"/>
        <s v="CASTRO SANTOS JULIO CESAR"/>
        <s v="CORDOVA PORRAS DIOGENES"/>
        <s v="CRUZ LOPEZ JUAN CARLOS"/>
        <s v="ESCALANTE SALCEDO CHRISTIAN OMAR"/>
        <s v="HERNANDEZ DE LA CRUZ JIMMY HENRY"/>
        <s v="HERRERA MARTINEZ YURI FERNANDO"/>
        <s v="HINOSTROZA ROBLES JORGE"/>
        <s v="HUARDAMINO PAUCAR JULIO ERNESTO"/>
        <s v="LLAMOSAS TOLENTINO EDWIN ALFREDO"/>
        <s v="MAMANI LLUNGO CESAR ESTEBAN"/>
        <s v="MARIN VALDIVIA WILDER OCTAVIO JOSE"/>
        <s v="MARTINEZ MIRANDA ESTIP EUGENIO"/>
        <s v="MARTINEZ OCHOA JUAN CARLOS"/>
        <s v="MEDINA TANTALEAN ENER"/>
        <s v="MORALES ARICA CESAR AUGUSTO"/>
        <s v="MOSTACERO VALLADARES JOE CHRISTIAN "/>
        <s v="NAJARRO REMON JOHNNY MARCELINO"/>
        <s v="PALACIOS CAISAHUANA MARIO ABEL"/>
        <s v="PEREZ RAMIREZ YGNACIO"/>
        <s v="PINEDO MALDONADO CESAR BENJAMIN"/>
        <s v="PINEDO SALAZAR NELSON FLORENCIO"/>
        <s v="PONCE ZAPATA FERNANDO RUDY"/>
        <s v="PRADO ARGANDOÑA JAVIER CESAR"/>
        <s v="PUCHOC NUÑEZ RAUL ANTONIO"/>
        <s v="RAMIREZ FLORES JOEL DAVID"/>
        <s v="RIVERA ESPINOZA FREDI"/>
        <s v="ROJAS VILDOSOLA RAFAEL"/>
        <s v="SAAVEDRA ALDANA MANUEL EDGARDO"/>
        <s v="TASAYCO CESPEDES ALEXANDER JOEL"/>
        <s v="TITO CARDENAS GUIDO CRISTOBAL"/>
        <s v="VASQUEZ AGUILAR JUAN JOSE"/>
        <s v="VASQUEZ CASTRO MIGUEL ANGEL"/>
        <s v="VEGA MAYHUIRE JHON "/>
        <s v="VILLAVICENCIO COLLAZOS RUBEN"/>
        <s v="LOZANO HERNANDEZ ENOC "/>
        <s v="RAMIREZ ESTUPIÑAN FREDY RODOLFO "/>
        <s v="NEIRA GARCIA YVAN ALFREDO"/>
        <s v="ZAPATA SILVA VICTOR "/>
        <s v="OCMIN NAVARRO MILTON "/>
        <s v="MUÑOZ SORIANO JAVIER "/>
        <s v="GUILLEN RENGIFO LEE ALICE STEVENS "/>
        <s v="SANTOS RAMIREZ CESSAR AUGUSTO "/>
        <s v="JOSE ANTONIO SALVADOR ZETA"/>
        <s v="UGAZ ROA CESAR AUGUSTO"/>
        <s v="CHANCASANAMPA CCAMA GUSTAVO"/>
        <s v="HUAMALI BENITO LUIS ALBERTO"/>
        <s v="HUMAN RIVERA PERCY FLORENCIO"/>
        <s v="INGA COQUIL ALCIDES"/>
        <s v="INGA BALDEON, RAFAEL FELICIANO"/>
        <s v="VIRTO ESTRELLA RUBEN EDUARDO"/>
        <s v="CARRILLO BARAZARTE JUANA MARIA"/>
        <s v="PEREZ RODRIGUEZ FRANCISCO ANTONIO"/>
        <s v="AGREDA BENITEZ DAVID OSWALDO"/>
        <s v="MORALES RAMIREZ JOSE ANTONIO"/>
        <s v="RAMIREZ PINEDO JOSIAS "/>
        <s v="AGREDA BENITEZ GLENDY MADELEYNE"/>
        <s v="VERA BAEZ HENRRY ANTONIO"/>
        <s v="IPARRAGUIRRE CUBA JAIME ELIAS"/>
        <s v="FLORES POLANCO OMAR ANDRES "/>
        <s v="CORDOVA RODRIGUEZ HIDELIA"/>
        <s v="VIDAURRE CABEZAS JUANA"/>
        <s v="VALENTIN SMITH LEONARDO JOSE"/>
        <s v="BERROCAL GARCIA DAVID ARTURO"/>
        <s v="MOROTE COLACA RUBEN MELO"/>
        <s v="ALVARADO DE LA SOTA GINO RAFFO"/>
        <s v="VIDAL SANDOVAL DOMENICO PAUL"/>
        <s v="TARAZONA CAVALCANTI LUIS ALBERTO"/>
        <s v="SURCO MEDINA CARLOS MARTIN "/>
        <s v="MUÑOZ REFORME JOSE ANTONIO"/>
        <s v="BAUTISTA GARCIA JESUS MIGUEL"/>
        <s v="MALDONADO ALIAGA HUGO SEBASTIAN"/>
        <s v="MORANTE CORDOVA RUBEN IVAN"/>
        <s v="ORTIZ ARENAS MANUEL ALONZO"/>
        <s v="ZEVALLOS ACEVEDO OSCAR ENRIQUE"/>
        <s v="SALINAS GUIZADO WALTER EDUARDO"/>
        <s v="VILLEGAS  HUERTAS JUAN  MANUEL"/>
        <s v="ACARO RUIZ AQUILES "/>
        <s v="ASIN YACILA JOAN CRISTIAN"/>
        <s v="PRADO NEYRA LUIS GERARDO"/>
        <s v="BELTRAN CHUNGA JESUS TEOBALDO"/>
        <s v="QUINECHE URBIZAGASTEGUI JOHAIRA ZENAIDA"/>
        <s v="LOPEZ YOVERA JULIO  CESAR"/>
        <s v="PULACHE ELIAS ANGEL JAIME"/>
        <s v="ESPINO BENDEZU GIANCARLO MITCHEL"/>
        <s v="LEON PACAYA TERESITA"/>
        <s v="JURADO IDELFONSO FELIPE TEODOMIRO"/>
        <s v="BOLAÑOS APESTEGUIA RONALD WILMER"/>
        <s v="COLMENARES VELASQUEZ ALEX INDALECIO"/>
        <s v="SALINAS CUSIRRAMOS ANGEL ARMANDO"/>
        <s v="HIDALGO RODRIGUEZ ERIC JOANY"/>
        <s v="GARCIA PIZARRO HUGO RICHARD"/>
        <s v="VIERA HUARCA JUAN JOSE"/>
        <s v="CARRASCO CASTILLO DENIS DANILO"/>
        <s v="MALDONADO YCAZA ERICK ALBERTO"/>
        <s v="RIQUELME ARIAS ARMANDO JOSÉ"/>
        <s v="ORMEÑO JIMENEZ CARLOS ANTONIO"/>
        <s v="LUNA ROJO JUAN ROBERTO"/>
        <s v="QUISPE VILLANOS MOISES"/>
        <s v="GOMEZ DIAZ ELMER JAVIER"/>
        <s v="GUTIERREZ QUISPE ALFONSO"/>
        <s v="RAFAEL CHAVEZ ANIBAL"/>
        <s v="ZAMORA MAUROLAGOITIA CARLOS "/>
        <s v="ENERO GONZALES ALCIDES MANUEL"/>
        <s v="ASCORBE FERNANDEZ SAMUEL FRANCISCO "/>
        <s v="AQUINO VARGAS ANGEL MIGUEL"/>
        <s v="SALAZAR ALVAREZ MARIA DEL CARMEN"/>
        <s v="LAVAN QUISPE JOSE MIGUEL"/>
        <s v="MANCO PEREZ JESUS JOSE"/>
        <s v="TINEO SANCHEZ RICARDO ANTONIO"/>
        <s v="VARGAS RODRIGUEZ MELQUIADES"/>
        <s v="SANTOS HUILLCA ROGER"/>
        <s v="CHAMPION VIZCARDO ENRIQUE"/>
        <s v="MARTINEZ GUERRERO ANTONIO"/>
        <s v="BARATA CAVALHO PAQUALE "/>
        <s v="ALIAGA CHAVEZ MARCO ANTONIO"/>
        <s v="ROJAS ASCENCIO PEDRO JORGE"/>
        <s v="AYALA ESCRIBA SIXTO FELICISIMO"/>
        <s v="MACEDO ZARZOSA PABLO ENRIQUE"/>
        <s v="ENCARNACION RODRIGUEZ ROMULO TOMAS"/>
        <s v="FASABI VEINTEMILLA PEPE"/>
        <s v="ECHEGARAY CHIPA FEDERICO"/>
        <s v="TOLEDO CARDENAS ALEJANDRO SABINO"/>
        <s v="HUACHO MIRANDA JESUS"/>
        <s v="CORREA SANDOVAL MARCO ANTONIO"/>
        <s v="SANTAMARIA ACOSTA JOSE ARNALDO "/>
        <s v="PEREZ LAVERIANO MANUEL TORIBIO "/>
        <s v="IGLESIAS VICENTE JULIO ERNESTO"/>
        <s v="LASTRA SALAZAR ANIVAL"/>
        <s v="SANTAMARIA ACOSTA JOSE HECTOR"/>
        <s v="ALVA SEVILLANOS HENRI"/>
        <s v="LOPEZ ROMANI ALBERTO"/>
        <s v="DIAZ REQUEJO ALBERTO"/>
        <s v="CARRANZA VICENTE ADOLFO"/>
        <s v="ACEVEDO CLEMENTE LUIS"/>
        <s v="ARRIETA CANDIA AUGUSTO"/>
        <s v="PALOMINO INFANTE CELESTINO"/>
        <s v="PAQUIYAURI FARFAN LAZARO"/>
        <s v="RIMAC MENDOZA HUMBERTO"/>
        <s v="AGUIRRE LAMA ROLANDO"/>
        <s v="BICERRA TORRES JAVIER"/>
        <s v="CELADITA RIVAS, ROBERTO"/>
        <s v="CISNEROS LAZARTE, VICTOR RAÚL"/>
        <s v="MELENDEZ RODRIGUEZ ROGER WALTER"/>
        <s v="MORE PAIBA FELIPE ALEXANDER"/>
        <s v="TAMAYO LLACSAHUANGA YONI"/>
        <s v="TORRES VALENZUELA LIDO RODOLFO"/>
        <s v="ANCAJIMA MELENDEZ EDGAR PAUL"/>
        <s v="CAMPOS TUME MARCO ANTONIO"/>
        <s v="DE LA TORRE PADILLA OSEAS JUSTO"/>
        <s v="SALAZAR MENDOZA JAIME JONAS"/>
        <s v="TUYA VILLANUEVA LUIS ENRIQUE"/>
        <s v="ALARCON AYALA   TOMAS"/>
        <s v="CALDERON CUADROS EDGAR"/>
        <s v="CIENFUEGOS DE LOS RIOS MARCO ANTONIO"/>
        <s v="CONDORI CALLA, JUAN"/>
        <s v="CONTRERAS TORRES FRNCISCO"/>
        <s v="CUBA HUAMAN    SANTIAGO"/>
        <s v="DE LA TORRE MARIÑO, MARLON GIORDAN"/>
        <s v="GUTIERREZ ROSALES, ROLANDO HERMOGENES"/>
        <s v="GUZMAN ASPAJO RICHARD"/>
        <s v="JIMENEZ DURAN APOLONIO"/>
        <s v="TEJADA ARIAS  MIGUEL ANGEL"/>
        <s v="CALDERON ARANDA LUIS ALBERTO"/>
        <s v="LECCA CASAS BORIS ERNESTO"/>
        <s v="VIDAL PEREYRA JORGE LUIS"/>
        <s v="QUINCHO CHAUPIN ALFONZO"/>
        <s v="CORDOVA GASPAR EVARISTO RUBEN"/>
        <s v="LLAJARUNA TANDAYPAN PEDRO CARLOS"/>
        <s v="VEGA ACUÑA TAUMO"/>
        <s v="CHAUCA YOPLAC DEMETRIO"/>
        <s v="CHACON AVILA MARCO ANTONIO"/>
        <s v="GASPAR FERIL, HIPOLITO"/>
        <s v="ZEGARRA BARRERA, JORGE RENE"/>
        <s v="BRAVO BRAVO, ELI JAIME"/>
        <s v="CONDORI ORTEGA ALMERT  FAUSTO "/>
        <s v="CUADROS ESPINOZA MARCIAL"/>
        <s v="CAMACHO GARAVITO CARLOS ENRIQUE"/>
        <s v="FERNANDEZ RIVERA HERMES BENEDICTO"/>
        <s v="PUMA CRUCES EDWIN EDGAR "/>
        <s v="AIQUIPA RAMIREZ SANTOS"/>
        <s v="ARANDA HERRERA HEBER PEPE"/>
        <s v="AVALO CASTRO JORGE ALBERTO"/>
        <s v="CHAVEZ ROJAS MANUEL"/>
        <s v="GONZALES COTERA LUIS ALBERTO"/>
        <s v="COLCA GAVIDIA JAIME ABEL"/>
        <s v="CORTEZ FIGUEROA MAXIMO LUIS"/>
        <s v="GASPAR POMAYALLI LEONCIO"/>
        <s v="ACEVEDO TORRES MIGUEL ANGEL"/>
        <s v="ALVARADO ORMEÑO  MIGUEL ANGEL"/>
        <s v="CALVO ARICA JAVIER FRANCISCO"/>
        <s v="CHINCHAY HUAYANA WILFREDO ADOLFO"/>
        <s v="PALOMINO JORGE DAVID"/>
        <s v="ROJAS SANCHEZ  CARLOS ARTURO"/>
        <s v="SALDARRIAGA ACO ORLANDO CARLOS"/>
        <s v="SUAREZ ACHA LUIS ALBERTO"/>
        <s v="TINOCO ARELLANO GLICER EDILBERTO"/>
        <s v="TINOCO ARELLANO JUAN AMILCAR"/>
        <s v="TORRES SALAZAR CONSTANTINO VIDAL"/>
        <s v="TURPO QUISPE RAUL OSCAR"/>
        <s v="ZAMBRANO RENTERIA FELIX GUILLERMO"/>
        <s v="ZAPATA COELLO LUIS FERNANDO"/>
        <s v="FERNANDEZ RODRIGUEZ RONY"/>
        <s v="MONSALVE RIVERA  RONNIE  RAUL"/>
        <s v="HIDALGO BAZALAR JESUS ALBERTO"/>
        <s v="PALOMINO QUISPE SANDRO ROBERTO"/>
        <s v="MURAYARI RICOPA WILDER"/>
        <s v="CLEMENTE HUAMAN ADRIAN"/>
        <s v="CERVANTES HUAMAN MARGARITA"/>
        <s v="BRAVO GONZALES GLORIA PATRICIA"/>
        <s v="ALDAMA CABRERA ZORAIDA ALICIA"/>
        <s v="CHUMPITAZ CUYA SONIA ANGELICA"/>
        <s v="SOTO ACHAHUANCO BASILIA"/>
        <s v="CHOQUE APONTE WILFREDO MARINO"/>
        <s v="SAYAN RAMIREZ JUAN CARLOS"/>
        <s v="SANCHEZ AQUINO YULI GENOVEVA"/>
        <s v="CASTRO ROSAS NANCY JAQUELINE"/>
        <s v="FERNANDEZ AQUINO MARIA DELMIRA"/>
        <s v="Solorzano Hurtado Luis Alberto"/>
        <s v="Piñan Palacios Ossain"/>
        <s v="GONZALES VEGA OSCAR GABRIEL "/>
        <s v="RIMACHE SANCHEZ JORGE ALBERTO"/>
        <s v="VIZCARDO LINDO CHRISTIAN GERARDO"/>
        <s v="DIAZ MOLINA VICTOR HUGO"/>
        <s v="RUIZ PEÑA CESAR AUGUSTO"/>
        <s v="CHANDUVI CLAROS JOSE MARTIN"/>
        <s v="GOMEZ GUTIERREZ ERNESTO"/>
        <s v="DE LA CRUZ ANCHAYHUA ALIPIO"/>
        <s v="NONATO BAUTISTA DAVID NEHEMIAS"/>
        <s v="MORALES BAUTISTA PEDRO JAVIER"/>
        <s v="TORREZ VASQUEZ LAURA LISSETH"/>
        <s v="CRUZ CONSTANTINO FELIX MARTIN OCTAVIO"/>
        <s v="Roldan Fuertes Jose Antonio "/>
        <s v="BORGES CAMBERO LUIS ANTONIO"/>
        <s v="SIFUENTES SAIRE SAMUEL ENRIQUE"/>
        <s v="CALAGUA SANCHEZ, ENRI RAUL "/>
        <s v="NIETO QUINTO RICHARD JOSE"/>
        <s v="PERCY ENRIQUE FERRER CALDERON "/>
        <s v="VILLANUEVA BOHORQUEZ CESAR AUGUSTO"/>
        <s v="CASAS GOMEZ, WERNER FELIX "/>
        <s v="ARANGO  LLAMOCCA JAYME"/>
        <s v="DURAN SANTIAGO JUAN CARLOS"/>
        <s v="TAPAYURI MURAYARI VICTOR HUGO"/>
        <s v="CARRION FLORES REY PAULINO"/>
        <s v="CASTILLO PILIPE JOSE ARCENIO"/>
        <s v="DEL ROSARIO ARELLANO LUIS JAVIER"/>
        <s v="ESPIRITU MEDRANO MIGUEL MANUEL"/>
        <s v="VELASQUEZ VALLEJO JOSE ALBERTO"/>
        <s v="CALLAHUA FLORES JJORGE"/>
        <s v="LAURENTE FLORES SANTIAGO RICHAR"/>
        <s v="ADAUTO LARA LUCIO"/>
        <s v="AYAY CORREA PEDRO"/>
        <s v="CRUZ NAVARRO ROLANDO"/>
        <s v="CUBA TORRES CARLOS WINSTON"/>
        <s v="FERNANDEZ VICTORINO ELMER"/>
        <s v="FLORES VERA DEMETRIO"/>
        <s v="HUACHACA SALAS ERASAMO"/>
        <s v="MELENDEZ PICON JORGE ANTONIO"/>
        <s v="MITMA JANAMPA ADRIANO"/>
        <s v="PALACIOS BALDEON INOCENCIO"/>
        <s v="RAYCO PEREZ CARLOS"/>
        <s v="ZEGARRA ALVAREZ JULIO CESAR"/>
        <s v="ALVES DA SILVA RISOMILDO"/>
        <s v="LIVAQUE CASTILLO JOSE ENRIQUE"/>
        <s v="MEJIA MORALES LUIS JESUS"/>
        <s v="SALAZAR FERNANDEZ CARLOS ALBERTO"/>
        <s v="GIRALDO NEYRA JUAN CARLOS"/>
        <s v="DIAZ BENDRELL, ROSA MICAELA"/>
        <s v="DEL ALAMO PEREZ RAUL"/>
        <s v="NAPANGA CARBAJAL JOSE ANTONIO"/>
        <s v="LARA PEREZ MOISES JESUS"/>
        <s v="GARCIA ROSADO RAUL"/>
        <s v="CONTRERAS BAQUERIZO FREDY ALCIDES"/>
        <s v="ARIAS GUEVARA OSCAR AUGUSTO"/>
        <s v="VALLE MATOS LUIS MANUEL"/>
        <s v="GARCIA VERGARA FELIPE MANUEL"/>
        <s v="CASTRO ROMERO ADOLFO CARLOS"/>
        <s v="DANCOURT ROSALES FREDDY MARTIN"/>
        <s v="GARCIA LEON CESAR AUGUSTO"/>
        <s v="MILLONES ZARPAN ANIBAL ALEXANDER"/>
        <s v="RAMOS LIMA ORLANDO TEODOSIO"/>
        <s v="COLLAZOS MEJIA FERNANDO"/>
        <s v="LOZADA CABREJOS, ALEX WILSON"/>
        <s v="AGUILAR AVALOS,FRANKLIN"/>
        <s v="QUISPE JANAMPA, EDITH VIANNEY"/>
        <s v="TAFUR LAYANGO, IRIS MARILIN"/>
        <s v="CHINCHAY CERRON DANIEL"/>
        <s v="BLAS CASTRO, ANIANO GREGORIO"/>
        <s v="ALVAN MONTELUIS, VERONICA"/>
        <s v="AGUILAR PALIZA, FREDY"/>
        <s v="RIVERA ORMAECHE GUSTAVO "/>
        <s v="VICENTE SANDOVAL FELIX PABLO"/>
        <s v="ALMINAGORTA CANO, CARLOS"/>
        <s v="VELI GARAGATE  JOSE LUIS"/>
        <s v="LOPEZ CONTRERAS  LUIS"/>
        <s v="NAUPAY ESPINOZA ROGER FERNANDO"/>
        <s v="GUERRA ALVARADO HEINZ RONALD"/>
        <s v="HUARCAYA COCCHE JESUS "/>
        <s v="LLAMOCCA CANDIA, ESTEBAN"/>
        <s v="JAVIER CARHUAVILCA, LUIS ALBERTO"/>
        <s v="FLORES MELO GUIDO ELDIBRANDO"/>
        <s v="TINOCO ALBORNOZ, FILOMENO"/>
        <s v="TAPIA URQUIZA, JESUS JORGE"/>
        <s v="MASGO HUAMANI, LUIS RICARDO"/>
        <s v="USCAMAYTA ARANDA, JESUS MANUEL"/>
        <s v="DIAZ PEREZ,GUSTAVO ALEJANDRO"/>
        <s v="YOVERA SILVA,MAXIMO"/>
        <s v="SEGUNDO CLAU,LUIS HERMINIO"/>
        <s v="QUEZADA BAZAN,RICARDO"/>
        <s v="ARCELA ROGGERO,ALFREDO"/>
        <s v="LAYZA PEREZ, FELIPE ISAAC"/>
        <s v="PEÑA AVALOS,ALEJANDRO JOSE"/>
        <s v="ALEJOS BOORQUEZ ABEL ROMULO"/>
        <s v="ARIAS ESPINOZA  WALDO CARLOS"/>
        <s v="CARRERA VALENTIN LUIS HERMINIO"/>
        <s v="GRADOS  QUISPE ANTONIO DAVID"/>
        <s v="FRANCO INGA RAUL CESAR "/>
        <s v="CALDERON VENTURA  DESIDERIO"/>
        <s v="MEZA  AGUILAR  JAVIER ROSALIO"/>
        <s v="AHUANARI TAMANI HAROLD RAMON"/>
        <s v="DE LA CRUZ ACHATA FRANCISCO"/>
        <s v="FARIAS MORALES ROBERTO"/>
        <s v="UTANI FERNANDEZ JOSE LUIS"/>
        <s v="SANTOS MOZOMBITE JOEL ADAN"/>
        <s v="CENTURION PADILLA ELMER"/>
        <s v="ARAMBURU PALOMINO RICHARD LUIS"/>
        <s v="JORGE TORRES ISAIAS OESTES "/>
        <s v="MEDINA VILLAR RONALD PAUL "/>
        <s v="AROCUTIPA ORTIZ FELIPE ARTEMIO"/>
        <s v="TERREROS TRUJILLO MARCO ANTONIO"/>
        <s v="ROZO GOMEZ JESUS ANIBAL"/>
        <s v="TERREROS TRUJILLO JULIO CESAR"/>
        <s v="LUYO MENDOZA CESAR AUGUSTO"/>
        <s v="CHAVEZ MAYTA EDWIN"/>
        <s v="CARDENAS SALDIVAR EDWARD"/>
        <s v="BURGA GARCIA SEGUNDO EBER"/>
        <s v="JUSTANO CAMAC NINO LUIS"/>
        <s v="GARCIA CORONADO WILLY ERNESTO"/>
        <s v="LUNA JAKELINNE"/>
        <s v="ARAUJO YANGALI ROSALINO LUIS"/>
        <s v="CUEVA SANTILLAN ALVARO"/>
        <s v="CALLUPE JIMENEZ YONY"/>
        <s v="Callupe Contreras Juan Jose"/>
        <s v="LEON ZAPATA LUIS ALBERTO"/>
        <s v="HUAPAYA TORREALVA ALEX WIRIBALDO"/>
        <s v="HUAMAN RIVERA IDON ARTURO"/>
        <s v="VARGAS MALASQUEZ JORGE JAVIER"/>
        <s v="HUAYTA MILLA FELIX CELSO"/>
        <s v="FUNG SEMINO DIANA ESTHER"/>
        <s v="QUISPE HUAMAN JHONY EDGAR"/>
        <s v="CHUQUIYAURI GARCIA HERMINIO MAXIMO "/>
        <s v="ROJAS OJEDA JOSE LUIS"/>
        <s v="BANEGAS CHMABILLA TOMAS"/>
        <s v="REQUEJO LLAMO RENE"/>
        <s v="PAREDEZ DIAZ GUILLERMO OTONIEL"/>
        <s v="GARAMENDI GOMEZ NIXON GASPAR"/>
        <s v="TACILLA SANCHEZ JOSE CARMEN"/>
        <s v="QUISPE SULCA DAVID"/>
        <s v="HUAYLLA FERNANDEZ TOMAS JORGE"/>
        <s v="MORENO DEL AGUILA REGNER"/>
        <s v="LEON RODRIGUEZ DARIO FELICIANO"/>
        <s v="PONCE MONTALVAN MILTON DANIEL"/>
        <s v="TAIPE BUENDIA GERARDO FELIX"/>
        <s v="PITALUA PEREZ JULLY ENRIQUE"/>
        <s v="ACUÑA SEGOVIA JOSE LUIS"/>
        <s v="ARANCIBIA PASACHE BORIS DUVER"/>
        <s v="ARCE DAVILA JORGE MANUEL"/>
        <s v="AYALA JORGE MIRKO GIOVANY"/>
        <s v="BARBADILLO OLIVEROS ALFREDO JOSE"/>
        <s v="BUENDIA HUAÑAHUE ALFREDO"/>
        <s v="CARRILLO HINOSTROZA NORMAN LESLYE"/>
        <s v="CHAVEZ LOAYZA JORGE LUIS"/>
        <s v="DONAYRE DONAYRE JOSE ERNESTO "/>
        <s v="ESPINOZA TELLO, GERARDO VICENTE"/>
        <s v="GABRIEL RAMOS CARLOS CONZALO"/>
        <s v="GUZMAN MARTINEZ DEYVIS YADVER "/>
        <s v="LEON ASTETE EVER LUIS"/>
        <s v="MATTA YLLESCAS JOSE FELIX"/>
        <s v="PONCE LIMAYMANTA RUBEN PABLO"/>
        <s v="PONTE DIAZ HECTOR AQUILES"/>
        <s v="RIVERA HUAYLLAS ALIPIO"/>
        <s v="SOLIS PARI JAVIER ELIAS"/>
        <s v="TORRES LLOCLLE JULIO CESAR"/>
        <s v="UGALDE RAMOS NILTON"/>
        <s v="VASQUEZ CARO WILLIAN"/>
        <s v="VASQUEZ SARMIENTO, JESUS JORGE"/>
        <s v="VENTURA TELLES JOSE HOMERO "/>
        <s v="VILLAGOMEZ PRADO ALFONSO MANUEL"/>
        <s v="VILLARREAL ROSALES CARLOS ALBERTO"/>
        <s v="VILLASECA HERNANDEZ ALBERTO"/>
        <s v="GRANDA MORENO GUMERCINDO "/>
        <s v="PEREZ VELASCO GUSTAVO ANTONIO"/>
        <s v="LAURENTE ESPIRITU DIOMEDES FERNANDO"/>
        <s v="VALQUI BRICEÑO ANDRES ALEJANDRO"/>
        <s v="VALERO MEDINA JOSE ALBERTO"/>
        <s v="VALDERRAMA ALVARADO ALEJANDRO ISAIAS"/>
        <s v="BALDEON ZAPATA, JAIME LEONEL"/>
        <s v="ROA GODOS MANUEL"/>
        <s v="RUIZ ORTIZ ROBINSON GUILLERMO"/>
        <s v="DIAZ MARABOTTO DAVID "/>
        <s v="ACURIO PEREZ-CANETTO MIGUEL"/>
        <s v="MARTINEZ HERNANDEZ JORGE LUIS"/>
        <s v="DEL RIO MORALES CARLOS ALBERTO"/>
        <s v="CACERES ZEVALLOS JOSE ALEJANDRO"/>
        <s v="PACUTAYPE DURAND JOSE LUIS"/>
        <s v="SOTO MOZOMBITE MIGUEL ANGEL"/>
        <s v="HERRERA EGOAVIL FERNANDO MARTIN"/>
        <s v="MORALES VARGAS TAYNE"/>
        <s v="LOBATON VILCHERREZ JORGE ANTONIO"/>
        <s v="TELLO MARCELO FRANCO"/>
        <s v="MIÑOPE TEZEN ANGEL AUGSTIN"/>
        <s v="REYES SEGURA LISTER ALBERTO"/>
        <s v="SOTO SIPIRAN WILMAR MANUEL"/>
        <s v="CARDENAS ZARATE DAMIAN"/>
        <s v="SILVA RIOS ENRIQUE MANUEL"/>
        <s v="LEON DAVILA LUIS ELOY"/>
        <s v="CARPIO CUEVA JUAN JOSE"/>
        <s v="FERNANDEZ TASAYCO SANDRO SALVADOR"/>
        <s v="TAFUR MECHAN OSCAR ANTONIO"/>
        <s v="SORIANO HERRERA MAXIMILIANO PEDRO"/>
        <s v="MORENO FAJARDO JAIME LUIS"/>
        <s v="MOLOCHE MARQUEZ ANGEL DAVID"/>
        <s v="BRAVO CAMERO EDGAR LUCIANO "/>
        <s v="GONZALES MORENO MILTON CESAR"/>
        <s v="CASTILLO MARTINEZ HECTOR  OMAR"/>
        <s v="VILLANUEVA VALLE VICTOR AUGUSTO"/>
        <s v="VALDIVIEZO MOGOLLON MARCO ANTONIO"/>
        <s v="CONTRERAS ROCCA FERNANDO RAUL"/>
        <s v="VALENZUELA CANCHARI JUAN RAUL"/>
        <s v="FAJARDO ALDEA BRAULIO HERNAN"/>
        <s v="TORRES FERNANDEZ CESAR GABRIEL"/>
        <s v="ARAPA QUISPE ELVIS FRANCISCO"/>
        <s v="CARDENAS MOLINA LUIS ANTONIO"/>
        <s v="LIENDO HUAMAN ANIBAL"/>
        <s v="BARRETO CARRILLO RAFAEL ANTONIO"/>
        <s v="LOPEZ ROJAS AUGUSTO EMILIO"/>
        <s v="HUAMAN CORILLOCLLA LUIS RICARDO"/>
        <s v="PORTAL FALLA JUAN HUMBERTO"/>
        <s v="CANALES ALGUEDAS JUAN RAUL"/>
        <s v="MARTINEZ PARIONA WILLIAM"/>
        <s v="SIMOSA XXXX MIGUEL ANGEL"/>
        <s v="MENDOZA ZUÑIGA EDWIN DANTE"/>
        <s v="GUEVARA NARVAEZ RAUL"/>
        <m/>
        <s v="GUARDIA ESPINOZA JULIO CESAR"/>
        <s v="HUERTAS TOLENTINO JOSE"/>
        <s v="LOPEZ APAICO BERTRAND PALMIRO"/>
        <s v="RAMOS VILLAVICENCIO JAVIER HUGO"/>
        <s v="ANDAGUA BRITO SANTOS CRISTOBAL"/>
        <s v="GONZALES ORTIZ RAFAEL ALFONSO"/>
        <s v="DELGADO MARROQUIN JOSE ALFREDO"/>
        <s v="MONTES MEZA MARTIN LUIS"/>
        <s v="ZEGARRA VASQUEZ CARLOS ALFONSO"/>
        <s v="GALVEZ AMAYA JOSE HERNAN"/>
        <s v="UBILLUS SOLIS ALFREDO VALERIO"/>
        <s v="ESPINOZA VILCHEZ ERNESTO ROBERTO"/>
        <s v="ASCAYA ANDRADE CARLOS LORENZO"/>
        <s v="CASIMIRO CERNA ANDRES SIMON"/>
        <s v="HERRERA LLERENA SUSANA LUZ "/>
        <s v="OJEDA CRISANTO WALTER ENRIQUE"/>
        <s v="ESPINOZA TECCSI JAIME GODOFREDO"/>
        <s v="ECHEVARRIA QUIÑONES PASCUAL"/>
        <s v="TAVARA RAMIREZ EDUARDO"/>
        <s v="JOSE ALBERTO VASQUEZ SARMIENTO"/>
        <s v="ARIAS MALLMA CELSO TEOFILO"/>
        <s v="MENDOZA ROJAS YAJAIRA MADELEIN"/>
        <s v="MEZA ARTEAGA EFRAIN LUIS"/>
        <s v="BAHAMONDE BENAVENTE CESAR EMILIO"/>
        <s v="MARIN MUÑOZ ALEXI BENITO "/>
        <s v="VILA FRANCIA JESUS ANGEL"/>
        <s v="CASTRO CARDENAS LEONARDO MANUEL"/>
        <s v="RUDY RUBEN VILLANERA LINARES"/>
        <s v="CARDENAS HUAMANI EVER EMILIO"/>
        <s v="COSTILLA FERNANDEZ FERNANDO MIGUEL"/>
        <s v="ARMAS ASCATE LEONCIO VALERIANO"/>
        <s v=" CASTILLO ROSA ERICK MARTIN"/>
        <s v=" HUAYANAY VILLARREAL YOJAR GUSTAVO "/>
        <s v=" MAYLLE BALDEON ISAAC "/>
        <s v=" GUTIERREZ SERNAQUE CRISTHIAN RAFAEL "/>
        <s v="GUERRERO SALAZAR EDIL JAIS "/>
        <s v=" ARTICA RODRIGUEZ MIGUEL ANGEL "/>
        <s v=" VILLEGAS ALVAREZ LAZARO ISMAEL"/>
        <s v="CHOCANO FLORES RAUL FERNANDO"/>
        <s v="FACHO MORALES MARCO ANTONIO"/>
        <s v="QUIÑONEZ OJEDA MATIAS JESUS "/>
        <s v="ALVAREZ DE LA CRUZ ABDON"/>
        <s v="BENITES QUIQUIA MANUEL ANIBAL"/>
        <s v="PALMARES QUISPE VICTOR"/>
        <s v="SILVA FLORES JOSE"/>
        <s v="TAPIA MARTELL DANILO NICANOR"/>
        <s v="TURPO CAHUANA ROSALIO"/>
        <s v="VALENZUELA CUENCA SAMUEL"/>
        <s v="VEGA ALARCON OSCAR ESTEBAN"/>
        <s v="GARCIA ROJAS JOSE LUIS"/>
        <s v="ULLOA ZAMBRANO MELANIO"/>
        <s v="GARCIA PEREZ CARLOS GUILLERMO"/>
        <s v="CASTRO VIDAL, JUAN"/>
        <s v="CHAVEZ COLLA GERBER"/>
        <s v="PAYEHUANCA PADIN, RAFAEL ORLANDO"/>
        <s v="BELLEZA YACTAYO VICENTE"/>
        <s v="SUAREZ CASTILLO, MARCO ANTONIO"/>
        <s v="ROJAS ZARATE, MANUEL JAIME"/>
        <s v="LORA MIRANDA JUAN CARLOS"/>
        <s v="CRUZ QUISPE, LUIS ANGEL"/>
        <s v="SANTA MARIA ZAFRA  PEDRO"/>
        <s v="MOTTA GUTIERREZ, RENE GERMAN"/>
        <s v="VARGAS ROSAS, WILBER ANTONIO"/>
        <s v="GARCIA TOVAR GUSTAVO"/>
        <s v="SAYAVERDE SAYAVERDE, ALEJANDRO FELIPE"/>
        <s v="TURPO CALAPUJA EUSEBIO"/>
        <s v="CHANG CUEVA, CESAR ANTONIO"/>
        <s v="BELTRAN CANCHAYA TEOFANES"/>
        <s v="ZARAVIA CANTEÑO, JOSE VICTOR"/>
        <s v="VEGA RAMOS, APOLONIO"/>
        <s v="CORNEJO SILVA,NESTOR JAVIER"/>
        <s v="CORTES  HUAMAN  VIDAL "/>
        <s v="FRANCO INGA   ELEODORO MARCELINO"/>
        <s v="RAMOS VILLANUEVA HERNAN"/>
        <s v="CORDOVA RODRIGUEZ WALTER"/>
        <s v="GONZALES GUARDALES EDUARDO BARTOLOME"/>
        <s v="DA COSTA FRANCISCO JOSE"/>
        <s v="GONZALES CAMA LUIS ALFREDO"/>
        <s v="DIOSES CASTILLO JOSE DE CALAZAN"/>
        <s v="PORTOCARRERO ARIRAMA JULIO CESAR"/>
        <s v="FERNANDEZ ROJAS JULIO"/>
        <s v="CAYCHO CERVANTES MAURO"/>
        <s v="ASIAN CASTILLO PEDRO ARNALDO"/>
        <s v="NEYRA LLERENA JAVIER ERNESTO"/>
        <s v="GAMBOA FLORES JUAN GUILLERMO"/>
        <s v="LAGOS SOLIS JUVENAL ISMAEL"/>
        <s v="MARAVI VASQUEZ NICOLAS WALTER"/>
        <s v="CHANAME FERNANDEZ CARLOS JUAN"/>
        <s v="EGUSQUIZA EGUSQUIZA CARLOS"/>
        <s v="VILCHEZ MURO HECTOR FERNANDO MARTIN"/>
        <s v="HUAMAN ASTORGA CARLOS FELIX"/>
        <s v="ARAUCO RAMIREZ LUIS ARMANDO"/>
        <s v="CALLATA VILCA AURELIO"/>
        <s v="HUAMANI MENENDEZ  LUIS ALBERTO"/>
        <s v="HUAMAN HUAMAN ANDRES"/>
        <s v="LUNA GUEVARA ANDRES AVELINO"/>
        <s v="ROSADO CABELLO EUGENIO"/>
        <s v="ZUÑIGA LEGUIA HIMERON"/>
        <s v="CAVA YOSHIMITO ARTURO ENRIQUE"/>
        <s v="PEZO PINEDO VICTOR"/>
        <s v="SANCHEZ OSORIO JOSE LUIS"/>
        <s v="CHAPOÑAN HERNADEZ CARLOS ALBERTO"/>
        <s v="MEZA MALLQUI POMPEYO ESQUIEL"/>
        <s v="LUY LEON JOSÉ TEOFILO"/>
        <s v="BARCO LLONTOP TITO ALEJANDRO"/>
        <s v="MADUEÑO RIOS CARLOS ALBERTO"/>
        <s v="SOTERO AGUIRRE CESAR RAUL"/>
        <s v="CORDOVA ARIAS RAFAEL "/>
        <s v="TENA JERY JUAN EDUARDO"/>
        <s v="MARTINEZ VARGAS JOSE ANTONIO"/>
        <s v="SILVA PRIETO NEIZER ROMEL"/>
        <s v="HUAMAN CORILLOCLLA MIGUEL ANGEL"/>
        <s v="PISANGO SINUIRI JORGE RAUL"/>
        <s v="VALENCIA ACOSTA JUAN CARLOS"/>
        <s v="SANTILLAN TAFUR GILMER ROBERTHSON"/>
        <s v="ANASTACIO LOLI, EBELIN JASMIN"/>
        <s v="PRIMO CIRIACO, HERNAN"/>
        <s v="ROSALES SIÑOS, CARLOS ENRIQUE"/>
        <s v="TAPULLIMA FACHO, MIGUEL ANGEL"/>
        <s v="TINEO RAMOS, JOHN CHARLES"/>
        <s v="ZORRILLA RIOFRIO, SHIRLEY LASTENIA"/>
        <s v="DURAND CARBAJAL, ROLANDO MAURICIO"/>
        <s v="LUNA PRADO, FERNANDO YOSELIN"/>
        <s v="MENDOZA ROMERO, ABEL"/>
        <s v="PASTOR FUENTES, ROBERT"/>
        <s v="RUIZ CACHIQUE, LUIS ALEJANDRO"/>
        <s v="SALCEDO ESCATE, LUIS ALDAYR"/>
        <s v="SONCCO QUISPE, DELFIN LEONARDO"/>
        <s v="TICLAVILCA RIOS, EFRAIN ANTONIO"/>
        <s v="CAMARENA REYES MOISES"/>
        <s v="CAURACURI SANTA MARIA JAIME ARTURO"/>
        <s v="IPURRE UCHARIMA REYNAN"/>
        <s v="SONCCO CCUITO TEOFILO SANTOS"/>
        <s v="MARUCO CAPCHA DANIEL EDUARDO"/>
        <s v="URIARTE TABACO RAUL"/>
        <s v="RAMOS SULCA WILFREDO YHONY"/>
        <s v="OCHANTE CHUMBE DONATO"/>
        <s v="POLO SILVA JUAN PABLO"/>
        <s v="ANGULO VIVAS HERIBERTO XAVIER "/>
        <s v="CENTENO YANCE ARTEMIO"/>
        <s v="CHAMORRO ESTACIO ARMANDO PERCY"/>
        <s v="CONCHA HUALLPACUSI BRAYAN ADRIAN"/>
        <s v="CUELA CALIZAYA JULIO CESAR"/>
        <s v="GONZALES LEDEZMA LILIANNY"/>
        <s v="HEREDIA UPARI SAMUEL "/>
        <s v="IZQUIERDO LEON VICTOR"/>
        <s v="LAURENO MEZA MAY MARCIAL"/>
        <s v="LUJAN ZARATE DITER YOBER"/>
        <s v="MACAHUACHI COQUINCHE CLIPSTER"/>
        <s v="MARIÑO CARRERA GUIDO DANTE"/>
        <s v="MENDOZA NAPA  WILVER ALFREDO "/>
        <s v="OBREGON BAILON JHORKAN RONI"/>
        <s v="OBREGON JIMENEZ ROGER JHORDY "/>
        <s v="PORRAS BUTILER DEIVID ANTHONY "/>
        <s v="RAMOS YANAC PABLO JOSEPH "/>
        <s v="RODRIGUEZ DELGADO GENESIS ROSALIA"/>
        <s v="SALINAS RAMIREZ ALEXANDER BRYAN "/>
        <s v="SANCHEZ ALIAGA GABRIELA RUTH"/>
        <s v="SANDOVAL VALENZUELA JASON ANDREE"/>
        <s v="SOTO CASTRO YEISON TEOFILO"/>
        <s v="TACURI CARREÑO JARLY FELIPE"/>
        <s v="TORRES INGA JHONATAN EDWIN"/>
        <s v="TRILLO MENDOZA RICHARD ALBERTO"/>
        <s v="URBANO FLORES JUAN CARLOS"/>
        <s v="VARGAS NAVARRO FARION JHONATAN"/>
        <s v="ARTEAGA CASIHUE SAMUEL ABELARDO"/>
        <s v="CALVAY HUAMAN PABLO"/>
        <s v="HUARACA TINEO WILLIAMS JESUS"/>
        <s v="MARIN QUIRICA ABEL"/>
        <s v="PALMA BALDEON CESAR RUBEN"/>
        <s v="PALMA BALDEON CRISTOBAL AURELIO"/>
        <s v="QUINO HUINCHO MICHAEL RONALD"/>
        <s v="RIOS CHANCAHUAÑA JULIO CESAR"/>
        <s v="CANCHAN AMARO JHOLVI JHONATAN"/>
        <s v="PASOS RIVERA CARLOS ALBERTO"/>
        <s v="TORRES TORRES MOISES WILLIAMS"/>
        <s v="PALOMARES ALAYO JOSE LUIS"/>
        <s v="LUJAN INFANTE YERRY WILLIAMS"/>
        <s v="VARGAS MACHUCA PALACIOS CESAR ANDRES"/>
        <s v="ARANDA TERAN DE LOS ANGELES GREACE KELLY"/>
        <s v="TIPISMANA VENTURA LUIS ENRIQUE"/>
        <s v="APARCANA PALOMINO JOSE JUAN"/>
        <s v="ESTEVEZ MILLAN DEYBIZ ALBERTO"/>
        <s v="MENACHO LUNA DEYVIS ROBERTO"/>
        <s v="BAUTISTA MUÑOS GUSMAN"/>
        <s v="MEDINA MALDONADO GABRIELA DEL PILAR"/>
        <s v="CARDENAS MORENO KATHERINE NELLY JENIFER"/>
        <s v="BALDEON CISNEROS SAMUEL"/>
        <s v="FLORES LORENZO SEBASTIAN ALEJANDRO"/>
        <s v="AGUILAR VARGAS MIGUEL ANGEL"/>
        <s v="RAMIREZ AVILA SEBASTIAN ALEJANDRO"/>
        <s v="INGA BRICEÑO PERCY JAVIER"/>
        <s v="APONTE ARCOS RICHARD CESAR"/>
        <s v="YALI ESPINOZA JORGE LUIS"/>
        <s v="OTINIANO PAREDES SANTOS"/>
        <s v="GUILLEN LUJAN JORGE LUIS"/>
        <s v="LUJAN INFANTE EDWIN"/>
        <s v="LUNA SANCHEZ KENYI JONEL"/>
        <s v="PILCO HUAMAN WILSON MODESTO"/>
        <s v="LOPEZ VILLANUEVA JEANPIERRE"/>
        <s v="MIRELLES LOBATON JUAN CARLOS"/>
        <s v="OCHOA ESPINOZA JHUL CESAR"/>
        <s v="BONIFAZ TRUJILLO CARLOS ALBERTO"/>
        <s v="VERA MORI JORGE"/>
        <s v="MELGAREJO OCHOA EDGAR JOEL"/>
        <s v="HUAMAN CASTILLO NELSON"/>
        <s v="PORRAS DIAZ WILFREDO"/>
        <s v="PILCO PARAVECINO WILSON ALEXIS"/>
        <s v="AGURTO QUISPE JUAN DE DIOS"/>
        <s v="NAVARRO CASTILLO MAYRA FRANCHESCA"/>
        <s v="OLIVEIRA PANDURO WILGUER ANTONIO"/>
        <s v="ESCALANTE ACOSTA BRYAN STEVIE"/>
        <s v="ESPINOZA PIEDRA MIGUEL ANGEL"/>
        <s v="SALAZAR SONCCO JOSE MANUEL"/>
        <s v="CARRASCO ROMAN ERASMO"/>
        <s v="TOCTO ARIRAMA JHONATAN GUSTAVO"/>
        <s v="GODOY LOPEZ EDER ROLANDO"/>
        <s v="CASTILLO HUARCAYA BRYAN CARLOS"/>
        <s v="AVALOS GABRIEL LEONARDO STIWAR"/>
        <s v="VISCARRA MACCA HENRRY LUIS"/>
        <s v="SILVA NAUPAY RUBEN BAILON"/>
        <s v="GERSON MACUYAMA HUAYUNGA"/>
        <s v="HECTOR CARLOS MENACHO ESTALLA"/>
        <s v="PAUCAR PILCO CESAR ALBERTO"/>
        <s v="ORNA HUAMAN CRISTIAN MARCO"/>
        <s v="MOLINA BENAVENTE MANUEL EMILIO"/>
        <s v="ACEVEDO MARTINEZ VIRGILIO"/>
        <s v="CACERES NAJARRO ANGEL NICOLAS"/>
        <s v="HUAMAN LEON FREDDY JUNIOR"/>
        <s v="HURTADO SALAZAR JOSE LUIS"/>
        <s v="AGURTO GARAY JOSE DAVID"/>
        <s v="QUISPE NOA ERICK"/>
        <s v="MIRANDA ARRUNATEGUI GEORGE BENNY"/>
        <s v="LUNA SANCHEZ FREI ANDRES"/>
        <s v="LARA CHUGNAS CARLO HERBERT"/>
        <s v="SALCEDO VASQUEZ LUIS ERNESTO"/>
        <s v="GUTIERREZ CUBA RODOLFO ERASMO"/>
        <s v="PILCO HUAMAN EMIGDIO"/>
        <s v="RUIZ MASGO NEILL GIANCARLOS"/>
        <s v="ESPINOZA FLORES PAUL STEVEN"/>
        <s v="QUIROGA LOPEZ FRANZ MARCO"/>
        <s v="FLORES SOLOGUREN CARLOS ALFREDO"/>
        <s v="NAZARIO CRUZ JUAN CARLOS"/>
        <s v="REYES BALTAZAR GERMIAS JOEL"/>
        <s v="MAYHUA PAYTAN JORGE YOVER"/>
        <s v="ORE VILLANUEVA EDWIN CRISTIAN"/>
        <s v="CASAS RAMOS JHYMI EMIGDIO"/>
        <s v="LEIVA ALEJANDRO HOMER VICTOR"/>
        <s v="CHERREZ CARBAJAL JUNIOR ALDAIR"/>
        <s v="PERALTA PANDURO FERNANDO"/>
        <s v="GARCIA YATACO RONALD STALIN"/>
        <s v="HUAYLLACCAHUA GUTIERREZ RUBEN"/>
        <s v="YATACO TASAYCO HUGO DAVID"/>
        <s v="PISCONTE HUAROTO MIGUEL ALBERTO"/>
        <s v="VALDIVIA CANGALAYA SANDRO EDGAR"/>
        <s v="CASADO ALVARES DAVID GUILLERMO"/>
        <s v="ARCE MARCOS GERARDO AGUSTO"/>
        <s v="ZAMBRANO GUERRA WILLIAM EDUARDO"/>
        <s v="ALLCCA VARGAS ADOLFO"/>
        <s v="AVALOS GABRIEL ALEX"/>
        <s v="HERMOSA MELENDEZ JAIR DAVID"/>
        <s v="PANTA LLAMOSA ANTHONY WILLIAMS"/>
        <s v="ALVAREZ ESPINOZA DANIEL OCTAVIO"/>
        <s v="CHACALIAZA MUCHAYPIÑA ALBERTO MARTIN"/>
        <s v="LEVANO CORRALES ULISES JONATHAN"/>
        <s v="YUMBATO GARIHUAZAIRO EDER"/>
        <s v="IZAGUIRRE SALCEDO GILBERTO TEOFILO"/>
        <s v="LULO CCENTE ROLY CIRO"/>
        <s v="MIJA ALCALDE GIANCARLO"/>
        <s v="TAKI  UKUNCHAM NOE"/>
        <s v="BRAZON AVILA MIGUEL ANGEL"/>
        <s v="LAURA ANCHAYHUA GINO JAMPIER"/>
        <s v="ARMAS INUMA JORGE LUIS"/>
        <s v="ESPINOZA DAVILA SAUL JOEL"/>
        <s v="TORRES FERNANDEZ GRIEGO ESAUL"/>
        <s v="VALERA SANDOVAL PIERRE"/>
        <s v="BARILLAS AGUIRRE MARCO ANTONIO"/>
        <s v="TUANAMA REATEGUI LUIS SERGIO JAIDEN"/>
        <s v="MORENO QUINTANILLA RAFAEL JEANPIERE"/>
        <s v="TASAYCO FLORES MARKO ROBERTO"/>
        <s v="ALVA MAGUIÑA ALEX"/>
        <s v="CHUJUTALLI VALENCIA ALDO"/>
        <s v="QUIROZ ALAYO CESAR MIGUEL"/>
        <s v="FELIPE VENTURA JOHAN WILSON ALEJANDRO"/>
        <s v="SIALER ZAMORA ROBERT JEREMY"/>
        <s v="ORTEGA GUTIERREZ JULIO MARTIN"/>
        <s v="SULLCA RAMOS JUAN MANUEL"/>
        <s v="CARRANZA GUTIERREZ DIEGO ANTONIO"/>
        <s v="ORTEGA ESCOBEDO JESUS DANIEL"/>
        <s v="GARCIA ESCALANTE FREDY IVAN"/>
        <s v="DIAZ ABREGU YELSON"/>
        <s v="BANDA ESPINOZA BRAYAN"/>
        <s v="ALGONER PALOMINO JOEL ALEXANDER"/>
        <s v="BELITO SOTO DAVID ADJAMIR"/>
        <s v="CASTRO ROMERO PERCY LUIS"/>
        <s v="CHUQUILLANQUI CASTAÑEDA JOSE ALEXANDER"/>
        <s v="LLICO PABLO MARCO JHONI"/>
        <s v="YATACO TASAYCO JONATHAN JOEL"/>
        <s v="ESTRADA SILVA JULIO MAXIMO"/>
        <s v="ROJAS RENGIFO JUAN MANUEL"/>
        <s v="VILCA MALDONADO CHRISTIAN DAVID"/>
        <s v="FACUNDO CATALAN LUIS ALBERTO"/>
        <s v="ZUÑIGA PURISACA PEDRO JOSE"/>
        <s v="FRISANCHO FERNANDEZ LUIS ALBERTO"/>
        <s v="CHAVEZ GUERRERO VICTOR JUNIOR"/>
        <s v="VARGAS PIZANGO LUIS"/>
        <s v="VILLANUEVA ROSADO CARLOS ALFREDO"/>
        <s v="CHAVEZ CASTILLEJO WILLIAM JUAN"/>
        <s v="VALVERDE PAREJA CLAUDIA GABRIELA"/>
        <s v="RAMIREZ JAIME MARTIN GUILLERMO"/>
        <s v="RAMOS ROJAS BERNARDO RAUL"/>
        <s v="SANTOS CHAVEZ HENRY QUICO"/>
        <s v="ANDRADE TENORIO JHERSON"/>
        <s v="GARCIA INUMA CHRISTIAN"/>
        <s v="ORTEGA POMA ALEX ALVARO"/>
        <s v="CURICHIMBA ARMAS SEGUNDO"/>
        <s v="GARCIA GARCIA JESUS MARTIN"/>
        <s v="MEZARES BENITES JOSUE"/>
        <s v="MORI LOPEZ JULIAN"/>
        <s v="GOMEZ CHUJUTALLY ADRIAN GILBERTO"/>
        <s v="ANASTACIO ANASTACIO WALTER RAUL"/>
        <s v="MENACHO LUNA DEYVIS ROBERT"/>
        <s v="AYCA ESTRADA MARCO ANTONIO"/>
        <s v="BARONI MARMOLEJO MARCOS ALBERTO"/>
        <s v="BELITO LAPA GREGORIO"/>
        <s v="CORDERO X RONALD GREGORIO"/>
        <s v="GONZALES YDROGO LONARDI"/>
        <s v="PAQUIYAURI TINEO WILBER"/>
        <s v="PEREZ ARTEAGA JIMMY ESTANGLEY"/>
        <s v="PEZO JIPA DICK JACKSON"/>
        <s v="ROBLES CRUZ JEREMI FERNANDO"/>
        <s v="MALDONADO GONZALES LUCAS"/>
        <s v="TAPIA HERNANDEZ JORGE ANTONIO"/>
        <s v="VASQUEZ MOSCOSO JANS JOSTIN"/>
        <s v="NUÑEZ CASTRO LUIS ALBERTO"/>
        <s v="RIVERA PUA LINDOMAR"/>
        <s v="VASQUEZ NUÑEZ JOE ANDERSON"/>
        <s v="ZELADA CULQUE ROLMER VITIN"/>
        <s v="ESCOBAR FLORES JHON PIERRE"/>
        <s v="VASQUEZ TANTACHUCO VICTOR JOSE MANUEL"/>
        <s v="BUSTINZA VENTURA ELEAZAR ESTONID"/>
        <s v="HERNANDEZ YAÑEZ JORGE LUIS"/>
        <s v="CANALES MOCHCCO JUAN CARLOS"/>
        <s v="ENCALADA NIÑO GABRIEL"/>
        <s v="CCOÑAS DIAZ WILLIAM WILFREDO"/>
        <s v="GODOY RAMOS HUGO PABLO"/>
        <s v="ROMAYNA DAHUA MIGUEL BAZAN"/>
        <s v="GARCIA AGURTO CELESTINO PEDRO"/>
        <s v="CHUQUIMANGO REYES DAVID"/>
        <s v="CORDOVA LOPEZ CARLOS HUMBERTO"/>
        <s v="CASTRO ROSADO JORGE DAVID" u="1"/>
        <s v="GONZALES CASTILLO ROBERTO" u="1"/>
        <s v="HUAMANI MÉNDEZ MIGUEL ANGEL" u="1"/>
        <s v="MAGUIÑA COLONIA MIJHAEL FRANK" u="1"/>
        <s v="PICON VASQUEZ ALBERTO" u="1"/>
        <s v="TOMASTO CORDOVA REYNALDO AUGUSTO" u="1"/>
        <s v="HUERTA LINO MIJAEL SAMUEL" u="1"/>
        <s v="MONTOYA RIOS JARED DANIEL " u="1"/>
        <s v="MORI GALLARDO LAURA PAMELA" u="1"/>
        <s v="VELASQUEZ ROMERO JOSE LUIS" u="1"/>
        <s v="CHAVEZ RODRIGUEZ LUIS NICOLAS" u="1"/>
        <s v="COLOMA OBREGON OMAR ARMANDO" u="1"/>
        <s v="CABANA ESPINOZA ARTURO BRAYAN" u="1"/>
        <s v="AGUIRRE PINO YORDI  " u="1"/>
        <s v="CHURAMPI SALAZAR BRAYAN HEREIBERTO" u="1"/>
        <s v="GALLARDO COLOMA VICENTE ARMANDO" u="1"/>
        <s v="TUMPI  ESPINOZA RONALD MAXIMO " u="1"/>
        <s v="DIAZ PORTAL NEVILSON" u="1"/>
        <s v="TORRES MELENDEZ MISAEL" u="1"/>
        <s v="ALANOCA CONORANA ABAD GILBERTO" u="1"/>
        <s v="RECHARTE TELLO FERNAND ARTURO" u="1"/>
        <s v="CHUMPITAZ RODRIGUEZ VICTOR" u="1"/>
        <s v="ROJAS HUAMAN LINDER ANTOÑO" u="1"/>
        <s v="CHAVARRIA DIESTRA FRANCISCO ALCIBAR" u="1"/>
        <s v="CRISTHIAN GONZALO YANQUI QUISPE" u="1"/>
        <s v="TICONA APAZA EDU ANTONY" u="1"/>
        <s v="DEL AGUILA MONTENEGRO EBER ERNESTO" u="1"/>
        <s v="PANDURO CASTILLO JESUS EDEERT" u="1"/>
        <s v="LEYDI TATIANA CRUZ MIÑANO" u="1"/>
        <s v="CALIXTO DA COSTA HUGO" u="1"/>
        <s v="CRUZ ALEJOS EDWIN JEANPIERRE" u="1"/>
        <s v="HOLGUIN URDAY ADRIAN ALEJANDRO" u="1"/>
        <s v="MARTINEZ VIZCARDO JURGER JESUS" u="1"/>
        <s v="PUMA HUARSAYA LUIS ANGEL" u="1"/>
        <s v="QUISPE TAYPE ROSEL ENZO" u="1"/>
        <s v="VELARDE MONTES KEVIN FISHER" u="1"/>
        <s v="VILCAHUAMAN PANIBRA YOJHAN BRANDO NAJHON" u="1"/>
        <s v="HUARAYA OCSA FERNANDO " u="1"/>
        <s v="DURAN TOVAR VLADIMIR " u="1"/>
        <s v="HUAYHUA CHAVEZ IRON ROSENDO " u="1"/>
        <s v="BORDA CUEVA CARLA XIOMARA " u="1"/>
        <s v="SULLCAHUAMAN CRISTHIAN ROMERO " u="1"/>
        <s v="TICONA MAMANI ROYER ROY" u="1"/>
        <s v="MOROCHO OCAS CRISTHIAN ALEXANDER" u="1"/>
        <s v="PALACIOS GARCIA GODOS, JUAN MANUEL" u="1"/>
        <s v="MENDOZA CELESTINO DANIEL ELVIS" u="1"/>
        <s v="BLAS VALDIVIA CHRISTIAN YOEL" u="1"/>
        <s v="HUAMANI CUTI EDWIN" u="1"/>
        <s v="ELESPURU CASTILLO HUGO RENATO" u="1"/>
        <s v="LAVADO LAZARO KATHERINE ALESSANDRA_x0009_" u="1"/>
        <s v="CHAVEZ CANCHAYA FRANK DIEGO_x0009_" u="1"/>
        <s v="MARTINEZ SALAS JHEYSON HERNAN ALEXIS" u="1"/>
        <s v="ROQUE VALLADARES GERARDO HILDEBRANDO" u="1"/>
        <s v="PINASCO VALERA RODRIGO" u="1"/>
        <s v="CULLAMPE POQUIOMA DARLEY" u="1"/>
        <s v="SALCEDO AYALA WILMER DANIEL" u="1"/>
        <s v="REATEGUI LOZANO JAEN KENEDY" u="1"/>
        <s v="PADILLA PEREZ ILDER IDELSON" u="1"/>
        <s v="CULLAMPE POQUIOMA MAYKOL" u="1"/>
        <s v="BAZAN EUGENIO ALDAIR EDMUNDO" u="1"/>
        <s v="OBREGON MENDOZA HUBERT CARLOS" u="1"/>
        <s v="GONZALES RUFINO WILDER EDY" u="1"/>
        <s v="PIÑIN PASAPERA EDWIN ALEXANDER" u="1"/>
        <s v="TRUJILLO PARDAVE FREDY BRADLY" u="1"/>
        <s v="ZEGARRA RIVAS MARTHA VICTORIA" u="1"/>
        <s v="CORAL BENITES DIEGO ALFREDO" u="1"/>
        <s v="REYES BALBIN ALEXIS POOL" u="1"/>
        <s v="PALOMINO ROJAS LUIS MIGUEL" u="1"/>
        <s v="DURAND CASTILLO HGO EDSGARDO" u="1"/>
        <s v="AUCCAPUMA LLALLI DAVID EMERSON" u="1"/>
        <s v="LAVADO AYALA EDGAR DAVID" u="1"/>
        <s v="PACHAS MORTOLA CARLOS ALBERTO" u="1"/>
        <s v="CHACCHI AGUILAR FREDY GABRIEL" u="1"/>
        <s v="MONTOYA JUSTO YOSHO GUSTAVO" u="1"/>
        <s v="ESPINOZA AYALA KENEDY KENYI" u="1"/>
        <s v="PEREZ HERNANDEZ MANNY MANUEL" u="1"/>
        <s v="MENDOZA RODRIGUEZ LUIS ALBERTO" u="1"/>
        <s v="QUEREVALU GRANDA FRANCO STEWAR" u="1"/>
        <s v="GONZALES OLIVARES MIGUEL ANGEL" u="1"/>
        <s v="VARGAS GUILLERMO" u="1"/>
        <s v="ASENCIO MUNIVE JULIO CESAR" u="1"/>
        <s v="ADANAQUE YOVERA DERWIN SILVER" u="1"/>
        <s v="LUIS RAFAEL CHENG PABLO" u="1"/>
        <s v="BIGOTT CORRO JEAN GABRIEL " u="1"/>
        <s v="MARTINEZ VIÑA DIEGO" u="1"/>
        <s v="CHAMPAC ARIAS RUBI ROSALVA" u="1"/>
        <s v="HUAMANI HUAYHUA LIZARDO GUILLERMO" u="1"/>
        <s v="GOMEZ VARAS JULIO CESAR " u="1"/>
        <s v="QUINTANA MISARI SERGIO HENDERSON" u="1"/>
        <s v="TESEN ATENCIA WALTER JUNIOR" u="1"/>
        <s v="VAZQUEZ RODRIGUEZ CESAR" u="1"/>
        <s v="MARROQUIN PINO JHOSSEL JUSTO " u="1"/>
        <s v="ACHO SHAPIAMA FRANCISCO " u="1"/>
        <s v="ZUÑIGA CHAVEZ JHON JERLY" u="1"/>
        <s v="RUIZ USSEGLIO JHOAN RULER " u="1"/>
        <s v="SIGUAS ASURZA GISELA " u="1"/>
        <s v="ARCE PORTUGAL JOHN CARLOS" u="1"/>
        <s v="YARLEQUE MONTERO GERONIMO" u="1"/>
        <s v="SALCEDO SANABRIA DANIEL VALENTIN" u="1"/>
        <s v="BARREDA CABANA VICTOR MANUEL" u="1"/>
        <s v="ALBINES VILLASECA SANTOS JAVIER" u="1"/>
        <s v="VIANNEY ROBINSON PEREZ AGUIRRE" u="1"/>
        <s v="TARQUI RAMIREZ GERMAN EDUARDO" u="1"/>
        <s v="ALAN JOEL ESPINOLA ARRELUCEA" u="1"/>
        <s v="Walter José Barboza Ocas" u="1"/>
        <s v="Raúl Ángel Mamani Puma" u="1"/>
        <s v="BELTRAN ROMERO CHRISTIAN GIANFRANCO_x0009_" u="1"/>
        <s v="HUANUCO TRUJILLO MICHAEL DAVID" u="1"/>
        <s v="NEYRA VELARDE ISMAEL FRANCISCO" u="1"/>
        <s v="CANNO PIMENTEL CARLOS ALBERTO" u="1"/>
        <s v="CULLAMPE POQUIOMA LEONARDO FABIO" u="1"/>
        <s v="DE LA CRUZ LEVIS JOSE LUIS" u="1"/>
        <s v="CALDERON TRINIDAD MIZRAIM VICTOR" u="1"/>
        <s v="QUISPE ESTEBAN WILBER" u="1"/>
        <s v="CAVERO VELASQUEZ JOSE SALVADOR" u="1"/>
        <s v="HERNANDEZ PEREZ XAVIER ANTONIO" u="1"/>
        <s v="ALBURQUEQUE GRANDA JACK PETTERSON" u="1"/>
        <s v="MEZA CHUMPITAZ JULIO JHONATAN" u="1"/>
        <s v="URTEAGA ROMERO OSWALDO MIGUEL" u="1"/>
        <s v="GARCIA LOPEZ JUAN FERNANDO" u="1"/>
        <s v="VASQUEZ BLAS CESAR RAUL" u="1"/>
        <s v="VERGARA TOCAS RONAL" u="1"/>
        <s v="CORDOVA UMBO ISAUL" u="1"/>
        <s v="SARE DE LA CRUZ ERDIN JOSELITO" u="1"/>
        <s v="MALMA RIVAS JOEL WILBER" u="1"/>
        <s v="CAMPOS ALVARADO JULIO" u="1"/>
        <s v="ACOSTA CORDOVA EDYE ERICK" u="1"/>
        <s v="DIAZ GONZALEZ GENARO MANUEL" u="1"/>
        <s v="SANTAMARIA ZELAYA JONATAN" u="1"/>
        <s v="RIVERA ASCUÑA CLAUDIO SAUL" u="1"/>
        <s v="JOSE ANTONIO HUARCAYA LANAZCA" u="1"/>
        <s v="RUBEN MARTIN LEANDRO MANDUJANO" u="1"/>
        <s v="VEGA OCHOA MIGUEL ANGEL" u="1"/>
        <s v="URQUIZA CASTRO CESAR AUGUSTO" u="1"/>
        <s v="VARGAS TAYPE SALOMON" u="1"/>
        <s v="CASTILLO DE LA CRUZ  MAYKOOLD JUNIOR" u="1"/>
        <s v="ESPINOZA CARRILLO LEONCIO" u="1"/>
        <s v="PISCO COMETIVOS WEINER" u="1"/>
        <s v="QUIROZ QUISPE JUAN " u="1"/>
        <s v="RIOS TORRES  LEONARDO ANDRES" u="1"/>
        <s v="RUIZ GARNICA JOSE MANUEL " u="1"/>
        <s v="PINEDO  MANAMA CARLOS " u="1"/>
        <s v="CUEVA VASQUEZ ALAN ROBERT " u="1"/>
        <s v="FERNANDEZ QUISPE LINCOLN AURELIO" u="1"/>
        <s v="SALAZAR REBOLLEDO LUIS ALBERTO" u="1"/>
        <s v="TITO BARRA FREDY MANUEL" u="1"/>
        <s v="BENIQUE DIAZ MIGUEL ANGEL " u="1"/>
        <s v="FLORIAN AVILA JUAN CARLOS" u="1"/>
        <s v="FREDY ROLAND BASAURI VILCA" u="1"/>
        <s v="IDELFONSO WALTER MAYHUA LOPEZ" u="1"/>
        <s v="SANCHEZ YAURI HECTOR FERNANDO" u="1"/>
        <s v="NINA NIETO VLADIMIR" u="1"/>
        <s v="CACEDA ASCATE EDINSON EDGARDO" u="1"/>
        <s v="COTAQUISPE BAEZ JULIO VIDAL" u="1"/>
        <s v="PEREZ SOLORZANO JUAN JONNY" u="1"/>
        <s v="ARROYO VALGA WILDER" u="1"/>
        <s v="GARRIDO GUTIERREZ LUIS EMILIO" u="1"/>
        <s v="AUZA LOPEZ RICARDO GIANMARCO" u="1"/>
        <s v="MILLAN VILLALVA KENNEDY" u="1"/>
        <s v="RODRIGUEZ MENDOZA MANUEL EDER" u="1"/>
        <s v="RUIZ AUZA FREDY" u="1"/>
        <s v="YALISCO PRUDENCIO DAVID ELISEO" u="1"/>
        <s v="DELGADO TORRES LUIS ARTURO" u="1"/>
        <s v="ALVAREZ HERRADA LUIS FELIPE" u="1"/>
        <s v="MACHUCA BARRANTES KINGER KENY" u="1"/>
        <s v="GARCIA BONIFAZ ALEX MANUEL" u="1"/>
        <s v="JUAN CARLOS GEMELL CARROLLO RIVERA" u="1"/>
        <s v="ADHEMIR COLUNGA HERRERA" u="1"/>
        <s v="ROBERT EDWIN MENDOZA LUDEÑA" u="1"/>
        <s v="RUIZ ELIAS PEDRO ALEXANDER" u="1"/>
        <s v="VASQUEZ  GODOS  DENNY " u="1"/>
        <s v="DURAND HUARCAYA MARIO AURELIO" u="1"/>
        <s v="GUZMÁN OSORIO JOSÉ ANTONIO" u="1"/>
        <s v="LAZARO CAHUAS RICHARD ALDO" u="1"/>
        <s v="CHUMPITAZ GUZMAN ANTONIO IVAN" u="1"/>
        <s v="PAREDES OLIVOS JOSE ANTONIO" u="1"/>
        <s v="SALCEDO GRIJALVA WILLER DANIEL" u="1"/>
        <s v="TAIPE QUISPE JORGE CESAR" u="1"/>
        <s v="CHINCHAY LEON LAURO AGAPITO" u="1"/>
        <s v="BLAS MENDEZ ALAN" u="1"/>
        <s v="SUAREZ MORENO FRANCISCO" u="1"/>
        <s v="PLASENCIA RENTERIA LUIS ALBERTO " u="1"/>
        <s v="YAMIL LLANCE GAMBOA" u="1"/>
        <s v="CHAUPIS CAMACHO DERIAN LUIGGUI" u="1"/>
        <s v="REYES DE LA CRUZ CHAYANNE GEORGINO" u="1"/>
        <s v="GAMARRA LUIS WILLIAM RONELD" u="1"/>
        <s v="RODRIGUEZ ARA JOSE LUIS " u="1"/>
        <s v="MARQUEZ CASTRO MIGUEL ANGEL " u="1"/>
        <s v="PASCUAL MENDOZA SMITH RICARDO" u="1"/>
        <s v="TOVAR ECHEVARRIA CARLOS AUGUSTO " u="1"/>
        <s v="SILVA ARANA JHONNY WILLIAM " u="1"/>
        <s v="FEBRES REVOLLAR JOSE ANTONIO" u="1"/>
        <s v="ROMANI GARCIA RAMON" u="1"/>
        <s v="RAMOS LAYME JAFET HENRY" u="1"/>
        <s v="TORRES INFANTE JHURDAN" u="1"/>
        <s v="GALVEZ MEZA KEVIN" u="1"/>
        <s v="ESPINOZA POSTIGO, DANIEL ARMANDO " u="1"/>
        <s v="LLANOS QUIÑONES ELVER" u="1"/>
        <s v="HORMAZA HERRERA ABRAHAM DANIEL" u="1"/>
        <s v="LEAL SULCA JOSE EDILBERTO" u="1"/>
        <s v="CELIS BOCANEGRA LUIS MIGUEL" u="1"/>
        <s v="HUANUCO TORRES JOSE ALBERTO" u="1"/>
        <s v="HUISACAYNA ARIAS MIGUEL ANGEL" u="1"/>
        <s v="CHINCHAYHUARA RAMOS BIVIANO" u="1"/>
        <s v="VALDIVIA ESPINOZA NEMECIO AUGENIO" u="1"/>
        <s v="BUSTAMANTE SANTIVAÑEZ JORGE LUIS" u="1"/>
        <s v="FERNANDEZ GONZALES JOSÉ" u="1"/>
        <s v="CUBA HUAMAN SANTIAGO" u="1"/>
        <s v="JIMENEZ DURAN APOLINIO " u="1"/>
        <s v="TORRES BRAVO JOSE ANTONIO" u="1"/>
        <s v="MARIN LORETO OSCAR EFRAIN" u="1"/>
        <s v="LLACCTAS QUISPE, GENARO" u="1"/>
        <s v="VERA RONCAL, ROBIN RENEE" u="1"/>
        <s v="ROMERO COTRINA, ROSEL" u="1"/>
        <s v="MALLIZA ROJAS LUIS CESAR" u="1"/>
        <s v="YNGUNZA CHIPANA DIEGO RICARDO" u="1"/>
        <s v="SANCHEZ VASQUEZ, EMERSON JOHAN" u="1"/>
        <s v="ALVARADO QUISPE, JEFFERSON EFRAIN" u="1"/>
        <s v=" HUANCA ALEJANDRO EVELYN" u="1"/>
        <s v="VEGA FALCON KARINA ASUNCIONA" u="1"/>
        <s v="TENAZOA SANDA, JUAN CARLOS" u="1"/>
        <s v="CUMPA SALINAS, JUAN CARLOS" u="1"/>
        <s v="VILLOSLADA CUBAS HECTOR" u="1"/>
        <s v="COTRINA ROBLES, EMILIO EDUARDO" u="1"/>
        <s v="LOPEZ  LOBO LUIS ALBERTO" u="1"/>
        <s v="MEDINA MENACHO, ELIAS GABRIEL" u="1"/>
        <s v="PADILLA DOMINGUEZ, CAYO" u="1"/>
        <s v="CHAVEZ ABARCA FABIAN" u="1"/>
        <s v="MINES PERICHE CRISTIAN JAVIER " u="1"/>
        <s v="HURTADO CORNEJO GIAN CARLOS" u="1"/>
        <s v="RIOS MAMANI ALEX SIMON " u="1"/>
        <s v="COBOS FLORES NECTALY " u="1"/>
        <s v="CRISTOBAL RIOS LIZBETH NATALIA " u="1"/>
        <s v="INUMA PINZANGO MANOLO" u="1"/>
        <s v="QUISPE ROJAS JOEL" u="1"/>
        <s v="GRANDEZ MOSQUERA YOLVI KOJAK " u="1"/>
        <s v="SOLANO BAZAN PAOLO CESAR" u="1"/>
        <s v="CHAVESTA GARCIA EZEQUIEL" u="1"/>
        <s v="VELASQUEZ CHERO KAROLA ISABEL " u="1"/>
        <s v="VALERIO HUICHO SABINO MOISSES" u="1"/>
        <s v="RIMACHI AHUANARI RUBER" u="1"/>
        <s v="ANCAJIMA IPANAQUE VICTOR RAUL" u="1"/>
        <s v="MEZA CONDORI WILIAN" u="1"/>
        <s v="TORRES AVENDAÑO CESAR " u="1"/>
        <s v="TAPIA FLORES LUIS ALBERTO" u="1"/>
        <s v="JAULIS PALACIOS KEVIN ALEX" u="1"/>
        <s v="DEL AGUILA LOPEZ EDWIN EDI " u="1"/>
        <s v="VILLANUEVA RODRIGUEZ VICTOR MANUEL" u="1"/>
        <s v="JAULIS PALACIOS VICTOR LUIS" u="1"/>
        <s v="RIOS ROJAS CLAUDIA SARA" u="1"/>
        <s v="ANTAY ALBORNOZ KENYI KEVIN" u="1"/>
        <s v="ATAO ALANYA EMILIO" u="1"/>
        <s v="VEGA QUIROZ JUVENAL WILIAN" u="1"/>
        <s v="VASQUEZ HUMAN EULER" u="1"/>
        <s v="TINCOPA BALA VICTOR PEDRO" u="1"/>
        <s v="VALLE CASTILLO JOSE JULIO" u="1"/>
        <s v="SALAZAR PRUDENCIO JAIME ALEJANDRO" u="1"/>
        <s v="PIUNDO DOMINGUEZ PEDRO" u="1"/>
        <s v="RODRIGUEZ MONDRAGON EDINSON ROLANDO" u="1"/>
        <s v="NIETO VARGAS LUIGI" u="1"/>
        <s v="CARHUALLANQUI CAMARENA DEDI" u="1"/>
        <s v="GUERRA CHAVEZ DIEGO ALMAGRO" u="1"/>
        <s v="CABEZUDO CALDERON, JERSON ALEXANDER" u="1"/>
        <s v="CAHUANA CONDE, RENZO ALVARO" u="1"/>
        <s v="GONZALES HUAMAN VICTOR JAVIER" u="1"/>
        <s v="GONZALES MARTINES DANIEL ANTHONY" u="1"/>
        <s v="GUTIÉRREZ YABAR, ADRIÁN JEANHAIRO" u="1"/>
        <s v="SAAVEDRA PONCE, ELVIS" u="1"/>
        <s v="SINCHE SOTO PERCY CRISTIAN" u="1"/>
        <s v="VARGAS LINARES JORGE JUNIOR" u="1"/>
        <s v="BARAHONA CAÑARI FRANCO ANTONIO" u="1"/>
        <s v="REYNOSO TAIPE MELANNIE KAROLINE" u="1"/>
        <s v="AQUIJE HEREDIA CÉSAR DANIEL ALONSO AQUIJE HEREDIA" u="1"/>
        <s v="LOJA PINEDO SILVIA ISABEL" u="1"/>
        <s v="MERLO QUIJANO, EDWIN" u="1"/>
        <s v="RIVEROS ANCCO LUIS ALBERTO" u="1"/>
        <s v="TINCO FERNANDEZ RICARDO" u="1"/>
        <s v="JURO PUMAHUALLCA CESAR AGUSTO" u="1"/>
        <s v="PONCE PARILLO JOSE LEONARDO" u="1"/>
        <s v="CALDERON CARDENAS, FREDDY ALBERTO" u="1"/>
        <s v="DIAZ CAMPOS ALVARO" u="1"/>
        <s v="LEVANO FERREYRA JOSE CARLOS" u="1"/>
        <s v="TICONA FIGUEROA, LUIS ALFREDO" u="1"/>
        <s v="AGUIRRE PABLO PAUL STEVEN" u="1"/>
        <s v="CARLOS CAYCHO WALTER JUNIOR" u="1"/>
        <s v="MESIAS SANCHEZ ANGEL ALBERTO" u="1"/>
        <s v="TAIPE BUENDIA GERARDO FELIX" u="1"/>
        <s v="ASUNCIÓN GONZALES VASQUEZ " u="1"/>
        <s v="GONZALES CASTAÑON CAROL LISBETH" u="1"/>
        <s v="MITMA HUAYTALLA RICHARD CRISTIAN" u="1"/>
        <s v="HUACCHA AUCCASI JUAN CARLOS " u="1"/>
        <s v="BRANCACHO DURAND ANDERSON" u="1"/>
        <s v="TRUJILLO CAMARA BRIAN ELIAS" u="1"/>
        <s v="DEXTRE CALIXTO SMITH ROMMEL " u="1"/>
        <s v="CRUZ AGUILAR VANESSA ALEXANDRA " u="1"/>
        <s v="MENDOZA LOZANO ELMER" u="1"/>
        <s v="QUINTANA ALARCON DARLY MARTI" u="1"/>
        <s v="ZUMAETA GONZALES CARLOS WILFREDO" u="1"/>
        <s v="CAPILLO COLANA MILAGROS LUJAN " u="1"/>
        <s v="QUISPE ZARZO JHON RONEL " u="1"/>
        <s v="CRUZ AGUILAR JUAN JAVIER " u="1"/>
        <s v="CALLE DEXTRE RONALDO DAVID  " u="1"/>
        <s v="FERNANDEZ BERECHE ELMER " u="1"/>
        <s v="ESPINOZA CORDOVA EDWARD ANTONIO " u="1"/>
        <s v="CHAVEZ OROPEZA YEHLIN YANINA " u="1"/>
        <s v="CULLAS VALLE JOSE ALBERTO " u="1"/>
        <s v="FLORES JULCA TAYLOR CESAR" u="1"/>
        <s v="JAVA ASPAJO JUAN ABEL " u="1"/>
        <s v="CULLAS VALLE BRANDON ALEJANDRO " u="1"/>
        <s v="REQUE CRUZ RICHARD RENE" u="1"/>
        <s v="CRUZ PASTOR PABLO ANTONIO" u="1"/>
        <s v="RUMICHE RUIZ FELIX ABRAHAM" u="1"/>
        <s v="CERDAN DIAZ RODRIGO " u="1"/>
        <s v="VARGAS YUPANQUI DAVID EDGAR " u="1"/>
        <s v="FARRO CASTILLO ANABEL JUDITH" u="1"/>
        <s v="MOREYRA SALAZAR LUIS ALBERTO " u="1"/>
        <s v="CANCINES SOLIS JORGE GUMERCINDO " u="1"/>
        <s v="FABIAN QUISPE JUVER ALI " u="1"/>
        <s v="ACEDO RODRIGUEZ ELVIS" u="1"/>
        <s v="PALZA MANDAMIENTO BRYAN ANDREE" u="1"/>
        <s v="VIVANCO YNCIO YRWIN JAIME " u="1"/>
        <s v="ESPINOZA TOLENTINO CRISPIN EUSEBIO" u="1"/>
        <s v="HUACCHA LEON JUAN CARLOS" u="1"/>
        <s v="CRUZ PASTOR YEM MILTON" u="1"/>
        <s v="CUNYARACHE CHUQUIRIMA MARCIAL" u="1"/>
        <s v="MIO LOPEZ JHONNY WILLIAM " u="1"/>
        <s v="RETAMOZO MIRANDA ROMAN " u="1"/>
        <s v="JAIME RETAMOZO JONI RAFAEL " u="1"/>
        <s v="ABANTO GALLARDO ELMER" u="1"/>
        <s v="VALDIVIA RAMIREZ LUIS ALBERTO " u="1"/>
        <s v="JULCA ALVARADO JAIME MICHEL " u="1"/>
        <s v="IGLESIAS DELGADO LUIS ALEXANDER" u="1"/>
        <s v="SAICO HILARES JORGE LUIS" u="1"/>
        <s v="RUESTA SEMINARIO LUIS ANGEL " u="1"/>
        <s v="IRAOLA OLIVER ERNESTO MARTIN " u="1"/>
        <s v="CRUZ PASTOR JUAN JAVIER " u="1"/>
        <s v="LEON LESCANO LUIS ENRIQUE " u="1"/>
        <s v="GIRALDO NEYRA JUAN CARLOS " u="1"/>
        <s v="CARRILLO VASQUEZ JOSE RAUL " u="1"/>
        <s v="PASTOR ASENCIO CONSTANTINO " u="1"/>
        <s v="ESPINOZA CARHUACUSMA WENDY DIANA" u="1"/>
        <s v="KENIA VARA ESTRADA" u="1"/>
        <s v="GAMEZ HUANCARI RENZO JONATHAN " u="1"/>
        <s v="ROJAS CHUMBE ALEX JHON" u="1"/>
        <s v="BAÑEZ ARCE LORGIO PABLO " u="1"/>
        <s v="TERREROS QUINTO FRANCISCO LUCIO " u="1"/>
        <s v="SUPPO ARGUELLES GABRIEL MARCOS" u="1"/>
        <s v="SALCEDO VARGAS NEYSER REYS " u="1"/>
        <s v="ORTIZ ARCOS MILTON MAURY" u="1"/>
        <s v="MARTINEZ LOPEZ RAUL GENARO" u="1"/>
        <s v="PEÑAFIEL ESCAJADILLO JORGE" u="1"/>
        <s v="MATTA CUSIPUMA RAFAEL OCTAVIO" u="1"/>
        <s v="MARENGO BERAÚN JACK JESÚS " u="1"/>
        <s v="MIGUEL ANGEL FLORES HILARIO" u="1"/>
        <s v="JOSIP JULIUS ESCUADRA PECHE" u="1"/>
        <s v="Rivera Munguia Carlos Alberto " u="1"/>
        <s v="Alarcon Huaman Julio Jose" u="1"/>
        <s v="Callo Leon Percy Ivan " u="1"/>
        <s v="Conde Oliva Jose Carlos " u="1"/>
        <s v="Fernandez Naveda Evelyn Patricia" u="1"/>
        <s v="Gomez Quesquen, Yuri Kenny" u="1"/>
        <s v="Paredes Cuzcano Ricardo Ivan" u="1"/>
        <s v="Cordova Hidalgo Arturo Javier " u="1"/>
        <s v="Abregu Hurtado Ronald Urciso" u="1"/>
        <s v="GARRIDO MENA CRISTHIAN JAIR" u="1"/>
        <s v="QUIÑONES VELASQUEZ GLORIA MARIA " u="1"/>
        <s v="CONDE ALANIA EDUARDO STEVEN" u="1"/>
        <s v="CARVO MICHUY ROBERTO MARTIN" u="1"/>
        <s v="SOTO CONTRERAS ISRAEL BRANDON" u="1"/>
        <s v="PISCO PIÑA ENOC DAN" u="1"/>
        <s v="JHAK LEONARDO ALCARRAZ GUTIERREZ" u="1"/>
        <s v="MUÑOZ ALARCON ROMARIO " u="1"/>
        <s v="RUEDA QUINTERO IVAN DARIO" u="1"/>
        <s v="JULCAHUANGA GARCIA OMAR" u="1"/>
        <s v="HIDALGO BARRERA ALEX MAURILIO" u="1"/>
        <s v="GONZALES CAMPOS KEVIN ROBINSON" u="1"/>
        <s v="GIRON PERICHE EDWIN JOSUE" u="1"/>
        <s v="CASTILLO TORRES JAIRO" u="1"/>
        <s v="CUADROS MACUCACHI GIUSSEPPE EDGAR" u="1"/>
        <s v="VILLEGAS DELGADO WEIMER MANUEL " u="1"/>
        <s v="MAQUE QUISPE THALIA LUZ CLARITA " u="1"/>
        <s v="MANCO PEREZ BERNARDINO LUIS ALBERTO " u="1"/>
        <s v="AYACHE OTOYA WILAN JHONATAN " u="1"/>
        <s v="MONARES BERROCAL RONY" u="1"/>
        <s v="VALENZUELA CONDORI EDUARDO" u="1"/>
        <s v="HUACCACHI LUZA KEVIN ISMAEL" u="1"/>
        <s v="MENDIVIL FLORES RONALD CARLOS" u="1"/>
        <s v="TORRES ABRIL JHOSSER MANUEL" u="1"/>
        <s v="VILLALTA AYALA DIEGO JASMANY" u="1"/>
        <s v=" BULEJE ANCCO WASHINGTON" u="1"/>
        <s v="CARLOS DANCOURT SALAS  " u="1"/>
        <s v="LOPEZ SOLANO GINO FERNANDO" u="1"/>
        <s v="HUAMAN VEGA ROGER ALEJANDRO" u="1"/>
        <s v="VERA MELENDEZ LEANDRO ENZO" u="1"/>
        <s v="VALLEJOS TAPIA  HILDER " u="1"/>
        <s v="ORCCON VERGARA JOSE MANUEL" u="1"/>
        <s v="SOLANO OLIVARES JOSE ANTHONY" u="1"/>
        <s v="CASTILLO SALAS ERICK ALEXIS" u="1"/>
        <s v="SANTILLAN MALLQUI  ISAIAS " u="1"/>
        <s v="SOLANO IPANAQUE LUIS MIGUEL" u="1"/>
        <s v="CISNEROS SANTILLAN JESUS EDWIN" u="1"/>
        <s v="CERRON JIMENEZ LESLY XUXA" u="1"/>
        <s v="TERRAZAS CONTRERAS  DIMAS " u="1"/>
        <s v="MEZA CARRIZO YHORCH DANIEL" u="1"/>
        <s v="HUAMAN PEÑAHERRERA VICTOR ANTONIO" u="1"/>
        <s v="CARNERO RODRIGUEZ JOSHUA MIGUEL ANGEL " u="1"/>
        <s v="LOPEZ VILLANUEVA ALEJANDRO  JAVIER " u="1"/>
        <s v="AGUIRRE AGUILAR JEAN PAUL " u="1"/>
        <s v="HORNA MIRANDA RICHART " u="1"/>
        <s v="JESUS MEZA  SHUÑA " u="1"/>
        <s v="CARLOS ALBERTO GONZALES CAHUAZA" u="1"/>
        <s v="URRUTIA BERRU DELMER " u="1"/>
        <s v="MEZA SANTOS JOEL ALEXANDER " u="1"/>
        <s v="NUÑEZ CASTILLO POLINARIO " u="1"/>
        <s v="CORTEZ VARELA LUIS ENRIQUE" u="1"/>
        <s v="YGNACIO LEYVA EDUARDO JOSIMAR " u="1"/>
        <s v="ALATRISTA CHAVEZ ALVARO MAURICIO " u="1"/>
        <s v="MONAREZ BERROCAL OBER PERCY " u="1"/>
        <s v="FUSTER MEZA LIVAN MAOMEHEL" u="1"/>
        <s v="VENTURA PARRA LEONARDO" u="1"/>
        <s v="SOLANO HUACHACA DAYAN JHELEN" u="1"/>
        <s v="CAPUANO ARANDA ROY BRUNO" u="1"/>
        <s v="PUERTA CASTAÑEDA JEFF MICHAEL" u="1"/>
        <s v="JARA CUTIPA CAROL" u="1"/>
        <s v="RAMIREZ VASQUEZ CESAR ALBERTO" u="1"/>
        <s v="PACOMPIA TAQUIRE PAOLO ELVIN" u="1"/>
        <s v="CHAVEZ PRIETO FREDY JHONATAN" u="1"/>
        <s v="HUANCAS  KLEBER CHINCHAY" u="1"/>
        <s v="MORALES PERICHE ALEXANDER" u="1"/>
        <s v="GODOY SOTO LEONCIO" u="1"/>
        <s v="FLOREZ ROJAS JOSE DIEGO" u="1"/>
        <s v="ARIAS ARIAS JERSON GONZALO" u="1"/>
        <s v="PEREZ AÑAZCO CLENER" u="1"/>
        <s v="FLORES MENDOZA CESAR AUGUSTO" u="1"/>
        <s v="QUIQUIA PURIS JAIME ROBERTO" u="1"/>
        <s v="SANCHEZ APONTE JOEL JHONATAN" u="1"/>
        <s v="CHUMPITAZI MANTARI DIAEL" u="1"/>
        <s v="RIOS VASQUEZ ROLANDO JUNIOR´S BENTURA" u="1"/>
        <s v="IPANAQUE SOLANO EDGAR IVAN" u="1"/>
        <s v="MEDRANO PORTILLO ENRIQUE VLADIMIR" u="1"/>
        <s v="BULEJE ANCCO ALEJANDRO" u="1"/>
        <s v="MIRANDA GUERRA ALEJANDRO ERNESTO" u="1"/>
        <s v="CUSI SURCO FERNANDO" u="1"/>
        <s v="MIRANDA GUERRA FREDDY CALIXTO" u="1"/>
        <s v="FLOREZ ROJAS JOSE GONZALO" u="1"/>
        <s v="SAAVEDRA MARIANO PEDRO MIGUEL" u="1"/>
        <s v="MORE INGA JULIO" u="1"/>
        <s v="DE LA CRUZ ALANYA EVA ROSARIO" u="1"/>
        <s v="PIZARRO NOA HERMO INOCENCIO" u="1"/>
        <s v="BERROSPI ZARATE ANTONIO CAMILO" u="1"/>
        <s v="QUISPE ALMEIDA JOHN " u="1"/>
        <s v="MORAN RIVAS RONALD MIGUEL " u="1"/>
        <s v="MORALES RAMOS ELMER OMAR " u="1"/>
        <s v="NUNTA YUMBATO  MIGUEL " u="1"/>
        <s v="SURCO HUARI  EVER " u="1"/>
        <s v="VARGAS RAMIREZ JOSE PEDRO" u="1"/>
        <s v="CHARCA QUISPE  JESUS " u="1"/>
        <s v="LLAUCE SANTOS JOSE JOEL" u="1"/>
        <s v="HUARHUACHI  JHONATAN MENDOZA" u="1"/>
        <s v="ADANAQUE FERIA CARLOS MARTIN" u="1"/>
        <s v="NUÑEZ HUAMAN JOSE LUIS" u="1"/>
        <s v="CANDAMO HURTADO MATEO FREDY" u="1"/>
        <s v="GARCIA URQUIA OSCAR RANSES" u="1"/>
        <s v="HUAMAN YARANGA  YURI " u="1"/>
        <s v="SATALAYA  LARRY TUANAMA" u="1"/>
        <s v="SAUCEDO DIAZ JOSE JEINER" u="1"/>
        <s v="PALPA MOYNA VICTOR MANUEL" u="1"/>
        <s v="PAUCAR QUISPE  VALERIO " u="1"/>
        <s v="GRANADOS ODAR JOSE ANTONIO" u="1"/>
        <s v="CORREA FLORES  CLEYDER " u="1"/>
        <s v="CIELO LOPEZ JULIO CESAR" u="1"/>
        <s v="AYALA MARTINEZ ANGEL ROSENDO" u="1"/>
        <s v="LALUPU SOLANO JOSE ADERLI" u="1"/>
        <s v="TORRES ABRIL JOSE EDUAR" u="1"/>
        <s v="CONTRERAS TANTARICO  MODESTO " u="1"/>
        <s v="UBIERNA  JONATHAN RAMIREZ" u="1"/>
        <s v="MORALES  ANANIAS ARANDA" u="1"/>
        <s v="VEGA BENDEZU MARCEL DENIS" u="1"/>
        <s v="GARCIA URQUIA  RONALD " u="1"/>
        <s v="MOLINA SANTANILLAN DANTE JOEL" u="1"/>
        <s v="NUÑEZ HUAMAN CIRILO " u="1"/>
        <s v="CESAR  PEÑA AUQUI " u="1"/>
        <s v="CORCINO SALCEDO ALEX " u="1"/>
        <s v="SANCHEZ HUANCACURI DAVID " u="1"/>
        <s v="SANGAMA TINA WAKERMAN JAY " u="1"/>
        <s v="CASTILLO PONCE ARQUIMEDES ABRAHAN " u="1"/>
        <s v="ALEX EMILIO CABRERA ALVARADO" u="1"/>
        <s v="HENRY ANTHONY PANTA YOVERA" u="1"/>
        <s v="EDDI DANIEL CASTILLA CHUMPITAZI" u="1"/>
        <s v="JOSE LUIS NOA LOZANO" u="1"/>
        <s v="CHAVEZ CORMAN SAMUEL CORNELIO " u="1"/>
        <s v="PIZARRO NOA JUAN MANUEL " u="1"/>
        <s v="CASTILLO PRUDENCIO CESAR AUGUSTO " u="1"/>
        <s v="MENDOZA JARA DENIS IVAN " u="1"/>
        <s v="PAIMA ESCOBAR TAYLOR" u="1"/>
        <s v="CESINARIO QUEZADA FRANK JHOMEINY " u="1"/>
        <s v="BALLADARES IMAN JOSUE ELI " u="1"/>
        <s v="ARROYO RAMOS JULIO CESAR" u="1"/>
        <s v="CCOPA CHIPANA ANGEL NICOLAS " u="1"/>
        <s v="CARLOS MANRIQUE NEYLER ELMIO " u="1"/>
        <s v="BECERRA HUEZA CHRISTIAN SANTOS " u="1"/>
        <s v="CABRERA GUILLEN NELSON JHON " u="1"/>
        <s v="CAMPOS TACUSI EVER LUIS " u="1"/>
        <s v="SOLANO LULIMACHE LUIS YONPIER " u="1"/>
        <s v="VALLADARES DIAZ  YOFRE YHON " u="1"/>
        <s v="CALDERON GUANILO  OSCAR OCTAVIO ALEJANDRO " u="1"/>
        <s v="ESCALANTE RUIZ DIEGO HILDERBRAN" u="1"/>
        <s v="NOLASCO GONZALES MARCO ANTONIO" u="1"/>
        <s v="SANTILLAN MALLQUI ROBERTO CARLOS" u="1"/>
        <s v="FUSTER MALPARTIDA CELESTINO CRISTIAN" u="1"/>
        <s v="LAURENTE SANCHEZ ORLANDO" u="1"/>
        <s v="OSTOS CHIRINOS JULIO CESAR" u="1"/>
        <s v="OLIVARES SOLANO JOSE DANNY" u="1"/>
        <s v="CORDOVA SAÑEZ DAVID MOISES" u="1"/>
        <s v="CARBAJAL VASQUEZ EDWIN WILLIAMS" u="1"/>
        <s v="BARRETO VARGAS JOSE LUIS" u="1"/>
        <s v="MUNIVE URRUTIA PAUL MICHEL" u="1"/>
        <s v="SALAZAR ESCOBEDO EDVIN IVAN" u="1"/>
        <s v="FERNANDEZ ZEVALLOS OSCAR" u="1"/>
        <s v="DELGADO RODRIGUEZ PEDRO ALDO" u="1"/>
        <s v="PACAYA VARGAS AROLD BRIAN" u="1"/>
        <s v="PERALTA LANDA VICTOR MARCO" u="1"/>
        <s v="CORTEZ SANGAMA ERICK ELIAS" u="1"/>
        <s v="PARIONA CHUQUIN ANTHONY JHON" u="1"/>
        <s v="RAMIREZ SOPLIN WILQUI JOSE" u="1"/>
        <s v="GOMES DE BARROS FILIPE PEDRO" u="1"/>
        <s v="ALANIA CARDENAS ANA CECILIA" u="1"/>
        <s v="GARRIDO LOZADA HENRY MANUEL" u="1"/>
        <s v="SALAZAR VILLAFANA DANNY RUBEN" u="1"/>
        <s v="TAPIA VERGARAY NOE ANGEL" u="1"/>
        <s v="CERRON IZARRA ROLANDO" u="1"/>
        <s v="DELGADO BELIZARIO FRANKLIN MIGUEL" u="1"/>
        <s v="DIESTRA BOLAÑOS CARLOS ARTURO" u="1"/>
        <s v="ALARCON GAYOSO ELAR" u="1"/>
        <s v="PARIONA AMANCCAY SANTOS" u="1"/>
        <s v="LOPEZ ANDRES LEONARDO" u="1"/>
        <s v="VILELA HUAMAN RICHARD EDUARDO" u="1"/>
        <s v="ROJAS IBARRA ERNESTO" u="1"/>
        <s v="AMOROS LAURA LUIS ALBERTO" u="1"/>
        <s v="FLORES QUISPE TADEO" u="1"/>
        <s v="ALEJO LOZANO SIXTO RICARDO" u="1"/>
        <s v="JAUREGUI HUARANGA DANIEL ANGELO" u="1"/>
        <s v="LIZAMA CODARLUPO MARIO ALBERTO" u="1"/>
        <s v="CALIXTO MORENO JAIME" u="1"/>
        <s v="BLANCO ARIAS LUIS AUGUSTO" u="1"/>
        <s v="BOCANEGRA CHAQUILA CLAUDIO" u="1"/>
        <s v="ARIAS JANAMPA JANO ROGERS" u="1"/>
        <s v="LOPEZ PABLO  LEONARDO " u="1"/>
        <s v="VASQUEZ GODOS KEVIN ROLANDO " u="1"/>
        <s v="OCHANTE DIAZ JERRY JOSEPH" u="1"/>
        <s v="LAURENTE FLORES JUAN PEDRO" u="1"/>
        <s v="DIAZ ARANDA CARLOS " u="1"/>
        <s v="ROQUE SOLORZANO LUZMILA ROSA " u="1"/>
        <s v="LOZANO VILCA JUNIOR ALBERTO" u="1"/>
        <s v="PEREZ REYNOSO VICTOR ALEXANDER" u="1"/>
        <s v="ARANGO ROCA HECTOR JUAN" u="1"/>
        <s v="CHUQUIPIONDO PUSCAN JUAN DELA" u="1"/>
        <s v="POMIANO CCARHUARUPAY JUAN CARLOS" u="1"/>
        <s v="GALINDO PALOMINO WILFREDO MARTIN" u="1"/>
        <s v="PANTOJA AVALOS EDGARD ENRIQUE" u="1"/>
        <s v="LAZO RAMIREZ ABENIO ABEL" u="1"/>
        <s v="ACCILIO TUCTO  NELFER " u="1"/>
        <s v="BONIFACIO CIRIACO JUAN RIGOBERTO" u="1"/>
        <s v="OLIVERA TERRONEZ  JORGE " u="1"/>
        <s v="SALAZAR LEIVA FRANKLIN " u="1"/>
        <s v="HUAMAN  JAVIER QUISPE" u="1"/>
        <s v="CARRASCO CLAVO VICTOR HUGO" u="1"/>
        <s v="SANGAMA TORRES  GILMAR " u="1"/>
        <s v="NINACONDOR DOMINGUEZ JULIO CESAR" u="1"/>
        <s v="CERVANTES CASTRO BILLY JHON" u="1"/>
        <s v="RENTERIA AYALA FRANK " u="1"/>
        <s v="VARGAS ALVA   JUAN " u="1"/>
        <s v="VASQUEZ GODOS YORKY SMITH" u="1"/>
        <s v="LAZO CUEVA  CRISTHIAN " u="1"/>
        <s v="VILCA VILLACORTA  LINDER " u="1"/>
        <s v="ROJAS QUISPE JUAN" u="1"/>
        <s v="RAMIREZ HUAMANI DAYBI VICTOR " u="1"/>
        <s v="AGUILERA SULLON DEYNER ALBERTO " u="1"/>
        <s v="LLANOS LOPEZ MARINO " u="1"/>
        <s v="BAUTISTA AZAÑERO MARTIN GONZALO " u="1"/>
        <s v="LOPEZ CASTRO MARCO ANTONIO " u="1"/>
        <s v="CAMPOS PALOMINO CIMIL " u="1"/>
        <s v="SALVATIERRA FLORES JORGE LUIS " u="1"/>
        <s v="ARGION GUEVARA CHAVEZ" u="1"/>
        <s v="GENARO ANTONIO ASIS MUÑOZ" u="1"/>
        <s v="GERARDO ZAMORA ENCISO" u="1"/>
        <s v="RAUL JANAMPA LAVAN" u="1"/>
        <s v="TAPIA VASQUEZ JUAN JOSE " u="1"/>
        <s v="ALVAREZ  GUEVARA CARLOS ANGEL " u="1"/>
        <s v="HERRERA CHOLAN RUBEN DARIO" u="1"/>
        <s v="CASTILLA CHUMPITAZ ABNER LUIS " u="1"/>
        <s v="MEJIA AFAN ELIAS " u="1"/>
        <s v="PASTOR MORALES  MIGUEL ANGEL " u="1"/>
        <s v="VEGA DURAN GELMON WINDDHER " u="1"/>
        <s v="VELOZ CARDENAS ANTONIO MARTIN " u="1"/>
        <s v="URIOL HIDALGO CARLOS ALBERTO " u="1"/>
        <s v="VASQUEZ NUÑEZ MARIO DANIEL " u="1"/>
        <s v="MERA REQUEJO JOSE ROLANDO " u="1"/>
        <s v="QUISPE MENDOZA FRANK OSCAR " u="1"/>
        <s v="TAPULLIMA TUANAMA ROAL " u="1"/>
        <s v="YAURI YADIN  UTANI RIOS " u="1"/>
        <s v="HERNANDEZ TACULI LUIS RAFAEL" u="1"/>
        <s v="VIERA ROSALES OSCAR WILLIAM" u="1"/>
        <s v="AYALA EUGENIO JUAN PABLO" u="1"/>
        <s v="VALDERRAMA GEROVA JHON STEVE" u="1"/>
        <s v="PAUCCA HUARCAYA EDGAR ALFONSO" u="1"/>
        <s v="RIQUELME DONAIRES RAFAEL" u="1"/>
        <s v="CACERES CABANILLAS ALINDOR HUMBERTO" u="1"/>
        <s v="JAUREGUI HUARANGA MARCO ANTONIO" u="1"/>
        <s v="MALLQUI OBREGON MAXIMO MARTIN" u="1"/>
        <s v="DUEÑAS RIVERA FERNANDO ENRIQUE" u="1"/>
        <s v="YANCE TACSI JULIO CESAR" u="1"/>
        <s v="OSCCO BLAS EDUARDO SAMUEL" u="1"/>
        <s v="BARTUREN LEON ALBERTO" u="1"/>
        <s v="LEONARDO LOPEZ ANDRES" u="1"/>
        <s v="MENDOZA GIRON MILTON CESAR" u="1"/>
        <s v="DE CARVALHO MOURAMA RUI MANUEL" u="1"/>
        <s v="DIOGO FERREIRA PAULO CESAR" u="1"/>
        <s v="ÑACCHA ONOFRE AGUSTIN GERMAN" u="1"/>
        <s v="CUADROS ESPINOZA EDGAR PABLO" u="1"/>
        <s v="BERNA MONTOYA JUAN" u="1"/>
        <s v="SILVA ORNELAS DUARTE DA" u="1"/>
        <s v="FIGUEROA CONSTANTINO ULISES" u="1"/>
        <s v="FLORES TORRES EDSON" u="1"/>
        <s v="CARLOS MANRIQUE EDILBERTO NEMESIO" u="1"/>
        <s v="VENTOCILLA HERBOZO PERCY" u="1"/>
        <s v="REVOLLAR ORE MOISES" u="1"/>
        <s v="CAYLLAHUA VILCA JULIO CESAR" u="1"/>
        <s v="VASQUEZ MAFALDO LUIS ENRIQUE" u="1"/>
        <s v="AGUILERA SULLON  HERBERTS" u="1"/>
        <s v="QUISPE  QUISPE LUDGARDO " u="1"/>
        <s v="ALVARADO VILLANERA VICTOR GERONIMO" u="1"/>
        <s v="CAPUANO REYNOSO PERCY ENRIQUE" u="1"/>
        <s v="QUISPE SOLIS MACEDONIO ALFONSO" u="1"/>
        <s v="SAAVEDRA  LUIS GUTIERREZ" u="1"/>
        <s v="COLLAZOS RUBINA  FREDY " u="1"/>
        <s v="CATANGA RUIZ ARTEMIO " u="1"/>
        <s v="AUGUSTO  HIPOLITO ROBLES CORDERO" u="1"/>
        <s v="CASTILLO TORRES MANUEL " u="1"/>
        <s v="NAJAR TANANTA ELISEO " u="1"/>
        <s v="HUIÑAPI MOZOMBITE ALFREDO " u="1"/>
        <s v="AGUILAR HUEZA ELMER EDGAR" u="1"/>
        <s v="ZUZUNAGA NAPAN JOSE ANTONIO" u="1"/>
        <s v="BUSTAMANTE PEREZ SEGUNDO MANUEL " u="1"/>
        <s v="MEJIA ATUNCA ARMANDO " u="1"/>
        <s v="HUARCAYA CANGRE ROMEL GUILLERMO" u="1"/>
        <s v="CURTO PEZO LLULER" u="1"/>
        <s v="MARABOTTO  DANIEL DIAZ" u="1"/>
        <s v="CORDOVA RAMOS SANTOS" u="1"/>
        <s v="TEJEDA NAVARRETE ABILIO CIRILO" u="1"/>
        <s v="ARELLANO RAMIREZ JORGE ARQUIMIEDES " u="1"/>
        <s v="CAJAMARCA NUÑEZ  FIDEL " u="1"/>
        <s v="RIOFRIO OLIVERA MIGUEL ANGEL" u="1"/>
        <s v="BUSTAMANTE NAVARRO JUAN RAFAEL " u="1"/>
        <s v="VASQUEZ DEGOLLAR LUIS OSCAR" u="1"/>
        <s v="LAFOSE VELA ALLYSON SHANTAL" u="1"/>
        <s v="CANTURIN RAMIREZ MILAGROS JEANET" u="1"/>
        <s v="CORAL ELIAS ALEXANDRA MILUSKA" u="1"/>
        <s v="VASQUEZ VASQUEZ JOSE VEYKER  " u="1"/>
        <s v="RAMIRES OLIVARES ELIEZER " u="1"/>
        <s v="CAMPOS FLORES DIEGO ENRRIQUE" u="1"/>
        <s v="ARANDA FERNANDEZ WILSON VISNEY  " u="1"/>
        <s v=" VELAZCO LAGO LUIS MANUEL" u="1"/>
        <s v="BUSTAMANTE CHAMAYA JOSE NILSON  " u="1"/>
        <s v="COLLANTES LUMBE MARCIAL" u="1"/>
        <s v="RIOS MARIN DAVID MODESTO  " u="1"/>
        <s v="GABRIEL BELTRAN JORGE JOHN" u="1"/>
        <s v="ALCAS TORRICO JEREMY DANIEL" u="1"/>
        <s v="JURADO HOYOS GONZALO ALONSO" u="1"/>
        <s v="PAREDES MEZA DULIO" u="1"/>
        <s v="RIOS RAMIREZ CINTHIA TATIANA" u="1"/>
        <s v="CHUMPITAZ CUYA JUAN MARTIN" u="1"/>
        <s v="MEDIANO CCAIHUARI MARIO DOMINGO" u="1"/>
        <s v="SALCEDO VALDEZ JESUS DAVID" u="1"/>
        <s v="SEQUERA TORREALBA RAUL ALBERTO" u="1"/>
        <s v="LEON RAMOS, RICARDO CARLOS" u="1"/>
        <s v="CARHUAPOMA LOPEZ SEGUNDO CARLOS" u="1"/>
        <s v="ROJAS CAMASSI LUIS RICARDO" u="1"/>
        <s v="MEJIA TORRES, HERMOGENES YOFRE" u="1"/>
        <s v="PARICAHUA MAMANI MANUEL" u="1"/>
        <s v="CARRASCO GUERRERO HENRRY" u="1"/>
        <s v="JUÑO CHAUCA PEDRO HERBERT" u="1"/>
        <s v="PEÑA ROMERO, CESAR AUGUSTO" u="1"/>
        <s v="SUYCA HUAYA, ALDO RAFAEL" u="1"/>
        <s v="NUÑEZ ZAMORA, JOSE LUIS" u="1"/>
        <s v="MOSCOSO SANTAMARIA, CARLOS" u="1"/>
        <s v="ESPINOZA LUNA, ROGER ARMANDO" u="1"/>
        <s v="BELLIDO ESPINOZA LORENZO MAXIMO" u="1"/>
        <s v="FRANCO VAO POLO JESUS" u="1"/>
        <s v="HINOSTROZA ESPINOZA EDGAR MARCELO" u="1"/>
        <s v="ROMERO MAYHUA SERGIO CESAR" u="1"/>
        <s v="ALBINO CONDORI AYAR DANNY" u="1"/>
        <s v="ALVITES PALOMINO WILIAM RAUL" u="1"/>
        <s v="PINEDO CORTEZ, ROMEL LEVI" u="1"/>
        <s v="MENDOZA PILLIHUAMAN, GERARDO" u="1"/>
        <s v="FUNG GAMERO LIU SAM" u="1"/>
        <s v="SANCHEZ COLINA ALBERTO ANTONIO" u="1"/>
        <s v="MONSERRATE SALCEDO ANGGELO MARTIN" u="1"/>
        <s v="SUCCAR MORI LUIS ADOLFO" u="1"/>
        <s v="CISNEROS FAUSTINO JAASIEL RAUL" u="1"/>
        <s v="MORALES PALOMINO SMAYSER JASSON" u="1"/>
        <s v="CASTAÑEDA GARCIA CRISTOFER IVAN" u="1"/>
        <s v="TAPULLIMA MARICHI CRISTIAN JUNIOR" u="1"/>
        <s v="VINCES BEJARANO ANGELO GERALDO" u="1"/>
        <s v="CHAO SAENZ ANGEL ANTONIO " u="1"/>
        <s v="NAVARRO CORNELIO ANTHONY ARNOLD" u="1"/>
        <s v="VITORA GARCIA JUAN FRANCISCO" u="1"/>
        <s v="ROJAS GARCIA JOSHUA SAIMON BAIRON" u="1"/>
        <s v="CASACHAGUA ARANDA HERNAN ALEXANDER" u="1"/>
        <s v="SIFUENTES GRADOS DANIEL" u="1"/>
        <s v="SANCHEZ ROSALES EDWIN JAVIER" u="1"/>
        <s v="ZEVALLOS CACERES RODERICK ANDREE" u="1"/>
        <s v="HIDALGO VILLACORTA DAVISON JULIAN " u="1"/>
        <s v="GARAY QUINTO RODENSON IVAN" u="1"/>
        <s v="PLASENCIA BLANCO KEVYN ANTHONY" u="1"/>
        <s v="MEZA ESPIRITU CARLOS GASTON" u="1"/>
        <s v="AREVALO CHANGANA EDSON RAMIRO" u="1"/>
        <s v="GAMARRA CUETO BREN IMANOL" u="1"/>
        <s v="PARRA CAMPOS VLADIMIR CESAR" u="1"/>
        <s v="FLORES CARHUAPOMA WILSON" u="1"/>
        <s v="VARGAS VARGAS ALEXANDER" u="1"/>
        <s v="LOPEZ MARQUEZ JEFERSON JOSUE" u="1"/>
        <s v="POMA ARANGO DANIEL" u="1"/>
        <s v="ROBLES GRADOS CARLOS ALBERTO" u="1"/>
        <s v="RAFAELE VILLARREAL JAIRO ORLANDO " u="1"/>
        <s v="CHAVEZ YBAÑEZ VICTOR REYDER" u="1"/>
        <s v="OVALLE OJEDA JOSE CARLOS" u="1"/>
        <s v="GAVIDEA HUAMAN YORKS BRALLAMS" u="1"/>
        <s v="BERMUDEZ NARCIZO JHON CARLIN" u="1"/>
        <s v="HUAMAN CASAS FRANKLIN" u="1"/>
        <s v="CARO RODRIGUEZ BRANDON LUIS" u="1"/>
        <s v="SAMAME ATARAMA DARWIN ALBERTO" u="1"/>
        <s v="SOLIS AROSTEGUI TITO ELIAS" u="1"/>
        <s v="SANCHEZ LAGUNA ANTONY PERCY" u="1"/>
        <s v="AMANQUI LEON JUAN EDUARDO" u="1"/>
        <s v="HICHCAS ESPINOZA JEFFERSON" u="1"/>
        <s v="MENDOZA CORONADO ALEXANDER MANUEL" u="1"/>
        <s v="ARNAO PACHAS EDUARDO MANUEL" u="1"/>
        <s v="ESKENAZI HURTADO JUNIOR YANPIER" u="1"/>
        <s v="HUAMANI PUELLES SILVER" u="1"/>
        <s v="TAPIA TERRONES ANGEL RODRIGO" u="1"/>
        <s v="RUIZ MENDOZA NATALI JULISA" u="1"/>
        <s v="CERRON QUINTO RONALD PERCY" u="1"/>
        <s v="CAVIEDES MESTAS PETER JOB" u="1"/>
        <s v="PEÑA REVOREDO CESAR RONALD" u="1"/>
        <s v="BENAVIDES SANCHEZ LORENA ZUCETY" u="1"/>
        <s v="SEGURA QUISPE MARCO ANTONIO" u="1"/>
        <s v="VINCES BEJARANO MICHAEL STEVEN LEE" u="1"/>
        <s v="JULCA GUEVARA JOSE HECTOR" u="1"/>
        <s v="VALLE SALINAS JAVIER" u="1"/>
        <s v="RIVERA HUAMAN WILER EPIFANIO" u="1"/>
        <s v="CARRASCO CARDENAS CESAR ALDAIR" u="1"/>
        <s v="BLAS MAMANI EDDY SALIM" u="1"/>
        <s v="PEREZ HUAMAN JUAN CARLOS" u="1"/>
        <s v="LOPEZ OBREGON JUAN CARLOS" u="1"/>
        <s v="VALLE CACERES VICTOR HUMBERTO" u="1"/>
        <s v="CHACALIAGA CARRILLO MARCOS DANIEL" u="1"/>
        <s v="BARAYBAR MUÑIZ PAULO CESAR" u="1"/>
        <s v="SANCHEZ PORRAS JOSE MARINO" u="1"/>
        <s v="BRAVO ORTIZ WALTER ALDAIR" u="1"/>
        <s v="VASQUEZ CAMPOS DANTE MICHEL" u="1"/>
        <s v="MATOS ROMAN ELVIS JONATAN" u="1"/>
        <s v="BERNAOLA PULIDO JIMMY MICHAEL" u="1"/>
        <s v="GARAMENDI JAICO JHOEL NIXON" u="1"/>
        <s v="RUIZ TENORIO WILLIAM" u="1"/>
        <s v="CARBAJAL OSORIO DANIEL JOSE" u="1"/>
        <s v="VERA ZUTA JAVIER ALDAIR " u="1"/>
        <s v="TORRES OSCCO BRIAN LUIS" u="1"/>
        <s v="HUAMAN DIAZ NOE JACINTO" u="1"/>
        <s v="GOZZER YSUIZA PEDRO FRANCISCO" u="1"/>
        <s v="GIL VASQUEZ BARTOLOME EDWIN" u="1"/>
        <s v="SAMANEZ HUAMAN MANUEL DIEGO" u="1"/>
        <s v="ROSALES MORENO EDUAR SAMIR" u="1"/>
        <s v="HUAYANAY GARCIA CARLOS GUILLERMO" u="1"/>
        <s v="JORGE ZEVALLOS RONY JOHNNY" u="1"/>
        <s v="ZAPATA RODRIGUEZ GABRIEL" u="1"/>
        <s v="YUPA CABRERA NICK PAUL" u="1"/>
        <s v="VILCA CAJA JUAN" u="1"/>
        <s v="TAQUIA ARROYO JONATHAN" u="1"/>
        <s v="TORRES HUARINGA JAPHET CHARLIE JESUS" u="1"/>
        <s v="BRAVO GAVIDIA JOSE WILFREDO" u="1"/>
        <s v="FLORES PEREA RODRIGO" u="1"/>
        <s v="QUIROZ CHIPANA LUIS ALBERTO" u="1"/>
        <s v="ROMERO PAEZ ALFREDO ENRIQUE" u="1"/>
        <s v="TITO MURILLO ALCIDES" u="1"/>
        <s v="VELIZ TAYPE JONATHAN" u="1"/>
        <s v="IDELFONSO MATTOS DAVID" u="1"/>
        <s v="VIVANCO HUALLPA CARLOS ALFREDO" u="1"/>
        <s v="POMA HUAMANI CESAR" u="1"/>
        <s v="GRADOS PAREDES FRANCISCO ROBERTO" u="1"/>
        <s v="CAMPO VELASQUEZ JHON ERICK" u="1"/>
        <s v="SANCHEZ ROSALES CRISTHIAN ALBERTO" u="1"/>
        <s v="HERVAS LOPEZ CESAR" u="1"/>
        <s v="JUAREZ CALVA DEIVIS SEGUNDO" u="1"/>
        <s v="CHAVEZ CHINGUEL JORGE LUIS" u="1"/>
        <s v="JUSTIL MACAHUACHI VICTOR ABEL" u="1"/>
        <s v="LLONTOP NATIVIDAD JORGE LUIS" u="1"/>
        <s v="LEONARDO LOPEZ ANSELMO" u="1"/>
        <s v="TORTOREL CHAVEZ ALAN SPENCER" u="1"/>
        <s v="CERRON QUINTO LEONEL PEDRO" u="1"/>
        <s v="QUISPE YANCE EDER" u="1"/>
        <s v="YAURI RIVERA EDGAR GABRIEL" u="1"/>
        <s v="CHUMBIPUMA CHUQUIHUANCA DANIEL MARCOS" u="1"/>
        <s v="ROJAS YUYALE MIGUEL ANGEL" u="1"/>
        <s v="VELASQUEZ COLE JARSON WILLIAM " u="1"/>
        <s v="TACURI JORGE  GREGORY GARY " u="1"/>
        <s v="LLACSAHUANGA LLACSAHUANGA ADAN EDU" u="1"/>
        <s v="BOHORQUEZ FELIPE GRACIELA ELIZABETH" u="1"/>
        <s v="CHIQUERO PALOMO DANIEL" u="1"/>
        <s v="VALENCIA TAQUIRE JUAN VICTOR" u="1"/>
        <s v="TENORIO ALARCON ANGEL" u="1"/>
        <s v="ROMUALDO COLQUI YONNI ALEJANDRO" u="1"/>
        <s v="FIGUEROA CUBAS JOSE RICARDO" u="1"/>
        <s v="AIRA VALENCIA EDWIN PAUL" u="1"/>
        <s v="ROMAN PINTO WILLY JESUS" u="1"/>
        <s v="ARGUEDAS PUCUTAY JORGE OSWALDO LUIS" u="1"/>
        <s v="FRIAS PUICON JONATHAN RICARDO" u="1"/>
        <s v="GARAY JULON JOSE ANDERSON" u="1"/>
        <s v="HEREDIA GARCIA JOEL" u="1"/>
        <s v="BARJA CONTRERAS LUIS CRISTHIAN" u="1"/>
        <s v="VALVERDE ROJAS RUBEN LEODAN" u="1"/>
        <s v="VASQUEZ VELASQUEZ YAMIL" u="1"/>
        <s v="FLORES ABAD MIGUEL IVAN" u="1"/>
        <s v="MEDINA RAMIREZ MIGUEL ANGEL" u="1"/>
        <s v="HUAMAN MEGO LEVIT" u="1"/>
        <s v="ROJAS QUILICHE GILBERTO" u="1"/>
        <s v="ROMERO RODRIGUEZ HUGO ALONSO" u="1"/>
        <s v="MATEO NOREÑA FILOMENO" u="1"/>
        <s v="HUILLCA GONZALES ANTHONY STEVES" u="1"/>
        <s v="PADILLA FLORES JUAN CARLOS" u="1"/>
        <s v="HORMAZA INGA DOMINGO" u="1"/>
        <s v="SOTO PIMENTEL DAVID RODRIGO" u="1"/>
        <s v="TRIGOSO FERNANDEZ GENRRY LEO" u="1"/>
        <s v="HUERTA CELESTINO MANUEL" u="1"/>
        <s v="CLAVO SANCHEZ DEYVI ALEX" u="1"/>
        <s v="TANGOA NORIEGA ELI" u="1"/>
        <s v="CHUQUIYAURI HUAYASCACHI OCIL" u="1"/>
        <s v="MORI CASTILLO MARCOS ANTONIO" u="1"/>
        <s v="ROJAS CHUQUINO MIGUEL ANGEL" u="1"/>
        <s v="SANCHEZ MAMANI ALEJANDRO" u="1"/>
        <s v="TAPULLIMA RUIZ JARUZELSKI" u="1"/>
        <s v="QUISPE CORIS CESAR" u="1"/>
        <s v="MONTERO GARAY ERICKSON" u="1"/>
        <s v="YSLA ESPINOZA BRANDO" u="1"/>
        <s v="MORENO ARTICA WILFREDO MIGUEL" u="1"/>
        <s v="LOPEZ AVILA MELANIO" u="1"/>
        <s v="CACHIQUE HUAICAMA GUSTAVO HUMBERTO" u="1"/>
        <s v="CASIQUE FASABI ELDER" u="1"/>
        <s v="VILCHEZ CORONADO ERLI" u="1"/>
        <s v="ZAPATA PUICON LUIS ALBERTO" u="1"/>
        <s v="BARDALES ARIMUYA IRADIEL" u="1"/>
        <s v="MAYTA GUERRA GIANCARLO ANGEL" u="1"/>
        <s v="MEDINA LEON EFRAIN MOISES" u="1"/>
        <s v="DIOSES SAENZ FELICIANO GEORGY" u="1"/>
        <s v="ASPAJO PEDROZA PEDRO GUILLERMO" u="1"/>
        <s v="CARLOS FERNANDEZ MARCO ANTONIO" u="1"/>
        <s v="CASTILLO MENDOZA LEONIDAS ALBERTO" u="1"/>
        <s v="CORDOVA ALVARADO JUAN CARLOS" u="1"/>
        <s v="LOAYZA HUAYANCA FRANCISCO BENITO" u="1"/>
        <s v="ROMERO VASQUEZ JEIMY EUSEBIO" u="1"/>
        <s v="DELGADO RIMACHI MARCO ANTONIO" u="1"/>
        <s v="ZORRILLA RIOFRIO SHIRLEY LASTENIA" u="1"/>
        <s v="SEMINARIO MESTANZA NOE ROBERTO" u="1"/>
        <s v="MESESES GUTIERREZ JOSE LUIS " u="1"/>
        <s v="CHAVEZ CHINGUEL MIGUEL ANGEL" u="1"/>
        <s v="JARA BARRIOS MAXIMO DARLYN" u="1"/>
        <s v="PRUDENCIO ALBINO JHONNI RICHARD" u="1"/>
        <s v="SULLCARAY TAYPE ISAAC" u="1"/>
        <s v="PERALTA MEDINA DEISSY ELIZABETH" u="1"/>
        <s v="HERNANDEZ COTRINA ELINDOR" u="1"/>
        <s v="GRANDA RIVAS JORGE DEYVI" u="1"/>
        <s v="GODOY LOPEZ FREDY DANIEL" u="1"/>
        <s v="CHERO YOVERA CARLOS" u="1"/>
        <s v="PAICO FLORES ESDWIN" u="1"/>
        <s v="CALLAÑAUPA PRADO HUGO ENRIQUE" u="1"/>
        <s v="CABRERA IRIGOIN JUAN CARLOS" u="1"/>
        <s v="CALVO PALACIOS RONALD FELIPE" u="1"/>
        <s v="EUGENIO SALAZAR MILTON DARIO" u="1"/>
        <s v="PORTA VILLENA FELIX JOHNNY" u="1"/>
        <s v="VELA MORI JORGE ANDERSON" u="1"/>
        <s v="VASQUEZ RIVAS JESUS ERNESTO" u="1"/>
        <s v="ORE PIZARRO JOHN HENRY" u="1"/>
        <s v="ALVINO REYNALDO ,TOMASCINO FRANKLIN" u="1"/>
        <s v="ARANGO QUISPE EDINSON " u="1"/>
        <s v="TORRE TRILLO WILBER ANGEL" u="1"/>
        <s v="GONZALES MARCAS WILENTON SIBALLOS" u="1"/>
        <s v="DIAZ DEL OLMO ALVARADO EDGARD JONATHAN" u="1"/>
        <s v="GARAY ESTRADA ALEXANDER ANTONIO" u="1"/>
        <s v="AROTOMA RIMARI WILBER" u="1"/>
        <s v="MANDUJANO POMA VICTOR MANUEL" u="1"/>
        <s v="ESCOBEDO VILLANUEVA EDUARDO SAUL" u="1"/>
        <s v="CHACALTANA PAREDES LUIS ANGEL" u="1"/>
        <s v="HURTADO CAMPOS JESUS FRANCISCO" u="1"/>
        <s v="PEREZ URDAY JOSE LUIS" u="1"/>
        <s v="SOTO ESPINOZA JORGE LUIS" u="1"/>
        <s v="MUÑOZ ACUÑA CESAR" u="1"/>
        <s v="MENDOZA TORRES HECTOR ALEX" u="1"/>
        <s v="NOLIS RAMIREZ AUGUSTO FRANCISCO" u="1"/>
        <s v="SUAREZ CARDENAS LUIS MIGUEL" u="1"/>
        <s v="QUISPE ALMEIDA EDGAR" u="1"/>
        <s v="ESPINAL NAVARRO EMER" u="1"/>
        <s v="PACCO CHUMBIMUNI CRISTHIAN ISRAEL" u="1"/>
        <s v="FRIAS PUICON JOSE LUIS" u="1"/>
        <s v="FIGUEROA CUBAS JOSE ROGER" u="1"/>
        <s v="ESTEBAN VARA GOMER ADAN" u="1"/>
        <s v="QUISPE MONTOYA EDGAR" u="1"/>
        <s v="LOPEZ DE LA PAZ OSCAR RAUL" u="1"/>
        <s v="PEÑA TORRES ALBERTO" u="1"/>
        <s v="AGUIRRE CALDERON RONI DANIEL" u="1"/>
        <s v="GUTIERREZ TITO SEGUNDINO" u="1"/>
        <s v="GARCIA MATIAS GUSTAVO" u="1"/>
        <s v="CALDERON CASTRO JORGE LUIS" u="1"/>
        <s v="TOLEDO  CACHAY GUILLERMO JULIO" u="1"/>
        <s v="ACEVEDO ALATRISTA CARLOS ALBERTO" u="1"/>
        <s v="BARAYBAR LOPEZ MANUEL EDUARDO" u="1"/>
        <s v="DIAZ FERNANDEZ ALEJANDRO" u="1"/>
        <s v="ACARO TRONCOS PACO WALTER" u="1"/>
        <s v="GIRON CERNA FAUSTINO FERNANDO" u="1"/>
        <s v="APAZA LLAMACPONCCA WILFREDO JUAN DE DIOS" u="1"/>
        <s v="GIRON HERRERA ELVIS FRANCISCO" u="1"/>
        <s v="DAMIAN CASTILLO HECTOR DEMETRIO" u="1"/>
        <s v="CESPEDES TRUJILLO JUAN CARLOS" u="1"/>
        <s v="MORENO ANGULO SANTOS ADALBERTO" u="1"/>
        <s v="CARMEN MORE NELSON OSWALDO" u="1"/>
        <s v="DELGADO CACERES CARLOS ROBERTO" u="1"/>
        <s v="PEREZ TARRILLO JUAN" u="1"/>
        <s v="RICRA VILLANO CLINDO" u="1"/>
        <s v="PARINA ALDABA GILMER" u="1"/>
        <s v="GOMEZ HUARHUA WASHINGTON" u="1"/>
        <s v="ROSADO VASQUEZ WILLEBALDO" u="1"/>
        <s v="BENAVIDES VENEGAS BONIEK MICHAEL" u="1"/>
        <s v="SILVA PEZO JULIO CESAR" u="1"/>
        <s v="ECHEVARRIA MAMANI JOSE LUIS" u="1"/>
        <s v="RODRIGUEZ RAMIREZ JONATANT" u="1"/>
        <s v="HUAMAN CASTILLON OSWALDO FREDY" u="1"/>
        <s v="CHANCHARI AREVALO JAMILTON" u="1"/>
        <s v="PITUY OSPINA JULIO" u="1"/>
        <s v="CUBAS DE LA CRUZ  RUBEN" u="1"/>
        <s v="MENDOZA RICO FULGENCIO JESUS" u="1"/>
        <s v="HUAMAN ESPINAL JOSE CARLOS" u="1"/>
        <s v="CARRANZA GAVILAN CARLOS PAUL" u="1"/>
        <s v="EGUAVIL ENRIQUEZ DONATO" u="1"/>
        <s v="SANDOVAL ALVARADO MIGUEL ANGEL" u="1"/>
        <s v="ROJAS SICCHA MILTON" u="1"/>
        <s v="RODRIGUEZ DE LA CRUZ  JOSE LUIS" u="1"/>
        <s v="VILLACORTA QUISPE JUAN CARLOS" u="1"/>
        <s v="AGUILAR CABEZAS VICTOR HENRY" u="1"/>
        <s v="BERRU HERRERA DEYBI OMAR" u="1"/>
        <s v="AYAUCAN SILVA EUSEBIO" u="1"/>
        <s v="MACHA ROJAS JUAN OBLITAS" u="1"/>
        <s v="OLANO BERMUDEZ CRISTIAN MANUEL" u="1"/>
        <s v="BRAVO HUAMAN EMERSON JOSE" u="1"/>
        <s v="CULLCUSH BERENGIL MANUEL ENRIQUE" u="1"/>
        <s v="ROSALES HERNANDEZ JESUS ORLANDO" u="1"/>
        <s v="NORIEGA URQUIO JAIRO" u="1"/>
        <s v="ALVINO REYNALDO ,PERCI JAIME " u="1"/>
        <s v="RAMIREZ MARTIN EDGAR" u="1"/>
        <s v="SUAREZ AGUILA MOISES FIDEL" u="1"/>
        <s v="GONZALES AYUQUE JUAN CARLOS" u="1"/>
        <s v="RODRIGUEZ ESCOBAR RAFAEL" u="1"/>
        <s v="SAENZ SAENZ LUIS FERNANDO" u="1"/>
        <s v="BUITRON CONDOR DAVID DACIO" u="1"/>
        <s v="ROSALES CARRILLO JOSE DOMENICO" u="1"/>
        <s v="MORALES CASTRO ROBERTO" u="1"/>
        <s v="NAVARRO PASCUAL VICTORIANO" u="1"/>
        <s v="PARRA ALATA CESAR AUGUSTO" u="1"/>
        <s v="FLORES RUIZ ELIAS" u="1"/>
        <s v="HERNANDEZ VISLAO SEGUNDO ALFONZO" u="1"/>
        <s v="SALAZAR HINOSTROZA LEONARDO" u="1"/>
        <s v="YAURI CARBAJAL ZOSIMO JOSE" u="1"/>
        <s v="ACASIETE CABRERA HAMBER ANGEL" u="1"/>
        <s v="FLORES SALAZAR RAUL" u="1"/>
        <s v="AMORIN AMAO BRAULIO" u="1"/>
        <s v="PISCOYA DIAZ JORGE ANTONIO" u="1"/>
        <s v="SANCHEZ  JUAN ALBERTO" u="1"/>
        <s v="ESPINOZA CERON WALTER" u="1"/>
        <s v="PORRAS VELARDE WALTER AMADOR" u="1"/>
        <s v="TAIPE PEREYRA FELIX ISIDRO" u="1"/>
        <s v="ESPINAR VALVERDE JAVIER MIGUEL" u="1"/>
        <s v="APAZA CARRERA JOSE LUIS" u="1"/>
        <s v="CARRION AROSTE SANTIAGO" u="1"/>
        <s v="PIZANGO VALLES NESTOR" u="1"/>
        <s v="VERGARAY JAIME GREGORIO" u="1"/>
        <s v="VILLENA CHAVEZ EDGAR JAVIER" u="1"/>
        <s v="FERNANDEZ  HUAYLLAHUAMAN DANIEL" u="1"/>
        <s v="RUBIO GIL GILMER GEOVANNY" u="1"/>
        <s v="HERRERA SOLIS PERCY RICHAR" u="1"/>
        <s v="PORRAS ONOFRE RODRIGO JESUS" u="1"/>
        <s v="GASIHUD BERNAL DAVID MARCOS" u="1"/>
        <s v="PEÑA ESPINOZA MAGIN" u="1"/>
        <s v="TACILLA SANCHEZ JOSE CARMEN " u="1"/>
        <s v="REYNA MARIN JUAN ANTONIO" u="1"/>
        <s v="POMA JEREMIAS RAFAEL JESUS" u="1"/>
        <s v="PALACIOS HUAMANCHUMO JOSE MANUEL" u="1"/>
        <s v="LOZANO MENESES AGAPITO" u="1"/>
        <s v="PEÑA MARCELO JOSE TEODORO" u="1"/>
        <s v="GIRIBALDE GOMEZ CARLOS ALBERTO" u="1"/>
        <s v="RETES SOUZA ANDRES EVARISTO" u="1"/>
        <s v="ALFARO HUAMAN IVAN" u="1"/>
        <s v="QUISPE OCHOA YULIÑO" u="1"/>
        <s v="JORGE QUISPE MIJAEL" u="1"/>
        <s v="TOMAIRO LEDEZMA JONATHAN" u="1"/>
        <s v="SHUPINGAHUA GREFA LUIS ANTONIO" u="1"/>
        <s v="LOPEZ ROJAS GIOVANNA SHIRLEY" u="1"/>
        <s v="Palacios Jara Maicor Yheis" u="1"/>
        <s v="RUDY MARTIN MEDINA FUENTES" u="1"/>
        <s v="SANCHEZ DELGADO RAUL GREGORIO" u="1"/>
        <s v="FLORES LOPEZ LUIS D'STEFANO" u="1"/>
        <s v="NUÑEZ VARILLAS DIEGO MAURICIO" u="1"/>
        <s v="RAJO DELGADO ELY ELIAS" u="1"/>
        <s v="PEREZ YACOLCA DAVID JUAN " u="1"/>
        <s v="MENDOZA AISANOA  CARLOS MANUEL" u="1"/>
        <s v="LOAYZA AZPUR  NAHOMY DAYYANA" u="1"/>
        <s v="ZEVALLOS MEDINA  EDISON JAVIER " u="1"/>
        <s v="MARTINEZ VALDIVIA LUIGGI FERNANDO" u="1"/>
        <s v="LINARES BOCANEGRA DIEGO ALONSO" u="1"/>
        <s v="RIMAC ZAMBRANO NESTOR ABDON" u="1"/>
        <s v="MEDINA LLANCARI ELVIS EDU " u="1"/>
        <s v="OLIVA USHIÑAHUA CHRISTIAN " u="1"/>
        <s v="GOMEZ POCOMUCHA  ELVIS MARIN " u="1"/>
        <s v="CHICORI LOPEZ RENE ORLANDO" u="1"/>
        <s v="CRISTHIAN GABRIEL SUAREZ VICENTE " u="1"/>
        <s v="PALACIOS AGUIRRE  ROBERTO RONAL " u="1"/>
        <s v="LOZANO INUMA  BRAULIO" u="1"/>
        <s v="AYALA OGOSI WILMER " u="1"/>
        <s v="RIOS RUIZ CRISTIAN MICHAEL" u="1"/>
        <s v="FRANCO SAMANIEGO ADOLFO FRANCO" u="1"/>
        <s v="QUISPE QUISPE DARIO" u="1"/>
        <s v="CARDENAS SOLANO EDWAR WILFREDO" u="1"/>
        <s v="SUAREZ VICENTE RICARDO ALBERTO" u="1"/>
        <s v="MEJIA SANCHEZ BILL JERRY " u="1"/>
        <s v="VASQUEZ RUIZ  ORLANDO ROBERT" u="1"/>
        <s v="PINTADO MACHACUAY FREDDI" u="1"/>
        <s v="CHERRE TUME CALIXTO ANTONIO " u="1"/>
        <s v="VILCHERREZ ACOSTA JUAN CARLOS " u="1"/>
        <s v="GUARDIA PAYTAN FIDEL ERMINIO" u="1"/>
        <s v="PAZ VILA NIXON JESUS" u="1"/>
        <s v="POTOSINO FRANCIA LUIS ALFREDO" u="1"/>
        <s v="CARAZAS SANCHEZ GIAN FRANCO" u="1"/>
        <s v="PICHILINGUE VELASQUEZ RUBEN" u="1"/>
        <s v="VALIENTE MORALES ROLANDO" u="1"/>
        <s v=" GALECIO LEVANO EZEQUIEL MANUELITO" u="1"/>
        <s v="HERRERA VILCA KIMBERLY BERENICE " u="1"/>
        <s v="SALDARRIAGA SANCHEZ DEIBY RENZO" u="1"/>
        <s v="GUERRERO SALAZAREDIL JAIS " u="1"/>
        <s v="MONTESINOS MEJIA ORLANDINE EDUARDO" u="1"/>
        <s v="HERNANDEZ ISIDRO ELIAS " u="1"/>
        <s v="VEGA PAULINO VEGA JOSE" u="1"/>
        <s v=" DAVILA BARDALES RONY EFRAIN" u="1"/>
        <s v="LINDO REYES JORGE AMADOR" u="1"/>
        <s v="FLORES HUANCA, NANCI JULIA" u="1"/>
        <s v="BAYONA CHIPANE ALEXANDER EFRAIN" u="1"/>
        <s v="VARGAS CHOCCE JHEAN KEVIN" u="1"/>
        <s v="PONGO LAZO JEAN CARLOS" u="1"/>
        <s v="MACHA REYES MANUEL ENRIQUE" u="1"/>
        <s v="VILLANUEVA CARHUACUSMA LISBETH ANGIE" u="1"/>
        <s v="AGUIRRE AGUILAR JEAN PAUL" u="1"/>
        <s v="MONTES QUISPE FELIX" u="1"/>
        <s v="HUAMAN LOPEZ CARLOS JUNIOR " u="1"/>
        <s v="HUAMAN JURADO YOVER" u="1"/>
        <s v="MASAPE NUÑEZ TITO ANDY " u="1"/>
        <s v="GOMES CCORI MOISES " u="1"/>
        <s v="CABRERA LAURA ISAIAS PABLO" u="1"/>
        <s v=" RUIZ GALVEZ JHONATAN LEE" u="1"/>
        <s v="CANCHANYA QUISPE GUSTAVO ADOLFO" u="1"/>
        <s v="AGUIRRE AGUILAR PEDRO JAVIER" u="1"/>
        <s v="HERRERA HERRERA  JOSE DAVID" u="1"/>
        <s v="VEGA MORALES WILBER" u="1"/>
        <s v="CHACHI ATOC EDGAR CARLOS" u="1"/>
        <s v="CORONEL LAZARO, ROGER IVAN" u="1"/>
        <s v="ESPINOZA ESPIRITU MARCELINO DENNYS " u="1"/>
        <s v="CASHPA YARASCA LUIS ALONSO " u="1"/>
        <s v="MORAN SERNA JULIO " u="1"/>
        <s v="JURADO LANDEO CESAR FERNANDO" u="1"/>
        <s v="CABEZUDO MAGUIÑA  DENIS FRANKS" u="1"/>
        <s v="FERNANDEZ NINAHUANCA WILLIAM" u="1"/>
        <s v="LEON ÑAHUI EMERGILDO RUBEN" u="1"/>
        <s v="BAZAN MEZA LEO ALBERTO" u="1"/>
        <s v="CAMPIAN DE LA CRUZ FREDY" u="1"/>
        <s v="GUTIERREZ BEJARANO NELSON RUBEN" u="1"/>
        <s v="MALLQUI FLORES RONAL PERCI" u="1"/>
        <s v="DURAN CABEZAS MARIO TEOBALDO" u="1"/>
        <s v="GALLO CASAPIA JHON HENRY" u="1"/>
        <s v="QUISPE PUMALLOCLLA JUAN RICHARD" u="1"/>
        <s v="ORIHUELA HUAMAN, EDGAR HUGO" u="1"/>
        <s v="RANILLA RODRIGUEZ NICOLAS YSMAEL " u="1"/>
        <s v="VIDAL FELIX DIAZ ESTRADA" u="1"/>
        <s v="TERREL CARHUARICRA EUGENIO MAXIMILIANO" u="1"/>
        <s v="VELIZ HUARCAYA JUAN DONATO" u="1"/>
        <s v="ARRATEA BLAS ANDY ENRRIQUE" u="1"/>
        <s v="CHANG SILVA KENJI ANDRÉS" u="1"/>
        <s v="HUERTA TREJO PIERO " u="1"/>
        <s v="ACOSTA PONCE WILFREDO RAFAEL " u="1"/>
        <s v="MERINO MONDRAGON FRANKLIN" u="1"/>
        <s v="FLORES SÁNCHEZ MIGUEL " u="1"/>
        <s v="ANICAMA CRUZ CARLOS ENRIQUE" u="1"/>
        <s v=" MIGLIORI MIRANDA BRUNO ANGELLO" u="1"/>
        <s v="ALLISON GERALDINE OLAVARRIA PERRY" u="1"/>
        <s v="CABEZAS CAMONES JERICK SANTIAGO" u="1"/>
        <s v="CARRERA HERRERA  LUIS ENRIQUE" u="1"/>
        <s v="CHAVEZ QUISPE ANDERSON DANIEL CARLOS" u="1"/>
        <s v="CUADROS ANICETO MAXIMO ALBERTO" u="1"/>
        <s v="ANCO JACHO JERSON ADOLFO" u="1"/>
        <s v="CABEZAS CAMONES JAMIE EDUARDO" u="1"/>
        <s v="GOMEZ ROSALES JORDI ANTONY" u="1"/>
        <s v="MANCISIDOR MORI JESUS SALVADOR" u="1"/>
        <s v="ZARAVIA HUACACHI CRISTHIAN JOSE" u="1"/>
        <s v="ATAHUALPA PALOMINO JHONATHAN" u="1"/>
        <s v="AYALA MALLCCO MARCELINO" u="1"/>
        <s v="CAJALEON TERRONES STEVEN ENRIQUE" u="1"/>
        <s v="CHISTAMA HUANAQUIRI CARLOS" u="1"/>
        <s v="CUCULIZA CORDOVA GIULIANO MARTIN" u="1"/>
        <s v="DAVILA GOMEZ WILFREDO" u="1"/>
        <s v="MELENDEZ ESTRELLA  MITRE ABRAHAM" u="1"/>
        <s v="RODRIGUEZ DOVALE NUMAIDA JACKZURY" u="1"/>
        <s v="ARIAS YNCIO JOSE ALFREDO" u="1"/>
        <s v="HEREDIA UPARI HILTER" u="1"/>
        <s v="HEREDIA UPARI HILTER " u="1"/>
        <s v="LIMACHI AGUIRRE JULIO" u="1"/>
        <s v="ALMONTE SANCHEZ JULIO CESAR" u="1"/>
        <s v="PEREZ QUISPE FLAVIO" u="1"/>
        <s v="ESPIRITU MEDRANO JACINTO HUGO" u="1"/>
        <s v="MOLINA FIERRO JHON" u="1"/>
        <s v="SALINAS GUEVARA MANUEL ARCADIO" u="1"/>
        <s v="ZAPATA GOZZER BRYAM AUGUSTO" u="1"/>
        <s v="BARNIQUEZ DIAZ MIGUEL ERNESTO" u="1"/>
        <s v="BERNA MONTOYA LUIS" u="1"/>
        <s v="BURGA BOSMEDIANO PAULO CESAR" u="1"/>
        <s v="CUELLAR ORDERIQUE JOSE DAVID" u="1"/>
        <s v="ECHEVARRIA GARCIA JESUS JEAN POOL " u="1"/>
        <s v="FERNANDEZ HUAYTA JOSEP FRANK" u="1"/>
        <s v="HUAMAN MARIÑO FREDY" u="1"/>
        <s v="LANARO MANIHUARI JESUS FELIPE" u="1"/>
        <s v="MONTENEGRO MENDOZA ALEX FREYRI" u="1"/>
        <s v="RODRIGO LEANDRO BARROSO ALFARO" u="1"/>
        <s v="CAPCHA SALINAS JORGE GERARDO " u="1"/>
        <s v="CASTILLO ROMAN ROGER CHARLY" u="1"/>
        <s v="COLUNCHE CARUAJULCA ELI" u="1"/>
        <s v="CRUZ NAVARRO LUIS ALBERTO" u="1"/>
        <s v="ESTELA PEREZ JOSE ANDRES" u="1"/>
        <s v="FLORES BACON FRANCISCO" u="1"/>
        <s v="GOMEZ NIEVES ESTELLES ANTONIO" u="1"/>
        <s v="GRADOS BUENDIA YERI YERI" u="1"/>
        <s v="HUANCA GUZMAN JAIME HUMBERTO" u="1"/>
        <s v="MAURICIO SALDARRIAGA SANTOS MIGUEL ANGEL" u="1"/>
        <s v="SURCO SURCO JULIO CESAR" u="1"/>
        <s v="TINCO LEO FREDDY ERNESTO" u="1"/>
        <s v="ZUÑIGA CRUZ JUAN JOSE" u="1"/>
        <s v="AGREDA DIAZ HELI ZOLIS" u="1"/>
        <s v="CORREA ALBAN EDIL YURANDIL" u="1"/>
        <s v="FLORES VIERA LUIS ALBERTO" u="1"/>
        <s v="HUAMAN SORIANO LUIS ENRIQUE" u="1"/>
        <s v="JUAREZ RODRIGUEZ SEGUNDO ELISEO" u="1"/>
        <s v="LANCHI SANCHEZ LAXTER" u="1"/>
        <s v="NUNJAR CISNEROS GERTRUDIS" u="1"/>
        <s v="PASACHE CALDERON HARRI JESUS" u="1"/>
        <s v="SANTOS BAUTISTA LUIS ALBERTO" u="1"/>
        <s v="AGUILAR REGALADO TEODORO AUGUSTO" u="1"/>
        <s v="CONDORI HILASACA ILDEFONSO" u="1"/>
        <s v="GARRIDO BAZAN ANIBAL" u="1"/>
        <s v="JUANPEDRO CERVANTES TEODORO" u="1"/>
        <s v="COLUNCHE BENAVIDES VICTOR RAUL" u="1"/>
        <s v="ALVA DOMINGUEZ PEDRO LUIS" u="1"/>
        <s v="EDINSON VILLANUEVA LIZANA " u="1"/>
        <s v="MINA MONAGO RICARDO JOEL" u="1"/>
        <s v="TRBIEÑO HUAYTA KERVIN ROLLER" u="1"/>
        <s v="FABIOLA ANDREA CARLOS RUIZ " u="1"/>
        <s v="RICKY MARTIN GONZALES SALAS  " u="1"/>
        <s v="DAVID MANUEL GOMEZ NOA " u="1"/>
        <s v="DOROTEO MONDRAGON JEAN PIERO" u="1"/>
        <s v="UGARTE HUAMAN ANASTACIO" u="1"/>
        <s v="Elvis Jesús Rodriguez Rodriguez" u="1"/>
        <s v="Gino Arturo Cabezudo Rodriguez" u="1"/>
        <s v="Liz Marlit Martinez Araujo" u="1"/>
        <s v="Franklin Hugo Albañil Cadenillas" u="1"/>
        <s v="Jim Pakson Alfaro sulca" u="1"/>
        <s v="Jimmy Jose Campos Chuquimarca" u="1"/>
        <s v="OLIVA GALINDO DANTE" u="1"/>
        <s v="Carrillo Melgarejo William" u="1"/>
        <s v="Juvenal Linder Anaya Valerin" u="1"/>
        <s v="Luis Ernesto Lozano Sanchez" u="1"/>
        <s v="Juan Jose Huayta Kohagura" u="1"/>
        <s v="Roberto Quispe Riveros" u="1"/>
        <s v="RODRIGUEZ ZAMBRANO CESAR AGUSTO" u="1"/>
        <s v="Yaranga De la Cruz Marina" u="1"/>
        <s v="David Joel De la Cruz Martinez" u="1"/>
        <s v="POMACAJA CHUQUICAJA WILBERT DAVID " u="1"/>
        <s v="Humberto Vega Alvarado" u="1"/>
        <s v="VALDEZ GARCIA LUIS ALBERTO " u="1"/>
        <s v="VILLARREAL ALVA ERICK CHARLES" u="1"/>
        <s v="CONDE YAYA JEAN PIER JUNIOR" u="1"/>
        <s v="FREDDY UTANI CONDORI" u="1"/>
        <s v="CHAPOÑAN PEREZ JOSSE MARIA MARILENE " u="1"/>
        <s v="AGUILAR CASTILLO ALDO ALEXANDER" u="1"/>
        <s v="CONDE HUANCA MARIO MARTIN" u="1"/>
        <s v="PUMARRUMI ESPINOZA WILFREDO" u="1"/>
        <s v="MENENDEZ MUERAS INOCENTE" u="1"/>
        <s v="MERMA CASTILLO ANDRES MANUEL" u="1"/>
        <s v="HUAMANI MERMA SANDER JOSUE" u="1"/>
        <s v="QUISPE SUNI ADER ELVIS" u="1"/>
        <s v="GALICIO ORDAYA ANGIE MILAGROS ELIZABETH" u="1"/>
        <s v="GUILLEN ISIDRO KEVIN EDUARDO " u="1"/>
        <s v="VARGAS ISIDRO JOSTIN JOEL " u="1"/>
        <s v=" VARGAS ISIDRO OSCAR GIANCARLO" u="1"/>
        <s v=" PUNIL RIOS FERNANDO JOSEPH" u="1"/>
        <s v="CARDENAS CHOLAN BRANDON DODI" u="1"/>
        <s v="CHOCCE UNOCC JUAN MIGUEL " u="1"/>
        <s v="CARREÑO JUAREZ ESTEFANY PRISCILA" u="1"/>
        <s v="TORRES DEZA YANETH VICTORIA" u="1"/>
        <s v="OSCCO TAIPE FRANKLIN" u="1"/>
        <s v="MERMA MAMANI BAUTISTA" u="1"/>
        <s v="MORAN FLORES JESUS ALBERTO" u="1"/>
        <s v="CANCHANYA AVALOS GUILLERMO" u="1"/>
        <s v="ESPINOZA SANTIAGO JOHN CHRISTIAN" u="1"/>
        <s v="CONTRERAS NAVARRO JAVIER" u="1"/>
        <s v="SORIA QUISPE FIDEL" u="1"/>
        <s v="CHANCAS TAIPE MATEO" u="1"/>
        <s v="DIAZ PEREZ WILLIAM" u="1"/>
        <s v="GUILLEN ISIDRO ALDO ALEXANDER" u="1"/>
        <s v="MORALES CULLCUSH ALBERTO CARLOS" u="1"/>
        <s v="SAHUARAURA SIMBRON JEFERSON JOEL" u="1"/>
        <s v="RAYME HUILLCA WALTER" u="1"/>
        <s v="PUNIL GUILLEN WILBER" u="1"/>
        <s v="ESTRADA AVILEZ EDUARDO" u="1"/>
        <s v="SORIA QUISPE LUIS ALBERTO" u="1"/>
        <s v="SORIA QUISPE RAUL" u="1"/>
        <s v="ROCHA QUISPE ROLANDO" u="1"/>
        <s v="HUAYANAY HUANACHIN OSWALDO" u="1"/>
        <s v="IGUISABEL SANDOVAL LUIS ANTONIO" u="1"/>
        <s v="MONJA MAYANGA YOVANNI" u="1"/>
        <s v="PUNIL GUILLEN GUILLERMO" u="1"/>
        <s v="CUADROS VICENTE PEDRO ESTEBAN" u="1"/>
        <s v="JIMENEZ ESPARRAGA ELEUTERIO" u="1"/>
        <s v="DEZA URDAY MANUEL JESUS" u="1"/>
        <s v="CARDENAS CASTILLO EDWIN" u="1"/>
        <s v="HUAMAN GARRO TEODORO MAXIMO" u="1"/>
        <s v="PUNIL GUILLEN JONAS" u="1"/>
        <s v="MAYO CARBAJAL JUAN PABLO" u="1"/>
        <s v="PUNIL HUACRE DAYANA WYNY" u="1"/>
        <s v="DELGADO PANTOJA KATHERIN  LIZBETH" u="1"/>
        <s v="ASENCIOS VERGARA ARHIAN STEPHANO" u="1"/>
        <s v="RIOS GALVEZ FRANCO ROY" u="1"/>
        <s v="CAÑAZACA PEREZ LUIS FRANCO" u="1"/>
        <s v="CERDAN QUISPE ROBERTO ANGEL" u="1"/>
        <s v="CRIBILLERO LOPEZ EDUARDO" u="1"/>
        <s v="MANCO MARCIAL CESAR ALBERTO " u="1"/>
        <s v="SANCHEZ PACHAS ALEXANDRA" u="1"/>
        <s v="VASQUEZ GONZALES ELBER" u="1"/>
        <s v="VICENTE VILLANUEVA EDUARDO ALEXANDER" u="1"/>
        <s v="ALBAN CASTRO JASON PATRICK" u="1"/>
        <s v="CACHIQUE SABOYA GERVIR DENILSON" u="1"/>
        <s v="GALLEGOS RAMOS FIDEL " u="1"/>
        <s v="GUTIERREZ RIOS PEDRO ERNESTO" u="1"/>
        <s v="LA ROSA COLOMA ORLANDO RUBEN " u="1"/>
        <s v="ALVARADO BARRIOS DANY MANUEL" u="1"/>
        <s v="CHINCHAY CORDOVA PERCY EDWIN " u="1"/>
        <s v="CRUZ CARRASCO JOSE" u="1"/>
        <s v="CUSIRRAMOS SOTO DANITZA" u="1"/>
        <s v="DUARTE RAMIREZ YSRAEL AARON " u="1"/>
        <s v="GARCIA DAVILA SANTIAGO ENRIQUE " u="1"/>
        <s v="GASTULO TICLIA CONRADO " u="1"/>
        <s v="GOMEZ CAITIMARI EDWIN PAUL " u="1"/>
        <s v="GONZALES CONTRERAS ALEXANDER EDER " u="1"/>
        <s v="JUAREZ IPANAQUE VICTOR HUGO" u="1"/>
        <s v="MERMA MIGUEL RICARDO JUNIOR" u="1"/>
        <s v="MIO GUEVARA VICKY" u="1"/>
        <s v="MIRANDA ROJAS PEDRO" u="1"/>
        <s v="VASQUEZ ALIAGA LUIS " u="1"/>
        <s v="VILCHEZ CHAFLOQUE JORGE MIGUEL " u="1"/>
        <s v="ACHO RENGIFO WENINGER" u="1"/>
        <s v="AHICA PALOMINO JEAN FRANCO " u="1"/>
        <s v="AYALA VALVERDE ROBERTO" u="1"/>
        <s v="CAMPO ARTETA ULISES GUILLERMO" u="1"/>
        <s v="CESPEDEZ VILLEGAS LUIS " u="1"/>
        <s v="ESTRELLA ARISTA ALDO RAY" u="1"/>
        <s v="FLORES MENDOZA TOM BERNABE" u="1"/>
        <s v="GARCIA SARMIENTO ITALO MIGUEL" u="1"/>
        <s v="JULCAHUANCA ROSILLO GILMER AUGUSTO" u="1"/>
        <s v="LA ROSA COLOMA CARLON MIGUEL" u="1"/>
        <s v="MALDONADO FARIAS JOSUE HENRY" u="1"/>
        <s v="MEDINA FIGUEROA LUIGGY ANDRES" u="1"/>
        <s v="MORA CARRERO FRANK ALEXIS" u="1"/>
        <s v="NAPA ESPINOZA YANCARLO" u="1"/>
        <s v="OLIVER ESPINAL PAULO CESAR" u="1"/>
        <s v="PAREDES HUASASQUICHE BRAYEAN ETSMITH" u="1"/>
        <s v="SORIA CARDOZO JUAN JOSE" u="1"/>
        <s v="ALVA TOMAS CRISTIAN MARCEL " u="1"/>
        <s v="AZABACHE DIAZ ANGEL " u="1"/>
        <s v="BRAVO ZARATE RICHARD" u="1"/>
        <s v="CARHUANCHO ÑAUPARI ADLER ANGEL" u="1"/>
        <s v="CESPEDEZ VARGAS LUIS ENRIQUE " u="1"/>
        <s v="MING FERNANDEZ FRANCISCO JESUS" u="1"/>
        <s v="MORALES MAMANI DAVID " u="1"/>
        <s v="ORELLANA YUPANQUI ARTURO " u="1"/>
        <s v="PAJILLA BOCANEGRA RONALD " u="1"/>
        <s v="QUISPE MARIN EDGAR RUBEN" u="1"/>
        <s v="SARMIENTO GOMEZ DANIEL ARMANDO " u="1"/>
        <s v="SILVA QUISPE JOHANN RAUL " u="1"/>
        <s v="TORRES SANTOS JOHAN MIGUEL" u="1"/>
        <s v="VALDIVIA CALDERON VICTOR JACK" u="1"/>
        <s v="VIDAL LEONARDO JOSE ALBERTO" u="1"/>
        <s v="ZUÑIGA TORRES MARCO ANTONIO " u="1"/>
        <s v="AMASIFEN PASHANASI ROGER ALFREDO " u="1"/>
        <s v="FLORES USHIÑAHUA LUIS" u="1"/>
        <s v="FLORES ZAMBRANO CARLOS MARTIN" u="1"/>
        <s v="LLERENA RAMIREZ  BRAY" u="1"/>
        <s v="MARQUEZ SALAZAR JIMMY " u="1"/>
        <s v="MORALES IMAN MIGUEL ANGEL" u="1"/>
        <s v="QUIROZ HERRERA PEDRO URIEL" u="1"/>
        <s v="SILVA TIRADO JAIME" u="1"/>
        <s v="ZAMBRANO LLAMOCURI TIMOTEO" u="1"/>
        <s v="ASCENCIO FUENTES MARCELINO HERNAN" u="1"/>
        <s v="ASENCIOS ARIZA FERMIN ALEJANDRO" u="1"/>
        <s v="GARCIA RIOS JOSE ANTONIO" u="1"/>
        <s v="PERALTA  GARCIA LUIS" u="1"/>
        <s v="RIVERO RAMIREZ SANDRO CESAR" u="1"/>
        <s v="DAMIAN MORALES EMILIO " u="1"/>
        <s v="CHANG MUÑOZ LUIS EDUARDO" u="1"/>
        <s v="Bukuig Ampam Lilberto " u="1"/>
        <s v="Chilin Meza Gianfranco Edgar" u="1"/>
        <s v="Antonio Quispe Jayro Roly" u="1"/>
        <s v="Bukuig Quintui Lidio" u="1"/>
        <s v="Cordova Phocco Belzu Teodoro" u="1"/>
        <s v="De la Cruz Sanchez, Juan Carlos" u="1"/>
        <s v="Leandro Hurtado Jesus Kevin" u="1"/>
        <s v="Peceros Ticlla Jean Carlos" u="1"/>
        <s v="Pillaca Yauri Jose Anthony" u="1"/>
        <s v="Taboada Montes Andy Joel" u="1"/>
        <s v="Trucios Sullca Julio Cesar" u="1"/>
        <s v="Diaz Alfaro Brayan" u="1"/>
        <s v="Carretero Chuman José Luciano" u="1"/>
        <s v="Casio Valentin Yulino" u="1"/>
        <s v="Guiño Orizano Jhonatan Alexander" u="1"/>
        <s v="Ramirez Ruiz, Lerner" u="1"/>
        <s v="Villanueva Guevara Saul Dalton" u="1"/>
        <s v="Herrera Barboza Jhan Franco" u="1"/>
        <s v="Quispe Cordova Jose Jhonnathan" u="1"/>
        <s v="Quispe flores Israel" u="1"/>
        <s v="Ramirez ochoa Raul " u="1"/>
        <s v="Sanchez Suarez Jose Segundo" u="1"/>
        <s v="Sotomayor Ayala Freder" u="1"/>
        <s v="Zea Condori Moises" u="1"/>
        <s v="Agama Herbozo, Yhojan" u="1"/>
        <s v="Castañeda Becerra Daniel" u="1"/>
        <s v="Silva Chiroque Jose Eddy" u="1"/>
        <s v="Velarde Palomino Juan Carlos" u="1"/>
        <s v="Agüero Salguedo Dante Adolfo" u="1"/>
        <s v="Bravo Romero Pedro Pascual" u="1"/>
        <s v="Calderon Davila Jhonny Paul" u="1"/>
        <s v="Chambilla Toncconi Carlos" u="1"/>
        <s v="Huaman Blacido Orlando Leonardo" u="1"/>
        <s v="Rivas Candela Raul Martin" u="1"/>
        <s v="Vasquez Enriquez Marco" u="1"/>
        <s v="Avila Rodriguez Gunther" u="1"/>
        <s v="Gamarra Vasquez Miguel Angel" u="1"/>
        <s v="Carbajal Huillcapoma Juan" u="1"/>
        <s v="Izaguirre Muñoz Javier" u="1"/>
        <s v="AgamaOstos Pedro" u="1"/>
        <s v="Agama Ostos Primitivo" u="1"/>
        <s v="Lopez Tamani Henrry Luis" u="1"/>
        <s v="CALLAN RAMOS CHISTIAN ALEXANDER" u="1"/>
        <s v="NAPANGA CARBAJAL  JOSE ANTONIO" u="1"/>
        <s v="GUEVARA LAZARO ANNIE EMELY" u="1"/>
        <s v="CASTAÑEDA QUILCARO WENDY MELISSA" u="1"/>
        <s v="FELIX MENDOZA MILWAR " u="1"/>
        <s v="ALVAREZ ESPINO JOSE LUIS" u="1"/>
        <s v="RIVAS ZEVALLOS JAIME ALBERTO" u="1"/>
        <s v="SILVA PINTO DANIEL ALBERTO" u="1"/>
        <s v="TORRES YATACO CRISTHIAN ARMANDO" u="1"/>
        <s v="MUÑANTE SOLIS JOSE MOISES" u="1"/>
        <s v="HERNANDEZ ROJAS PERCY JOEL" u="1"/>
        <s v="MENDOZA RIVEROS ROLANDO" u="1"/>
        <s v="LOPEZ PEZO RICHARD POOL" u="1"/>
        <s v="MENDOZA RAMOS HENRY OMAR" u="1"/>
        <s v="SEGURA VELA AURELIO" u="1"/>
        <s v="OROZCO RODRIGUEZ CESAR AUGUSTO" u="1"/>
        <s v="RIVERA CASTILLO MARCOS MANUEL" u="1"/>
        <s v="MARINA SANCHEZ CARLOS MARTIN" u="1"/>
        <s v="ASTUCURI  RIVERA JOSE ORLANDO" u="1"/>
        <s v="MANRIQUE PACCI MARVIN AGUSTO" u="1"/>
        <s v="NEYRA DOMADOR NILTON EULER" u="1"/>
        <s v="PILLCA  VILLA  RONALD" u="1"/>
        <s v="SANCHEZ CULQUI PERCY LARRY" u="1"/>
        <s v="AGUIRRE TANGOA CARLOS ELVIS" u="1"/>
        <s v="ALARCON BRYSON, RANDY" u="1"/>
        <s v="REATEGUI GARCES RAUL" u="1"/>
        <s v="EVANAN QUISPE JORGE ENRIQUE" u="1"/>
        <s v="GALINDO GARCIA CARLOS ALBERTO" u="1"/>
        <s v="ORDOÑEZ DAVILA CARLOS TILBER" u="1"/>
        <s v="PERALTA PEREZ YANIN PIERINA" u="1"/>
        <s v="FRANCO CASANA OSCAR" u="1"/>
        <s v="PEREZ FERNANDEZ CESAR PERCY" u="1"/>
        <s v="ECHAGARAY HUARCAYA EVILIO" u="1"/>
        <s v="QUISPE VILCA RODOLFO" u="1"/>
        <s v="CRUZ AYAUCA ALBERTO" u="1"/>
        <s v="ZAMBRANO ROMERO OSCAR DOMINGO" u="1"/>
        <s v="TARAZONA DOMINGUEZ  WINICO  JULIO " u="1"/>
        <s v="ESPINOZA PAUCAR  ABNER  ABRAHAM  " u="1"/>
        <s v="QUISPE ORTIZ MARIO   " u="1"/>
        <s v="ALVARO ARIRAMA RAMIREZ" u="1"/>
        <s v="ADRIAN ROLANDO HUANCA HUAQUISTO" u="1"/>
        <s v="WALTER JAVIER VEGA URCOS" u="1"/>
        <s v="DYKE MITCHELL CLAUDIO FERRER" u="1"/>
        <s v="PEÑA CALIZAYA CESAR AUGUSTO" u="1"/>
        <s v="ARTETA JARAMILLO ABRAHAM JUNIOR" u="1"/>
        <s v="CÁRDENAS CALLE EMMY ISABEL STEPHANY" u="1"/>
        <s v="CASTRO VILLA DANTE CAMILO" u="1"/>
        <s v="FRANCO VALLEJOS CARLOS DANIEL" u="1"/>
        <s v="GARCIA VILLAFUERTE ESTEFANIA MARISOL" u="1"/>
        <s v="GUERRA JAIME, ERICK FABIAN" u="1"/>
        <s v="HUARANGA NALBARTE, DESIREÉ BEATRIZ" u="1"/>
        <s v="ORDOÑEZ RIVERA KAREN GERALDINE" u="1"/>
        <s v="PACO LEGUA HAROLD ALONSO" u="1"/>
        <s v="PUSCAN  CORTEZ ESTRELLA ROMINA" u="1"/>
        <s v="RAMIREZ HUATUCO OSWALD RICARDO" u="1"/>
        <s v="ROJAS SILVA, EDWIN JESUS" u="1"/>
        <s v="SALINAS PRIETO, RAUL OMAR" u="1"/>
        <s v="SÁNCHEZ LAZO, LUIS ALFONSO" u="1"/>
        <s v="VALDIVIA JAEN, GRECIA SOFIA" u="1"/>
        <s v="VENTURO GOMEZ ELA DE FÁTIMA" u="1"/>
        <s v="ARANDA YUI, CINTHIA ARIANA" u="1"/>
        <s v="DURAN FLORES LUZ FIORELLA" u="1"/>
        <s v="LINARES ROMERO CLAUDIA MILAGROS" u="1"/>
        <s v="MARCACUZCO LINARES YANINA  ROSARIO" u="1"/>
        <s v="PALOMINO GAMARRA JOHNNY" u="1"/>
        <s v="RIVERA ROCA RAFAEL ADOLFO" u="1"/>
        <s v="SAMBUCETI ARATA, GIANLUCA VITTORIO" u="1"/>
        <s v="VALLE FERREIRA, ALBERTO FERNANDO" u="1"/>
        <s v="VEGA NICHO GABRIELA ELIZABETH" u="1"/>
        <s v="YAÑEZ CARDENAS EVA GIULIANA" u="1"/>
        <s v="ZUÑIGA MOGOLLON, YURY KOOS" u="1"/>
        <s v="ARANA ZEVALLOS HAROLD DANIEL" u="1"/>
        <s v="CHEEL GARIBALDI VANESSA" u="1"/>
        <s v="IBACETA DE LA ROSA WALTER" u="1"/>
        <s v="LEON PINO, TORIBIO JOSE" u="1"/>
        <s v="MEZA NORIEGA, FREDY ALEXIS" u="1"/>
        <s v="PEREA CHAU HEIDY GIOVANA" u="1"/>
        <s v="PEREZ MESÍAS MIGUEL ORLANDO" u="1"/>
        <s v="ESPINOZA SUAREZ DENIS" u="1"/>
        <s v="ALVARADO PIZARRO GUILLERMO FRANCISCO" u="1"/>
        <s v="COCHACHI ARRIETA DENISS ARTURO " u="1"/>
        <s v="PACHECO ORELLANA JORGE AGUSTIN" u="1"/>
        <s v="MENESES ROJAS JESUS ALFREDO" u="1"/>
        <s v="PICARDO GONZALES GIANFRANCO DANIEL" u="1"/>
        <s v="YOVERA SILUPU BRANDON STEVEN" u="1"/>
        <s v="LOJA TRUJILLO DARIO" u="1"/>
        <s v="PIZANGO MORI MIGUEL ANGEL" u="1"/>
        <s v="ASCURRA MARTINO LUIS RICARDO" u="1"/>
        <s v="POMA CARHUAS ANDRES ALVARO" u="1"/>
        <s v="ZAMBRANO GUERRA MARCELO" u="1"/>
        <s v="CHAHUA BERROSPI JOSE GUSTAVO" u="1"/>
        <s v="SHUPINGAHUA IHUARAQUI LUDWIN JHOE" u="1"/>
        <s v="CALDERON SULLCA SMITH HUGO" u="1"/>
        <s v="OLIVERA MUÑOZ MARCO ANTONIO" u="1"/>
        <s v="BRONCANO CHAVEZ RAFAEL RIVELINO" u="1"/>
        <s v="RODRIGUEZ JIMENEZ SERGIO PAUL" u="1"/>
        <s v="MENDOZA CARRION VICTOR RAUL" u="1"/>
        <s v="CACERES CAZZO ELIAS NESTOR" u="1"/>
        <s v="GUTIERREZ PEIXOTO JOHAN" u="1"/>
        <s v="YANA ARANGO HERNAN GUILLERMO" u="1"/>
        <s v="HINOJOSA BENDEZU EDGAR BRALLAN" u="1"/>
        <s v="PALACIOS SANTIAGO RAFAEL EDENSON" u="1"/>
        <s v="SALVADOR ZETA JOSE ANTONIO" u="1"/>
        <s v="OCHOA ARTEAGA CESAR" u="1"/>
        <s v="CORDOVA CAPRISTAN JOSE LUIS" u="1"/>
        <s v="CHAVEZ PANTOJA MAXIMO JUNIOR" u="1"/>
        <s v="PORRAS AVILA MANUEL TOMAS" u="1"/>
        <s v="PEREZ MARTINEZ JOSE LUIS" u="1"/>
        <s v="BENDEZU REGALADO DENNIS" u="1"/>
        <s v="SICCHA RAMIREZ PABLO ARMANDO" u="1"/>
        <s v="VAZQUEZ PACAYA TEODULO" u="1"/>
        <s v="CHAMAYA GOMEZ MARCO ANTONIO" u="1"/>
        <s v="ZEGARRA DIAZ JOHNNY JOAQUIN" u="1"/>
        <s v="ARCE ALTAMIRANO MANUEL" u="1"/>
        <s v="VALDIVIA ESPINOZA EDUARDO" u="1"/>
        <s v="GARAY SUAREZ GUSTAVO JORDAN" u="1"/>
        <s v="LEANDRO ALIAGA TEODOSIO" u="1"/>
        <s v="REYES BARRETO DANI JANPIER" u="1"/>
        <s v="MORMONTOY SALVADOR EDUARDO" u="1"/>
        <s v="FARIAS DURAND JAVIER ENRIQUE" u="1"/>
        <s v="CORDERO RONALD GREGORIO" u="1"/>
        <s v="ORTEGA ESCOBEDO HERNAN ARTURO" u="1"/>
        <s v="PINEDA CASAS CRISTOFER YAMPIER" u="1"/>
        <s v="CARDENAS TORRES OSCAR JOVINO" u="1"/>
        <s v="CORDOVA CAÑARE JOSE LUIS" u="1"/>
        <s v="ALBEAR ACHO JHONY ELOY" u="1"/>
        <s v="CORDOVA MANCO MOISES AKIRA" u="1"/>
        <s v="REYES MEZA JESUS" u="1"/>
        <s v="VASQUEZ HUAYTALLA JUNIOR VICENTE" u="1"/>
        <s v="SANTIAGO VALERIO MARCO ANTONIO" u="1"/>
        <s v="TELLO DIAZ CRISTOFER ALBERTO" u="1"/>
        <s v="MEMBRILLO MARTINEZ DANIEL JOSUE" u="1"/>
        <s v="ARAMBURU SARDA LUIS GABRIEL" u="1"/>
        <s v="ROMERO CAMASCA ABEL ANGEL" u="1"/>
        <s v="SALAZAR GUTIERREZ JOSUE ANTONIO" u="1"/>
        <s v="VELA PAREDES FRED WILLIANSON" u="1"/>
        <s v="GUERRERO MALAFAYA JIM ISAAC" u="1"/>
        <s v="PAUCAR TOCRA MARIO JULIAN" u="1"/>
        <s v="VIDAL HERNADEZ PERFECTO" u="1"/>
        <s v="MEDINA HUILLCARA PABLO HILARION" u="1"/>
        <s v="QUISPE HUACHANI ABEL HERNAN ARMANDO" u="1"/>
        <s v="LAZARO CHAVEZ RAQUEL YNDALICIA" u="1"/>
        <s v="GOMEZ SURCO EDSON CHIQUIÑO" u="1"/>
        <s v="COAQUIRA QUECARA PILAR ELVIRA" u="1"/>
        <s v="JIMY JAIR MENDOZA SILVA " u="1"/>
        <s v="JIMMY ORCON HERRERA" u="1"/>
        <s v=" VIVANCO LLANTO ITNAN ITAMAR" u="1"/>
        <s v="FLORES MONTES ALDAIR EDU" u="1"/>
        <s v="VIENA GONZALES NEISSER " u="1"/>
        <s v="SUNCION SAAVEDRA CARLA CAROLINA " u="1"/>
        <s v="RAMIREZ CHAVEZ MARIO SAMUEL" u="1"/>
        <s v="SANCHEZ GOMEZ JULIO CESAR " u="1"/>
        <s v="MIZA ALVARADO EYSER" u="1"/>
        <s v="FLORES ASENCIOS  MAVILA EUGENIA" u="1"/>
        <s v="AMASIFEN VALLES  RIQUER ELMER " u="1"/>
        <s v="TAYPE LIZANA GUSTAVO" u="1"/>
        <s v="GONZALES GONZALEZ YESSENIA SYLVANA" u="1"/>
        <s v="RUIZ CASTAÑEDA RICHARD KENYER" u="1"/>
        <s v="VALDIVIA DIAZ MARIA ISABEL " u="1"/>
        <s v="SUMOZO ANGULO FERNANDO JHAIR " u="1"/>
        <s v="SUMOZO ANGULO JOSE OMAR" u="1"/>
        <s v="CURI ECHAVARRIA URIEL PELELIS" u="1"/>
        <s v="PUMAYALLI MENDEZ JAIME" u="1"/>
        <s v="ESTELA ALEGRE ALBERTO CAYETANO" u="1"/>
        <s v="SILVA MOGROVEJO ZAMAIR PHUL" u="1"/>
        <s v="PUERTA HUAMAN JOSE LUIS" u="1"/>
        <s v="VICTORIO AMADOR EDUARDO SIMON " u="1"/>
        <s v="MAYTAHUARI SORIA JUAN LINORIO" u="1"/>
        <s v="FLORES ASENCIOS SONIA MARIA " u="1"/>
        <s v="RUESTA SEMINARIO ELVIS ALFREDO" u="1"/>
        <s v="AGURTO MARQUEZ LEONARDO" u="1"/>
        <s v="FLORES ASENCIOS ALICIA IRMA" u="1"/>
        <s v="VILCHEZ MARTINEZ HUGO CESAR" u="1"/>
        <s v="MARADIEGUE PASACHE ANIBAL RICARDO" u="1"/>
        <s v="ROMERO LOPEZ JHONNY GUSTAVO" u="1"/>
        <s v="APATA MEDRANO YHON VICENTE " u="1"/>
        <s v="CORDOVA BLANCAS JESUS CARLOS " u="1"/>
        <s v="MONTAÑO SONO DANIEL EDUARDO " u="1"/>
        <s v="APATA MEDRANO WILMER CARLOS" u="1"/>
        <s v="FLORES CERNA JUAN BAUTISTA" u="1"/>
        <s v="PILCO ESPINOZA CARLOS ALBERTO " u="1"/>
        <s v="DAVILA PEREZ ALEXIS RAUL" u="1"/>
        <s v="VARGAS TICONA  JAIME WILBERT" u="1"/>
        <s v="CORTEZ ESPINOZA JOEL ALFREDO" u="1"/>
        <s v="DIAZ DAVILA EDWIN ROSYSER" u="1"/>
        <s v="GAMERO MORENO JOSE ABRAHAM" u="1"/>
        <s v="SANTILLAN ALFARO EDER SAUL" u="1"/>
        <s v="CONDOR GARCIA MARIANO EDUARDO JESUS " u="1"/>
        <s v="ALVAREZ GARCIA BENJI ANDREI " u="1"/>
        <s v="GUZMAN YLLA LUIS MIGUEL " u="1"/>
        <s v="ESPINO GARCIA CARLOS MANUEL" u="1"/>
        <s v="ANCCO PONCE MARIO ENRIQUE " u="1"/>
        <s v="YATACO CHOQUES CARLOS ALBERTO" u="1"/>
        <s v="ROMAN MAZA EDWARD JHONATHAN" u="1"/>
        <s v="ESCUDERO MEJIA PIERO ADOLFO" u="1"/>
        <s v="TICLAYAURI SALVATIERRA PIERO JESUS" u="1"/>
        <s v="BARRETO RONCEROS ALEXA" u="1"/>
        <s v="GARCIA ALVAREZ JOEL" u="1"/>
        <s v="SIMEON FERRARI LIZ JANE" u="1"/>
        <s v="SEDANO VASQUEZ JENRRY EDZON" u="1"/>
        <s v="ASENJO FARRO VICTOR ALFREDO" u="1"/>
        <s v="RUIZ ANDRADE ENRIQUE" u="1"/>
        <s v="CORTEZ VEGA VICTOR" u="1"/>
        <s v="YOVERA MARTEL YAMIR GIOVANNY" u="1"/>
        <s v="SAMANAMUD MEDINA ANDERSON FABIAN" u="1"/>
        <s v="OVIEDO ANDRADE ANYELLO JAIR" u="1"/>
        <s v="BERRIOS CASTAÑEDA HARLEM ALAYI " u="1"/>
        <s v="HUANSI VEGA, JIMMY" u="1"/>
        <s v="TERRONES AYALA, WALTER EMMANUEL" u="1"/>
        <s v="BERNABE SUAREZ JAIRO JAIR" u="1"/>
        <s v="HUANSI VEGA ERIC LALO" u="1"/>
        <s v="SIQUEIRA DE OLIVEIRA MATEUS " u="1"/>
        <s v="SERVAT BUITRON LUIS IVAN EZEQUIEL " u="1"/>
        <s v="CAMPOSANO UBALDO ADRIAN ARTURO " u="1"/>
        <s v="RUWLY DARWIN ARIRAMA PACAYA" u="1"/>
        <s v="LAPA ARNESQUITO JEFERSON MICHAEL " u="1"/>
        <s v="VILCHEZ YARLEQUE RONNY FRANK" u="1"/>
        <s v="VILLEGAS UBALDO VICTOR RAUL " u="1"/>
        <s v="OVIEDO ANDRADE EDSON PAUL " u="1"/>
        <s v=" MALLQUI PARIONA RONAL" u="1"/>
        <s v="DIEGO ALONSO PURIZACA" u="1"/>
        <s v="ARIRAMA VASQUEZ DIEGO " u="1"/>
        <s v="ASHLY LESLY MONTES ROSALES " u="1"/>
        <s v="CÈSAR GUSTAVO SABOGAL DAMIÀN" u="1"/>
        <s v="ISAAC ISAIAS LOPEZ MIRANDA " u="1"/>
        <s v="OSIAS MORI SHAHUANO " u="1"/>
        <s v="GARCIA CASTAÑEDA DALVER BRIEDE" u="1"/>
        <s v="ACXEL DRIUCK VIDAL VELAZCO" u="1"/>
        <s v="PINEDO PADILLA JOSE LEANDRO" u="1"/>
        <s v="MEZA ESPINOZA SHULLER" u="1"/>
        <s v="MARQUINA TRIGOSO, LEONIDAS FLAVIO" u="1"/>
        <s v="PINEDO CACHIQUE MILAGROS" u="1"/>
        <s v="MEZONES ASIN JORGE NELL" u="1"/>
        <s v="JURADO RAMOS MAX JOSEH" u="1"/>
        <s v="MEZONES ASIN CHRISTIAN NELL" u="1"/>
        <s v="PAIPAY SOCA EDGAR JAIROL" u="1"/>
        <s v="LAZARTE PEREZ CESAR EDUARDO " u="1"/>
        <s v="YAICATE NASHNATE MARCO ANTONIO CRISTOPER" u="1"/>
        <s v="DA SILVA JOSE PEDRO" u="1"/>
        <s v="SABOGAL ALVAREZ ANGEL RICARDO " u="1"/>
        <s v=" HURTADO MEDINA ERICK DONNY" u="1"/>
        <s v=" CRUZ PORTOCARRERO OMAR" u="1"/>
        <s v="VICUÑA CRUZ LUIS ALFONSO " u="1"/>
        <s v="BENITO AIRALDI PAUL DANIEL " u="1"/>
        <s v="MOZOMBITE PIZANGO IVAN " u="1"/>
        <s v="YURI AMACIFUEN TUANAMA" u="1"/>
        <s v="ZORRILLA ANTEZANA YOEL " u="1"/>
        <s v=" ECHEVARRIA VASQUEZ CHRISTIAM ANDRES" u="1"/>
        <s v="BACA FLORES LUIS FELIPE " u="1"/>
        <s v="NOLASCO JAUREGUI ADERLY HUSTON " u="1"/>
        <s v=" NIETO ARAMBURU JULIO CESAR" u="1"/>
        <s v="RICARDO RENATO RUEDA VIDAL" u="1"/>
        <s v="PAREDES FLORES LUIS " u="1"/>
        <s v="BEDON CONTRERAS ALBERTO MOISES " u="1"/>
        <s v=" REATEGUI PIZANGO VICTOR SEGUNDO" u="1"/>
        <s v="SIFUENTES MENACHO MAX JOEL " u="1"/>
        <s v="QUICUBE TAMANI JHEISON STALY " u="1"/>
        <s v="HUAYTA LUCIANO SHIRLEY MADONA" u="1"/>
        <s v="ROJAS QUESQUEN BOYNE YAIR " u="1"/>
        <s v="SANDOVAL CHAVEZ KEVIN LUIS " u="1"/>
        <s v="CHANCHARI GUERRA JOEL HUMBERTO " u="1"/>
        <s v="ALAN JOEL GAMARRA FARROÑAY " u="1"/>
        <s v="ARNOLD LEE ORIUNDO MENDOZA" u="1"/>
        <s v="ISAAC MORALES GARCÌA" u="1"/>
        <s v="JOHNNY CESAR CALDERON HUAMAN " u="1"/>
        <s v="JORGE LUIS TRUJILLO SHUPINGAHUA " u="1"/>
        <s v="JOSE LUIS CATANGA TARICUARIMA " u="1"/>
        <s v="MARLON BANDA GONZALES " u="1"/>
        <s v="MARLON STEVENS ORIUNDO MENDOZA" u="1"/>
        <s v="NICOLI TUANAMA YEPEZ" u="1"/>
        <s v="TERENCIO WILDER VARGAS INFANZON " u="1"/>
        <s v="GONZALEZ ORREGO ADRIANA" u="1"/>
        <s v="MARCELO LUZQUIÑOS ANDREE ALFONSO" u="1"/>
        <s v=" CARRERA NAVAS VICTOR ALEJANDRO" u="1"/>
        <s v="CISTERNA ROMAN JEINER" u="1"/>
        <s v="COILA CORA ROGER" u="1"/>
        <s v="CESAR MANUEL HUANSHA PEREZ" u="1"/>
        <s v="MALASPINA GIRALDO PEDRO FRANCISCO" u="1"/>
        <s v=" HUAJA NINA ELEODORO" u="1"/>
        <s v="DOS SANTOS JUAREZ CARLOS " u="1"/>
        <s v="DOS SANTOS, JEFERSON HENRIQUE" u="1"/>
        <s v="DE SOUZA VIANA NADIER " u="1"/>
        <s v=" SABOGAL ALVAREZ JUAN CARLOS" u="1"/>
        <s v="FARFAN SEGURA YILMAR HUGO" u="1"/>
        <s v="CHAGUA TORRES JORGE LUIS " u="1"/>
        <s v="SHARON MEJIA WILDER " u="1"/>
        <s v="DAVID ANTHONY FUENTES CAMPOS " u="1"/>
        <s v="JORGE ARLES PINEDO AHUANARI " u="1"/>
        <s v="LEVINSON SHAPIAMA CATANGA " u="1"/>
        <s v="MIGUEL ANGEL VARGAS ANGULO " u="1"/>
        <s v="PEPE REYES TINEO" u="1"/>
        <s v="DONAYRE MORAN JOAQUIN LIZARDO" u="1"/>
        <s v="BIANCHI GRANADOS OSCAR GABRIEL" u="1"/>
        <s v="MUÑOZ LANDAETA ANDRES GREGORIO" u="1"/>
        <s v="SANTIANI PAREDES CHRISTOPHER MIGUEL " u="1"/>
        <s v="GODOY IPANAQUE ANDY" u="1"/>
        <s v="MEDINA TORALES MIGUEL ANGEL " u="1"/>
        <s v="MAYTA VEGA JULISSA ALIDA " u="1"/>
        <s v="CACERES NAUPA ELVIS ONASIS " u="1"/>
        <s v="CACERES NAUPA CHRISTIAN KENNYDE " u="1"/>
        <s v="CEDEÑO RODRIGUEZ KERLYN JOSE " u="1"/>
        <s v="UQUICHE ALHUAY EUSEBIO FERNANDO" u="1"/>
        <s v="GUTIERREZ GAMARRA HABUC " u="1"/>
        <s v="SABOGAL ALVAREZ CESAR AUGUSTO " u="1"/>
        <s v=" FUENTES ROSA SAMUEL ANDRES " u="1"/>
        <s v="GARIBAY ORTIZ, LISBETH" u="1"/>
        <s v="ÑAHUI CABRERA LIDIA" u="1"/>
        <s v="MARQUEZ TAVARA FRANCISCO ALFONSO" u="1"/>
        <s v="AGUIRRE MORENO JUAN TEODORO" u="1"/>
        <s v="CUETO MEDRANO OSCAR JESUS" u="1"/>
        <s v="FLORIAN LUYO NICOLAZ BENEDICTO" u="1"/>
        <s v="OROYA SINCHE MOISES SEBASTIAN" u="1"/>
        <s v="AREVALO VITON JOSE KELVIN" u="1"/>
        <s v="CONDOR HUACAUSI CARLOS DAVID OMAR" u="1"/>
        <s v="VILCAPUMA PUCHO GUSTAVO ADOLFO" u="1"/>
        <s v="VALENCIO COARITE WALTER" u="1"/>
        <s v="OCHANTE ORTIZ JAVIER EMILIO" u="1"/>
        <s v="AGUILAR BOBADILLA JAMES" u="1"/>
        <s v="CALLE APONTE PEDRO MARIO" u="1"/>
        <s v="Lima Marcañaupa, Wilder" u="1"/>
        <s v="Ragas Osorio, Randy Josue" u="1"/>
        <s v="Adriano Espinoza, Herbert" u="1"/>
        <s v="Agreda Rossi ,Gian Marco Anderson" u="1"/>
        <s v="Borges Favaro, Carolina" u="1"/>
        <s v="Buleje Tolentino, Jesús" u="1"/>
        <s v="Carrasco Llamocca, Modesto" u="1"/>
        <s v="Choccelahua Huacho Wilber" u="1"/>
        <s v="Cumpa Llamoja, Edson Orlando" u="1"/>
        <s v="Falcon Bocanegra, Frank Richard " u="1"/>
        <s v="Flores Huani Kennedy Joshept" u="1"/>
        <s v="Garcia, Victor Hugo" u="1"/>
        <s v="Mendoza Córdova, Javier" u="1"/>
        <s v="Mendoza Córdova, Manuel Enrrique" u="1"/>
        <s v="Rivera Becerra, Miguel Angel" u="1"/>
        <s v="Salazar Torres, Italo Jean Fracio" u="1"/>
        <s v="Salvatierra Lizana, Samuel" u="1"/>
        <s v="Sanchez Pendola, Jefferson Joel" u="1"/>
        <s v="Soto Chavez, Freddy Miguel" u="1"/>
        <s v="Taype Espinoza, Yone" u="1"/>
        <s v="Tenorio Ortiz, Rosmel" u="1"/>
        <s v="Teran Matute, Jefferson Fredwing" u="1"/>
        <s v="Tineo Huamani Emanuel Victor" u="1"/>
        <s v="Torrealba Garcia Junior José Luis" u="1"/>
        <s v="Vargas Ccuno, Luis Fernando" u="1"/>
        <s v="Zeña Ccorahua, Jhonatan" u="1"/>
        <s v="Zuloeta Davila, Miguel" u="1"/>
        <s v="Alejandro Jara, Edgard Stalin" u="1"/>
        <s v="Alpaja Martinez, Luis Alberto" u="1"/>
        <s v="Araujo Dominguez, Estalper Constante" u="1"/>
        <s v="Baca Perez Joel" u="1"/>
        <s v="Baldeón Torres, Nes Lee" u="1"/>
        <s v="Cajacuri Huamán Juan José" u="1"/>
        <s v="Canga Alvarado, Segundo Charles" u="1"/>
        <s v="Cayotopa Azula, Wilder" u="1"/>
        <s v="Centurion Martinez, Erlin Salvador" u="1"/>
        <s v="Cesinario Quezada, Victor Michael" u="1"/>
        <s v="Choccelahua Huacho José Julio" u="1"/>
        <s v="Do Nascimento Lira, Fabricio" u="1"/>
        <s v="Esquivel Vara, Francisco Roberto" u="1"/>
        <s v="Fagundes da Silva, Jonatas" u="1"/>
        <s v="Felix Cahuana, Tatiana" u="1"/>
        <s v="Flores Osorio, John Walter" u="1"/>
        <s v="Gomes Junior, Nilmar Arao" u="1"/>
        <s v="Gomez Cruz, José Antonio" u="1"/>
        <s v="Huamantinco Pascual, Edgar Misael" u="1"/>
        <s v="Huamantinco Sanchez, Lizbeth" u="1"/>
        <s v="Lang Miranda, Luis Angel" u="1"/>
        <s v="Levano Calderon, Omar Gustavo" u="1"/>
        <s v="Loza Jimenez Iymer Ronel" u="1"/>
        <s v="Medina Jimenez Yeiver" u="1"/>
        <s v="Mora Carruitero, Kelvin Fernando" u="1"/>
        <s v="Mori Lopez, Ronald Herbert" u="1"/>
        <s v="Muñoz Legua, Jorge Hernán" u="1"/>
        <s v="Neyra Castañon, Luis Eduardo" u="1"/>
        <s v="Nuñez Huaman, Demetrio" u="1"/>
        <s v="Obando Pretell, Ysraerl Leodan" u="1"/>
        <s v="Ochavano Rodriguez, Fidel" u="1"/>
        <s v="Pallarco Araujo, Noe David " u="1"/>
        <s v="Pallarco Araujo, Saul Esau" u="1"/>
        <s v="Quiñones León ,Erick Paul" u="1"/>
        <s v="Quiñones León, Miguel Angel" u="1"/>
        <s v="Quiñones Rivera, Jose Luis" u="1"/>
        <s v="Retuerto Blas, Fortunato Luis" u="1"/>
        <s v="Rios Soria Franco Billy" u="1"/>
        <s v="Rivera Becerra, Jack Antonino" u="1"/>
        <s v="Rocha Chesley" u="1"/>
        <s v="Rodrigo Taracaya Fredy" u="1"/>
        <s v="Rojas Palomino, Pedro Ernesto" u="1"/>
        <s v="Rosales Vilca, Fernando Emilio" u="1"/>
        <s v="Sedano Sullcaray Jaime Rafael" u="1"/>
        <s v="Tapullima Guerrera, Viterbo Eli" u="1"/>
        <s v="Vargas Arredondo ,Luis Alfredo" u="1"/>
        <s v="Vilcapoma Yaure, José Javier" u="1"/>
        <s v="Aguilar De La Vega, David" u="1"/>
        <s v="Ayala Basualdo, Crisologo Detler" u="1"/>
        <s v="Baldeón Cardenas Zenón Cirilo" u="1"/>
        <s v="Baldeón Torres Ruben Yale" u="1"/>
        <s v="Bandeira Teixeira, Fabiano" u="1"/>
        <s v="Bernui Livia Narciso Martín" u="1"/>
        <s v="Canchari Pituy, Epifanio Angel" u="1"/>
        <s v="Casanova Yupanqui, Samuel Marcelo" u="1"/>
        <s v="Ccahuana Ñahuis Max" u="1"/>
        <s v="Cerna Depaz Juan Jose " u="1"/>
        <s v="Chavez Condor, Mario Martin" u="1"/>
        <s v="Condoli Huamani Jose Luis" u="1"/>
        <s v="Da Silva Da Silva, Odelqleber Aparecido" u="1"/>
        <s v="Espinoza Ostos, Jorge Luis" u="1"/>
        <s v="Estrada Veliz, Eduardo Richar" u="1"/>
        <s v="Falcon Tuanama, Cronver" u="1"/>
        <s v="Farro Bustamante ,Jesús Karina" u="1"/>
        <s v="Flores Payano, Juan Manuel" u="1"/>
        <s v="Guzman Guerrero, Oscar" u="1"/>
        <s v="Huayhua Cucho, Julio Javier" u="1"/>
        <s v="Lafex Pare, Raul Santos" u="1"/>
        <s v="Laura Chanca Prudencio" u="1"/>
        <s v="Mansilla Guerra, Miguel Angel" u="1"/>
        <s v="Medina Abanto, Wilder" u="1"/>
        <s v="Millones Reque Jorge" u="1"/>
        <s v="Minaya Mezarina, Rusbel Paulino" u="1"/>
        <s v="Montañez Diaz, Gustavo Armitiano" u="1"/>
        <s v="Neyra Castañon, Carlos Eduardo" u="1"/>
        <s v="Ortiz Cortez Marluis Alberto" u="1"/>
        <s v="Pinillos Flores, Jorge Luis" u="1"/>
        <s v="Quiroz Tambini Piero Mitchel" u="1"/>
        <s v="Quispe Garcia, Miguel Angel" u="1"/>
        <s v="Quispe Guillen, Rafael Dario" u="1"/>
        <s v="Saldaña Salome, Javier Ivan" u="1"/>
        <s v="Sanchez Gutierrez, Sixto Froilan" u="1"/>
        <s v="Soria Arcentales, Antonio Martin" u="1"/>
        <s v="Tanchiva Ojanama, Manuelito" u="1"/>
        <s v="Tejada Valencia, Lennin Oliveen" u="1"/>
        <s v="Tenorio Tauma, Hugo Dante" u="1"/>
        <s v="Teves Vilca, Richar Lucho" u="1"/>
        <s v="Torres Ichpas Hector" u="1"/>
        <s v="Vargas Portella Niltón Roberth" u="1"/>
        <s v="Varillas Querevalu Paul Wilson" u="1"/>
        <s v="Vega Huaranga Carlos Cesar" u="1"/>
        <s v="Velasco Huamani, Jairzinho José" u="1"/>
        <s v="Zavaleta Moya, Walter Paul" u="1"/>
        <s v="Bautista Gomez, Juan" u="1"/>
        <s v="Becerra Rayo, Antonio" u="1"/>
        <s v="Cumpa Yupton, Carlos Alberto" u="1"/>
        <s v="Ferreira de Almeida, Francisco" u="1"/>
        <s v="Garay Pampa, Julio Fernando" u="1"/>
        <s v="Mamani León, David" u="1"/>
        <s v="Mitma Nina ,Cesar" u="1"/>
        <s v="Palacios Cruz, Hiler" u="1"/>
        <s v="Pareja Escalante, Luis" u="1"/>
        <s v="Rivera Cerron, Fortunato" u="1"/>
        <s v="Rodriguez Suarez, Santo Modesto" u="1"/>
        <s v="Rojas Reyes, Lamberto Alejandro" u="1"/>
        <s v="Urcia Palomino, Hugo Gustavo" u="1"/>
        <s v="Vargas Quecaño, David" u="1"/>
        <s v="Vilcahuaman Pascual, Ever Eudal" u="1"/>
        <s v="Villavicencio Leyva,Oscar" u="1"/>
        <s v="Zabala Rojas, Oseas Abel" u="1"/>
        <s v="Zeña Sipion, Jorge Adalberto" u="1"/>
        <s v="De Almendia Favaro, Carlos Roberto" u="1"/>
        <s v="Gutierrez Gutierrez, Juan Domingo" u="1"/>
        <s v="Molleda Estrada Alfonso Manuel" u="1"/>
        <s v="Santa Cruz Moscoso Leonardo" u="1"/>
        <s v="Sucasaire Pacco, Hector" u="1"/>
        <s v="URIBE GAMARRA ROBERTO CARLOS" u="1"/>
        <s v="BENGOA IRAZABALBEITIA LUIS MARIA" u="1"/>
        <s v="INFANTE ALVARADO YAILETH NATHALI" u="1"/>
        <s v="GONZALES BERNAL LUIS ENRIQUE" u="1"/>
        <s v="SALVADOR PERALTA RODRIGO ALDO" u="1"/>
        <s v="COSME REYES ROSSY ALEJANDRA" u="1"/>
        <s v="BARRIOS RIMACHI JUNIOR ERNESTO" u="1"/>
        <s v="HURTADO CANTURINI FRANCOINS JEREMY" u="1"/>
        <s v="OLIVARES RONDON LEONARDO. JESUS" u="1"/>
        <s v="TAFUR JARA JUAN" u="1"/>
        <s v="SANDOVAL CARDENAS LEANDRO HECTOR" u="1"/>
        <s v="ABANTO PEREZ GARY COOPER" u="1"/>
        <s v="SIGUAS ANDIA LLIMER OMAR" u="1"/>
        <s v="LOPEZ MANCESIDOR RICARDO JESUS" u="1"/>
        <s v="SANCHEZ MEDINA YANINA" u="1"/>
        <s v="MONTOYA JAQUELINE " u="1"/>
        <s v="RIVERA CACEDA GIOVANNY" u="1"/>
        <s v="GUERRERO RUIZ JOFFRE DUSTIN" u="1"/>
        <s v="SAMANIEGO  ROJAS CRISTIAN HUGO" u="1"/>
        <s v="MARCELIANO OLIVERA JUAN ALBERTO" u="1"/>
        <s v="ALVAREZ MENDOZA TONY ORLANDO" u="1"/>
        <s v="FELIPE ALMEYDA JESUS ROBERTO" u="1"/>
        <s v="MAMANI HUALLA NILO JESUS" u="1"/>
        <s v="DELGADO SOLIS JOHAN HERNANDO" u="1"/>
        <s v="Quisper Miranda Elber Jhunior" u="1"/>
        <s v="VALDIVIA SANTILLAN MILTON" u="1"/>
        <s v="AYALA LASTRA DEYVI ROMEL" u="1"/>
        <s v="Contreras Ramirez Cristian Miguel " u="1"/>
        <s v="FERNANDEZ  COVEÑAS SERGIO SAUL" u="1"/>
        <s v="VILCHES ALTAMIRANO SAMUEL" u="1"/>
        <s v="VERDE FERNANDEZ NEILSON AMSTRONG" u="1"/>
        <s v="PEREZ COSQUILLO ANDREY JUNIOR" u="1"/>
        <s v=" BALBIN DE LA CRUZ  JOEL JOAQUIN" u="1"/>
        <s v="BENITES CUMPA,JOSE MIGUEL" u="1"/>
        <s v="VARGAS SANCALLI  WILLIAN ALDREDO E27" u="1"/>
        <s v="HUEZA ROSELLO ADRIAN" u="1"/>
        <s v="HUARCAYA PEÑA JUAN JESUS" u="1"/>
        <s v="HARO ANGULO  JOAQUIN DAVID" u="1"/>
        <s v="HARO ANGULO  DIEGO ROLANDO" u="1"/>
        <s v="HARO ANGULO ESTEBAN" u="1"/>
        <s v="DEL AGUILA RAMIREZ,  JACK PATRIC" u="1"/>
        <s v="ALVERCA CHANTA MIGUEL ANGEL" u="1"/>
        <s v="MELGAR RAMOS ANGELO DEL PIERO" u="1"/>
        <s v="MACEDO JAYO JOSEPH DANIEL" u="1"/>
        <s v="DUEÑAS ROJAS LORENZO JAVIER" u="1"/>
        <s v="RAMIREZ FACHIN YOU HAO" u="1"/>
        <s v="SUAREZ MONTALVAN ALDAIR ERICK" u="1"/>
        <s v="RIVERA FUENTES ANGHELO JOSUE " u="1"/>
        <s v=" CACERES GALVEZ SEBASTIAN JOAO" u="1"/>
        <s v="Rivera Atencio Samuel" u="1"/>
        <s v="CASTILLO  SANCHEZ GLORIA  ELIZABETH" u="1"/>
        <s v="CHINCHAY ZEVALLOS NAOMY  NICOLE" u="1"/>
        <s v="LOPEZ LLASHAG JESUS ARMANDO" u="1"/>
        <s v="TUMPI ESPINOZA RONALD MAXIMO " u="1"/>
        <s v="GONZALES CAMPOS ANJELLA JOSSELIN DEL PILAR" u="1"/>
        <s v="QUISPE RIVAS CARLOS FRANCISCO" u="1"/>
        <s v="JOSE IVAN SIMBAÑA ROMERO" u="1"/>
        <s v="RUPAY HOSPINAL RICARDO IVAN" u="1"/>
        <s v="ACOSTA MONTES JOHN BILL" u="1"/>
        <s v="Alarcon Tello Percy Jesus" u="1"/>
        <s v="Villanueva Quiroz Estenio Luis" u="1"/>
        <s v="FRANCO MOGOLLON JOSE" u="1"/>
        <s v="NONAJULCA JIMENEZ ALEJANDRO JOAQUIN" u="1"/>
        <s v="ROCANO TUCTO DAVID" u="1"/>
        <s v="ROLDAN SAMAME EDUARDO JOAQUÍN" u="1"/>
        <s v="VENTURA QUISPE ANGHELO JOSE ALBERTO" u="1"/>
        <s v="GUEVARA CESIAS VICTOR JAVIER" u="1"/>
        <s v="BONILLA SUCA ERICK GUSTAVO" u="1"/>
        <s v="BORJA RUA  ANGEL ALEXIS JHULINIO" u="1"/>
        <s v="HUAMAN CARRILLO, CARLOS ADEMIR " u="1"/>
        <s v="MEZA ASENCIO CRISTHIAN JHON" u="1"/>
        <s v="MOZOMBITE LABAJOS, BRACOVICH" u="1"/>
        <s v="REYES DE LA CRUZ, GEIN EDILBERTO" u="1"/>
        <s v="ROMAN MARTINEZ KEVIN ALFREDO" u="1"/>
        <s v="RUIZ URRUCHI LIDER" u="1"/>
        <s v="TORRES INFANTE JHURDAN " u="1"/>
        <s v="DE LA CRUZ SEMIQUE JHONATHAN JACOB" u="1"/>
        <s v="MEDRANO QUISPE JUAN CARLOS" u="1"/>
        <s v="CONDOR CANGALAYA JUAN DE DIOS " u="1"/>
        <s v="HUACAUSI OCHANTE HERNAN" u="1"/>
        <s v="HUYHUA CHAMBA WILSON HONATAN" u="1"/>
        <s v="PACHECO MONTES JOSE ALBERTO " u="1"/>
        <s v="TAMANI HUANUIRI ANTONIO " u="1"/>
        <s v="CARHUALLANQUI REYES BRYAN JULIO" u="1"/>
        <s v="NEYRA CACHI NECCWAR FRANK" u="1"/>
        <s v="QUESQUEN ISIQUE CRISTIAN ARNOLD " u="1"/>
        <s v="ALDAZABAL GUTIERREZ FRANCISCO JUNIOR " u="1"/>
        <s v="Fernandez Quincho Dany Daniel " u="1"/>
        <s v="Quispe Albornoz Harny Bryan " u="1"/>
        <s v="Villegas Llacsahuache Eder Esly " u="1"/>
        <s v="Garcia Alvarez Kevin" u="1"/>
        <s v="CALDERON AYALA SONNY HANDEL" u="1"/>
        <s v="HUAYLINOS MASGO FRANCK CARLOS" u="1"/>
        <s v="JIMENEZ HERRERA JAIME" u="1"/>
        <s v="MAMANI CANAHUIRE CIRO BAYLON" u="1"/>
        <s v="HUAMAN CONTRERAS DIEGO PABLO" u="1"/>
        <s v="VILLANUEVA ESPINOZA NOEL JAIME" u="1"/>
        <s v="VALLADARES NOVOA JHOVANNY" u="1"/>
        <s v="SALGUERO MARTINEZ FREDDY DAVID" u="1"/>
        <s v="SALAZAR PIÑAS KAROL ZULEMA" u="1"/>
        <s v="PALOMINO GOMEZ JORGE LUIS " u="1"/>
        <s v="RAMOS MACHA NOE MIZSAEL" u="1"/>
        <s v="CARBAJAL NOEL KEVIN JHONNER" u="1"/>
        <s v="LEON GUZMAN RADHOLF MARCELO LUIS" u="1"/>
        <s v="TOVAR FERNANDEZ ROBERT SAFET" u="1"/>
        <s v="PAZ LAURENTE JORGE ARMANDO" u="1"/>
        <s v="LLACTAS GARCIA ARMANDO" u="1"/>
        <s v="GALVEZ CRUZ FRANYER" u="1"/>
        <s v="MENDOZA FAJARDO EDUARDO SAMUEL" u="1"/>
        <s v="NILTON BUSTAMANTE FERNANDEZ" u="1"/>
        <s v="PALACIOS RAMIREZ, JUAN BRAYAN" u="1"/>
        <s v="LUQUE BELLIDO, CHRISTIAN MIGUEL" u="1"/>
        <s v="CAJAMARCA PALOMINO ANGIE NAHOMI" u="1"/>
        <s v="LOPEZ DAVALOS, QUEENIE GABRIELA" u="1"/>
        <s v="BARTOLO BRUNO MICHAEL JORDAN" u="1"/>
        <s v="CARRASCO USHINAHUA, RENATO SEBASTIAN" u="1"/>
        <s v="VARGAS MACEDO FRANCHESCOLI" u="1"/>
        <s v="COLLANTES ABANTO MARCO ANTONIO " u="1"/>
        <s v="Y MORALES LUNA JHOSELYN MAGALY " u="1"/>
        <s v="ORTIZ JUAREZ ALEXIS VALENTIN  " u="1"/>
        <s v="HUERTAS PACHERREZ KENY YOEL" u="1"/>
        <s v="MONTESINOS DURAND LUIS EDUARDO " u="1"/>
        <s v="NEYRA TEJADA  ARNOLD CARLOS" u="1"/>
        <s v="CHANGANAQUI PLASENCIA CARLOS MANUEL " u="1"/>
        <s v="PALOMINO TICLAVILCA JOSE MIGUEL" u="1"/>
        <s v="QUINTERO FERNANDEZ ALEJOS DAVID" u="1"/>
        <s v="SAUÑE HUAMANI JUNIOR WILLIAM" u="1"/>
        <s v="LEON MANTILLA KERLY LIZBETH" u="1"/>
        <s v="GRIJALVA ÑAURI, DENNIS DARNEL" u="1"/>
        <s v="LAYANGO TINA FABRIS AQUILES" u="1"/>
        <s v="ZORRILLA CHACON NORI MELANI" u="1"/>
        <s v="UVIDIA ABRIL JEAN CARLOS" u="1"/>
        <s v="UBILLUS REYNA ALEXIS" u="1"/>
        <s v="SANTISTEBAN ACOSTA EDWIN BRIAN" u="1"/>
        <s v="SANTAMARIA GRANADOS MARCOS AUGUSTO" u="1"/>
        <s v="SANCHEZ ESTEBAN RONALD" u="1"/>
        <s v="GARCIA ARISTA FRANCIS" u="1"/>
        <s v="VICENTE VILLAR ERICK ALEXANDRO" u="1"/>
        <s v="GOMEZ VERA CESAR ALEXANDER" u="1"/>
        <s v="PERONE CASTRO  JHAIR JOSETY" u="1"/>
        <s v="SAAVEDRA MERMA ALEX RONAL" u="1"/>
        <s v="MEZARES BENITES JOSUE E26" u="1"/>
        <s v="GOICOCHEA LUCANO HENRY" u="1"/>
        <s v="MERMA SAAVEDRA GUINO" u="1"/>
        <s v="DEL AGUILA RAMIREZ , GEORGE JOSEP" u="1"/>
        <s v="CUADROS DE LA CRUZ JORGE ANTONIO" u="1"/>
        <s v="CORREA FLORES JESUS RENZO JOSE" u="1"/>
        <s v="CHUNG TARICUARIMA LUIS OSWALDO" u="1"/>
        <s v="AGUILAR YAMUNAQUE JAVIER" u="1"/>
        <s v="ACOSTA MORALES , PERCY JUNIOR" u="1"/>
        <s v="ACOSTA CARO, JUAN DIEGO" u="1"/>
        <s v="ACOSTA CARO , GERONIMO" u="1"/>
        <s v="MARTINEZ YANQUI JULIO CESAR" u="1"/>
        <s v="ROJAS HUAMAN  JORGE JESUS" u="1"/>
        <s v="EUSEBIO CALLA MARC ANTHONY" u="1"/>
        <s v="QUEA COPAJA CRISTIAN" u="1"/>
        <s v="VALLEJO CANCHANYA WHITNEY OMALY" u="1"/>
        <s v="BARDALES TANCHIVA JAC JORDAN" u="1"/>
        <s v="CORA RIOS CIRO" u="1"/>
        <s v="RETAMOZO DURAN HENRY HUGO" u="1"/>
        <s v="TITO ROJAS JUAN CARLOS" u="1"/>
        <s v="BOYD CABALLERO CARLOS YOEL" u="1"/>
        <s v="TAPIA FERNANDEZ GERALD RICARDO" u="1"/>
        <s v="ROQUE LINARES JAIR RONALD" u="1"/>
        <s v="MONTENEGRO VALLEJOS JOSE JEANPIERE" u="1"/>
        <s v="LOPEZ YACUPAICO JEAN CARLOS" u="1"/>
        <s v="ALVARO SEBASTIAN VALVERDE RENGIFO" u="1"/>
        <s v="VILLANUEVA PAJUELO JOHANNA MARYBEL ESTHEFANY " u="1"/>
        <s v="LOPINTA VALENZUELA DANNY JAVIER" u="1"/>
        <s v="AUSEJO SODERSTRONG LEANDRO JIM" u="1"/>
        <s v="CARHUALLANQUI ROMERO JUAN ALEXIS " u="1"/>
        <s v="CASTRO RIVAS KARLO FRANCO" u="1"/>
        <s v="CAMPOS SULCA JIAN PIER" u="1"/>
        <s v="POLO GUELLES LUIS WILFREDO" u="1"/>
        <s v="SALIRROSAS AVILA MANUEL ISAIAS" u="1"/>
        <s v="VILCHEZ YARLEQUE RONNY" u="1"/>
        <s v="Casanova Huamani, Carlos Alberto" u="1"/>
        <s v="Sandoval Sanchez, Victor Hugo" u="1"/>
        <s v="YUPANQUI HUACRE JHON EMERSON" u="1"/>
        <s v="YORDI NARANJO PAYARES" u="1"/>
        <s v="AREVALO RONDOY JOEL" u="1"/>
        <s v="BARRETO DEL CASTILLO LUIS ALBERTO" u="1"/>
        <s v="MAURICIO VEGA ROBINSON CHRISTOPHER" u="1"/>
        <s v="ROJAS JURADO MARIO CESAR " u="1"/>
        <s v="SANCHEZ AYALA KEVIN STHUARD " u="1"/>
        <s v="SARAVIA MIMBELA LUIS ANTHONY" u="1"/>
        <s v="AGUILAR VALLEJOS EDUARDO ALFREDO" u="1"/>
        <s v="PALOMINO GRANDEZ FRANK JUNIOR" u="1"/>
        <s v="GAMONAL GONZALES JEFERSSON ALBERTO" u="1"/>
        <s v="BARZOLA AVILAR JULIO " u="1"/>
        <s v="CORDERO CAMASA JULIO" u="1"/>
        <s v="CESAR ESMID JACOBE PALLARCO" u="1"/>
        <s v="QUISPE JAYO ISAC JOSE" u="1"/>
        <s v="TORREJON RAMOS VICTOR ANDRES" u="1"/>
        <s v="ANDIA SALAZAR JOSE LUIS" u="1"/>
        <s v="HUAMANI HUINCHO MOISES" u="1"/>
        <s v="Monja Lopez Yhonathan" u="1"/>
        <s v="Marin Abanto Abel" u="1"/>
        <s v="Quispe Guillen Jhefri" u="1"/>
        <s v="BOZA CLEMENTE JAVIER ALFREDO" u="1"/>
        <s v="CORDOVA MOZOMBITE FELIPE " u="1"/>
        <s v="ENCALADA CUBAS HEBERTH NELSON" u="1"/>
        <s v="HORMANZA HERRERA ABRAHAM DANIEL" u="1"/>
        <s v="PUELLES PALACIOS LENER CHRISTIAN" u="1"/>
        <s v="RAMIREZ ARIAS BRUNO" u="1"/>
        <s v="RODRIGUEZ QUISPE EDMAR RUFINO " u="1"/>
        <s v="GONZALES CHIMOY DANTE JAVIER" u="1"/>
        <s v="CAMPODONICO JIMENEZ   LUIS ALBERTO" u="1"/>
        <s v="CURO AUCCASI, MATIAS" u="1"/>
        <s v="DAVILA DELGADO, JORGE LUIS" u="1"/>
        <s v="GUIZADO GONZALES, JOHN RONALD" u="1"/>
        <s v="HUAMANI CASTILLO, RAUL BRIAN" u="1"/>
        <s v="ROA PAUCAR, JEREMIAS" u="1"/>
        <s v="VARGAS TAQUIRE, ANGEL ODON" u="1"/>
        <s v="OVIEDO PACASI LUIS CRISTOFER" u="1"/>
        <s v="DAVALOS PALACIOS JHONATAN LUIS" u="1"/>
        <s v="CRISANTO NIMA KELINN WILBER" u="1"/>
        <s v="JIMENEZ RIVERA ALEXANDER JAVIER" u="1"/>
        <s v="ACUÑA HUAMAN CILES MIGUEL " u="1"/>
        <s v="AYALA LASTRA ABIMAEL FRANCISCO " u="1"/>
        <s v="CAMAYO VELIZ FRANCISCO " u="1"/>
        <s v="COLLQUE ESPINOZA CIRO" u="1"/>
        <s v="FLORES DIAZ REINERIO " u="1"/>
        <s v="GALARZA QUIÑONES ERINSSON" u="1"/>
        <s v="GARAY PEÑA JOSE CARLOS " u="1"/>
        <s v="LAZARO CAMPOS PABLO JULIAN" u="1"/>
        <s v="MANCILLA FALCON GABRIEL JHONER " u="1"/>
        <s v="MEZA RAMOS FREDY" u="1"/>
        <s v="SARMIENTO VARGAS VICTOR IVAN" u="1"/>
        <s v="ARIAS FARFAN GERALDINE STEPHANY" u="1"/>
        <s v="IRAOLA SAENZ LUIS ERNESTO" u="1"/>
        <s v="QUISPE DE LA CRUZ JAIR YOSIMAR " u="1"/>
        <s v="ANDRADE Loarte Kevin Yerson" u="1"/>
        <s v="Sotomayor Ayala Freder Asael" u="1"/>
        <s v="DAMAZO Silvestre, Jose Alberto" u="1"/>
        <s v="Gallardo Andrade Jesús Abenamar" u="1"/>
        <s v="Carbajal Rugel Jair Adolfo" u="1"/>
        <s v="VARGAS ALVA  MELQUECEDE " u="1"/>
        <s v="VALDIVIA BENITES  JOEL EVARISTO " u="1"/>
        <s v="CARTOLIN PARIONA WILLIAMS ALEXSANDRO" u="1"/>
        <s v="NINAN HUALLPAYUNCA DANTE VIDAL " u="1"/>
        <s v="NINAN HUALLPAYUNCA  OMAR " u="1"/>
        <s v="POCCORPACHI NAVARRO HEBER " u="1"/>
        <s v="CARRILLO VIDAL POOL ALEXANDER " u="1"/>
        <s v="BICERRA CANAYO DANY RONALD" u="1"/>
        <s v="CASTILLO GUERRERO DIEGO MARTIN" u="1"/>
        <s v="CAVERO SOTELO CESAR OMAR" u="1"/>
        <s v="BOGGIANO ARANAGA DIEGO JAVIER" u="1"/>
        <s v="CIPRIANO BURGA PABLO VICTOR" u="1"/>
        <s v="SILVA PANAIFO LUIS" u="1"/>
        <s v="MIGUEL TARAZONA CARLOS" u="1"/>
        <s v="HERNANDEZ VILLENA SAUL ALBERTO" u="1"/>
        <s v="NAZARIO AVELINO INDALICIO " u="1"/>
        <s v="HUAMANI NATIVIDAD NOEMIGUEL SANTIAGO" u="1"/>
        <s v="LICONA SUMA GERONIMO" u="1"/>
        <s v="GALLEGOS GIRON GUILLERMO ANTONIO" u="1"/>
        <s v="LIZANA QUISPE ANTENOR " u="1"/>
        <s v="ARIAS MANCO PEDRO" u="1"/>
        <s v="TOVAR CHOQUE MARCOS" u="1"/>
        <s v="LAZO SOLIS JOSUE LUIS" u="1"/>
        <s v="ZORRILLA POZO JUAN JOSE" u="1"/>
        <s v="SALCEDO CONDORI FELIPE OMAR" u="1"/>
        <s v="Donayre Hernandez Ayar Miguel" u="1"/>
        <s v="GUTIERREZ PRIETO NORVIS JAVIER" u="1"/>
        <s v="ELISAUL ANTONIO ESQUERRE CHORRES" u="1"/>
        <s v="PANTIGOSO BUENAÑO WALTER ENRIQUE" u="1"/>
        <s v="CHOCCA FUERO JUAN CARLOS" u="1"/>
        <s v="LOPEZ PINEDO, ALEX" u="1"/>
        <s v="MENDOZA COLLAZOS, JUAN MARTIN ADRIANO" u="1"/>
        <s v="MEZA ASCONA, JUAN CARLOS" u="1"/>
        <s v="AURES PEREZ NORA MARIBEL" u="1"/>
        <s v="AYALA MALLCO MARCELINO" u="1"/>
        <s v="ESQUIVES GOMEZ HENRY ANTHONY" u="1"/>
        <s v="HERNANDEZ CASANA DANIEL JONATHAN" u="1"/>
        <s v="MALPARTIDA SANTOS RODOLFO " u="1"/>
        <s v="QUINTEROS CORTEZ JOSIMAR ANTONIO" u="1"/>
        <s v="RAMIREZ TAPARA RICKY CHARLIE" u="1"/>
        <s v="RAMOS CARMONA JOSE LUCIANO" u="1"/>
        <s v="RICALDE CARHUACHAGUA RICARDO" u="1"/>
        <s v="SILVA KAMT ARMANDO DAVID" u="1"/>
        <s v="TURPO HUAMAN STEFANO" u="1"/>
        <s v="ASENJO RAMIREZ ROBERT" u="1"/>
        <s v="MEZA GOÑI, CHRISTIANS ANIBAL " u="1"/>
        <s v="OCAMPO ALVARADO PEDRO SIMON" u="1"/>
        <s v="VELASQUEZ  PIZARRO SAMUEL" u="1"/>
        <s v="ORTIZ CANCINO CAYO" u="1"/>
        <s v="MORIS VILLACAQUI,JAIRO ANDRES TOMAS" u="1"/>
        <s v="ZUTA VEGA CESAR" u="1"/>
        <s v="YAURI LEIVA ROCIO DEL PILAR" u="1"/>
        <s v="VILLANUEVA ARROYO REMBER ALBERTO" u="1"/>
        <s v="VELASCO SANTIAGO DAVID FERNANDO" u="1"/>
        <s v="URBAY CHAHUAYO OMAR ISHIDO" u="1"/>
        <s v="TARAZONA PUA,  WILLI KEVIN" u="1"/>
        <s v="TACAS PALPA WILDER" u="1"/>
        <s v="SANDOVAL PAREDES MICHAEL" u="1"/>
        <s v="ROJAS CHANAME JUAN PABLO" u="1"/>
        <s v="MAMANI CALDERON SAUL" u="1"/>
        <s v="LOZADA RIVERA JOSE ARTURO" u="1"/>
        <s v="GUTIERREZ RODRIGUEZ SUSAN HELEN" u="1"/>
        <s v="ESPINOZA LOYOLA JUAN CARLOS" u="1"/>
        <s v="MARIN DOMINGUEZ DEIVY ANDERSON" u="1"/>
        <s v="CABANILLAS SANTISTEBAN DANNY DANIEL" u="1"/>
        <s v="RIVERA RENTERIA  NATHALY VANESSA" u="1"/>
        <s v="RAMIREZ SIERRA EDER WALTER EUSEBIO" u="1"/>
        <s v="QUISPICHUCO FERRER ABRAHAM SAMUEL" u="1"/>
        <s v="QUISPE PANTIGOSO SANDRO DANIEL" u="1"/>
        <s v="ALVARADO BONILLA WLLIAMS EUSEBIO" u="1"/>
        <s v="QUISPE PANTIGOSO JHONN RICHARD" u="1"/>
        <s v="QUISPE MORALES MICHAEL" u="1"/>
        <s v="PORTILLA TORRES JOSE LUIS" u="1"/>
        <s v="PANIURA MAMANI JOHAN" u="1"/>
        <s v="PALHUA PARDAVE OCTAVIO" u="1"/>
        <s v="NUÑEZ LEGUIA MARIANO SAUL " u="1"/>
        <s v="NUÑEZ LEGUIA MARIANO RAUL" u="1"/>
        <s v="MAURICIO AMASIFUEN DEYVIS TEODORO" u="1"/>
        <s v="LAVERIAN DE LA CRUZ MARCO" u="1"/>
        <s v="JESUS GONZALES JOSE" u="1"/>
        <s v="FRANCO BROMLEY JAIRZIN ALBERTO" u="1"/>
        <s v="CORDOVA ESCOBAR GONZALO RAFAEL" u="1"/>
        <s v="CHAHUA PANIAGUA JUAN OCTAVIO" u="1"/>
        <s v="CABANILLAS SANTIESTEBAN MIGUEL ANGEL" u="1"/>
        <s v="ARIAS NAVARRO  GUILLERMO" u="1"/>
        <s v="ALCANTARA MANAY GERALD RONALD" u="1"/>
        <s v="ALABAN VENTURA ERNESTO" u="1"/>
        <s v="ACOSTA MORALES ALEX FREDY" u="1"/>
        <s v="ROJAS RODAS, DEYBER" u="1"/>
        <s v="JUSTINIANO HUEZA RENZO" u="1"/>
        <s v="LAZO SOTELO GUSTAVO ADOLFO" u="1"/>
        <s v="SALAZAR HUARCAYA JEAN CARLOS" u="1"/>
        <s v="HUAMAN MENDOZA  SERGIO YOSECK" u="1"/>
        <s v="PEÑA DOMINGUEZ  RICARDO RAUL" u="1"/>
        <s v="NEYRA GARCIA LINDO QUIMIS" u="1"/>
        <s v="REYES RENGIFO EDUARDO " u="1"/>
        <s v="GOMEZ RUEDA, MAGNO ALEJANDRO" u="1"/>
        <s v="COVEÑAS CORDOVA JUAN CARLOS" u="1"/>
        <s v="MAMANI MARTINEZ ERICK MIGUEL" u="1"/>
        <s v="BALLARDO AHUANARI ALVARO RODRIGO" u="1"/>
        <s v="DIAZ FERNANDEZ JOHNNY EDINSON" u="1"/>
        <s v="YARLEQUE AGUILAR LUIS ARNALDO" u="1"/>
        <s v="VEGA MAZA JESUS CESAR WILLIAM" u="1"/>
        <s v="EDWIN  WILDER UNOCC ALVAREZ" u="1"/>
        <s v="ANTONY PAUL SALINAS HILARIO " u="1"/>
        <s v="TIPIANI VASQUEZ JUNIOR ALBINO" u="1"/>
        <s v="CAYETANO PASION MOISES" u="1"/>
        <s v="GRANADOS AGAPITO LENIN" u="1"/>
        <s v="IMAN IPANAQUE MAURO" u="1"/>
        <s v="Baca Perez Zenón" u="1"/>
        <s v="QUISPE ESPINOZA RAUL JOEL" u="1"/>
        <s v="Bejarano Huranga, Hector" u="1"/>
        <s v="FARFAN ALMARAZ HUGO" u="1"/>
        <s v="AMARO CHAGUA EMILIO JHONATAN" u="1"/>
        <s v="BARRIGA CHAVEZ TOSHIO AKYHITO JAVIER" u="1"/>
        <s v="BASILIO LEON EDWIN SIMON " u="1"/>
        <s v="BASTANTE SANTANA ALEXANDER" u="1"/>
        <s v="CASTILLO ROMAN DENIS WILMER" u="1"/>
        <s v="CHACALTANA EVANGELISTA ENRIQUE JONATHAN " u="1"/>
        <s v="CRUZ LAZARO LUIS ALBERTO " u="1"/>
        <s v="CRUZ VASQUEZ RUDY ANTHONY" u="1"/>
        <s v="GAMARRA MEDINA JAIME" u="1"/>
        <s v="IZQUIERDO ROJAS MICHEL ALEXANDER" u="1"/>
        <s v="MILIAN VASQUEZ FREDY " u="1"/>
        <s v="PEREZ SIQUIHUA MARVIN " u="1"/>
        <s v="RONDAN ZAMATA JOSE" u="1"/>
        <s v="SARAVIA MINCHUY SANTOS" u="1"/>
        <s v="DOMINGUEZ MORANTE RONIL NELSON" u="1"/>
        <s v="TRINIDAD ROSADIO ARMANDO AURELIO" u="1"/>
        <s v="QUISPE HILARI WILBER JAC" u="1"/>
        <s v="ALCANTARA PARIMANGO OMAR ALFREDO" u="1"/>
        <s v="CAHUAS ACEVEDO JUAN YAIRSINIO" u="1"/>
        <s v="CELIS JAUNI PAULINO " u="1"/>
        <s v="ESPINOZA HUARANCA JOHN WILLIAN" u="1"/>
        <s v="TRUJILLO PEREZ BALVINO HUMBERTO" u="1"/>
        <s v="GONZALES CASTRO, CHRISTIAN ALEXANDER" u="1"/>
        <s v="MOZOMBITE CUMAPA, JOSE " u="1"/>
        <s v="QUIÑONEZ ZARATE CESAR" u="1"/>
        <s v=" POZU VASQUEZ  MARTIN HUMBERTO" u="1"/>
        <s v="UGARTE PANIAGUA ROGELIO ILICH" u="1"/>
        <s v="POLO GUERRA ROGER ORLANDO " u="1"/>
        <s v="CALDERON CUADROS EDGAR " u="1"/>
        <s v="CANCHARI HUASACCA PEDRO" u="1"/>
        <s v="CONTRERAS LOPEZ WILDER" u="1"/>
        <s v="CORTEGANA TAFUR DIMAS " u="1"/>
        <s v="MONTIVEROS SANTOS JHON " u="1"/>
        <s v="SANDOVAL SANCHEZ ALEXANDER JHONNY " u="1"/>
        <s v="CASIMIRO YALLE FREDY" u="1"/>
        <s v="RAMOS PAREDES ISAC ISAIAS" u="1"/>
        <s v="Lozano Sandonas Cleofe Santiago " u="1"/>
        <s v="Mallqui Suarez Neftali " u="1"/>
        <s v="Pacheco Brioso Wilmer Fernando " u="1"/>
        <s v="Rodriguez Aquino Gilton Julio" u="1"/>
        <s v="YAPO Mamani, Roy Hugo" u="1"/>
        <s v="Atencio Hermitaño Ovidio Misael" u="1"/>
        <s v="Meza Veliz Dula Vertila" u="1"/>
        <s v="CEVERINO VILLAFUERTE WILLIAMS JESUS" u="1"/>
        <s v="HIDALGO TINEDO ANA MARIA" u="1"/>
        <s v="DIAZ MOSTACEROS ALFREDO ROBERTSON" u="1"/>
        <s v="MONTALBAN  NILSER CHIROQUE" u="1"/>
        <s v="QUISPE JANAMPA ABDEL LEONIDAS " u="1"/>
        <s v="BENAVENTE RIZABAL JIMM ANGEL" u="1"/>
        <s v="FERNANDEZ DE LA CRUZ JHON EFRAIN" u="1"/>
        <s v="BALTAZAR DUEÑAS CARLOS JOSÉ" u="1"/>
        <s v="ALEJANDRO HILARIO IVAN ANGEL" u="1"/>
        <s v="FLORES COTRINA ELMER" u="1"/>
        <s v="VELANDO  MITMA  NARCISO" u="1"/>
        <s v="FLORES NINA WALTER ALIPIO" u="1"/>
        <s v="QUISPE UCHUYPOMA RODERICK GABRIEL" u="1"/>
        <s v="CORDOVA YEREN  JESUS ARTURO" u="1"/>
        <s v="VASQUEZ VASQUEZ JORGE HERALDO" u="1"/>
        <s v="FLORES QUINTOS PABLO ADELMO" u="1"/>
        <s v="JORGE GIANCARLO BAUTISTA SANCHEZ" u="1"/>
        <s v="HUAYLLACAYAN LEYVA MIGUEL ANGEL" u="1"/>
        <s v="PEREZ AGUILAR HUMBERTO RUBEN" u="1"/>
        <s v="VILCARIMA PAUL LEVA" u="1"/>
        <s v="NUÑEZ CASTRO VICTOR DE LA CRUZ" u="1"/>
        <s v="GALLARDO BLANCO, ITALO ENRIQUE" u="1"/>
        <s v=" BACA DELGADO RALPH SAUL " u="1"/>
        <s v="MEJIA ORLANDINE EDUARDO" u="1"/>
        <s v="VALLES ROJAS HUMBERTO" u="1"/>
        <s v="JAIMES QUEVEDO HENRY" u="1"/>
        <s v="VERANO ABAD CARLOS MIGUEL" u="1"/>
        <s v="BUTILER ARELLANO  ALAN VLADIMIR" u="1"/>
        <s v="DE LA CRUZ CHUCAS ROMERO" u="1"/>
        <s v="ESTRELLA SANCHEZ GELER JUAN" u="1"/>
        <s v="FLORES PAREDES SEGUNDO DIEGO" u="1"/>
        <s v="MARIN QUIRICA EDWIN" u="1"/>
        <s v="NAVARRO BURILLO LUIS FERNANDO" u="1"/>
        <s v="OREJON YGREDA RODOLFO" u="1"/>
        <s v="PERALTA VASQUEZ WILLIAM" u="1"/>
        <s v="YOYOLA LOPEZ BLADIMIR YURI" u="1"/>
        <s v="YAÑEZ LANDA, JORGE LUIS" u="1"/>
        <s v="GIL NORABUENA CHRISTIAN JAVIER" u="1"/>
        <s v="DE BRACAMONTE LLORCA SERGIO EDUARDO" u="1"/>
        <s v="CHAVEZ MATOS EMILIO MIGUEL" u="1"/>
        <s v="BERROCAL CERNA DENIS HANS" u="1"/>
        <s v="RIOBUENO PRADO DARWIN JOSE" u="1"/>
        <s v="QUISPE PANTIGOSO JORGE ANDRES" u="1"/>
        <s v="PALOMINO CUMPE VICTOR MOISES" u="1"/>
        <s v="MACHA INGA BENJAMIN" u="1"/>
        <s v="LOPEZ MONTES ALVARO" u="1"/>
        <s v="GUTIERREZ RUCOBA DANNY DANIEL" u="1"/>
        <s v="GOMEZ LEON RAUL ALCIDES" u="1"/>
        <s v="CUMPEN RUCOBA JORGE MIGUEL" u="1"/>
        <s v="CESPEDES MERA WILDER CARLOS" u="1"/>
        <s v="BARRAZA MUÑANTE  PABLO FIDEL" u="1"/>
        <s v="ARAMBULO CHERO MAX" u="1"/>
        <s v="ALVAREZ PANTIGOSO CRISTHIAN WILFREDO" u="1"/>
        <s v="JARA ALAYO FIDEL" u="1"/>
        <s v="MENDOZA TELLO JOSE ENRIQUE" u="1"/>
        <s v="BRICEÑO QUISPE DONY EDGAR" u="1"/>
        <s v="VARGAS ALARCON HENRY WILMER" u="1"/>
        <s v="CESPEDES VARGAS LUIS ENRIQUE" u="1"/>
        <s v="CHAVEZ PERALES  NILTON EDILIO" u="1"/>
        <s v="RIMAPA HERNANDEZ WILLINGTON" u="1"/>
        <s v="SILVERA ARIAS CESAR AUGUSTO" u="1"/>
        <s v="GABRIEL OMAR QUINDE RETETE" u="1"/>
        <s v="ARRIETA JIMENEZ NERIDA MAYELIN" u="1"/>
        <s v="CARRASCO NORIEGA JIMMY ROGER" u="1"/>
        <s v="LIMAYLLA TORRES FERNANDO" u="1"/>
        <s v="AQUIJE PEREYRA CARLOS ROBERTO" u="1"/>
        <s v="BENAVIDES MARIÑAS HUMBERTO MARTIN" u="1"/>
        <s v="CHAGUA AMBROCIO NOELIA" u="1"/>
        <s v="GOMEZ LOZANO OMAR ABRAHAM" u="1"/>
        <s v="ROJAS CAPCHA ANDRES AURELIO" u="1"/>
        <s v="TASAYCO CESPEDESALEXANDER JOEL" u="1"/>
        <s v="AYALA CHATE JHON PEDRO" u="1"/>
        <s v="CAMPOS REATEGUI VICTOR RAUL" u="1"/>
        <s v="CASTAÑEDA QUISPE CARLOS LESTER" u="1"/>
        <s v="ESCOBAR REQUENA SANTOS SANTIAGO" u="1"/>
        <s v="FERNANDEZ ZANGAMA WAGNER" u="1"/>
        <s v="JIMENEZ PAREDES JARLY ALFONSO" u="1"/>
        <s v="LOPEZ CALERO WILI ADRIAN" u="1"/>
        <s v="NAVARRO SILVA EDDY RICHARSON" u="1"/>
        <s v="PALOMINO PISFIL ROBERTO CARLOS" u="1"/>
        <s v="ROMERO HINOSTROZA EDWIN PATRICIO" u="1"/>
        <s v="VELA RODRIGUEZ JOSE LUIS MARTIN " u="1"/>
        <s v="ENRIQUE LOPEZ YURI" u="1"/>
        <s v="ALVA CALDERON ANTONIO MANUEL" u="1"/>
        <s v="LA ROSA GUTIERREZ CESAR AUGUSTO" u="1"/>
        <s v="ZEGARRA DURAN GUIDO GUILLERMO" u="1"/>
        <s v="TAMANI MOZO ELIX AKIRA" u="1"/>
        <s v="ANDRADE PAXI ALEJO GENARO" u="1"/>
        <s v="Cheng Robles Julio Cesar" u="1"/>
        <s v="GONZALES CABALLERO RICARDO ELMER" u="1"/>
        <s v="ROMERO ALCANTARA CARLOS ALBERTO" u="1"/>
        <s v="VENTURA PERALTA JOSE LUIS" u="1"/>
        <s v="HERRERA EGUZQUISA MIGUEL ANGEL" u="1"/>
        <s v="ACEVEDO CLEMENTE LUIS " u="1"/>
        <s v="CANEZ TUTOS EMILIO FERNANDEZ" u="1"/>
        <s v="DRUET RAMIREZ PEDRO MIGUEL" u="1"/>
        <s v="PALOMINO INFANTE  CELESTINO CORNELIO" u="1"/>
        <s v="ROA PAUCAR, ALBINO" u="1"/>
        <s v="SUAREZ PEREZ EMILIO MIGUEL" u="1"/>
        <s v="JIMENEZ VILCAPUMA AMILCAR " u="1"/>
        <s v="GASPAR FERIL HIPOLITO " u="1"/>
        <s v="RIVERA ROSALES MIGUEL" u="1"/>
        <s v="SULCA LOZANO ELIAS " u="1"/>
        <s v="Farfan Orihuela Luis Enrique" u="1"/>
        <s v="Tenorio Calderon Jesus Carlos" u="1"/>
        <s v="Lazo Berrocal Mauro" u="1"/>
        <s v="PERCY JAIME CASTILLO" u="1"/>
        <s v="ANGULO CONTRERAS MARIA JULIA" u="1"/>
        <s v="ANCO CALISAYAADOLFO ADRIAN " u="1"/>
        <s v="PRIMO CIRIACO HERNAN " u="1"/>
        <s v="BARZOLA GASTELU MARIO FELIX" u="1"/>
        <s v="ANCO CALISAYA ORLANDO JESUS" u="1"/>
        <s v="QUINTEROS PACHAS AMADEO JULIO" u="1"/>
        <s v="TOVAR PEREZ ROBERT WILLIAM" u="1"/>
        <s v="PAREDES PIZARRO CARLOS" u="1"/>
        <s v="AGUSTINI RAMIREZ JOSE MANUEL" u="1"/>
        <s v="HUAMANI CASTRO RICHARD" u="1"/>
        <s v="MILLA BAZAN JUAN PROSPERO" u="1"/>
        <s v="CHUCHON RIVERA MAXIMO" u="1"/>
        <s v="IRRAZABAL RAMOS ISRAEL" u="1"/>
        <s v="LERZUNDI DÍAZ SIMÓN CESAR" u="1"/>
        <s v="PACHACAMA ZEVALLOS FERNANDO" u="1"/>
        <s v="CUBA INGA MARCO ANTONIO" u="1"/>
        <s v="CAMACHO ALIAGA FIDEL" u="1"/>
        <s v="PARDAVE PEREZ OMAR GUSTAVO" u="1"/>
        <s v="ARCE CUBAS FRANCISCO" u="1"/>
        <s v="HUAYRA BELITO AMBROSIO" u="1"/>
        <s v="MEDINA MORENO JOSE FRANCISCO" u="1"/>
        <s v="TERREROS OLIVARES WILFREDO OMAR " u="1"/>
        <s v="Herrera Herrrera Miguel Eulogio" u="1"/>
        <s v="RIVERA ZAPATA PEDRO BLADIMIR" u="1"/>
        <s v="LLANTOY PALOMINO JUSTO ALBERTO" u="1"/>
        <s v="CARRILLO HINOSTROZANORMAN LESLYE" u="1"/>
        <s v="BASILIO HUAMANI SIMON " u="1"/>
        <s v="CRUZ LAZARO AURELIO JORGE " u="1"/>
        <s v="FLORES TIMOTEO HECTOR ALBERTO" u="1"/>
        <s v="ORTEGA SILVA LUIS ABRAHM" u="1"/>
        <s v="RUIZ PINTADO LUIS EDUARDO" u="1"/>
        <s v="LOARTE URIBE JULIO ALBERTO" u="1"/>
        <s v="SANCHEZ TAVARA JORGE" u="1"/>
        <s v="BENITES PARDO MANUEL ALBERTO" u="1"/>
        <s v="ARAUJO ROSALES ERNESTO " u="1"/>
        <s v="CHAVEZ GOMEZ ARTURO" u="1"/>
        <s v="OLAYA Luna Oswaldo Arturo" u="1"/>
        <s v="Medina Rios Germán" u="1"/>
        <s v="LOPEZ CHAVEZ CARLOS DANIEL  " u="1"/>
        <s v="GAMBOA FLORES JUAN GUILLERMO " u="1"/>
        <s v="HUAMAN JUSTINIANI CASIMIRO" u="1"/>
        <s v="SANCHEZ PACHAS LUIS ERNESTO" u="1"/>
        <s v="ARRUNATEGUI URQUIZO VICTOR ANGEL" u="1"/>
        <s v="BENAVENTE FLORES ALBERTO" u="1"/>
        <s v="GONZALES NAVARRO MANUEL " u="1"/>
        <s v="ALIENDRES VALENTIN LUIS " u="1"/>
        <s v="ALVAREZ GARCIA AZUCENA DEL PILAR " u="1"/>
        <s v="ARMAS PEÑA MAYCO " u="1"/>
        <s v="ARONE ELGUERA VERUSHKA LILIANA" u="1"/>
        <s v="AYALA LASTRA OFNEL TRINIDAD " u="1"/>
        <s v="CASTILLO GONZALES JOSE GREGORIO " u="1"/>
        <s v="CASTILLO GUERRERO MANUEL" u="1"/>
        <s v="CHAMORRO AMEZ FAUSTO " u="1"/>
        <s v="CJURO PEÑA JOSE " u="1"/>
        <s v="EUGENIO SALAZAR MILTON DARIO " u="1"/>
        <s v="GODOY SOTO LEONCIO " u="1"/>
        <s v="GUTIERREZ VILLANUEVA ROGER RUSBELL" u="1"/>
        <s v="LEONARDO LOPEZ ANSELMO " u="1"/>
        <s v="MARTINEZ SANTA CRUZ JORGE ANTONIO" u="1"/>
        <s v="OTERO CACHI RUBEN" u="1"/>
        <s v="RAMIREZ LLATAS JOSE MARTIN" u="1"/>
        <s v="RAMOS LOARTE ELVIS RODOLFO " u="1"/>
        <s v="ROBLES BRAVO DENYN " u="1"/>
        <s v="ROBLES GIRON EMANUEL " u="1"/>
        <s v="RUIZ VALDERA JOSE MANUEL " u="1"/>
        <s v="VARGAS PADILLA HIPOLITO FELIX" u="1"/>
        <s v="BREÑA TARDIO VIRGILIO EDSON" u="1"/>
        <s v="GASTELU AYALA MARINO  ALBERTO" u="1"/>
        <s v="LEANDRO HERRERA OSCAR" u="1"/>
        <s v="VEGA PAULINO JUAN JOSE" u="1"/>
        <s v="SALIRROSAS GARCIA GODOS MARIO ENRIQUE" u="1"/>
        <s v="CAYCHO ARELLANO PAOLO FABRICIO" u="1"/>
        <s v="ANCAJIMA PALACIOS EDGAR" u="1"/>
        <s v="GONZALES LEDEZMA LILIANA" u="1"/>
        <s v="LUYO SALDAÑA EDNA MARICIELO" u="1"/>
        <s v="RAMOS YANAC PABLO JOSEPH" u="1"/>
        <s v="CHAHUA TOMAS JACK" u="1"/>
        <s v="KAMT CHANG FELIX AUGUSTO" u="1"/>
        <s v="MEDINA MATTA MILLER NILO" u="1"/>
        <s v="ADRIAN DIESTRA JOEL ENRIQUE" u="1"/>
        <s v="UTRILLA ROQUE HUGO MANUEL" u="1"/>
        <s v="LOPEZ HUAMAN REGULO" u="1"/>
        <s v="GAVIDIA MORALES CARLOS ENRIQUE" u="1"/>
        <s v="DEZA GUERRERO CESAR AUGUSTO" u="1"/>
        <s v="SALAZAR UGARTE CESAR ALEJANDRO" u="1"/>
        <s v=" FERNANDEZ QUISPE ELEAZAR" u="1"/>
        <s v="CABELLO CHAMORRO OMAR ANGEL" u="1"/>
        <s v="HUAPAYA RODRIGUEZ FREDDY EMILIO" u="1"/>
        <s v="CALLE RUIZ FERNANDO ALFREDO" u="1"/>
        <s v="SOTO GUERRERO JHON ARMANDO" u="1"/>
        <s v="BELTRAN MAMANI CHRISTIAN" u="1"/>
        <s v="ZAMORA ZARATE RUBEN" u="1"/>
        <s v="MERLO QUIJANO EDWIN" u="1"/>
        <s v="SANTA MARIA GONZALES JHOY DIEGO" u="1"/>
        <s v="SALVATIERRA MORANTE JOSHUA MIGUEL ANGEL" u="1"/>
        <s v="PORRAS BRICEÑO ALAN" u="1"/>
        <s v="ARBULU SOBRINO PABLO CESAR" u="1"/>
        <s v="DIAZ ROJAS VICTOR MICHAEL" u="1"/>
        <s v="PAREDES AGUIRRE ERIK ANDERSSON" u="1"/>
        <s v="PEREZ CONTRERAS DIEGO WALTER" u="1"/>
        <s v="QUISPE HUAMAN JOSE MIGUEL" u="1"/>
        <s v="PRETEL CASACHAHUA LEONARDO CESAR" u="1"/>
        <s v="CONTRERAS CABALLERO MANUEL ALEJANDRO" u="1"/>
        <s v="RODRIGUEZ WILMAN IVAN GIOVANNI" u="1"/>
        <s v="CRISOSTOMO DE LA CRUZ CESAR EFRAIN" u="1"/>
        <s v="ARONEZ ESPINO CELIN HILARIO" u="1"/>
        <s v="FLORES GARCIA ALVARO FRANK" u="1"/>
        <s v="GONZALES YDROGO LONARDI " u="1"/>
        <s v="HERRERA HUAYRA JESUS MARCOS" u="1"/>
        <s v="MONTES POCCORPACHI RAFAEL SANTIAGO" u="1"/>
        <s v="ORTEGA ESCOBEDO BRAYAN OLIVER" u="1"/>
        <s v="RIVERA CHAVEZ HUSSEIN ABEL" u="1"/>
        <s v="TREJO VALVERDE JUAN MANUEL" u="1"/>
        <s v="VARGAS QUIROZ JAROL DEYVI" u="1"/>
        <s v="BARRETO ESPINOZA MICHAEL ABNER" u="1"/>
        <s v="RIVERA HUAMANI LEONARDO ALEXANDER" u="1"/>
        <s v="LLECLLISH TORRES VICTOR" u="1"/>
        <s v="MAMANI HUALLA NILO JESUS " u="1"/>
        <s v="YNOÑAN SIESQUEN VICTOR MANUEL" u="1"/>
        <s v="PINEDO LINARES PIER" u="1"/>
        <s v="VALDEZ BERNABE VICTOR LENIN" u="1"/>
        <s v="MONTOYA BRICEÑO GUILLERMO ISRAEL" u="1"/>
        <s v="BAUTISTA BRUNO HERNAN BEJAN" u="1"/>
        <s v="RODRIGUEZ LLALLIRE, PIERO ALEJANDRO" u="1"/>
        <s v="YARANGA Carnero Moises Aron" u="1"/>
        <s v="YANTAS HERMITAÑO JEFFERSON LEONARDO" u="1"/>
        <s v="ROJAS BARAZORDA JOSE MANUEL" u="1"/>
        <s v="MOLINA MENDOZA POL NICO" u="1"/>
        <s v="Arevalo Rodriguez Jeffersson Johan" u="1"/>
        <s v="GUERRERO MALAFAYA RENZO RODRIGO ALESSANDER " u="1"/>
        <s v="ERICK MARTIN CASTILLO ROSA" u="1"/>
        <s v="PAITAN ESCOBAR ALEX" u="1"/>
        <s v="CAMPOS FERNANDEZ ANGEL OMAR" u="1"/>
        <s v="CLAUDIO SALDAÑA INGRID MARYORI " u="1"/>
        <s v="URCIA BLANCO MARIA FERNANDA" u="1"/>
        <s v="PANTA PALMA LUIS GUSTAVO" u="1"/>
        <s v="CARHUAS LARA HENRY ALEXIS" u="1"/>
        <s v="Martinez Levano, Walter Manuel" u="1"/>
        <s v="GONZALES RODRIGUEZ ENMANUEL " u="1"/>
        <s v="FACHIN TAMANI ROY ALBERTO" u="1"/>
        <s v="AGUIRRE PINO  YORDI  " u="1"/>
        <s v=" NIQUIN  CENTURION MIGUEL ANGEL" u="1"/>
        <s v="SIMBAÑA ROMERO JOSE IVAN " u="1"/>
        <s v=" TUMPI ESPINOZA RONALD MAXIMO " u="1"/>
        <s v="CHUYMA QUISPE LUIS FERNANDO" u="1"/>
        <s v="ORTIZ ECEIZA MIKEL" u="1"/>
        <s v="CORTEZ LOPEZ JESUS GERSON" u="1"/>
        <s v="REYNOSO TAMARA ELIANN GUILIANO" u="1"/>
        <s v="CHIRINOS BUSTOS JUAN FRANCISCO" u="1"/>
        <s v="AVILA AMAYA JOSE MARTIN JUNIOR" u="1"/>
        <s v="CAQUI MENDOZA ESTEFANY MILAGROS" u="1"/>
        <s v="DEPAZ CACHA JAVIER PASCUAL" u="1"/>
        <s v="URDAY PANDURO PAUL ANTHONY" u="1"/>
        <s v="QUISPE LAZARO JHOEL ERICK" u="1"/>
        <s v="CORTEZ NUNURA JERRY BRYEN" u="1"/>
        <s v="ROJAS AYALA MIGUEL ANGEL " u="1"/>
        <s v="TOLEDO MOGOLLON JEAN PIEER" u="1"/>
        <s v="LEON CAISAHUANA GOLEAT RENE" u="1"/>
        <s v="RONCEROS LEON GUSTAVO" u="1"/>
        <s v="BARROZO SILVA MILTON JESMITH " u="1"/>
        <s v="YUYARIMA CURITIMA JIRLON PAOLO" u="1"/>
        <s v="CUBILLAS GUIMARREA ANTHONY JEAN PIERRE" u="1"/>
        <s v="MAMANI HURTADO, NICOLAS PEDRO" u="1"/>
        <s v="MEJIA ALANYA ELI JONATHAN" u="1"/>
        <s v="CHAMORRO GARCIA LEONEL AGUSTIN" u="1"/>
        <s v="LUIS ALFREDO MONTOYA RAMOS " u="1"/>
        <s v="TEDDY PIÑA PETTERMAN" u="1"/>
        <s v="JANAMPA RAMOS BERNABE " u="1"/>
        <s v="GUEVARA TELLO HAROLD" u="1"/>
        <s v="OLIVAR HUAMAN JUAN CARLOS" u="1"/>
        <s v=" BERNALES MAZA CESAR AGUSTO" u="1"/>
        <s v="VILLALON ACUÑA VICTOR" u="1"/>
        <s v="Marquez Terrones Jersson Brayan" u="1"/>
        <s v="Mariluz Avalos Armando " u="1"/>
        <s v="Paisig Vasquez Jose Deiber" u="1"/>
        <s v="VALDERRAMA Vasquez Kevin" u="1"/>
        <s v="CASIO Valentin, Yulino" u="1"/>
        <s v="YUYARIMA Vega, Wilber" u="1"/>
        <s v="CASTAÑEDA Becerra, Marco Antonio" u="1"/>
        <s v="CUEVA GOMEZ PIPO ABEL" u="1"/>
        <s v="CUEVA GOMEZ ANTONIO GRABIEL" u="1"/>
        <s v="BERMUDEZ NARCIZO LUIS DEIVES" u="1"/>
        <s v="RAMIREZ DIAZ JOSE ALEXIS" u="1"/>
        <s v="FLORES LLANO JUAN CARLOS" u="1"/>
        <s v="ADVINCULA PEREZ JESUS GLICERIO" u="1"/>
        <s v="VIDAL OSORIO KEVIN HUGO" u="1"/>
        <s v="TORRES POMA LUIS MIGUEL" u="1"/>
        <s v="ABANTO EGUILAS AARON ABHEL" u="1"/>
        <s v="CASMA CASTRO ANDRES JOSE" u="1"/>
        <s v="MAURICIO ALEJOS EDDIE JOEL ANGEL" u="1"/>
        <s v="MARCO ANTONIO COLLANTES ABANTO" u="1"/>
        <s v="KIMBERLY BERENICE HERRERA VILCA" u="1"/>
        <s v="JHOSELYN MAGALY MORALES LUNA" u="1"/>
        <s v="YOJAR GUSTAVO HUAYANAY VILLARREAL" u="1"/>
        <s v="EDIL JAIS GUERRERO SALAZAR" u="1"/>
        <s v="MIGUEL ANGEL ARTICA RODRIGUEZ" u="1"/>
        <s v="PONCE CASTILLEJOS JORDAN MAYLI " u="1"/>
        <s v="REYMUNDEZ FLORES LIZET JOSELYN" u="1"/>
        <s v="HUAYTA POMACARHUA KENY JUNIOR" u="1"/>
        <s v="ESTRADA PALACIOS ESNAYDER JORNET" u="1"/>
        <s v="AMPUDIA CERVANTES WALDIR JULINHO" u="1"/>
        <s v="ANSELMO REYES MAYCOL MATEUS" u="1"/>
        <s v="CARAZAS SANCHEZ GIAN FRANCO " u="1"/>
        <s v="INGA INGA MARCO" u="1"/>
        <s v="MERA ZULUETA STALIN FREUD" u="1"/>
        <s v="MONTALVO FALCON JUAN ANULFO " u="1"/>
        <s v="NUÑEZ HUAMAN NILTON CESAR" u="1"/>
        <s v="ROJAS MAYO JOEL" u="1"/>
        <s v="RICHARD EMERSON MORENO BELLIDO" u="1"/>
        <s v="QUIROZ HIDALGO OLIVER FELICIANO" u="1"/>
        <s v="GARCIA BALLADARES NAIOMY LEONOR " u="1"/>
        <s v="DEL CASTILLO VILLANUEVA YULISA MARGARITA " u="1"/>
        <s v="LOPEZ LOBATON ROBERT ALEXIS" u="1"/>
        <s v="CURO MAMANI ALEXANDER HONORATO" u="1"/>
        <s v="LASTARRIA ENRIQUEZ,ROBERT WILFREDO" u="1"/>
        <s v="ALEJOS GARCIA LUIS ALBERTO" u="1"/>
        <s v="FARIAS BARCENA EMIR ROBERTO" u="1"/>
        <s v="CAMPOS MEDINA LUIS HERNAN" u="1"/>
        <s v="FERNANDEZ RODRIGUEZ ROSALVINA ELIANA" u="1"/>
        <s v="AÑANCA SALAS JORGE ALEXANDER" u="1"/>
        <s v="CCONISLLA FERNANDEZ MARTIN GASPAR" u="1"/>
        <s v="Vivar Vela, Carlos Gerson" u="1"/>
        <s v="CONTRERAS BARTUREN PIERO MANUEL" u="1"/>
        <s v="CRUZ MALCA JOEL" u="1"/>
        <s v="CUENTAS HUAMAN MARCO ANTONIO" u="1"/>
        <s v="FLORES MARZANO IRVING ANTHONY " u="1"/>
        <s v="MEZA ARTEAGA EFRAIN LUIS " u="1"/>
        <s v="FIERRO BORDA LUIS DAVID" u="1"/>
        <s v="PUCCIO POVIS FABIAN MARCELLO" u="1"/>
        <s v="FARRO VEGA LUIS" u="1"/>
        <s v="VILLAJUAN GONZALES ARTHUR ALDAIR" u="1"/>
        <s v="BRAVO BELTRAN ANTONIO CESAR" u="1"/>
        <s v="MEJIA CONDORI  JOHAN " u="1"/>
        <s v="SEDANO HUAMANI ALEX " u="1"/>
        <s v=" JACOBE PALLARCO CESAR ESMID" u="1"/>
        <s v="QUEVEDO REUPO LUIS MIGUEL" u="1"/>
        <s v="MUÑICO BERNALDO MIGUEL ANGEL" u="1"/>
        <s v="VIZCARRA YACTAYO OSCAR RAUL" u="1"/>
        <s v="VARGAS BALLADOLED JHON" u="1"/>
        <s v="MORALES CARRASCO EVER ANDRES" u="1"/>
        <s v="CHAVEZ MINCHOLA EDUAR LORENZO" u="1"/>
        <s v="LEDESMA HUAYCUCHI ROYER MISAEL" u="1"/>
        <s v="BURGOS AURORA ALEXANDER OBAD" u="1"/>
        <s v="MONTAÑEZ SUAREZ MARCO ANTONIO" u="1"/>
        <s v="GUTIERREZ CRUZ PABLO JESUS" u="1"/>
        <s v="MENDOZA QUINTANILLA JONATHAN GABRIEL" u="1"/>
        <s v="REYES ANTIZANA JHONATHAN ALFREDO" u="1"/>
        <s v="ALARCON CANCINO JOSE LUIS" u="1"/>
        <s v="CHANCO MEZA JOSE" u="1"/>
        <s v="QUISPE RIMAC JUAN JHORDAN" u="1"/>
        <s v="OJEDA MARTINEZ LUIS MIGUEL" u="1"/>
        <s v="CARO VASQUEZ MARIBEL" u="1"/>
        <s v="ROMERO LAZARO JESSICA JOHANNA LUZ" u="1"/>
        <s v="TOLENTINO BERNABE PERCY" u="1"/>
        <s v="CHILLON VALIENTE DAVID JHONATAN" u="1"/>
        <s v="HUANCA MOREANO LUCIO" u="1"/>
        <s v="DEL AGUILA DEL AGUILA EDISON AMERICO " u="1"/>
        <s v="PANTOJA ZEVALLOS JOAQUIN ALBERTO" u="1"/>
        <s v="ERICK ELIAS CORTEZ SANGAMA" u="1"/>
        <s v="LOPEZ GOMEZ JHONNATAN KRIZZ" u="1"/>
        <s v="WARNER ZUNIGA QUISPE" u="1"/>
        <s v="MONTES TORRES ANGEL GUILLERMO  " u="1"/>
        <s v="OLIVA NUNJAR MIGUEL ANGEL" u="1"/>
        <s v="PABLO CAPCHA CESAR DAVID" u="1"/>
        <s v="QUISPE AGUILAR YHENS ANTONIO " u="1"/>
        <s v="AMAYA SANTIAGO PETER ERNESTO " u="1"/>
        <s v="Davalos Poma Eddy Rolando " u="1"/>
        <s v="Meza Condori Wilian " u="1"/>
        <s v="HUAMAN Reyes Andres Joel" u="1"/>
        <s v="ECHE Reyes, Marco" u="1"/>
        <s v="CANALES SORIANO YUVER YHOHAN" u="1"/>
        <s v="QUISPE MAMANI EDGAR" u="1"/>
        <s v="SALCEDO VILLAR ANGELES" u="1"/>
        <s v="ROSALES ORE CLIMER MICHEL" u="1"/>
        <s v="VARGAS ZENOZAIN ALEXANDER PERCY" u="1"/>
        <s v="CAMARA DE LA CRUZ PAUL FERNANDO" u="1"/>
        <s v="DEIBY RENZO SALDARRIAGA SANCHEZ" u="1"/>
        <s v="ISAAC MAYLLE BALDEON" u="1"/>
        <s v="CRISTHIAN RAFAEL GUTIERREZ SERNAQUE" u="1"/>
        <s v="MEDINA ZAPATA ANGEL GUILLERMO" u="1"/>
        <s v="ARRIBASPLATA VASQUEZ PIERO ALESSANDRO " u="1"/>
        <s v="TUESTA CHUNG JOSE " u="1"/>
        <s v="OJEDA MORALES YURI " u="1"/>
        <s v="ARAUJO AVALOS ERNAN HENRRY" u="1"/>
        <s v="BALDERA MAZA LUIS" u="1"/>
        <s v="CRUZ NAVARRO LUIS" u="1"/>
        <s v="DELFIN RIVAS JUAN JOSE" u="1"/>
        <s v="GONZALES PALOMINO JUSTO" u="1"/>
        <s v="HASSAN VARGAS HENDRICK HAWASMA" u="1"/>
        <s v="HUACCACHI LUZA YURI" u="1"/>
        <s v="HUILLCA CCEÑUA ATILIO" u="1"/>
        <s v="JOSE JAVIER MORALES" u="1"/>
        <s v="MALPICA MESTANZA CARLOS" u="1"/>
        <s v="RAMIREZ ALLCCA JULIOS ALEXANDER" u="1"/>
        <s v="RAUL ZAMORA CESPEDES" u="1"/>
        <s v="RAYME RIVERA RAUL" u="1"/>
        <s v="SIHUINCHA CHOCCE EDGAR" u="1"/>
        <s v="TAPULLIMA VASQUEZ MIGUEL DONALD" u="1"/>
        <s v="SALAS HUARANCA JOHN " u="1"/>
        <s v="GUERRA GOY RONALD ALEXANDER" u="1"/>
        <s v="OLAZABAL MANCO LUIS MIGUEL" u="1"/>
        <s v="GOMEZ NOA DAVID MANUEL " u="1"/>
        <s v="RAMOS CHUQUILIN MELVEN ADAN" u="1"/>
        <s v="SANDOVAL SANCHEZ CARLOS AUGUSTO" u="1"/>
        <s v="LA TORRE FRANCISCO " u="1"/>
        <s v="GAMBOA PILLACA MANUEL" u="1"/>
        <s v="CORBACHO RIVERA VICTOR RAUL" u="1"/>
        <s v="CHIPANA HUAYHUAS VICTOR JAIME " u="1"/>
        <s v="HUERTA REYNALDO ANGEL" u="1"/>
        <s v="CRUZ CONDORI EDWIN" u="1"/>
        <s v="MOGOLLON CASTILLO,CARLOS ALEXIS" u="1"/>
        <s v="MERCADO PARIONA RUDY JESUS  " u="1"/>
        <s v="ORCUSUPA SALLICA JULIO CESAR" u="1"/>
        <s v="REAÑO VALENCIA YERSON WALDOR" u="1"/>
        <s v="ZUÑIGA JAVIEL ALBERTO JUNIOR" u="1"/>
        <s v="JIMENEZ CAJAHUAMAN ATILIO AGUSTIN" u="1"/>
        <s v="CURI ECHEVARRIA URIEL PELELIS" u="1"/>
        <s v="ACHA ROA JHON FREDY" u="1"/>
        <s v="HERRERA BERNAL LUIS RODOLFO" u="1"/>
        <s v="ANDRADE LAO HECTOR " u="1"/>
        <s v="MACUYAMA ICOMENA ADAN " u="1"/>
        <s v="SAAVEDRA ALVARADO SEGUNDO" u="1"/>
        <s v="ESPINOZA FERNANDEZ RICARDO" u="1"/>
        <s v="CABRERA CUZCANO ALEXANDER PAUL" u="1"/>
        <s v="MARTINEZ PEREZ LUIS ANTONIO" u="1"/>
        <s v="ALVAN CELIS WATSEN ALAN" u="1"/>
        <s v="MORA CUCHITINERI LUIS ALBERTO " u="1"/>
        <s v="OROÑA VALERIO ROY ITALO" u="1"/>
        <s v="AVILA CAMAC MIRKO EDUARDO" u="1"/>
        <s v="JANIO TINTA SALDAÑA" u="1"/>
        <s v="RUBEN LUIS AVILA CAMAC" u="1"/>
        <s v="QUISPE VILCA HUGO VICTOR" u="1"/>
        <s v="PALOMINO ESCOBAR MARINO PROSPERO" u="1"/>
        <s v="MILIAN MALCA GILMER" u="1"/>
        <s v="MARTINEZ SOTO ZENOBIO" u="1"/>
        <s v="MOSQUERA IBARRA KLEBER MANUEL" u="1"/>
        <s v="CARDENAS ARCHE, EDUARDO ANGEL" u="1"/>
        <s v="DEL AGUILA RIOS, ELIO JUNIORS " u="1"/>
        <s v="IHUARAQUI GABINO,DENIS" u="1"/>
        <s v="SARANGO ESLI VDA DE MORALES MARIA TERESA " u="1"/>
        <s v="SOCA CARDENAS, MAURO MARCOS" u="1"/>
        <s v="VARGAS FUCHS, JOSE ANTONIO" u="1"/>
        <s v="LUIS ALBERTO LA CRUZ GUTIERREZ" u="1"/>
        <s v="CRUZ QUINDE JORGE" u="1"/>
        <s v="ARIAS CACERES EXALTACION " u="1"/>
        <s v="HUAMANI CCORAHUA ELIS" u="1"/>
        <s v="RUIZ CACHIQUE LUIS ALEJANDRO " u="1"/>
        <s v="GARAMENDI GOMEZ RICHARD" u="1"/>
        <s v="REYNA SACIETA HUGO HERNAN" u="1"/>
        <s v="VELIZ ZAMORA YHONY  " u="1"/>
        <s v="GOMEZ RAMOS ALEJANDRO " u="1"/>
        <s v="DIAZ HUAMAN ROICER CARI " u="1"/>
        <s v="MARENGO BERAUN JOSEPH" u="1"/>
        <s v="Huarote Castilla Hernan" u="1"/>
        <s v="Levano Ferreyra Jose Carlos " u="1"/>
        <s v="LIMA Quispe Dionicio" u="1"/>
        <s v="BARRIENTOS Rojas, Luis Hugo" u="1"/>
        <s v="SIPAN López Juan Alonzo" u="1"/>
        <s v="MANTILLA HUAMAN SANTOS" u="1"/>
        <s v="ESPINOZA CENTENO  EFRAIN" u="1"/>
        <s v="SALVATIERRA PORRAS JULIO MAXIMO" u="1"/>
        <s v="ANTON GOMEZ MARGHORIT VANESSA" u="1"/>
        <s v="RAMOS ARIZA RICARDO WILIAM" u="1"/>
        <s v="IBAÑEZ OJEDA LEONARDO" u="1"/>
        <s v="CONTRERAS SULLCA MAXIMO" u="1"/>
        <s v="CRISTHIAN ARCENIO BUSTAMANTE FERNANDEZ" u="1"/>
        <s v="CRUZ PAREDES, ALDO ENRIQUE" u="1"/>
        <s v="CASTILLO MOLINA JUAN CARLOS " u="1"/>
        <s v="EZEQUIEL MANUELITO GALECIO LEVANO" u="1"/>
        <s v="RALPH SAUL BACA DELGADO" u="1"/>
        <s v="ORLANDINE EDUARDO MONTESINOS MEJIA" u="1"/>
        <s v="LAZARO ISMAEL VILLEGAS ALVAREZ" u="1"/>
        <s v="DELGADO ALMENDRAS KENNY ABEL" u="1"/>
        <s v="PEREZ BARRERA ADRIAN BALDEMAR" u="1"/>
        <s v="PUICON FIGUEROA CESAR GUSTAVO" u="1"/>
        <s v="ACHIRCANO HUAMAN  TEOFILO" u="1"/>
        <s v="AGUILAR MADRID EMERSON BLADIMIR" u="1"/>
        <s v="BLAS HIDALGO JAVIER" u="1"/>
        <s v="CABANILLAS CENTENO ROBERTO" u="1"/>
        <s v="CALZADILLA ARAUJO JOSE" u="1"/>
        <s v="LEON JESUS DANNY KPHN" u="1"/>
        <s v="LUJAN NINASAUME MAXIMO" u="1"/>
        <s v="TAPULLIMA TUANAMA ROAL" u="1"/>
        <s v="SALAS LUNA PAULO " u="1"/>
        <s v="YAÑEZ LAMELA JORGE LUIS" u="1"/>
        <s v="TOLENTINO CALDERON CLIDER" u="1"/>
        <s v="RENGIFO SANCHEZ JHON LEWIS" u="1"/>
        <s v="TICONA FIGUEROA LUIS" u="1"/>
        <s v="TIMANA OLAYA HECTOR DAVID" u="1"/>
        <s v="CHINININ QUISPE EDGARD MARIO" u="1"/>
        <s v="CESPEDES LLAGUENTO JAVIER" u="1"/>
        <s v="Cuno Alata, Jesus Alberto " u="1"/>
        <s v="Valderrama Gerova, Jhon Stive" u="1"/>
        <s v="SOBERON LOBATO ALAMIRO" u="1"/>
        <s v="HIDALGO RAMIREZ TEODOCIO MARCELINO " u="1"/>
        <s v="JARA RIVERA GINO GABRIEL" u="1"/>
        <s v="MARTINEZ VELASQUEZ JORGE ALBERTO" u="1"/>
        <s v="MARADIEGUE PASACHE ANIBAL RICARDO " u="1"/>
        <s v="LUIS ALBERTO GARRO BUSTAMANTE" u="1"/>
        <s v="ESPINOZA GONZALES JOEL" u="1"/>
        <s v="SALAZAR SOZA FRESIA" u="1"/>
        <s v="VALLE NEYRA PAUL FRANSISCO" u="1"/>
        <s v="SOJO MARTINEZ CHRISTIAN ANDRES" u="1"/>
        <s v="GOICOCHEA ALVARADO SEGUNDO DEYBY" u="1"/>
        <s v="GOMEZ RIVERO LUPE ORESTES" u="1"/>
        <s v="PARIONA GUERRA PABLO CAMILO " u="1"/>
        <s v="HUAROTO ESPINOZA PROSPERO" u="1"/>
        <s v="CABEZAS OCHATOMA, MARCELINO" u="1"/>
        <s v="GUTIERREZ ROSALES, ROLANDO" u="1"/>
        <s v="LLANOS FERNANDEZ JUAN CARLOS" u="1"/>
        <s v="AYALA MANCILLA MARCO ANTONIO" u="1"/>
        <s v="MAYHUIRE CHANCAHUAÑA SANTOS FELIPE" u="1"/>
        <s v="MAMANI CURASI RENAN TEOFILO" u="1"/>
        <s v="VALENCIA DIAZ MARCOS ANTONIO" u="1"/>
        <s v="TABOADA GUTIERREZ DELFIN" u="1"/>
        <s v="Muñante Pachas Walter Elías" u="1"/>
        <s v="FIERRO Torres Raul Manuel" u="1"/>
        <s v="CARRETERO Campos Marcos Antonio" u="1"/>
        <s v="LLACZA RICRA DAVID REY" u="1"/>
        <s v="ANYOSA CANDIA HERMENEGILDO EDGAR" u="1"/>
        <s v="OLARTE ESPINOZA HECTOR HUGO " u="1"/>
        <s v="REYES TORRES NICOLAS" u="1"/>
        <s v="MAURIZ GUZMAN OMAR" u="1"/>
        <s v="ISIDRO ELIAS ORMEÑO HERNANDEZ" u="1"/>
        <s v="CHUCHON RIVERA MAXIMO FRANCO" u="1"/>
        <s v="CUBA TORRES CARLOS" u="1"/>
        <s v="HUANCAHUARI PAUCAR MARINO" u="1"/>
        <s v="RAMÍREZ  SULLON CARLOS JESUS" u="1"/>
        <s v="RIVERA CHIPANA CARLOS ALBERTO" u="1"/>
        <s v="SANABRIA SIMEON ELMER BENIGNO" u="1"/>
        <s v="SEGURA ARANDA EMER AMERICO" u="1"/>
        <s v="VILLA LUY,ANDRES RAUL" u="1"/>
        <s v="GARRIAZO BENDEZU,JUAN HUMBERTO" u="1"/>
        <s v="PAREDES VARGAS PEDRO LUIS" u="1"/>
        <s v="ALHUAY CAHUANA CHARLES " u="1"/>
        <s v="CASTAÑEDA CAMPOS BRAULIO" u="1"/>
        <s v="VILLANUEVA RETUERTO ZENON " u="1"/>
        <s v="VALLE NEYRA PEDRO DANIEL" u="1"/>
        <s v="ZARABIA TEJERO PORFIRIO" u="1"/>
        <s v="CHARCA PUMA SABINO" u="1"/>
        <s v="ESPINOZA TACUNAN OSCAR WILFREDO" u="1"/>
        <s v="AGAMA Ostos, Pedro" u="1"/>
        <s v="MEZA PARIONA JAIME JUAN" u="1"/>
        <s v="ANTIPORTA HUAMANI ROLDOS ALFONSO" u="1"/>
        <s v="RIOS ROJAS CLAUDIA SARA " u="1"/>
        <s v="CASTRO ESTELA JEYSON FRANCESCOLLY " u="1"/>
        <s v="DE LA TORRE ESPINAL DIOMEDES ELIAS " u="1"/>
        <s v="FLORES SONCCO HIPOLITO " u="1"/>
        <s v="GARCIA ROCCA GIANCARLO JHIENSO" u="1"/>
        <s v="LLONTOP GUERRA MIGUEL ALBERTO " u="1"/>
        <s v="MUÑOZ AGUILAR LUD DAVOR" u="1"/>
        <s v="RAFAEL PAUCAR DIEGO DANIEL " u="1"/>
        <s v="CALDERON TRAVI GUSTAVO MANUEL" u="1"/>
        <s v="DELGADO DIAZ NELSON " u="1"/>
        <s v="MASKO SANCHEZ BRENDON" u="1"/>
        <s v="ESPINOZA VILCHEZ ERNESTO" u="1"/>
        <s v="PEREZ BARRIOS PAMELA" u="1"/>
        <s v="ALZAMORA PALOMINO PABLO " u="1"/>
        <s v="CHAMORRO CHAVEZ EMELSON KENYI" u="1"/>
        <s v="NONALAYA CHACON JUAN ARMANDO" u="1"/>
        <s v="RODRIGUEZ VILLACORTA JOSE" u="1"/>
        <s v="RUMICHE CHAVEZ CARLOS ENRIQUE  " u="1"/>
        <s v="GALLARDO LIMA JOSE ALEXANDER" u="1"/>
        <s v="ROJAS SOTO JAIME LEONCIO" u="1"/>
        <s v="QUISPE GALVEZ ENRIQUE ANTONIO" u="1"/>
        <s v="AQUINO LEON FREDDY RAUL" u="1"/>
        <s v="OLAYA PRIETO HENRY" u="1"/>
        <s v="RUBEN ZAMORA ZARATE" u="1"/>
        <s v="CESAR ALBERTO PAUCAR PILCO" u="1"/>
        <s v="CISNEROS AMORIN WALTER" u="1"/>
        <s v="NUÑEZ SECAS JOSE" u="1"/>
        <s v="GARCIA INUMA EUSEBIO JEFERSON" u="1"/>
        <s v="CRUZ BENITES HECTOR HUGO" u="1"/>
        <s v="DELFIN RIVAS JUAN JOSE " u="1"/>
        <s v="FLORES BACON FRANCISCO " u="1"/>
        <s v="ROBERTO RICALDE CARHUACHAGUA" u="1"/>
        <s v="NAVARRO BURILLO LUIS" u="1"/>
        <s v="MENDOZA HUAYABAN LUIGI CALEB " u="1"/>
        <s v="PUELLES POTENCIANO HITALO" u="1"/>
        <s v="ECHEVARRIA CHUQUILLANQUI LUIS JEFFERSON " u="1"/>
        <s v="CHUQUILLANQUI CASTAÑEDA JOSE" u="1"/>
        <s v="HUASCO Najarro Diego Alexander" u="1"/>
        <s v="ALCARRAZ GUTIERREZ JHAK LEONARDO " u="1"/>
        <s v="CANCHUMANI BASURTO LUIS ANTONIO" u="1"/>
        <s v="MAYRA YSLA ALEXANDER" u="1"/>
        <s v="BUENDIA TAZA PEDRO MARTIN" u="1"/>
        <s v="VILCHEZ ZAPATA RENZO ALONSO " u="1"/>
        <s v="FLORES LOPEZ LUIS D'STFANO" u="1"/>
        <s v="MAGUIÑA SOLIS FREDD ANDERSON" u="1"/>
        <s v="ROJAS HUILLCAPUMA LUIS ISAAC" u="1"/>
        <s v="ABEL TAYPE CLEMENTE" u="1"/>
        <s v="DIAZ CABALLERO ARIANA GEORGINA OLENKA" u="1"/>
        <s v="EFFIO JARAMILLO,CESAR" u="1"/>
        <s v="REYNA CISNEROS JORGE" u="1"/>
        <s v="RAMOS YARANGA OMAR JEANFRANCO" u="1"/>
        <s v="CACERES NAUPA YAMIR GIOVANNY" u="1"/>
        <s v="Martinez Levano, Walter Raul" u="1"/>
        <s v="ESCRIBA FLORES JULIO STEFANO" u="1"/>
        <s v="HERNANDEZ CALLE ROMMEL ROB" u="1"/>
        <s v="ISMINIO PALACIOS KEVIN ALEXANDER" u="1"/>
        <s v="Castro Gutierrez Ronald" u="1"/>
        <s v="Aylas Alvites Luis Angel" u="1"/>
        <s v="Sanchez Miranda Gorginho Aldair" u="1"/>
        <s v="Rivera Bautista Jose Luis" u="1"/>
        <s v="ORUNA TORRES KEVIN " u="1"/>
        <s v="PINEDO TORRE ARIEL" u="1"/>
        <s v="QUISPE RIVAS RICARDO" u="1"/>
        <s v="RODRIGUEZ GONZALES LLERRY JHAN CARLOS" u="1"/>
        <s v="PAREJA OSORIO YUNIOR" u="1"/>
        <s v="ROJAS SORIANO BRIAM YIMI " u="1"/>
        <s v="CAJACURI MACHACUAY MARKY SILVERT" u="1"/>
        <s v="LABAJOS ARBILDO PATRIKC" u="1"/>
        <s v="CHOTA GUEVARA  FRANCO" u="1"/>
        <s v="GALVEZ MEZA  KEVIN" u="1"/>
        <s v="QUIJANA ALCAZAR, CIRO MARTIN" u="1"/>
        <s v="RIOS GALVEZ JERSON SEGUNDO" u="1"/>
        <s v="ROMANI CANALES GABRIEL ABRAHAM" u="1"/>
        <s v="SANTARIA CONTRERAS, JOSE JOSE " u="1"/>
        <s v="VILLALOBOS SALVADOR ALEXIS" u="1"/>
        <s v="ENRIQUE ZEDANO SEBASTIAN JOSHYA" u="1"/>
        <s v="YORK SADAN SAENZ CACERES " u="1"/>
        <s v="VICTOR ENRIQUE LA MADRID TANAZOA " u="1"/>
        <s v="TUMBAJULCA ALAYO YULISSA ARACELI" u="1"/>
        <s v="MISARI MENDOZA GIULLIAN STEPHAN" u="1"/>
        <s v="HURTADO VANDER SCHATTE OLIVIER MAYRA ALEJANDRA" u="1"/>
        <s v="SALINAS SOLIS HANS STEVEN " u="1"/>
        <s v="MILLA TAMARIZ ALEXANDER PASCUAL  " u="1"/>
        <s v="PERALTA FERNANDEZ AIRTON VINCHERSON " u="1"/>
        <s v="GABRIEL TAPULLIMA BRANDON GIL " u="1"/>
        <s v="BERNALES MAZA CESAR AGUSTO" u="1"/>
        <s v="Lizama Ramirez Billy Jhoel " u="1"/>
        <s v="GALINDO Fernandez Julio Cesar" u="1"/>
        <s v="CASTAÑEDA Becerra Marco Antonio" u="1"/>
        <s v="LALUPU SOLANO LUIS ALBERTO" u="1"/>
        <s v="ALATRISTA CHAVEZ ALVARO MAURICIO" u="1"/>
        <s v="SURICHAQUI AVILA CYNTIA KAREN" u="1"/>
        <s v=" MEZA  SHUÑA  JESUS" u="1"/>
        <s v="GONZALES CAHUAZA CARLOS ALBERTO " u="1"/>
        <s v="URRTIA BERRU DELMER " u="1"/>
        <s v="MEZA SANTOS JOEL ALEXANDER" u="1"/>
        <s v="POLINARIO NUÑEZ CASTILLO " u="1"/>
        <s v="HUASUPOMA RODAS MERITA ISABEL" u="1"/>
        <s v="GRANADOS LIZANA CRISTIAN" u="1"/>
        <s v="SANTILLAN LAVADO GERALD LEGERY" u="1"/>
        <s v="CASTRO BELLIDO FELIX FERNANDO " u="1"/>
        <s v="DAVILA RODRIGUEZ JAYRO OMAR" u="1"/>
        <s v="HUILLCAS HUINCHO ANTONIO" u="1"/>
        <s v="VIDAL OSORIO KEVIN HUGO " u="1"/>
        <s v="GASTELU DE LA CRUZ POOL ALBERTO" u="1"/>
        <s v="MEZA FLORES JUNIOR JAVIER" u="1"/>
        <s v="MEZA FLORES LUIS DAVID" u="1"/>
        <s v="RIVERO QUIROBA JUAN CARLOS" u="1"/>
        <s v="PRADO TOVAR DANIEL JESUS" u="1"/>
        <s v="CALZADO HUACANCA GUSTAVO ALONZO" u="1"/>
        <s v="TORRES MAMANI RUBEN DARIO" u="1"/>
        <s v="HUIZA VILLARRUEL GUNNER JAMPIER" u="1"/>
        <s v="MERINO QUILLAMA JOSEPH ANGEL" u="1"/>
        <s v="GARCIA ROMERO ANTONY YIMBER" u="1"/>
        <s v="OLAVARRIA PERRY ALLISON GERALDINE " u="1"/>
        <s v="ALFARO CAVERO GINO PAOLO" u="1"/>
        <s v="WAJAI PEREZ MARCOS SAMUEL" u="1"/>
        <s v="ROMERO GARIBAY ANDY ZENON" u="1"/>
        <s v="LITANO MARCELO JOSE LUIS " u="1"/>
        <s v="PALOMINO CANCHARI CARLOS MIGUEL" u="1"/>
        <s v="ULFE ARÉVALO YELTSIN OMAR " u="1"/>
        <s v="LAZO MOLINA LEONARDO MÁXIMO " u="1"/>
        <s v="HURTADO COTRINA LUIS JAVIER" u="1"/>
        <s v="RIOS GALVEZ PATRICK" u="1"/>
        <s v="ROJAS PALACIOS FRANCO" u="1"/>
        <s v="VALLEJOS GOMEZ WILSON" u="1"/>
        <s v="HUERTO CHUQUILIN YORDY MENLY" u="1"/>
        <s v="HUERTO CHUQUILIN ROLY MERLIN" u="1"/>
        <s v="MEZA AMANCIO, ARNOL JHON" u="1"/>
        <s v="ALVAREZ MARQUEZ, MAYRO JOSHEP" u="1"/>
        <s v="BENAVIDES CARRENO,ERICK JUNIOR" u="1"/>
        <s v="PAZ LAURENTE JORGE" u="1"/>
        <s v="NAJAR DOMINGUEZ HECTOR ULISES" u="1"/>
        <s v="ROMERO GALVEZ KEVIN RAUL" u="1"/>
        <s v="DELGADO ADRIANO ZHEIMER ELIAS" u="1"/>
        <s v="CORDOVA MIRANDA EMERSON DAVID" u="1"/>
        <s v="NEYRA LOZANO MARLON" u="1"/>
        <s v="AGUILAR CABRERAS FRANCLIN RICEL" u="1"/>
        <s v="QUINTO MUÑOZ VICTOR JEAN PIERRE" u="1"/>
        <s v="SAMUEL RICARDO CHURA TINTAYA" u="1"/>
        <s v="RIVERA CRISTOBAL ABEL MARCELO" u="1"/>
        <s v="GOMEZ SURCO EDSON CHUQIÑO" u="1"/>
        <s v="FERNANDEZ RODRIGUEZ ROSALVINA ELIANA " u="1"/>
        <s v="VARGAS AGUILAR CARLOS MARCELO" u="1"/>
        <s v="ROJAS ALBUJAR FRANK ANTHONY" u="1"/>
        <s v="RIOS SHAHUANO MARDEN" u="1"/>
        <s v="Soncco Quispe, Ireneo Melendez " u="1"/>
        <s v="LIMA SOLANO ROLY" u="1"/>
        <s v="MARCO ANTONIO LEONARDO GONZALES" u="1"/>
        <s v="TRUJILLO AGUIRRE MIGUEL EDUARDO" u="1"/>
        <s v="Cardenas Maringo Ricardo Roger" u="1"/>
        <s v="Cardenas Maringo Liszeht Cecilia" u="1"/>
        <s v="Regalado Linarez Miguel Angel" u="1"/>
        <s v="Delgado Cerda Fidel " u="1"/>
        <s v="Cordova Mayuri Anthony Eddy" u="1"/>
        <s v="DONAR DIAZ PEREZ " u="1"/>
        <s v="PORRAS SANTANA EDER SAUL" u="1"/>
        <s v="TICSE CLEMENTE JEAN KENYI" u="1"/>
        <s v="GOBITZ ALFARO FERNANDO MARCO ANTONIO " u="1"/>
        <s v="GURBILLON AGURTO PIERRE EMIL " u="1"/>
        <s v="PUELLES POTENCIANO BORIS ALDO" u="1"/>
        <s v="CALDERON VILLACORTA LUIS ALBERTO " u="1"/>
        <s v="CHAUCA SALVATIERRA WILLAM ENRIQUE" u="1"/>
        <s v="ABANTO BALLENA, JORGE ANTONIO" u="1"/>
        <s v="ALEJOS CORDOVA MECHAEL ALEXIS" u="1"/>
        <s v="ARTEAGA FLORES, MICHAEL" u="1"/>
        <s v="ATAHUALPA PALOMINO, JHONATHAN FRANCISCO" u="1"/>
        <s v="BARRETO AMAYA LYNG CARLOS" u="1"/>
        <s v="CACERES CHAMPI, EDGAR ROMEL" u="1"/>
        <s v="DAMIAN RIOS, GERSON ISRAEL" u="1"/>
        <s v="HERRERA CAPA, VICENTE " u="1"/>
        <s v="LLANTOY CRUCES,CLAUDIO AUGUSTO" u="1"/>
        <s v="PANDURO MOZOMBITE MIGUEL" u="1"/>
        <s v="VARAS BOHORQUEZ, CESAR AUGUSTO" u="1"/>
        <s v="AMASIFUEN ROMAYNA TONY ALEXANDER" u="1"/>
        <s v="PEREZ RAMIREZ JUAN CARLOS " u="1"/>
        <s v="ABELINO PAITAN DOROTE" u="1"/>
        <s v="BAZAN CORDOVA JOSÉ" u="1"/>
        <s v="NATIVIDAD FLORES JUAN CARLOS" u="1"/>
        <s v="CASTILLO CABRERA LISETH JAGAYRA " u="1"/>
        <s v="TORRENES ROJAS EDGAR ROGER " u="1"/>
        <s v="Gomez Barrientos Mauro Jesus " u="1"/>
        <s v="Lopez Burga Edinson Pedro " u="1"/>
        <s v="BASILIO Robles Alex" u="1"/>
        <s v="CHAVEZ Portal Andres Osmar" u="1"/>
        <s v="SARMIENTO Olaya, Yinner" u="1"/>
        <s v="DAMAZO Silvestre José Alberto" u="1"/>
        <s v="VILLANUEVA Guevara Saúl Dalton" u="1"/>
        <s v="PANTA YOVERA HENRY ANTHONY " u="1"/>
        <s v="CASTILLA CHUMPITAZI EDDI DANIEL " u="1"/>
        <s v="NOA LOZANO JOSE LUIS " u="1"/>
        <s v="CHAVEZ CORMAN SAMUEL " u="1"/>
        <s v="CESAR AUGUSTO CASTILLO PRUDENCIO_x000d__x000a_" u="1"/>
        <s v="DENIS IVAN MENDOZA JARA" u="1"/>
        <s v="JUAN JOSE TAPIA VASQUEZ" u="1"/>
        <s v="JOEL EVARISTO VALDIVIA BENITES " u="1"/>
        <s v="RUBEN DARIO HERRERA CHOLAN" u="1"/>
        <s v="PAIMA ESCOBAR TAYLOR " u="1"/>
        <s v="CESINARIO QUEZADA FRANK JHOMEINY" u="1"/>
        <s v="BALLADARES IMAN JOSUE ELI" u="1"/>
        <s v="ARROYO RAMOS JULIO CESAR " u="1"/>
        <s v="URIOL HIDALGO  CARLOS ALBERTO " u="1"/>
        <s v=" MINAYA CARBAJAL EDISON FLAVIO" u="1"/>
        <s v="PINCHI COMETIVOS JORGE ANGEL " u="1"/>
        <s v="CARDENAS CCOLLANQUI JORGE ALEXANDER" u="1"/>
        <s v="JARA MORALES JOSE FELIPE " u="1"/>
        <s v="INGA CHUQUIYAURI JOHNATAN" u="1"/>
        <s v="TEJADA SANCHEZ LEONARDO ANDRE" u="1"/>
        <s v="BERMUDEZ NARCIZO PERCILES" u="1"/>
        <s v="CALDERON CASTRO CARLOS ALFREDO" u="1"/>
        <s v="ESPINOZA LEIVA WALTER MAXIMO" u="1"/>
        <s v="LOPEZ GRADO LUIS SATURNINO" u="1"/>
        <s v="SALAZAR TUCTO PETRONILO" u="1"/>
        <s v="HUAMAN HUAROCC MANUEL" u="1"/>
        <s v="PALOMINO CHAHUA ROY TEDDY" u="1"/>
        <s v="QUISPE SERRANO WILIAM JAVIER" u="1"/>
        <s v="CHAVEZ GONZALES EFRAIN JONAS" u="1"/>
        <s v="NUÑEZ OROPEZA, JULIO PERCY" u="1"/>
        <s v="SANTAMARIA, TANTAVILCA, LUIS ALBERTO" u="1"/>
        <s v="CADERNAS DE LA CRUZ FABIO HUMBERTO" u="1"/>
        <s v="BEDREGAL BARRIOS MARIA DEL CARMEN" u="1"/>
        <s v="SILVA VILLEGAS JOSE DAVID" u="1"/>
        <s v="RAVILLA FELIX IVAN CESAR" u="1"/>
        <s v="MARTINEZ GALINDO JOSE LUIS" u="1"/>
        <s v="OLORTEGUI DOSANTOS KARGEL " u="1"/>
        <s v="GARCIA VILLADOMA BELISARIO " u="1"/>
        <s v="MANZARI LOZANO PEDRO MANUEL" u="1"/>
        <s v="VALDIVIA DÍAZ MARIA ISABEL " u="1"/>
        <s v="MONTOYA VARGAS LINDER" u="1"/>
        <s v="QUISPE BARRIOS ERNESTO" u="1"/>
        <s v="ZUÑIGA JIMENO EMMANUEL CHRISTIAN " u="1"/>
        <s v="REATEGUI HERNANDEZ EDWIN LEONARDO " u="1"/>
        <s v="ALARCON BRYSON RANDY " u="1"/>
        <s v="AYALA LASTRA ISAIAS RAMON" u="1"/>
        <s v="CARRANZA SANTANDER JUAN JOSE ROBERTO" u="1"/>
        <s v="PEÑA MENDOZA EDWIN WALTER" u="1"/>
        <s v="RAMOS LUJAN EVARISTO LUCIANO" u="1"/>
        <s v="HUERTA HIDALGO JASON BYRON" u="1"/>
        <s v="RIVERA ORDOÑEZ, PABLO FROYLAN" u="1"/>
        <s v="CABEZAS RODRIGUEZ MIGUEL ANGEL" u="1"/>
        <s v="ALEJOS HUACRE EDEN IVAN" u="1"/>
        <s v="VELEZ LEON SERGIO RAÚL" u="1"/>
        <s v="ENMANUEL VALLES MOZOMBITE" u="1"/>
        <s v="CHUQUIMANGO DIAZ ROSITA HILDA" u="1"/>
        <s v="DAHUA TAPULLIMA HERNAN" u="1"/>
        <s v="TAPULLIMA CHOTA DARWIN" u="1"/>
        <s v="GUERRERO CHAVEZ KELLER MARTY" u="1"/>
        <s v=" AMACIFUEN TUANAMA YURI" u="1"/>
        <s v=" RUEDA VIDAL RICARDO RENATO" u="1"/>
        <s v="GONZALEZ RAMIREZ JOSE ARMANDO" u="1"/>
        <s v="HUAMAN BELLOTA FROILAN" u="1"/>
        <s v="GOMEZ USCA SIMON JESUS" u="1"/>
        <s v="ROMERO GOMEZ BLADIMIR" u="1"/>
        <s v="LLANOS LAURENTE  JORGE LUIS" u="1"/>
        <s v="DAPELLO CORTAZAR ROBERTO MARTIN " u="1"/>
        <s v="VIERA CABALLERO CARLOS RAUL " u="1"/>
        <s v="JULCAMORO HUARIPATA SEGUNDO JOEL " u="1"/>
        <s v="CADENA CRUZADO VICTOR DAVID" u="1"/>
        <s v="CARRIÒN FLORES REY PAULINO " u="1"/>
        <s v="CHIPANA QUISPE DELFIN" u="1"/>
        <s v="CHUNG PANAIFO, ALEX ANDRES " u="1"/>
        <s v="NAVARRO ROCA, ALEX OSWALDO" u="1"/>
        <s v="RAMOS CRUZ, ISABEL REYNALDO" u="1"/>
        <s v="REYES TORRES VANDERLEY" u="1"/>
        <s v="CABRERA QUISPE MIGUEL ANGEL" u="1"/>
        <s v="FLORES CALVAY JOSE ANTONIO" u="1"/>
        <s v="GARCIA TACUCHI ANTHONY" u="1"/>
        <s v="ALIAGA PEREZ  RONALD SCOTT" u="1"/>
        <s v="GUZMAN GUZMAN GUSTAVO ISAAC" u="1"/>
        <s v="RODRIGUEZ MURAYARI  IVAN" u="1"/>
        <s v="TAPIA  GONZALES  LENIN" u="1"/>
        <s v=" ROJAS QUISPE JUAN" u="1"/>
        <s v=" GUEVARA CHAVEZ ARGION" u="1"/>
        <s v="ASIS MUÑOZ GENARO ANTONIO " u="1"/>
        <s v=" ZAMORA ENCISO GERARDO" u="1"/>
        <s v="JANAMPA LAVAN RAUL " u="1"/>
        <s v="CARLOS ANGEL ALVAREZ  GUEVARA" u="1"/>
        <s v="CASTILLA CHUMPITAZ ABNER LUIS" u="1"/>
        <s v="VEGA DURAN GELMON WINDDHER" u="1"/>
        <s v="CARREÑO FERNANDEZ LANDI ALFONSO " u="1"/>
        <s v="DAVILA RIMARACHIN JORGE ALEX " u="1"/>
        <s v="SAENZ CHICO BRYNNER FREDDY" u="1"/>
        <s v="ALIANO RICALDI EPIFANIO SAUL" u="1"/>
        <s v="CRISOSTOMO TUCUMANGO PELAYO" u="1"/>
        <s v="ESPIRITU BERROSPI RAUL ALEJANDRO" u="1"/>
        <s v="HUAMANTICA DE LA CRUZ OSCAR" u="1"/>
        <s v="CUYA CONDORI   JORGE MANUEL" u="1"/>
        <s v="PAXI NINA JOAQUIN" u="1"/>
        <s v="DOLORES QUIJANO DANTE FERRER" u="1"/>
        <s v="Salvador Chavez Samuel" u="1"/>
        <s v="ROJAS CONDOR EDWIN FRANCO" u="1"/>
        <s v="HAMILTON OMAR GONZALES PAREDES" u="1"/>
        <s v="CAMACHO ALVA RICHARD" u="1"/>
        <s v="ARBILDO RAMIREZ BADY DARWIN" u="1"/>
        <s v="COELLO ALOR RICHARD " u="1"/>
        <s v="SANTOS RAMIREZ CESAR AUGUSTO" u="1"/>
        <s v="NOLTE ROMERO ROCIO PAMELA" u="1"/>
        <s v="CARRASCO CHACÓN LUIS" u="1"/>
        <s v="DE LA CRUZ CAMILLA JULIO CESAR" u="1"/>
        <s v="JAHUIN OLIVAR JHONNY ROBERTO" u="1"/>
        <s v="CRIOLLO VEGAS ALEX YVAN" u="1"/>
        <s v="PORTILLO CERNA OMAR CESAR" u="1"/>
        <s v="CHAVEZ HUAMAN CARLOS AGUSTIN" u="1"/>
        <s v="MANIHUARI GONZALES ANGEL RAUL" u="1"/>
        <s v="DAHUA TAPULLIMA EDWIN" u="1"/>
        <s v="FARFAN YLMAR" u="1"/>
        <s v="Neyra Castañon Carlos Eduardo" u="1"/>
        <s v="Zamora Enciso Gerardo" u="1"/>
        <s v="AMARO CHAGUA SERAFIN " u="1"/>
        <s v="HETUN CORDOVA, MARTIN EDUARDO" u="1"/>
        <s v="AYONA ABARCA JOHNNY RICHARD" u="1"/>
        <s v="DEL VALLE ESPINO RONALD CESAR" u="1"/>
        <s v="PANIZO ARRIAGA MANUEL ELIAS ISAAC" u="1"/>
        <s v="JESUS ALFREDO FERNANDEZ BARZOLA" u="1"/>
        <s v="ALVITES ENCALADA, GENARO DECIDIERO" u="1"/>
        <s v="PASTOR FUENTES ROBER" u="1"/>
        <s v="URIARTE BUSTAMANTE WALTER" u="1"/>
        <s v="AGURTO MORENO ESTEBAN" u="1"/>
        <s v="LOPEZ GUIMARAY MIGUEL" u="1"/>
        <s v="LOPEZ GUIMARAY REYNALDO JUAN " u="1"/>
        <s v="YIMY JESUS MALCA SANCHEZ" u="1"/>
        <s v="BANEGAS CHAMBILLA TOMAS" u="1"/>
        <s v="FERNANDEZ BAZALAR IVAN VICENTE" u="1"/>
        <s v="LACOTERA CONTRERAS LIZARDO RICARDO" u="1"/>
        <s v="CASTILLO TORRES MANUEL" u="1"/>
        <s v="ALARCON ANJAS WILDER JUAN" u="1"/>
        <s v="ESPINOZA ESPINOZA ALBINO" u="1"/>
        <s v="JAIME CASTILLO PERCY " u="1"/>
        <s v="ROBLES CORDERO AUGUSTO  HIPOLITO " u="1"/>
        <s v="MANUEL CASTILLO TORRES" u="1"/>
        <s v="DIAZ VALLEJO VICTOR ENRIQUE" u="1"/>
        <s v="CASTILLO PORRAS CARLOS ENRIQUE" u="1"/>
        <s v="SAICO LAZO JULIO" u="1"/>
        <s v="ALEJO LOZANO EDGAR" u="1"/>
        <s v="SESSAREGO PEÑA MANUEL ANTONIO" u="1"/>
        <s v="DIONICIO CHIRINO HEBERT FREDDY" u="1"/>
        <s v="CCOCHACHI CARBAJAL LUIS ENRIQUE" u="1"/>
        <s v="TAYA BAÑEZ WILBER JOHN" u="1"/>
        <s v="TOVAR PEREZ ROBERT WILLIAM " u="1"/>
        <s v="IZQUIERDO RAMIREZ EDINSON" u="1"/>
        <s v="AMADOR PEÑAFIEL LEGUIA" u="1"/>
        <s v="SANTIAGO CHUJUTALLI EDUARD PABLO" u="1"/>
        <s v="AQUINO CONDORI FELIX" u="1"/>
        <s v="CASTRO GUTIERREZ NEISSEN" u="1"/>
        <s v="JIMENO ALCANTARA YVAN VLADIMIR" u="1"/>
        <s v="FLORIAN FARFAN JAIME MODESTO" u="1"/>
        <s v="VILCHEZ JANAMPA RICARDO FREDDY" u="1"/>
        <s v="Bustamante Perez, Segundo Manuel" u="1"/>
        <s v="Chuquiyauri Garcia Herminio Maximo" u="1"/>
        <s v="Huayta Milla, Felix Celso" u="1"/>
        <s v="Huiñapi Mozombite, Alfredo" u="1"/>
        <s v="Villavicencio Leyva Oscar" u="1"/>
        <s v="Zabala Rojas Oseas Abel" u="1"/>
        <s v="ESPINOZA TELLO GERARDO VICENTE" u="1"/>
        <s v="PEREZ GRAUS NILTON ARLINDO" u="1"/>
        <s v="VASQUEZ SARMIENTO JESUS JORGE" u="1"/>
        <s v="JONES AGUAYO ABEL JOSE" u="1"/>
        <s v="MONTAÑO SHIRLEY ISABEL" u="1"/>
        <s v="ALBITES CARTAGENA JUAN ALEJANDRO" u="1"/>
        <s v="DUEÑAS Zuñiga Ubaldo" u="1"/>
        <s v="AGAMA Ostos Pedro" u="1"/>
        <s v=" CCOPA CHIPANA ANGEL NICOLAS " u="1"/>
        <s v="OJEDA CRISANTO WALTER ENRIQUE " u="1"/>
        <s v="GONZALES HERRERA PEDRO WALTER" u="1"/>
        <s v="ARAUJO GARCIA MIGUEL" u="1"/>
        <s v="PADILLA CELIS PETER" u="1"/>
        <s v="GOMEZ LAYNES RICARDO JESUS" u="1"/>
        <s v="PEBE FRANCO ELAR MAMERTO" u="1"/>
        <s v="ÑAHUI CABRERA, LIDIA" u="1"/>
        <s v="CARRANZA RUIZ IGNACIO GASTON" u="1"/>
        <s v="AGUILAR NUÑEZ ABEL" u="1"/>
        <s v="BAHAMONDE BENAVENTE CESAR EMILIO " u="1"/>
        <s v="FELICE SACO MICHEL ANGELO" u="1"/>
        <s v="GARAMENDI GOMEZ NIXON" u="1"/>
        <s v="MARIN MUÑOZ ALEXI BENITO" u="1"/>
        <s v="MILLA PINTO JEAN PIERRE" u="1"/>
        <s v="NAVARRETE PEDROSO JOSE ALEJANDRO" u="1"/>
        <s v="QUISPE MONTES EMERSON" u="1"/>
        <s v="SANCHEZ LOAIZA LUIS JAVIER" u="1"/>
        <s v="CRUZ SANTOS MANUEL" u="1"/>
        <s v="PEREZ FLORES JHONY EMANUEL" u="1"/>
        <s v="CANALES ANTAYHUA MILAGROS LIZETH" u="1"/>
        <s v=" PONTE MORENO KENE JHONATAN" u="1"/>
        <s v="MEZA SALGADO RENZO RAUL" u="1"/>
        <s v="ACOSTA CAMPOS OBED JAMES" u="1"/>
        <s v="MOLINA MONDALGO ELMER YOVANI" u="1"/>
        <s v="PONCIANO VERDE ORLANDO" u="1"/>
        <s v="MARTINEZ RUBIO IVAN ALEXIS" u="1"/>
        <s v="INTI ALVA MARCO" u="1"/>
        <s v="MEDINA ZUÑIGA MIGUEL ARTURO " u="1"/>
        <s v="SERNAQUE SALINAS SEGUISFREDO SEGUNDO" u="1"/>
        <s v="CASTILLO CHINCHAY JOSE SANTIAGO" u="1"/>
        <s v="MORAN CORREA JULIO SEGUNDO" u="1"/>
        <s v="PAREJAS SALOME GIANCARLOS " u="1"/>
        <s v="VILLGARAY PALOMINO WILMER " u="1"/>
        <s v="AREVALO VITEN JOSE KELVIN" u="1"/>
        <s v=" PULACHE CORDOVA VICTOR AUGUSTO" u="1"/>
        <s v="BAÑEZ ARCE LORGIO PABLO" u="1"/>
        <s v="TERREROS QUINTO FRANCISCO LUCIO" u="1"/>
        <s v="CARLOS ALBERTO ÑAHUE PORTILLO " u="1"/>
        <s v="GUILLEN AGUILAR CESAR" u="1"/>
        <s v="ARTICA RODRIGUEZ MIGUEL ANGEL" u="1"/>
        <s v="DEL CASTILLO CANTORAL BEATRIZ" u="1"/>
        <s v="GUERRERO FLORES RICHARD DEIVID" u="1"/>
        <s v="RODRIGUEZ RAMIREZ JOSEPH JEFFERSON" u="1"/>
        <s v="PAUCAR NATEROS CRISTIAN" u="1"/>
        <s v="AMENERO PORTOCARRERO LUIS ENRIQUE" u="1"/>
        <s v="CASTILLO BOHORQUEZ WILSON WILLIANS" u="1"/>
        <s v="PALOMINO LINARES TITO" u="1"/>
        <s v="RODRIGUEZ HUACHUA ELIUD YAKOB" u="1"/>
        <s v="JAUREGUI RIVERA JORGE MANUEL" u="1"/>
        <s v="NUÑEZ RODRIGUEZ, FELIX RUFINO" u="1"/>
        <s v="SANCHEZ PANAICO, RICARDO WAGNER" u="1"/>
        <s v="HUAMAN VALVERDE, CARLOS GUADALUPE" u="1"/>
        <s v="LLASACA ZARATE, YOLBE HECTOR" u="1"/>
        <s v="JORGE CRUZ, EDILBERTO MOISES" u="1"/>
        <s v="AGURTO CASTILLO, WILFREDO" u="1"/>
        <s v="LEON HUIZA, LUIS ALBERTO" u="1"/>
        <s v="MEZA MALLQUI, POMPEYO ESQUIEL" u="1"/>
        <s v="GALAN BOULANGGER, LUIS ALBERTO" u="1"/>
        <s v="SANCHEZ SALAZAR, DONATILO ALEJANDRO" u="1"/>
        <s v="TELLO VERA, MARCOS PAUL" u="1"/>
        <s v="GONZALES IBAÑEZ, RUFINO GREGORIO" u="1"/>
        <s v="MADUEÑO RIOS, CARLOS ALBERTO" u="1"/>
        <s v="GUTIERREZ MORAN WILMER" u="1"/>
        <s v="QUIROZ SARMIENTO, ANGEL MIGUEL" u="1"/>
        <s v="AVILA MORAN, BEDE EDGARDO" u="1"/>
        <s v="SANTIAGO REYES, JUAN TEODORO" u="1"/>
        <s v="CHAVARRI GARCIA, RICARDO EMILIO" u="1"/>
        <s v="GARCIA CARBAJAL, VICTOR MANUEL" u="1"/>
        <s v="VARGAS OBREGON, WALTER CIRO" u="1"/>
        <s v="LOMPARTE FIGUEROA HERBERT FERNANDO " u="1"/>
        <s v="QUIÑONEZ OJEDA MATIAS JESUS" u="1"/>
        <s v="MATIAS JESUS QUIÑONEZ OJEDA" u="1"/>
        <s v="DIMITRIJEVICH CASALINO PEDRO " u="1"/>
        <s v="CHAVEZ RIVERA UBALDO VICTORIANO" u="1"/>
        <s v="CELEDONIO CIERTO ELEAZAR JOEL" u="1"/>
        <s v="TORRES HERRERA JULIO HERNAN" u="1"/>
        <s v="CHUQUI CRUZ CARLOS PERCY" u="1"/>
        <s v="GONZALES ALVARADO, RICHARD ALEJANDRO" u="1"/>
        <s v="BENITES DIAZ, LUIS EDUARDO" u="1"/>
        <s v="LAGUNA CALDAS, OMAR" u="1"/>
        <s v="JAIS CHACON, MARIO DANTE" u="1"/>
        <s v="VILLANUEVA VALLE, VICTOR AUGUSTO" u="1"/>
        <s v="ROA GODOS, MANUEL ALBERTO" u="1"/>
        <s v="RAMIREZ RAMIREZ, RICARDO ANGEL" u="1"/>
        <s v="LOBATON VILCHERREZ, JORGE ANTONIO" u="1"/>
        <s v="BRICEÑO JULCA, YONNY SANTIAGO" u="1"/>
        <s v="SANCHEZ TAVARA, JORGE  LUIS" u="1"/>
        <s v="SORIANO HERRERA, MAXIMILIANO PEDRO" u="1"/>
        <s v="URBINA PAJUELO, WILBER EDDY" u="1"/>
        <s v="PALOMINO VILLAGOMES, TIELú RAúL" u="1"/>
        <s v="CARRASCO QUISPE, MARCO ANTONIO" u="1"/>
        <s v="DIAZ BERAUN, FREDY ALBERTO" u="1"/>
        <s v="SIHUIN NARVAEZ, ALFREDO JAVIER" u="1"/>
        <s v="ORDOÑEZ VALENZUELA, ROGER" u="1"/>
        <s v="ROJAS ACUÑA, EDUARDO FELICIANO" u="1"/>
        <s v="LARA ROSALES EDGAR" u="1"/>
        <s v="VENTURA PUMARICA, FERNANDO EMILIO" u="1"/>
        <s v="MORENO FAJARDO, JAIME LUIS" u="1"/>
        <s v="CARRILLO ALBURQUEQUE, LUIS MIGUEL" u="1"/>
        <s v="ANDAMAYO REYMUNDO, JULIO" u="1"/>
        <s v="VILLARREAL GALLARDO, EDUARDO TOMAS" u="1"/>
        <s v="RUIZ MARQUEZ, LUIS MIGUEL" u="1"/>
        <s v="DAVALOS MENDO, MARCOS ANTONIO" u="1"/>
        <s v="CASTILLO CARMEN, LUIS ALBERTO" u="1"/>
        <s v="PALACIOS GODOS, JOSE RAMON" u="1"/>
        <s v="CARDENAS ZARATE, DAMIAN CONSTANTINO" u="1"/>
        <s v="MONTAÑO SONO DANIEL EDUARDO" u="1"/>
        <s v="YATACO GARCIA MANUEL ANTONIO" u="1"/>
        <s v="ALVAREZ TUMPAY VICTOR" u="1"/>
        <s v="GAVILAN ROMERO JESUS NAZARIO" u="1"/>
        <s v="ERASAMO HUACHACA SALAS" u="1"/>
        <s v="JUSCAMAYTA JUAREZ GERARDO" u="1"/>
        <s v="BALBIN TORIBIO LUIS ESTEBAN" u="1"/>
        <s v="NEVADO CAVERO JOSE ALFREDO" u="1"/>
        <s v="HUARCAYA CASTRO ROBERTO" u="1"/>
        <s v="Chanduvi Claros, José Martín" u="1"/>
        <s v="Huaytan Milla, Felix Celso" u="1"/>
        <s v="Rodriguez Suarez Santos" u="1"/>
        <s v="DELGADO SANCHEZ GERARDO ANTONIO" u="1"/>
        <s v="GONZALEZ GARAZATUA JOSE ENRIQUE FELIPE" u="1"/>
        <s v="ZULUAGA SAAVEDRA JAIME RUBEN" u="1"/>
        <s v="YUPANQUI CORBACHO ARTURO ROBERTO" u="1"/>
        <s v="YUMBATO VASQUEZ REYNALDO" u="1"/>
        <s v="CONDORI MAMANI SALUSTIO" u="1"/>
        <s v="CAPURRO MORAN  JEAN CARLO" u="1"/>
        <s v="OLIVOS OLIVOS MARTIN DAVID" u="1"/>
        <s v="MARTINEZ SOTO ENOBIO" u="1"/>
        <s v="BUSTAMANTE CAMPOS JOSE LEONARDO" u="1"/>
        <s v="NEYRA RAMIREZ  JUAN WILDER " u="1"/>
        <s v="GUTIERREZ CHILCA LUIS ALEXANDER " u="1"/>
        <s v="ALVAREZ AMAYA FREDY GREGORIO " u="1"/>
        <s v="BERNABE DOMINGO RODRIGO" u="1"/>
        <s v="FLORES CUNYA CLEMEX" u="1"/>
        <s v="SANCHEZ VELASQUEZ JESUS  EDUARDO" u="1"/>
        <s v="SOSA SULLON ALDO" u="1"/>
        <s v="JONI RAFAEL JAIME RETAMOZO" u="1"/>
        <s v="DUEÑAS Rojas Johnny Joel" u="1"/>
        <s v="CAMERO CRUZ WILIAM" u="1"/>
        <s v="RAMOS PAUCAR  SILVERIO " u="1"/>
        <s v="RICRA VEGA ARNOLD RILDO" u="1"/>
        <s v="CASTILLO ATOCHE HENRY LUIS " u="1"/>
        <s v="NUÑEZ FANO JOSE ALFREDO" u="1"/>
        <s v="GONZALES SALDAÑA TONY " u="1"/>
        <s v="COLOS CAMPOS JUAN CARLOS" u="1"/>
        <s v="COLOS CAMPOS RAFAEL" u="1"/>
        <s v="QUISPE FLORES TEOFILO" u="1"/>
        <s v="MALDONADO MAYTAHUARI RONALD NILS" u="1"/>
        <s v="CASTILLO CAMPOS HECTOR FRANK" u="1"/>
        <s v="PAXI NANI JOAQUIN" u="1"/>
        <s v="VALENTIN SMITH, LEONARDO JOSE" u="1"/>
        <s v="LA ROSA GUTIERREZ, CESAR AUGUSTO" u="1"/>
        <s v="TANTARICO RINZA, DAVID" u="1"/>
        <s v="SURCO MEDINA, CARLOS MARTIN" u="1"/>
        <s v="ALVARADO DE LA SOTA, GINO RAFFO" u="1"/>
        <s v="OCAS BAZAN, MANUEL ISIDRO" u="1"/>
        <s v="AYONA ABARCA, JOHNNY RICHARD" u="1"/>
        <s v="ALBORNOZ HUAMAN, JUAN CARLOS" u="1"/>
        <s v="BAUTISTA GARCIA, JESUS MIGUEL" u="1"/>
        <s v="ALVA CALDERON, ANTONIO MANUEL" u="1"/>
        <s v="SIFUENTES DOMINGUEZ, CELINO ANTONI" u="1"/>
        <s v="JURADO ILDIFONSO, FELIPE TEODOMIRO" u="1"/>
        <s v="ALIAGA CHAVEZ, BERNARD ALAIN" u="1"/>
        <s v="MARRUFO MONTOYA, RICHARD SIGIFREDO" u="1"/>
        <s v="AYACHI CABUDIVA, JORGE LUIS" u="1"/>
        <s v="VIDAURRE CABEZAS, JUANA BERTHA" u="1"/>
        <s v="RIVERA CACEDA, ZADI GIOVANNI" u="1"/>
        <s v="QUIROZ BORNICA, ALFONSO ALEXANDER" u="1"/>
        <s v="DAVILA GOMEZ, KEITH OMAR" u="1"/>
        <s v="SINTI DIAZ, RIDER ELMER" u="1"/>
        <s v="COLMENARES VELASQUEZ, ALEX INDALECIO" u="1"/>
        <s v="ACEVEDO HENRIQUEZ, ENRIQUE CARLOS" u="1"/>
        <s v="GUZMAN SALINAS, JULIO CESAR" u="1"/>
        <s v="ESPINO BENDEZU, GIANCARLO MITCHEL CESAR" u="1"/>
        <s v="ACARO RUIZ, AQUILES" u="1"/>
        <s v="RAMIREZ MURRUGARRA, JHONNY HENRRY" u="1"/>
        <s v="GASTELO VASQUEZ JOSE FELIX " u="1"/>
        <s v="TENAZOA RAMIREZ RONALD" u="1"/>
        <s v="ALARCON CUARESMA YOHEL" u="1"/>
        <s v="EDVERTH OROZCO CHUMACERO" u="1"/>
        <s v="MARZANO DIAZ PETER" u="1"/>
        <s v="BERRU CORTEZ, DARWIN" u="1"/>
        <s v="VARA PIZARRO,ALFREDO LIDGARD" u="1"/>
        <s v="MENDOZA SALAZAR,PEDRO ANTONIO" u="1"/>
        <s v="OLIVERA CARMEN,OSCAR LUIS" u="1"/>
        <s v="HUAMANI LANDEO,JORGE ALBERTO" u="1"/>
        <s v="SANTANA QUISPE LUIS ARMANDO" u="1"/>
        <s v="ECHAGARAY HUARCAYA EVILIO ALFONSO" u="1"/>
        <s v="CLEMENTE BALTAZAR HENRY " u="1"/>
        <s v="CARLOS ENRIQUE LOVERA VIZARRETA" u="1"/>
        <s v="REATEGUI GONZALES JUAN CARLOS  " u="1"/>
        <s v="Guanilo Ramirez, Raul" u="1"/>
        <s v="Guevara Chavez Argion" u="1"/>
        <s v="Huansi Guerreiro, Alexander" u="1"/>
        <s v="Landeo Guerra Liliana Aracely" u="1"/>
        <s v="Ordoñez Galvez William Admerson" u="1"/>
        <s v="ORMEÑO ARTEAGA JUAN MANUEL" u="1"/>
        <s v="LOPEZ FERNANDEZ LUCIO LORENZO" u="1"/>
        <s v="COLCA ACARAPI LADDY PATRICIA" u="1"/>
        <s v="BRAVO VERA WILLIAM IVAN" u="1"/>
        <s v="WILDER GRANDEZ CHOCACA" u="1"/>
        <s v="ALEX SEDANO HUAMANI" u="1"/>
        <s v="CALDERON CASTRO VICTOR ALEJANDRO" u="1"/>
        <s v="MENDOZA GARCIA GIAN GIUSEPPY" u="1"/>
        <s v="ALBAN ZAPATA TOMAS ANGEL" u="1"/>
        <s v="MELENDREZ URRETA HELLERMAN KENEDY" u="1"/>
        <s v="PEDRAZA LIRIO WILBER EDISON" u="1"/>
        <s v="CLAROS QUISPE JONATHAN POOL" u="1"/>
        <s v="LIMAYMANTA SOLANO, JIAM DANIEL" u="1"/>
        <s v="PAZ MARQUEZ ANTHONY FERNANDO" u="1"/>
        <s v="CAMPOMANES YEREN NINFA FIORELLA " u="1"/>
        <s v="MEDINA YLLANES MANUEL ESTAÑIS" u="1"/>
        <s v="RODRIGO CERDAN DIAZ " u="1"/>
        <s v="CHAVEZ RENGIFO  JHON WILLY" u="1"/>
        <s v="Anchante Garcia Cristian Ivan" u="1"/>
        <s v="Ingaroca Velasco Luigi Kenyi " u="1"/>
        <s v="CARMEN VILLEGAS LUIS ALBERTO" u="1"/>
        <s v="MURAYARI ARIRAMA ALAN GABRIEL" u="1"/>
        <s v="HINOSTROZA CARRILLO OLIVER JAMIL" u="1"/>
        <s v="ALBERTO ALCANTARA  IVAN " u="1"/>
        <s v="LOPEZ LIZANA OLMEDO EVAIR " u="1"/>
        <s v="RIVERA GAMBOA  ROSA PAULINA" u="1"/>
        <s v="ALBERCA ACUÑA MARILUZ" u="1"/>
        <s v="SANGAMA FLORES ALEX ORLANDO" u="1"/>
        <s v="ESTRADA GARCIA FERNANDO" u="1"/>
        <s v="ATOC OROPEZA JAVIER PAUL" u="1"/>
        <s v="PUMA FLORES DANIEL JOAQUIN FELIX" u="1"/>
        <s v="VILLALOBOS FERNANDEZ JUAN CARLOS" u="1"/>
        <s v="SANCHEZ GUTIERREZ LUIS JONATHAN" u="1"/>
        <s v="NEYRA CHOCAN JOSE OCTAVIO" u="1"/>
        <s v="PAREDES CACERES YONY" u="1"/>
        <s v="ESCATE CALDERON MARIO EDUARDO" u="1"/>
        <s v="RIVAS MEZA ALEXANDER FERNANDO" u="1"/>
        <s v="ROQUE ARZAPALO JUAN PABLO" u="1"/>
        <s v="ALMINAGORDA TITO NOLBERTO DANIEL" u="1"/>
        <s v="PINCHE CALVO, EDSON FRANCK" u="1"/>
        <s v="RAMIREZ ALLCCA, JULIOS ALEXANDER" u="1"/>
        <s v="SANGAMA FASANANDO, DARWIN" u="1"/>
        <s v="TELLO REVOLLAR, CARLOS RENZO" u="1"/>
        <s v="AñAZGO TENORIO, LUIS MIGUEL" u="1"/>
        <s v="PACAYA TANCHIVA, CARLOS XAVIER" u="1"/>
        <s v="SOSA TESEN, ARTURO SEGUNDO" u="1"/>
        <s v="MARCOS SAN MARTIN, RODOLFO JORGE" u="1"/>
        <s v="VARIAS CHERO, PAUL HERBERT" u="1"/>
        <s v="SANCHEZ MEDINA, YANINA LADY" u="1"/>
        <s v="LOPEZ MERGOZA, WALTER EDUARDO" u="1"/>
        <s v="FLORES AVILA, JESUS GABRIEL" u="1"/>
        <s v="NECIOSUP DOMENACK, GIANCARLO GILBERTO" u="1"/>
        <s v="NUNURA CANOVA, LUIS ALFREDO" u="1"/>
        <s v="RODRIGUEZ UCAÑAN ORLANDO YSMAEL" u="1"/>
        <s v="ERNESTO RICALDE GONZALES  " u="1"/>
        <s v="FRANCO SAMANIEGO ADOLFO ALFREDO" u="1"/>
        <s v="BERMUDEZ MENESES JUAN CARLOS" u="1"/>
        <s v="TORRES VALLES DANIEL" u="1"/>
        <s v="VASQUEZ HUAUYA CARLOS" u="1"/>
        <s v="VENEROS LIMAYMANTA, FERNANDO MANUEL" u="1"/>
        <s v="YPANAQUE VILCJHEZ,MARCELINO" u="1"/>
        <s v="OBLITAS TORO,ROMAN" u="1"/>
        <s v="BERNALES MARTINEZ,VERCELINO" u="1"/>
        <s v="SOUZA MALAFAYA,ELDER" u="1"/>
        <s v="REYES MOSTACERO GERARDO ERIBERTO" u="1"/>
        <s v="BALDEON VILLANES TONI MICHEL" u="1"/>
        <s v="GUILLEN RAYMUNDO LORGIO MARCO" u="1"/>
        <s v="RAMOS HUAMANI RAMIRO" u="1"/>
        <s v="ROSALES ARENAZAS RICARDO" u="1"/>
        <s v="CARLOS MARTIN SANCHEZ JERONIMO" u="1"/>
        <s v="LUIS ENRIQUE MONTERO ALARCON " u="1"/>
        <s v="PAUL WILLIAM BALVIN LANDA " u="1"/>
        <s v="CAMPOS CORDOVA LUIGUI XAVIER " u="1"/>
        <s v="MARTINEZ TOMAYLLA RIQUELME" u="1"/>
        <s v="LAZO SORRILLA CHISTIAN ALBERT" u="1"/>
        <s v="CELI GODOS CHRISTIAN PAUL" u="1"/>
        <s v="Alarcon Lima, Anderson Segundo" u="1"/>
        <s v="Buleje Tolentino, Pablo" u="1"/>
        <s v="Cabrera Alvarado, Alex Emilio" u="1"/>
        <s v="Carhuamaca Huayanay, Julio" u="1"/>
        <s v="Cesinario Quezada, Frank Jhomeiny" u="1"/>
        <s v="Neyra Castañon, Luis" u="1"/>
        <s v="Noa Lozano Jose Luis" u="1"/>
        <s v="Paima Escobar, Taylor" u="1"/>
        <s v="Panta Yovera, Henry Anthony" u="1"/>
        <s v="Sangama Tina Wakerman Jay" u="1"/>
        <s v="Tapullima Guerrero, Viterbo Eli" u="1"/>
        <s v="Valladares Diaz, Yofre Yhon" u="1"/>
        <s v="CASIMIRO GRANDA KENNY GIANCARLO" u="1"/>
        <s v="SOCLA ELIAS OSWALDO RODOLFO" u="1"/>
        <s v="FALCON BERNALDO LUIS SANTIAGO" u="1"/>
        <s v="RAFAELO PICOY YHONATAN VICTOR" u="1"/>
        <s v="RIOFRIO MENDOZA ERIKA NATALY" u="1"/>
        <s v="YORDI AGUIRRE RAFAEL " u="1"/>
        <s v="JODIN ELMER ROSALES ESPINOZA" u="1"/>
        <s v="FERNANDO CHUYMA QUISPE" u="1"/>
        <s v="CRUZ PALOMINO RICHARD" u="1"/>
        <s v="CALSINA MAMANI RAUL DAVID" u="1"/>
        <s v="LEON CORNEJO JOHAN EMMANUEL" u="1"/>
        <s v="MENDOZA SANCHEZ JUAN JOSE" u="1"/>
        <s v="MEJIA SUAREZ    ERICK JOSE" u="1"/>
        <s v="SANDOVAL OLIVERA RAFAEL EMANUEL " u="1"/>
        <s v="NIÑO ALVAREZ CESAR ENRIQUE " u="1"/>
        <s v="RONALDO DAVID CALLE DEXTRE " u="1"/>
        <s v="MEJIA ESPINOZA DANILO " u="1"/>
        <s v="JUAN BRAYAN PALACIOS RAMIREZ" u="1"/>
        <s v="VARA ESTRADA KENIA" u="1"/>
        <s v="Santisteban Ynoñan Victor Andres" u="1"/>
        <s v="JAUREGUI SANDOVAL AYRTHON GERALD" u="1"/>
        <s v="CCORIMANYA HUAMAN  RONALDO " u="1"/>
        <s v="Villacorta Cardenas  Nincol Willy" u="1"/>
        <s v="HUAMAN CAJACHAGUA LUIS ENRIQUE " u="1"/>
        <s v="CHACALTANA NAUPARI JOEL JEFFERSON" u="1"/>
        <s v="OLIVARES HERRERA MARCOS LUIS" u="1"/>
        <s v="MONCADA VAIS ANAIS STEPHANY_x000d__x000a_" u="1"/>
        <s v="Vargas Huarcaya Cristian Joel" u="1"/>
        <s v="MONTORO MEDINA YEAN FREDERICK" u="1"/>
        <s v="ESPINOZA HERNANDEZ, DANIEL ANTONIO" u="1"/>
        <s v="TAFUR JARA, JUAN FRANCISCO" u="1"/>
        <s v="ARRATIA GUERRA VICTOR ALFONSO " u="1"/>
        <s v="SORROZA NOLE, GABRIEL ISAI" u="1"/>
        <s v="OLIVARES RONDON, LEONARDO JESUS" u="1"/>
        <s v="CRUZADO REYES, CARLOS GIOVANNY" u="1"/>
        <s v="GONZALES LAVI, LONIO" u="1"/>
        <s v="PEREZ GONZALES, JOSE ELI" u="1"/>
        <s v="NAPAN YAYA, JOSE RAUL" u="1"/>
        <s v="GUERRA MARTINEZ, TOMMY ALEXIS" u="1"/>
        <s v="GUERRA MARTINEZ, INDER JAVIER" u="1"/>
        <s v="ESPINOZA COBEÑAS, CESAR DOMINGO" u="1"/>
        <s v="ROMERO WONG, ELIZABETH MILAGROS" u="1"/>
        <s v="VILLAJUAN GONZALES, ARTHUR ALDAIR" u="1"/>
        <s v="MASIAS GONZALES, ISAAC RAUL" u="1"/>
        <s v="RAMOS PORRAS, KEVIN ARMANDO" u="1"/>
        <s v="TARICUARIMA PEREZ, ENZO FRANCCESKOLY" u="1"/>
        <s v="PEREA CELIZ, MAYCOL BRAYAN" u="1"/>
        <s v="CHAUCA QUISPE, FRANT ENLIO" u="1"/>
        <s v="GONZALES MAJIN, HERLYN PIERO" u="1"/>
        <s v="FLORES SANDOVAL CHRISTIAN " u="1"/>
        <s v="CALAGUUA CASTRO, ALEXIS ANDERSON" u="1"/>
        <s v="CULQUI PARIÑAS SANTIAGO " u="1"/>
        <s v="ORTIZ JUAREZ ALEXIS VALENTIN" u="1"/>
        <s v="ALVAREZ FRANCO KEVIN ALEXANDER" u="1"/>
        <s v="QUISPE GUTIERREZ CRISTIAN" u="1"/>
        <s v="PAULO CESAR BARAYBAR MUÑIZ" u="1"/>
        <s v="CARHUAS EROLITO MARCOS CUSTODIO" u="1"/>
        <s v="BARRETO TRINIDAD DIEGO ANDREE" u="1"/>
        <s v="URBANO CCOYLLO JHON ANTHONY" u="1"/>
        <s v="GARCIA FLORES MART BREAJAM" u="1"/>
        <s v="QUINTEROS FERNANDEZ ALEJOS DAVID" u="1"/>
        <s v="GARCIA QUINDE, DIMAR JESUS" u="1"/>
        <s v="ABREGU ORE, ABEL ANTONNY" u="1"/>
        <s v="QUISPE TRUJILLO, BRYAN AXL" u="1"/>
        <s v="MONDRAGON MEJIA, CRISTHIAN IVAN" u="1"/>
        <s v="GARCIA SANTAYANA,JULIO CESAR" u="1"/>
        <s v="MEDINA ANCHANTE ANTHONY ALEJANDRO" u="1"/>
        <s v="CASTAÑEDA QUILCARO WENDY MELISSA " u="1"/>
        <s v="CERVANTES AREVALO MILDER " u="1"/>
        <s v="BULLON RUIZ CAMILA GRACIELA" u="1"/>
        <s v="SERGIO MEGO TAPIA" u="1"/>
        <s v="DAVID AUGUSTO CALLE RODRIGO" u="1"/>
        <s v="WALTER OMAR ESPINOZA MELENDEZ" u="1"/>
        <s v="KENJI ALEJANDRO HUANCA COLOS" u="1"/>
        <s v="LOYOLA MURIEL MICHAEL ELIAS" u="1"/>
        <s v="ALVARADO ALVARADO GROSBIL ANDERSON" u="1"/>
        <s v="MENDOZA ZETA JHORDY ALEXANDER" u="1"/>
        <s v="ISUIZA DEL CASTILLO JOSEPH JUNIOR" u="1"/>
        <s v="RODAS TENORIO STHEFANI YESSICA" u="1"/>
        <s v="CRUZ RAMON MIGUEL ANGEL" u="1"/>
        <s v="RONCAL PASCUAL BILY NELSON" u="1"/>
        <s v="BAZAN TAPIA ESTEFFANI" u="1"/>
        <s v="HUANSI VEGA JIMMY" u="1"/>
        <s v="Flores Yturbe, Carlos Aldair" u="1"/>
        <s v="Horna Miranda Richard" u="1"/>
        <s v="Nuñez Huaman, Nilton" u="1"/>
        <s v="AGREDA RIOS LUIS STEVE " u="1"/>
        <s v="SANTANDER CUSITITO CESAR LUIS " u="1"/>
        <s v="RIVERA LAUREANO GIAN MARCO" u="1"/>
        <s v="BANDA RIOS RUSSELNAYDER JAE" u="1"/>
        <s v="CARRANZA RUIZ ROBERTO CARLOS" u="1"/>
        <s v="VARGAS GIRON CRISTOFER JAVIER" u="1"/>
        <s v="MARQUEZ CRUZ JESUS MARCELO" u="1"/>
        <s v="QUINECHE PALACIOS DIEGO ERNESTO" u="1"/>
        <s v="VICENTE MATOS JOSE MANUEL" u="1"/>
        <s v="SALIZAR SOLANO JUSTIN SIDAEN FROYDAN" u="1"/>
        <s v="CARHUAPOMA MALLCCO JENRRY LEANDRO " u="1"/>
        <s v="SAMANAMUD MEDINA WALTER FABRIZIO " u="1"/>
        <s v="AGUILAR ORBEGOSO VICTOR EDUARDO" u="1"/>
        <s v="OLIVERA LOPEZ SAMUEL LEONARDO " u="1"/>
        <s v="VARGAS NAVARRO PERCY" u="1"/>
        <s v="Martinez Guillen Moraima Felicita" u="1"/>
        <s v="Ramirez Silva Bryan Junior" u="1"/>
        <s v="RAMOS HERRERA CARLOS ANTONIO" u="1"/>
        <s v="QUISPE OCHOA JOEL JUNIOR" u="1"/>
        <s v="MERINO ENCALADA GABRIELA DANIELA" u="1"/>
        <s v="BALDO VALENCIA, RODRIGO" u="1"/>
        <s v="GOMEZ FLOR, CHRISTOPHER JESUS" u="1"/>
        <s v="CAMPOS TANCHIVA, JOSE EMMANUEL" u="1"/>
        <s v="MOGOLLON RUJEL, DRICK BENEDICK" u="1"/>
        <s v="YAYCATE INUMA, VICTOR JHONY" u="1"/>
        <s v="OCHANTE LOPEZ, HAROL JEAN PIERS" u="1"/>
        <s v="SALAZAR VIDAURRE, MARCOS STEPHANO" u="1"/>
        <s v="JORDAN CORREA, CESAR GIOVANI" u="1"/>
        <s v="CAMPOS PARRA, FRANSAIS STEVE" u="1"/>
        <s v="AVELLANEDA BAUTISTA, ROBERT" u="1"/>
        <s v="ASPAJO RODRIGUEZ, HARRY KEVIN" u="1"/>
        <s v="CRUZ SILVA, JHON JEFERSON" u="1"/>
        <s v="GARRIDO CUADROS, ANGEL GABRIEL" u="1"/>
        <s v="FLORES ZAPANA, FREDDY SAMUEL" u="1"/>
        <s v="CUNEO LIBORA, ADRIANO JHONAYKER" u="1"/>
        <s v="CARHUAPOMA ARANGUEZ, EDWARD JESUS" u="1"/>
        <s v="MOZOMBITE PANDURO, YUSTIN MARTIN" u="1"/>
        <s v="MURAYARI ENMA  RAFAEL SMITH " u="1"/>
        <s v="LLANOS SALVADOR BRAYAN ESTIP" u="1"/>
        <s v="YLASACA PALOMINO TONNY RICARDO" u="1"/>
        <s v="ASPAJO RODRIGUEZ,HARRY KEVIN" u="1"/>
        <s v="MUÑOZ CASTILLO,JUAN PAUL" u="1"/>
        <s v="VILCHEZ CUADROS PAUL" u="1"/>
        <s v="GUEVERA RIVERA DENNIS RICARDO" u="1"/>
        <s v="REYNOSO RUPAY SEBASTIAN ADRIANO" u="1"/>
        <s v="PEREZ LIÑAN, MARIA VICTORIA" u="1"/>
        <s v="JESUS ANTONIO CUYUBAMBA GUTIERREZ" u="1"/>
        <s v="LUIS FERNANDO PALOMINO ESTRADA" u="1"/>
        <s v="RONAL LOPEZ ATACHAGUA" u="1"/>
        <s v="NORMAN ADRIEL SALAZAR MATOS" u="1"/>
        <s v="FABIAN ALEXIS SANCHEZ PEREZ" u="1"/>
        <s v="ANDRES MATIAS CHAMPION HERRERA" u="1"/>
        <s v="LUIS DOMINICK CALDERON ARBILDO" u="1"/>
        <s v="JEAN FRANK GONZALES SONCCO" u="1"/>
        <s v="JUNIOR RENEE CHINCHAY REYES" u="1"/>
        <s v="JORGE LUIS LEONARDO DIAZ VASQUEZ" u="1"/>
        <s v="FREDDY JESUS BEDON ZEVALLOS" u="1"/>
        <s v="CRISTIAN GUILLERMO JUAREZ SOLIS " u="1"/>
        <s v="QUISPE GARCIA ANGEL FARID" u="1"/>
        <s v="GIANLUIGI OMAR STEFANO TORRES LUZA" u="1"/>
        <s v="ALVARADO ALVARADO WANDERLEY" u="1"/>
        <s v="VARGAS AGUILAR LORENZO EDUARDO" u="1"/>
        <s v="GUTIERREZ MANRIQUE HENRYK RAUL" u="1"/>
        <s v="CORREA CORREA ELVIS JESUS" u="1"/>
        <s v="YAYCATE INUMA VICTOR JHONY" u="1"/>
        <s v="SIADEN VARGAS BLANCA XIOMARA DARLINE" u="1"/>
        <s v="ALARCON VELAZQUEZ VLADIMIR" u="1"/>
        <s v="ZEGARRA ZEGARRA MANUEL ENRIQUE" u="1"/>
        <s v="REYES OTINIANO SERGIO MARLON" u="1"/>
        <s v="MONTALVAN AMBROSIO VICTOR OSCAR" u="1"/>
        <s v="VILLALAZ VILELA FERNANDO LUIS" u="1"/>
        <s v="VALDIVIEZO PAREDES LUIS BELISARIO" u="1"/>
        <s v="NAVEROS CONTRERAS JULIO" u="1"/>
        <s v="RUIZ MARIN FRANCISCO ANTONIO" u="1"/>
        <s v="HUAMAN CHAVEZ DANIEL VICENTE" u="1"/>
        <s v="BALDERA VALDERA RONALD" u="1"/>
        <s v="ACOSTA ZELADA NILTON CESAR " u="1"/>
        <s v="ROJAS ARELLANO EDER JOHEL" u="1"/>
        <s v="Felix Bernardo, Jaime" u="1"/>
        <s v="Reyes Aliaga, Luis Lenien" u="1"/>
        <s v="Gorrin Rico, Alvaro Luis" u="1"/>
        <s v="Meza Fernandez, David" u="1"/>
        <s v="Flores Huamani, Marco Flores" u="1"/>
        <s v="Guerra Dominguez, Cesar Antonio" u="1"/>
        <s v="Meza Paucar, Luisiño Yosifer" u="1"/>
        <s v="CORREA RAMIREZ, GILBERTO JHONATAN" u="1"/>
        <s v="ROJAS ZAVALETA MILER RUBEN" u="1"/>
        <s v="PACSI SOLIS ANTHONY" u="1"/>
        <s v="HUARIPATA CUEVA LUIS MIGUEL" u="1"/>
        <s v="LOPEZ TERRONES JHONY FRANKLIN" u="1"/>
        <s v="RIVERA CHACCHI ALVARO JUAN CARLOS" u="1"/>
        <s v="CABANILLAS VALENCIA RICHARD JOEL" u="1"/>
        <s v="LOPEZ CORDOVA ADARLY" u="1"/>
        <s v="CRUZ AYALA JHONATAN" u="1"/>
        <s v="LEANDRO MANDUJANO RUBEN MARTIN" u="1"/>
        <s v="HUARCAYA LANAZCA JOSE ANTONIO" u="1"/>
        <s v="DAZA RICRA LORENZO SILVERIO" u="1"/>
        <s v="MANUYAMA TAMANI LEONARDO" u="1"/>
        <s v="FLORES PEÑA ESTEBAN PAGE" u="1"/>
        <s v="COLUNGA HERRERA ADHEMIR" u="1"/>
        <s v="CARROLLO RIVERA JUAN CARLOS GEMELL" u="1"/>
        <s v="ROJAS HINOSTROZA DESIDERIO" u="1"/>
        <s v="OLIVERA FERNANDEZ JEFERSON SANTOS " u="1"/>
        <s v="ACUÑA VALDERRAMA MANUEL ALEXANDER " u="1"/>
        <s v="APARICIO CUMBA SAUL" u="1"/>
        <s v="YAURI YALICO HAROL" u="1"/>
        <s v="LIZANDRO TITO   CRISTIAN" u="1"/>
        <s v="ZEGARRA CASTRO, JOSE JESUS" u="1"/>
        <s v="CORTEZ MERINO MARLON BRANDON" u="1"/>
        <s v="FERRADAS FARIAS JORDAN JAROL" u="1"/>
        <s v="MURAYARI RIOJA NICK HILTON " u="1"/>
        <s v="PINTO HUAMANI MARCIO YASIN" u="1"/>
        <s v="CAJACURI MACHACUAY MARKY SILVET" u="1"/>
        <s v="CASTRO VARGAS FRANK ANDERSON" u="1"/>
        <s v="ANAMPA LLOCCLLA, ELMER " u="1"/>
        <s v="CARHUAPOMA BOJORQUEZ, WILMER" u="1"/>
        <s v="MATAMORROS QUISPE JOSH JERINSHOL" u="1"/>
        <s v="RODRIGUEZ RODRIGUEZ JAIDER RUSBER " u="1"/>
        <s v="PAIRAZAMAN LUQUE KATHERINE MELISSA" u="1"/>
        <s v="GERSON ISRAEL DAMIAN RIOS" u="1"/>
        <s v="LOZANO VALDIVIA HEDILBERTO " u="1"/>
        <s v="DE LA CRUZ CABALLERO  JOSELITO" u="1"/>
        <s v="VARGAS TAQUIRE ANGEL ODON" u="1"/>
        <s v="QUEVEDO DAVIRAN, JEAN PIERRE BENITO " u="1"/>
        <s v="ESPINOZA ROJAS, ALFREDO DAVID " u="1"/>
        <s v="VALENCIA CASTILLO WILLIAM" u="1"/>
        <s v="ORTIZ SANEZ MIGUEL ANGEL" u="1"/>
        <s v="HIPOLITO SANDOVAL, FREDY" u="1"/>
        <s v="AMES GARCIA JORGE ALFREDO" u="1"/>
        <s v="PAITA CAMPOS ELVIS BRUCE" u="1"/>
        <s v="ALEJANDRIA ALTAMIRANO ANSELMO" u="1"/>
        <s v="VILCHEZ TICSE, EUSEBIO" u="1"/>
        <s v="CASTELO VEGA, SAUL ALDO" u="1"/>
        <s v="ARRATEA BERNAOLA ALVARO JONATHAN " u="1"/>
        <s v="ARRATEA BERNAOLA HECTOR EDUARDO " u="1"/>
        <s v="ARRATEA BERNAOLA LUIS EDUARDO " u="1"/>
        <s v="CORONADO SALVATIERRA DIEGO ENRIQUE" u="1"/>
        <s v="HILARIO CARRAN ALDO YOVANI" u="1"/>
        <s v="MATAMORROS QUISPE TONY SEGUNDINO " u="1"/>
        <s v="VALLADOLID MEDRANO JAVIER" u="1"/>
        <s v="TORRES INFANTE DANIEL" u="1"/>
        <s v="EGUAVIL ENRIQUEZ DONATO " u="1"/>
        <s v="ALVAREZ GUEVARA CARLOS ANGEL" u="1"/>
        <s v="RIQUELME DONAIRE RAFAEL " u="1"/>
        <s v="ESTEBAN PALACIOS, ORLANDO ALCIDES" u="1"/>
        <s v="TOMANGUILLA VILLARTIZ WISLEY " u="1"/>
        <s v="ELIO JUNIORS DEL AGUILA RIOS " u="1"/>
        <s v="HURTADO PRETELL ANDRES ITALO" u="1"/>
        <s v="DIAZ ZAAVEDRA DAGOBERTO " u="1"/>
        <s v="MITTA ARRATEA EDILBERTO NORMAN" u="1"/>
        <s v="CHACON POMA ANGEL JHONNY" u="1"/>
        <s v="CADENA CRUZADO JAVIER" u="1"/>
        <s v="LEON QUISPE MARTIN" u="1"/>
        <s v="ANAMPA ORTEGA VICTOR " u="1"/>
        <s v="CASO BUENO, LUIS ALBERTO " u="1"/>
        <s v="PAREDES ABANTO MELANIO" u="1"/>
        <s v="SILVA CRUZADO ALCIBIADES" u="1"/>
        <s v="MELLIZA ROJAS LUIS CESAR" u="1"/>
        <s v="URETA CALIXTO, ZENON LINCOL" u="1"/>
        <s v="LIZAMA QUISPE RICHARD HENRY" u="1"/>
        <s v="RUMALDO HUAMAN MIGUEL VIDAL" u="1"/>
        <s v="HUAMAN RIOS BRAULIO FRANCISCO" u="1"/>
        <s v="CONDORI SANTOS JOSE ANTONIO" u="1"/>
        <s v="MACEDO SORIA DAVIS GABRIEL" u="1"/>
        <s v="IPURRE UCHARIMA AQUELINO" u="1"/>
        <s v="OLORTEGUI ENCARNACION PATRICIO" u="1"/>
        <s v="AGUILAR CONDORI YONY" u="1"/>
        <s v="FUENTES BELTRAN EDGAR MOISES" u="1"/>
        <s v="HUAPAYA MORON ALEJANDRO OCTAVIO" u="1"/>
        <s v="CARRANZA VENTOCILLA GEORGE ANTHONY" u="1"/>
        <s v="MEDRANO AYLAN CRISTHIAN ANISETO" u="1"/>
        <s v="AREVALO TAPULLIMA LUIS PAOLO" u="1"/>
        <s v="HUACCHA LEON OSCAR WILLAN" u="1"/>
        <s v="AGUILAR FARFAN ROBERTO ANTONY" u="1"/>
        <s v="MEDRANO SANTOS CRISTIAN GUSTAVO " u="1"/>
        <s v="LAZO CUEVA  CRISTHIAN" u="1"/>
        <s v="TEJADA LEON LUIS ALBERTO " u="1"/>
        <s v="CRIBILLERO RONCEROS JAIME MANUEL " u="1"/>
        <s v="VALDIVIESO ANTON LEANDRO MIJHAEL " u="1"/>
        <s v="FLORES SEDANO KEVIN JHUNIOR " u="1"/>
        <s v="PULACHE CORDOVA VICTOR AUGUSTO " u="1"/>
        <s v="Cabrera Nuñez Jesus Jeremi" u="1"/>
        <s v="Gerrero Lopez Orlando Jared" u="1"/>
        <s v="Martel Aquino Jimmy Anthony" u="1"/>
        <s v="Wang Granados Cesar Antonio" u="1"/>
        <s v="Perez Napanga Erick Smit" u="1"/>
        <s v="Huaman Quispe Hnery Javier" u="1"/>
        <s v="Inofuente Soncco Lucio" u="1"/>
        <s v="Felipe Trigoso Alinson Lisset" u="1"/>
        <s v="Delgado Fernandez Jose Luis" u="1"/>
        <s v="Choque Torres Felix Aldair " u="1"/>
        <s v="Chuquispuma Chuquispuma Ivan Orlando " u="1"/>
        <s v="Enciso Chaca Luis Anthony " u="1"/>
        <s v="Lazo Molina Leonardo Maximo " u="1"/>
        <s v="Nuñez Espinoza Jean Junior " u="1"/>
        <s v="Ticlayauri Salvatierra Piero Jesus " u="1"/>
        <s v="Zambrano Guerra Marcelo " u="1"/>
        <s v="Ayala Alvarado Johnny Pablo " u="1"/>
        <s v="Barillas Aguirre Marco Antonio " u="1"/>
        <s v="Diaz Abregu Fernando " u="1"/>
        <s v="Flores Salvatierra Juan Pablo " u="1"/>
        <s v="Guerrero Chavez Keller Marty " u="1"/>
        <s v="Ortega Limaymanta Patricia Sophia " u="1"/>
        <s v="Perez Gonzales Jose Dilmer " u="1"/>
        <s v="Zapata Chiroque Ronal " u="1"/>
        <s v="Barillas Aguirre David Samuel " u="1"/>
        <s v="Caceres Ccazo Elias Nestor " u="1"/>
        <s v="Choque Torres Maximo Felix " u="1"/>
        <s v="Flores Quispe  Juan Carlos" u="1"/>
        <s v="Huaman Ramirez Alfredo " u="1"/>
        <s v="Ilave Huamani Carlos Enrrique " u="1"/>
        <s v="Limachi Abregu Rodolfo Manuel " u="1"/>
        <s v="Quincho Rodriguez Nilton Leodan " u="1"/>
        <s v="Guerra Tueros Luis Eduardo" u="1"/>
        <s v="Mansilla Palomino Rafael Luciano " u="1"/>
        <s v="GLORIA MARIA QUIÑONES VELASQUEZ" u="1"/>
        <s v="EDUARDO STEVEN CONDE ALANIA" u="1"/>
        <s v="ROBERTO MARTIN CARVO MICHUY" u="1"/>
        <s v="ISRAEL BRANDON SOTO CONTRERAS" u="1"/>
        <s v="ENOC DAN  PISCO PIÑA" u="1"/>
        <s v="KEVIN ISMAEL HUACCACHI LUZA" u="1"/>
        <s v="MIGUEL NUNTA YUMBATO" u="1"/>
        <s v="RONALD CARLOS MENDIVIL FLORES" u="1"/>
        <s v="JHOSSER MANUEL TORRES ABRIL" u="1"/>
        <s v="DIEGO JASMANY VILLALTA AYALA" u="1"/>
        <s v="WASHINGTON BULEJE ANCCO" u="1"/>
        <s v="CARLOS DANCOURT SALAS" u="1"/>
        <s v="GINO FERNANDO LOPEZ SOLANO" u="1"/>
        <s v="ROGER ALEJANDRO HUAMAN VEGA" u="1"/>
        <s v="LEANDRO ENZO VERA MELENDEZ" u="1"/>
        <s v="HILDER VALLEJOS TAPIA" u="1"/>
        <s v="JOSE MANUEL ORCCON VERGARA" u="1"/>
        <s v="JOSE ANTHONY SOLANO OLIVARES" u="1"/>
        <s v="FRANCK CARLOS HUAYLINOS MASGO" u="1"/>
        <s v="ERICK ALEXIS CASTILLO SALAS" u="1"/>
        <s v="LUIS ALBERTO  LALUPU SOLANO" u="1"/>
        <s v="AYRTHON GERALD JAUREGUI SANDOVAL" u="1"/>
        <s v="ISAIAS SANTILLAN MALLQUI" u="1"/>
        <s v="ALVARO MAURICIO ALATRISTA CHAVEZ" u="1"/>
        <s v="LUIS MIGUEL SOLANO IPANAQUE" u="1"/>
        <s v="JESUS EDWIN CISNEROS SANTILLAN" u="1"/>
        <s v="RONALDO CCORIMANYA HUAMAN" u="1"/>
        <s v="LEDGAR CRISTIAN HUAMAN RIOS" u="1"/>
        <s v="LESLY XUXA CERRON JIMENEZ" u="1"/>
        <s v="CYNTIA KAREN SURICHAQUI AVILA" u="1"/>
        <s v="DIMAS TERRAZAS CONTRERAS" u="1"/>
        <s v="YHORCH  DANIEL MEZA CARRIZO" u="1"/>
        <s v="VICTOR ANTONIO HUAMAN PEÑAHERRERA" u="1"/>
        <s v="JOSHUA MIGUEL ANGEL CAMERO RODRIGUEZ" u="1"/>
        <s v="JULIO MORE INGA" u="1"/>
        <s v="RONALD MIGUEL MORAN RIVAS" u="1"/>
        <s v="ELMER OMAR MORALES RAMOS" u="1"/>
        <s v="EVER SURCO HUARI" u="1"/>
        <s v="JOSE PEDRO VARGAS RAMIREZ" u="1"/>
        <s v="JESUS CHARCA QUISPE" u="1"/>
        <s v="JOSE JOEL LLAUCE SANTOS" u="1"/>
        <s v="LUIS ALBERTO CARMEN VILLEGAS" u="1"/>
        <s v="CIRILO NUÑEZ HUAMAN" u="1"/>
        <s v="JHONATAN MENDOZA HUARHUACHI" u="1"/>
        <s v="CARLOS MARTIN ADANAQUE FERIA" u="1"/>
        <s v="JOSE LUIS NUÑEZ HUAMAN" u="1"/>
        <s v="MATEO FREDY CANDAMO HURTADO" u="1"/>
        <s v="OSCAR RANSES GARCIA URQUIA" u="1"/>
        <s v="YURI HUAMAN YARANGA" u="1"/>
        <s v="LARRY TUANAMA SATALAYA" u="1"/>
        <s v="EDVIN IVAN SALAZAR ESCOBEDO" u="1"/>
        <s v="ALAN GABRIEL MURAYARI ARIRAMA" u="1"/>
        <s v="JOSE JEINER SAUCEDO DIAZ" u="1"/>
        <s v="VICTOR MANUEL PALPA MOYNA" u="1"/>
        <s v="OLIVER JAMIL HINOSTROZA CARRILLO" u="1"/>
        <s v="VALERIO PAUCAR QUISPE" u="1"/>
        <s v="JOSE ANTONIO GRANADOS ODAR" u="1"/>
        <s v="CLEYDER CORREA FLORES" u="1"/>
        <s v="LUIS MIGUEL CELIS BOCANEGRA" u="1"/>
        <s v="JULIO CESAR CIELO LOPEZ" u="1"/>
        <s v="CRISTHIAN CESAR PALOMARES MEDINA" u="1"/>
        <s v="IVAN ALBERTO ALCANTARA" u="1"/>
        <s v="ANGEL ROSENDO AYALA MARTINEZ" u="1"/>
        <s v="JOSE ADERLI LALUPU SOLANO" u="1"/>
        <s v="JOSE EDUAR TORRES ABRIL" u="1"/>
        <s v="MODESTO CONTRERAS TANTARICO" u="1"/>
        <s v="JONATHAN RAMIREZ UBIERNA" u="1"/>
        <s v="ANANIAS ARANDA MORALES" u="1"/>
        <s v="FRANK RENTERIA AYALA" u="1"/>
        <s v="MELQUECEDE VARGAS ALVA" u="1"/>
        <s v="MARCEL DENIS VEGA BENDEZU" u="1"/>
        <s v="RONALD GARCIA URQUIA" u="1"/>
        <s v="CRISTHIAN LAZO CUEVA" u="1"/>
        <s v="DANTE JOEL MOLINA SANTANILLAN" u="1"/>
        <s v="LEONARDO LOPEZ PABLO " u="1"/>
        <s v="JUAN PEDRO LAURENTE FLORES" u="1"/>
        <s v="CARLOS DIAZ ARANDA" u="1"/>
        <s v="LUZMILA ROSA ROQUE SOLORZANO" u="1"/>
        <s v="JUNIOR ALBERTO LOZANO VILCA" u="1"/>
        <s v="VICTOR ALEXANDER PEREZ REYNOSO" u="1"/>
        <s v="HECTOR JUAN ARANGO ROCA" u="1"/>
        <s v="IVAN RODRIGUEZ MURAYARI" u="1"/>
        <s v="LUDGARDO QUISPE QUISPE" u="1"/>
        <s v="JUAN DELA CHUQUIPIONDO PUSCAN" u="1"/>
        <s v="JUAN CARLOS POMIANO CCARHUARUPAY" u="1"/>
        <s v="WILFREDO MARTIN GALINDO PALOMINO" u="1"/>
        <s v="EDGARD ENRIQUE PANTOJA AVALOS" u="1"/>
        <s v="ABENIO ABEL LAZO RAMIREZ" u="1"/>
        <s v="NELFER ACCILIO TUCTO" u="1"/>
        <s v="JUAN RIGOBERTO BONIFACIO CIRIACO" u="1"/>
        <s v="JORGE OLIVERA TERRONEZ" u="1"/>
        <s v="FRANKLIN SALAZAR LEIVA" u="1"/>
        <s v="JAVIER QUISPE HUAMAN" u="1"/>
        <s v="VICTOR HUGO CARRASCO CLAVO" u="1"/>
        <s v="SILVERIO RAMOS PAUCAR" u="1"/>
        <s v="GILMAR SANGAMA TORRES" u="1"/>
        <s v="RICHARD ANDRES ESPINOZA CAJAMARCA" u="1"/>
        <s v="LENIN GONZALES TAPIA" u="1"/>
        <s v="NILSER CHIROQUE MONTALBAN" u="1"/>
        <s v="JULIO CESAR NINACONDOR DOMINGUEZ" u="1"/>
        <s v="BILLY JHON CERVANTES CASTRO" u="1"/>
        <s v="ARNOLD RILDO RICRA VEGA" u="1"/>
        <s v="JUAN VARGAS ALVA" u="1"/>
        <s v="YORKY SMITH VASQUEZ GODOS" u="1"/>
        <s v="FREDY COLLAZOS RUBINA" u="1"/>
        <s v="LINDER VILCA VILLACORTA" u="1"/>
        <s v="JUAN ROJAS QUISPE" u="1"/>
        <s v="JORGE ARQUIMIEDES ARELLANO RAMIREZ" u="1"/>
        <s v="HERBERTS AGUILERA SULLON" u="1"/>
        <s v="VICTOR GERONIMO ALVARADO VILLANERA" u="1"/>
        <s v="UBALDO VICTORIANO CHAVEZ RIVERA" u="1"/>
        <s v="PERCY ENRIQUE CAPUANO REYNOSO " u="1"/>
        <s v="MACEDONIO ALFONSO QUISPE SOLIS" u="1"/>
        <s v="GASPAR FREDEGUNDO ALARCON PEREZ" u="1"/>
        <s v="MIGUEL ANGEL RIOFRIO OLIVERA" u="1"/>
        <s v="LUIS GUTIERREZ SAAVEDRA" u="1"/>
        <s v="WILDER JUAN ALARCON ANJAS" u="1"/>
        <s v="FIDEL CAJAMARCA NUÑEZ" u="1"/>
        <s v="MARTIN LUIS MONTES MEZA" u="1"/>
        <s v="CHUNE IMAN WENDY BEATRIZ" u="1"/>
        <s v="TORRES ANDRADE ESTEFANI BETTY" u="1"/>
        <s v="URGILES YAMUNAQUE CHRISTIAN SALVADOR" u="1"/>
        <s v="Lanazca Escobar Rolando" u="1"/>
        <s v="Cañari Chocce Nicolas" u="1"/>
        <s v="Gallegos Huaman Martin" u="1"/>
        <s v="Romero Taipe Eduardo" u="1"/>
        <s v="HENRY BRAYAN REYNOZA PORRAS" u="1"/>
        <s v="ÑAHUINCOPA CONTRERAS GIANCARLOS" u="1"/>
        <s v="ESCOBAR PAIRAZAMAN JUAN MANUEL " u="1"/>
        <s v="AYALA ARRUNATEGUI JAYRO JESUS" u="1"/>
        <s v="LLANTOY BRAÑEZ JHON FRANCISCO" u="1"/>
        <s v="CALDERON MANAYAY DAMIAN" u="1"/>
        <s v="MESIAS SANCHEZ PEDRO MIGUEL" u="1"/>
        <s v="SIGUAS GARCIA LUIS ROBERTO " u="1"/>
        <s v="YUYARIMA JARAMILLO ARCADIO " u="1"/>
        <s v="ORE PILLACA DAVID" u="1"/>
        <s v="HUAMAN LEON TEOFILO " u="1"/>
        <s v="ROJAS TORIBIO MARTIN JOSE" u="1"/>
        <s v="YACOLCA LANDEO DAVID ARTURO" u="1"/>
        <s v="ARIRAMA MELENDEZ WAGNER JAIR" u="1"/>
        <s v="CAMPOS LOPEZ CARLOS ALBERTO" u="1"/>
        <s v="GRANADOS RAYO ELVIS ALBERTO" u="1"/>
        <s v="TUCTO BASILIO RICHARD" u="1"/>
        <s v="IDRUGO DURAN LUIS ALBERTO" u="1"/>
        <s v="HUAMANI VARGAS JORGE" u="1"/>
        <s v="AGUILAR MENA DAVID DANIEL" u="1"/>
        <s v="MORAN RAMOS JULIO CESAR" u="1"/>
        <s v="HUAPAYA RODRIGUEZ MANUEL" u="1"/>
        <s v="CUACO BOHORQUEZ CARLOS RAFAEL" u="1"/>
        <s v="RAMIREZ BUITRON LEONCIO" u="1"/>
        <s v="BARAZORDA HUAMAN JOSE ANTONIO" u="1"/>
        <s v="AZALDE GUEVARA KEVYN ANDERSON" u="1"/>
        <s v="Ramirez Camizan Joan Estiguer" u="1"/>
        <s v="ESQUERRE CHORRES ELISAUL ANTONIO" u="1"/>
        <s v="MOGOLLON RIVAS LUIS DANIEL ANGEL" u="1"/>
        <s v="ROMERO PANDURO CESAR AUGUSTO" u="1"/>
        <s v="RIQUELME DAVILA, FLORIAN" u="1"/>
        <s v="OBREGON GARCIA JUAN EDUARDO" u="1"/>
        <s v="MELENDEZ GONZALES ANDRES EDUARDO" u="1"/>
        <s v="LUQUE ARAPA WALTER MILAN" u="1"/>
        <s v="OCHOA VENTURA HECTOR JESUS" u="1"/>
        <s v="ALVAREZ FRANCO WALTER SANTIAGO" u="1"/>
        <s v="ALVAREZ FRNACO KEVIN ALEXANDER" u="1"/>
        <s v="HOUSTON PEREZ INGA" u="1"/>
        <s v="HORNA SANCARRANCO FERNANDO ABDIAS" u="1"/>
        <s v="BENITES RAYME JAIME HUGO" u="1"/>
        <s v="LUNAREJO ARIAS DEIBY OSCAR" u="1"/>
        <s v="TOLEDO RODRIGUEZ GUSTAVO ALFONSO" u="1"/>
        <s v="ARISTIZAVAL ALBARRAN CHRISTIAN" u="1"/>
        <s v="CARRASCO CHACON LUIS" u="1"/>
        <s v="IZQUIERDO RAMIREZ EDINSON PAPIN" u="1"/>
        <s v="TERRAZAS CONTRERAS DIMAS  " u="1"/>
        <s v="VALERIO QUEZADA MIGUEL ANGEL" u="1"/>
        <s v="SOPLIN CONDE JORGE LUIS" u="1"/>
        <s v="HIDALGO HIRPANOCA CHICCIAPAZA" u="1"/>
        <s v="CUBA RAMIREZ JOSE  " u="1"/>
        <s v="RUIZ CHOTA JACK" u="1"/>
        <s v="VASQUEZ BUGARIN JORGE" u="1"/>
        <s v="RAMOS MORALES ALEJANDRO" u="1"/>
        <s v="PEÑAHERRERA CARDENAS JORGE IVAN" u="1"/>
        <s v="NAVARRO MARCELO JULIO ARMANDO" u="1"/>
        <s v="BARDALES CRUZ JORGE LUIS " u="1"/>
        <s v="BENANCIO SIXTO DEMETRIO" u="1"/>
        <s v="DIAZ BARRETO CESAR AUGUSTO" u="1"/>
        <s v="DÍAZ BARRETO LUIS RICARDO" u="1"/>
        <s v="FLORES VALDERRAMA JHAN POL" u="1"/>
        <s v="FLORES VALDERRAMA JOEL ANDERZON" u="1"/>
        <s v="ORE CANTA YORDY" u="1"/>
        <s v="SANTOS CENA JHOAN DEGNNIS" u="1"/>
        <s v="MARTINEZ PARIONA BRIGITTE" u="1"/>
        <s v="ANDRADE PIZANGO GEAN FRANCO" u="1"/>
        <s v="BENANCIO SIXTO PEDRO EMILIANO" u="1"/>
        <s v="FLORES VALDERRAMA EDGAR JAVIER" u="1"/>
        <s v="MISHARI CHARICHE OMAR OTONIEL" u="1"/>
        <s v="ZABALA RODRIGUEZ ALFREDO JOSE" u="1"/>
        <s v="TTUPA HUAMAN AMERICO" u="1"/>
        <s v="ACHANTE BARRIENTOS KENY" u="1"/>
        <s v="FUGET JIMENEZ CARLOS ENMANUEL" u="1"/>
        <s v="PONCE CAGALLAZA NOE ENRIQUE" u="1"/>
        <s v="SALDAÑA SILVA CÉSAR RAMÓN" u="1"/>
        <s v="HERNANDEZ LEONETTI ITALO JOSE" u="1"/>
        <s v=" GAMARRA PANTA IRWIN OSNAR" u="1"/>
        <s v="SULLON MARTINEZ FRANCISCO ALEXANDER" u="1"/>
        <s v=" MASCO RAMIREZ FRANCISCO" u="1"/>
        <s v="REYES MONTES JUAN JOSE" u="1"/>
        <s v="CAJAHUARINGA SANTOS GIANCARLO" u="1"/>
        <s v="SAMANIEGO CAPILLO FRANKA MARISOL" u="1"/>
        <s v="RELICARIO FIGUEROA CRISTOPHER LEO" u="1"/>
        <s v="TUPIA ANSIETA CARLOS DAVID" u="1"/>
        <s v="GONZALEZ REBON JUAN JOSE" u="1"/>
        <s v="COCA HUAMANI GERMAN GERONIMO" u="1"/>
        <s v="HUAMANI MENENDEZ LUIS ALBERTO" u="1"/>
        <s v="MOLINA JESUS, JHAN MARCO" u="1"/>
        <s v="PERALTA MANSILLA, KAEL OMAR" u="1"/>
        <s v="CORDOVA ELIAS, JESUS JHOEL" u="1"/>
        <s v="REYES MANCHAY, MARCO ANTONIO" u="1"/>
        <s v="MOYA CAJA, ABIMAEL ANGEL" u="1"/>
        <s v="SALAS SUMARAN FRANK ALEXIS" u="1"/>
        <s v="CHIPO AYAY, VICTOR ELMER" u="1"/>
        <s v="CHUMBIRAY GUTIERREZ, PEDRO FIDEL" u="1"/>
        <s v="SALDAÑA  REVILLA CRISTIAN ALEX" u="1"/>
        <s v="TINCO RODRIGUEZ NOE MOISES" u="1"/>
        <s v="ROJAS LAZARO BENANCIO ELMER" u="1"/>
        <s v="SANTAMARIA RIVERA JONS BIGNER" u="1"/>
        <s v="VALDERRAMA OROZCO EULALIO JORGE" u="1"/>
        <s v="TORRES MESTANZA JHONNY AGUSTIN" u="1"/>
        <s v="VERGARA PAMO ROBINSON ESMAYQUEL" u="1"/>
        <s v="VALDERRAMA OROZCO EULALIO JORGE " u="1"/>
        <s v="TAFUR LARA DENIS ALENNI" u="1"/>
        <s v="ALMENDRE SONCCO DAVID GAVINO" u="1"/>
        <s v="CERASUOLO TINOCO JAYRO GUISSEPE" u="1"/>
        <s v="NUÑEZ CASTILLO POLINARIO" u="1"/>
        <s v="GUILLEN CATASI JENNY" u="1"/>
        <s v="MOLINA SANTILLAN DANTE JOEL" u="1"/>
        <s v="CCASANE CHAVEZ ROBERTO JEREMIAS" u="1"/>
        <s v="MARTINEZ MIJA LUIS ALBERTO " u="1"/>
        <s v="MALAVER ACUÑA SERGIO HILARIO " u="1"/>
        <s v="RIOS AVALOS SANTOS ENRIQUE " u="1"/>
        <s v=" FLORES ASENCIOS  MAVILA EUGENIA" u="1"/>
        <s v="RUIZ ALENDEZ  JULIO BAYRON" u="1"/>
        <s v="ALVARADO ALVARADO LARS" u="1"/>
        <s v="MENDOZA ZETA JORGE LUIS" u="1"/>
        <s v="VERA JARA LUIS RICARDO" u="1"/>
        <s v="CERNA OBREGON JOSE ANTONIO" u="1"/>
        <s v="GARCIA CHINCHILLA ITALO DAVID" u="1"/>
        <s v="PAREDES SANTA CRUZ JULIO CESAR" u="1"/>
        <s v="Carnero Rodriguez Joshua Miguel Angel" u="1"/>
        <s v="Soncco Huanca, Wili" u="1"/>
        <s v="Gutierrez Saavedra, Luis" u="1"/>
        <s v="HURTADO BLANCO ALDO CESAR" u="1"/>
        <s v="SOTO HUAMALIES JUAN CARLOS" u="1"/>
        <s v="SILVA, FRANKLIN ALEXANDER" u="1"/>
        <s v="LOPEZ PINEDO ALEX" u="1"/>
        <s v="OJANAMA INUMA DENIS " u="1"/>
        <s v="MURGUEZA GUEVARA CARLOS" u="1"/>
        <s v="CHUPICA ORTIZ LUIS AMARILDO" u="1"/>
        <s v="FABIAN VARGAS ANDRES FELIPE" u="1"/>
        <s v="TORRES DIAZ BERNARDINO" u="1"/>
        <s v="CAYO CHIARA LUIS MARIANO" u="1"/>
        <s v="CRIOLLO ZEGARRA SEGUNDO GABRIEL" u="1"/>
        <s v="DANCE BERNAL VICTOR ZINEDINE" u="1"/>
        <s v="CASTELLANOS MARON MARIA YSABEL" u="1"/>
        <s v="LA COTERA VERTIZ BRYAN STEVEN" u="1"/>
        <s v="RAMIREZ ALARCO MARTIN MANUEL JESUS" u="1"/>
        <s v="GONZALEZ MENDEZ JOHANNA CAROLINA" u="1"/>
        <s v="PRADO CUBA VICTOR EDGAR" u="1"/>
        <s v="RIOS JIMENEZ MARCIAL JUAN ALBERTO" u="1"/>
        <s v="ZAMBRANO RENTERIA FELIX GUILLERMO " u="1"/>
        <s v=" LUNA DE GARAY JUAN IGNACIO" u="1"/>
        <s v="LA JARA VALENZUELA SEBASTIAN AZAIR" u="1"/>
        <s v="DIAZ VELASQUEZ JHULISA" u="1"/>
        <s v="DIAZ GOICOCHEA MAYCOL MANUEL" u="1"/>
        <s v="MALPARTIDA EGUSQUIZA ANDERSON SALVADOR" u="1"/>
        <s v="CIPRIANO ASTOCONDOR EMMANUEL HUMBERTO" u="1"/>
        <s v="GUZMAN CAPUÑAY JEDER ROBERTHO" u="1"/>
        <s v=" RUIZ BERNALES JEAN PIERRE" u="1"/>
        <s v="PEREZ FRANCIA SAMIRA" u="1"/>
        <s v="VERA MELENDEZ JOAN MANUEL" u="1"/>
        <s v="RONY EFRAIN DAVILA BARDALES" u="1"/>
        <s v="OYOLA CIPIRIAN,DANY JHOEL" u="1"/>
        <s v="CUETO ITURRIZAGA CESAR RONALDO" u="1"/>
        <s v="MUÑOZ MELENDEZ JUAN TEOFILO" u="1"/>
        <s v="ROJAS ACEVEDO, JHAIR" u="1"/>
        <s v="Martinez Moreyra Jemie Francisco " u="1"/>
        <s v="GARCIA SEDANO LUIS ANTONY " u="1"/>
        <s v="CRUZ GUERRA DIDIER ALEXANDER" u="1"/>
        <s v="MELO MENDOZA, DANIELS SAUL" u="1"/>
        <s v="ALBURQUEQUE CARRASCO VICTOR" u="1"/>
        <s v="VEGA ORDOÑEZ  JIMMY ALEXANDER " u="1"/>
        <s v="LIZANDO TITO   CRISTIAN" u="1"/>
        <s v="TORRES DAVILA, BREL " u="1"/>
        <s v="MEDRANO AYLAN MEDRANO ANISETOO" u="1"/>
        <s v="Encalada Niño Gabriel " u="1"/>
        <s v="Perone Castro Jhair Josety " u="1"/>
        <s v="Tasayco Flores Marko Roberto " u="1"/>
        <s v="ROBLES CLAVERIANO FREDY " u="1"/>
        <s v="VILLANUEVA HUAMANI FELIX BARTOLOME" u="1"/>
        <s v="CCANA VASQUEZ JUNIOR ANDRES" u="1"/>
        <s v="VERASTEGUI SANCHEZ RENZO CESAR " u="1"/>
        <s v="HUAMANI PALACIOS JEANPIERE MILAN " u="1"/>
        <s v="CAMPOS LOPEZ LUIS EMERSON" u="1"/>
        <s v="CHOQUE MERCADO PAOLA MARIELA" u="1"/>
        <s v="MOLINA MOLINA JUAN" u="1"/>
        <s v="MARIÑO CAJAS JEAN PIERO " u="1"/>
        <s v="POMARINO CACERES MIRELLA ESTEFANY " u="1"/>
        <s v="RAMIREZ SALAZAR FRANCK AUGUSTO" u="1"/>
        <s v="YARIHUAMAN QUISPE, VICTOR JORGE" u="1"/>
        <s v="CUBA CARBAJAL BRYAN ANTHONY" u="1"/>
        <s v="ITA SALAS LARRY" u="1"/>
        <s v="DE LA CRUZ PARIHUAMAN HECTOR" u="1"/>
        <s v="Davila Gurmendi Alexander Jerson " u="1"/>
        <s v="HERNANDEZ SANCHEZ JUAN ALEXIS" u="1"/>
        <s v=" PEÑA ROBLADILLO, EFRAIN ADRIAN" u="1"/>
        <s v="ROMAN NIEVES RENATO" u="1"/>
        <s v="CORTEZ NEYRA, JUAN JOSE ENRIQUE" u="1"/>
        <s v="TENAZOA JIMENEZ JEFFERSON ISAAC " u="1"/>
        <s v="BALBOA POMA  JOEL JHONATAN" u="1"/>
        <s v="ZAPATA CHIROQUE LUIS FERNANDO" u="1"/>
        <s v="MESTANZA CHAVARRY JHONNY" u="1"/>
        <s v="BERNAOLA PULIDO, JIMMY MICHEL" u="1"/>
        <s v="KEVIN STHUARD SANCHEZ AYALA" u="1"/>
        <s v="JAVA ASPAJO JUAN ABEL" u="1"/>
        <s v="GONGORA MUÑOZ DENIS YERSON " u="1"/>
        <s v="GUERRERO SALINAS KATIHUSKA " u="1"/>
        <s v="CERNA MORALES ERICK NINO" u="1"/>
        <s v="JOAQUIN CORDOVA FRANK ANTHONY" u="1"/>
        <s v="CONISLLA CASTRO FAUSTINO ROSMEL " u="1"/>
        <s v="Mori Gallardo David Eleazaro " u="1"/>
        <s v="Palomino De La Rosa Jesus Alberto " u="1"/>
        <s v="GALINDO Fernandez, Julio" u="1"/>
        <s v="TRUJILLO ÑAUPA LEIDY ESTEFANY" u="1"/>
        <s v="CIRIACO TARAZONA DARIO MARQUEZ" u="1"/>
        <s v="TANTA QUEZADA KEVIN " u="1"/>
        <s v="CHAMORRO MATAMOROS FELIX HUGO" u="1"/>
        <s v="CAQUI MEJIA LUIS MIGUEL" u="1"/>
        <s v="VASQUEZ FUERO ABEL CAIN " u="1"/>
        <s v="Huamantica Quispe Jorge" u="1"/>
        <s v="EDGAR SOTO ENCISO" u="1"/>
        <s v="ORTIZ PEÑA, FRANK DENIS" u="1"/>
        <s v=" VIENA GONZALES NEISSER " u="1"/>
        <s v="VALDIVIA SANCHEZ JIM CRISTONY" u="1"/>
        <s v="AYALA CRISPIN DIEGO FERNANDO" u="1"/>
        <s v="MOZOMBITE TORRES MARCO ROMARIO" u="1"/>
        <s v="MONCADA ESPINOZA JUAN DANIEL" u="1"/>
        <s v="OSORIO FERNANDEZ HIRWIN FAUSTINO" u="1"/>
        <s v="REBECA MINAYA MONTALVO" u="1"/>
        <s v="COLONIA ROSARIO IKER YANK" u="1"/>
        <s v="BERROSPI CHINGA JEFERSSON WILLIAM" u="1"/>
        <s v="ROBLES PALMEIRA DENIS" u="1"/>
        <s v="CULLAS VALLE JOSE ALBERTO" u="1"/>
        <s v="ESPINOZA AGURTO JHONATAN ERNESTO" u="1"/>
        <s v="Bardales Bardales Daniel " u="1"/>
        <s v="Barillas Aguirre Jose Luis " u="1"/>
        <s v="SUMARI Jara Daniel " u="1"/>
        <s v="LIMA CASTRO FREDY AURELIO" u="1"/>
        <s v="VALLEJOS TAPIA HILDER" u="1"/>
        <s v="HOLGUIN ALARCON JORGE LUIS" u="1"/>
        <s v="SANCHEZ SULCA GABRIEL RANCES" u="1"/>
        <s v="AVILA ESPINOZA VICTOR RAUL" u="1"/>
        <s v="POTOSINO CHAVEZ VICTOR ANGEL" u="1"/>
        <s v="CONDOR  INCHE EDWARD CELESTINO" u="1"/>
        <s v="ESCOBAR SATUARIO, JUAN JORGE" u="1"/>
        <s v="GONZALES SMITH  CESAR ERNESTO" u="1"/>
        <s v="GONZALES NIETO KLEIBER ALEXANDER " u="1"/>
        <s v="LIMA HUILLCAS JORGE LUIS" u="1"/>
        <s v="ASOC. VIV. VIRGEN DEL CARMEN MZ. N LT. 25" u="1"/>
        <s v="CHUNQUE MENDOZA HUGO LENYNH" u="1"/>
        <s v="JHONNAYKER JESUS OLAVIDE CAHUAS" u="1"/>
        <s v="OLGUIN COYLA HUGO EDUARDO" u="1"/>
        <s v="BERROSPI MEDRANO, CLINTON SEGUNDO" u="1"/>
        <s v="MIGUEL ANGEL INGA MAZA" u="1"/>
        <s v="Ñopo Rojas Jhon Roger " u="1"/>
        <s v="SALVADOR VASQUEZ DAVID ALBERTO" u="1"/>
        <s v=" IZAGUIRRE MICHUE LUIS ANGEL" u="1"/>
        <s v="LLAMOCCA SANCHEZ ALEX " u="1"/>
        <s v="SOTO ROJAS IVAN EDWIN" u="1"/>
        <s v="DAVID EDUARDO RODRIGUEZ CASQUI" u="1"/>
        <s v="HERRERA ESCOBAR GHEISON" u="1"/>
        <s v="MORIANO FIGUEROA CHARLI ANTONY " u="1"/>
        <s v="MENDOZA LOZANO YEYSON" u="1"/>
        <s v="CARLOS RICARDO CHACON OCHOA" u="1"/>
        <s v="AGUILAR MENA WIN MIULLER" u="1"/>
        <s v="ANAYA AYALA OMAR ADRIAN" u="1"/>
        <s v="VASQUEZ LOPEZ ENRIQUE MIGUEL" u="1"/>
        <s v="GOMEZ CAITIMARI EDWIN PAUL" u="1"/>
        <s v="MOLINA GONZALES EDY SEBASTIAN " u="1"/>
        <s v="VASQUEZ AGUILAR JORGE" u="1"/>
        <s v="HUAMAN PACHECO MIGUEL ANTONIO" u="1"/>
        <s v="CCONISLLA QUISPE BRANDY" u="1"/>
        <s v="TORRES INFANTE, EUSEBIO ROFELIO" u="1"/>
        <s v="Mendoza Rafael Jhon Einstein" u="1"/>
        <s v="TORIBIO PERES CRISTHIAN OCTAVIO" u="1"/>
        <s v="GUTIERREZ NAVARRO JULIO RUBEN" u="1"/>
        <s v=" PEÑA ROBLADILLO, DANIEL PAUL" u="1"/>
        <s v="VELASQUEZ CONDOR ROYELL RONEL" u="1"/>
        <s v="LOZANO ESPIRITU JHONATAN" u="1"/>
        <s v=" OBANDO MORENO FRANCISCO DANIEL" u="1"/>
        <s v="ESTRADA PAREDES  SEBASTIAN ELISEO " u="1"/>
        <s v="ROSADO ARQUIÑEGO  JOSE ANIBAL " u="1"/>
        <s v="CALIXTO ESTRADA YAKOV LEWIS" u="1"/>
        <s v="MORE CASTILLO DORA ELIZABETH MARGARITA" u="1"/>
        <s v="TASILLA JUAREZ RICHARD" u="1"/>
        <s v="Espiritu Leandro Alcides Edelmiro" u="1"/>
        <s v="CHUQUIHUACCHA ALFARO EDVER JOEL" u="1"/>
        <s v="PLANO GOMEZ ALEX LUIS" u="1"/>
        <s v="YUCRA GASPAR YAN CARLOS" u="1"/>
        <s v="MESIAS AQUILINO JAIMES JUSTO" u="1"/>
        <s v=" AMASIFEN VALLES  RIQUER ELMER " u="1"/>
        <s v="CHACON CERCADO, REINALDO ANTONIO" u="1"/>
        <s v="EVANGELISTA MONTESINOS JESUS JANN PIARRE" u="1"/>
        <s v="MILLA PANAIFO MARCOS ADRIAN " u="1"/>
        <s v="CANCHANYA AVALOS JAIMITO " u="1"/>
        <s v="ARBIETO TORRES SANDY VALENTINA" u="1"/>
        <s v="YSLA LEAÑO RENZO ARMANDO" u="1"/>
        <s v="TAMAYO INGA MIGUEL ANGEL " u="1"/>
        <s v="AQUINO SILVA EDER DARWIN" u="1"/>
        <s v="TORRES MISERICORDIA FEDERICO JAVIER" u="1"/>
        <s v="DEL AGUILA DEL AGUILA AMERICO EDISON" u="1"/>
        <s v="SAAVEDRA SILVA ORLANDO CIRILO" u="1"/>
        <s v="Caballero Munico Carlos Edson" u="1"/>
        <s v="Shapiama Maricahua Emirio Gonzalo" u="1"/>
        <s v="Vasquez Nuñez Joe Anderson " u="1"/>
        <s v="GOÑI PRIETO ESTEFANIA JESUS" u="1"/>
        <s v="PEÑA ROBLADILLO, GUSTAVO SAUL " u="1"/>
        <s v="AYASTA VALENCIA JUAN ALBERTO" u="1"/>
        <s v="CACHAY MIRANDA JESSICA " u="1"/>
        <s v="CHUQUIVAL HUAYNACARI JEHU" u="1"/>
        <s v="CHANCAHUANA SIFUENTES, JOSE ROBER" u="1"/>
        <s v="DIAZ ALTAMIRANO EDGAR ANTONIO" u="1"/>
        <s v="LOAYZA REYES NELI LEONOR" u="1"/>
        <s v="ESPIRITU OBREGON ARSENIO ZENOVIO" u="1"/>
        <s v="Reyna Benites, Ivar Dani" u="1"/>
        <s v="Avalos Castañeda Renzo Wilfredo" u="1"/>
        <s v="ITALO STIWAR VEGGRO RUELAS" u="1"/>
        <s v="OLIVEROS NIETO CHANVI ROJAS" u="1"/>
        <s v="MORALES CULLCUSH ALBERTO CARLOS " u="1"/>
        <s v="BALDEON CASO EFRAIN ERICK " u="1"/>
        <s v="SUMOSO VICENCIO NAIN ENRIQUE " u="1"/>
        <s v="CRISTHIAN RODOLGO PAJUELO CAMPOLO" u="1"/>
        <s v="CERRO NAVARRO FELIX IVAN" u="1"/>
        <s v="Rojas Chanca Vladimir" u="1"/>
        <s v="PRUDENCIO PALMA RICHARD " u="1"/>
        <s v="CARDENAS ESCUDERO JUAN LUIS" u="1"/>
        <s v="NAVARRO MUÑOZ,JHON ERICK" u="1"/>
        <s v="CONDOR PAITA CHRISTIAN JOSEPH" u="1"/>
        <s v="MALPARTIDA VARGAS ROBERT LUIS" u="1"/>
        <s v="TORIBIO MANDUJANO TEOFILO STALEM" u="1"/>
        <s v="Cisneros Riquez Oswald Boris " u="1"/>
        <s v="PAITAN CONTRERAS JULIO" u="1"/>
        <s v="JIMENEZ PONCE,  VICTOR ALFONSO" u="1"/>
        <s v=" MEZA TITO, LUIS ALFONSO" u="1"/>
        <s v="VILCHEZ TEJADA JUAN CARLOS " u="1"/>
        <s v="HANCO REYES MANUEL" u="1"/>
        <s v="Huaccachi Luza, Yuri" u="1"/>
        <s v="QUINTANA MASARI NELIA RAQUEL" u="1"/>
        <s v="WALTER MARTIN GOMEZ ALVAREZ" u="1"/>
        <s v="CUBAS RAMOS LUCRY HERMOGENES" u="1"/>
        <s v="Tumialan Borja Larry Christian " u="1"/>
        <s v="AVILA ESPINOZA WILMER MANUEL" u="1"/>
        <s v="ACEBEDO MOLINA RAFAEL CECILIO" u="1"/>
        <s v="ESCOBAR VENEGAS LENIS ANTONIO" u="1"/>
        <s v="Manrique Aller, Dennis Abel" u="1"/>
        <s v="AGURTO MARQUEZ LEONARDO " u="1"/>
        <s v="VILCHEZ PIZARRO DOMINGO" u="1"/>
        <s v="RODRIGUEZ MASIAS JULIO MARTIN" u="1"/>
        <s v="JORGE LUIS SANCHEZ FLORES" u="1"/>
        <s v="VEGA MALDONADO DENIS JESUS " u="1"/>
        <s v="MATTOS TUESTA ENZO" u="1"/>
        <s v="ECHAVARRIA MAMANI JOSE LUIS" u="1"/>
        <s v="VARGAS CERDA  ERICK PATRICK" u="1"/>
        <s v="URBINA LOPEZ JOSE ADOLFO" u="1"/>
        <s v="CEDEÑO CASTILLO GUILLERMO XAVIER" u="1"/>
        <s v="Alejos Navarrete Isrrael Grover  " u="1"/>
        <s v="ACERO QUEZADA VANESA ANALIA" u="1"/>
        <s v="SAAVEDRA CORDOVA ABRAHAM" u="1"/>
        <s v="VALENCIA HUANCAS MARCOS FRANCISCO" u="1"/>
        <s v="CAÑARI ALVARADO DANIEL " u="1"/>
        <s v="BAYONA SALCEDO SEGUNDO" u="1"/>
        <s v="CISNEROS PAREDES EXSON OMAR" u="1"/>
        <s v="YANAYACO RAMOS JORGE MIGUEL" u="1"/>
        <s v="ESPINOZA CAJAMARCA RICHARD ANDRES " u="1"/>
        <s v="Ramirez Sanchez Jose Adelfio" u="1"/>
        <s v="VARGAS QUIÑONEZ VICTOR ALBERTO" u="1"/>
        <s v="ASENCIO FERNANDEZ EDWIN MARTIN " u="1"/>
        <s v="TORRES INFANTE JUAN TULIO" u="1"/>
        <s v="ARONE ALVINO, AREVALO" u="1"/>
        <s v="ORTIZ GARCIA MANUEL RICARDO" u="1"/>
        <s v="CARBAJAL  SEGURA ANDY WILLIE" u="1"/>
        <s v="LAURA PAUCAR JORGE IDY" u="1"/>
        <s v="AGUILAR MENA MC-QUADE NELVI" u="1"/>
        <s v="MOSTACEROS DURAND VICTOR ALFONSO" u="1"/>
        <s v="CARDENAS HUAMANI JIMMY CARLOS " u="1"/>
        <s v="RUIZ HUAYTAN PAULO CESAR " u="1"/>
        <s v="MURAYARI AJON  MAX" u="1"/>
        <s v="CONDORI BALLENA DANNI HOMAR" u="1"/>
        <s v="MEZA Segama Ever Meliton" u="1"/>
        <s v="GIL LANCY  CHARLES " u="1"/>
        <s v="URIARTE CHAPOÑAN CARLOS" u="1"/>
        <s v="HERNNDEZ TUCULI LUIS RAFAEL" u="1"/>
        <s v="CASAS PAREDES LUIS ESTUARDO" u="1"/>
        <s v="MACHARE RAMOS JOSE" u="1"/>
        <s v="PUMA CRUCES EDWIN EDGAR" u="1"/>
        <s v="MEZA MARTINEZ PINZAS WASHINGTON" u="1"/>
        <s v="DIOSES CHONG ROMULO EDUARDO" u="1"/>
        <s v="LLANOS RODRIGUEZ JUAN CARLOS" u="1"/>
        <s v="Herrera Huayra Jesus Marcos " u="1"/>
        <s v="SANCHEZ LOVATO JORGE" u="1"/>
        <s v="Nevado Cavero, Jose Alfredo" u="1"/>
        <s v="JUAREZ ENCARNACION ROGER EDUARDO" u="1"/>
        <s v="FALCONI RIOS DAVID ULISES" u="1"/>
        <s v="GUIZADO GALINDO WALTER AURELIO " u="1"/>
        <s v="RIVERA CARAZAS CARLOS ALBERTO" u="1"/>
        <s v="Ccuno Alata Oswaldo Lelis" u="1"/>
        <s v="CHOQUEHUANCA YANCAPALLO CESAR" u="1"/>
        <s v="GUERRA MEZA LUIS EMILIO" u="1"/>
        <s v="NICOLAS YSMAEL RANILLA RODRIGUEZ" u="1"/>
        <s v="_x0009_CARDENAS CASTILLO EDWIN" u="1"/>
        <s v="MEDINA SALINAS OMAR RUBEN" u="1"/>
        <s v="BELLIDO CANCHARI ANGEL" u="1"/>
        <s v="RIOS CRISOSTOMO HERNANDO ROBERTO" u="1"/>
        <s v="LAIME INGALUQUE WENCESLAO" u="1"/>
        <s v="MONTEJO GARCIA GUILLERMO" u="1"/>
        <s v="CABALLERO PRADO GROVER" u="1"/>
        <s v="ORUNA PONCE JOHMY" u="1"/>
        <s v="INGA VARGAS ANDERSEN" u="1"/>
        <s v="GARCIA AREVALO ROMAN" u="1"/>
        <s v="URQUIZO URBINA VICTOR FACUNDO" u="1"/>
        <s v="CERNA VERA VICTOR MANUEL" u="1"/>
        <s v="MENDOZA BACA PEDRO SALVADOR" u="1"/>
        <s v="OSCCO BARBARAN BENJAMIN" u="1"/>
        <s v="ARRUNATEGUI URQUIZO VICTOR ANGEL      " u="1"/>
        <s v="_x0009_SOSA YARLEQUE WILMER" u="1"/>
        <s v="POZO LLANES JUAN RENE" u="1"/>
        <s v="PULACHE CORDOVA VICTOR AUGUSTO" u="1"/>
        <s v="TUEROS QUISPE TEODORO" u="1"/>
        <s v="MEZA ESPIRITU, CARLOS" u="1"/>
        <s v="SOLANO BAZAN PAOLO CESAR " u="1"/>
        <s v="GONZALES AYUQUE JUAN CARLOS " u="1"/>
        <s v="POMA QUIROZ RAFAEL RONY" u="1"/>
        <s v="LIMA CAMACHO SEGUNDO PAUL" u="1"/>
        <s v="BERNALES CHANDUVI ALEX RICARDO" u="1"/>
        <s v="BERNALES CHANDUVI JUAN FRANCISCO" u="1"/>
        <s v="SANCHEZ MALAVER MELVA VANESSA" u="1"/>
        <s v="SANTOS RAMIREZ CESAR AUGUSTO " u="1"/>
        <s v="VALVERDE ARENAS BRYAN STEFFANO" u="1"/>
        <s v="JAVIER LLACCTAHUAMAN FRANKLIN JHON" u="1"/>
        <s v="JULIO ENRIQUE PULIDO PEREDA" u="1"/>
        <s v="APONTE VELASQUE JHON EDITHSON" u="1"/>
        <s v="PANDURO IGLESIAS EDGAR" u="1"/>
        <s v="VALVERDE ALVA, SAMUEL JEANPIERE" u="1"/>
        <s v="ZEGARRA ALVAREZ FABIANO" u="1"/>
        <s v="ARRIECHE CASTILLO WILLIAMS JESUS" u="1"/>
        <s v="GUTIERREZ SARAVIA ESTEFANO GUSSEPI" u="1"/>
        <s v="ATEQUIPA QUISPE MILTON AUGUSTO" u="1"/>
        <s v="UCEDA ROMERO EDWIN SAMIR" u="1"/>
        <s v="CUADROS VILLACRES BENJAMIN JOSEPH" u="1"/>
        <s v="ALARCON ACUÑA VICTOR GIANCARLO" u="1"/>
        <s v="GUERRERO MALAFAYA RENZO RODRIGO ALESSANDER" u="1"/>
        <s v="CASAVILCA PEÑARES  MAIK JUNIOR " u="1"/>
        <s v="CASAVILCA PEÑARES JHON ANTONY" u="1"/>
        <s v="CORNEJO ANTUNEZ JOSE STIVEN " u="1"/>
        <s v="GALINDO CORDOVA, ELMER" u="1"/>
        <s v="HUACCHO ZEGARRA, JEANPIEER JHONATAN" u="1"/>
        <s v="LINGAN BALBIN, ELIAS JHADJI" u="1"/>
        <s v="PAREDES HUANCA, ABEL ANDRE" u="1"/>
        <s v="DAGA LAZARO, JEAMPIERR SANTIAGO" u="1"/>
        <s v="ZEVALLOS MURALLARI DENIS OSWALDO " u="1"/>
        <s v="VARGAS ANCALLI WILLIAN ALFREDO" u="1"/>
        <s v="Nina Aldama Renato Ronald" u="1"/>
        <s v="VALDIVIA CCAPERA EDWIN ALAN" u="1"/>
        <s v="HUIÑAPI PAIMA, FERNANDO" u="1"/>
        <s v="EVANGELISTA MOLINA, JHOJAN SMITH" u="1"/>
        <s v="HUARANCCA TAPIA, ADAN" u="1"/>
        <s v="ALTEZ MACAZANA DIEGO ARMANDO" u="1"/>
        <s v="CARHUALLANQUI ROMERO JUAN ALEXIS" u="1"/>
        <s v="Cardenas Torres Oscar Jovino " u="1"/>
        <s v="Goitia Utcane Isaias " u="1"/>
        <s v="JUAREZ NAVARRO CARLOS DANIEL" u="1"/>
        <s v="GARRIAZO TOMAYRO KENYI ALBERTO" u="1"/>
        <s v="SILVA SILVA KIARA ALESSANDRA DEL CARMEN " u="1"/>
        <s v="CONDOR HUACASI CARLOS" u="1"/>
        <s v="CASAS LUCANO, ANGELO BRAYAN" u="1"/>
        <s v="POLANCO HUAHUASONCCO, JORGE EDU DE LOS SANTOS" u="1"/>
        <s v="BARZOLA SILVA, JOSUE" u="1"/>
        <s v="INCACARI CANAZA, FELIX ALBERTO" u="1"/>
        <s v="INGA TAIPE, JHON CARLOS" u="1"/>
        <s v="CASTILLO VEGA SAULO MARDOQUEO " u="1"/>
        <s v="Taype Clemente Abel" u="1"/>
        <s v="RIOS SALAS MARCELO" u="1"/>
        <s v="QUISPE AMAO ABRAHAN" u="1"/>
        <s v="ENRIQUEZ DUEÑAS GEORGE GIANFRANCO" u="1"/>
        <s v="SILVANO SHAPIANA JOSIAS CALEB" u="1"/>
        <s v="JIMENEZ DIAZ ANGELO ADRIAN" u="1"/>
        <s v="ROSALES TREBEJO, IVAN MIQUIAS" u="1"/>
        <s v="RUGEL TORRES, JUNIOR PABLO" u="1"/>
        <s v="ASIPALI TAMABI, JUAN PABLO" u="1"/>
        <s v="MELENDEZ CARHUAS FERNANDO JOSE" u="1"/>
        <s v="BARRERA ORMEÑO SEBASTIAN JOSHUAN" u="1"/>
        <s v="BARAYBAR MUNIZ  PAULO CESAR" u="1"/>
        <s v="Mendoza Celestino, Daniel Elvis" u="1"/>
        <s v="COLMENAREZ CASTILLO EDGAR ANTONIO" u="1"/>
        <s v="Trujillo Hilares Gianpiere César" u="1"/>
        <s v="HIDALGO CRUZ DANIEL EDUARDO" u="1"/>
        <s v="ADANAQUE ZAMATA DALLIN JARED" u="1"/>
        <s v="CUYUBAMBA MAMANI ALEXANDER" u="1"/>
        <s v="CORNELIO LAZARO LENIN ANTONY" u="1"/>
        <s v="RUIZ CARHUALLANQUI JOSE ALDAIR" u="1"/>
        <s v="PEÑA RIVERA, PABLO WINDOR" u="1"/>
        <s v="GODOY LOPEZ AYRTON JUNIOR " u="1"/>
        <s v="LINARES PINCHE, FREDY ROBERTO" u="1"/>
        <s v="DE LA CRUZ REAÑO, ERICK RONALDO" u="1"/>
        <s v="SORIA LICAS, JOSE CARLOS" u="1"/>
        <s v="SEGIL REYNA, NILSON ALDAIR" u="1"/>
        <s v=" _x000d__x000a_DE LA CRUZ PAIMA RENZO" u="1"/>
        <s v="Gutierrez Saravia, Raul" u="1"/>
        <s v="MIZA ALVARADO EYSER " u="1"/>
        <s v="Meza Chavez Mario Antonio" u="1"/>
        <s v="Sullca Aguirre Arturo " u="1"/>
        <s v="ANTIALON LOPINTA FRANK JHON" u="1"/>
        <s v="ALEJANDRO JOSE ROJAS GUERRA" u="1"/>
        <s v="SORIANO RUIZ GISELA VANESSA" u="1"/>
        <s v="ADVINCULA GARCIA VICTOR DAYBI" u="1"/>
        <s v="AGUIRRE QUISPE, KEVIN ALBERTO" u="1"/>
        <s v="HERRERA CASTILLO, KEVIN ANGEL" u="1"/>
        <s v="CHAVARRIA INGA, HUBERTH ANDY" u="1"/>
        <s v="ROCA GUTIERREZ, RICARDO SEBASTIAN" u="1"/>
        <s v="SANTE RIVAS, SAMUEL" u="1"/>
        <s v="MEDINA ANCHANTE ANTONHY ALEJANDRO" u="1"/>
        <s v="MAMANI RIVERA ENRIQUE " u="1"/>
        <s v="SANCHEZ AVALOS RENATO" u="1"/>
        <s v="Panta Llamosa, Anthony Williams" u="1"/>
        <s v="Quispe Malasquez Andres Amador" u="1"/>
        <s v="ALACUTE DIAZ DEYVID RUDDY" u="1"/>
        <s v="SANCHEZ GALVEZ WILLAN ALESXANDER " u="1"/>
        <s v="BARTOLO_x000d__x000a_DE LA_x000d__x000a_CRUZ _x000d__x000a_BRIAN" u="1"/>
        <s v="AMPUDIA BARTOLO GABRIEL " u="1"/>
        <s v="Benito Cuadros Luis Miguel" u="1"/>
        <s v="TIPIANY ZAMBRANO PERCY ANTHONY" u="1"/>
        <s v="ZABALA CHUQUIN MOISES EDUARDO" u="1"/>
        <s v="ROSAS OLORTEGUI PAUL RONALDIÑO" u="1"/>
        <s v="DE LA CRUZ HUAMANI, ALEXIS JAIR" u="1"/>
        <s v="HUAMAN CORDOVA, LUIS MIGUEL" u="1"/>
        <s v="MINAYA CHUMBES, JOSE LUIS" u="1"/>
        <s v="REYES CAPILLO, JAVIER GIANMARCO" u="1"/>
        <s v="AQUINO CHAMBI, RONALD ALEJANDRO" u="1"/>
        <s v="CASTRO CHOMBO, CRISTIAN DIEGO" u="1"/>
        <s v="SANTAMARIA MORILLOS, FRANK JOSIMAR" u="1"/>
        <s v="DAVILA ESPINOZA JUNIOR" u="1"/>
        <s v=" TASAYCO IBAÑEZ JOSE ANTONIO" u="1"/>
        <s v="CHERREZ CARBAJAL JUNIOR ALDAIR " u="1"/>
        <s v="Nuñez Castillo, Polinario" u="1"/>
        <s v="AVALOS HUAMAN ANDERSON KANS" u="1"/>
        <s v="RIVERA HUAMANLAZO ANTHONY BRAYAN" u="1"/>
        <s v="VALENZUELA ESTRADA RAUL ALBERTO JUNIOR" u="1"/>
        <s v="CAHUANTE SANTOS YANCEY" u="1"/>
        <s v="FLORES SEDANO KEVIN JHUNIOR" u="1"/>
        <s v="BELEN BASTIDAS JEAN ALEX" u="1"/>
        <s v="LOZADA ANCCANA EDDU PIERO" u="1"/>
        <s v="SANCHEZ PEREZ DANY DANIEL " u="1"/>
        <s v="HUANCA HUACANCA JUNIOR ROSMEL" u="1"/>
        <s v="MENDOZA HANCCO DANY ALEX" u="1"/>
        <s v="COCHACHIN CHILCA JESUS FILBERTO" u="1"/>
        <s v="CARDENAS HERNANDEZ ANDREA STEPHANI" u="1"/>
        <s v="NATIVIDAD ESPIRITU, HERNAN" u="1"/>
        <s v="VASQUEZ OLIVERA, DEINER" u="1"/>
        <s v="MORALES CARPIO, DAVID JOSE" u="1"/>
        <s v="MANRIQUE BUITRON BRYAN JESÚS" u="1"/>
        <s v="CORREA RAMIREZ GILBERTO JHONATAN" u="1"/>
        <s v="MEDINA RODRIGUEZ FELIX JHONATAN" u="1"/>
        <s v="CABRERA ARANCIBIA JIMMY JOEL" u="1"/>
        <s v="PEREZ SILVANO JHONNY ORLANDO" u="1"/>
        <s v="BARROSO ACUÑA ANDY MANUEL" u="1"/>
        <s v="YUPANQUI MORENO, EDIT MARILIN" u="1"/>
        <s v="MEDINA GUTIERREZ CARLOS ALBERTO" u="1"/>
        <s v="Mallma Huamani Edie Raul" u="1"/>
        <s v="VEGA MELGAREJO YHENSON" u="1"/>
        <s v="VEGA VISITACION JORDY JONATHAN" u="1"/>
        <s v="COLCHADO PUGA JOSUÉ ALEXANDER" u="1"/>
        <s v="BRAVO DEL PINO YAMES DONALD" u="1"/>
        <s v="ERICK MICHELL COZ PARIONA " u="1"/>
        <s v="PRIMO OSORIO, MARQUIÑO FLOIRAN" u="1"/>
        <s v="BARRANTES HALLASI, SIMON" u="1"/>
        <s v="CRIOLLO AQUINO ANTONI" u="1"/>
        <s v="Castillo Ronceros Jose Brayan" u="1"/>
        <s v="CUELLAR VALVERDE FEDERICO" u="1"/>
        <s v="OBLITAS MEJIA JAIRO" u="1"/>
        <s v="CHUNQUE MENDOZA HUGO LENNYNH" u="1"/>
        <s v="Bazalar Bocanegra Manuel Alejandro" u="1"/>
        <s v="Samame Sanchez Jose Rodolfo " u="1"/>
        <s v="ORDOÑEZ JESUS CRISTIAN" u="1"/>
        <s v="RODRIGUEZ BERNA RUBEN" u="1"/>
        <s v="CONTRERAS ALARCON JORGE  " u="1"/>
        <s v="BAUTISTA MEZA RAPHAEL ARTURO " u="1"/>
        <s v="AMADO VARGAS RAUL" u="1"/>
        <s v="VILCA VILCHEZ, EDWARD CHRISTIAN" u="1"/>
        <s v="ALEGRE RIVERA CESAR KICEMLLER" u="1"/>
        <s v="CASTILLO HUAMAN GUZMAN " u="1"/>
        <s v="LA MADRID SANCHEZ JOSE DANIEL" u="1"/>
        <s v="TAPULLIMA SHUPINGAHUA CLIVER" u="1"/>
        <s v="Aguirre Rojas David Gonzalo " u="1"/>
        <s v="JAIME CACERES  FRANK BAKER " u="1"/>
        <s v="SHUÑA HIDALGO, GUILLERMO" u="1"/>
        <s v="RUPIRE VELASQUEZ KELLYN ROSSY" u="1"/>
        <s v="BURGA OLANO JHONATAN" u="1"/>
        <s v="TITO OBREGON ERICK ALBERTO" u="1"/>
        <s v="VASQUEZ AUILAR JORGE" u="1"/>
        <s v="BURGA CHAPPA JORGE PABLO" u="1"/>
        <s v="CHAVEZ CAJALEON ERICK" u="1"/>
        <s v="LAGOS CHARA RONALD" u="1"/>
        <s v="SULLCA PADILLA ALEXANDER" u="1"/>
        <s v="ZARATE SANCHEZ  ALEXSANDER PAUL" u="1"/>
        <s v="ALBAN BARRIOS HUMBERTO ADRIAN " u="1"/>
        <s v="PONCE MARTINEZ JESUS ALBERTO" u="1"/>
        <s v="NUÑEZ DE LA CRUZ EDSON JAIR" u="1"/>
        <s v="GARCIA CAMACHO JOEL GIANCARLO" u="1"/>
        <s v="MERMA MAMANI EDGARDO ALEJANDRO" u="1"/>
        <s v="ADVINCULA PINTO, LUIS MIGUEL" u="1"/>
        <s v="GUTIERREZ PEREZ, TITO RENE" u="1"/>
        <s v="Escobar Cordova, Jorge Anibal" u="1"/>
        <s v="Saucedo Diaz, Jose Jeiner" u="1"/>
        <s v="Tupacyupanqui Navarro, Edison Manuel" u="1"/>
        <s v="HUAYASCACHI SANTIAGO DANTE" u="1"/>
        <s v="LEVANO CASTAÑEDA GIAN PEDRO" u="1"/>
        <s v="NAVARRO FERNANDEZ FRANK" u="1"/>
        <s v="SANTA MARIA OBANDO EMERSO ELIZBAN" u="1"/>
        <s v="SOTO HUAMAN MIQUE JOSE" u="1"/>
        <s v="PEREZ PEDRAZA EYNER" u="1"/>
        <s v="HUARIPATA CONDOR FERNANDO WILLIANS" u="1"/>
        <s v="CANCINES SOLIS JORGE GUMERCINDO" u="1"/>
        <s v="HERMOZA TORIBIO JORGE LUIS " u="1"/>
        <s v="ESPINOZA MACURI RICARDO MARCELINO" u="1"/>
        <s v="GABRIEL CHAUCA VICTOR LUIS" u="1"/>
        <s v="CAMACHO MEZA LOURDES ISABEL" u="1"/>
        <s v="MERMA RAMOS JULIO " u="1"/>
        <s v="BARJA CONTRERAS, LUIS CRISTHIAN" u="1"/>
        <s v="Munarriz Rivera, Gilberto" u="1"/>
        <s v="MOLLEAPAZA GONZA MARIO" u="1"/>
        <s v="NIMBOMA  VASQUEZ WILDER JAIME" u="1"/>
        <s v="NUÑEZ HUAMANI LUIS ALFREDO" u="1"/>
        <s v="PEJERREY ZAPATA MITCHEL CRISTHOPER" u="1"/>
        <s v="VENTURA ROSALES KENNEDY" u="1"/>
        <s v="MARTINEZ COLOS JUNIOR LORENZO" u="1"/>
        <s v="PATRICIA DEL PILAR NUÑEZ RAMIREZ" u="1"/>
        <s v="JHONATAN LEE RUIZ GALVEZ" u="1"/>
        <s v="MILTHON LOPEZ OROZCO" u="1"/>
        <s v="FIGUEROA BRIONES MAYRONN ANIBAL" u="1"/>
        <s v="HUAMAN SICHA JAIME" u="1"/>
        <s v="ESTEBAN MICHUE, EDWIN RICHARD" u="1"/>
        <s v="CABALLON DE LA PEÑA LUIS " u="1"/>
        <s v="PEREZ LOPEZ, JONATHAN HOUSTON" u="1"/>
        <s v="LLATAS MALDONADO, SEGUNDO SAMUEL" u="1"/>
        <s v="RIOS RAMIREZ, CINTHIA TATIANA" u="1"/>
        <s v="CASTILLO JULLIRI MODESTO" u="1"/>
        <s v="CHURA HUAMAN CRISANTO" u="1"/>
        <s v="ELIAS YAYA FELIPE JOEL" u="1"/>
        <s v="RODRIGUEZ GRANDEZ ERICK" u="1"/>
        <s v="SALVATIERRA DE LA CRUZ JUAN CARLOS" u="1"/>
        <s v="DOMINGUEZ ROSARIO LUIS ALBERTO " u="1"/>
        <s v="Zambrano Guerra William Eduardo " u="1"/>
        <s v="BALCAZAR IPANAQUE FRANKLIN" u="1"/>
        <s v="RANDY ALARCON BRYSON" u="1"/>
        <s v="LEVANO CARDENAS, JOSE OCTAVIO" u="1"/>
        <s v="BARRETO CRISTOBAL, JONATHAN" u="1"/>
        <s v="MEZONES ASIN NELL" u="1"/>
        <s v="Candamo Hurtado, Mateo Fredy " u="1"/>
        <s v="Cuenca Garriazo, Christian Marcos" u="1"/>
        <s v="Payajo Campos, Juan" u="1"/>
      </sharedItems>
    </cacheField>
    <cacheField name="FECHA NACIMIENTO" numFmtId="14">
      <sharedItems containsNonDate="0" containsDate="1" containsBlank="1" containsMixedTypes="1" minDate="1948-12-11T00:00:00" maxDate="2024-05-03T00:00:00" count="4741">
        <d v="2005-06-23T00:00:00"/>
        <d v="2004-01-04T00:00:00"/>
        <d v="2001-11-07T00:00:00"/>
        <d v="2002-05-01T00:00:00"/>
        <d v="2001-01-10T00:00:00"/>
        <d v="2001-11-24T00:00:00"/>
        <d v="2000-12-30T00:00:00"/>
        <d v="2002-04-24T00:00:00"/>
        <d v="2002-10-28T00:00:00"/>
        <d v="2004-02-02T00:00:00"/>
        <d v="2003-04-17T00:00:00"/>
        <d v="2003-03-03T00:00:00"/>
        <d v="2001-04-17T00:00:00"/>
        <d v="2004-06-18T00:00:00"/>
        <d v="2002-05-07T00:00:00"/>
        <d v="2000-10-27T00:00:00"/>
        <d v="2004-04-27T00:00:00"/>
        <d v="2004-06-12T00:00:00"/>
        <d v="2001-01-17T00:00:00"/>
        <d v="2004-05-23T00:00:00"/>
        <d v="2002-10-14T00:00:00"/>
        <d v="2001-01-13T00:00:00"/>
        <d v="2001-06-09T00:00:00"/>
        <d v="2001-06-01T00:00:00"/>
        <d v="2005-01-04T00:00:00"/>
        <d v="2001-12-14T00:00:00"/>
        <d v="2001-08-04T00:00:00"/>
        <d v="2004-11-08T00:00:00"/>
        <d v="2003-11-21T00:00:00"/>
        <d v="2004-05-19T00:00:00"/>
        <d v="2002-06-21T00:00:00"/>
        <d v="2004-03-07T00:00:00"/>
        <d v="2003-01-23T00:00:00"/>
        <d v="2005-10-27T00:00:00"/>
        <d v="2002-09-11T00:00:00"/>
        <d v="2000-10-13T00:00:00"/>
        <d v="2004-04-30T00:00:00"/>
        <d v="2004-12-14T00:00:00"/>
        <d v="2005-04-17T00:00:00"/>
        <d v="2002-06-23T00:00:00"/>
        <d v="2004-12-28T00:00:00"/>
        <d v="2003-03-05T00:00:00"/>
        <d v="2003-06-04T00:00:00"/>
        <d v="2003-08-31T00:00:00"/>
        <d v="2002-05-10T00:00:00"/>
        <d v="2001-11-14T00:00:00"/>
        <d v="2002-07-06T00:00:00"/>
        <d v="2001-08-16T00:00:00"/>
        <d v="2001-11-11T00:00:00"/>
        <d v="2001-01-02T00:00:00"/>
        <d v="2002-09-04T00:00:00"/>
        <d v="2003-02-17T00:00:00"/>
        <d v="2000-11-02T00:00:00"/>
        <d v="2002-07-16T00:00:00"/>
        <d v="2004-03-13T00:00:00"/>
        <d v="2002-11-23T00:00:00"/>
        <d v="2005-11-15T00:00:00"/>
        <d v="2002-12-17T00:00:00"/>
        <d v="2005-03-02T00:00:00"/>
        <d v="2002-11-30T00:00:00"/>
        <d v="2005-01-11T00:00:00"/>
        <d v="2003-12-19T00:00:00"/>
        <d v="2005-01-24T00:00:00"/>
        <d v="2006-05-28T00:00:00"/>
        <d v="2004-10-26T00:00:00"/>
        <d v="2002-04-23T00:00:00"/>
        <d v="2001-01-18T00:00:00"/>
        <d v="2001-07-11T00:00:00"/>
        <d v="2002-12-02T00:00:00"/>
        <d v="2006-01-04T00:00:00"/>
        <d v="2002-05-22T00:00:00"/>
        <d v="2000-10-15T00:00:00"/>
        <d v="2001-10-23T00:00:00"/>
        <d v="2003-03-25T00:00:00"/>
        <d v="2002-07-25T00:00:00"/>
        <d v="2003-08-01T00:00:00"/>
        <d v="2003-02-19T00:00:00"/>
        <d v="2001-05-06T00:00:00"/>
        <d v="2002-08-10T00:00:00"/>
        <d v="2004-09-17T00:00:00"/>
        <d v="2002-08-14T00:00:00"/>
        <d v="2002-05-09T00:00:00"/>
        <d v="2002-09-21T00:00:00"/>
        <d v="2003-01-02T00:00:00"/>
        <d v="2002-08-09T00:00:00"/>
        <d v="2001-05-23T00:00:00"/>
        <d v="2001-06-19T00:00:00"/>
        <d v="2001-05-05T00:00:00"/>
        <d v="2003-11-14T00:00:00"/>
        <d v="2003-09-13T00:00:00"/>
        <d v="2003-10-30T00:00:00"/>
        <d v="2003-10-27T00:00:00"/>
        <d v="2002-12-24T00:00:00"/>
        <d v="2003-06-09T00:00:00"/>
        <d v="2001-07-01T00:00:00"/>
        <d v="2003-04-03T00:00:00"/>
        <d v="2001-12-18T00:00:00"/>
        <d v="2000-12-29T00:00:00"/>
        <d v="2003-12-12T00:00:00"/>
        <d v="2002-12-28T00:00:00"/>
        <d v="2001-01-25T00:00:00"/>
        <d v="2002-08-16T00:00:00"/>
        <d v="2003-05-06T00:00:00"/>
        <d v="2001-11-09T00:00:00"/>
        <d v="2003-02-18T00:00:00"/>
        <d v="2001-02-28T00:00:00"/>
        <d v="2003-02-21T00:00:00"/>
        <d v="2003-04-04T00:00:00"/>
        <d v="2001-05-13T00:00:00"/>
        <d v="2001-11-04T00:00:00"/>
        <d v="2001-12-10T00:00:00"/>
        <d v="2000-12-10T00:00:00"/>
        <d v="2003-12-14T00:00:00"/>
        <d v="2001-10-19T00:00:00"/>
        <d v="2003-07-22T00:00:00"/>
        <d v="2004-01-15T00:00:00"/>
        <d v="2002-02-06T00:00:00"/>
        <d v="2001-12-08T00:00:00"/>
        <d v="2003-09-20T00:00:00"/>
        <d v="2003-01-28T00:00:00"/>
        <d v="2003-06-20T00:00:00"/>
        <d v="2002-04-26T00:00:00"/>
        <d v="2003-05-05T00:00:00"/>
        <d v="2001-03-19T00:00:00"/>
        <d v="2004-09-06T00:00:00"/>
        <d v="2002-06-30T00:00:00"/>
        <d v="2003-04-07T00:00:00"/>
        <d v="2004-03-03T00:00:00"/>
        <d v="2001-04-27T00:00:00"/>
        <d v="2001-03-13T00:00:00"/>
        <d v="2004-06-27T00:00:00"/>
        <d v="2002-09-30T00:00:00"/>
        <d v="2001-08-05T00:00:00"/>
        <d v="2002-02-25T00:00:00"/>
        <d v="2001-09-29T00:00:00"/>
        <d v="2000-10-11T00:00:00"/>
        <d v="2002-03-07T00:00:00"/>
        <d v="2003-10-17T00:00:00"/>
        <d v="2001-05-28T00:00:00"/>
        <d v="2001-09-12T00:00:00"/>
        <d v="2005-11-11T00:00:00"/>
        <d v="2000-10-16T00:00:00"/>
        <d v="2002-06-20T00:00:00"/>
        <d v="2005-01-26T00:00:00"/>
        <d v="2005-04-07T00:00:00"/>
        <d v="2004-11-11T00:00:00"/>
        <d v="2003-12-01T00:00:00"/>
        <d v="2001-05-01T00:00:00"/>
        <d v="2001-02-21T00:00:00"/>
        <d v="2002-03-13T00:00:00"/>
        <d v="2002-11-09T00:00:00"/>
        <d v="2000-12-12T00:00:00"/>
        <d v="2000-11-12T00:00:00"/>
        <d v="2003-10-01T00:00:00"/>
        <d v="2003-02-04T00:00:00"/>
        <d v="2002-02-22T00:00:00"/>
        <d v="2000-11-24T00:00:00"/>
        <d v="2000-11-23T00:00:00"/>
        <d v="2001-11-28T00:00:00"/>
        <d v="2005-06-24T00:00:00"/>
        <d v="2003-06-30T00:00:00"/>
        <d v="2004-11-18T00:00:00"/>
        <d v="2002-07-29T00:00:00"/>
        <d v="2002-02-26T00:00:00"/>
        <d v="2004-01-03T00:00:00"/>
        <d v="2004-11-14T00:00:00"/>
        <d v="2001-08-25T00:00:00"/>
        <d v="2002-04-05T00:00:00"/>
        <d v="2004-01-17T00:00:00"/>
        <d v="2004-02-27T00:00:00"/>
        <d v="2000-12-03T00:00:00"/>
        <d v="2006-01-11T00:00:00"/>
        <d v="2002-12-16T00:00:00"/>
        <d v="2003-11-15T00:00:00"/>
        <d v="2004-10-14T00:00:00"/>
        <d v="2005-08-24T00:00:00"/>
        <d v="2002-08-06T00:00:00"/>
        <d v="2004-07-20T00:00:00"/>
        <d v="2003-07-15T00:00:00"/>
        <d v="2003-04-12T00:00:00"/>
        <d v="2001-02-14T00:00:00"/>
        <d v="2002-01-04T00:00:00"/>
        <d v="2005-08-13T00:00:00"/>
        <d v="2004-02-23T00:00:00"/>
        <d v="2001-10-22T00:00:00"/>
        <d v="2001-03-22T00:00:00"/>
        <d v="2002-12-20T00:00:00"/>
        <d v="2003-03-15T00:00:00"/>
        <d v="2003-04-26T00:00:00"/>
        <d v="2002-05-27T00:00:00"/>
        <d v="2003-03-28T00:00:00"/>
        <d v="2002-02-11T00:00:00"/>
        <d v="2004-06-08T00:00:00"/>
        <d v="2003-08-12T00:00:00"/>
        <d v="2002-12-14T00:00:00"/>
        <d v="2003-08-29T00:00:00"/>
        <d v="2003-08-28T00:00:00"/>
        <d v="2003-12-21T00:00:00"/>
        <d v="2001-11-10T00:00:00"/>
        <d v="2004-10-27T00:00:00"/>
        <d v="2001-09-02T00:00:00"/>
        <d v="2006-05-30T00:00:00"/>
        <d v="2003-05-02T00:00:00"/>
        <d v="2003-09-26T00:00:00"/>
        <d v="2001-11-17T00:00:00"/>
        <d v="2001-04-21T00:00:00"/>
        <d v="2003-06-13T00:00:00"/>
        <d v="2001-09-01T00:00:00"/>
        <d v="2002-05-24T00:00:00"/>
        <d v="2003-09-27T00:00:00"/>
        <d v="2000-11-30T00:00:00"/>
        <d v="2003-08-22T00:00:00"/>
        <d v="2001-03-25T00:00:00"/>
        <d v="2001-01-27T00:00:00"/>
        <d v="2004-08-15T00:00:00"/>
        <d v="2004-08-05T00:00:00"/>
        <d v="2002-03-09T00:00:00"/>
        <d v="2005-04-18T00:00:00"/>
        <d v="2004-03-24T00:00:00"/>
        <d v="2004-03-19T00:00:00"/>
        <d v="2004-11-07T00:00:00"/>
        <d v="1997-02-08T00:00:00"/>
        <d v="1999-09-04T00:00:00"/>
        <d v="1995-10-14T00:00:00"/>
        <d v="1995-03-12T00:00:00"/>
        <d v="1998-09-26T00:00:00"/>
        <d v="1997-05-31T00:00:00"/>
        <d v="1993-05-04T00:00:00"/>
        <d v="1993-10-10T00:00:00"/>
        <d v="1995-10-13T00:00:00"/>
        <d v="1995-05-29T00:00:00"/>
        <d v="1998-12-04T00:00:00"/>
        <d v="1996-12-25T00:00:00"/>
        <d v="1993-02-13T00:00:00"/>
        <d v="1995-10-15T00:00:00"/>
        <d v="1995-10-20T00:00:00"/>
        <d v="1994-05-15T00:00:00"/>
        <d v="1994-07-21T00:00:00"/>
        <d v="1998-08-14T00:00:00"/>
        <d v="1999-04-13T00:00:00"/>
        <d v="1999-12-15T00:00:00"/>
        <d v="1994-05-19T00:00:00"/>
        <d v="1997-12-31T00:00:00"/>
        <d v="2000-09-10T00:00:00"/>
        <d v="1998-06-09T00:00:00"/>
        <d v="1998-02-14T00:00:00"/>
        <d v="1995-05-18T00:00:00"/>
        <d v="1994-04-08T00:00:00"/>
        <d v="2000-08-25T00:00:00"/>
        <d v="1995-02-03T00:00:00"/>
        <d v="1996-02-06T00:00:00"/>
        <d v="1994-06-08T00:00:00"/>
        <d v="1993-05-22T00:00:00"/>
        <d v="1995-05-02T00:00:00"/>
        <d v="1993-04-07T00:00:00"/>
        <d v="1999-08-22T00:00:00"/>
        <d v="1996-07-27T00:00:00"/>
        <d v="1993-12-12T00:00:00"/>
        <d v="1993-05-07T00:00:00"/>
        <d v="1995-11-23T00:00:00"/>
        <d v="1992-10-18T00:00:00"/>
        <d v="1994-03-02T00:00:00"/>
        <d v="1999-03-05T00:00:00"/>
        <d v="1997-03-07T00:00:00"/>
        <d v="1994-04-07T00:00:00"/>
        <d v="1993-04-19T00:00:00"/>
        <d v="1993-03-28T00:00:00"/>
        <d v="1995-09-27T00:00:00"/>
        <d v="1995-03-31T00:00:00"/>
        <d v="1994-03-21T00:00:00"/>
        <d v="1994-05-31T00:00:00"/>
        <d v="1996-07-21T00:00:00"/>
        <d v="1993-11-04T00:00:00"/>
        <d v="1996-12-23T00:00:00"/>
        <d v="1993-03-21T00:00:00"/>
        <d v="1995-03-16T00:00:00"/>
        <d v="1994-02-07T00:00:00"/>
        <d v="1996-06-25T00:00:00"/>
        <d v="1996-10-14T00:00:00"/>
        <d v="1993-04-01T00:00:00"/>
        <d v="1994-07-28T00:00:00"/>
        <d v="1993-07-18T00:00:00"/>
        <d v="1998-12-14T00:00:00"/>
        <d v="1997-07-04T00:00:00"/>
        <d v="1994-11-20T00:00:00"/>
        <d v="1993-07-23T00:00:00"/>
        <d v="1996-12-19T00:00:00"/>
        <d v="1995-12-06T00:00:00"/>
        <d v="1993-02-09T00:00:00"/>
        <d v="1998-09-09T00:00:00"/>
        <d v="1996-12-29T00:00:00"/>
        <d v="1998-12-02T00:00:00"/>
        <d v="1994-03-06T00:00:00"/>
        <d v="1996-07-22T00:00:00"/>
        <d v="1994-10-26T00:00:00"/>
        <d v="1995-09-14T00:00:00"/>
        <d v="1994-07-14T00:00:00"/>
        <d v="1999-10-31T00:00:00"/>
        <d v="1997-03-15T00:00:00"/>
        <d v="1995-08-12T00:00:00"/>
        <d v="2000-03-25T00:00:00"/>
        <d v="1993-12-06T00:00:00"/>
        <d v="1993-12-02T00:00:00"/>
        <d v="1996-09-09T00:00:00"/>
        <d v="1994-10-11T00:00:00"/>
        <d v="1995-06-04T00:00:00"/>
        <d v="1993-04-27T00:00:00"/>
        <d v="1995-09-06T00:00:00"/>
        <d v="2000-03-23T00:00:00"/>
        <d v="1994-07-08T00:00:00"/>
        <d v="1996-07-09T00:00:00"/>
        <d v="1998-06-25T00:00:00"/>
        <d v="1997-12-17T00:00:00"/>
        <d v="1995-08-16T00:00:00"/>
        <d v="1998-02-16T00:00:00"/>
        <d v="1995-09-29T00:00:00"/>
        <d v="1997-10-11T00:00:00"/>
        <d v="1996-09-24T00:00:00"/>
        <d v="1998-12-05T00:00:00"/>
        <d v="1994-05-01T00:00:00"/>
        <d v="1996-04-16T00:00:00"/>
        <d v="1996-09-30T00:00:00"/>
        <d v="1993-04-26T00:00:00"/>
        <d v="1995-04-15T00:00:00"/>
        <d v="1996-08-20T00:00:00"/>
        <d v="1997-03-12T00:00:00"/>
        <d v="1997-12-26T00:00:00"/>
        <d v="1997-07-24T00:00:00"/>
        <d v="1996-02-15T00:00:00"/>
        <d v="1993-10-05T00:00:00"/>
        <d v="1995-05-15T00:00:00"/>
        <d v="1992-12-22T00:00:00"/>
        <d v="1996-11-27T00:00:00"/>
        <d v="1998-05-05T00:00:00"/>
        <d v="2000-10-01T00:00:00"/>
        <d v="2000-08-03T00:00:00"/>
        <d v="1994-04-14T00:00:00"/>
        <d v="1997-04-07T00:00:00"/>
        <d v="1993-10-30T00:00:00"/>
        <d v="1996-04-25T00:00:00"/>
        <d v="1994-09-16T00:00:00"/>
        <d v="1994-02-14T00:00:00"/>
        <d v="1997-03-10T00:00:00"/>
        <d v="2000-04-15T00:00:00"/>
        <d v="1993-01-09T00:00:00"/>
        <d v="1995-11-03T00:00:00"/>
        <d v="1994-05-30T00:00:00"/>
        <d v="1998-05-23T00:00:00"/>
        <d v="1992-12-06T00:00:00"/>
        <d v="1996-03-11T00:00:00"/>
        <d v="1998-06-11T00:00:00"/>
        <d v="1996-07-14T00:00:00"/>
        <d v="1993-04-20T00:00:00"/>
        <d v="1998-07-09T00:00:00"/>
        <d v="1996-01-12T00:00:00"/>
        <d v="2000-05-07T00:00:00"/>
        <d v="1994-07-07T00:00:00"/>
        <d v="1995-03-18T00:00:00"/>
        <d v="2000-07-22T00:00:00"/>
        <d v="1994-02-01T00:00:00"/>
        <d v="1994-10-01T00:00:00"/>
        <d v="2000-08-21T00:00:00"/>
        <d v="1997-11-11T00:00:00"/>
        <d v="1993-12-25T00:00:00"/>
        <d v="1995-12-19T00:00:00"/>
        <d v="1999-08-25T00:00:00"/>
        <d v="1999-03-27T00:00:00"/>
        <d v="1997-05-12T00:00:00"/>
        <d v="1996-03-24T00:00:00"/>
        <d v="1997-07-23T00:00:00"/>
        <d v="2000-08-16T00:00:00"/>
        <d v="1996-06-10T00:00:00"/>
        <d v="1996-01-13T00:00:00"/>
        <d v="1995-09-15T00:00:00"/>
        <d v="1995-06-17T00:00:00"/>
        <d v="1999-01-14T00:00:00"/>
        <d v="1999-09-16T00:00:00"/>
        <d v="1997-09-26T00:00:00"/>
        <d v="1994-07-11T00:00:00"/>
        <d v="1997-07-10T00:00:00"/>
        <d v="2000-03-28T00:00:00"/>
        <d v="1998-07-03T00:00:00"/>
        <d v="1998-04-06T00:00:00"/>
        <d v="1999-10-02T00:00:00"/>
        <d v="1994-10-18T00:00:00"/>
        <d v="1993-11-05T00:00:00"/>
        <d v="1994-05-08T00:00:00"/>
        <d v="1994-09-08T00:00:00"/>
        <d v="1995-08-08T00:00:00"/>
        <d v="1995-12-14T00:00:00"/>
        <d v="1997-12-24T00:00:00"/>
        <d v="1997-07-12T00:00:00"/>
        <d v="1994-05-24T00:00:00"/>
        <d v="1993-06-05T00:00:00"/>
        <d v="1997-01-31T00:00:00"/>
        <d v="1997-08-20T00:00:00"/>
        <d v="1993-07-09T00:00:00"/>
        <d v="1996-04-09T00:00:00"/>
        <d v="1993-09-28T00:00:00"/>
        <d v="1992-11-26T00:00:00"/>
        <d v="1996-02-17T00:00:00"/>
        <d v="1994-09-02T00:00:00"/>
        <d v="1993-09-18T00:00:00"/>
        <d v="1995-04-23T00:00:00"/>
        <d v="1996-04-06T00:00:00"/>
        <d v="1994-04-28T00:00:00"/>
        <d v="1993-12-30T00:00:00"/>
        <d v="1998-10-08T00:00:00"/>
        <d v="1995-06-09T00:00:00"/>
        <d v="1998-10-10T00:00:00"/>
        <d v="1994-09-28T00:00:00"/>
        <d v="1993-11-02T00:00:00"/>
        <d v="1993-01-02T00:00:00"/>
        <d v="1999-11-13T00:00:00"/>
        <d v="1992-12-07T00:00:00"/>
        <d v="1993-10-20T00:00:00"/>
        <d v="1994-10-13T00:00:00"/>
        <d v="1999-05-15T00:00:00"/>
        <d v="1993-05-01T00:00:00"/>
        <d v="1992-11-09T00:00:00"/>
        <d v="1992-11-30T00:00:00"/>
        <d v="1992-10-14T00:00:00"/>
        <d v="1992-10-22T00:00:00"/>
        <d v="2000-04-02T00:00:00"/>
        <d v="1994-11-02T00:00:00"/>
        <d v="1994-08-24T00:00:00"/>
        <d v="2000-05-19T00:00:00"/>
        <d v="1998-01-30T00:00:00"/>
        <d v="1993-08-16T00:00:00"/>
        <d v="1995-03-09T00:00:00"/>
        <d v="1999-09-20T00:00:00"/>
        <d v="1993-08-23T00:00:00"/>
        <d v="1997-08-21T00:00:00"/>
        <d v="1996-09-01T00:00:00"/>
        <d v="1996-01-05T00:00:00"/>
        <d v="1995-01-05T00:00:00"/>
        <d v="1994-11-22T00:00:00"/>
        <d v="1999-07-01T00:00:00"/>
        <d v="1997-05-15T00:00:00"/>
        <d v="1996-03-16T00:00:00"/>
        <d v="1996-08-02T00:00:00"/>
        <d v="1999-06-03T00:00:00"/>
        <d v="1998-03-19T00:00:00"/>
        <d v="1998-07-07T00:00:00"/>
        <d v="1999-10-09T00:00:00"/>
        <d v="1995-08-30T00:00:00"/>
        <d v="2000-09-05T00:00:00"/>
        <d v="1995-06-02T00:00:00"/>
        <d v="1999-01-19T00:00:00"/>
        <d v="1997-05-18T00:00:00"/>
        <d v="1996-12-06T00:00:00"/>
        <d v="1992-10-21T00:00:00"/>
        <d v="2000-04-26T00:00:00"/>
        <d v="1993-06-02T00:00:00"/>
        <d v="1994-08-07T00:00:00"/>
        <d v="1998-11-07T00:00:00"/>
        <d v="1995-12-26T00:00:00"/>
        <d v="1993-07-28T00:00:00"/>
        <d v="1995-06-12T00:00:00"/>
        <d v="1999-01-25T00:00:00"/>
        <d v="1995-04-09T00:00:00"/>
        <d v="1996-06-27T00:00:00"/>
        <d v="1993-04-14T00:00:00"/>
        <d v="1995-08-18T00:00:00"/>
        <d v="1993-10-24T00:00:00"/>
        <d v="1993-02-18T00:00:00"/>
        <d v="1995-09-18T00:00:00"/>
        <d v="1996-04-20T00:00:00"/>
        <d v="1998-02-13T00:00:00"/>
        <d v="1999-12-31T00:00:00"/>
        <d v="1996-05-24T00:00:00"/>
        <d v="1994-07-06T00:00:00"/>
        <d v="1994-02-19T00:00:00"/>
        <d v="1996-05-11T00:00:00"/>
        <d v="1993-03-17T00:00:00"/>
        <d v="1993-10-08T00:00:00"/>
        <d v="1995-05-23T00:00:00"/>
        <d v="1995-10-27T00:00:00"/>
        <d v="1993-06-12T00:00:00"/>
        <d v="1999-01-07T00:00:00"/>
        <d v="1993-09-01T00:00:00"/>
        <d v="1997-03-08T00:00:00"/>
        <d v="1993-07-17T00:00:00"/>
        <d v="2000-02-06T00:00:00"/>
        <d v="1994-06-13T00:00:00"/>
        <d v="1996-01-30T00:00:00"/>
        <d v="1996-09-02T00:00:00"/>
        <d v="1999-04-18T00:00:00"/>
        <d v="1994-04-24T00:00:00"/>
        <d v="1995-12-24T00:00:00"/>
        <d v="1999-07-26T00:00:00"/>
        <d v="1996-06-20T00:00:00"/>
        <d v="1995-05-19T00:00:00"/>
        <d v="1992-11-11T00:00:00"/>
        <d v="1999-03-03T00:00:00"/>
        <d v="1996-04-27T00:00:00"/>
        <d v="1998-05-11T00:00:00"/>
        <d v="1994-10-17T00:00:00"/>
        <d v="1993-12-15T00:00:00"/>
        <d v="2000-06-07T00:00:00"/>
        <d v="1994-08-05T00:00:00"/>
        <d v="1999-05-07T00:00:00"/>
        <d v="1994-04-19T00:00:00"/>
        <d v="2000-02-12T00:00:00"/>
        <d v="1993-09-07T00:00:00"/>
        <d v="1997-08-13T00:00:00"/>
        <d v="1998-12-06T00:00:00"/>
        <d v="1997-11-18T00:00:00"/>
        <d v="1993-04-13T00:00:00"/>
        <d v="1996-03-08T00:00:00"/>
        <d v="1996-08-07T00:00:00"/>
        <d v="1994-08-29T00:00:00"/>
        <d v="1998-02-21T00:00:00"/>
        <d v="2000-09-08T00:00:00"/>
        <d v="1996-07-06T00:00:00"/>
        <d v="1997-11-24T00:00:00"/>
        <d v="1996-04-14T00:00:00"/>
        <d v="2000-09-04T00:00:00"/>
        <d v="1996-06-19T00:00:00"/>
        <d v="1997-06-01T00:00:00"/>
        <d v="1994-06-18T00:00:00"/>
        <d v="1995-12-07T00:00:00"/>
        <d v="1996-04-10T00:00:00"/>
        <d v="1998-02-17T00:00:00"/>
        <d v="1996-09-26T00:00:00"/>
        <d v="1997-09-29T00:00:00"/>
        <d v="1998-04-16T00:00:00"/>
        <d v="1996-06-14T00:00:00"/>
        <d v="1997-01-08T00:00:00"/>
        <d v="1997-01-25T00:00:00"/>
        <d v="1994-01-22T00:00:00"/>
        <d v="1996-10-31T00:00:00"/>
        <d v="2000-06-18T00:00:00"/>
        <d v="1995-07-25T00:00:00"/>
        <d v="1994-07-17T00:00:00"/>
        <d v="1997-07-22T00:00:00"/>
        <d v="1999-06-23T00:00:00"/>
        <d v="1993-06-07T00:00:00"/>
        <d v="1992-12-21T00:00:00"/>
        <d v="1996-11-20T00:00:00"/>
        <d v="1999-06-18T00:00:00"/>
        <d v="1994-03-10T00:00:00"/>
        <d v="1993-01-28T00:00:00"/>
        <d v="1995-09-16T00:00:00"/>
        <d v="1993-01-19T00:00:00"/>
        <d v="1996-01-31T00:00:00"/>
        <d v="1996-08-04T00:00:00"/>
        <d v="1993-05-06T00:00:00"/>
        <d v="1994-10-05T00:00:00"/>
        <d v="1995-12-28T00:00:00"/>
        <d v="1993-11-01T00:00:00"/>
        <d v="1997-02-11T00:00:00"/>
        <d v="1993-08-08T00:00:00"/>
        <d v="1997-10-27T00:00:00"/>
        <d v="1995-08-31T00:00:00"/>
        <d v="1994-09-23T00:00:00"/>
        <d v="1992-10-11T00:00:00"/>
        <d v="1998-08-30T00:00:00"/>
        <d v="1994-03-20T00:00:00"/>
        <d v="1995-01-14T00:00:00"/>
        <d v="1996-03-22T00:00:00"/>
        <d v="1993-08-17T00:00:00"/>
        <d v="1997-09-24T00:00:00"/>
        <d v="1995-10-28T00:00:00"/>
        <d v="1997-08-12T00:00:00"/>
        <d v="1994-04-03T00:00:00"/>
        <d v="1998-10-03T00:00:00"/>
        <d v="1997-02-12T00:00:00"/>
        <d v="1994-10-08T00:00:00"/>
        <d v="1997-09-05T00:00:00"/>
        <d v="1997-04-08T00:00:00"/>
        <d v="1993-07-25T00:00:00"/>
        <d v="1997-02-28T00:00:00"/>
        <d v="1993-08-20T00:00:00"/>
        <d v="1997-05-20T00:00:00"/>
        <d v="1992-11-02T00:00:00"/>
        <d v="1995-01-24T00:00:00"/>
        <d v="1995-08-25T00:00:00"/>
        <d v="1994-04-09T00:00:00"/>
        <d v="1997-01-17T00:00:00"/>
        <d v="1994-08-17T00:00:00"/>
        <d v="1996-11-18T00:00:00"/>
        <d v="1999-06-19T00:00:00"/>
        <d v="1994-04-06T00:00:00"/>
        <d v="1994-11-26T00:00:00"/>
        <d v="1995-02-11T00:00:00"/>
        <d v="1996-11-09T00:00:00"/>
        <d v="1996-03-15T00:00:00"/>
        <d v="1999-04-16T00:00:00"/>
        <d v="1997-03-31T00:00:00"/>
        <d v="1999-03-19T00:00:00"/>
        <d v="1999-03-14T00:00:00"/>
        <d v="1997-03-01T00:00:00"/>
        <d v="2000-01-05T00:00:00"/>
        <d v="1996-07-02T00:00:00"/>
        <d v="2000-08-19T00:00:00"/>
        <d v="2000-09-19T00:00:00"/>
        <d v="1995-07-17T00:00:00"/>
        <d v="1998-06-15T00:00:00"/>
        <d v="1996-05-27T00:00:00"/>
        <d v="1999-06-24T00:00:00"/>
        <d v="1997-03-02T00:00:00"/>
        <d v="1999-02-28T00:00:00"/>
        <d v="1993-01-13T00:00:00"/>
        <d v="1993-01-24T00:00:00"/>
        <d v="1995-08-26T00:00:00"/>
        <d v="2000-08-20T00:00:00"/>
        <d v="1998-01-14T00:00:00"/>
        <d v="1994-07-01T00:00:00"/>
        <d v="1993-09-10T00:00:00"/>
        <d v="2000-09-14T00:00:00"/>
        <d v="1998-04-03T00:00:00"/>
        <d v="1993-03-08T00:00:00"/>
        <d v="1995-12-16T00:00:00"/>
        <d v="1995-01-23T00:00:00"/>
        <d v="1999-02-15T00:00:00"/>
        <d v="1999-04-19T00:00:00"/>
        <d v="1999-05-06T00:00:00"/>
        <d v="1999-03-28T00:00:00"/>
        <d v="1993-01-25T00:00:00"/>
        <d v="1998-09-29T00:00:00"/>
        <d v="1998-09-01T00:00:00"/>
        <d v="2000-02-08T00:00:00"/>
        <d v="2000-09-21T00:00:00"/>
        <d v="1998-01-23T00:00:00"/>
        <d v="1996-10-18T00:00:00"/>
        <d v="1994-06-21T00:00:00"/>
        <d v="1996-12-26T00:00:00"/>
        <d v="1996-05-21T00:00:00"/>
        <d v="1997-11-15T00:00:00"/>
        <d v="1996-10-27T00:00:00"/>
        <d v="1994-07-20T00:00:00"/>
        <d v="1995-05-04T00:00:00"/>
        <d v="1992-11-19T00:00:00"/>
        <d v="1999-01-13T00:00:00"/>
        <d v="1999-03-13T00:00:00"/>
        <d v="1997-03-27T00:00:00"/>
        <d v="2000-09-06T00:00:00"/>
        <d v="1993-01-01T00:00:00"/>
        <d v="1996-03-09T00:00:00"/>
        <d v="2000-02-28T00:00:00"/>
        <d v="1996-01-29T00:00:00"/>
        <d v="1999-07-04T00:00:00"/>
        <d v="1999-07-08T00:00:00"/>
        <d v="1999-03-22T00:00:00"/>
        <d v="1998-05-02T00:00:00"/>
        <d v="1993-02-15T00:00:00"/>
        <d v="1997-04-26T00:00:00"/>
        <d v="1997-04-30T00:00:00"/>
        <d v="1998-05-10T00:00:00"/>
        <d v="1998-07-10T00:00:00"/>
        <d v="1993-09-16T00:00:00"/>
        <d v="1997-04-19T00:00:00"/>
        <d v="1997-01-22T00:00:00"/>
        <d v="1995-03-20T00:00:00"/>
        <d v="1999-08-19T00:00:00"/>
        <d v="1998-06-20T00:00:00"/>
        <d v="1995-10-18T00:00:00"/>
        <d v="2000-01-06T00:00:00"/>
        <d v="1997-04-13T00:00:00"/>
        <d v="1999-07-06T00:00:00"/>
        <d v="1996-09-06T00:00:00"/>
        <d v="1995-10-21T00:00:00"/>
        <d v="1992-11-22T00:00:00"/>
        <d v="1997-05-23T00:00:00"/>
        <d v="1998-04-22T00:00:00"/>
        <d v="1999-09-18T00:00:00"/>
        <d v="1999-07-15T00:00:00"/>
        <d v="1994-03-17T00:00:00"/>
        <d v="1995-03-19T00:00:00"/>
        <d v="1995-05-25T00:00:00"/>
        <d v="1997-02-05T00:00:00"/>
        <d v="1995-04-30T00:00:00"/>
        <d v="1996-12-28T00:00:00"/>
        <d v="1992-10-15T00:00:00"/>
        <d v="1997-05-16T00:00:00"/>
        <d v="1999-12-16T00:00:00"/>
        <d v="1997-09-21T00:00:00"/>
        <d v="1994-01-23T00:00:00"/>
        <d v="1999-08-04T00:00:00"/>
        <d v="1995-09-28T00:00:00"/>
        <d v="1995-07-07T00:00:00"/>
        <d v="1995-04-26T00:00:00"/>
        <d v="1997-08-05T00:00:00"/>
        <d v="1999-12-02T00:00:00"/>
        <d v="1998-03-26T00:00:00"/>
        <d v="1996-06-15T00:00:00"/>
        <d v="2000-06-04T00:00:00"/>
        <d v="1995-07-06T00:00:00"/>
        <d v="1999-12-26T00:00:00"/>
        <d v="1998-04-21T00:00:00"/>
        <d v="2000-03-03T00:00:00"/>
        <d v="1993-07-03T00:00:00"/>
        <d v="1995-02-02T00:00:00"/>
        <d v="1996-08-11T00:00:00"/>
        <d v="1997-05-03T00:00:00"/>
        <d v="1996-07-25T00:00:00"/>
        <d v="1999-08-06T00:00:00"/>
        <d v="1996-06-28T00:00:00"/>
        <d v="2000-07-05T00:00:00"/>
        <d v="2000-09-30T00:00:00"/>
        <d v="1995-09-08T00:00:00"/>
        <d v="1994-01-27T00:00:00"/>
        <d v="1997-11-12T00:00:00"/>
        <d v="2000-08-01T00:00:00"/>
        <d v="1995-02-08T00:00:00"/>
        <d v="1999-09-27T00:00:00"/>
        <d v="2000-06-22T00:00:00"/>
        <d v="1998-08-25T00:00:00"/>
        <d v="2000-08-12T00:00:00"/>
        <d v="1995-08-02T00:00:00"/>
        <d v="1994-02-16T00:00:00"/>
        <d v="1997-03-20T00:00:00"/>
        <d v="1997-04-02T00:00:00"/>
        <d v="1992-12-10T00:00:00"/>
        <d v="1994-06-07T00:00:00"/>
        <d v="1998-11-19T00:00:00"/>
        <d v="1997-07-28T00:00:00"/>
        <d v="1999-07-25T00:00:00"/>
        <d v="2000-01-07T00:00:00"/>
        <d v="2000-05-10T00:00:00"/>
        <d v="1997-11-06T00:00:00"/>
        <d v="1995-01-07T00:00:00"/>
        <d v="2000-05-27T00:00:00"/>
        <d v="1999-09-23T00:00:00"/>
        <d v="1997-11-20T00:00:00"/>
        <d v="1999-07-12T00:00:00"/>
        <d v="1994-03-16T00:00:00"/>
        <d v="1995-05-03T00:00:00"/>
        <d v="1995-07-16T00:00:00"/>
        <d v="1998-05-04T00:00:00"/>
        <d v="1993-05-03T00:00:00"/>
        <d v="1993-05-17T00:00:00"/>
        <d v="1996-09-19T00:00:00"/>
        <d v="1996-12-30T00:00:00"/>
        <d v="1993-05-11T00:00:00"/>
        <d v="1999-04-07T00:00:00"/>
        <d v="1996-04-12T00:00:00"/>
        <d v="1996-11-16T00:00:00"/>
        <d v="1994-05-11T00:00:00"/>
        <d v="1995-05-28T00:00:00"/>
        <d v="1998-08-16T00:00:00"/>
        <d v="1996-04-05T00:00:00"/>
        <d v="1995-05-13T00:00:00"/>
        <d v="1998-11-21T00:00:00"/>
        <d v="1992-11-28T00:00:00"/>
        <d v="1998-11-09T00:00:00"/>
        <d v="1995-06-26T00:00:00"/>
        <d v="1996-10-07T00:00:00"/>
        <d v="1995-04-08T00:00:00"/>
        <d v="1993-08-05T00:00:00"/>
        <d v="1994-12-23T00:00:00"/>
        <d v="1996-02-28T00:00:00"/>
        <d v="1997-03-22T00:00:00"/>
        <d v="1998-11-05T00:00:00"/>
        <d v="1998-10-25T00:00:00"/>
        <d v="1997-01-30T00:00:00"/>
        <d v="1994-10-24T00:00:00"/>
        <d v="1996-07-30T00:00:00"/>
        <d v="1995-07-26T00:00:00"/>
        <d v="1999-03-01T00:00:00"/>
        <d v="1996-03-18T00:00:00"/>
        <d v="1997-04-21T00:00:00"/>
        <d v="1998-06-14T00:00:00"/>
        <d v="1995-12-12T00:00:00"/>
        <d v="1993-02-16T00:00:00"/>
        <d v="1997-06-11T00:00:00"/>
        <d v="1993-07-13T00:00:00"/>
        <d v="1998-08-08T00:00:00"/>
        <d v="1995-05-24T00:00:00"/>
        <d v="1999-02-01T00:00:00"/>
        <d v="2000-04-08T00:00:00"/>
        <d v="1993-07-04T00:00:00"/>
        <d v="1996-05-20T00:00:00"/>
        <d v="2000-05-20T00:00:00"/>
        <d v="1995-11-24T00:00:00"/>
        <d v="1997-06-17T00:00:00"/>
        <d v="1995-03-21T00:00:00"/>
        <d v="2000-06-21T00:00:00"/>
        <d v="1993-04-03T00:00:00"/>
        <d v="1997-03-30T00:00:00"/>
        <d v="1996-08-31T00:00:00"/>
        <d v="2000-01-09T00:00:00"/>
        <d v="1997-02-15T00:00:00"/>
        <d v="1993-04-12T00:00:00"/>
        <d v="2000-07-18T00:00:00"/>
        <d v="1993-06-21T00:00:00"/>
        <d v="1999-01-05T00:00:00"/>
        <d v="1996-06-07T00:00:00"/>
        <d v="1995-06-16T00:00:00"/>
        <d v="1996-08-05T00:00:00"/>
        <d v="1996-09-23T00:00:00"/>
        <d v="1996-11-01T00:00:00"/>
        <d v="1999-05-18T00:00:00"/>
        <d v="1997-12-14T00:00:00"/>
        <d v="1993-04-21T00:00:00"/>
        <d v="1998-05-03T00:00:00"/>
        <d v="1999-06-29T00:00:00"/>
        <d v="1994-05-02T00:00:00"/>
        <d v="1993-11-17T00:00:00"/>
        <d v="1994-08-13T00:00:00"/>
        <d v="1997-11-08T00:00:00"/>
        <d v="1998-12-10T00:00:00"/>
        <d v="1996-09-10T00:00:00"/>
        <d v="1993-03-10T00:00:00"/>
        <d v="1996-05-30T00:00:00"/>
        <d v="1995-03-14T00:00:00"/>
        <d v="1998-04-14T00:00:00"/>
        <d v="1998-02-19T00:00:00"/>
        <d v="1993-09-23T00:00:00"/>
        <d v="1996-11-05T00:00:00"/>
        <d v="1994-01-31T00:00:00"/>
        <d v="1997-04-22T00:00:00"/>
        <d v="1997-01-04T00:00:00"/>
        <d v="1998-08-21T00:00:00"/>
        <d v="1999-08-09T00:00:00"/>
        <d v="1994-02-23T00:00:00"/>
        <d v="1994-08-03T00:00:00"/>
        <d v="1995-09-11T00:00:00"/>
        <d v="2000-07-14T00:00:00"/>
        <d v="1999-01-20T00:00:00"/>
        <d v="1993-05-10T00:00:00"/>
        <d v="1999-11-12T00:00:00"/>
        <d v="2000-06-05T00:00:00"/>
        <d v="2000-04-12T00:00:00"/>
        <d v="1999-08-12T00:00:00"/>
        <d v="2000-09-13T00:00:00"/>
        <d v="1996-10-22T00:00:00"/>
        <d v="1999-09-12T00:00:00"/>
        <d v="1999-08-20T00:00:00"/>
        <d v="1995-11-28T00:00:00"/>
        <d v="2000-09-28T00:00:00"/>
        <d v="1999-12-07T00:00:00"/>
        <d v="1998-12-15T00:00:00"/>
        <d v="1998-10-31T00:00:00"/>
        <d v="1995-01-12T00:00:00"/>
        <d v="1996-03-19T00:00:00"/>
        <d v="2000-07-08T00:00:00"/>
        <d v="1998-03-30T00:00:00"/>
        <d v="1996-05-07T00:00:00"/>
        <d v="1994-03-09T00:00:00"/>
        <d v="1995-04-03T00:00:00"/>
        <d v="1997-04-05T00:00:00"/>
        <d v="1994-12-24T00:00:00"/>
        <d v="1992-11-03T00:00:00"/>
        <d v="1994-09-06T00:00:00"/>
        <d v="1993-01-21T00:00:00"/>
        <d v="1993-05-23T00:00:00"/>
        <d v="1994-05-14T00:00:00"/>
        <d v="1998-05-31T00:00:00"/>
        <d v="1994-11-01T00:00:00"/>
        <d v="1992-12-26T00:00:00"/>
        <d v="1994-09-18T00:00:00"/>
        <d v="1998-12-18T00:00:00"/>
        <d v="1994-10-07T00:00:00"/>
        <d v="1995-02-10T00:00:00"/>
        <d v="1993-10-12T00:00:00"/>
        <d v="1997-07-25T00:00:00"/>
        <d v="1998-01-11T00:00:00"/>
        <d v="1999-10-15T00:00:00"/>
        <d v="1999-10-25T00:00:00"/>
        <d v="1994-02-18T00:00:00"/>
        <d v="1994-12-10T00:00:00"/>
        <d v="1994-09-22T00:00:00"/>
        <d v="1994-05-20T00:00:00"/>
        <d v="1997-06-08T00:00:00"/>
        <d v="1996-02-16T00:00:00"/>
        <d v="1995-05-01T00:00:00"/>
        <d v="1993-08-28T00:00:00"/>
        <d v="1997-06-09T00:00:00"/>
        <d v="1998-09-30T00:00:00"/>
        <d v="2000-10-07T00:00:00"/>
        <d v="1995-10-26T00:00:00"/>
        <d v="1999-03-10T00:00:00"/>
        <d v="1997-05-11T00:00:00"/>
        <d v="1994-08-04T00:00:00"/>
        <d v="1994-01-01T00:00:00"/>
        <d v="1995-11-10T00:00:00"/>
        <d v="1997-07-03T00:00:00"/>
        <d v="1993-06-10T00:00:00"/>
        <d v="1999-01-10T00:00:00"/>
        <d v="1997-09-19T00:00:00"/>
        <d v="1995-01-26T00:00:00"/>
        <d v="1997-01-14T00:00:00"/>
        <d v="1994-03-26T00:00:00"/>
        <d v="1993-11-15T00:00:00"/>
        <d v="2000-03-29T00:00:00"/>
        <d v="1999-11-11T00:00:00"/>
        <d v="1994-08-25T00:00:00"/>
        <d v="1996-12-18T00:00:00"/>
        <d v="1995-11-30T00:00:00"/>
        <d v="1994-07-19T00:00:00"/>
        <d v="1993-06-26T00:00:00"/>
        <d v="1993-06-28T00:00:00"/>
        <d v="1995-03-05T00:00:00"/>
        <d v="1995-07-18T00:00:00"/>
        <d v="1994-07-13T00:00:00"/>
        <d v="1998-12-31T00:00:00"/>
        <d v="1994-08-23T00:00:00"/>
        <d v="1995-12-29T00:00:00"/>
        <d v="2000-09-23T00:00:00"/>
        <d v="1996-01-25T00:00:00"/>
        <d v="2000-04-10T00:00:00"/>
        <d v="1996-06-11T00:00:00"/>
        <d v="1995-02-17T00:00:00"/>
        <d v="1996-06-01T00:00:00"/>
        <d v="1999-12-17T00:00:00"/>
        <d v="1992-12-03T00:00:00"/>
        <d v="1995-10-02T00:00:00"/>
        <d v="1996-04-24T00:00:00"/>
        <d v="1993-03-30T00:00:00"/>
        <d v="1999-10-18T00:00:00"/>
        <d v="1999-12-09T00:00:00"/>
        <d v="1993-04-05T00:00:00"/>
        <d v="1998-06-05T00:00:00"/>
        <d v="1994-12-29T00:00:00"/>
        <d v="1996-01-27T00:00:00"/>
        <d v="1998-01-05T00:00:00"/>
        <d v="1998-08-10T00:00:00"/>
        <d v="1995-12-27T00:00:00"/>
        <d v="1996-10-01T00:00:00"/>
        <d v="2000-03-16T00:00:00"/>
        <d v="1998-09-13T00:00:00"/>
        <d v="1996-11-13T00:00:00"/>
        <d v="1996-11-22T00:00:00"/>
        <d v="1997-09-11T00:00:00"/>
        <d v="1994-02-28T00:00:00"/>
        <d v="1995-12-09T00:00:00"/>
        <d v="1999-08-13T00:00:00"/>
        <d v="1993-08-22T00:00:00"/>
        <d v="1987-12-19T00:00:00"/>
        <d v="1987-12-31T00:00:00"/>
        <d v="1990-12-21T00:00:00"/>
        <d v="1989-09-22T00:00:00"/>
        <d v="1991-08-10T00:00:00"/>
        <d v="1985-11-29T00:00:00"/>
        <d v="1987-02-22T00:00:00"/>
        <d v="1986-10-11T00:00:00"/>
        <d v="1987-10-04T00:00:00"/>
        <d v="1987-09-19T00:00:00"/>
        <d v="1987-03-21T00:00:00"/>
        <d v="1992-09-20T00:00:00"/>
        <d v="1987-06-22T00:00:00"/>
        <d v="1989-07-21T00:00:00"/>
        <d v="1986-12-17T00:00:00"/>
        <d v="1991-07-11T00:00:00"/>
        <d v="1989-03-24T00:00:00"/>
        <d v="1989-12-11T00:00:00"/>
        <d v="1985-03-22T00:00:00"/>
        <d v="1983-12-07T00:00:00"/>
        <d v="1987-01-07T00:00:00"/>
        <d v="1989-02-04T00:00:00"/>
        <d v="1987-05-27T00:00:00"/>
        <d v="1992-03-11T00:00:00"/>
        <d v="1992-07-04T00:00:00"/>
        <d v="1985-05-23T00:00:00"/>
        <d v="1986-04-16T00:00:00"/>
        <d v="1987-02-19T00:00:00"/>
        <d v="1992-08-27T00:00:00"/>
        <d v="1991-03-17T00:00:00"/>
        <d v="1991-12-20T00:00:00"/>
        <d v="1992-07-02T00:00:00"/>
        <d v="1985-02-07T00:00:00"/>
        <d v="1987-09-03T00:00:00"/>
        <d v="1985-10-14T00:00:00"/>
        <d v="1987-04-10T00:00:00"/>
        <d v="1992-06-20T00:00:00"/>
        <d v="1992-01-01T00:00:00"/>
        <d v="1992-07-30T00:00:00"/>
        <d v="1986-10-28T00:00:00"/>
        <d v="1989-04-27T00:00:00"/>
        <d v="1992-01-30T00:00:00"/>
        <d v="1985-01-17T00:00:00"/>
        <d v="1992-04-15T00:00:00"/>
        <d v="1988-08-02T00:00:00"/>
        <d v="1987-03-25T00:00:00"/>
        <d v="1990-05-10T00:00:00"/>
        <d v="1984-08-17T00:00:00"/>
        <d v="1986-03-03T00:00:00"/>
        <d v="1988-07-18T00:00:00"/>
        <d v="1991-07-17T00:00:00"/>
        <d v="1987-03-20T00:00:00"/>
        <d v="1986-09-28T00:00:00"/>
        <d v="1989-07-20T00:00:00"/>
        <d v="1990-05-31T00:00:00"/>
        <d v="1986-12-14T00:00:00"/>
        <d v="1987-08-23T00:00:00"/>
        <d v="1984-10-10T00:00:00"/>
        <d v="1985-09-15T00:00:00"/>
        <d v="1991-09-27T00:00:00"/>
        <d v="1989-06-23T00:00:00"/>
        <d v="1984-10-31T00:00:00"/>
        <d v="1984-09-27T00:00:00"/>
        <d v="1988-10-06T00:00:00"/>
        <d v="1985-06-21T00:00:00"/>
        <d v="1985-05-30T00:00:00"/>
        <d v="1989-01-20T00:00:00"/>
        <d v="1983-11-07T00:00:00"/>
        <d v="1991-08-12T00:00:00"/>
        <d v="1991-01-08T00:00:00"/>
        <d v="1990-02-01T00:00:00"/>
        <d v="1988-12-06T00:00:00"/>
        <d v="1990-06-26T00:00:00"/>
        <d v="1985-08-21T00:00:00"/>
        <d v="1989-03-13T00:00:00"/>
        <d v="1988-05-31T00:00:00"/>
        <d v="1986-03-04T00:00:00"/>
        <d v="1987-05-01T00:00:00"/>
        <d v="1990-04-23T00:00:00"/>
        <d v="1986-03-05T00:00:00"/>
        <d v="1986-05-02T00:00:00"/>
        <d v="1987-09-25T00:00:00"/>
        <d v="1984-07-01T00:00:00"/>
        <d v="1991-05-02T00:00:00"/>
        <d v="1986-01-13T00:00:00"/>
        <d v="1985-11-12T00:00:00"/>
        <d v="1991-01-02T00:00:00"/>
        <d v="1987-08-09T00:00:00"/>
        <d v="1990-08-01T00:00:00"/>
        <d v="1990-07-25T00:00:00"/>
        <d v="1991-03-04T00:00:00"/>
        <d v="1990-02-02T00:00:00"/>
        <d v="1992-09-29T00:00:00"/>
        <d v="1992-09-13T00:00:00"/>
        <d v="1984-09-30T00:00:00"/>
        <d v="1987-11-19T00:00:00"/>
        <d v="1984-02-13T00:00:00"/>
        <d v="1989-02-18T00:00:00"/>
        <d v="1989-07-13T00:00:00"/>
        <d v="1989-08-21T00:00:00"/>
        <d v="1991-04-19T00:00:00"/>
        <d v="1986-04-24T00:00:00"/>
        <d v="1992-07-24T00:00:00"/>
        <d v="1983-12-12T00:00:00"/>
        <d v="1989-03-30T00:00:00"/>
        <d v="1990-03-19T00:00:00"/>
        <d v="1988-12-11T00:00:00"/>
        <d v="1991-04-24T00:00:00"/>
        <d v="1990-05-28T00:00:00"/>
        <d v="1985-01-14T00:00:00"/>
        <d v="1985-11-28T00:00:00"/>
        <d v="1987-11-16T00:00:00"/>
        <d v="1986-03-11T00:00:00"/>
        <d v="1986-12-20T00:00:00"/>
        <d v="1990-05-14T00:00:00"/>
        <d v="1985-12-28T00:00:00"/>
        <d v="1988-01-31T00:00:00"/>
        <d v="1992-07-27T00:00:00"/>
        <d v="1989-09-05T00:00:00"/>
        <d v="1990-09-10T00:00:00"/>
        <d v="1986-11-24T00:00:00"/>
        <d v="1986-10-26T00:00:00"/>
        <d v="1988-07-24T00:00:00"/>
        <d v="1988-03-11T00:00:00"/>
        <d v="1984-01-06T00:00:00"/>
        <d v="1990-12-17T00:00:00"/>
        <d v="1992-08-24T00:00:00"/>
        <d v="1987-11-02T00:00:00"/>
        <d v="1991-09-30T00:00:00"/>
        <d v="1990-06-23T00:00:00"/>
        <d v="1988-09-23T00:00:00"/>
        <d v="1989-07-06T00:00:00"/>
        <d v="1992-03-18T00:00:00"/>
        <d v="1987-07-22T00:00:00"/>
        <d v="1987-04-04T00:00:00"/>
        <d v="1989-09-16T00:00:00"/>
        <d v="1984-11-18T00:00:00"/>
        <d v="1986-01-14T00:00:00"/>
        <d v="1984-04-17T00:00:00"/>
        <d v="1989-05-16T00:00:00"/>
        <d v="1987-03-17T00:00:00"/>
        <d v="1985-04-08T00:00:00"/>
        <d v="1984-07-19T00:00:00"/>
        <d v="1987-12-08T00:00:00"/>
        <d v="1987-11-26T00:00:00"/>
        <d v="1989-05-13T00:00:00"/>
        <d v="1983-12-05T00:00:00"/>
        <d v="1984-07-14T00:00:00"/>
        <d v="1984-11-22T00:00:00"/>
        <d v="1992-10-04T00:00:00"/>
        <d v="1990-07-29T00:00:00"/>
        <d v="1985-06-30T00:00:00"/>
        <d v="1985-02-23T00:00:00"/>
        <d v="1984-10-05T00:00:00"/>
        <d v="1991-09-11T00:00:00"/>
        <d v="1984-01-27T00:00:00"/>
        <d v="1985-04-25T00:00:00"/>
        <d v="1989-02-11T00:00:00"/>
        <d v="1991-03-23T00:00:00"/>
        <d v="1984-03-28T00:00:00"/>
        <d v="1984-10-17T00:00:00"/>
        <d v="1988-03-20T00:00:00"/>
        <d v="1992-05-24T00:00:00"/>
        <d v="1984-05-23T00:00:00"/>
        <d v="1990-11-03T00:00:00"/>
        <d v="1990-10-06T00:00:00"/>
        <d v="1986-06-20T00:00:00"/>
        <d v="1985-02-08T00:00:00"/>
        <d v="1986-12-06T00:00:00"/>
        <d v="1984-09-28T00:00:00"/>
        <d v="1988-06-20T00:00:00"/>
        <d v="1984-10-08T00:00:00"/>
        <d v="1992-04-20T00:00:00"/>
        <d v="1989-03-16T00:00:00"/>
        <d v="1992-09-02T00:00:00"/>
        <d v="1988-07-10T00:00:00"/>
        <d v="1988-02-01T00:00:00"/>
        <d v="1987-02-06T00:00:00"/>
        <d v="1985-04-04T00:00:00"/>
        <d v="1986-06-02T00:00:00"/>
        <d v="1989-01-07T00:00:00"/>
        <d v="1984-02-08T00:00:00"/>
        <d v="1984-09-16T00:00:00"/>
        <d v="1986-10-29T00:00:00"/>
        <d v="1984-08-20T00:00:00"/>
        <d v="1988-09-02T00:00:00"/>
        <d v="1986-05-13T00:00:00"/>
        <d v="1987-09-30T00:00:00"/>
        <d v="1986-11-14T00:00:00"/>
        <d v="1991-08-01T00:00:00"/>
        <d v="1989-01-05T00:00:00"/>
        <d v="1990-08-14T00:00:00"/>
        <d v="1992-03-09T00:00:00"/>
        <d v="1990-08-05T00:00:00"/>
        <d v="1991-07-21T00:00:00"/>
        <d v="1984-09-08T00:00:00"/>
        <d v="1992-05-25T00:00:00"/>
        <d v="1991-08-18T00:00:00"/>
        <d v="1987-03-06T00:00:00"/>
        <d v="1984-08-26T00:00:00"/>
        <d v="1984-03-03T00:00:00"/>
        <d v="1988-05-20T00:00:00"/>
        <d v="1991-09-25T00:00:00"/>
        <d v="1987-02-21T00:00:00"/>
        <d v="1987-07-30T00:00:00"/>
        <d v="1992-09-10T00:00:00"/>
        <d v="1990-03-10T00:00:00"/>
        <d v="1992-04-03T00:00:00"/>
        <d v="1988-07-13T00:00:00"/>
        <d v="1988-04-04T00:00:00"/>
        <d v="1985-06-11T00:00:00"/>
        <d v="1990-10-08T00:00:00"/>
        <d v="1985-06-24T00:00:00"/>
        <d v="1991-07-01T00:00:00"/>
        <d v="1992-07-07T00:00:00"/>
        <d v="1986-09-29T00:00:00"/>
        <d v="1986-06-14T00:00:00"/>
        <d v="1991-02-16T00:00:00"/>
        <d v="1990-07-07T00:00:00"/>
        <d v="1991-05-30T00:00:00"/>
        <d v="1991-04-16T00:00:00"/>
        <d v="1986-01-01T00:00:00"/>
        <d v="1986-01-07T00:00:00"/>
        <d v="1988-06-05T00:00:00"/>
        <d v="1988-12-21T00:00:00"/>
        <d v="1986-02-28T00:00:00"/>
        <d v="1991-12-25T00:00:00"/>
        <d v="1987-10-16T00:00:00"/>
        <d v="1991-02-11T00:00:00"/>
        <d v="1991-02-22T00:00:00"/>
        <d v="1992-07-18T00:00:00"/>
        <d v="1990-01-13T00:00:00"/>
        <d v="1992-04-23T00:00:00"/>
        <d v="1989-05-29T00:00:00"/>
        <d v="1991-07-09T00:00:00"/>
        <d v="1990-09-14T00:00:00"/>
        <d v="1988-08-06T00:00:00"/>
        <d v="1992-08-03T00:00:00"/>
        <d v="1990-12-04T00:00:00"/>
        <d v="1988-11-18T00:00:00"/>
        <d v="1984-05-27T00:00:00"/>
        <d v="1985-06-10T00:00:00"/>
        <d v="1988-12-29T00:00:00"/>
        <d v="1990-02-05T00:00:00"/>
        <d v="1984-03-27T00:00:00"/>
        <d v="1989-12-18T00:00:00"/>
        <d v="1990-05-18T00:00:00"/>
        <d v="1990-12-13T00:00:00"/>
        <d v="1990-03-31T00:00:00"/>
        <d v="1986-06-17T00:00:00"/>
        <d v="1991-10-25T00:00:00"/>
        <d v="1990-11-22T00:00:00"/>
        <d v="1985-03-05T00:00:00"/>
        <d v="1992-05-03T00:00:00"/>
        <d v="1988-05-26T00:00:00"/>
        <d v="1984-06-26T00:00:00"/>
        <d v="1987-03-09T00:00:00"/>
        <d v="1986-02-16T00:00:00"/>
        <d v="1986-04-20T00:00:00"/>
        <d v="1984-07-22T00:00:00"/>
        <d v="1985-05-18T00:00:00"/>
        <d v="1987-11-04T00:00:00"/>
        <d v="1989-07-10T00:00:00"/>
        <d v="1989-02-05T00:00:00"/>
        <d v="1989-06-17T00:00:00"/>
        <d v="1985-11-23T00:00:00"/>
        <d v="1992-08-11T00:00:00"/>
        <d v="1988-10-17T00:00:00"/>
        <d v="1984-09-23T00:00:00"/>
        <d v="1986-05-11T00:00:00"/>
        <d v="1988-11-02T00:00:00"/>
        <d v="1987-05-29T00:00:00"/>
        <d v="1987-08-31T00:00:00"/>
        <d v="1986-05-14T00:00:00"/>
        <d v="1989-07-14T00:00:00"/>
        <d v="1988-08-23T00:00:00"/>
        <d v="1984-08-27T00:00:00"/>
        <d v="1989-09-08T00:00:00"/>
        <d v="1984-05-07T00:00:00"/>
        <d v="1985-07-29T00:00:00"/>
        <d v="1984-01-24T00:00:00"/>
        <d v="1984-11-08T00:00:00"/>
        <d v="1987-07-18T00:00:00"/>
        <d v="1991-09-08T00:00:00"/>
        <d v="1988-06-16T00:00:00"/>
        <d v="1990-12-22T00:00:00"/>
        <d v="1990-05-22T00:00:00"/>
        <d v="1989-08-28T00:00:00"/>
        <d v="1987-02-01T00:00:00"/>
        <d v="1984-06-25T00:00:00"/>
        <d v="1983-12-29T00:00:00"/>
        <d v="1988-01-12T00:00:00"/>
        <d v="1992-05-16T00:00:00"/>
        <d v="1988-12-10T00:00:00"/>
        <d v="1988-06-15T00:00:00"/>
        <d v="1984-05-19T00:00:00"/>
        <d v="1989-02-08T00:00:00"/>
        <d v="1987-12-18T00:00:00"/>
        <d v="1988-03-02T00:00:00"/>
        <d v="1992-01-05T00:00:00"/>
        <d v="1990-09-29T00:00:00"/>
        <d v="1992-04-27T00:00:00"/>
        <d v="1989-06-12T00:00:00"/>
        <d v="1986-10-10T00:00:00"/>
        <d v="1987-07-26T00:00:00"/>
        <d v="1988-06-14T00:00:00"/>
        <d v="1989-05-02T00:00:00"/>
        <d v="1986-08-26T00:00:00"/>
        <d v="1987-06-04T00:00:00"/>
        <d v="1989-03-20T00:00:00"/>
        <d v="1990-07-27T00:00:00"/>
        <d v="1984-12-16T00:00:00"/>
        <d v="1986-08-20T00:00:00"/>
        <d v="1986-12-10T00:00:00"/>
        <d v="1987-08-07T00:00:00"/>
        <d v="1991-12-10T00:00:00"/>
        <d v="1987-04-21T00:00:00"/>
        <d v="1988-10-07T00:00:00"/>
        <d v="1992-10-08T00:00:00"/>
        <d v="1990-12-09T00:00:00"/>
        <d v="1990-02-15T00:00:00"/>
        <d v="1991-12-24T00:00:00"/>
        <d v="1988-06-27T00:00:00"/>
        <d v="1988-04-09T00:00:00"/>
        <d v="1989-02-20T00:00:00"/>
        <d v="1990-04-06T00:00:00"/>
        <d v="1988-10-10T00:00:00"/>
        <d v="1992-04-14T00:00:00"/>
        <d v="1985-11-22T00:00:00"/>
        <d v="1988-04-05T00:00:00"/>
        <d v="1989-03-06T00:00:00"/>
        <d v="1989-05-27T00:00:00"/>
        <d v="1984-06-13T00:00:00"/>
        <d v="1986-01-16T00:00:00"/>
        <d v="1983-10-31T00:00:00"/>
        <d v="1986-08-03T00:00:00"/>
        <d v="1989-04-16T00:00:00"/>
        <d v="1985-08-26T00:00:00"/>
        <d v="1986-10-02T00:00:00"/>
        <d v="1984-11-14T00:00:00"/>
        <d v="1983-10-14T00:00:00"/>
        <d v="1984-04-26T00:00:00"/>
        <d v="1984-07-18T00:00:00"/>
        <d v="1990-09-07T00:00:00"/>
        <d v="1987-05-24T00:00:00"/>
        <d v="1989-04-09T00:00:00"/>
        <d v="1991-01-13T00:00:00"/>
        <d v="1992-03-02T00:00:00"/>
        <d v="1986-09-25T00:00:00"/>
        <d v="1991-03-08T00:00:00"/>
        <d v="1991-12-19T00:00:00"/>
        <d v="1985-02-04T00:00:00"/>
        <d v="1992-07-09T00:00:00"/>
        <d v="1988-08-14T00:00:00"/>
        <d v="1989-10-08T00:00:00"/>
        <d v="1985-02-11T00:00:00"/>
        <d v="1985-03-17T00:00:00"/>
        <d v="1991-09-24T00:00:00"/>
        <d v="1984-08-10T00:00:00"/>
        <d v="1987-12-13T00:00:00"/>
        <d v="1990-10-27T00:00:00"/>
        <d v="1986-07-02T00:00:00"/>
        <d v="1988-04-22T00:00:00"/>
        <d v="1985-03-25T00:00:00"/>
        <d v="1989-05-07T00:00:00"/>
        <d v="1988-11-20T00:00:00"/>
        <d v="1987-04-09T00:00:00"/>
        <d v="1987-07-11T00:00:00"/>
        <d v="1983-11-16T00:00:00"/>
        <d v="1988-09-22T00:00:00"/>
        <d v="1983-11-18T00:00:00"/>
        <d v="1985-12-11T00:00:00"/>
        <d v="1985-03-15T00:00:00"/>
        <d v="1992-04-13T00:00:00"/>
        <d v="1985-09-30T00:00:00"/>
        <d v="1984-02-15T00:00:00"/>
        <d v="1989-09-25T00:00:00"/>
        <d v="1985-07-16T00:00:00"/>
        <d v="1988-09-24T00:00:00"/>
        <d v="1988-09-17T00:00:00"/>
        <d v="1990-04-09T00:00:00"/>
        <d v="1983-12-15T00:00:00"/>
        <d v="1992-03-23T00:00:00"/>
        <d v="1992-04-06T00:00:00"/>
        <d v="1987-11-06T00:00:00"/>
        <d v="1989-09-26T00:00:00"/>
        <d v="1991-11-20T00:00:00"/>
        <d v="1989-09-18T00:00:00"/>
        <d v="1986-09-04T00:00:00"/>
        <d v="1988-09-29T00:00:00"/>
        <d v="1990-05-23T00:00:00"/>
        <d v="1992-04-07T00:00:00"/>
        <d v="1985-08-22T00:00:00"/>
        <d v="1987-11-15T00:00:00"/>
        <d v="1991-02-23T00:00:00"/>
        <d v="1986-12-22T00:00:00"/>
        <d v="1991-06-08T00:00:00"/>
        <d v="1992-06-30T00:00:00"/>
        <d v="1987-06-20T00:00:00"/>
        <d v="1985-10-25T00:00:00"/>
        <d v="1984-07-05T00:00:00"/>
        <d v="1987-06-15T00:00:00"/>
        <d v="1984-03-30T00:00:00"/>
        <d v="1992-04-05T00:00:00"/>
        <d v="1985-02-12T00:00:00"/>
        <d v="1989-01-28T00:00:00"/>
        <d v="1990-03-22T00:00:00"/>
        <d v="1991-01-23T00:00:00"/>
        <d v="1992-07-06T00:00:00"/>
        <d v="1990-12-25T00:00:00"/>
        <d v="1989-06-29T00:00:00"/>
        <d v="1988-07-30T00:00:00"/>
        <d v="1988-06-21T00:00:00"/>
        <d v="1985-11-18T00:00:00"/>
        <d v="1987-03-28T00:00:00"/>
        <d v="1992-01-18T00:00:00"/>
        <d v="1986-08-01T00:00:00"/>
        <d v="1986-11-02T00:00:00"/>
        <d v="1992-03-04T00:00:00"/>
        <d v="1992-06-27T00:00:00"/>
        <d v="1987-12-05T00:00:00"/>
        <d v="1984-05-25T00:00:00"/>
        <d v="1985-09-26T00:00:00"/>
        <d v="1985-02-03T00:00:00"/>
        <d v="1991-09-05T00:00:00"/>
        <d v="1984-07-27T00:00:00"/>
        <d v="1988-11-11T00:00:00"/>
        <d v="1984-08-21T00:00:00"/>
        <d v="1984-09-05T00:00:00"/>
        <d v="1991-12-18T00:00:00"/>
        <d v="1986-05-08T00:00:00"/>
        <d v="1988-05-15T00:00:00"/>
        <d v="1989-08-01T00:00:00"/>
        <d v="1985-07-27T00:00:00"/>
        <d v="1984-07-11T00:00:00"/>
        <d v="1992-05-02T00:00:00"/>
        <d v="1989-01-11T00:00:00"/>
        <d v="1991-10-19T00:00:00"/>
        <d v="1991-12-01T00:00:00"/>
        <d v="1987-06-05T00:00:00"/>
        <d v="1992-10-03T00:00:00"/>
        <d v="1989-03-23T00:00:00"/>
        <d v="1989-05-08T00:00:00"/>
        <d v="1987-10-19T00:00:00"/>
        <d v="1987-05-22T00:00:00"/>
        <d v="1989-05-26T00:00:00"/>
        <d v="1990-02-20T00:00:00"/>
        <d v="1992-03-31T00:00:00"/>
        <d v="1991-05-23T00:00:00"/>
        <d v="1988-04-23T00:00:00"/>
        <d v="1986-07-12T00:00:00"/>
        <d v="1989-10-23T00:00:00"/>
        <d v="1992-02-20T00:00:00"/>
        <d v="1991-11-24T00:00:00"/>
        <d v="1989-07-16T00:00:00"/>
        <d v="1986-03-26T00:00:00"/>
        <d v="1985-08-20T00:00:00"/>
        <d v="1992-02-15T00:00:00"/>
        <d v="1988-03-03T00:00:00"/>
        <d v="1985-07-07T00:00:00"/>
        <d v="1992-02-17T00:00:00"/>
        <d v="1991-04-26T00:00:00"/>
        <d v="1986-03-17T00:00:00"/>
        <d v="1987-11-03T00:00:00"/>
        <d v="1987-12-24T00:00:00"/>
        <d v="1991-07-22T00:00:00"/>
        <d v="1984-09-06T00:00:00"/>
        <d v="1983-11-26T00:00:00"/>
        <d v="1992-01-25T00:00:00"/>
        <d v="1990-12-26T00:00:00"/>
        <d v="1988-11-29T00:00:00"/>
        <d v="1988-03-28T00:00:00"/>
        <d v="1983-11-11T00:00:00"/>
        <d v="1985-09-03T00:00:00"/>
        <d v="1986-11-22T00:00:00"/>
        <d v="1987-09-06T00:00:00"/>
        <d v="1992-01-11T00:00:00"/>
        <d v="1990-11-23T00:00:00"/>
        <d v="1992-02-14T00:00:00"/>
        <d v="1990-04-08T00:00:00"/>
        <d v="1992-09-04T00:00:00"/>
        <d v="1992-05-11T00:00:00"/>
        <d v="1986-07-06T00:00:00"/>
        <d v="1992-01-20T00:00:00"/>
        <d v="1985-03-10T00:00:00"/>
        <d v="1986-01-20T00:00:00"/>
        <d v="1991-12-06T00:00:00"/>
        <d v="1987-04-28T00:00:00"/>
        <d v="1987-07-21T00:00:00"/>
        <d v="1990-03-05T00:00:00"/>
        <d v="1990-03-24T00:00:00"/>
        <d v="1992-05-20T00:00:00"/>
        <d v="1986-08-30T00:00:00"/>
        <d v="1988-11-04T00:00:00"/>
        <d v="1984-05-18T00:00:00"/>
        <d v="1987-05-15T00:00:00"/>
        <d v="1989-01-16T00:00:00"/>
        <d v="1989-07-07T00:00:00"/>
        <d v="1992-03-03T00:00:00"/>
        <d v="1985-07-04T00:00:00"/>
        <d v="1988-08-25T00:00:00"/>
        <d v="1991-05-13T00:00:00"/>
        <d v="1985-03-04T00:00:00"/>
        <d v="1985-06-05T00:00:00"/>
        <d v="1983-12-06T00:00:00"/>
        <d v="1990-08-31T00:00:00"/>
        <d v="1986-05-15T00:00:00"/>
        <d v="1985-06-17T00:00:00"/>
        <d v="1992-03-20T00:00:00"/>
        <d v="1988-06-24T00:00:00"/>
        <d v="1986-09-27T00:00:00"/>
        <d v="1985-05-06T00:00:00"/>
        <d v="1990-01-31T00:00:00"/>
        <d v="1984-02-27T00:00:00"/>
        <d v="1989-11-28T00:00:00"/>
        <d v="1987-08-05T00:00:00"/>
        <d v="1985-04-12T00:00:00"/>
        <d v="1986-12-23T00:00:00"/>
        <d v="1987-04-07T00:00:00"/>
        <d v="1986-06-30T00:00:00"/>
        <d v="1988-05-04T00:00:00"/>
        <d v="1989-05-15T00:00:00"/>
        <d v="1991-10-21T00:00:00"/>
        <d v="1991-09-21T00:00:00"/>
        <d v="1986-08-28T00:00:00"/>
        <d v="1986-09-16T00:00:00"/>
        <d v="1987-04-26T00:00:00"/>
        <d v="1985-11-04T00:00:00"/>
        <d v="1987-11-07T00:00:00"/>
        <d v="1984-01-05T00:00:00"/>
        <d v="1986-04-18T00:00:00"/>
        <d v="1987-03-27T00:00:00"/>
        <d v="1988-11-26T00:00:00"/>
        <d v="1988-03-18T00:00:00"/>
        <d v="1988-05-19T00:00:00"/>
        <d v="1989-08-18T00:00:00"/>
        <d v="1991-11-02T00:00:00"/>
        <d v="1987-07-07T00:00:00"/>
        <d v="1987-02-16T00:00:00"/>
        <d v="1992-07-16T00:00:00"/>
        <d v="1989-11-22T00:00:00"/>
        <d v="1990-10-31T00:00:00"/>
        <d v="1985-07-06T00:00:00"/>
        <d v="1988-06-25T00:00:00"/>
        <d v="1984-05-11T00:00:00"/>
        <d v="1992-01-28T00:00:00"/>
        <d v="1992-09-08T00:00:00"/>
        <d v="1986-05-30T00:00:00"/>
        <d v="1987-03-30T00:00:00"/>
        <d v="1986-07-11T00:00:00"/>
        <d v="1985-05-04T00:00:00"/>
        <d v="1991-11-30T00:00:00"/>
        <d v="1986-05-06T00:00:00"/>
        <d v="1986-03-15T00:00:00"/>
        <d v="1989-12-10T00:00:00"/>
        <d v="1987-09-13T00:00:00"/>
        <d v="1991-11-13T00:00:00"/>
        <d v="1988-10-05T00:00:00"/>
        <d v="1984-02-01T00:00:00"/>
        <d v="1990-12-06T00:00:00"/>
        <d v="1987-10-15T00:00:00"/>
        <d v="1984-09-15T00:00:00"/>
        <d v="1992-05-17T00:00:00"/>
        <d v="1988-07-20T00:00:00"/>
        <d v="1992-09-09T00:00:00"/>
        <d v="1987-09-22T00:00:00"/>
        <d v="1988-04-13T00:00:00"/>
        <d v="1991-12-29T00:00:00"/>
        <d v="1991-04-18T00:00:00"/>
        <d v="1988-10-03T00:00:00"/>
        <d v="1986-03-28T00:00:00"/>
        <d v="1985-12-14T00:00:00"/>
        <d v="1989-12-05T00:00:00"/>
        <d v="1992-03-22T00:00:00"/>
        <d v="1987-02-15T00:00:00"/>
        <d v="1986-09-13T00:00:00"/>
        <d v="1990-02-13T00:00:00"/>
        <d v="1992-08-09T00:00:00"/>
        <d v="1986-05-29T00:00:00"/>
        <d v="1992-03-21T00:00:00"/>
        <d v="1992-03-08T00:00:00"/>
        <d v="1987-03-19T00:00:00"/>
        <d v="1988-07-08T00:00:00"/>
        <d v="1983-11-23T00:00:00"/>
        <d v="1991-05-07T00:00:00"/>
        <d v="1984-05-14T00:00:00"/>
        <d v="1992-08-22T00:00:00"/>
        <d v="1984-01-30T00:00:00"/>
        <d v="1984-07-20T00:00:00"/>
        <d v="1991-10-20T00:00:00"/>
        <d v="1983-11-14T00:00:00"/>
        <d v="1986-11-23T00:00:00"/>
        <d v="1984-06-21T00:00:00"/>
        <d v="1989-09-09T00:00:00"/>
        <d v="1990-07-12T00:00:00"/>
        <d v="1991-05-24T00:00:00"/>
        <d v="1989-05-28T00:00:00"/>
        <d v="1990-08-12T00:00:00"/>
        <d v="1989-12-01T00:00:00"/>
        <d v="1990-03-20T00:00:00"/>
        <d v="1987-02-18T00:00:00"/>
        <d v="1984-02-12T00:00:00"/>
        <d v="1985-07-14T00:00:00"/>
        <d v="1987-12-12T00:00:00"/>
        <d v="1986-10-31T00:00:00"/>
        <d v="1990-03-08T00:00:00"/>
        <d v="1990-11-19T00:00:00"/>
        <d v="1985-10-29T00:00:00"/>
        <d v="1987-06-10T00:00:00"/>
        <d v="1989-12-29T00:00:00"/>
        <d v="1992-08-30T00:00:00"/>
        <d v="1989-03-21T00:00:00"/>
        <d v="1990-05-15T00:00:00"/>
        <d v="1991-09-06T00:00:00"/>
        <d v="1991-04-03T00:00:00"/>
        <d v="1989-09-11T00:00:00"/>
        <d v="1987-07-10T00:00:00"/>
        <d v="1985-04-19T00:00:00"/>
        <d v="1989-11-26T00:00:00"/>
        <d v="1992-02-27T00:00:00"/>
        <d v="1992-01-17T00:00:00"/>
        <d v="1989-06-08T00:00:00"/>
        <d v="1990-09-21T00:00:00"/>
        <d v="1989-01-22T00:00:00"/>
        <d v="1991-01-29T00:00:00"/>
        <d v="1986-08-12T00:00:00"/>
        <d v="1988-07-16T00:00:00"/>
        <d v="1991-12-08T00:00:00"/>
        <d v="1984-05-04T00:00:00"/>
        <d v="1987-07-06T00:00:00"/>
        <d v="1984-10-07T00:00:00"/>
        <d v="1989-08-12T00:00:00"/>
        <d v="1985-06-08T00:00:00"/>
        <d v="1988-02-07T00:00:00"/>
        <d v="1992-07-23T00:00:00"/>
        <d v="1985-05-12T00:00:00"/>
        <d v="1985-03-31T00:00:00"/>
        <d v="1986-01-10T00:00:00"/>
        <d v="1991-02-01T00:00:00"/>
        <d v="1991-05-12T00:00:00"/>
        <d v="1992-02-25T00:00:00"/>
        <d v="1984-02-20T00:00:00"/>
        <d v="1992-03-27T00:00:00"/>
        <d v="1984-06-29T00:00:00"/>
        <d v="1986-05-03T00:00:00"/>
        <d v="1988-12-07T00:00:00"/>
        <d v="1987-08-22T00:00:00"/>
        <d v="1988-06-11T00:00:00"/>
        <d v="1990-08-20T00:00:00"/>
        <d v="1988-12-25T00:00:00"/>
        <d v="1988-10-28T00:00:00"/>
        <d v="1985-05-17T00:00:00"/>
        <d v="1985-01-03T00:00:00"/>
        <d v="1991-01-21T00:00:00"/>
        <d v="1984-01-19T00:00:00"/>
        <d v="1983-11-21T00:00:00"/>
        <d v="1990-02-18T00:00:00"/>
        <d v="1985-01-23T00:00:00"/>
        <d v="1984-01-11T00:00:00"/>
        <d v="1988-02-23T00:00:00"/>
        <d v="1990-06-06T00:00:00"/>
        <d v="1991-04-15T00:00:00"/>
        <d v="1991-11-10T00:00:00"/>
        <d v="1991-08-20T00:00:00"/>
        <d v="1990-05-26T00:00:00"/>
        <d v="1985-11-26T00:00:00"/>
        <d v="1987-01-08T00:00:00"/>
        <d v="1990-03-30T00:00:00"/>
        <d v="1992-10-01T00:00:00"/>
        <d v="1984-12-30T00:00:00"/>
        <d v="1985-09-29T00:00:00"/>
        <d v="1991-01-12T00:00:00"/>
        <d v="1985-06-22T00:00:00"/>
        <d v="1988-04-29T00:00:00"/>
        <d v="1986-11-20T00:00:00"/>
        <d v="1992-09-07T00:00:00"/>
        <d v="1992-03-19T00:00:00"/>
        <d v="1984-11-29T00:00:00"/>
        <d v="1990-09-26T00:00:00"/>
        <d v="1990-04-12T00:00:00"/>
        <d v="1986-01-25T00:00:00"/>
        <d v="1984-03-26T00:00:00"/>
        <d v="1990-09-03T00:00:00"/>
        <d v="1986-04-25T00:00:00"/>
        <d v="1987-05-20T00:00:00"/>
        <d v="1986-04-15T00:00:00"/>
        <d v="1991-07-30T00:00:00"/>
        <d v="1989-10-20T00:00:00"/>
        <d v="1988-01-07T00:00:00"/>
        <d v="1984-09-14T00:00:00"/>
        <d v="1988-01-19T00:00:00"/>
        <d v="1992-05-23T00:00:00"/>
        <d v="1990-01-19T00:00:00"/>
        <d v="1992-05-04T00:00:00"/>
        <d v="1986-05-31T00:00:00"/>
        <d v="1991-02-21T00:00:00"/>
        <d v="1986-09-09T00:00:00"/>
        <d v="1992-02-28T00:00:00"/>
        <d v="1989-03-28T00:00:00"/>
        <d v="1987-09-05T00:00:00"/>
        <d v="1985-09-21T00:00:00"/>
        <d v="1989-11-06T00:00:00"/>
        <d v="1988-11-13T00:00:00"/>
        <d v="1988-01-17T00:00:00"/>
        <d v="1991-07-31T00:00:00"/>
        <d v="1987-11-09T00:00:00"/>
        <d v="1984-01-29T00:00:00"/>
        <d v="1986-02-11T00:00:00"/>
        <d v="1990-03-23T00:00:00"/>
        <d v="1986-11-18T00:00:00"/>
        <d v="1985-10-28T00:00:00"/>
        <d v="1986-04-12T00:00:00"/>
        <d v="1991-03-06T00:00:00"/>
        <d v="1985-05-22T00:00:00"/>
        <d v="1991-11-25T00:00:00"/>
        <d v="1991-12-13T00:00:00"/>
        <d v="1991-09-13T00:00:00"/>
        <d v="1984-02-02T00:00:00"/>
        <d v="1989-01-02T00:00:00"/>
        <d v="1986-12-02T00:00:00"/>
        <d v="1986-04-07T00:00:00"/>
        <d v="1989-11-24T00:00:00"/>
        <d v="1989-07-18T00:00:00"/>
        <d v="1992-08-14T00:00:00"/>
        <d v="1992-06-18T00:00:00"/>
        <d v="1987-11-28T00:00:00"/>
        <d v="1984-04-29T00:00:00"/>
        <d v="1983-10-17T00:00:00"/>
        <d v="1987-12-17T00:00:00"/>
        <d v="1991-10-04T00:00:00"/>
        <d v="1986-09-20T00:00:00"/>
        <d v="1983-10-15T00:00:00"/>
        <d v="1991-07-16T00:00:00"/>
        <d v="1987-02-28T00:00:00"/>
        <d v="1986-07-22T00:00:00"/>
        <d v="1992-05-19T00:00:00"/>
        <d v="1986-07-24T00:00:00"/>
        <d v="1986-04-17T00:00:00"/>
        <d v="1986-01-26T00:00:00"/>
        <d v="1991-10-10T00:00:00"/>
        <d v="1984-12-15T00:00:00"/>
        <d v="1988-04-27T00:00:00"/>
        <d v="1991-08-04T00:00:00"/>
        <d v="1989-11-11T00:00:00"/>
        <d v="1987-07-01T00:00:00"/>
        <d v="1991-09-10T00:00:00"/>
        <d v="1990-09-11T00:00:00"/>
        <d v="1987-05-16T00:00:00"/>
        <d v="1986-07-16T00:00:00"/>
        <d v="1983-10-20T00:00:00"/>
        <d v="1992-09-26T00:00:00"/>
        <d v="1984-04-28T00:00:00"/>
        <d v="1986-01-06T00:00:00"/>
        <d v="1989-11-03T00:00:00"/>
        <d v="1986-01-19T00:00:00"/>
        <d v="1990-11-15T00:00:00"/>
        <d v="1987-09-01T00:00:00"/>
        <d v="1984-04-30T00:00:00"/>
        <d v="1991-03-02T00:00:00"/>
        <d v="1985-12-23T00:00:00"/>
        <d v="1987-07-15T00:00:00"/>
        <d v="1990-09-02T00:00:00"/>
        <d v="1992-07-11T00:00:00"/>
        <d v="1985-01-10T00:00:00"/>
        <d v="1989-10-18T00:00:00"/>
        <d v="1985-07-28T00:00:00"/>
        <d v="1992-09-12T00:00:00"/>
        <d v="1983-12-10T00:00:00"/>
        <d v="1988-11-01T00:00:00"/>
        <d v="1992-07-29T00:00:00"/>
        <d v="1984-11-10T00:00:00"/>
        <d v="1985-07-21T00:00:00"/>
        <d v="1983-11-08T00:00:00"/>
        <d v="1990-11-09T00:00:00"/>
        <d v="1983-11-17T00:00:00"/>
        <d v="1985-09-07T00:00:00"/>
        <d v="1989-06-21T00:00:00"/>
        <d v="1992-01-27T00:00:00"/>
        <d v="1984-03-10T00:00:00"/>
        <d v="1986-08-16T00:00:00"/>
        <d v="1985-01-26T00:00:00"/>
        <d v="1985-12-07T00:00:00"/>
        <d v="1987-12-26T00:00:00"/>
        <d v="1987-12-03T00:00:00"/>
        <d v="1984-04-19T00:00:00"/>
        <d v="1989-11-10T00:00:00"/>
        <d v="1984-11-15T00:00:00"/>
        <d v="1991-01-31T00:00:00"/>
        <d v="1984-02-19T00:00:00"/>
        <d v="1989-08-11T00:00:00"/>
        <d v="1987-11-30T00:00:00"/>
        <d v="1984-08-29T00:00:00"/>
        <d v="1989-11-09T00:00:00"/>
        <d v="1983-12-02T00:00:00"/>
        <d v="1987-05-11T00:00:00"/>
        <d v="1985-07-19T00:00:00"/>
        <d v="1989-07-28T00:00:00"/>
        <d v="1989-11-23T00:00:00"/>
        <d v="1986-09-12T00:00:00"/>
        <d v="1986-03-22T00:00:00"/>
        <d v="1988-11-25T00:00:00"/>
        <d v="1991-08-26T00:00:00"/>
        <d v="1991-09-03T00:00:00"/>
        <d v="1984-08-19T00:00:00"/>
        <d v="1989-07-04T00:00:00"/>
        <d v="1988-02-25T00:00:00"/>
        <d v="1988-12-02T00:00:00"/>
        <d v="1988-07-06T00:00:00"/>
        <d v="1984-03-19T00:00:00"/>
        <d v="1989-04-25T00:00:00"/>
        <d v="1985-06-15T00:00:00"/>
        <d v="1989-07-22T00:00:00"/>
        <d v="1985-08-16T00:00:00"/>
        <d v="1987-11-22T00:00:00"/>
        <d v="1983-11-30T00:00:00"/>
        <d v="1989-09-19T00:00:00"/>
        <d v="1985-06-04T00:00:00"/>
        <d v="1991-12-30T00:00:00"/>
        <d v="1985-10-13T00:00:00"/>
        <d v="1990-05-06T00:00:00"/>
        <d v="1985-05-29T00:00:00"/>
        <d v="1992-01-23T00:00:00"/>
        <d v="1989-02-16T00:00:00"/>
        <d v="1989-04-24T00:00:00"/>
        <d v="1988-07-23T00:00:00"/>
        <d v="1985-08-02T00:00:00"/>
        <d v="1985-04-15T00:00:00"/>
        <d v="1985-10-06T00:00:00"/>
        <d v="1990-09-09T00:00:00"/>
        <d v="1987-04-14T00:00:00"/>
        <d v="1990-11-18T00:00:00"/>
        <d v="1992-08-05T00:00:00"/>
        <d v="1990-08-19T00:00:00"/>
        <d v="1984-04-04T00:00:00"/>
        <d v="1985-12-17T00:00:00"/>
        <d v="1984-12-05T00:00:00"/>
        <d v="1986-03-27T00:00:00"/>
        <d v="1986-06-23T00:00:00"/>
        <d v="1986-03-29T00:00:00"/>
        <d v="1985-10-08T00:00:00"/>
        <d v="1987-01-02T00:00:00"/>
        <d v="1985-07-18T00:00:00"/>
        <d v="1986-01-27T00:00:00"/>
        <d v="1987-09-02T00:00:00"/>
        <d v="1983-10-19T00:00:00"/>
        <d v="1988-12-27T00:00:00"/>
        <d v="1989-10-15T00:00:00"/>
        <d v="1992-06-03T00:00:00"/>
        <d v="1992-08-08T00:00:00"/>
        <d v="1990-04-01T00:00:00"/>
        <d v="1991-04-21T00:00:00"/>
        <d v="1992-08-18T00:00:00"/>
        <d v="1987-07-03T00:00:00"/>
        <d v="1989-02-17T00:00:00"/>
        <d v="1991-04-28T00:00:00"/>
        <d v="1992-01-09T00:00:00"/>
        <d v="1988-08-20T00:00:00"/>
        <d v="1991-05-27T00:00:00"/>
        <d v="1989-04-21T00:00:00"/>
        <d v="1987-12-10T00:00:00"/>
        <d v="1984-07-03T00:00:00"/>
        <d v="1988-02-11T00:00:00"/>
        <d v="1982-09-29T00:00:00"/>
        <d v="1983-02-11T00:00:00"/>
        <d v="1974-11-16T00:00:00"/>
        <d v="1982-01-21T00:00:00"/>
        <d v="1981-03-28T00:00:00"/>
        <d v="1981-10-05T00:00:00"/>
        <d v="1983-01-03T00:00:00"/>
        <d v="1978-12-14T00:00:00"/>
        <d v="1980-07-28T00:00:00"/>
        <d v="1983-04-28T00:00:00"/>
        <d v="1976-03-01T00:00:00"/>
        <d v="1983-02-12T00:00:00"/>
        <d v="1976-05-16T00:00:00"/>
        <d v="1974-10-31T00:00:00"/>
        <d v="1982-07-04T00:00:00"/>
        <d v="1979-11-29T00:00:00"/>
        <d v="1983-05-25T00:00:00"/>
        <d v="1977-04-07T00:00:00"/>
        <d v="1982-04-24T00:00:00"/>
        <d v="1975-04-06T00:00:00"/>
        <d v="1978-05-20T00:00:00"/>
        <d v="1979-06-11T00:00:00"/>
        <d v="1982-04-19T00:00:00"/>
        <d v="1979-11-13T00:00:00"/>
        <d v="1977-09-02T00:00:00"/>
        <d v="1982-06-11T00:00:00"/>
        <d v="1981-06-22T00:00:00"/>
        <d v="1983-02-05T00:00:00"/>
        <d v="1983-06-30T00:00:00"/>
        <d v="1980-06-19T00:00:00"/>
        <d v="1983-07-18T00:00:00"/>
        <d v="1975-03-13T00:00:00"/>
        <d v="1981-02-17T00:00:00"/>
        <d v="1983-09-24T00:00:00"/>
        <d v="1975-12-10T00:00:00"/>
        <d v="1980-10-16T00:00:00"/>
        <d v="1979-02-05T00:00:00"/>
        <d v="1977-10-22T00:00:00"/>
        <d v="1978-05-04T00:00:00"/>
        <d v="1976-11-23T00:00:00"/>
        <d v="1979-05-25T00:00:00"/>
        <d v="1980-08-08T00:00:00"/>
        <d v="1983-05-06T00:00:00"/>
        <d v="1978-03-18T00:00:00"/>
        <d v="1976-01-20T00:00:00"/>
        <d v="1980-12-17T00:00:00"/>
        <d v="1981-01-01T00:00:00"/>
        <d v="1981-05-03T00:00:00"/>
        <d v="1978-11-17T00:00:00"/>
        <d v="1981-01-16T00:00:00"/>
        <d v="1982-03-01T00:00:00"/>
        <d v="1979-06-17T00:00:00"/>
        <d v="1977-01-14T00:00:00"/>
        <d v="1983-08-30T00:00:00"/>
        <d v="1983-09-26T00:00:00"/>
        <d v="1982-12-12T00:00:00"/>
        <d v="1982-03-14T00:00:00"/>
        <d v="1982-08-28T00:00:00"/>
        <d v="1981-07-18T00:00:00"/>
        <d v="1982-11-08T00:00:00"/>
        <d v="1980-08-19T00:00:00"/>
        <d v="1975-05-28T00:00:00"/>
        <d v="1976-05-09T00:00:00"/>
        <d v="1982-10-13T00:00:00"/>
        <d v="1983-06-21T00:00:00"/>
        <d v="1977-09-07T00:00:00"/>
        <d v="1980-11-25T00:00:00"/>
        <d v="1979-10-30T00:00:00"/>
        <d v="1982-12-31T00:00:00"/>
        <d v="1978-11-12T00:00:00"/>
        <d v="1976-08-01T00:00:00"/>
        <d v="1980-04-15T00:00:00"/>
        <d v="1976-10-29T00:00:00"/>
        <d v="1977-03-12T00:00:00"/>
        <d v="1976-07-30T00:00:00"/>
        <d v="1982-05-27T00:00:00"/>
        <d v="1980-03-02T00:00:00"/>
        <d v="1975-03-18T00:00:00"/>
        <d v="1976-11-22T00:00:00"/>
        <d v="1975-09-29T00:00:00"/>
        <d v="1977-05-13T00:00:00"/>
        <d v="1983-05-04T00:00:00"/>
        <d v="1976-08-05T00:00:00"/>
        <d v="1977-12-23T00:00:00"/>
        <d v="1980-07-25T00:00:00"/>
        <d v="1982-05-23T00:00:00"/>
        <d v="1980-04-04T00:00:00"/>
        <d v="1978-05-28T00:00:00"/>
        <d v="1981-08-03T00:00:00"/>
        <d v="1976-12-25T00:00:00"/>
        <d v="1979-02-22T00:00:00"/>
        <d v="1983-04-04T00:00:00"/>
        <d v="1982-09-02T00:00:00"/>
        <d v="1980-07-31T00:00:00"/>
        <d v="1982-09-03T00:00:00"/>
        <d v="1978-01-23T00:00:00"/>
        <d v="1975-08-21T00:00:00"/>
        <d v="1982-05-06T00:00:00"/>
        <d v="1975-07-24T00:00:00"/>
        <d v="1978-05-10T00:00:00"/>
        <d v="1981-12-05T00:00:00"/>
        <d v="1980-01-09T00:00:00"/>
        <d v="1979-09-30T00:00:00"/>
        <d v="1976-09-20T00:00:00"/>
        <d v="1978-01-21T00:00:00"/>
        <d v="1975-10-12T00:00:00"/>
        <d v="1978-01-24T00:00:00"/>
        <d v="1980-08-11T00:00:00"/>
        <d v="1981-06-21T00:00:00"/>
        <d v="1977-03-05T00:00:00"/>
        <d v="1980-08-14T00:00:00"/>
        <d v="1980-07-20T00:00:00"/>
        <d v="1974-12-01T00:00:00"/>
        <d v="1983-08-11T00:00:00"/>
        <d v="1980-02-15T00:00:00"/>
        <d v="1978-01-04T00:00:00"/>
        <d v="1975-05-19T00:00:00"/>
        <d v="1981-01-11T00:00:00"/>
        <d v="1979-12-20T00:00:00"/>
        <d v="1975-03-19T00:00:00"/>
        <d v="1981-05-17T00:00:00"/>
        <d v="1980-09-10T00:00:00"/>
        <d v="1980-05-01T00:00:00"/>
        <d v="1980-10-30T00:00:00"/>
        <d v="1978-01-02T00:00:00"/>
        <d v="1975-08-24T00:00:00"/>
        <d v="1980-10-11T00:00:00"/>
        <d v="1981-01-14T00:00:00"/>
        <d v="1976-03-29T00:00:00"/>
        <d v="1980-02-12T00:00:00"/>
        <d v="1979-01-03T00:00:00"/>
        <d v="1983-01-29T00:00:00"/>
        <d v="1976-04-05T00:00:00"/>
        <d v="1978-12-06T00:00:00"/>
        <d v="1982-02-25T00:00:00"/>
        <d v="1981-10-04T00:00:00"/>
        <d v="1978-02-21T00:00:00"/>
        <d v="1975-08-30T00:00:00"/>
        <d v="1976-11-21T00:00:00"/>
        <d v="1983-03-30T00:00:00"/>
        <d v="1975-04-28T00:00:00"/>
        <d v="1983-06-29T00:00:00"/>
        <d v="1978-01-03T00:00:00"/>
        <d v="1979-08-12T00:00:00"/>
        <d v="1983-01-24T00:00:00"/>
        <d v="1979-01-02T00:00:00"/>
        <d v="1978-03-03T00:00:00"/>
        <d v="1979-05-21T00:00:00"/>
        <d v="1981-03-26T00:00:00"/>
        <d v="1980-03-11T00:00:00"/>
        <d v="1978-03-04T00:00:00"/>
        <d v="1979-12-05T00:00:00"/>
        <d v="1983-06-02T00:00:00"/>
        <d v="1976-09-02T00:00:00"/>
        <d v="1982-10-15T00:00:00"/>
        <d v="1981-08-22T00:00:00"/>
        <d v="1975-01-19T00:00:00"/>
        <d v="1981-02-05T00:00:00"/>
        <d v="1978-03-09T00:00:00"/>
        <d v="1975-12-08T00:00:00"/>
        <d v="1980-06-27T00:00:00"/>
        <d v="1982-05-24T00:00:00"/>
        <d v="1983-06-17T00:00:00"/>
        <d v="1974-12-16T00:00:00"/>
        <d v="1979-01-18T00:00:00"/>
        <d v="1982-11-12T00:00:00"/>
        <d v="1979-04-05T00:00:00"/>
        <d v="1977-01-16T00:00:00"/>
        <d v="1978-12-13T00:00:00"/>
        <d v="1983-03-06T00:00:00"/>
        <d v="1983-07-04T00:00:00"/>
        <d v="1983-06-12T00:00:00"/>
        <d v="1978-11-18T00:00:00"/>
        <d v="1982-02-07T00:00:00"/>
        <d v="1977-12-12T00:00:00"/>
        <d v="1983-07-05T00:00:00"/>
        <d v="1980-02-23T00:00:00"/>
        <d v="1982-07-24T00:00:00"/>
        <d v="1981-09-17T00:00:00"/>
        <d v="1974-12-18T00:00:00"/>
        <d v="1982-12-28T00:00:00"/>
        <d v="1978-02-06T00:00:00"/>
        <d v="1979-02-20T00:00:00"/>
        <d v="1977-01-25T00:00:00"/>
        <d v="1983-03-25T00:00:00"/>
        <d v="1977-08-09T00:00:00"/>
        <d v="1980-03-29T00:00:00"/>
        <d v="1980-10-29T00:00:00"/>
        <d v="1978-02-17T00:00:00"/>
        <d v="1976-02-21T00:00:00"/>
        <d v="1975-02-06T00:00:00"/>
        <d v="1981-11-17T00:00:00"/>
        <d v="1980-05-15T00:00:00"/>
        <d v="1982-04-11T00:00:00"/>
        <d v="1983-08-07T00:00:00"/>
        <d v="1978-01-09T00:00:00"/>
        <d v="1978-08-07T00:00:00"/>
        <d v="1978-08-05T00:00:00"/>
        <d v="1980-09-07T00:00:00"/>
        <d v="1981-05-26T00:00:00"/>
        <d v="1981-01-04T00:00:00"/>
        <d v="1981-07-23T00:00:00"/>
        <d v="1982-04-13T00:00:00"/>
        <d v="1978-09-27T00:00:00"/>
        <d v="1979-07-28T00:00:00"/>
        <d v="1982-08-19T00:00:00"/>
        <d v="1981-03-30T00:00:00"/>
        <d v="1975-03-06T00:00:00"/>
        <d v="1981-07-28T00:00:00"/>
        <d v="1982-05-26T00:00:00"/>
        <d v="1979-05-03T00:00:00"/>
        <d v="1980-12-25T00:00:00"/>
        <d v="1978-03-22T00:00:00"/>
        <d v="1981-06-09T00:00:00"/>
        <d v="1978-06-20T00:00:00"/>
        <d v="1980-06-21T00:00:00"/>
        <d v="1982-10-18T00:00:00"/>
        <d v="1983-01-20T00:00:00"/>
        <d v="1980-07-04T00:00:00"/>
        <d v="1981-01-12T00:00:00"/>
        <d v="1977-07-01T00:00:00"/>
        <d v="1978-09-01T00:00:00"/>
        <d v="1979-09-09T00:00:00"/>
        <d v="1981-04-11T00:00:00"/>
        <d v="1979-08-07T00:00:00"/>
        <d v="1977-06-16T00:00:00"/>
        <d v="1978-06-12T00:00:00"/>
        <d v="1979-11-12T00:00:00"/>
        <d v="1981-12-04T00:00:00"/>
        <d v="1976-03-19T00:00:00"/>
        <d v="1978-05-01T00:00:00"/>
        <d v="1981-05-22T00:00:00"/>
        <d v="1977-01-10T00:00:00"/>
        <d v="1975-05-29T00:00:00"/>
        <d v="1982-05-25T00:00:00"/>
        <d v="1979-01-25T00:00:00"/>
        <d v="1978-10-04T00:00:00"/>
        <d v="1977-08-04T00:00:00"/>
        <d v="1983-08-27T00:00:00"/>
        <d v="1979-11-24T00:00:00"/>
        <d v="1982-08-13T00:00:00"/>
        <d v="1983-02-08T00:00:00"/>
        <d v="1982-05-04T00:00:00"/>
        <d v="1975-02-18T00:00:00"/>
        <d v="1976-12-15T00:00:00"/>
        <d v="1981-05-11T00:00:00"/>
        <d v="1982-11-10T00:00:00"/>
        <d v="1982-10-20T00:00:00"/>
        <d v="1981-09-29T00:00:00"/>
        <d v="1980-09-29T00:00:00"/>
        <d v="1976-12-08T00:00:00"/>
        <d v="1978-01-25T00:00:00"/>
        <d v="1975-12-18T00:00:00"/>
        <d v="1980-09-03T00:00:00"/>
        <d v="1983-04-15T00:00:00"/>
        <d v="1979-10-22T00:00:00"/>
        <d v="1982-12-09T00:00:00"/>
        <d v="1974-12-21T00:00:00"/>
        <d v="1979-06-22T00:00:00"/>
        <d v="1979-01-19T00:00:00"/>
        <d v="1975-05-04T00:00:00"/>
        <d v="1981-04-20T00:00:00"/>
        <d v="1977-02-20T00:00:00"/>
        <d v="1977-11-26T00:00:00"/>
        <d v="1978-10-14T00:00:00"/>
        <d v="1979-09-03T00:00:00"/>
        <d v="1974-11-08T00:00:00"/>
        <d v="1981-05-05T00:00:00"/>
        <d v="1979-01-09T00:00:00"/>
        <d v="1981-02-04T00:00:00"/>
        <d v="1980-11-05T00:00:00"/>
        <d v="1982-01-13T00:00:00"/>
        <d v="1980-02-02T00:00:00"/>
        <d v="1982-11-16T00:00:00"/>
        <d v="1982-02-18T00:00:00"/>
        <d v="1981-11-19T00:00:00"/>
        <d v="1978-12-31T00:00:00"/>
        <d v="1977-09-05T00:00:00"/>
        <d v="1980-07-15T00:00:00"/>
        <d v="1980-06-03T00:00:00"/>
        <d v="1982-12-01T00:00:00"/>
        <d v="1981-11-12T00:00:00"/>
        <d v="1978-07-06T00:00:00"/>
        <d v="1982-03-10T00:00:00"/>
        <d v="1977-04-30T00:00:00"/>
        <d v="1979-12-02T00:00:00"/>
        <d v="1982-06-12T00:00:00"/>
        <d v="1978-11-03T00:00:00"/>
        <d v="1980-09-16T00:00:00"/>
        <d v="1980-06-24T00:00:00"/>
        <d v="1978-08-13T00:00:00"/>
        <d v="1983-09-18T00:00:00"/>
        <d v="1980-04-12T00:00:00"/>
        <d v="1982-11-23T00:00:00"/>
        <d v="1977-05-18T00:00:00"/>
        <d v="1979-10-01T00:00:00"/>
        <d v="1978-11-30T00:00:00"/>
        <d v="1981-10-03T00:00:00"/>
        <d v="1980-01-18T00:00:00"/>
        <d v="1980-09-27T00:00:00"/>
        <d v="1981-02-26T00:00:00"/>
        <d v="1980-08-30T00:00:00"/>
        <d v="1980-12-05T00:00:00"/>
        <d v="1982-01-28T00:00:00"/>
        <d v="1977-12-10T00:00:00"/>
        <d v="1974-11-03T00:00:00"/>
        <d v="1979-12-30T00:00:00"/>
        <d v="1981-08-21T00:00:00"/>
        <d v="1978-01-20T00:00:00"/>
        <d v="1979-04-09T00:00:00"/>
        <d v="1980-11-29T00:00:00"/>
        <d v="1975-08-18T00:00:00"/>
        <d v="1982-09-16T00:00:00"/>
        <d v="1981-09-06T00:00:00"/>
        <d v="1982-09-04T00:00:00"/>
        <d v="1982-06-19T00:00:00"/>
        <d v="1975-09-18T00:00:00"/>
        <d v="1976-10-19T00:00:00"/>
        <d v="1979-10-14T00:00:00"/>
        <d v="1979-01-16T00:00:00"/>
        <d v="1983-03-04T00:00:00"/>
        <d v="1983-06-24T00:00:00"/>
        <d v="1976-09-26T00:00:00"/>
        <d v="1976-08-14T00:00:00"/>
        <d v="1978-09-23T00:00:00"/>
        <d v="1983-04-27T00:00:00"/>
        <d v="1980-09-04T00:00:00"/>
        <d v="1983-04-25T00:00:00"/>
        <d v="1978-03-29T00:00:00"/>
        <d v="1981-12-17T00:00:00"/>
        <d v="1983-06-26T00:00:00"/>
        <d v="1980-01-03T00:00:00"/>
        <d v="1979-10-19T00:00:00"/>
        <d v="1980-07-03T00:00:00"/>
        <d v="1983-08-08T00:00:00"/>
        <d v="1978-10-24T00:00:00"/>
        <d v="1981-10-16T00:00:00"/>
        <d v="1982-03-31T00:00:00"/>
        <d v="1975-02-28T00:00:00"/>
        <d v="1981-02-07T00:00:00"/>
        <d v="1976-10-31T00:00:00"/>
        <d v="1980-09-09T00:00:00"/>
        <d v="1983-07-02T00:00:00"/>
        <d v="1983-02-13T00:00:00"/>
        <d v="1977-08-29T00:00:00"/>
        <d v="1979-03-26T00:00:00"/>
        <d v="1982-10-30T00:00:00"/>
        <d v="1977-07-09T00:00:00"/>
        <d v="1977-10-31T00:00:00"/>
        <d v="1976-12-23T00:00:00"/>
        <d v="1978-06-29T00:00:00"/>
        <d v="1982-05-14T00:00:00"/>
        <d v="1983-09-05T00:00:00"/>
        <d v="1977-11-29T00:00:00"/>
        <d v="1980-02-04T00:00:00"/>
        <d v="1977-08-28T00:00:00"/>
        <d v="1976-04-03T00:00:00"/>
        <d v="1975-03-03T00:00:00"/>
        <d v="1979-07-25T00:00:00"/>
        <d v="1979-01-10T00:00:00"/>
        <d v="1974-12-24T00:00:00"/>
        <d v="1974-11-10T00:00:00"/>
        <d v="1974-12-20T00:00:00"/>
        <d v="1975-05-17T00:00:00"/>
        <d v="1977-11-21T00:00:00"/>
        <d v="1983-05-10T00:00:00"/>
        <d v="1982-06-02T00:00:00"/>
        <d v="1979-09-28T00:00:00"/>
        <d v="1977-02-09T00:00:00"/>
        <d v="1979-02-03T00:00:00"/>
        <d v="1980-06-08T00:00:00"/>
        <d v="1982-01-23T00:00:00"/>
        <d v="1980-05-19T00:00:00"/>
        <d v="1980-01-17T00:00:00"/>
        <d v="1975-08-09T00:00:00"/>
        <d v="1983-04-11T00:00:00"/>
        <d v="1977-10-15T00:00:00"/>
        <d v="1981-03-24T00:00:00"/>
        <d v="1976-11-09T00:00:00"/>
        <d v="1975-11-07T00:00:00"/>
        <d v="1979-02-12T00:00:00"/>
        <d v="1977-11-11T00:00:00"/>
        <d v="1977-01-21T00:00:00"/>
        <d v="1979-02-19T00:00:00"/>
        <d v="1975-06-05T00:00:00"/>
        <d v="1975-05-09T00:00:00"/>
        <d v="1983-01-31T00:00:00"/>
        <d v="1978-02-02T00:00:00"/>
        <d v="1975-10-11T00:00:00"/>
        <d v="1981-08-25T00:00:00"/>
        <d v="1975-07-25T00:00:00"/>
        <d v="1975-12-23T00:00:00"/>
        <d v="1979-03-27T00:00:00"/>
        <d v="1979-09-01T00:00:00"/>
        <d v="1980-11-07T00:00:00"/>
        <d v="1977-11-30T00:00:00"/>
        <d v="1979-06-26T00:00:00"/>
        <d v="1980-11-24T00:00:00"/>
        <d v="1980-03-22T00:00:00"/>
        <d v="1982-07-29T00:00:00"/>
        <d v="1979-05-17T00:00:00"/>
        <d v="1980-02-19T00:00:00"/>
        <d v="1978-03-24T00:00:00"/>
        <d v="1975-12-06T00:00:00"/>
        <d v="1981-10-17T00:00:00"/>
        <d v="1980-12-15T00:00:00"/>
        <d v="1976-08-21T00:00:00"/>
        <d v="1975-09-22T00:00:00"/>
        <d v="1982-12-19T00:00:00"/>
        <d v="1977-01-28T00:00:00"/>
        <d v="1979-08-26T00:00:00"/>
        <d v="1981-07-20T00:00:00"/>
        <d v="1979-07-21T00:00:00"/>
        <d v="1982-02-28T00:00:00"/>
        <d v="1979-11-07T00:00:00"/>
        <d v="1979-09-18T00:00:00"/>
        <d v="1983-03-11T00:00:00"/>
        <d v="1979-09-20T00:00:00"/>
        <d v="1975-05-10T00:00:00"/>
        <d v="1983-08-12T00:00:00"/>
        <d v="1975-08-28T00:00:00"/>
        <d v="1983-07-16T00:00:00"/>
        <d v="1978-12-23T00:00:00"/>
        <d v="1977-10-29T00:00:00"/>
        <d v="1975-07-20T00:00:00"/>
        <d v="1978-12-15T00:00:00"/>
        <d v="1983-04-07T00:00:00"/>
        <d v="1983-07-10T00:00:00"/>
        <d v="1975-03-04T00:00:00"/>
        <d v="1981-06-23T00:00:00"/>
        <d v="1975-10-30T00:00:00"/>
        <d v="1977-10-16T00:00:00"/>
        <d v="1978-07-25T00:00:00"/>
        <d v="1982-12-20T00:00:00"/>
        <d v="1981-06-20T00:00:00"/>
        <d v="1976-10-25T00:00:00"/>
        <d v="1981-01-28T00:00:00"/>
        <d v="1978-08-17T00:00:00"/>
        <d v="1982-04-20T00:00:00"/>
        <d v="1978-08-08T00:00:00"/>
        <d v="1980-03-26T00:00:00"/>
        <d v="1980-06-14T00:00:00"/>
        <d v="1981-10-21T00:00:00"/>
        <d v="1982-06-15T00:00:00"/>
        <d v="1983-02-09T00:00:00"/>
        <d v="1981-03-09T00:00:00"/>
        <d v="1975-12-11T00:00:00"/>
        <d v="1982-12-02T00:00:00"/>
        <d v="1979-02-18T00:00:00"/>
        <d v="1978-05-25T00:00:00"/>
        <d v="1979-06-10T00:00:00"/>
        <d v="1982-01-09T00:00:00"/>
        <d v="1976-11-13T00:00:00"/>
        <d v="1981-07-10T00:00:00"/>
        <d v="1978-01-12T00:00:00"/>
        <d v="1979-10-07T00:00:00"/>
        <d v="1979-11-18T00:00:00"/>
        <d v="1981-12-14T00:00:00"/>
        <d v="1976-04-21T00:00:00"/>
        <d v="1979-11-14T00:00:00"/>
        <d v="1981-07-05T00:00:00"/>
        <d v="1981-03-01T00:00:00"/>
        <d v="1981-07-22T00:00:00"/>
        <d v="1983-07-23T00:00:00"/>
        <d v="1982-02-10T00:00:00"/>
        <d v="1980-10-07T00:00:00"/>
        <d v="1982-08-26T00:00:00"/>
        <d v="1980-07-06T00:00:00"/>
        <d v="1980-01-25T00:00:00"/>
        <d v="1977-06-04T00:00:00"/>
        <d v="1979-08-08T00:00:00"/>
        <d v="1981-07-15T00:00:00"/>
        <d v="1977-06-12T00:00:00"/>
        <d v="1982-05-19T00:00:00"/>
        <d v="1978-07-14T00:00:00"/>
        <d v="1980-08-03T00:00:00"/>
        <d v="1976-09-12T00:00:00"/>
        <d v="1981-08-14T00:00:00"/>
        <d v="1982-10-06T00:00:00"/>
        <d v="1983-08-06T00:00:00"/>
        <d v="1979-09-27T00:00:00"/>
        <d v="1981-08-18T00:00:00"/>
        <d v="1980-05-21T00:00:00"/>
        <d v="1982-07-01T00:00:00"/>
        <d v="1976-07-29T00:00:00"/>
        <d v="1982-10-12T00:00:00"/>
        <d v="1980-07-07T00:00:00"/>
        <d v="1980-11-26T00:00:00"/>
        <d v="1982-10-21T00:00:00"/>
        <d v="1977-09-26T00:00:00"/>
        <d v="1981-07-30T00:00:00"/>
        <d v="1982-11-25T00:00:00"/>
        <d v="1979-10-26T00:00:00"/>
        <d v="1982-05-30T00:00:00"/>
        <d v="1982-01-25T00:00:00"/>
        <d v="1980-12-07T00:00:00"/>
        <d v="1980-03-20T00:00:00"/>
        <d v="1983-07-06T00:00:00"/>
        <d v="1981-06-03T00:00:00"/>
        <d v="1981-04-12T00:00:00"/>
        <d v="1975-04-18T00:00:00"/>
        <d v="1981-08-28T00:00:00"/>
        <d v="1980-05-22T00:00:00"/>
        <d v="1977-04-18T00:00:00"/>
        <d v="1982-09-20T00:00:00"/>
        <d v="1979-07-20T00:00:00"/>
        <d v="1977-10-09T00:00:00"/>
        <d v="1980-03-30T00:00:00"/>
        <d v="1976-03-12T00:00:00"/>
        <d v="1979-07-11T00:00:00"/>
        <d v="1983-07-13T00:00:00"/>
        <d v="1975-09-07T00:00:00"/>
        <d v="1983-04-30T00:00:00"/>
        <d v="1982-04-30T00:00:00"/>
        <d v="1979-02-26T00:00:00"/>
        <d v="1982-05-29T00:00:00"/>
        <d v="1976-11-11T00:00:00"/>
        <d v="1976-05-13T00:00:00"/>
        <d v="1983-06-19T00:00:00"/>
        <d v="1983-01-18T00:00:00"/>
        <d v="1983-09-30T00:00:00"/>
        <d v="1977-02-01T00:00:00"/>
        <d v="1982-02-19T00:00:00"/>
        <d v="1976-03-26T00:00:00"/>
        <d v="1981-01-09T00:00:00"/>
        <d v="1980-03-28T00:00:00"/>
        <d v="1978-03-30T00:00:00"/>
        <d v="1975-05-13T00:00:00"/>
        <d v="1975-10-22T00:00:00"/>
        <d v="1979-05-01T00:00:00"/>
        <d v="1983-04-23T00:00:00"/>
        <d v="1981-03-08T00:00:00"/>
        <d v="1978-03-20T00:00:00"/>
        <d v="1979-10-24T00:00:00"/>
        <d v="1976-08-30T00:00:00"/>
        <d v="1982-09-09T00:00:00"/>
        <d v="1977-04-26T00:00:00"/>
        <d v="1979-07-03T00:00:00"/>
        <d v="1981-11-03T00:00:00"/>
        <d v="1981-01-18T00:00:00"/>
        <d v="1978-10-05T00:00:00"/>
        <d v="1982-03-11T00:00:00"/>
        <d v="1979-06-15T00:00:00"/>
        <d v="1981-12-19T00:00:00"/>
        <d v="1979-10-02T00:00:00"/>
        <d v="1981-10-14T00:00:00"/>
        <d v="1981-05-12T00:00:00"/>
        <d v="1975-08-14T00:00:00"/>
        <d v="1977-08-10T00:00:00"/>
        <d v="1978-04-07T00:00:00"/>
        <d v="1979-12-18T00:00:00"/>
        <d v="1978-02-25T00:00:00"/>
        <d v="1978-10-22T00:00:00"/>
        <d v="1981-08-29T00:00:00"/>
        <d v="1974-12-19T00:00:00"/>
        <d v="1976-07-19T00:00:00"/>
        <d v="1978-06-15T00:00:00"/>
        <d v="1981-10-09T00:00:00"/>
        <d v="1978-12-20T00:00:00"/>
        <d v="1976-01-28T00:00:00"/>
        <d v="1982-02-08T00:00:00"/>
        <d v="1983-05-05T00:00:00"/>
        <d v="1981-05-27T00:00:00"/>
        <d v="1982-10-07T00:00:00"/>
        <d v="1978-12-08T00:00:00"/>
        <d v="1981-07-12T00:00:00"/>
        <d v="1980-10-06T00:00:00"/>
        <d v="1977-07-31T00:00:00"/>
        <d v="1976-01-08T00:00:00"/>
        <d v="1982-11-30T00:00:00"/>
        <d v="1979-07-31T00:00:00"/>
        <d v="1980-01-01T00:00:00"/>
        <d v="1981-02-03T00:00:00"/>
        <d v="1981-02-28T00:00:00"/>
        <d v="1981-06-10T00:00:00"/>
        <d v="1980-03-06T00:00:00"/>
        <d v="1983-05-21T00:00:00"/>
        <d v="1976-12-19T00:00:00"/>
        <d v="1977-04-27T00:00:00"/>
        <d v="1976-07-10T00:00:00"/>
        <d v="1980-04-26T00:00:00"/>
        <d v="1978-01-16T00:00:00"/>
        <d v="1975-08-13T00:00:00"/>
        <d v="1981-07-17T00:00:00"/>
        <d v="1976-07-02T00:00:00"/>
        <d v="1982-05-15T00:00:00"/>
        <d v="1983-08-20T00:00:00"/>
        <d v="1978-03-01T00:00:00"/>
        <d v="1977-01-23T00:00:00"/>
        <d v="1980-11-16T00:00:00"/>
        <d v="1974-10-22T00:00:00"/>
        <d v="1976-06-09T00:00:00"/>
        <d v="1980-02-01T00:00:00"/>
        <d v="1977-12-08T00:00:00"/>
        <d v="1978-04-20T00:00:00"/>
        <d v="1983-05-17T00:00:00"/>
        <d v="1975-08-19T00:00:00"/>
        <d v="1982-04-29T00:00:00"/>
        <d v="1980-02-16T00:00:00"/>
        <d v="1978-12-28T00:00:00"/>
        <d v="1975-08-22T00:00:00"/>
        <d v="1983-01-05T00:00:00"/>
        <d v="1976-04-06T00:00:00"/>
        <d v="1974-10-21T00:00:00"/>
        <d v="1978-07-21T00:00:00"/>
        <d v="1976-06-01T00:00:00"/>
        <d v="1983-09-22T00:00:00"/>
        <d v="1981-11-26T00:00:00"/>
        <d v="1980-08-06T00:00:00"/>
        <d v="1978-11-26T00:00:00"/>
        <d v="1981-10-30T00:00:00"/>
        <d v="1980-12-27T00:00:00"/>
        <d v="1975-11-21T00:00:00"/>
        <d v="1981-01-25T00:00:00"/>
        <d v="1979-07-19T00:00:00"/>
        <d v="1978-05-19T00:00:00"/>
        <d v="1981-01-08T00:00:00"/>
        <d v="1975-07-05T00:00:00"/>
        <d v="1980-06-05T00:00:00"/>
        <d v="1979-02-04T00:00:00"/>
        <d v="1976-08-20T00:00:00"/>
        <d v="1980-08-27T00:00:00"/>
        <d v="1975-12-31T00:00:00"/>
        <d v="1977-12-20T00:00:00"/>
        <d v="1977-08-13T00:00:00"/>
        <d v="1975-06-08T00:00:00"/>
        <d v="1976-02-07T00:00:00"/>
        <d v="1975-03-07T00:00:00"/>
        <d v="1975-06-06T00:00:00"/>
        <d v="1975-05-16T00:00:00"/>
        <d v="1976-02-08T00:00:00"/>
        <d v="1976-07-15T00:00:00"/>
        <d v="1977-09-19T00:00:00"/>
        <d v="1978-02-10T00:00:00"/>
        <d v="1980-05-18T00:00:00"/>
        <d v="1978-11-19T00:00:00"/>
        <d v="1980-07-14T00:00:00"/>
        <d v="1981-03-27T00:00:00"/>
        <d v="1981-06-26T00:00:00"/>
        <d v="1983-05-22T00:00:00"/>
        <d v="1982-07-27T00:00:00"/>
        <d v="1981-07-13T00:00:00"/>
        <d v="1983-05-02T00:00:00"/>
        <d v="1978-05-27T00:00:00"/>
        <d v="1977-05-22T00:00:00"/>
        <d v="1979-04-21T00:00:00"/>
        <d v="1979-06-09T00:00:00"/>
        <d v="1980-01-20T00:00:00"/>
        <d v="1981-11-29T00:00:00"/>
        <d v="1978-11-14T00:00:00"/>
        <d v="1979-05-28T00:00:00"/>
        <d v="1975-03-29T00:00:00"/>
        <d v="1975-04-05T00:00:00"/>
        <d v="1981-04-24T00:00:00"/>
        <d v="1979-05-31T00:00:00"/>
        <d v="1969-08-02T00:00:00"/>
        <d v="1972-07-08T00:00:00"/>
        <d v="1967-02-13T00:00:00"/>
        <d v="1973-08-20T00:00:00"/>
        <d v="1971-09-09T00:00:00"/>
        <d v="1967-05-11T00:00:00"/>
        <d v="1968-09-05T00:00:00"/>
        <d v="1972-03-28T00:00:00"/>
        <d v="1969-01-30T00:00:00"/>
        <d v="1966-04-02T00:00:00"/>
        <d v="1966-12-10T00:00:00"/>
        <d v="1971-05-23T00:00:00"/>
        <d v="1967-10-28T00:00:00"/>
        <d v="1974-05-24T00:00:00"/>
        <d v="1973-09-18T00:00:00"/>
        <d v="1970-06-11T00:00:00"/>
        <d v="1971-10-25T00:00:00"/>
        <d v="1966-08-06T00:00:00"/>
        <d v="1971-02-05T00:00:00"/>
        <d v="1972-07-09T00:00:00"/>
        <d v="1974-04-16T00:00:00"/>
        <d v="1970-06-16T00:00:00"/>
        <d v="1974-01-07T00:00:00"/>
        <d v="1969-12-25T00:00:00"/>
        <d v="1972-06-25T00:00:00"/>
        <d v="1973-03-04T00:00:00"/>
        <d v="1971-12-08T00:00:00"/>
        <d v="1970-04-06T00:00:00"/>
        <d v="1973-11-20T00:00:00"/>
        <d v="1967-01-23T00:00:00"/>
        <d v="1971-02-26T00:00:00"/>
        <d v="1967-08-31T00:00:00"/>
        <d v="1972-10-27T00:00:00"/>
        <d v="1969-02-11T00:00:00"/>
        <d v="1970-06-18T00:00:00"/>
        <d v="1971-02-02T00:00:00"/>
        <d v="1973-03-23T00:00:00"/>
        <d v="1973-11-13T00:00:00"/>
        <d v="1972-08-14T00:00:00"/>
        <d v="1974-09-17T00:00:00"/>
        <d v="1974-02-14T00:00:00"/>
        <d v="1966-12-21T00:00:00"/>
        <d v="1968-09-08T00:00:00"/>
        <d v="1971-05-25T00:00:00"/>
        <d v="1969-07-09T00:00:00"/>
        <d v="1970-05-05T00:00:00"/>
        <d v="1966-09-09T00:00:00"/>
        <d v="1974-09-14T00:00:00"/>
        <d v="1968-09-10T00:00:00"/>
        <d v="1973-04-20T00:00:00"/>
        <d v="1967-09-08T00:00:00"/>
        <d v="1966-12-29T00:00:00"/>
        <d v="1970-06-24T00:00:00"/>
        <d v="1973-09-12T00:00:00"/>
        <d v="1965-12-27T00:00:00"/>
        <d v="1974-10-12T00:00:00"/>
        <d v="1966-07-25T00:00:00"/>
        <d v="1970-09-19T00:00:00"/>
        <d v="1972-11-23T00:00:00"/>
        <d v="1971-02-04T00:00:00"/>
        <d v="1973-08-02T00:00:00"/>
        <d v="1973-11-22T00:00:00"/>
        <d v="1967-12-28T00:00:00"/>
        <d v="1969-03-07T00:00:00"/>
        <d v="1971-10-29T00:00:00"/>
        <d v="1968-01-26T00:00:00"/>
        <d v="1970-10-26T00:00:00"/>
        <d v="1971-09-17T00:00:00"/>
        <d v="1967-01-05T00:00:00"/>
        <d v="1966-12-22T00:00:00"/>
        <d v="1969-08-30T00:00:00"/>
        <d v="1974-05-03T00:00:00"/>
        <d v="1968-09-14T00:00:00"/>
        <d v="1971-10-19T00:00:00"/>
        <d v="1973-06-25T00:00:00"/>
        <d v="1974-09-08T00:00:00"/>
        <d v="1971-03-28T00:00:00"/>
        <d v="1973-05-07T00:00:00"/>
        <d v="1974-07-28T00:00:00"/>
        <d v="1974-08-24T00:00:00"/>
        <d v="1974-02-24T00:00:00"/>
        <d v="1971-03-11T00:00:00"/>
        <d v="1967-03-12T00:00:00"/>
        <d v="1968-09-20T00:00:00"/>
        <d v="1974-05-30T00:00:00"/>
        <d v="1970-08-13T00:00:00"/>
        <d v="1966-10-10T00:00:00"/>
        <d v="1970-06-22T00:00:00"/>
        <d v="1973-02-25T00:00:00"/>
        <d v="1973-02-05T00:00:00"/>
        <d v="1973-12-01T00:00:00"/>
        <d v="1974-10-05T00:00:00"/>
        <d v="1973-09-21T00:00:00"/>
        <d v="1966-09-17T00:00:00"/>
        <d v="1972-11-15T00:00:00"/>
        <d v="1974-06-28T00:00:00"/>
        <d v="1972-03-10T00:00:00"/>
        <d v="1970-07-02T00:00:00"/>
        <d v="1966-07-14T00:00:00"/>
        <d v="1974-07-01T00:00:00"/>
        <d v="1968-03-15T00:00:00"/>
        <d v="1972-02-22T00:00:00"/>
        <d v="1972-09-30T00:00:00"/>
        <d v="1972-04-27T00:00:00"/>
        <d v="1972-04-20T00:00:00"/>
        <d v="1970-03-15T00:00:00"/>
        <d v="1968-08-26T00:00:00"/>
        <d v="1969-02-23T00:00:00"/>
        <d v="1966-04-29T00:00:00"/>
        <d v="1974-09-27T00:00:00"/>
        <d v="1968-02-07T00:00:00"/>
        <d v="1966-06-14T00:00:00"/>
        <d v="1974-08-30T00:00:00"/>
        <d v="1971-12-21T00:00:00"/>
        <d v="1973-07-26T00:00:00"/>
        <d v="1968-02-02T00:00:00"/>
        <d v="1974-06-20T00:00:00"/>
        <d v="1973-09-25T00:00:00"/>
        <d v="1966-04-22T00:00:00"/>
        <d v="1970-03-21T00:00:00"/>
        <d v="1969-03-14T00:00:00"/>
        <d v="1974-10-09T00:00:00"/>
        <d v="1970-10-07T00:00:00"/>
        <d v="1970-05-15T00:00:00"/>
        <d v="1974-05-08T00:00:00"/>
        <d v="1974-03-25T00:00:00"/>
        <d v="1972-11-29T00:00:00"/>
        <d v="1974-09-07T00:00:00"/>
        <d v="1971-09-20T00:00:00"/>
        <d v="1971-06-15T00:00:00"/>
        <d v="1971-11-11T00:00:00"/>
        <d v="1969-11-03T00:00:00"/>
        <d v="1974-08-07T00:00:00"/>
        <d v="1971-04-29T00:00:00"/>
        <d v="1973-06-12T00:00:00"/>
        <d v="1967-12-24T00:00:00"/>
        <d v="1970-04-09T00:00:00"/>
        <d v="1972-09-11T00:00:00"/>
        <d v="1973-12-25T00:00:00"/>
        <d v="1974-08-17T00:00:00"/>
        <d v="1969-09-03T00:00:00"/>
        <d v="1974-08-18T00:00:00"/>
        <d v="1973-04-02T00:00:00"/>
        <d v="1969-09-28T00:00:00"/>
        <d v="1968-09-28T00:00:00"/>
        <d v="1972-08-01T00:00:00"/>
        <d v="1973-04-18T00:00:00"/>
        <d v="1973-01-09T00:00:00"/>
        <d v="1973-09-01T00:00:00"/>
        <d v="1974-09-06T00:00:00"/>
        <d v="1974-02-18T00:00:00"/>
        <d v="1969-04-30T00:00:00"/>
        <d v="1968-07-14T00:00:00"/>
        <d v="1970-06-04T00:00:00"/>
        <d v="1970-06-02T00:00:00"/>
        <d v="1966-02-17T00:00:00"/>
        <d v="1974-05-06T00:00:00"/>
        <d v="1972-12-28T00:00:00"/>
        <d v="1965-11-06T00:00:00"/>
        <d v="1971-06-28T00:00:00"/>
        <d v="1970-03-22T00:00:00"/>
        <d v="1971-08-15T00:00:00"/>
        <d v="1974-07-29T00:00:00"/>
        <d v="1966-05-03T00:00:00"/>
        <d v="1966-02-02T00:00:00"/>
        <d v="1971-08-28T00:00:00"/>
        <d v="1966-10-01T00:00:00"/>
        <d v="1974-03-01T00:00:00"/>
        <d v="1970-09-24T00:00:00"/>
        <d v="1967-11-25T00:00:00"/>
        <d v="1967-06-12T00:00:00"/>
        <d v="1968-06-01T00:00:00"/>
        <d v="1968-09-26T00:00:00"/>
        <d v="1971-09-21T00:00:00"/>
        <d v="1967-11-03T00:00:00"/>
        <d v="1973-06-11T00:00:00"/>
        <d v="1970-04-24T00:00:00"/>
        <d v="1966-07-27T00:00:00"/>
        <d v="1970-02-09T00:00:00"/>
        <d v="1973-06-27T00:00:00"/>
        <d v="1970-01-04T00:00:00"/>
        <d v="1972-08-08T00:00:00"/>
        <d v="1970-03-09T00:00:00"/>
        <d v="1970-08-27T00:00:00"/>
        <d v="1972-11-17T00:00:00"/>
        <d v="1971-10-01T00:00:00"/>
        <d v="1970-01-22T00:00:00"/>
        <d v="1969-04-02T00:00:00"/>
        <d v="1968-10-12T00:00:00"/>
        <d v="1971-09-16T00:00:00"/>
        <d v="1969-01-08T00:00:00"/>
        <d v="1974-08-09T00:00:00"/>
        <d v="1972-08-03T00:00:00"/>
        <d v="1973-09-24T00:00:00"/>
        <d v="1971-04-28T00:00:00"/>
        <d v="1973-10-04T00:00:00"/>
        <d v="1969-12-24T00:00:00"/>
        <d v="1966-09-13T00:00:00"/>
        <d v="1968-07-22T00:00:00"/>
        <d v="1974-03-13T00:00:00"/>
        <d v="1970-03-25T00:00:00"/>
        <d v="1969-09-10T00:00:00"/>
        <d v="1968-04-13T00:00:00"/>
        <d v="1970-07-04T00:00:00"/>
        <d v="1973-03-10T00:00:00"/>
        <d v="1970-11-28T00:00:00"/>
        <d v="1973-07-28T00:00:00"/>
        <d v="1973-03-15T00:00:00"/>
        <d v="1968-04-05T00:00:00"/>
        <d v="1970-12-05T00:00:00"/>
        <d v="1967-02-11T00:00:00"/>
        <d v="1974-01-01T00:00:00"/>
        <d v="1971-04-03T00:00:00"/>
        <d v="1971-01-11T00:00:00"/>
        <d v="1966-06-28T00:00:00"/>
        <d v="1971-02-11T00:00:00"/>
        <d v="1974-01-24T00:00:00"/>
        <d v="1972-05-08T00:00:00"/>
        <d v="1970-07-30T00:00:00"/>
        <d v="1970-12-25T00:00:00"/>
        <d v="1973-06-05T00:00:00"/>
        <d v="1968-06-06T00:00:00"/>
        <d v="1973-03-12T00:00:00"/>
        <d v="1966-03-16T00:00:00"/>
        <d v="1968-10-15T00:00:00"/>
        <d v="1971-01-18T00:00:00"/>
        <d v="1972-05-29T00:00:00"/>
        <d v="1973-03-29T00:00:00"/>
        <d v="1968-07-04T00:00:00"/>
        <d v="1972-03-16T00:00:00"/>
        <d v="1974-08-31T00:00:00"/>
        <d v="1974-08-15T00:00:00"/>
        <d v="1970-08-29T00:00:00"/>
        <d v="1973-10-18T00:00:00"/>
        <d v="1967-01-12T00:00:00"/>
        <d v="1974-02-01T00:00:00"/>
        <d v="1971-07-15T00:00:00"/>
        <d v="1971-03-21T00:00:00"/>
        <d v="1971-11-26T00:00:00"/>
        <d v="1968-12-14T00:00:00"/>
        <d v="1970-08-26T00:00:00"/>
        <d v="1974-01-15T00:00:00"/>
        <d v="1970-07-08T00:00:00"/>
        <d v="1968-09-18T00:00:00"/>
        <d v="1974-01-10T00:00:00"/>
        <d v="1972-07-10T00:00:00"/>
        <d v="1973-02-04T00:00:00"/>
        <d v="1969-07-21T00:00:00"/>
        <d v="1974-03-05T00:00:00"/>
        <d v="1970-10-13T00:00:00"/>
        <d v="1971-11-19T00:00:00"/>
        <d v="1972-07-18T00:00:00"/>
        <d v="1972-10-06T00:00:00"/>
        <d v="1968-10-06T00:00:00"/>
        <d v="1970-01-19T00:00:00"/>
        <d v="1971-01-24T00:00:00"/>
        <d v="1966-04-26T00:00:00"/>
        <d v="1974-01-08T00:00:00"/>
        <d v="1966-11-20T00:00:00"/>
        <d v="1972-10-19T00:00:00"/>
        <d v="1969-01-19T00:00:00"/>
        <d v="1973-01-07T00:00:00"/>
        <d v="1973-06-08T00:00:00"/>
        <d v="1972-09-13T00:00:00"/>
        <d v="1968-11-25T00:00:00"/>
        <d v="1971-06-19T00:00:00"/>
        <d v="1968-06-16T00:00:00"/>
        <d v="1972-04-15T00:00:00"/>
        <d v="1974-08-14T00:00:00"/>
        <d v="1971-07-11T00:00:00"/>
        <d v="1972-02-28T00:00:00"/>
        <d v="1971-05-02T00:00:00"/>
        <d v="1972-01-03T00:00:00"/>
        <d v="1969-10-28T00:00:00"/>
        <d v="1973-06-07T00:00:00"/>
        <d v="1970-08-02T00:00:00"/>
        <d v="1970-07-13T00:00:00"/>
        <d v="1972-09-22T00:00:00"/>
        <d v="1974-03-06T00:00:00"/>
        <d v="1973-07-13T00:00:00"/>
        <d v="1972-11-21T00:00:00"/>
        <d v="1967-11-27T00:00:00"/>
        <d v="1974-06-25T00:00:00"/>
        <d v="1974-02-11T00:00:00"/>
        <d v="1970-12-17T00:00:00"/>
        <d v="1967-12-17T00:00:00"/>
        <d v="1969-12-18T00:00:00"/>
        <d v="1966-05-07T00:00:00"/>
        <d v="1969-03-02T00:00:00"/>
        <d v="1967-07-13T00:00:00"/>
        <d v="1969-03-27T00:00:00"/>
        <d v="1974-01-04T00:00:00"/>
        <d v="1974-07-17T00:00:00"/>
        <d v="1968-10-10T00:00:00"/>
        <d v="1973-12-13T00:00:00"/>
        <d v="1971-12-09T00:00:00"/>
        <d v="1971-06-26T00:00:00"/>
        <d v="1974-07-25T00:00:00"/>
        <d v="1970-11-14T00:00:00"/>
        <d v="1967-09-01T00:00:00"/>
        <d v="1969-03-04T00:00:00"/>
        <d v="1969-12-19T00:00:00"/>
        <d v="1972-07-07T00:00:00"/>
        <d v="1969-05-03T00:00:00"/>
        <d v="1972-11-28T00:00:00"/>
        <d v="1973-03-18T00:00:00"/>
        <d v="1972-01-05T00:00:00"/>
        <d v="1973-11-12T00:00:00"/>
        <d v="1974-03-18T00:00:00"/>
        <d v="1968-09-21T00:00:00"/>
        <d v="1972-04-25T00:00:00"/>
        <d v="1965-11-22T00:00:00"/>
        <d v="1967-08-20T00:00:00"/>
        <d v="1968-12-05T00:00:00"/>
        <d v="1966-03-02T00:00:00"/>
        <d v="1965-10-31T00:00:00"/>
        <d v="1970-10-18T00:00:00"/>
        <d v="1974-09-18T00:00:00"/>
        <d v="1972-08-26T00:00:00"/>
        <d v="1967-06-21T00:00:00"/>
        <d v="1971-04-07T00:00:00"/>
        <d v="1968-12-26T00:00:00"/>
        <d v="1973-04-03T00:00:00"/>
        <d v="1971-08-02T00:00:00"/>
        <d v="1964-12-01T00:00:00"/>
        <m/>
        <d v="1961-06-20T00:00:00"/>
        <d v="1960-02-15T00:00:00"/>
        <d v="1964-12-18T00:00:00"/>
        <d v="1963-03-13T00:00:00"/>
        <d v="1965-07-24T00:00:00"/>
        <d v="1958-02-03T00:00:00"/>
        <d v="1963-06-01T00:00:00"/>
        <d v="1964-07-04T00:00:00"/>
        <d v="1962-07-24T00:00:00"/>
        <d v="1959-02-03T00:00:00"/>
        <d v="1957-02-21T00:00:00"/>
        <d v="1965-04-30T00:00:00"/>
        <d v="1962-10-15T00:00:00"/>
        <d v="1964-02-04T00:00:00"/>
        <d v="1965-07-31T00:00:00"/>
        <d v="1962-08-18T00:00:00"/>
        <d v="1965-07-17T00:00:00"/>
        <d v="1960-05-31T00:00:00"/>
        <d v="1961-05-31T00:00:00"/>
        <d v="1958-10-30T00:00:00"/>
        <d v="1953-10-14T00:00:00"/>
        <d v="1963-12-15T00:00:00"/>
        <d v="1962-04-10T00:00:00"/>
        <d v="1957-12-13T00:00:00"/>
        <d v="1965-05-31T00:00:00"/>
        <d v="1961-02-24T00:00:00"/>
        <d v="1965-06-16T00:00:00"/>
        <d v="1965-05-03T00:00:00"/>
        <d v="1962-08-30T00:00:00"/>
        <d v="1963-08-20T00:00:00"/>
        <d v="1964-09-02T00:00:00"/>
        <d v="1964-12-26T00:00:00"/>
        <d v="1962-10-22T00:00:00"/>
        <d v="1959-06-27T00:00:00"/>
        <d v="1959-11-08T00:00:00"/>
        <d v="1957-09-05T00:00:00"/>
        <d v="1960-12-08T00:00:00"/>
        <d v="1964-01-24T00:00:00"/>
        <d v="1959-10-11T00:00:00"/>
        <d v="1965-02-07T00:00:00"/>
        <d v="1964-06-01T00:00:00"/>
        <d v="1965-03-17T00:00:00"/>
        <d v="1963-05-13T00:00:00"/>
        <d v="1958-12-05T00:00:00"/>
        <d v="1960-08-15T00:00:00"/>
        <d v="1965-07-08T00:00:00"/>
        <d v="1959-11-15T00:00:00"/>
        <d v="1956-03-31T00:00:00"/>
        <d v="1962-08-25T00:00:00"/>
        <d v="1963-12-05T00:00:00"/>
        <d v="1963-04-18T00:00:00"/>
        <d v="2024-05-02T00:00:00"/>
        <d v="1963-09-01T00:00:00"/>
        <d v="1964-07-02T00:00:00"/>
        <d v="1961-08-23T00:00:00"/>
        <d v="1960-03-07T00:00:00"/>
        <d v="1963-10-07T00:00:00"/>
        <d v="1965-07-04T00:00:00"/>
        <d v="1958-04-08T00:00:00"/>
        <d v="1961-08-29T00:00:00"/>
        <d v="1965-05-19T00:00:00"/>
        <d v="1959-01-06T00:00:00"/>
        <d v="1953-02-19T00:00:00"/>
        <d v="1950-05-08T00:00:00"/>
        <d v="1952-10-31T00:00:00"/>
        <d v="1955-12-22T00:00:00"/>
        <d v="1965-08-29T00:00:00"/>
        <d v="1962-03-18T00:00:00"/>
        <d v="1960-06-08T00:00:00"/>
        <d v="1963-08-22T00:00:00"/>
        <d v="1965-06-02T00:00:00"/>
        <d v="1965-01-01T00:00:00"/>
        <d v="1964-08-14T00:00:00"/>
        <d v="1962-10-31T00:00:00"/>
        <d v="1961-11-24T00:00:00"/>
        <d v="1954-07-04T00:00:00"/>
        <d v="1959-11-10T00:00:00"/>
        <d v="1961-07-13T00:00:00"/>
        <d v="1960-08-18T00:00:00"/>
        <d v="1962-07-03T00:00:00"/>
        <d v="1965-03-22T00:00:00"/>
        <d v="1965-01-03T00:00:00"/>
        <d v="1965-04-10T00:00:00"/>
        <d v="1963-03-20T00:00:00"/>
        <d v="1965-02-03T00:00:00"/>
        <d v="1958-03-14T00:00:00"/>
        <d v="1965-05-10T00:00:00"/>
        <d v="1956-01-18T00:00:00"/>
        <d v="1960-06-11T00:00:00"/>
        <d v="1963-07-18T00:00:00"/>
        <d v="1963-04-23T00:00:00"/>
        <d v="1963-07-19T00:00:00"/>
        <d v="1964-12-06T00:00:00"/>
        <d v="1978-02-18T00:00:00"/>
        <d v="1994-04-30T00:00:00"/>
        <d v="1974-01-20T00:00:00"/>
        <d v="1987-07-24T00:00:00"/>
        <d v="1979-07-10T00:00:00"/>
        <d v="1978-07-23T00:00:00"/>
        <d v="1989-09-13T00:00:00"/>
        <d v="1983-10-05T00:00:00"/>
        <d v="1997-12-09T00:00:00"/>
        <d v="1992-03-06T00:00:00"/>
        <d v="1995-03-24T00:00:00"/>
        <d v="1985-05-05T00:00:00"/>
        <d v="1993-09-11T00:00:00"/>
        <d v="1982-04-14T00:00:00"/>
        <d v="1972-03-22T00:00:00"/>
        <d v="1985-11-07T00:00:00"/>
        <e v="#VALUE!"/>
        <d v="1986-06-04T00:00:00"/>
        <d v="1988-07-01T00:00:00"/>
        <d v="1988-09-04T00:00:00"/>
        <d v="1979-01-06T00:00:00"/>
        <d v="1992-11-15T00:00:00"/>
        <d v="1985-05-24T00:00:00"/>
        <d v="1992-04-26T00:00:00"/>
        <d v="1988-08-30T00:00:00"/>
        <d v="1991-07-04T00:00:00"/>
        <d v="1971-07-25T00:00:00"/>
        <d v="1998-11-22T00:00:00"/>
        <d v="2002-09-27T00:00:00"/>
        <d v="2000-10-23T00:00:00"/>
        <d v="1989-09-04T00:00:00"/>
        <d v="1983-07-22T00:00:00"/>
        <d v="1990-01-18T00:00:00"/>
        <d v="1999-04-28T00:00:00"/>
        <d v="1986-06-25T00:00:00"/>
        <d v="1987-12-11T00:00:00"/>
        <d v="2000-10-28T00:00:00"/>
        <d v="1993-12-09T00:00:00"/>
        <d v="2000-07-03T00:00:00"/>
        <d v="1987-07-14T00:00:00"/>
        <d v="1996-06-30T00:00:00"/>
        <d v="1995-12-23T00:00:00"/>
        <d v="1979-05-22T00:00:00"/>
        <d v="1973-11-08T00:00:00"/>
        <d v="1975-10-01T00:00:00"/>
        <d v="1993-11-22T00:00:00"/>
        <d v="1974-04-19T00:00:00"/>
        <d v="1984-11-20T00:00:00"/>
        <d v="1992-07-08T00:00:00"/>
        <d v="1993-11-12T00:00:00"/>
        <d v="1982-08-06T00:00:00"/>
        <d v="1989-05-25T00:00:00"/>
        <d v="1989-10-24T00:00:00"/>
        <d v="1974-02-15T00:00:00"/>
        <d v="1990-10-01T00:00:00"/>
        <d v="1990-06-08T00:00:00"/>
        <d v="1990-01-20T00:00:00"/>
        <d v="1997-06-30T00:00:00"/>
        <d v="1983-10-12T00:00:00"/>
        <d v="1996-08-17T00:00:00"/>
        <d v="1974-08-08T00:00:00"/>
        <d v="2000-08-11T00:00:00"/>
        <d v="1974-10-08T00:00:00"/>
        <d v="1996-04-28T00:00:00"/>
        <d v="1968-02-11T00:00:00"/>
        <d v="1991-03-14T00:00:00"/>
        <d v="1973-07-21T00:00:00"/>
        <d v="1988-01-15T00:00:00"/>
        <d v="1981-10-22T00:00:00"/>
        <d v="1999-12-11T00:00:00"/>
        <d v="1975-07-04T00:00:00"/>
        <d v="1996-05-06T00:00:00"/>
        <d v="2004-10-03T00:00:00"/>
        <d v="2001-07-20T00:00:00"/>
        <d v="1999-04-05T00:00:00"/>
        <d v="1994-12-04T00:00:00"/>
        <d v="1972-09-09T00:00:00"/>
        <d v="1989-08-22T00:00:00"/>
        <d v="1992-01-10T00:00:00"/>
        <d v="1993-01-23T00:00:00"/>
        <d v="1995-09-20T00:00:00"/>
        <d v="2000-09-24T00:00:00"/>
        <d v="1972-04-14T00:00:00"/>
        <d v="1993-07-26T00:00:00"/>
        <d v="1974-03-03T00:00:00"/>
        <d v="1978-10-10T00:00:00"/>
        <d v="1996-06-16T00:00:00"/>
        <d v="1994-06-15T00:00:00"/>
        <d v="1986-12-30T00:00:00"/>
        <d v="1984-06-10T00:00:00"/>
        <d v="1984-04-06T00:00:00"/>
        <d v="1987-06-07T00:00:00"/>
        <d v="1993-05-24T00:00:00"/>
        <d v="1977-12-29T00:00:00"/>
        <d v="1996-05-13T00:00:00"/>
        <d v="1982-10-28T00:00:00"/>
        <d v="1996-10-06T00:00:00"/>
        <d v="1968-05-24T00:00:00"/>
        <d v="1994-05-28T00:00:00"/>
        <d v="1999-11-17T00:00:00"/>
        <d v="1982-02-09T00:00:00"/>
        <d v="1976-09-01T00:00:00"/>
        <d v="1984-05-05T00:00:00"/>
        <d v="1993-09-29T00:00:00"/>
        <d v="1993-05-26T00:00:00"/>
        <d v="1993-11-14T00:00:00"/>
        <d v="1999-09-21T00:00:00"/>
        <d v="1997-06-20T00:00:00"/>
        <d v="1993-01-04T00:00:00"/>
        <d v="1976-10-23T00:00:00"/>
        <d v="1990-02-26T00:00:00"/>
        <d v="1992-06-01T00:00:00"/>
        <d v="1997-08-24T00:00:00"/>
        <d v="1995-11-18T00:00:00"/>
        <d v="1976-09-24T00:00:00"/>
        <d v="1982-08-30T00:00:00"/>
        <d v="1975-07-22T00:00:00"/>
        <d v="2001-08-07T00:00:00"/>
        <d v="1997-12-05T00:00:00"/>
        <d v="1991-06-28T00:00:00"/>
        <d v="1995-09-13T00:00:00"/>
        <d v="1989-05-18T00:00:00"/>
        <d v="1989-10-21T00:00:00"/>
        <d v="1998-04-29T00:00:00"/>
        <d v="2000-05-09T00:00:00"/>
        <d v="1961-01-28T00:00:00"/>
        <d v="1981-04-28T00:00:00"/>
        <d v="2003-05-15T00:00:00"/>
        <d v="1999-05-31T00:00:00"/>
        <d v="1998-12-08T00:00:00"/>
        <d v="1987-08-17T00:00:00"/>
        <d v="2004-01-09T00:00:00"/>
        <d v="1975-06-30T00:00:00"/>
        <d v="2003-07-30T00:00:00"/>
        <d v="1993-03-15T00:00:00"/>
        <d v="1994-07-09T00:00:00"/>
        <d v="1987-08-12T00:00:00"/>
        <d v="1981-12-20T00:00:00"/>
        <d v="1995-10-12T00:00:00"/>
        <d v="1992-02-23T00:00:00"/>
        <d v="1965-04-03T00:00:00"/>
        <d v="1982-12-03T00:00:00"/>
        <d v="1966-03-26T00:00:00"/>
        <d v="1983-09-28T00:00:00"/>
        <d v="1984-07-17T00:00:00"/>
        <d v="1984-12-11T00:00:00"/>
        <d v="1982-03-07T00:00:00"/>
        <d v="1989-07-01T00:00:00"/>
        <d v="1977-08-18T00:00:00"/>
        <d v="1997-04-12T00:00:00"/>
        <d v="1981-01-20T00:00:00"/>
        <d v="1981-08-05T00:00:00"/>
        <d v="1994-03-11T00:00:00"/>
        <d v="1990-07-13T00:00:00"/>
        <d v="1985-08-24T00:00:00"/>
        <d v="1980-09-26T00:00:00"/>
        <d v="1981-08-02T00:00:00"/>
        <d v="1980-06-12T00:00:00"/>
        <d v="2002-04-07T00:00:00"/>
        <d v="1972-08-28T00:00:00"/>
        <d v="1991-12-21T00:00:00"/>
        <d v="1979-12-21T00:00:00"/>
        <d v="1988-02-05T00:00:00"/>
        <d v="1991-02-15T00:00:00"/>
        <d v="1987-03-24T00:00:00"/>
        <d v="1990-12-03T00:00:00"/>
        <d v="1982-04-23T00:00:00"/>
        <d v="1968-10-14T00:00:00"/>
        <d v="1987-02-04T00:00:00"/>
        <d v="2000-07-30T00:00:00"/>
        <d v="1983-11-05T00:00:00"/>
        <d v="1977-03-06T00:00:00"/>
        <d v="1968-04-06T00:00:00"/>
        <d v="1968-05-19T00:00:00"/>
        <d v="1974-02-28T00:00:00"/>
        <d v="1991-03-18T00:00:00" u="1"/>
        <d v="1998-01-12T00:00:00" u="1"/>
        <d v="1979-04-06T00:00:00" u="1"/>
        <d v="1988-10-18T00:00:00" u="1"/>
        <d v="1988-05-22T00:00:00" u="1"/>
        <d v="1992-01-29T00:00:00" u="1"/>
        <d v="1992-07-25T00:00:00" u="1"/>
        <d v="1991-11-06T00:00:00" u="1"/>
        <d v="1993-12-21T00:00:00" u="1"/>
        <d v="1982-03-24T00:00:00" u="1"/>
        <d v="1988-08-28T00:00:00" u="1"/>
        <d v="2003-02-02T00:00:00" u="1"/>
        <d v="1993-02-25T00:00:00" u="1"/>
        <d v="1995-08-04T00:00:00" u="1"/>
        <d v="1994-12-22T00:00:00" u="1"/>
        <d v="1995-12-22T00:00:00" u="1"/>
        <d v="1993-11-07T00:00:00" u="1"/>
        <d v="1990-11-27T00:00:00" u="1"/>
        <d v="1990-07-11T00:00:00" u="1"/>
        <d v="1981-08-13T00:00:00" u="1"/>
        <d v="2000-09-29T00:00:00" u="1"/>
        <d v="2004-04-12T00:00:00" u="1"/>
        <d v="2001-03-11T00:00:00" u="1"/>
        <d v="2002-12-30T00:00:00" u="1"/>
        <d v="1994-10-02T00:00:00" u="1"/>
        <d v="1998-09-22T00:00:00" u="1"/>
        <d v="1993-11-24T00:00:00" u="1"/>
        <d v="1995-05-17T00:00:00" u="1"/>
        <d v="1998-05-20T00:00:00" u="1"/>
        <d v="1992-11-16T00:00:00" u="1"/>
        <d v="1994-12-07T00:00:00" u="1"/>
        <d v="1996-11-06T00:00:00" u="1"/>
        <d v="1995-04-07T00:00:00" u="1"/>
        <d v="1994-05-04T00:00:00" u="1"/>
        <d v="1995-11-13T00:00:00" u="1"/>
        <d v="1994-09-25T00:00:00" u="1"/>
        <d v="1998-09-20T00:00:00" u="1"/>
        <d v="1997-04-11T00:00:00" u="1"/>
        <d v="1994-05-16T00:00:00" u="1"/>
        <d v="1992-11-24T00:00:00" u="1"/>
        <d v="1994-06-02T00:00:00" u="1"/>
        <d v="1996-01-11T00:00:00" u="1"/>
        <d v="1995-01-29T00:00:00" u="1"/>
        <d v="1993-02-05T00:00:00" u="1"/>
        <d v="1995-01-25T00:00:00" u="1"/>
        <d v="2000-06-30T00:00:00" u="1"/>
        <d v="1999-01-17T00:00:00" u="1"/>
        <d v="1996-09-20T00:00:00" u="1"/>
        <d v="1999-12-22T00:00:00" u="1"/>
        <d v="1996-09-27T00:00:00" u="1"/>
        <d v="1996-09-16T00:00:00" u="1"/>
        <d v="1995-01-28T00:00:00" u="1"/>
        <d v="1993-10-03T00:00:00" u="1"/>
        <d v="1995-05-14T00:00:00" u="1"/>
        <d v="1996-01-01T00:00:00" u="1"/>
        <d v="1996-02-27T00:00:00" u="1"/>
        <d v="1993-10-26T00:00:00" u="1"/>
        <d v="1992-10-19T00:00:00" u="1"/>
        <d v="1994-12-31T00:00:00" u="1"/>
        <d v="1996-01-28T00:00:00" u="1"/>
        <d v="1998-11-04T00:00:00" u="1"/>
        <d v="1995-10-11T00:00:00" u="1"/>
        <d v="1994-01-08T00:00:00" u="1"/>
        <d v="1997-03-11T00:00:00" u="1"/>
        <d v="1993-02-17T00:00:00" u="1"/>
        <d v="1995-12-17T00:00:00" u="1"/>
        <d v="1994-05-22T00:00:00" u="1"/>
        <d v="1995-04-14T00:00:00" u="1"/>
        <d v="1995-12-04T00:00:00" u="1"/>
        <d v="1990-06-04T00:00:00" u="1"/>
        <d v="1985-04-24T00:00:00" u="1"/>
        <d v="1991-04-10T00:00:00" u="1"/>
        <d v="1985-01-19T00:00:00" u="1"/>
        <d v="1987-05-17T00:00:00" u="1"/>
        <d v="1985-07-22T00:00:00" u="1"/>
        <d v="1990-05-12T00:00:00" u="1"/>
        <d v="1987-07-29T00:00:00" u="1"/>
        <d v="1987-02-08T00:00:00" u="1"/>
        <d v="1988-03-13T00:00:00" u="1"/>
        <d v="1984-05-26T00:00:00" u="1"/>
        <d v="1986-01-21T00:00:00" u="1"/>
        <d v="1988-05-28T00:00:00" u="1"/>
        <d v="1986-03-02T00:00:00" u="1"/>
        <d v="1987-04-01T00:00:00" u="1"/>
        <d v="1984-02-26T00:00:00" u="1"/>
        <d v="1988-08-15T00:00:00" u="1"/>
        <d v="1986-08-07T00:00:00" u="1"/>
        <d v="1985-05-27T00:00:00" u="1"/>
        <d v="1989-11-20T00:00:00" u="1"/>
        <d v="1984-10-23T00:00:00" u="1"/>
        <d v="1991-01-19T00:00:00" u="1"/>
        <d v="1989-03-31T00:00:00" u="1"/>
        <d v="1990-10-07T00:00:00" u="1"/>
        <d v="1986-05-19T00:00:00" u="1"/>
        <d v="1988-11-08T00:00:00" u="1"/>
        <d v="1992-03-25T00:00:00" u="1"/>
        <d v="1988-08-04T00:00:00" u="1"/>
        <d v="1984-03-31T00:00:00" u="1"/>
        <d v="1988-01-18T00:00:00" u="1"/>
        <d v="1984-09-02T00:00:00" u="1"/>
        <d v="1991-12-02T00:00:00" u="1"/>
        <d v="1988-08-16T00:00:00" u="1"/>
        <d v="1986-01-17T00:00:00" u="1"/>
        <d v="1991-08-17T00:00:00" u="1"/>
        <d v="1990-08-09T00:00:00" u="1"/>
        <d v="1991-01-14T00:00:00" u="1"/>
        <d v="1983-08-14T00:00:00" u="1"/>
        <d v="1978-09-24T00:00:00" u="1"/>
        <d v="1974-12-23T00:00:00" u="1"/>
        <d v="1979-06-28T00:00:00" u="1"/>
        <d v="1980-07-17T00:00:00" u="1"/>
        <d v="1980-11-27T00:00:00" u="1"/>
        <d v="1978-09-10T00:00:00" u="1"/>
        <d v="1980-12-20T00:00:00" u="1"/>
        <d v="1976-12-13T00:00:00" u="1"/>
        <d v="1983-07-28T00:00:00" u="1"/>
        <d v="1982-07-10T00:00:00" u="1"/>
        <d v="1977-11-17T00:00:00" u="1"/>
        <d v="1979-11-25T00:00:00" u="1"/>
        <d v="1979-04-17T00:00:00" u="1"/>
        <d v="1982-12-25T00:00:00" u="1"/>
        <d v="1979-06-16T00:00:00" u="1"/>
        <d v="1981-09-19T00:00:00" u="1"/>
        <d v="1980-06-04T00:00:00" u="1"/>
        <d v="1978-02-22T00:00:00" u="1"/>
        <d v="1978-10-20T00:00:00" u="1"/>
        <d v="1975-09-13T00:00:00" u="1"/>
        <d v="1982-01-03T00:00:00" u="1"/>
        <d v="1972-01-20T00:00:00" u="1"/>
        <d v="1971-03-05T00:00:00" u="1"/>
        <d v="1971-02-07T00:00:00" u="1"/>
        <d v="1969-06-30T00:00:00" u="1"/>
        <d v="1974-02-04T00:00:00" u="1"/>
        <d v="1974-08-13T00:00:00" u="1"/>
        <d v="1974-07-27T00:00:00" u="1"/>
        <d v="1972-08-18T00:00:00" u="1"/>
        <d v="1968-05-10T00:00:00" u="1"/>
        <d v="1968-09-09T00:00:00" u="1"/>
        <d v="1973-11-04T00:00:00" u="1"/>
        <d v="1965-08-22T00:00:00" u="1"/>
        <d v="1995-10-19T00:00:00" u="1"/>
        <d v="1995-07-19T00:00:00" u="1"/>
        <d v="1984-03-18T00:00:00" u="1"/>
        <d v="1988-09-12T00:00:00" u="1"/>
        <d v="1972-12-04T00:00:00" u="1"/>
        <d v="1968-02-29T00:00:00" u="1"/>
        <d v="2000-11-09T00:00:00" u="1"/>
        <d v="1988-07-15T00:00:00" u="1"/>
        <d v="1984-07-02T00:00:00" u="1"/>
        <d v="1988-12-14T00:00:00" u="1"/>
        <d v="1972-10-24T00:00:00" u="1"/>
        <d v="1971-09-23T00:00:00" u="1"/>
        <d v="1968-11-09T00:00:00" u="1"/>
        <d v="1984-10-03T00:00:00" u="1"/>
        <d v="2000-07-19T00:00:00" u="1"/>
        <d v="1998-06-10T00:00:00" u="1"/>
        <d v="1995-06-03T00:00:00" u="1"/>
        <d v="2000-07-06T00:00:00" u="1"/>
        <d v="1993-12-07T00:00:00" u="1"/>
        <d v="1990-08-25T00:00:00" u="1"/>
        <d v="1987-08-02T00:00:00" u="1"/>
        <d v="1988-12-20T00:00:00" u="1"/>
        <d v="1984-04-22T00:00:00" u="1"/>
        <d v="1976-02-28T00:00:00" u="1"/>
        <d v="1964-02-10T00:00:00" u="1"/>
        <d v="2001-06-13T00:00:00" u="1"/>
        <d v="1994-10-22T00:00:00" u="1"/>
        <d v="1998-12-25T00:00:00" u="1"/>
        <d v="1990-11-11T00:00:00" u="1"/>
        <d v="1984-10-01T00:00:00" u="1"/>
        <d v="1989-04-30T00:00:00" u="1"/>
        <d v="1988-05-18T00:00:00" u="1"/>
        <d v="1986-02-14T00:00:00" u="1"/>
        <d v="1989-04-08T00:00:00" u="1"/>
        <d v="1991-02-25T00:00:00" u="1"/>
        <d v="1984-01-09T00:00:00" u="1"/>
        <d v="1977-04-19T00:00:00" u="1"/>
        <d v="1976-01-16T00:00:00" u="1"/>
        <d v="1976-06-24T00:00:00" u="1"/>
        <d v="1982-08-25T00:00:00" u="1"/>
        <d v="2005-02-11T00:00:00" u="1"/>
        <d v="1993-12-17T00:00:00" u="1"/>
        <d v="1993-08-15T00:00:00" u="1"/>
        <d v="1996-05-14T00:00:00" u="1"/>
        <d v="1985-05-14T00:00:00" u="1"/>
        <d v="1983-12-11T00:00:00" u="1"/>
        <d v="1997-10-02T00:00:00" u="1"/>
        <d v="1993-06-14T00:00:00" u="1"/>
        <d v="1993-08-10T00:00:00" u="1"/>
        <d v="1997-08-14T00:00:00" u="1"/>
        <d v="1994-11-12T00:00:00" u="1"/>
        <d v="1994-09-17T00:00:00" u="1"/>
        <d v="2000-02-22T00:00:00" u="1"/>
        <d v="1985-04-16T00:00:00" u="1"/>
        <d v="1986-11-30T00:00:00" u="1"/>
        <d v="1985-02-06T00:00:00" u="1"/>
        <d v="1988-11-06T00:00:00" u="1"/>
        <d v="1982-05-20T00:00:00" u="1"/>
        <d v="1980-07-08T00:00:00" u="1"/>
        <d v="1983-01-23T00:00:00" u="1"/>
        <d v="1985-08-28T00:00:00" u="1"/>
        <d v="1983-12-21T00:00:00" u="1"/>
        <d v="1967-10-31T00:00:00" u="1"/>
        <d v="1988-06-12T00:00:00" u="1"/>
        <d v="1970-07-17T00:00:00" u="1"/>
        <d v="2005-05-15T00:00:00" u="1"/>
        <d v="2002-06-09T00:00:00" u="1"/>
        <d v="2001-09-05T00:00:00" u="1"/>
        <d v="1999-12-06T00:00:00" u="1"/>
        <d v="1996-04-13T00:00:00" u="1"/>
        <d v="1997-07-26T00:00:00" u="1"/>
        <d v="1994-11-19T00:00:00" u="1"/>
        <d v="1995-07-24T00:00:00" u="1"/>
        <d v="1998-03-28T00:00:00" u="1"/>
        <d v="1996-06-26T00:00:00" u="1"/>
        <d v="1997-02-26T00:00:00" u="1"/>
        <d v="1995-07-28T00:00:00" u="1"/>
        <d v="1993-12-05T00:00:00" u="1"/>
        <d v="1998-08-20T00:00:00" u="1"/>
        <d v="1996-06-05T00:00:00" u="1"/>
        <d v="1983-11-02T00:00:00" u="1"/>
        <d v="1986-11-04T00:00:00" u="1"/>
        <d v="1990-01-30T00:00:00" u="1"/>
        <d v="1988-01-01T00:00:00" u="1"/>
        <d v="1988-03-21T00:00:00" u="1"/>
        <d v="1990-06-11T00:00:00" u="1"/>
        <d v="1988-02-24T00:00:00" u="1"/>
        <d v="1979-07-15T00:00:00" u="1"/>
        <d v="1977-07-29T00:00:00" u="1"/>
        <d v="1980-11-12T00:00:00" u="1"/>
        <d v="1974-10-20T00:00:00" u="1"/>
        <d v="1977-04-02T00:00:00" u="1"/>
        <d v="1975-03-16T00:00:00" u="1"/>
        <d v="1982-03-26T00:00:00" u="1"/>
        <d v="1976-05-14T00:00:00" u="1"/>
        <d v="1979-01-07T00:00:00" u="1"/>
        <d v="1968-07-10T00:00:00" u="1"/>
        <d v="1971-03-02T00:00:00" u="1"/>
        <d v="1974-02-08T00:00:00" u="1"/>
        <d v="1995-04-05T00:00:00" u="1"/>
        <d v="1986-07-30T00:00:00" u="1"/>
        <d v="1972-04-02T00:00:00" u="1"/>
        <d v="1973-05-23T00:00:00" u="1"/>
        <d v="1970-04-10T00:00:00" u="1"/>
        <d v="1961-08-26T00:00:00" u="1"/>
        <d v="1992-10-10T00:00:00" u="1"/>
        <d v="1985-11-08T00:00:00" u="1"/>
        <d v="1981-10-28T00:00:00" u="1"/>
        <d v="1980-10-01T00:00:00" u="1"/>
        <d v="1983-06-15T00:00:00" u="1"/>
        <d v="1965-09-24T00:00:00" u="1"/>
        <d v="1996-07-23T00:00:00" u="1"/>
        <d v="1987-09-27T00:00:00" u="1"/>
        <d v="1991-04-25T00:00:00" u="1"/>
        <d v="1990-03-14T00:00:00" u="1"/>
        <d v="1992-01-02T00:00:00" u="1"/>
        <d v="1981-11-25T00:00:00" u="1"/>
        <d v="1970-02-01T00:00:00" u="1"/>
        <d v="2002-09-06T00:00:00" u="1"/>
        <d v="2002-12-08T00:00:00" u="1"/>
        <d v="2002-07-03T00:00:00" u="1"/>
        <d v="2000-12-04T00:00:00" u="1"/>
        <d v="2002-08-29T00:00:00" u="1"/>
        <d v="2003-01-19T00:00:00" u="1"/>
        <d v="2000-10-26T00:00:00" u="1"/>
        <d v="2002-01-02T00:00:00" u="1"/>
        <d v="1997-05-05T00:00:00" u="1"/>
        <d v="1999-07-20T00:00:00" u="1"/>
        <d v="1995-05-06T00:00:00" u="1"/>
        <d v="1994-04-23T00:00:00" u="1"/>
        <d v="1993-01-17T00:00:00" u="1"/>
        <d v="1997-11-30T00:00:00" u="1"/>
        <d v="1997-12-27T00:00:00" u="1"/>
        <d v="1996-12-14T00:00:00" u="1"/>
        <d v="1999-05-02T00:00:00" u="1"/>
        <d v="1999-10-26T00:00:00" u="1"/>
        <d v="1997-06-04T00:00:00" u="1"/>
        <d v="1992-10-17T00:00:00" u="1"/>
        <d v="1999-10-21T00:00:00" u="1"/>
        <d v="1994-01-16T00:00:00" u="1"/>
        <d v="1995-05-10T00:00:00" u="1"/>
        <d v="1996-05-10T00:00:00" u="1"/>
        <d v="1997-08-25T00:00:00" u="1"/>
        <d v="1995-01-01T00:00:00" u="1"/>
        <d v="1998-09-16T00:00:00" u="1"/>
        <d v="1994-01-18T00:00:00" u="1"/>
        <d v="1999-06-21T00:00:00" u="1"/>
        <d v="1995-11-04T00:00:00" u="1"/>
        <d v="1993-06-22T00:00:00" u="1"/>
        <d v="1992-10-24T00:00:00" u="1"/>
        <d v="2000-01-18T00:00:00" u="1"/>
        <d v="1993-07-06T00:00:00" u="1"/>
        <d v="1995-09-22T00:00:00" u="1"/>
        <d v="1996-01-16T00:00:00" u="1"/>
        <d v="1994-02-04T00:00:00" u="1"/>
        <d v="1992-09-25T00:00:00" u="1"/>
        <d v="1993-11-08T00:00:00" u="1"/>
        <d v="1997-07-27T00:00:00" u="1"/>
        <d v="1996-05-08T00:00:00" u="1"/>
        <d v="1995-09-26T00:00:00" u="1"/>
        <d v="1992-10-06T00:00:00" u="1"/>
        <d v="1992-09-28T00:00:00" u="1"/>
        <d v="1994-05-06T00:00:00" u="1"/>
        <d v="1996-11-19T00:00:00" u="1"/>
        <d v="1993-11-28T00:00:00" u="1"/>
        <d v="1997-12-02T00:00:00" u="1"/>
        <d v="1998-03-16T00:00:00" u="1"/>
        <d v="1997-12-04T00:00:00" u="1"/>
        <d v="1997-08-16T00:00:00" u="1"/>
        <d v="1994-09-12T00:00:00" u="1"/>
        <d v="1990-08-06T00:00:00" u="1"/>
        <d v="1989-09-17T00:00:00" u="1"/>
        <d v="1987-05-13T00:00:00" u="1"/>
        <d v="1988-01-26T00:00:00" u="1"/>
        <d v="1986-12-19T00:00:00" u="1"/>
        <d v="1987-01-06T00:00:00" u="1"/>
        <d v="1990-12-10T00:00:00" u="1"/>
        <d v="1987-01-31T00:00:00" u="1"/>
        <d v="1983-11-28T00:00:00" u="1"/>
        <d v="1991-07-05T00:00:00" u="1"/>
        <d v="1987-06-11T00:00:00" u="1"/>
        <d v="1985-03-06T00:00:00" u="1"/>
        <d v="1986-01-12T00:00:00" u="1"/>
        <d v="1990-06-28T00:00:00" u="1"/>
        <d v="1989-06-05T00:00:00" u="1"/>
        <d v="1984-04-25T00:00:00" u="1"/>
        <d v="1988-10-24T00:00:00" u="1"/>
        <d v="1990-06-16T00:00:00" u="1"/>
        <d v="1987-08-06T00:00:00" u="1"/>
        <d v="1987-10-27T00:00:00" u="1"/>
        <d v="1990-07-17T00:00:00" u="1"/>
        <d v="1988-10-20T00:00:00" u="1"/>
        <d v="1989-12-17T00:00:00" u="1"/>
        <d v="1988-04-01T00:00:00" u="1"/>
        <d v="1984-01-28T00:00:00" u="1"/>
        <d v="1987-03-11T00:00:00" u="1"/>
        <d v="1986-11-26T00:00:00" u="1"/>
        <d v="1991-09-23T00:00:00" u="1"/>
        <d v="1988-12-18T00:00:00" u="1"/>
        <d v="1985-06-27T00:00:00" u="1"/>
        <d v="1985-09-08T00:00:00" u="1"/>
        <d v="1991-01-30T00:00:00" u="1"/>
        <d v="1990-05-16T00:00:00" u="1"/>
        <d v="1986-03-01T00:00:00" u="1"/>
        <d v="1989-01-10T00:00:00" u="1"/>
        <d v="1992-05-07T00:00:00" u="1"/>
        <d v="1992-02-05T00:00:00" u="1"/>
        <d v="1987-07-13T00:00:00" u="1"/>
        <d v="1989-02-13T00:00:00" u="1"/>
        <d v="1992-01-31T00:00:00" u="1"/>
        <d v="1986-10-07T00:00:00" u="1"/>
        <d v="1985-07-31T00:00:00" u="1"/>
        <d v="1990-05-30T00:00:00" u="1"/>
        <d v="1987-07-05T00:00:00" u="1"/>
        <d v="1992-06-23T00:00:00" u="1"/>
        <d v="1990-05-13T00:00:00" u="1"/>
        <d v="1985-06-12T00:00:00" u="1"/>
        <d v="1990-04-30T00:00:00" u="1"/>
        <d v="1986-11-28T00:00:00" u="1"/>
        <d v="1991-09-19T00:00:00" u="1"/>
        <d v="1984-07-23T00:00:00" u="1"/>
        <d v="1989-09-03T00:00:00" u="1"/>
        <d v="1991-03-24T00:00:00" u="1"/>
        <d v="1988-02-28T00:00:00" u="1"/>
        <d v="1987-06-28T00:00:00" u="1"/>
        <d v="1985-11-27T00:00:00" u="1"/>
        <d v="1984-02-24T00:00:00" u="1"/>
        <d v="1985-07-23T00:00:00" u="1"/>
        <d v="1986-05-25T00:00:00" u="1"/>
        <d v="1987-06-17T00:00:00" u="1"/>
        <d v="1990-07-22T00:00:00" u="1"/>
        <d v="1985-05-02T00:00:00" u="1"/>
        <d v="1988-12-22T00:00:00" u="1"/>
        <d v="1985-04-20T00:00:00" u="1"/>
        <d v="1990-09-13T00:00:00" u="1"/>
        <d v="1990-02-24T00:00:00" u="1"/>
        <d v="1981-09-25T00:00:00" u="1"/>
        <d v="1978-01-07T00:00:00" u="1"/>
        <d v="1978-02-05T00:00:00" u="1"/>
        <d v="1979-12-04T00:00:00" u="1"/>
        <d v="1975-06-20T00:00:00" u="1"/>
        <d v="1978-08-23T00:00:00" u="1"/>
        <d v="1980-10-02T00:00:00" u="1"/>
        <d v="1981-07-06T00:00:00" u="1"/>
        <d v="1982-11-05T00:00:00" u="1"/>
        <d v="1975-10-27T00:00:00" u="1"/>
        <d v="1975-04-03T00:00:00" u="1"/>
        <d v="1978-02-01T00:00:00" u="1"/>
        <d v="1978-04-26T00:00:00" u="1"/>
        <d v="1980-10-13T00:00:00" u="1"/>
        <d v="1981-08-16T00:00:00" u="1"/>
        <d v="1981-06-29T00:00:00" u="1"/>
        <d v="1976-07-25T00:00:00" u="1"/>
        <d v="1980-02-14T00:00:00" u="1"/>
        <d v="1979-02-08T00:00:00" u="1"/>
        <d v="1981-01-03T00:00:00" u="1"/>
        <d v="1978-12-04T00:00:00" u="1"/>
        <d v="1982-09-30T00:00:00" u="1"/>
        <d v="1981-03-11T00:00:00" u="1"/>
        <d v="1977-07-17T00:00:00" u="1"/>
        <d v="1976-05-26T00:00:00" u="1"/>
        <d v="1977-08-11T00:00:00" u="1"/>
        <d v="1976-10-27T00:00:00" u="1"/>
        <d v="1979-01-21T00:00:00" u="1"/>
        <d v="1979-05-16T00:00:00" u="1"/>
        <d v="1977-04-11T00:00:00" u="1"/>
        <d v="1978-06-14T00:00:00" u="1"/>
        <d v="1982-07-15T00:00:00" u="1"/>
        <d v="1977-01-11T00:00:00" u="1"/>
        <d v="1978-01-31T00:00:00" u="1"/>
        <d v="1981-01-06T00:00:00" u="1"/>
        <d v="1983-04-20T00:00:00" u="1"/>
        <d v="1977-12-15T00:00:00" u="1"/>
        <d v="1980-07-13T00:00:00" u="1"/>
        <d v="1977-05-06T00:00:00" u="1"/>
        <d v="1977-07-14T00:00:00" u="1"/>
        <d v="1980-09-23T00:00:00" u="1"/>
        <d v="1978-04-18T00:00:00" u="1"/>
        <d v="1980-11-11T00:00:00" u="1"/>
        <d v="1979-05-02T00:00:00" u="1"/>
        <d v="1977-05-12T00:00:00" u="1"/>
        <d v="1977-08-08T00:00:00" u="1"/>
        <d v="1978-05-29T00:00:00" u="1"/>
        <d v="1983-08-01T00:00:00" u="1"/>
        <d v="1976-12-22T00:00:00" u="1"/>
        <d v="1983-08-16T00:00:00" u="1"/>
        <d v="1980-05-03T00:00:00" u="1"/>
        <d v="1981-09-15T00:00:00" u="1"/>
        <d v="1976-12-09T00:00:00" u="1"/>
        <d v="1976-11-29T00:00:00" u="1"/>
        <d v="1982-08-02T00:00:00" u="1"/>
        <d v="1982-10-01T00:00:00" u="1"/>
        <d v="1977-02-08T00:00:00" u="1"/>
        <d v="1976-04-18T00:00:00" u="1"/>
        <d v="1976-03-06T00:00:00" u="1"/>
        <d v="1981-06-04T00:00:00" u="1"/>
        <d v="1979-08-25T00:00:00" u="1"/>
        <d v="1980-08-01T00:00:00" u="1"/>
        <d v="1983-02-26T00:00:00" u="1"/>
        <d v="1977-04-13T00:00:00" u="1"/>
        <d v="1978-04-16T00:00:00" u="1"/>
        <d v="1980-12-16T00:00:00" u="1"/>
        <d v="1975-07-14T00:00:00" u="1"/>
        <d v="1973-05-28T00:00:00" u="1"/>
        <d v="1967-10-12T00:00:00" u="1"/>
        <d v="1972-03-20T00:00:00" u="1"/>
        <d v="1971-05-28T00:00:00" u="1"/>
        <d v="1973-01-10T00:00:00" u="1"/>
        <d v="1973-05-20T00:00:00" u="1"/>
        <d v="1973-08-23T00:00:00" u="1"/>
        <d v="1971-05-26T00:00:00" u="1"/>
        <d v="1974-07-18T00:00:00" u="1"/>
        <d v="1973-05-02T00:00:00" u="1"/>
        <d v="1965-11-25T00:00:00" u="1"/>
        <d v="1968-12-20T00:00:00" u="1"/>
        <d v="1967-02-08T00:00:00" u="1"/>
        <d v="1974-02-23T00:00:00" u="1"/>
        <d v="1974-06-03T00:00:00" u="1"/>
        <d v="1970-02-16T00:00:00" u="1"/>
        <d v="1966-09-20T00:00:00" u="1"/>
        <d v="1968-07-29T00:00:00" u="1"/>
        <d v="1974-07-26T00:00:00" u="1"/>
        <d v="1971-10-27T00:00:00" u="1"/>
        <d v="1967-08-13T00:00:00" u="1"/>
        <d v="1966-12-25T00:00:00" u="1"/>
        <d v="1973-08-03T00:00:00" u="1"/>
        <d v="1970-11-27T00:00:00" u="1"/>
        <d v="1974-04-09T00:00:00" u="1"/>
        <d v="1971-07-05T00:00:00" u="1"/>
        <d v="1972-12-18T00:00:00" u="1"/>
        <d v="1973-08-15T00:00:00" u="1"/>
        <d v="1967-03-03T00:00:00" u="1"/>
        <d v="1969-08-06T00:00:00" u="1"/>
        <d v="1971-12-23T00:00:00" u="1"/>
        <d v="1962-02-22T00:00:00" u="1"/>
        <d v="1965-07-26T00:00:00" u="1"/>
        <d v="1959-04-24T00:00:00" u="1"/>
        <d v="1965-05-09T00:00:00" u="1"/>
        <d v="1965-06-14T00:00:00" u="1"/>
        <d v="1965-05-17T00:00:00" u="1"/>
        <d v="2001-08-26T00:00:00" u="1"/>
        <d v="1996-10-25T00:00:00" u="1"/>
        <d v="1993-03-22T00:00:00" u="1"/>
        <d v="2001-12-06T00:00:00" u="1"/>
        <d v="1998-09-06T00:00:00" u="1"/>
        <d v="1995-10-31T00:00:00" u="1"/>
        <d v="1985-06-20T00:00:00" u="1"/>
        <d v="1986-09-06T00:00:00" u="1"/>
        <d v="1982-11-02T00:00:00" u="1"/>
        <d v="1967-04-22T00:00:00" u="1"/>
        <d v="2002-06-27T00:00:00" u="1"/>
        <d v="1992-01-16T00:00:00" u="1"/>
        <d v="1988-02-19T00:00:00" u="1"/>
        <d v="1982-11-13T00:00:00" u="1"/>
        <d v="1979-07-22T00:00:00" u="1"/>
        <d v="1973-12-24T00:00:00" u="1"/>
        <d v="1965-02-11T00:00:00" u="1"/>
        <d v="1990-11-21T00:00:00" u="1"/>
        <d v="1986-12-26T00:00:00" u="1"/>
        <d v="1984-06-19T00:00:00" u="1"/>
        <d v="1975-01-09T00:00:00" u="1"/>
        <d v="1976-11-14T00:00:00" u="1"/>
        <d v="1979-10-05T00:00:00" u="1"/>
        <d v="1980-10-03T00:00:00" u="1"/>
        <d v="1975-03-24T00:00:00" u="1"/>
        <d v="1981-02-10T00:00:00" u="1"/>
        <d v="1975-11-27T00:00:00" u="1"/>
        <d v="1975-04-21T00:00:00" u="1"/>
        <d v="1982-12-13T00:00:00" u="1"/>
        <d v="1971-02-06T00:00:00" u="1"/>
        <d v="1967-09-24T00:00:00" u="1"/>
        <d v="2003-01-16T00:00:00" u="1"/>
        <d v="2002-09-05T00:00:00" u="1"/>
        <d v="2005-02-07T00:00:00" u="1"/>
        <d v="2002-04-15T00:00:00" u="1"/>
        <d v="2002-12-06T00:00:00" u="1"/>
        <d v="2002-01-15T00:00:00" u="1"/>
        <d v="2002-01-21T00:00:00" u="1"/>
        <d v="2005-01-08T00:00:00" u="1"/>
        <d v="2001-01-26T00:00:00" u="1"/>
        <d v="2001-06-05T00:00:00" u="1"/>
        <d v="2004-01-31T00:00:00" u="1"/>
        <d v="2001-02-19T00:00:00" u="1"/>
        <d v="2002-07-01T00:00:00" u="1"/>
        <d v="2001-01-20T00:00:00" u="1"/>
        <d v="1995-04-17T00:00:00" u="1"/>
        <d v="1995-05-07T00:00:00" u="1"/>
        <d v="1995-07-11T00:00:00" u="1"/>
        <d v="1996-03-29T00:00:00" u="1"/>
        <d v="1996-08-13T00:00:00" u="1"/>
        <d v="1998-05-26T00:00:00" u="1"/>
        <d v="1999-01-18T00:00:00" u="1"/>
        <d v="1994-01-09T00:00:00" u="1"/>
        <d v="1994-10-15T00:00:00" u="1"/>
        <d v="1997-12-28T00:00:00" u="1"/>
        <d v="1998-04-12T00:00:00" u="1"/>
        <d v="1999-12-04T00:00:00" u="1"/>
        <d v="1995-06-30T00:00:00" u="1"/>
        <d v="1992-12-27T00:00:00" u="1"/>
        <d v="1996-08-26T00:00:00" u="1"/>
        <d v="1997-01-27T00:00:00" u="1"/>
        <d v="1996-09-07T00:00:00" u="1"/>
        <d v="2000-03-10T00:00:00" u="1"/>
        <d v="1997-02-09T00:00:00" u="1"/>
        <d v="1997-11-07T00:00:00" u="1"/>
        <d v="1995-02-14T00:00:00" u="1"/>
        <d v="1996-06-13T00:00:00" u="1"/>
        <d v="1992-09-21T00:00:00" u="1"/>
        <d v="1992-12-28T00:00:00" u="1"/>
        <d v="1999-10-08T00:00:00" u="1"/>
        <d v="1993-10-15T00:00:00" u="1"/>
        <d v="1996-06-08T00:00:00" u="1"/>
        <d v="1994-03-31T00:00:00" u="1"/>
        <d v="1992-10-27T00:00:00" u="1"/>
        <d v="1998-11-28T00:00:00" u="1"/>
        <d v="1996-02-05T00:00:00" u="1"/>
        <d v="1996-12-17T00:00:00" u="1"/>
        <d v="1994-06-17T00:00:00" u="1"/>
        <d v="1994-08-26T00:00:00" u="1"/>
        <d v="1997-09-03T00:00:00" u="1"/>
        <d v="1999-07-21T00:00:00" u="1"/>
        <d v="1992-11-18T00:00:00" u="1"/>
        <d v="1993-08-13T00:00:00" u="1"/>
        <d v="1996-05-19T00:00:00" u="1"/>
        <d v="1994-01-24T00:00:00" u="1"/>
        <d v="1991-09-20T00:00:00" u="1"/>
        <d v="1986-02-01T00:00:00" u="1"/>
        <d v="1984-11-01T00:00:00" u="1"/>
        <d v="1989-07-09T00:00:00" u="1"/>
        <d v="1984-01-01T00:00:00" u="1"/>
        <d v="1991-04-13T00:00:00" u="1"/>
        <d v="1986-07-27T00:00:00" u="1"/>
        <d v="1988-11-10T00:00:00" u="1"/>
        <d v="1989-09-06T00:00:00" u="1"/>
        <d v="1985-04-21T00:00:00" u="1"/>
        <d v="1985-04-09T00:00:00" u="1"/>
        <d v="1984-09-03T00:00:00" u="1"/>
        <d v="1988-12-08T00:00:00" u="1"/>
        <d v="1992-03-26T00:00:00" u="1"/>
        <d v="1990-10-26T00:00:00" u="1"/>
        <d v="1992-06-26T00:00:00" u="1"/>
        <d v="1986-02-09T00:00:00" u="1"/>
        <d v="1985-06-26T00:00:00" u="1"/>
        <d v="1988-04-28T00:00:00" u="1"/>
        <d v="1988-07-04T00:00:00" u="1"/>
        <d v="1985-06-07T00:00:00" u="1"/>
        <d v="1985-12-22T00:00:00" u="1"/>
        <d v="1989-01-15T00:00:00" u="1"/>
        <d v="1991-05-21T00:00:00" u="1"/>
        <d v="1987-11-14T00:00:00" u="1"/>
        <d v="1984-10-12T00:00:00" u="1"/>
        <d v="1984-02-25T00:00:00" u="1"/>
        <d v="1987-03-02T00:00:00" u="1"/>
        <d v="1985-01-07T00:00:00" u="1"/>
        <d v="1989-05-22T00:00:00" u="1"/>
        <d v="1985-09-14T00:00:00" u="1"/>
        <d v="1985-10-09T00:00:00" u="1"/>
        <d v="1988-08-09T00:00:00" u="1"/>
        <d v="1990-10-03T00:00:00" u="1"/>
        <d v="1986-01-05T00:00:00" u="1"/>
        <d v="1988-07-27T00:00:00" u="1"/>
        <d v="1991-05-19T00:00:00" u="1"/>
        <d v="1985-08-04T00:00:00" u="1"/>
        <d v="1989-09-01T00:00:00" u="1"/>
        <d v="1988-09-01T00:00:00" u="1"/>
        <d v="1990-08-03T00:00:00" u="1"/>
        <d v="1985-11-09T00:00:00" u="1"/>
        <d v="1987-08-30T00:00:00" u="1"/>
        <d v="1985-09-19T00:00:00" u="1"/>
        <d v="1989-10-07T00:00:00" u="1"/>
        <d v="1990-04-07T00:00:00" u="1"/>
        <d v="1984-06-09T00:00:00" u="1"/>
        <d v="1989-11-30T00:00:00" u="1"/>
        <d v="1984-02-03T00:00:00" u="1"/>
        <d v="1991-04-08T00:00:00" u="1"/>
        <d v="1984-02-07T00:00:00" u="1"/>
        <d v="1984-08-06T00:00:00" u="1"/>
        <d v="1991-05-18T00:00:00" u="1"/>
        <d v="1988-08-21T00:00:00" u="1"/>
        <d v="1991-11-23T00:00:00" u="1"/>
        <d v="1988-07-17T00:00:00" u="1"/>
        <d v="1991-07-06T00:00:00" u="1"/>
        <d v="1990-03-16T00:00:00" u="1"/>
        <d v="1987-07-08T00:00:00" u="1"/>
        <d v="1992-09-01T00:00:00" u="1"/>
        <d v="1988-01-10T00:00:00" u="1"/>
        <d v="1985-12-04T00:00:00" u="1"/>
        <d v="1988-02-15T00:00:00" u="1"/>
        <d v="1984-05-28T00:00:00" u="1"/>
        <d v="1979-04-18T00:00:00" u="1"/>
        <d v="1982-11-20T00:00:00" u="1"/>
        <d v="1980-10-10T00:00:00" u="1"/>
        <d v="1977-08-20T00:00:00" u="1"/>
        <d v="1980-12-04T00:00:00" u="1"/>
        <d v="1977-07-03T00:00:00" u="1"/>
        <d v="1976-12-06T00:00:00" u="1"/>
        <d v="1983-04-12T00:00:00" u="1"/>
        <d v="1974-10-17T00:00:00" u="1"/>
        <d v="1975-10-10T00:00:00" u="1"/>
        <d v="1982-04-09T00:00:00" u="1"/>
        <d v="1983-08-17T00:00:00" u="1"/>
        <d v="1981-10-07T00:00:00" u="1"/>
        <d v="1977-06-14T00:00:00" u="1"/>
        <d v="1980-03-05T00:00:00" u="1"/>
        <d v="1978-11-20T00:00:00" u="1"/>
        <d v="1976-02-26T00:00:00" u="1"/>
        <d v="1976-03-08T00:00:00" u="1"/>
        <d v="1983-09-03T00:00:00" u="1"/>
        <d v="1976-08-27T00:00:00" u="1"/>
        <d v="1980-06-23T00:00:00" u="1"/>
        <d v="1977-02-04T00:00:00" u="1"/>
        <d v="1975-09-05T00:00:00" u="1"/>
        <d v="1979-03-01T00:00:00" u="1"/>
        <d v="1982-06-20T00:00:00" u="1"/>
        <d v="1982-04-12T00:00:00" u="1"/>
        <d v="1979-12-19T00:00:00" u="1"/>
        <d v="1983-07-15T00:00:00" u="1"/>
        <d v="1983-03-20T00:00:00" u="1"/>
        <d v="1983-01-01T00:00:00" u="1"/>
        <d v="1983-08-18T00:00:00" u="1"/>
        <d v="1980-08-31T00:00:00" u="1"/>
        <d v="1977-10-11T00:00:00" u="1"/>
        <d v="1975-03-22T00:00:00" u="1"/>
        <d v="1976-02-17T00:00:00" u="1"/>
        <d v="1982-01-07T00:00:00" u="1"/>
        <d v="1980-06-06T00:00:00" u="1"/>
        <d v="1979-03-17T00:00:00" u="1"/>
        <d v="1977-12-24T00:00:00" u="1"/>
        <d v="1978-03-07T00:00:00" u="1"/>
        <d v="1980-06-07T00:00:00" u="1"/>
        <d v="1966-01-26T00:00:00" u="1"/>
        <d v="1971-08-14T00:00:00" u="1"/>
        <d v="1968-01-14T00:00:00" u="1"/>
        <d v="1974-08-16T00:00:00" u="1"/>
        <d v="1973-07-25T00:00:00" u="1"/>
        <d v="1970-02-21T00:00:00" u="1"/>
        <d v="1972-01-04T00:00:00" u="1"/>
        <d v="1972-08-02T00:00:00" u="1"/>
        <d v="1972-03-25T00:00:00" u="1"/>
        <d v="1971-09-30T00:00:00" u="1"/>
        <d v="1973-06-16T00:00:00" u="1"/>
        <d v="1974-07-21T00:00:00" u="1"/>
        <d v="1970-11-18T00:00:00" u="1"/>
        <d v="1968-06-10T00:00:00" u="1"/>
        <d v="1972-09-12T00:00:00" u="1"/>
        <d v="1973-05-04T00:00:00" u="1"/>
        <d v="1966-10-19T00:00:00" u="1"/>
        <d v="1969-11-13T00:00:00" u="1"/>
        <d v="1971-05-11T00:00:00" u="1"/>
        <d v="1973-09-29T00:00:00" u="1"/>
        <d v="1973-03-05T00:00:00" u="1"/>
        <d v="1969-01-03T00:00:00" u="1"/>
        <d v="1974-09-11T00:00:00" u="1"/>
        <d v="1973-04-12T00:00:00" u="1"/>
        <d v="1968-12-06T00:00:00" u="1"/>
        <d v="1966-07-07T00:00:00" u="1"/>
        <d v="1972-04-10T00:00:00" u="1"/>
        <d v="1971-01-22T00:00:00" u="1"/>
        <d v="1965-05-01T00:00:00" u="1"/>
        <d v="1963-08-18T00:00:00" u="1"/>
        <d v="1963-05-03T00:00:00" u="1"/>
        <d v="1963-07-08T00:00:00" u="1"/>
        <d v="1981-01-24T00:00:00" u="1"/>
        <d v="2004-12-22T00:00:00" u="1"/>
        <d v="1996-11-10T00:00:00" u="1"/>
        <d v="1995-03-13T00:00:00" u="1"/>
        <d v="1993-03-03T00:00:00" u="1"/>
        <d v="1994-01-05T00:00:00" u="1"/>
        <d v="1994-02-13T00:00:00" u="1"/>
        <d v="1984-12-02T00:00:00" u="1"/>
        <d v="1977-10-03T00:00:00" u="1"/>
        <d v="1998-05-18T00:00:00" u="1"/>
        <d v="1998-03-08T00:00:00" u="1"/>
        <d v="1996-03-13T00:00:00" u="1"/>
        <d v="1996-01-21T00:00:00" u="1"/>
        <d v="1992-07-14T00:00:00" u="1"/>
        <d v="1984-01-25T00:00:00" u="1"/>
        <d v="1989-04-17T00:00:00" u="1"/>
        <d v="1990-09-25T00:00:00" u="1"/>
        <d v="1988-08-03T00:00:00" u="1"/>
        <d v="1990-04-03T00:00:00" u="1"/>
        <d v="1982-08-21T00:00:00" u="1"/>
        <d v="1967-09-02T00:00:00" u="1"/>
        <d v="1968-06-13T00:00:00" u="1"/>
        <d v="1961-04-24T00:00:00" u="1"/>
        <d v="2001-08-24T00:00:00" u="1"/>
        <d v="1995-08-19T00:00:00" u="1"/>
        <d v="1997-03-03T00:00:00" u="1"/>
        <d v="2000-09-09T00:00:00" u="1"/>
        <d v="1993-01-05T00:00:00" u="1"/>
        <d v="1995-02-13T00:00:00" u="1"/>
        <d v="1983-12-31T00:00:00" u="1"/>
        <d v="1989-01-18T00:00:00" u="1"/>
        <d v="1987-07-09T00:00:00" u="1"/>
        <d v="1991-10-23T00:00:00" u="1"/>
        <d v="1984-05-29T00:00:00" u="1"/>
        <d v="1987-04-11T00:00:00" u="1"/>
        <d v="1985-07-11T00:00:00" u="1"/>
        <d v="1992-02-02T00:00:00" u="1"/>
        <d v="1986-03-31T00:00:00" u="1"/>
        <d v="1975-07-26T00:00:00" u="1"/>
        <d v="1979-03-05T00:00:00" u="1"/>
        <d v="1975-04-13T00:00:00" u="1"/>
        <d v="1979-07-27T00:00:00" u="1"/>
        <d v="1979-03-22T00:00:00" u="1"/>
        <d v="1983-06-06T00:00:00" u="1"/>
        <d v="1978-05-11T00:00:00" u="1"/>
        <d v="1974-01-11T00:00:00" u="1"/>
        <d v="1971-02-03T00:00:00" u="1"/>
        <d v="1969-05-05T00:00:00" u="1"/>
        <d v="1966-04-21T00:00:00" u="1"/>
        <d v="1965-07-13T00:00:00" u="1"/>
        <d v="1960-08-09T00:00:00" u="1"/>
        <d v="2000-09-11T00:00:00" u="1"/>
        <d v="1998-09-12T00:00:00" u="1"/>
        <d v="1998-04-13T00:00:00" u="1"/>
        <d v="1991-02-24T00:00:00" u="1"/>
        <d v="1974-03-11T00:00:00" u="1"/>
        <d v="1998-04-11T00:00:00" u="1"/>
        <d v="1988-10-16T00:00:00" u="1"/>
        <d v="1998-02-28T00:00:00" u="1"/>
        <d v="2004-08-13T00:00:00" u="1"/>
        <d v="2001-04-01T00:00:00" u="1"/>
        <d v="1996-05-23T00:00:00" u="1"/>
        <d v="2000-06-24T00:00:00" u="1"/>
        <d v="1993-11-09T00:00:00" u="1"/>
        <d v="1993-02-23T00:00:00" u="1"/>
        <d v="1992-08-06T00:00:00" u="1"/>
        <d v="1989-12-20T00:00:00" u="1"/>
        <d v="1986-03-19T00:00:00" u="1"/>
        <d v="1985-09-12T00:00:00" u="1"/>
        <d v="1977-01-31T00:00:00" u="1"/>
        <d v="1983-04-17T00:00:00" u="1"/>
        <d v="1981-09-12T00:00:00" u="1"/>
        <d v="1971-06-01T00:00:00" u="1"/>
        <d v="1966-10-05T00:00:00" u="1"/>
        <d v="1976-09-09T00:00:00" u="1"/>
        <d v="1973-01-04T00:00:00" u="1"/>
        <d v="1971-04-15T00:00:00" u="1"/>
        <d v="2004-02-20T00:00:00" u="1"/>
        <d v="1997-10-08T00:00:00" u="1"/>
        <d v="1993-03-29T00:00:00" u="1"/>
        <d v="1997-05-01T00:00:00" u="1"/>
        <d v="1999-10-01T00:00:00" u="1"/>
        <d v="1996-05-22T00:00:00" u="1"/>
        <d v="1987-02-23T00:00:00" u="1"/>
        <d v="1984-08-04T00:00:00" u="1"/>
        <d v="1986-02-04T00:00:00" u="1"/>
        <d v="1986-01-24T00:00:00" u="1"/>
        <d v="1984-02-04T00:00:00" u="1"/>
        <d v="1987-09-24T00:00:00" u="1"/>
        <d v="1986-01-22T00:00:00" u="1"/>
        <d v="1985-11-01T00:00:00" u="1"/>
        <d v="1991-08-09T00:00:00" u="1"/>
        <d v="1992-06-19T00:00:00" u="1"/>
        <d v="1989-09-15T00:00:00" u="1"/>
        <d v="1975-09-03T00:00:00" u="1"/>
        <d v="1982-05-12T00:00:00" u="1"/>
        <d v="1981-01-07T00:00:00" u="1"/>
        <d v="1981-03-14T00:00:00" u="1"/>
        <d v="1981-11-16T00:00:00" u="1"/>
        <d v="1980-05-09T00:00:00" u="1"/>
        <d v="1974-05-07T00:00:00" u="1"/>
        <d v="1971-09-05T00:00:00" u="1"/>
        <d v="1974-04-20T00:00:00" u="1"/>
        <d v="1963-03-14T00:00:00" u="1"/>
        <d v="1988-08-19T00:00:00" u="1"/>
        <d v="2005-05-23T00:00:00" u="1"/>
        <d v="1995-05-26T00:00:00" u="1"/>
        <d v="1990-10-16T00:00:00" u="1"/>
        <d v="1986-08-23T00:00:00" u="1"/>
        <d v="1983-03-08T00:00:00" u="1"/>
        <d v="1976-09-30T00:00:00" u="1"/>
        <d v="1979-10-12T00:00:00" u="1"/>
        <d v="1975-07-10T00:00:00" u="1"/>
        <d v="1974-11-22T00:00:00" u="1"/>
        <d v="1978-07-28T00:00:00" u="1"/>
        <d v="1972-11-12T00:00:00" u="1"/>
        <d v="1974-08-23T00:00:00" u="1"/>
        <d v="1963-03-25T00:00:00" u="1"/>
        <d v="2001-02-22T00:00:00" u="1"/>
        <d v="1984-04-21T00:00:00" u="1"/>
        <d v="1976-03-11T00:00:00" u="1"/>
        <d v="1973-11-28T00:00:00" u="1"/>
        <d v="1969-12-29T00:00:00" u="1"/>
        <d v="2001-06-29T00:00:00" u="1"/>
        <d v="2000-12-31T00:00:00" u="1"/>
        <d v="2000-12-09T00:00:00" u="1"/>
        <d v="1995-11-14T00:00:00" u="1"/>
        <d v="1997-09-18T00:00:00" u="1"/>
        <d v="1996-09-15T00:00:00" u="1"/>
        <d v="1996-07-18T00:00:00" u="1"/>
        <d v="1997-11-22T00:00:00" u="1"/>
        <d v="1999-08-26T00:00:00" u="1"/>
        <d v="1997-01-15T00:00:00" u="1"/>
        <d v="1994-04-27T00:00:00" u="1"/>
        <d v="1993-02-11T00:00:00" u="1"/>
        <d v="1991-02-20T00:00:00" u="1"/>
        <d v="1984-06-14T00:00:00" u="1"/>
        <d v="1985-04-18T00:00:00" u="1"/>
        <d v="1986-02-22T00:00:00" u="1"/>
        <d v="1988-02-02T00:00:00" u="1"/>
        <d v="1986-11-27T00:00:00" u="1"/>
        <d v="1992-06-17T00:00:00" u="1"/>
        <d v="1988-10-01T00:00:00" u="1"/>
        <d v="1979-12-14T00:00:00" u="1"/>
        <d v="1982-08-20T00:00:00" u="1"/>
        <d v="1981-06-08T00:00:00" u="1"/>
        <d v="1976-07-11T00:00:00" u="1"/>
        <d v="1976-11-28T00:00:00" u="1"/>
        <d v="1981-05-08T00:00:00" u="1"/>
        <d v="1966-11-16T00:00:00" u="1"/>
        <d v="1973-06-10T00:00:00" u="1"/>
        <d v="1969-04-05T00:00:00" u="1"/>
        <d v="1967-07-14T00:00:00" u="1"/>
        <d v="1969-06-26T00:00:00" u="1"/>
        <d v="1966-05-30T00:00:00" u="1"/>
        <d v="1961-07-01T00:00:00" u="1"/>
        <d v="1995-07-08T00:00:00" u="1"/>
        <d v="1997-01-29T00:00:00" u="1"/>
        <d v="2002-01-20T00:00:00" u="1"/>
        <d v="1999-06-12T00:00:00" u="1"/>
        <d v="1994-07-03T00:00:00" u="1"/>
        <d v="1993-10-09T00:00:00" u="1"/>
        <d v="2000-08-04T00:00:00" u="1"/>
        <d v="1999-06-20T00:00:00" u="1"/>
        <d v="1994-08-15T00:00:00" u="1"/>
        <d v="1994-05-29T00:00:00" u="1"/>
        <d v="1990-05-17T00:00:00" u="1"/>
        <d v="1984-07-04T00:00:00" u="1"/>
        <d v="1992-06-09T00:00:00" u="1"/>
        <d v="1986-02-07T00:00:00" u="1"/>
        <d v="1988-11-09T00:00:00" u="1"/>
        <d v="1990-07-18T00:00:00" u="1"/>
        <d v="1986-05-04T00:00:00" u="1"/>
        <d v="1990-11-08T00:00:00" u="1"/>
        <d v="1984-02-29T00:00:00" u="1"/>
        <d v="1991-11-05T00:00:00" u="1"/>
        <d v="1989-10-22T00:00:00" u="1"/>
        <d v="1984-03-08T00:00:00" u="1"/>
        <d v="1984-06-05T00:00:00" u="1"/>
        <d v="1992-07-31T00:00:00" u="1"/>
        <d v="1992-04-01T00:00:00" u="1"/>
        <d v="1991-09-29T00:00:00" u="1"/>
        <d v="1988-11-14T00:00:00" u="1"/>
        <d v="1988-04-02T00:00:00" u="1"/>
        <d v="1986-07-13T00:00:00" u="1"/>
        <d v="1987-10-17T00:00:00" u="1"/>
        <d v="1984-07-09T00:00:00" u="1"/>
        <d v="1988-09-03T00:00:00" u="1"/>
        <d v="1985-05-13T00:00:00" u="1"/>
        <d v="1990-06-29T00:00:00" u="1"/>
        <d v="1989-02-15T00:00:00" u="1"/>
        <d v="1976-08-15T00:00:00" u="1"/>
        <d v="1980-03-10T00:00:00" u="1"/>
        <d v="1982-03-16T00:00:00" u="1"/>
        <d v="1980-06-30T00:00:00" u="1"/>
        <d v="1975-12-12T00:00:00" u="1"/>
        <d v="1978-09-12T00:00:00" u="1"/>
        <d v="1981-11-23T00:00:00" u="1"/>
        <d v="1982-05-05T00:00:00" u="1"/>
        <d v="1981-11-05T00:00:00" u="1"/>
        <d v="1978-08-26T00:00:00" u="1"/>
        <d v="1978-10-25T00:00:00" u="1"/>
        <d v="1982-12-08T00:00:00" u="1"/>
        <d v="1980-08-22T00:00:00" u="1"/>
        <d v="1978-01-10T00:00:00" u="1"/>
        <d v="1978-06-18T00:00:00" u="1"/>
        <d v="1983-02-28T00:00:00" u="1"/>
        <d v="1976-06-16T00:00:00" u="1"/>
        <d v="1981-11-11T00:00:00" u="1"/>
        <d v="1982-12-27T00:00:00" u="1"/>
        <d v="1972-07-02T00:00:00" u="1"/>
        <d v="1970-09-10T00:00:00" u="1"/>
        <d v="1970-02-06T00:00:00" u="1"/>
        <d v="1970-03-14T00:00:00" u="1"/>
        <d v="1960-09-01T00:00:00" u="1"/>
        <d v="1964-02-01T00:00:00" u="1"/>
        <d v="2002-08-05T00:00:00" u="1"/>
        <d v="2004-07-17T00:00:00" u="1"/>
        <d v="2000-04-14T00:00:00" u="1"/>
        <d v="1996-08-08T00:00:00" u="1"/>
        <d v="1993-06-11T00:00:00" u="1"/>
        <d v="1997-06-02T00:00:00" u="1"/>
        <d v="2000-08-08T00:00:00" u="1"/>
        <d v="1996-12-20T00:00:00" u="1"/>
        <d v="1996-09-28T00:00:00" u="1"/>
        <d v="1997-05-10T00:00:00" u="1"/>
        <d v="2000-06-09T00:00:00" u="1"/>
        <d v="1989-05-11T00:00:00" u="1"/>
        <d v="1989-03-19T00:00:00" u="1"/>
        <d v="1988-09-13T00:00:00" u="1"/>
        <d v="1990-12-27T00:00:00" u="1"/>
        <d v="1975-07-03T00:00:00" u="1"/>
        <d v="1981-10-23T00:00:00" u="1"/>
        <d v="1979-05-13T00:00:00" u="1"/>
        <d v="1980-10-24T00:00:00" u="1"/>
        <d v="1977-11-15T00:00:00" u="1"/>
        <d v="1977-02-10T00:00:00" u="1"/>
        <d v="1981-07-25T00:00:00" u="1"/>
        <d v="1969-11-19T00:00:00" u="1"/>
        <d v="1972-03-13T00:00:00" u="1"/>
        <d v="1963-04-27T00:00:00" u="1"/>
        <d v="1961-06-10T00:00:00" u="1"/>
        <d v="1961-03-14T00:00:00" u="1"/>
        <d v="1993-10-29T00:00:00" u="1"/>
        <d v="1995-03-11T00:00:00" u="1"/>
        <d v="1985-07-25T00:00:00" u="1"/>
        <d v="1991-11-19T00:00:00" u="1"/>
        <d v="1985-03-26T00:00:00" u="1"/>
        <d v="1986-06-19T00:00:00" u="1"/>
        <d v="1977-09-10T00:00:00" u="1"/>
        <d v="1981-08-10T00:00:00" u="1"/>
        <d v="1978-05-26T00:00:00" u="1"/>
        <d v="1983-01-27T00:00:00" u="1"/>
        <d v="1974-06-01T00:00:00" u="1"/>
        <d v="1972-03-11T00:00:00" u="1"/>
        <d v="1985-05-07T00:00:00" u="1"/>
        <d v="2002-12-03T00:00:00" u="1"/>
        <d v="1979-03-28T00:00:00" u="1"/>
        <d v="2001-05-29T00:00:00" u="1"/>
        <d v="2000-04-24T00:00:00" u="1"/>
        <d v="1989-01-03T00:00:00" u="1"/>
        <d v="1991-01-25T00:00:00" u="1"/>
        <d v="1979-08-21T00:00:00" u="1"/>
        <d v="1973-02-22T00:00:00" u="1"/>
        <d v="1962-06-24T00:00:00" u="1"/>
        <d v="1958-09-28T00:00:00" u="1"/>
        <d v="1991-08-24T00:00:00" u="1"/>
        <d v="1977-06-10T00:00:00" u="1"/>
        <d v="1985-03-08T00:00:00" u="1"/>
        <d v="1988-03-10T00:00:00" u="1"/>
        <d v="1972-06-15T00:00:00" u="1"/>
        <d v="1960-07-08T00:00:00" u="1"/>
        <d v="1994-03-29T00:00:00" u="1"/>
        <d v="1993-02-07T00:00:00" u="1"/>
        <d v="1995-07-12T00:00:00" u="1"/>
        <d v="1996-01-19T00:00:00" u="1"/>
        <d v="1997-05-17T00:00:00" u="1"/>
        <d v="1995-11-05T00:00:00" u="1"/>
        <d v="1998-07-19T00:00:00" u="1"/>
        <d v="1995-10-03T00:00:00" u="1"/>
        <d v="1995-08-21T00:00:00" u="1"/>
        <d v="1998-07-27T00:00:00" u="1"/>
        <d v="1997-11-19T00:00:00" u="1"/>
        <d v="1999-12-03T00:00:00" u="1"/>
        <d v="1985-11-25T00:00:00" u="1"/>
        <d v="1992-03-10T00:00:00" u="1"/>
        <d v="1986-10-16T00:00:00" u="1"/>
        <d v="1991-11-08T00:00:00" u="1"/>
        <d v="1986-04-06T00:00:00" u="1"/>
        <d v="1976-12-07T00:00:00" u="1"/>
        <d v="1975-03-21T00:00:00" u="1"/>
        <d v="1980-09-24T00:00:00" u="1"/>
        <d v="1979-02-14T00:00:00" u="1"/>
        <d v="1959-11-28T00:00:00" u="1"/>
        <d v="1961-07-04T00:00:00" u="1"/>
        <d v="1957-10-01T00:00:00" u="1"/>
        <d v="1996-03-25T00:00:00" u="1"/>
        <d v="1992-12-04T00:00:00" u="1"/>
        <d v="1998-05-24T00:00:00" u="1"/>
        <d v="1993-12-11T00:00:00" u="1"/>
        <d v="1993-03-26T00:00:00" u="1"/>
        <d v="1995-08-15T00:00:00" u="1"/>
        <d v="1986-03-24T00:00:00" u="1"/>
        <d v="1991-02-14T00:00:00" u="1"/>
        <d v="1978-02-11T00:00:00" u="1"/>
        <d v="1975-04-11T00:00:00" u="1"/>
        <d v="1980-02-10T00:00:00" u="1"/>
        <d v="1993-12-26T00:00:00" u="1"/>
        <d v="1995-02-04T00:00:00" u="1"/>
        <d v="1976-04-11T00:00:00" u="1"/>
        <d v="1979-10-21T00:00:00" u="1"/>
        <d v="1991-06-24T00:00:00" u="1"/>
        <d v="1996-10-19T00:00:00" u="1"/>
        <d v="1982-08-22T00:00:00" u="1"/>
        <d v="1974-03-16T00:00:00" u="1"/>
        <d v="1982-11-28T00:00:00" u="1"/>
        <d v="1993-10-01T00:00:00" u="1"/>
        <d v="1993-11-29T00:00:00" u="1"/>
        <d v="1976-10-07T00:00:00" u="1"/>
        <d v="1966-04-18T00:00:00" u="1"/>
        <d v="1991-03-12T00:00:00" u="1"/>
        <d v="1999-11-10T00:00:00" u="1"/>
        <d v="2000-09-03T00:00:00" u="1"/>
        <d v="1980-01-30T00:00:00" u="1"/>
        <d v="1989-04-04T00:00:00" u="1"/>
        <d v="2005-03-20T00:00:00" u="1"/>
        <d v="1992-07-12T00:00:00" u="1"/>
        <d v="1993-05-12T00:00:00" u="1"/>
        <d v="1988-12-04T00:00:00" u="1"/>
        <d v="1977-09-24T00:00:00" u="1"/>
        <d v="1978-04-15T00:00:00" u="1"/>
        <d v="2001-04-29T00:00:00" u="1"/>
        <d v="2002-03-01T00:00:00" u="1"/>
        <d v="1999-02-14T00:00:00" u="1"/>
        <d v="1983-05-07T00:00:00" u="1"/>
        <d v="2002-05-25T00:00:00" u="1"/>
        <d v="2001-07-30T00:00:00" u="1"/>
        <d v="2003-09-12T00:00:00" u="1"/>
        <d v="1995-04-28T00:00:00" u="1"/>
        <d v="1999-09-30T00:00:00" u="1"/>
        <d v="1996-10-16T00:00:00" u="1"/>
        <d v="1987-08-16T00:00:00" u="1"/>
        <d v="1990-01-12T00:00:00" u="1"/>
        <d v="1991-10-12T00:00:00" u="1"/>
        <d v="1991-08-29T00:00:00" u="1"/>
        <d v="1989-02-22T00:00:00" u="1"/>
        <d v="1991-05-10T00:00:00" u="1"/>
        <d v="1987-02-27T00:00:00" u="1"/>
        <d v="1991-10-27T00:00:00" u="1"/>
        <d v="1986-02-20T00:00:00" u="1"/>
        <d v="1987-05-06T00:00:00" u="1"/>
        <d v="1982-06-27T00:00:00" u="1"/>
        <d v="1983-05-20T00:00:00" u="1"/>
        <d v="1980-12-26T00:00:00" u="1"/>
        <d v="1981-05-04T00:00:00" u="1"/>
        <d v="1975-01-24T00:00:00" u="1"/>
        <d v="1972-09-05T00:00:00" u="1"/>
        <d v="1973-03-01T00:00:00" u="1"/>
        <d v="1973-09-30T00:00:00" u="1"/>
        <d v="1952-05-15T00:00:00" u="1"/>
        <d v="2001-07-31T00:00:00" u="1"/>
        <d v="1992-10-26T00:00:00" u="1"/>
        <d v="1985-01-18T00:00:00" u="1"/>
        <d v="1988-04-03T00:00:00" u="1"/>
        <d v="1974-05-31T00:00:00" u="1"/>
        <d v="1969-10-08T00:00:00" u="1"/>
        <d v="2002-03-14T00:00:00" u="1"/>
        <d v="2001-05-25T00:00:00" u="1"/>
        <d v="1994-12-02T00:00:00" u="1"/>
        <d v="1992-05-30T00:00:00" u="1"/>
        <d v="1981-04-14T00:00:00" u="1"/>
        <d v="1975-01-07T00:00:00" u="1"/>
        <d v="1979-08-03T00:00:00" u="1"/>
        <d v="2005-01-17T00:00:00" u="1"/>
        <d v="2006-05-06T00:00:00" u="1"/>
        <d v="2002-03-24T00:00:00" u="1"/>
        <d v="2004-04-13T00:00:00" u="1"/>
        <d v="1997-01-01T00:00:00" u="1"/>
        <d v="1993-11-03T00:00:00" u="1"/>
        <d v="1998-11-17T00:00:00" u="1"/>
        <d v="1995-03-30T00:00:00" u="1"/>
        <d v="1994-12-20T00:00:00" u="1"/>
        <d v="1993-10-06T00:00:00" u="1"/>
        <d v="1996-06-21T00:00:00" u="1"/>
        <d v="1997-10-12T00:00:00" u="1"/>
        <d v="1996-02-22T00:00:00" u="1"/>
        <d v="1996-06-06T00:00:00" u="1"/>
        <d v="1996-08-28T00:00:00" u="1"/>
        <d v="1999-12-29T00:00:00" u="1"/>
        <d v="1998-08-27T00:00:00" u="1"/>
        <d v="2000-07-20T00:00:00" u="1"/>
        <d v="1997-05-09T00:00:00" u="1"/>
        <d v="1997-01-21T00:00:00" u="1"/>
        <d v="1987-10-06T00:00:00" u="1"/>
        <d v="1989-06-07T00:00:00" u="1"/>
        <d v="1989-04-02T00:00:00" u="1"/>
        <d v="1989-12-26T00:00:00" u="1"/>
        <d v="1985-04-03T00:00:00" u="1"/>
        <d v="1984-09-12T00:00:00" u="1"/>
        <d v="1985-05-26T00:00:00" u="1"/>
        <d v="1986-03-07T00:00:00" u="1"/>
        <d v="1987-03-23T00:00:00" u="1"/>
        <d v="1987-05-26T00:00:00" u="1"/>
        <d v="1988-04-19T00:00:00" u="1"/>
        <d v="1988-06-06T00:00:00" u="1"/>
        <d v="1990-07-08T00:00:00" u="1"/>
        <d v="1990-10-04T00:00:00" u="1"/>
        <d v="1988-10-26T00:00:00" u="1"/>
        <d v="1988-02-13T00:00:00" u="1"/>
        <d v="1992-02-06T00:00:00" u="1"/>
        <d v="1991-04-23T00:00:00" u="1"/>
        <d v="1986-11-07T00:00:00" u="1"/>
        <d v="1985-12-19T00:00:00" u="1"/>
        <d v="1983-11-29T00:00:00" u="1"/>
        <d v="1989-08-05T00:00:00" u="1"/>
        <d v="1986-09-08T00:00:00" u="1"/>
        <d v="1983-10-23T00:00:00" u="1"/>
        <d v="1990-06-07T00:00:00" u="1"/>
        <d v="1976-09-10T00:00:00" u="1"/>
        <d v="1977-07-30T00:00:00" u="1"/>
        <d v="1981-12-10T00:00:00" u="1"/>
        <d v="1975-07-07T00:00:00" u="1"/>
        <d v="1975-05-06T00:00:00" u="1"/>
        <d v="1981-07-19T00:00:00" u="1"/>
        <d v="1981-05-16T00:00:00" u="1"/>
        <d v="1983-05-13T00:00:00" u="1"/>
        <d v="1982-06-23T00:00:00" u="1"/>
        <d v="1981-05-13T00:00:00" u="1"/>
        <d v="1977-01-06T00:00:00" u="1"/>
        <d v="1981-12-26T00:00:00" u="1"/>
        <d v="1979-11-27T00:00:00" u="1"/>
        <d v="1978-07-08T00:00:00" u="1"/>
        <d v="1980-08-07T00:00:00" u="1"/>
        <d v="1976-04-08T00:00:00" u="1"/>
        <d v="1966-12-11T00:00:00" u="1"/>
        <d v="1971-02-16T00:00:00" u="1"/>
        <d v="2023-09-30T00:00:00" u="1"/>
        <d v="2024-01-10T00:00:00" u="1"/>
        <d v="1964-08-03T00:00:00" u="1"/>
        <d v="1976-03-22T00:00:00" u="1"/>
        <d v="1958-02-01T00:00:00" u="1"/>
        <d v="1965-08-09T00:00:00" u="1"/>
        <d v="1975-09-04T00:00:00" u="1"/>
        <d v="2000-05-18T00:00:00" u="1"/>
        <d v="1989-08-04T00:00:00" u="1"/>
        <d v="1978-10-17T00:00:00" u="1"/>
        <d v="1969-07-06T00:00:00" u="1"/>
        <d v="2001-03-27T00:00:00" u="1"/>
        <d v="1992-10-13T00:00:00" u="1"/>
        <d v="1997-05-04T00:00:00" u="1"/>
        <d v="1998-08-07T00:00:00" u="1"/>
        <d v="1998-12-12T00:00:00" u="1"/>
        <d v="1992-10-30T00:00:00" u="1"/>
        <d v="2000-08-02T00:00:00" u="1"/>
        <d v="2000-05-26T00:00:00" u="1"/>
        <d v="1994-03-13T00:00:00" u="1"/>
        <d v="1999-03-16T00:00:00" u="1"/>
        <d v="1995-03-01T00:00:00" u="1"/>
        <d v="1999-09-05T00:00:00" u="1"/>
        <d v="1994-06-26T00:00:00" u="1"/>
        <d v="1994-03-12T00:00:00" u="1"/>
        <d v="1997-06-03T00:00:00" u="1"/>
        <d v="1996-12-04T00:00:00" u="1"/>
        <d v="1985-01-05T00:00:00" u="1"/>
        <d v="1984-11-27T00:00:00" u="1"/>
        <d v="1984-09-21T00:00:00" u="1"/>
        <d v="1987-09-12T00:00:00" u="1"/>
        <d v="1988-05-14T00:00:00" u="1"/>
        <d v="1986-09-14T00:00:00" u="1"/>
        <d v="1984-12-26T00:00:00" u="1"/>
        <d v="1984-04-20T00:00:00" u="1"/>
        <d v="1989-05-17T00:00:00" u="1"/>
        <d v="1986-10-20T00:00:00" u="1"/>
        <d v="1988-08-22T00:00:00" u="1"/>
        <d v="1991-05-22T00:00:00" u="1"/>
        <d v="1986-08-06T00:00:00" u="1"/>
        <d v="1991-03-03T00:00:00" u="1"/>
        <d v="1992-04-04T00:00:00" u="1"/>
        <d v="1989-05-04T00:00:00" u="1"/>
        <d v="1985-05-20T00:00:00" u="1"/>
        <d v="1987-01-21T00:00:00" u="1"/>
        <d v="1991-04-07T00:00:00" u="1"/>
        <d v="1986-03-14T00:00:00" u="1"/>
        <d v="1985-10-04T00:00:00" u="1"/>
        <d v="1990-11-04T00:00:00" u="1"/>
        <d v="1989-06-20T00:00:00" u="1"/>
        <d v="1990-06-30T00:00:00" u="1"/>
        <d v="1991-08-11T00:00:00" u="1"/>
        <d v="1986-11-29T00:00:00" u="1"/>
        <d v="1987-02-25T00:00:00" u="1"/>
        <d v="1988-07-03T00:00:00" u="1"/>
        <d v="1989-03-17T00:00:00" u="1"/>
        <d v="1986-11-19T00:00:00" u="1"/>
        <d v="1979-07-26T00:00:00" u="1"/>
        <d v="1975-07-09T00:00:00" u="1"/>
        <d v="1977-05-05T00:00:00" u="1"/>
        <d v="1981-07-29T00:00:00" u="1"/>
        <d v="1980-03-01T00:00:00" u="1"/>
        <d v="1983-03-28T00:00:00" u="1"/>
        <d v="1978-08-22T00:00:00" u="1"/>
        <d v="1981-04-26T00:00:00" u="1"/>
        <d v="1976-12-04T00:00:00" u="1"/>
        <d v="1974-11-17T00:00:00" u="1"/>
        <d v="1980-02-26T00:00:00" u="1"/>
        <d v="1974-12-25T00:00:00" u="1"/>
        <d v="1976-08-26T00:00:00" u="1"/>
        <d v="1980-06-09T00:00:00" u="1"/>
        <d v="1979-11-01T00:00:00" u="1"/>
        <d v="1978-04-11T00:00:00" u="1"/>
        <d v="1981-09-05T00:00:00" u="1"/>
        <d v="1981-10-13T00:00:00" u="1"/>
        <d v="1978-06-17T00:00:00" u="1"/>
        <d v="1977-01-04T00:00:00" u="1"/>
        <d v="1977-10-10T00:00:00" u="1"/>
        <d v="1981-04-02T00:00:00" u="1"/>
        <d v="1978-06-16T00:00:00" u="1"/>
        <d v="1980-03-08T00:00:00" u="1"/>
        <d v="1976-01-29T00:00:00" u="1"/>
        <d v="1979-05-04T00:00:00" u="1"/>
        <d v="1979-12-24T00:00:00" u="1"/>
        <d v="1976-10-12T00:00:00" u="1"/>
        <d v="1976-03-28T00:00:00" u="1"/>
        <d v="1982-08-04T00:00:00" u="1"/>
        <d v="1981-10-18T00:00:00" u="1"/>
        <d v="1983-02-21T00:00:00" u="1"/>
        <d v="1970-06-27T00:00:00" u="1"/>
        <d v="1968-01-17T00:00:00" u="1"/>
        <d v="1967-07-30T00:00:00" u="1"/>
        <d v="1970-04-12T00:00:00" u="1"/>
        <d v="1973-10-07T00:00:00" u="1"/>
        <d v="1974-05-25T00:00:00" u="1"/>
        <d v="1968-09-25T00:00:00" u="1"/>
        <d v="1969-01-28T00:00:00" u="1"/>
        <d v="1969-03-19T00:00:00" u="1"/>
        <d v="1972-02-15T00:00:00" u="1"/>
        <d v="1968-01-08T00:00:00" u="1"/>
        <d v="1973-11-07T00:00:00" u="1"/>
        <d v="1971-04-22T00:00:00" u="1"/>
        <d v="1972-01-29T00:00:00" u="1"/>
        <d v="1972-05-09T00:00:00" u="1"/>
        <d v="1966-03-22T00:00:00" u="1"/>
        <d v="1970-12-08T00:00:00" u="1"/>
        <d v="1965-07-10T00:00:00" u="1"/>
        <d v="1965-02-23T00:00:00" u="1"/>
        <d v="1964-06-22T00:00:00" u="1"/>
        <d v="1959-11-06T00:00:00" u="1"/>
        <d v="1964-09-24T00:00:00" u="1"/>
        <d v="1972-05-03T00:00:00" u="1"/>
        <d v="2003-07-07T00:00:00" u="1"/>
        <d v="2004-04-16T00:00:00" u="1"/>
        <d v="2002-03-04T00:00:00" u="1"/>
        <d v="1995-06-10T00:00:00" u="1"/>
        <d v="1995-10-16T00:00:00" u="1"/>
        <d v="1996-12-09T00:00:00" u="1"/>
        <d v="1999-06-07T00:00:00" u="1"/>
        <d v="1984-05-03T00:00:00" u="1"/>
        <d v="1990-05-24T00:00:00" u="1"/>
        <d v="1975-01-25T00:00:00" u="1"/>
        <d v="1976-05-30T00:00:00" u="1"/>
        <d v="1983-03-13T00:00:00" u="1"/>
        <d v="1979-08-30T00:00:00" u="1"/>
        <d v="1979-04-02T00:00:00" u="1"/>
        <d v="1978-09-30T00:00:00" u="1"/>
        <d v="1977-11-24T00:00:00" u="1"/>
        <d v="2003-01-20T00:00:00" u="1"/>
        <d v="2002-08-17T00:00:00" u="1"/>
        <d v="2000-12-20T00:00:00" u="1"/>
        <d v="2000-09-17T00:00:00" u="1"/>
        <d v="2000-08-31T00:00:00" u="1"/>
        <d v="2003-12-25T00:00:00" u="1"/>
        <d v="2002-09-24T00:00:00" u="1"/>
        <d v="2002-09-16T00:00:00" u="1"/>
        <d v="2001-04-18T00:00:00" u="1"/>
        <d v="2002-05-17T00:00:00" u="1"/>
        <d v="2001-02-17T00:00:00" u="1"/>
        <d v="2003-02-20T00:00:00" u="1"/>
        <d v="2004-07-29T00:00:00" u="1"/>
        <d v="2001-08-15T00:00:00" u="1"/>
        <d v="2003-04-08T00:00:00" u="1"/>
        <d v="2000-11-13T00:00:00" u="1"/>
        <d v="2002-07-12T00:00:00" u="1"/>
        <d v="2001-12-04T00:00:00" u="1"/>
        <d v="2001-06-27T00:00:00" u="1"/>
        <d v="2004-08-10T00:00:00" u="1"/>
        <d v="2004-12-05T00:00:00" u="1"/>
        <d v="2005-05-12T00:00:00" u="1"/>
        <d v="2004-05-05T00:00:00" u="1"/>
        <d v="2000-12-18T00:00:00" u="1"/>
        <d v="2002-05-12T00:00:00" u="1"/>
        <d v="1995-05-12T00:00:00" u="1"/>
        <d v="1995-01-04T00:00:00" u="1"/>
        <d v="1993-01-18T00:00:00" u="1"/>
        <d v="1998-06-03T00:00:00" u="1"/>
        <d v="1993-10-14T00:00:00" u="1"/>
        <d v="1997-04-09T00:00:00" u="1"/>
        <d v="1993-04-22T00:00:00" u="1"/>
        <d v="1998-02-07T00:00:00" u="1"/>
        <d v="1996-01-14T00:00:00" u="1"/>
        <d v="1998-03-07T00:00:00" u="1"/>
        <d v="1996-07-26T00:00:00" u="1"/>
        <d v="1997-04-17T00:00:00" u="1"/>
        <d v="1998-09-17T00:00:00" u="1"/>
        <d v="1998-03-20T00:00:00" u="1"/>
        <d v="1998-04-05T00:00:00" u="1"/>
        <d v="1996-12-11T00:00:00" u="1"/>
        <d v="1994-10-14T00:00:00" u="1"/>
        <d v="1993-05-14T00:00:00" u="1"/>
        <d v="1996-04-15T00:00:00" u="1"/>
        <d v="1994-05-18T00:00:00" u="1"/>
        <d v="1995-06-29T00:00:00" u="1"/>
        <d v="1994-07-18T00:00:00" u="1"/>
        <d v="1997-07-02T00:00:00" u="1"/>
        <d v="1998-10-30T00:00:00" u="1"/>
        <d v="1994-06-12T00:00:00" u="1"/>
        <d v="1997-11-23T00:00:00" u="1"/>
        <d v="1994-04-17T00:00:00" u="1"/>
        <d v="1993-06-30T00:00:00" u="1"/>
        <d v="1995-05-21T00:00:00" u="1"/>
        <d v="1998-03-18T00:00:00" u="1"/>
        <d v="1999-10-22T00:00:00" u="1"/>
        <d v="1993-09-05T00:00:00" u="1"/>
        <d v="1999-02-03T00:00:00" u="1"/>
        <d v="1999-07-11T00:00:00" u="1"/>
        <d v="1993-08-18T00:00:00" u="1"/>
        <d v="2000-05-01T00:00:00" u="1"/>
        <d v="1995-07-05T00:00:00" u="1"/>
        <d v="1995-03-26T00:00:00" u="1"/>
        <d v="2000-06-12T00:00:00" u="1"/>
        <d v="1997-12-03T00:00:00" u="1"/>
        <d v="1997-01-07T00:00:00" u="1"/>
        <d v="1993-11-19T00:00:00" u="1"/>
        <d v="1993-09-26T00:00:00" u="1"/>
        <d v="1996-09-13T00:00:00" u="1"/>
        <d v="1996-08-14T00:00:00" u="1"/>
        <d v="1996-02-04T00:00:00" u="1"/>
        <d v="1999-02-24T00:00:00" u="1"/>
        <d v="1997-02-07T00:00:00" u="1"/>
        <d v="1995-12-25T00:00:00" u="1"/>
        <d v="2000-02-03T00:00:00" u="1"/>
        <d v="1993-03-04T00:00:00" u="1"/>
        <d v="1997-05-25T00:00:00" u="1"/>
        <d v="1998-12-24T00:00:00" u="1"/>
        <d v="1995-01-02T00:00:00" u="1"/>
        <d v="1997-10-18T00:00:00" u="1"/>
        <d v="1994-11-09T00:00:00" u="1"/>
        <d v="1993-12-19T00:00:00" u="1"/>
        <d v="1993-12-20T00:00:00" u="1"/>
        <d v="1992-08-25T00:00:00" u="1"/>
        <d v="1993-03-09T00:00:00" u="1"/>
        <d v="1995-06-24T00:00:00" u="1"/>
        <d v="1993-02-04T00:00:00" u="1"/>
        <d v="1996-09-18T00:00:00" u="1"/>
        <d v="1993-10-27T00:00:00" u="1"/>
        <d v="1995-10-17T00:00:00" u="1"/>
        <d v="1994-11-10T00:00:00" u="1"/>
        <d v="1993-10-28T00:00:00" u="1"/>
        <d v="1994-10-29T00:00:00" u="1"/>
        <d v="1997-10-26T00:00:00" u="1"/>
        <d v="1992-09-30T00:00:00" u="1"/>
        <d v="1992-11-04T00:00:00" u="1"/>
        <d v="1996-11-04T00:00:00" u="1"/>
        <d v="1995-02-28T00:00:00" u="1"/>
        <d v="1998-10-13T00:00:00" u="1"/>
        <d v="2000-07-10T00:00:00" u="1"/>
        <d v="1999-08-10T00:00:00" u="1"/>
        <d v="1993-06-20T00:00:00" u="1"/>
        <d v="1993-04-18T00:00:00" u="1"/>
        <d v="1993-03-19T00:00:00" u="1"/>
        <d v="1994-02-02T00:00:00" u="1"/>
        <d v="1993-02-06T00:00:00" u="1"/>
        <d v="1993-01-30T00:00:00" u="1"/>
        <d v="1998-01-21T00:00:00" u="1"/>
        <d v="1997-02-02T00:00:00" u="1"/>
        <d v="1983-10-01T00:00:00" u="1"/>
        <d v="1992-03-17T00:00:00" u="1"/>
        <d v="1984-02-05T00:00:00" u="1"/>
        <d v="1990-08-21T00:00:00" u="1"/>
        <d v="1990-04-24T00:00:00" u="1"/>
        <d v="1989-12-14T00:00:00" u="1"/>
        <d v="1989-01-14T00:00:00" u="1"/>
        <d v="1989-05-05T00:00:00" u="1"/>
        <d v="1988-06-10T00:00:00" u="1"/>
        <d v="1991-03-26T00:00:00" u="1"/>
        <d v="1991-12-05T00:00:00" u="1"/>
        <d v="1989-08-24T00:00:00" u="1"/>
        <d v="1986-10-18T00:00:00" u="1"/>
        <d v="1991-10-30T00:00:00" u="1"/>
        <d v="1986-07-14T00:00:00" u="1"/>
        <d v="1992-05-09T00:00:00" u="1"/>
        <d v="1986-04-02T00:00:00" u="1"/>
        <d v="1988-11-03T00:00:00" u="1"/>
        <d v="1987-06-01T00:00:00" u="1"/>
        <d v="1991-10-13T00:00:00" u="1"/>
        <d v="1986-12-12T00:00:00" u="1"/>
        <d v="1985-01-21T00:00:00" u="1"/>
        <d v="1991-02-10T00:00:00" u="1"/>
        <d v="1991-03-16T00:00:00" u="1"/>
        <d v="1989-12-22T00:00:00" u="1"/>
        <d v="1987-09-21T00:00:00" u="1"/>
        <d v="1983-09-20T00:00:00" u="1"/>
        <d v="1987-12-20T00:00:00" u="1"/>
        <d v="1986-10-01T00:00:00" u="1"/>
        <d v="1985-05-15T00:00:00" u="1"/>
        <d v="1992-05-01T00:00:00" u="1"/>
        <d v="1989-03-10T00:00:00" u="1"/>
        <d v="1986-03-13T00:00:00" u="1"/>
        <d v="1984-10-13T00:00:00" u="1"/>
        <d v="1990-10-15T00:00:00" u="1"/>
        <d v="1983-11-19T00:00:00" u="1"/>
        <d v="1988-12-28T00:00:00" u="1"/>
        <d v="1992-07-13T00:00:00" u="1"/>
        <d v="1986-06-29T00:00:00" u="1"/>
        <d v="1988-03-31T00:00:00" u="1"/>
        <d v="1986-08-10T00:00:00" u="1"/>
        <d v="1990-02-21T00:00:00" u="1"/>
        <d v="1991-02-28T00:00:00" u="1"/>
        <d v="1986-03-12T00:00:00" u="1"/>
        <d v="1988-06-29T00:00:00" u="1"/>
        <d v="1986-06-05T00:00:00" u="1"/>
        <d v="1987-07-20T00:00:00" u="1"/>
        <d v="1992-04-24T00:00:00" u="1"/>
        <d v="1983-11-10T00:00:00" u="1"/>
        <d v="1990-07-01T00:00:00" u="1"/>
        <d v="1988-08-26T00:00:00" u="1"/>
        <d v="1992-02-22T00:00:00" u="1"/>
        <d v="1990-05-19T00:00:00" u="1"/>
        <d v="1991-04-29T00:00:00" u="1"/>
        <d v="1988-05-29T00:00:00" u="1"/>
        <d v="1984-11-12T00:00:00" u="1"/>
        <d v="1984-11-19T00:00:00" u="1"/>
        <d v="1992-06-21T00:00:00" u="1"/>
        <d v="1992-08-07T00:00:00" u="1"/>
        <d v="1990-01-02T00:00:00" u="1"/>
        <d v="1987-09-15T00:00:00" u="1"/>
        <d v="1984-11-06T00:00:00" u="1"/>
        <d v="1987-06-25T00:00:00" u="1"/>
        <d v="1985-06-03T00:00:00" u="1"/>
        <d v="1991-01-06T00:00:00" u="1"/>
        <d v="1991-05-28T00:00:00" u="1"/>
        <d v="1991-01-18T00:00:00" u="1"/>
        <d v="1991-08-08T00:00:00" u="1"/>
        <d v="1983-10-21T00:00:00" u="1"/>
        <d v="1988-05-02T00:00:00" u="1"/>
        <d v="1989-07-24T00:00:00" u="1"/>
        <d v="1988-10-23T00:00:00" u="1"/>
        <d v="1984-06-01T00:00:00" u="1"/>
        <d v="1987-04-16T00:00:00" u="1"/>
        <d v="1985-05-25T00:00:00" u="1"/>
        <d v="1987-02-24T00:00:00" u="1"/>
        <d v="1985-01-24T00:00:00" u="1"/>
        <d v="1989-11-01T00:00:00" u="1"/>
        <d v="1990-07-28T00:00:00" u="1"/>
        <d v="1984-07-30T00:00:00" u="1"/>
        <d v="1988-04-08T00:00:00" u="1"/>
        <d v="1987-01-23T00:00:00" u="1"/>
        <d v="1986-02-13T00:00:00" u="1"/>
        <d v="1989-10-06T00:00:00" u="1"/>
        <d v="1989-10-27T00:00:00" u="1"/>
        <d v="1985-05-16T00:00:00" u="1"/>
        <d v="1986-10-27T00:00:00" u="1"/>
        <d v="1989-02-07T00:00:00" u="1"/>
        <d v="1988-05-06T00:00:00" u="1"/>
        <d v="1990-09-12T00:00:00" u="1"/>
        <d v="1983-10-25T00:00:00" u="1"/>
        <d v="1988-04-18T00:00:00" u="1"/>
        <d v="1984-03-01T00:00:00" u="1"/>
        <d v="1990-05-01T00:00:00" u="1"/>
        <d v="1986-09-21T00:00:00" u="1"/>
        <d v="1987-12-06T00:00:00" u="1"/>
        <d v="1988-07-07T00:00:00" u="1"/>
        <d v="1980-03-24T00:00:00" u="1"/>
        <d v="1982-05-16T00:00:00" u="1"/>
        <d v="1982-09-24T00:00:00" u="1"/>
        <d v="1978-02-09T00:00:00" u="1"/>
        <d v="1975-08-04T00:00:00" u="1"/>
        <d v="1983-06-13T00:00:00" u="1"/>
        <d v="1977-10-20T00:00:00" u="1"/>
        <d v="1978-11-23T00:00:00" u="1"/>
        <d v="1975-02-25T00:00:00" u="1"/>
        <d v="1979-12-08T00:00:00" u="1"/>
        <d v="1977-01-02T00:00:00" u="1"/>
        <d v="1979-07-04T00:00:00" u="1"/>
        <d v="1980-04-20T00:00:00" u="1"/>
        <d v="1974-11-06T00:00:00" u="1"/>
        <d v="1979-07-18T00:00:00" u="1"/>
        <d v="1976-01-12T00:00:00" u="1"/>
        <d v="1981-10-25T00:00:00" u="1"/>
        <d v="1979-09-05T00:00:00" u="1"/>
        <d v="1982-08-11T00:00:00" u="1"/>
        <d v="1982-05-11T00:00:00" u="1"/>
        <d v="1978-11-27T00:00:00" u="1"/>
        <d v="1980-10-18T00:00:00" u="1"/>
        <d v="1978-02-16T00:00:00" u="1"/>
        <d v="1975-05-15T00:00:00" u="1"/>
        <d v="1981-02-12T00:00:00" u="1"/>
        <d v="1980-06-29T00:00:00" u="1"/>
        <d v="1983-05-18T00:00:00" u="1"/>
        <d v="1976-02-20T00:00:00" u="1"/>
        <d v="1978-01-27T00:00:00" u="1"/>
        <d v="1979-01-13T00:00:00" u="1"/>
        <d v="1979-03-08T00:00:00" u="1"/>
        <d v="1978-10-19T00:00:00" u="1"/>
        <d v="1978-07-03T00:00:00" u="1"/>
        <d v="1977-03-07T00:00:00" u="1"/>
        <d v="1983-06-09T00:00:00" u="1"/>
        <d v="1983-03-09T00:00:00" u="1"/>
        <d v="1980-12-06T00:00:00" u="1"/>
        <d v="1979-12-23T00:00:00" u="1"/>
        <d v="1978-10-30T00:00:00" u="1"/>
        <d v="1975-11-15T00:00:00" u="1"/>
        <d v="1978-03-25T00:00:00" u="1"/>
        <d v="1974-09-01T00:00:00" u="1"/>
        <d v="1978-01-08T00:00:00" u="1"/>
        <d v="1982-08-27T00:00:00" u="1"/>
        <d v="1980-07-21T00:00:00" u="1"/>
        <d v="1978-10-28T00:00:00" u="1"/>
        <d v="1981-04-25T00:00:00" u="1"/>
        <d v="1982-10-25T00:00:00" u="1"/>
        <d v="1981-04-29T00:00:00" u="1"/>
        <d v="1979-04-07T00:00:00" u="1"/>
        <d v="1978-12-27T00:00:00" u="1"/>
        <d v="1982-09-22T00:00:00" u="1"/>
        <d v="1981-06-24T00:00:00" u="1"/>
        <d v="1975-04-15T00:00:00" u="1"/>
        <d v="1976-11-15T00:00:00" u="1"/>
        <d v="1977-07-24T00:00:00" u="1"/>
        <d v="1982-11-01T00:00:00" u="1"/>
        <d v="1982-11-04T00:00:00" u="1"/>
        <d v="1976-06-20T00:00:00" u="1"/>
        <d v="1980-06-13T00:00:00" u="1"/>
        <d v="1979-03-11T00:00:00" u="1"/>
        <d v="1982-10-09T00:00:00" u="1"/>
        <d v="1975-04-01T00:00:00" u="1"/>
        <d v="1978-08-28T00:00:00" u="1"/>
        <d v="1979-08-05T00:00:00" u="1"/>
        <d v="1979-12-28T00:00:00" u="1"/>
        <d v="1975-04-27T00:00:00" u="1"/>
        <d v="1982-12-05T00:00:00" u="1"/>
        <d v="1977-10-05T00:00:00" u="1"/>
        <d v="1977-01-24T00:00:00" u="1"/>
        <d v="1981-09-26T00:00:00" u="1"/>
        <d v="1976-05-10T00:00:00" u="1"/>
        <d v="1980-12-09T00:00:00" u="1"/>
        <d v="1975-12-28T00:00:00" u="1"/>
        <d v="1975-11-17T00:00:00" u="1"/>
        <d v="1982-02-12T00:00:00" u="1"/>
        <d v="1983-07-30T00:00:00" u="1"/>
        <d v="1971-07-17T00:00:00" u="1"/>
        <d v="1972-08-15T00:00:00" u="1"/>
        <d v="1974-03-17T00:00:00" u="1"/>
        <d v="1974-02-12T00:00:00" u="1"/>
        <d v="1970-08-17T00:00:00" u="1"/>
        <d v="1968-09-11T00:00:00" u="1"/>
        <d v="1972-12-24T00:00:00" u="1"/>
        <d v="1973-04-14T00:00:00" u="1"/>
        <d v="1972-03-21T00:00:00" u="1"/>
        <d v="1970-02-10T00:00:00" u="1"/>
        <d v="1973-09-28T00:00:00" u="1"/>
        <d v="1974-07-11T00:00:00" u="1"/>
        <d v="1971-04-17T00:00:00" u="1"/>
        <d v="1967-12-16T00:00:00" u="1"/>
        <d v="1970-02-14T00:00:00" u="1"/>
        <d v="1968-10-09T00:00:00" u="1"/>
        <d v="1967-03-31T00:00:00" u="1"/>
        <d v="1973-07-20T00:00:00" u="1"/>
        <d v="1971-09-14T00:00:00" u="1"/>
        <d v="1967-09-25T00:00:00" u="1"/>
        <d v="1971-12-29T00:00:00" u="1"/>
        <d v="1969-11-04T00:00:00" u="1"/>
        <d v="1967-05-18T00:00:00" u="1"/>
        <d v="1967-05-13T00:00:00" u="1"/>
        <d v="1972-12-27T00:00:00" u="1"/>
        <d v="1967-09-14T00:00:00" u="1"/>
        <d v="1969-11-18T00:00:00" u="1"/>
        <d v="1970-01-31T00:00:00" u="1"/>
        <d v="1968-08-12T00:00:00" u="1"/>
        <d v="1969-06-27T00:00:00" u="1"/>
        <d v="1971-04-04T00:00:00" u="1"/>
        <d v="1968-10-21T00:00:00" u="1"/>
        <d v="1966-12-07T00:00:00" u="1"/>
        <d v="1974-03-19T00:00:00" u="1"/>
        <d v="1971-05-18T00:00:00" u="1"/>
        <d v="1966-07-30T00:00:00" u="1"/>
        <d v="1966-11-17T00:00:00" u="1"/>
        <d v="1965-09-06T00:00:00" u="1"/>
        <d v="1973-11-15T00:00:00" u="1"/>
        <d v="1971-07-12T00:00:00" u="1"/>
        <d v="1968-12-18T00:00:00" u="1"/>
        <d v="1969-07-24T00:00:00" u="1"/>
        <d v="1967-05-30T00:00:00" u="1"/>
        <d v="1972-02-02T00:00:00" u="1"/>
        <d v="1969-07-05T00:00:00" u="1"/>
        <d v="1967-12-21T00:00:00" u="1"/>
        <d v="1965-03-06T00:00:00" u="1"/>
        <d v="1964-04-06T00:00:00" u="1"/>
        <d v="1962-10-23T00:00:00" u="1"/>
        <d v="1961-07-10T00:00:00" u="1"/>
        <d v="1950-05-15T00:00:00" u="1"/>
        <d v="1956-03-04T00:00:00" u="1"/>
        <d v="1965-05-11T00:00:00" u="1"/>
        <d v="1959-05-31T00:00:00" u="1"/>
        <d v="1962-07-04T00:00:00" u="1"/>
        <d v="1957-05-01T00:00:00" u="1"/>
        <d v="1960-05-21T00:00:00" u="1"/>
        <d v="1990-09-19T00:00:00" u="1"/>
        <d v="1981-11-24T00:00:00" u="1"/>
        <d v="1948-12-11T00:00:00" u="1"/>
        <d v="1970-05-19T00:00:00" u="1"/>
        <d v="1988-09-18T00:00:00" u="1"/>
        <d v="2000-05-25T00:00:00" u="1"/>
        <d v="1992-04-28T00:00:00" u="1"/>
        <d v="1984-07-24T00:00:00" u="1"/>
        <d v="1968-02-03T00:00:00" u="1"/>
        <d v="1986-06-24T00:00:00" u="1"/>
        <d v="1987-03-04T00:00:00" u="1"/>
        <d v="1980-10-19T00:00:00" u="1"/>
        <d v="1979-02-09T00:00:00" u="1"/>
        <d v="1995-09-02T00:00:00" u="1"/>
        <d v="2001-09-15T00:00:00" u="1"/>
        <d v="1963-09-19T00:00:00" u="1"/>
        <d v="1975-09-12T00:00:00" u="1"/>
        <d v="1998-02-04T00:00:00" u="1"/>
        <d v="1962-11-26T00:00:00" u="1"/>
        <d v="1976-07-05T00:00:00" u="1"/>
        <d v="1985-11-13T00:00:00" u="1"/>
        <d v="1973-01-08T00:00:00" u="1"/>
        <d v="1973-08-27T00:00:00" u="1"/>
        <d v="1981-05-02T00:00:00" u="1"/>
        <d v="1990-04-25T00:00:00" u="1"/>
        <d v="1987-01-17T00:00:00" u="1"/>
        <d v="1979-04-04T00:00:00" u="1"/>
        <d v="1984-06-20T00:00:00" u="1"/>
        <d v="1982-11-15T00:00:00" u="1"/>
        <d v="1984-02-23T00:00:00" u="1"/>
        <d v="1991-10-31T00:00:00" u="1"/>
        <d v="2001-05-07T00:00:00" u="1"/>
        <d v="1997-12-21T00:00:00" u="1"/>
        <d v="1973-11-19T00:00:00" u="1"/>
        <d v="1967-01-14T00:00:00" u="1"/>
        <d v="1984-05-17T00:00:00" u="1"/>
        <d v="1994-04-16T00:00:00" u="1"/>
        <d v="1991-03-21T00:00:00" u="1"/>
        <d v="1975-11-26T00:00:00" u="1"/>
        <d v="1979-10-08T00:00:00" u="1"/>
        <d v="1999-04-30T00:00:00" u="1"/>
        <d v="1987-02-05T00:00:00" u="1"/>
        <d v="1999-10-27T00:00:00" u="1"/>
        <d v="1999-06-09T00:00:00" u="1"/>
        <d v="1997-02-27T00:00:00" u="1"/>
        <d v="1999-06-13T00:00:00" u="1"/>
        <d v="1988-03-16T00:00:00" u="1"/>
        <d v="1978-03-11T00:00:00" u="1"/>
        <d v="1977-06-28T00:00:00" u="1"/>
        <d v="1978-04-24T00:00:00" u="1"/>
        <d v="1980-07-24T00:00:00" u="1"/>
        <d v="1982-11-07T00:00:00" u="1"/>
        <d v="1980-06-26T00:00:00" u="1"/>
        <d v="1974-02-07T00:00:00" u="1"/>
        <d v="1969-01-23T00:00:00" u="1"/>
        <d v="1969-05-30T00:00:00" u="1"/>
        <d v="1964-08-02T00:00:00" u="1"/>
        <d v="1989-06-22T00:00:00" u="1"/>
        <d v="1984-08-13T00:00:00" u="1"/>
        <d v="1996-02-21T00:00:00" u="1"/>
        <d v="1997-03-21T00:00:00" u="1"/>
        <d v="1998-06-23T00:00:00" u="1"/>
        <d v="2004-04-08T00:00:00" u="1"/>
        <d v="1984-08-01T00:00:00" u="1"/>
        <d v="1980-06-20T00:00:00" u="1"/>
        <d v="1991-11-01T00:00:00" u="1"/>
        <d v="1986-12-07T00:00:00" u="1"/>
        <d v="1982-01-01T00:00:00" u="1"/>
        <d v="1996-02-23T00:00:00" u="1"/>
        <d v="1984-06-27T00:00:00" u="1"/>
        <d v="1977-08-05T00:00:00" u="1"/>
        <d v="1976-03-13T00:00:00" u="1"/>
        <d v="1974-03-31T00:00:00" u="1"/>
        <d v="1986-05-01T00:00:00" u="1"/>
        <d v="1983-07-25T00:00:00" u="1"/>
        <d v="1987-09-16T00:00:00" u="1"/>
        <d v="2003-05-24T00:00:00" u="1"/>
        <d v="2005-04-25T00:00:00" u="1"/>
        <d v="2002-11-19T00:00:00" u="1"/>
        <d v="2002-11-08T00:00:00" u="1"/>
        <d v="2003-07-10T00:00:00" u="1"/>
        <d v="2001-02-09T00:00:00" u="1"/>
        <d v="2003-10-15T00:00:00" u="1"/>
        <d v="2003-04-14T00:00:00" u="1"/>
        <d v="2005-04-12T00:00:00" u="1"/>
        <d v="2002-09-26T00:00:00" u="1"/>
        <d v="2001-11-26T00:00:00" u="1"/>
        <d v="2002-06-19T00:00:00" u="1"/>
        <d v="2003-11-28T00:00:00" u="1"/>
        <d v="2002-06-04T00:00:00" u="1"/>
        <d v="2001-11-06T00:00:00" u="1"/>
        <d v="2004-01-20T00:00:00" u="1"/>
        <d v="2002-02-27T00:00:00" u="1"/>
        <d v="2000-11-26T00:00:00" u="1"/>
      </sharedItems>
    </cacheField>
    <cacheField name="TIPO TRABAJADOR" numFmtId="0">
      <sharedItems containsString="0" containsBlank="1" containsNumber="1" containsInteger="1" minValue="1" maxValue="46"/>
    </cacheField>
    <cacheField name="TITULO DE PUESTO/CARGO" numFmtId="0">
      <sharedItems containsBlank="1" count="1859">
        <s v="TECNICO"/>
        <s v="ASISTENTE DE ALMACEN Y LOGISTICA"/>
        <s v="PEON"/>
        <s v="PEÓN"/>
        <s v="OPERARIO FIERRERO"/>
        <s v="OFICIAL FIERRERO"/>
        <s v="AUXILIAR DE LIMPIEZA"/>
        <s v="SUPERVISOR DE CAMPO"/>
        <s v="OFICIAL ALBAÑIL"/>
        <s v="ASISTENTE DE OPERACIONES"/>
        <s v="OFICIAL"/>
        <s v="OPERARIO ALBAÑIL"/>
        <s v="OPERARIO ELECTRICISTA"/>
        <s v="TECNICO AIRE ACONDICIONADO"/>
        <s v="INGENIERA DE PRODUCCIÓN"/>
        <s v="OFICIAL MONTAJISTA"/>
        <s v="OFICIAL MECANICO"/>
        <s v="Empleado"/>
        <s v="OFICIAL CARPINTERO"/>
        <s v="Operador de Retroexcavadora"/>
        <s v="OPERARIO"/>
        <s v="ASISTENTE OT"/>
        <s v="OFICIAL HVAC"/>
        <s v="ASISTENTE DE PRODUCCION"/>
        <s v="OFICIAL ALBAÑIL "/>
        <s v="OPERADOR DE MINICARGADOR "/>
        <s v="OFICIAL DRYWALL"/>
        <s v="INGENIERO DE CALIDAD Y MEDIO AMBIENTE"/>
        <s v="AUXILIAR DE TOPOGRAFO"/>
        <s v="AUXILIAR DE TOPOGRAFIA"/>
        <s v="AUXILIAR DE INSTRUMENTACIÓN"/>
        <s v="PEON - E14"/>
        <s v="AGENTE DE VIGILANCIA PARTICULAR"/>
        <s v="ASISTENTE DE RESIDENTE"/>
        <s v="VIGILANTE"/>
        <s v="MANIOBRISTA DE IZAJE Y TREMIE"/>
        <s v="Obrero Oficial"/>
        <s v="Obrero Peón"/>
        <s v="OFICIAL ELECTRICISTA"/>
        <s v="TECNICO HVAC"/>
        <s v="OPERARIO HVAC"/>
        <s v="OPERARIO DUCTERO"/>
        <s v="TECNICO DUCTERO"/>
        <s v="MODELADOR BIM"/>
        <s v="SUPERVISORA PRODUCCION"/>
        <s v="Supervisor de Producción"/>
        <s v="Técnico de Trabajo Interno"/>
        <s v="OFICIAL - PINTOR"/>
        <s v="OFICIAL PINTOR"/>
        <s v="OPERARIO - PINTOR"/>
        <s v="Obrero de Construcción Civil"/>
        <s v="INGENIERO RESIDENTE"/>
        <s v="ASISTENTE ADMINISTRATIVO"/>
        <s v="LOGISTICA"/>
        <s v="INGENIERO DACI"/>
        <s v="SOPORTE TECNICO"/>
        <s v="COORDINADOR DE INGENIERIA "/>
        <s v="SUPERVISOR DE OPERACIONES"/>
        <s v="AUXILIAR DE RESIDUOS"/>
        <s v="OPERARIO SOLDADOR"/>
        <s v="SUPERVISOR SST"/>
        <s v="PREVENCIONISTA"/>
        <s v="OPERADOR DE PLANTA"/>
        <s v="Ayudante de Camion"/>
        <s v="INGENIERA DE CALIDAD"/>
        <s v="COORDINADOR LOGISTICO"/>
        <s v="RIGGER"/>
        <s v="OPERARIO CARPINTERO"/>
        <s v="SUPERVISOR DE CAMPO I"/>
        <s v="CADISTA"/>
        <s v="ASISTENTE DE CALIDAD "/>
        <s v="SUPERVISOR QA / QC"/>
        <s v="_x0009_OPERARIO ALBAÑIL"/>
        <s v="OFICIAL  ENCOFRADO"/>
        <s v="OPERARIO TOPOGRAFO"/>
        <s v="SUPERVISOR DE CALIDAD"/>
        <s v="OPERADOR DE VOLQUETE"/>
        <s v="OPERADOR DE EXCAVADORA"/>
        <s v="OPERDOR DE CARGADOR FRONTAL"/>
        <s v="Montajista"/>
        <s v="TECNICO COMUNICACIONES"/>
        <s v="ING.DE CALIDAD, COSTOS Y PRESUPUESTOS"/>
        <s v="OFICIAL ARMADOR"/>
        <s v="OFICIAL DE IMPERMEABILIZACION"/>
        <s v="SUPERVISOR DE SEGURIDAD"/>
        <s v="OPERARIO RETROEXCAVADORA"/>
        <s v="Obrero"/>
        <s v="GESTOR DE OBRA"/>
        <s v="SUPERVISOR DE OBRA"/>
        <s v="CAPATAZ  FIERRERO"/>
        <s v="CAPATAZ"/>
        <s v="CONDUCTOR"/>
        <s v="Oficial Perforista"/>
        <s v="PDR"/>
        <s v="TECNICO ELECTRICISTA C"/>
        <s v="TECNICO ELECTRICISTA A"/>
        <s v="TOPOGRAFO"/>
        <s v="OPERARIO CAPATAZ"/>
        <s v="SOLDADOR"/>
        <s v="INSTALADORES DE ESTRUCTURAS METALICAS"/>
        <s v="INSTALADOR DE VIDRIOS"/>
        <s v="OPERARIO INSTALADOR"/>
        <s v="Operador de Retroexcavadora "/>
        <s v="TECNICO ELECTRICISTA"/>
        <s v="ASISTENTE"/>
        <s v="COORDINADOR BIM"/>
        <s v="PREVENCIONISTA DE RIESGO"/>
        <s v="SUPERVISOR HVAC"/>
        <s v="OFICIAL HAVC"/>
        <s v="OPERARIO ELECTRICO"/>
        <s v="OFICIAL PINTOR "/>
        <s v="OFICIAL DE ENCHAPE"/>
        <s v="OPERARIO DRYWALL"/>
        <s v="SUPERVISOR DE PRODUCCION"/>
        <s v="OPERARIO DE ENCHAPE"/>
        <s v="SUPERVISOR SSOMA"/>
        <s v="AYUDANTE DE ALMACEN"/>
        <s v="OFICIAL DE CORTE Y PERFORACION"/>
        <s v="OPERARIO DE DRYWALL"/>
        <s v="OFICIAL CARPINTERO Y FIERRERO"/>
        <s v="ADMINISTRADOR DE OBRA"/>
        <s v="OPERADOR EXCAVADORA, CARGADOR FRONTAL, MINICARGADOR,MANLIFT, RETROEXCAVADORA"/>
        <s v="INGENIERO DE PRODUCCIÓN"/>
        <s v="JEFE DE PRODUCCION"/>
        <s v="JEFE DE OBRA"/>
        <s v="SUPERVISOR DE SEGURIDAD Y SALUD EN EL TRABAJO"/>
        <s v="TECNICO EN INSTRUMENTACIÓN"/>
        <s v="TECNICO EN INSTRUMENTACION"/>
        <s v="AUXILIAR EN INSTRUMENTACIÓN"/>
        <s v="AUXILIAR DE INSTRUMENTACION"/>
        <s v="AUXILIAR EN INSTRUMENTACION"/>
        <s v="INSTRUMENTISTA"/>
        <s v="ESPECIALISTA EN INSTALACIONES"/>
        <s v="AUXILIAR DE TOPOGRAFÍA"/>
        <s v="SUPERVISOR DE INSTRUMENTACIÓN"/>
        <s v="   AUXILIAR DE INSTRUMENTACIÓN"/>
        <s v="PERFORISTA"/>
        <s v="OPERARIO DE IMPERMEABILIZACIÓN"/>
        <s v="OFICIAL DE IMPERMEABILIZACIÓN"/>
        <s v="INGENIERO DE CALIDAD"/>
        <s v="OPERADOR DE CARGADOR FRONTAL"/>
        <s v="RESIDENTE DE OBRA"/>
        <s v="OPERADOR DE RODILLO"/>
        <s v="OFICIAL TOPOGRAFO"/>
        <s v="ASISTENTE DE TOPOGRAFIA"/>
        <s v="PEON - E16"/>
        <s v="INGENIERO JUNIOR"/>
        <s v="GESTOR ADMINISTRATIVO"/>
        <s v="SUPERVISOR DE SST"/>
        <s v="MOTORIZADO"/>
        <s v="JEFE DE GRUPO"/>
        <s v="AGENTE MOTORIZADO"/>
        <s v="OP. DE EXCAVADORA Y CARGADOR FRONTAL"/>
        <s v="GERENTE DE OPERACIONES"/>
        <s v="ASISTENTE ADM. DE OBRA"/>
        <s v="RESIDENTE"/>
        <s v="TECNICO DE PRESUPUESTOS"/>
        <s v="OPERARIO MONTAJISTA"/>
        <s v="CENTRALISTA AUXILIAR"/>
        <s v="JEFE DE TURNO"/>
        <s v="INGENIERO DE PROYECTO"/>
        <s v="TECNICO SOLDADOR "/>
        <s v="ASISTENTE DE PRODUCCION JUNIOR "/>
        <s v="MANIOBRISTA DE IZAJES Y TREMIE"/>
        <s v="MECANICO"/>
        <s v="INGENIERO DE PRODUCCION"/>
        <s v="SUPERVISOR DE MECANICA "/>
        <s v="INGENIERO DE MATERIALES"/>
        <s v="ASISTENTE DE ADMINISTRACION "/>
        <s v="INGENIERO DE PRODUCCION SEMI JUNIOR"/>
        <s v="INGENIERO DE PRODUCCION JUNIOR "/>
        <s v="ASISTENTE HSE"/>
        <s v="MANIOBRISTA DE IZAJE Y TREMIE "/>
        <s v="CONDUCTOR DE CAMIONETA"/>
        <s v="SUPERVISOR DE EQUIPOS"/>
        <s v="AUXILIAR CENTRALISTA"/>
        <s v="ANALISTA DE RECURSOS HUMANOS"/>
        <s v="PACKERISTA"/>
        <s v="OFICIAL DE INYECCION"/>
        <s v="ELECTROMECÁNICO"/>
        <s v="MANIOBRISTA DE TREMIE E IZAJE"/>
        <s v="ASISTENTE DE PRODUCCIÓN"/>
        <s v="ASISTENTE DE OFICINA TECNICA"/>
        <s v="PARAMEDICO"/>
        <s v="TECNICO EN REFRIGERACION"/>
        <s v="TECNICO MECATRONICO"/>
        <s v="CAPATÁZ"/>
        <s v="ASISITENTE DE INGENIERIA"/>
        <s v="DIBUJANTE"/>
        <s v="AUXILIAR DE LOGISTICA"/>
        <s v="ADMINISTRADOR"/>
        <s v="SUPERVISOR SEGURIDAD"/>
        <s v="AUXILIAR DE OPERACIONES"/>
        <s v="OPERARIO RIGGER"/>
        <s v="OPERARIO ALMACENERO"/>
        <s v="Ayudante de Planta"/>
        <s v="Chofer operador de mixer"/>
        <s v="Coordinador de Obra"/>
        <s v="Supervisor HSE"/>
        <s v="OPERARIO PINTOR"/>
        <s v="INGENIERO RESIDENTE "/>
        <s v="PREVENCIONISTAS DE RIEZGO"/>
        <s v="INGENIERO RESIDENTE DE OBRA "/>
        <s v="INGENIERO DE PROYECTOS "/>
        <s v="PDR SOMA"/>
        <s v="ALMACENERO"/>
        <s v="PREVENCIONISTA SSOMA"/>
        <s v="JEFE SIG"/>
        <s v="COORDINADORA DE PRODUCCION"/>
        <s v="ASISTENTE ADMINISTRADOR"/>
        <s v="ASISTENTE ADMINISTRACIÓN Y RRHH"/>
        <s v="COORDINADOR DE PROYECTOS"/>
        <s v="OPERADOR DE GRUA"/>
        <s v="CONDUCTOR DE CARGA PESADA"/>
        <s v="CONDUCTOR DE SEMITRAILER"/>
        <s v="CONDUCTOR DE CAMION"/>
        <s v="INGENIERO  OFICINA TECNICA"/>
        <s v="ADMINISTRADORA DE OBRA"/>
        <s v="ASISTENTE DE PLANEAMIENTO"/>
        <s v="OPERARIO FIERRERO "/>
        <s v="OPERARIO ALBAÑIL "/>
        <s v="ASISTENTE ALMACEN"/>
        <s v="OPERARIO PICADOR"/>
        <s v="CHOFER DE CAMIONETA"/>
        <s v="AUXILIAR LOGISTICA"/>
        <s v="OPERARIO DE MAQUINARIA PESADA"/>
        <s v="OFICIAL ROBOCK SHOCRETE"/>
        <s v="OPERARIO DE ROBOT SHOTCHETE"/>
        <s v="COORDINADOR DE SEGURIDAD"/>
        <s v="OPERADOR DE CAMION GRUA"/>
        <s v="ADMINISTRADOR DE PROYECTO/BASE"/>
        <s v="OPERARIO ALBAÑIL "/>
        <s v="OPERADOR EXCAVADORA"/>
        <s v="INGENIERO DE OFICINA TECNICA"/>
        <s v="OPERADOR DE MANLIFT"/>
        <s v="ENCARGADO DE SERVICIOS GENERALES"/>
        <s v="OPERARIO DE MOVIMIENTO DE TIERRA"/>
        <s v="OPERADOR DE MINICARGADOR"/>
        <s v="SUPERVISOR DE PRODUCCION "/>
        <s v="JEFE DE PROYECTOS"/>
        <s v="OPERARIO ARMADOR"/>
        <s v="INGENIERO DE CAMPO"/>
        <s v="ENCARGADO DE SSMA"/>
        <s v="OPERADOR DE GRUA "/>
        <s v="Operario Perforista"/>
        <s v="Geologo de Proyecto"/>
        <s v="OPERARIO MECANICO"/>
        <s v="TECNICO ELECTRICISTA B"/>
        <s v="JEFE DE OPERACIONES"/>
        <s v="JEFE OFICINA TECNICA"/>
        <s v="JEFE SST"/>
        <s v="OFICIAL SOLDADOR"/>
        <s v="GERENTE"/>
        <s v="SUB-GERENTE"/>
        <s v="OPERARIO DE GRANALLADO"/>
        <s v="OPERARIO PINTOR "/>
        <s v="OPERARIO ENCOFRADOR"/>
        <s v="JEFE DE TOPOGRAFÍA"/>
        <s v="TECNICO ESPECIALISTA EN INSTRUMENTACION"/>
        <s v="COORDINADORA SSOMA"/>
        <s v="ENCARGADA DE COSTOS"/>
        <s v="INGENIERO DE RESIDENTE"/>
        <s v="OPERARARIO DE IMPERMEABILIZACION"/>
        <s v="TECNICO DE IMPERMEABILIZACIÓN"/>
        <s v="TECNICO MECANICO"/>
        <s v="JEFE DE MANTENIMIENTO Y TALLER "/>
        <s v="OPERARIO CIVIL"/>
        <s v="PREVENCIONISTA DE SST"/>
        <s v="OPERADOR DE MOTONIVELADORA"/>
        <s v="TECNICO SOLDADOR"/>
        <s v="OPERADOR DE VOLQUETE "/>
        <s v="COORDINADORA DE SEGURIDAD"/>
        <s v="OPERADOR DE EXCAVADORA "/>
        <s v="OP DE VOLQUETE"/>
        <s v="OP DE RETROEXCAVADORA Y EXCAVADORA"/>
        <s v="OP DE RETROEXCAVADORA"/>
        <s v="OPERADOR DE EQUIPO ESPECIALIZADO ( BAYA )"/>
        <s v="SUPERVISOR DE SEGURIDAD "/>
        <s v="JEFE DE SEGURIDAD"/>
        <s v="KELLYMAN DE BAYA"/>
        <s v="CENTRALISTA ESPECIALIZADO EN LODOS"/>
        <s v="OPERADOR DE PERFORADORA "/>
        <s v="GERENTE DE OPERACIONES ADJUNTO"/>
        <s v="MECANICO "/>
        <s v="AUXILIAR CENTRALISTA "/>
        <s v="ENCARGADO DE OBRA"/>
        <s v="AUXILIAR DE PERFORACION"/>
        <s v="INGENIERO DE PRODUCCION JUNIOR"/>
        <s v="AUXILIAR PERFORISTA"/>
        <s v="AUXILIAR PERFORISTA "/>
        <s v="OPERADOR DE GRUA DE EXCAVACION "/>
        <s v="ELECTRICISTA"/>
        <s v="GERENTA DE RECURSOS HUMANOS"/>
        <s v="OFICIAL DE PERFORACIÓN"/>
        <s v="SUPERVISOR DE SST "/>
        <s v="LOGISTICO"/>
        <s v="COMPRADOR"/>
        <s v="OPERADOR DE PILOTERA"/>
        <s v="INGENIERA DE MEDIO AMBIENTE"/>
        <s v="JEFE DE PROYECTO"/>
        <s v="PREVENCIONISTA DE RIESGOS"/>
        <s v="SUPERVISOR HIPERBARICO"/>
        <s v="Obrero Operario"/>
        <s v="PILOTO DE AMBULANCIA"/>
        <s v="MEDICO GENERAL"/>
        <s v="TECNICO DE AIRE ACONDICIONADO"/>
        <s v="SUPERVIDOR DE PRODUCCION"/>
        <s v="ASISTENTE DE OBRA"/>
        <s v="SUPERVISOR PRODUCCION"/>
        <s v="SUPERVISOR CALIDAD"/>
        <s v="OPERARIO SOLDADOR ALUMINOTERMICO"/>
        <s v="OPERADOR MULTIPLE (RETROEXCAVADORA-MINICARGADOR-RODILLO)"/>
        <s v="OPERARIO DE RETROEXCAVADORA"/>
        <s v="INGENIERO DE PRODUCCION Y CALIDAD"/>
        <s v="Ingeniero de Operaciones"/>
        <s v="Jefe de Planta"/>
        <s v="Analista de Control de Calidad"/>
        <s v="Jefe de Calidad"/>
        <s v="Ingeniero de Proyectos Especiales"/>
        <s v="Jefe de SST"/>
        <s v="JEFE DE SEGURIDAD Y SALUD EN EL TRABAJO"/>
        <s v="SUPERVISOR"/>
        <s v="PROYECTISTA BIM"/>
        <s v="CONDUCTOR DE UNIDAD DE CONTINGENCIA"/>
        <s v="AUX. LIMPIEZA"/>
        <s v="CHOFER Y MENSAJERO"/>
        <s v="Auxiliar de oficina"/>
        <s v="OPERADOR DE GRUA TELESCOPICA"/>
        <s v="OPERARIO  FIERRERO"/>
        <s v="OPERARIO "/>
        <s v="OPERADOR MANLIFT"/>
        <s v="GERENTE DE PROYECTO"/>
        <s v="INGENIERO DE COSTOS Y PLANEAMIENTO"/>
        <s v="OPERARIO ANDAMIERO"/>
        <s v="CONDUCTOR DE CAMIONETA Y CAMIÓN"/>
        <s v="SUP.SSOMA"/>
        <s v="Obrero de Construccion Civil"/>
        <s v="OFICIAL ALMACENERO"/>
        <s v="MAESTRO DE OBRA"/>
        <s v="PRODUCCION DE OBRA"/>
        <s v="Operador de Retroexcavadora/Mantenimiento "/>
        <s v="GERENTE DE PROYECTOS"/>
        <s v="PEON "/>
        <s v="OPERARIO DE PLATAFORMA"/>
        <s v="JEFE DE TALLER"/>
        <s v="OPERARIO ELECTROMECANICO"/>
        <s v="OPERARIO FIERRERO Y ALBAÑIL"/>
        <s v="OPERARIO ELECTRO MECANICO - SOLDADOR"/>
        <s v="RESPONSABLE DE OPERACIONES "/>
        <s v="OPERADOR DE CISTERNA"/>
        <s v="OPERADOR DE EQUIPO AUXILIAR "/>
        <s v="OPERADOR DE GRUA BAYA "/>
        <s v="CONDUCTOR DE CAMIONETA "/>
        <s v="ASISTENTE LOGISTICO"/>
        <s v="GERENTE DE ADMINISTRACION Y FINANZAS"/>
        <s v="GERENTE DE LOGÍSTICA"/>
        <s v="ASISTENTE DE ALMACEN"/>
        <s v="OFICIAL DE PERFORADORA"/>
        <s v="CONDUCTOR DE CAMION CISTERNA"/>
        <s v="ANALISTA DE CONTABILIDAD"/>
        <s v="ENFERMERO  HIPERBARICO"/>
        <s v="PREVENCIONISTA DE RIESGO "/>
        <s v="SUPERVISORA SST"/>
        <s v="OPERADOR DE CAMION BARANDA"/>
        <s v="OPERADOR DE MONTACARGAS/PLATAFORMA/RIGGER"/>
        <s v="OPERARIO SOLDADOR ALUMINOTÉRMICO"/>
        <s v="OPERARIO ALMACENERO/CONDUCTOR DE CAMIONETA"/>
        <s v="OPERARIO MONTAJISTA DE ANDAMIOS"/>
        <s v="JEFE DE SSOMA"/>
        <s v="OPERARIO CAMION GRUA"/>
        <s v="Administrador de Planta"/>
        <s v="Jefe de HSE"/>
        <s v="GERENTE GENERAL"/>
        <s v="TECNICO DE MANTENIMIENTO"/>
        <s v="Técnico eléctrico"/>
        <s v="CONDUCTOR "/>
        <s v="Gerente/Operador de Retroexcavadora"/>
        <s v="OFICIAL ALBAÑIL-E17"/>
        <s v="OFICIAL EN CARPINTERIA METALICA"/>
        <s v="ASESOR POLICIAL"/>
        <s v="OPERADOR DE GRUA AUXILIAR"/>
        <s v="JEFE DE OFICINA TECNICA Y OPERACIONES"/>
        <s v="CALIDAD"/>
        <m/>
        <s v="ADMINISTRADOR DE PROYECTO / BASE"/>
        <s v="INSTRUCTOR DE EQUIPOS"/>
        <s v="CONDUCTOR CAMIONETA"/>
        <s v="ADMINISTRADORA"/>
        <s v="OFICIAL PINTURA"/>
        <s v="OP DE EXCAVADORA"/>
        <s v="TECNICO ELECTRICISTA "/>
        <s v="OPERADOR HIPERBÁRICO"/>
        <s v="ASISTENTE DE RR.HH."/>
        <s v="SUPERVISOR QA/QC"/>
        <s v="SUPERVISOR SMA"/>
        <s v="OFICIAL DE CARPINTERIA"/>
        <s v="OFICIAL DE  TOPOGRAFIA"/>
        <s v="OPERARIO DE CORTE Y PERFORACION"/>
        <s v="OPERARIO PERFORISTA Y DEMOLICION"/>
        <s v="OFICIAL MASILLADOR"/>
        <s v="OPERARIO EN PLATAFORMA"/>
        <s v="OFICIAL ANDAMIERO"/>
        <s v="JEFE APL SOLER &amp; PALAU PERU"/>
        <s v="INGENIERA DE OFICINA TECNICA"/>
        <s v="INGENIERO JR EN AUTOMATIZACION"/>
        <s v="INGENIERO JR DE CALIDAD"/>
        <s v="SUPERVISOR DE PROYECTOS"/>
        <s v="OPERARIO - Electro mecánico"/>
        <s v="INGENIERO JR. EN AUTOMATIZACION"/>
        <s v="INGENIERO ELECTRICO"/>
        <s v="ADMINISTRADOR DE PROYECTOS"/>
        <s v="SUPERINTENDENTE DE OBRAS"/>
        <s v="INGENIERO EN AUTOMATIZACION"/>
        <s v="CONDUCTOR DE MODULAR"/>
        <s v="OFICIAL DE CONSTRUCCIÓN" u="1"/>
        <s v="OPERARIO DE TERMOFUSION" u="1"/>
        <s v="SUPERVISOR ELECTROMECANICO" u="1"/>
        <s v="SUPERVISOR SST_x0009_" u="1"/>
        <s v="PEON DE CONSTRUCCIÓN" u="1"/>
        <s v="SUPERVISOR DE TENDIDO E IZAJE DE TUBERIAS HDPE" u="1"/>
        <s v="COORDINADOR DE PROYECTO" u="1"/>
        <s v="TECNICO ELECTROMECANICO" u="1"/>
        <s v="OPERADOR DE TERMOFUSIÓN" u="1"/>
        <s v="OPERARIO DE TUBERIAS HDPE " u="1"/>
        <s v="LOGISTICA DOCUMENTACION Y VALORIZACION " u="1"/>
        <s v="Mecánico" u="1"/>
        <s v="   SUPERVISOR DE SEGURIDAD" u="1"/>
        <s v="OPERADOR MECANICO" u="1"/>
        <s v="OPERADOR DE BOMBA" u="1"/>
        <s v="OPERARIO MARMOL " u="1"/>
        <s v="SUPERVISOR DE CAMPO " u="1"/>
        <s v="SUPERVISOR GENERAL" u="1"/>
        <s v="TECNICO INSTALADOR" u="1"/>
        <s v="INGENIERO DE COSTOS" u="1"/>
        <s v="MONITOR DE SMA" u="1"/>
        <s v="Tec. Electrisista" u="1"/>
        <s v="Tec. Mantenimiento" u="1"/>
        <s v="Auxiliar de Instalaciones" u="1"/>
        <s v="Sup. Operativo" u="1"/>
        <s v="Sup. PREVENCIONISTA" u="1"/>
        <s v="Auxiliar de Mantenimiento" u="1"/>
        <s v="TECNICO DE INYECCION" u="1"/>
        <s v="Jefe de Oficina Técnica" u="1"/>
        <s v="Oficial Electromecanico" u="1"/>
        <s v="Oficial Eletromecanico" u="1"/>
        <s v="Control Documentario" u="1"/>
        <s v="Ing. Proyectista-Electricista" u="1"/>
        <s v="Jefe de Almacén" u="1"/>
        <s v="OPERADOR DE CAMION BARANDA " u="1"/>
        <s v="ASISTENTA SOCIAL" u="1"/>
        <s v="OPERARIO  ALBAÑIL" u="1"/>
        <s v="ENCARGADO DE CALIDAD Y PRODUCCION" u="1"/>
        <s v="MAESTRO DE OBRA " u="1"/>
        <s v="OFICIAL FIERRERO " u="1"/>
        <s v="CHOFER " u="1"/>
        <s v="ENFERMERA SALUD OCUPACIONAL " u="1"/>
        <s v="OPERARIO CARPINTERO " u="1"/>
        <s v="SUB. GERENTE GENERAL " u="1"/>
        <s v="ING.RESIDENTE" u="1"/>
        <s v="ING ELECTRICISTA" u="1"/>
        <s v="SUPERVISOR CAMPO" u="1"/>
        <s v="Especialista Electrónico" u="1"/>
        <s v="Supervisor Electronico" u="1"/>
        <s v="Ingeniero Residente de Obra" u="1"/>
        <s v="GERENTE PROYECTO" u="1"/>
        <s v="OFICIAL  PERFORISTA" u="1"/>
        <s v="INGENIERO MECANICO" u="1"/>
        <s v="ASISTENTE ADMINISTRATIVO LOGISTICO" u="1"/>
        <s v="INGENIERO DE PRODUCCION " u="1"/>
        <s v="ASISTENTE DE SSOMA" u="1"/>
        <s v="OPERADOR DE EXCAVADORA - RETROEXCAVADORA -_x000d__x000a_CARGADOR FRONTAL" u="1"/>
        <s v="OPERADOR DE EXCAVADORA - RETROEXCAVADORA - CARGADOR FRONTAL - MINICARGADOR" u="1"/>
        <s v="OPERADOR CARGADOR FRONTA - RETROEXCAVADORA -_x000d__x000a_EXCAVADORA" u="1"/>
        <s v="ASISTENTE DE MEDIO AMBIENTE" u="1"/>
        <s v="OPERADOR EXCAVADORA-RETROEXCAVADORA_x000d__x000a_MINICARGADOR-CARGADOR FRONTAL" u="1"/>
        <s v="OPERADOR DE EXCAVADORA-RETROEXCAVADORA-CARGADOR FRONTAL - MINICARGADOR" u="1"/>
        <s v="OPERADOR EXCAVADORA- RETROEXCAVADORAMINICARGADOR-_x000d__x000a_CARGADOR FRONTAL-RODILLO" u="1"/>
        <s v="OPERADOR MINICARGADOR - RETROEXVACADORA - MINIEXCAVADORA -CARGADOR FRONTAL - RODILLO - EXCAVADORA" u="1"/>
        <s v="OFICIAL BLOQUETEROS" u="1"/>
        <s v="ASISTENTE DE COMPRAS" u="1"/>
        <s v="OIFICAL ELECTRICISTA" u="1"/>
        <s v="OPERARO ALBAÑIL" u="1"/>
        <s v="OPERADOR DE EXCAVADORA-RETROEXCAVADORA-MINICARGADOR-CARGADOR FRONTAL-RODILLO-MINIEXCAVADORA-TELEHANDLER - MANLIFT" u="1"/>
        <s v="SUPERVISOR DE TOPOGRAFIA" u="1"/>
        <s v="ASISTENTE DE SEGURIDAD Y SALUD OCUPACIONAL" u="1"/>
        <s v="OPERADOR DE ROBOT SHOCRETERO-TELEHANDLER-CARMIX-MINICARGADOR-MINIEXCAVADORA - MALIFT" u="1"/>
        <s v="OFICIAL DE ALMACEN" u="1"/>
        <s v="OPERARIO INSTALACIONES SANITARIAS" u="1"/>
        <s v="OPERARIO TUNELERO" u="1"/>
        <s v="ASISTENTE ADMINISTRATIVA" u="1"/>
        <s v="OPERADOR DE MANLIFT - TELEHANDLER -RODILLO" u="1"/>
        <s v="OPERADOR CARGADOR FRONTAL-TELEHANDER-MINICARGADOR-RETROEXCAVADORA-EXCAVADORA _x0009_" u="1"/>
        <s v="OPERADOR DE EXCAVADORA Y RETROEXCAVADORA" u="1"/>
        <s v="OPERADOR EXCAVADORA-RETROEXCAVADORA_x000d__x000a_MINICARGADOR-CARGADOR FRONTAL_x000d__x000a_" u="1"/>
        <s v="OPERARIO BLOQUETERO" u="1"/>
        <s v="OPERADOR  CARGADOR FRONTAL -MINICARGADOR FRONTAL - TELEHANDLER - RETROEXCAVADORA - EXCAVADORA - RODILLO" u="1"/>
        <s v="OPERADOR TELEHANDLER  - RODILLLO - MINICARGADOR" u="1"/>
        <s v="OFICIAL BLOQUETERO" u="1"/>
        <s v="OPERADDOR DE RETROEXCAVADORA - EXCAVADORA" u="1"/>
        <s v="ENCARGADA DE RRHH" u="1"/>
        <s v="OPERADOR DE EXCAVADORA - RETROEXCAVADORA_x000d__x000a_CARGADOR FRONTAL - TELEHANDLER - MINIEXCAVADORA -_x000d__x000a_MINICARGADOR - MANLIFT" u="1"/>
        <s v="OFICIAL CONDUCTOR DE CAMIONETA" u="1"/>
        <s v="OPERADOR MANLIFT - TELEHANDLER - CARGADOR_x000d__x000a_FRONTAL - RETROEXCAVADORA-MINICARGADOR" u="1"/>
        <s v="OPERADOR EXCAVADORA - CARGADOR FRONTAL" u="1"/>
        <s v="OPERADOR EXCAVADORA-RETROEXCAVADORA-TELEHANDLER" u="1"/>
        <s v="OPERADOR EXCAVADORA-CARGADOR FRONTAL-RETROEXCAVADORA_x000d__x000a_MINICARGADOR-TELEHANDER-MANLIFT-RODILLO" u="1"/>
        <s v="OPERADOR DE EXCAVADORA - RETROEXCAVADORA" u="1"/>
        <s v="INGENIERO PRODUCCION -CALIDAD" u="1"/>
        <s v="SUPERVISOR DE SSOMAC" u="1"/>
        <s v="SUPERVISOR DE EXCAVACION Y PERFORACION" u="1"/>
        <s v="OPERADOR DE TELEHANDLER" u="1"/>
        <s v="OPERADOR RETROEXCAVADORA - EXCAVADORA - MINICARGADOR " u="1"/>
        <s v="COORDINADOR DE CALIDAD" u="1"/>
        <s v="SUPERVISOR OBRA" u="1"/>
        <s v="Ayudante" u="1"/>
        <s v="COORDINADOR SSOMA" u="1"/>
        <s v="CAPATAZ DE OBRA" u="1"/>
        <s v="INGENIERO DE COSTOS Y PRESUPUESTOS " u="1"/>
        <s v="ENCARGADA DE ALMACEN Y LOGISTICA" u="1"/>
        <s v="ANALISTA CONTABLE JUNIOR" u="1"/>
        <s v="ASISTENTE LOGISTICO ADMINISTRATIVO" u="1"/>
        <s v="INGENIERO CIVIL" u="1"/>
        <s v="OPERADOR DE CISTERNA " u="1"/>
        <s v="RIGGER DE CAMION GRUA" u="1"/>
        <s v="OPERARIO EXCAVADORA" u="1"/>
        <s v="OPERADOR MINICARGADOR" u="1"/>
        <s v="AUXILIAR ADMINISTRATIVO" u="1"/>
        <s v="TECNICO ELECTRICO" u="1"/>
        <s v="SUPERVISOR EN CAMPO " u="1"/>
        <s v="OPERARIO ALBAÑÍL" u="1"/>
        <s v="SUPERVISORA DE SEGURIDAD" u="1"/>
        <s v="OP. DE RETRO, EXCAVADORA, MINICARGADOR" u="1"/>
        <s v="OPERADOR DE RETRO, RODILLO Y CARGADOR FRONTAL" u="1"/>
        <s v="OPERADOR DE VTE, RETRO, EXCA, MINI Y CARGADOR F." u="1"/>
        <s v="OPERADOR DE RETRO, ROD Y CARGADOR FRONTAL" u="1"/>
        <s v="OPERADOR DE RETRO, EXC Y MINI" u="1"/>
        <s v="OPERADOR DE RETRO, EXC Y RODILLO" u="1"/>
        <s v="OPERADOR DE  RETROEXCAVADORA" u="1"/>
        <s v="OPERADOR DE VOLQUETE, RETROEXCAVADORA Y CARGADOR FRONTAL" u="1"/>
        <s v="CONDUCTOR DE CISTERNA" u="1"/>
        <s v="OPERADOR DE  EXCAVADORA" u="1"/>
        <s v="SUPERVISOR DE INSTALACION" u="1"/>
        <s v="OFICIAL  DRYWALL" u="1"/>
        <s v="OPERARIO MASILLADOR" u="1"/>
        <s v="OPERARDOR DE PLATAFORMA" u="1"/>
        <s v="OPERARIO ARENADOR" u="1"/>
        <s v="ESPECIALISTA EN PERFORACIÓN" u="1"/>
        <s v="Ingeniero de Control de Calidad" u="1"/>
        <s v="Ingenierio Residente" u="1"/>
        <s v="Técnico Mecanico" u="1"/>
        <s v="Topógrafo" u="1"/>
        <s v="JARDINERO" u="1"/>
        <s v="CAPATAZ DE JARDINERIA" u="1"/>
        <s v="ASISTENTE DE PERSONAL Y LOGISTICA" u="1"/>
        <s v="CONDUCTOS´R DE CISTERNA" u="1"/>
        <s v="ASISTENTE DE LOGISTICA" u="1"/>
        <s v="ADMINISTRADOR LABORAL_x0009_" u="1"/>
        <s v="ASISTENTE DE TOPOGRAFO" u="1"/>
        <s v="OPERARIO RASTRILLERO" u="1"/>
        <s v="_x0009_OFICIAL RASTRILLERO" u="1"/>
        <s v="CAPATAZ_x0009_" u="1"/>
        <s v="OPERARIO ALBAÑIL_x0009_" u="1"/>
        <s v="OPERARIO ANDAMIERO_x0009_" u="1"/>
        <s v="GERENTE DEL PROYECTO" u="1"/>
        <s v="OPERARIO FIERRERO_x0009_" u="1"/>
        <s v="OPERARIO CARPINTERO_x0009_" u="1"/>
        <s v="GERENTE DE LOGISTICA" u="1"/>
        <s v="_x0009_TOPOGRAFO " u="1"/>
        <s v="ING CALIDAD" u="1"/>
        <s v="OPERARIO MT-BT" u="1"/>
        <s v="JEFE DE CUADRILLA" u="1"/>
        <s v="SUPERVISOR HSEQ" u="1"/>
        <s v="CHOFER GRUERO" u="1"/>
        <s v="CHOFER AYUDANTE" u="1"/>
        <s v="OPERARIO BT/MT" u="1"/>
        <s v="PREVENCIONISTA DE OBRA" u="1"/>
        <s v="OPERADOR DE EXCAVADORA Y CARGADOR FRONTAL" u="1"/>
        <s v="SUP. DE PRODUCCION" u="1"/>
        <s v="INGENIERO ELECTRICO JR" u="1"/>
        <s v="SUPERVISOR DE HSE" u="1"/>
        <s v="SUPERVISOR DE OBRA " u="1"/>
        <s v="COORDINADOR" u="1"/>
        <s v="SECRETARIA" u="1"/>
        <s v="OPERARIO EN DRYWALL" u="1"/>
        <s v="SUPERVISORA DE PRODUCCION " u="1"/>
        <s v="SUPERVISORA DE CAMPO" u="1"/>
        <s v="ASISTENTE LOGISTICO " u="1"/>
        <s v="Tecnico de fumigacion" u="1"/>
        <s v="ASISTENTE DE INGENIERIA" u="1"/>
        <s v="OPERARIO MONTADOR DE ASCENSOR" u="1"/>
        <s v="OFICIAL MONTADOR DE ASCENSORES" u="1"/>
        <s v="OFICIAL MONTADOR DE ASCENSOR" u="1"/>
        <s v="OPERARIO MONTADOR DE ASCENSORES" u="1"/>
        <s v="PRACTICANTE DE CALIDAD" u="1"/>
        <s v="TECNICO DE PRE INSTALACION" u="1"/>
        <s v="TECNICO MANTENIMIENTO" u="1"/>
        <s v="SUPERVISOR OPERACIONES" u="1"/>
        <s v="MONTADOR MECANICO" u="1"/>
        <s v="ANALISTA DE CALIDAD Y MEDIO AMBIENTE" u="1"/>
        <s v="SUPERVISOR SERVICIOS" u="1"/>
        <s v="TECNICO ESPECIALISTA" u="1"/>
        <s v="GERENTE GENERAL SMI PERU" u="1"/>
        <s v="TECNICO PUESTA EN MARCHA" u="1"/>
        <s v="SUPERVISOR DE MONTAJE DE ASCENSORES" u="1"/>
        <s v="GERENTE ADMINISTRATIVO" u="1"/>
        <s v="OPERADOR DE CAMION CISTERNA" u="1"/>
        <s v="OPERARIO ESMERILADOR" u="1"/>
        <s v="Operario de Planta de concreto" u="1"/>
        <s v="Operador de Equipo" u="1"/>
        <s v="Prevencionista de Seguridad" u="1"/>
        <s v="Operador de Telehandler, _x000d__x000a_Montacarga y Manlift" u="1"/>
        <s v="Supervisora de Obra" u="1"/>
        <s v="Operario Montajista/ Operador camion servicio" u="1"/>
        <s v="Supervisor de Planta de Concreto" u="1"/>
        <s v="Asistente de _x000d__x000a_Supervisor de Seguridad" u="1"/>
        <s v="Operario de Montacarga" u="1"/>
        <s v="Almacen - Logística" u="1"/>
        <s v="Operador  Montacarga" u="1"/>
        <s v="Operador de Manlift/ Operador de Grua" u="1"/>
        <s v="Operario Albañil / Operador camion servicio" u="1"/>
        <s v="Operador Montacarga" u="1"/>
        <s v="Operador de Pórtico y Volteadora" u="1"/>
        <s v="Superior Ssoma" u="1"/>
        <s v="Oficial  Albañil" u="1"/>
        <s v="Oficial  Electricista" u="1"/>
        <s v="Supervisor de Mantenimiento" u="1"/>
        <s v="Operario Carpintero/ Operador camion servicio" u="1"/>
        <s v="Ingeniero de Logística" u="1"/>
        <s v="Operario Mecánico" u="1"/>
        <s v="Operador de Grua Portico" u="1"/>
        <s v="ENCARGADO DE LOGISTICA" u="1"/>
        <s v="RESPONSABLE DE PROYECTO" u="1"/>
        <s v="SUPERVISOR DE MONTAJISTA" u="1"/>
        <s v="PEON ACI" u="1"/>
        <s v="OPERARIO SANITARIO" u="1"/>
        <s v="ADMISTRADOR DE PROYECTO" u="1"/>
        <s v="JEFA DE LOGISTICA" u="1"/>
        <s v="AYUDANTE EN OBRA" u="1"/>
        <s v="OPERARIO DE EXCAVADORA Y RETROEXCAVADORA" u="1"/>
        <s v="INGENIERA DE CALIDAD_x0009_" u="1"/>
        <s v="OPERARIO SCI" u="1"/>
        <s v="SUPERVISOR ELECTRICO" u="1"/>
        <s v="OFICIAL SANITARIO" u="1"/>
        <s v="ANALISTA DE PLANOS" u="1"/>
        <s v="OPERARIO ACI" u="1"/>
        <s v="OFICIAL DE CISTERNA DE AGUA" u="1"/>
        <s v="RESIDENTE " u="1"/>
        <s v="AUXILIAR DE TOPOGRAFIA " u="1"/>
        <s v="OPERARIO ELECTRICISTA " u="1"/>
        <s v="ADMINISTRADOR DE CONTRATO" u="1"/>
        <s v="OFICIAL " u="1"/>
        <s v="OPERADOR DE ROBOT, TELEHANDLER, CARGADOR FRONTAL, MINICARGADOR, EXCAVADORA, RETROEXCAVADORA, MANLIFT, RODILLO" u="1"/>
        <s v="OFICIAL SCI" u="1"/>
        <s v="SUPERVISOR TECNICO" u="1"/>
        <s v="ASISTENTE DE PROYECTO" u="1"/>
        <s v="CAPATAZ SCI" u="1"/>
        <s v="RESPONSABLE DE PRODUCCION" u="1"/>
        <s v="SUPERVISOR SANITARIO" u="1"/>
        <s v="OFICIAL ACI" u="1"/>
        <s v="OPERARIO SOLDADOR Y ALBAÑIL" u="1"/>
        <s v="CHOFER" u="1"/>
        <s v="Instalador de prefabricados" u="1"/>
        <s v="RESIDENTE DE OBRA " u="1"/>
        <s v="PEON_x0009_" u="1"/>
        <s v="RESIDENTES" u="1"/>
        <s v="SUPERVISOR DE MONTAJE" u="1"/>
        <s v="ENFERMERO HIPERBARICO" u="1"/>
        <s v="OPERADOR" u="1"/>
        <s v="OPERADOR DE CAMION CISTERNA DE AGUA" u="1"/>
        <s v=" OPERARIO MONTAJISTA" u="1"/>
        <s v="SOLDADOR/AUXILIAR DE TOPOGRAFIA" u="1"/>
        <s v="OPERADOR DE EXCAVADORA - RETROEXCAVADORA - MINICARGADOR - CARGADOR FRONTAL - RODILLO - MINIEXCAVADORA - TELEHANDLER" u="1"/>
        <s v="OPERARIO ELECTRICO " u="1"/>
        <s v="SUPERVISOR SST - E14" u="1"/>
        <s v="JEFE SSOMA" u="1"/>
        <s v="SUPERVISOR DE OPERACIONES " u="1"/>
        <s v="PEON-E6" u="1"/>
        <s v="ADMINISTRADOR GENERAL" u="1"/>
        <s v="INGENIERO PRODUCCION" u="1"/>
        <s v="RESPONSABLE DE ALMACEN " u="1"/>
        <s v="RESPONSABLE OFC. TECNICA" u="1"/>
        <s v="ING. CONTROL DE CALIDAD" u="1"/>
        <s v="OPERADOR CAMION GRUA" u="1"/>
        <s v="ARQUITECTO" u="1"/>
        <s v="OFICIAL MOVIMIENTO DE TIERRA" u="1"/>
        <s v="OPERARIO CIVL" u="1"/>
        <s v="TÉCNICO ELECTRICISTA" u="1"/>
        <s v="OPERADOR RODILLO COMPACTADOR VIBRATORIO" u="1"/>
        <s v="OPERARIO ELECTRICISTA/AUXILIAR TOPOGRAFO" u="1"/>
        <s v="OPERADOR DE BOMBA " u="1"/>
        <s v="OPERARIO MT/BT" u="1"/>
        <s v="ASISTENTE PRODUCCION" u="1"/>
        <s v="SUPERVISOR DE PROYECTO" u="1"/>
        <s v="OPERADOR DE EXCAVADORA Y RODILLO" u="1"/>
        <s v="OPERADOR CAMION VOLQUETE" u="1"/>
        <s v="OPERADOR MOTONIVELADORA" u="1"/>
        <s v="OFICIAL (RELLENO Y COMPACTADO)" u="1"/>
        <s v="CHOFER- AYUDANTE" u="1"/>
        <s v="PEON CONSTRUCCION" u="1"/>
        <s v="INGENIERA DE PROYECTOS" u="1"/>
        <s v="OP VOLQUETE" u="1"/>
        <s v="OPERADOR DE ROBOT, TELEHANDLER, CARGADOR FRONTAL Y MINICARGADOR" u="1"/>
        <s v="OFICIAL CARPINTERO_x0009_" u="1"/>
        <s v="PLANIFICADOR" u="1"/>
        <s v="ASISTENTE DE ADMINISTRACION RRHH" u="1"/>
        <s v="OPERADOR DE BOMBA DE CONCRETO " u="1"/>
        <s v="SUPERVISOR SST   " u="1"/>
        <s v="Operario - Carpintero" u="1"/>
        <s v="OFICIAL  FIERRERO" u="1"/>
        <s v="OFICIAL DE MOVIMIENTO DE TIERRAS" u="1"/>
        <s v="OPERARIO MOVIMIENTO DE TIERRA" u="1"/>
        <s v="Gerente  Subcontratista" u="1"/>
        <s v="CHOFER-AYUDANTE" u="1"/>
        <s v="SUPERVISOR SSOMA " u="1"/>
        <s v="OPERADOR DE CAMIÓN GRÚA" u="1"/>
        <s v="OPERARIO (RELLENO Y COMPACTADO)" u="1"/>
        <s v="INGENIERA DE PRODUCCION" u="1"/>
        <s v="ASISTENTE DEL RESIDENTE" u="1"/>
        <s v="INGENIERO ASISTENTE DE PRODUCCIÓN" u="1"/>
        <s v="COORDINADOR DE PROYECTOS " u="1"/>
        <s v="Oficial - Albañil" u="1"/>
        <s v="Oficial - Carpintero" u="1"/>
        <s v="INGENIERO DE PLANEAMIENTO Y CONTROL" u="1"/>
        <s v="OPERADOR MINICARGADOR - RETROEXVACADORA - MINICARGADOR -CARGADOR FRONTAL - RODILLO - EXCAVADORA" u="1"/>
        <s v="TÉCNICO ELECTRICISTA B" u="1"/>
        <s v="ING CALIDAD " u="1"/>
        <s v="OFICIAL ALBAÑIL_x0009_" u="1"/>
        <s v="AUXILIAR DE ALMACEN" u="1"/>
        <s v="SUPERVISOR " u="1"/>
        <s v="Operario - Albañil" u="1"/>
        <s v="Operario - Electricista" u="1"/>
        <s v="SUPERVISOR EN OBRA" u="1"/>
        <s v="OPERARIO SOLDADOR " u="1"/>
        <s v="MONITOR SMA" u="1"/>
        <s v="OPERARIO ENCOFRADO" u="1"/>
        <s v="PEON ALBAÑIL" u="1"/>
        <s v="ASISTENTE DE PRODUCCION " u="1"/>
        <s v="ESPECIALISTA EN DACI Y CCAA" u="1"/>
        <s v="OPERASCIO MT/BT" u="1"/>
        <s v="OPERADOR EXCAVADORA - CARGADOR FRONTAL - RETROEXCAVADORA  - MINICARGADOR - TELEHANDER" u="1"/>
        <s v="ASIST DE RESIDENTE " u="1"/>
        <s v=" SUPERVISOR SSOMA" u="1"/>
        <s v="ING RESIDENTE" u="1"/>
        <s v="OPERARIO TERRACERO" u="1"/>
        <s v="ESPECIALISTA DE FAJAS" u="1"/>
        <s v="RESIDENTE DE OBRA_x0009_" u="1"/>
        <s v="Oficial - Sanitario" u="1"/>
        <s v="Oficial - Montajista" u="1"/>
        <s v="Operador de Montacarga" u="1"/>
        <s v="Operario de Manlift " u="1"/>
        <s v="OPERARIO DE GRUA" u="1"/>
        <s v="OPERARIO DE CARPINTERIA" u="1"/>
        <s v="Oficial  - Albañil" u="1"/>
        <s v="ASISTENTE ADMINISTRACION" u="1"/>
        <s v="ING PRODUCCION " u="1"/>
        <s v="OP DE RODILLO" u="1"/>
        <s v="CONTADOR GENERAL" u="1"/>
        <s v="Oficial - Electricista" u="1"/>
        <s v="Operario - Bloquetero" u="1"/>
        <s v="Operario - Sanitario" u="1"/>
        <s v="OFICIAL DE MONTAJE" u="1"/>
        <s v="TECNICO MONTAJISTA" u="1"/>
        <s v="INGENIERO JUNIOR EN AUTOMATIZACION" u="1"/>
        <s v="AVP" u="1"/>
        <s v="CAPATAZ DE GRANALLADO" u="1"/>
        <s v="ENCARGADO GENERAL" u="1"/>
        <s v="OPERADOR DE MONTACARGAS /PLATAFORMA/RIGGER" u="1"/>
        <s v="SUPERVISOR CAPA" u="1"/>
        <s v="OPERADOR CARGADOR FRONTAL - TELEHANDLER - RODILLO" u="1"/>
        <s v="AYUDANTE CARPINTERO" u="1"/>
        <s v="OFICIAL DE GRANALLADO" u="1"/>
        <s v="Operario - Soldador" u="1"/>
        <s v="Controller de Costos" u="1"/>
        <s v="Oficial de Rigger" u="1"/>
        <s v="Ing. Residente de Obra" u="1"/>
        <s v="OPERARIO ALBAÑIL/SOLDADOR" u="1"/>
        <s v="SUPERVISOR ELECTRICISTA" u="1"/>
        <s v="OPERADOR DE ROBOT SHOCRETERO - MIXER" u="1"/>
        <s v="Ofical Carpintero" u="1"/>
        <s v="Ing. De calidad" u="1"/>
        <s v="Asit. Residente" u="1"/>
        <s v="OPERADOR MULTIPLE (RETROEXCAVADORA/MINICARGADOR/RODILLO)" u="1"/>
        <s v="ASISTENTE DE CALIDAD" u="1"/>
        <s v="ASISTENTE DE RESIDENTE " u="1"/>
        <s v="OPERARIO ANDAMIERO " u="1"/>
        <s v="ASISTENTE DE PROYECTOS" u="1"/>
        <s v="TECNICO CADISTA " u="1"/>
        <s v="Ingeniero Electronico/Coordinador Power Supply CTM/TCO" u="1"/>
        <s v="Coordinador de CTM" u="1"/>
        <s v="Operador TCO" u="1"/>
        <s v="Coordinador Power Supply CTM/TCO" u="1"/>
        <s v="Empleado / Operador de Grúa" u="1"/>
        <s v="Empleado / Supervisor de Operaciones" u="1"/>
        <s v="Empleado / Mecánico" u="1"/>
        <s v="CHOFER DE CAMIONETA " u="1"/>
        <s v="SUPERVISOR GENERAL " u="1"/>
        <s v="Sup. SSOMA" u="1"/>
        <s v="OPERADOR DE MINICARGADOR/ RETROEXCAVADORA  / CARGARDOR FRONTAL/ MOTONIVELADORA" u="1"/>
        <s v="OPERARIO  ALBAÑIL " u="1"/>
        <s v="CAPATAZ " u="1"/>
        <s v="ASISTENTE CALIDAD" u="1"/>
        <s v="COORDINADOR DE EQUIPOS ELECTRÓNICOS" u="1"/>
        <s v="SUPERVISIOR ELECTROMECANICO" u="1"/>
        <s v="Ing. Planeamiento y Control de Obra" u="1"/>
        <s v="OPERARIO MECANICO SOLDADOR" u="1"/>
        <s v="Ing. Planeamiento" u="1"/>
        <s v="OPERADOR EXCAVADORA - RETROEXCAVADORA - MINICARGADOR - RODILLO - CARGADOR FRONTAL" u="1"/>
        <s v="SUPERISOR DE OBRA " u="1"/>
        <s v="AYUDANTE " u="1"/>
        <s v="OPERARIO TERMOFUSION" u="1"/>
        <s v="OFICIAL ALMACENERO " u="1"/>
        <s v="OPERARIO ALBAÑIL ENCOFRADOR" u="1"/>
        <s v="OPERARIO MONTAJISTA-MANLIFT" u="1"/>
        <s v="SUPERVISOR OPERATIVO" u="1"/>
        <s v="INGENIERO SSOMA" u="1"/>
        <s v="INGENIERO ASISTENTE" u="1"/>
        <s v="JEFE DE CALIDAD " u="1"/>
        <s v="ADMINISTRADOR DE OBRA " u="1"/>
        <s v="PEON MONTAJISTA" u="1"/>
        <s v="AYUDANTE MECANICO" u="1"/>
        <s v="OPERADOR PLATAFORMA" u="1"/>
        <s v="OFICIAL EN DRYWALL" u="1"/>
        <s v="Especialista " u="1"/>
        <s v="OPERARIO  CARPINTERO" u="1"/>
        <s v="OFICIAL DEMOLICIÓN" u="1"/>
        <s v="CAPATAZ SOLDADOR" u="1"/>
        <s v="ASISTENTE DE ADMINISTRACIÓN DE OBRA " u="1"/>
        <s v=" OPERARIO RASTRILLERO" u="1"/>
        <s v="OPERADOR DE EXCAVADORA" u="1"/>
        <s v="OPERADOR DE MANLIFT " u="1"/>
        <s v="CAPATAZ  HVAC" u="1"/>
        <s v="Conductor Camiones" u="1"/>
        <s v="SPICEMAN" u="1"/>
        <s v="SUPERVISOR DE SSOMA" u="1"/>
        <s v="_x0009_INGENIERA DE PRODUCCIÓN" u="1"/>
        <s v="OPERARIO DE MONTAJE " u="1"/>
        <s v="TOPOGRAFO " u="1"/>
        <s v="OPERADO_x000d__x000a_R DE _x000d__x000a_VOLQUETE" u="1"/>
        <s v="OPERADOR DE RODILLLO" u="1"/>
        <s v="COORDINADORA DE PROYECTO" u="1"/>
        <s v="SUPERVISOR SST " u="1"/>
        <s v="OPERADOR DE PERFORADORA" u="1"/>
        <s v="Jefe de gestion social" u="1"/>
        <s v="OPERADOR DE CAMION LUBRICADOR" u="1"/>
        <s v="OPERADOR DE VOLQUETE, EXC, RETRO, MINI" u="1"/>
        <s v="OFICIAL RASTRILLERO" u="1"/>
        <s v="Analista de logistica" u="1"/>
        <s v="PREVENSIONISTA DE RIESGO" u="1"/>
        <s v="Jefe de RRCC" u="1"/>
        <s v="JEFE DE PRODUCCIÓN" u="1"/>
        <s v="OPERADOR DE GRUA AUXILIAR " u="1"/>
        <s v="_x0009_CAPATAZ" u="1"/>
        <s v="TECNICO SUPERVISOR" u="1"/>
        <s v="OPERARIO DE PERFORACION" u="1"/>
        <s v="AUXILIAR DE LABORATORIO" u="1"/>
        <s v="PROGRAMADOR" u="1"/>
        <s v="TECNIC MECATRONICO" u="1"/>
        <s v="Auxiliar de tubería" u="1"/>
        <s v="Tecnico de Trabajo Interno" u="1"/>
        <s v="Auxiliar de Bomba" u="1"/>
        <s v="Electricista Automotríz" u="1"/>
        <s v="Supervisor de Bombas" u="1"/>
        <s v="Auxiliar de Tuberia" u="1"/>
        <s v="Ayudante operador de Bomba" u="1"/>
        <s v="OPERADOR DE BOMBA DE CONCRETRO" u="1"/>
        <s v="INGENIERO DE CALIDAD " u="1"/>
        <s v="OPERADOR DE EXCA, RETRO Y CARGADOR FRONTAL" u="1"/>
        <s v="SUPERVISION DE OPERACIONES" u="1"/>
        <s v="PEON CIVIL" u="1"/>
        <s v="_x0009_INGENIERA DE PRODUCCION" u="1"/>
        <s v="Mecánico Automotríz" u="1"/>
        <s v="Mecánico Automotriz" u="1"/>
        <s v="INGENIERO DE PROYECTOS" u="1"/>
        <s v="Mecánico Hidráulico" u="1"/>
        <s v="Chofer operador de bomba" u="1"/>
        <s v="LABORATORISTA" u="1"/>
        <s v="Oficial - Bloquetero" u="1"/>
        <s v="Mecánico Hidraulico" u="1"/>
        <s v="Llantero" u="1"/>
        <s v="COORDINADOR DE MAQUINARIA" u="1"/>
        <s v="OPERADOR SEMITRAILER" u="1"/>
        <s v="Electricista Automotriz" u="1"/>
        <s v=" OPERARIO CARPINTERO" u="1"/>
        <s v="CAPATAZ ARMADOR" u="1"/>
        <s v="JEFE DE MONTAJE" u="1"/>
        <s v="Operario Lider de Almacen" u="1"/>
        <s v="JEFE DE LABORATORIO" u="1"/>
        <s v="SUPERVISOR DE LABORATORIO" u="1"/>
        <s v="Gerente gestión de calidad y seguridad " u="1"/>
        <s v="Operario - Fierrero" u="1"/>
        <s v="Superintendente de Operaciones Bomba" u="1"/>
        <s v="ESTACION 12" u="1"/>
        <s v="JEFE DE ALMACEN" u="1"/>
        <s v="Operario Lider de Bombas" u="1"/>
        <s v="Electricista Industrial" u="1"/>
        <s v="JEFE DE PREVENCION DE RIESGOS" u="1"/>
        <s v="OP. VOLQUETE" u="1"/>
        <s v="DIRECTORA DE LABORATORIO" u="1"/>
        <s v="OPERADOR DE CISTERNA DE COMBUSTIBLE" u="1"/>
        <s v="OPERADOR DE CARGADOR FRONTAL, EXCAVADORA Y RETROEXCAVADORA" u="1"/>
        <s v="O.EXCAVADORA" u="1"/>
        <s v="COORDINADOR SST" u="1"/>
        <s v="                AUXILIAR SSOMA " u="1"/>
        <s v="CAPATAZ MONTAJISTA" u="1"/>
        <s v="OPERARIO GRANALLADOR  Y PINTOR" u="1"/>
        <s v="OFICIAL DE MANTENIMIENTO" u="1"/>
        <s v="INGENIERIO DE PRODUCCION" u="1"/>
        <s v="Pintor " u="1"/>
        <s v="Instalador" u="1"/>
        <s v="prevencionista " u="1"/>
        <s v="Vendedor" u="1"/>
        <s v="Instalador " u="1"/>
        <s v="OPERARIO DE MANTENIMIENTO" u="1"/>
        <s v="JEFE DE OBRA " u="1"/>
        <s v="Ingeniero de Producciòn" u="1"/>
        <s v="ING. PRODUCCION" u="1"/>
        <s v="OPERARIO-ALBAÑIL" u="1"/>
        <s v="OFICIAL-ALBAÑIL" u="1"/>
        <s v="OPERADOR DE RODILLO " u="1"/>
        <s v="OPERADOR DE VOLQUETE/OPERADOR DE_x000d__x000a_RETROEXCAVADORA/OPERADOR DE MINICARGADOR" u="1"/>
        <s v="OPERADOR DE PLATAFORMA" u="1"/>
        <s v="OPERADOR DE ROBOT SHOCRETERO - TELEHANDLER -EXCAVADORA - MINICARGADOR - MINIEXCAVADORA - MANLIFT" u="1"/>
        <s v="OPERARIO TOPOGRAFO " u="1"/>
        <s v="OPERADOR DE RETROEXCAVADORA, OPERADOR DE EXCAVADORA, OPERADOR DE MINICARGADOR Y OPERADOR DE MOTONIVELADORA" u="1"/>
        <s v="OPERADOR SOLDADOR " u="1"/>
        <s v="TECNICO ELECTRICO " u="1"/>
        <s v="OFICIAL DE DRYWALL" u="1"/>
        <s v="JEDE DE PROYECTO" u="1"/>
        <s v="AUXILIAR DE ALMACÉN" u="1"/>
        <s v="JEFE DE GEOTECNIA" u="1"/>
        <s v="ASISTENTE DE CAMPO" u="1"/>
        <s v="CAPATAZ DE MONTAJE" u="1"/>
        <s v="SOLDADOR MONTAJISTA" u="1"/>
        <s v="AYUDANTE DE MONTAJE" u="1"/>
        <s v="OP EXCAVADORA" u="1"/>
        <s v="OPERADOR DE ROTOMARTILLO" u="1"/>
        <s v="SUPERVISORA SSOMA" u="1"/>
        <s v="INGENIERO SUPERVISOR DE OBRA" u="1"/>
        <s v="VIGIA" u="1"/>
        <s v=" INGENIERA DE PRODUCCION" u="1"/>
        <s v="OPERARIO ASFALTERO" u="1"/>
        <s v="PRACTICANTE" u="1"/>
        <s v="OPERADOR DE GRUA DE EXCAVACION" u="1"/>
        <s v="AUXILIAR DE PILOTERA" u="1"/>
        <s v="RESIDENTE GENERAL" u="1"/>
        <s v="SUPERVISORA DE PRODUCCION" u="1"/>
        <s v="SUPERVISOR DE INSTALACION DE ASCENSORES" u="1"/>
        <s v="SUPERVISOR DE RUTA" u="1"/>
        <s v="OPERADOR DE MODULAR" u="1"/>
        <s v="AYUDANTE DE OPERACIONES ESPECIALES" u="1"/>
        <s v="OPERADOR-MECANICO HIDRAULICO" u="1"/>
        <s v="SUPERVISOR DE TALLER" u="1"/>
        <s v="Estibador" u="1"/>
        <s v="Chofer Operador de Plataforma" u="1"/>
        <s v="CAPATAZ / ANDAMIERO " u="1"/>
        <s v="OFICIAL / ANDAMIERO " u="1"/>
        <s v="OPERARIO  ARMADOR" u="1"/>
        <s v="OFICIAL MONTAJISTA " u="1"/>
        <s v="OFICIAL GRANALLADOR " u="1"/>
        <s v="OFICIAL GRANALLADOR  Y PINTOR" u="1"/>
        <s v="OPERARIO GRANALLADOR Y PINTOR" u="1"/>
        <s v="OFICIAL TRAZADOR" u="1"/>
        <s v="OPERARIO CAMIÓN" u="1"/>
        <s v="OFICIAL REGLERO" u="1"/>
        <s v="OPERARIO CAMION" u="1"/>
        <s v="ASISTENTE DE ADMINISTRACION" u="1"/>
        <s v="OFICIAL HERRERO" u="1"/>
        <s v="INSPECTOR DE ULTRA SONIDO" u="1"/>
        <s v="ENFERMERA" u="1"/>
        <s v="CHOFER DE CAMION VOLQUETE" u="1"/>
        <s v="OPERADOR DE MONTACARGAS - PLATAFORMA" u="1"/>
        <s v="O.CARPINTERO" u="1"/>
        <s v="O.ALBAÑIL" u="1"/>
        <s v="OPERARIO ALBAÑIL Y SOLDADOR" u="1"/>
        <s v="OPERARIO DE TOPOGRAFIA" u="1"/>
        <s v="OPERARIO ALMACENERO/ CONDUCTOR DE CAMIONETA" u="1"/>
        <s v="OPERADOR MULTIPLE(RETROEXCAVADORA-MINICARGADOR)" u="1"/>
        <s v="JEFE DE EQUIPOS" u="1"/>
        <s v="ASISTENTE  ADMINISTRATIVO" u="1"/>
        <s v="OPERARIO ALBAÑIL Y GASFITERO" u="1"/>
        <s v="DIRECTOR DE OPERACIONES" u="1"/>
        <s v="OPERARIO ALBAÑIL Y MONTAJISTA" u="1"/>
        <s v="OFICIAL SOLDADOR " u="1"/>
        <s v="OPERARIO DE MOTONIVELADORA " u="1"/>
        <s v="ASISTE.DE RESIDENTE" u="1"/>
        <s v="ING.CALIDAD" u="1"/>
        <s v="ASISTENTE DE SUPERVISOR" u="1"/>
        <s v="OPERADOR EXCAVADORA  RETROEXCAVADORA _x000d__x000a_TELEHANDLER MINICARGADOR MINIEXCAVADORA" u="1"/>
        <s v="OPERADOR DE MONTAJE" u="1"/>
        <s v="SUPERVISOR DE OBRAS CIVILES" u="1"/>
        <s v="OFICIAL TOPOGRAFO " u="1"/>
        <s v="OPERARIO FERRERO" u="1"/>
        <s v="OPERADOR MINICARGADOR " u="1"/>
        <s v="ANALISTA DE CAMPO/CON/CONDUCTOR" u="1"/>
        <s v="ANALISTA DE CAMPO" u="1"/>
        <s v="SUPERVISOR DE SEGURIDAD/CONDUCTOR" u="1"/>
        <s v="ANALISTA DE CAMPO/CONDUCTOR" u="1"/>
        <s v="PDR PREVENCION" u="1"/>
        <s v="ASISTENTE ADMINISTRATIVA " u="1"/>
        <s v="OPERADOR DE EQUIPO DE SUCCION " u="1"/>
        <s v="ING. RESIDENTE" u="1"/>
        <s v="AUXLIAR DE LIMPIEZA" u="1"/>
        <s v="OPERADOR DE EQUIPO DE SUCCION" u="1"/>
        <s v="JEFE DE COSTOS Y PRESUPUESTO" u="1"/>
        <s v="ELECTRICISTA SENIOR" u="1"/>
        <s v="MECANICO JUNIOR" u="1"/>
        <s v="JEFE DE OPERACIONES " u="1"/>
        <s v="OFICIAL CARPINTERO " u="1"/>
        <s v="GERENTE DE PRODUCCION" u="1"/>
        <s v="SUPERVISOR DE ESTRUCTURAS METALICAS" u="1"/>
        <s v="ARMADOR MECANICO" u="1"/>
        <s v="GERENTE/OPERADOR DE RETROEXCAVADORA " u="1"/>
        <s v="JEFE DE OFICINA TECNICA" u="1"/>
        <s v="AUXILIAR LOGISTICO" u="1"/>
        <s v="OP. DE RETROEXCAVADORA, EXCAVADORA, MINICARGADOR" u="1"/>
        <s v="OPERADOR DE RETROEXACVADORA, RODILLO Y CARGADOR FRONTAL" u="1"/>
        <s v="OPERADOR DE EXCAVADORA, RETROEXCAVADORA Y CARGADOR FRONTAL" u="1"/>
        <s v="OPERADOR DE RETROEXCAVADORA, VOLQUETE Y EXCAVADORA" u="1"/>
        <s v="OPERADOR DE VOLQUETE, RETROEXCAVADORA, EXCAVADORA, MINICARGADOR Y CARGADOR FRONTAL" u="1"/>
        <s v="OPERADOR DE RETROEXCAVADORA, EXCAVADORA Y MINICARGADOR" u="1"/>
        <s v="OPERADOR DE VOLQUETE, EXCAVADORA, RETROEXCAVADORA, MINICARGADOR" u="1"/>
        <s v="ASISTENTE DE SEGURIDAD Y SALUD EN EL TRABAJO" u="1"/>
        <s v="AUX ADMINISTRATIVO" u="1"/>
        <s v="SOLDADOR MECANICO" u="1"/>
        <s v="OPERARIO DE ALMACEN" u="1"/>
        <s v="OPERADOR DE EXCAVADORA, VOLQUETE Y CARGADOR FRONTAL" u="1"/>
        <s v="OPERADOR MULTIPLE" u="1"/>
        <s v="SUPERVISORA  SSOMA" u="1"/>
        <s v="OPERADOR ALBAÑIL" u="1"/>
        <s v="JEFE DE PROYECTO " u="1"/>
        <s v="SUPERVISOR DE SSMA" u="1"/>
        <s v="INGENIERO DE SSMA" u="1"/>
        <s v="OPERADOR DE MAQUINARIA – GRUA/ PILOTERA" u="1"/>
        <s v="OPERADOR DE MAQUINARIA - GRUA" u="1"/>
        <s v="AUXILIAR DE CIMENTACIONES" u="1"/>
        <s v="MEDICO OCUPACIONAL" u="1"/>
        <s v="PRACTICANTE DE ENFERMERIA" u="1"/>
        <s v="OPERADOR DE MAQUINARIA - PILOTERA" u="1"/>
        <s v="SUPERVISOR DE TERRENO" u="1"/>
        <s v="AYUDANTE DE OBRA" u="1"/>
        <s v="TECNICO MECANICO II" u="1"/>
        <s v="GERENTE SOLER &amp; PALAU" u="1"/>
        <s v="AUXILIAR DE CAMPO" u="1"/>
        <s v="GERENCIA" u="1"/>
        <s v="TECNICO DE LABORATORIO" u="1"/>
        <s v="ENCARGADO" u="1"/>
        <s v="DIGITADOR" u="1"/>
        <s v="AYUDANTE TECNICO LAB." u="1"/>
        <s v="TECNICO DUCTOS" u="1"/>
        <s v="TECNICO DCTOS" u="1"/>
        <s v="AYUDANTE DE DRYWALL" u="1"/>
        <s v="JEFE DE POSTVENTA" u="1"/>
        <s v="INGENIERO DE SERVICIOS" u="1"/>
        <s v="Coordinadora de quejas" u="1"/>
        <s v="SUPERVISORA DE CALIDAD" u="1"/>
        <s v="Administrador de Sitio" u="1"/>
        <s v="RESIDENTE OBRA" u="1"/>
        <s v="OPERADOR RIGGER" u="1"/>
        <s v="OPERADOR DE MAQUINARIAS MULTIPLES" u="1"/>
        <s v=" OPERADOR DE GRUA TELESCOPICA" u="1"/>
        <s v="SOMA" u="1"/>
        <s v="ASISTENTE TOPOGRAFO" u="1"/>
        <s v="Ing. Electricista" u="1"/>
        <s v="AGENTE DE SEGURIDAD" u="1"/>
        <s v="OPERADOR DE MAQUINARIA" u="1"/>
        <s v="CHOFER / AYUDANTE" u="1"/>
        <s v="OFICIAL DE TOPOGRAFIA" u="1"/>
        <s v="ASISITENTE DE PRODUCCION" u="1"/>
        <s v="2-OPERARIO 002-FIERRERO" u="1"/>
        <s v="4-PEON 003-PEON" u="1"/>
        <s v="2-OPERARIO 004-SOLDADOR" u="1"/>
        <s v="4-PEON    -" u="1"/>
        <s v="3-OFICIAL 002-FIERRERO" u="1"/>
        <s v="ING DE PRODUCCION " u="1"/>
        <s v="TECNICO CADISTA" u="1"/>
        <s v="OFICIAL DE ALBAÑIL" u="1"/>
        <s v="JEFE  DE  OPERACIONES" u="1"/>
        <s v="OFICIAL CAPINTERO" u="1"/>
        <s v="OFICIAL CARPINTERO / ELECTRICISTA JUNIOR" u="1"/>
        <s v="OP. DE RETROEXCAVADORA" u="1"/>
        <s v="OP. DE RETROEXCAVADORA, EXCAVADORA Y RODILLO" u="1"/>
        <s v="INGENIERO DE SEGURIDAD" u="1"/>
        <s v="OPERARIO MONTAJISTA-ANDAMIERO" u="1"/>
        <s v="OPERARIO ELÉCTRICISTA " u="1"/>
        <s v="OPERARIO  " u="1"/>
        <s v="GERENTE GENERAL " u="1"/>
        <s v="HSE" u="1"/>
        <s v="PUENTE " u="1"/>
        <s v="OPERARIODE IMPERMEABILIZACION" u="1"/>
        <s v="OP. DE VOLQUETE" u="1"/>
        <s v="Supervisor SSMA" u="1"/>
        <s v="Conductor de camión" u="1"/>
        <s v="Tecnico Instalador de PCF" u="1"/>
        <s v="Tecnico Pintor de PCF" u="1"/>
        <s v="Controller de Proyectos" u="1"/>
        <s v="KELLYMAN" u="1"/>
        <s v="ENFERMERO HIPERBÁRICO" u="1"/>
        <s v="SUPERVISOR HIPERBÁRICO" u="1"/>
        <s v="SUPERVISOR DE PRODUCCI{ON" u="1"/>
        <s v="INGENIERO DE SERVICIOS TECNICO" u="1"/>
        <s v="CONDUCTOR VEHÍCULO AUXILIAR (DAV)" u="1"/>
        <s v="CONDUCTOR DEL VEHÍCULO (TREN DE PRUEBA)" u="1"/>
        <s v="OPERADOR CISTERNA" u="1"/>
        <s v="SUPERVISORA DE SSOMA" u="1"/>
        <s v="LABORATORISTA DE SUELOS" u="1"/>
        <s v="OPERARIO DE MOVIMIENTO DE TIERRAS" u="1"/>
        <s v="ASIST. ADMINISTRATIVO" u="1"/>
        <s v="OFICIAL ELECTRICO" u="1"/>
        <s v="OFICIAL ALBAÑIL  " u="1"/>
        <s v="TECNICO DE INSTALACION" u="1"/>
        <s v="TECNICO INSTALACIONES" u="1"/>
        <s v="OFICIAL MECANICO SOLDADOR" u="1"/>
        <s v="CHOFER - AYUDANTE" u="1"/>
        <s v="OPERARIO BT/ MT" u="1"/>
        <s v="OFICIAL DE ALBAÑILERIA" u="1"/>
        <s v="INGENIERO TRAINER" u="1"/>
        <s v="OP. DE VOLQUETE Y RETROEXCAVADORA" u="1"/>
        <s v="OPERADOR DE EXCAVADORA, CARGADOR FRONTAL, MINICARGADOR, RETROEXCAVADORA" u="1"/>
        <s v="PREVENCIONISTA SST" u="1"/>
        <s v=" ASISTENTE ADMINISTRATIVO" u="1"/>
        <s v="Operario Enchapador" u="1"/>
        <s v="Oficial Enchapador" u="1"/>
        <s v="Solador de Terrazo" u="1"/>
        <s v="SUPERVISOR  DE OPERACIONES" u="1"/>
        <s v="INGENIERA DE CONTROL DE PROYECTOS" u="1"/>
        <s v="CONDUCTOR DE CAMIONETA Y CAMION" u="1"/>
        <s v="PREVENCIONISTA DE RIESGO Y SEGURIDAD" u="1"/>
        <s v="CONDUCTOR VEHÍCULO CISTERNA DE 5M3" u="1"/>
        <s v="CONDUCTOR DE VEHICULO LIVIANO" u="1"/>
        <s v="ASISTENTE SEGURIDAD Y S." u="1"/>
        <s v="AUXILIAR DE MONTAJE" u="1"/>
        <s v="RESPONSABLE DE SISTEMA DE GESTION INTEGRADO" u="1"/>
        <s v="OPERADOR DE RETROEXVADORA - CARGADOR FRONTAL" u="1"/>
        <s v="OPERADOR GRUA" u="1"/>
        <s v="OPERADOR " u="1"/>
        <s v="OFICIAL DE IMPERMEABILIZACION " u="1"/>
        <s v="INGENIERO GEOLOGO " u="1"/>
        <s v="TECNICO ESPECIALISTA EN INYECCIONES" u="1"/>
        <s v="TECNICO DE INYECCION " u="1"/>
        <s v="OFICIAL  CARPINTERO" u="1"/>
        <s v="ING. CALIDAD" u="1"/>
        <s v="OPERADOR DE RETROEXCAVADORA/MANTENIMIENTO" u="1"/>
        <s v="OPERDADOR DE EXCAVADORA" u="1"/>
        <s v="OPERADOR DE ROBOT, CARGADOR FRONTAL Y TELEHANDLER" u="1"/>
        <s v="OPERARIO ALABAÑIL" u="1"/>
        <s v="ASISTENTE DOCUMENTARIO" u="1"/>
        <s v="AYUDANTE DE OBRA " u="1"/>
        <s v="INYECTORISTA" u="1"/>
        <s v="OPERADOR DE MAQUINARIA – GRÚA/ PILOTERA" u="1"/>
        <s v="TECNICO MECANICO I" u="1"/>
        <s v="OPERADOR DE MAQUINARIA - GRÚA" u="1"/>
        <s v="OPERADOR DE MAQUINARIA - PERFORADORA" u="1"/>
        <s v="OPERADOR DE TENSADO" u="1"/>
        <s v="OPERADOR DE MAQUINARIA- GRUA /PILOTERA" u="1"/>
        <s v="TECNICO ELECTRICO I" u="1"/>
        <s v="SUPERVISOR DE SOLDADURA" u="1"/>
        <s v="CONDUCTOR DE CISTERNA DE COMBUSTIBLES " u="1"/>
        <s v="OPERADOR DE CAMION LUBRICADOR E HIDROGRUA" u="1"/>
        <s v="SUPERVISOR DE SEGURIDAD SSOMA" u="1"/>
        <s v="ASISTENTE RRHH" u="1"/>
        <s v="OPEARIO CARPINTERO" u="1"/>
        <s v="RESPONSABLE DE LOGISTICA" u="1"/>
        <s v="Conductor de camion " u="1"/>
        <s v="Peon de Obra" u="1"/>
        <s v="VIGIA DE CISTERNA" u="1"/>
        <s v="OPERADOR  DE CISTERNA " u="1"/>
        <s v="SUPERVISOR EN CAMPO" u="1"/>
        <s v="Oficial -. Albañil" u="1"/>
        <s v="Asistente - Residente" u="1"/>
        <s v="AYUDANTE DE TOPOGRAFIA" u="1"/>
        <s v="OPERADOR EXCAVADORA - RETROEXCAVADORA -_x000d__x000a_TELEHANDLER - MINICARGADOR - MINIEXCAVADORA" u="1"/>
        <s v="OPERADOR TELEHANDLER - CARGADOR FRONTAL -_x000d__x000a_MINICARGADOR - MINIEXCAVADORA" u="1"/>
        <s v="OPERADOR MANLIFT - TELEHANDLER" u="1"/>
        <s v="TRABAJADORA SOCIAL" u="1"/>
        <s v="COORDINADOR DE PRODUCCION" u="1"/>
        <s v="COORDINADOR ADMINISTRATIVO" u="1"/>
        <s v="MAESTRO GENERAL" u="1"/>
        <s v="OPERADOR DE CARGADOR FRONTAL " u="1"/>
        <s v="CAPATAS" u="1"/>
        <s v="OP. DE EXCAVADORA Y RETROEXCAVADORA" u="1"/>
        <s v="GEOLOGO INTERMEDIO 3 " u="1"/>
        <s v="ASISTENTE DE CAMPO " u="1"/>
        <s v="ING. SANITARIO" u="1"/>
        <s v="OPERADRO DE MINICARGADOR " u="1"/>
        <s v="OPERADOR HIPERBARICO" u="1"/>
        <s v="PREVENCIONISTA DE SSMA" u="1"/>
        <s v="CAPATAZ FIERRERO" u="1"/>
        <s v="OPERADOR MANLIF " u="1"/>
        <s v="ASISTENTE OPERACIONES" u="1"/>
        <s v="Ingenierop Residente" u="1"/>
        <s v="OPERARIO DE MONTAJE" u="1"/>
        <s v="AUXILIAR DE INSTALACIÓN" u="1"/>
        <s v="OPERADOR DE MOTOSIERRAS" u="1"/>
        <s v="OFICIAL CARPINERO" u="1"/>
        <s v="Oficial de Enchapado" u="1"/>
        <s v="GEOLOGO INTERMEDIO 3" u="1"/>
        <s v="OPERADOR DE TELEHANDER" u="1"/>
        <s v="Capataz de Obras Electricas" u="1"/>
        <s v="SUPERVISORA DE COMPRAS Y ADQUISICIONES" u="1"/>
        <s v="TECNICO ESPECIALISTA EN INSTRUMENTACIÓN" u="1"/>
        <s v="OPERADOR DE ROBOT" u="1"/>
        <s v="OPERADOR DE RODILLO TANDEN 12TN" u="1"/>
        <s v="OPERADOR DE RETRO EXCAVADORA , EXCAVADORA HIDRÁULICA Y CARGADOR FRONTAL" u="1"/>
        <s v="MECANICO AUTOMOTRIZ" u="1"/>
        <s v="OPERADOR TELEHANDLER, SCOOP Y MINI CARGADOR" u="1"/>
        <s v="ING DE PRODUCCION JUNIOR " u="1"/>
        <s v="INSPECTOR DE ESTACION" u="1"/>
        <s v="INGENIERO ELECTRICISTA " u="1"/>
        <s v="CONSUCTOR DE CAMIONETA" u="1"/>
        <s v="ASISTENTE  DE TOPOGRAFO" u="1"/>
        <s v="OPERARIO – TOPÓGRAFO." u="1"/>
        <s v="TECNICO DE CALIDAD" u="1"/>
        <s v="OFICIAL DE TERMOFUSION" u="1"/>
        <s v="OPERARIO DE VOLQUETE " u="1"/>
        <s v="OPERADOR DE GRUA TORRE" u="1"/>
        <s v="SUPERVISOR MATPEL" u="1"/>
        <s v="TAMIZADOR" u="1"/>
        <s v="OFICIAL CONSTRUCCION CIVIL" u="1"/>
        <s v="COORDINADORA DE SEGURIDAD, SALUD OCUPACIONAL Y MEDIO AMBIENTE" u="1"/>
        <s v="ASISTENTE DE ADMISTRACION" u="1"/>
        <s v="OFIAL ALBAÑIL" u="1"/>
        <s v="OP. DE VOLQUETE, EXC/ CARGADOR FRONTAL Y RODILLO" u="1"/>
        <s v="TÉCNICO SOLDADOR" u="1"/>
        <s v="TECNICO ELECTICISTA" u="1"/>
        <s v="ASISTENTE DE CONTROL DOCUMENTARIO" u="1"/>
        <s v="JEFE DE PROYECTOS " u="1"/>
        <s v="OPERADOR PAVIMENTADORA" u="1"/>
        <s v="RIGGER DE GRUA" u="1"/>
        <s v="Inspector Calidad" u="1"/>
        <s v="OFICIAL- APOYO ADMI" u="1"/>
        <s v="OPERADOR DE ROBOT SHOTCRETERO" u="1"/>
        <s v="CAPATAZ ELECTRICISTA" u="1"/>
        <s v="SSOMA" u="1"/>
        <s v="RETEN" u="1"/>
        <s v="Conserje" u="1"/>
        <s v="OPERADOR GRÚA" u="1"/>
        <s v="SUPERVISOR DE EXCAVACIONES" u="1"/>
        <s v="ING DE CALIDAD" u="1"/>
        <s v="SUPERVISOR DE OBRAS" u="1"/>
        <s v="Tecnico aplicador" u="1"/>
        <s v="Auxiliar Electricista" u="1"/>
        <s v="INGENIERA RESIDENTE" u="1"/>
        <s v="CENTRALISTA AUXILIAR " u="1"/>
        <s v="OPERADOR CAMION GRUA " u="1"/>
        <s v="Especialista Electronico y Comunicaciones/Coordinador de Sitio(Safety)" u="1"/>
        <s v="GERENTE SOLER Y PALAU" u="1"/>
        <s v="OFICIAL -ANDAMIERO" u="1"/>
        <s v="OPERARIO DE DEMOLICIÓN Y PERFORACIÓN" u="1"/>
        <s v="RESIDENTE CIVIL" u="1"/>
        <s v="OPERARIO MAQUINARIA" u="1"/>
        <s v="ASISTENTE  DE  CALIDAD" u="1"/>
        <s v="OPERARIO MONTAJISTA - SOLDADOR" u="1"/>
        <s v="OPERARIO MONTAJISTA Y SOLDADOR" u="1"/>
        <s v="SOLDADOR FIERRERO / SUPERVISOR DE PLANTA DOVELAS" u="1"/>
        <s v="Prevención " u="1"/>
        <s v="ADMINISTRADOR DR OBRA" u="1"/>
        <s v="SUPERVISION DE PRODUCCION" u="1"/>
        <s v="TECNICO ELECTRONICO" u="1"/>
        <s v="OPERADOR DE RETROESCAVADORA" u="1"/>
        <s v="Coordinador Calidad" u="1"/>
        <s v="ENCARGADO DE OBRA PGD" u="1"/>
        <s v="OPERADOR DE TELEHENADLER EXCAVADORA Y CARGADOR" u="1"/>
        <s v="Asistente de logistica y compras" u="1"/>
        <s v="OPERADOR DE MONTACARGAS " u="1"/>
        <s v="INGENIERO SUPERVISOR DE CALIDAD" u="1"/>
        <s v="Dibujante Cadista" u="1"/>
        <s v="OPERARIO CARPNTERO - HYDRA" u="1"/>
        <s v="OPERADOR RODILLO Y EXCAVADORA" u="1"/>
        <s v="AYUDANTE DE TECNICO ELECTRICISTA" u="1"/>
        <s v="OPERARIO PERFORISTA TUNELERO" u="1"/>
        <s v="AYUDANNTE PINTOR" u="1"/>
        <s v="CONDUCTOR VOLQUETE " u="1"/>
        <s v="TECNICO DE SERVICIOS" u="1"/>
        <s v="TECNICO DE INSTALACIONES" u="1"/>
        <s v="TOPÓGRAFO SENIOR" u="1"/>
        <s v="Coordinado de proyecto" u="1"/>
        <s v="SUPERVISORA DE PRODUCCIÓN" u="1"/>
        <s v="OPERADOR DE MAQUINA RETROEXCAVADORA Y EXCAVADORA" u="1"/>
        <s v="OPERADOR ROBOT SHOCRETERO-TELEHANDLER-EXCAVADORA" u="1"/>
        <s v="INGº SEGURIDAD" u="1"/>
        <s v="AUXILIAR TOPOGRAFIA" u="1"/>
        <s v="SUPERVISOR DE SOMA" u="1"/>
        <s v="OPERARIO ALBAÑIL (BLOQUETERO)" u="1"/>
        <s v="ADMINISTRADORA DE OBRA " u="1"/>
        <s v="TECNICO MECANICO A " u="1"/>
        <s v="Operador de Telehandler, _x000a_Montacarga y Manlift" u="1"/>
        <s v="OPERADOR ROBOT SHOCRETERO - TELEHANDLER- CARMIX" u="1"/>
        <s v="INGENIERO DE PROYECTO JUNIOR " u="1"/>
        <s v="ELECTRICISTA - OPERARIO" u="1"/>
        <s v="ASISTENTE SSOMA" u="1"/>
        <s v="CHOFER DE FURGON" u="1"/>
        <s v="Oficial Montaista" u="1"/>
        <s v="CHOFER - CONDUCTOR" u="1"/>
        <s v="OPERARIO ALBAÑIL - ENCOFRADOR" u="1"/>
        <s v="OPERADOR DE MAQUINARIA - GRÚA / PILOTERA" u="1"/>
        <s v="OPERADOR DE ROBOT SHOCRETERO - TELEHANDLER -EXCAVADORA - MINICARGADOR - MINIEXCAVADORA" u="1"/>
        <s v="SOLDADOR FIERRERO " u="1"/>
        <s v="Tec. Elec" u="1"/>
        <s v="Operario de Limpieza" u="1"/>
        <s v="VIGIA SEÑALERO" u="1"/>
        <s v="G. GENERAL" u="1"/>
        <s v="OPERADOR DE PUENTE GRÚA" u="1"/>
        <s v="OPERADOR DE CORTASETO" u="1"/>
        <s v="ANDAMIERO" u="1"/>
        <s v="AYUDANTE DE BOMBA" u="1"/>
        <s v="Ingeniero  Residente" u="1"/>
        <s v="RESIDENTE DE PROYECTO" u="1"/>
        <s v="OPERADOR DE PILOTERA " u="1"/>
        <s v="OPERADOR DE MINICARGADOR / BOMBA DE CONCRETO" u="1"/>
        <s v="OPERADOR DE CARGADOR FRONTAL, EXCAVADORA , RETROEXCAVADORA , TRACTO ORUGA Y RODILLO" u="1"/>
        <s v="OPERADOR DE CAMION " u="1"/>
        <s v="CONDUCTOR DE CAMION FURGON Y BUS" u="1"/>
        <s v="OPERDAOR DE RETROEXCAVADORA" u="1"/>
        <s v="PRACTICANTE DE PROYECTOS" u="1"/>
        <s v="OPERARIO TELEHANDLERS" u="1"/>
        <s v="OPERADOR RETROEXCAVADORA, EXCAVADORA Y RODILLO" u="1"/>
        <s v="SUPERVISOR DE PROD." u="1"/>
        <s v="AYUDANTE DE TOPOGRAFIA " u="1"/>
        <s v="OFICIAL DE PERFORACION" u="1"/>
        <s v="OPERARIO. MIN" u="1"/>
        <s v="Jefe de sstma" u="1"/>
        <s v="Operador de Pórtico y Ventosa" u="1"/>
        <s v="OPERADOR DE CARGADOR FRONTAL Y RETROEXCAVADORA" u="1"/>
        <s v="ASISTENTE DE SEGURIDAD" u="1"/>
        <s v="Oficial  Albañil (Bloquetero)" u="1"/>
        <s v="CONDUCTOR CAMION FURGON 1.5 TN" u="1"/>
        <s v="Sensibilizadora Social" u="1"/>
        <s v="Operador de Retreoexcavadora" u="1"/>
        <s v="OPERADOR DE RETRO EXCAVADORA" u="1"/>
        <s v="OFICIAL CARPINTERO / MECANICO JUNIOR" u="1"/>
        <s v="2-OPERARIO    -" u="1"/>
        <s v="MANIOBISTA DE IZAJES Y TREMIE" u="1"/>
        <s v="OPERAR DE MAQUINA PINTARRAYA" u="1"/>
        <s v="JEFE ADMINISTRATIVO" u="1"/>
        <s v="PEÓN CONSTRUCCIÓN" u="1"/>
        <s v="MONITOR" u="1"/>
        <s v="VIGILANTE " u="1"/>
        <s v="TECNICO OPERACIONES" u="1"/>
        <s v="TECNICO EN REFRIGERACION " u="1"/>
        <s v="OFICIAL CARPINTERO ENCOFRADOR" u="1"/>
        <s v="OPERADOR TELEHANDLER - EXCAVADORA -CARGADOR FRONTAL" u="1"/>
        <s v="Tecnico Montajista " u="1"/>
        <s v="CHOFER DE CAMION" u="1"/>
        <s v="ING. DE PRODUCCION" u="1"/>
        <s v="OPERARIO CARPINTERO Y FIERRERO" u="1"/>
        <s v="OPERARIO DE VOLQUETE" u="1"/>
        <s v="OPERARIO DE PRODUCCIÓN" u="1"/>
        <s v="CENTRALISTA " u="1"/>
        <s v="Analista de Soporte Técnico" u="1"/>
        <s v="OFICIAL ELECTROMECANICO " u="1"/>
        <s v="ASISTENTE DE OFICINA TÉCNICA" u="1"/>
        <s v="CAPATAZ DE DEMOLICION" u="1"/>
        <s v="OPERARIO CALDEERO" u="1"/>
        <s v="OPERADOR DE MINICARGADOR Y RODILLO" u="1"/>
        <s v="OPERADOR DE MONTACARGAS/ SOLDADOR - ALBAÑIL" u="1"/>
        <s v="SUPERVISION GENERAL" u="1"/>
        <s v="SUPERVISOR QA-QC" u="1"/>
        <s v="OPERADOR ROBOT SHOCRETERO - TELEHANDLER - CARMIX" u="1"/>
        <s v="OFICIAL INSTALACIONES" u="1"/>
        <s v="JEFE DE OPERACIONES Y EQUIPOS" u="1"/>
        <s v="ASISTENTE DE ING RESIDENTE" u="1"/>
        <s v="CHOFER – CONDUCTOR CAMION" u="1"/>
        <s v="INGENIERO ADMINISTRATIVO" u="1"/>
        <s v="SUPERVISOR DE PERFORACION" u="1"/>
        <s v="PEÒN" u="1"/>
        <s v="Operiario Soldador" u="1"/>
        <s v="OFICIAL-INYECTOR" u="1"/>
        <s v="INGENIERO DE CAMPO Y PRODUCCION" u="1"/>
        <s v="OFICIAL ALBAÑIL Y MONTADOR " u="1"/>
        <s v="OPERIARIO CARPINTERO" u="1"/>
        <s v="SUPERVISOR DE PERFORACIONES " u="1"/>
        <s v="ASISTENTE DE CALIDAD Y PRODUCCION" u="1"/>
        <s v="ING. DE COSTOS Y PRODUCTIVIDAD" u="1"/>
        <s v="OPERADOR PERFORISTA " u="1"/>
        <s v="OPERARIO PERFORISTA " u="1"/>
        <s v="OPERARIO RIGGER " u="1"/>
        <s v="SUPERVISOR DE QA/QC" u="1"/>
        <s v="OPERADOR DE TELEHANDLER Y MINICARGADOR " u="1"/>
        <s v="OPERADOR DE MINICARGADOR Y RETROESCAVADORA" u="1"/>
        <s v="TÉCNICO DE IMPERMEABILIZACIÓN" u="1"/>
        <s v="PEON FIERRERO" u="1"/>
        <s v="Auxiliar SSOMA" u="1"/>
        <s v="OPERADOR DE RETROEXCAVADORA, EXCAVADORA, MINICARGADOR" u="1"/>
        <s v="SUPERVISOR DE TENSADO" u="1"/>
        <s v="TOPOGRAFO INTERMEDIO 1" u="1"/>
        <s v="PEON  - AYUDANTE" u="1"/>
        <s v="4-PEON" u="1"/>
        <s v="OPERADOR DE LANZADO Y BOMBA" u="1"/>
        <s v="OPERADOR DE MINI CARGADOR" u="1"/>
        <s v="OPERARIO ALBAÑIL-PERFORISTA" u="1"/>
        <s v="Conductor de unidad de contingencia " u="1"/>
        <s v="OPERADOR PERFORISTA" u="1"/>
        <s v="OPERADOR DE VOLQUETE Y CAMION GRUA" u="1"/>
        <s v="OPERADORES DE VOLQUETES" u="1"/>
        <s v="SUPERVISOR DE OPERACIONES                         " u="1"/>
        <s v="ING. DE SEGURIDAD" u="1"/>
        <s v="ASISTENTE  DE  ADMINISTRADOR" u="1"/>
        <s v="OPERARIO ALBAÑIL Y CARPINTERO" u="1"/>
        <s v="OPERADOR DE EXCAVADORA Y CARG. FRONTAL" u="1"/>
        <s v="OPERARIO ALBAÑIL - HYDRA" u="1"/>
        <s v="Jefe de Logistica" u="1"/>
        <s v="TECNICO AYUDANTE" u="1"/>
        <s v="TECNICO ESPECIALISTA UNIMOC" u="1"/>
        <s v="MEDICO" u="1"/>
        <s v="OPERARIO SOLDADOR  DE  TERMOSUFION" u="1"/>
        <s v="OFICIAL DE DEMOLICION Y PERFORACION" u="1"/>
        <s v="OFICIAL PERFORSITA" u="1"/>
        <s v="CONDUCTOR CAMION BARANDA" u="1"/>
        <s v="INGENIERA DE PRODUCCION JUNIOR " u="1"/>
        <s v="TOPOGRÁFO" u="1"/>
        <s v="TECNICO ELECTRICISTA 3" u="1"/>
        <s v="OPERADOR EXCAVADORA, RETROEXCAVADORA Y MINICARGADOR" u="1"/>
        <s v="OPERADOR DE MONTACARGAS Y MINICARGADOR" u="1"/>
        <s v="LICENCIADA ENFERMERA " u="1"/>
        <s v="PEON CARPINTERO" u="1"/>
        <s v="INGENIERO SUPERVISOR" u="1"/>
        <s v="OP. EXCAVADORA, CARGADOR FRONTAL, TRACTOR, MINI EXCAVADORA Y MINI CARGADOR" u="1"/>
        <s v="OPERADOR CAMION CISTERNA" u="1"/>
        <s v="ADMINISTRADOR DE OBRA SEMI SENIOR" u="1"/>
        <s v="OFICIAL MASILLADOR " u="1"/>
        <s v="OPERARIO GRANULADOR Y PINTOR" u="1"/>
        <s v="Gerente Operaciones" u="1"/>
        <s v="ASISTENTE DE ADMINISTRACIÓN " u="1"/>
        <s v="OPERADOR PINTOR" u="1"/>
        <s v="ASISTENTE DE  INGENIERIA" u="1"/>
        <s v="Conductor de Vehículo Liviano" u="1"/>
        <s v="Supervisor Técnico" u="1"/>
        <s v="0040      -ENCARGADO DE SSMA" u="1"/>
        <s v="OPERADO_x000a_R DE _x000a_VOLQUETE" u="1"/>
        <s v="OPERADOR DE MANLIF Y ALBAÑIL" u="1"/>
        <s v="OPERADOR DE PAVIMENTADORA Y RODILLO" u="1"/>
        <s v="AUXILIAR DE ARMADO" u="1"/>
        <s v="OPERADOR DE RETROEXCAVADORA MULTIPLE" u="1"/>
        <s v="RIGGER " u="1"/>
        <s v="ASISTETE ADMINISTRATIVO" u="1"/>
        <s v="SSOMA -PREVENSIONISTA" u="1"/>
        <s v="PREVENCIONISTA DE RIESGOS " u="1"/>
        <s v="GESTION Y CONTROL" u="1"/>
        <s v="TECNICO DE INSTALACIONES " u="1"/>
        <s v="INGENIERO" u="1"/>
        <s v="OFIACIAL CARPINTERO" u="1"/>
        <s v="AUXILIAR DE MECANICA " u="1"/>
        <s v="ASISTENTE OFICINA TÉCNICA" u="1"/>
        <s v="GRTE ADM FINANZAS" u="1"/>
        <s v="Operario Albanil" u="1"/>
        <s v="SUPERVISOR - CAPATAZ" u="1"/>
        <s v="SUPERVISOR  DE  SST" u="1"/>
        <s v="Supervisor de Maquinarias " u="1"/>
        <s v="OPERARIOS DE DEMOLICIÓN Y PERFORACIÓN" u="1"/>
        <s v="JEFE DE OPERACIONES EN OBRA" u="1"/>
        <s v="Gerente Comercial" u="1"/>
        <s v="OPERARIO SHOTCRETERO" u="1"/>
        <s v="SUPERVIRSOR DE SEGURIDAD- HYDRA" u="1"/>
        <s v="SUPERVISOR DE SSTMA" u="1"/>
        <s v="TECNICO MONTAJISTA EN IMPERMEALIZACION" u="1"/>
        <s v="OPERADOR TORRE GRUA" u="1"/>
        <s v="INGª PRODUCCIÓN" u="1"/>
        <s v="JEFE DE CUADRILLA REDES MT/BT" u="1"/>
        <s v="OFICIAL ELECTROMECÁNICO" u="1"/>
        <s v="SUPERVISOR CONTROL CALIDAD" u="1"/>
        <s v="SUPERVISOR JUNIOR DE SEGURIDAD, SALUD OCUPACIONAL Y MEDIO AMBIENTE" u="1"/>
        <s v="ESPECIALISTA SSOMA" u="1"/>
        <s v="AUXILIAR DE LOGÍSTICA" u="1"/>
        <s v="ESPECIALISTA PERFORACIONES " u="1"/>
        <s v="Especialista Sistemas Electronico  /Coordinador de Sitio" u="1"/>
        <s v=" Prevencionista SST / SSOMA" u="1"/>
        <s v="OPERADOR RETROEXCAVADORA Y EXCAVADORA" u="1"/>
        <s v="OPERADOR DE  EXCAVADOOR MULTIPLE" u="1"/>
        <s v="OPERADOR DE TELEHANDLER MULTIPLE" u="1"/>
        <s v="CAPATAZ DE CARPINTERO" u="1"/>
        <s v="INGENIRO DE SEGURIDAD" u="1"/>
        <s v="INGº CONTROL DE COSTOS" u="1"/>
        <s v="01" u="1"/>
        <s v="CONDUCTOR DE CISTERNA " u="1"/>
        <s v="Supervsior de Obra" u="1"/>
        <s v="OPERDOR DE GRUA" u="1"/>
        <s v="OFICIAL PERFORISTA " u="1"/>
        <s v="OPERARIO DE MINICARGADOR" u="1"/>
        <s v="OFICIAL CARPINTERO Y ALBAÑIL" u="1"/>
        <s v="Operador de Retroexcavadora/Gerente" u="1"/>
        <s v="OPERADOR TELEHANDLER" u="1"/>
        <s v="OPERARIO EN MONTAJE Y DESMONTAJE DE ASCENSORES" u="1"/>
        <s v="OPERADOR DE ROBOT SHOCRETERO-TELEHANDLER-CARMIX-MINICARGADOR-MINIEXCAVADORA" u="1"/>
        <s v="OPERARIO MECANICO MONTAJISTA" u="1"/>
        <s v="OPERARIO SOLDADOR MONTAJISTA" u="1"/>
        <s v="PEÓN FIERRERO" u="1"/>
        <s v="TOPOGRAFO JUNIOR " u="1"/>
        <s v="ARMADOR DE PUERTAS" u="1"/>
        <s v="OPERADOR DE MAQUINA PINTARRAYA" u="1"/>
        <s v="Supervisior de Planta de Dovelas" u="1"/>
        <s v="TECNICO DE IMPERMEABILZACIÓN" u="1"/>
        <s v="CONDUCTOR DE CAMUIN GRUA" u="1"/>
        <s v="OPERARIO RIGER" u="1"/>
        <s v="OFICIAL DE INSTALACIÓN" u="1"/>
        <s v="PEON DE DEMOLICION" u="1"/>
        <s v="Coordinador de CTM/TCO" u="1"/>
        <s v="CAPATAZ PRODUCCION " u="1"/>
        <s v="PRACTICANTE ADMINISTRATIVO" u="1"/>
        <s v="OPERADOR RETROEXCAV." u="1"/>
        <s v="ASISTENTE DE PRODUCCIÓN_x000a_" u="1"/>
        <s v="Operario Tubero" u="1"/>
        <s v="OP. DE RETROEXCAVADOR Y EXCAVADORA" u="1"/>
        <s v="Conductor furgoneta" u="1"/>
        <s v="ASISTENTE DE GESTIÓN" u="1"/>
        <s v="SOLDADOR MONTADOR" u="1"/>
        <s v="OPERADOR DE EXCAVADORA - RETROEXCAVADORA - TELEHANDLER" u="1"/>
        <s v="Tecnico Laboratorio" u="1"/>
        <s v="Asistente SST" u="1"/>
        <s v="OPERARIO GRUA TORRE" u="1"/>
        <s v="SUPERVISOR DE MODULARES" u="1"/>
        <s v="OPERARIO DE SERVICIOS MÚLTIPLES" u="1"/>
        <s v="0019      -PREVENCIONISTA DE SSMA" u="1"/>
        <s v="CAPATAZ SUPERVISOR" u="1"/>
        <s v="ING. PRODUCCIÓN" u="1"/>
        <s v="OPERADOR DE ROBOT SHOCRETERO - TELEHANDLER - EXCAVADORA" u="1"/>
        <s v="OPERADOR EXCAVADORA, CARGADOR FRONTAL Y RETROEXCAVADORA" u="1"/>
        <s v="ADMINISTRADOR " u="1"/>
        <s v="OPERARIO CARPINTERO Y ALBAÑIL" u="1"/>
        <s v="OPERARIO MONTAJISTA Y ALBAÑIL" u="1"/>
        <s v="AYUDANTE DE PINTURA" u="1"/>
        <s v="Asistente de _x000a_Supervisor de Seguridad" u="1"/>
        <s v="OFICIAL ALBAÑIL Y DE MONTAJE" u="1"/>
        <s v="Administrativo" u="1"/>
        <s v="INGENIERO DE SSMA " u="1"/>
        <s v="SUPERVISOR TOPOGRAFIA" u="1"/>
        <s v="OPERADOR DE EXCAVADORA - RETROEXCAVADORA -_x000a_MINICARGADOR - CARGADOR FRONTAL - RODILLO -_x000a_MINIEXCAVADORA - TELEHANDLER" u="1"/>
        <s v="Jefe de Seguridad y Salud" u="1"/>
        <s v=" SUPERVISOR DE PROYECTO" u="1"/>
        <s v="OPERADOR DE GRUA BAYA" u="1"/>
        <s v="OPERADOR DE RODILLO LISO" u="1"/>
        <s v="Oficial eléctrico" u="1"/>
        <s v="OPERARIO CARPINTERO/ALBAÑIL" u="1"/>
        <s v="ING. OFICINA TECNICA" u="1"/>
        <s v="OPERARIO RASTRILLO " u="1"/>
        <s v="TOPÓGRAFO INTERMEDIO 1" u="1"/>
        <s v="CHOFER DE  CAMION VOLQUETE" u="1"/>
        <s v="TOPÓGRAFO INTERMEDIO 2" u="1"/>
        <s v="TOPÓGRAFO INTERMEDIO 3" u="1"/>
        <s v="OPERADOR INST. SANITARIAS" u="1"/>
        <s v="OPERARIO INST. SANITARIAS" u="1"/>
        <s v="OPERADOR DE BOMBA Y TDH" u="1"/>
        <s v="OFICIAL ALBAÑIL Y MONTAJISTA" u="1"/>
        <s v="Oficial Abañil" u="1"/>
        <s v="OFICIAL ALBAÑIL " u="1"/>
        <s v="OPERARIO ALBAÑIL Y FIERRERO" u="1"/>
        <s v="Prevensionista de riego" u="1"/>
        <s v="OPERARIO - MAESTRO DE OBRA" u="1"/>
        <s v="Gerente Tecnico" u="1"/>
        <s v="OPERAIO" u="1"/>
        <s v="OPERADOR AT" u="1"/>
        <s v="ANALISTA DE PROCESOS" u="1"/>
        <s v="OPERARIO MANLIFT" u="1"/>
        <s v="OPERADOR DE EXCAVADORA. RETROEXCAVADORA Y CARGADOR FRONTAL" u="1"/>
        <s v=" OFICIAL ALBAÑIL" u="1"/>
        <s v="OPERARIO DE CONSTRUCCION" u="1"/>
        <s v="OBRERO - OFICIAL- ALMACENERO" u="1"/>
        <s v="Jefe de Oficina Tecnica " u="1"/>
        <s v="OP DE VOLQUETE Y CARGADOR FRONTAL" u="1"/>
        <s v="Operario de Prefabricado" u="1"/>
        <s v="OFICIAL DE SANEAMINETO" u="1"/>
        <s v="MONITOR SSOMA" u="1"/>
        <s v="INGE DE PRODUCCION JUNIOR " u="1"/>
        <s v="CONDUCTOR DE VOLQUETE " u="1"/>
        <s v="ENCARGADA DE LOGISTICA Y ALMACEN" u="1"/>
        <s v="MECANICO JR" u="1"/>
        <s v="GRTE INGENIERIA PROYECTOS" u="1"/>
        <s v="OPERADOR VOLQUETE" u="1"/>
        <s v="OPERARIO MONTAJE" u="1"/>
        <s v="SUPERVISOR DE CONTROL Y MONITOREO" u="1"/>
        <s v="OPERADOR DE RETROEXCAVADORA Y EXCAVADORA " u="1"/>
        <s v="Operador de Bombas" u="1"/>
        <s v="ENFERMERA OCUPACIONAL" u="1"/>
        <s v="SUPERVISOR DE PERFORACIONES" u="1"/>
        <s v="PREVENCIONSITA" u="1"/>
        <s v="OFICIAL DE  ACERO" u="1"/>
        <s v="Auxiliar mecanico" u="1"/>
        <s v="ADMINISTRATIVO OBRA/ALMACEN" u="1"/>
        <s v="OPERARIO CARGADOR  " u="1"/>
        <s v="OPERARIO PERFORISTA SHOTCRETERO" u="1"/>
        <s v="OFICIAL ALBAÑIL - PINTOR" u="1"/>
        <s v="Asistente de Enfermería Ocupacional" u="1"/>
        <s v="OPERADOR DE CAMION" u="1"/>
        <s v="OPERARIO DE CAMION" u="1"/>
        <s v="Spervisor de Seguridad  y Salud en el Trabajo" u="1"/>
        <s v="ING. SSOMA" u="1"/>
        <s v="SUPERVISOS DE SEGURIDAD" u="1"/>
        <s v="2-OPERARIO 001-CAPATAZ-FIERRERO" u="1"/>
        <s v="OPERADOR DE EXCAVADORA -RETROEXCAVADORA-CARGADOR FRONTAL" u="1"/>
        <s v="OPERARIO SANEAMIENTO" u="1"/>
        <s v="TECNICO CALIDAD" u="1"/>
        <s v="ADMINISTRADORA GENERAL" u="1"/>
        <s v="TOPOGRAFO INTERMEDIO 1 " u="1"/>
        <s v="OPERARIO DE SANEAMIENTO" u="1"/>
        <s v="OFICIAL SHOTCRETERO" u="1"/>
        <s v="OFICIAL ALMACEN" u="1"/>
        <s v="ASISTENTE CONTABLE" u="1"/>
        <s v="OPERADOR RETROEXCAVADORA, EXCAVADORA Y CARGADOR" u="1"/>
        <s v="OPERADOR DE FRESADORA" u="1"/>
        <s v="OFICIAL TRAZADOR " u="1"/>
        <s v="AXILIAR DE LIMPIEZA" u="1"/>
        <s v="Oficina Tecnica" u="1"/>
        <s v="CONDUCTOR DE CISTERNA DE COMBUSTIBLES" u="1"/>
        <s v="OPERARIO MONTAJISTA - OPERADOR DE MANLIFT" u="1"/>
        <s v="OPERADOR DE MINICARGADOR/MANLIFT" u="1"/>
        <s v="OPERARIO INSTALACIONES" u="1"/>
        <s v="INGENIERO CALIDAD" u="1"/>
        <s v="Operario de rotomartillo" u="1"/>
        <s v="OPERADOR DE EXCAVADORA - RETROEXCAVADORA -_x000a_CARGADOR FRONTAL" u="1"/>
        <s v="GEOLOGO INTERMEDIO 2 " u="1"/>
        <s v="18      -PREVENCIONISTA DE SSMA" u="1"/>
        <s v="OFICIAL DE DEMOLICION" u="1"/>
        <s v="Supervisor de Inst. de prefabricados" u="1"/>
        <s v="JEFE APL SOLER Y PALAU" u="1"/>
        <s v="OPERARIO PERFORSITA" u="1"/>
        <s v="TECNICOS DE INSTALACIONES" u="1"/>
        <s v="OPERADOR DE HORMIGONERA" u="1"/>
        <s v="Auxiliar de produccion" u="1"/>
        <s v="Operario de Excavadora" u="1"/>
        <s v="OPERARIO CARPINTERO Y MONTADOR DE ANDAMIOS" u="1"/>
        <s v="0014      -INGENIERO DE CAMPO" u="1"/>
        <s v="OPERADOR MANLIFT - TELEHANDLER - CARGADOR_x000a_FRONTAL - RETROEXCAVADORA-MINICARGADOR" u="1"/>
        <s v="OPERADORIO ALBAÑIL" u="1"/>
        <s v=" Auxiliar de saneamiento" u="1"/>
        <s v="CONDUCTOR DE FURGONETA" u="1"/>
        <s v="TÉCNICO MECÁNICO" u="1"/>
        <s v="OPERADOR RODILLO NEUMATICO" u="1"/>
        <s v="OPERARIO CARPINTERO - ALBAÑIL" u="1"/>
        <s v="TECNICO DE INYECCIONES IMPERMEABILIZACION" u="1"/>
        <s v="O-88100-O1-L2M - SEGURIDAD" u="1"/>
        <s v="ANALISTA DE PROCESO" u="1"/>
        <s v="PEON / MECANICO JUNIOR" u="1"/>
        <s v="JEFE DE SSMA" u="1"/>
        <s v="OPERARIO CARPINTERO - ANDAMIERO" u="1"/>
        <s v="TÉCNICO DE BOMBAS" u="1"/>
        <s v="OPERARIO DE MANLIFT" u="1"/>
        <s v="SUPERVISOR QAQC" u="1"/>
        <s v="OPERARIO ELECTROMECÁNICO" u="1"/>
        <s v="OFICIAL - ANDAMIERO" u="1"/>
        <s v="OFICIAL / ANDAMIERO" u="1"/>
        <s v="SUPERVISOR DESCANSERO" u="1"/>
        <s v="OPERARION DE MANTENIMIENTO" u="1"/>
        <s v="OPERADOR RETROEXCAVADORA, MINICARGADOR Y RODILLO" u="1"/>
        <s v="02" u="1"/>
        <s v="SUPERVISOR DE STT" u="1"/>
        <s v="GRTE GENERAL" u="1"/>
        <s v="ANALISTA CONTROL CALIDAD" u="1"/>
        <s v="Asistento Logistico" u="1"/>
        <s v="OP EXCAVADORA, CARGADOR FRONTAL, RETRO EXCAVADORA Y MINI CARGADOR" u="1"/>
        <s v="Asistente de Supervisor de Seguridad" u="1"/>
        <s v="ASISTENTE TECNICO" u="1"/>
        <s v="SUPERVISOR DE MANIOBRAS" u="1"/>
        <s v="OBRERO CONSTRUCCION CIIVL" u="1"/>
        <s v="INSPECTOR TECNICO DE CAMPO" u="1"/>
        <s v="Asistente de Almacén" u="1"/>
        <s v="OPERADOR DE RETROEXCAVADRA Y CARGADOR FRONTAL" u="1"/>
        <s v="OFICIAL SOLDADOR MONTAJISTA" u="1"/>
        <s v="ELECTROMECANICO" u="1"/>
        <s v="TECNICO DE INSTALACION DE ASCENSORES" u="1"/>
        <s v="Coordinador documentario" u="1"/>
        <s v="CONDUCTOR CHOFER - CAMIONCITO" u="1"/>
        <s v="OFICIAL DE TOPOGRAFÍA" u="1"/>
        <s v="COORDINADOR DE CALIDAD 3" u="1"/>
        <s v="INGENIERO ASISTENTE DE CALIDAD Y PRODUCCION" u="1"/>
        <s v="Asistente Residente" u="1"/>
        <s v="GERENTE DE INGENIERIA " u="1"/>
        <s v="OFICIAL DE SANITARIO" u="1"/>
        <s v="INGENIERO DE MONTAJE" u="1"/>
        <s v="OPERADOR DE BOMBA SHOTCRETE" u="1"/>
        <s v="OPERADOR DE PERFORADORA JUMBO" u="1"/>
        <s v="OPERADOR LANZADOR DE SHOTCRETE" u="1"/>
        <s v="RESPONSABLE HSE Y GESTIÓN DE LA CALIDAD DE VARIOS PROYECTOS DE CONSTRUCCIÓN" u="1"/>
        <s v="TÉCNICO: INSTALACIÓN DE ADITIVOS" u="1"/>
        <s v="GEOLOGO JUNIOR " u="1"/>
        <s v="Sup Sssoma" u="1"/>
        <s v="Jefe de Soma" u="1"/>
        <s v="OPERADOR RETROEXCAVADORA, EXCAVADORA, RODILLO Y CARGADOR" u="1"/>
        <s v="COORDINADORA ADMINISTRATIVA" u="1"/>
        <s v="ASISTENTE DE PRODUCCION-PLANNER" u="1"/>
        <s v="Supervisor de Seguridad  y Salud en el Trabajo" u="1"/>
        <s v="Coordinadora" u="1"/>
        <s v="SUPERVISOR DE CAMPO- HYDRA" u="1"/>
        <s v="DIGITADORA" u="1"/>
        <s v="INGENIERO / RESIDENTE" u="1"/>
        <s v="Asist. Prodduccion y Calidad" u="1"/>
        <s v="OPERARION CARPINTERO Y ALBAÑIL" u="1"/>
        <s v="OPERARIO MECANICO " u="1"/>
        <s v="OPERARIO/OPERADOR MANLIFT" u="1"/>
        <s v="2-OPERARIO" u="1"/>
        <s v="AUXILIAR DE ALMACEN " u="1"/>
        <s v="PERFORISTA JUNIOR " u="1"/>
        <s v="INGENIERO DE CAMPO " u="1"/>
        <s v="ASESOR COMERCIAL" u="1"/>
        <s v="Peón " u="1"/>
        <s v="SOLDADOR ALUMINOTERMICO" u="1"/>
        <s v="1-CAPATAZ 004-SOLDADOR" u="1"/>
        <s v="SUPERVISOR DE  OBRA" u="1"/>
        <s v="INGENIERO QHS PREVENCIONISTA" u="1"/>
        <s v="Administradora-RRHH" u="1"/>
        <s v="INGº DE SEGURIDAD" u="1"/>
        <s v="OPERIARIO" u="1"/>
        <s v="CHOFER DE BOMBA" u="1"/>
        <s v="OPERADOR SOLDADOR" u="1"/>
        <s v="INSPECTOR DE CALIDAD" u="1"/>
        <s v="Operador de grúa" u="1"/>
        <s v="OPERARIO ALBAÑIL /CARPINTERO " u="1"/>
        <s v="OFICIAL DE CIMENTACIONES" u="1"/>
        <s v="OPERARIO DE PINTURA" u="1"/>
        <s v="CHOFER DE CAMION CISTERNA" u="1"/>
        <s v="AYUDANTE DE MECANICO HIDRAULICO" u="1"/>
        <s v="RESP. OFICINA TECNICA" u="1"/>
        <s v="Coordinador de Proyectos 1" u="1"/>
        <s v="1-CAPATAZ 002-FIERRERO" u="1"/>
        <s v="MAESTRO DE OBRAS " u="1"/>
        <s v="Coordinador de Proyectos 2" u="1"/>
        <s v="MECANICO SENIOR" u="1"/>
        <s v="SUPERVISOR TECNICO DE PRODUCCIÓN" u="1"/>
        <s v="OPERADOR DE CAMIÓN" u="1"/>
        <s v="Coordinador de Proyectos 3" u="1"/>
        <s v="Asistente de Almacén " u="1"/>
        <s v="Coordinador HSE" u="1"/>
        <s v="INGENIERO DE CAMPO Y PRODUCCIÓN" u="1"/>
        <s v="Operario/ Estructuras en piso " u="1"/>
        <s v="CAPATAZ CARPINTERO" u="1"/>
        <s v="OPERADOR MANLIFT Y TELEHANDLER" u="1"/>
        <s v="Supervisor Proyecto" u="1"/>
        <s v="Supervisor de  Campo" u="1"/>
        <s v="OPERADOR TELEHANDLER - CARGADOR FRONTAL -_x000a_MINICARGADOR - MINIEXCAVADORA" u="1"/>
        <s v="TECNICO GRUERO" u="1"/>
        <s v="OFICIAL ELECTRICISTA " u="1"/>
        <s v="ENCARGADO DE ALMACEN" u="1"/>
        <s v="PREVENSIONISTA" u="1"/>
        <s v="OPERARIO OBRAS CIVILES" u="1"/>
        <s v="COORDINADOR COSTOS Y PRESUPUESTOS" u="1"/>
        <s v="_x0009_OFICIAL DRYWALL" u="1"/>
        <s v="COORDINADOR DE OPERACIONES" u="1"/>
        <s v="AUXILIAR DE LIMPIEZA " u="1"/>
        <s v="Auxiliar Eléctrico" u="1"/>
        <s v="ING. DE CAMPO Y PRODUCCION" u="1"/>
        <s v="OPERADOR DE RETROEXCAVADORA BIVIAL" u="1"/>
        <s v="INGENIERO ELECTRICISTA" u="1"/>
        <s v="JEFE DE PROYECTO SENIOR" u="1"/>
        <s v="Supervisor de capa" u="1"/>
        <s v="Residente de Producción" u="1"/>
        <s v="OFICIAL DE MECANICA" u="1"/>
        <s v="COORDINADOR DE CONTROL DE CALIDAD" u="1"/>
        <s v="OPERADOR RETROEXCAVADORA" u="1"/>
        <s v="AUXILIAR DE TOPOGRAFÍA " u="1"/>
        <s v="0026      -SUPERVISOR DE SSMA" u="1"/>
        <s v="CONDUCTOR DE FURGON Y CISTERNA" u="1"/>
        <s v="OPERADOR DE RETROEXCAVADORA Y VOLQUETE " u="1"/>
        <s v="OFICIAL - DRYWALL" u="1"/>
        <s v="0024      -SUPERVISOR DE OBRA" u="1"/>
        <s v="OPERADOR ROBOT - TELEHANDLER" u="1"/>
        <s v="TECNICO MECANICO " u="1"/>
        <s v="MECANICO MONTAJISTA" u="1"/>
        <s v="SUPERVISOR MECANICO" u="1"/>
        <s v="OFICIAL CARPINTERO Y MONTAJISTA" u="1"/>
        <s v="OPERADOR CARGADOR FRONTAL" u="1"/>
        <s v="OPERARIO CARGADOR FRONTAL" u="1"/>
        <s v="Técnico" u="1"/>
        <s v="SUPERVISOR DE PLANTA DOVELAS" u="1"/>
        <s v="OFICIAL CARPINTERO / ELECTRICISTA SENIOR" u="1"/>
        <s v="RESPONSABLE SSOMA Y CALIDAD" u="1"/>
        <s v="CONDUCTOR DE CAMION CISTERNA DE COMBUSTIBLE" u="1"/>
        <s v="INGENIERO HIDROGEOLOGO" u="1"/>
        <s v="PINTOR" u="1"/>
        <s v="JEFE DE PRODUCCION DE OBRA" u="1"/>
        <s v="Operario d eLimpieza" u="1"/>
        <s v="SOLADADOR FIERRERO / SUPERVISOR DE PLANTA DOVELAS" u="1"/>
        <s v="OPERARIO CARPITERO" u="1"/>
        <s v="0036      -ENCARGADO DE OBRA" u="1"/>
        <s v="SUPERVISORA DE PREVENCION DE RIESGOS" u="1"/>
        <s v="SUPERVISOR DE PROYECTOS " u="1"/>
        <s v="ASISTENTE DE HSE" u="1"/>
        <s v="OPERADOR DE GRUA MOVIL" u="1"/>
        <s v="OPERADOR DE EXCAVADORA CARGADOR FRONTAL Y RODILLO" u="1"/>
        <s v="CONDUCTOR CAMION GRUA" u="1"/>
        <s v="OPERADOR DE VOLQUETE, EXCAVADORA, NIVELADORA Y CARGADOR FRONTAL" u="1"/>
        <s v="1-CAPATAZ 001-CAPATAZ-FIERRERO" u="1"/>
        <s v="SUPERVISOR MONTAJISTA" u="1"/>
        <s v="Operador de Maquinaria - Cargador Frontal" u="1"/>
        <s v="OPERARIO DE TELEHANDLER Y CARGADOR FRONTAL" u="1"/>
        <s v="AUXILIAR DE INSTALACION" u="1"/>
        <s v="Gerente de Finanzas y Adm." u="1"/>
        <s v="TECNICA EN ENFERMERIA" u="1"/>
        <s v=" Peón" u="1"/>
        <s v="Ingeniero Evaluador Estructural" u="1"/>
        <s v="Operador de Bomba de Concreto" u="1"/>
        <s v="Supervisor de Produccción" u="1"/>
        <s v="OPERADOR DE RODILLO Y VOLQUETERO" u="1"/>
        <s v=" OPERARIO DE IMPERMEABILIZACIÓN " u="1"/>
        <s v="OPERARIO ARENADOR " u="1"/>
        <s v="OPERADOR RODILLO" u="1"/>
        <s v="INGº PRODUCCIÓN" u="1"/>
        <s v="Técnico Electricista " u="1"/>
        <s v="03" u="1"/>
        <s v="CONDUCTOR CAMION / VAN" u="1"/>
        <s v="TECNICO REGISTRADOR" u="1"/>
        <s v="Tecnica Enfermera" u="1"/>
        <s v="TOPOGRAFO_x000a_" u="1"/>
        <s v="ASISTENTE DMINISTRATIVA" u="1"/>
        <s v="OPERARIO ALBAÑIL Y DE MONTAJE" u="1"/>
        <s v="SUPERVISOR DE SEGURIDAD Y SALUD OCUPACIONAL Y MEDIO AMBIENTE" u="1"/>
        <s v="Jefe de Planeamiento" u="1"/>
        <s v="Operador de Retroetroexcavadora" u="1"/>
        <s v="ASISTENTE DE ADM Y PROCESOS" u="1"/>
        <s v="OPERARIO MONTAJISTA - MANLIFT" u="1"/>
        <s v="OPERADOR MINICARGADOR Y  RETROEXCAVADORA" u="1"/>
        <s v="COORDINADOR DE EQUIPOS" u="1"/>
        <s v="CONDUCTOR DE CISTERNA DE COMBUSTIBLE" u="1"/>
        <s v="CONDUCTOR DE FURGON, CAMIONETA Y CISTERNA" u="1"/>
        <s v="Supervisor SSOMAC" u="1"/>
        <s v="ASISTENTE ADIMINSTRATIVA" u="1"/>
        <s v="PROYECTISTA" u="1"/>
        <s v="Operador De Volquete, Excavadora Y Retroexcavadora" u="1"/>
        <s v="CONDUCTOR DE CISTERNA MATPEL" u="1"/>
        <s v="TECNICO  ELECTRICISTA" u="1"/>
        <s v="INGENIERO PLANEAMIENTO" u="1"/>
        <s v="INGENIERO DE PORDUCCION" u="1"/>
        <s v="3-OFICIAL" u="1"/>
        <s v="JEFE DE OFICINA TÉCNICA Y OPERACIONES" u="1"/>
        <s v="Enfermera Técnica" u="1"/>
        <s v="OPERADOR DE EXCAVADORA  - CARGADOR FRONTAL - MIXER" u="1"/>
        <s v="CAPATAZ ALBAÑIL" u="1"/>
        <s v="CHOFER – CONDUCTOR CAMION GRUA " u="1"/>
        <s v="TOPOFRAFO SENIOR" u="1"/>
        <s v="Ing. Civil " u="1"/>
        <s v="AUXILIAR DE RESIDUOS " u="1"/>
        <s v="OPERADOR EXCAVADORA- RETROEXCAVADORA-MINICARGADORCARGADOR FRONTAL-RODILLO" u="1"/>
        <s v="OPERADOR EXCAVADORA-RETROEXCAVADORA-MINICARGADOR-CARGADOR FRONTAL-RODILLO" u="1"/>
        <s v="OFICIAL DE MECANICA " u="1"/>
        <s v="OPERARIO DE RODILLO" u="1"/>
        <s v="OFICIAL DE SANEAMIENTO" u="1"/>
        <s v="ASISTENTE DE SUPERVISOR OBRA" u="1"/>
        <s v="OBRERO - OFICIAL - APOYO ADM" u="1"/>
        <s v="Agente de Seguridad Privada" u="1"/>
        <s v="OBRERO CONSTRUCCIÓN CIVIL" u="1"/>
        <s v="ASISTENTE DE PRODUCCION JUNIOR" u="1"/>
        <s v="SUPERVISOR EHS" u="1"/>
        <s v="DELEGADO" u="1"/>
        <s v="Gerente " u="1"/>
        <s v=" Prevencionista " u="1"/>
        <s v="OPERADOR ROBOT SHOCRETERO - TELEHANDLER -EXCAVADORA" u="1"/>
        <s v="OPERDOR CISTERNA DE COMBUSTIBLE " u="1"/>
        <s v="Operario eléctrico" u="1"/>
        <s v="INGº RESIDENTE DE OBRA" u="1"/>
        <s v="OFICIAL DE PINTURA" u="1"/>
        <s v="Asistente de logística " u="1"/>
        <s v="Capataz de Estructura" u="1"/>
        <s v="OFICIAL RIGGER" u="1"/>
        <s v="OPERADOR MANLIF" u="1"/>
        <s v="Operario  Sanitario" u="1"/>
        <s v="TAMIZADORA" u="1"/>
        <s v="AUXILIAR DE CAMPO SSOMA" u="1"/>
        <s v="TECNICO DE INYECCIONES" u="1"/>
        <s v="SUPERVISOR DE PUERTAS" u="1"/>
        <s v="OPERADOR GRUA TELESCOPICA" u="1"/>
        <s v="OPERARIO TOPÓGRAFO" u="1"/>
        <s v="AYUDANTE DE CARGA" u="1"/>
      </sharedItems>
    </cacheField>
    <cacheField name="NOMBRE DE OBRA DONDE ESTA ASIGNADO DURANTE EL MES REPORTADO" numFmtId="0">
      <sharedItems containsBlank="1"/>
    </cacheField>
    <cacheField name="DOMICILIO DE TRABAJADOR" numFmtId="0">
      <sharedItems containsBlank="1"/>
    </cacheField>
    <cacheField name="DISTRITO SEGÚN DNI" numFmtId="0">
      <sharedItems containsDate="1" containsBlank="1" containsMixedTypes="1" minDate="1900-01-09T07:50:04" maxDate="1900-01-10T10:50:04" count="1437">
        <s v="COMAS"/>
        <s v="Ate"/>
        <s v="Ventanilla"/>
        <s v="San Martin de Porres"/>
        <s v="PUENTE PIEDRA"/>
        <s v="BREÑA"/>
        <s v="CALLAO"/>
        <s v="PIURA"/>
        <s v="VILLA MARIA DEL TRIUNFO"/>
        <s v="TARAPOTO"/>
        <s v="LIMA"/>
        <s v="ANCON "/>
        <s v="LAS LOMAS"/>
        <s v="RIMAC"/>
        <s v="SANTIAGO DE SURCO"/>
        <s v="SAN JUAN DE LURIGANCHO"/>
        <s v="RECUAY"/>
        <s v="BELLAVISTA"/>
        <s v="SANTA ROSA"/>
        <s v="VILLA EL SALVADOR"/>
        <s v="CASTILLA"/>
        <s v="YURIMAGUAS"/>
        <s v="007001001-CALLAO"/>
        <s v="IQUITOS"/>
        <s v="SAN BARTOLO"/>
        <s v="LA VICTORIA"/>
        <s v="Huancabanba"/>
        <s v="SANTA ANITA"/>
        <s v="SAN MIGUEL"/>
        <s v="COMAS "/>
        <s v="TUCUME "/>
        <s v="HUARMACA"/>
        <s v="SAN LUIS "/>
        <s v="PUENTE PIEDRA "/>
        <s v="ATE VITARTE"/>
        <s v="JAEN"/>
        <s v="MI PERU"/>
        <s v="BAMBAMARCA"/>
        <s v="CHORRILLOS"/>
        <s v="HUACCHIS"/>
        <s v="OYON"/>
        <s v="MALA"/>
        <s v="PICSI"/>
        <s v="ANCHONGA"/>
        <s v="INDEPENDENCIA"/>
        <s v="CERCADO DE LIMA"/>
        <s v="EL AGUSTINO"/>
        <s v="LA MOLINA"/>
        <s v="SAN MARTIN"/>
        <s v="LOS OLIVOS"/>
        <s v="LURIGANCHO"/>
        <s v="JESUS MARIA"/>
        <s v="CHACLAYO"/>
        <s v="SAN JUAN DE MIRAFLORES"/>
        <s v="CARABAYLLO"/>
        <s v="CITACOCHA"/>
        <s v="BARRANCO "/>
        <s v="SAN MARTIN DE PORRES "/>
        <s v="Pachacamac"/>
        <s v="DANIEL HERNANDEZ"/>
        <s v="HUAROCHIRI"/>
        <s v="HUAROCHIRI "/>
        <s v="ANCON"/>
        <s v="CARMEN DE LA LEGUA"/>
        <s v="VEGUETA"/>
        <s v="SAYAN"/>
        <s v="PILLCO MARCA"/>
        <s v="HUAURA"/>
        <s v="LA COPA"/>
        <s v="CAJARURO"/>
        <s v="SAN JUAN BAUTISTA"/>
        <s v="ELIAS SOPLIN VARGAS"/>
        <s v="VMT"/>
        <s v="NAPO"/>
        <s v="PATAPO"/>
        <s v="SMP"/>
        <s v="SJL"/>
        <s v="SURCO"/>
        <s v="SAN LUIS"/>
        <s v="PISCO"/>
        <s v="HUANCAYO"/>
        <s v="ANCÓN"/>
        <s v="CHORRILLOS  "/>
        <s v="SAN MARTIN DE PORRES "/>
        <s v="TAMBO GRANDE"/>
        <s v="COAGALLA"/>
        <s v="SURQUILLO"/>
        <s v="LOS OLIVOS "/>
        <s v="SORITOR"/>
        <s v="LA PERLA"/>
        <s v="PARIÑAS"/>
        <s v="LURIN"/>
        <s v="ICA"/>
        <s v="CHAO"/>
        <s v="SANTA ANITA "/>
        <s v="SAN ANTONIO"/>
        <s v="SAN MARTIN DE PORRAS"/>
        <s v="NUEVA REQUENA"/>
        <s v="CHILCA"/>
        <s v="MAMANTAY"/>
        <s v="HUARAL"/>
        <s v="CHICAMA"/>
        <s v="MAYNAS"/>
        <s v="UNION AGUA BLANCA"/>
        <s v="SANTIAGO"/>
        <s v="HUARMEY"/>
        <s v="MARISCAL GAMARRA"/>
        <s v="Parcona, Ica"/>
        <s v="TUMAY HUARACA"/>
        <s v="TINTAY PUNCU"/>
        <s v="CALLAO "/>
        <s v="015001032-SAN JUAN DE LURIGANCHO"/>
        <s v="015001001-LIMA"/>
        <s v="015001002-ANCON"/>
        <s v="015001015-LA VICTORIA"/>
        <s v="VILLAMARIA DEL TRIUNFO"/>
        <s v="Ascension"/>
        <s v="Vargas Guerra"/>
        <s v="PUEBLO LIBRE"/>
        <s v="CHOSICA"/>
        <s v="JESÚS MARÍA"/>
        <s v="MAGDALENA DEL MAR"/>
        <s v="BARRANQUITA"/>
        <s v="PUCUSANA"/>
        <s v="LOMAS"/>
        <s v="Chincha Baja"/>
        <s v="San Juan de Luriganchon"/>
        <s v="La Tinguiña"/>
        <s v="SUBTANJALLA"/>
        <s v="CALLERIA"/>
        <s v="SUYO"/>
        <s v="TRUJILLO"/>
        <s v="BARRANCO"/>
        <s v="WANCHAQ"/>
        <s v="SAN NICOLAS"/>
        <s v="LAMBAYEQUE"/>
        <s v="PAUCARA"/>
        <s v="YARINACOCHA"/>
        <s v="TAYABAMBA"/>
        <s v="RUPA-RUPA"/>
        <s v="PANGOA"/>
        <s v="YAULI"/>
        <s v="EL TAMBO"/>
        <s v="SAN ISIDRO"/>
        <s v="SAN BORJA"/>
        <s v="JULIACA"/>
        <s v="MIRAFLORES"/>
        <s v="Pachacámac"/>
        <s v="VILLA MARÍA DEL TRIUNFO"/>
        <s v="CHINCHA ALTA"/>
        <s v="CURA MORI"/>
        <s v="BELLAVISTA "/>
        <s v="CHANCAY"/>
        <s v="MORO"/>
        <s v="PALCA"/>
        <s v="LINCE"/>
        <s v="CHACLACAYO"/>
        <s v="Rímac"/>
        <s v="CERCADO"/>
        <s v="CIENEGUILLA"/>
        <s v="CHILIQUIN"/>
        <s v="MOQUEGUA"/>
        <s v="MACUSANI"/>
        <s v="TACNA"/>
        <s v="VILLA EL SALVADOR "/>
        <s v="LA MOLINA "/>
        <s v="TALAVERA "/>
        <s v="SAN JUAN BAUTISTA "/>
        <s v="CHANCHAMAYO"/>
        <s v="VENTANILLA "/>
        <s v="NUEVO CHIMBOTE"/>
        <s v="SAN JUAN DEL LURIGANCHO"/>
        <s v="MAGDALENA "/>
        <s v="CHALHUANCA"/>
        <s v="VILLA MARIA DEL TRIUNFO "/>
        <s v="SULLANA"/>
        <s v="CHUPACA"/>
        <s v=" PUENTE PIEDRA "/>
        <s v="SAN SEBASTIAN "/>
        <s v="SAN JUAN DE MIRAFLORES "/>
        <s v="HUARAZ"/>
        <s v="TUMAN"/>
        <s v="CARMEN DE LA LEGUA REYNOSO"/>
        <s v="OCROS"/>
        <s v="SAN JUAN DE LURIGANCHO "/>
        <s v="CATACAOS"/>
        <s v="PAUCARPATA"/>
        <s v="PACOBAMBA"/>
        <s v="S.M.P"/>
        <s v="Yanacancha"/>
        <s v="Imperial"/>
        <s v="ZAPATERO"/>
        <s v="MOYOBAMBA"/>
        <s v="FERNANDO LORES"/>
        <s v="SJM"/>
        <s v="Villa"/>
        <s v="CENTRO DE LIMA"/>
        <s v="LORETO"/>
        <s v="MADRID"/>
        <s v="SAN JUAN NDE LURIGANCHO"/>
        <s v="HUACHOS"/>
        <s v="VILLA MARIA DEL TRIUNFO "/>
        <s v="PITIPO"/>
        <s v="SAN JUAN DE LURIGACHO"/>
        <s v="ATE VITARTE "/>
        <s v="PERENE"/>
        <s v="CONTAMINA"/>
        <s v="SANTILLANA"/>
        <s v="HUAMANGA"/>
        <s v="VITARTE"/>
        <s v="CHOTA"/>
        <s v="SANTA LUCIA"/>
        <s v="CHIMBOTE"/>
        <s v="SANTA EULALIA"/>
        <s v="SAN PEDRO DE LLOC"/>
        <s v="LUNAHUANA"/>
        <s v="SAN  JUAN DE LURIGANCHO"/>
        <s v="CHICLAYO"/>
        <s v="LA ESPERANZA"/>
        <s v="Punta Hermosa"/>
        <s v="Santa Elena Alta"/>
        <s v="PAPAPLAYA"/>
        <s v="MORROPON"/>
        <s v="SAN ANDRES"/>
        <s v="TUPAC AMARU INCA"/>
        <m/>
        <s v="PACASMAYO"/>
        <s v="HUANCABELICA"/>
        <s v="JOSE DE LA RIVA AUGERO EL TREBOL MZ V LT 4 PISO 5"/>
        <s v="CALLE 27 MZ.V LT.4 URB.EL TREBOL 3ERA ETAPA LIMA-LIMA-LOS OLIVOS  "/>
        <s v="AREQUIPA"/>
        <s v="MAGDALENA"/>
        <s v="SAN JUAN DE  MIRAFLORES"/>
        <s v="015001037-SANTA ANITA"/>
        <s v="007001006-VENTANILLA"/>
        <s v="015001011-EL AGUSTINO"/>
        <s v="Vista Alegre"/>
        <s v="LA VICTORIA - CHICLAYO"/>
        <s v="PARIÑAS - PIURA"/>
        <s v="TURPAY"/>
        <s v="LONGOTEA"/>
        <s v="URCAY ANGARAES"/>
        <s v="TOCACHE"/>
        <s v="AGUSTINO"/>
        <s v="VICTORIA"/>
        <s v="CCOCHACCASA"/>
        <s v="SAN VICENTE DE CAÑETE"/>
        <s v="EL PORVENIR"/>
        <s v="HUACHON"/>
        <s v="ALONSO DE ALVARADO"/>
        <s v="SAN JUA LURIGANCHO"/>
        <s v="ATE - VITARTE"/>
        <s v="HUAYCAN"/>
        <s v="RIVA AGÜERO"/>
        <s v="CAÑETE"/>
        <s v="CAPILLAS"/>
        <s v="LA UNION"/>
        <s v="CERRO AZUL"/>
        <s v="SANTIAGO DE SURCO "/>
        <s v="AMARILIS"/>
        <s v="CAYALTI"/>
        <s v="SAN JERONIMO DE TUNAN"/>
        <s v="VINCHOS "/>
        <s v="HUARIACA"/>
        <s v="IQUITOS "/>
        <s v="LA VICTORIA "/>
        <s v="CAYNA"/>
        <s v="UCHUMAYO"/>
        <s v="Huacho"/>
        <s v="Caceres del Peru"/>
        <s v="San Martín de Porres"/>
        <s v="VILLA SALVADOR"/>
        <s v="TRUJILO"/>
        <s v="OQUENDO"/>
        <s v="SAN MARTIN  DE PORRES"/>
        <s v="SAN JOSE DEL ALTO"/>
        <s v="SAN JERONIMO"/>
        <s v="Lurigancho "/>
        <s v="CANTA"/>
        <s v="AYACUCHO"/>
        <s v="SAN ROMAN"/>
        <s v="SANJUAN LURIGANCHO"/>
        <s v="HUALMAY"/>
        <s v="ELAGUSTINO"/>
        <s v="SAN ANTONIO DE HUAROCHIRI"/>
        <s v="SANTA ROSA DE QUIVES"/>
        <s v="PACHAMAC"/>
        <s v="ATE "/>
        <s v="YARUSYACAN"/>
        <s v="S.J.L"/>
        <s v="MARIA VILLA DEL TRIUNFO"/>
        <s v="Los Aquijes"/>
        <s v="Yanahuanca"/>
        <s v="Huancavelica"/>
        <s v="Puno"/>
        <s v="Majes"/>
        <s v="PUNCHANA"/>
        <s v="TARMA"/>
        <s v=" CALLAO"/>
        <s v="HUANTA"/>
        <s v="MOCHE"/>
        <s v="IRAZOLA"/>
        <s v="CONCEPCIÓN"/>
        <s v="CHONGOYAPE"/>
        <s v="FERREÑAFE"/>
        <s v="MI PERÚ"/>
        <s v="CHULUCANAS "/>
        <s v="CAJAMARCA"/>
        <s v="FLORENCIA DE MORA"/>
        <s v="ANTIOQUIA"/>
        <s v="VILLA ELSALVADOR"/>
        <s v="Quilcas"/>
        <s v="EL MILAGRO"/>
        <s v="SAN MARTIN DE PIORRES "/>
        <s v="SAN MARTIN DE ORRES"/>
        <s v="SALAMANCA"/>
        <s v="_x000d__x000a_SAN MARTIN DE PORRES"/>
        <s v="RICARDO PALMA"/>
        <s v="Santiago de Paucaray"/>
        <s v="MIRAFLORES "/>
        <s v="AL AGUSTINO"/>
        <s v="VES"/>
        <s v="SAN JUNA DE MIRAFLORES"/>
        <s v="SANTIAGO DE CAO LA LIBERTAD"/>
        <s v="PIMENTEL"/>
        <s v="SAN JUAN LURIGANCHO"/>
        <s v="PARIAHUANCA"/>
        <s v="PUEBLO NUEVO"/>
        <s v="OLMOS"/>
        <s v="HUANUCO"/>
        <s v="LLAYLLA"/>
        <s v="HUACHIPA "/>
        <s v="LA PERLA ALTA"/>
        <s v="SAN JUAN DE LUIGANCHO"/>
        <s v="LA BREA"/>
        <s v="PARCONA"/>
        <s v="MANANTAY"/>
        <s v="SUPE"/>
        <s v="ANDOAS"/>
        <s v="REQUE"/>
        <s v="RONDOS "/>
        <s v="CONTAMANA "/>
        <s v="CAHUAC"/>
        <s v="PARCO"/>
        <s v="MARCA"/>
        <s v="SANTA MARIA-HUAURA"/>
        <s v="CORDOBA"/>
        <s v="EL AGUSTINO "/>
        <s v="PACHAMACAC"/>
        <s v="San Ramon"/>
        <s v="CAYMA"/>
        <s v="BARRIOS ALTOS"/>
        <s v="VEINTISEIS DE OCTUBRE"/>
        <s v="SAN  MIGUEL"/>
        <s v="SUNAMPE"/>
        <s v="015001028-RIMAC"/>
        <s v="AT E"/>
        <s v="LLATA"/>
        <s v="Santo domingo de los olleros "/>
        <s v="NUEVO IMPERIAL"/>
        <s v="TICAPAMPA"/>
        <s v="BARRANCA"/>
        <s v="CAMPOY"/>
        <s v="ATE-VITARTE"/>
        <s v="LA BRISA"/>
        <s v="TABIO COLOMBIA"/>
        <s v="CORONEL GREGORIO ALBARRACI"/>
        <s v=" LOS OLIVOS"/>
        <s v="RIMAC "/>
        <s v="SAN  ANTONIO"/>
        <s v="SECHURA"/>
        <s v="PATIVILCA"/>
        <s v="ARENAL"/>
        <s v="SAN NICOLAS - ANCASH"/>
        <s v="POMAHUACA"/>
        <s v="SAN JUAND E LURIGANCHO"/>
        <s v="SAN PEDRO"/>
        <s v="Pachacutec"/>
        <s v="Nauta"/>
        <s v="Santo Domingo de los Olleros"/>
        <s v="Parinas"/>
        <s v="Chulucanas"/>
        <s v="Punahua"/>
        <s v="San Clemente"/>
        <s v="Chavin"/>
        <s v="Garcia Prado"/>
        <s v="Santiago de Suco" u="1"/>
        <s v="Antonio Raimondi " u="1"/>
        <s v="Campoverde" u="1"/>
        <s v="AMAZONAS" u="1"/>
        <s v="LOS OLIVOS " u="1"/>
        <s v="Saman" u="1"/>
        <s v="Moquegua " u="1"/>
        <s v="Cerro Colorado" u="1"/>
        <s v="Socabaya" u="1"/>
        <s v="26 de octubre" u="1"/>
        <s v="Larco Herrera" u="1"/>
        <s v="Jauja" u="1"/>
        <s v="Olivos" u="1"/>
        <s v="HUAMACHUCO" u="1"/>
        <s v="Santa Ana de Tusi" u="1"/>
        <s v="Piscobamba" u="1"/>
        <s v="Ahuac" u="1"/>
        <s v="APURIMAC" u="1"/>
        <s v="SANTA CRUZ DE COCACHARA" u="1"/>
        <s v="CHILE" u="1"/>
        <s v="PASCO" u="1"/>
        <s v="Junin" u="1"/>
        <s v="Mariano Melgar" u="1"/>
        <s v="Yura" u="1"/>
        <s v=" San Martin de Porres" u="1"/>
        <s v="Ciudad Nueva" u="1"/>
        <s v="USQUIL" u="1"/>
        <s v="QUIRUVILCA" u="1"/>
        <s v="ALTO SELVA ALEGRE" u="1"/>
        <s v="Ancash" u="1"/>
        <s v="Anchash" u="1"/>
        <s v="LA UNION " u="1"/>
        <s v="TARICA" u="1"/>
        <s v="CARHUAZ" u="1"/>
        <s v="COISHCO" u="1"/>
        <s v="CUSCO" u="1"/>
        <s v="CARABAILLO" u="1"/>
        <s v="Chullisana Apurimac - Andahuaylas - San Antonio de Cachi" u="1"/>
        <s v="Calle la libertad MZ A, LT 21 AV 2 Huancayo Campoy - SJL" u="1"/>
        <s v="AV. Gran Chimu N°1499 - SJL" u="1"/>
        <s v="ASOC. PRQ VIV. Sol. Santa Clara MZ A LT1" u="1"/>
        <s v="V. Manuel Vargas N°182  - Rimac" u="1"/>
        <s v="AV. Incahuasi N 424. Centro Poblado Desahuadero - Chiclayo" u="1"/>
        <s v="AV. Ampilacio Oeste MZ K3 LT 37 - SJL" u="1"/>
        <s v="URB. LAS PRADERAS DE SANTA ANITA MZ. U LT 38" u="1"/>
        <s v="Calle 13 urb.Covima LT E-48 - La Molina" u="1"/>
        <s v="Asociacion . Huertos de HuachipaMZ M LT 8" u="1"/>
        <s v="MZ C LT 35. Ansieta Alta - El Agustino" u="1"/>
        <s v="AAHH. Las Lomas de Torre Blanca Alta MZ.E LT. 08" u="1"/>
        <s v="Calla Inka Roca N°173 URV. San Agustin - Comas" u="1"/>
        <s v="Mz K lt 05 Agrup. Fam. L a Quebrada de San Fernando Sect 2" u="1"/>
        <s v="AV. Enrique Meiggs N° 1157 - Cercado de Lima" u="1"/>
        <s v="Asos. de viv. las Palmeras de Huachipa MZ C LT10 - Lurigancho" u="1"/>
        <s v="URB San Joaquin Garcilazo de la Vega 535 Callao" u="1"/>
        <s v="Lambayeque " u="1"/>
        <s v="LAS DUNAS" u="1"/>
        <s v="San Luan de Lurigancho" u="1"/>
        <s v="Salas" u="1"/>
        <s v="FLORIDA" u="1"/>
        <s v="MORROPE" u="1"/>
        <s v="MALA " u="1"/>
        <s v="SAN JUAN DE LUIRIGANCHO" u="1"/>
        <s v="LA PERLA " u="1"/>
        <s v="SAN JUAN DE MRAFLORES " u="1"/>
        <s v="JESUS" u="1"/>
        <s v="QUEROBAMBA" u="1"/>
        <s v="VILLA MARIA DEL TRIUBFO" u="1"/>
        <s v="MOTUPE" u="1"/>
        <s v="CHILLIA" u="1"/>
        <s v="PACUCHA " u="1"/>
        <s v="LA LIBERTAD" u="1"/>
        <s v="SAN JUAN BAUSTISTA" u="1"/>
        <s v="HUANCABAMBA" u="1"/>
        <s v="PACHAS" u="1"/>
        <s v="Santa Cruz de Flores " u="1"/>
        <s v="MARCONA" u="1"/>
        <s v="APATA" u="1"/>
        <s v="SAN MATEO" u="1"/>
        <s v="POMALCA" u="1"/>
        <s v="YANAOCA" u="1"/>
        <s v="SANTA ANIA DE TUSI" u="1"/>
        <s v="NUEVA REQUENA " u="1"/>
        <s v="CHAVIN DE PARIARCA" u="1"/>
        <s v="CAMILACA" u="1"/>
        <s v="RIOJA" u="1"/>
        <s v="SAN JOSE DE ALTO" u="1"/>
        <s v="UCAYALI" u="1"/>
        <s v="CHORRILLOS " u="1"/>
        <s v="HUAROCHIRI-SAN ANTONIO  " u="1"/>
        <s v="LA ESPERANZA - LA LIBERTAD " u="1"/>
        <s v="LIMA " u="1"/>
        <s v="BREÑA - LIMA" u="1"/>
        <s v="JOSE LEONARDO ORTIZ-LAMBAYEQUE-CHICLAYO" u="1"/>
        <s v="JAUJA-JAUJA-JUNIN" u="1"/>
        <s v="COMAS  " u="1"/>
        <s v="JUNIN " u="1"/>
        <s v="SAN JUAN DE LURIGANCHO - LIMA" u="1"/>
        <s v="CALLAO-CALLAO" u="1"/>
        <s v="CARABAYLLO - LIMA" u="1"/>
        <s v="BRENA - LIMA " u="1"/>
        <s v="CALLAO - VENTANILLA" u="1"/>
        <s v="SANTA CLARA" u="1"/>
        <s v="JUNIN-CHANCHAMAYO-PICHANAQUI " u="1"/>
        <s v="CALLAO-VENTANILLA" u="1"/>
        <s v="ATE  " u="1"/>
        <s v="LA OROYA " u="1"/>
        <s v="OXAPAMPA " u="1"/>
        <s v="INDEPENDENCIA " u="1"/>
        <s v="PACHACAMAC " u="1"/>
        <s v="BREÑA " u="1"/>
        <s v="CARABAYLLO " u="1"/>
        <s v="VIRU" u="1"/>
        <s v="Magdalene del Mar" u="1"/>
        <s v="Iguain" u="1"/>
        <s v="HUAROCHIRI/LIMA" u="1"/>
        <s v="PUENTE PIEDRA  " u="1"/>
        <s v="TALARA" u="1"/>
        <s v="AMARILIS- HUANUCO" u="1"/>
        <s v="CHILACA" u="1"/>
        <s v="LA OROYA" u="1"/>
        <s v="NIEVA" u="1"/>
        <s v="MATUCANA" u="1"/>
        <s v="SAN RAFAEL" u="1"/>
        <s v="TIGRE" u="1"/>
        <s v="QUEROCOTO" u="1"/>
        <s v="VILLA MARIA DEL TRIUNDO" u="1"/>
        <s v="OLLEROS" u="1"/>
        <s v="PUNTA NEGRA" u="1"/>
        <s v="BELEN" u="1"/>
        <s v="PISCOYACU - SAN MARTIN" u="1"/>
        <s v="SAN JUAN DE LURIGANCHO   " u="1"/>
        <s v="SAN JUAN DE MIRAFLORES  " u="1"/>
        <s v="VILLA EL SALVADOR   " u="1"/>
        <s v="Simón Bolívar" u="1"/>
        <s v="FERREÑAPE" u="1"/>
        <s v="HUANGASCAR" u="1"/>
        <s v="VILLA MARIA DE TRIUNFO" u="1"/>
        <s v="Ventanilla - CALLAO" u="1"/>
        <s v="SAN JUAN DE BIGOTE" u="1"/>
        <s v="REQUENA" u="1"/>
        <s v="POROTO" u="1"/>
        <s v="PADRE ABAD" u="1"/>
        <s v="CHAVIN DE HUANTAR" u="1"/>
        <s v="ZARATE" u="1"/>
        <s v="CARMEN DE LA LEGUA - REYNOSO" u="1"/>
        <s v="ANCO" u="1"/>
        <s v="Paracas" u="1"/>
        <s v="Lamas" u="1"/>
        <s v="Pucará" u="1"/>
        <s v="Congalla" u="1"/>
        <s v="Indepenedencia" u="1"/>
        <s v="Cocharcas" u="1"/>
        <s v="San Miguel de Acos" u="1"/>
        <s v="Torata" u="1"/>
        <s v="Lircay" u="1"/>
        <s v="Chepen" u="1"/>
        <s v="VENEZUELA" u="1"/>
        <s v="Contumanza" u="1"/>
        <s v="TALLAN-PIURA-PIURA" u="1"/>
        <s v="AV. CENTRAL SECTOR 3 GRUPO 11 MZ O LT 7 VILLA EL SAVADOR  - LIMA" u="1"/>
        <s v="CHUQUIS" u="1"/>
        <s v="CANGALLO " u="1"/>
        <s v="PAUCARPATA - AREQUIPA" u="1"/>
        <s v="ETEN" u="1"/>
        <s v="SECTOR 7 GRUPO 3-A MZ  DLT 1 - VILLA EL SALVADOR" u="1"/>
        <s v="AV. ALAMEDA DEL CORREGUIDOR 1678 LA MOLINA" u="1"/>
        <s v="JR. LIMA MZ 37 LT 26 PACHACAMAC - LIMA" u="1"/>
        <s v="POCOLLAY" u="1"/>
        <s v="Tucume" u="1"/>
        <s v="SANTIAGO DE CAO" u="1"/>
        <s v="ILO" u="1"/>
        <s v="PALLANCHACRA" u="1"/>
        <s v="CALLE K  E1-29 URB. SAN DIEGO 2DA ET. VIPOL SAN MARTIN DE PORRES" u="1"/>
        <s v="MZ S LT 10 INT 0 PISO 3 URB LA CAMPIÑA - CHORRILLOS" u="1"/>
        <s v="PONTO" u="1"/>
        <s v="QUILMANA" u="1"/>
        <s v="CHORRILOS" u="1"/>
        <s v="Lurín" u="1"/>
        <s v="MZ G2- LT 18 SECTOR 1 IV ETAPA PACHACAMAC - VILLA EL SALVADOR" u="1"/>
        <s v="YAYACANCHA" u="1"/>
        <s v="ASENT.H. SOL NACIENTE MZ. L2 LT.18" u="1"/>
        <s v="MOLINA" u="1"/>
        <s v="CARAVELI" u="1"/>
        <s v="CASA GRANDE" u="1"/>
        <s v="SECTOR 2 GRUPO 26 MZ. H Lt. 8 - VILLA EL SALVADOR" u="1"/>
        <s v="TENIENTE ENRIQUE PALACIOS 8 - PUEBLO LIBRE" u="1"/>
        <s v="Chorillos" u="1"/>
        <s v="|" u="1"/>
        <s v="OLMOS " u="1"/>
        <s v="PACHAS " u="1"/>
        <s v="TAYACAJA/COLCABAMBA" u="1"/>
        <s v="SILLAPATA" u="1"/>
        <s v="TINGO MARIA" u="1"/>
        <s v="LAGUNAS" u="1"/>
        <s v="MZ 166 LT 03 GRUP. 4 -AAHH Huascar - SJL" u="1"/>
        <s v="HUANCHACO" u="1"/>
        <s v="MAYMAS" u="1"/>
        <s v="VIÑAC " u="1"/>
        <s v="CUMBA" u="1"/>
        <s v="SAN PEDRO DEL PILLAO" u="1"/>
        <s v="LURIGANCHO CHOSICA" u="1"/>
        <s v="CENIGUILLA" u="1"/>
        <s v="LA CONVENCION" u="1"/>
        <s v="NINABAMBA " u="1"/>
        <s v="SURQUILLO " u="1"/>
        <s v="TALAVERA" u="1"/>
        <s v="JUANJUI" u="1"/>
        <s v="PUERTO BERMUDEZ" u="1"/>
        <s v="Chincha" u="1"/>
        <s v="NUEVO PROGRESO" u="1"/>
        <s v="San Juan de Luringancho" u="1"/>
        <s v="SAN JERONIMO " u="1"/>
        <s v="ASIA" u="1"/>
        <s v="MATAHUASI" u="1"/>
        <s v="SHATOJA" u="1"/>
        <s v="VILLA MARIA DEL  TRIUNFO" u="1"/>
        <s v="OFICIAL ALBAÑIL" u="1"/>
        <s v="SAN MARTINN DE PORRES " u="1"/>
        <s v="VILLA MARIA " u="1"/>
        <s v="YURACMARCA" u="1"/>
        <s v=" SAN JUAN DE LURIGANCHO " u="1"/>
        <s v="EMILIO SAN MARTIN" u="1"/>
        <s v="Carabaya" u="1"/>
        <s v="GUADALUPE" u="1"/>
        <s v="SAN MIGUEL " u="1"/>
        <s v="PASCASMAYO" u="1"/>
        <s v="ASAN JUAN DE MIRAFLORES" u="1"/>
        <s v="LIMA CERCADO" u="1"/>
        <s v="CORONEL PORTILLO-CALLERIA  " u="1"/>
        <s v="HUASMIN" u="1"/>
        <s v="CAÑETE - IMPERIAL - LIMA" u="1"/>
        <s v="CONCEPCION-CONCEPCION-JUNIN" u="1"/>
        <s v="MOLLEPATA" u="1"/>
        <s v="SANBORJA" u="1"/>
        <s v="Ventanilla, Callao" u="1"/>
        <s v="PAUCARTAMBO" u="1"/>
        <s v="LA RAMADA" u="1"/>
        <s v="CHAUPIMARCA" u="1"/>
        <s v="HUAYLLAN" u="1"/>
        <s v="CASMA " u="1"/>
        <s v="SAN MARCOS" u="1"/>
        <s v="JUNIN-TARMA-PALCA" u="1"/>
        <s v="CARMEN DE LA LEGUA-REYNOSO" u="1"/>
        <s v="LA PUNTA" u="1"/>
        <n v="45390" u="1"/>
        <s v="VILLA DEL SALVADOR " u="1"/>
        <s v="ACORIA" u="1"/>
        <s v="HUAYLLAY" u="1"/>
        <s v="IQUITOS-MAYNAS-LORETO" u="1"/>
        <s v="CHOROS" u="1"/>
        <s v="MANUEL ANTONIO MESONES MURO " u="1"/>
        <s v="Lagunas Chiclayo" u="1"/>
        <s v="C ALLERIA" u="1"/>
        <s v="EL RIMAC" u="1"/>
        <s v="VILLA MARIA T." u="1"/>
        <s v="Luringancho" u="1"/>
        <s v="HUARO" u="1"/>
        <s v="ANRA" u="1"/>
        <s v="AHUAYCHA" u="1"/>
        <s v="RAGASH" u="1"/>
        <s v="CHINCHINHUASI" u="1"/>
        <s v="SAN JUAN DE LURIGABCHO" u="1"/>
        <s v="ANCO HUALLO" u="1"/>
        <s v="Calle Bruno terreros 1479 JPV El Tambo Huancayo" u="1"/>
        <s v="SAN VICENTE" u="1"/>
        <s v="ASOC. DE VIVIENDA VILLA HERMOSA MZ.E LT.7 - ATE" u="1"/>
        <s v="SEPARADORA INDUSTRIAL QUMPO MZ. Ñ LT. 38 - ATE" u="1"/>
        <s v="ASENT.H.SANTA MARIA ALTA MZ.L LT.1 ETAPA 2DA" u="1"/>
        <s v="AV. LOS LAURELES 328 URB. EL ERMITAÑO" u="1"/>
        <s v="CALLE RESTAURACION 531 URB. NOSIGLIA" u="1"/>
        <s v="UCV.87 LT. 76 ZONA E ASENT. H . HUAYCAN - ATE" u="1"/>
        <s v="PS. DAMASO LEON 229 URB. GRUMETE MEDINA MZ. M2 LT. 24" u="1"/>
        <s v="JR. BELISARIO SUAREZ 256 LA PERLA" u="1"/>
        <s v="GROCIO PRADO" u="1"/>
        <s v="LEONCIO PRADO" u="1"/>
        <s v="ALTO LARAN" u="1"/>
        <s v="SAN JUAN DE YANAC" u="1"/>
        <s v="Andarapa" u="1"/>
        <s v="SAN AMRTIN DE PORRES" u="1"/>
        <s v="JOSE LEONARDO ORTIZ" u="1"/>
        <s v="SAPOSOA" u="1"/>
        <s v="PARAMONGA" u="1"/>
        <s v="Simon Bolivar" u="1"/>
        <s v="ALTO SELVA ALEGRE " u="1"/>
        <s v=" CARMEN DE LA LEGUA" u="1"/>
        <s v=" BELLAVISTA" u="1"/>
        <s v=" COMAS" u="1"/>
        <s v=" FERNANDO LORES" u="1"/>
        <s v=" VILLA MARIA DEL TRIUNFO" u="1"/>
        <s v=" BELEN" u="1"/>
        <s v=" RIMAC" u="1"/>
        <s v=" VENTANILLA" u="1"/>
        <s v=" SHATOJA" u="1"/>
        <s v=" SANTA ANITA" u="1"/>
        <s v=" SAN JUAN BAUTISTA" u="1"/>
        <s v=" MOYOBAMBA" u="1"/>
        <s v=" ZAPATERO" u="1"/>
        <s v=" SAN JUAN DE LURIGANCHO" u="1"/>
        <s v=" IQUITOS" u="1"/>
        <s v=" CAYMA" u="1"/>
        <s v=" PUENTE PIEDRA" u="1"/>
        <s v=" PUNCHANA" u="1"/>
        <s v=" MI PERU" u="1"/>
        <s v=" LA PERLA" u="1"/>
        <s v=" SAN MIGUEL" u="1"/>
        <s v=" LIMA" u="1"/>
        <s v=" CORONEL GREGORIO ALBARRACI" u="1"/>
        <s v=" LURIGANCHO" u="1"/>
        <s v="HUACHOCOLPA" u="1"/>
        <s v="SAN PABLO" u="1"/>
        <s v="PAMPAMARCA" u="1"/>
        <s v="PAUCARTAMBO " u="1"/>
        <s v="Encañada" u="1"/>
        <s v="SANTIAGO DE CHOCORVOS" u="1"/>
        <s v="LORETO " u="1"/>
        <s v="Paccho" u="1"/>
        <s v="Pilcomayo" u="1"/>
        <s v="Santa rosa de sacco" u="1"/>
        <s v="LIIMA" u="1"/>
        <s v="Sausa" u="1"/>
        <s v="IGNACIO ESCUDERO" u="1"/>
        <s v="IRAZOLA " u="1"/>
        <s v="TUPAC " u="1"/>
        <s v="SANTA AULALIA" u="1"/>
        <s v="PUNCHANA " u="1"/>
        <s v="RAZURI" u="1"/>
        <s v="RODRIGUEZ DE MENDOZA" u="1"/>
        <s v="CHICLAYO (CHICLAYO-LAMBAYEQUE)" u="1"/>
        <s v="NAZCA" u="1"/>
        <s v="VILLAELSALVADOR" u="1"/>
        <s v="CHUPAMARCA" u="1"/>
        <s v="Huaycàn" u="1"/>
        <s v="SAN JUAN MIRAFLORES" u="1"/>
        <s v="BUENOS AIRES" u="1"/>
        <s v="BARRANCA " u="1"/>
        <s v="Lambeyeque" u="1"/>
        <s v="CERACDO DE LIMA" u="1"/>
        <s v="SAN JUN DE LURIGANCHO" u="1"/>
        <s v="CARAMPOMA" u="1"/>
        <s v="CHICLA" u="1"/>
        <s v="LOS OLIVOS  " u="1"/>
        <s v="CHAVINILLO" u="1"/>
        <s v="CERCADO LIMA" u="1"/>
        <s v="SAN ANTONIO DE SURCO" u="1"/>
        <s v="SNATA ANITA " u="1"/>
        <s v="MANUEL ANTONIO MESONES MURO" u="1"/>
        <s v="CHOCICA LURIGANCHO" u="1"/>
        <s v="V.M.T" u="1"/>
        <s v="Piura " u="1"/>
        <s v="RIO NEGRO" u="1"/>
        <s v="San hilarion" u="1"/>
        <s v="San jaun de lurigancho" u="1"/>
        <s v="San antonio de cachi" u="1"/>
        <s v="LACHAQUI" u="1"/>
        <s v="HUANCAS" u="1"/>
        <s v=" VILLA EL SALVADOR" u="1"/>
        <s v="SAN JUAN DE LIRIGANCHO" u="1"/>
        <s v="HUAROCHIRI - SANTO DOMINGO DE LOS OLLEROS" u="1"/>
        <s v="CARMEN ALTO" u="1"/>
        <s v="SAN JUAN DE LURINGANCHO " u="1"/>
        <s v="CARMEN DE LA LEGUA -REYNOSO " u="1"/>
        <s v="LUCANAS" u="1"/>
        <s v="SAN VICENTE CAÑETA" u="1"/>
        <s v="SARHUA" u="1"/>
        <s v="SAN ANDRES DE CUTERVO" u="1"/>
        <s v="CACHAPAMPA" u="1"/>
        <s v="CULEBRAS" u="1"/>
        <s v="CALETA DE CARQUIN" u="1"/>
        <s v="VILLA RICA" u="1"/>
        <s v="SAN ANTONIO DE ANTAPARCO" u="1"/>
        <s v="HUANZA" u="1"/>
        <s v="CURAHUASI" u="1"/>
        <s v="VILLA EL SALVADORR" u="1"/>
        <s v="JOSE LEONARDO ORTIZA" u="1"/>
        <s v="PAUCARA " u="1"/>
        <s v="CIENEGUILLA " u="1"/>
        <s v="SANJUANDEMIRAFLORES" u="1"/>
        <s v="LAMOLINA" u="1"/>
        <s v="VILLAMARIADELTRIUNFO" u="1"/>
        <s v="ONDORES" u="1"/>
        <s v="CORDOVA" u="1"/>
        <s v="SAN JUAN DE LURIGGANCHO" u="1"/>
        <s v="AMARILIS " u="1"/>
        <s v="LOS ALIVOS" u="1"/>
        <s v="MATO" u="1"/>
        <s v="ORCOTUNA" u="1"/>
        <s v="VILLA EL SALVADO" u="1"/>
        <s v="STA ANITA" u="1"/>
        <s v="COMAS " u="1"/>
        <s v="Independecia" u="1"/>
        <s v="VICTOR LARCO HERRERA" u="1"/>
        <s v="KIMBIRI" u="1"/>
        <s v="JUAN ESPINOZA MEDRANO" u="1"/>
        <s v="ANCASH-SANTO TORIBIO" u="1"/>
        <s v="AYACUCHO-HUANTA" u="1"/>
        <s v="JUNIN-LA OROYA" u="1"/>
        <s v="SAN  JUAN  DE MIRAFLORES" u="1"/>
        <s v="SAN MARTIR DE PORRES" u="1"/>
        <s v="CUSCO-WANCHAQ" u="1"/>
        <s v="LORETO - YURIMAGUAS" u="1"/>
        <s v="CUSCO-SAN SEBASTIAN" u="1"/>
        <s v="UTCO" u="1"/>
        <s v="LURIN " u="1"/>
        <s v="SANTA MARIA DEL MAR " u="1"/>
        <s v="YANAMA " u="1"/>
        <s v="HUMALIES - HUANUCO" u="1"/>
        <s v="SAB MARTIN DE PORRES" u="1"/>
        <s v="JACOBO HUNTER" u="1"/>
        <s v="EL ALGUSTINO " u="1"/>
        <s v="El Carmen" u="1"/>
        <s v="SAN SEBASTIAN CUZCO" u="1"/>
        <s v="Ayacuho" u="1"/>
        <s v="EL SALVADOR" u="1"/>
        <s v="CERCADO DE  LIMA" u="1"/>
        <s v="SAN IGNACIO" u="1"/>
        <s v="PUNO-PUNO" u="1"/>
        <s v="LOSOLIVOS" u="1"/>
        <s v="PUENTEPIEDRA" u="1"/>
        <s v="INDEPENDIENCIA" u="1"/>
        <s v="CACHACHI" u="1"/>
        <s v="HUANUCO " u="1"/>
        <s v="BUENOS AIRES " u="1"/>
        <s v="CONGALLA " u="1"/>
        <s v="CHORRILLOS " u="1"/>
        <s v="CASHAPAMPA" u="1"/>
        <s v="JOSE CRESPO Y CASTILLO " u="1"/>
        <s v="JICAMARCA" u="1"/>
        <s v="VILLA  MARIA  DEL  TRIUNFO" u="1"/>
        <s v="SAN JUAN DE  LURIGANCHO" u="1"/>
        <s v="PARIAHUANCA " u="1"/>
        <s v="LA  CRUZ" u="1"/>
        <s v="TRUJILLO " u="1"/>
        <s v="COSAS" u="1"/>
        <s v="Colcabamba - Huancavelica" u="1"/>
        <s v="Anta - Huancavelica" u="1"/>
        <s v="CAMILACA " u="1"/>
        <s v="JESUS MARÍA " u="1"/>
        <s v="ISLAY" u="1"/>
        <s v="PASCO " u="1"/>
        <s v="SUCRE" u="1"/>
        <s v="ANGUIA" u="1"/>
        <s v="SUBTANJALLA " u="1"/>
        <s v="SANTA ROSA  " u="1"/>
        <s v="ROSARIO  " u="1"/>
        <s v="San Juan De Miarflores" u="1"/>
        <s v="Cuzco" u="1"/>
        <s v="JOSE SABOGAL" u="1"/>
        <s v="San sebastian" u="1"/>
        <s v="SAN ISIDRO " u="1"/>
        <s v="HUAÑEC" u="1"/>
        <s v="RIO TAHUAYO-LORETO" u="1"/>
        <s v="NAUTA-LORETO" u="1"/>
        <s v="IHUARI" u="1"/>
        <s v="PIURA-SONDOR" u="1"/>
        <s v="SANTIADO DE SURCO" u="1"/>
        <s v="SAÑO" u="1"/>
        <s v=" CARMEN DE LA LEGUA REYNOSO" u="1"/>
        <s v="PIMENTEL " u="1"/>
        <s v="VILCABAMBA " u="1"/>
        <s v="POLVORA " u="1"/>
        <s v="JUANJI" u="1"/>
        <s v="VILLA MARIA DEL TRIUFO" u="1"/>
        <s v="AV. PROGRESO 366" u="1"/>
        <s v="Lurigancho - Chosica" u="1"/>
        <s v="Vellavista" u="1"/>
        <s v=" EL AGUSTINO" u="1"/>
        <s v="YAUYA" u="1"/>
        <s v="HUALLANCA" u="1"/>
        <s v="OTUCCHO" u="1"/>
        <s v="LO OLIVOS" u="1"/>
        <s v="VILLA MARIA  DEL TRIUNFO" u="1"/>
        <s v="HUANCAVELICA - CANGALLA" u="1"/>
        <s v="CHORRILLOS  " u="1"/>
        <s v="SANTA" u="1"/>
        <s v="PIURA - PIURA" u="1"/>
        <s v="SAN JUAN DE LURGANCHO" u="1"/>
        <s v="SAN MARTIN PORRES" u="1"/>
        <s v="LIBERTAD" u="1"/>
        <s v="Jacobo Hunter-" u="1"/>
        <s v="MASISEA" u="1"/>
        <s v="EL AGSTINO" u="1"/>
        <s v="San Juande Lurigancho" u="1"/>
        <s v="" u="1"/>
        <s v="PUNTA " u="1"/>
        <s v="Ambo " u="1"/>
        <s v="PARDO MIGUEL SAN MARTIN" u="1"/>
        <s v="PERENE-CHANCHAMAYO" u="1"/>
        <s v="Huayucachi" u="1"/>
        <s v="AMBO HUANUCO" u="1"/>
        <s v="AGUAS  VERDES " u="1"/>
        <s v="Santo Domingo de la Capilla" u="1"/>
        <s v="SANTOYO" u="1"/>
        <s v="AV. VENEZUELA 1404, URBANIZACIÓN CHACRA COLORADA" u="1"/>
        <n v="44862" u="1"/>
        <n v="44799" u="1"/>
        <s v="ASUNCION" u="1"/>
        <s v="Cujillo" u="1"/>
        <s v=" PACHACAMAC" u="1"/>
        <s v="Tambo" u="1"/>
        <s v="_x000a_SAN MARTIN DE PORRES" u="1"/>
        <s v="015001022-MIRAFLORES" u="1"/>
        <s v="JR ASTORIA 185" u="1"/>
        <s v="JOSE CRESPO Y CASTILLO" u="1"/>
        <s v="JACOBO HUNTER - AREQUIPA" u="1"/>
        <s v="ATE, LIMA" u="1"/>
        <s v="BELLASVISTA" u="1"/>
        <s v="MZ S LOTE 6 AAHH KUMAMOTO" u="1"/>
        <s v="SN MARTIN DE PORRES " u="1"/>
        <s v="JULCAN" u="1"/>
        <s v="JESUS MARÍA" u="1"/>
        <s v="LEVANTO AMAZONAS" u="1"/>
        <s v="- JR ANCAHS 1927 " u="1"/>
        <s v="ICA- PISCO" u="1"/>
        <s v="VIGIL 727 7  015-LIMA" u="1"/>
        <s v="Grocio Prado - Chincha - Ica" u="1"/>
        <s v="LA ESPERANZA " u="1"/>
        <s v="PONTEVEDRA" u="1"/>
        <s v="ATE- LIMA" u="1"/>
        <s v="SANTA BARBARA DE CARHUACAYAN" u="1"/>
        <s v="SAN JUAN DE MIRAFLOES" u="1"/>
        <s v=" BREÑA LIMA" u="1"/>
        <s v="ATE VITARTE - LIMA" u="1"/>
        <s v="SAN JUAN DE LURIGANCHO  " u="1"/>
        <s v="SAN VICENTE DE CAÑETE " u="1"/>
        <s v="015001043-VILLA MARIA DEL TRIUNFO" u="1"/>
        <s v="VISTA ALEGRE " u="1"/>
        <s v="La Joya" u="1"/>
        <s v="SURQUILO" u="1"/>
        <s v="VENTANILLA -CALLAO" u="1"/>
        <n v="44992" u="1"/>
        <s v="Colcabamba-Huancavelica" u="1"/>
        <n v="44866" u="1"/>
        <s v="TACABAMBA" u="1"/>
        <s v="Aurahua" u="1"/>
        <s v="SAN JUAN DE MIRAFLROES" u="1"/>
        <n v="44930" u="1"/>
        <s v="LAMBAYEQUE-CHICLAYO-PIMENTEL" u="1"/>
        <n v="44867" u="1"/>
        <s v="ICA- CHINCHA" u="1"/>
        <s v="SAN JUAN DE LURIGANCHO  " u="1"/>
        <s v="ASENT.H LOS JAZMINES MZ 2" u="1"/>
        <s v="007001-CALLAO" u="1"/>
        <s v="CHORILLOS " u="1"/>
        <s v="CHANCHAS" u="1"/>
        <s v="PASCO, HUAYLLAY" u="1"/>
        <s v="Carmen de la Leguia Reynoso" u="1"/>
        <s v="-ATE" u="1"/>
        <s v="ALTOLARAN" u="1"/>
        <n v="44868" u="1"/>
        <s v="IQUITOS - LORETO" u="1"/>
        <s v="San Luis - Lima" u="1"/>
        <s v="CALLAO-VENTANILLA " u="1"/>
        <s v="SANTIADO DE  SURCO" u="1"/>
        <s v="Indiana" u="1"/>
        <s v="LIMA, EL AGUSTINO" u="1"/>
        <s v="SAN MARTIN DE PORRES  " u="1"/>
        <s v="JORGE CHAVEZ" u="1"/>
        <s v="V.M.Del Triunfo" u="1"/>
        <s v="IMPERIAL    015-LIMA" u="1"/>
        <s v="HERMILIO VALDIZAN" u="1"/>
        <s v=" CIENEGUILLA  " u="1"/>
        <s v=" SAN JUAN DE LURIGANCHO  " u="1"/>
        <s v="BARHUA" u="1"/>
        <n v="44933" u="1"/>
        <n v="44807" u="1"/>
        <s v="02-JIRÓN RENOVACION 637 " u="1"/>
        <s v="YANIRACOCHA " u="1"/>
        <s v="CHORIILOS" u="1"/>
        <s v="Soretor" u="1"/>
        <s v="MARIANO MELGAR " u="1"/>
        <s v="JR. MONTEAGUDO 354" u="1"/>
        <s v="MZ Q LÑT 11 JUAN PABLO II    015-LIMA" u="1"/>
        <s v="LIMA, ATE " u="1"/>
        <s v="JR ABRAHAM VALDELOMAR 201    015-LIMA" u="1"/>
        <s v="AV. MARBELLA, 3ERA ETAPA DE MAYORAZGO #111 - ATE" u="1"/>
        <s v="Ascope" u="1"/>
        <s v="Huancan" u="1"/>
        <s v="MZ E Lt4 -AA.HH Santa Rosa" u="1"/>
        <s v="LIMA, HUARAL " u="1"/>
        <s v="MZ F LT 4 AAHH SANTA MARIA" u="1"/>
        <s v=" CALLE UMATO 590 DISTRITO EL TAMBO JUNIN" u="1"/>
        <s v="Chachapoyas" u="1"/>
        <s v="Sabandia" u="1"/>
        <s v="- PROLOG. PARINACOCHAS 334 E" u="1"/>
        <s v="VENTANILLA  " u="1"/>
        <s v="CAJATAMBO" u="1"/>
        <n v="44935" u="1"/>
        <n v="44872" u="1"/>
        <s v="PIURA-HUARCABAMBA-HUARMACA" u="1"/>
        <s v="LA BANDA DE SHILCAYO" u="1"/>
        <s v="REQUE " u="1"/>
        <s v="CHEPEN LA LIBERTAD" u="1"/>
        <s v="CHINCHA ALTA " u="1"/>
        <s v="MZ 4A LT 6   JOSE CARLOS MARIATEGUI 015-LIMA" u="1"/>
        <s v="LIMA, LIMA" u="1"/>
        <s v="Illimo" u="1"/>
        <s v="015001035-SAN MARTIN DE PORRES" u="1"/>
        <s v="VENTANLLA " u="1"/>
        <n v="44936" u="1"/>
        <n v="44873" u="1"/>
        <s v="LLACANORA" u="1"/>
        <s v="Mochumi" u="1"/>
        <s v="Jose Luis Bustamante y Rivero" u="1"/>
        <s v="JANJAILLO - JAUJA - JUNIN" u="1"/>
        <s v="AMPLC. SANTA CRUZ MZ Y LT 01" u="1"/>
        <n v="44937" u="1"/>
        <n v="44874" u="1"/>
        <s v="SURCO " u="1"/>
        <s v="AH.LOS DEL SOL. VENTANILLA 345" u="1"/>
        <s v="LIMA-LIMA-ATE" u="1"/>
        <s v="SAN MARETIN DE PORRES" u="1"/>
        <s v="UNIVERSAL 183 MZ B LT 26 -" u="1"/>
        <s v="SAN MARTIN - LA BANDA CHICLAYO" u="1"/>
        <s v="SAYAN " u="1"/>
        <s v="MOYOBAMBA - SAN MARTIN" u="1"/>
        <s v="015001025-PUENTE PIEDRA" u="1"/>
        <s v="LIMA, VILLA MARIA DEL TRIUNFO" u="1"/>
        <n v="44938" u="1"/>
        <s v="AYACUCHO 679 MZ 2 LT 2 JOSE GALVEZ -" u="1"/>
        <s v="JUNIN-SATIPO" u="1"/>
        <s v=" Lima, LIMA" u="1"/>
        <s v="CHACHAPOYAS " u="1"/>
        <s v="PIURA , COLAN" u="1"/>
        <s v="MANGAS" u="1"/>
        <s v="NICOLAS DE PIEROLA " u="1"/>
        <n v="45002" u="1"/>
        <s v="COCHABAMBA" u="1"/>
        <s v="STA ROSA DE QUIVES" u="1"/>
        <s v="Cerro Colorado " u="1"/>
        <s v="RIOJA SAN MARTIN" u="1"/>
        <s v="RODRIGUEZ DE MENDOZA-OMIA" u="1"/>
        <s v="015001042-VILLA EL SALVADOR" u="1"/>
        <s v="LAMBAYEQUE-CHICLAYO-" u="1"/>
        <s v="JOSE CARLOS MARIATEGUI MZ B LT 1  -" u="1"/>
        <n v="44814" u="1"/>
        <s v="MAMACONA ALTA   MZ A LT 12 015-LIMA" u="1"/>
        <s v="Junín" u="1"/>
        <s v="SAN BARTOLO " u="1"/>
        <s v="VILCABAMBA" u="1"/>
        <s v="JESUS MARIA " u="1"/>
        <s v="PJ HUASCAR 146" u="1"/>
        <s v="San Juan de Luriganfo" u="1"/>
        <s v="015001033-SAN JUAN DE MIRAFLORES" u="1"/>
        <s v="ATE  " u="1"/>
        <s v="Caceres del Perú" u="1"/>
        <s v="Fariñas" u="1"/>
        <s v="COHISICA" u="1"/>
        <s v="CIUDAD DE LOS CONSTRUCTIORES    015-LIMA" u="1"/>
        <s v="INDENPENDENCIA" u="1"/>
        <s v="ASUNCIÓN" u="1"/>
        <s v="CIUDAD DEL PESCADOR    -" u="1"/>
        <n v="45005" u="1"/>
        <s v="HUANCAVELIVA" u="1"/>
        <n v="44879" u="1"/>
        <s v="AV. 22 DE JULIO LT. 20" u="1"/>
        <s v="AV. MARBELLA, 3ERA ETAPA DE MAYORAZGO #111" u="1"/>
        <n v="44943" u="1"/>
        <n v="44880" u="1"/>
        <s v="26 OCTUBRE" u="1"/>
        <s v="SAN JUAN DE MIRALFORES" u="1"/>
        <s v="CALLE SANTA ROSA S/N " u="1"/>
        <s v="COCHABANBA" u="1"/>
        <s v="Arma" u="1"/>
        <s v="26 DE OCTUBRE PIURA PIURA" u="1"/>
        <s v="CHUMBIVILCAS, CUSCO" u="1"/>
        <n v="45007" u="1"/>
        <s v="LURGANCHO" u="1"/>
        <s v="BUENOS ARIES" u="1"/>
        <s v="ALTO SELVA ALEGRE-AREQUIPA" u="1"/>
        <s v="Pueblo Nuevo - Chincha - Ica" u="1"/>
        <s v="VEINTE DE OCTUBRE - PIURA" u="1"/>
        <s v="LIMA- LIMA " u="1"/>
        <s v="SAN JOSE DE ALTO CAJAMARCA" u="1"/>
        <s v="CASERIO TANIN SN MZA A LOTE 01" u="1"/>
        <s v="ANTA" u="1"/>
        <s v="Llipata" u="1"/>
        <n v="44882" u="1"/>
        <s v="Carrabayllo" u="1"/>
        <s v="CUSCO-CANAS-YANAOCA " u="1"/>
        <s v="SAN ANTONIO " u="1"/>
        <s v="015001010-COMAS" u="1"/>
        <s v="CHANCHAMAYO-JUNIN" u="1"/>
        <n v="44946" u="1"/>
        <n v="44883" u="1"/>
        <s v="LIMA, CAÑETE SAN VICENTE " u="1"/>
        <s v="LA LIBERTAD TRUJILLO" u="1"/>
        <s v="LA PERLA - CALLAO" u="1"/>
        <s v="CARBAYLLO" u="1"/>
        <s v="JR. CORICANCHA 360 CESAR VALLEJOS LIMA-LIMA-VILLA MARIA DEL TRIUNFO" u="1"/>
        <s v="LIMA, SANTA ANITA" u="1"/>
        <s v="LIMA, YAUYOS " u="1"/>
        <s v="Uchiza" u="1"/>
        <s v="MZ A LT 7    015-LIMA" u="1"/>
        <s v="UTCUBAMBA-CAJARURO " u="1"/>
        <s v="DISTRITO PARIACOTO - PROVINCIA HUARAZ" u="1"/>
        <s v="015001018-LURIGANCHO" u="1"/>
        <s v="PIURA - CASTILLA" u="1"/>
        <s v="Milan" u="1"/>
        <s v="PAIJAN" u="1"/>
        <s v="San Ramón" u="1"/>
        <s v="Suyo- Piura" u="1"/>
        <s v="PUEBLO NUEVO - CHINCHA" u="1"/>
        <s v="Tupac Amaru Inca - Pisco - Ica" u="1"/>
        <n v="45012" u="1"/>
        <s v="01-AVENIDA BUENOS AIRES 724 " u="1"/>
        <n v="44886" u="1"/>
        <s v="PICHARI" u="1"/>
        <s v="SANTA ROSA " u="1"/>
        <s v="12 DE AGOSTO  MZ G LT 1    015-LIMA" u="1"/>
        <s v="LORETO-MAYNAS-IQUITOS" u="1"/>
        <s v="PTE PIEDRA" u="1"/>
        <s v="PACORA" u="1"/>
        <s v="CHICHA ALTA" u="1"/>
        <s v="FRANCISCO PIZARRO 253 BELLAVISTA" u="1"/>
        <s v="SAN JUAN  DE LURIGANCHO" u="1"/>
        <s v="LORETO - LAGUNAS" u="1"/>
        <s v="015001017-LOS OLIVOS" u="1"/>
        <s v="LIMA, CARABAYLLO" u="1"/>
        <s v="LIMA- Carabayllo" u="1"/>
        <s v="EL TAMBO " u="1"/>
        <s v="CARMENDE LA LEGUA- REYNOSO" u="1"/>
        <s v="015001019-LURIN" u="1"/>
        <s v="HUANUCO-SAN MIGUEL CAURI" u="1"/>
        <s v="SAN BORJA " u="1"/>
        <s v="PAIJAN  - LA LIBERTAD" u="1"/>
        <s v="SAN JUNA DE LURIGANCHO" u="1"/>
        <n v="44888" u="1"/>
        <s v="LURICHANGO " u="1"/>
        <s v="YANAHUANCA " u="1"/>
        <s v="03-CALLE EL PARAISO DE LA MOLINA MZ A LT 8 COOP DE VIVIENDA" u="1"/>
        <s v="Lampian" u="1"/>
        <s v="LIMA - LIMA" u="1"/>
        <s v="NUEVA CAJAMARCA" u="1"/>
        <s v="- ALMIRANTE MIGUEL GRAU  " u="1"/>
        <s v="TAPUC" u="1"/>
        <s v="ASENT H. VIRGEN DE LA ASUNCIÓN MZ.B LT2 " u="1"/>
        <s v="- AAHH 15 DE ENERO   " u="1"/>
        <s v="SAN JUAN DE IRAFLORES" u="1"/>
        <s v="Pomata" u="1"/>
        <s v="San Juan deLurigancho" u="1"/>
        <s v="VLLA EL SALVADOR" u="1"/>
        <s v="MARIA PARADO DE BELLIDO 1185  UNIVERSAL SEGUNDA ETAPA 015-LIMA" u="1"/>
        <s v="BELLAVISTA CALLAO" u="1"/>
        <s v="MZ K LT 1 H 23 DE OCTUBRE" u="1"/>
        <s v="San Juan de " u="1"/>
        <s v="PIURA AYABACA" u="1"/>
        <s v="015001040-SANTIAGO DE SURCO" u="1"/>
        <s v="EL ALTO" u="1"/>
        <n v="44890" u="1"/>
        <s v="JAEN POMAHUACA CAJAMARCA" u="1"/>
        <s v="URB 27 DE MARZO MZ T LOTE 01    015-LIMA" u="1"/>
        <s v="SAPILLICA" u="1"/>
        <s v="José Leonardo ortiz" u="1"/>
        <s v="LURIGANCHO  " u="1"/>
        <s v="GOYLLARISQUIZGA" u="1"/>
        <s v="La Cuesta" u="1"/>
        <s v="PIURA, PIURA" u="1"/>
        <s v="JR. GLORIETA 193" u="1"/>
        <s v="Santa Cruz de Cocachacra" u="1"/>
        <s v="REQUE CHICLAYO" u="1"/>
        <s v="CHANCAY " u="1"/>
        <s v="SANTA MARIA" u="1"/>
        <s v="CANARIS" u="1"/>
        <n v="44954" u="1"/>
        <s v="PUENTE  PIEDRA" u="1"/>
        <s v="RAZURI - LA LIBERTAD" u="1"/>
        <s v="JOSE GALVEZ, VMT." u="1"/>
        <s v="SAN MARTN DE PORRES" u="1"/>
        <s v="SAN MATIN DE PORRES" u="1"/>
        <s v="SAN MARTIN DE  PORRES" u="1"/>
        <s v="AYACUCHO " u="1"/>
        <s v="015001006-CARABAYLLO" u="1"/>
        <s v="CALLA" u="1"/>
        <s v="CHICLAYO-JOSE LEONARDO ORTIZ" u="1"/>
        <s v="Independiencia  " u="1"/>
        <s v="ASOC. LAS GARDENIAS MZ D LT 3  015-LIMA" u="1"/>
        <s v="HUAMALI" u="1"/>
        <s v="SAN MARTIN DE SOCABAYA - AREQUIPA" u="1"/>
        <s v="BELLAVISTA-CALLAO" u="1"/>
        <s v="MZ J3 LT 4 AAHH ALMIRANTE GRAU    015-LIMA" u="1"/>
        <s v="CARABAYLLOS" u="1"/>
        <s v="- LION MZ H LT 10  " u="1"/>
        <s v="AMBO" u="1"/>
        <s v="BELEN - LORETO" u="1"/>
        <s v="Santiago de Tuna " u="1"/>
        <s v="CALLAO  -  LA PERLA" u="1"/>
        <n v="44894" u="1"/>
        <s v=" ATE VITARTE" u="1"/>
        <s v="SANTIAGO DE SURCO  " u="1"/>
        <n v="44831" u="1"/>
        <s v="INDEPENDENCIA   " u="1"/>
        <s v="CASMA" u="1"/>
        <s v="TOTORITA    015-LIMA" u="1"/>
        <s v="ASENT H. MICAELA BASTIDAS I, MZ.Q, LT18." u="1"/>
        <s v="CALETA DE CARQUIN " u="1"/>
        <s v="JIRON DIEGO DE LA TORRE 1655 PLANETA – C. LIMA" u="1"/>
        <s v="SANTA CRIZ DE FLORES" u="1"/>
        <s v="SANTA CRUZ DE FLORES" u="1"/>
        <s v="ASENT H. ALAN GARCÍA D-01" u="1"/>
        <s v="SAN  ISIDRO " u="1"/>
        <s v="SAN MIGUEL - LIMA" u="1"/>
        <s v="LINCE " u="1"/>
        <s v="MORROPON - PIURA" u="1"/>
        <s v="PUCUBANA" u="1"/>
        <n v="44959" u="1"/>
        <n v="44833" u="1"/>
        <s v="VILLA  EL SALVADOR" u="1"/>
        <s v="Yanahuara" u="1"/>
        <s v="RIMAC  " u="1"/>
        <s v="01-AVENIDA BUENOS AIRES 724 10" u="1"/>
        <s v="SICAYA" u="1"/>
        <s v="Villa Maria el Triunfo" u="1"/>
        <s v="LORETO MAYNAS BELEN" u="1"/>
        <s v="SAN JUAN D EMIRAFLORES" u="1"/>
        <s v="AH S.S. JUAN PABLO II MZ L 8 IT 09" u="1"/>
        <n v="44897" u="1"/>
        <n v="44834" u="1"/>
        <s v="VILLA EL SALVADOR " u="1"/>
        <s v="CERCADO DE LIMA " u="1"/>
        <s v="ELIAS SOPLIN VARGAS " u="1"/>
        <s v="LEIMEBAMBA" u="1"/>
        <s v="- MZ M LT 9 CONSTURUCTORES   " u="1"/>
        <s v="MOLLENDO" u="1"/>
        <s v="RIMAC LIMA" u="1"/>
        <s v="Molendo" u="1"/>
        <s v="Tamburco" u="1"/>
        <s v="CALLE PLUTON 224 URB. OLIMPO" u="1"/>
        <s v="MZ B Lt 22 INCA ASSI, PACHACUTEC-VENTANILLA" u="1"/>
        <s v="SAN JUAN BAUTISTA / CHIMBOTE" u="1"/>
        <s v=" LA PERLA CALLAO" u="1"/>
        <s v="Hunter" u="1"/>
        <s v="JUNIN-HUANCAYO-HUAYUCACHI" u="1"/>
        <s v="TUMBES" u="1"/>
        <s v="ANDAHUAYLAS" u="1"/>
        <s v="- AV BAUSATE Y MEZ 561 " u="1"/>
        <s v="SATIPO" u="1"/>
        <s v="Jesus Nazareno" u="1"/>
        <n v="44900" u="1"/>
        <s v="chuquibambilla" u="1"/>
        <n v="44837" u="1"/>
        <n v="44774" u="1"/>
        <s v="015001023-PACHACAMAC" u="1"/>
        <s v="PASAJE SANTA ROSA ZONA 1 109   015-LIMA" u="1"/>
        <s v="Ica " u="1"/>
        <d v="2023-01-11T00:00:00" u="1"/>
        <s v="SAN TA NITA" u="1"/>
        <s v="EXFUNDO ASESOR - SANTA ANITA" u="1"/>
        <s v="Cahuao" u="1"/>
        <s v="SALAVERRY" u="1"/>
        <s v="LOS OLIVOD" u="1"/>
        <s v="LORETO-TENIENTE CESAR LOPEZ" u="1"/>
        <s v="FEDERICO VILLAREAL 351   -" u="1"/>
        <n v="44901" u="1"/>
        <s v="PACAHACAMAC" u="1"/>
        <s v="CHANCHAMAYO " u="1"/>
        <s v="CRUZ DE MOTUPO MZ L LT 1 2DA ETAPA GRUPO 5 -" u="1"/>
        <s v="CHAUPIMARCA " u="1"/>
        <s v="LIMA, PUENTE PIEDRA" u="1"/>
        <s v="CARABAILLO- LIMA" u="1"/>
        <s v="ATE VITARE" u="1"/>
        <s v="QUINUABAMBA" u="1"/>
        <n v="44966" u="1"/>
        <s v="SAN FCO DE ASIS YARUSCAYAN-PASCO" u="1"/>
        <s v="    015-LIMA" u="1"/>
        <s v="SAN MATEO DE OTAQ" u="1"/>
        <s v="VILLA EL SALADOR" u="1"/>
        <s v="HUACHO " u="1"/>
        <s v="SAN JUAN MIRAFLORES " u="1"/>
        <s v="HUASCAYA MZ Ñ LT 8  -" u="1"/>
        <s v="CALLERIA- CORONEL PORTILLO-UCAYALI" u="1"/>
        <s v="RUPA" u="1"/>
        <s v="LIMA, SAN JUAN LUBRIGANCHO" u="1"/>
        <s v="BELEN " u="1"/>
        <s v="Tinguiña" u="1"/>
        <s v="CHINCHAO-HUANUCO" u="1"/>
        <s v="LAMBAYEQUE-CHICLAYO-POMALCA" u="1"/>
        <s v="JAZAN AMAZONAS" u="1"/>
        <s v="QUEROCOTILLO" u="1"/>
        <s v=" PARAMONGA" u="1"/>
        <s v="MAZAMARI - JUNIN" u="1"/>
        <s v="SMP - LIMA" u="1"/>
        <s v="CALLAO-BELLAVISTA " u="1"/>
        <s v="MOROCOCHA" u="1"/>
        <s v="PUNTA NEGRA " u="1"/>
        <s v="ANCASH-POMABAMBA" u="1"/>
        <s v="SAN MARTIN-RIOJA " u="1"/>
        <s v="CALLO" u="1"/>
        <s v="VILLA MARIA" u="1"/>
        <s v="SAN JOSE DE QUERO" u="1"/>
        <s v="TUMBES - TUMBES" u="1"/>
        <s v="JANGAS" u="1"/>
        <s v="IGNACIO ESCUDERO -PIURA" u="1"/>
        <s v="AZANGARO LIMA" u="1"/>
        <s v="SAN CARLOS MZ B  PRO VIVIENDA SAN CARLOS -" u="1"/>
        <s v="Puente Piedra." u="1"/>
        <s v="INDEPENDENCIA  " u="1"/>
        <s v="LADERAS DE CHILLON 1 EXPLANADA    015-LIMA" u="1"/>
        <n v="44844" u="1"/>
        <s v="URB.VENECIA MZ.B LT.11 S.M.P. " u="1"/>
        <s v="VICTOR LARCO" u="1"/>
        <s v="SAN JUAN DE LÑUERIGANCHO" u="1"/>
        <s v="Huamay" u="1"/>
        <s v="San Martin De Porres - Lima" u="1"/>
        <n v="44908" u="1"/>
        <s v="Cerro candela, Lima" u="1"/>
        <s v="ANCASH - SANTA" u="1"/>
        <s v="RUPA RUPA" u="1"/>
        <s v="  17/02/2023" u="1"/>
        <s v="ALBERTO ABERT 104 URB. MIGUEL GRAU SAN MARTÍN DE PORRES" u="1"/>
        <n v="44846" u="1"/>
        <s v="ALTO NANAY" u="1"/>
        <s v="MANANTAY, UCAYALI" u="1"/>
        <s v="CANTO GRANDE " u="1"/>
        <s v="SAN LURIGANCHO" u="1"/>
        <s v="PSJ. LAS BRISAS 339 URB TUPAC AMARU" u="1"/>
        <s v="JAEN CAJAMARCA" u="1"/>
        <s v="LA  PERLA" u="1"/>
        <s v=" EL SALVADOR" u="1"/>
        <s v="Hural" u="1"/>
        <s v="SAN JUAN DE PORRES" u="1"/>
        <s v="PUINAHUA" u="1"/>
        <s v="LIMA, SAN MARTIN DE PORRES " u="1"/>
        <s v="SANTA CATALINA DE MOSSA" u="1"/>
        <s v="VILLA MARIA DEL TRIUNFO  " u="1"/>
        <s v=" LIMA-CAÑETE-QUILMANA" u="1"/>
        <s v="NUEVA ARICA" u="1"/>
        <s v="Ubicayos" u="1"/>
        <s v="Bolivar" u="1"/>
        <s v="SATIPO -JUNIN" u="1"/>
        <s v="Pucala" u="1"/>
        <s v="MZ G LT 32 URB    015-LIMA" u="1"/>
        <s v="Villa María de Triunfo" u="1"/>
        <s v="URB. JARD. DE SAN JUAN MZ D LT 07" u="1"/>
        <s v="AN JUAN DE LURIGANCHO" u="1"/>
        <s v="AV EUTERPE 155 SALAMANCA" u="1"/>
        <s v="Miraflores, Lima" u="1"/>
        <s v="PUCUSANA " u="1"/>
        <s v="SAN  JUAN DE  LURIGANCHO" u="1"/>
        <s v="SAN JUAN  DE  LURIGANCHO" u="1"/>
        <s v="SAN JUAN DDE ,LURIGANCHO" u="1"/>
        <s v="RUPA RUPA, HUANUCO" u="1"/>
        <s v="Tablada de Lurin" u="1"/>
        <s v="ALEXANDER VON HUMBOLDT" u="1"/>
        <s v=" SAN JUAN DE MIRAFLORES" u="1"/>
        <s v="PUEBLO LIBRE " u="1"/>
        <s v="SANTIAGO DE ANCHUCAYA" u="1"/>
        <s v="CUSCO-QUISPICANCHI-HUARO " u="1"/>
        <s v="CALLAO, CALLAO" u="1"/>
        <s v="LA LIBERTAD- TRUJILLO" u="1"/>
        <s v=" ICA " u="1"/>
        <s v="LIMA, SAN JUAN DE LURIGANCHO" u="1"/>
        <s v="CALLAO CALLAO" u="1"/>
        <s v="BELLAVISTA-SAN MARTIN" u="1"/>
        <s v="CERCADO " u="1"/>
        <s v="JOSE GLAVEZ" u="1"/>
        <s v="Tamarindo" u="1"/>
        <s v="LIMA-HUARAL" u="1"/>
        <n v="44914" u="1"/>
        <n v="44851" u="1"/>
        <s v="QUEHUE - CUSCO" u="1"/>
        <s v="OXAMARCA" u="1"/>
        <s v="-" u="1"/>
        <s v="PUCALA " u="1"/>
        <s v="CALLAO LA PERLA" u="1"/>
        <n v="44915" u="1"/>
        <s v="CASITAS " u="1"/>
        <s v="MALA - CAÑETE|" u="1"/>
        <s v="San Miguel de Cauri" u="1"/>
        <s v="S.J. LURIGANCHO" u="1"/>
        <s v="JR PUMACAHUA   1563" u="1"/>
        <s v="PARINAS - PIURA" u="1"/>
        <s v="Pariacoto" u="1"/>
        <s v="SANTIAGO DE SURCO " u="1"/>
        <n v="44916" u="1"/>
        <n v="44853" u="1"/>
        <s v="Paccha" u="1"/>
        <s v="LOS ROBLES MZ A LT 3  -" u="1"/>
        <s v="VISCHONGO" u="1"/>
        <s v="CANGALLO" u="1"/>
        <s v="VILLA  MARIA  DEL TRIUNFO" u="1"/>
        <s v="AV. LA PAZ 2127 TORRE C DPTO. 402" u="1"/>
        <s v="Pucara" u="1"/>
        <s v="SUNAMPE " u="1"/>
        <s v="CHACLACAYO " u="1"/>
        <s v="CAJAMARCA-JAEN-POMAHUACA" u="1"/>
        <s v="SAN JUAN LURIGANCHO " u="1"/>
        <s v=" LA LIBERTAD-TRUJILLO " u="1"/>
        <s v="MONSEFU" u="1"/>
        <s v="LAURICOCHA" u="1"/>
        <s v="Matucana Huarochiri" u="1"/>
        <s v="CALLAO-VENTANILLA  " u="1"/>
        <s v="LIMA SAN MARTIN DE PORRES " u="1"/>
        <n v="44918" u="1"/>
        <n v="44855" u="1"/>
        <s v="SANMARTIN DE PORRES" u="1"/>
        <s v="MORO ANCASH" u="1"/>
        <s v="JAZAN" u="1"/>
        <s v="Chincha Alta - chincha - Ica" u="1"/>
        <s v=" LIMA-HUAROCHIRI-MATUCANA" u="1"/>
        <s v="Azangaro" u="1"/>
        <s v="JAEN-COLASAY" u="1"/>
        <s v="LOS  OLIVOS" u="1"/>
        <s v="ASENT H. MANZANILLA MZ K 2 LT 29" u="1"/>
        <s v="PACUCHA" u="1"/>
        <s v="LA  VICTORIA" u="1"/>
        <s v="SANTA RODA " u="1"/>
        <s v="CURA MORI-PIURA" u="1"/>
        <s v="LIMA , LIMA" u="1"/>
        <s v="HUACHIPA" u="1"/>
        <s v="VILLA MARIA TRIUNFO" u="1"/>
        <s v=" Rimac " u="1"/>
        <s v="Tinyahuarco" u="1"/>
        <s v="PUNETE PIEDRA" u="1"/>
        <s v="Abancay" u="1"/>
        <n v="44984" u="1"/>
        <n v="44921" u="1"/>
        <n v="44858" u="1"/>
        <s v="ULCUMAYO" u="1"/>
        <s v=" AYACUCHO-HUAMANGA-CHIARA" u="1"/>
        <s v="SANTA ANITA, LIMA " u="1"/>
        <s v="3/092022" u="1"/>
        <s v="SANTA ANITA  " u="1"/>
        <s v="LIMA-LIMA-SAN JUAN DE LURIGANCHO" u="1"/>
        <s v="MZ C LT 17 CON HAB. MARISCAL CACERES" u="1"/>
        <s v="ANCON  " u="1"/>
        <s v="HUMAY" u="1"/>
        <s v="015001014-LA MOLINA" u="1"/>
        <s v="015001003-ATE" u="1"/>
        <s v="SAN MARTIN DE PORRRES" u="1"/>
        <s v="HUANUCO-YAROWILCA-CAHUAC" u="1"/>
        <s v="LIMA, LOS OLIVOS " u="1"/>
        <s v="SAN MARTIM " u="1"/>
        <s v="Huacar" u="1"/>
        <s v="PACANGA" u="1"/>
        <n v="44860" u="1"/>
        <s v=" CUSCO-SAN SEBASTIAN " u="1"/>
        <s v="COCACHACRA " u="1"/>
        <s v="HUARI " u="1"/>
        <s v="JAYANCA" u="1"/>
        <s v="PEBAS" u="1"/>
        <s v="CHICAMA, LA LIBERTAD" u="1"/>
        <s v="015001-LIMA" u="1"/>
        <s v="HUABAL" u="1"/>
        <s v="YANACANCHA " u="1"/>
        <s v="A.H. JOSE CARLOS MARIÁTEGUI MZH, LT16, LA UNIÓN - PIURA" u="1"/>
        <n v="44924" u="1"/>
        <s v="AV. VELÁSCO ASTETE 1841 3ER. PISO SURCO" u="1"/>
        <n v="44861" u="1"/>
        <s v="JAN JUAN DE MIRAFLORES" u="1"/>
        <s v="VILLA MARIA DEL TRINFO" u="1"/>
        <s v="ICA-PUEBLO NUEVO" u="1"/>
      </sharedItems>
    </cacheField>
    <cacheField name="GENERO" numFmtId="0">
      <sharedItems containsBlank="1" containsMixedTypes="1" containsNumber="1" containsInteger="1" minValue="1" maxValue="44993" count="15">
        <s v="masculino"/>
        <s v="femenino"/>
        <s v="undefined"/>
        <m/>
        <n v="44883" u="1"/>
        <n v="44923" u="1"/>
        <n v="2" u="1"/>
        <n v="44979" u="1"/>
        <n v="44964" u="1"/>
        <n v="1" u="1"/>
        <n v="44993" u="1"/>
        <n v="44942" u="1"/>
        <n v="44931" u="1"/>
        <n v="44856" u="1"/>
        <n v="4" u="1"/>
      </sharedItems>
    </cacheField>
    <cacheField name="FECHA CESE/BAJA" numFmtId="0">
      <sharedItems containsNonDate="0" containsDate="1" containsBlank="1" containsMixedTypes="1" minDate="1899-12-31T00:00:00" maxDate="2024-12-13T00:00:00" count="522">
        <m/>
        <d v="2024-09-10T00:00:00"/>
        <d v="2024-09-01T00:00:00"/>
        <d v="2024-09-19T00:00:00"/>
        <d v="2024-09-07T00:00:00"/>
        <d v="2024-09-21T00:00:00"/>
        <s v="-"/>
        <d v="2024-09-14T00:00:00"/>
        <d v="2024-09-30T00:00:00"/>
        <s v=" - "/>
        <d v="2024-09-12T00:00:00"/>
        <d v="2024-09-20T00:00:00"/>
        <d v="2024-09-18T00:00:00"/>
        <d v="2024-09-09T00:00:00"/>
        <s v="NO APLICA"/>
        <d v="2024-09-16T00:00:00"/>
        <d v="2024-09-04T00:00:00"/>
        <d v="2024-09-06T00:00:00"/>
        <d v="2024-09-26T00:00:00"/>
        <d v="2024-10-31T00:00:00"/>
        <d v="2024-09-25T00:00:00"/>
        <s v="Vigente"/>
        <d v="2024-09-24T00:00:00"/>
        <d v="2024-09-23T00:00:00"/>
        <d v="2024-09-22T00:00:00"/>
        <d v="2024-09-13T00:00:00"/>
        <d v="2024-09-27T00:00:00"/>
        <d v="2024-09-03T00:00:00"/>
        <d v="2024-09-15T00:00:00"/>
        <d v="2024-09-28T00:00:00"/>
        <s v=" "/>
        <d v="2024-09-11T00:00:00"/>
        <d v="2024-09-08T00:00:00"/>
        <d v="2024-09-02T00:00:00"/>
        <d v="2024-09-17T00:00:00"/>
        <d v="2024-09-05T00:00:00"/>
        <d v="2024-08-02T00:00:00" u="1"/>
        <d v="2024-08-05T00:00:00" u="1"/>
        <d v="2024-08-07T00:00:00" u="1"/>
        <d v="2024-08-01T00:00:00" u="1"/>
        <d v="2024-08-09T00:00:00" u="1"/>
        <d v="2024-07-08T00:00:00" u="1"/>
        <d v="2024-05-08T00:00:00" u="1"/>
        <d v="2024-08-10T00:00:00" u="1"/>
        <d v="2024-08-16T00:00:00" u="1"/>
        <d v="2024-08-22T00:00:00" u="1"/>
        <d v="2024-08-14T00:00:00" u="1"/>
        <d v="2024-08-21T00:00:00" u="1"/>
        <d v="2024-08-17T00:00:00" u="1"/>
        <d v="2024-08-24T00:00:00" u="1"/>
        <d v="2024-08-04T00:00:00" u="1"/>
        <d v="2024-08-11T00:00:00" u="1"/>
        <d v="2024-08-25T00:00:00" u="1"/>
        <d v="2024-08-18T00:00:00" u="1"/>
        <d v="2024-08-30T00:00:00" u="1"/>
        <d v="2024-08-03T00:00:00" u="1"/>
        <d v="2024-08-15T00:00:00" u="1"/>
        <d v="2024-08-31T00:00:00" u="1"/>
        <d v="2024-08-26T00:00:00" u="1"/>
        <d v="2024-08-13T00:00:00" u="1"/>
        <d v="2024-08-19T00:00:00" u="1"/>
        <d v="2024-08-12T00:00:00" u="1"/>
        <d v="2024-08-23T00:00:00" u="1"/>
        <d v="2024-08-20T00:00:00" u="1"/>
        <d v="2024-08-06T00:00:00" u="1"/>
        <d v="2024-08-27T00:00:00" u="1"/>
        <d v="2024-07-16T00:00:00" u="1"/>
        <d v="2024-07-15T00:00:00" u="1"/>
        <d v="2024-07-18T00:00:00" u="1"/>
        <d v="2024-07-05T00:00:00" u="1"/>
        <d v="2024-06-07T00:00:00" u="1"/>
        <d v="2024-04-29T00:00:00" u="1"/>
        <d v="2024-06-14T00:00:00" u="1"/>
        <d v="2024-06-03T00:00:00" u="1"/>
        <d v="2024-06-17T00:00:00" u="1"/>
        <d v="2024-07-09T00:00:00" u="1"/>
        <d v="2024-07-23T00:00:00" u="1"/>
        <d v="2024-07-30T00:00:00" u="1"/>
        <d v="2024-07-01T00:00:00" u="1"/>
        <d v="2024-07-20T00:00:00" u="1"/>
        <d v="2024-07-22T00:00:00" u="1"/>
        <d v="2024-07-12T00:00:00" u="1"/>
        <d v="2024-07-03T00:00:00" u="1"/>
        <d v="2024-07-17T00:00:00" u="1"/>
        <d v="2023-12-05T00:00:00" u="1"/>
        <d v="2023-10-23T00:00:00" u="1"/>
        <d v="2023-09-23T00:00:00" u="1"/>
        <d v="2023-08-28T00:00:00" u="1"/>
        <d v="2023-10-13T00:00:00" u="1"/>
        <d v="2023-10-07T00:00:00" u="1"/>
        <d v="2024-07-21T00:00:00" u="1"/>
        <d v="2024-07-13T00:00:00" u="1"/>
        <d v="2024-07-10T00:00:00" u="1"/>
        <d v="2024-07-24T00:00:00" u="1"/>
        <d v="2024-07-19T00:00:00" u="1"/>
        <d v="2024-07-06T00:00:00" u="1"/>
        <d v="2024-07-14T00:00:00" u="1"/>
        <d v="2024-07-28T00:00:00" u="1"/>
        <d v="2024-07-31T00:00:00" u="1"/>
        <d v="2024-06-04T00:00:00" u="1"/>
        <d v="2024-07-27T00:00:00" u="1"/>
        <d v="2024-07-02T00:00:00" u="1"/>
        <d v="2024-05-31T00:00:00" u="1"/>
        <d v="2024-01-30T00:00:00" u="1"/>
        <d v="2023-10-31T00:00:00" u="1"/>
        <d v="2024-02-29T00:00:00" u="1"/>
        <d v="2023-10-20T00:00:00" u="1"/>
        <d v="2024-01-11T00:00:00" u="1"/>
        <d v="2024-03-22T00:00:00" u="1"/>
        <d v="2023-09-26T00:00:00" u="1"/>
        <d v="2023-10-15T00:00:00" u="1"/>
        <d v="2024-07-07T00:00:00" u="1"/>
        <d v="2024-07-25T00:00:00" u="1"/>
        <d v="2024-07-26T00:00:00" u="1"/>
        <d v="2024-07-11T00:00:00" u="1"/>
        <d v="2024-06-13T00:00:00" u="1"/>
        <d v="2024-06-15T00:00:00" u="1"/>
        <d v="2024-06-06T00:00:00" u="1"/>
        <d v="2024-07-29T00:00:00" u="1"/>
        <d v="2024-07-04T00:00:00" u="1"/>
        <d v="2024-06-24T00:00:00" u="1"/>
        <d v="2023-09-30T00:00:00" u="1"/>
        <d v="2023-09-02T00:00:00" u="1"/>
        <d v="2023-10-02T00:00:00" u="1"/>
        <d v="2023-11-15T00:00:00" u="1"/>
        <d v="2023-08-29T00:00:00" u="1"/>
        <d v="2024-05-15T00:00:00" u="1"/>
        <d v="2023-09-11T00:00:00" u="1"/>
        <d v="2024-02-26T00:00:00" u="1"/>
        <d v="2024-04-17T00:00:00" u="1"/>
        <d v="2023-09-10T00:00:00" u="1"/>
        <d v="2023-09-16T00:00:00" u="1"/>
        <d v="2023-09-13T00:00:00" u="1"/>
        <d v="2023-08-30T00:00:00" u="1"/>
        <d v="2024-06-28T00:00:00" u="1"/>
        <d v="2024-06-29T00:00:00" u="1"/>
        <d v="2023-11-24T00:00:00" u="1"/>
        <d v="2024-06-01T00:00:00" u="1"/>
        <d v="2024-06-23T00:00:00" u="1"/>
        <d v="2024-06-30T00:00:00" u="1"/>
        <d v="2024-06-20T00:00:00" u="1"/>
        <d v="2024-06-21T00:00:00" u="1"/>
        <d v="2024-06-11T00:00:00" u="1"/>
        <d v="2024-06-19T00:00:00" u="1"/>
        <d v="2024-06-08T00:00:00" u="1"/>
        <d v="2024-06-16T00:00:00" u="1"/>
        <d v="2024-06-26T00:00:00" u="1"/>
        <d v="2024-06-10T00:00:00" u="1"/>
        <d v="2024-06-09T00:00:00" u="1"/>
        <d v="2024-06-05T00:00:00" u="1"/>
        <d v="2024-05-12T00:00:00" u="1"/>
        <d v="2024-06-02T00:00:00" u="1"/>
        <d v="2024-06-25T00:00:00" u="1"/>
        <d v="2024-06-27T00:00:00" u="1"/>
        <d v="2024-05-29T00:00:00" u="1"/>
        <d v="2024-06-12T00:00:00" u="1"/>
        <d v="2024-06-18T00:00:00" u="1"/>
        <d v="2024-06-22T00:00:00" u="1"/>
        <d v="2024-05-26T00:00:00" u="1"/>
        <d v="2024-05-10T00:00:00" u="1"/>
        <d v="2024-05-20T00:00:00" u="1"/>
        <d v="2024-05-25T00:00:00" u="1"/>
        <d v="2024-05-18T00:00:00" u="1"/>
        <d v="2024-05-07T00:00:00" u="1"/>
        <d v="2024-05-16T00:00:00" u="1"/>
        <d v="2024-05-28T00:00:00" u="1"/>
        <d v="2024-05-21T00:00:00" u="1"/>
        <d v="2024-05-22T00:00:00" u="1"/>
        <d v="2024-05-01T00:00:00" u="1"/>
        <d v="2024-05-17T00:00:00" u="1"/>
        <d v="2024-05-03T00:00:00" u="1"/>
        <d v="2024-05-23T00:00:00" u="1"/>
        <d v="2024-05-14T00:00:00" u="1"/>
        <d v="2024-05-04T00:00:00" u="1"/>
        <d v="2024-05-30T00:00:00" u="1"/>
        <d v="2024-03-11T00:00:00" u="1"/>
        <d v="2024-05-02T00:00:00" u="1"/>
        <d v="2024-05-13T00:00:00" u="1"/>
        <d v="2024-05-06T00:00:00" u="1"/>
        <d v="2024-05-09T00:00:00" u="1"/>
        <d v="2024-05-24T00:00:00" u="1"/>
        <d v="2024-05-27T00:00:00" u="1"/>
        <d v="2024-05-19T00:00:00" u="1"/>
        <d v="2024-05-11T00:00:00" u="1"/>
        <d v="2024-05-05T00:00:00" u="1"/>
        <d v="2024-04-14T00:00:00" u="1"/>
        <d v="2024-04-21T00:00:00" u="1"/>
        <d v="2024-04-15T00:00:00" u="1"/>
        <d v="2024-04-13T00:00:00" u="1"/>
        <d v="2024-04-06T00:00:00" u="1"/>
        <d v="2024-04-26T00:00:00" u="1"/>
        <d v="2024-04-20T00:00:00" u="1"/>
        <d v="2024-04-05T00:00:00" u="1"/>
        <d v="2024-04-27T00:00:00" u="1"/>
        <d v="2024-04-30T00:00:00" u="1"/>
        <d v="2024-04-04T00:00:00" u="1"/>
        <d v="2024-04-08T00:00:00" u="1"/>
        <d v="2024-04-22T00:00:00" u="1"/>
        <d v="2024-04-11T00:00:00" u="1"/>
        <d v="2024-04-23T00:00:00" u="1"/>
        <d v="2024-04-07T00:00:00" u="1"/>
        <d v="2024-04-18T00:00:00" u="1"/>
        <d v="2024-03-24T00:00:00" u="1"/>
        <d v="2024-04-02T00:00:00" u="1"/>
        <d v="2024-04-12T00:00:00" u="1"/>
        <d v="2024-04-25T00:00:00" u="1"/>
        <d v="2024-04-16T00:00:00" u="1"/>
        <d v="2024-04-03T00:00:00" u="1"/>
        <d v="2024-04-01T00:00:00" u="1"/>
        <d v="2024-04-19T00:00:00" u="1"/>
        <d v="2024-04-10T00:00:00" u="1"/>
        <d v="2024-04-24T00:00:00" u="1"/>
        <d v="2024-01-18T00:00:00" u="1"/>
        <d v="2024-01-28T00:00:00" u="1"/>
        <d v="2024-03-27T00:00:00" u="1"/>
        <d v="1900-07-10T00:00:00" u="1"/>
        <d v="2024-04-09T00:00:00" u="1"/>
        <d v="2024-01-22T00:00:00" u="1"/>
        <d v="2024-03-28T00:00:00" u="1"/>
        <d v="2024-02-25T00:00:00" u="1"/>
        <d v="2024-02-22T00:00:00" u="1"/>
        <d v="2024-04-28T00:00:00" u="1"/>
        <d v="2024-02-18T00:00:00" u="1"/>
        <d v="2024-03-06T00:00:00" u="1"/>
        <d v="2024-03-18T00:00:00" u="1"/>
        <d v="2024-03-01T00:00:00" u="1"/>
        <d v="2024-03-14T00:00:00" u="1"/>
        <d v="2024-03-15T00:00:00" u="1"/>
        <d v="2024-03-26T00:00:00" u="1"/>
        <d v="2024-03-13T00:00:00" u="1"/>
        <d v="2024-02-11T00:00:00" u="1"/>
        <d v="2024-03-10T00:00:00" u="1"/>
        <d v="2024-03-23T00:00:00" u="1"/>
        <d v="2024-02-03T00:00:00" u="1"/>
        <d v="2024-03-16T00:00:00" u="1"/>
        <d v="2024-02-15T00:00:00" u="1"/>
        <d v="2024-03-31T00:00:00" u="1"/>
        <d v="2024-03-25T00:00:00" u="1"/>
        <d v="2024-03-20T00:00:00" u="1"/>
        <d v="2024-03-19T00:00:00" u="1"/>
        <d v="2024-03-02T00:00:00" u="1"/>
        <d v="2024-03-07T00:00:00" u="1"/>
        <d v="2024-03-05T00:00:00" u="1"/>
        <d v="2024-03-04T00:00:00" u="1"/>
        <d v="2024-03-03T00:00:00" u="1"/>
        <d v="2024-03-08T00:00:00" u="1"/>
        <d v="2024-03-09T00:00:00" u="1"/>
        <d v="2024-03-30T00:00:00" u="1"/>
        <d v="2024-02-28T00:00:00" u="1"/>
        <d v="2024-03-12T00:00:00" u="1"/>
        <d v="2024-03-21T00:00:00" u="1"/>
        <d v="2024-02-13T00:00:00" u="1"/>
        <d v="2024-02-06T00:00:00" u="1"/>
        <d v="2024-02-05T00:00:00" u="1"/>
        <d v="2024-02-17T00:00:00" u="1"/>
        <d v="2024-02-01T00:00:00" u="1"/>
        <d v="2024-02-16T00:00:00" u="1"/>
        <d v="2024-02-24T00:00:00" u="1"/>
        <d v="2024-02-09T00:00:00" u="1"/>
        <d v="2023-02-23T00:00:00" u="1"/>
        <d v="2024-02-02T00:00:00" u="1"/>
        <d v="2024-02-14T00:00:00" u="1"/>
        <d v="2024-02-12T00:00:00" u="1"/>
        <d v="2024-02-10T00:00:00" u="1"/>
        <d v="2024-02-27T00:00:00" u="1"/>
        <d v="2024-02-08T00:00:00" u="1"/>
        <d v="2024-02-04T00:00:00" u="1"/>
        <d v="2024-02-07T00:00:00" u="1"/>
        <d v="2024-02-21T00:00:00" u="1"/>
        <d v="2024-02-20T00:00:00" u="1"/>
        <d v="2024-02-23T00:00:00" u="1"/>
        <d v="2024-01-06T00:00:00" u="1"/>
        <d v="2024-01-04T00:00:00" u="1"/>
        <d v="2024-01-03T00:00:00" u="1"/>
        <d v="2024-01-14T00:00:00" u="1"/>
        <d v="2024-01-31T00:00:00" u="1"/>
        <d v="2024-01-20T00:00:00" u="1"/>
        <d v="2024-01-29T00:00:00" u="1"/>
        <d v="2024-01-13T00:00:00" u="1"/>
        <d v="2024-01-02T00:00:00" u="1"/>
        <d v="2024-01-12T00:00:00" u="1"/>
        <d v="2024-01-15T00:00:00" u="1"/>
        <d v="2024-01-26T00:00:00" u="1"/>
        <d v="2024-01-05T00:00:00" u="1"/>
        <d v="2024-01-27T00:00:00" u="1"/>
        <d v="2024-01-25T00:00:00" u="1"/>
        <d v="2024-01-08T00:00:00" u="1"/>
        <d v="2024-01-19T00:00:00" u="1"/>
        <d v="2024-01-16T00:00:00" u="1"/>
        <d v="2024-01-07T00:00:00" u="1"/>
        <d v="2024-01-17T00:00:00" u="1"/>
        <d v="2024-01-24T00:00:00" u="1"/>
        <d v="2024-01-10T00:00:00" u="1"/>
        <d v="2024-01-09T00:00:00" u="1"/>
        <d v="2024-01-23T00:00:00" u="1"/>
        <d v="2023-01-04T00:00:00" u="1"/>
        <d v="2024-01-21T00:00:00" u="1"/>
        <d v="2023-12-01T00:00:00" u="1"/>
        <d v="2023-12-15T00:00:00" u="1"/>
        <d v="2023-12-22T00:00:00" u="1"/>
        <d v="2023-12-21T00:00:00" u="1"/>
        <d v="2023-12-30T00:00:00" u="1"/>
        <d v="2023-12-07T00:00:00" u="1"/>
        <d v="2023-12-06T00:00:00" u="1"/>
        <d v="2023-12-24T00:00:00" u="1"/>
        <d v="2023-12-11T00:00:00" u="1"/>
        <d v="2023-12-17T00:00:00" u="1"/>
        <d v="2023-12-27T00:00:00" u="1"/>
        <d v="2023-12-29T00:00:00" u="1"/>
        <d v="2023-12-26T00:00:00" u="1"/>
        <d v="2023-12-12T00:00:00" u="1"/>
        <d v="2023-12-19T00:00:00" u="1"/>
        <d v="2023-12-03T00:00:00" u="1"/>
        <d v="2023-12-10T00:00:00" u="1"/>
        <d v="2023-12-23T00:00:00" u="1"/>
        <d v="2023-12-31T00:00:00" u="1"/>
        <d v="2023-12-13T00:00:00" u="1"/>
        <d v="2023-12-02T00:00:00" u="1"/>
        <d v="2023-12-16T00:00:00" u="1"/>
        <d v="2023-12-14T00:00:00" u="1"/>
        <d v="2023-12-08T00:00:00" u="1"/>
        <d v="2023-12-20T00:00:00" u="1"/>
        <d v="2023-12-04T00:00:00" u="1"/>
        <d v="2023-12-28T00:00:00" u="1"/>
        <d v="2023-12-09T00:00:00" u="1"/>
        <d v="2024-12-12T00:00:00" u="1"/>
        <d v="2023-11-30T00:00:00" u="1"/>
        <d v="2023-11-21T00:00:00" u="1"/>
        <d v="2023-11-04T00:00:00" u="1"/>
        <d v="2023-11-02T00:00:00" u="1"/>
        <d v="2023-11-16T00:00:00" u="1"/>
        <d v="2023-11-20T00:00:00" u="1"/>
        <d v="2023-11-09T00:00:00" u="1"/>
        <d v="2023-11-23T00:00:00" u="1"/>
        <d v="2023-11-12T00:00:00" u="1"/>
        <d v="2023-11-07T00:00:00" u="1"/>
        <d v="2023-11-03T00:00:00" u="1"/>
        <d v="2023-11-10T00:00:00" u="1"/>
        <d v="2023-11-14T00:00:00" u="1"/>
        <d v="2023-11-25T00:00:00" u="1"/>
        <d v="2023-11-22T00:00:00" u="1"/>
        <d v="2023-11-17T00:00:00" u="1"/>
        <d v="2023-11-18T00:00:00" u="1"/>
        <d v="2023-11-19T00:00:00" u="1"/>
        <d v="2023-11-05T00:00:00" u="1"/>
        <d v="2023-11-27T00:00:00" u="1"/>
        <d v="2023-11-06T00:00:00" u="1"/>
        <d v="2023-11-01T00:00:00" u="1"/>
        <d v="2023-11-13T00:00:00" u="1"/>
        <d v="2022-08-01T00:00:00" u="1"/>
        <d v="2022-09-20T00:00:00" u="1"/>
        <d v="2022-10-18T00:00:00" u="1"/>
        <d v="2022-11-21T00:00:00" u="1"/>
        <d v="2023-03-09T00:00:00" u="1"/>
        <d v="2022-10-03T00:00:00" u="1"/>
        <d v="2023-03-21T00:00:00" u="1"/>
        <d v="2023-05-02T00:00:00" u="1"/>
        <d v="2023-05-09T00:00:00" u="1"/>
        <d v="2023-05-11T00:00:00" u="1"/>
        <d v="2023-05-16T00:00:00" u="1"/>
        <d v="2023-05-17T00:00:00" u="1"/>
        <d v="2022-11-08T00:00:00" u="1"/>
        <d v="2023-02-09T00:00:00" u="1"/>
        <d v="2022-10-05T00:00:00" u="1"/>
        <d v="2023-01-11T00:00:00" u="1"/>
        <d v="2023-03-03T00:00:00" u="1"/>
        <d v="2023-03-14T00:00:00" u="1"/>
        <d v="2023-05-27T00:00:00" u="1"/>
        <d v="2023-06-05T00:00:00" u="1"/>
        <d v="2023-06-08T00:00:00" u="1"/>
        <d v="2023-06-09T00:00:00" u="1"/>
        <d v="2023-08-01T00:00:00" u="1"/>
        <d v="2023-09-22T00:00:00" u="1"/>
        <d v="2023-09-04T00:00:00" u="1"/>
        <d v="2022-08-19T00:00:00" u="1"/>
        <d v="2023-10-11T00:00:00" u="1"/>
        <d v="2023-10-19T00:00:00" u="1"/>
        <d v="2023-10-16T00:00:00" u="1"/>
        <d v="2023-10-12T00:00:00" u="1"/>
        <d v="2023-02-22T00:00:00" u="1"/>
        <d v="2023-11-08T00:00:00" u="1"/>
        <d v="2023-11-11T00:00:00" u="1"/>
        <d v="2023-10-21T00:00:00" u="1"/>
        <d v="2023-11-26T00:00:00" u="1"/>
        <d v="2023-11-29T00:00:00" u="1"/>
        <d v="2023-10-05T00:00:00" u="1"/>
        <d v="2023-10-28T00:00:00" u="1"/>
        <d v="2023-07-31T00:00:00" u="1"/>
        <d v="2023-10-10T00:00:00" u="1"/>
        <d v="2018-07-26T00:00:00" u="1"/>
        <d v="2019-04-23T00:00:00" u="1"/>
        <d v="2023-08-14T00:00:00" u="1"/>
        <d v="2023-05-10T00:00:00" u="1"/>
        <d v="2021-05-19T00:00:00" u="1"/>
        <d v="2023-04-25T00:00:00" u="1"/>
        <d v="2023-02-13T00:00:00" u="1"/>
        <d v="2023-01-25T00:00:00" u="1"/>
        <d v="2023-10-26T00:00:00" u="1"/>
        <d v="2023-10-24T00:00:00" u="1"/>
        <d v="2023-03-02T00:00:00" u="1"/>
        <d v="2022-10-16T00:00:00" u="1"/>
        <d v="2023-10-25T00:00:00" u="1"/>
        <d v="2019-01-02T00:00:00" u="1"/>
        <d v="2023-07-14T00:00:00" u="1"/>
        <d v="2023-02-10T00:00:00" u="1"/>
        <d v="2022-08-08T00:00:00" u="1"/>
        <d v="2022-09-08T00:00:00" u="1"/>
        <d v="2023-01-12T00:00:00" u="1"/>
        <d v="2023-03-01T00:00:00" u="1"/>
        <d v="2023-10-27T00:00:00" u="1"/>
        <d v="2022-03-01T00:00:00" u="1"/>
        <d v="2022-08-05T00:00:00" u="1"/>
        <d v="2023-04-05T00:00:00" u="1"/>
        <d v="2023-05-08T00:00:00" u="1"/>
        <d v="2023-08-02T00:00:00" u="1"/>
        <d v="2021-11-11T00:00:00" u="1"/>
        <d v="2023-02-20T00:00:00" u="1"/>
        <d v="2022-11-25T00:00:00" u="1"/>
        <d v="2022-10-10T00:00:00" u="1"/>
        <d v="2022-08-09T00:00:00" u="1"/>
        <d v="2023-07-18T00:00:00" u="1"/>
        <d v="2023-08-21T00:00:00" u="1"/>
        <d v="2022-10-04T00:00:00" u="1"/>
        <d v="2023-07-19T00:00:00" u="1"/>
        <d v="2023-03-29T00:00:00" u="1"/>
        <d v="2022-10-02T00:00:00" u="1"/>
        <d v="2023-04-03T00:00:00" u="1"/>
        <d v="2023-07-20T00:00:00" u="1"/>
        <d v="2023-01-16T00:00:00" u="1"/>
        <d v="2022-12-15T00:00:00" u="1"/>
        <d v="2023-02-08T00:00:00" u="1"/>
        <d v="2023-07-13T00:00:00" u="1"/>
        <d v="2023-01-02T00:00:00" u="1"/>
        <d v="2023-06-19T00:00:00" u="1"/>
        <d v="2020-01-02T00:00:00" u="1"/>
        <d v="2021-12-27T00:00:00" u="1"/>
        <d v="2021-03-01T00:00:00" u="1"/>
        <d v="2022-10-19T00:00:00" u="1"/>
        <d v="2023-07-12T00:00:00" u="1"/>
        <d v="2023-09-01T00:00:00" u="1"/>
        <d v="2019-04-10T00:00:00" u="1"/>
        <d v="2023-06-23T00:00:00" u="1"/>
        <d v="2022-03-25T00:00:00" u="1"/>
        <d v="2023-09-15T00:00:00" u="1"/>
        <d v="2023-07-10T00:00:00" u="1"/>
        <d v="2023-09-08T00:00:00" u="1"/>
        <d v="2023-10-18T00:00:00" u="1"/>
        <d v="2023-03-15T00:00:00" u="1"/>
        <d v="2023-08-08T00:00:00" u="1"/>
        <d v="2023-10-30T00:00:00" u="1"/>
        <d v="2023-01-10T00:00:00" u="1"/>
        <d v="2022-05-16T00:00:00" u="1"/>
        <d v="2023-08-19T00:00:00" u="1"/>
        <d v="2021-11-26T00:00:00" u="1"/>
        <d v="2023-09-06T00:00:00" u="1"/>
        <d v="2023-09-18T00:00:00" u="1"/>
        <d v="2023-10-09T00:00:00" u="1"/>
        <d v="2022-07-31T00:00:00" u="1"/>
        <d v="2022-12-11T00:00:00" u="1"/>
        <d v="2023-07-09T00:00:00" u="1"/>
        <d v="2022-10-23T00:00:00" u="1"/>
        <d v="2022-11-07T00:00:00" u="1"/>
        <d v="2023-04-26T00:00:00" u="1"/>
        <d v="2023-02-28T00:00:00" u="1"/>
        <d v="2022-12-31T00:00:00" u="1"/>
        <d v="2023-01-31T00:00:00" u="1"/>
        <d v="2022-04-30T00:00:00" u="1"/>
        <d v="2023-08-23T00:00:00" u="1"/>
        <d v="2022-09-07T00:00:00" u="1"/>
        <d v="2023-08-31T00:00:00" u="1"/>
        <d v="2023-08-09T00:00:00" u="1"/>
        <d v="2023-08-07T00:00:00" u="1"/>
        <d v="2023-10-14T00:00:00" u="1"/>
        <d v="2023-08-11T00:00:00" u="1"/>
        <d v="2023-08-25T00:00:00" u="1"/>
        <d v="2023-09-07T00:00:00" u="1"/>
        <d v="2023-09-29T00:00:00" u="1"/>
        <d v="2023-03-10T00:00:00" u="1"/>
        <d v="2022-08-03T00:00:00" u="1"/>
        <d v="2023-07-04T00:00:00" u="1"/>
        <d v="2023-03-08T00:00:00" u="1"/>
        <d v="2023-10-06T00:00:00" u="1"/>
        <d v="2023-10-01T00:00:00" u="1"/>
        <d v="2023-10-08T00:00:00" u="1"/>
        <d v="2023-10-22T00:00:00" u="1"/>
        <d v="2023-10-29T00:00:00" u="1"/>
        <d v="2023-10-17T00:00:00" u="1"/>
        <d v="2023-10-03T00:00:00" u="1"/>
        <d v="2023-10-04T00:00:00" u="1"/>
        <d v="2023-08-03T00:00:00" u="1"/>
        <d v="1899-12-31T00:00:00" u="1"/>
        <d v="2023-04-20T00:00:00" u="1"/>
        <d v="2023-04-29T00:00:00" u="1"/>
        <d v="2023-04-19T00:00:00" u="1"/>
        <d v="2023-09-12T00:00:00" u="1"/>
        <d v="2023-09-05T00:00:00" u="1"/>
        <d v="2023-08-15T00:00:00" u="1"/>
        <d v="2023-09-20T00:00:00" u="1"/>
        <d v="2023-09-27T00:00:00" u="1"/>
        <d v="2023-09-24T00:00:00" u="1"/>
        <d v="2023-09-03T00:00:00" u="1"/>
        <d v="2023-09-09T00:00:00" u="1"/>
        <d v="2023-09-28T00:00:00" u="1"/>
        <d v="2023-09-14T00:00:00" u="1"/>
        <d v="2023-09-19T00:00:00" u="1"/>
        <d v="2023-08-10T00:00:00" u="1"/>
        <d v="2023-07-27T00:00:00" u="1"/>
        <d v="2023-09-21T00:00:00" u="1"/>
        <d v="2023-09-17T00:00:00" u="1"/>
        <d v="2023-08-12T00:00:00" u="1"/>
        <d v="2023-08-17T00:00:00" u="1"/>
        <d v="2023-08-18T00:00:00" u="1"/>
        <d v="2023-08-20T00:00:00" u="1"/>
        <d v="2023-08-24T00:00:00" u="1"/>
        <d v="2023-08-27T00:00:00" u="1"/>
        <d v="2023-08-04T00:00:00" u="1"/>
        <d v="2023-08-06T00:00:00" u="1"/>
        <d v="2023-08-05T00:00:00" u="1"/>
        <d v="2023-08-22T00:00:00" u="1"/>
        <d v="2023-08-13T00:00:00" u="1"/>
        <d v="2023-08-16T00:00:00" u="1"/>
        <d v="2023-08-26T00:00:00" u="1"/>
      </sharedItems>
    </cacheField>
    <cacheField name="NACIONALIDAD" numFmtId="165">
      <sharedItems containsNonDate="0" containsDate="1" containsBlank="1" containsMixedTypes="1" minDate="1899-12-31T00:00:00" maxDate="2023-11-24T00:00:00" count="183">
        <s v="PERUANA "/>
        <s v="PERUANA"/>
        <s v="PERUANO"/>
        <s v="Venezolana"/>
        <s v="VENEZOLANO"/>
        <s v="COLOMBIANA"/>
        <s v="Española"/>
        <s v="Argentina"/>
        <s v="FRANCESA"/>
        <s v="MEXICANA "/>
        <s v="CUBANA"/>
        <s v="ESPAÑOL"/>
        <s v="BRASILERA"/>
        <s v="Colombiano"/>
        <m/>
        <d v="1899-12-31T00:00:00" u="1"/>
        <d v="2021-02-01T00:00:00" u="1"/>
        <d v="2020-11-01T00:00:00" u="1"/>
        <d v="2021-07-01T00:00:00" u="1"/>
        <d v="2020-08-01T00:00:00" u="1"/>
        <d v="2020-12-01T00:00:00" u="1"/>
        <d v="2018-07-26T00:00:00" u="1"/>
        <d v="2023-09-26T00:00:00" u="1"/>
        <d v="2023-10-19T00:00:00" u="1"/>
        <d v="2019-04-23T00:00:00" u="1"/>
        <d v="2023-08-28T00:00:00" u="1"/>
        <d v="2023-08-14T00:00:00" u="1"/>
        <d v="2023-05-10T00:00:00" u="1"/>
        <d v="2021-05-19T00:00:00" u="1"/>
        <d v="2023-10-02T00:00:00" u="1"/>
        <d v="2023-10-05T00:00:00" u="1"/>
        <d v="2023-04-25T00:00:00" u="1"/>
        <d v="2023-02-13T00:00:00" u="1"/>
        <d v="2023-01-25T00:00:00" u="1"/>
        <d v="2023-10-26T00:00:00" u="1"/>
        <d v="2023-10-24T00:00:00" u="1"/>
        <d v="2023-03-02T00:00:00" u="1"/>
        <d v="2023-10-16T00:00:00" u="1"/>
        <d v="2022-10-16T00:00:00" u="1"/>
        <d v="2023-10-25T00:00:00" u="1"/>
        <d v="2023-11-06T00:00:00" u="1"/>
        <d v="2019-01-02T00:00:00" u="1"/>
        <d v="2023-07-14T00:00:00" u="1"/>
        <d v="2023-10-11T00:00:00" u="1"/>
        <d v="2023-08-01T00:00:00" u="1"/>
        <d v="2023-11-10T00:00:00" u="1"/>
        <d v="2023-02-10T00:00:00" u="1"/>
        <d v="2022-08-08T00:00:00" u="1"/>
        <d v="2022-09-08T00:00:00" u="1"/>
        <d v="2023-11-08T00:00:00" u="1"/>
        <d v="2023-11-02T00:00:00" u="1"/>
        <d v="2023-09-11T00:00:00" u="1"/>
        <d v="2023-01-12T00:00:00" u="1"/>
        <d v="2023-10-23T00:00:00" u="1"/>
        <d v="2023-11-16T00:00:00" u="1"/>
        <d v="2023-03-01T00:00:00" u="1"/>
        <d v="2023-10-27T00:00:00" u="1"/>
        <d v="2023-02-22T00:00:00" u="1"/>
        <d v="2022-03-01T00:00:00" u="1"/>
        <d v="2023-11-22T00:00:00" u="1"/>
        <d v="2022-08-05T00:00:00" u="1"/>
        <d v="2023-04-05T00:00:00" u="1"/>
        <d v="2023-05-08T00:00:00" u="1"/>
        <d v="2023-08-02T00:00:00" u="1"/>
        <d v="2023-03-09T00:00:00" u="1"/>
        <d v="2021-11-11T00:00:00" u="1"/>
        <d v="2023-02-20T00:00:00" u="1"/>
        <d v="2022-11-25T00:00:00" u="1"/>
        <d v="2022-10-10T00:00:00" u="1"/>
        <d v="2022-08-09T00:00:00" u="1"/>
        <d v="2023-07-18T00:00:00" u="1"/>
        <d v="2023-08-21T00:00:00" u="1"/>
        <d v="2023-02-09T00:00:00" u="1"/>
        <d v="2022-10-04T00:00:00" u="1"/>
        <d v="2023-07-19T00:00:00" u="1"/>
        <d v="2023-03-29T00:00:00" u="1"/>
        <d v="2022-10-02T00:00:00" u="1"/>
        <d v="2023-11-20T00:00:00" u="1"/>
        <d v="2023-10-12T00:00:00" u="1"/>
        <d v="2023-04-03T00:00:00" u="1"/>
        <d v="2023-01-04T00:00:00" u="1"/>
        <d v="2023-07-20T00:00:00" u="1"/>
        <d v="2023-01-16T00:00:00" u="1"/>
        <d v="2022-12-15T00:00:00" u="1"/>
        <d v="2023-09-04T00:00:00" u="1"/>
        <d v="2023-02-08T00:00:00" u="1"/>
        <d v="2023-11-01T00:00:00" u="1"/>
        <d v="2023-07-13T00:00:00" u="1"/>
        <d v="2023-11-23T00:00:00" u="1"/>
        <d v="2023-01-02T00:00:00" u="1"/>
        <d v="2023-06-19T00:00:00" u="1"/>
        <d v="2020-01-02T00:00:00" u="1"/>
        <d v="2021-12-27T00:00:00" u="1"/>
        <d v="2021-03-01T00:00:00" u="1"/>
        <d v="2022-10-19T00:00:00" u="1"/>
        <d v="2023-07-12T00:00:00" u="1"/>
        <d v="2023-09-01T00:00:00" u="1"/>
        <d v="2019-04-10T00:00:00" u="1"/>
        <d v="2023-06-23T00:00:00" u="1"/>
        <d v="2023-10-20T00:00:00" u="1"/>
        <d v="2023-08-29T00:00:00" u="1"/>
        <d v="2022-03-25T00:00:00" u="1"/>
        <d v="2023-09-15T00:00:00" u="1"/>
        <d v="2023-07-10T00:00:00" u="1"/>
        <d v="2023-09-08T00:00:00" u="1"/>
        <d v="2023-10-18T00:00:00" u="1"/>
        <d v="2023-10-31T00:00:00" u="1"/>
        <d v="2023-03-15T00:00:00" u="1"/>
        <d v="2023-08-08T00:00:00" u="1"/>
        <d v="2023-10-30T00:00:00" u="1"/>
        <d v="2023-06-05T00:00:00" u="1"/>
        <d v="2023-01-10T00:00:00" u="1"/>
        <d v="2022-08-01T00:00:00" u="1"/>
        <d v="2022-09-20T00:00:00" u="1"/>
        <d v="2022-10-18T00:00:00" u="1"/>
        <d v="2022-11-21T00:00:00" u="1"/>
        <d v="2022-10-03T00:00:00" u="1"/>
        <d v="2023-03-21T00:00:00" u="1"/>
        <d v="2023-05-02T00:00:00" u="1"/>
        <d v="2023-05-09T00:00:00" u="1"/>
        <d v="2023-05-11T00:00:00" u="1"/>
        <d v="2023-05-16T00:00:00" u="1"/>
        <d v="2023-05-17T00:00:00" u="1"/>
        <d v="2022-11-08T00:00:00" u="1"/>
        <d v="2023-01-11T00:00:00" u="1"/>
        <d v="2022-08-03T00:00:00" u="1"/>
        <d v="2022-10-05T00:00:00" u="1"/>
        <d v="2023-03-03T00:00:00" u="1"/>
        <d v="2023-03-14T00:00:00" u="1"/>
        <d v="2023-05-27T00:00:00" u="1"/>
        <d v="2023-06-08T00:00:00" u="1"/>
        <d v="2023-06-09T00:00:00" u="1"/>
        <d v="2023-07-04T00:00:00" u="1"/>
        <d v="2023-09-18T00:00:00" u="1"/>
        <d v="2023-09-22T00:00:00" u="1"/>
        <d v="2023-09-23T00:00:00" u="1"/>
        <d v="2022-08-19T00:00:00" u="1"/>
        <d v="2023-10-13T00:00:00" u="1"/>
        <d v="2023-03-08T00:00:00" u="1"/>
        <d v="2023-11-03T00:00:00" u="1"/>
        <d v="2022-05-16T00:00:00" u="1"/>
        <d v="2021-11-26T00:00:00" u="1"/>
        <d v="2023-09-06T00:00:00" u="1"/>
        <d v="2023-10-09T00:00:00" u="1"/>
        <d v="2023-10-21T00:00:00" u="1"/>
        <d v="2023-09-12T00:00:00" u="1"/>
        <d v="2023-09-05T00:00:00" u="1"/>
        <d v="2023-08-15T00:00:00" u="1"/>
        <d v="2023-09-27T00:00:00" u="1"/>
        <d v="2023-09-13T00:00:00" u="1"/>
        <d v="2023-07-31T00:00:00" u="1"/>
        <d v="2023-09-24T00:00:00" u="1"/>
        <d v="2023-09-03T00:00:00" u="1"/>
        <d v="2023-08-31T00:00:00" u="1"/>
        <d v="2023-09-10T00:00:00" u="1"/>
        <d v="2023-09-20T00:00:00" u="1"/>
        <d v="2023-09-09T00:00:00" u="1"/>
        <d v="2023-09-16T00:00:00" u="1"/>
        <d v="2023-09-28T00:00:00" u="1"/>
        <d v="2023-09-30T00:00:00" u="1"/>
        <d v="2023-09-14T00:00:00" u="1"/>
        <d v="2023-09-19T00:00:00" u="1"/>
        <d v="2023-08-10T00:00:00" u="1"/>
        <d v="2023-07-27T00:00:00" u="1"/>
        <d v="2023-09-02T00:00:00" u="1"/>
        <d v="2023-09-07T00:00:00" u="1"/>
        <d v="2023-09-21T00:00:00" u="1"/>
        <d v="2023-09-29T00:00:00" u="1"/>
        <d v="2023-08-30T00:00:00" u="1"/>
        <d v="2023-09-17T00:00:00" u="1"/>
        <d v="2022-07-31T00:00:00" u="1"/>
        <d v="2022-12-11T00:00:00" u="1"/>
        <d v="2023-07-09T00:00:00" u="1"/>
        <d v="2022-10-23T00:00:00" u="1"/>
        <d v="2022-11-07T00:00:00" u="1"/>
        <d v="2023-04-26T00:00:00" u="1"/>
        <d v="2023-02-28T00:00:00" u="1"/>
        <d v="2022-12-31T00:00:00" u="1"/>
        <d v="2023-01-31T00:00:00" u="1"/>
        <d v="2022-04-30T00:00:00" u="1"/>
        <d v="2023-08-23T00:00:00" u="1"/>
        <d v="2022-09-07T00:00:00" u="1"/>
        <d v="2023-08-07T00:00:00" u="1"/>
      </sharedItems>
    </cacheField>
    <cacheField name="FECHA INICIO DE LABORES EN OBRA" numFmtId="0">
      <sharedItems containsNonDate="0" containsDate="1" containsBlank="1" containsMixedTypes="1" minDate="1900-01-01T00:00:00" maxDate="2024-12-29T00:00:00" count="1441">
        <d v="2024-08-16T00:00:00"/>
        <d v="2024-06-01T00:00:00"/>
        <d v="2024-07-08T00:00:00"/>
        <d v="2024-08-27T00:00:00"/>
        <d v="2024-09-02T00:00:00"/>
        <d v="2024-05-01T00:00:00"/>
        <d v="2023-07-21T00:00:00"/>
        <d v="2024-08-10T00:00:00"/>
        <d v="2024-08-08T00:00:00"/>
        <d v="2024-09-17T00:00:00"/>
        <d v="2024-01-19T00:00:00"/>
        <d v="2024-01-29T00:00:00"/>
        <d v="2024-01-31T00:00:00"/>
        <d v="2024-02-27T00:00:00"/>
        <d v="2024-05-13T00:00:00"/>
        <d v="2024-05-24T00:00:00"/>
        <d v="2024-07-01T00:00:00"/>
        <d v="2024-07-19T00:00:00"/>
        <d v="2024-07-04T00:00:00"/>
        <d v="2024-05-15T00:00:00"/>
        <d v="2024-07-03T00:00:00"/>
        <d v="2024-08-20T00:00:00"/>
        <d v="2024-08-21T00:00:00"/>
        <d v="2024-03-14T00:00:00"/>
        <d v="2023-04-01T00:00:00"/>
        <d v="2024-06-24T00:00:00"/>
        <d v="2024-07-10T00:00:00"/>
        <d v="2024-08-26T00:00:00"/>
        <d v="2024-09-10T00:00:00"/>
        <d v="2024-09-09T00:00:00"/>
        <d v="2024-09-24T00:00:00"/>
        <d v="2023-06-09T00:00:00"/>
        <d v="2023-07-25T00:00:00"/>
        <d v="2023-09-11T00:00:00"/>
        <d v="2024-03-15T00:00:00"/>
        <d v="2024-04-12T00:00:00"/>
        <d v="2024-07-09T00:00:00"/>
        <d v="2024-09-11T00:00:00"/>
        <d v="2024-07-15T00:00:00"/>
        <d v="2023-04-19T00:00:00"/>
        <d v="2024-05-31T00:00:00"/>
        <d v="2023-12-01T00:00:00"/>
        <d v="2024-02-16T00:00:00"/>
        <d v="2022-11-04T00:00:00"/>
        <d v="2023-05-31T00:00:00"/>
        <d v="2024-02-15T00:00:00"/>
        <d v="2024-04-29T00:00:00"/>
        <d v="2023-12-26T00:00:00"/>
        <d v="2024-01-10T00:00:00"/>
        <d v="2024-08-12T00:00:00"/>
        <d v="2024-07-16T00:00:00"/>
        <d v="2024-08-05T00:00:00"/>
        <d v="2024-06-04T00:00:00"/>
        <d v="2024-08-22T00:00:00"/>
        <d v="2023-08-01T00:00:00"/>
        <d v="2024-05-29T00:00:00"/>
        <d v="2024-01-30T00:00:00"/>
        <d v="2023-07-20T00:00:00"/>
        <d v="2021-07-01T00:00:00"/>
        <d v="2023-04-10T00:00:00"/>
        <d v="2023-06-08T00:00:00"/>
        <d v="2023-07-07T00:00:00"/>
        <d v="2023-07-14T00:00:00"/>
        <d v="2023-11-22T00:00:00"/>
        <d v="2024-03-19T00:00:00"/>
        <d v="2024-03-25T00:00:00"/>
        <d v="2024-09-25T00:00:00"/>
        <d v="2023-12-14T00:00:00"/>
        <d v="2023-11-30T00:00:00"/>
        <d v="2023-04-26T00:00:00"/>
        <d v="2023-09-04T00:00:00"/>
        <d v="2023-06-10T00:00:00"/>
        <d v="2022-09-09T00:00:00"/>
        <d v="2023-03-11T00:00:00"/>
        <d v="2022-06-16T00:00:00"/>
        <d v="2023-12-06T00:00:00"/>
        <d v="2024-02-01T00:00:00"/>
        <d v="2024-02-03T00:00:00"/>
        <d v="2024-02-08T00:00:00"/>
        <d v="2024-02-09T00:00:00"/>
        <d v="2024-02-24T00:00:00"/>
        <d v="2024-02-23T00:00:00"/>
        <d v="2024-02-22T00:00:00"/>
        <d v="2023-10-17T00:00:00"/>
        <d v="2023-09-23T00:00:00"/>
        <d v="2023-09-14T00:00:00"/>
        <d v="2024-02-29T00:00:00"/>
        <d v="2024-03-09T00:00:00"/>
        <d v="2024-04-13T00:00:00"/>
        <d v="2024-04-18T00:00:00"/>
        <d v="2024-05-25T00:00:00"/>
        <d v="2024-06-13T00:00:00"/>
        <d v="2024-06-22T00:00:00"/>
        <d v="2024-07-02T00:00:00"/>
        <d v="2024-07-06T00:00:00"/>
        <d v="2024-07-11T00:00:00"/>
        <d v="2024-07-13T00:00:00"/>
        <d v="2024-08-03T00:00:00"/>
        <d v="2024-08-15T00:00:00"/>
        <d v="2024-08-17T00:00:00"/>
        <d v="2024-09-05T00:00:00"/>
        <d v="2024-09-18T00:00:00"/>
        <d v="2023-07-24T00:00:00"/>
        <d v="2024-09-16T00:00:00"/>
        <d v="2024-02-21T00:00:00"/>
        <d v="2024-08-19T00:00:00"/>
        <d v="2024-06-03T00:00:00"/>
        <d v="2024-05-28T00:00:00"/>
        <d v="2023-04-21T00:00:00"/>
        <d v="2023-04-30T00:00:00"/>
        <d v="2023-11-20T00:00:00"/>
        <d v="2024-05-20T00:00:00"/>
        <d v="2024-05-27T00:00:00"/>
        <d v="2024-06-11T00:00:00"/>
        <d v="2024-06-17T00:00:00"/>
        <d v="2024-09-12T00:00:00"/>
        <d v="2020-02-03T00:00:00"/>
        <d v="2021-11-01T00:00:00"/>
        <d v="2023-03-15T00:00:00"/>
        <d v="2023-04-15T00:00:00"/>
        <d v="2023-08-14T00:00:00"/>
        <d v="2023-10-02T00:00:00"/>
        <d v="2023-12-11T00:00:00"/>
        <d v="2024-03-11T00:00:00"/>
        <d v="2024-04-11T00:00:00"/>
        <d v="2024-06-10T00:00:00"/>
        <d v="2024-07-22T00:00:00"/>
        <d v="2024-03-26T00:00:00"/>
        <d v="2024-07-18T00:00:00"/>
        <d v="2024-04-09T00:00:00"/>
        <d v="2023-10-26T00:00:00"/>
        <d v="2023-05-05T00:00:00"/>
        <d v="2024-04-04T00:00:00"/>
        <d v="2024-01-17T00:00:00"/>
        <d v="2024-01-09T00:00:00"/>
        <d v="2024-05-21T00:00:00"/>
        <d v="2024-07-30T00:00:00"/>
        <d v="2024-09-19T00:00:00"/>
        <d v="2023-12-21T00:00:00"/>
        <d v="2024-04-15T00:00:00"/>
        <d v="2024-07-17T00:00:00"/>
        <d v="2024-03-01T00:00:00"/>
        <d v="2024-06-07T00:00:00"/>
        <d v="2024-03-06T00:00:00"/>
        <d v="2024-03-02T00:00:00"/>
        <d v="2024-08-01T00:00:00"/>
        <d v="2024-09-01T00:00:00"/>
        <d v="2024-05-23T00:00:00"/>
        <d v="2024-07-05T00:00:00"/>
        <d v="2024-06-26T00:00:00"/>
        <d v="2024-07-20T00:00:00"/>
        <d v="1900-01-01T00:00:00"/>
        <d v="2024-06-19T00:00:00"/>
        <d v="2024-07-12T00:00:00"/>
        <d v="2024-04-30T00:00:00"/>
        <d v="2024-08-31T00:00:00"/>
        <d v="2023-04-04T00:00:00"/>
        <d v="2020-08-20T00:00:00"/>
        <d v="2020-09-25T00:00:00"/>
        <d v="2020-10-01T00:00:00"/>
        <d v="2022-01-03T00:00:00"/>
        <d v="2022-03-21T00:00:00"/>
        <d v="2022-11-28T00:00:00"/>
        <d v="2023-03-01T00:00:00"/>
        <d v="2023-06-12T00:00:00"/>
        <d v="2023-06-22T00:00:00"/>
        <d v="2023-06-21T00:00:00"/>
        <d v="2023-03-10T00:00:00"/>
        <d v="2024-02-05T00:00:00"/>
        <d v="2024-03-05T00:00:00"/>
        <d v="2024-03-20T00:00:00"/>
        <d v="2024-08-02T00:00:00"/>
        <d v="2024-09-23T00:00:00"/>
        <d v="2023-02-20T00:00:00"/>
        <d v="2023-04-20T00:00:00"/>
        <d v="2022-07-05T00:00:00"/>
        <d v="2023-12-05T00:00:00"/>
        <d v="2024-01-22T00:00:00"/>
        <d v="2024-01-25T00:00:00"/>
        <d v="2024-04-01T00:00:00"/>
        <d v="2024-04-17T00:00:00"/>
        <d v="2024-04-19T00:00:00"/>
        <d v="2024-05-14T00:00:00"/>
        <d v="2024-05-22T00:00:00"/>
        <d v="2024-06-14T00:00:00"/>
        <d v="2024-06-18T00:00:00"/>
        <d v="2024-09-13T00:00:00"/>
        <d v="2024-09-04T00:00:00"/>
        <d v="2024-08-30T00:00:00"/>
        <d v="2024-08-25T00:00:00"/>
        <d v="2024-06-28T00:00:00"/>
        <d v="2024-05-02T00:00:00"/>
        <d v="2024-08-07T00:00:00"/>
        <d v="2024-08-28T00:00:00"/>
        <d v="2019-05-16T00:00:00"/>
        <d v="2024-02-20T00:00:00"/>
        <d v="2023-01-02T00:00:00"/>
        <d v="2022-07-15T00:00:00"/>
        <d v="2023-03-27T00:00:00"/>
        <d v="2024-03-13T00:00:00"/>
        <d v="2024-01-06T00:00:00"/>
        <d v="2024-08-13T00:00:00"/>
        <d v="2024-03-18T00:00:00"/>
        <d v="2024-08-14T00:00:00"/>
        <d v="2024-09-06T00:00:00"/>
        <d v="2024-01-12T00:00:00"/>
        <d v="2022-12-28T00:00:00"/>
        <d v="2024-09-03T00:00:00"/>
        <d v="2023-05-03T00:00:00"/>
        <d v="2016-08-08T00:00:00"/>
        <d v="2019-03-13T00:00:00"/>
        <d v="2021-04-08T00:00:00"/>
        <d v="2021-09-17T00:00:00"/>
        <d v="2021-01-08T00:00:00"/>
        <d v="2023-03-16T00:00:00"/>
        <d v="2018-10-23T00:00:00"/>
        <d v="2020-03-09T00:00:00"/>
        <d v="2022-06-28T00:00:00"/>
        <d v="2022-12-01T00:00:00"/>
        <d v="2023-01-19T00:00:00"/>
        <d v="2022-11-18T00:00:00"/>
        <d v="2023-03-28T00:00:00"/>
        <d v="2023-03-23T00:00:00"/>
        <d v="2023-04-13T00:00:00"/>
        <d v="2017-02-21T00:00:00"/>
        <d v="2023-06-01T00:00:00"/>
        <d v="2022-06-22T00:00:00"/>
        <d v="2023-01-25T00:00:00"/>
        <d v="2023-07-04T00:00:00"/>
        <d v="2023-07-13T00:00:00"/>
        <d v="2021-09-22T00:00:00"/>
        <d v="2022-06-08T00:00:00"/>
        <d v="2023-09-20T00:00:00"/>
        <d v="2022-11-30T00:00:00"/>
        <d v="2023-02-07T00:00:00"/>
        <d v="2023-06-05T00:00:00"/>
        <d v="2020-07-03T00:00:00"/>
        <d v="2022-10-04T00:00:00"/>
        <d v="2023-03-21T00:00:00"/>
        <d v="2024-07-25T00:00:00"/>
        <d v="2024-07-24T00:00:00"/>
        <d v="2023-02-16T00:00:00"/>
        <d v="2023-12-18T00:00:00"/>
        <d v="2024-04-03T00:00:00"/>
        <d v="2024-02-14T00:00:00"/>
        <d v="2024-06-21T00:00:00"/>
        <d v="2024-06-27T00:00:00"/>
        <d v="2024-08-23T00:00:00"/>
        <s v="11/12/203"/>
        <d v="2023-10-13T00:00:00"/>
        <d v="2017-09-13T00:00:00"/>
        <d v="2022-10-31T00:00:00"/>
        <d v="2022-11-21T00:00:00"/>
        <d v="2021-03-17T00:00:00"/>
        <d v="2022-01-10T00:00:00"/>
        <d v="2019-08-26T00:00:00"/>
        <d v="2016-07-13T00:00:00"/>
        <d v="2023-03-29T00:00:00"/>
        <d v="2024-02-13T00:00:00"/>
        <d v="2023-09-28T00:00:00"/>
        <d v="2023-03-06T00:00:00"/>
        <d v="2024-02-07T00:00:00"/>
        <d v="2024-03-04T00:00:00"/>
        <d v="2024-09-26T00:00:00"/>
        <d v="2023-12-27T00:00:00"/>
        <d v="2024-01-05T00:00:00"/>
        <d v="2022-09-01T00:00:00"/>
        <d v="2023-11-23T00:00:00"/>
        <d v="2024-05-06T00:00:00"/>
        <d v="2023-11-21T00:00:00"/>
        <d v="2024-04-16T00:00:00"/>
        <d v="2024-06-15T00:00:00"/>
        <d v="2023-09-21T00:00:00"/>
        <d v="2023-09-19T00:00:00"/>
        <d v="2023-11-07T00:00:00"/>
        <d v="2023-08-24T00:00:00"/>
        <d v="2024-04-26T00:00:00"/>
        <d v="2024-04-08T00:00:00"/>
        <d v="2024-05-17T00:00:00"/>
        <d v="2023-07-17T00:00:00"/>
        <d v="2024-05-30T00:00:00"/>
        <d v="2023-02-01T00:00:00"/>
        <d v="2023-12-28T00:00:00"/>
        <d v="2024-06-06T00:00:00"/>
        <d v="2023-02-23T00:00:00"/>
        <d v="2024-02-10T00:00:00"/>
        <d v="2024-03-21T00:00:00"/>
        <d v="2023-08-11T00:00:00"/>
        <d v="2024-04-25T00:00:00"/>
        <d v="2023-11-10T00:00:00"/>
        <d v="2023-02-22T00:00:00"/>
        <d v="2020-07-13T00:00:00"/>
        <d v="2021-03-25T00:00:00"/>
        <d v="2021-04-03T00:00:00"/>
        <d v="2021-07-22T00:00:00"/>
        <d v="2021-09-04T00:00:00"/>
        <d v="2021-12-21T00:00:00"/>
        <d v="2022-01-27T00:00:00"/>
        <d v="2022-05-01T00:00:00"/>
        <d v="2022-05-24T00:00:00"/>
        <d v="2022-12-14T00:00:00"/>
        <d v="2022-12-19T00:00:00"/>
        <d v="2023-02-17T00:00:00"/>
        <d v="2023-05-22T00:00:00"/>
        <d v="2023-07-06T00:00:00"/>
        <d v="2023-08-02T00:00:00"/>
        <d v="2023-10-24T00:00:00"/>
        <d v="2023-11-28T00:00:00"/>
        <d v="2024-01-20T00:00:00"/>
        <d v="2024-01-24T00:00:00"/>
        <s v="01/07(/2024"/>
        <d v="2022-12-21T00:00:00"/>
        <d v="2021-12-16T00:00:00"/>
        <d v="2023-10-21T00:00:00"/>
        <d v="2023-12-02T00:00:00"/>
        <d v="2023-09-30T00:00:00"/>
        <d v="2023-06-24T00:00:00"/>
        <d v="2023-09-12T00:00:00"/>
        <d v="2023-09-08T00:00:00"/>
        <d v="2023-06-15T00:00:00"/>
        <d v="2022-01-26T00:00:00"/>
        <d v="2023-05-13T00:00:00"/>
        <d v="2023-04-14T00:00:00"/>
        <d v="2023-04-27T00:00:00"/>
        <d v="2019-12-23T00:00:00"/>
        <d v="2023-05-15T00:00:00"/>
        <d v="2019-02-10T00:00:00"/>
        <d v="2023-02-18T00:00:00"/>
        <d v="2023-02-10T00:00:00"/>
        <d v="2023-02-21T00:00:00"/>
        <d v="2022-01-04T00:00:00"/>
        <d v="2018-09-01T00:00:00"/>
        <d v="2022-04-13T00:00:00"/>
        <d v="2019-11-29T00:00:00"/>
        <d v="2020-02-15T00:00:00"/>
        <d v="2021-06-10T00:00:00"/>
        <d v="2022-03-12T00:00:00"/>
        <d v="2021-02-10T00:00:00"/>
        <d v="2021-03-20T00:00:00"/>
        <d v="2022-11-23T00:00:00"/>
        <d v="2021-12-31T00:00:00"/>
        <d v="2022-07-08T00:00:00"/>
        <d v="2021-05-21T00:00:00"/>
        <d v="2022-06-25T00:00:00"/>
        <d v="2023-01-11T00:00:00"/>
        <d v="2021-08-10T00:00:00"/>
        <d v="2022-11-13T00:00:00"/>
        <d v="2020-03-06T00:00:00"/>
        <d v="2024-02-17T00:00:00"/>
        <d v="2023-10-07T00:00:00"/>
        <d v="2023-09-09T00:00:00"/>
        <d v="2023-09-16T00:00:00"/>
        <d v="2023-10-12T00:00:00"/>
        <d v="2024-03-07T00:00:00"/>
        <d v="2024-03-23T00:00:00"/>
        <d v="2024-05-04T00:00:00"/>
        <s v="13/06/204"/>
        <d v="2024-09-21T00:00:00"/>
        <d v="2021-07-09T00:00:00"/>
        <d v="2024-01-16T00:00:00"/>
        <d v="2023-10-18T00:00:00"/>
        <d v="2023-07-10T00:00:00"/>
        <d v="2023-06-26T00:00:00"/>
        <d v="2023-07-31T00:00:00"/>
        <d v="2023-06-19T00:00:00"/>
        <d v="2023-09-18T00:00:00"/>
        <d v="2023-06-27T00:00:00"/>
        <d v="2019-08-09T00:00:00"/>
        <d v="2019-08-14T00:00:00"/>
        <d v="2020-01-17T00:00:00"/>
        <d v="2020-09-14T00:00:00"/>
        <d v="2020-09-23T00:00:00"/>
        <d v="2021-03-01T00:00:00"/>
        <d v="2021-03-16T00:00:00"/>
        <d v="2021-03-29T00:00:00"/>
        <d v="2021-05-13T00:00:00"/>
        <d v="2022-06-05T00:00:00"/>
        <d v="2022-06-10T00:00:00"/>
        <d v="2022-07-25T00:00:00"/>
        <d v="2022-08-02T00:00:00"/>
        <d v="2022-10-05T00:00:00"/>
        <d v="2022-10-27T00:00:00"/>
        <d v="2022-11-03T00:00:00"/>
        <d v="2022-11-29T00:00:00"/>
        <d v="2023-04-03T00:00:00"/>
        <d v="2023-06-13T00:00:00"/>
        <d v="2023-06-14T00:00:00"/>
        <d v="2023-06-16T00:00:00"/>
        <d v="2023-06-30T00:00:00"/>
        <d v="2023-09-26T00:00:00"/>
        <d v="2023-10-25T00:00:00"/>
        <d v="2023-11-02T00:00:00"/>
        <d v="2023-11-03T00:00:00"/>
        <d v="2024-01-02T00:00:00"/>
        <d v="2024-02-12T00:00:00"/>
        <d v="2024-05-03T00:00:00"/>
        <d v="2024-06-30T00:00:00"/>
        <d v="2016-03-14T00:00:00"/>
        <d v="2016-11-17T00:00:00"/>
        <d v="2017-11-07T00:00:00"/>
        <d v="2017-12-20T00:00:00"/>
        <d v="2018-08-16T00:00:00"/>
        <d v="2019-03-01T00:00:00"/>
        <d v="2019-07-01T00:00:00"/>
        <d v="2019-08-01T00:00:00"/>
        <d v="2020-03-02T00:00:00"/>
        <d v="2021-07-19T00:00:00"/>
        <d v="2024-01-01T00:00:00"/>
        <d v="2020-12-21T00:00:00"/>
        <d v="2021-09-07T00:00:00"/>
        <d v="2023-12-07T00:00:00"/>
        <d v="2024-05-10T00:00:00"/>
        <s v="  17/02/2023"/>
        <d v="2024-02-02T00:00:00"/>
        <d v="2024-02-28T00:00:00"/>
        <d v="2024-04-05T00:00:00"/>
        <d v="2023-12-04T00:00:00"/>
        <d v="2023-12-08T00:00:00"/>
        <d v="2022-09-03T00:00:00"/>
        <d v="2022-12-02T00:00:00"/>
        <d v="2023-10-05T00:00:00"/>
        <d v="2024-01-13T00:00:00"/>
        <d v="2023-12-13T00:00:00"/>
        <d v="2023-11-17T00:00:00"/>
        <d v="2024-02-26T00:00:00"/>
        <d v="2024-01-18T00:00:00"/>
        <d v="2023-09-29T00:00:00"/>
        <d v="2022-11-14T00:00:00"/>
        <d v="2022-10-29T00:00:00"/>
        <d v="2024-04-24T00:00:00"/>
        <d v="2024-05-09T00:00:00"/>
        <d v="2024-06-20T00:00:00"/>
        <d v="2024-08-09T00:00:00"/>
        <d v="2023-07-11T00:00:00"/>
        <d v="2023-12-20T00:00:00"/>
        <d v="2023-08-21T00:00:00"/>
        <d v="2021-04-27T00:00:00"/>
        <d v="2024-05-16T00:00:00"/>
        <d v="2021-10-27T00:00:00"/>
        <m/>
        <d v="2023-12-15T00:00:00"/>
        <d v="2024-05-07T00:00:00"/>
        <d v="2021-05-14T00:00:00"/>
        <d v="2023-03-31T00:00:00"/>
        <d v="2019-08-10T00:00:00"/>
        <d v="2019-08-06T00:00:00"/>
        <d v="2020-08-01T00:00:00"/>
        <d v="2020-10-23T00:00:00"/>
        <d v="2019-07-02T00:00:00"/>
        <d v="2019-09-13T00:00:00"/>
        <d v="2019-09-25T00:00:00"/>
        <d v="2019-10-29T00:00:00"/>
        <d v="2020-09-11T00:00:00"/>
        <d v="2022-08-16T00:00:00"/>
        <d v="2022-08-18T00:00:00"/>
        <d v="2022-08-19T00:00:00"/>
        <d v="2022-09-02T00:00:00"/>
        <d v="2022-09-10T00:00:00"/>
        <d v="2022-09-22T00:00:00"/>
        <d v="2022-11-15T00:00:00"/>
        <d v="2023-02-27T00:00:00"/>
        <d v="2023-02-15T00:00:00"/>
        <d v="2023-06-28T00:00:00"/>
        <d v="2023-08-31T00:00:00"/>
        <d v="2024-09-20T00:00:00"/>
        <d v="2023-07-18T00:00:00"/>
        <d v="2019-10-22T00:00:00"/>
        <d v="2022-12-30T00:00:00"/>
        <d v="2023-03-25T00:00:00"/>
        <d v="2019-04-01T00:00:00"/>
        <d v="2022-06-24T00:00:00"/>
        <d v="2024-01-03T00:00:00"/>
        <d v="2024-01-04T00:00:00"/>
        <d v="2024-04-02T00:00:00"/>
        <d v="2024-09-30T00:00:00"/>
        <d v="2024-06-25T00:00:00"/>
        <d v="2024-08-29T00:00:00"/>
        <d v="2019-03-15T00:00:00"/>
        <d v="2023-03-07T00:00:00"/>
        <d v="2024-05-08T00:00:00"/>
        <d v="2021-04-29T00:00:00"/>
        <d v="2024-09-14T00:00:00"/>
        <d v="2018-12-04T00:00:00"/>
        <d v="2016-09-20T00:00:00"/>
        <d v="2020-11-15T00:00:00"/>
        <d v="2022-08-24T00:00:00"/>
        <d v="2024-05-11T00:00:00"/>
        <d v="2019-04-23T00:00:00"/>
        <d v="2015-06-01T00:00:00"/>
        <d v="2016-12-23T00:00:00"/>
        <d v="2022-12-06T00:00:00"/>
        <d v="2019-02-28T00:00:00"/>
        <d v="2017-02-18T00:00:00"/>
        <d v="2018-12-10T00:00:00"/>
        <d v="2020-01-16T00:00:00"/>
        <d v="2023-03-22T00:00:00"/>
        <d v="2019-02-15T00:00:00"/>
        <d v="2019-03-06T00:00:00"/>
        <d v="2016-11-23T00:00:00"/>
        <d v="2019-03-11T00:00:00"/>
        <d v="2019-10-14T00:00:00"/>
        <d v="2021-07-02T00:00:00"/>
        <d v="2019-08-17T00:00:00"/>
        <d v="2017-10-30T00:00:00"/>
        <d v="2023-01-09T00:00:00"/>
        <d v="2022-06-11T00:00:00"/>
        <d v="2023-03-30T00:00:00"/>
        <d v="2022-11-24T00:00:00"/>
        <d v="2022-12-29T00:00:00"/>
        <d v="2022-06-23T00:00:00"/>
        <d v="2018-05-01T00:00:00"/>
        <d v="2021-11-16T00:00:00"/>
        <d v="2018-04-10T00:00:00"/>
        <d v="2020-09-28T00:00:00"/>
        <d v="2022-10-07T00:00:00"/>
        <d v="2023-08-10T00:00:00"/>
        <d v="2023-09-01T00:00:00"/>
        <d v="2021-01-04T00:00:00"/>
        <d v="2023-10-03T00:00:00"/>
        <d v="2022-03-14T00:00:00"/>
        <d v="2022-10-18T00:00:00"/>
        <d v="2024-02-19T00:00:00"/>
        <d v="2017-12-11T00:00:00"/>
        <d v="2022-02-19T00:00:00"/>
        <d v="2023-05-29T00:00:00"/>
        <d v="2023-10-09T00:00:00"/>
        <d v="2024-01-11T00:00:00"/>
        <s v="14/12/20223"/>
        <d v="2023-03-09T00:00:00"/>
        <d v="2023-12-22T00:00:00"/>
        <d v="2023-09-06T00:00:00"/>
        <d v="2023-10-16T00:00:00"/>
        <d v="2023-03-20T00:00:00"/>
        <d v="2023-03-03T00:00:00"/>
        <d v="2023-03-13T00:00:00"/>
        <d v="2020-02-20T00:00:00"/>
        <d v="2020-03-10T00:00:00"/>
        <d v="2021-04-05T00:00:00"/>
        <d v="2021-07-21T00:00:00"/>
        <d v="2021-11-04T00:00:00"/>
        <d v="2022-02-18T00:00:00"/>
        <d v="2022-07-13T00:00:00"/>
        <d v="2023-11-04T00:00:00"/>
        <d v="2023-11-16T00:00:00"/>
        <d v="2023-11-25T00:00:00"/>
        <d v="2021-12-23T00:00:00"/>
        <d v="2022-12-05T00:00:00"/>
        <d v="2022-11-25T00:00:00"/>
        <d v="2022-12-12T00:00:00"/>
        <d v="2021-12-07T00:00:00"/>
        <d v="2023-09-22T00:00:00"/>
        <d v="2022-03-01T00:00:00"/>
        <d v="2023-10-11T00:00:00"/>
        <d v="2023-11-01T00:00:00"/>
        <d v="2023-11-27T00:00:00"/>
        <d v="2018-02-09T00:00:00"/>
        <d v="2018-12-22T00:00:00"/>
        <d v="2023-08-07T00:00:00"/>
        <d v="2018-01-02T00:00:00"/>
        <d v="2023-03-12T00:00:00"/>
        <d v="2023-02-02T00:00:00"/>
        <d v="2018-03-26T00:00:00"/>
        <d v="2022-04-21T00:00:00"/>
        <d v="2020-07-10T00:00:00"/>
        <d v="2021-06-12T00:00:00"/>
        <d v="2019-10-11T00:00:00"/>
        <d v="2021-04-15T00:00:00"/>
        <d v="2019-05-19T00:00:00"/>
        <d v="2018-03-02T00:00:00"/>
        <d v="2020-03-01T00:00:00"/>
        <d v="2018-02-01T00:00:00"/>
        <s v="08//01/2018"/>
        <d v="2021-08-22T00:00:00"/>
        <d v="2024-01-27T00:00:00"/>
        <d v="2024-07-27T00:00:00"/>
        <d v="2022-09-30T00:00:00"/>
        <d v="2022-12-20T00:00:00"/>
        <d v="2021-11-03T00:00:00"/>
        <d v="2022-05-13T00:00:00"/>
        <d v="2023-06-20T00:00:00"/>
        <d v="2019-07-25T00:00:00"/>
        <d v="2019-07-31T00:00:00"/>
        <d v="2019-08-12T00:00:00"/>
        <d v="2019-08-21T00:00:00"/>
        <d v="2019-08-28T00:00:00"/>
        <d v="2019-09-21T00:00:00"/>
        <d v="2019-10-04T00:00:00"/>
        <d v="2019-10-16T00:00:00"/>
        <d v="2019-10-18T00:00:00"/>
        <d v="2020-08-17T00:00:00"/>
        <d v="2020-11-18T00:00:00"/>
        <d v="2021-02-05T00:00:00"/>
        <d v="2021-09-06T00:00:00"/>
        <d v="2021-09-08T00:00:00"/>
        <d v="2021-11-26T00:00:00"/>
        <d v="2022-01-24T00:00:00"/>
        <d v="2022-02-28T00:00:00"/>
        <d v="2022-03-10T00:00:00"/>
        <d v="2022-06-03T00:00:00"/>
        <d v="2022-06-30T00:00:00"/>
        <d v="2022-07-06T00:00:00"/>
        <d v="2022-07-14T00:00:00"/>
        <d v="2022-07-22T00:00:00"/>
        <d v="2022-07-26T00:00:00"/>
        <d v="2022-09-08T00:00:00"/>
        <d v="2022-09-13T00:00:00"/>
        <d v="2022-10-14T00:00:00"/>
        <d v="2023-01-04T00:00:00"/>
        <d v="2023-05-18T00:00:00"/>
        <d v="2023-05-27T00:00:00"/>
        <d v="2023-07-05T00:00:00"/>
        <d v="2024-01-15T00:00:00"/>
        <d v="2016-04-08T00:00:00"/>
        <d v="2016-06-08T00:00:00"/>
        <d v="2016-08-11T00:00:00"/>
        <d v="2016-10-03T00:00:00"/>
        <d v="2018-06-11T00:00:00"/>
        <d v="2023-10-01T00:00:00"/>
        <d v="2022-11-09T00:00:00"/>
        <d v="2023-07-01T00:00:00"/>
        <d v="2024-03-10T00:00:00"/>
        <d v="2023-09-02T00:00:00"/>
        <d v="2023-04-12T00:00:00"/>
        <d v="2024-02-06T00:00:00"/>
        <d v="2022-10-03T00:00:00"/>
        <d v="2022-10-10T00:00:00"/>
        <d v="2023-11-14T00:00:00"/>
        <d v="2024-07-31T00:00:00"/>
        <d v="2024-07-23T00:00:00"/>
        <d v="2022-09-16T00:00:00"/>
        <d v="2022-04-26T00:00:00"/>
        <d v="2019-09-19T00:00:00"/>
        <d v="2019-07-11T00:00:00"/>
        <d v="2021-01-07T00:00:00"/>
        <d v="2023-10-19T00:00:00"/>
        <d v="2023-02-09T00:00:00"/>
        <d v="2021-01-29T00:00:00"/>
        <d v="2018-08-21T00:00:00"/>
        <d v="2020-07-27T00:00:00"/>
        <d v="2021-05-27T00:00:00"/>
        <d v="2024-07-07T00:00:00"/>
        <d v="2021-02-01T00:00:00"/>
        <d v="2024-07-26T00:00:00"/>
        <d v="2020-07-18T00:00:00"/>
        <d v="2020-08-19T00:00:00"/>
        <d v="2021-03-23T00:00:00"/>
        <d v="2021-10-18T00:00:00"/>
        <d v="2021-11-12T00:00:00"/>
        <d v="2021-10-26T00:00:00"/>
        <d v="2022-03-09T00:00:00"/>
        <d v="2022-06-09T00:00:00"/>
        <d v="2021-03-26T00:00:00"/>
        <d v="2024-07-14T00:00:00"/>
        <d v="2019-12-01T00:00:00"/>
        <d v="2016-06-01T00:00:00"/>
        <d v="2019-11-01T00:00:00"/>
        <d v="2021-01-25T00:00:00"/>
        <d v="2024-01-08T00:00:00"/>
        <d v="2024-07-29T00:00:00"/>
        <d v="2022-01-31T00:00:00"/>
        <d v="2024-04-23T00:00:00"/>
        <d v="2019-03-25T00:00:00"/>
        <d v="2019-08-19T00:00:00"/>
        <d v="2023-05-23T00:00:00"/>
        <d v="2022-07-21T00:00:00"/>
        <d v="2020-06-11T00:00:00"/>
        <d v="2020-06-13T00:00:00"/>
        <d v="2020-06-16T00:00:00"/>
        <d v="2020-07-30T00:00:00"/>
        <s v="14/05/2021"/>
        <d v="2021-11-09T00:00:00"/>
        <d v="2022-08-01T00:00:00"/>
        <d v="2023-04-17T00:00:00"/>
        <d v="2023-12-30T00:00:00"/>
        <d v="2020-01-27T00:00:00"/>
        <d v="2020-07-01T00:00:00"/>
        <d v="2021-05-03T00:00:00"/>
        <d v="2019-01-16T00:00:00"/>
        <d v="2023-11-13T00:00:00"/>
        <d v="2023-06-02T00:00:00"/>
        <d v="2023-05-09T00:00:00"/>
        <d v="2024-03-12T00:00:00"/>
        <d v="1980-12-05T00:00:00"/>
        <d v="2023-10-10T00:00:00"/>
        <d v="2024-04-22T00:00:00"/>
        <d v="2021-12-15T00:00:00"/>
        <d v="2018-08-20T00:00:00"/>
        <d v="2023-07-22T00:00:00"/>
        <d v="2018-01-05T00:00:00"/>
        <d v="2023-09-13T00:00:00"/>
        <d v="2021-01-01T00:00:00"/>
        <d v="2023-04-05T00:00:00"/>
        <d v="2020-06-01T00:00:00"/>
        <d v="2021-03-31T00:00:00"/>
        <d v="2015-04-01T00:00:00"/>
        <d v="2018-01-26T00:00:00"/>
        <d v="2021-04-12T00:00:00"/>
        <d v="2022-11-26T00:00:00"/>
        <d v="2018-07-02T00:00:00"/>
        <d v="2022-11-11T00:00:00"/>
        <d v="2021-11-24T00:00:00"/>
        <d v="2020-03-04T00:00:00"/>
        <d v="2019-07-15T00:00:00"/>
        <d v="2021-01-15T00:00:00"/>
        <d v="2020-10-15T00:00:00"/>
        <d v="2021-12-01T00:00:00"/>
        <d v="2020-06-20T00:00:00"/>
        <d v="2019-10-15T00:00:00"/>
        <d v="2020-02-04T00:00:00"/>
        <d v="2019-09-01T00:00:00"/>
        <d v="2021-11-05T00:00:00"/>
        <d v="2018-11-05T00:00:00"/>
        <d v="2021-10-09T00:00:00"/>
        <d v="2022-06-15T00:00:00"/>
        <d v="2020-10-10T00:00:00"/>
        <d v="2021-11-06T00:00:00"/>
        <s v="10/02/024"/>
        <d v="2019-08-16T00:00:00"/>
        <d v="2019-08-23T00:00:00"/>
        <d v="2019-11-27T00:00:00"/>
        <d v="2020-09-10T00:00:00"/>
        <d v="2022-02-02T00:00:00"/>
        <d v="2022-06-17T00:00:00"/>
        <d v="2022-08-11T00:00:00"/>
        <d v="2022-08-29T00:00:00"/>
        <d v="2023-05-26T00:00:00"/>
        <d v="2023-06-17T00:00:00"/>
        <d v="2023-08-04T00:00:00"/>
        <d v="2024-08-24T00:00:00"/>
        <d v="2017-03-01T00:00:00"/>
        <d v="2014-06-18T00:00:00"/>
        <d v="2016-04-04T00:00:00"/>
        <d v="2016-12-01T00:00:00"/>
        <d v="2018-03-05T00:00:00"/>
        <d v="2018-06-01T00:00:00"/>
        <d v="2022-11-17T00:00:00"/>
        <d v="2022-11-07T00:00:00"/>
        <d v="2023-11-15T00:00:00"/>
        <d v="2024-01-23T00:00:00"/>
        <d v="2021-05-01T00:00:00"/>
        <d v="2018-04-11T00:00:00"/>
        <d v="2023-09-07T00:00:00"/>
        <d v="2023-12-29T00:00:00"/>
        <d v="2023-05-24T00:00:00"/>
        <d v="2022-08-25T00:00:00"/>
        <d v="2017-11-28T00:00:00"/>
        <d v="2022-07-07T00:00:00"/>
        <d v="2022-07-12T00:00:00"/>
        <d v="2021-06-14T00:00:00"/>
        <d v="2022-09-05T00:00:00"/>
        <d v="2021-07-06T00:00:00"/>
        <d v="2023-03-02T00:00:00"/>
        <d v="2018-12-21T00:00:00"/>
        <d v="2022-09-27T00:00:00"/>
        <d v="2016-12-15T00:00:00"/>
        <d v="2021-04-16T00:00:00"/>
        <d v="2023-06-23T00:00:00"/>
        <d v="2018-12-17T00:00:00"/>
        <d v="2020-10-21T00:00:00"/>
        <d v="2019-12-09T00:00:00"/>
        <d v="2019-09-05T00:00:00"/>
        <d v="2023-07-03T00:00:00"/>
        <d v="2024-06-12T00:00:00"/>
        <d v="2024-06-16T00:00:00"/>
        <d v="2024-06-08T00:00:00"/>
        <d v="2024-04-14T00:00:00"/>
        <d v="2024-03-16T00:00:00"/>
        <d v="2019-08-07T00:00:00"/>
        <d v="2021-10-20T00:00:00"/>
        <d v="2022-02-09T00:00:00"/>
        <d v="2022-12-22T00:00:00"/>
        <d v="2024-01-26T00:00:00"/>
        <d v="2017-09-01T00:00:00"/>
        <d v="2018-12-26T00:00:00"/>
        <d v="2019-05-28T00:00:00"/>
        <d v="2018-12-03T00:00:00"/>
        <d v="2019-03-08T00:00:00"/>
        <d v="2022-12-03T00:00:00"/>
        <d v="2020-08-10T00:00:00"/>
        <d v="2020-11-28T00:00:00"/>
        <d v="2021-05-19T00:00:00"/>
        <d v="2022-06-21T00:00:00"/>
        <d v="2023-05-20T00:00:00"/>
        <d v="2022-04-20T00:00:00"/>
        <d v="2018-07-27T00:00:00"/>
        <d v="2016-04-01T00:00:00"/>
        <s v="NO INICIA AUN"/>
        <d v="2024-09-27T00:00:00"/>
        <d v="2018-04-01T00:00:00"/>
        <d v="2023-10-28T00:00:00"/>
        <d v="2019-05-13T00:00:00"/>
        <d v="2021-09-16T00:00:00"/>
        <d v="2020-11-16T00:00:00"/>
        <d v="2021-10-11T00:00:00"/>
        <d v="2019-10-02T00:00:00"/>
        <d v="2018-11-01T00:00:00"/>
        <d v="2018-01-30T00:00:00"/>
        <d v="2019-02-01T00:00:00"/>
        <d v="2018-04-27T00:00:00"/>
        <d v="2021-06-04T00:00:00"/>
        <d v="2018-06-29T00:00:00"/>
        <d v="2021-05-05T00:00:00"/>
        <d v="2020-11-09T00:00:00"/>
        <d v="2022-07-04T00:00:00"/>
        <d v="2020-06-22T00:00:00"/>
        <d v="2023-10-27T00:00:00"/>
        <d v="2023-11-06T00:00:00"/>
        <d v="2022-07-02T00:00:00"/>
        <d v="2021-12-26T00:00:00"/>
        <d v="2016-11-29T00:00:00"/>
        <d v="2023-08-08T00:00:00"/>
        <d v="2022-10-11T00:00:00"/>
        <d v="2021-07-30T00:00:00"/>
        <d v="2022-02-15T00:00:00"/>
        <d v="2016-11-20T00:00:00"/>
        <d v="2017-04-19T00:00:00"/>
        <d v="2011-09-01T00:00:00"/>
        <d v="2020-02-07T00:00:00"/>
        <d v="2024-03-30T00:00:00"/>
        <s v="03/02/2024"/>
        <d v="2024-04-10T00:00:00"/>
        <d v="2020-12-09T00:00:00"/>
        <d v="2024-03-22T00:00:00"/>
        <d v="2023-12-19T00:00:00"/>
        <d v="2020-12-07T00:00:00"/>
        <d v="2021-06-01T00:00:00"/>
        <d v="2018-10-18T00:00:00"/>
        <d v="2020-07-02T00:00:00"/>
        <d v="2020-11-01T00:00:00"/>
        <d v="2018-09-25T00:00:00"/>
        <d v="2022-03-04T00:00:00"/>
        <d v="2020-12-06T00:00:00"/>
        <d v="2022-04-11T00:00:00"/>
        <d v="2022-03-11T00:00:00"/>
        <d v="2019-10-13T00:00:00"/>
        <d v="2020-07-08T00:00:00"/>
        <d v="2022-10-01T00:00:00"/>
        <d v="2020-08-12T00:00:00"/>
        <d v="2022-09-06T00:00:00"/>
        <d v="2021-12-14T00:00:00"/>
        <d v="2022-04-01T00:00:00"/>
        <s v="03/09/2021"/>
        <d v="2023-01-12T00:00:00"/>
        <d v="2022-10-15T00:00:00"/>
        <d v="2019-11-02T00:00:00"/>
        <d v="2023-01-23T00:00:00"/>
        <d v="2023-06-07T00:00:00"/>
        <d v="2022-11-02T00:00:00"/>
        <d v="2023-07-15T00:00:00"/>
        <d v="2020-12-16T00:00:00"/>
        <d v="2016-06-12T00:00:00"/>
        <d v="2022-01-17T00:00:00"/>
        <d v="2022-02-21T00:00:00"/>
        <d v="2022-03-16T00:00:00"/>
        <d v="2022-04-04T00:00:00"/>
        <d v="2022-05-04T00:00:00"/>
        <d v="2023-03-17T00:00:00"/>
        <d v="2023-08-22T00:00:00"/>
        <d v="2023-08-28T00:00:00"/>
        <d v="2023-09-25T00:00:00"/>
        <d v="2024-05-18T00:00:00"/>
        <d v="2024-06-05T00:00:00"/>
        <d v="2022-06-01T00:00:00"/>
        <d v="2023-07-19T00:00:00" u="1"/>
        <d v="2022-12-15T00:00:00" u="1"/>
        <d v="2023-03-08T00:00:00" u="1"/>
        <d v="2022-03-03T00:00:00" u="1"/>
        <d v="2022-02-26T00:00:00" u="1"/>
        <d v="2022-11-10T00:00:00" u="1"/>
        <d v="2020-10-25T00:00:00" u="1"/>
        <d v="2022-02-12T00:00:00" u="1"/>
        <d v="2021-08-25T00:00:00" u="1"/>
        <d v="2022-05-10T00:00:00" u="1"/>
        <d v="2021-10-17T00:00:00" u="1"/>
        <d v="2023-11-08T00:00:00" u="1"/>
        <d v="2024-03-08T00:00:00" u="1"/>
        <d v="2022-07-20T00:00:00" u="1"/>
        <d v="2020-08-11T00:00:00" u="1"/>
        <d v="2022-01-21T00:00:00" u="1"/>
        <d v="2022-11-05T00:00:00" u="1"/>
        <d v="2021-09-20T00:00:00" u="1"/>
        <d v="2020-11-25T00:00:00" u="1"/>
        <d v="2022-05-05T00:00:00" u="1"/>
        <d v="2024-03-24T00:00:00" u="1"/>
        <d v="2023-06-03T00:00:00" u="1"/>
        <d v="2022-04-28T00:00:00" u="1"/>
        <d v="2022-06-14T00:00:00" u="1"/>
        <d v="2020-06-24T00:00:00" u="1"/>
        <d v="2024-08-11T00:00:00" u="1"/>
        <d v="2022-04-27T00:00:00" u="1"/>
        <d v="2023-05-16T00:00:00" u="1"/>
        <d v="2024-07-21T00:00:00" u="1"/>
        <d v="2023-10-30T00:00:00" u="1"/>
        <d v="2023-01-26T00:00:00" u="1"/>
        <d v="2022-12-13T00:00:00" u="1"/>
        <d v="2023-01-13T00:00:00" u="1"/>
        <d v="2023-04-25T00:00:00" u="1"/>
        <d v="2023-05-10T00:00:00" u="1"/>
        <d v="2023-05-25T00:00:00" u="1"/>
        <d v="2023-05-04T00:00:00" u="1"/>
        <d v="2023-07-12T00:00:00" u="1"/>
        <d v="2023-07-26T00:00:00" u="1"/>
        <d v="2023-08-17T00:00:00" u="1"/>
        <d v="2022-08-08T00:00:00" u="1"/>
        <d v="2018-07-26T00:00:00" u="1"/>
        <d v="2023-08-25T00:00:00" u="1"/>
        <d v="2022-10-17T00:00:00" u="1"/>
        <d v="2022-10-20T00:00:00" u="1"/>
        <d v="2022-11-22T00:00:00" u="1"/>
        <d v="2022-12-26T00:00:00" u="1"/>
        <d v="2023-01-27T00:00:00" u="1"/>
        <d v="2023-01-31T00:00:00" u="1"/>
        <d v="2022-08-17T00:00:00" u="1"/>
        <d v="2022-10-12T00:00:00" u="1"/>
        <d v="2022-10-22T00:00:00" u="1"/>
        <d v="2023-02-13T00:00:00" u="1"/>
        <d v="2023-11-24T00:00:00" u="1"/>
        <d v="2020-10-19T00:00:00" u="1"/>
        <d v="2023-02-03T00:00:00" u="1"/>
        <d v="2022-10-06T00:00:00" u="1"/>
        <d v="2021-05-17T00:00:00" u="1"/>
        <d v="2021-05-24T00:00:00" u="1"/>
        <d v="2022-01-25T00:00:00" u="1"/>
        <d v="2020-08-14T00:00:00" u="1"/>
        <d v="2021-01-18T00:00:00" u="1"/>
        <d v="2023-08-09T00:00:00" u="1"/>
        <d v="2019-11-06T00:00:00" u="1"/>
        <d v="2020-09-07T00:00:00" u="1"/>
        <d v="2024-01-28T00:00:00" u="1"/>
        <d v="2018-08-01T00:00:00" u="1"/>
        <d v="2019-07-06T00:00:00" u="1"/>
        <d v="2022-08-15T00:00:00" u="1"/>
        <d v="2023-11-09T00:00:00" u="1"/>
        <d v="2019-01-10T00:00:00" u="1"/>
        <d v="2020-06-23T00:00:00" u="1"/>
        <d v="2020-10-02T00:00:00" u="1"/>
        <d v="2020-07-21T00:00:00" u="1"/>
        <d v="2022-01-01T00:00:00" u="1"/>
        <d v="2023-09-05T00:00:00" u="1"/>
        <d v="2022-09-19T00:00:00" u="1"/>
        <d v="2022-07-18T00:00:00" u="1"/>
        <d v="2022-10-26T00:00:00" u="1"/>
        <d v="2015-11-11T00:00:00" u="1"/>
        <d v="2020-06-25T00:00:00" u="1"/>
        <d v="2023-03-19T00:00:00" u="1"/>
        <d v="2023-09-15T00:00:00" u="1"/>
        <d v="2023-10-08T00:00:00" u="1"/>
        <d v="2023-08-16T00:00:00" u="1"/>
        <d v="2023-05-07T00:00:00" u="1"/>
        <d v="2023-04-24T00:00:00" u="1"/>
        <d v="2023-10-20T00:00:00" u="1"/>
        <d v="2022-09-07T00:00:00" u="1"/>
        <d v="2016-11-01T00:00:00" u="1"/>
        <d v="2016-10-01T00:00:00" u="1"/>
        <d v="2023-01-01T00:00:00" u="1"/>
        <d v="2016-07-01T00:00:00" u="1"/>
        <d v="2024-12-08T00:00:00" u="1"/>
        <d v="2024-05-12T00:00:00" u="1"/>
        <d v="2021-03-09T00:00:00" u="1"/>
        <d v="2021-02-24T00:00:00" u="1"/>
        <d v="2022-09-28T00:00:00" u="1"/>
        <d v="2020-09-08T00:00:00" u="1"/>
        <d v="2021-06-07T00:00:00" u="1"/>
        <d v="2017-06-01T00:00:00" u="1"/>
        <d v="2021-10-01T00:00:00" u="1"/>
        <d v="2015-06-23T00:00:00" u="1"/>
        <d v="2021-09-03T00:00:00" u="1"/>
        <d v="2015-10-09T00:00:00" u="1"/>
        <d v="2018-08-22T00:00:00" u="1"/>
        <d v="2021-10-29T00:00:00" u="1"/>
        <d v="2019-09-16T00:00:00" u="1"/>
        <d v="2022-05-09T00:00:00" u="1"/>
        <d v="2022-08-05T00:00:00" u="1"/>
        <d v="2023-11-29T00:00:00" u="1"/>
        <d v="2024-03-27T00:00:00" u="1"/>
        <d v="2021-04-30T00:00:00" u="1"/>
        <d v="2021-04-07T00:00:00" u="1"/>
        <d v="2023-10-04T00:00:00" u="1"/>
        <d v="2024-01-21T00:00:00" u="1"/>
        <d v="2023-10-23T00:00:00" u="1"/>
        <d v="2021-03-12T00:00:00" u="1"/>
        <d v="2023-01-17T00:00:00" u="1"/>
        <d v="2022-07-19T00:00:00" u="1"/>
        <d v="2022-03-02T00:00:00" u="1"/>
        <d v="2019-06-06T00:00:00" u="1"/>
        <d v="2019-09-06T00:00:00" u="1"/>
        <d v="2023-01-18T00:00:00" u="1"/>
        <d v="2019-08-15T00:00:00" u="1"/>
        <d v="2019-01-15T00:00:00" u="1"/>
        <d v="2022-04-19T00:00:00" u="1"/>
        <d v="2023-02-14T00:00:00" u="1"/>
        <d v="2018-12-01T00:00:00" u="1"/>
        <d v="2021-07-12T00:00:00" u="1"/>
        <d v="2022-08-26T00:00:00" u="1"/>
        <d v="2020-06-15T00:00:00" u="1"/>
        <d v="2021-11-29T00:00:00" u="1"/>
        <d v="2021-11-23T00:00:00" u="1"/>
        <d v="2022-05-11T00:00:00" u="1"/>
        <d v="2021-02-08T00:00:00" u="1"/>
        <d v="2020-02-01T00:00:00" u="1"/>
        <d v="2023-01-03T00:00:00" u="1"/>
        <d v="2020-09-21T00:00:00" u="1"/>
        <d v="2021-08-01T00:00:00" u="1"/>
        <d v="2021-12-22T00:00:00" u="1"/>
        <d v="2022-05-23T00:00:00" u="1"/>
        <d v="2022-11-01T00:00:00" u="1"/>
        <d v="2020-08-24T00:00:00" u="1"/>
        <d v="2022-05-17T00:00:00" u="1"/>
        <d v="2020-01-01T00:00:00" u="1"/>
        <d v="2022-03-28T00:00:00" u="1"/>
        <d v="2020-09-30T00:00:00" u="1"/>
        <d v="2022-06-07T00:00:00" u="1"/>
        <d v="2020-11-04T00:00:00" u="1"/>
        <d v="2019-01-17T00:00:00" u="1"/>
        <d v="2017-03-31T00:00:00" u="1"/>
        <d v="2019-01-07T00:00:00" u="1"/>
        <d v="2019-05-29T00:00:00" u="1"/>
        <d v="1996-06-01T00:00:00" u="1"/>
        <d v="2023-04-18T00:00:00" u="1"/>
        <d v="2021-06-28T00:00:00" u="1"/>
        <d v="2023-04-11T00:00:00" u="1"/>
        <d v="2023-01-16T00:00:00" u="1"/>
        <d v="2023-05-17T00:00:00" u="1"/>
        <d v="2024-04-27T00:00:00" u="1"/>
        <d v="2023-10-06T00:00:00" u="1"/>
        <d v="2023-01-30T00:00:00" u="1"/>
        <d v="2019-10-31T00:00:00" u="1"/>
        <d v="2019-04-30T00:00:00" u="1"/>
        <d v="2023-05-12T00:00:00" u="1"/>
        <d v="2022-01-20T00:00:00" u="1"/>
        <d v="2023-08-29T00:00:00" u="1"/>
        <d v="2022-12-17T00:00:00" u="1"/>
        <d v="2023-12-16T00:00:00" u="1"/>
        <d v="2017-02-10T00:00:00" u="1"/>
        <d v="2020-03-15T00:00:00" u="1"/>
        <d v="2023-05-02T00:00:00" u="1"/>
        <d v="2019-02-25T00:00:00" u="1"/>
        <d v="2023-05-08T00:00:00" u="1"/>
        <d v="2018-01-27T00:00:00" u="1"/>
        <d v="2023-06-06T00:00:00" u="1"/>
        <d v="2022-12-23T00:00:00" u="1"/>
        <d v="2022-07-10T00:00:00" u="1"/>
        <d v="2022-09-15T00:00:00" u="1"/>
        <d v="2022-02-25T00:00:00" u="1"/>
        <d v="2012-05-01T00:00:00" u="1"/>
        <d v="2023-12-09T00:00:00" u="1"/>
        <d v="2020-09-15T00:00:00" u="1"/>
        <d v="2023-02-06T00:00:00" u="1"/>
        <d v="2023-02-11T00:00:00" u="1"/>
        <d v="2023-02-28T00:00:00" u="1"/>
        <d v="2023-05-19T00:00:00" u="1"/>
        <d v="2022-02-22T00:00:00" u="1"/>
        <d v="2023-07-08T00:00:00" u="1"/>
        <d v="2021-04-06T00:00:00" u="1"/>
        <d v="1996-06-04T00:00:00" u="1"/>
        <d v="2023-09-27T00:00:00" u="1"/>
        <d v="2022-11-12T00:00:00" u="1"/>
        <d v="2022-10-19T00:00:00" u="1"/>
        <d v="2023-04-07T00:00:00" u="1"/>
        <d v="2023-12-12T00:00:00" u="1"/>
        <d v="2023-10-14T00:00:00" u="1"/>
        <d v="2019-04-10T00:00:00" u="1"/>
        <d v="2022-08-22T00:00:00" u="1"/>
        <d v="2020-11-06T00:00:00" u="1"/>
        <d v="2019-02-14T00:00:00" u="1"/>
        <d v="2023-01-14T00:00:00" u="1"/>
        <d v="2023-01-21T00:00:00" u="1"/>
        <d v="2022-07-27T00:00:00" u="1"/>
        <d v="2024-05-05T00:00:00" u="1"/>
        <d v="2023-02-05T00:00:00" u="1"/>
        <d v="2023-05-11T00:00:00" u="1"/>
        <d v="2023-08-18T00:00:00" u="1"/>
        <d v="2022-06-18T00:00:00" u="1"/>
        <d v="2020-02-25T00:00:00" u="1"/>
        <d v="2022-04-08T00:00:00" u="1"/>
        <d v="2024-10-04T00:00:00" u="1"/>
        <d v="2023-02-12T00:00:00" u="1"/>
        <d v="2021-05-06T00:00:00" u="1"/>
        <d v="1966-09-09T00:00:00" u="1"/>
        <d v="2019-08-22T00:00:00" u="1"/>
        <d v="2019-04-03T00:00:00" u="1"/>
        <d v="2017-06-15T00:00:00" u="1"/>
        <d v="2021-03-15T00:00:00" u="1"/>
        <d v="2023-03-14T00:00:00" u="1"/>
        <d v="2007-03-08T00:00:00" u="1"/>
        <d v="2015-11-25T00:00:00" u="1"/>
        <d v="2013-04-15T00:00:00" u="1"/>
        <d v="2012-09-08T00:00:00" u="1"/>
        <d v="2016-06-05T00:00:00" u="1"/>
        <d v="2015-05-31T00:00:00" u="1"/>
        <d v="2013-05-09T00:00:00" u="1"/>
        <d v="2016-05-24T00:00:00" u="1"/>
        <d v="2001-07-03T00:00:00" u="1"/>
        <d v="2011-01-14T00:00:00" u="1"/>
        <d v="2017-02-07T00:00:00" u="1"/>
        <d v="2014-10-04T00:00:00" u="1"/>
        <d v="2020-01-02T00:00:00" u="1"/>
        <d v="2016-07-06T00:00:00" u="1"/>
        <d v="2017-11-09T00:00:00" u="1"/>
        <d v="2005-10-30T00:00:00" u="1"/>
        <d v="2014-01-16T00:00:00" u="1"/>
        <d v="2012-03-11T00:00:00" u="1"/>
        <d v="2016-01-13T00:00:00" u="1"/>
        <d v="2016-05-10T00:00:00" u="1"/>
        <d v="2022-11-16T00:00:00" u="1"/>
        <d v="2016-06-22T00:00:00" u="1"/>
        <d v="2014-12-27T00:00:00" u="1"/>
        <d v="2016-03-29T00:00:00" u="1"/>
        <d v="2018-03-28T00:00:00" u="1"/>
        <d v="2022-03-19T00:00:00" u="1"/>
        <d v="2004-10-23T00:00:00" u="1"/>
        <d v="2009-10-24T00:00:00" u="1"/>
        <d v="2013-09-16T00:00:00" u="1"/>
        <d v="2005-06-30T00:00:00" u="1"/>
        <d v="2011-05-21T00:00:00" u="1"/>
        <d v="2015-06-16T00:00:00" u="1"/>
        <d v="2021-02-06T00:00:00" u="1"/>
        <d v="2021-09-11T00:00:00" u="1"/>
        <d v="2023-01-07T00:00:00" u="1"/>
        <d v="2018-02-06T00:00:00" u="1"/>
        <d v="2021-02-13T00:00:00" u="1"/>
        <d v="2022-02-24T00:00:00" u="1"/>
        <d v="2006-10-06T00:00:00" u="1"/>
        <d v="1993-05-01T00:00:00" u="1"/>
        <d v="2023-08-26T00:00:00" u="1"/>
        <d v="2000-09-09T00:00:00" u="1"/>
        <d v="2022-05-02T00:00:00" u="1"/>
        <d v="2021-05-23T00:00:00" u="1"/>
        <d v="2023-11-11T00:00:00" u="1"/>
        <d v="2022-10-23T00:00:00" u="1"/>
        <d v="2022-01-06T00:00:00" u="1"/>
        <d v="2021-09-02T00:00:00" u="1"/>
        <d v="2008-07-16T00:00:00" u="1"/>
        <d v="2018-07-17T00:00:00" u="1"/>
        <d v="2012-09-06T00:00:00" u="1"/>
        <d v="2017-01-25T00:00:00" u="1"/>
        <d v="2022-07-23T00:00:00" u="1"/>
        <d v="2019-06-01T00:00:00" u="1"/>
        <d v="2012-04-05T00:00:00" u="1"/>
        <d v="2012-05-17T00:00:00" u="1"/>
        <d v="2022-03-08T00:00:00" u="1"/>
        <d v="2016-10-05T00:00:00" u="1"/>
        <d v="2019-04-15T00:00:00" u="1"/>
        <d v="2022-10-02T00:00:00" u="1"/>
        <d v="2022-02-08T00:00:00" u="1"/>
        <d v="2022-06-13T00:00:00" u="1"/>
        <d v="2023-10-22T00:00:00" u="1"/>
        <d v="2020-02-26T00:00:00" u="1"/>
        <d v="2022-03-18T00:00:00" u="1"/>
        <d v="2019-05-25T00:00:00" u="1"/>
        <d v="2023-08-19T00:00:00" u="1"/>
        <d v="2016-04-12T00:00:00" u="1"/>
        <d v="2023-04-29T00:00:00" u="1"/>
        <d v="2022-01-29T00:00:00" u="1"/>
        <d v="2022-04-17T00:00:00" u="1"/>
        <d v="2016-12-20T00:00:00" u="1"/>
        <d v="2020-11-20T00:00:00" u="1"/>
        <d v="2021-05-04T00:00:00" u="1"/>
        <d v="2023-10-31T00:00:00" u="1"/>
        <d v="2021-04-28T00:00:00" u="1"/>
        <d v="2019-05-24T00:00:00" u="1"/>
        <d v="2019-08-29T00:00:00" u="1"/>
        <d v="2021-08-17T00:00:00" u="1"/>
        <d v="2024-04-06T00:00:00" u="1"/>
        <d v="2022-03-05T00:00:00" u="1"/>
        <d v="2023-07-29T00:00:00" u="1"/>
        <d v="2023-07-28T00:00:00" u="1"/>
        <d v="2022-12-07T00:00:00" u="1"/>
        <d v="2019-09-23T00:00:00" u="1"/>
        <d v="2020-08-06T00:00:00" u="1"/>
        <d v="2019-11-14T00:00:00" u="1"/>
        <d v="2020-06-02T00:00:00" u="1"/>
        <d v="2022-01-02T00:00:00" u="1"/>
        <d v="2022-10-16T00:00:00" u="1"/>
        <d v="2022-03-25T00:00:00" u="1"/>
        <d v="2022-08-09T00:00:00" u="1"/>
        <d v="2023-08-03T00:00:00" u="1"/>
        <d v="2023-11-26T00:00:00" u="1"/>
        <d v="2021-09-01T00:00:00" u="1"/>
        <d v="2021-08-13T00:00:00" u="1"/>
        <d v="2022-02-10T00:00:00" u="1"/>
        <d v="2022-09-21T00:00:00" u="1"/>
        <d v="2022-03-26T00:00:00" u="1"/>
        <d v="2022-07-11T00:00:00" u="1"/>
        <d v="2023-02-26T00:00:00" u="1"/>
        <d v="2022-01-05T00:00:00" u="1"/>
        <d v="2022-12-18T00:00:00" u="1"/>
        <d v="2023-11-18T00:00:00" u="1"/>
        <d v="2020-06-26T00:00:00" u="1"/>
        <d v="2023-04-08T00:00:00" u="1"/>
        <d v="2023-04-09T00:00:00" u="1"/>
        <d v="2021-12-04T00:00:00" u="1"/>
        <d v="2023-08-05T00:00:00" u="1"/>
        <d v="2021-12-27T00:00:00" u="1"/>
        <d v="2022-05-27T00:00:00" u="1"/>
        <d v="2018-01-01T00:00:00" u="1"/>
        <d v="2018-05-07T00:00:00" u="1"/>
        <d v="2023-10-15T00:00:00" u="1"/>
        <d v="2021-03-10T00:00:00" u="1"/>
        <d v="2023-11-05T00:00:00" u="1"/>
        <d v="2023-01-10T00:00:00" u="1"/>
        <d v="2022-01-14T00:00:00" u="1"/>
        <d v="2022-01-07T00:00:00" u="1"/>
        <d v="2020-11-07T00:00:00" u="1"/>
        <d v="2019-12-06T00:00:00" u="1"/>
        <d v="2021-03-05T00:00:00" u="1"/>
        <d v="2021-09-10T00:00:00" u="1"/>
        <d v="2023-02-08T00:00:00" u="1"/>
        <d v="2023-02-25T00:00:00" u="1"/>
        <d v="2020-10-14T00:00:00" u="1"/>
        <d v="2022-11-08T00:00:00" u="1"/>
        <d v="2022-05-28T00:00:00" u="1"/>
        <d v="2022-02-03T00:00:00" u="1"/>
        <d v="2021-10-07T00:00:00" u="1"/>
        <d v="2022-02-04T00:00:00" u="1"/>
        <d v="2023-09-17T00:00:00" u="1"/>
        <d v="2020-10-04T00:00:00" u="1"/>
        <d v="2021-06-21T00:00:00" u="1"/>
        <d v="2022-09-29T00:00:00" u="1"/>
        <d v="2019-07-23T00:00:00" u="1"/>
        <d v="2021-03-19T00:00:00" u="1"/>
        <d v="2023-05-06T00:00:00" u="1"/>
        <d v="2021-08-18T00:00:00" u="1"/>
        <d v="2020-10-13T00:00:00" u="1"/>
        <d v="2018-08-24T00:00:00" u="1"/>
        <d v="2021-06-11T00:00:00" u="1"/>
        <d v="2022-03-30T00:00:00" u="1"/>
        <d v="2020-11-23T00:00:00" u="1"/>
        <d v="2021-12-19T00:00:00" u="1"/>
        <d v="2020-10-16T00:00:00" u="1"/>
        <d v="2023-03-05T00:00:00" u="1"/>
        <d v="2021-12-24T00:00:00" u="1"/>
        <d v="2019-12-30T00:00:00" u="1"/>
        <d v="2021-10-22T00:00:00" u="1"/>
        <d v="2022-05-15T00:00:00" u="1"/>
        <d v="2022-03-06T00:00:00" u="1"/>
        <d v="2023-08-23T00:00:00" u="1"/>
        <d v="2017-04-03T00:00:00" u="1"/>
        <d v="2023-03-04T00:00:00" u="1"/>
        <d v="2017-03-23T00:00:00" u="1"/>
        <d v="2021-11-11T00:00:00" u="1"/>
        <d v="2019-06-03T00:00:00" u="1"/>
        <d v="2019-09-28T00:00:00" u="1"/>
        <d v="2020-10-08T00:00:00" u="1"/>
        <d v="2021-05-22T00:00:00" u="1"/>
        <d v="2018-01-09T00:00:00" u="1"/>
        <d v="2019-09-26T00:00:00" u="1"/>
        <d v="2019-11-22T00:00:00" u="1"/>
        <d v="2019-07-19T00:00:00" u="1"/>
        <d v="2005-10-04T00:00:00" u="1"/>
        <d v="2019-09-02T00:00:00" u="1"/>
        <d v="2019-08-20T00:00:00" u="1"/>
        <d v="2022-03-24T00:00:00" u="1"/>
        <d v="2018-10-04T00:00:00" u="1"/>
        <d v="2019-09-04T00:00:00" u="1"/>
        <d v="2021-11-08T00:00:00" u="1"/>
        <d v="2020-09-01T00:00:00" u="1"/>
        <d v="2016-12-10T00:00:00" u="1"/>
        <d v="2019-12-07T00:00:00" u="1"/>
        <d v="2019-05-30T00:00:00" u="1"/>
        <d v="2019-11-15T00:00:00" u="1"/>
        <d v="2020-08-07T00:00:00" u="1"/>
        <d v="2018-10-29T00:00:00" u="1"/>
        <d v="2022-07-01T00:00:00" u="1"/>
        <d v="2019-12-04T00:00:00" u="1"/>
        <d v="2018-11-09T00:00:00" u="1"/>
        <d v="2021-07-05T00:00:00" u="1"/>
        <d v="2020-08-26T00:00:00" u="1"/>
        <d v="2021-10-21T00:00:00" u="1"/>
        <d v="2021-06-02T00:00:00" u="1"/>
        <d v="2015-06-12T00:00:00" u="1"/>
        <d v="2018-09-18T00:00:00" u="1"/>
        <d v="2024-12-28T00:00:00" u="1"/>
        <d v="2021-06-08T00:00:00" u="1"/>
        <d v="2022-09-26T00:00:00" u="1"/>
        <d v="2017-06-08T00:00:00" u="1"/>
        <d v="2020-11-05T00:00:00" u="1"/>
        <d v="2018-01-25T00:00:00" u="1"/>
        <d v="2023-04-28T00:00:00" u="1"/>
        <d v="2011-12-23T00:00:00" u="1"/>
        <d v="2019-12-05T00:00:00" u="1"/>
        <d v="2022-06-06T00:00:00" u="1"/>
        <d v="2021-09-14T00:00:00" u="1"/>
        <d v="2021-09-23T00:00:00" u="1"/>
        <d v="2022-08-31T00:00:00" u="1"/>
        <d v="2021-07-31T00:00:00" u="1"/>
        <d v="2020-07-07T00:00:00" u="1"/>
        <d v="2023-05-21T00:00:00" u="1"/>
        <d v="2022-08-03T00:00:00" u="1"/>
        <d v="2019-01-02T00:00:00" u="1"/>
        <d v="2023-08-15T00:00:00" u="1"/>
        <d v="2016-06-25T00:00:00" u="1"/>
        <d v="2021-11-20T00:00:00" u="1"/>
        <d v="2023-07-27T00:00:00" u="1"/>
        <d v="2019-06-11T00:00:00" u="1"/>
        <d v="2015-08-18T00:00:00" u="1"/>
        <d v="2020-01-28T00:00:00" u="1"/>
        <d v="2021-04-24T00:00:00" u="1"/>
        <d v="2017-09-26T00:00:00" u="1"/>
        <d v="2018-01-16T00:00:00" u="1"/>
        <d v="2022-08-10T00:00:00" u="1"/>
        <d v="2023-01-20T00:00:00" u="1"/>
        <d v="2020-03-13T00:00:00" u="1"/>
        <d v="2022-02-16T00:00:00" u="1"/>
        <d v="2019-04-16T00:00:00" u="1"/>
        <d v="2014-04-01T00:00:00" u="1"/>
        <d v="2007-03-01T00:00:00" u="1"/>
        <d v="2020-02-28T00:00:00" u="1"/>
        <d v="2020-10-27T00:00:00" u="1"/>
        <d v="2020-07-06T00:00:00" u="1"/>
        <d v="2021-11-22T00:00:00" u="1"/>
        <d v="2021-04-09T00:00:00" u="1"/>
        <d v="2021-10-15T00:00:00" u="1"/>
        <d v="2022-03-22T00:00:00" u="1"/>
        <d v="2022-12-27T00:00:00" u="1"/>
        <d v="2019-07-17T00:00:00" u="1"/>
        <d v="2021-08-11T00:00:00" u="1"/>
        <d v="2019-05-23T00:00:00" u="1"/>
        <d v="2021-05-15T00:00:00" u="1"/>
        <d v="2021-07-07T00:00:00" u="1"/>
        <d v="2022-10-28T00:00:00" u="1"/>
        <d v="2015-04-10T00:00:00" u="1"/>
        <d v="2020-03-05T00:00:00" u="1"/>
        <d v="2022-05-20T00:00:00" u="1"/>
        <d v="2020-01-13T00:00:00" u="1"/>
        <d v="2020-02-27T00:00:00" u="1"/>
        <d v="2022-05-18T00:00:00" u="1"/>
        <d v="2022-10-25T00:00:00" u="1"/>
        <d v="2020-10-26T00:00:00" u="1"/>
        <d v="2020-02-10T00:00:00" u="1"/>
        <d v="2021-06-09T00:00:00" u="1"/>
        <d v="2020-02-11T00:00:00" u="1"/>
        <d v="2020-10-09T00:00:00" u="1"/>
        <d v="2021-02-20T00:00:00" u="1"/>
        <d v="2020-02-17T00:00:00" u="1"/>
        <d v="2023-03-24T00:00:00" u="1"/>
        <d v="2021-02-12T00:00:00" u="1"/>
        <d v="2020-09-02T00:00:00" u="1"/>
        <d v="2021-10-25T00:00:00" u="1"/>
        <d v="2012-01-10T00:00:00" u="1"/>
        <d v="2017-03-06T00:00:00" u="1"/>
        <d v="2018-05-02T00:00:00" u="1"/>
        <d v="2016-02-15T00:00:00" u="1"/>
        <d v="2008-08-05T00:00:00" u="1"/>
        <d v="2014-03-11T00:00:00" u="1"/>
        <d v="2020-02-29T00:00:00" u="1"/>
        <d v="2021-10-19T00:00:00" u="1"/>
        <d v="2021-08-15T00:00:00" u="1"/>
        <d v="2023-04-22T00:00:00" u="1"/>
        <d v="2020-02-02T00:00:00" u="1"/>
        <d v="2019-12-02T00:00:00" u="1"/>
        <d v="2019-12-19T00:00:00" u="1"/>
        <d v="2021-04-20T00:00:00" u="1"/>
        <d v="2019-05-15T00:00:00" u="1"/>
        <d v="2021-06-15T00:00:00" u="1"/>
        <d v="2021-02-04T00:00:00" u="1"/>
        <d v="2023-01-24T00:00:00" u="1"/>
        <d v="2018-07-04T00:00:00" u="1"/>
        <d v="2022-10-21T00:00:00" u="1"/>
        <d v="2021-05-25T00:00:00" u="1"/>
        <d v="2022-09-20T00:00:00" u="1"/>
        <d v="2019-12-12T00:00:00" u="1"/>
        <d v="2021-03-08T00:00:00" u="1"/>
        <d v="2020-01-14T00:00:00" u="1"/>
        <d v="2023-04-06T00:00:00" u="1"/>
        <d v="2021-05-12T00:00:00" u="1"/>
        <d v="2020-07-20T00:00:00" u="1"/>
        <d v="2020-12-04T00:00:00" u="1"/>
        <d v="2020-07-23T00:00:00" u="1"/>
        <d v="2022-01-28T00:00:00" u="1"/>
        <d v="2020-05-27T00:00:00" u="1"/>
        <d v="2018-07-31T00:00:00" u="1"/>
        <d v="2022-05-16T00:00:00" u="1"/>
        <d v="2021-02-11T00:00:00" u="1"/>
        <d v="2020-10-06T00:00:00" u="1"/>
        <d v="2021-01-27T00:00:00" u="1"/>
        <d v="2022-07-09T00:00:00" u="1"/>
        <d v="2022-05-25T00:00:00" u="1"/>
        <d v="2022-04-29T00:00:00" u="1"/>
        <d v="2021-01-23T00:00:00" u="1"/>
        <d v="2021-01-19T00:00:00" u="1"/>
        <d v="2021-06-22T00:00:00" u="1"/>
        <d v="2022-08-28T00:00:00" u="1"/>
        <d v="2021-01-11T00:00:00" u="1"/>
        <d v="2021-03-22T00:00:00" u="1"/>
        <d v="2022-04-25T00:00:00" u="1"/>
        <d v="2022-04-12T00:00:00" u="1"/>
        <d v="2003-11-15T00:00:00" u="1"/>
        <d v="2015-01-19T00:00:00" u="1"/>
        <d v="2022-06-20T00:00:00" u="1"/>
        <d v="2021-02-15T00:00:00" u="1"/>
        <d v="2023-08-12T00:00:00" u="1"/>
        <d v="2020-12-01T00:00:00" u="1"/>
        <d v="2020-11-02T00:00:00" u="1"/>
        <d v="2021-01-28T00:00:00" u="1"/>
        <d v="2022-02-01T00:00:00" u="1"/>
        <d v="2023-02-24T00:00:00" u="1"/>
        <d v="1900-01-02T00:00:00" u="1"/>
        <d v="2020-06-18T00:00:00" u="1"/>
        <d v="2011-01-29T00:00:00" u="1"/>
        <d v="2016-09-08T00:00:00" u="1"/>
        <d v="2017-11-01T00:00:00" u="1"/>
        <d v="2023-03-18T00:00:00" u="1"/>
        <d v="2018-01-12T00:00:00" u="1"/>
        <d v="2021-12-06T00:00:00" u="1"/>
        <d v="2022-04-16T00:00:00" u="1"/>
        <d v="2018-03-27T00:00:00" u="1"/>
        <d v="2020-07-11T00:00:00" u="1"/>
        <d v="2022-08-04T00:00:00" u="1"/>
        <d v="2022-04-07T00:00:00" u="1"/>
        <d v="2018-09-14T00:00:00" u="1"/>
        <d v="2022-10-13T00:00:00" u="1"/>
        <d v="2022-01-13T00:00:00" u="1"/>
        <d v="2023-01-05T00:00:00" u="1"/>
        <d v="2022-08-23T00:00:00" u="1"/>
        <d v="2020-08-05T00:00:00" u="1"/>
        <d v="2023-05-01T00:00:00" u="1"/>
        <d v="2022-01-19T00:00:00" u="1"/>
        <d v="2023-09-10T00:00:00" u="1"/>
        <d v="2022-09-17T00:00:00" u="1"/>
        <d v="2023-05-30T00:00:00" u="1"/>
        <d v="2020-08-27T00:00:00" u="1"/>
        <d v="2022-03-29T00:00:00" u="1"/>
        <d v="2021-12-02T00:00:00" u="1"/>
        <d v="2020-12-28T00:00:00" u="1"/>
        <d v="2022-06-04T00:00:00" u="1"/>
        <d v="2022-04-24T00:00:00" u="1"/>
        <d v="2021-11-19T00:00:00" u="1"/>
        <d v="2020-02-12T00:00:00" u="1"/>
        <d v="2021-02-23T00:00:00" u="1"/>
        <d v="2019-02-19T00:00:00" u="1"/>
        <d v="2016-09-16T00:00:00" u="1"/>
        <d v="2023-01-28T00:00:00" u="1"/>
        <d v="2014-05-12T00:00:00" u="1"/>
        <d v="2022-10-24T00:00:00" u="1"/>
        <d v="2023-08-06T00:00:00" u="1"/>
        <d v="2022-05-31T00:00:00" u="1"/>
        <d v="2020-07-15T00:00:00" u="1"/>
        <d v="2020-09-09T00:00:00" u="1"/>
        <d v="2021-01-10T00:00:00" u="1"/>
        <d v="2021-01-02T00:00:00" u="1"/>
      </sharedItems>
    </cacheField>
    <cacheField name="ESTADO" numFmtId="0">
      <sharedItems containsString="0" containsBlank="1" containsNumber="1" containsInteger="1" minValue="0" maxValue="44274" count="14">
        <n v="1"/>
        <m/>
        <n v="2"/>
        <n v="3"/>
        <n v="4" u="1"/>
        <n v="0" u="1"/>
        <n v="44271" u="1"/>
        <n v="44238" u="1"/>
        <n v="44258" u="1"/>
        <n v="44247" u="1"/>
        <n v="44274" u="1"/>
        <n v="43893" u="1"/>
        <n v="44268" u="1"/>
        <n v="44255" u="1"/>
      </sharedItems>
    </cacheField>
    <cacheField name="TIPO DE CONTRATO LABORAL" numFmtId="0">
      <sharedItems containsString="0" containsBlank="1" containsNumber="1" containsInteger="1" minValue="1" maxValue="7"/>
    </cacheField>
    <cacheField name="HPT" numFmtId="0">
      <sharedItems containsBlank="1" containsMixedTypes="1" containsNumber="1" minValue="0" maxValue="360"/>
    </cacheField>
    <cacheField name="EPC/CJV" numFmtId="0">
      <sharedItems containsBlank="1" count="3">
        <s v="CJV"/>
        <s v="EPC"/>
        <m u="1"/>
      </sharedItems>
    </cacheField>
    <cacheField name="Tipo de Empresa" numFmtId="0">
      <sharedItems containsBlank="1" count="3">
        <s v="Secundaria"/>
        <s v="Principal"/>
        <m u="1"/>
      </sharedItems>
    </cacheField>
    <cacheField name="Contratistas" numFmtId="43">
      <sharedItems containsSemiMixedTypes="0" containsString="0" containsNumber="1" minValue="0" maxValue="0.16666666666666666"/>
    </cacheField>
    <cacheField name="Edad" numFmtId="1">
      <sharedItems containsMixedTypes="1" containsNumber="1" containsInteger="1" minValue="18" maxValue="75" count="60">
        <n v="19"/>
        <n v="20"/>
        <n v="22"/>
        <n v="23"/>
        <n v="21"/>
        <n v="18"/>
        <n v="27"/>
        <n v="25"/>
        <n v="28"/>
        <n v="29"/>
        <n v="26"/>
        <n v="31"/>
        <n v="30"/>
        <n v="24"/>
        <n v="36"/>
        <n v="33"/>
        <n v="35"/>
        <n v="38"/>
        <n v="37"/>
        <n v="32"/>
        <n v="34"/>
        <n v="39"/>
        <n v="40"/>
        <n v="42"/>
        <n v="41"/>
        <n v="49"/>
        <n v="43"/>
        <n v="45"/>
        <n v="44"/>
        <n v="48"/>
        <n v="47"/>
        <n v="46"/>
        <n v="55"/>
        <n v="52"/>
        <n v="57"/>
        <n v="51"/>
        <n v="53"/>
        <n v="56"/>
        <n v="58"/>
        <n v="50"/>
        <n v="54"/>
        <n v="59"/>
        <s v="Corregir"/>
        <n v="63"/>
        <n v="64"/>
        <n v="61"/>
        <n v="66"/>
        <n v="60"/>
        <n v="62"/>
        <n v="65"/>
        <n v="67"/>
        <n v="71"/>
        <n v="68"/>
        <n v="74"/>
        <n v="70"/>
        <e v="#VALUE!"/>
        <n v="72" u="1"/>
        <n v="75" u="1"/>
        <n v="69" u="1"/>
        <n v="73" u="1"/>
      </sharedItems>
    </cacheField>
    <cacheField name="Rango Edades" numFmtId="0">
      <sharedItems containsBlank="1" count="8">
        <s v="18 - 23"/>
        <s v="24 - 31"/>
        <s v="32 - 40"/>
        <s v="41 - 49"/>
        <s v="50 - 58"/>
        <s v="59 +"/>
        <e v="#VALUE!"/>
        <m u="1"/>
      </sharedItems>
    </cacheField>
    <cacheField name="Validar Edad" numFmtId="43">
      <sharedItems/>
    </cacheField>
    <cacheField name="Zona de Influencia" numFmtId="43">
      <sharedItems containsBlank="1" count="9">
        <s v="No"/>
        <s v="ATE"/>
        <s v="CALLAO"/>
        <s v="BREÑA"/>
        <s v="LA VICTORIA"/>
        <s v="SANTA ANITA"/>
        <s v="SAN LUIS "/>
        <s v="EL AGUSTINO"/>
        <m u="1"/>
      </sharedItems>
    </cacheField>
    <cacheField name="Validar Genero" numFmtId="43">
      <sharedItems/>
    </cacheField>
    <cacheField name="ValidarDNI" numFmtId="43">
      <sharedItems containsBlank="1" count="3">
        <s v="OK"/>
        <s v="Corregir"/>
        <m u="1"/>
      </sharedItems>
    </cacheField>
    <cacheField name="Trabajador" numFmtId="43">
      <sharedItems containsSemiMixedTypes="0" containsString="0" containsNumber="1" containsInteger="1" minValue="0" maxValue="3" count="4">
        <n v="1"/>
        <n v="2"/>
        <n v="3"/>
        <n v="0"/>
      </sharedItems>
    </cacheField>
    <cacheField name="Trabajadores Unicos" numFmtId="43">
      <sharedItems containsSemiMixedTypes="0" containsString="0" containsNumber="1" minValue="0" maxValue="1"/>
    </cacheField>
    <cacheField name="Trabajdores Unicos Zona Influencia" numFmtId="43">
      <sharedItems containsSemiMixedTypes="0" containsString="0" containsNumber="1" minValue="0" maxValue="2"/>
    </cacheField>
    <cacheField name="Altas Zona de Influencia" numFmtId="43">
      <sharedItems containsSemiMixedTypes="0" containsString="0" containsNumber="1" containsInteger="1" minValue="0" maxValue="1"/>
    </cacheField>
    <cacheField name="Bajas Zona Influencia" numFmtId="43">
      <sharedItems containsSemiMixedTypes="0" containsString="0" containsNumber="1" containsInteger="1" minValue="0" maxValue="1"/>
    </cacheField>
    <cacheField name="BajasAntiguas" numFmtId="43">
      <sharedItems containsBlank="1" count="3">
        <s v="No"/>
        <s v="Si"/>
        <m u="1"/>
      </sharedItems>
    </cacheField>
    <cacheField name="Bajas2" numFmtId="0">
      <sharedItems containsBlank="1" count="15">
        <s v="No Aplica"/>
        <s v="9-2024"/>
        <s v="Borrar"/>
        <s v="8-2024" u="1"/>
        <s v="7-2024" u="1"/>
        <s v="6-2024" u="1"/>
        <s v="5-2024" u="1"/>
        <s v="4-2024" u="1"/>
        <s v="3-2024" u="1"/>
        <s v="2-2024" u="1"/>
        <s v="1-2024" u="1"/>
        <s v="12-2023" u="1"/>
        <m u="1"/>
        <s v="12-2024" u="1"/>
        <s v="11-2023" u="1"/>
      </sharedItems>
    </cacheField>
    <cacheField name="Altas" numFmtId="0">
      <sharedItems containsBlank="1" count="15">
        <s v="No Aplica"/>
        <s v="9-2024"/>
        <s v="8-2024" u="1"/>
        <s v="7-2024" u="1"/>
        <s v="6-2024" u="1"/>
        <s v="5-2024" u="1"/>
        <s v="4-2024" u="1"/>
        <s v="3-2024" u="1"/>
        <s v="2-2024" u="1"/>
        <s v="1-2024" u="1"/>
        <s v="12-2023" u="1"/>
        <m u="1"/>
        <s v="12-2024" u="1"/>
        <s v="11-2023" u="1"/>
        <s v="10-2023" u="1"/>
      </sharedItems>
    </cacheField>
    <cacheField name="Trabajadores" numFmtId="0" formula="ROUND('Trabajadores Unicos',0)" databaseFiel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70">
  <r>
    <n v="20601917590"/>
    <x v="0"/>
    <x v="0"/>
    <x v="0"/>
    <x v="0"/>
    <x v="0"/>
    <n v="1"/>
    <x v="0"/>
    <s v="E2"/>
    <s v="Jr. Lima 123, Urb. San Felipe Sect. A Mz. M Lt. 14 Comas "/>
    <x v="0"/>
    <x v="0"/>
    <x v="0"/>
    <x v="0"/>
    <x v="0"/>
    <x v="0"/>
    <n v="1"/>
    <n v="24"/>
    <x v="0"/>
    <x v="0"/>
    <n v="1.6666666666666666E-2"/>
    <x v="0"/>
    <x v="0"/>
    <s v="OK"/>
    <x v="0"/>
    <s v="OK"/>
    <x v="0"/>
    <x v="0"/>
    <n v="1"/>
    <n v="0"/>
    <n v="0"/>
    <n v="0"/>
    <x v="0"/>
    <x v="0"/>
    <x v="0"/>
  </r>
  <r>
    <n v="20601917590"/>
    <x v="0"/>
    <x v="0"/>
    <x v="1"/>
    <x v="1"/>
    <x v="1"/>
    <n v="1"/>
    <x v="0"/>
    <s v="E3"/>
    <s v="Asociación Industrial los Artesanos Mz. E Lt. 19 - Ate"/>
    <x v="1"/>
    <x v="0"/>
    <x v="0"/>
    <x v="0"/>
    <x v="1"/>
    <x v="0"/>
    <n v="1"/>
    <n v="184"/>
    <x v="0"/>
    <x v="0"/>
    <n v="1.6666666666666666E-2"/>
    <x v="1"/>
    <x v="0"/>
    <s v="OK"/>
    <x v="1"/>
    <s v="OK"/>
    <x v="0"/>
    <x v="0"/>
    <n v="1"/>
    <n v="1"/>
    <n v="0"/>
    <n v="0"/>
    <x v="0"/>
    <x v="0"/>
    <x v="0"/>
  </r>
  <r>
    <n v="20601917590"/>
    <x v="0"/>
    <x v="0"/>
    <x v="2"/>
    <x v="2"/>
    <x v="2"/>
    <n v="1"/>
    <x v="1"/>
    <s v="E1"/>
    <s v="Mz. 23 Lt. 01 Grupo C4, Sector. C, Piloto Pachacutec Ventanilla"/>
    <x v="2"/>
    <x v="0"/>
    <x v="0"/>
    <x v="0"/>
    <x v="2"/>
    <x v="0"/>
    <n v="1"/>
    <n v="192"/>
    <x v="0"/>
    <x v="0"/>
    <n v="1.6666666666666666E-2"/>
    <x v="2"/>
    <x v="0"/>
    <s v="OK"/>
    <x v="2"/>
    <s v="OK"/>
    <x v="0"/>
    <x v="0"/>
    <n v="1"/>
    <n v="1"/>
    <n v="0"/>
    <n v="0"/>
    <x v="0"/>
    <x v="0"/>
    <x v="0"/>
  </r>
  <r>
    <n v="20601917590"/>
    <x v="0"/>
    <x v="0"/>
    <x v="3"/>
    <x v="3"/>
    <x v="3"/>
    <n v="1"/>
    <x v="0"/>
    <s v="E1"/>
    <s v="Mz.A Lt.17 Urb. Virgen del Rosario, San Martin de Porres"/>
    <x v="3"/>
    <x v="0"/>
    <x v="0"/>
    <x v="0"/>
    <x v="3"/>
    <x v="0"/>
    <n v="1"/>
    <n v="200"/>
    <x v="0"/>
    <x v="0"/>
    <n v="1.6666666666666666E-2"/>
    <x v="2"/>
    <x v="0"/>
    <s v="OK"/>
    <x v="0"/>
    <s v="OK"/>
    <x v="0"/>
    <x v="0"/>
    <n v="1"/>
    <n v="0"/>
    <n v="0"/>
    <n v="0"/>
    <x v="0"/>
    <x v="0"/>
    <x v="0"/>
  </r>
  <r>
    <n v="20601917590"/>
    <x v="0"/>
    <x v="0"/>
    <x v="4"/>
    <x v="4"/>
    <x v="4"/>
    <m/>
    <x v="0"/>
    <s v="E3"/>
    <s v="Mz. B, Lt. 14 Asociación viv Los Huertos de Chillon, Puente Piedra"/>
    <x v="4"/>
    <x v="0"/>
    <x v="0"/>
    <x v="0"/>
    <x v="4"/>
    <x v="1"/>
    <m/>
    <n v="192"/>
    <x v="0"/>
    <x v="0"/>
    <n v="1.6666666666666666E-2"/>
    <x v="3"/>
    <x v="0"/>
    <s v="OK"/>
    <x v="0"/>
    <s v="OK"/>
    <x v="0"/>
    <x v="0"/>
    <n v="1"/>
    <n v="0"/>
    <n v="1"/>
    <n v="0"/>
    <x v="0"/>
    <x v="0"/>
    <x v="1"/>
  </r>
  <r>
    <n v="20601917590"/>
    <x v="0"/>
    <x v="0"/>
    <x v="5"/>
    <x v="5"/>
    <x v="5"/>
    <n v="1"/>
    <x v="0"/>
    <s v="E2"/>
    <s v="Av. 9 de Diciembre 407"/>
    <x v="5"/>
    <x v="0"/>
    <x v="0"/>
    <x v="0"/>
    <x v="5"/>
    <x v="0"/>
    <n v="1"/>
    <n v="200"/>
    <x v="0"/>
    <x v="0"/>
    <n v="1.6666666666666666E-2"/>
    <x v="2"/>
    <x v="0"/>
    <s v="OK"/>
    <x v="3"/>
    <s v="OK"/>
    <x v="0"/>
    <x v="0"/>
    <n v="1"/>
    <n v="1"/>
    <n v="0"/>
    <n v="0"/>
    <x v="0"/>
    <x v="0"/>
    <x v="0"/>
  </r>
  <r>
    <n v="20601917590"/>
    <x v="0"/>
    <x v="0"/>
    <x v="6"/>
    <x v="6"/>
    <x v="6"/>
    <n v="2"/>
    <x v="2"/>
    <s v="E3"/>
    <s v="CALLE C MZ A LT 27 SECTOR IV CIUDAD CHALACO"/>
    <x v="6"/>
    <x v="0"/>
    <x v="0"/>
    <x v="0"/>
    <x v="2"/>
    <x v="0"/>
    <n v="4"/>
    <m/>
    <x v="0"/>
    <x v="0"/>
    <n v="1.6666666666666666E-2"/>
    <x v="3"/>
    <x v="0"/>
    <s v="OK"/>
    <x v="2"/>
    <s v="OK"/>
    <x v="0"/>
    <x v="0"/>
    <n v="1"/>
    <n v="1"/>
    <n v="0"/>
    <n v="0"/>
    <x v="0"/>
    <x v="0"/>
    <x v="0"/>
  </r>
  <r>
    <n v="20600111354"/>
    <x v="1"/>
    <x v="1"/>
    <x v="7"/>
    <x v="7"/>
    <x v="7"/>
    <n v="2"/>
    <x v="3"/>
    <s v="PLANTA DOVELAS"/>
    <s v="ASENT H. BOCANEGRA MZ A37 LT 1"/>
    <x v="6"/>
    <x v="0"/>
    <x v="0"/>
    <x v="1"/>
    <x v="6"/>
    <x v="0"/>
    <n v="4"/>
    <n v="168"/>
    <x v="0"/>
    <x v="1"/>
    <n v="7.462686567164179E-3"/>
    <x v="2"/>
    <x v="0"/>
    <s v="OK"/>
    <x v="2"/>
    <s v="OK"/>
    <x v="0"/>
    <x v="0"/>
    <n v="1"/>
    <n v="1"/>
    <n v="0"/>
    <n v="0"/>
    <x v="0"/>
    <x v="0"/>
    <x v="0"/>
  </r>
  <r>
    <n v="20600111354"/>
    <x v="1"/>
    <x v="1"/>
    <x v="8"/>
    <x v="8"/>
    <x v="8"/>
    <n v="2"/>
    <x v="4"/>
    <s v="ESTACION 13 / ESTACION 03 RAMAL 4"/>
    <s v="CASERIO CAJAS SHAPAYA "/>
    <x v="7"/>
    <x v="0"/>
    <x v="0"/>
    <x v="1"/>
    <x v="7"/>
    <x v="0"/>
    <n v="4"/>
    <n v="169"/>
    <x v="0"/>
    <x v="1"/>
    <n v="7.462686567164179E-3"/>
    <x v="4"/>
    <x v="0"/>
    <s v="OK"/>
    <x v="0"/>
    <s v="OK"/>
    <x v="0"/>
    <x v="0"/>
    <n v="1"/>
    <n v="0"/>
    <n v="0"/>
    <n v="0"/>
    <x v="0"/>
    <x v="0"/>
    <x v="0"/>
  </r>
  <r>
    <n v="20600111354"/>
    <x v="1"/>
    <x v="1"/>
    <x v="9"/>
    <x v="9"/>
    <x v="9"/>
    <n v="2"/>
    <x v="5"/>
    <s v="ESTACION 13 / ESTACION 03 RAMAL 4"/>
    <s v="AV PRIMAVERA 2120 SAN GABRIEL VALLECITO ALTO MZ A11 LT 13"/>
    <x v="8"/>
    <x v="0"/>
    <x v="0"/>
    <x v="1"/>
    <x v="8"/>
    <x v="0"/>
    <n v="4"/>
    <n v="174"/>
    <x v="0"/>
    <x v="1"/>
    <n v="7.462686567164179E-3"/>
    <x v="1"/>
    <x v="0"/>
    <s v="OK"/>
    <x v="0"/>
    <s v="OK"/>
    <x v="0"/>
    <x v="0"/>
    <n v="1"/>
    <n v="0"/>
    <n v="0"/>
    <n v="0"/>
    <x v="0"/>
    <x v="0"/>
    <x v="0"/>
  </r>
  <r>
    <n v="20600111354"/>
    <x v="1"/>
    <x v="1"/>
    <x v="10"/>
    <x v="10"/>
    <x v="10"/>
    <n v="2"/>
    <x v="2"/>
    <s v="ESTACION 03 RAMAL 4"/>
    <s v="CALLE MADRE DE DIOS PUEBLO JOVEN JOSE OLAYA MZ C LT 14 "/>
    <x v="6"/>
    <x v="0"/>
    <x v="0"/>
    <x v="1"/>
    <x v="9"/>
    <x v="0"/>
    <n v="4"/>
    <n v="56.5"/>
    <x v="0"/>
    <x v="1"/>
    <n v="7.462686567164179E-3"/>
    <x v="4"/>
    <x v="0"/>
    <s v="OK"/>
    <x v="2"/>
    <s v="OK"/>
    <x v="0"/>
    <x v="0"/>
    <n v="1"/>
    <n v="1"/>
    <n v="1"/>
    <n v="0"/>
    <x v="0"/>
    <x v="0"/>
    <x v="1"/>
  </r>
  <r>
    <n v="20296637697"/>
    <x v="2"/>
    <x v="2"/>
    <x v="11"/>
    <x v="11"/>
    <x v="11"/>
    <n v="1"/>
    <x v="6"/>
    <s v="E-4"/>
    <s v="JR. JUNIN 288 URB. RAMON CASTILLA"/>
    <x v="6"/>
    <x v="1"/>
    <x v="0"/>
    <x v="1"/>
    <x v="10"/>
    <x v="0"/>
    <n v="1"/>
    <n v="192"/>
    <x v="0"/>
    <x v="1"/>
    <n v="2.5641025641025641E-3"/>
    <x v="4"/>
    <x v="0"/>
    <s v="OK"/>
    <x v="2"/>
    <s v="OK"/>
    <x v="0"/>
    <x v="0"/>
    <n v="1"/>
    <n v="1"/>
    <n v="0"/>
    <n v="0"/>
    <x v="0"/>
    <x v="0"/>
    <x v="0"/>
  </r>
  <r>
    <n v="20296637697"/>
    <x v="2"/>
    <x v="2"/>
    <x v="12"/>
    <x v="12"/>
    <x v="12"/>
    <n v="1"/>
    <x v="7"/>
    <s v="E-4"/>
    <s v="JR. LIMA N° 1394"/>
    <x v="9"/>
    <x v="0"/>
    <x v="0"/>
    <x v="1"/>
    <x v="11"/>
    <x v="0"/>
    <n v="1"/>
    <n v="192"/>
    <x v="0"/>
    <x v="1"/>
    <n v="2.5641025641025641E-3"/>
    <x v="3"/>
    <x v="0"/>
    <s v="OK"/>
    <x v="0"/>
    <s v="OK"/>
    <x v="0"/>
    <x v="0"/>
    <n v="1"/>
    <n v="0"/>
    <n v="0"/>
    <n v="0"/>
    <x v="0"/>
    <x v="0"/>
    <x v="0"/>
  </r>
  <r>
    <n v="20296637697"/>
    <x v="2"/>
    <x v="2"/>
    <x v="13"/>
    <x v="13"/>
    <x v="13"/>
    <n v="2"/>
    <x v="2"/>
    <s v="E-4"/>
    <s v="MARQUEZ MZ 28 LT 15"/>
    <x v="10"/>
    <x v="0"/>
    <x v="0"/>
    <x v="1"/>
    <x v="12"/>
    <x v="0"/>
    <n v="4"/>
    <n v="185"/>
    <x v="0"/>
    <x v="1"/>
    <n v="2.5641025641025641E-3"/>
    <x v="1"/>
    <x v="0"/>
    <s v="OK"/>
    <x v="0"/>
    <s v="OK"/>
    <x v="0"/>
    <x v="0"/>
    <n v="1"/>
    <n v="0"/>
    <n v="0"/>
    <n v="0"/>
    <x v="0"/>
    <x v="0"/>
    <x v="0"/>
  </r>
  <r>
    <n v="20296637697"/>
    <x v="2"/>
    <x v="2"/>
    <x v="14"/>
    <x v="14"/>
    <x v="14"/>
    <n v="2"/>
    <x v="8"/>
    <s v="E-4"/>
    <s v="ASOC. PRO VIVIENDA SAN PEDRO MZ. A LT. 18"/>
    <x v="11"/>
    <x v="0"/>
    <x v="0"/>
    <x v="1"/>
    <x v="13"/>
    <x v="0"/>
    <n v="4"/>
    <n v="174"/>
    <x v="0"/>
    <x v="1"/>
    <n v="2.5641025641025641E-3"/>
    <x v="2"/>
    <x v="0"/>
    <s v="OK"/>
    <x v="0"/>
    <s v="OK"/>
    <x v="0"/>
    <x v="0"/>
    <n v="1"/>
    <n v="0"/>
    <n v="0"/>
    <n v="0"/>
    <x v="0"/>
    <x v="0"/>
    <x v="0"/>
  </r>
  <r>
    <n v="20296637697"/>
    <x v="2"/>
    <x v="2"/>
    <x v="15"/>
    <x v="15"/>
    <x v="15"/>
    <n v="2"/>
    <x v="5"/>
    <s v="E-4"/>
    <s v="CAS EL SAUCE"/>
    <x v="12"/>
    <x v="0"/>
    <x v="1"/>
    <x v="1"/>
    <x v="14"/>
    <x v="2"/>
    <n v="4"/>
    <n v="107"/>
    <x v="0"/>
    <x v="1"/>
    <n v="2.5641025641025641E-3"/>
    <x v="3"/>
    <x v="0"/>
    <s v="OK"/>
    <x v="0"/>
    <s v="OK"/>
    <x v="0"/>
    <x v="0"/>
    <n v="1"/>
    <n v="0"/>
    <n v="0"/>
    <n v="1"/>
    <x v="0"/>
    <x v="1"/>
    <x v="0"/>
  </r>
  <r>
    <n v="20296637697"/>
    <x v="2"/>
    <x v="2"/>
    <x v="16"/>
    <x v="16"/>
    <x v="16"/>
    <n v="2"/>
    <x v="3"/>
    <s v="E-4"/>
    <s v="JR. ANDRÉS MEDINA 440 AÑO NUEVO"/>
    <x v="0"/>
    <x v="0"/>
    <x v="0"/>
    <x v="1"/>
    <x v="15"/>
    <x v="0"/>
    <n v="4"/>
    <n v="183"/>
    <x v="0"/>
    <x v="1"/>
    <n v="2.5641025641025641E-3"/>
    <x v="1"/>
    <x v="0"/>
    <s v="OK"/>
    <x v="0"/>
    <s v="OK"/>
    <x v="0"/>
    <x v="0"/>
    <n v="1"/>
    <n v="0"/>
    <n v="0"/>
    <n v="0"/>
    <x v="0"/>
    <x v="0"/>
    <x v="0"/>
  </r>
  <r>
    <n v="20296637697"/>
    <x v="2"/>
    <x v="2"/>
    <x v="17"/>
    <x v="17"/>
    <x v="17"/>
    <n v="2"/>
    <x v="2"/>
    <s v="PV08-PV10"/>
    <s v="CALLE HERRERA 140 INT. 07"/>
    <x v="13"/>
    <x v="0"/>
    <x v="0"/>
    <x v="1"/>
    <x v="9"/>
    <x v="0"/>
    <n v="4"/>
    <n v="60"/>
    <x v="0"/>
    <x v="1"/>
    <n v="2.5641025641025641E-3"/>
    <x v="1"/>
    <x v="0"/>
    <s v="OK"/>
    <x v="0"/>
    <s v="OK"/>
    <x v="0"/>
    <x v="0"/>
    <n v="1"/>
    <n v="0"/>
    <n v="1"/>
    <n v="0"/>
    <x v="0"/>
    <x v="0"/>
    <x v="1"/>
  </r>
  <r>
    <n v="20296637697"/>
    <x v="2"/>
    <x v="2"/>
    <x v="18"/>
    <x v="18"/>
    <x v="18"/>
    <n v="1"/>
    <x v="9"/>
    <s v="PV01BIS - PV01 - PV02 Y PV03"/>
    <s v="CALLE RICARDO PALMA 595 4TO PISO URB LOS PRECURSORES "/>
    <x v="14"/>
    <x v="0"/>
    <x v="0"/>
    <x v="2"/>
    <x v="16"/>
    <x v="0"/>
    <n v="1"/>
    <n v="200"/>
    <x v="0"/>
    <x v="1"/>
    <n v="2.5641025641025641E-3"/>
    <x v="3"/>
    <x v="0"/>
    <s v="OK"/>
    <x v="0"/>
    <s v="OK"/>
    <x v="0"/>
    <x v="0"/>
    <n v="1"/>
    <n v="0"/>
    <n v="0"/>
    <n v="0"/>
    <x v="0"/>
    <x v="0"/>
    <x v="0"/>
  </r>
  <r>
    <n v="20296637697"/>
    <x v="2"/>
    <x v="2"/>
    <x v="19"/>
    <x v="19"/>
    <x v="19"/>
    <n v="2"/>
    <x v="10"/>
    <s v="PV01BIS - PV01 - PV02 Y PV03"/>
    <s v="MZ.E LT.26 URB. LOS CONSTRUCTORES"/>
    <x v="15"/>
    <x v="0"/>
    <x v="0"/>
    <x v="2"/>
    <x v="17"/>
    <x v="0"/>
    <n v="4"/>
    <n v="164"/>
    <x v="0"/>
    <x v="1"/>
    <n v="2.5641025641025641E-3"/>
    <x v="1"/>
    <x v="0"/>
    <s v="OK"/>
    <x v="0"/>
    <s v="OK"/>
    <x v="0"/>
    <x v="0"/>
    <n v="1"/>
    <n v="0"/>
    <n v="0"/>
    <n v="0"/>
    <x v="0"/>
    <x v="0"/>
    <x v="0"/>
  </r>
  <r>
    <n v="20296637697"/>
    <x v="2"/>
    <x v="2"/>
    <x v="20"/>
    <x v="20"/>
    <x v="20"/>
    <n v="2"/>
    <x v="11"/>
    <s v="PV01BIS - PV01 - PV02 Y PV03"/>
    <s v="CALLE 54 PARCELA B SECTOR LOS CEDROS AAHH PERUANOS UNIDOS MZ A LT 07"/>
    <x v="15"/>
    <x v="0"/>
    <x v="0"/>
    <x v="2"/>
    <x v="18"/>
    <x v="0"/>
    <n v="4"/>
    <n v="200"/>
    <x v="0"/>
    <x v="1"/>
    <n v="2.5641025641025641E-3"/>
    <x v="4"/>
    <x v="0"/>
    <s v="OK"/>
    <x v="0"/>
    <s v="OK"/>
    <x v="0"/>
    <x v="0"/>
    <n v="1"/>
    <n v="0"/>
    <n v="0"/>
    <n v="0"/>
    <x v="0"/>
    <x v="0"/>
    <x v="0"/>
  </r>
  <r>
    <n v="20296637697"/>
    <x v="2"/>
    <x v="2"/>
    <x v="21"/>
    <x v="21"/>
    <x v="21"/>
    <n v="2"/>
    <x v="12"/>
    <s v="ESTACION 05 CCM2L"/>
    <s v="CASERIO RANRAHUCRO RECUAY ANCASH"/>
    <x v="16"/>
    <x v="0"/>
    <x v="0"/>
    <x v="1"/>
    <x v="19"/>
    <x v="0"/>
    <n v="4"/>
    <n v="222.5"/>
    <x v="0"/>
    <x v="1"/>
    <n v="2.5641025641025641E-3"/>
    <x v="3"/>
    <x v="0"/>
    <s v="OK"/>
    <x v="0"/>
    <s v="OK"/>
    <x v="0"/>
    <x v="0"/>
    <n v="1"/>
    <n v="0"/>
    <n v="0"/>
    <n v="0"/>
    <x v="0"/>
    <x v="0"/>
    <x v="0"/>
  </r>
  <r>
    <n v="20296637697"/>
    <x v="2"/>
    <x v="2"/>
    <x v="22"/>
    <x v="22"/>
    <x v="22"/>
    <n v="2"/>
    <x v="2"/>
    <s v="ESTACION 05 CCM2L"/>
    <s v="JR. LOS GAVILANES # 158 URB EL AGUILA BELLAVISTA CALLAO"/>
    <x v="17"/>
    <x v="0"/>
    <x v="0"/>
    <x v="1"/>
    <x v="20"/>
    <x v="0"/>
    <n v="4"/>
    <n v="193"/>
    <x v="0"/>
    <x v="1"/>
    <n v="2.5641025641025641E-3"/>
    <x v="3"/>
    <x v="0"/>
    <s v="OK"/>
    <x v="2"/>
    <s v="OK"/>
    <x v="0"/>
    <x v="0"/>
    <n v="1"/>
    <n v="1"/>
    <n v="0"/>
    <n v="0"/>
    <x v="0"/>
    <x v="0"/>
    <x v="0"/>
  </r>
  <r>
    <n v="20296637697"/>
    <x v="2"/>
    <x v="2"/>
    <x v="23"/>
    <x v="23"/>
    <x v="23"/>
    <n v="2"/>
    <x v="2"/>
    <s v="ESTACION 05 CCM2L"/>
    <s v="MZ C LT 29 URB. PEDRO RUIZ GALLO CALLAO CALLAO"/>
    <x v="6"/>
    <x v="0"/>
    <x v="0"/>
    <x v="1"/>
    <x v="21"/>
    <x v="0"/>
    <n v="4"/>
    <n v="166.5"/>
    <x v="0"/>
    <x v="1"/>
    <n v="2.5641025641025641E-3"/>
    <x v="3"/>
    <x v="0"/>
    <s v="OK"/>
    <x v="2"/>
    <s v="OK"/>
    <x v="0"/>
    <x v="0"/>
    <n v="1"/>
    <n v="1"/>
    <n v="0"/>
    <n v="0"/>
    <x v="0"/>
    <x v="0"/>
    <x v="0"/>
  </r>
  <r>
    <n v="20296637697"/>
    <x v="2"/>
    <x v="2"/>
    <x v="24"/>
    <x v="24"/>
    <x v="24"/>
    <n v="2"/>
    <x v="2"/>
    <s v="ESTACION 05 CCM2L"/>
    <s v="CALLE MANUEL CERNA 2DO SECTOR ASENT. H SARITA COLONIA MZ N LT 08 CALLAO CALLAO"/>
    <x v="6"/>
    <x v="0"/>
    <x v="0"/>
    <x v="1"/>
    <x v="22"/>
    <x v="0"/>
    <n v="4"/>
    <n v="167.5"/>
    <x v="0"/>
    <x v="1"/>
    <n v="2.5641025641025641E-3"/>
    <x v="0"/>
    <x v="0"/>
    <s v="OK"/>
    <x v="2"/>
    <s v="OK"/>
    <x v="0"/>
    <x v="0"/>
    <n v="1"/>
    <n v="1"/>
    <n v="0"/>
    <n v="0"/>
    <x v="0"/>
    <x v="0"/>
    <x v="0"/>
  </r>
  <r>
    <n v="20604796424"/>
    <x v="3"/>
    <x v="3"/>
    <x v="25"/>
    <x v="25"/>
    <x v="25"/>
    <n v="3"/>
    <x v="13"/>
    <s v="PTBN"/>
    <s v="Asoc. Las Colinas 4ta Etapa  Mz A2  Lt.13 "/>
    <x v="3"/>
    <x v="0"/>
    <x v="0"/>
    <x v="2"/>
    <x v="23"/>
    <x v="0"/>
    <n v="1"/>
    <n v="80"/>
    <x v="0"/>
    <x v="0"/>
    <n v="9.0909090909090912E-2"/>
    <x v="2"/>
    <x v="0"/>
    <s v="OK"/>
    <x v="0"/>
    <s v="OK"/>
    <x v="0"/>
    <x v="0"/>
    <n v="1"/>
    <n v="0"/>
    <n v="0"/>
    <n v="0"/>
    <x v="0"/>
    <x v="0"/>
    <x v="0"/>
  </r>
  <r>
    <n v="20601010128"/>
    <x v="4"/>
    <x v="4"/>
    <x v="26"/>
    <x v="26"/>
    <x v="26"/>
    <n v="1"/>
    <x v="14"/>
    <s v="ESTACION 17 Y 18"/>
    <s v="PSJ. 2 FUNDO PLATANAL DE LA MERCED MZ. E LT. 11"/>
    <x v="1"/>
    <x v="1"/>
    <x v="0"/>
    <x v="1"/>
    <x v="24"/>
    <x v="0"/>
    <n v="2"/>
    <n v="176"/>
    <x v="0"/>
    <x v="1"/>
    <n v="2.8571428571428571E-2"/>
    <x v="3"/>
    <x v="0"/>
    <s v="OK"/>
    <x v="1"/>
    <s v="OK"/>
    <x v="0"/>
    <x v="0"/>
    <n v="1"/>
    <n v="1"/>
    <n v="0"/>
    <n v="0"/>
    <x v="0"/>
    <x v="0"/>
    <x v="0"/>
  </r>
  <r>
    <n v="20601010128"/>
    <x v="4"/>
    <x v="4"/>
    <x v="27"/>
    <x v="27"/>
    <x v="27"/>
    <n v="2"/>
    <x v="15"/>
    <s v="ESTACION 16"/>
    <s v="ASENT. H. ARBOLEDA MZ. J. LT.28"/>
    <x v="18"/>
    <x v="0"/>
    <x v="0"/>
    <x v="1"/>
    <x v="25"/>
    <x v="0"/>
    <n v="4"/>
    <s v="201"/>
    <x v="0"/>
    <x v="1"/>
    <n v="2.8571428571428571E-2"/>
    <x v="0"/>
    <x v="0"/>
    <s v="OK"/>
    <x v="0"/>
    <s v="OK"/>
    <x v="0"/>
    <x v="0"/>
    <n v="1"/>
    <n v="0"/>
    <n v="0"/>
    <n v="0"/>
    <x v="0"/>
    <x v="0"/>
    <x v="0"/>
  </r>
  <r>
    <n v="20609301288"/>
    <x v="5"/>
    <x v="5"/>
    <x v="28"/>
    <x v="28"/>
    <x v="28"/>
    <n v="2"/>
    <x v="2"/>
    <s v="POZO VENTILACIÓN 16"/>
    <s v="JR. AYACUCHO MZ . R LT. 18 "/>
    <x v="6"/>
    <x v="0"/>
    <x v="0"/>
    <x v="2"/>
    <x v="5"/>
    <x v="0"/>
    <n v="4"/>
    <n v="46"/>
    <x v="0"/>
    <x v="1"/>
    <n v="9.0909090909090912E-2"/>
    <x v="1"/>
    <x v="0"/>
    <s v="OK"/>
    <x v="2"/>
    <s v="OK"/>
    <x v="0"/>
    <x v="0"/>
    <n v="1"/>
    <n v="1"/>
    <n v="0"/>
    <n v="0"/>
    <x v="0"/>
    <x v="0"/>
    <x v="0"/>
  </r>
  <r>
    <s v="20600535634"/>
    <x v="6"/>
    <x v="6"/>
    <x v="29"/>
    <x v="29"/>
    <x v="29"/>
    <n v="2"/>
    <x v="10"/>
    <s v="ESTACION E018"/>
    <s v="MZ X LTE 41 BARRIO 4TA ETAPA URB PACHAMAC"/>
    <x v="19"/>
    <x v="0"/>
    <x v="0"/>
    <x v="2"/>
    <x v="26"/>
    <x v="0"/>
    <n v="4"/>
    <n v="176"/>
    <x v="0"/>
    <x v="1"/>
    <n v="2.4390243902439025E-2"/>
    <x v="1"/>
    <x v="0"/>
    <s v="OK"/>
    <x v="0"/>
    <s v="OK"/>
    <x v="0"/>
    <x v="0"/>
    <n v="1"/>
    <n v="0"/>
    <n v="0"/>
    <n v="0"/>
    <x v="0"/>
    <x v="0"/>
    <x v="0"/>
  </r>
  <r>
    <s v="20600535634"/>
    <x v="6"/>
    <x v="6"/>
    <x v="30"/>
    <x v="30"/>
    <x v="30"/>
    <n v="2"/>
    <x v="10"/>
    <s v="ESTACION E016"/>
    <s v="JR. 28 DE JULIO 002 PP.JJ CAMPO POLO PIURA-PIURA-CASTILLA "/>
    <x v="20"/>
    <x v="0"/>
    <x v="0"/>
    <x v="2"/>
    <x v="27"/>
    <x v="0"/>
    <n v="4"/>
    <n v="152"/>
    <x v="0"/>
    <x v="1"/>
    <n v="2.4390243902439025E-2"/>
    <x v="2"/>
    <x v="0"/>
    <s v="OK"/>
    <x v="0"/>
    <s v="OK"/>
    <x v="0"/>
    <x v="0"/>
    <n v="1"/>
    <n v="0"/>
    <n v="0"/>
    <n v="0"/>
    <x v="0"/>
    <x v="0"/>
    <x v="0"/>
  </r>
  <r>
    <s v="20600535634"/>
    <x v="6"/>
    <x v="6"/>
    <x v="31"/>
    <x v="31"/>
    <x v="31"/>
    <n v="2"/>
    <x v="10"/>
    <s v="POZO BIDDLE"/>
    <s v="JR. HUASCAR 567 DPTO. 05"/>
    <x v="6"/>
    <x v="0"/>
    <x v="0"/>
    <x v="2"/>
    <x v="28"/>
    <x v="0"/>
    <n v="4"/>
    <n v="112"/>
    <x v="0"/>
    <x v="1"/>
    <n v="2.4390243902439025E-2"/>
    <x v="1"/>
    <x v="0"/>
    <s v="OK"/>
    <x v="2"/>
    <s v="OK"/>
    <x v="0"/>
    <x v="0"/>
    <n v="1"/>
    <n v="1"/>
    <n v="1"/>
    <n v="0"/>
    <x v="0"/>
    <x v="0"/>
    <x v="1"/>
  </r>
  <r>
    <s v="20600535634"/>
    <x v="6"/>
    <x v="6"/>
    <x v="32"/>
    <x v="32"/>
    <x v="32"/>
    <n v="2"/>
    <x v="10"/>
    <s v="ESTACION E016"/>
    <s v="MALECON SHANUSI 510"/>
    <x v="21"/>
    <x v="0"/>
    <x v="0"/>
    <x v="2"/>
    <x v="4"/>
    <x v="0"/>
    <n v="4"/>
    <n v="144"/>
    <x v="0"/>
    <x v="1"/>
    <n v="2.4390243902439025E-2"/>
    <x v="4"/>
    <x v="0"/>
    <s v="OK"/>
    <x v="0"/>
    <s v="OK"/>
    <x v="0"/>
    <x v="0"/>
    <n v="1"/>
    <n v="0"/>
    <n v="1"/>
    <n v="0"/>
    <x v="0"/>
    <x v="0"/>
    <x v="1"/>
  </r>
  <r>
    <s v="20600535634"/>
    <x v="6"/>
    <x v="6"/>
    <x v="33"/>
    <x v="33"/>
    <x v="33"/>
    <n v="2"/>
    <x v="2"/>
    <s v="ESTACION E016"/>
    <s v="ASENT.H. MANZANILLA II MZ. A-1 LT. 16"/>
    <x v="10"/>
    <x v="0"/>
    <x v="0"/>
    <x v="2"/>
    <x v="29"/>
    <x v="0"/>
    <n v="4"/>
    <n v="128"/>
    <x v="0"/>
    <x v="1"/>
    <n v="2.4390243902439025E-2"/>
    <x v="5"/>
    <x v="0"/>
    <s v="OK"/>
    <x v="0"/>
    <s v="OK"/>
    <x v="0"/>
    <x v="0"/>
    <n v="1"/>
    <n v="0"/>
    <n v="1"/>
    <n v="0"/>
    <x v="0"/>
    <x v="0"/>
    <x v="1"/>
  </r>
  <r>
    <s v="20600535634"/>
    <x v="6"/>
    <x v="6"/>
    <x v="34"/>
    <x v="34"/>
    <x v="34"/>
    <n v="2"/>
    <x v="2"/>
    <s v="ESTACION E012"/>
    <s v="JR LORETO 272 DPTO 104"/>
    <x v="5"/>
    <x v="0"/>
    <x v="0"/>
    <x v="2"/>
    <x v="30"/>
    <x v="0"/>
    <n v="4"/>
    <n v="24"/>
    <x v="0"/>
    <x v="1"/>
    <n v="2.4390243902439025E-2"/>
    <x v="2"/>
    <x v="0"/>
    <s v="OK"/>
    <x v="3"/>
    <s v="OK"/>
    <x v="0"/>
    <x v="0"/>
    <n v="1"/>
    <n v="1"/>
    <n v="1"/>
    <n v="0"/>
    <x v="0"/>
    <x v="0"/>
    <x v="1"/>
  </r>
  <r>
    <s v="20562719700"/>
    <x v="7"/>
    <x v="7"/>
    <x v="35"/>
    <x v="35"/>
    <x v="35"/>
    <m/>
    <x v="5"/>
    <s v="ESTACION 08"/>
    <s v="ASC. POSESIONARIOS LOBERA LA MESETA MZ V1 LT 12"/>
    <x v="10"/>
    <x v="0"/>
    <x v="0"/>
    <x v="2"/>
    <x v="31"/>
    <x v="0"/>
    <n v="4"/>
    <n v="192"/>
    <x v="0"/>
    <x v="1"/>
    <n v="5.7803468208092483E-3"/>
    <x v="3"/>
    <x v="0"/>
    <s v="OK"/>
    <x v="0"/>
    <s v="OK"/>
    <x v="0"/>
    <x v="0"/>
    <n v="1"/>
    <n v="0"/>
    <n v="0"/>
    <n v="0"/>
    <x v="0"/>
    <x v="0"/>
    <x v="0"/>
  </r>
  <r>
    <s v="20562719700"/>
    <x v="7"/>
    <x v="7"/>
    <x v="36"/>
    <x v="36"/>
    <x v="36"/>
    <m/>
    <x v="2"/>
    <s v="ESTACION PV1"/>
    <s v="CALLE BELGICA 128 LOS PORTALES DE JAVIER PRADO"/>
    <x v="1"/>
    <x v="0"/>
    <x v="0"/>
    <x v="2"/>
    <x v="32"/>
    <x v="0"/>
    <n v="4"/>
    <n v="192"/>
    <x v="0"/>
    <x v="1"/>
    <n v="5.7803468208092483E-3"/>
    <x v="1"/>
    <x v="0"/>
    <s v="OK"/>
    <x v="1"/>
    <s v="OK"/>
    <x v="0"/>
    <x v="0"/>
    <n v="1"/>
    <n v="1"/>
    <n v="0"/>
    <n v="0"/>
    <x v="0"/>
    <x v="0"/>
    <x v="0"/>
  </r>
  <r>
    <s v="20562719700"/>
    <x v="7"/>
    <x v="7"/>
    <x v="37"/>
    <x v="37"/>
    <x v="37"/>
    <m/>
    <x v="2"/>
    <s v="ESTACION PV1"/>
    <s v="NESTOR GAMBETA LAS 200 MILLAS"/>
    <x v="22"/>
    <x v="0"/>
    <x v="0"/>
    <x v="2"/>
    <x v="33"/>
    <x v="0"/>
    <n v="4"/>
    <n v="192"/>
    <x v="0"/>
    <x v="1"/>
    <n v="5.7803468208092483E-3"/>
    <x v="0"/>
    <x v="0"/>
    <s v="OK"/>
    <x v="2"/>
    <s v="OK"/>
    <x v="0"/>
    <x v="0"/>
    <n v="1"/>
    <n v="1"/>
    <n v="0"/>
    <n v="0"/>
    <x v="0"/>
    <x v="0"/>
    <x v="0"/>
  </r>
  <r>
    <n v="20504039127"/>
    <x v="8"/>
    <x v="8"/>
    <x v="38"/>
    <x v="38"/>
    <x v="38"/>
    <n v="1"/>
    <x v="6"/>
    <s v="OFICINA DANSEY"/>
    <s v="MZ Q1 LT. 25  A. H. TUPAC AMARU"/>
    <x v="1"/>
    <x v="1"/>
    <x v="0"/>
    <x v="1"/>
    <x v="34"/>
    <x v="0"/>
    <n v="1"/>
    <n v="200"/>
    <x v="0"/>
    <x v="1"/>
    <n v="2.4390243902439025E-2"/>
    <x v="0"/>
    <x v="0"/>
    <s v="OK"/>
    <x v="1"/>
    <s v="OK"/>
    <x v="0"/>
    <x v="0"/>
    <n v="1"/>
    <n v="1"/>
    <n v="0"/>
    <n v="0"/>
    <x v="0"/>
    <x v="0"/>
    <x v="0"/>
  </r>
  <r>
    <n v="20504039130"/>
    <x v="8"/>
    <x v="8"/>
    <x v="39"/>
    <x v="39"/>
    <x v="39"/>
    <n v="1"/>
    <x v="6"/>
    <s v="PLANTA DOVELAS"/>
    <s v="MZ. K LT. 04 ASOC. EL ALAMO"/>
    <x v="6"/>
    <x v="1"/>
    <x v="0"/>
    <x v="1"/>
    <x v="35"/>
    <x v="0"/>
    <n v="1"/>
    <n v="200"/>
    <x v="0"/>
    <x v="1"/>
    <n v="2.4390243902439025E-2"/>
    <x v="2"/>
    <x v="0"/>
    <s v="OK"/>
    <x v="2"/>
    <s v="OK"/>
    <x v="0"/>
    <x v="0"/>
    <n v="1"/>
    <n v="1"/>
    <n v="0"/>
    <n v="0"/>
    <x v="0"/>
    <x v="0"/>
    <x v="0"/>
  </r>
  <r>
    <n v="20504039130"/>
    <x v="8"/>
    <x v="8"/>
    <x v="40"/>
    <x v="40"/>
    <x v="40"/>
    <n v="1"/>
    <x v="6"/>
    <s v="ESTACION 01"/>
    <s v="PSJE. IQUITOS 777"/>
    <x v="23"/>
    <x v="1"/>
    <x v="0"/>
    <x v="1"/>
    <x v="36"/>
    <x v="0"/>
    <n v="1"/>
    <n v="200"/>
    <x v="0"/>
    <x v="1"/>
    <n v="2.4390243902439025E-2"/>
    <x v="0"/>
    <x v="0"/>
    <s v="OK"/>
    <x v="0"/>
    <s v="OK"/>
    <x v="0"/>
    <x v="0"/>
    <n v="1"/>
    <n v="0"/>
    <n v="0"/>
    <n v="0"/>
    <x v="0"/>
    <x v="0"/>
    <x v="0"/>
  </r>
  <r>
    <n v="20504039130"/>
    <x v="8"/>
    <x v="8"/>
    <x v="41"/>
    <x v="41"/>
    <x v="41"/>
    <n v="1"/>
    <x v="6"/>
    <s v="OFICINA DANSEY"/>
    <s v="JR. ANCASH 476"/>
    <x v="6"/>
    <x v="1"/>
    <x v="0"/>
    <x v="1"/>
    <x v="37"/>
    <x v="0"/>
    <n v="1"/>
    <n v="136"/>
    <x v="0"/>
    <x v="1"/>
    <n v="2.4390243902439025E-2"/>
    <x v="4"/>
    <x v="0"/>
    <s v="OK"/>
    <x v="2"/>
    <s v="OK"/>
    <x v="0"/>
    <x v="0"/>
    <n v="1"/>
    <n v="1"/>
    <n v="1"/>
    <n v="0"/>
    <x v="0"/>
    <x v="0"/>
    <x v="1"/>
  </r>
  <r>
    <n v="20602213227"/>
    <x v="9"/>
    <x v="9"/>
    <x v="42"/>
    <x v="42"/>
    <x v="42"/>
    <n v="2"/>
    <x v="16"/>
    <s v="E-04 A PV1BIS"/>
    <s v="ASENT. H. SAN JOSE ETAPA II MZ. F LT.07"/>
    <x v="24"/>
    <x v="0"/>
    <x v="0"/>
    <x v="1"/>
    <x v="38"/>
    <x v="0"/>
    <n v="2"/>
    <n v="200"/>
    <x v="0"/>
    <x v="1"/>
    <n v="2.7777777777777776E-2"/>
    <x v="4"/>
    <x v="0"/>
    <s v="OK"/>
    <x v="0"/>
    <s v="OK"/>
    <x v="0"/>
    <x v="0"/>
    <n v="1"/>
    <n v="0"/>
    <n v="0"/>
    <n v="0"/>
    <x v="0"/>
    <x v="0"/>
    <x v="0"/>
  </r>
  <r>
    <n v="20602213227"/>
    <x v="9"/>
    <x v="9"/>
    <x v="43"/>
    <x v="43"/>
    <x v="43"/>
    <n v="2"/>
    <x v="16"/>
    <s v="E-04 A PV1BIS"/>
    <s v="ASENT. H. SARITA COLONIA ETAPA I MZ. O LT. 19"/>
    <x v="6"/>
    <x v="0"/>
    <x v="0"/>
    <x v="1"/>
    <x v="38"/>
    <x v="0"/>
    <n v="2"/>
    <n v="176"/>
    <x v="0"/>
    <x v="1"/>
    <n v="2.7777777777777776E-2"/>
    <x v="4"/>
    <x v="0"/>
    <s v="OK"/>
    <x v="2"/>
    <s v="OK"/>
    <x v="0"/>
    <x v="0"/>
    <n v="1"/>
    <n v="1"/>
    <n v="0"/>
    <n v="0"/>
    <x v="0"/>
    <x v="0"/>
    <x v="0"/>
  </r>
  <r>
    <n v="20550487200"/>
    <x v="10"/>
    <x v="10"/>
    <x v="44"/>
    <x v="44"/>
    <x v="44"/>
    <n v="1"/>
    <x v="17"/>
    <s v="PTSA, E12, E14, E15, E16, E17, E18, E25, E26, E27, E08, E09, E10, E11, E01, E02, E03, E06, E-04, E-19 Y FD"/>
    <s v="CONDOMINIO ALAMEDA ALGARROBOS BLOCK E"/>
    <x v="0"/>
    <x v="1"/>
    <x v="0"/>
    <x v="2"/>
    <x v="39"/>
    <x v="0"/>
    <n v="1"/>
    <n v="184"/>
    <x v="0"/>
    <x v="1"/>
    <n v="5.8823529411764705E-2"/>
    <x v="2"/>
    <x v="0"/>
    <s v="OK"/>
    <x v="0"/>
    <s v="OK"/>
    <x v="0"/>
    <x v="0"/>
    <n v="1"/>
    <n v="0"/>
    <n v="0"/>
    <n v="0"/>
    <x v="0"/>
    <x v="0"/>
    <x v="0"/>
  </r>
  <r>
    <n v="20550487200"/>
    <x v="10"/>
    <x v="10"/>
    <x v="45"/>
    <x v="45"/>
    <x v="45"/>
    <n v="1"/>
    <x v="17"/>
    <s v="PTSA, E12, E14, E15, E16, E17, E18, E25, E26, E27, E08, E09, E10, E11, E01, E02, E03, E06, E-04, E-19 Y FD"/>
    <s v="AV. 28 DE JULIO 1963"/>
    <x v="25"/>
    <x v="1"/>
    <x v="0"/>
    <x v="2"/>
    <x v="39"/>
    <x v="0"/>
    <n v="1"/>
    <n v="184"/>
    <x v="0"/>
    <x v="1"/>
    <n v="5.8823529411764705E-2"/>
    <x v="2"/>
    <x v="0"/>
    <s v="OK"/>
    <x v="4"/>
    <s v="OK"/>
    <x v="0"/>
    <x v="0"/>
    <n v="1"/>
    <n v="1"/>
    <n v="0"/>
    <n v="0"/>
    <x v="0"/>
    <x v="0"/>
    <x v="0"/>
  </r>
  <r>
    <n v="20550487200"/>
    <x v="10"/>
    <x v="10"/>
    <x v="46"/>
    <x v="46"/>
    <x v="46"/>
    <n v="1"/>
    <x v="17"/>
    <s v="PTSA, E12, E14, E15, E16, E17, E18, E25, E26, E27, E08, E09, E10, E11, E01, E02, E03, E06, E-04, E-19 Y FD"/>
    <s v="AV. BELAUNDE ESTE 548 EL CARMEN"/>
    <x v="0"/>
    <x v="0"/>
    <x v="0"/>
    <x v="2"/>
    <x v="40"/>
    <x v="0"/>
    <n v="1"/>
    <n v="184"/>
    <x v="0"/>
    <x v="1"/>
    <n v="5.8823529411764705E-2"/>
    <x v="2"/>
    <x v="0"/>
    <s v="OK"/>
    <x v="0"/>
    <s v="OK"/>
    <x v="0"/>
    <x v="0"/>
    <n v="1"/>
    <n v="0"/>
    <n v="0"/>
    <n v="0"/>
    <x v="0"/>
    <x v="0"/>
    <x v="0"/>
  </r>
  <r>
    <n v="20550487200"/>
    <x v="10"/>
    <x v="10"/>
    <x v="47"/>
    <x v="47"/>
    <x v="47"/>
    <n v="1"/>
    <x v="17"/>
    <s v="PTSA, E12, E14, E15, E16, E17, E18, E25, E26, E27, E08, E09, E10, E11, E01, E02, E03, E06, E-04, E-19 Y FD"/>
    <s v="COMITÉ 62 JOSE GALVEZ MZ. 155B LT. 3"/>
    <x v="8"/>
    <x v="1"/>
    <x v="0"/>
    <x v="2"/>
    <x v="40"/>
    <x v="0"/>
    <n v="1"/>
    <n v="184"/>
    <x v="0"/>
    <x v="1"/>
    <n v="5.8823529411764705E-2"/>
    <x v="3"/>
    <x v="0"/>
    <s v="OK"/>
    <x v="0"/>
    <s v="OK"/>
    <x v="0"/>
    <x v="0"/>
    <n v="1"/>
    <n v="0"/>
    <n v="0"/>
    <n v="0"/>
    <x v="0"/>
    <x v="0"/>
    <x v="0"/>
  </r>
  <r>
    <n v="20601536536"/>
    <x v="11"/>
    <x v="11"/>
    <x v="48"/>
    <x v="48"/>
    <x v="48"/>
    <m/>
    <x v="15"/>
    <s v="REGRESO A PLANTA"/>
    <s v="MZ. A LOTE. 22 URB.  SANTA PATRICIA DE NARANJAL ETAPA 1"/>
    <x v="3"/>
    <x v="0"/>
    <x v="0"/>
    <x v="2"/>
    <x v="41"/>
    <x v="0"/>
    <n v="1"/>
    <n v="0"/>
    <x v="0"/>
    <x v="0"/>
    <n v="0"/>
    <x v="2"/>
    <x v="0"/>
    <s v="OK"/>
    <x v="0"/>
    <s v="OK"/>
    <x v="0"/>
    <x v="0"/>
    <n v="1"/>
    <n v="0"/>
    <n v="0"/>
    <n v="0"/>
    <x v="0"/>
    <x v="0"/>
    <x v="0"/>
  </r>
  <r>
    <s v="20504138292"/>
    <x v="12"/>
    <x v="12"/>
    <x v="49"/>
    <x v="49"/>
    <x v="49"/>
    <n v="2"/>
    <x v="18"/>
    <s v="PV 04"/>
    <s v="JR MARISCAL CACERES 259"/>
    <x v="8"/>
    <x v="0"/>
    <x v="2"/>
    <x v="2"/>
    <x v="42"/>
    <x v="2"/>
    <n v="4"/>
    <n v="0"/>
    <x v="0"/>
    <x v="1"/>
    <n v="2.3809523809523808E-2"/>
    <x v="3"/>
    <x v="0"/>
    <s v="OK"/>
    <x v="0"/>
    <s v="OK"/>
    <x v="0"/>
    <x v="0"/>
    <n v="1"/>
    <n v="0"/>
    <n v="0"/>
    <n v="1"/>
    <x v="0"/>
    <x v="1"/>
    <x v="0"/>
  </r>
  <r>
    <n v="20550163480"/>
    <x v="13"/>
    <x v="13"/>
    <x v="50"/>
    <x v="50"/>
    <x v="50"/>
    <n v="2"/>
    <x v="19"/>
    <s v="Estacionj 06, Estacion 11"/>
    <s v="Caserio Piedra Azul"/>
    <x v="26"/>
    <x v="0"/>
    <x v="0"/>
    <x v="2"/>
    <x v="43"/>
    <x v="0"/>
    <n v="4"/>
    <n v="192"/>
    <x v="0"/>
    <x v="1"/>
    <n v="5.8823529411764705E-2"/>
    <x v="2"/>
    <x v="0"/>
    <s v="OK"/>
    <x v="0"/>
    <s v="OK"/>
    <x v="0"/>
    <x v="0"/>
    <n v="1"/>
    <n v="0"/>
    <n v="0"/>
    <n v="0"/>
    <x v="0"/>
    <x v="0"/>
    <x v="0"/>
  </r>
  <r>
    <n v="20551135137"/>
    <x v="14"/>
    <x v="14"/>
    <x v="51"/>
    <x v="51"/>
    <x v="51"/>
    <n v="2"/>
    <x v="20"/>
    <s v="E03 - E04"/>
    <s v="AV. LOS PROCERES DE CAMPOY MZ. D LT. 17"/>
    <x v="15"/>
    <x v="0"/>
    <x v="0"/>
    <x v="1"/>
    <x v="44"/>
    <x v="0"/>
    <n v="4"/>
    <n v="16"/>
    <x v="0"/>
    <x v="1"/>
    <n v="9.0909090909090912E-2"/>
    <x v="4"/>
    <x v="0"/>
    <s v="OK"/>
    <x v="0"/>
    <s v="OK"/>
    <x v="0"/>
    <x v="0"/>
    <n v="1"/>
    <n v="0"/>
    <n v="0"/>
    <n v="0"/>
    <x v="0"/>
    <x v="0"/>
    <x v="0"/>
  </r>
  <r>
    <s v="20551610030"/>
    <x v="15"/>
    <x v="15"/>
    <x v="52"/>
    <x v="52"/>
    <x v="52"/>
    <n v="1"/>
    <x v="21"/>
    <s v="ESTACION 14"/>
    <s v="JR.RECUAY 453 INT. 103"/>
    <x v="5"/>
    <x v="0"/>
    <x v="0"/>
    <x v="2"/>
    <x v="16"/>
    <x v="0"/>
    <n v="1"/>
    <n v="200.5"/>
    <x v="0"/>
    <x v="1"/>
    <n v="1.2345679012345678E-2"/>
    <x v="3"/>
    <x v="0"/>
    <s v="OK"/>
    <x v="3"/>
    <s v="OK"/>
    <x v="0"/>
    <x v="0"/>
    <n v="1"/>
    <n v="1"/>
    <n v="0"/>
    <n v="0"/>
    <x v="0"/>
    <x v="0"/>
    <x v="0"/>
  </r>
  <r>
    <s v="20551610030"/>
    <x v="15"/>
    <x v="15"/>
    <x v="53"/>
    <x v="53"/>
    <x v="53"/>
    <n v="2"/>
    <x v="2"/>
    <s v="ESTACION 14"/>
    <s v="EL PUERTO MZ R13 LT 05"/>
    <x v="8"/>
    <x v="0"/>
    <x v="3"/>
    <x v="2"/>
    <x v="45"/>
    <x v="2"/>
    <n v="1"/>
    <n v="130"/>
    <x v="0"/>
    <x v="1"/>
    <n v="1.2345679012345678E-2"/>
    <x v="2"/>
    <x v="0"/>
    <s v="OK"/>
    <x v="0"/>
    <s v="OK"/>
    <x v="0"/>
    <x v="0"/>
    <n v="1"/>
    <n v="0"/>
    <n v="0"/>
    <n v="1"/>
    <x v="0"/>
    <x v="1"/>
    <x v="0"/>
  </r>
  <r>
    <s v="20551610030"/>
    <x v="15"/>
    <x v="15"/>
    <x v="54"/>
    <x v="54"/>
    <x v="54"/>
    <n v="2"/>
    <x v="22"/>
    <s v="ESTACION 14 Y 15"/>
    <s v="PSJ 3 ASENT H BELEN MZ C-1 LT 7"/>
    <x v="0"/>
    <x v="0"/>
    <x v="0"/>
    <x v="2"/>
    <x v="46"/>
    <x v="0"/>
    <n v="1"/>
    <n v="200.5"/>
    <x v="0"/>
    <x v="1"/>
    <n v="1.2345679012345678E-2"/>
    <x v="1"/>
    <x v="0"/>
    <s v="OK"/>
    <x v="0"/>
    <s v="OK"/>
    <x v="0"/>
    <x v="0"/>
    <n v="1"/>
    <n v="0"/>
    <n v="0"/>
    <n v="0"/>
    <x v="0"/>
    <x v="0"/>
    <x v="0"/>
  </r>
  <r>
    <n v="20610192034"/>
    <x v="16"/>
    <x v="16"/>
    <x v="55"/>
    <x v="55"/>
    <x v="55"/>
    <n v="2"/>
    <x v="8"/>
    <s v="ESTACION 10- ESTACION 11-PZ 16-PZ-17-PZ18-E17"/>
    <s v="AV. CENTRAL 220"/>
    <x v="1"/>
    <x v="0"/>
    <x v="4"/>
    <x v="2"/>
    <x v="41"/>
    <x v="2"/>
    <n v="4"/>
    <n v="84"/>
    <x v="0"/>
    <x v="1"/>
    <n v="2.6315789473684209E-2"/>
    <x v="4"/>
    <x v="0"/>
    <s v="OK"/>
    <x v="1"/>
    <s v="OK"/>
    <x v="0"/>
    <x v="0"/>
    <n v="1"/>
    <n v="1"/>
    <n v="0"/>
    <n v="1"/>
    <x v="0"/>
    <x v="1"/>
    <x v="0"/>
  </r>
  <r>
    <n v="20610192034"/>
    <x v="16"/>
    <x v="16"/>
    <x v="56"/>
    <x v="56"/>
    <x v="56"/>
    <n v="2"/>
    <x v="2"/>
    <s v="ESTACION 10- ESTACION 11-PZ 16-PZ-17-PZ18-E17"/>
    <s v="MZ. R LT. 28 CHANCAS ANDAHUAYLAS"/>
    <x v="27"/>
    <x v="0"/>
    <x v="0"/>
    <x v="2"/>
    <x v="47"/>
    <x v="0"/>
    <n v="4"/>
    <n v="208"/>
    <x v="0"/>
    <x v="1"/>
    <n v="2.6315789473684209E-2"/>
    <x v="5"/>
    <x v="0"/>
    <s v="OK"/>
    <x v="5"/>
    <s v="OK"/>
    <x v="0"/>
    <x v="0"/>
    <n v="1"/>
    <n v="1"/>
    <n v="0"/>
    <n v="0"/>
    <x v="0"/>
    <x v="0"/>
    <x v="0"/>
  </r>
  <r>
    <n v="20610192034"/>
    <x v="16"/>
    <x v="16"/>
    <x v="57"/>
    <x v="57"/>
    <x v="57"/>
    <n v="1"/>
    <x v="23"/>
    <s v="ESTACION 10- ESTACION 11-PZ 16-PZ-17-PZ18-E17"/>
    <s v="AV. UNIVERSITARIA 2071"/>
    <x v="28"/>
    <x v="0"/>
    <x v="0"/>
    <x v="2"/>
    <x v="48"/>
    <x v="0"/>
    <n v="1"/>
    <n v="208"/>
    <x v="0"/>
    <x v="1"/>
    <n v="2.6315789473684209E-2"/>
    <x v="4"/>
    <x v="0"/>
    <s v="OK"/>
    <x v="0"/>
    <s v="OK"/>
    <x v="0"/>
    <x v="0"/>
    <n v="1"/>
    <n v="0"/>
    <n v="0"/>
    <n v="0"/>
    <x v="0"/>
    <x v="0"/>
    <x v="0"/>
  </r>
  <r>
    <s v="20600599829"/>
    <x v="17"/>
    <x v="17"/>
    <x v="58"/>
    <x v="58"/>
    <x v="58"/>
    <n v="2"/>
    <x v="24"/>
    <s v="ESTACIÓN 01"/>
    <s v="A.H. Las Lomas Solidarios Valientes Zona 5 Collique Zonal 12MZ. S9 LT.5"/>
    <x v="29"/>
    <x v="0"/>
    <x v="5"/>
    <x v="1"/>
    <x v="49"/>
    <x v="2"/>
    <n v="4"/>
    <n v="162"/>
    <x v="0"/>
    <x v="0"/>
    <n v="4.7619047619047616E-2"/>
    <x v="0"/>
    <x v="0"/>
    <s v="OK"/>
    <x v="0"/>
    <s v="OK"/>
    <x v="0"/>
    <x v="0"/>
    <n v="1"/>
    <n v="0"/>
    <n v="0"/>
    <n v="1"/>
    <x v="0"/>
    <x v="1"/>
    <x v="0"/>
  </r>
  <r>
    <s v="20600599829"/>
    <x v="17"/>
    <x v="17"/>
    <x v="59"/>
    <x v="59"/>
    <x v="59"/>
    <n v="2"/>
    <x v="25"/>
    <s v="PV-10"/>
    <s v="Calle los Claveles Caserio Tucume Viejo "/>
    <x v="30"/>
    <x v="0"/>
    <x v="2"/>
    <x v="1"/>
    <x v="49"/>
    <x v="2"/>
    <n v="4"/>
    <n v="6"/>
    <x v="0"/>
    <x v="0"/>
    <n v="4.7619047619047616E-2"/>
    <x v="4"/>
    <x v="0"/>
    <s v="OK"/>
    <x v="0"/>
    <s v="OK"/>
    <x v="0"/>
    <x v="0"/>
    <n v="1"/>
    <n v="0"/>
    <n v="0"/>
    <n v="1"/>
    <x v="0"/>
    <x v="1"/>
    <x v="0"/>
  </r>
  <r>
    <s v="20523802861"/>
    <x v="18"/>
    <x v="18"/>
    <x v="60"/>
    <x v="60"/>
    <x v="60"/>
    <n v="2"/>
    <x v="26"/>
    <s v="E18"/>
    <s v="CASERIO SUMUCHE "/>
    <x v="31"/>
    <x v="0"/>
    <x v="6"/>
    <x v="1"/>
    <x v="37"/>
    <x v="0"/>
    <n v="4"/>
    <n v="70"/>
    <x v="0"/>
    <x v="1"/>
    <n v="8.9285714285714281E-3"/>
    <x v="0"/>
    <x v="0"/>
    <s v="OK"/>
    <x v="0"/>
    <s v="OK"/>
    <x v="0"/>
    <x v="0"/>
    <n v="1"/>
    <n v="0"/>
    <n v="1"/>
    <n v="0"/>
    <x v="0"/>
    <x v="0"/>
    <x v="1"/>
  </r>
  <r>
    <s v="20523802861"/>
    <x v="18"/>
    <x v="18"/>
    <x v="61"/>
    <x v="61"/>
    <x v="61"/>
    <n v="2"/>
    <x v="2"/>
    <s v="E16"/>
    <s v="CALLE ESTOCOLMO PROLOG. JAVIER PRADO MZ X1 LT 43"/>
    <x v="1"/>
    <x v="0"/>
    <x v="6"/>
    <x v="1"/>
    <x v="26"/>
    <x v="0"/>
    <n v="4"/>
    <n v="152"/>
    <x v="0"/>
    <x v="1"/>
    <n v="8.9285714285714281E-3"/>
    <x v="1"/>
    <x v="0"/>
    <s v="OK"/>
    <x v="1"/>
    <s v="OK"/>
    <x v="0"/>
    <x v="0"/>
    <n v="1"/>
    <n v="1"/>
    <n v="0"/>
    <n v="0"/>
    <x v="0"/>
    <x v="0"/>
    <x v="0"/>
  </r>
  <r>
    <s v="20523802861"/>
    <x v="18"/>
    <x v="18"/>
    <x v="62"/>
    <x v="62"/>
    <x v="62"/>
    <n v="2"/>
    <x v="2"/>
    <s v="E18"/>
    <s v="JR. JORGE CHAVEZ 144 MZ 10 LT 10"/>
    <x v="32"/>
    <x v="0"/>
    <x v="6"/>
    <x v="1"/>
    <x v="50"/>
    <x v="0"/>
    <n v="4"/>
    <n v="112"/>
    <x v="0"/>
    <x v="1"/>
    <n v="8.9285714285714281E-3"/>
    <x v="0"/>
    <x v="0"/>
    <s v="OK"/>
    <x v="6"/>
    <s v="OK"/>
    <x v="0"/>
    <x v="0"/>
    <n v="1"/>
    <n v="1"/>
    <n v="0"/>
    <n v="0"/>
    <x v="0"/>
    <x v="0"/>
    <x v="0"/>
  </r>
  <r>
    <s v="20523802861"/>
    <x v="18"/>
    <x v="18"/>
    <x v="63"/>
    <x v="63"/>
    <x v="63"/>
    <n v="2"/>
    <x v="26"/>
    <s v="E16"/>
    <s v="URB LA ENSENADA MZ E LT 1"/>
    <x v="33"/>
    <x v="0"/>
    <x v="6"/>
    <x v="1"/>
    <x v="51"/>
    <x v="0"/>
    <n v="4"/>
    <n v="216"/>
    <x v="0"/>
    <x v="1"/>
    <n v="8.9285714285714281E-3"/>
    <x v="5"/>
    <x v="0"/>
    <s v="OK"/>
    <x v="0"/>
    <s v="OK"/>
    <x v="0"/>
    <x v="0"/>
    <n v="1"/>
    <n v="0"/>
    <n v="0"/>
    <n v="0"/>
    <x v="0"/>
    <x v="0"/>
    <x v="0"/>
  </r>
  <r>
    <s v="20523802861"/>
    <x v="18"/>
    <x v="18"/>
    <x v="36"/>
    <x v="64"/>
    <x v="36"/>
    <n v="2"/>
    <x v="2"/>
    <s v="E16"/>
    <s v="CALLE BELGICA 128 URB. LOS PORTALES DE JAVIER PRADO ETAPA 2"/>
    <x v="34"/>
    <x v="0"/>
    <x v="6"/>
    <x v="1"/>
    <x v="52"/>
    <x v="0"/>
    <n v="4"/>
    <n v="200"/>
    <x v="0"/>
    <x v="1"/>
    <n v="8.9285714285714281E-3"/>
    <x v="1"/>
    <x v="0"/>
    <s v="OK"/>
    <x v="1"/>
    <s v="OK"/>
    <x v="0"/>
    <x v="0"/>
    <n v="1"/>
    <n v="1"/>
    <n v="0"/>
    <n v="0"/>
    <x v="0"/>
    <x v="0"/>
    <x v="0"/>
  </r>
  <r>
    <s v="20523802861"/>
    <x v="18"/>
    <x v="18"/>
    <x v="64"/>
    <x v="65"/>
    <x v="64"/>
    <n v="2"/>
    <x v="2"/>
    <s v="E12"/>
    <s v="CALLE MRCAL CASTILLAS 185 B URB TARAPACA"/>
    <x v="6"/>
    <x v="0"/>
    <x v="6"/>
    <x v="1"/>
    <x v="53"/>
    <x v="0"/>
    <n v="4"/>
    <n v="216"/>
    <x v="0"/>
    <x v="1"/>
    <n v="8.9285714285714281E-3"/>
    <x v="0"/>
    <x v="0"/>
    <s v="OK"/>
    <x v="2"/>
    <s v="OK"/>
    <x v="0"/>
    <x v="0"/>
    <n v="1"/>
    <n v="1"/>
    <n v="0"/>
    <n v="0"/>
    <x v="0"/>
    <x v="0"/>
    <x v="0"/>
  </r>
  <r>
    <n v="20451703901"/>
    <x v="19"/>
    <x v="19"/>
    <x v="65"/>
    <x v="66"/>
    <x v="65"/>
    <n v="1"/>
    <x v="27"/>
    <s v="ESTACIÓN 8 - ELIO"/>
    <s v="CALLE MIGUEL GRAU FILA ALTA MZ. C LT. 3"/>
    <x v="35"/>
    <x v="1"/>
    <x v="0"/>
    <x v="1"/>
    <x v="54"/>
    <x v="0"/>
    <n v="1"/>
    <n v="217.5"/>
    <x v="0"/>
    <x v="1"/>
    <n v="5.4644808743169399E-3"/>
    <x v="2"/>
    <x v="0"/>
    <s v="OK"/>
    <x v="0"/>
    <s v="OK"/>
    <x v="0"/>
    <x v="0"/>
    <n v="1"/>
    <n v="0"/>
    <n v="0"/>
    <n v="0"/>
    <x v="0"/>
    <x v="0"/>
    <x v="0"/>
  </r>
  <r>
    <n v="20451703901"/>
    <x v="19"/>
    <x v="19"/>
    <x v="66"/>
    <x v="67"/>
    <x v="66"/>
    <n v="2"/>
    <x v="2"/>
    <s v="ESTACIÓN 06"/>
    <s v="AV. AMEZOGA 915"/>
    <x v="28"/>
    <x v="0"/>
    <x v="0"/>
    <x v="1"/>
    <x v="25"/>
    <x v="0"/>
    <n v="1"/>
    <n v="216"/>
    <x v="0"/>
    <x v="1"/>
    <n v="5.4644808743169399E-3"/>
    <x v="3"/>
    <x v="0"/>
    <s v="OK"/>
    <x v="0"/>
    <s v="OK"/>
    <x v="0"/>
    <x v="0"/>
    <n v="1"/>
    <n v="0"/>
    <n v="0"/>
    <n v="0"/>
    <x v="0"/>
    <x v="0"/>
    <x v="0"/>
  </r>
  <r>
    <n v="20451703901"/>
    <x v="19"/>
    <x v="19"/>
    <x v="67"/>
    <x v="68"/>
    <x v="67"/>
    <n v="2"/>
    <x v="8"/>
    <s v="ESTACIÓN 06"/>
    <s v="ANDAHUAYLAS 256"/>
    <x v="27"/>
    <x v="0"/>
    <x v="0"/>
    <x v="1"/>
    <x v="55"/>
    <x v="0"/>
    <n v="4"/>
    <n v="205"/>
    <x v="0"/>
    <x v="1"/>
    <n v="5.4644808743169399E-3"/>
    <x v="3"/>
    <x v="0"/>
    <s v="OK"/>
    <x v="5"/>
    <s v="OK"/>
    <x v="0"/>
    <x v="0"/>
    <n v="1"/>
    <n v="1"/>
    <n v="0"/>
    <n v="0"/>
    <x v="0"/>
    <x v="0"/>
    <x v="0"/>
  </r>
  <r>
    <n v="20451703903"/>
    <x v="19"/>
    <x v="19"/>
    <x v="68"/>
    <x v="69"/>
    <x v="68"/>
    <n v="2"/>
    <x v="18"/>
    <s v="ESTACIÓN 8 - ELIO"/>
    <s v="CALLE LOS VIÑEDOS MZ.N-1 LT.13 ASENT.H VILLA EMILIA"/>
    <x v="36"/>
    <x v="0"/>
    <x v="7"/>
    <x v="1"/>
    <x v="56"/>
    <x v="2"/>
    <n v="4"/>
    <n v="100"/>
    <x v="0"/>
    <x v="1"/>
    <n v="5.4644808743169399E-3"/>
    <x v="4"/>
    <x v="0"/>
    <s v="OK"/>
    <x v="2"/>
    <s v="OK"/>
    <x v="0"/>
    <x v="0"/>
    <n v="1"/>
    <n v="1"/>
    <n v="0"/>
    <n v="1"/>
    <x v="0"/>
    <x v="1"/>
    <x v="0"/>
  </r>
  <r>
    <n v="20451703903"/>
    <x v="19"/>
    <x v="19"/>
    <x v="69"/>
    <x v="70"/>
    <x v="69"/>
    <n v="2"/>
    <x v="18"/>
    <s v="ESTACIÓN 8 - ELIO"/>
    <s v="CP. SAN ANTONIO ALTO"/>
    <x v="37"/>
    <x v="0"/>
    <x v="7"/>
    <x v="1"/>
    <x v="12"/>
    <x v="2"/>
    <n v="4"/>
    <n v="100"/>
    <x v="0"/>
    <x v="1"/>
    <n v="5.4644808743169399E-3"/>
    <x v="5"/>
    <x v="0"/>
    <s v="OK"/>
    <x v="0"/>
    <s v="OK"/>
    <x v="0"/>
    <x v="0"/>
    <n v="1"/>
    <n v="0"/>
    <n v="0"/>
    <n v="1"/>
    <x v="0"/>
    <x v="1"/>
    <x v="0"/>
  </r>
  <r>
    <n v="20451703901"/>
    <x v="19"/>
    <x v="19"/>
    <x v="70"/>
    <x v="71"/>
    <x v="70"/>
    <n v="2"/>
    <x v="2"/>
    <s v="ESTACIÓN 06"/>
    <s v="PEDRO SOLARI 282"/>
    <x v="38"/>
    <x v="0"/>
    <x v="0"/>
    <x v="1"/>
    <x v="57"/>
    <x v="0"/>
    <n v="4"/>
    <n v="216"/>
    <x v="0"/>
    <x v="1"/>
    <n v="5.4644808743169399E-3"/>
    <x v="2"/>
    <x v="0"/>
    <s v="OK"/>
    <x v="0"/>
    <s v="OK"/>
    <x v="0"/>
    <x v="0"/>
    <n v="1"/>
    <n v="0"/>
    <n v="0"/>
    <n v="0"/>
    <x v="0"/>
    <x v="0"/>
    <x v="0"/>
  </r>
  <r>
    <n v="20451703903"/>
    <x v="19"/>
    <x v="19"/>
    <x v="71"/>
    <x v="72"/>
    <x v="71"/>
    <n v="2"/>
    <x v="11"/>
    <s v="ESTACIÓN 8 - ELIO"/>
    <s v="CENTRO POBLADO YANAS"/>
    <x v="39"/>
    <x v="0"/>
    <x v="7"/>
    <x v="1"/>
    <x v="46"/>
    <x v="2"/>
    <n v="4"/>
    <n v="100"/>
    <x v="0"/>
    <x v="1"/>
    <n v="5.4644808743169399E-3"/>
    <x v="3"/>
    <x v="0"/>
    <s v="OK"/>
    <x v="0"/>
    <s v="OK"/>
    <x v="0"/>
    <x v="0"/>
    <n v="1"/>
    <n v="0"/>
    <n v="0"/>
    <n v="1"/>
    <x v="0"/>
    <x v="1"/>
    <x v="0"/>
  </r>
  <r>
    <s v="20554579133"/>
    <x v="20"/>
    <x v="20"/>
    <x v="72"/>
    <x v="73"/>
    <x v="71"/>
    <n v="1"/>
    <x v="28"/>
    <s v="E18, E19"/>
    <s v="AV. AMAZONAS 735 VALLE ALTO URB. SAN GABRIEL"/>
    <x v="8"/>
    <x v="0"/>
    <x v="0"/>
    <x v="1"/>
    <x v="58"/>
    <x v="0"/>
    <n v="1"/>
    <n v="208"/>
    <x v="0"/>
    <x v="1"/>
    <n v="1.1904761904761904E-2"/>
    <x v="3"/>
    <x v="0"/>
    <s v="OK"/>
    <x v="0"/>
    <s v="OK"/>
    <x v="0"/>
    <x v="0"/>
    <n v="1"/>
    <n v="0"/>
    <n v="0"/>
    <n v="0"/>
    <x v="0"/>
    <x v="0"/>
    <x v="0"/>
  </r>
  <r>
    <s v="20554579133"/>
    <x v="20"/>
    <x v="20"/>
    <x v="73"/>
    <x v="74"/>
    <x v="72"/>
    <n v="1"/>
    <x v="29"/>
    <s v="E04, E03, E02, E01, PV01 BIS"/>
    <s v="JR. LIBERACION 15 LT. 14"/>
    <x v="15"/>
    <x v="0"/>
    <x v="0"/>
    <x v="1"/>
    <x v="59"/>
    <x v="0"/>
    <n v="1"/>
    <n v="208"/>
    <x v="0"/>
    <x v="1"/>
    <n v="1.1904761904761904E-2"/>
    <x v="2"/>
    <x v="0"/>
    <s v="OK"/>
    <x v="0"/>
    <s v="OK"/>
    <x v="0"/>
    <x v="0"/>
    <n v="1"/>
    <n v="0"/>
    <n v="0"/>
    <n v="0"/>
    <x v="0"/>
    <x v="0"/>
    <x v="0"/>
  </r>
  <r>
    <s v="20554579133"/>
    <x v="20"/>
    <x v="20"/>
    <x v="74"/>
    <x v="75"/>
    <x v="73"/>
    <n v="1"/>
    <x v="29"/>
    <s v="E08, E09, E10, TVPM"/>
    <s v="URB. PACHACAMAC SECTOR 4 ETAPA MZ. L LT 17"/>
    <x v="19"/>
    <x v="1"/>
    <x v="0"/>
    <x v="1"/>
    <x v="60"/>
    <x v="0"/>
    <n v="1"/>
    <n v="208"/>
    <x v="0"/>
    <x v="1"/>
    <n v="1.1904761904761904E-2"/>
    <x v="4"/>
    <x v="0"/>
    <s v="OK"/>
    <x v="0"/>
    <s v="OK"/>
    <x v="0"/>
    <x v="0"/>
    <n v="1"/>
    <n v="0"/>
    <n v="0"/>
    <n v="0"/>
    <x v="0"/>
    <x v="0"/>
    <x v="0"/>
  </r>
  <r>
    <s v="20554579133"/>
    <x v="20"/>
    <x v="20"/>
    <x v="75"/>
    <x v="76"/>
    <x v="74"/>
    <n v="1"/>
    <x v="29"/>
    <s v="E08, E09, E10, E11, E12, TUNEL"/>
    <s v="VIROC SN"/>
    <x v="40"/>
    <x v="0"/>
    <x v="0"/>
    <x v="1"/>
    <x v="61"/>
    <x v="0"/>
    <n v="1"/>
    <n v="208"/>
    <x v="0"/>
    <x v="1"/>
    <n v="1.1904761904761904E-2"/>
    <x v="2"/>
    <x v="0"/>
    <s v="OK"/>
    <x v="0"/>
    <s v="OK"/>
    <x v="0"/>
    <x v="0"/>
    <n v="1"/>
    <n v="0"/>
    <n v="0"/>
    <n v="0"/>
    <x v="0"/>
    <x v="0"/>
    <x v="0"/>
  </r>
  <r>
    <s v="20554579133"/>
    <x v="20"/>
    <x v="20"/>
    <x v="76"/>
    <x v="77"/>
    <x v="4"/>
    <n v="1"/>
    <x v="29"/>
    <s v="E08, E09, E10, E11, E12, TUNEL"/>
    <s v="AGR.  FAM. NUEVA ESPERANZA MZ. A LT. 41"/>
    <x v="41"/>
    <x v="0"/>
    <x v="0"/>
    <x v="1"/>
    <x v="62"/>
    <x v="0"/>
    <n v="1"/>
    <n v="208"/>
    <x v="0"/>
    <x v="1"/>
    <n v="1.1904761904761904E-2"/>
    <x v="3"/>
    <x v="0"/>
    <s v="OK"/>
    <x v="0"/>
    <s v="OK"/>
    <x v="0"/>
    <x v="0"/>
    <n v="1"/>
    <n v="0"/>
    <n v="0"/>
    <n v="0"/>
    <x v="0"/>
    <x v="0"/>
    <x v="0"/>
  </r>
  <r>
    <s v="20554579133"/>
    <x v="20"/>
    <x v="20"/>
    <x v="77"/>
    <x v="78"/>
    <x v="75"/>
    <n v="1"/>
    <x v="30"/>
    <s v="RAMAL LINEA 4, TUNEL"/>
    <s v="LA SEGUNDA DE MALLARES"/>
    <x v="15"/>
    <x v="0"/>
    <x v="0"/>
    <x v="1"/>
    <x v="63"/>
    <x v="0"/>
    <n v="1"/>
    <n v="208"/>
    <x v="0"/>
    <x v="1"/>
    <n v="1.1904761904761904E-2"/>
    <x v="4"/>
    <x v="0"/>
    <s v="OK"/>
    <x v="0"/>
    <s v="OK"/>
    <x v="0"/>
    <x v="0"/>
    <n v="1"/>
    <n v="0"/>
    <n v="0"/>
    <n v="0"/>
    <x v="0"/>
    <x v="0"/>
    <x v="0"/>
  </r>
  <r>
    <s v="20554579133"/>
    <x v="20"/>
    <x v="20"/>
    <x v="78"/>
    <x v="79"/>
    <x v="76"/>
    <n v="1"/>
    <x v="30"/>
    <s v="E08, E09, E12, E16"/>
    <s v="AV. MIGUEL GRAU 106-A"/>
    <x v="42"/>
    <x v="0"/>
    <x v="8"/>
    <x v="1"/>
    <x v="64"/>
    <x v="0"/>
    <n v="1"/>
    <n v="208"/>
    <x v="0"/>
    <x v="1"/>
    <n v="1.1904761904761904E-2"/>
    <x v="4"/>
    <x v="0"/>
    <s v="OK"/>
    <x v="0"/>
    <s v="OK"/>
    <x v="0"/>
    <x v="0"/>
    <n v="1"/>
    <n v="0"/>
    <n v="0"/>
    <n v="1"/>
    <x v="0"/>
    <x v="1"/>
    <x v="0"/>
  </r>
  <r>
    <s v="20554579133"/>
    <x v="20"/>
    <x v="20"/>
    <x v="79"/>
    <x v="80"/>
    <x v="77"/>
    <n v="1"/>
    <x v="30"/>
    <s v="E06, E12, E19"/>
    <s v="CAL LA TRIPLAYERA M2L LT.20 AH LOS MADEROS"/>
    <x v="21"/>
    <x v="0"/>
    <x v="0"/>
    <x v="1"/>
    <x v="65"/>
    <x v="0"/>
    <n v="1"/>
    <n v="208"/>
    <x v="0"/>
    <x v="1"/>
    <n v="1.1904761904761904E-2"/>
    <x v="3"/>
    <x v="0"/>
    <s v="OK"/>
    <x v="0"/>
    <s v="OK"/>
    <x v="0"/>
    <x v="0"/>
    <n v="1"/>
    <n v="0"/>
    <n v="0"/>
    <n v="0"/>
    <x v="0"/>
    <x v="0"/>
    <x v="0"/>
  </r>
  <r>
    <s v="20554579133"/>
    <x v="20"/>
    <x v="20"/>
    <x v="80"/>
    <x v="81"/>
    <x v="78"/>
    <n v="1"/>
    <x v="29"/>
    <s v="RAMAL LINEA 4, TUNEL"/>
    <s v="ASENT H.  ANGAMOS III MZ. P-13 LT. 12"/>
    <x v="2"/>
    <x v="0"/>
    <x v="0"/>
    <x v="1"/>
    <x v="66"/>
    <x v="0"/>
    <n v="1"/>
    <n v="32"/>
    <x v="0"/>
    <x v="1"/>
    <n v="1.1904761904761904E-2"/>
    <x v="2"/>
    <x v="0"/>
    <s v="OK"/>
    <x v="2"/>
    <s v="OK"/>
    <x v="0"/>
    <x v="0"/>
    <n v="1"/>
    <n v="1"/>
    <n v="1"/>
    <n v="0"/>
    <x v="0"/>
    <x v="0"/>
    <x v="1"/>
  </r>
  <r>
    <n v="20482744983"/>
    <x v="21"/>
    <x v="21"/>
    <x v="81"/>
    <x v="82"/>
    <x v="79"/>
    <n v="2"/>
    <x v="31"/>
    <s v="REINSERCION URBANA E14 AL E18"/>
    <s v="C.P. VILLA HUASAPAMPA"/>
    <x v="43"/>
    <x v="0"/>
    <x v="0"/>
    <x v="1"/>
    <x v="4"/>
    <x v="0"/>
    <n v="4"/>
    <n v="224"/>
    <x v="0"/>
    <x v="1"/>
    <n v="1.1111111111111112E-2"/>
    <x v="1"/>
    <x v="0"/>
    <s v="OK"/>
    <x v="0"/>
    <s v="OK"/>
    <x v="0"/>
    <x v="0"/>
    <n v="1"/>
    <n v="0"/>
    <n v="1"/>
    <n v="0"/>
    <x v="0"/>
    <x v="0"/>
    <x v="1"/>
  </r>
  <r>
    <n v="20101155588"/>
    <x v="22"/>
    <x v="22"/>
    <x v="82"/>
    <x v="83"/>
    <x v="80"/>
    <n v="1"/>
    <x v="32"/>
    <s v="POZO 24B"/>
    <s v="AV SANTA ANA MZ A 34 LOTE 19"/>
    <x v="27"/>
    <x v="0"/>
    <x v="9"/>
    <x v="1"/>
    <x v="67"/>
    <x v="0"/>
    <n v="1"/>
    <n v="312"/>
    <x v="1"/>
    <x v="1"/>
    <n v="3.134796238244514E-3"/>
    <x v="2"/>
    <x v="0"/>
    <s v="OK"/>
    <x v="5"/>
    <s v="OK"/>
    <x v="0"/>
    <x v="0"/>
    <n v="1"/>
    <n v="1"/>
    <n v="0"/>
    <n v="0"/>
    <x v="0"/>
    <x v="0"/>
    <x v="0"/>
  </r>
  <r>
    <n v="20101155588"/>
    <x v="22"/>
    <x v="22"/>
    <x v="83"/>
    <x v="84"/>
    <x v="81"/>
    <n v="1"/>
    <x v="32"/>
    <s v="POZO 14B"/>
    <s v="MZ L LT 1 AH VISTA ALEGRE"/>
    <x v="15"/>
    <x v="0"/>
    <x v="9"/>
    <x v="1"/>
    <x v="67"/>
    <x v="0"/>
    <n v="1"/>
    <n v="312"/>
    <x v="1"/>
    <x v="1"/>
    <n v="3.134796238244514E-3"/>
    <x v="2"/>
    <x v="0"/>
    <s v="OK"/>
    <x v="0"/>
    <s v="OK"/>
    <x v="0"/>
    <x v="0"/>
    <n v="1"/>
    <n v="0"/>
    <n v="0"/>
    <n v="0"/>
    <x v="0"/>
    <x v="0"/>
    <x v="0"/>
  </r>
  <r>
    <n v="20101155588"/>
    <x v="22"/>
    <x v="22"/>
    <x v="84"/>
    <x v="85"/>
    <x v="82"/>
    <n v="1"/>
    <x v="32"/>
    <s v="ESTACION 12B"/>
    <s v="ASOC DE VIVIENDAS LAS TERRAZAS DE SAN GERONIMO MZ C LOTE 9"/>
    <x v="15"/>
    <x v="0"/>
    <x v="9"/>
    <x v="1"/>
    <x v="68"/>
    <x v="0"/>
    <n v="1"/>
    <n v="312"/>
    <x v="1"/>
    <x v="1"/>
    <n v="3.134796238244514E-3"/>
    <x v="2"/>
    <x v="0"/>
    <s v="OK"/>
    <x v="0"/>
    <s v="OK"/>
    <x v="0"/>
    <x v="0"/>
    <n v="1"/>
    <n v="0"/>
    <n v="0"/>
    <n v="0"/>
    <x v="0"/>
    <x v="0"/>
    <x v="0"/>
  </r>
  <r>
    <n v="20101155588"/>
    <x v="22"/>
    <x v="22"/>
    <x v="85"/>
    <x v="86"/>
    <x v="72"/>
    <n v="1"/>
    <x v="32"/>
    <s v="ESTACION 16 B"/>
    <s v="Av. Productores "/>
    <x v="27"/>
    <x v="0"/>
    <x v="9"/>
    <x v="1"/>
    <x v="69"/>
    <x v="0"/>
    <n v="1"/>
    <n v="312"/>
    <x v="1"/>
    <x v="1"/>
    <n v="3.134796238244514E-3"/>
    <x v="2"/>
    <x v="0"/>
    <s v="OK"/>
    <x v="5"/>
    <s v="OK"/>
    <x v="0"/>
    <x v="0"/>
    <n v="1"/>
    <n v="1"/>
    <n v="0"/>
    <n v="0"/>
    <x v="0"/>
    <x v="0"/>
    <x v="0"/>
  </r>
  <r>
    <n v="20101155588"/>
    <x v="22"/>
    <x v="22"/>
    <x v="86"/>
    <x v="87"/>
    <x v="83"/>
    <n v="1"/>
    <x v="32"/>
    <s v="ESTACION 16 C"/>
    <s v="CAJA DE AGUA"/>
    <x v="15"/>
    <x v="0"/>
    <x v="9"/>
    <x v="1"/>
    <x v="70"/>
    <x v="0"/>
    <n v="1"/>
    <n v="312"/>
    <x v="1"/>
    <x v="1"/>
    <n v="3.134796238244514E-3"/>
    <x v="4"/>
    <x v="0"/>
    <s v="OK"/>
    <x v="0"/>
    <s v="OK"/>
    <x v="0"/>
    <x v="0"/>
    <n v="1"/>
    <n v="0"/>
    <n v="0"/>
    <n v="0"/>
    <x v="0"/>
    <x v="0"/>
    <x v="0"/>
  </r>
  <r>
    <n v="20101155588"/>
    <x v="22"/>
    <x v="22"/>
    <x v="87"/>
    <x v="88"/>
    <x v="84"/>
    <n v="1"/>
    <x v="32"/>
    <s v="PATIO TALLER SANTA ANITA"/>
    <s v="Jr. Moquegua"/>
    <x v="10"/>
    <x v="0"/>
    <x v="9"/>
    <x v="1"/>
    <x v="71"/>
    <x v="0"/>
    <n v="1"/>
    <n v="312"/>
    <x v="1"/>
    <x v="1"/>
    <n v="3.134796238244514E-3"/>
    <x v="2"/>
    <x v="0"/>
    <s v="OK"/>
    <x v="0"/>
    <s v="OK"/>
    <x v="0"/>
    <x v="0"/>
    <n v="1"/>
    <n v="0"/>
    <n v="0"/>
    <n v="0"/>
    <x v="0"/>
    <x v="0"/>
    <x v="0"/>
  </r>
  <r>
    <n v="20101155588"/>
    <x v="22"/>
    <x v="22"/>
    <x v="88"/>
    <x v="89"/>
    <x v="12"/>
    <n v="1"/>
    <x v="32"/>
    <s v="DESCANSERO E 16"/>
    <s v="JR. MARIANO MELGAR"/>
    <x v="44"/>
    <x v="0"/>
    <x v="9"/>
    <x v="1"/>
    <x v="72"/>
    <x v="0"/>
    <n v="1"/>
    <n v="312"/>
    <x v="1"/>
    <x v="1"/>
    <n v="3.134796238244514E-3"/>
    <x v="3"/>
    <x v="0"/>
    <s v="OK"/>
    <x v="0"/>
    <s v="OK"/>
    <x v="0"/>
    <x v="0"/>
    <n v="1"/>
    <n v="0"/>
    <n v="0"/>
    <n v="0"/>
    <x v="0"/>
    <x v="0"/>
    <x v="0"/>
  </r>
  <r>
    <n v="20101155588"/>
    <x v="22"/>
    <x v="22"/>
    <x v="89"/>
    <x v="90"/>
    <x v="85"/>
    <n v="1"/>
    <x v="32"/>
    <s v="PATIO TALLER SANTA ANITA"/>
    <s v="AV. CESAR VALLEJO "/>
    <x v="19"/>
    <x v="0"/>
    <x v="9"/>
    <x v="1"/>
    <x v="73"/>
    <x v="0"/>
    <n v="1"/>
    <n v="312"/>
    <x v="1"/>
    <x v="1"/>
    <n v="3.134796238244514E-3"/>
    <x v="3"/>
    <x v="0"/>
    <s v="OK"/>
    <x v="0"/>
    <s v="OK"/>
    <x v="0"/>
    <x v="0"/>
    <n v="1"/>
    <n v="0"/>
    <n v="0"/>
    <n v="0"/>
    <x v="0"/>
    <x v="0"/>
    <x v="0"/>
  </r>
  <r>
    <n v="20101155588"/>
    <x v="22"/>
    <x v="22"/>
    <x v="90"/>
    <x v="91"/>
    <x v="86"/>
    <n v="2"/>
    <x v="32"/>
    <s v="ESTACION 25 VESTIBULO"/>
    <s v="PSJ LEONCIO PRADO"/>
    <x v="44"/>
    <x v="1"/>
    <x v="9"/>
    <x v="1"/>
    <x v="74"/>
    <x v="0"/>
    <n v="1"/>
    <n v="312"/>
    <x v="1"/>
    <x v="1"/>
    <n v="3.134796238244514E-3"/>
    <x v="3"/>
    <x v="0"/>
    <s v="OK"/>
    <x v="0"/>
    <s v="OK"/>
    <x v="0"/>
    <x v="0"/>
    <n v="1"/>
    <n v="0"/>
    <n v="0"/>
    <n v="0"/>
    <x v="0"/>
    <x v="0"/>
    <x v="0"/>
  </r>
  <r>
    <n v="20101155588"/>
    <x v="22"/>
    <x v="22"/>
    <x v="91"/>
    <x v="92"/>
    <x v="87"/>
    <n v="1"/>
    <x v="32"/>
    <s v="PATIO TALLER GUILLERMO DANSEY "/>
    <s v="JIRON ANCASH 1529 MZD LOTE 23 "/>
    <x v="45"/>
    <x v="0"/>
    <x v="9"/>
    <x v="1"/>
    <x v="75"/>
    <x v="0"/>
    <n v="1"/>
    <n v="312"/>
    <x v="1"/>
    <x v="1"/>
    <n v="3.134796238244514E-3"/>
    <x v="3"/>
    <x v="0"/>
    <s v="OK"/>
    <x v="3"/>
    <s v="OK"/>
    <x v="0"/>
    <x v="0"/>
    <n v="1"/>
    <n v="1"/>
    <n v="0"/>
    <n v="0"/>
    <x v="0"/>
    <x v="0"/>
    <x v="0"/>
  </r>
  <r>
    <n v="20101155588"/>
    <x v="22"/>
    <x v="22"/>
    <x v="92"/>
    <x v="93"/>
    <x v="88"/>
    <n v="1"/>
    <x v="32"/>
    <s v="POZO 19"/>
    <s v="CALLE LOS DIAMANTES 320"/>
    <x v="46"/>
    <x v="0"/>
    <x v="9"/>
    <x v="1"/>
    <x v="76"/>
    <x v="0"/>
    <n v="1"/>
    <n v="312"/>
    <x v="1"/>
    <x v="1"/>
    <n v="3.134796238244514E-3"/>
    <x v="1"/>
    <x v="0"/>
    <s v="OK"/>
    <x v="7"/>
    <s v="OK"/>
    <x v="0"/>
    <x v="0"/>
    <n v="1"/>
    <n v="1"/>
    <n v="0"/>
    <n v="0"/>
    <x v="0"/>
    <x v="0"/>
    <x v="0"/>
  </r>
  <r>
    <n v="20101155588"/>
    <x v="22"/>
    <x v="22"/>
    <x v="93"/>
    <x v="94"/>
    <x v="89"/>
    <n v="1"/>
    <x v="32"/>
    <s v="POZO 15C"/>
    <s v="MZ.C LT 01 AGRUP FAM EL PROGRESO SECT.JAVIER PEREZ DE CUESTA"/>
    <x v="15"/>
    <x v="0"/>
    <x v="9"/>
    <x v="1"/>
    <x v="77"/>
    <x v="0"/>
    <n v="1"/>
    <n v="312"/>
    <x v="1"/>
    <x v="1"/>
    <n v="3.134796238244514E-3"/>
    <x v="4"/>
    <x v="0"/>
    <s v="OK"/>
    <x v="0"/>
    <s v="OK"/>
    <x v="0"/>
    <x v="0"/>
    <n v="1"/>
    <n v="0"/>
    <n v="0"/>
    <n v="0"/>
    <x v="0"/>
    <x v="0"/>
    <x v="0"/>
  </r>
  <r>
    <n v="20101155588"/>
    <x v="22"/>
    <x v="22"/>
    <x v="94"/>
    <x v="95"/>
    <x v="90"/>
    <n v="1"/>
    <x v="32"/>
    <s v="PATIO TALLER SANTA ANITA"/>
    <s v="AA.HH.SANTA MARIA GRUPO 07 MZ F3 LT 01"/>
    <x v="15"/>
    <x v="0"/>
    <x v="9"/>
    <x v="1"/>
    <x v="78"/>
    <x v="0"/>
    <n v="1"/>
    <n v="312"/>
    <x v="1"/>
    <x v="1"/>
    <n v="3.134796238244514E-3"/>
    <x v="1"/>
    <x v="0"/>
    <s v="OK"/>
    <x v="0"/>
    <s v="OK"/>
    <x v="0"/>
    <x v="0"/>
    <n v="1"/>
    <n v="0"/>
    <n v="0"/>
    <n v="0"/>
    <x v="0"/>
    <x v="0"/>
    <x v="0"/>
  </r>
  <r>
    <n v="20101155588"/>
    <x v="22"/>
    <x v="22"/>
    <x v="95"/>
    <x v="96"/>
    <x v="91"/>
    <n v="1"/>
    <x v="32"/>
    <s v="PATIO TALLER SANTA ANITA"/>
    <s v="AA.HH SANTA MARIA GRUPO 07 MZ F3 LT 01"/>
    <x v="15"/>
    <x v="0"/>
    <x v="9"/>
    <x v="1"/>
    <x v="79"/>
    <x v="0"/>
    <n v="1"/>
    <n v="312"/>
    <x v="1"/>
    <x v="1"/>
    <n v="3.134796238244514E-3"/>
    <x v="1"/>
    <x v="0"/>
    <s v="OK"/>
    <x v="0"/>
    <s v="OK"/>
    <x v="0"/>
    <x v="0"/>
    <n v="1"/>
    <n v="0"/>
    <n v="0"/>
    <n v="0"/>
    <x v="0"/>
    <x v="0"/>
    <x v="0"/>
  </r>
  <r>
    <n v="20101155588"/>
    <x v="22"/>
    <x v="22"/>
    <x v="96"/>
    <x v="97"/>
    <x v="92"/>
    <n v="1"/>
    <x v="32"/>
    <s v="ESTACION 25E"/>
    <s v="AV HUAROCHIRI MZ B LT 1"/>
    <x v="27"/>
    <x v="0"/>
    <x v="9"/>
    <x v="1"/>
    <x v="79"/>
    <x v="0"/>
    <n v="1"/>
    <n v="312"/>
    <x v="1"/>
    <x v="1"/>
    <n v="3.134796238244514E-3"/>
    <x v="4"/>
    <x v="0"/>
    <s v="OK"/>
    <x v="5"/>
    <s v="OK"/>
    <x v="0"/>
    <x v="0"/>
    <n v="1"/>
    <n v="1"/>
    <n v="0"/>
    <n v="0"/>
    <x v="0"/>
    <x v="0"/>
    <x v="0"/>
  </r>
  <r>
    <n v="20101155588"/>
    <x v="22"/>
    <x v="22"/>
    <x v="97"/>
    <x v="98"/>
    <x v="93"/>
    <m/>
    <x v="32"/>
    <s v="PATIO TALLER GUILLERMO DANSEY "/>
    <s v="CALLE PALOMARES 292"/>
    <x v="13"/>
    <x v="0"/>
    <x v="9"/>
    <x v="1"/>
    <x v="80"/>
    <x v="0"/>
    <n v="1"/>
    <n v="312"/>
    <x v="1"/>
    <x v="1"/>
    <n v="3.134796238244514E-3"/>
    <x v="4"/>
    <x v="0"/>
    <s v="OK"/>
    <x v="0"/>
    <s v="OK"/>
    <x v="0"/>
    <x v="0"/>
    <n v="1"/>
    <n v="0"/>
    <n v="0"/>
    <n v="0"/>
    <x v="0"/>
    <x v="0"/>
    <x v="0"/>
  </r>
  <r>
    <n v="20101155588"/>
    <x v="22"/>
    <x v="22"/>
    <x v="98"/>
    <x v="99"/>
    <x v="94"/>
    <n v="1"/>
    <x v="32"/>
    <s v="PATIO TALLER SANTA ANITA"/>
    <s v="CALLE EL TREBOL 227"/>
    <x v="46"/>
    <x v="0"/>
    <x v="9"/>
    <x v="1"/>
    <x v="78"/>
    <x v="0"/>
    <n v="1"/>
    <n v="312"/>
    <x v="1"/>
    <x v="1"/>
    <n v="3.134796238244514E-3"/>
    <x v="3"/>
    <x v="0"/>
    <s v="OK"/>
    <x v="7"/>
    <s v="OK"/>
    <x v="0"/>
    <x v="0"/>
    <n v="1"/>
    <n v="1"/>
    <n v="0"/>
    <n v="0"/>
    <x v="0"/>
    <x v="0"/>
    <x v="0"/>
  </r>
  <r>
    <n v="20101155588"/>
    <x v="22"/>
    <x v="22"/>
    <x v="99"/>
    <x v="100"/>
    <x v="95"/>
    <n v="1"/>
    <x v="32"/>
    <s v="PATIO TALLER GUILLERMO DANSEY "/>
    <s v="JIRON EL CHACO 2279"/>
    <x v="3"/>
    <x v="0"/>
    <x v="9"/>
    <x v="1"/>
    <x v="81"/>
    <x v="0"/>
    <n v="1"/>
    <n v="312"/>
    <x v="1"/>
    <x v="1"/>
    <n v="3.134796238244514E-3"/>
    <x v="4"/>
    <x v="0"/>
    <s v="OK"/>
    <x v="0"/>
    <s v="OK"/>
    <x v="0"/>
    <x v="0"/>
    <n v="1"/>
    <n v="0"/>
    <n v="0"/>
    <n v="0"/>
    <x v="0"/>
    <x v="0"/>
    <x v="0"/>
  </r>
  <r>
    <n v="20101155588"/>
    <x v="22"/>
    <x v="22"/>
    <x v="100"/>
    <x v="101"/>
    <x v="96"/>
    <n v="1"/>
    <x v="32"/>
    <s v="PATIO TALLER SANTA ANITA"/>
    <s v="AV MARIATEGUI 04 DE HUASCAR URB FRANCISCO BOLOGNESI"/>
    <x v="15"/>
    <x v="0"/>
    <x v="9"/>
    <x v="1"/>
    <x v="82"/>
    <x v="0"/>
    <n v="1"/>
    <n v="312"/>
    <x v="1"/>
    <x v="1"/>
    <n v="3.134796238244514E-3"/>
    <x v="2"/>
    <x v="0"/>
    <s v="OK"/>
    <x v="0"/>
    <s v="OK"/>
    <x v="0"/>
    <x v="0"/>
    <n v="1"/>
    <n v="0"/>
    <n v="0"/>
    <n v="0"/>
    <x v="0"/>
    <x v="0"/>
    <x v="0"/>
  </r>
  <r>
    <n v="20101155588"/>
    <x v="22"/>
    <x v="22"/>
    <x v="101"/>
    <x v="102"/>
    <x v="97"/>
    <n v="1"/>
    <x v="32"/>
    <s v="PATIO TALLER SANTA ANITA"/>
    <s v="CALLE CUCARDA 570"/>
    <x v="46"/>
    <x v="0"/>
    <x v="9"/>
    <x v="1"/>
    <x v="82"/>
    <x v="0"/>
    <n v="1"/>
    <n v="312"/>
    <x v="1"/>
    <x v="1"/>
    <n v="3.134796238244514E-3"/>
    <x v="3"/>
    <x v="0"/>
    <s v="OK"/>
    <x v="7"/>
    <s v="OK"/>
    <x v="0"/>
    <x v="0"/>
    <n v="1"/>
    <n v="1"/>
    <n v="0"/>
    <n v="0"/>
    <x v="0"/>
    <x v="0"/>
    <x v="0"/>
  </r>
  <r>
    <n v="20101155588"/>
    <x v="22"/>
    <x v="22"/>
    <x v="102"/>
    <x v="103"/>
    <x v="98"/>
    <n v="1"/>
    <x v="32"/>
    <s v="PATIO TALLER SANTA ANITA"/>
    <s v="CALLE MADRID 116 MAYORAZGO PRIMERA ETAPA ATE"/>
    <x v="47"/>
    <x v="0"/>
    <x v="9"/>
    <x v="1"/>
    <x v="82"/>
    <x v="0"/>
    <n v="1"/>
    <n v="312"/>
    <x v="1"/>
    <x v="1"/>
    <n v="3.134796238244514E-3"/>
    <x v="1"/>
    <x v="0"/>
    <s v="OK"/>
    <x v="0"/>
    <s v="OK"/>
    <x v="0"/>
    <x v="0"/>
    <n v="1"/>
    <n v="0"/>
    <n v="0"/>
    <n v="0"/>
    <x v="0"/>
    <x v="0"/>
    <x v="0"/>
  </r>
  <r>
    <n v="20101155588"/>
    <x v="22"/>
    <x v="22"/>
    <x v="103"/>
    <x v="104"/>
    <x v="99"/>
    <n v="1"/>
    <x v="32"/>
    <s v="PATIO TALLER SANTA ANITA"/>
    <s v="A.H CERRO EL PINO GRUPO SECTOR 16 MZ S16 LT 06"/>
    <x v="25"/>
    <x v="0"/>
    <x v="9"/>
    <x v="1"/>
    <x v="78"/>
    <x v="0"/>
    <n v="1"/>
    <n v="312"/>
    <x v="1"/>
    <x v="1"/>
    <n v="3.134796238244514E-3"/>
    <x v="4"/>
    <x v="0"/>
    <s v="OK"/>
    <x v="4"/>
    <s v="OK"/>
    <x v="0"/>
    <x v="0"/>
    <n v="1"/>
    <n v="1"/>
    <n v="0"/>
    <n v="0"/>
    <x v="0"/>
    <x v="0"/>
    <x v="0"/>
  </r>
  <r>
    <n v="20101155588"/>
    <x v="22"/>
    <x v="22"/>
    <x v="104"/>
    <x v="105"/>
    <x v="100"/>
    <n v="1"/>
    <x v="32"/>
    <s v="ESTACION 11 E"/>
    <s v="AV. PERU"/>
    <x v="48"/>
    <x v="0"/>
    <x v="9"/>
    <x v="1"/>
    <x v="83"/>
    <x v="0"/>
    <n v="1"/>
    <n v="312"/>
    <x v="1"/>
    <x v="1"/>
    <n v="3.134796238244514E-3"/>
    <x v="3"/>
    <x v="0"/>
    <s v="OK"/>
    <x v="0"/>
    <s v="OK"/>
    <x v="0"/>
    <x v="0"/>
    <n v="1"/>
    <n v="0"/>
    <n v="0"/>
    <n v="0"/>
    <x v="0"/>
    <x v="0"/>
    <x v="0"/>
  </r>
  <r>
    <n v="20101155588"/>
    <x v="22"/>
    <x v="22"/>
    <x v="105"/>
    <x v="106"/>
    <x v="101"/>
    <n v="1"/>
    <x v="32"/>
    <s v="ESTACION 15 B"/>
    <s v="Jr. ABTAO"/>
    <x v="25"/>
    <x v="0"/>
    <x v="9"/>
    <x v="1"/>
    <x v="84"/>
    <x v="0"/>
    <n v="1"/>
    <n v="312"/>
    <x v="1"/>
    <x v="1"/>
    <n v="3.134796238244514E-3"/>
    <x v="2"/>
    <x v="0"/>
    <s v="OK"/>
    <x v="4"/>
    <s v="OK"/>
    <x v="0"/>
    <x v="0"/>
    <n v="1"/>
    <n v="1"/>
    <n v="0"/>
    <n v="0"/>
    <x v="0"/>
    <x v="0"/>
    <x v="0"/>
  </r>
  <r>
    <n v="20101155588"/>
    <x v="22"/>
    <x v="22"/>
    <x v="106"/>
    <x v="107"/>
    <x v="102"/>
    <n v="1"/>
    <x v="32"/>
    <s v="DESCANSERO E 16"/>
    <s v="AV. SANTA MARÍA"/>
    <x v="15"/>
    <x v="0"/>
    <x v="9"/>
    <x v="1"/>
    <x v="85"/>
    <x v="0"/>
    <n v="1"/>
    <n v="312"/>
    <x v="1"/>
    <x v="1"/>
    <n v="3.134796238244514E-3"/>
    <x v="4"/>
    <x v="0"/>
    <s v="OK"/>
    <x v="0"/>
    <s v="OK"/>
    <x v="0"/>
    <x v="0"/>
    <n v="1"/>
    <n v="0"/>
    <n v="0"/>
    <n v="0"/>
    <x v="0"/>
    <x v="0"/>
    <x v="0"/>
  </r>
  <r>
    <n v="20101155588"/>
    <x v="22"/>
    <x v="22"/>
    <x v="107"/>
    <x v="108"/>
    <x v="103"/>
    <n v="1"/>
    <x v="32"/>
    <s v="PATIO TALLER GUILLERMO DANSEY "/>
    <s v="AV FRANCISCO BOLOGNESI 372"/>
    <x v="3"/>
    <x v="1"/>
    <x v="9"/>
    <x v="1"/>
    <x v="86"/>
    <x v="0"/>
    <n v="1"/>
    <n v="312"/>
    <x v="1"/>
    <x v="1"/>
    <n v="3.134796238244514E-3"/>
    <x v="2"/>
    <x v="0"/>
    <s v="OK"/>
    <x v="0"/>
    <s v="OK"/>
    <x v="0"/>
    <x v="0"/>
    <n v="1"/>
    <n v="0"/>
    <n v="0"/>
    <n v="0"/>
    <x v="0"/>
    <x v="0"/>
    <x v="0"/>
  </r>
  <r>
    <n v="20101155588"/>
    <x v="22"/>
    <x v="22"/>
    <x v="108"/>
    <x v="109"/>
    <x v="104"/>
    <n v="1"/>
    <x v="32"/>
    <s v="PATIO TALLER GUILLERMO DANSEY "/>
    <s v="MANUEL SEDANE MZ K LT 9 SARITA"/>
    <x v="6"/>
    <x v="0"/>
    <x v="9"/>
    <x v="1"/>
    <x v="86"/>
    <x v="0"/>
    <n v="1"/>
    <n v="312"/>
    <x v="1"/>
    <x v="1"/>
    <n v="3.134796238244514E-3"/>
    <x v="4"/>
    <x v="0"/>
    <s v="OK"/>
    <x v="2"/>
    <s v="OK"/>
    <x v="0"/>
    <x v="0"/>
    <n v="1"/>
    <n v="1"/>
    <n v="0"/>
    <n v="0"/>
    <x v="0"/>
    <x v="0"/>
    <x v="0"/>
  </r>
  <r>
    <n v="20101155588"/>
    <x v="22"/>
    <x v="22"/>
    <x v="109"/>
    <x v="110"/>
    <x v="105"/>
    <n v="1"/>
    <x v="32"/>
    <s v="PATIO TALLER GUILLERMO DANSEY "/>
    <s v="MZA LT 3 SAN MIGUELITO"/>
    <x v="3"/>
    <x v="0"/>
    <x v="9"/>
    <x v="1"/>
    <x v="86"/>
    <x v="0"/>
    <n v="1"/>
    <n v="312"/>
    <x v="1"/>
    <x v="1"/>
    <n v="3.134796238244514E-3"/>
    <x v="3"/>
    <x v="0"/>
    <s v="OK"/>
    <x v="0"/>
    <s v="OK"/>
    <x v="0"/>
    <x v="0"/>
    <n v="1"/>
    <n v="0"/>
    <n v="0"/>
    <n v="0"/>
    <x v="0"/>
    <x v="0"/>
    <x v="0"/>
  </r>
  <r>
    <n v="20101155588"/>
    <x v="22"/>
    <x v="22"/>
    <x v="110"/>
    <x v="111"/>
    <x v="106"/>
    <n v="1"/>
    <x v="32"/>
    <s v="PATIO TALLER GUILLERMO DANSEY "/>
    <s v="PRIMERO DE MAYO"/>
    <x v="6"/>
    <x v="0"/>
    <x v="9"/>
    <x v="1"/>
    <x v="86"/>
    <x v="0"/>
    <n v="1"/>
    <n v="312"/>
    <x v="1"/>
    <x v="1"/>
    <n v="3.134796238244514E-3"/>
    <x v="4"/>
    <x v="0"/>
    <s v="OK"/>
    <x v="2"/>
    <s v="OK"/>
    <x v="0"/>
    <x v="0"/>
    <n v="1"/>
    <n v="1"/>
    <n v="0"/>
    <n v="0"/>
    <x v="0"/>
    <x v="0"/>
    <x v="0"/>
  </r>
  <r>
    <n v="20101155588"/>
    <x v="22"/>
    <x v="22"/>
    <x v="111"/>
    <x v="112"/>
    <x v="107"/>
    <n v="1"/>
    <x v="32"/>
    <s v="DESCANSERO ZONA DANSEY"/>
    <s v="CALLE MANCO CAPAC ASENT.H DEFENSORES DE LA PATRIA MZG3 LT 10"/>
    <x v="2"/>
    <x v="0"/>
    <x v="9"/>
    <x v="1"/>
    <x v="87"/>
    <x v="0"/>
    <n v="1"/>
    <n v="312"/>
    <x v="1"/>
    <x v="1"/>
    <n v="3.134796238244514E-3"/>
    <x v="4"/>
    <x v="0"/>
    <s v="OK"/>
    <x v="2"/>
    <s v="OK"/>
    <x v="0"/>
    <x v="0"/>
    <n v="1"/>
    <n v="1"/>
    <n v="0"/>
    <n v="0"/>
    <x v="0"/>
    <x v="0"/>
    <x v="0"/>
  </r>
  <r>
    <n v="20101155588"/>
    <x v="22"/>
    <x v="22"/>
    <x v="112"/>
    <x v="113"/>
    <x v="108"/>
    <n v="1"/>
    <x v="32"/>
    <s v="ESTACION 11D"/>
    <s v="JR WASHINGTON 239"/>
    <x v="6"/>
    <x v="0"/>
    <x v="9"/>
    <x v="1"/>
    <x v="87"/>
    <x v="0"/>
    <n v="1"/>
    <n v="312"/>
    <x v="1"/>
    <x v="1"/>
    <n v="3.134796238244514E-3"/>
    <x v="3"/>
    <x v="0"/>
    <s v="OK"/>
    <x v="2"/>
    <s v="OK"/>
    <x v="0"/>
    <x v="0"/>
    <n v="1"/>
    <n v="1"/>
    <n v="0"/>
    <n v="0"/>
    <x v="0"/>
    <x v="0"/>
    <x v="0"/>
  </r>
  <r>
    <n v="20101155588"/>
    <x v="22"/>
    <x v="22"/>
    <x v="113"/>
    <x v="114"/>
    <x v="109"/>
    <n v="1"/>
    <x v="32"/>
    <s v="PATIO TALLER SANTA ANITA"/>
    <s v="MZ 143 LOTE 2 GRUPO 16 HUASCAR"/>
    <x v="15"/>
    <x v="0"/>
    <x v="9"/>
    <x v="1"/>
    <x v="87"/>
    <x v="0"/>
    <n v="1"/>
    <n v="312"/>
    <x v="1"/>
    <x v="1"/>
    <n v="3.134796238244514E-3"/>
    <x v="2"/>
    <x v="0"/>
    <s v="OK"/>
    <x v="0"/>
    <s v="OK"/>
    <x v="0"/>
    <x v="0"/>
    <n v="1"/>
    <n v="0"/>
    <n v="0"/>
    <n v="0"/>
    <x v="0"/>
    <x v="0"/>
    <x v="0"/>
  </r>
  <r>
    <n v="20101155588"/>
    <x v="22"/>
    <x v="22"/>
    <x v="114"/>
    <x v="115"/>
    <x v="110"/>
    <n v="1"/>
    <x v="32"/>
    <s v="PATIO TALLER DANSEY"/>
    <s v="JIRON MARTIR OLAYA 955"/>
    <x v="3"/>
    <x v="0"/>
    <x v="9"/>
    <x v="1"/>
    <x v="88"/>
    <x v="0"/>
    <n v="1"/>
    <n v="312"/>
    <x v="1"/>
    <x v="1"/>
    <n v="3.134796238244514E-3"/>
    <x v="2"/>
    <x v="0"/>
    <s v="OK"/>
    <x v="0"/>
    <s v="OK"/>
    <x v="0"/>
    <x v="0"/>
    <n v="1"/>
    <n v="0"/>
    <n v="0"/>
    <n v="0"/>
    <x v="0"/>
    <x v="0"/>
    <x v="0"/>
  </r>
  <r>
    <n v="20101155588"/>
    <x v="22"/>
    <x v="22"/>
    <x v="115"/>
    <x v="116"/>
    <x v="111"/>
    <n v="1"/>
    <x v="32"/>
    <s v="PATIO TALLER DANSEY"/>
    <s v="JIRON GONZALES VIGIL 115"/>
    <x v="49"/>
    <x v="0"/>
    <x v="9"/>
    <x v="1"/>
    <x v="89"/>
    <x v="0"/>
    <n v="1"/>
    <n v="312"/>
    <x v="1"/>
    <x v="1"/>
    <n v="3.134796238244514E-3"/>
    <x v="3"/>
    <x v="0"/>
    <s v="OK"/>
    <x v="0"/>
    <s v="OK"/>
    <x v="0"/>
    <x v="0"/>
    <n v="1"/>
    <n v="0"/>
    <n v="0"/>
    <n v="0"/>
    <x v="0"/>
    <x v="0"/>
    <x v="0"/>
  </r>
  <r>
    <n v="20101155588"/>
    <x v="22"/>
    <x v="22"/>
    <x v="116"/>
    <x v="117"/>
    <x v="112"/>
    <n v="1"/>
    <x v="32"/>
    <s v="PATIO TALLER SANTA ANITA"/>
    <s v="AV LOS CHANCAS MZ D LT6"/>
    <x v="27"/>
    <x v="0"/>
    <x v="3"/>
    <x v="1"/>
    <x v="89"/>
    <x v="0"/>
    <n v="1"/>
    <n v="228"/>
    <x v="1"/>
    <x v="1"/>
    <n v="3.134796238244514E-3"/>
    <x v="1"/>
    <x v="0"/>
    <s v="OK"/>
    <x v="5"/>
    <s v="OK"/>
    <x v="0"/>
    <x v="0"/>
    <n v="1"/>
    <n v="1"/>
    <n v="0"/>
    <n v="1"/>
    <x v="0"/>
    <x v="1"/>
    <x v="0"/>
  </r>
  <r>
    <n v="20101155588"/>
    <x v="22"/>
    <x v="22"/>
    <x v="117"/>
    <x v="118"/>
    <x v="113"/>
    <n v="1"/>
    <x v="32"/>
    <s v="POZO 09"/>
    <s v="HUSARES DE JUNIN MZ F LOTE 13"/>
    <x v="3"/>
    <x v="0"/>
    <x v="6"/>
    <x v="1"/>
    <x v="90"/>
    <x v="0"/>
    <n v="1"/>
    <n v="312"/>
    <x v="1"/>
    <x v="1"/>
    <n v="3.134796238244514E-3"/>
    <x v="2"/>
    <x v="0"/>
    <s v="OK"/>
    <x v="0"/>
    <s v="OK"/>
    <x v="0"/>
    <x v="0"/>
    <n v="1"/>
    <n v="0"/>
    <n v="0"/>
    <n v="0"/>
    <x v="0"/>
    <x v="0"/>
    <x v="0"/>
  </r>
  <r>
    <n v="20101155588"/>
    <x v="22"/>
    <x v="22"/>
    <x v="118"/>
    <x v="119"/>
    <x v="114"/>
    <n v="1"/>
    <x v="32"/>
    <s v="PATIO TALLER GUILLERMO DANSEY "/>
    <s v="MZ M LOTE 7 COMITÉ 11 PASAJE 6-FLOR DE AMANCAES"/>
    <x v="13"/>
    <x v="0"/>
    <x v="6"/>
    <x v="1"/>
    <x v="90"/>
    <x v="0"/>
    <n v="1"/>
    <n v="312"/>
    <x v="1"/>
    <x v="1"/>
    <n v="3.134796238244514E-3"/>
    <x v="4"/>
    <x v="0"/>
    <s v="OK"/>
    <x v="0"/>
    <s v="OK"/>
    <x v="0"/>
    <x v="0"/>
    <n v="1"/>
    <n v="0"/>
    <n v="0"/>
    <n v="0"/>
    <x v="0"/>
    <x v="0"/>
    <x v="0"/>
  </r>
  <r>
    <n v="20101155588"/>
    <x v="22"/>
    <x v="22"/>
    <x v="119"/>
    <x v="120"/>
    <x v="115"/>
    <n v="1"/>
    <x v="32"/>
    <s v="PATIO TALLER SANTA ANITA"/>
    <s v="PASAJE SANTA MARIA 161"/>
    <x v="46"/>
    <x v="0"/>
    <x v="6"/>
    <x v="1"/>
    <x v="91"/>
    <x v="0"/>
    <n v="1"/>
    <n v="312"/>
    <x v="1"/>
    <x v="1"/>
    <n v="3.134796238244514E-3"/>
    <x v="1"/>
    <x v="0"/>
    <s v="OK"/>
    <x v="7"/>
    <s v="OK"/>
    <x v="0"/>
    <x v="0"/>
    <n v="1"/>
    <n v="1"/>
    <n v="0"/>
    <n v="0"/>
    <x v="0"/>
    <x v="0"/>
    <x v="0"/>
  </r>
  <r>
    <n v="20101155588"/>
    <x v="22"/>
    <x v="22"/>
    <x v="120"/>
    <x v="121"/>
    <x v="116"/>
    <n v="1"/>
    <x v="32"/>
    <s v="PATIO TALLER SANTA ANITA"/>
    <s v="CALLE CULTURA MOCHICA 115 COOP ANDAHUAYLAS"/>
    <x v="27"/>
    <x v="0"/>
    <x v="6"/>
    <x v="1"/>
    <x v="92"/>
    <x v="0"/>
    <n v="1"/>
    <n v="312"/>
    <x v="1"/>
    <x v="1"/>
    <n v="3.134796238244514E-3"/>
    <x v="2"/>
    <x v="0"/>
    <s v="OK"/>
    <x v="5"/>
    <s v="OK"/>
    <x v="0"/>
    <x v="0"/>
    <n v="1"/>
    <n v="1"/>
    <n v="0"/>
    <n v="0"/>
    <x v="0"/>
    <x v="0"/>
    <x v="0"/>
  </r>
  <r>
    <n v="20101155588"/>
    <x v="22"/>
    <x v="22"/>
    <x v="121"/>
    <x v="122"/>
    <x v="117"/>
    <n v="1"/>
    <x v="32"/>
    <s v="POZO 11"/>
    <s v="AV CANTA CALLAO LOS ALGARROBOS"/>
    <x v="3"/>
    <x v="0"/>
    <x v="6"/>
    <x v="1"/>
    <x v="93"/>
    <x v="0"/>
    <n v="1"/>
    <n v="312"/>
    <x v="1"/>
    <x v="1"/>
    <n v="3.134796238244514E-3"/>
    <x v="2"/>
    <x v="0"/>
    <s v="OK"/>
    <x v="0"/>
    <s v="OK"/>
    <x v="0"/>
    <x v="0"/>
    <n v="1"/>
    <n v="0"/>
    <n v="0"/>
    <n v="0"/>
    <x v="0"/>
    <x v="0"/>
    <x v="0"/>
  </r>
  <r>
    <n v="20101155588"/>
    <x v="22"/>
    <x v="22"/>
    <x v="122"/>
    <x v="123"/>
    <x v="118"/>
    <n v="1"/>
    <x v="32"/>
    <s v="PATIO TALLER SANTA ANITA"/>
    <s v="AAHH VIOLETA CORREA DE BELAUNDE MZ K LOTE 10"/>
    <x v="50"/>
    <x v="0"/>
    <x v="6"/>
    <x v="1"/>
    <x v="18"/>
    <x v="0"/>
    <n v="1"/>
    <n v="312"/>
    <x v="1"/>
    <x v="1"/>
    <n v="3.134796238244514E-3"/>
    <x v="4"/>
    <x v="0"/>
    <s v="OK"/>
    <x v="0"/>
    <s v="OK"/>
    <x v="0"/>
    <x v="0"/>
    <n v="1"/>
    <n v="0"/>
    <n v="0"/>
    <n v="0"/>
    <x v="0"/>
    <x v="0"/>
    <x v="0"/>
  </r>
  <r>
    <n v="20101155588"/>
    <x v="22"/>
    <x v="22"/>
    <x v="123"/>
    <x v="124"/>
    <x v="119"/>
    <n v="1"/>
    <x v="32"/>
    <s v="ANDEN 25"/>
    <s v="UCV 55 LOTE 37 ZONA C HUAYCAN"/>
    <x v="1"/>
    <x v="0"/>
    <x v="6"/>
    <x v="1"/>
    <x v="94"/>
    <x v="0"/>
    <n v="1"/>
    <n v="312"/>
    <x v="1"/>
    <x v="1"/>
    <n v="3.134796238244514E-3"/>
    <x v="4"/>
    <x v="0"/>
    <s v="OK"/>
    <x v="1"/>
    <s v="OK"/>
    <x v="0"/>
    <x v="0"/>
    <n v="1"/>
    <n v="1"/>
    <n v="0"/>
    <n v="0"/>
    <x v="0"/>
    <x v="0"/>
    <x v="0"/>
  </r>
  <r>
    <n v="20101155588"/>
    <x v="22"/>
    <x v="22"/>
    <x v="124"/>
    <x v="125"/>
    <x v="120"/>
    <n v="1"/>
    <x v="32"/>
    <s v="ESTACION 13E"/>
    <s v="PSJ SAN PEDRO AAHH SEÑOR DE LOS MILAGROS MZ G1 LT 7"/>
    <x v="46"/>
    <x v="0"/>
    <x v="6"/>
    <x v="1"/>
    <x v="95"/>
    <x v="0"/>
    <n v="1"/>
    <n v="312"/>
    <x v="1"/>
    <x v="1"/>
    <n v="3.134796238244514E-3"/>
    <x v="4"/>
    <x v="0"/>
    <s v="OK"/>
    <x v="7"/>
    <s v="OK"/>
    <x v="0"/>
    <x v="0"/>
    <n v="1"/>
    <n v="1"/>
    <n v="0"/>
    <n v="0"/>
    <x v="0"/>
    <x v="0"/>
    <x v="0"/>
  </r>
  <r>
    <n v="20101155588"/>
    <x v="22"/>
    <x v="22"/>
    <x v="125"/>
    <x v="126"/>
    <x v="121"/>
    <n v="1"/>
    <x v="32"/>
    <s v="DESCANSERO DANSEY"/>
    <s v="MZ 118 LT 19 MARQUEZ"/>
    <x v="6"/>
    <x v="0"/>
    <x v="6"/>
    <x v="1"/>
    <x v="96"/>
    <x v="0"/>
    <n v="1"/>
    <n v="312"/>
    <x v="1"/>
    <x v="1"/>
    <n v="3.134796238244514E-3"/>
    <x v="2"/>
    <x v="0"/>
    <s v="OK"/>
    <x v="2"/>
    <s v="OK"/>
    <x v="0"/>
    <x v="0"/>
    <n v="1"/>
    <n v="1"/>
    <n v="0"/>
    <n v="0"/>
    <x v="0"/>
    <x v="0"/>
    <x v="0"/>
  </r>
  <r>
    <n v="20101155588"/>
    <x v="22"/>
    <x v="22"/>
    <x v="126"/>
    <x v="127"/>
    <x v="122"/>
    <n v="1"/>
    <x v="32"/>
    <s v="ESTACION 11E"/>
    <s v="JUAN MANUEL RAMIREZ VILLA EL CARMEN"/>
    <x v="44"/>
    <x v="0"/>
    <x v="6"/>
    <x v="1"/>
    <x v="96"/>
    <x v="0"/>
    <n v="1"/>
    <n v="312"/>
    <x v="1"/>
    <x v="1"/>
    <n v="3.134796238244514E-3"/>
    <x v="4"/>
    <x v="0"/>
    <s v="OK"/>
    <x v="0"/>
    <s v="OK"/>
    <x v="0"/>
    <x v="0"/>
    <n v="1"/>
    <n v="0"/>
    <n v="0"/>
    <n v="0"/>
    <x v="0"/>
    <x v="0"/>
    <x v="0"/>
  </r>
  <r>
    <n v="20101155588"/>
    <x v="22"/>
    <x v="22"/>
    <x v="127"/>
    <x v="128"/>
    <x v="123"/>
    <n v="1"/>
    <x v="32"/>
    <s v="PATIO TALLER SANTA ANITA"/>
    <s v="UCV 165 ZONA L LT 29 HUAYCAN"/>
    <x v="1"/>
    <x v="0"/>
    <x v="2"/>
    <x v="1"/>
    <x v="96"/>
    <x v="0"/>
    <n v="1"/>
    <n v="12"/>
    <x v="1"/>
    <x v="1"/>
    <n v="3.134796238244514E-3"/>
    <x v="3"/>
    <x v="0"/>
    <s v="OK"/>
    <x v="1"/>
    <s v="OK"/>
    <x v="0"/>
    <x v="0"/>
    <n v="1"/>
    <n v="1"/>
    <n v="0"/>
    <n v="1"/>
    <x v="0"/>
    <x v="1"/>
    <x v="0"/>
  </r>
  <r>
    <n v="20101155588"/>
    <x v="22"/>
    <x v="22"/>
    <x v="128"/>
    <x v="129"/>
    <x v="124"/>
    <n v="1"/>
    <x v="32"/>
    <s v="DESCANSERO DANSEY"/>
    <s v="AAHH SEÑOR DE LOS MILAGROS  MZ E2 LT 6 PAYET S3"/>
    <x v="44"/>
    <x v="0"/>
    <x v="6"/>
    <x v="1"/>
    <x v="96"/>
    <x v="0"/>
    <n v="1"/>
    <n v="312"/>
    <x v="1"/>
    <x v="1"/>
    <n v="3.134796238244514E-3"/>
    <x v="1"/>
    <x v="0"/>
    <s v="OK"/>
    <x v="0"/>
    <s v="OK"/>
    <x v="0"/>
    <x v="0"/>
    <n v="1"/>
    <n v="0"/>
    <n v="0"/>
    <n v="0"/>
    <x v="0"/>
    <x v="0"/>
    <x v="0"/>
  </r>
  <r>
    <n v="20101155588"/>
    <x v="22"/>
    <x v="22"/>
    <x v="129"/>
    <x v="130"/>
    <x v="50"/>
    <n v="1"/>
    <x v="32"/>
    <s v="ESTACION 10D"/>
    <s v="JR OMBUES URB LAS FLORES MZ Q LT 29"/>
    <x v="15"/>
    <x v="0"/>
    <x v="6"/>
    <x v="1"/>
    <x v="97"/>
    <x v="0"/>
    <n v="1"/>
    <n v="288"/>
    <x v="1"/>
    <x v="1"/>
    <n v="3.134796238244514E-3"/>
    <x v="2"/>
    <x v="0"/>
    <s v="OK"/>
    <x v="0"/>
    <s v="OK"/>
    <x v="0"/>
    <x v="0"/>
    <n v="1"/>
    <n v="0"/>
    <n v="0"/>
    <n v="0"/>
    <x v="0"/>
    <x v="0"/>
    <x v="0"/>
  </r>
  <r>
    <n v="20101155588"/>
    <x v="22"/>
    <x v="22"/>
    <x v="130"/>
    <x v="131"/>
    <x v="125"/>
    <n v="1"/>
    <x v="32"/>
    <s v="ESTACION 10D"/>
    <s v="JR LLOQUE YUPANQUI 951"/>
    <x v="51"/>
    <x v="0"/>
    <x v="6"/>
    <x v="1"/>
    <x v="7"/>
    <x v="0"/>
    <n v="1"/>
    <n v="192"/>
    <x v="1"/>
    <x v="1"/>
    <n v="3.134796238244514E-3"/>
    <x v="2"/>
    <x v="0"/>
    <s v="OK"/>
    <x v="0"/>
    <s v="OK"/>
    <x v="0"/>
    <x v="0"/>
    <n v="1"/>
    <n v="0"/>
    <n v="0"/>
    <n v="0"/>
    <x v="0"/>
    <x v="0"/>
    <x v="0"/>
  </r>
  <r>
    <n v="20101155588"/>
    <x v="22"/>
    <x v="22"/>
    <x v="131"/>
    <x v="132"/>
    <x v="126"/>
    <n v="1"/>
    <x v="32"/>
    <s v="PATIO TALLER DANSEY"/>
    <s v="JR LLOQUE YUPANQUI 951"/>
    <x v="51"/>
    <x v="0"/>
    <x v="6"/>
    <x v="1"/>
    <x v="7"/>
    <x v="0"/>
    <n v="1"/>
    <n v="192"/>
    <x v="1"/>
    <x v="1"/>
    <n v="3.134796238244514E-3"/>
    <x v="4"/>
    <x v="0"/>
    <s v="OK"/>
    <x v="0"/>
    <s v="OK"/>
    <x v="0"/>
    <x v="0"/>
    <n v="1"/>
    <n v="0"/>
    <n v="0"/>
    <n v="0"/>
    <x v="0"/>
    <x v="0"/>
    <x v="0"/>
  </r>
  <r>
    <n v="20101155588"/>
    <x v="22"/>
    <x v="22"/>
    <x v="132"/>
    <x v="133"/>
    <x v="127"/>
    <n v="1"/>
    <x v="32"/>
    <s v="PATIO TALLER SANTA ANITA"/>
    <s v="AV JOSE RODRIGUEZ DE MENDOZA MZ A LT 1"/>
    <x v="27"/>
    <x v="0"/>
    <x v="6"/>
    <x v="1"/>
    <x v="7"/>
    <x v="0"/>
    <n v="1"/>
    <n v="192"/>
    <x v="1"/>
    <x v="1"/>
    <n v="3.134796238244514E-3"/>
    <x v="1"/>
    <x v="0"/>
    <s v="OK"/>
    <x v="5"/>
    <s v="OK"/>
    <x v="0"/>
    <x v="0"/>
    <n v="1"/>
    <n v="1"/>
    <n v="0"/>
    <n v="0"/>
    <x v="0"/>
    <x v="0"/>
    <x v="0"/>
  </r>
  <r>
    <n v="20101155588"/>
    <x v="22"/>
    <x v="22"/>
    <x v="133"/>
    <x v="134"/>
    <x v="128"/>
    <n v="1"/>
    <x v="32"/>
    <s v="PATIO TALLER SANTA ANITA"/>
    <s v="MZ O LT 5 COOPERATIVA ALFONSO COBIAN"/>
    <x v="52"/>
    <x v="0"/>
    <x v="6"/>
    <x v="1"/>
    <x v="98"/>
    <x v="0"/>
    <n v="1"/>
    <n v="180"/>
    <x v="1"/>
    <x v="1"/>
    <n v="3.134796238244514E-3"/>
    <x v="3"/>
    <x v="0"/>
    <s v="OK"/>
    <x v="0"/>
    <s v="OK"/>
    <x v="0"/>
    <x v="0"/>
    <n v="1"/>
    <n v="0"/>
    <n v="0"/>
    <n v="0"/>
    <x v="0"/>
    <x v="0"/>
    <x v="0"/>
  </r>
  <r>
    <n v="20101155588"/>
    <x v="22"/>
    <x v="22"/>
    <x v="134"/>
    <x v="135"/>
    <x v="129"/>
    <n v="1"/>
    <x v="32"/>
    <s v="PATIO TALLER SANTA ANITA"/>
    <s v="MONTERREY 3 MS F LOTE 4 LAS AMERICAS"/>
    <x v="1"/>
    <x v="0"/>
    <x v="6"/>
    <x v="1"/>
    <x v="98"/>
    <x v="0"/>
    <n v="1"/>
    <n v="180"/>
    <x v="1"/>
    <x v="1"/>
    <n v="3.134796238244514E-3"/>
    <x v="3"/>
    <x v="0"/>
    <s v="OK"/>
    <x v="1"/>
    <s v="OK"/>
    <x v="0"/>
    <x v="0"/>
    <n v="1"/>
    <n v="1"/>
    <n v="0"/>
    <n v="0"/>
    <x v="0"/>
    <x v="0"/>
    <x v="0"/>
  </r>
  <r>
    <n v="20101155588"/>
    <x v="22"/>
    <x v="22"/>
    <x v="135"/>
    <x v="136"/>
    <x v="130"/>
    <n v="1"/>
    <x v="32"/>
    <s v="POZO 10 B"/>
    <s v="AV ALFREDO MENDIOLA 1560"/>
    <x v="3"/>
    <x v="0"/>
    <x v="10"/>
    <x v="1"/>
    <x v="98"/>
    <x v="0"/>
    <n v="1"/>
    <n v="144"/>
    <x v="1"/>
    <x v="1"/>
    <n v="3.134796238244514E-3"/>
    <x v="1"/>
    <x v="0"/>
    <s v="OK"/>
    <x v="0"/>
    <s v="OK"/>
    <x v="0"/>
    <x v="0"/>
    <n v="1"/>
    <n v="0"/>
    <n v="0"/>
    <n v="1"/>
    <x v="0"/>
    <x v="1"/>
    <x v="0"/>
  </r>
  <r>
    <n v="20101155588"/>
    <x v="22"/>
    <x v="22"/>
    <x v="136"/>
    <x v="137"/>
    <x v="131"/>
    <n v="1"/>
    <x v="32"/>
    <s v="ESTACION 16A"/>
    <s v="JAUREGUI 511"/>
    <x v="25"/>
    <x v="0"/>
    <x v="6"/>
    <x v="1"/>
    <x v="99"/>
    <x v="0"/>
    <n v="1"/>
    <n v="156"/>
    <x v="1"/>
    <x v="1"/>
    <n v="3.134796238244514E-3"/>
    <x v="2"/>
    <x v="0"/>
    <s v="OK"/>
    <x v="4"/>
    <s v="OK"/>
    <x v="0"/>
    <x v="0"/>
    <n v="1"/>
    <n v="1"/>
    <n v="0"/>
    <n v="0"/>
    <x v="0"/>
    <x v="0"/>
    <x v="0"/>
  </r>
  <r>
    <n v="20101155588"/>
    <x v="22"/>
    <x v="22"/>
    <x v="137"/>
    <x v="138"/>
    <x v="132"/>
    <n v="1"/>
    <x v="32"/>
    <s v="POZO 08B"/>
    <s v="BOCA NEGRA SECTOR 2 MZ C16 LT 1"/>
    <x v="6"/>
    <x v="0"/>
    <x v="6"/>
    <x v="1"/>
    <x v="99"/>
    <x v="0"/>
    <n v="1"/>
    <n v="156"/>
    <x v="1"/>
    <x v="1"/>
    <n v="3.134796238244514E-3"/>
    <x v="3"/>
    <x v="0"/>
    <s v="OK"/>
    <x v="2"/>
    <s v="OK"/>
    <x v="0"/>
    <x v="0"/>
    <n v="1"/>
    <n v="1"/>
    <n v="0"/>
    <n v="0"/>
    <x v="0"/>
    <x v="0"/>
    <x v="0"/>
  </r>
  <r>
    <n v="20101155588"/>
    <x v="22"/>
    <x v="22"/>
    <x v="138"/>
    <x v="139"/>
    <x v="133"/>
    <n v="1"/>
    <x v="32"/>
    <s v="ESTACION 12C"/>
    <s v="MZ O LOTE 20 ASOCIACION DE PROP LAS GARDENIAS"/>
    <x v="3"/>
    <x v="0"/>
    <x v="6"/>
    <x v="1"/>
    <x v="99"/>
    <x v="0"/>
    <n v="1"/>
    <n v="156"/>
    <x v="1"/>
    <x v="1"/>
    <n v="3.134796238244514E-3"/>
    <x v="2"/>
    <x v="0"/>
    <s v="OK"/>
    <x v="0"/>
    <s v="OK"/>
    <x v="0"/>
    <x v="0"/>
    <n v="1"/>
    <n v="0"/>
    <n v="0"/>
    <n v="0"/>
    <x v="0"/>
    <x v="0"/>
    <x v="0"/>
  </r>
  <r>
    <n v="20101155588"/>
    <x v="22"/>
    <x v="22"/>
    <x v="139"/>
    <x v="140"/>
    <x v="134"/>
    <n v="1"/>
    <x v="32"/>
    <s v="PATIO TALLER SANTA ANITA"/>
    <s v="JR 03 DE FEBRERO"/>
    <x v="25"/>
    <x v="0"/>
    <x v="6"/>
    <x v="1"/>
    <x v="53"/>
    <x v="0"/>
    <n v="1"/>
    <n v="120"/>
    <x v="1"/>
    <x v="1"/>
    <n v="3.134796238244514E-3"/>
    <x v="3"/>
    <x v="0"/>
    <s v="OK"/>
    <x v="4"/>
    <s v="OK"/>
    <x v="0"/>
    <x v="0"/>
    <n v="1"/>
    <n v="1"/>
    <n v="0"/>
    <n v="0"/>
    <x v="0"/>
    <x v="0"/>
    <x v="0"/>
  </r>
  <r>
    <n v="20101155588"/>
    <x v="22"/>
    <x v="22"/>
    <x v="140"/>
    <x v="141"/>
    <x v="135"/>
    <n v="1"/>
    <x v="32"/>
    <s v="ESTACION 18C"/>
    <s v="URB MARISCAL CACERES JIRON ESTE MZ C 1 LOTE 21"/>
    <x v="15"/>
    <x v="0"/>
    <x v="6"/>
    <x v="1"/>
    <x v="100"/>
    <x v="0"/>
    <n v="1"/>
    <n v="300"/>
    <x v="1"/>
    <x v="1"/>
    <n v="3.134796238244514E-3"/>
    <x v="3"/>
    <x v="0"/>
    <s v="OK"/>
    <x v="0"/>
    <s v="OK"/>
    <x v="0"/>
    <x v="0"/>
    <n v="1"/>
    <n v="0"/>
    <n v="1"/>
    <n v="0"/>
    <x v="0"/>
    <x v="0"/>
    <x v="1"/>
  </r>
  <r>
    <n v="20101155588"/>
    <x v="22"/>
    <x v="22"/>
    <x v="141"/>
    <x v="142"/>
    <x v="136"/>
    <n v="1"/>
    <x v="32"/>
    <s v="POZO 08B"/>
    <s v="AV BOLIVIA 1109"/>
    <x v="5"/>
    <x v="0"/>
    <x v="6"/>
    <x v="1"/>
    <x v="100"/>
    <x v="0"/>
    <n v="1"/>
    <n v="300"/>
    <x v="1"/>
    <x v="1"/>
    <n v="3.134796238244514E-3"/>
    <x v="2"/>
    <x v="0"/>
    <s v="OK"/>
    <x v="3"/>
    <s v="OK"/>
    <x v="0"/>
    <x v="0"/>
    <n v="1"/>
    <n v="1"/>
    <n v="1"/>
    <n v="0"/>
    <x v="0"/>
    <x v="0"/>
    <x v="1"/>
  </r>
  <r>
    <n v="20101155588"/>
    <x v="22"/>
    <x v="22"/>
    <x v="142"/>
    <x v="143"/>
    <x v="34"/>
    <n v="1"/>
    <x v="32"/>
    <s v="ANDEN 26"/>
    <s v="LAS PRADERAS 2 CON PARQUE CONFRATERNIDAD"/>
    <x v="27"/>
    <x v="0"/>
    <x v="6"/>
    <x v="1"/>
    <x v="100"/>
    <x v="0"/>
    <n v="1"/>
    <n v="300"/>
    <x v="1"/>
    <x v="1"/>
    <n v="3.134796238244514E-3"/>
    <x v="2"/>
    <x v="0"/>
    <s v="OK"/>
    <x v="5"/>
    <s v="OK"/>
    <x v="0"/>
    <x v="0"/>
    <n v="1"/>
    <n v="1"/>
    <n v="1"/>
    <n v="0"/>
    <x v="0"/>
    <x v="0"/>
    <x v="1"/>
  </r>
  <r>
    <n v="20101155588"/>
    <x v="22"/>
    <x v="22"/>
    <x v="143"/>
    <x v="144"/>
    <x v="137"/>
    <n v="1"/>
    <x v="32"/>
    <s v="POZO 10B"/>
    <s v="CALLE LOS PETALOS DE NARANJAL MZ E LOTE 18"/>
    <x v="3"/>
    <x v="0"/>
    <x v="6"/>
    <x v="1"/>
    <x v="100"/>
    <x v="0"/>
    <n v="1"/>
    <n v="300"/>
    <x v="1"/>
    <x v="1"/>
    <n v="3.134796238244514E-3"/>
    <x v="1"/>
    <x v="0"/>
    <s v="OK"/>
    <x v="0"/>
    <s v="OK"/>
    <x v="0"/>
    <x v="0"/>
    <n v="1"/>
    <n v="0"/>
    <n v="1"/>
    <n v="0"/>
    <x v="0"/>
    <x v="0"/>
    <x v="1"/>
  </r>
  <r>
    <n v="20508430681"/>
    <x v="23"/>
    <x v="23"/>
    <x v="144"/>
    <x v="145"/>
    <x v="138"/>
    <n v="2"/>
    <x v="15"/>
    <s v="SUMINISTRO E INSTALACION DE PANELES VITRIFICADOS EN E1, E2, E3,E10,E11, E14,E15 Y E17"/>
    <s v="R. JOSE BALTA 195 URB SAN JUANITO"/>
    <x v="53"/>
    <x v="0"/>
    <x v="0"/>
    <x v="1"/>
    <x v="101"/>
    <x v="0"/>
    <n v="4"/>
    <n v="85"/>
    <x v="0"/>
    <x v="1"/>
    <n v="9.433962264150943E-3"/>
    <x v="3"/>
    <x v="0"/>
    <s v="OK"/>
    <x v="0"/>
    <s v="OK"/>
    <x v="0"/>
    <x v="0"/>
    <n v="1"/>
    <n v="0"/>
    <n v="1"/>
    <n v="0"/>
    <x v="0"/>
    <x v="0"/>
    <x v="1"/>
  </r>
  <r>
    <n v="20508430681"/>
    <x v="23"/>
    <x v="23"/>
    <x v="145"/>
    <x v="146"/>
    <x v="49"/>
    <n v="2"/>
    <x v="15"/>
    <s v="SUMINISTRO E INSTALACION DE PANELES VITRIFICADOS EN E1, E2, E3,E10,E11, E14,E15 Y E17"/>
    <s v="URB. LOS ANGELES MZ C LT 2 "/>
    <x v="4"/>
    <x v="0"/>
    <x v="0"/>
    <x v="1"/>
    <x v="102"/>
    <x v="0"/>
    <n v="4"/>
    <n v="192"/>
    <x v="0"/>
    <x v="1"/>
    <n v="9.433962264150943E-3"/>
    <x v="3"/>
    <x v="0"/>
    <s v="OK"/>
    <x v="0"/>
    <s v="OK"/>
    <x v="0"/>
    <x v="0"/>
    <n v="1"/>
    <n v="0"/>
    <n v="0"/>
    <n v="0"/>
    <x v="0"/>
    <x v="0"/>
    <x v="0"/>
  </r>
  <r>
    <n v="20508430681"/>
    <x v="23"/>
    <x v="23"/>
    <x v="146"/>
    <x v="147"/>
    <x v="139"/>
    <n v="2"/>
    <x v="15"/>
    <s v="SUMINISTRO E INSTALACION DE PANELES VITRIFICADOS EN E1, E2, E3,E10,E11, E14,E15 Y E17"/>
    <s v="PSJ. SANTA CLARITA 151 ASOC. SANTA CLARITA"/>
    <x v="1"/>
    <x v="0"/>
    <x v="0"/>
    <x v="1"/>
    <x v="103"/>
    <x v="0"/>
    <n v="4"/>
    <n v="96"/>
    <x v="0"/>
    <x v="1"/>
    <n v="9.433962264150943E-3"/>
    <x v="3"/>
    <x v="0"/>
    <s v="OK"/>
    <x v="1"/>
    <s v="OK"/>
    <x v="0"/>
    <x v="0"/>
    <n v="1"/>
    <n v="1"/>
    <n v="1"/>
    <n v="0"/>
    <x v="0"/>
    <x v="0"/>
    <x v="1"/>
  </r>
  <r>
    <n v="20508430681"/>
    <x v="23"/>
    <x v="23"/>
    <x v="147"/>
    <x v="148"/>
    <x v="140"/>
    <n v="2"/>
    <x v="2"/>
    <s v="SUMINISTRO E INSTALACION DE PANELES VITRIFICADOS EN E1, E2, E3,E10,E11, E14,E15 Y E17"/>
    <s v="CALLE PILCOMAYO 507"/>
    <x v="5"/>
    <x v="0"/>
    <x v="0"/>
    <x v="1"/>
    <x v="100"/>
    <x v="0"/>
    <n v="4"/>
    <n v="168"/>
    <x v="0"/>
    <x v="1"/>
    <n v="9.433962264150943E-3"/>
    <x v="5"/>
    <x v="0"/>
    <s v="OK"/>
    <x v="3"/>
    <s v="OK"/>
    <x v="0"/>
    <x v="0"/>
    <n v="1"/>
    <n v="1"/>
    <n v="1"/>
    <n v="0"/>
    <x v="0"/>
    <x v="0"/>
    <x v="1"/>
  </r>
  <r>
    <n v="20508430681"/>
    <x v="23"/>
    <x v="23"/>
    <x v="148"/>
    <x v="149"/>
    <x v="141"/>
    <n v="1"/>
    <x v="33"/>
    <s v="SUMINISTRO E INSTALACION DE PANELES VITRIFICADOS EN E1, E2, E3,E10,E11, E14,E15 Y E17"/>
    <s v="CALLE LAS CAMPANILLAS 126 DPTO.4 URB. PAULO VI"/>
    <x v="28"/>
    <x v="0"/>
    <x v="0"/>
    <x v="1"/>
    <x v="104"/>
    <x v="0"/>
    <n v="4"/>
    <n v="192"/>
    <x v="0"/>
    <x v="1"/>
    <n v="9.433962264150943E-3"/>
    <x v="3"/>
    <x v="0"/>
    <s v="OK"/>
    <x v="0"/>
    <s v="OK"/>
    <x v="0"/>
    <x v="0"/>
    <n v="1"/>
    <n v="0"/>
    <n v="0"/>
    <n v="0"/>
    <x v="0"/>
    <x v="0"/>
    <x v="0"/>
  </r>
  <r>
    <n v="20508430681"/>
    <x v="23"/>
    <x v="23"/>
    <x v="149"/>
    <x v="150"/>
    <x v="142"/>
    <n v="2"/>
    <x v="15"/>
    <s v="SUMINISTRO E INSTALACION DE PANELES VITRIFICADOS EN E1, E2, E3,E10,E11, E14,E15 Y E17"/>
    <s v="ASOC. VIV.RESD PRIMAVERA MZ. A LT. 27"/>
    <x v="46"/>
    <x v="0"/>
    <x v="0"/>
    <x v="1"/>
    <x v="2"/>
    <x v="0"/>
    <n v="4"/>
    <n v="192"/>
    <x v="0"/>
    <x v="1"/>
    <n v="9.433962264150943E-3"/>
    <x v="2"/>
    <x v="0"/>
    <s v="OK"/>
    <x v="7"/>
    <s v="OK"/>
    <x v="0"/>
    <x v="0"/>
    <n v="1"/>
    <n v="1"/>
    <n v="0"/>
    <n v="0"/>
    <x v="0"/>
    <x v="0"/>
    <x v="0"/>
  </r>
  <r>
    <n v="20508430681"/>
    <x v="23"/>
    <x v="23"/>
    <x v="150"/>
    <x v="151"/>
    <x v="143"/>
    <n v="2"/>
    <x v="15"/>
    <s v="SUMINISTRO E INSTALACION DE PANELES VITRIFICADOS EN E1, E2, E3,E10,E11, E14,E15 Y E17"/>
    <s v="PSJ. NUEVA ESPERANZA ASENT.H. VILLA ESPERANZA CMTE 9 MZ. F1 LT. 7"/>
    <x v="54"/>
    <x v="0"/>
    <x v="0"/>
    <x v="1"/>
    <x v="105"/>
    <x v="0"/>
    <n v="4"/>
    <n v="192"/>
    <x v="0"/>
    <x v="1"/>
    <n v="9.433962264150943E-3"/>
    <x v="0"/>
    <x v="0"/>
    <s v="OK"/>
    <x v="0"/>
    <s v="OK"/>
    <x v="0"/>
    <x v="0"/>
    <n v="1"/>
    <n v="0"/>
    <n v="0"/>
    <n v="0"/>
    <x v="0"/>
    <x v="0"/>
    <x v="0"/>
  </r>
  <r>
    <n v="20508430681"/>
    <x v="23"/>
    <x v="23"/>
    <x v="151"/>
    <x v="152"/>
    <x v="144"/>
    <n v="2"/>
    <x v="15"/>
    <s v="SUMINISTRO E INSTALACION DE PANELES VITRIFICADOS EN E1, E2, E3,E10,E11, E14,E15 Y E17"/>
    <s v="LLUCHUBAMBA"/>
    <x v="55"/>
    <x v="0"/>
    <x v="0"/>
    <x v="1"/>
    <x v="106"/>
    <x v="0"/>
    <n v="4"/>
    <n v="192"/>
    <x v="0"/>
    <x v="1"/>
    <n v="9.433962264150943E-3"/>
    <x v="0"/>
    <x v="0"/>
    <s v="OK"/>
    <x v="0"/>
    <s v="OK"/>
    <x v="0"/>
    <x v="0"/>
    <n v="1"/>
    <n v="0"/>
    <n v="0"/>
    <n v="0"/>
    <x v="0"/>
    <x v="0"/>
    <x v="0"/>
  </r>
  <r>
    <n v="20508430681"/>
    <x v="23"/>
    <x v="23"/>
    <x v="152"/>
    <x v="153"/>
    <x v="145"/>
    <n v="2"/>
    <x v="2"/>
    <s v="SUMINISTRO E INSTALACION DE PANELES VITRIFICADOS EN E1, E2, E3,E10,E11, E14,E15 Y E17"/>
    <s v="JR. VICTOR FAJARDO 908"/>
    <x v="17"/>
    <x v="0"/>
    <x v="11"/>
    <x v="1"/>
    <x v="107"/>
    <x v="2"/>
    <n v="4"/>
    <n v="160"/>
    <x v="0"/>
    <x v="1"/>
    <n v="9.433962264150943E-3"/>
    <x v="0"/>
    <x v="0"/>
    <s v="OK"/>
    <x v="2"/>
    <s v="OK"/>
    <x v="0"/>
    <x v="0"/>
    <n v="1"/>
    <n v="1"/>
    <n v="0"/>
    <n v="1"/>
    <x v="0"/>
    <x v="1"/>
    <x v="0"/>
  </r>
  <r>
    <s v="20603966695"/>
    <x v="24"/>
    <x v="24"/>
    <x v="153"/>
    <x v="154"/>
    <x v="146"/>
    <n v="3"/>
    <x v="34"/>
    <s v="ESTACION 05 L4"/>
    <s v="JR. CUZCO 3139 PERU 3ERA ZONA"/>
    <x v="3"/>
    <x v="0"/>
    <x v="0"/>
    <x v="1"/>
    <x v="108"/>
    <x v="0"/>
    <n v="1"/>
    <n v="286"/>
    <x v="0"/>
    <x v="0"/>
    <n v="4.9019607843137254E-3"/>
    <x v="1"/>
    <x v="0"/>
    <s v="OK"/>
    <x v="0"/>
    <s v="OK"/>
    <x v="0"/>
    <x v="0"/>
    <n v="1"/>
    <n v="0"/>
    <n v="0"/>
    <n v="0"/>
    <x v="0"/>
    <x v="0"/>
    <x v="0"/>
  </r>
  <r>
    <s v="20600373863"/>
    <x v="25"/>
    <x v="24"/>
    <x v="154"/>
    <x v="155"/>
    <x v="147"/>
    <n v="1"/>
    <x v="23"/>
    <s v="ESTACION 06 L4"/>
    <s v="JR CORPANCHO 180 DT 301 "/>
    <x v="56"/>
    <x v="1"/>
    <x v="12"/>
    <x v="1"/>
    <x v="109"/>
    <x v="2"/>
    <n v="1"/>
    <n v="176"/>
    <x v="0"/>
    <x v="1"/>
    <n v="4.9019607843137254E-3"/>
    <x v="3"/>
    <x v="0"/>
    <s v="OK"/>
    <x v="0"/>
    <s v="OK"/>
    <x v="0"/>
    <x v="0"/>
    <n v="1"/>
    <n v="0"/>
    <n v="0"/>
    <n v="1"/>
    <x v="0"/>
    <x v="1"/>
    <x v="0"/>
  </r>
  <r>
    <s v="20600373863"/>
    <x v="25"/>
    <x v="24"/>
    <x v="155"/>
    <x v="156"/>
    <x v="148"/>
    <n v="2"/>
    <x v="2"/>
    <s v="ESTACION 05 L4"/>
    <s v="JR. BELLO HORIZONTE 1854"/>
    <x v="57"/>
    <x v="0"/>
    <x v="0"/>
    <x v="1"/>
    <x v="110"/>
    <x v="0"/>
    <n v="4"/>
    <n v="286"/>
    <x v="0"/>
    <x v="1"/>
    <n v="4.9019607843137254E-3"/>
    <x v="3"/>
    <x v="0"/>
    <s v="OK"/>
    <x v="0"/>
    <s v="OK"/>
    <x v="0"/>
    <x v="0"/>
    <n v="1"/>
    <n v="0"/>
    <n v="0"/>
    <n v="0"/>
    <x v="0"/>
    <x v="0"/>
    <x v="0"/>
  </r>
  <r>
    <s v="20600373863"/>
    <x v="25"/>
    <x v="24"/>
    <x v="156"/>
    <x v="157"/>
    <x v="149"/>
    <n v="3"/>
    <x v="35"/>
    <s v="ESTACION 05 L4"/>
    <s v="SECTOR 9 GRUPO 6 MZ D LT 12"/>
    <x v="19"/>
    <x v="0"/>
    <x v="0"/>
    <x v="1"/>
    <x v="82"/>
    <x v="0"/>
    <n v="1"/>
    <n v="286"/>
    <x v="0"/>
    <x v="1"/>
    <n v="4.9019607843137254E-3"/>
    <x v="2"/>
    <x v="0"/>
    <s v="OK"/>
    <x v="0"/>
    <s v="OK"/>
    <x v="0"/>
    <x v="0"/>
    <n v="1"/>
    <n v="0"/>
    <n v="0"/>
    <n v="0"/>
    <x v="0"/>
    <x v="0"/>
    <x v="0"/>
  </r>
  <r>
    <s v="20600373863"/>
    <x v="25"/>
    <x v="24"/>
    <x v="157"/>
    <x v="158"/>
    <x v="150"/>
    <n v="2"/>
    <x v="2"/>
    <s v="ESTACION 01 L4"/>
    <s v="URB. FAUCETT MZ. K LT. 07"/>
    <x v="6"/>
    <x v="0"/>
    <x v="0"/>
    <x v="1"/>
    <x v="111"/>
    <x v="0"/>
    <n v="4"/>
    <n v="286"/>
    <x v="0"/>
    <x v="1"/>
    <n v="4.9019607843137254E-3"/>
    <x v="4"/>
    <x v="0"/>
    <s v="OK"/>
    <x v="2"/>
    <s v="OK"/>
    <x v="0"/>
    <x v="0"/>
    <n v="1"/>
    <n v="1"/>
    <n v="0"/>
    <n v="0"/>
    <x v="0"/>
    <x v="0"/>
    <x v="0"/>
  </r>
  <r>
    <s v="20600373863"/>
    <x v="25"/>
    <x v="24"/>
    <x v="158"/>
    <x v="159"/>
    <x v="151"/>
    <n v="2"/>
    <x v="2"/>
    <s v="ESTACION 03 L4"/>
    <s v="ARICA 830 INT 4"/>
    <x v="6"/>
    <x v="0"/>
    <x v="0"/>
    <x v="1"/>
    <x v="112"/>
    <x v="0"/>
    <n v="4"/>
    <n v="286"/>
    <x v="0"/>
    <x v="1"/>
    <n v="4.9019607843137254E-3"/>
    <x v="3"/>
    <x v="0"/>
    <s v="OK"/>
    <x v="2"/>
    <s v="OK"/>
    <x v="0"/>
    <x v="0"/>
    <n v="1"/>
    <n v="1"/>
    <n v="0"/>
    <n v="0"/>
    <x v="0"/>
    <x v="0"/>
    <x v="0"/>
  </r>
  <r>
    <s v="20600373863"/>
    <x v="25"/>
    <x v="24"/>
    <x v="159"/>
    <x v="160"/>
    <x v="152"/>
    <n v="2"/>
    <x v="2"/>
    <s v="ESTACION 03 L4"/>
    <s v="CALLE JUAN TELLO 105 URB LA COLONIAL"/>
    <x v="6"/>
    <x v="0"/>
    <x v="13"/>
    <x v="1"/>
    <x v="52"/>
    <x v="2"/>
    <n v="4"/>
    <n v="88"/>
    <x v="0"/>
    <x v="1"/>
    <n v="4.9019607843137254E-3"/>
    <x v="3"/>
    <x v="0"/>
    <s v="OK"/>
    <x v="2"/>
    <s v="OK"/>
    <x v="0"/>
    <x v="1"/>
    <n v="0.5"/>
    <n v="0.5"/>
    <n v="0"/>
    <n v="1"/>
    <x v="0"/>
    <x v="1"/>
    <x v="0"/>
  </r>
  <r>
    <n v="20566343631"/>
    <x v="26"/>
    <x v="25"/>
    <x v="160"/>
    <x v="161"/>
    <x v="153"/>
    <n v="2"/>
    <x v="36"/>
    <s v="Trazo y Replanteo para Instalaciones Electricas Túnel - Etapa 01B"/>
    <s v="Sector Las Mercedes AA.HH. Portada de Manchay II Mz. O Lote 13"/>
    <x v="58"/>
    <x v="0"/>
    <x v="0"/>
    <x v="1"/>
    <x v="113"/>
    <x v="0"/>
    <n v="4"/>
    <n v="184"/>
    <x v="0"/>
    <x v="1"/>
    <n v="5.0251256281407036E-3"/>
    <x v="4"/>
    <x v="0"/>
    <s v="OK"/>
    <x v="0"/>
    <s v="OK"/>
    <x v="0"/>
    <x v="0"/>
    <n v="1"/>
    <n v="0"/>
    <n v="0"/>
    <n v="0"/>
    <x v="0"/>
    <x v="0"/>
    <x v="0"/>
  </r>
  <r>
    <n v="20566343631"/>
    <x v="26"/>
    <x v="25"/>
    <x v="161"/>
    <x v="162"/>
    <x v="154"/>
    <n v="2"/>
    <x v="37"/>
    <s v="Trazo y Replanteo para Instalaciones Electricas Túnel - Etapa 01B"/>
    <s v="Calle Las Esmeraldas de Manchay Sect. Pedregal Mz. X06"/>
    <x v="58"/>
    <x v="0"/>
    <x v="0"/>
    <x v="1"/>
    <x v="114"/>
    <x v="0"/>
    <n v="4"/>
    <n v="184"/>
    <x v="0"/>
    <x v="1"/>
    <n v="5.0251256281407036E-3"/>
    <x v="4"/>
    <x v="0"/>
    <s v="OK"/>
    <x v="0"/>
    <s v="OK"/>
    <x v="0"/>
    <x v="0"/>
    <n v="1"/>
    <n v="0"/>
    <n v="0"/>
    <n v="0"/>
    <x v="0"/>
    <x v="0"/>
    <x v="0"/>
  </r>
  <r>
    <s v="20611000520"/>
    <x v="27"/>
    <x v="26"/>
    <x v="162"/>
    <x v="163"/>
    <x v="155"/>
    <n v="2"/>
    <x v="38"/>
    <s v="ESTACION -01"/>
    <s v="ANEXO ATOCC "/>
    <x v="59"/>
    <x v="0"/>
    <x v="0"/>
    <x v="2"/>
    <x v="115"/>
    <x v="0"/>
    <n v="1"/>
    <n v="79"/>
    <x v="0"/>
    <x v="1"/>
    <n v="0.125"/>
    <x v="2"/>
    <x v="0"/>
    <s v="OK"/>
    <x v="0"/>
    <s v="OK"/>
    <x v="0"/>
    <x v="0"/>
    <n v="1"/>
    <n v="0"/>
    <n v="1"/>
    <n v="0"/>
    <x v="0"/>
    <x v="0"/>
    <x v="1"/>
  </r>
  <r>
    <n v="20555684721"/>
    <x v="28"/>
    <x v="27"/>
    <x v="163"/>
    <x v="164"/>
    <x v="156"/>
    <n v="1"/>
    <x v="17"/>
    <s v="PATIO TALLER /PV/ESTACIONES/LAB"/>
    <s v="Chahuanta s/n Cacachaqui    MATUCANA HUAROCHIRI "/>
    <x v="60"/>
    <x v="0"/>
    <x v="0"/>
    <x v="2"/>
    <x v="116"/>
    <x v="0"/>
    <n v="1"/>
    <n v="263"/>
    <x v="0"/>
    <x v="1"/>
    <n v="1.4285714285714285E-2"/>
    <x v="3"/>
    <x v="0"/>
    <s v="OK"/>
    <x v="0"/>
    <s v="OK"/>
    <x v="0"/>
    <x v="0"/>
    <n v="1"/>
    <n v="0"/>
    <n v="0"/>
    <n v="0"/>
    <x v="0"/>
    <x v="0"/>
    <x v="0"/>
  </r>
  <r>
    <n v="20555684721"/>
    <x v="28"/>
    <x v="27"/>
    <x v="164"/>
    <x v="165"/>
    <x v="157"/>
    <n v="1"/>
    <x v="17"/>
    <s v="PATIO TALLER /PV/ESTACIONES/LAB"/>
    <s v="ASANTAMIENTO H.SANTA ROSA  LAS CONCHITAS MZ.E LT. 6 "/>
    <x v="8"/>
    <x v="0"/>
    <x v="0"/>
    <x v="2"/>
    <x v="117"/>
    <x v="0"/>
    <n v="1"/>
    <n v="263"/>
    <x v="0"/>
    <x v="1"/>
    <n v="1.4285714285714285E-2"/>
    <x v="3"/>
    <x v="0"/>
    <s v="OK"/>
    <x v="0"/>
    <s v="OK"/>
    <x v="0"/>
    <x v="0"/>
    <n v="1"/>
    <n v="0"/>
    <n v="0"/>
    <n v="0"/>
    <x v="0"/>
    <x v="0"/>
    <x v="0"/>
  </r>
  <r>
    <n v="20555684721"/>
    <x v="28"/>
    <x v="27"/>
    <x v="165"/>
    <x v="166"/>
    <x v="143"/>
    <n v="1"/>
    <x v="17"/>
    <s v="PATIO TALLER /PV/ESTACIONES/LAB"/>
    <s v="CHAHUANTA S/N CACACHAQUI   MATUCANA "/>
    <x v="61"/>
    <x v="0"/>
    <x v="0"/>
    <x v="2"/>
    <x v="118"/>
    <x v="0"/>
    <n v="1"/>
    <n v="263"/>
    <x v="0"/>
    <x v="1"/>
    <n v="1.4285714285714285E-2"/>
    <x v="0"/>
    <x v="0"/>
    <s v="OK"/>
    <x v="0"/>
    <s v="OK"/>
    <x v="0"/>
    <x v="0"/>
    <n v="1"/>
    <n v="0"/>
    <n v="0"/>
    <n v="0"/>
    <x v="0"/>
    <x v="0"/>
    <x v="0"/>
  </r>
  <r>
    <n v="20555684721"/>
    <x v="28"/>
    <x v="27"/>
    <x v="166"/>
    <x v="167"/>
    <x v="158"/>
    <n v="1"/>
    <x v="17"/>
    <s v="PATIO TALLER /PV/ESTACIONES/LAB"/>
    <s v="AAHH. Keyko Sofía Fujimori Mz G Lt 02 "/>
    <x v="33"/>
    <x v="0"/>
    <x v="0"/>
    <x v="2"/>
    <x v="119"/>
    <x v="0"/>
    <n v="1"/>
    <n v="263"/>
    <x v="0"/>
    <x v="1"/>
    <n v="1.4285714285714285E-2"/>
    <x v="2"/>
    <x v="0"/>
    <s v="OK"/>
    <x v="0"/>
    <s v="OK"/>
    <x v="0"/>
    <x v="0"/>
    <n v="1"/>
    <n v="0"/>
    <n v="0"/>
    <n v="0"/>
    <x v="0"/>
    <x v="0"/>
    <x v="0"/>
  </r>
  <r>
    <n v="20555684721"/>
    <x v="28"/>
    <x v="27"/>
    <x v="167"/>
    <x v="168"/>
    <x v="159"/>
    <n v="1"/>
    <x v="17"/>
    <s v="PATIO TALLER /PV/ESTACIONES/LAB"/>
    <s v="CESAR VALLEJO COMITÉ 46 MZ. 45 LT. 22  "/>
    <x v="8"/>
    <x v="0"/>
    <x v="0"/>
    <x v="2"/>
    <x v="120"/>
    <x v="0"/>
    <n v="1"/>
    <n v="260"/>
    <x v="0"/>
    <x v="1"/>
    <n v="1.4285714285714285E-2"/>
    <x v="0"/>
    <x v="0"/>
    <s v="OK"/>
    <x v="0"/>
    <s v="OK"/>
    <x v="0"/>
    <x v="0"/>
    <n v="1"/>
    <n v="0"/>
    <n v="0"/>
    <n v="0"/>
    <x v="0"/>
    <x v="0"/>
    <x v="0"/>
  </r>
  <r>
    <n v="20555684721"/>
    <x v="28"/>
    <x v="27"/>
    <x v="168"/>
    <x v="169"/>
    <x v="160"/>
    <n v="1"/>
    <x v="17"/>
    <s v="PATIO TALLER /PV/ESTACIONES/LAB"/>
    <s v="Juan Velazco, cmt.7,mz.U, Lt.5 Ricardo Palma_x000d__x000a_Ricardo Palma"/>
    <x v="60"/>
    <x v="0"/>
    <x v="0"/>
    <x v="2"/>
    <x v="121"/>
    <x v="0"/>
    <n v="1"/>
    <n v="242"/>
    <x v="0"/>
    <x v="1"/>
    <n v="1.4285714285714285E-2"/>
    <x v="4"/>
    <x v="0"/>
    <s v="OK"/>
    <x v="0"/>
    <s v="OK"/>
    <x v="0"/>
    <x v="0"/>
    <n v="1"/>
    <n v="0"/>
    <n v="0"/>
    <n v="0"/>
    <x v="0"/>
    <x v="0"/>
    <x v="0"/>
  </r>
  <r>
    <n v="20555684721"/>
    <x v="28"/>
    <x v="27"/>
    <x v="169"/>
    <x v="170"/>
    <x v="161"/>
    <n v="1"/>
    <x v="17"/>
    <s v="PATIO TALLER /PV/ESTACIONES/LAB"/>
    <s v="JR. ALBINO TORRES 155 P.J  CESAR VALLEJO  -  VILLA MARIA DEL TRIUNFO - LIMA "/>
    <x v="8"/>
    <x v="0"/>
    <x v="0"/>
    <x v="2"/>
    <x v="121"/>
    <x v="0"/>
    <n v="1"/>
    <n v="242"/>
    <x v="0"/>
    <x v="1"/>
    <n v="1.4285714285714285E-2"/>
    <x v="0"/>
    <x v="0"/>
    <s v="OK"/>
    <x v="0"/>
    <s v="OK"/>
    <x v="0"/>
    <x v="0"/>
    <n v="1"/>
    <n v="0"/>
    <n v="0"/>
    <n v="0"/>
    <x v="0"/>
    <x v="0"/>
    <x v="0"/>
  </r>
  <r>
    <n v="20555684721"/>
    <x v="28"/>
    <x v="27"/>
    <x v="170"/>
    <x v="171"/>
    <x v="162"/>
    <n v="1"/>
    <x v="17"/>
    <s v="PATIO TALLER /PV/ESTACIONES/LAB"/>
    <s v="AAHH.LOS ROSALES MZ.Ñ4 LT.10 "/>
    <x v="62"/>
    <x v="0"/>
    <x v="0"/>
    <x v="2"/>
    <x v="122"/>
    <x v="0"/>
    <n v="1"/>
    <n v="252"/>
    <x v="0"/>
    <x v="1"/>
    <n v="1.4285714285714285E-2"/>
    <x v="2"/>
    <x v="0"/>
    <s v="OK"/>
    <x v="0"/>
    <s v="OK"/>
    <x v="0"/>
    <x v="0"/>
    <n v="1"/>
    <n v="0"/>
    <n v="0"/>
    <n v="0"/>
    <x v="0"/>
    <x v="0"/>
    <x v="0"/>
  </r>
  <r>
    <n v="20555684721"/>
    <x v="28"/>
    <x v="27"/>
    <x v="171"/>
    <x v="172"/>
    <x v="163"/>
    <n v="1"/>
    <x v="17"/>
    <s v="PATIO TALLER /PV/ESTACIONES/LAB"/>
    <s v="ASOCIACION 7 DE AGOSTO, MZ G LT 16"/>
    <x v="6"/>
    <x v="0"/>
    <x v="0"/>
    <x v="2"/>
    <x v="123"/>
    <x v="0"/>
    <n v="1"/>
    <n v="250"/>
    <x v="0"/>
    <x v="1"/>
    <n v="1.4285714285714285E-2"/>
    <x v="2"/>
    <x v="0"/>
    <s v="OK"/>
    <x v="2"/>
    <s v="OK"/>
    <x v="0"/>
    <x v="0"/>
    <n v="1"/>
    <n v="1"/>
    <n v="0"/>
    <n v="0"/>
    <x v="0"/>
    <x v="0"/>
    <x v="0"/>
  </r>
  <r>
    <n v="20555684721"/>
    <x v="28"/>
    <x v="27"/>
    <x v="172"/>
    <x v="173"/>
    <x v="164"/>
    <n v="1"/>
    <x v="17"/>
    <s v="PATIO TALLER /PV/ESTACIONES/LAB"/>
    <s v="A.H. LAS BRISAS SECTOR 1, PS G22 MZ D LT 8"/>
    <x v="6"/>
    <x v="0"/>
    <x v="10"/>
    <x v="2"/>
    <x v="123"/>
    <x v="2"/>
    <n v="1"/>
    <n v="75"/>
    <x v="0"/>
    <x v="1"/>
    <n v="1.4285714285714285E-2"/>
    <x v="1"/>
    <x v="0"/>
    <s v="OK"/>
    <x v="2"/>
    <s v="OK"/>
    <x v="0"/>
    <x v="0"/>
    <n v="1"/>
    <n v="1"/>
    <n v="0"/>
    <n v="1"/>
    <x v="0"/>
    <x v="1"/>
    <x v="0"/>
  </r>
  <r>
    <n v="20555684721"/>
    <x v="28"/>
    <x v="27"/>
    <x v="173"/>
    <x v="174"/>
    <x v="165"/>
    <n v="1"/>
    <x v="17"/>
    <s v="PATIO TALLER /PV/ESTACIONES/LAB"/>
    <s v="AA.HH NESTOR GAMBETA BAJA-COME 30 MZ C LT 02 "/>
    <x v="6"/>
    <x v="0"/>
    <x v="0"/>
    <x v="2"/>
    <x v="123"/>
    <x v="0"/>
    <n v="1"/>
    <n v="263"/>
    <x v="0"/>
    <x v="1"/>
    <n v="1.4285714285714285E-2"/>
    <x v="0"/>
    <x v="0"/>
    <s v="OK"/>
    <x v="2"/>
    <s v="OK"/>
    <x v="0"/>
    <x v="0"/>
    <n v="1"/>
    <n v="1"/>
    <n v="0"/>
    <n v="0"/>
    <x v="0"/>
    <x v="0"/>
    <x v="0"/>
  </r>
  <r>
    <n v="20555684721"/>
    <x v="28"/>
    <x v="27"/>
    <x v="174"/>
    <x v="175"/>
    <x v="166"/>
    <n v="1"/>
    <x v="17"/>
    <s v="PATIO TALLER /PV/ESTACIONES/LAB"/>
    <s v="JR. LOS PALTOS 187 ERMITAÑO"/>
    <x v="44"/>
    <x v="0"/>
    <x v="0"/>
    <x v="2"/>
    <x v="124"/>
    <x v="0"/>
    <n v="1"/>
    <n v="230"/>
    <x v="0"/>
    <x v="1"/>
    <n v="1.4285714285714285E-2"/>
    <x v="3"/>
    <x v="0"/>
    <s v="OK"/>
    <x v="0"/>
    <s v="OK"/>
    <x v="0"/>
    <x v="0"/>
    <n v="1"/>
    <n v="0"/>
    <n v="0"/>
    <n v="0"/>
    <x v="0"/>
    <x v="0"/>
    <x v="0"/>
  </r>
  <r>
    <n v="20555684721"/>
    <x v="28"/>
    <x v="27"/>
    <x v="175"/>
    <x v="176"/>
    <x v="167"/>
    <n v="1"/>
    <x v="17"/>
    <s v="PATIO TALLER /PV/ESTACIONES/LAB"/>
    <s v="JR. ALEJANDRO GONZALEZ URB.A.MORENO DE CACERES SCT.III MZ.D LT.11"/>
    <x v="2"/>
    <x v="0"/>
    <x v="0"/>
    <x v="2"/>
    <x v="124"/>
    <x v="0"/>
    <n v="1"/>
    <n v="245"/>
    <x v="0"/>
    <x v="1"/>
    <n v="1.4285714285714285E-2"/>
    <x v="2"/>
    <x v="0"/>
    <s v="OK"/>
    <x v="2"/>
    <s v="OK"/>
    <x v="0"/>
    <x v="0"/>
    <n v="1"/>
    <n v="1"/>
    <n v="0"/>
    <n v="0"/>
    <x v="0"/>
    <x v="0"/>
    <x v="0"/>
  </r>
  <r>
    <n v="20555684721"/>
    <x v="28"/>
    <x v="27"/>
    <x v="176"/>
    <x v="177"/>
    <x v="168"/>
    <n v="1"/>
    <x v="17"/>
    <s v="PATIO TALLER /PV/ESTACIONES/LAB"/>
    <s v="NETOR GAMBETA COMITÉ 30 MZ. C LT. 8  "/>
    <x v="6"/>
    <x v="0"/>
    <x v="0"/>
    <x v="2"/>
    <x v="124"/>
    <x v="0"/>
    <n v="1"/>
    <n v="252"/>
    <x v="0"/>
    <x v="1"/>
    <n v="1.4285714285714285E-2"/>
    <x v="1"/>
    <x v="0"/>
    <s v="OK"/>
    <x v="2"/>
    <s v="OK"/>
    <x v="0"/>
    <x v="0"/>
    <n v="1"/>
    <n v="1"/>
    <n v="0"/>
    <n v="0"/>
    <x v="0"/>
    <x v="0"/>
    <x v="0"/>
  </r>
  <r>
    <n v="20555684721"/>
    <x v="28"/>
    <x v="27"/>
    <x v="177"/>
    <x v="178"/>
    <x v="169"/>
    <n v="1"/>
    <x v="17"/>
    <s v="PATIO TALLER /PV/ESTACIONES/LAB"/>
    <s v="AV.LOPEZ PASOS 112 URB. REYNOSO"/>
    <x v="63"/>
    <x v="0"/>
    <x v="0"/>
    <x v="2"/>
    <x v="124"/>
    <x v="0"/>
    <n v="1"/>
    <n v="263"/>
    <x v="0"/>
    <x v="1"/>
    <n v="1.4285714285714285E-2"/>
    <x v="1"/>
    <x v="0"/>
    <s v="OK"/>
    <x v="2"/>
    <s v="OK"/>
    <x v="0"/>
    <x v="0"/>
    <n v="1"/>
    <n v="1"/>
    <n v="0"/>
    <n v="0"/>
    <x v="0"/>
    <x v="0"/>
    <x v="0"/>
  </r>
  <r>
    <n v="20555684721"/>
    <x v="28"/>
    <x v="27"/>
    <x v="178"/>
    <x v="179"/>
    <x v="170"/>
    <n v="1"/>
    <x v="17"/>
    <s v="PATIO TALLER /PV/ESTACIONES/LAB"/>
    <s v="CALLE LAS MARGARITAS MZ E LT.27 PROG VIV. DESARROLLO 2000"/>
    <x v="2"/>
    <x v="0"/>
    <x v="0"/>
    <x v="2"/>
    <x v="125"/>
    <x v="0"/>
    <n v="1"/>
    <n v="252"/>
    <x v="0"/>
    <x v="1"/>
    <n v="1.4285714285714285E-2"/>
    <x v="3"/>
    <x v="0"/>
    <s v="OK"/>
    <x v="2"/>
    <s v="OK"/>
    <x v="0"/>
    <x v="0"/>
    <n v="1"/>
    <n v="1"/>
    <n v="0"/>
    <n v="0"/>
    <x v="0"/>
    <x v="0"/>
    <x v="0"/>
  </r>
  <r>
    <n v="20555684721"/>
    <x v="28"/>
    <x v="27"/>
    <x v="179"/>
    <x v="180"/>
    <x v="171"/>
    <n v="1"/>
    <x v="17"/>
    <s v="PATIO TALLER /PV/ESTACIONES/LAB"/>
    <s v="ASOC. PROP. OLIVOS STA ROSA MZ.C LT. 13"/>
    <x v="6"/>
    <x v="0"/>
    <x v="0"/>
    <x v="2"/>
    <x v="27"/>
    <x v="0"/>
    <n v="1"/>
    <n v="263"/>
    <x v="0"/>
    <x v="1"/>
    <n v="1.4285714285714285E-2"/>
    <x v="5"/>
    <x v="0"/>
    <s v="OK"/>
    <x v="2"/>
    <s v="OK"/>
    <x v="0"/>
    <x v="0"/>
    <n v="1"/>
    <n v="1"/>
    <n v="0"/>
    <n v="0"/>
    <x v="0"/>
    <x v="0"/>
    <x v="0"/>
  </r>
  <r>
    <s v="20601668018"/>
    <x v="29"/>
    <x v="28"/>
    <x v="180"/>
    <x v="181"/>
    <x v="172"/>
    <n v="3"/>
    <x v="39"/>
    <s v="E03"/>
    <s v="SECTOR SAN JUAN SECTOR 3 - BELLAVISTA MZ. R LT. 2"/>
    <x v="64"/>
    <x v="0"/>
    <x v="0"/>
    <x v="2"/>
    <x v="126"/>
    <x v="0"/>
    <n v="1"/>
    <n v="178"/>
    <x v="0"/>
    <x v="0"/>
    <n v="9.8039215686274508E-3"/>
    <x v="4"/>
    <x v="0"/>
    <s v="OK"/>
    <x v="2"/>
    <s v="OK"/>
    <x v="0"/>
    <x v="0"/>
    <n v="1"/>
    <n v="1"/>
    <n v="0"/>
    <n v="0"/>
    <x v="0"/>
    <x v="0"/>
    <x v="0"/>
  </r>
  <r>
    <s v="20601668018"/>
    <x v="29"/>
    <x v="28"/>
    <x v="181"/>
    <x v="182"/>
    <x v="173"/>
    <n v="3"/>
    <x v="40"/>
    <s v="E01"/>
    <s v="OTROS SECTOR. ESCORPIO STA. ROSA MZ. A LT. 5"/>
    <x v="65"/>
    <x v="0"/>
    <x v="0"/>
    <x v="2"/>
    <x v="127"/>
    <x v="0"/>
    <n v="1"/>
    <n v="153"/>
    <x v="0"/>
    <x v="0"/>
    <n v="9.8039215686274508E-3"/>
    <x v="1"/>
    <x v="0"/>
    <s v="OK"/>
    <x v="0"/>
    <s v="OK"/>
    <x v="0"/>
    <x v="0"/>
    <n v="1"/>
    <n v="0"/>
    <n v="0"/>
    <n v="0"/>
    <x v="0"/>
    <x v="0"/>
    <x v="0"/>
  </r>
  <r>
    <s v="20601668018"/>
    <x v="29"/>
    <x v="28"/>
    <x v="182"/>
    <x v="183"/>
    <x v="174"/>
    <n v="3"/>
    <x v="40"/>
    <s v="E02"/>
    <s v="CA G11 MZ G LT 1 A.H SHALOM UPIS PECP SECTOR G BARRIO XV GR 3"/>
    <x v="2"/>
    <x v="0"/>
    <x v="0"/>
    <x v="2"/>
    <x v="3"/>
    <x v="0"/>
    <n v="1"/>
    <n v="90"/>
    <x v="0"/>
    <x v="0"/>
    <n v="9.8039215686274508E-3"/>
    <x v="0"/>
    <x v="0"/>
    <s v="OK"/>
    <x v="2"/>
    <s v="OK"/>
    <x v="0"/>
    <x v="0"/>
    <n v="1"/>
    <n v="1"/>
    <n v="0"/>
    <n v="0"/>
    <x v="0"/>
    <x v="0"/>
    <x v="0"/>
  </r>
  <r>
    <s v="20601668018"/>
    <x v="29"/>
    <x v="28"/>
    <x v="183"/>
    <x v="184"/>
    <x v="175"/>
    <n v="3"/>
    <x v="40"/>
    <s v="E02"/>
    <s v="MZ. C LT. 03 ASOC. DE VIV. RINCONADA DE LAS FLORES"/>
    <x v="15"/>
    <x v="0"/>
    <x v="0"/>
    <x v="2"/>
    <x v="128"/>
    <x v="0"/>
    <n v="1"/>
    <n v="144"/>
    <x v="0"/>
    <x v="0"/>
    <n v="9.8039215686274508E-3"/>
    <x v="0"/>
    <x v="0"/>
    <s v="OK"/>
    <x v="0"/>
    <s v="OK"/>
    <x v="0"/>
    <x v="0"/>
    <n v="1"/>
    <n v="0"/>
    <n v="0"/>
    <n v="0"/>
    <x v="0"/>
    <x v="0"/>
    <x v="0"/>
  </r>
  <r>
    <s v="20601668018"/>
    <x v="29"/>
    <x v="28"/>
    <x v="184"/>
    <x v="185"/>
    <x v="176"/>
    <n v="3"/>
    <x v="40"/>
    <s v="E01"/>
    <s v="CALLE LOS JARDINES MZ. 41 LT. 02 - C. POBLADO LA PERLITA ALTA"/>
    <x v="64"/>
    <x v="0"/>
    <x v="0"/>
    <x v="2"/>
    <x v="127"/>
    <x v="0"/>
    <n v="1"/>
    <n v="144"/>
    <x v="0"/>
    <x v="0"/>
    <n v="9.8039215686274508E-3"/>
    <x v="2"/>
    <x v="0"/>
    <s v="OK"/>
    <x v="2"/>
    <s v="OK"/>
    <x v="0"/>
    <x v="0"/>
    <n v="1"/>
    <n v="1"/>
    <n v="0"/>
    <n v="0"/>
    <x v="0"/>
    <x v="0"/>
    <x v="0"/>
  </r>
  <r>
    <s v="20601668018"/>
    <x v="29"/>
    <x v="28"/>
    <x v="185"/>
    <x v="186"/>
    <x v="177"/>
    <n v="3"/>
    <x v="39"/>
    <s v="E03"/>
    <s v="CARR. MARABAMBA A - 12 AA. HH. SEÑOR DE BURGOS"/>
    <x v="66"/>
    <x v="0"/>
    <x v="0"/>
    <x v="2"/>
    <x v="127"/>
    <x v="0"/>
    <n v="1"/>
    <n v="161"/>
    <x v="0"/>
    <x v="0"/>
    <n v="9.8039215686274508E-3"/>
    <x v="1"/>
    <x v="0"/>
    <s v="OK"/>
    <x v="0"/>
    <s v="OK"/>
    <x v="0"/>
    <x v="0"/>
    <n v="1"/>
    <n v="0"/>
    <n v="0"/>
    <n v="0"/>
    <x v="0"/>
    <x v="0"/>
    <x v="0"/>
  </r>
  <r>
    <s v="20601668018"/>
    <x v="29"/>
    <x v="28"/>
    <x v="186"/>
    <x v="187"/>
    <x v="178"/>
    <n v="3"/>
    <x v="39"/>
    <s v="E03"/>
    <s v="ASENT. H. 9 DE OCTUBRE BALCONCILLO"/>
    <x v="67"/>
    <x v="0"/>
    <x v="0"/>
    <x v="2"/>
    <x v="126"/>
    <x v="0"/>
    <n v="1"/>
    <n v="161"/>
    <x v="0"/>
    <x v="0"/>
    <n v="9.8039215686274508E-3"/>
    <x v="4"/>
    <x v="0"/>
    <s v="OK"/>
    <x v="0"/>
    <s v="OK"/>
    <x v="0"/>
    <x v="0"/>
    <n v="1"/>
    <n v="0"/>
    <n v="0"/>
    <n v="0"/>
    <x v="0"/>
    <x v="0"/>
    <x v="0"/>
  </r>
  <r>
    <s v="20601668018"/>
    <x v="29"/>
    <x v="28"/>
    <x v="187"/>
    <x v="188"/>
    <x v="179"/>
    <n v="3"/>
    <x v="40"/>
    <s v="E02"/>
    <s v="CALLE BOLOGNESI 155 URB. CHACARILLA DE OTERO"/>
    <x v="15"/>
    <x v="0"/>
    <x v="0"/>
    <x v="2"/>
    <x v="128"/>
    <x v="0"/>
    <n v="1"/>
    <n v="127"/>
    <x v="0"/>
    <x v="0"/>
    <n v="9.8039215686274508E-3"/>
    <x v="4"/>
    <x v="0"/>
    <s v="OK"/>
    <x v="0"/>
    <s v="OK"/>
    <x v="0"/>
    <x v="0"/>
    <n v="1"/>
    <n v="0"/>
    <n v="0"/>
    <n v="0"/>
    <x v="0"/>
    <x v="0"/>
    <x v="0"/>
  </r>
  <r>
    <n v="20606079274"/>
    <x v="30"/>
    <x v="28"/>
    <x v="188"/>
    <x v="189"/>
    <x v="180"/>
    <n v="2"/>
    <x v="2"/>
    <s v="E01"/>
    <s v="AV. ELMER FAUCETT ASENT. H. AEROPUERTO MZ. J LT. 26"/>
    <x v="6"/>
    <x v="0"/>
    <x v="0"/>
    <x v="2"/>
    <x v="14"/>
    <x v="0"/>
    <n v="4"/>
    <n v="192"/>
    <x v="0"/>
    <x v="0"/>
    <n v="9.8039215686274508E-3"/>
    <x v="3"/>
    <x v="0"/>
    <s v="OK"/>
    <x v="2"/>
    <s v="OK"/>
    <x v="0"/>
    <x v="0"/>
    <n v="1"/>
    <n v="1"/>
    <n v="0"/>
    <n v="0"/>
    <x v="0"/>
    <x v="0"/>
    <x v="0"/>
  </r>
  <r>
    <n v="20604863580"/>
    <x v="31"/>
    <x v="28"/>
    <x v="189"/>
    <x v="190"/>
    <x v="181"/>
    <n v="3"/>
    <x v="41"/>
    <s v="E01"/>
    <s v="JR. LORENZO VIDAURRE 281 BARRIOS A. - CERCADO MZ. I LT. S"/>
    <x v="10"/>
    <x v="0"/>
    <x v="0"/>
    <x v="2"/>
    <x v="128"/>
    <x v="0"/>
    <n v="1"/>
    <n v="135"/>
    <x v="0"/>
    <x v="0"/>
    <n v="9.8039215686274508E-3"/>
    <x v="2"/>
    <x v="0"/>
    <s v="OK"/>
    <x v="0"/>
    <s v="OK"/>
    <x v="0"/>
    <x v="0"/>
    <n v="1"/>
    <n v="0"/>
    <n v="0"/>
    <n v="0"/>
    <x v="0"/>
    <x v="0"/>
    <x v="0"/>
  </r>
  <r>
    <n v="20604863580"/>
    <x v="31"/>
    <x v="28"/>
    <x v="190"/>
    <x v="191"/>
    <x v="182"/>
    <n v="3"/>
    <x v="41"/>
    <s v="E01"/>
    <s v="JR. AYACUCHO 3845"/>
    <x v="3"/>
    <x v="0"/>
    <x v="0"/>
    <x v="2"/>
    <x v="89"/>
    <x v="0"/>
    <n v="1"/>
    <n v="161"/>
    <x v="0"/>
    <x v="0"/>
    <n v="9.8039215686274508E-3"/>
    <x v="0"/>
    <x v="0"/>
    <s v="OK"/>
    <x v="0"/>
    <s v="OK"/>
    <x v="0"/>
    <x v="0"/>
    <n v="1"/>
    <n v="0"/>
    <n v="0"/>
    <n v="0"/>
    <x v="0"/>
    <x v="0"/>
    <x v="0"/>
  </r>
  <r>
    <n v="20604863580"/>
    <x v="31"/>
    <x v="28"/>
    <x v="191"/>
    <x v="192"/>
    <x v="183"/>
    <n v="3"/>
    <x v="41"/>
    <s v="E01"/>
    <s v="MZ. H LT. 19 AGRUP. FAM. BELLA DURMIENTE PRIMERO"/>
    <x v="15"/>
    <x v="0"/>
    <x v="0"/>
    <x v="2"/>
    <x v="129"/>
    <x v="0"/>
    <n v="1"/>
    <n v="169"/>
    <x v="0"/>
    <x v="0"/>
    <n v="9.8039215686274508E-3"/>
    <x v="1"/>
    <x v="0"/>
    <s v="OK"/>
    <x v="0"/>
    <s v="OK"/>
    <x v="0"/>
    <x v="0"/>
    <n v="1"/>
    <n v="0"/>
    <n v="0"/>
    <n v="0"/>
    <x v="0"/>
    <x v="0"/>
    <x v="0"/>
  </r>
  <r>
    <s v="10258661350"/>
    <x v="32"/>
    <x v="28"/>
    <x v="192"/>
    <x v="193"/>
    <x v="184"/>
    <n v="3"/>
    <x v="42"/>
    <s v="E03"/>
    <s v="CASERIO EL REJO "/>
    <x v="68"/>
    <x v="0"/>
    <x v="0"/>
    <x v="2"/>
    <x v="130"/>
    <x v="0"/>
    <n v="1"/>
    <n v="181"/>
    <x v="0"/>
    <x v="0"/>
    <n v="9.8039215686274508E-3"/>
    <x v="2"/>
    <x v="0"/>
    <s v="OK"/>
    <x v="0"/>
    <s v="OK"/>
    <x v="0"/>
    <x v="0"/>
    <n v="1"/>
    <n v="0"/>
    <n v="0"/>
    <n v="0"/>
    <x v="0"/>
    <x v="0"/>
    <x v="0"/>
  </r>
  <r>
    <s v="10258661350"/>
    <x v="32"/>
    <x v="28"/>
    <x v="193"/>
    <x v="194"/>
    <x v="185"/>
    <n v="3"/>
    <x v="42"/>
    <s v="E03"/>
    <s v="JR. PERU 480 P.J. LA LIBERTAD"/>
    <x v="0"/>
    <x v="0"/>
    <x v="0"/>
    <x v="2"/>
    <x v="131"/>
    <x v="0"/>
    <n v="1"/>
    <n v="65"/>
    <x v="0"/>
    <x v="0"/>
    <n v="9.8039215686274508E-3"/>
    <x v="3"/>
    <x v="0"/>
    <s v="OK"/>
    <x v="0"/>
    <s v="OK"/>
    <x v="0"/>
    <x v="0"/>
    <n v="1"/>
    <n v="0"/>
    <n v="0"/>
    <n v="0"/>
    <x v="0"/>
    <x v="0"/>
    <x v="0"/>
  </r>
  <r>
    <n v="10443116864"/>
    <x v="33"/>
    <x v="28"/>
    <x v="194"/>
    <x v="195"/>
    <x v="186"/>
    <n v="3"/>
    <x v="41"/>
    <s v="E02"/>
    <s v="ASOC. VIV. LA MURALLA MZ. B LT. 9"/>
    <x v="54"/>
    <x v="0"/>
    <x v="0"/>
    <x v="2"/>
    <x v="89"/>
    <x v="0"/>
    <n v="1"/>
    <n v="118"/>
    <x v="0"/>
    <x v="0"/>
    <n v="9.8039215686274508E-3"/>
    <x v="4"/>
    <x v="0"/>
    <s v="OK"/>
    <x v="0"/>
    <s v="OK"/>
    <x v="0"/>
    <x v="0"/>
    <n v="1"/>
    <n v="0"/>
    <n v="0"/>
    <n v="0"/>
    <x v="0"/>
    <x v="0"/>
    <x v="0"/>
  </r>
  <r>
    <n v="10443116864"/>
    <x v="33"/>
    <x v="28"/>
    <x v="195"/>
    <x v="196"/>
    <x v="187"/>
    <n v="3"/>
    <x v="41"/>
    <s v="E02"/>
    <s v="CASERIO NUEVO PIURA"/>
    <x v="69"/>
    <x v="0"/>
    <x v="0"/>
    <x v="2"/>
    <x v="124"/>
    <x v="0"/>
    <n v="1"/>
    <n v="175"/>
    <x v="0"/>
    <x v="0"/>
    <n v="9.8039215686274508E-3"/>
    <x v="4"/>
    <x v="0"/>
    <s v="OK"/>
    <x v="0"/>
    <s v="OK"/>
    <x v="0"/>
    <x v="0"/>
    <n v="1"/>
    <n v="0"/>
    <n v="0"/>
    <n v="0"/>
    <x v="0"/>
    <x v="0"/>
    <x v="0"/>
  </r>
  <r>
    <n v="10443116864"/>
    <x v="33"/>
    <x v="28"/>
    <x v="196"/>
    <x v="197"/>
    <x v="188"/>
    <n v="3"/>
    <x v="41"/>
    <s v="E02"/>
    <s v="CARRET. IQUITOS NAUTA KM. 3500 AH. MONTE SION MZ. H LT. 13 PSJ. MIRAFLORES"/>
    <x v="70"/>
    <x v="0"/>
    <x v="0"/>
    <x v="2"/>
    <x v="89"/>
    <x v="0"/>
    <n v="1"/>
    <n v="121"/>
    <x v="0"/>
    <x v="0"/>
    <n v="9.8039215686274508E-3"/>
    <x v="4"/>
    <x v="0"/>
    <s v="OK"/>
    <x v="0"/>
    <s v="OK"/>
    <x v="0"/>
    <x v="0"/>
    <n v="1"/>
    <n v="0"/>
    <n v="0"/>
    <n v="0"/>
    <x v="0"/>
    <x v="0"/>
    <x v="0"/>
  </r>
  <r>
    <s v="20101620256"/>
    <x v="34"/>
    <x v="28"/>
    <x v="197"/>
    <x v="198"/>
    <x v="189"/>
    <n v="1"/>
    <x v="43"/>
    <s v="E03"/>
    <s v="ASENT. H CARLOS CUETO FERNANDINI MZ. B LT. 5"/>
    <x v="49"/>
    <x v="1"/>
    <x v="0"/>
    <x v="2"/>
    <x v="132"/>
    <x v="0"/>
    <n v="1"/>
    <n v="192"/>
    <x v="0"/>
    <x v="0"/>
    <n v="9.8039215686274508E-3"/>
    <x v="2"/>
    <x v="0"/>
    <s v="OK"/>
    <x v="0"/>
    <s v="OK"/>
    <x v="0"/>
    <x v="0"/>
    <n v="1"/>
    <n v="0"/>
    <n v="0"/>
    <n v="0"/>
    <x v="0"/>
    <x v="0"/>
    <x v="0"/>
  </r>
  <r>
    <n v="20606991062"/>
    <x v="35"/>
    <x v="29"/>
    <x v="198"/>
    <x v="199"/>
    <x v="190"/>
    <n v="2"/>
    <x v="2"/>
    <s v="OBR-06-23-020 – INSTALACIÓN DE TERRAZOS Y PORCELANATO EN ESTACIONES E-01 “PUERTO CALLAO”, E-02 “BUENOS AIRES” Y E-03 “JUAN PABLO II”"/>
    <s v="ASENT. H. TUPAC AMARU MZ D LT 19"/>
    <x v="1"/>
    <x v="0"/>
    <x v="0"/>
    <x v="2"/>
    <x v="133"/>
    <x v="0"/>
    <n v="1"/>
    <n v="192"/>
    <x v="0"/>
    <x v="1"/>
    <n v="2.6315789473684209E-2"/>
    <x v="4"/>
    <x v="0"/>
    <s v="OK"/>
    <x v="1"/>
    <s v="OK"/>
    <x v="0"/>
    <x v="0"/>
    <n v="1"/>
    <n v="1"/>
    <n v="0"/>
    <n v="0"/>
    <x v="0"/>
    <x v="0"/>
    <x v="0"/>
  </r>
  <r>
    <n v="20606991062"/>
    <x v="35"/>
    <x v="29"/>
    <x v="199"/>
    <x v="200"/>
    <x v="2"/>
    <n v="1"/>
    <x v="44"/>
    <s v="OBR-06-23-020 – INSTALACIÓN DE TERRAZOS Y PORCELANATO EN ESTACIONES E-01 “PUERTO CALLAO”, E-02 “BUENOS AIRES” Y E-03 “JUAN PABLO II”"/>
    <s v="SECTOR MONTE CARMELO "/>
    <x v="71"/>
    <x v="1"/>
    <x v="0"/>
    <x v="2"/>
    <x v="134"/>
    <x v="0"/>
    <n v="1"/>
    <n v="192"/>
    <x v="0"/>
    <x v="1"/>
    <n v="2.6315789473684209E-2"/>
    <x v="2"/>
    <x v="0"/>
    <s v="OK"/>
    <x v="0"/>
    <s v="OK"/>
    <x v="0"/>
    <x v="0"/>
    <n v="1"/>
    <n v="0"/>
    <n v="0"/>
    <n v="0"/>
    <x v="0"/>
    <x v="0"/>
    <x v="0"/>
  </r>
  <r>
    <n v="20556570681"/>
    <x v="36"/>
    <x v="30"/>
    <x v="200"/>
    <x v="201"/>
    <x v="191"/>
    <n v="2"/>
    <x v="2"/>
    <s v="SUPERESTRUCTURA DE VIA TUNEL PBM PV1BIS - E4 - Y -TRAMO 3ra VIA PARQUE MURILLO – E19"/>
    <m/>
    <x v="6"/>
    <x v="0"/>
    <x v="0"/>
    <x v="2"/>
    <x v="135"/>
    <x v="0"/>
    <n v="4"/>
    <n v="240"/>
    <x v="0"/>
    <x v="1"/>
    <n v="4.7619047619047623E-3"/>
    <x v="2"/>
    <x v="0"/>
    <s v="OK"/>
    <x v="2"/>
    <s v="OK"/>
    <x v="0"/>
    <x v="0"/>
    <n v="1"/>
    <n v="1"/>
    <n v="0"/>
    <n v="0"/>
    <x v="0"/>
    <x v="0"/>
    <x v="0"/>
  </r>
  <r>
    <n v="20556570681"/>
    <x v="36"/>
    <x v="30"/>
    <x v="201"/>
    <x v="202"/>
    <x v="192"/>
    <n v="2"/>
    <x v="8"/>
    <s v="SUPERESTRUCTURA DE VIA TUNEL PBM PV1BIS - E4 - Y -TRAMO 3ra VIA PARQUE MURILLO – E19"/>
    <s v="CA CHAMAYA 1087 LIMA-LIMA-BREÑA"/>
    <x v="5"/>
    <x v="0"/>
    <x v="0"/>
    <x v="2"/>
    <x v="136"/>
    <x v="0"/>
    <n v="4"/>
    <n v="240"/>
    <x v="0"/>
    <x v="1"/>
    <n v="4.7619047619047623E-3"/>
    <x v="1"/>
    <x v="0"/>
    <s v="OK"/>
    <x v="3"/>
    <s v="OK"/>
    <x v="0"/>
    <x v="0"/>
    <n v="1"/>
    <n v="1"/>
    <n v="0"/>
    <n v="0"/>
    <x v="0"/>
    <x v="0"/>
    <x v="0"/>
  </r>
  <r>
    <n v="20556570681"/>
    <x v="36"/>
    <x v="30"/>
    <x v="202"/>
    <x v="203"/>
    <x v="193"/>
    <n v="2"/>
    <x v="2"/>
    <s v="SUPERESTRUCTURA DE VIA TUNEL PBM PV1BIS - E4 - Y -TRAMO 3ra VIA PARQUE MURILLO – E19"/>
    <s v="URB TABOADITA MZ. B-1 LT. 27 -CALLAO-BELLAVISTA "/>
    <x v="6"/>
    <x v="0"/>
    <x v="0"/>
    <x v="2"/>
    <x v="136"/>
    <x v="0"/>
    <n v="4"/>
    <n v="240"/>
    <x v="0"/>
    <x v="1"/>
    <n v="4.7619047619047623E-3"/>
    <x v="4"/>
    <x v="0"/>
    <s v="OK"/>
    <x v="2"/>
    <s v="OK"/>
    <x v="0"/>
    <x v="0"/>
    <n v="1"/>
    <n v="1"/>
    <n v="0"/>
    <n v="0"/>
    <x v="0"/>
    <x v="0"/>
    <x v="0"/>
  </r>
  <r>
    <n v="20556570681"/>
    <x v="36"/>
    <x v="30"/>
    <x v="159"/>
    <x v="160"/>
    <x v="152"/>
    <n v="2"/>
    <x v="2"/>
    <s v="ESTACION 03 BOCANEGRA LINEA 4"/>
    <s v="URB. LA COLONIAL JUAN TELLO 105 "/>
    <x v="6"/>
    <x v="0"/>
    <x v="0"/>
    <x v="2"/>
    <x v="28"/>
    <x v="0"/>
    <n v="4"/>
    <n v="168"/>
    <x v="0"/>
    <x v="1"/>
    <n v="4.7619047619047623E-3"/>
    <x v="3"/>
    <x v="0"/>
    <s v="OK"/>
    <x v="2"/>
    <s v="OK"/>
    <x v="0"/>
    <x v="1"/>
    <n v="0.5"/>
    <n v="0.5"/>
    <n v="1"/>
    <n v="0"/>
    <x v="0"/>
    <x v="0"/>
    <x v="1"/>
  </r>
  <r>
    <n v="20556570681"/>
    <x v="36"/>
    <x v="30"/>
    <x v="203"/>
    <x v="204"/>
    <x v="194"/>
    <n v="2"/>
    <x v="18"/>
    <s v="SUPERESTRUCTURA DE VIA TUNEL PBM PV1BIS - E4 - Y -TRAMO 3ra VIA PARQUE MURILLO – E19"/>
    <s v="JR. BERNARDO ALCEDO 327 MZ. C LT. 04 LIMA"/>
    <x v="72"/>
    <x v="0"/>
    <x v="0"/>
    <x v="2"/>
    <x v="100"/>
    <x v="0"/>
    <n v="4"/>
    <n v="208"/>
    <x v="0"/>
    <x v="1"/>
    <n v="4.7619047619047623E-3"/>
    <x v="4"/>
    <x v="0"/>
    <s v="OK"/>
    <x v="0"/>
    <s v="OK"/>
    <x v="0"/>
    <x v="0"/>
    <n v="1"/>
    <n v="0"/>
    <n v="1"/>
    <n v="0"/>
    <x v="0"/>
    <x v="0"/>
    <x v="1"/>
  </r>
  <r>
    <n v="20556570681"/>
    <x v="36"/>
    <x v="30"/>
    <x v="204"/>
    <x v="205"/>
    <x v="195"/>
    <n v="2"/>
    <x v="15"/>
    <s v="SUPERESTRUCTURA DE VIA TUNEL PBM PV1BIS - E4 - Y -TRAMO 3ra VIA PARQUE MURILLO – E19"/>
    <s v="CC NUEVA ANTIOQUIA LORETO-MAYNAS"/>
    <x v="73"/>
    <x v="0"/>
    <x v="0"/>
    <x v="2"/>
    <x v="137"/>
    <x v="0"/>
    <n v="4"/>
    <n v="96"/>
    <x v="0"/>
    <x v="1"/>
    <n v="4.7619047619047623E-3"/>
    <x v="4"/>
    <x v="0"/>
    <s v="OK"/>
    <x v="0"/>
    <s v="OK"/>
    <x v="0"/>
    <x v="0"/>
    <n v="1"/>
    <n v="0"/>
    <n v="1"/>
    <n v="0"/>
    <x v="0"/>
    <x v="0"/>
    <x v="1"/>
  </r>
  <r>
    <s v="20297543653"/>
    <x v="37"/>
    <x v="31"/>
    <x v="205"/>
    <x v="206"/>
    <x v="196"/>
    <n v="3"/>
    <x v="45"/>
    <s v="Est., Pozos, P. Taller"/>
    <s v="CALLE RINCONADA PJ VIRGEN DEL BUEN PASO PAMPLONA ALTA MZ F8 LT 14"/>
    <x v="53"/>
    <x v="0"/>
    <x v="6"/>
    <x v="1"/>
    <x v="138"/>
    <x v="0"/>
    <n v="1"/>
    <n v="299.66666666666663"/>
    <x v="0"/>
    <x v="1"/>
    <n v="8.0000000000000002E-3"/>
    <x v="4"/>
    <x v="0"/>
    <s v="OK"/>
    <x v="0"/>
    <s v="OK"/>
    <x v="0"/>
    <x v="0"/>
    <n v="1"/>
    <n v="0"/>
    <n v="0"/>
    <n v="0"/>
    <x v="0"/>
    <x v="0"/>
    <x v="0"/>
  </r>
  <r>
    <s v="20297543653"/>
    <x v="37"/>
    <x v="31"/>
    <x v="206"/>
    <x v="207"/>
    <x v="197"/>
    <n v="3"/>
    <x v="46"/>
    <s v="Est., Pozos, P. Taller"/>
    <s v="PROVIV. MANUEL MUJICA GALLO MZ U LT 3"/>
    <x v="6"/>
    <x v="0"/>
    <x v="6"/>
    <x v="1"/>
    <x v="137"/>
    <x v="0"/>
    <n v="1"/>
    <n v="300.7"/>
    <x v="0"/>
    <x v="1"/>
    <n v="8.0000000000000002E-3"/>
    <x v="1"/>
    <x v="0"/>
    <s v="OK"/>
    <x v="2"/>
    <s v="OK"/>
    <x v="0"/>
    <x v="0"/>
    <n v="1"/>
    <n v="1"/>
    <n v="1"/>
    <n v="0"/>
    <x v="0"/>
    <x v="0"/>
    <x v="1"/>
  </r>
  <r>
    <n v="20608368796"/>
    <x v="38"/>
    <x v="32"/>
    <x v="207"/>
    <x v="208"/>
    <x v="198"/>
    <n v="2"/>
    <x v="47"/>
    <s v="E10"/>
    <s v="MZ G LT 16 VIVIENDA HUANCAYO"/>
    <x v="46"/>
    <x v="0"/>
    <x v="0"/>
    <x v="1"/>
    <x v="139"/>
    <x v="0"/>
    <n v="4"/>
    <n v="128"/>
    <x v="0"/>
    <x v="1"/>
    <n v="2.2727272727272728E-2"/>
    <x v="2"/>
    <x v="0"/>
    <s v="OK"/>
    <x v="7"/>
    <s v="OK"/>
    <x v="0"/>
    <x v="0"/>
    <n v="1"/>
    <n v="1"/>
    <n v="0"/>
    <n v="0"/>
    <x v="0"/>
    <x v="0"/>
    <x v="0"/>
  </r>
  <r>
    <n v="20608368796"/>
    <x v="38"/>
    <x v="32"/>
    <x v="208"/>
    <x v="209"/>
    <x v="199"/>
    <n v="2"/>
    <x v="48"/>
    <s v="E11"/>
    <s v="MZ J LT 2 URB LAS TERRAZAS"/>
    <x v="15"/>
    <x v="0"/>
    <x v="0"/>
    <x v="1"/>
    <x v="140"/>
    <x v="0"/>
    <n v="4"/>
    <n v="96"/>
    <x v="0"/>
    <x v="1"/>
    <n v="2.2727272727272728E-2"/>
    <x v="0"/>
    <x v="0"/>
    <s v="OK"/>
    <x v="0"/>
    <s v="OK"/>
    <x v="0"/>
    <x v="0"/>
    <n v="1"/>
    <n v="0"/>
    <n v="0"/>
    <n v="0"/>
    <x v="0"/>
    <x v="0"/>
    <x v="0"/>
  </r>
  <r>
    <n v="20608368796"/>
    <x v="38"/>
    <x v="32"/>
    <x v="209"/>
    <x v="210"/>
    <x v="200"/>
    <n v="2"/>
    <x v="49"/>
    <s v="E01"/>
    <s v="JR CARABAYA 1126 DPTO 301"/>
    <x v="10"/>
    <x v="0"/>
    <x v="0"/>
    <x v="1"/>
    <x v="49"/>
    <x v="0"/>
    <n v="4"/>
    <n v="144"/>
    <x v="0"/>
    <x v="1"/>
    <n v="2.2727272727272728E-2"/>
    <x v="3"/>
    <x v="0"/>
    <s v="OK"/>
    <x v="0"/>
    <s v="OK"/>
    <x v="0"/>
    <x v="0"/>
    <n v="1"/>
    <n v="0"/>
    <n v="0"/>
    <n v="0"/>
    <x v="0"/>
    <x v="0"/>
    <x v="0"/>
  </r>
  <r>
    <n v="20553067541"/>
    <x v="39"/>
    <x v="33"/>
    <x v="210"/>
    <x v="211"/>
    <x v="201"/>
    <n v="1"/>
    <x v="50"/>
    <s v="E-14 Y E-15"/>
    <s v="CALLE CESAR ALTAMIRANO URB. TABOADITA MZ. B1 LT. 24"/>
    <x v="17"/>
    <x v="0"/>
    <x v="14"/>
    <x v="2"/>
    <x v="28"/>
    <x v="0"/>
    <n v="2"/>
    <n v="0"/>
    <x v="0"/>
    <x v="0"/>
    <n v="2.8571428571428571E-2"/>
    <x v="5"/>
    <x v="0"/>
    <s v="OK"/>
    <x v="2"/>
    <s v="OK"/>
    <x v="0"/>
    <x v="0"/>
    <n v="1"/>
    <n v="1"/>
    <n v="1"/>
    <n v="0"/>
    <x v="0"/>
    <x v="0"/>
    <x v="1"/>
  </r>
  <r>
    <n v="20600200896"/>
    <x v="40"/>
    <x v="33"/>
    <x v="211"/>
    <x v="212"/>
    <x v="202"/>
    <n v="1"/>
    <x v="17"/>
    <s v="PV16, PV17 Y PV18"/>
    <s v="CAMPOY ALTO ASOC. COMPRADORES ETAPA III MZ. B. LT. 32"/>
    <x v="15"/>
    <x v="0"/>
    <x v="14"/>
    <x v="2"/>
    <x v="16"/>
    <x v="0"/>
    <n v="2"/>
    <n v="0"/>
    <x v="0"/>
    <x v="0"/>
    <n v="2.8571428571428571E-2"/>
    <x v="4"/>
    <x v="0"/>
    <s v="OK"/>
    <x v="0"/>
    <s v="OK"/>
    <x v="0"/>
    <x v="0"/>
    <n v="1"/>
    <n v="0"/>
    <n v="0"/>
    <n v="0"/>
    <x v="0"/>
    <x v="0"/>
    <x v="0"/>
  </r>
  <r>
    <n v="20603304510"/>
    <x v="41"/>
    <x v="34"/>
    <x v="212"/>
    <x v="213"/>
    <x v="203"/>
    <n v="1"/>
    <x v="17"/>
    <s v="E03"/>
    <s v="URBANIZACION CIUDAD DEL PESCADOR MZA. Q2 LOTE. 25 CALLAO "/>
    <x v="17"/>
    <x v="0"/>
    <x v="6"/>
    <x v="3"/>
    <x v="141"/>
    <x v="0"/>
    <n v="1"/>
    <n v="312"/>
    <x v="0"/>
    <x v="1"/>
    <n v="5.076142131979695E-3"/>
    <x v="4"/>
    <x v="0"/>
    <s v="OK"/>
    <x v="2"/>
    <s v="OK"/>
    <x v="0"/>
    <x v="0"/>
    <n v="1"/>
    <n v="1"/>
    <n v="0"/>
    <n v="0"/>
    <x v="0"/>
    <x v="0"/>
    <x v="0"/>
  </r>
  <r>
    <n v="20603304510"/>
    <x v="41"/>
    <x v="34"/>
    <x v="213"/>
    <x v="214"/>
    <x v="204"/>
    <n v="1"/>
    <x v="17"/>
    <s v="DOVELAS"/>
    <s v="CALLE PIEDRA BLANCA MZ.A LT.09 LAMBAYEQUE "/>
    <x v="74"/>
    <x v="0"/>
    <x v="6"/>
    <x v="1"/>
    <x v="5"/>
    <x v="0"/>
    <n v="1"/>
    <n v="312"/>
    <x v="0"/>
    <x v="1"/>
    <n v="5.076142131979695E-3"/>
    <x v="2"/>
    <x v="0"/>
    <s v="OK"/>
    <x v="0"/>
    <s v="OK"/>
    <x v="0"/>
    <x v="0"/>
    <n v="1"/>
    <n v="0"/>
    <n v="0"/>
    <n v="0"/>
    <x v="0"/>
    <x v="0"/>
    <x v="0"/>
  </r>
  <r>
    <n v="20603304510"/>
    <x v="41"/>
    <x v="34"/>
    <x v="214"/>
    <x v="215"/>
    <x v="205"/>
    <n v="1"/>
    <x v="17"/>
    <s v="PATIO TALLER BOCANEGRA"/>
    <s v="JR. AYACUCHO 3275 URB PERU LIMA "/>
    <x v="3"/>
    <x v="0"/>
    <x v="6"/>
    <x v="1"/>
    <x v="5"/>
    <x v="0"/>
    <n v="1"/>
    <n v="300"/>
    <x v="0"/>
    <x v="1"/>
    <n v="5.076142131979695E-3"/>
    <x v="3"/>
    <x v="0"/>
    <s v="OK"/>
    <x v="0"/>
    <s v="OK"/>
    <x v="0"/>
    <x v="0"/>
    <n v="1"/>
    <n v="0"/>
    <n v="0"/>
    <n v="0"/>
    <x v="0"/>
    <x v="0"/>
    <x v="0"/>
  </r>
  <r>
    <n v="20603304510"/>
    <x v="41"/>
    <x v="34"/>
    <x v="215"/>
    <x v="216"/>
    <x v="206"/>
    <n v="1"/>
    <x v="17"/>
    <s v="E06"/>
    <s v="S/N MZ S2 LT 5 CIUDAD PESCA CALLAO"/>
    <x v="17"/>
    <x v="0"/>
    <x v="6"/>
    <x v="1"/>
    <x v="1"/>
    <x v="0"/>
    <n v="1"/>
    <n v="276"/>
    <x v="0"/>
    <x v="1"/>
    <n v="5.076142131979695E-3"/>
    <x v="4"/>
    <x v="0"/>
    <s v="OK"/>
    <x v="2"/>
    <s v="OK"/>
    <x v="0"/>
    <x v="0"/>
    <n v="1"/>
    <n v="1"/>
    <n v="0"/>
    <n v="0"/>
    <x v="0"/>
    <x v="0"/>
    <x v="0"/>
  </r>
  <r>
    <n v="20603304510"/>
    <x v="41"/>
    <x v="34"/>
    <x v="216"/>
    <x v="217"/>
    <x v="207"/>
    <n v="1"/>
    <x v="17"/>
    <s v="DOVELAS"/>
    <s v="PS VICTOR R. HAYA DE LA TORRE URB ALBINO HERRERA 1RA ETAPA MZ. E LT. 22 CALLAO "/>
    <x v="6"/>
    <x v="0"/>
    <x v="6"/>
    <x v="1"/>
    <x v="5"/>
    <x v="0"/>
    <n v="1"/>
    <n v="300"/>
    <x v="0"/>
    <x v="1"/>
    <n v="5.076142131979695E-3"/>
    <x v="3"/>
    <x v="0"/>
    <s v="OK"/>
    <x v="2"/>
    <s v="OK"/>
    <x v="0"/>
    <x v="0"/>
    <n v="1"/>
    <n v="1"/>
    <n v="0"/>
    <n v="0"/>
    <x v="0"/>
    <x v="0"/>
    <x v="0"/>
  </r>
  <r>
    <n v="20603304510"/>
    <x v="41"/>
    <x v="34"/>
    <x v="217"/>
    <x v="218"/>
    <x v="208"/>
    <n v="1"/>
    <x v="17"/>
    <s v="PATIO TALLER BOCANEGRA"/>
    <s v="URB. LOS PILARES CALLE B 246 CALLAO "/>
    <x v="6"/>
    <x v="0"/>
    <x v="6"/>
    <x v="1"/>
    <x v="5"/>
    <x v="0"/>
    <n v="1"/>
    <n v="312"/>
    <x v="0"/>
    <x v="1"/>
    <n v="5.076142131979695E-3"/>
    <x v="2"/>
    <x v="0"/>
    <s v="OK"/>
    <x v="2"/>
    <s v="OK"/>
    <x v="0"/>
    <x v="0"/>
    <n v="1"/>
    <n v="1"/>
    <n v="0"/>
    <n v="0"/>
    <x v="0"/>
    <x v="0"/>
    <x v="0"/>
  </r>
  <r>
    <n v="20603304510"/>
    <x v="41"/>
    <x v="34"/>
    <x v="218"/>
    <x v="219"/>
    <x v="209"/>
    <n v="1"/>
    <x v="17"/>
    <s v="PTBN"/>
    <s v="AVENIDA LA VICTORIA 243 - LIMA"/>
    <x v="4"/>
    <x v="0"/>
    <x v="6"/>
    <x v="1"/>
    <x v="1"/>
    <x v="0"/>
    <n v="1"/>
    <n v="312"/>
    <x v="0"/>
    <x v="1"/>
    <n v="5.076142131979695E-3"/>
    <x v="4"/>
    <x v="0"/>
    <s v="OK"/>
    <x v="0"/>
    <s v="OK"/>
    <x v="0"/>
    <x v="0"/>
    <n v="1"/>
    <n v="0"/>
    <n v="0"/>
    <n v="0"/>
    <x v="0"/>
    <x v="0"/>
    <x v="0"/>
  </r>
  <r>
    <n v="20603304510"/>
    <x v="41"/>
    <x v="34"/>
    <x v="219"/>
    <x v="220"/>
    <x v="210"/>
    <n v="1"/>
    <x v="17"/>
    <s v="E03"/>
    <s v="AAHH ROSALES DE PRO LIMA"/>
    <x v="49"/>
    <x v="0"/>
    <x v="6"/>
    <x v="1"/>
    <x v="142"/>
    <x v="0"/>
    <n v="1"/>
    <n v="288"/>
    <x v="0"/>
    <x v="1"/>
    <n v="5.076142131979695E-3"/>
    <x v="3"/>
    <x v="0"/>
    <s v="OK"/>
    <x v="0"/>
    <s v="OK"/>
    <x v="0"/>
    <x v="0"/>
    <n v="1"/>
    <n v="0"/>
    <n v="0"/>
    <n v="0"/>
    <x v="0"/>
    <x v="0"/>
    <x v="0"/>
  </r>
  <r>
    <n v="20603304510"/>
    <x v="41"/>
    <x v="34"/>
    <x v="220"/>
    <x v="221"/>
    <x v="211"/>
    <n v="1"/>
    <x v="17"/>
    <s v="POZO PV 02"/>
    <s v="ASENT.H. NESTOR GAMBETTA BAJA MZ. C1 LT. 06 CALLAO "/>
    <x v="6"/>
    <x v="0"/>
    <x v="6"/>
    <x v="1"/>
    <x v="143"/>
    <x v="0"/>
    <n v="1"/>
    <n v="312"/>
    <x v="0"/>
    <x v="1"/>
    <n v="5.076142131979695E-3"/>
    <x v="4"/>
    <x v="0"/>
    <s v="OK"/>
    <x v="2"/>
    <s v="OK"/>
    <x v="0"/>
    <x v="0"/>
    <n v="1"/>
    <n v="1"/>
    <n v="0"/>
    <n v="0"/>
    <x v="0"/>
    <x v="0"/>
    <x v="0"/>
  </r>
  <r>
    <n v="20603304510"/>
    <x v="41"/>
    <x v="34"/>
    <x v="221"/>
    <x v="222"/>
    <x v="212"/>
    <n v="1"/>
    <x v="17"/>
    <s v="E05"/>
    <s v="JR. RAMON CASTILLA 399 EL CARMEN LIMA "/>
    <x v="0"/>
    <x v="1"/>
    <x v="6"/>
    <x v="1"/>
    <x v="144"/>
    <x v="0"/>
    <n v="1"/>
    <n v="312"/>
    <x v="0"/>
    <x v="1"/>
    <n v="5.076142131979695E-3"/>
    <x v="3"/>
    <x v="0"/>
    <s v="OK"/>
    <x v="0"/>
    <s v="OK"/>
    <x v="0"/>
    <x v="0"/>
    <n v="1"/>
    <n v="0"/>
    <n v="0"/>
    <n v="0"/>
    <x v="0"/>
    <x v="0"/>
    <x v="0"/>
  </r>
  <r>
    <n v="20603304510"/>
    <x v="41"/>
    <x v="34"/>
    <x v="222"/>
    <x v="223"/>
    <x v="213"/>
    <n v="1"/>
    <x v="17"/>
    <s v="POZO PV3"/>
    <s v="NESTOR GAMBETA MZ. C2 LT. 12 CALLAO "/>
    <x v="6"/>
    <x v="0"/>
    <x v="6"/>
    <x v="1"/>
    <x v="141"/>
    <x v="0"/>
    <n v="1"/>
    <n v="300"/>
    <x v="0"/>
    <x v="1"/>
    <n v="5.076142131979695E-3"/>
    <x v="3"/>
    <x v="0"/>
    <s v="OK"/>
    <x v="2"/>
    <s v="OK"/>
    <x v="0"/>
    <x v="0"/>
    <n v="1"/>
    <n v="1"/>
    <n v="0"/>
    <n v="0"/>
    <x v="0"/>
    <x v="0"/>
    <x v="0"/>
  </r>
  <r>
    <n v="20603304510"/>
    <x v="41"/>
    <x v="34"/>
    <x v="223"/>
    <x v="224"/>
    <x v="214"/>
    <n v="1"/>
    <x v="17"/>
    <s v="E01"/>
    <s v="CALLE NESTOR GAMBETA BAJA COMITE 27 B MZ. C LT. 12 CALLAO "/>
    <x v="6"/>
    <x v="0"/>
    <x v="6"/>
    <x v="1"/>
    <x v="141"/>
    <x v="0"/>
    <n v="1"/>
    <n v="312"/>
    <x v="0"/>
    <x v="1"/>
    <n v="5.076142131979695E-3"/>
    <x v="1"/>
    <x v="0"/>
    <s v="OK"/>
    <x v="2"/>
    <s v="OK"/>
    <x v="0"/>
    <x v="0"/>
    <n v="1"/>
    <n v="1"/>
    <n v="0"/>
    <n v="0"/>
    <x v="0"/>
    <x v="0"/>
    <x v="0"/>
  </r>
  <r>
    <n v="20603304510"/>
    <x v="41"/>
    <x v="34"/>
    <x v="224"/>
    <x v="225"/>
    <x v="215"/>
    <n v="1"/>
    <x v="17"/>
    <s v="E05"/>
    <s v="AV. NESTOR GAMBETA BAJA COMITE 25 MZ. B1 LT. 1 CALLAO "/>
    <x v="6"/>
    <x v="0"/>
    <x v="2"/>
    <x v="1"/>
    <x v="143"/>
    <x v="2"/>
    <n v="1"/>
    <n v="12"/>
    <x v="0"/>
    <x v="1"/>
    <n v="5.076142131979695E-3"/>
    <x v="1"/>
    <x v="0"/>
    <s v="OK"/>
    <x v="2"/>
    <s v="OK"/>
    <x v="0"/>
    <x v="0"/>
    <n v="1"/>
    <n v="1"/>
    <n v="0"/>
    <n v="1"/>
    <x v="0"/>
    <x v="1"/>
    <x v="0"/>
  </r>
  <r>
    <n v="20603304510"/>
    <x v="41"/>
    <x v="34"/>
    <x v="225"/>
    <x v="226"/>
    <x v="216"/>
    <n v="1"/>
    <x v="17"/>
    <s v="E01"/>
    <s v="JIRON NICOLAS DE PIEROLA 941 CALLAO"/>
    <x v="6"/>
    <x v="0"/>
    <x v="6"/>
    <x v="1"/>
    <x v="1"/>
    <x v="0"/>
    <n v="1"/>
    <n v="300"/>
    <x v="0"/>
    <x v="1"/>
    <n v="5.076142131979695E-3"/>
    <x v="2"/>
    <x v="0"/>
    <s v="OK"/>
    <x v="2"/>
    <s v="OK"/>
    <x v="0"/>
    <x v="0"/>
    <n v="1"/>
    <n v="1"/>
    <n v="0"/>
    <n v="0"/>
    <x v="0"/>
    <x v="0"/>
    <x v="0"/>
  </r>
  <r>
    <n v="20603304510"/>
    <x v="41"/>
    <x v="34"/>
    <x v="226"/>
    <x v="227"/>
    <x v="217"/>
    <n v="1"/>
    <x v="17"/>
    <s v="E05"/>
    <s v="ASENT.H. 9 DE JULIO MZ. A LT. 3 LIMA"/>
    <x v="8"/>
    <x v="0"/>
    <x v="6"/>
    <x v="1"/>
    <x v="141"/>
    <x v="0"/>
    <n v="1"/>
    <n v="300"/>
    <x v="0"/>
    <x v="1"/>
    <n v="5.076142131979695E-3"/>
    <x v="0"/>
    <x v="0"/>
    <s v="OK"/>
    <x v="0"/>
    <s v="OK"/>
    <x v="0"/>
    <x v="0"/>
    <n v="1"/>
    <n v="0"/>
    <n v="0"/>
    <n v="0"/>
    <x v="0"/>
    <x v="0"/>
    <x v="0"/>
  </r>
  <r>
    <n v="20603304510"/>
    <x v="41"/>
    <x v="34"/>
    <x v="227"/>
    <x v="228"/>
    <x v="38"/>
    <n v="1"/>
    <x v="17"/>
    <s v="E03"/>
    <s v="VICTORIA NAVARRO 296 VILLA SR. DE LOS MILAGROS MZ. J1 LT. 11 CALLAO "/>
    <x v="63"/>
    <x v="0"/>
    <x v="6"/>
    <x v="1"/>
    <x v="141"/>
    <x v="0"/>
    <n v="1"/>
    <n v="300"/>
    <x v="0"/>
    <x v="1"/>
    <n v="5.076142131979695E-3"/>
    <x v="0"/>
    <x v="0"/>
    <s v="OK"/>
    <x v="2"/>
    <s v="OK"/>
    <x v="0"/>
    <x v="0"/>
    <n v="1"/>
    <n v="1"/>
    <n v="0"/>
    <n v="0"/>
    <x v="0"/>
    <x v="0"/>
    <x v="0"/>
  </r>
  <r>
    <n v="20603304510"/>
    <x v="41"/>
    <x v="34"/>
    <x v="228"/>
    <x v="229"/>
    <x v="218"/>
    <n v="1"/>
    <x v="17"/>
    <s v="E04"/>
    <s v="FRANCISCO BOLOGNESI 839 BLOCK 3 DPTO 304 LIMA"/>
    <x v="28"/>
    <x v="0"/>
    <x v="6"/>
    <x v="1"/>
    <x v="94"/>
    <x v="0"/>
    <n v="1"/>
    <n v="276"/>
    <x v="0"/>
    <x v="1"/>
    <n v="5.076142131979695E-3"/>
    <x v="1"/>
    <x v="0"/>
    <s v="OK"/>
    <x v="0"/>
    <s v="OK"/>
    <x v="0"/>
    <x v="0"/>
    <n v="1"/>
    <n v="0"/>
    <n v="0"/>
    <n v="0"/>
    <x v="0"/>
    <x v="0"/>
    <x v="0"/>
  </r>
  <r>
    <n v="20603304510"/>
    <x v="41"/>
    <x v="34"/>
    <x v="229"/>
    <x v="230"/>
    <x v="34"/>
    <n v="1"/>
    <x v="17"/>
    <s v="POZO PV 02"/>
    <s v="PROG VIV EL CARIBE"/>
    <x v="3"/>
    <x v="0"/>
    <x v="6"/>
    <x v="1"/>
    <x v="145"/>
    <x v="0"/>
    <n v="1"/>
    <n v="312"/>
    <x v="0"/>
    <x v="1"/>
    <n v="5.076142131979695E-3"/>
    <x v="2"/>
    <x v="0"/>
    <s v="OK"/>
    <x v="0"/>
    <s v="OK"/>
    <x v="0"/>
    <x v="0"/>
    <n v="1"/>
    <n v="0"/>
    <n v="0"/>
    <n v="0"/>
    <x v="0"/>
    <x v="0"/>
    <x v="0"/>
  </r>
  <r>
    <n v="20603304510"/>
    <x v="41"/>
    <x v="34"/>
    <x v="230"/>
    <x v="231"/>
    <x v="219"/>
    <n v="1"/>
    <x v="17"/>
    <s v="E06"/>
    <s v="AVENIDA GARCILAZO DE LA VEGA 344 CALLAO"/>
    <x v="6"/>
    <x v="0"/>
    <x v="6"/>
    <x v="1"/>
    <x v="146"/>
    <x v="0"/>
    <n v="1"/>
    <n v="312"/>
    <x v="0"/>
    <x v="1"/>
    <n v="5.076142131979695E-3"/>
    <x v="1"/>
    <x v="0"/>
    <s v="OK"/>
    <x v="2"/>
    <s v="OK"/>
    <x v="0"/>
    <x v="0"/>
    <n v="1"/>
    <n v="1"/>
    <n v="1"/>
    <n v="0"/>
    <x v="0"/>
    <x v="0"/>
    <x v="1"/>
  </r>
  <r>
    <n v="20603304510"/>
    <x v="41"/>
    <x v="34"/>
    <x v="231"/>
    <x v="232"/>
    <x v="220"/>
    <n v="1"/>
    <x v="17"/>
    <s v="E06"/>
    <s v="JIRON COKRANE 670 INT 02 AAHH SAN JUDAS TADEO CALLAO"/>
    <x v="6"/>
    <x v="0"/>
    <x v="6"/>
    <x v="1"/>
    <x v="146"/>
    <x v="0"/>
    <n v="1"/>
    <n v="300"/>
    <x v="0"/>
    <x v="1"/>
    <n v="5.076142131979695E-3"/>
    <x v="0"/>
    <x v="0"/>
    <s v="OK"/>
    <x v="2"/>
    <s v="OK"/>
    <x v="0"/>
    <x v="0"/>
    <n v="1"/>
    <n v="1"/>
    <n v="1"/>
    <n v="0"/>
    <x v="0"/>
    <x v="0"/>
    <x v="1"/>
  </r>
  <r>
    <n v="20601917590"/>
    <x v="0"/>
    <x v="0"/>
    <x v="232"/>
    <x v="233"/>
    <x v="221"/>
    <n v="1"/>
    <x v="0"/>
    <s v="E3"/>
    <s v="Asociación Propietarios Mz. Z Bocanegra con Pacasmayo "/>
    <x v="6"/>
    <x v="0"/>
    <x v="0"/>
    <x v="0"/>
    <x v="147"/>
    <x v="0"/>
    <n v="1"/>
    <n v="192"/>
    <x v="0"/>
    <x v="0"/>
    <n v="1.6666666666666666E-2"/>
    <x v="6"/>
    <x v="1"/>
    <s v="OK"/>
    <x v="2"/>
    <s v="OK"/>
    <x v="0"/>
    <x v="0"/>
    <n v="1"/>
    <n v="1"/>
    <n v="0"/>
    <n v="0"/>
    <x v="0"/>
    <x v="0"/>
    <x v="0"/>
  </r>
  <r>
    <n v="20601917590"/>
    <x v="0"/>
    <x v="0"/>
    <x v="233"/>
    <x v="234"/>
    <x v="222"/>
    <n v="1"/>
    <x v="0"/>
    <s v="E3"/>
    <s v="AA.HH. Jose Olaya - Ventanilla "/>
    <x v="2"/>
    <x v="0"/>
    <x v="0"/>
    <x v="0"/>
    <x v="37"/>
    <x v="1"/>
    <m/>
    <n v="136"/>
    <x v="0"/>
    <x v="0"/>
    <n v="1.6666666666666666E-2"/>
    <x v="7"/>
    <x v="1"/>
    <s v="OK"/>
    <x v="2"/>
    <s v="OK"/>
    <x v="0"/>
    <x v="0"/>
    <n v="1"/>
    <n v="1"/>
    <n v="1"/>
    <n v="0"/>
    <x v="0"/>
    <x v="0"/>
    <x v="1"/>
  </r>
  <r>
    <n v="20601917590"/>
    <x v="0"/>
    <x v="0"/>
    <x v="234"/>
    <x v="235"/>
    <x v="223"/>
    <n v="1"/>
    <x v="0"/>
    <s v="E1"/>
    <s v="Av. Simon Bolivar 465 Urb. Palao"/>
    <x v="75"/>
    <x v="0"/>
    <x v="0"/>
    <x v="0"/>
    <x v="76"/>
    <x v="0"/>
    <n v="1"/>
    <n v="184"/>
    <x v="0"/>
    <x v="0"/>
    <n v="1.6666666666666666E-2"/>
    <x v="8"/>
    <x v="1"/>
    <s v="OK"/>
    <x v="0"/>
    <s v="OK"/>
    <x v="0"/>
    <x v="0"/>
    <n v="1"/>
    <n v="0"/>
    <n v="0"/>
    <n v="0"/>
    <x v="0"/>
    <x v="0"/>
    <x v="0"/>
  </r>
  <r>
    <n v="20601917590"/>
    <x v="0"/>
    <x v="0"/>
    <x v="235"/>
    <x v="236"/>
    <x v="224"/>
    <n v="1"/>
    <x v="51"/>
    <s v="E2"/>
    <s v="San Hilarión Alto Mz. E1, Lt. 12, San Juan de Lurigancho "/>
    <x v="76"/>
    <x v="0"/>
    <x v="0"/>
    <x v="0"/>
    <x v="148"/>
    <x v="0"/>
    <n v="1"/>
    <n v="192"/>
    <x v="0"/>
    <x v="0"/>
    <n v="1.6666666666666666E-2"/>
    <x v="9"/>
    <x v="1"/>
    <s v="OK"/>
    <x v="0"/>
    <s v="OK"/>
    <x v="0"/>
    <x v="0"/>
    <n v="1"/>
    <n v="0"/>
    <n v="0"/>
    <n v="0"/>
    <x v="0"/>
    <x v="0"/>
    <x v="0"/>
  </r>
  <r>
    <n v="20601917590"/>
    <x v="0"/>
    <x v="0"/>
    <x v="236"/>
    <x v="237"/>
    <x v="225"/>
    <n v="1"/>
    <x v="0"/>
    <s v="E2"/>
    <s v="Jr. Los Eneldos  465 "/>
    <x v="76"/>
    <x v="0"/>
    <x v="0"/>
    <x v="0"/>
    <x v="149"/>
    <x v="0"/>
    <n v="1"/>
    <n v="192"/>
    <x v="0"/>
    <x v="0"/>
    <n v="1.6666666666666666E-2"/>
    <x v="10"/>
    <x v="1"/>
    <s v="OK"/>
    <x v="0"/>
    <s v="OK"/>
    <x v="0"/>
    <x v="0"/>
    <n v="1"/>
    <n v="0"/>
    <n v="0"/>
    <n v="0"/>
    <x v="0"/>
    <x v="0"/>
    <x v="0"/>
  </r>
  <r>
    <n v="20601917590"/>
    <x v="0"/>
    <x v="0"/>
    <x v="237"/>
    <x v="238"/>
    <x v="226"/>
    <n v="1"/>
    <x v="0"/>
    <s v="E3"/>
    <s v="Calle Tupac Amaru Asent. Humano Mz. D1 Lt. 26 Cmt. 27, Santa Rosas "/>
    <x v="6"/>
    <x v="1"/>
    <x v="0"/>
    <x v="0"/>
    <x v="1"/>
    <x v="0"/>
    <n v="1"/>
    <n v="192"/>
    <x v="0"/>
    <x v="0"/>
    <n v="1.6666666666666666E-2"/>
    <x v="6"/>
    <x v="1"/>
    <s v="OK"/>
    <x v="2"/>
    <s v="OK"/>
    <x v="0"/>
    <x v="0"/>
    <n v="1"/>
    <n v="1"/>
    <n v="0"/>
    <n v="0"/>
    <x v="0"/>
    <x v="0"/>
    <x v="0"/>
  </r>
  <r>
    <n v="20601917590"/>
    <x v="0"/>
    <x v="0"/>
    <x v="238"/>
    <x v="239"/>
    <x v="227"/>
    <n v="1"/>
    <x v="0"/>
    <s v="E2"/>
    <s v="Mz. A1 Lt. 5, 2 de Julio- Callao "/>
    <x v="6"/>
    <x v="0"/>
    <x v="0"/>
    <x v="0"/>
    <x v="150"/>
    <x v="0"/>
    <n v="1"/>
    <n v="168"/>
    <x v="0"/>
    <x v="0"/>
    <n v="1.6666666666666666E-2"/>
    <x v="11"/>
    <x v="1"/>
    <s v="OK"/>
    <x v="2"/>
    <s v="OK"/>
    <x v="0"/>
    <x v="0"/>
    <n v="1"/>
    <n v="1"/>
    <n v="0"/>
    <n v="0"/>
    <x v="0"/>
    <x v="0"/>
    <x v="0"/>
  </r>
  <r>
    <n v="20601917590"/>
    <x v="0"/>
    <x v="0"/>
    <x v="239"/>
    <x v="240"/>
    <x v="228"/>
    <n v="1"/>
    <x v="0"/>
    <s v="E3"/>
    <s v="Jr. Pedro Duran n° 120 Rimac"/>
    <x v="13"/>
    <x v="0"/>
    <x v="0"/>
    <x v="0"/>
    <x v="151"/>
    <x v="0"/>
    <n v="1"/>
    <n v="192"/>
    <x v="0"/>
    <x v="0"/>
    <n v="1.6666666666666666E-2"/>
    <x v="12"/>
    <x v="1"/>
    <s v="OK"/>
    <x v="0"/>
    <s v="OK"/>
    <x v="0"/>
    <x v="0"/>
    <n v="1"/>
    <n v="0"/>
    <n v="0"/>
    <n v="0"/>
    <x v="0"/>
    <x v="0"/>
    <x v="0"/>
  </r>
  <r>
    <n v="20601917590"/>
    <x v="0"/>
    <x v="0"/>
    <x v="240"/>
    <x v="241"/>
    <x v="229"/>
    <n v="1"/>
    <x v="52"/>
    <m/>
    <s v="Parque Alto 399 Int. 4 Santiago de Surco"/>
    <x v="77"/>
    <x v="0"/>
    <x v="0"/>
    <x v="0"/>
    <x v="152"/>
    <x v="0"/>
    <n v="1"/>
    <n v="200"/>
    <x v="0"/>
    <x v="0"/>
    <n v="1.6666666666666666E-2"/>
    <x v="8"/>
    <x v="1"/>
    <s v="OK"/>
    <x v="0"/>
    <s v="OK"/>
    <x v="0"/>
    <x v="0"/>
    <n v="1"/>
    <n v="0"/>
    <n v="0"/>
    <n v="0"/>
    <x v="0"/>
    <x v="0"/>
    <x v="0"/>
  </r>
  <r>
    <n v="20601917590"/>
    <x v="0"/>
    <x v="0"/>
    <x v="241"/>
    <x v="242"/>
    <x v="230"/>
    <n v="1"/>
    <x v="0"/>
    <s v="E3"/>
    <s v="Mz. A Lt. 3 AAHH Virgen de Guadalupe – Ventanilla"/>
    <x v="2"/>
    <x v="0"/>
    <x v="0"/>
    <x v="0"/>
    <x v="145"/>
    <x v="0"/>
    <n v="1"/>
    <n v="168"/>
    <x v="0"/>
    <x v="0"/>
    <n v="1.6666666666666666E-2"/>
    <x v="9"/>
    <x v="1"/>
    <s v="OK"/>
    <x v="2"/>
    <s v="OK"/>
    <x v="0"/>
    <x v="0"/>
    <n v="1"/>
    <n v="1"/>
    <n v="0"/>
    <n v="0"/>
    <x v="0"/>
    <x v="0"/>
    <x v="0"/>
  </r>
  <r>
    <n v="20601917590"/>
    <x v="0"/>
    <x v="0"/>
    <x v="242"/>
    <x v="243"/>
    <x v="231"/>
    <n v="1"/>
    <x v="53"/>
    <s v="E2"/>
    <s v="Jr. Atahualpa N°2284 La Perla Callao "/>
    <x v="6"/>
    <x v="0"/>
    <x v="0"/>
    <x v="0"/>
    <x v="114"/>
    <x v="0"/>
    <n v="1"/>
    <n v="184"/>
    <x v="0"/>
    <x v="0"/>
    <n v="1.6666666666666666E-2"/>
    <x v="7"/>
    <x v="1"/>
    <s v="OK"/>
    <x v="2"/>
    <s v="OK"/>
    <x v="0"/>
    <x v="0"/>
    <n v="1"/>
    <n v="1"/>
    <n v="0"/>
    <n v="0"/>
    <x v="0"/>
    <x v="0"/>
    <x v="0"/>
  </r>
  <r>
    <n v="20601917590"/>
    <x v="0"/>
    <x v="0"/>
    <x v="243"/>
    <x v="244"/>
    <x v="232"/>
    <n v="1"/>
    <x v="0"/>
    <s v="E3"/>
    <s v="Calle Cruz Mancilla Rosa Asoc. Molino de los Olivos"/>
    <x v="49"/>
    <x v="0"/>
    <x v="0"/>
    <x v="0"/>
    <x v="4"/>
    <x v="1"/>
    <m/>
    <n v="200"/>
    <x v="0"/>
    <x v="0"/>
    <n v="1.6666666666666666E-2"/>
    <x v="6"/>
    <x v="1"/>
    <s v="OK"/>
    <x v="0"/>
    <s v="OK"/>
    <x v="0"/>
    <x v="0"/>
    <n v="1"/>
    <n v="0"/>
    <n v="1"/>
    <n v="0"/>
    <x v="0"/>
    <x v="0"/>
    <x v="1"/>
  </r>
  <r>
    <n v="20601917590"/>
    <x v="0"/>
    <x v="0"/>
    <x v="244"/>
    <x v="245"/>
    <x v="233"/>
    <n v="1"/>
    <x v="54"/>
    <s v="E2"/>
    <s v="AV.TUPAC AMARU MZ 46 LT9"/>
    <x v="50"/>
    <x v="0"/>
    <x v="0"/>
    <x v="0"/>
    <x v="19"/>
    <x v="0"/>
    <n v="1"/>
    <n v="192"/>
    <x v="0"/>
    <x v="0"/>
    <n v="1.6666666666666666E-2"/>
    <x v="11"/>
    <x v="1"/>
    <s v="OK"/>
    <x v="0"/>
    <s v="OK"/>
    <x v="0"/>
    <x v="0"/>
    <n v="1"/>
    <n v="0"/>
    <n v="0"/>
    <n v="0"/>
    <x v="0"/>
    <x v="0"/>
    <x v="0"/>
  </r>
  <r>
    <n v="20601917590"/>
    <x v="0"/>
    <x v="0"/>
    <x v="245"/>
    <x v="246"/>
    <x v="234"/>
    <n v="1"/>
    <x v="55"/>
    <s v="E1"/>
    <s v="Jr. Juan Jose Muñoz Urb. Santa Luz Mila Mz. 54 Lt. 06"/>
    <x v="0"/>
    <x v="0"/>
    <x v="0"/>
    <x v="0"/>
    <x v="125"/>
    <x v="0"/>
    <n v="1"/>
    <n v="200"/>
    <x v="0"/>
    <x v="0"/>
    <n v="1.6666666666666666E-2"/>
    <x v="8"/>
    <x v="1"/>
    <s v="OK"/>
    <x v="0"/>
    <s v="OK"/>
    <x v="0"/>
    <x v="0"/>
    <n v="1"/>
    <n v="0"/>
    <n v="0"/>
    <n v="0"/>
    <x v="0"/>
    <x v="0"/>
    <x v="0"/>
  </r>
  <r>
    <n v="20601917590"/>
    <x v="0"/>
    <x v="0"/>
    <x v="246"/>
    <x v="247"/>
    <x v="235"/>
    <n v="1"/>
    <x v="20"/>
    <s v="E1"/>
    <s v="Av. Encalada 565 Mz.GE Lt. 9 Coop. los Chancas - Santa Anita"/>
    <x v="27"/>
    <x v="0"/>
    <x v="0"/>
    <x v="0"/>
    <x v="153"/>
    <x v="0"/>
    <n v="1"/>
    <n v="192"/>
    <x v="0"/>
    <x v="0"/>
    <n v="1.6666666666666666E-2"/>
    <x v="8"/>
    <x v="1"/>
    <s v="OK"/>
    <x v="5"/>
    <s v="OK"/>
    <x v="0"/>
    <x v="0"/>
    <n v="1"/>
    <n v="1"/>
    <n v="0"/>
    <n v="0"/>
    <x v="0"/>
    <x v="0"/>
    <x v="0"/>
  </r>
  <r>
    <n v="20601917590"/>
    <x v="0"/>
    <x v="0"/>
    <x v="247"/>
    <x v="248"/>
    <x v="236"/>
    <n v="1"/>
    <x v="56"/>
    <s v="E3"/>
    <s v="Calle Santo Teresa N° 110"/>
    <x v="46"/>
    <x v="0"/>
    <x v="0"/>
    <x v="0"/>
    <x v="154"/>
    <x v="0"/>
    <n v="1"/>
    <n v="200"/>
    <x v="0"/>
    <x v="0"/>
    <n v="1.6666666666666666E-2"/>
    <x v="12"/>
    <x v="1"/>
    <s v="OK"/>
    <x v="7"/>
    <s v="OK"/>
    <x v="0"/>
    <x v="0"/>
    <n v="1"/>
    <n v="1"/>
    <n v="0"/>
    <n v="0"/>
    <x v="0"/>
    <x v="0"/>
    <x v="0"/>
  </r>
  <r>
    <n v="20601917590"/>
    <x v="0"/>
    <x v="0"/>
    <x v="248"/>
    <x v="249"/>
    <x v="237"/>
    <n v="1"/>
    <x v="0"/>
    <s v="E3"/>
    <s v="Jr. Las Sericitas 480 Inca Manco Capac Mz.I3 Lt. 20  San Juan de Lurigancho"/>
    <x v="15"/>
    <x v="0"/>
    <x v="15"/>
    <x v="0"/>
    <x v="155"/>
    <x v="1"/>
    <m/>
    <n v="96"/>
    <x v="0"/>
    <x v="0"/>
    <n v="1.6666666666666666E-2"/>
    <x v="12"/>
    <x v="1"/>
    <s v="OK"/>
    <x v="0"/>
    <s v="OK"/>
    <x v="0"/>
    <x v="0"/>
    <n v="1"/>
    <n v="0"/>
    <n v="0"/>
    <n v="1"/>
    <x v="0"/>
    <x v="1"/>
    <x v="0"/>
  </r>
  <r>
    <n v="20601917590"/>
    <x v="0"/>
    <x v="0"/>
    <x v="249"/>
    <x v="250"/>
    <x v="238"/>
    <n v="1"/>
    <x v="0"/>
    <s v="E2"/>
    <s v="Jr. Tarma Mz. F Lt. 15 Urb. Santa Rosa "/>
    <x v="6"/>
    <x v="0"/>
    <x v="16"/>
    <x v="0"/>
    <x v="147"/>
    <x v="0"/>
    <n v="1"/>
    <n v="24"/>
    <x v="0"/>
    <x v="0"/>
    <n v="1.6666666666666666E-2"/>
    <x v="10"/>
    <x v="1"/>
    <s v="OK"/>
    <x v="2"/>
    <s v="OK"/>
    <x v="0"/>
    <x v="0"/>
    <n v="1"/>
    <n v="1"/>
    <n v="0"/>
    <n v="1"/>
    <x v="0"/>
    <x v="1"/>
    <x v="0"/>
  </r>
  <r>
    <n v="20601917590"/>
    <x v="0"/>
    <x v="0"/>
    <x v="250"/>
    <x v="251"/>
    <x v="239"/>
    <n v="1"/>
    <x v="0"/>
    <s v="E2"/>
    <s v="Jr. Antonio Portugal 1028, Santa Anita "/>
    <x v="27"/>
    <x v="0"/>
    <x v="0"/>
    <x v="0"/>
    <x v="150"/>
    <x v="0"/>
    <n v="1"/>
    <n v="184"/>
    <x v="0"/>
    <x v="0"/>
    <n v="1.6666666666666666E-2"/>
    <x v="7"/>
    <x v="1"/>
    <s v="OK"/>
    <x v="5"/>
    <s v="OK"/>
    <x v="0"/>
    <x v="0"/>
    <n v="1"/>
    <n v="1"/>
    <n v="0"/>
    <n v="0"/>
    <x v="0"/>
    <x v="0"/>
    <x v="0"/>
  </r>
  <r>
    <n v="20601917590"/>
    <x v="0"/>
    <x v="0"/>
    <x v="251"/>
    <x v="252"/>
    <x v="240"/>
    <n v="1"/>
    <x v="0"/>
    <s v="E2"/>
    <s v="Urb. La Campiña Mz. 6 Lt.25 Psj Noval"/>
    <x v="38"/>
    <x v="0"/>
    <x v="0"/>
    <x v="0"/>
    <x v="64"/>
    <x v="0"/>
    <n v="1"/>
    <n v="192"/>
    <x v="0"/>
    <x v="0"/>
    <n v="1.6666666666666666E-2"/>
    <x v="13"/>
    <x v="1"/>
    <s v="OK"/>
    <x v="0"/>
    <s v="OK"/>
    <x v="0"/>
    <x v="0"/>
    <n v="1"/>
    <n v="0"/>
    <n v="0"/>
    <n v="0"/>
    <x v="0"/>
    <x v="0"/>
    <x v="0"/>
  </r>
  <r>
    <n v="20601917590"/>
    <x v="0"/>
    <x v="0"/>
    <x v="252"/>
    <x v="253"/>
    <x v="241"/>
    <n v="1"/>
    <x v="33"/>
    <s v="E1"/>
    <s v="Urb. Ceres 2da Etapa Mz. p, Lt. 03 Ate Vitarte"/>
    <x v="1"/>
    <x v="0"/>
    <x v="0"/>
    <x v="0"/>
    <x v="141"/>
    <x v="0"/>
    <n v="1"/>
    <n v="192"/>
    <x v="0"/>
    <x v="0"/>
    <n v="1.6666666666666666E-2"/>
    <x v="12"/>
    <x v="1"/>
    <s v="OK"/>
    <x v="1"/>
    <s v="OK"/>
    <x v="0"/>
    <x v="0"/>
    <n v="1"/>
    <n v="1"/>
    <n v="0"/>
    <n v="0"/>
    <x v="0"/>
    <x v="0"/>
    <x v="0"/>
  </r>
  <r>
    <n v="20601917590"/>
    <x v="0"/>
    <x v="0"/>
    <x v="253"/>
    <x v="254"/>
    <x v="242"/>
    <n v="1"/>
    <x v="0"/>
    <s v="E3"/>
    <s v="AAHH, La Península Mz. B Lt. 03, -Piura"/>
    <x v="7"/>
    <x v="0"/>
    <x v="0"/>
    <x v="0"/>
    <x v="30"/>
    <x v="1"/>
    <m/>
    <n v="48"/>
    <x v="0"/>
    <x v="0"/>
    <n v="1.6666666666666666E-2"/>
    <x v="10"/>
    <x v="1"/>
    <s v="OK"/>
    <x v="0"/>
    <s v="OK"/>
    <x v="0"/>
    <x v="0"/>
    <n v="1"/>
    <n v="0"/>
    <n v="1"/>
    <n v="0"/>
    <x v="0"/>
    <x v="0"/>
    <x v="1"/>
  </r>
  <r>
    <n v="20601917590"/>
    <x v="0"/>
    <x v="0"/>
    <x v="254"/>
    <x v="255"/>
    <x v="243"/>
    <n v="1"/>
    <x v="0"/>
    <s v="E1"/>
    <s v=" Calle Chavin 206 Coop Andahuaylas Mz. R Lt.T56 "/>
    <x v="27"/>
    <x v="0"/>
    <x v="0"/>
    <x v="0"/>
    <x v="76"/>
    <x v="0"/>
    <n v="1"/>
    <n v="200"/>
    <x v="0"/>
    <x v="0"/>
    <n v="1.6666666666666666E-2"/>
    <x v="13"/>
    <x v="1"/>
    <s v="OK"/>
    <x v="5"/>
    <s v="OK"/>
    <x v="0"/>
    <x v="0"/>
    <n v="1"/>
    <n v="1"/>
    <n v="0"/>
    <n v="0"/>
    <x v="0"/>
    <x v="0"/>
    <x v="0"/>
  </r>
  <r>
    <n v="20601917590"/>
    <x v="0"/>
    <x v="0"/>
    <x v="255"/>
    <x v="256"/>
    <x v="244"/>
    <n v="1"/>
    <x v="0"/>
    <s v="E2"/>
    <s v="Las Florestas de Oquendo Mz.B, Lt. 8 Callao "/>
    <x v="6"/>
    <x v="0"/>
    <x v="0"/>
    <x v="0"/>
    <x v="1"/>
    <x v="0"/>
    <n v="1"/>
    <n v="184"/>
    <x v="0"/>
    <x v="0"/>
    <n v="1.6666666666666666E-2"/>
    <x v="10"/>
    <x v="1"/>
    <s v="OK"/>
    <x v="2"/>
    <s v="OK"/>
    <x v="0"/>
    <x v="0"/>
    <n v="1"/>
    <n v="1"/>
    <n v="0"/>
    <n v="0"/>
    <x v="0"/>
    <x v="0"/>
    <x v="0"/>
  </r>
  <r>
    <n v="20601917590"/>
    <x v="0"/>
    <x v="0"/>
    <x v="256"/>
    <x v="257"/>
    <x v="245"/>
    <n v="1"/>
    <x v="0"/>
    <s v="E3"/>
    <s v="Av. Vicente Morales Duarez 236- Carmen de la Legua -Callao"/>
    <x v="6"/>
    <x v="0"/>
    <x v="0"/>
    <x v="0"/>
    <x v="100"/>
    <x v="1"/>
    <m/>
    <n v="168"/>
    <x v="0"/>
    <x v="0"/>
    <n v="1.6666666666666666E-2"/>
    <x v="10"/>
    <x v="1"/>
    <s v="OK"/>
    <x v="2"/>
    <s v="OK"/>
    <x v="0"/>
    <x v="0"/>
    <n v="1"/>
    <n v="1"/>
    <n v="1"/>
    <n v="0"/>
    <x v="0"/>
    <x v="0"/>
    <x v="1"/>
  </r>
  <r>
    <n v="20601917590"/>
    <x v="0"/>
    <x v="0"/>
    <x v="257"/>
    <x v="258"/>
    <x v="246"/>
    <n v="2"/>
    <x v="2"/>
    <s v="E1"/>
    <s v="jiron puno 930 urb chacaritas"/>
    <x v="6"/>
    <x v="0"/>
    <x v="0"/>
    <x v="0"/>
    <x v="50"/>
    <x v="0"/>
    <n v="4"/>
    <n v="200"/>
    <x v="0"/>
    <x v="0"/>
    <n v="1.6666666666666666E-2"/>
    <x v="9"/>
    <x v="1"/>
    <s v="OK"/>
    <x v="2"/>
    <s v="OK"/>
    <x v="0"/>
    <x v="0"/>
    <n v="1"/>
    <n v="1"/>
    <n v="0"/>
    <n v="0"/>
    <x v="0"/>
    <x v="0"/>
    <x v="0"/>
  </r>
  <r>
    <n v="2055163079"/>
    <x v="42"/>
    <x v="35"/>
    <x v="258"/>
    <x v="259"/>
    <x v="247"/>
    <n v="1"/>
    <x v="57"/>
    <s v="ESTACIONES Y PATIO TALLER"/>
    <s v="AV. GUARDIA PERUANA 350 URB. MATELLINI"/>
    <x v="38"/>
    <x v="0"/>
    <x v="0"/>
    <x v="1"/>
    <x v="156"/>
    <x v="0"/>
    <n v="1"/>
    <n v="2"/>
    <x v="0"/>
    <x v="1"/>
    <n v="0.125"/>
    <x v="12"/>
    <x v="1"/>
    <s v="OK"/>
    <x v="0"/>
    <s v="OK"/>
    <x v="0"/>
    <x v="0"/>
    <n v="1"/>
    <n v="0"/>
    <n v="0"/>
    <n v="0"/>
    <x v="0"/>
    <x v="0"/>
    <x v="0"/>
  </r>
  <r>
    <n v="2055163079"/>
    <x v="42"/>
    <x v="35"/>
    <x v="259"/>
    <x v="260"/>
    <x v="248"/>
    <n v="3"/>
    <x v="58"/>
    <s v="ESTACIONES Y PATIO TALLER"/>
    <s v="SECTOR 6 GRUPO 8-A MZ. N LT 23"/>
    <x v="19"/>
    <x v="0"/>
    <x v="0"/>
    <x v="1"/>
    <x v="156"/>
    <x v="0"/>
    <n v="1"/>
    <n v="20"/>
    <x v="0"/>
    <x v="1"/>
    <n v="0.125"/>
    <x v="13"/>
    <x v="1"/>
    <s v="OK"/>
    <x v="0"/>
    <s v="OK"/>
    <x v="0"/>
    <x v="0"/>
    <n v="1"/>
    <n v="0"/>
    <n v="0"/>
    <n v="0"/>
    <x v="0"/>
    <x v="0"/>
    <x v="0"/>
  </r>
  <r>
    <n v="20600111354"/>
    <x v="1"/>
    <x v="1"/>
    <x v="260"/>
    <x v="261"/>
    <x v="249"/>
    <n v="2"/>
    <x v="59"/>
    <s v="ESTACION 01/DOVELAS"/>
    <s v="PASSAJE 2 MZ D LT 20 AA.HH MICAELA BASTIDAS N° 03 -  ATE"/>
    <x v="1"/>
    <x v="0"/>
    <x v="0"/>
    <x v="1"/>
    <x v="157"/>
    <x v="0"/>
    <n v="4"/>
    <n v="255.5"/>
    <x v="0"/>
    <x v="1"/>
    <n v="7.462686567164179E-3"/>
    <x v="9"/>
    <x v="1"/>
    <s v="OK"/>
    <x v="1"/>
    <s v="OK"/>
    <x v="0"/>
    <x v="0"/>
    <n v="1"/>
    <n v="1"/>
    <n v="0"/>
    <n v="0"/>
    <x v="0"/>
    <x v="0"/>
    <x v="0"/>
  </r>
  <r>
    <n v="20600111354"/>
    <x v="1"/>
    <x v="1"/>
    <x v="261"/>
    <x v="262"/>
    <x v="250"/>
    <n v="1"/>
    <x v="4"/>
    <s v="ESTACION 04 / ESTACION 13/ESTACION 01"/>
    <s v="SAN LUIS-DISTRITO DE SAN LUIS-DEPARTAMENTTO DE ANCASH"/>
    <x v="78"/>
    <x v="0"/>
    <x v="0"/>
    <x v="1"/>
    <x v="158"/>
    <x v="0"/>
    <n v="1"/>
    <n v="169"/>
    <x v="0"/>
    <x v="1"/>
    <n v="7.462686567164179E-3"/>
    <x v="8"/>
    <x v="1"/>
    <s v="OK"/>
    <x v="6"/>
    <s v="OK"/>
    <x v="0"/>
    <x v="0"/>
    <n v="1"/>
    <n v="1"/>
    <n v="0"/>
    <n v="0"/>
    <x v="0"/>
    <x v="0"/>
    <x v="0"/>
  </r>
  <r>
    <n v="20600111354"/>
    <x v="1"/>
    <x v="1"/>
    <x v="262"/>
    <x v="263"/>
    <x v="251"/>
    <n v="2"/>
    <x v="4"/>
    <s v="ESTACION 11/ ESTACION 12 / ESTACION 03 RAMAL 4"/>
    <s v="AV. PERIFERICA MELENDES LOAYZZA I2-07 AA.HH 03 DE MAYO-SAN MARTIN DE PORRES"/>
    <x v="3"/>
    <x v="0"/>
    <x v="0"/>
    <x v="1"/>
    <x v="159"/>
    <x v="0"/>
    <n v="4"/>
    <n v="179"/>
    <x v="0"/>
    <x v="1"/>
    <n v="7.462686567164179E-3"/>
    <x v="12"/>
    <x v="1"/>
    <s v="OK"/>
    <x v="0"/>
    <s v="OK"/>
    <x v="0"/>
    <x v="0"/>
    <n v="1"/>
    <n v="0"/>
    <n v="0"/>
    <n v="0"/>
    <x v="0"/>
    <x v="0"/>
    <x v="0"/>
  </r>
  <r>
    <n v="20600111354"/>
    <x v="1"/>
    <x v="1"/>
    <x v="263"/>
    <x v="264"/>
    <x v="252"/>
    <n v="1"/>
    <x v="60"/>
    <s v="ESTACION 01 / ESTACION 2 / ESTACIÓN 12/ ESTACION 11 / ESTACION 09"/>
    <s v="Avenida Conde de Lemos 543"/>
    <x v="6"/>
    <x v="0"/>
    <x v="0"/>
    <x v="1"/>
    <x v="160"/>
    <x v="0"/>
    <n v="1"/>
    <n v="146.5"/>
    <x v="0"/>
    <x v="1"/>
    <n v="7.462686567164179E-3"/>
    <x v="11"/>
    <x v="1"/>
    <s v="OK"/>
    <x v="2"/>
    <s v="OK"/>
    <x v="0"/>
    <x v="0"/>
    <n v="1"/>
    <n v="1"/>
    <n v="0"/>
    <n v="0"/>
    <x v="0"/>
    <x v="0"/>
    <x v="0"/>
  </r>
  <r>
    <n v="20600111354"/>
    <x v="1"/>
    <x v="1"/>
    <x v="264"/>
    <x v="265"/>
    <x v="253"/>
    <n v="1"/>
    <x v="52"/>
    <s v="ESTACION 01 / ESTACION 2 / ESTACIÓN 12/ ESTACION 11 / ESTACION 09"/>
    <s v="SECTOR 3 GRUPO 27 MANZANA C LOTE 19"/>
    <x v="19"/>
    <x v="1"/>
    <x v="0"/>
    <x v="1"/>
    <x v="161"/>
    <x v="0"/>
    <n v="1"/>
    <n v="184"/>
    <x v="0"/>
    <x v="1"/>
    <n v="7.462686567164179E-3"/>
    <x v="9"/>
    <x v="1"/>
    <s v="OK"/>
    <x v="0"/>
    <s v="OK"/>
    <x v="0"/>
    <x v="0"/>
    <n v="1"/>
    <n v="0"/>
    <n v="0"/>
    <n v="0"/>
    <x v="0"/>
    <x v="0"/>
    <x v="0"/>
  </r>
  <r>
    <n v="20600111354"/>
    <x v="1"/>
    <x v="1"/>
    <x v="265"/>
    <x v="266"/>
    <x v="254"/>
    <n v="2"/>
    <x v="4"/>
    <s v="ESTACION 12/ESTACION 01/ESTACION 03 RAMAL 4"/>
    <s v="MZ C LT 24 PROVIV. RESIDENCIAL PRIMAVERA"/>
    <x v="3"/>
    <x v="0"/>
    <x v="0"/>
    <x v="1"/>
    <x v="162"/>
    <x v="0"/>
    <n v="4"/>
    <n v="170"/>
    <x v="0"/>
    <x v="1"/>
    <n v="7.462686567164179E-3"/>
    <x v="11"/>
    <x v="1"/>
    <s v="OK"/>
    <x v="0"/>
    <s v="OK"/>
    <x v="0"/>
    <x v="0"/>
    <n v="1"/>
    <n v="0"/>
    <n v="0"/>
    <n v="0"/>
    <x v="0"/>
    <x v="0"/>
    <x v="0"/>
  </r>
  <r>
    <n v="20600111354"/>
    <x v="1"/>
    <x v="1"/>
    <x v="266"/>
    <x v="267"/>
    <x v="255"/>
    <n v="2"/>
    <x v="4"/>
    <s v="PLANTA DOVELAS"/>
    <s v="COOP. CESAR VALLEJO MZ S LT 15"/>
    <x v="3"/>
    <x v="0"/>
    <x v="0"/>
    <x v="1"/>
    <x v="163"/>
    <x v="0"/>
    <n v="4"/>
    <n v="244"/>
    <x v="0"/>
    <x v="1"/>
    <n v="7.462686567164179E-3"/>
    <x v="7"/>
    <x v="1"/>
    <s v="OK"/>
    <x v="0"/>
    <s v="OK"/>
    <x v="0"/>
    <x v="0"/>
    <n v="1"/>
    <n v="0"/>
    <n v="0"/>
    <n v="0"/>
    <x v="0"/>
    <x v="0"/>
    <x v="0"/>
  </r>
  <r>
    <n v="20600111354"/>
    <x v="1"/>
    <x v="1"/>
    <x v="267"/>
    <x v="268"/>
    <x v="256"/>
    <n v="2"/>
    <x v="59"/>
    <s v="ESTACION 11 / ESTACION 09 / ESTACION 03  RAMAL 4"/>
    <s v="CALLE BEATITA DE HUMAY 165-15"/>
    <x v="79"/>
    <x v="0"/>
    <x v="0"/>
    <x v="1"/>
    <x v="164"/>
    <x v="0"/>
    <n v="4"/>
    <n v="189"/>
    <x v="0"/>
    <x v="1"/>
    <n v="7.462686567164179E-3"/>
    <x v="8"/>
    <x v="1"/>
    <s v="OK"/>
    <x v="0"/>
    <s v="OK"/>
    <x v="0"/>
    <x v="0"/>
    <n v="1"/>
    <n v="0"/>
    <n v="0"/>
    <n v="0"/>
    <x v="0"/>
    <x v="0"/>
    <x v="0"/>
  </r>
  <r>
    <n v="20600111354"/>
    <x v="1"/>
    <x v="1"/>
    <x v="268"/>
    <x v="269"/>
    <x v="257"/>
    <n v="2"/>
    <x v="4"/>
    <s v="ESTACION 09 / ESTACION 13"/>
    <s v="JR MENDOZA MERINO 732 INT 8"/>
    <x v="25"/>
    <x v="0"/>
    <x v="0"/>
    <x v="1"/>
    <x v="165"/>
    <x v="0"/>
    <n v="4"/>
    <n v="170"/>
    <x v="0"/>
    <x v="1"/>
    <n v="7.462686567164179E-3"/>
    <x v="12"/>
    <x v="1"/>
    <s v="OK"/>
    <x v="4"/>
    <s v="OK"/>
    <x v="0"/>
    <x v="0"/>
    <n v="1"/>
    <n v="1"/>
    <n v="0"/>
    <n v="0"/>
    <x v="0"/>
    <x v="0"/>
    <x v="0"/>
  </r>
  <r>
    <n v="20600111354"/>
    <x v="1"/>
    <x v="1"/>
    <x v="269"/>
    <x v="270"/>
    <x v="258"/>
    <n v="2"/>
    <x v="4"/>
    <s v="ESTACION 09 / ESTACION 11"/>
    <s v="CALLE BOGOTA 272 URB EL PARRAL"/>
    <x v="0"/>
    <x v="0"/>
    <x v="0"/>
    <x v="1"/>
    <x v="166"/>
    <x v="0"/>
    <n v="4"/>
    <n v="172"/>
    <x v="0"/>
    <x v="1"/>
    <n v="7.462686567164179E-3"/>
    <x v="11"/>
    <x v="1"/>
    <s v="OK"/>
    <x v="0"/>
    <s v="OK"/>
    <x v="0"/>
    <x v="0"/>
    <n v="1"/>
    <n v="0"/>
    <n v="0"/>
    <n v="0"/>
    <x v="0"/>
    <x v="0"/>
    <x v="0"/>
  </r>
  <r>
    <n v="20600111355"/>
    <x v="1"/>
    <x v="1"/>
    <x v="270"/>
    <x v="271"/>
    <x v="259"/>
    <n v="1"/>
    <x v="61"/>
    <s v=" ESTACION 03 RAMAL 4"/>
    <s v="CALLE CHILOE MZ D2 LT 06 URB LOS CEDROS DE VILLA"/>
    <x v="38"/>
    <x v="0"/>
    <x v="0"/>
    <x v="1"/>
    <x v="54"/>
    <x v="0"/>
    <n v="1"/>
    <n v="191"/>
    <x v="0"/>
    <x v="1"/>
    <n v="7.462686567164179E-3"/>
    <x v="8"/>
    <x v="1"/>
    <s v="OK"/>
    <x v="0"/>
    <s v="OK"/>
    <x v="0"/>
    <x v="0"/>
    <n v="1"/>
    <n v="0"/>
    <n v="0"/>
    <n v="0"/>
    <x v="0"/>
    <x v="0"/>
    <x v="0"/>
  </r>
  <r>
    <n v="20600111354"/>
    <x v="1"/>
    <x v="1"/>
    <x v="271"/>
    <x v="272"/>
    <x v="260"/>
    <n v="2"/>
    <x v="5"/>
    <s v="ESTACION 12 / ESTACION 13"/>
    <s v="CALLE CASTROVIRREYNA 342 INT 105"/>
    <x v="5"/>
    <x v="0"/>
    <x v="0"/>
    <x v="1"/>
    <x v="167"/>
    <x v="0"/>
    <n v="4"/>
    <n v="189"/>
    <x v="0"/>
    <x v="1"/>
    <n v="7.462686567164179E-3"/>
    <x v="11"/>
    <x v="1"/>
    <s v="OK"/>
    <x v="3"/>
    <s v="OK"/>
    <x v="0"/>
    <x v="0"/>
    <n v="1"/>
    <n v="1"/>
    <n v="0"/>
    <n v="0"/>
    <x v="0"/>
    <x v="0"/>
    <x v="0"/>
  </r>
  <r>
    <n v="20600111354"/>
    <x v="1"/>
    <x v="1"/>
    <x v="272"/>
    <x v="273"/>
    <x v="261"/>
    <n v="1"/>
    <x v="62"/>
    <s v="PLANTA DOVELAS"/>
    <s v="CALLE 27 MZ E2 LT 14 URB CIUDAD DEL PESCADOR"/>
    <x v="6"/>
    <x v="0"/>
    <x v="0"/>
    <x v="1"/>
    <x v="168"/>
    <x v="0"/>
    <n v="1"/>
    <n v="244"/>
    <x v="0"/>
    <x v="1"/>
    <n v="7.462686567164179E-3"/>
    <x v="12"/>
    <x v="1"/>
    <s v="OK"/>
    <x v="2"/>
    <s v="OK"/>
    <x v="0"/>
    <x v="0"/>
    <n v="1"/>
    <n v="1"/>
    <n v="0"/>
    <n v="0"/>
    <x v="0"/>
    <x v="0"/>
    <x v="0"/>
  </r>
  <r>
    <n v="20600111354"/>
    <x v="1"/>
    <x v="1"/>
    <x v="273"/>
    <x v="274"/>
    <x v="262"/>
    <n v="2"/>
    <x v="4"/>
    <s v="ESTACION 03 RAMAL 4"/>
    <s v="MZ J J LT 6 ASTN EL SOL NACIENTE 1ERA ETAPA "/>
    <x v="54"/>
    <x v="0"/>
    <x v="0"/>
    <x v="1"/>
    <x v="169"/>
    <x v="0"/>
    <n v="4"/>
    <n v="178"/>
    <x v="0"/>
    <x v="1"/>
    <n v="7.462686567164179E-3"/>
    <x v="7"/>
    <x v="1"/>
    <s v="OK"/>
    <x v="0"/>
    <s v="OK"/>
    <x v="0"/>
    <x v="0"/>
    <n v="1"/>
    <n v="0"/>
    <n v="0"/>
    <n v="0"/>
    <x v="0"/>
    <x v="0"/>
    <x v="0"/>
  </r>
  <r>
    <n v="20600111354"/>
    <x v="1"/>
    <x v="1"/>
    <x v="274"/>
    <x v="275"/>
    <x v="263"/>
    <n v="2"/>
    <x v="4"/>
    <s v="ESTACION 03 RAMAL 4"/>
    <s v="JR 28 DE JULIO S/N "/>
    <x v="80"/>
    <x v="0"/>
    <x v="0"/>
    <x v="1"/>
    <x v="144"/>
    <x v="0"/>
    <n v="4"/>
    <n v="158.5"/>
    <x v="0"/>
    <x v="1"/>
    <n v="7.462686567164179E-3"/>
    <x v="6"/>
    <x v="1"/>
    <s v="OK"/>
    <x v="0"/>
    <s v="OK"/>
    <x v="0"/>
    <x v="0"/>
    <n v="1"/>
    <n v="0"/>
    <n v="0"/>
    <n v="0"/>
    <x v="0"/>
    <x v="0"/>
    <x v="0"/>
  </r>
  <r>
    <n v="20600111355"/>
    <x v="1"/>
    <x v="1"/>
    <x v="275"/>
    <x v="276"/>
    <x v="264"/>
    <n v="2"/>
    <x v="4"/>
    <s v="ESTACION 13/ ESTACION 03 RAMAL 4"/>
    <s v="MZ. B LT 14 NUEVA RINCONADA PAMPLONA ALTA"/>
    <x v="53"/>
    <x v="0"/>
    <x v="10"/>
    <x v="1"/>
    <x v="169"/>
    <x v="2"/>
    <n v="4"/>
    <n v="96"/>
    <x v="0"/>
    <x v="1"/>
    <n v="7.462686567164179E-3"/>
    <x v="12"/>
    <x v="1"/>
    <s v="OK"/>
    <x v="0"/>
    <s v="OK"/>
    <x v="0"/>
    <x v="0"/>
    <n v="1"/>
    <n v="0"/>
    <n v="0"/>
    <n v="1"/>
    <x v="0"/>
    <x v="1"/>
    <x v="0"/>
  </r>
  <r>
    <n v="20600111354"/>
    <x v="1"/>
    <x v="1"/>
    <x v="276"/>
    <x v="277"/>
    <x v="265"/>
    <n v="1"/>
    <x v="60"/>
    <s v="PLANTA DOVELAS"/>
    <s v="JR LAMBAYEQUE 201"/>
    <x v="6"/>
    <x v="0"/>
    <x v="0"/>
    <x v="1"/>
    <x v="170"/>
    <x v="0"/>
    <n v="1"/>
    <n v="238"/>
    <x v="0"/>
    <x v="1"/>
    <n v="7.462686567164179E-3"/>
    <x v="11"/>
    <x v="1"/>
    <s v="OK"/>
    <x v="2"/>
    <s v="OK"/>
    <x v="0"/>
    <x v="0"/>
    <n v="1"/>
    <n v="1"/>
    <n v="0"/>
    <n v="0"/>
    <x v="0"/>
    <x v="0"/>
    <x v="0"/>
  </r>
  <r>
    <n v="20600111354"/>
    <x v="1"/>
    <x v="1"/>
    <x v="277"/>
    <x v="278"/>
    <x v="266"/>
    <n v="2"/>
    <x v="3"/>
    <s v="ESTACION 03 RAMAL 4"/>
    <s v="AV. PERU ASENT. H. BOCANEGRA ZONA 5 MZ G35 LT 20"/>
    <x v="6"/>
    <x v="0"/>
    <x v="0"/>
    <x v="1"/>
    <x v="14"/>
    <x v="0"/>
    <n v="1"/>
    <n v="170"/>
    <x v="0"/>
    <x v="1"/>
    <n v="7.462686567164179E-3"/>
    <x v="11"/>
    <x v="1"/>
    <s v="OK"/>
    <x v="2"/>
    <s v="OK"/>
    <x v="0"/>
    <x v="0"/>
    <n v="1"/>
    <n v="1"/>
    <n v="0"/>
    <n v="0"/>
    <x v="0"/>
    <x v="0"/>
    <x v="0"/>
  </r>
  <r>
    <n v="20600111354"/>
    <x v="1"/>
    <x v="1"/>
    <x v="278"/>
    <x v="279"/>
    <x v="267"/>
    <n v="2"/>
    <x v="3"/>
    <s v="ESTACION 03 RAMAL 4"/>
    <s v="TARAPOTO MZ P LT 2"/>
    <x v="6"/>
    <x v="0"/>
    <x v="0"/>
    <x v="1"/>
    <x v="152"/>
    <x v="0"/>
    <n v="4"/>
    <n v="174"/>
    <x v="0"/>
    <x v="1"/>
    <n v="7.462686567164179E-3"/>
    <x v="9"/>
    <x v="1"/>
    <s v="OK"/>
    <x v="2"/>
    <s v="OK"/>
    <x v="0"/>
    <x v="0"/>
    <n v="1"/>
    <n v="1"/>
    <n v="0"/>
    <n v="0"/>
    <x v="0"/>
    <x v="0"/>
    <x v="0"/>
  </r>
  <r>
    <n v="20600111354"/>
    <x v="1"/>
    <x v="1"/>
    <x v="279"/>
    <x v="280"/>
    <x v="268"/>
    <n v="2"/>
    <x v="4"/>
    <s v="ESTACION 13 / ESTACION 03 RAMAL 4"/>
    <s v="URB KAMA 1 ETAPA MZ K LT 13"/>
    <x v="3"/>
    <x v="0"/>
    <x v="0"/>
    <x v="1"/>
    <x v="8"/>
    <x v="0"/>
    <n v="4"/>
    <n v="177"/>
    <x v="0"/>
    <x v="1"/>
    <n v="7.462686567164179E-3"/>
    <x v="9"/>
    <x v="1"/>
    <s v="OK"/>
    <x v="0"/>
    <s v="OK"/>
    <x v="0"/>
    <x v="0"/>
    <n v="1"/>
    <n v="0"/>
    <n v="0"/>
    <n v="0"/>
    <x v="0"/>
    <x v="0"/>
    <x v="0"/>
  </r>
  <r>
    <n v="20600111354"/>
    <x v="1"/>
    <x v="1"/>
    <x v="280"/>
    <x v="281"/>
    <x v="269"/>
    <n v="2"/>
    <x v="4"/>
    <s v="ESTACION 13 / ESTACION 03 RAMAL 4"/>
    <s v="ASOC PROGR DE VIV EL ROSARIO MZ A LT 31"/>
    <x v="1"/>
    <x v="0"/>
    <x v="0"/>
    <x v="1"/>
    <x v="171"/>
    <x v="0"/>
    <n v="4"/>
    <n v="179"/>
    <x v="0"/>
    <x v="1"/>
    <n v="7.462686567164179E-3"/>
    <x v="12"/>
    <x v="1"/>
    <s v="OK"/>
    <x v="1"/>
    <s v="OK"/>
    <x v="0"/>
    <x v="0"/>
    <n v="1"/>
    <n v="1"/>
    <n v="0"/>
    <n v="0"/>
    <x v="0"/>
    <x v="0"/>
    <x v="0"/>
  </r>
  <r>
    <n v="20600111354"/>
    <x v="1"/>
    <x v="1"/>
    <x v="281"/>
    <x v="282"/>
    <x v="270"/>
    <n v="2"/>
    <x v="2"/>
    <s v="ESTACION 13 "/>
    <s v="CALLE COMERCIO MZ J-1 LT 1 AAHH JOSE CARLOS MARIATEGUI"/>
    <x v="15"/>
    <x v="0"/>
    <x v="0"/>
    <x v="1"/>
    <x v="145"/>
    <x v="0"/>
    <n v="4"/>
    <n v="148.5"/>
    <x v="0"/>
    <x v="1"/>
    <n v="7.462686567164179E-3"/>
    <x v="12"/>
    <x v="1"/>
    <s v="OK"/>
    <x v="0"/>
    <s v="OK"/>
    <x v="0"/>
    <x v="0"/>
    <n v="1"/>
    <n v="0"/>
    <n v="0"/>
    <n v="0"/>
    <x v="0"/>
    <x v="0"/>
    <x v="0"/>
  </r>
  <r>
    <n v="20600111354"/>
    <x v="1"/>
    <x v="1"/>
    <x v="282"/>
    <x v="283"/>
    <x v="271"/>
    <n v="2"/>
    <x v="4"/>
    <s v="ESTACION 13 "/>
    <s v="ASOC. DE POSESIONARIOS DE VIV. PRODUCTIVA DE SAN MARTIN DE PORRES DE P.P. MZ E LT 3"/>
    <x v="4"/>
    <x v="0"/>
    <x v="0"/>
    <x v="1"/>
    <x v="172"/>
    <x v="0"/>
    <n v="4"/>
    <n v="60.5"/>
    <x v="0"/>
    <x v="1"/>
    <n v="7.462686567164179E-3"/>
    <x v="8"/>
    <x v="1"/>
    <s v="OK"/>
    <x v="0"/>
    <s v="OK"/>
    <x v="0"/>
    <x v="0"/>
    <n v="1"/>
    <n v="0"/>
    <n v="1"/>
    <n v="0"/>
    <x v="0"/>
    <x v="0"/>
    <x v="1"/>
  </r>
  <r>
    <n v="20600111354"/>
    <x v="1"/>
    <x v="1"/>
    <x v="283"/>
    <x v="284"/>
    <x v="272"/>
    <n v="1"/>
    <x v="62"/>
    <s v="PLANTA DOVELAS"/>
    <s v="ASOC. MARKO JARA SCHENONE MZ 1A LT 11"/>
    <x v="81"/>
    <x v="0"/>
    <x v="0"/>
    <x v="1"/>
    <x v="37"/>
    <x v="0"/>
    <n v="1"/>
    <n v="160"/>
    <x v="0"/>
    <x v="1"/>
    <n v="7.462686567164179E-3"/>
    <x v="12"/>
    <x v="1"/>
    <s v="OK"/>
    <x v="0"/>
    <s v="OK"/>
    <x v="0"/>
    <x v="0"/>
    <n v="1"/>
    <n v="0"/>
    <n v="1"/>
    <n v="0"/>
    <x v="0"/>
    <x v="0"/>
    <x v="1"/>
  </r>
  <r>
    <n v="20550335795"/>
    <x v="43"/>
    <x v="1"/>
    <x v="284"/>
    <x v="285"/>
    <x v="273"/>
    <n v="2"/>
    <x v="59"/>
    <s v="PLANTA DOVELAS"/>
    <s v="CASA HUERTAS MZ. C LT. 06"/>
    <x v="62"/>
    <x v="0"/>
    <x v="0"/>
    <x v="1"/>
    <x v="173"/>
    <x v="0"/>
    <n v="4"/>
    <n v="208"/>
    <x v="0"/>
    <x v="0"/>
    <n v="7.462686567164179E-3"/>
    <x v="6"/>
    <x v="1"/>
    <s v="OK"/>
    <x v="0"/>
    <s v="OK"/>
    <x v="0"/>
    <x v="0"/>
    <n v="1"/>
    <n v="0"/>
    <n v="0"/>
    <n v="0"/>
    <x v="0"/>
    <x v="0"/>
    <x v="0"/>
  </r>
  <r>
    <n v="20550335795"/>
    <x v="43"/>
    <x v="1"/>
    <x v="285"/>
    <x v="286"/>
    <x v="274"/>
    <n v="2"/>
    <x v="4"/>
    <s v="PLANTA DOVELAS"/>
    <s v="URB. PROSPERIDAD DE VILLA MZ. G LT. 21"/>
    <x v="82"/>
    <x v="0"/>
    <x v="0"/>
    <x v="1"/>
    <x v="173"/>
    <x v="0"/>
    <n v="4"/>
    <n v="208"/>
    <x v="0"/>
    <x v="0"/>
    <n v="7.462686567164179E-3"/>
    <x v="11"/>
    <x v="1"/>
    <s v="OK"/>
    <x v="0"/>
    <s v="OK"/>
    <x v="0"/>
    <x v="0"/>
    <n v="1"/>
    <n v="0"/>
    <n v="0"/>
    <n v="0"/>
    <x v="0"/>
    <x v="0"/>
    <x v="0"/>
  </r>
  <r>
    <n v="20550335795"/>
    <x v="43"/>
    <x v="1"/>
    <x v="286"/>
    <x v="287"/>
    <x v="275"/>
    <n v="1"/>
    <x v="61"/>
    <s v="PLANTA DOVELAS"/>
    <s v="PSJ. VILLA CANTA MZ. H LT. 3"/>
    <x v="44"/>
    <x v="1"/>
    <x v="0"/>
    <x v="1"/>
    <x v="173"/>
    <x v="0"/>
    <n v="1"/>
    <n v="151.5"/>
    <x v="0"/>
    <x v="0"/>
    <n v="7.462686567164179E-3"/>
    <x v="9"/>
    <x v="1"/>
    <s v="OK"/>
    <x v="0"/>
    <s v="OK"/>
    <x v="0"/>
    <x v="0"/>
    <n v="1"/>
    <n v="0"/>
    <n v="0"/>
    <n v="0"/>
    <x v="0"/>
    <x v="0"/>
    <x v="0"/>
  </r>
  <r>
    <n v="20550335795"/>
    <x v="43"/>
    <x v="1"/>
    <x v="287"/>
    <x v="288"/>
    <x v="276"/>
    <n v="2"/>
    <x v="4"/>
    <s v="PLANTA DOVELAS"/>
    <s v="MZ.L LT.23 SN.JUAN DE DIOS 1 ETAPA"/>
    <x v="10"/>
    <x v="0"/>
    <x v="0"/>
    <x v="1"/>
    <x v="174"/>
    <x v="0"/>
    <n v="4"/>
    <n v="131"/>
    <x v="0"/>
    <x v="0"/>
    <n v="7.462686567164179E-3"/>
    <x v="12"/>
    <x v="1"/>
    <s v="OK"/>
    <x v="0"/>
    <s v="OK"/>
    <x v="0"/>
    <x v="0"/>
    <n v="1"/>
    <n v="0"/>
    <n v="0"/>
    <n v="0"/>
    <x v="0"/>
    <x v="0"/>
    <x v="0"/>
  </r>
  <r>
    <n v="20550335795"/>
    <x v="43"/>
    <x v="1"/>
    <x v="288"/>
    <x v="289"/>
    <x v="277"/>
    <n v="2"/>
    <x v="59"/>
    <s v="PLANTA DOVELAS"/>
    <s v="ASENT.H. LOS ROSALES DE PRO MZ. H LT. 19"/>
    <x v="49"/>
    <x v="0"/>
    <x v="0"/>
    <x v="1"/>
    <x v="173"/>
    <x v="0"/>
    <n v="4"/>
    <n v="160"/>
    <x v="0"/>
    <x v="0"/>
    <n v="7.462686567164179E-3"/>
    <x v="8"/>
    <x v="1"/>
    <s v="OK"/>
    <x v="0"/>
    <s v="OK"/>
    <x v="0"/>
    <x v="0"/>
    <n v="1"/>
    <n v="0"/>
    <n v="0"/>
    <n v="0"/>
    <x v="0"/>
    <x v="0"/>
    <x v="0"/>
  </r>
  <r>
    <n v="20550335795"/>
    <x v="43"/>
    <x v="1"/>
    <x v="289"/>
    <x v="290"/>
    <x v="278"/>
    <n v="2"/>
    <x v="59"/>
    <s v="PLANTA DOVELAS"/>
    <s v="CALLE LAS CUCARDAS URB LOS JAZMINES DE NARANJAL MZ. D1 LT. 11"/>
    <x v="83"/>
    <x v="0"/>
    <x v="0"/>
    <x v="1"/>
    <x v="173"/>
    <x v="0"/>
    <n v="4"/>
    <n v="208"/>
    <x v="0"/>
    <x v="0"/>
    <n v="7.462686567164179E-3"/>
    <x v="6"/>
    <x v="1"/>
    <s v="OK"/>
    <x v="0"/>
    <s v="OK"/>
    <x v="0"/>
    <x v="0"/>
    <n v="1"/>
    <n v="0"/>
    <n v="0"/>
    <n v="0"/>
    <x v="0"/>
    <x v="0"/>
    <x v="0"/>
  </r>
  <r>
    <n v="20550335795"/>
    <x v="43"/>
    <x v="1"/>
    <x v="290"/>
    <x v="291"/>
    <x v="279"/>
    <n v="2"/>
    <x v="4"/>
    <s v="PLANTA DOVELAS"/>
    <s v="C.POBLADO CRUCETA MZ. 55"/>
    <x v="84"/>
    <x v="0"/>
    <x v="0"/>
    <x v="1"/>
    <x v="173"/>
    <x v="0"/>
    <n v="4"/>
    <n v="208"/>
    <x v="0"/>
    <x v="0"/>
    <n v="7.462686567164179E-3"/>
    <x v="11"/>
    <x v="1"/>
    <s v="OK"/>
    <x v="0"/>
    <s v="OK"/>
    <x v="0"/>
    <x v="0"/>
    <n v="1"/>
    <n v="0"/>
    <n v="0"/>
    <n v="0"/>
    <x v="0"/>
    <x v="0"/>
    <x v="0"/>
  </r>
  <r>
    <n v="20550335795"/>
    <x v="43"/>
    <x v="1"/>
    <x v="291"/>
    <x v="292"/>
    <x v="280"/>
    <n v="2"/>
    <x v="4"/>
    <s v="PLANTA DOVELAS"/>
    <s v="CPM. YUNYACCASA HUANCAVELICA-ANGARAES"/>
    <x v="85"/>
    <x v="0"/>
    <x v="0"/>
    <x v="1"/>
    <x v="89"/>
    <x v="0"/>
    <n v="1"/>
    <n v="120.5"/>
    <x v="0"/>
    <x v="0"/>
    <n v="7.462686567164179E-3"/>
    <x v="12"/>
    <x v="1"/>
    <s v="OK"/>
    <x v="0"/>
    <s v="OK"/>
    <x v="0"/>
    <x v="0"/>
    <n v="1"/>
    <n v="0"/>
    <n v="0"/>
    <n v="0"/>
    <x v="0"/>
    <x v="0"/>
    <x v="0"/>
  </r>
  <r>
    <n v="20550335797"/>
    <x v="43"/>
    <x v="1"/>
    <x v="292"/>
    <x v="293"/>
    <x v="281"/>
    <n v="2"/>
    <x v="59"/>
    <s v="PLANTA DOVELAS"/>
    <s v="C.P ZAPALLAL 1ERA ETAPA C.A LOS GERANIOS"/>
    <x v="4"/>
    <x v="0"/>
    <x v="0"/>
    <x v="1"/>
    <x v="40"/>
    <x v="0"/>
    <n v="1"/>
    <n v="208"/>
    <x v="0"/>
    <x v="0"/>
    <n v="7.462686567164179E-3"/>
    <x v="11"/>
    <x v="1"/>
    <s v="OK"/>
    <x v="0"/>
    <s v="OK"/>
    <x v="0"/>
    <x v="0"/>
    <n v="1"/>
    <n v="0"/>
    <n v="0"/>
    <n v="0"/>
    <x v="0"/>
    <x v="0"/>
    <x v="0"/>
  </r>
  <r>
    <s v="20431084172"/>
    <x v="44"/>
    <x v="36"/>
    <x v="293"/>
    <x v="294"/>
    <x v="282"/>
    <n v="3"/>
    <x v="63"/>
    <s v="E-10, E-11, E-12, PV03, PV01, PV02, E-04, E-01, E-03 - CALLAO"/>
    <s v="JR. JOSE SANTOS CHOCANO 580 AAHH COLLIQUE"/>
    <x v="0"/>
    <x v="0"/>
    <x v="0"/>
    <x v="1"/>
    <x v="175"/>
    <x v="0"/>
    <n v="1"/>
    <n v="200"/>
    <x v="0"/>
    <x v="1"/>
    <n v="0.1"/>
    <x v="7"/>
    <x v="1"/>
    <s v="OK"/>
    <x v="0"/>
    <s v="OK"/>
    <x v="0"/>
    <x v="0"/>
    <n v="1"/>
    <n v="0"/>
    <n v="0"/>
    <n v="0"/>
    <x v="0"/>
    <x v="0"/>
    <x v="0"/>
  </r>
  <r>
    <n v="20296637697"/>
    <x v="2"/>
    <x v="2"/>
    <x v="294"/>
    <x v="295"/>
    <x v="283"/>
    <n v="1"/>
    <x v="64"/>
    <s v="ESTACION 04 CCM2L"/>
    <s v="URB VIRGEN DE LA PUERTA MZ. B LT. 9 LIMA"/>
    <x v="49"/>
    <x v="1"/>
    <x v="0"/>
    <x v="1"/>
    <x v="176"/>
    <x v="0"/>
    <n v="1"/>
    <n v="192"/>
    <x v="0"/>
    <x v="1"/>
    <n v="2.5641025641025641E-3"/>
    <x v="6"/>
    <x v="1"/>
    <s v="OK"/>
    <x v="0"/>
    <s v="OK"/>
    <x v="0"/>
    <x v="0"/>
    <n v="1"/>
    <n v="0"/>
    <n v="0"/>
    <n v="0"/>
    <x v="0"/>
    <x v="0"/>
    <x v="0"/>
  </r>
  <r>
    <n v="20296637697"/>
    <x v="2"/>
    <x v="2"/>
    <x v="295"/>
    <x v="296"/>
    <x v="284"/>
    <n v="1"/>
    <x v="65"/>
    <s v="E-4"/>
    <s v="URB. EL ASESOR 1, MZ L, LOTE 1"/>
    <x v="1"/>
    <x v="0"/>
    <x v="0"/>
    <x v="1"/>
    <x v="122"/>
    <x v="0"/>
    <n v="1"/>
    <n v="192"/>
    <x v="0"/>
    <x v="1"/>
    <n v="2.5641025641025641E-3"/>
    <x v="9"/>
    <x v="1"/>
    <s v="OK"/>
    <x v="1"/>
    <s v="OK"/>
    <x v="0"/>
    <x v="0"/>
    <n v="1"/>
    <n v="1"/>
    <n v="0"/>
    <n v="0"/>
    <x v="0"/>
    <x v="0"/>
    <x v="0"/>
  </r>
  <r>
    <n v="20296637697"/>
    <x v="2"/>
    <x v="2"/>
    <x v="296"/>
    <x v="297"/>
    <x v="285"/>
    <n v="2"/>
    <x v="4"/>
    <s v="E-4"/>
    <s v="MZ G LT 17 URB. TRES HORIZONTES "/>
    <x v="75"/>
    <x v="0"/>
    <x v="0"/>
    <x v="1"/>
    <x v="10"/>
    <x v="0"/>
    <n v="4"/>
    <n v="267"/>
    <x v="0"/>
    <x v="1"/>
    <n v="2.5641025641025641E-3"/>
    <x v="11"/>
    <x v="1"/>
    <s v="OK"/>
    <x v="0"/>
    <s v="OK"/>
    <x v="0"/>
    <x v="0"/>
    <n v="1"/>
    <n v="0"/>
    <n v="0"/>
    <n v="0"/>
    <x v="0"/>
    <x v="0"/>
    <x v="0"/>
  </r>
  <r>
    <n v="20296637697"/>
    <x v="2"/>
    <x v="2"/>
    <x v="297"/>
    <x v="298"/>
    <x v="286"/>
    <n v="2"/>
    <x v="66"/>
    <s v="E-4"/>
    <s v="AAHH NUEVA UNION 4TA ZONA COLLIQUE MZ I LT 8"/>
    <x v="0"/>
    <x v="0"/>
    <x v="0"/>
    <x v="1"/>
    <x v="177"/>
    <x v="0"/>
    <n v="4"/>
    <n v="224.5"/>
    <x v="0"/>
    <x v="1"/>
    <n v="2.5641025641025641E-3"/>
    <x v="6"/>
    <x v="1"/>
    <s v="OK"/>
    <x v="0"/>
    <s v="OK"/>
    <x v="0"/>
    <x v="0"/>
    <n v="1"/>
    <n v="0"/>
    <n v="0"/>
    <n v="0"/>
    <x v="0"/>
    <x v="0"/>
    <x v="0"/>
  </r>
  <r>
    <n v="20296637697"/>
    <x v="2"/>
    <x v="2"/>
    <x v="298"/>
    <x v="299"/>
    <x v="287"/>
    <n v="2"/>
    <x v="59"/>
    <s v="E-4"/>
    <s v="LOS AMAUTAS 1339 - CHICLAYO"/>
    <x v="25"/>
    <x v="0"/>
    <x v="0"/>
    <x v="1"/>
    <x v="178"/>
    <x v="0"/>
    <n v="4"/>
    <n v="208"/>
    <x v="0"/>
    <x v="1"/>
    <n v="2.5641025641025641E-3"/>
    <x v="8"/>
    <x v="1"/>
    <s v="OK"/>
    <x v="4"/>
    <s v="OK"/>
    <x v="0"/>
    <x v="0"/>
    <n v="1"/>
    <n v="1"/>
    <n v="0"/>
    <n v="0"/>
    <x v="0"/>
    <x v="0"/>
    <x v="0"/>
  </r>
  <r>
    <n v="20296637697"/>
    <x v="2"/>
    <x v="2"/>
    <x v="299"/>
    <x v="300"/>
    <x v="288"/>
    <n v="2"/>
    <x v="8"/>
    <s v="E-4"/>
    <s v="DPTO. 1 MZ. Q LT. 27 - LIMA"/>
    <x v="86"/>
    <x v="0"/>
    <x v="0"/>
    <x v="1"/>
    <x v="79"/>
    <x v="0"/>
    <n v="4"/>
    <n v="205"/>
    <x v="0"/>
    <x v="1"/>
    <n v="2.5641025641025641E-3"/>
    <x v="11"/>
    <x v="1"/>
    <s v="OK"/>
    <x v="0"/>
    <s v="OK"/>
    <x v="0"/>
    <x v="0"/>
    <n v="1"/>
    <n v="0"/>
    <n v="0"/>
    <n v="0"/>
    <x v="0"/>
    <x v="0"/>
    <x v="0"/>
  </r>
  <r>
    <n v="20296637697"/>
    <x v="2"/>
    <x v="2"/>
    <x v="300"/>
    <x v="301"/>
    <x v="243"/>
    <n v="2"/>
    <x v="8"/>
    <s v="E-4"/>
    <s v="CALLE PROVINCIAL 1 COOP JULIO C. TELLO MZ. B LT. 21 - LIMA "/>
    <x v="27"/>
    <x v="0"/>
    <x v="0"/>
    <x v="1"/>
    <x v="79"/>
    <x v="0"/>
    <n v="4"/>
    <n v="254"/>
    <x v="0"/>
    <x v="1"/>
    <n v="2.5641025641025641E-3"/>
    <x v="13"/>
    <x v="1"/>
    <s v="OK"/>
    <x v="5"/>
    <s v="OK"/>
    <x v="0"/>
    <x v="0"/>
    <n v="1"/>
    <n v="1"/>
    <n v="0"/>
    <n v="0"/>
    <x v="0"/>
    <x v="0"/>
    <x v="0"/>
  </r>
  <r>
    <n v="20296637697"/>
    <x v="2"/>
    <x v="2"/>
    <x v="301"/>
    <x v="302"/>
    <x v="289"/>
    <n v="2"/>
    <x v="67"/>
    <s v="E-4"/>
    <s v="AAHH. CASA HUERTA L A CAMPIÑA SECTOR A LT 9"/>
    <x v="50"/>
    <x v="0"/>
    <x v="0"/>
    <x v="1"/>
    <x v="65"/>
    <x v="0"/>
    <n v="4"/>
    <n v="122"/>
    <x v="0"/>
    <x v="1"/>
    <n v="2.5641025641025641E-3"/>
    <x v="10"/>
    <x v="1"/>
    <s v="OK"/>
    <x v="0"/>
    <s v="OK"/>
    <x v="0"/>
    <x v="0"/>
    <n v="1"/>
    <n v="0"/>
    <n v="0"/>
    <n v="0"/>
    <x v="0"/>
    <x v="0"/>
    <x v="0"/>
  </r>
  <r>
    <n v="20296637697"/>
    <x v="2"/>
    <x v="2"/>
    <x v="302"/>
    <x v="303"/>
    <x v="249"/>
    <n v="2"/>
    <x v="67"/>
    <s v="E-4"/>
    <s v="ZONA 1 AAHH LOS PINOS JOSE CARLOS MAREATEGUI MZ G LT 10"/>
    <x v="8"/>
    <x v="0"/>
    <x v="0"/>
    <x v="1"/>
    <x v="127"/>
    <x v="0"/>
    <n v="4"/>
    <n v="224"/>
    <x v="0"/>
    <x v="1"/>
    <n v="2.5641025641025641E-3"/>
    <x v="9"/>
    <x v="1"/>
    <s v="OK"/>
    <x v="0"/>
    <s v="OK"/>
    <x v="0"/>
    <x v="0"/>
    <n v="1"/>
    <n v="0"/>
    <n v="0"/>
    <n v="0"/>
    <x v="0"/>
    <x v="0"/>
    <x v="0"/>
  </r>
  <r>
    <n v="20296637697"/>
    <x v="2"/>
    <x v="2"/>
    <x v="303"/>
    <x v="304"/>
    <x v="290"/>
    <n v="1"/>
    <x v="52"/>
    <s v="E-4"/>
    <s v="AAHH- LOS NORTEÑOS MZ. 107 LT 10"/>
    <x v="87"/>
    <x v="1"/>
    <x v="0"/>
    <x v="1"/>
    <x v="179"/>
    <x v="0"/>
    <n v="1"/>
    <n v="192"/>
    <x v="0"/>
    <x v="1"/>
    <n v="2.5641025641025641E-3"/>
    <x v="6"/>
    <x v="1"/>
    <s v="OK"/>
    <x v="0"/>
    <s v="OK"/>
    <x v="0"/>
    <x v="0"/>
    <n v="1"/>
    <n v="0"/>
    <n v="0"/>
    <n v="0"/>
    <x v="0"/>
    <x v="0"/>
    <x v="0"/>
  </r>
  <r>
    <n v="20296637697"/>
    <x v="2"/>
    <x v="2"/>
    <x v="304"/>
    <x v="305"/>
    <x v="291"/>
    <n v="2"/>
    <x v="8"/>
    <s v="E-4"/>
    <s v="URB. EL ASESOR I MZ. B LT. 3"/>
    <x v="27"/>
    <x v="0"/>
    <x v="0"/>
    <x v="1"/>
    <x v="180"/>
    <x v="0"/>
    <n v="4"/>
    <n v="216.5"/>
    <x v="0"/>
    <x v="1"/>
    <n v="2.5641025641025641E-3"/>
    <x v="7"/>
    <x v="1"/>
    <s v="OK"/>
    <x v="5"/>
    <s v="OK"/>
    <x v="0"/>
    <x v="0"/>
    <n v="1"/>
    <n v="1"/>
    <n v="0"/>
    <n v="0"/>
    <x v="0"/>
    <x v="0"/>
    <x v="0"/>
  </r>
  <r>
    <n v="20296637697"/>
    <x v="2"/>
    <x v="2"/>
    <x v="305"/>
    <x v="306"/>
    <x v="292"/>
    <n v="2"/>
    <x v="67"/>
    <s v="E-4"/>
    <s v="AGRP. FAM. MANO DE DIOS ETAPA III MZ. G LT. 6"/>
    <x v="15"/>
    <x v="0"/>
    <x v="0"/>
    <x v="1"/>
    <x v="181"/>
    <x v="0"/>
    <n v="4"/>
    <n v="198.5"/>
    <x v="0"/>
    <x v="1"/>
    <n v="2.5641025641025641E-3"/>
    <x v="12"/>
    <x v="1"/>
    <s v="OK"/>
    <x v="0"/>
    <s v="OK"/>
    <x v="0"/>
    <x v="0"/>
    <n v="1"/>
    <n v="0"/>
    <n v="0"/>
    <n v="0"/>
    <x v="0"/>
    <x v="0"/>
    <x v="0"/>
  </r>
  <r>
    <n v="20296637697"/>
    <x v="2"/>
    <x v="2"/>
    <x v="306"/>
    <x v="307"/>
    <x v="293"/>
    <n v="2"/>
    <x v="11"/>
    <s v="E-4"/>
    <s v="JR. MIGUEL GRAU 355, MOYOBAMBA - SAN MARTIN"/>
    <x v="88"/>
    <x v="0"/>
    <x v="13"/>
    <x v="1"/>
    <x v="182"/>
    <x v="2"/>
    <n v="4"/>
    <n v="100.5"/>
    <x v="0"/>
    <x v="1"/>
    <n v="2.5641025641025641E-3"/>
    <x v="8"/>
    <x v="1"/>
    <s v="OK"/>
    <x v="0"/>
    <s v="OK"/>
    <x v="0"/>
    <x v="0"/>
    <n v="1"/>
    <n v="0"/>
    <n v="0"/>
    <n v="1"/>
    <x v="0"/>
    <x v="1"/>
    <x v="0"/>
  </r>
  <r>
    <n v="20296637697"/>
    <x v="2"/>
    <x v="2"/>
    <x v="307"/>
    <x v="308"/>
    <x v="294"/>
    <n v="1"/>
    <x v="7"/>
    <s v="E-4"/>
    <s v="A.H. DANIEL ALCIDES CARRION MZ. D 1 LT. 23"/>
    <x v="3"/>
    <x v="0"/>
    <x v="0"/>
    <x v="1"/>
    <x v="135"/>
    <x v="0"/>
    <n v="1"/>
    <n v="192"/>
    <x v="0"/>
    <x v="1"/>
    <n v="2.5641025641025641E-3"/>
    <x v="9"/>
    <x v="1"/>
    <s v="OK"/>
    <x v="0"/>
    <s v="OK"/>
    <x v="0"/>
    <x v="0"/>
    <n v="1"/>
    <n v="0"/>
    <n v="0"/>
    <n v="0"/>
    <x v="0"/>
    <x v="0"/>
    <x v="0"/>
  </r>
  <r>
    <n v="20296637697"/>
    <x v="2"/>
    <x v="2"/>
    <x v="308"/>
    <x v="309"/>
    <x v="295"/>
    <n v="2"/>
    <x v="2"/>
    <s v="E-4"/>
    <s v="AV. LA PAZ 270 INT. 3"/>
    <x v="89"/>
    <x v="0"/>
    <x v="0"/>
    <x v="1"/>
    <x v="183"/>
    <x v="0"/>
    <n v="4"/>
    <n v="200.5"/>
    <x v="0"/>
    <x v="1"/>
    <n v="2.5641025641025641E-3"/>
    <x v="9"/>
    <x v="1"/>
    <s v="OK"/>
    <x v="2"/>
    <s v="OK"/>
    <x v="0"/>
    <x v="0"/>
    <n v="1"/>
    <n v="1"/>
    <n v="0"/>
    <n v="0"/>
    <x v="0"/>
    <x v="0"/>
    <x v="0"/>
  </r>
  <r>
    <n v="20296637697"/>
    <x v="2"/>
    <x v="2"/>
    <x v="309"/>
    <x v="310"/>
    <x v="296"/>
    <n v="1"/>
    <x v="68"/>
    <s v="E-4"/>
    <s v="AV. ALAMEDA SUR 916"/>
    <x v="38"/>
    <x v="0"/>
    <x v="0"/>
    <x v="1"/>
    <x v="90"/>
    <x v="0"/>
    <n v="1"/>
    <n v="192"/>
    <x v="0"/>
    <x v="1"/>
    <n v="2.5641025641025641E-3"/>
    <x v="12"/>
    <x v="1"/>
    <s v="OK"/>
    <x v="0"/>
    <s v="OK"/>
    <x v="0"/>
    <x v="0"/>
    <n v="1"/>
    <n v="0"/>
    <n v="0"/>
    <n v="0"/>
    <x v="0"/>
    <x v="0"/>
    <x v="0"/>
  </r>
  <r>
    <n v="20296637697"/>
    <x v="2"/>
    <x v="2"/>
    <x v="310"/>
    <x v="311"/>
    <x v="297"/>
    <n v="2"/>
    <x v="3"/>
    <s v="E-4"/>
    <s v="CALLE 2 URB. CIUDAD DEL PESCADOR MZ. K-1 LT. 13"/>
    <x v="17"/>
    <x v="0"/>
    <x v="0"/>
    <x v="1"/>
    <x v="52"/>
    <x v="0"/>
    <n v="4"/>
    <n v="225"/>
    <x v="0"/>
    <x v="1"/>
    <n v="2.5641025641025641E-3"/>
    <x v="13"/>
    <x v="1"/>
    <s v="OK"/>
    <x v="2"/>
    <s v="OK"/>
    <x v="0"/>
    <x v="0"/>
    <n v="1"/>
    <n v="1"/>
    <n v="0"/>
    <n v="0"/>
    <x v="0"/>
    <x v="0"/>
    <x v="0"/>
  </r>
  <r>
    <n v="20296637697"/>
    <x v="2"/>
    <x v="2"/>
    <x v="311"/>
    <x v="312"/>
    <x v="298"/>
    <n v="2"/>
    <x v="8"/>
    <s v="E-4"/>
    <s v="URB. APROVISER ETAPA 1 MZ. D 19"/>
    <x v="90"/>
    <x v="0"/>
    <x v="0"/>
    <x v="1"/>
    <x v="184"/>
    <x v="0"/>
    <n v="4"/>
    <n v="211"/>
    <x v="0"/>
    <x v="1"/>
    <n v="2.5641025641025641E-3"/>
    <x v="6"/>
    <x v="1"/>
    <s v="OK"/>
    <x v="0"/>
    <s v="OK"/>
    <x v="0"/>
    <x v="0"/>
    <n v="1"/>
    <n v="0"/>
    <n v="0"/>
    <n v="0"/>
    <x v="0"/>
    <x v="0"/>
    <x v="0"/>
  </r>
  <r>
    <n v="20296637697"/>
    <x v="2"/>
    <x v="2"/>
    <x v="312"/>
    <x v="313"/>
    <x v="299"/>
    <n v="2"/>
    <x v="8"/>
    <s v="E-4"/>
    <s v="CALLE CONDE DE NIEVA 291 URB. LA VIRREYNA"/>
    <x v="14"/>
    <x v="0"/>
    <x v="0"/>
    <x v="1"/>
    <x v="185"/>
    <x v="0"/>
    <n v="4"/>
    <n v="192"/>
    <x v="0"/>
    <x v="1"/>
    <n v="2.5641025641025641E-3"/>
    <x v="9"/>
    <x v="1"/>
    <s v="OK"/>
    <x v="0"/>
    <s v="OK"/>
    <x v="0"/>
    <x v="0"/>
    <n v="1"/>
    <n v="0"/>
    <n v="0"/>
    <n v="0"/>
    <x v="0"/>
    <x v="0"/>
    <x v="0"/>
  </r>
  <r>
    <n v="20296637697"/>
    <x v="2"/>
    <x v="2"/>
    <x v="313"/>
    <x v="314"/>
    <x v="300"/>
    <n v="2"/>
    <x v="8"/>
    <s v="E-4"/>
    <s v="JR. RICARDO VEGA GARCIA 3048"/>
    <x v="10"/>
    <x v="0"/>
    <x v="0"/>
    <x v="1"/>
    <x v="149"/>
    <x v="0"/>
    <n v="4"/>
    <n v="228.5"/>
    <x v="0"/>
    <x v="1"/>
    <n v="2.5641025641025641E-3"/>
    <x v="13"/>
    <x v="1"/>
    <s v="OK"/>
    <x v="0"/>
    <s v="OK"/>
    <x v="0"/>
    <x v="0"/>
    <n v="1"/>
    <n v="0"/>
    <n v="0"/>
    <n v="0"/>
    <x v="0"/>
    <x v="0"/>
    <x v="0"/>
  </r>
  <r>
    <n v="20296637697"/>
    <x v="2"/>
    <x v="2"/>
    <x v="314"/>
    <x v="315"/>
    <x v="301"/>
    <n v="2"/>
    <x v="67"/>
    <s v="E-4"/>
    <s v="MZ. B LT. 07 AGRUP. FAM. UNION PROGRESO"/>
    <x v="15"/>
    <x v="0"/>
    <x v="0"/>
    <x v="1"/>
    <x v="149"/>
    <x v="0"/>
    <n v="4"/>
    <n v="233.5"/>
    <x v="0"/>
    <x v="1"/>
    <n v="2.5641025641025641E-3"/>
    <x v="12"/>
    <x v="1"/>
    <s v="OK"/>
    <x v="0"/>
    <s v="OK"/>
    <x v="0"/>
    <x v="0"/>
    <n v="1"/>
    <n v="0"/>
    <n v="0"/>
    <n v="0"/>
    <x v="0"/>
    <x v="0"/>
    <x v="0"/>
  </r>
  <r>
    <n v="20296637697"/>
    <x v="2"/>
    <x v="2"/>
    <x v="315"/>
    <x v="316"/>
    <x v="302"/>
    <n v="2"/>
    <x v="3"/>
    <s v="E-4"/>
    <s v="JOSE SANTOS CHOCANO 391 - BELLAVISTA - CALLAO"/>
    <x v="17"/>
    <x v="0"/>
    <x v="0"/>
    <x v="1"/>
    <x v="95"/>
    <x v="0"/>
    <n v="4"/>
    <n v="221"/>
    <x v="0"/>
    <x v="1"/>
    <n v="2.5641025641025641E-3"/>
    <x v="12"/>
    <x v="1"/>
    <s v="OK"/>
    <x v="2"/>
    <s v="OK"/>
    <x v="0"/>
    <x v="0"/>
    <n v="1"/>
    <n v="1"/>
    <n v="0"/>
    <n v="0"/>
    <x v="0"/>
    <x v="0"/>
    <x v="0"/>
  </r>
  <r>
    <n v="20296637697"/>
    <x v="2"/>
    <x v="2"/>
    <x v="316"/>
    <x v="317"/>
    <x v="303"/>
    <n v="2"/>
    <x v="12"/>
    <s v="E-4"/>
    <s v="BOLIVAR 648 LIMA-LIMA-LURIN"/>
    <x v="91"/>
    <x v="0"/>
    <x v="0"/>
    <x v="1"/>
    <x v="38"/>
    <x v="0"/>
    <n v="4"/>
    <n v="257.5"/>
    <x v="0"/>
    <x v="1"/>
    <n v="2.5641025641025641E-3"/>
    <x v="8"/>
    <x v="1"/>
    <s v="OK"/>
    <x v="0"/>
    <s v="OK"/>
    <x v="0"/>
    <x v="0"/>
    <n v="1"/>
    <n v="0"/>
    <n v="0"/>
    <n v="0"/>
    <x v="0"/>
    <x v="0"/>
    <x v="0"/>
  </r>
  <r>
    <n v="20296637697"/>
    <x v="2"/>
    <x v="2"/>
    <x v="317"/>
    <x v="318"/>
    <x v="304"/>
    <n v="2"/>
    <x v="11"/>
    <s v="E-4"/>
    <s v="INTIHUATANA MZ.A1 LT.16"/>
    <x v="27"/>
    <x v="0"/>
    <x v="0"/>
    <x v="1"/>
    <x v="145"/>
    <x v="0"/>
    <n v="4"/>
    <n v="155"/>
    <x v="0"/>
    <x v="1"/>
    <n v="2.5641025641025641E-3"/>
    <x v="9"/>
    <x v="1"/>
    <s v="OK"/>
    <x v="5"/>
    <s v="OK"/>
    <x v="0"/>
    <x v="0"/>
    <n v="1"/>
    <n v="1"/>
    <n v="0"/>
    <n v="0"/>
    <x v="0"/>
    <x v="0"/>
    <x v="0"/>
  </r>
  <r>
    <n v="20296637697"/>
    <x v="2"/>
    <x v="2"/>
    <x v="318"/>
    <x v="319"/>
    <x v="305"/>
    <n v="1"/>
    <x v="61"/>
    <s v="E-4"/>
    <s v="COOPERATIVA SR. DE LUREN G-12"/>
    <x v="92"/>
    <x v="0"/>
    <x v="0"/>
    <x v="1"/>
    <x v="171"/>
    <x v="0"/>
    <n v="1"/>
    <n v="192"/>
    <x v="0"/>
    <x v="1"/>
    <n v="2.5641025641025641E-3"/>
    <x v="9"/>
    <x v="1"/>
    <s v="OK"/>
    <x v="0"/>
    <s v="OK"/>
    <x v="0"/>
    <x v="0"/>
    <n v="1"/>
    <n v="0"/>
    <n v="0"/>
    <n v="0"/>
    <x v="0"/>
    <x v="0"/>
    <x v="0"/>
  </r>
  <r>
    <n v="20296637697"/>
    <x v="2"/>
    <x v="2"/>
    <x v="319"/>
    <x v="320"/>
    <x v="306"/>
    <n v="2"/>
    <x v="11"/>
    <s v="E-4"/>
    <s v="SECTOR EL INCA S/N"/>
    <x v="93"/>
    <x v="0"/>
    <x v="0"/>
    <x v="1"/>
    <x v="145"/>
    <x v="0"/>
    <n v="4"/>
    <n v="275"/>
    <x v="0"/>
    <x v="1"/>
    <n v="2.5641025641025641E-3"/>
    <x v="11"/>
    <x v="1"/>
    <s v="OK"/>
    <x v="0"/>
    <s v="OK"/>
    <x v="0"/>
    <x v="0"/>
    <n v="1"/>
    <n v="0"/>
    <n v="0"/>
    <n v="0"/>
    <x v="0"/>
    <x v="0"/>
    <x v="0"/>
  </r>
  <r>
    <n v="20296637697"/>
    <x v="2"/>
    <x v="2"/>
    <x v="320"/>
    <x v="321"/>
    <x v="307"/>
    <n v="2"/>
    <x v="11"/>
    <s v="E-4"/>
    <s v="HERMANOS AYAR"/>
    <x v="94"/>
    <x v="0"/>
    <x v="0"/>
    <x v="1"/>
    <x v="145"/>
    <x v="0"/>
    <n v="4"/>
    <n v="245"/>
    <x v="0"/>
    <x v="1"/>
    <n v="2.5641025641025641E-3"/>
    <x v="9"/>
    <x v="1"/>
    <s v="OK"/>
    <x v="5"/>
    <s v="OK"/>
    <x v="0"/>
    <x v="0"/>
    <n v="1"/>
    <n v="1"/>
    <n v="0"/>
    <n v="0"/>
    <x v="0"/>
    <x v="0"/>
    <x v="0"/>
  </r>
  <r>
    <n v="20296637697"/>
    <x v="2"/>
    <x v="2"/>
    <x v="321"/>
    <x v="322"/>
    <x v="308"/>
    <n v="2"/>
    <x v="11"/>
    <s v="E-4"/>
    <s v="ASOC. EL DORADO MZ. F1A LT. 16"/>
    <x v="4"/>
    <x v="0"/>
    <x v="0"/>
    <x v="1"/>
    <x v="186"/>
    <x v="0"/>
    <n v="4"/>
    <n v="102"/>
    <x v="0"/>
    <x v="1"/>
    <n v="2.5641025641025641E-3"/>
    <x v="13"/>
    <x v="1"/>
    <s v="OK"/>
    <x v="0"/>
    <s v="OK"/>
    <x v="0"/>
    <x v="0"/>
    <n v="1"/>
    <n v="0"/>
    <n v="1"/>
    <n v="0"/>
    <x v="0"/>
    <x v="0"/>
    <x v="1"/>
  </r>
  <r>
    <n v="20296637697"/>
    <x v="2"/>
    <x v="2"/>
    <x v="322"/>
    <x v="323"/>
    <x v="309"/>
    <n v="2"/>
    <x v="4"/>
    <s v="PV08-PV10"/>
    <s v="AAHH . TIWINZA MZ. F LT. 07"/>
    <x v="4"/>
    <x v="0"/>
    <x v="0"/>
    <x v="1"/>
    <x v="12"/>
    <x v="0"/>
    <n v="4"/>
    <n v="116.5"/>
    <x v="0"/>
    <x v="1"/>
    <n v="2.5641025641025641E-3"/>
    <x v="12"/>
    <x v="1"/>
    <s v="OK"/>
    <x v="0"/>
    <s v="OK"/>
    <x v="0"/>
    <x v="0"/>
    <n v="1"/>
    <n v="0"/>
    <n v="0"/>
    <n v="0"/>
    <x v="0"/>
    <x v="0"/>
    <x v="0"/>
  </r>
  <r>
    <n v="20296637697"/>
    <x v="2"/>
    <x v="2"/>
    <x v="323"/>
    <x v="324"/>
    <x v="310"/>
    <n v="1"/>
    <x v="69"/>
    <s v="PV08-PV10"/>
    <s v="MZ. E LT. 31 URB. VILLA ALEGRE"/>
    <x v="14"/>
    <x v="1"/>
    <x v="0"/>
    <x v="1"/>
    <x v="0"/>
    <x v="0"/>
    <n v="1"/>
    <n v="192"/>
    <x v="0"/>
    <x v="1"/>
    <n v="2.5641025641025641E-3"/>
    <x v="8"/>
    <x v="1"/>
    <s v="OK"/>
    <x v="0"/>
    <s v="OK"/>
    <x v="0"/>
    <x v="0"/>
    <n v="1"/>
    <n v="0"/>
    <n v="0"/>
    <n v="0"/>
    <x v="0"/>
    <x v="0"/>
    <x v="0"/>
  </r>
  <r>
    <n v="20296637697"/>
    <x v="2"/>
    <x v="2"/>
    <x v="324"/>
    <x v="325"/>
    <x v="311"/>
    <n v="1"/>
    <x v="70"/>
    <s v="PV08-PV10"/>
    <s v="MZ. B LT. 5 HÚSARES DE JUNIN - GLORIA GRANDE"/>
    <x v="1"/>
    <x v="1"/>
    <x v="0"/>
    <x v="1"/>
    <x v="49"/>
    <x v="0"/>
    <n v="1"/>
    <n v="192"/>
    <x v="0"/>
    <x v="1"/>
    <n v="2.5641025641025641E-3"/>
    <x v="10"/>
    <x v="1"/>
    <s v="OK"/>
    <x v="1"/>
    <s v="OK"/>
    <x v="0"/>
    <x v="0"/>
    <n v="1"/>
    <n v="1"/>
    <n v="0"/>
    <n v="0"/>
    <x v="0"/>
    <x v="0"/>
    <x v="0"/>
  </r>
  <r>
    <n v="20296637697"/>
    <x v="2"/>
    <x v="2"/>
    <x v="325"/>
    <x v="326"/>
    <x v="312"/>
    <n v="2"/>
    <x v="2"/>
    <s v="PV08-PV10"/>
    <s v="JR. AGUARICO 928 DPTO. 4"/>
    <x v="5"/>
    <x v="0"/>
    <x v="0"/>
    <x v="1"/>
    <x v="28"/>
    <x v="0"/>
    <n v="4"/>
    <n v="121.5"/>
    <x v="0"/>
    <x v="1"/>
    <n v="2.5641025641025641E-3"/>
    <x v="10"/>
    <x v="1"/>
    <s v="OK"/>
    <x v="3"/>
    <s v="OK"/>
    <x v="0"/>
    <x v="0"/>
    <n v="1"/>
    <n v="1"/>
    <n v="1"/>
    <n v="0"/>
    <x v="0"/>
    <x v="0"/>
    <x v="1"/>
  </r>
  <r>
    <n v="20296637697"/>
    <x v="2"/>
    <x v="2"/>
    <x v="326"/>
    <x v="327"/>
    <x v="313"/>
    <n v="2"/>
    <x v="11"/>
    <s v="PV08-PV10"/>
    <s v="JR. TRUJILLO 1016 DPTO 9 PISO 2"/>
    <x v="13"/>
    <x v="0"/>
    <x v="0"/>
    <x v="1"/>
    <x v="37"/>
    <x v="0"/>
    <n v="4"/>
    <n v="98.5"/>
    <x v="0"/>
    <x v="1"/>
    <n v="2.5641025641025641E-3"/>
    <x v="9"/>
    <x v="1"/>
    <s v="OK"/>
    <x v="0"/>
    <s v="OK"/>
    <x v="0"/>
    <x v="0"/>
    <n v="1"/>
    <n v="0"/>
    <n v="1"/>
    <n v="0"/>
    <x v="0"/>
    <x v="0"/>
    <x v="1"/>
  </r>
  <r>
    <n v="20296637697"/>
    <x v="2"/>
    <x v="2"/>
    <x v="327"/>
    <x v="328"/>
    <x v="314"/>
    <n v="1"/>
    <x v="61"/>
    <s v="PV08-PV10"/>
    <s v="PRO ABRAHAM VALDELOMAR 160 BARRIO MANZANILLA"/>
    <x v="92"/>
    <x v="0"/>
    <x v="0"/>
    <x v="1"/>
    <x v="187"/>
    <x v="0"/>
    <n v="1"/>
    <n v="160"/>
    <x v="0"/>
    <x v="1"/>
    <n v="2.5641025641025641E-3"/>
    <x v="10"/>
    <x v="1"/>
    <s v="OK"/>
    <x v="0"/>
    <s v="OK"/>
    <x v="0"/>
    <x v="0"/>
    <n v="1"/>
    <n v="0"/>
    <n v="1"/>
    <n v="0"/>
    <x v="0"/>
    <x v="0"/>
    <x v="1"/>
  </r>
  <r>
    <n v="20296637697"/>
    <x v="2"/>
    <x v="2"/>
    <x v="328"/>
    <x v="329"/>
    <x v="315"/>
    <n v="2"/>
    <x v="11"/>
    <s v="PV08-PV10"/>
    <s v="JR. LAS PIEDRECILLAS 455 URB. LA HUAYRONA"/>
    <x v="15"/>
    <x v="0"/>
    <x v="0"/>
    <x v="1"/>
    <x v="186"/>
    <x v="0"/>
    <n v="4"/>
    <n v="79.5"/>
    <x v="0"/>
    <x v="1"/>
    <n v="2.5641025641025641E-3"/>
    <x v="9"/>
    <x v="1"/>
    <s v="OK"/>
    <x v="0"/>
    <s v="OK"/>
    <x v="0"/>
    <x v="0"/>
    <n v="1"/>
    <n v="0"/>
    <n v="1"/>
    <n v="0"/>
    <x v="0"/>
    <x v="0"/>
    <x v="1"/>
  </r>
  <r>
    <n v="20296637697"/>
    <x v="2"/>
    <x v="2"/>
    <x v="329"/>
    <x v="330"/>
    <x v="316"/>
    <n v="2"/>
    <x v="12"/>
    <s v="PV08-PV10"/>
    <s v="MZ. L LT. 13 COM. CAMPESINA LA VIZCACHERA, HUAROCHIRI"/>
    <x v="95"/>
    <x v="0"/>
    <x v="0"/>
    <x v="1"/>
    <x v="137"/>
    <x v="0"/>
    <n v="4"/>
    <n v="40.5"/>
    <x v="0"/>
    <x v="1"/>
    <n v="2.5641025641025641E-3"/>
    <x v="10"/>
    <x v="1"/>
    <s v="OK"/>
    <x v="0"/>
    <s v="OK"/>
    <x v="0"/>
    <x v="0"/>
    <n v="1"/>
    <n v="0"/>
    <n v="1"/>
    <n v="0"/>
    <x v="0"/>
    <x v="0"/>
    <x v="1"/>
  </r>
  <r>
    <n v="20605118764"/>
    <x v="45"/>
    <x v="2"/>
    <x v="330"/>
    <x v="331"/>
    <x v="317"/>
    <n v="1"/>
    <x v="7"/>
    <s v="PV08-PV10"/>
    <s v="ASENT. H. LOS OLIUVOS DE PRO MZ. K2 LT. 03"/>
    <x v="49"/>
    <x v="0"/>
    <x v="0"/>
    <x v="1"/>
    <x v="188"/>
    <x v="0"/>
    <n v="1"/>
    <n v="128"/>
    <x v="0"/>
    <x v="0"/>
    <n v="2.5641025641025641E-3"/>
    <x v="8"/>
    <x v="1"/>
    <s v="OK"/>
    <x v="0"/>
    <s v="OK"/>
    <x v="0"/>
    <x v="0"/>
    <n v="1"/>
    <n v="0"/>
    <n v="0"/>
    <n v="0"/>
    <x v="0"/>
    <x v="0"/>
    <x v="0"/>
  </r>
  <r>
    <n v="20296637697"/>
    <x v="2"/>
    <x v="2"/>
    <x v="331"/>
    <x v="332"/>
    <x v="318"/>
    <n v="1"/>
    <x v="71"/>
    <s v="PV01BIS - PV01 - PV02 Y PV03"/>
    <s v="CALLE HUMBERTO CABRERA CACERES MZ X LT URB RESDI HONOR Y LEALTAD"/>
    <x v="14"/>
    <x v="1"/>
    <x v="0"/>
    <x v="2"/>
    <x v="126"/>
    <x v="0"/>
    <n v="1"/>
    <n v="200"/>
    <x v="0"/>
    <x v="1"/>
    <n v="2.5641025641025641E-3"/>
    <x v="7"/>
    <x v="1"/>
    <s v="OK"/>
    <x v="0"/>
    <s v="OK"/>
    <x v="0"/>
    <x v="0"/>
    <n v="1"/>
    <n v="0"/>
    <n v="0"/>
    <n v="0"/>
    <x v="0"/>
    <x v="0"/>
    <x v="0"/>
  </r>
  <r>
    <n v="20296637697"/>
    <x v="2"/>
    <x v="2"/>
    <x v="332"/>
    <x v="333"/>
    <x v="319"/>
    <n v="2"/>
    <x v="2"/>
    <s v="PV01BIS - PV01 - PV02 Y PV03"/>
    <s v="AA.HH ACAPULCO MZ B LOTE 18 "/>
    <x v="6"/>
    <x v="0"/>
    <x v="0"/>
    <x v="2"/>
    <x v="189"/>
    <x v="0"/>
    <n v="4"/>
    <n v="193"/>
    <x v="0"/>
    <x v="1"/>
    <n v="2.5641025641025641E-3"/>
    <x v="12"/>
    <x v="1"/>
    <s v="OK"/>
    <x v="2"/>
    <s v="OK"/>
    <x v="0"/>
    <x v="0"/>
    <n v="1"/>
    <n v="1"/>
    <n v="0"/>
    <n v="0"/>
    <x v="0"/>
    <x v="0"/>
    <x v="0"/>
  </r>
  <r>
    <n v="20296637697"/>
    <x v="2"/>
    <x v="2"/>
    <x v="333"/>
    <x v="334"/>
    <x v="320"/>
    <n v="2"/>
    <x v="2"/>
    <s v="PV01BIS - PV01 - PV02 Y PV03"/>
    <s v="JR CHACHAPOYAS 254 "/>
    <x v="6"/>
    <x v="0"/>
    <x v="0"/>
    <x v="2"/>
    <x v="189"/>
    <x v="0"/>
    <n v="4"/>
    <n v="193"/>
    <x v="0"/>
    <x v="1"/>
    <n v="2.5641025641025641E-3"/>
    <x v="8"/>
    <x v="1"/>
    <s v="OK"/>
    <x v="2"/>
    <s v="OK"/>
    <x v="0"/>
    <x v="0"/>
    <n v="1"/>
    <n v="1"/>
    <n v="0"/>
    <n v="0"/>
    <x v="0"/>
    <x v="0"/>
    <x v="0"/>
  </r>
  <r>
    <n v="20296637697"/>
    <x v="2"/>
    <x v="2"/>
    <x v="334"/>
    <x v="335"/>
    <x v="321"/>
    <n v="2"/>
    <x v="2"/>
    <s v="PV01BIS - PV01 - PV02 Y PV03"/>
    <s v="MAZ C LOTE 3 AV.ATALAYA"/>
    <x v="13"/>
    <x v="0"/>
    <x v="0"/>
    <x v="2"/>
    <x v="189"/>
    <x v="0"/>
    <n v="4"/>
    <n v="193"/>
    <x v="0"/>
    <x v="1"/>
    <n v="2.5641025641025641E-3"/>
    <x v="8"/>
    <x v="1"/>
    <s v="OK"/>
    <x v="0"/>
    <s v="OK"/>
    <x v="0"/>
    <x v="0"/>
    <n v="1"/>
    <n v="0"/>
    <n v="0"/>
    <n v="0"/>
    <x v="0"/>
    <x v="0"/>
    <x v="0"/>
  </r>
  <r>
    <n v="20296637697"/>
    <x v="2"/>
    <x v="2"/>
    <x v="335"/>
    <x v="336"/>
    <x v="322"/>
    <n v="2"/>
    <x v="10"/>
    <s v="PV01BIS - PV01 - PV02 Y PV03"/>
    <s v="MZ. B1 LT.18 LOS ALAMOS"/>
    <x v="62"/>
    <x v="0"/>
    <x v="0"/>
    <x v="2"/>
    <x v="17"/>
    <x v="0"/>
    <n v="4"/>
    <n v="201"/>
    <x v="0"/>
    <x v="1"/>
    <n v="2.5641025641025641E-3"/>
    <x v="11"/>
    <x v="1"/>
    <s v="OK"/>
    <x v="0"/>
    <s v="OK"/>
    <x v="0"/>
    <x v="0"/>
    <n v="1"/>
    <n v="0"/>
    <n v="0"/>
    <n v="0"/>
    <x v="0"/>
    <x v="0"/>
    <x v="0"/>
  </r>
  <r>
    <n v="20296637697"/>
    <x v="2"/>
    <x v="2"/>
    <x v="336"/>
    <x v="337"/>
    <x v="323"/>
    <n v="2"/>
    <x v="72"/>
    <s v="PV01BIS - PV01 - PV02 Y PV03"/>
    <s v="JR JULIAN ALARCON 933 MZ J LT 2 APV EL ROSARIO"/>
    <x v="3"/>
    <x v="0"/>
    <x v="0"/>
    <x v="2"/>
    <x v="187"/>
    <x v="0"/>
    <n v="4"/>
    <n v="141"/>
    <x v="0"/>
    <x v="1"/>
    <n v="2.5641025641025641E-3"/>
    <x v="9"/>
    <x v="1"/>
    <s v="OK"/>
    <x v="0"/>
    <s v="OK"/>
    <x v="0"/>
    <x v="0"/>
    <n v="1"/>
    <n v="0"/>
    <n v="1"/>
    <n v="0"/>
    <x v="0"/>
    <x v="0"/>
    <x v="1"/>
  </r>
  <r>
    <n v="20296637697"/>
    <x v="2"/>
    <x v="2"/>
    <x v="337"/>
    <x v="338"/>
    <x v="324"/>
    <n v="2"/>
    <x v="73"/>
    <s v="PV01BIS - PV01 - PV02 Y PV03"/>
    <s v="JR. LAS HIEDRAS 776 A URB. CANTO GRANDE"/>
    <x v="15"/>
    <x v="0"/>
    <x v="0"/>
    <x v="2"/>
    <x v="149"/>
    <x v="0"/>
    <n v="4"/>
    <n v="196"/>
    <x v="0"/>
    <x v="1"/>
    <n v="2.5641025641025641E-3"/>
    <x v="8"/>
    <x v="1"/>
    <s v="OK"/>
    <x v="0"/>
    <s v="OK"/>
    <x v="0"/>
    <x v="0"/>
    <n v="1"/>
    <n v="0"/>
    <n v="0"/>
    <n v="0"/>
    <x v="0"/>
    <x v="0"/>
    <x v="0"/>
  </r>
  <r>
    <n v="20296637697"/>
    <x v="2"/>
    <x v="2"/>
    <x v="338"/>
    <x v="339"/>
    <x v="325"/>
    <n v="2"/>
    <x v="8"/>
    <s v="PV01BIS - PV01 - PV02 Y PV03"/>
    <s v="AAHH EL MIRADOR ALTO CARIBE 3 MZ A LT 3"/>
    <x v="15"/>
    <x v="0"/>
    <x v="0"/>
    <x v="2"/>
    <x v="25"/>
    <x v="0"/>
    <n v="4"/>
    <n v="208"/>
    <x v="0"/>
    <x v="1"/>
    <n v="2.5641025641025641E-3"/>
    <x v="6"/>
    <x v="1"/>
    <s v="OK"/>
    <x v="0"/>
    <s v="OK"/>
    <x v="0"/>
    <x v="0"/>
    <n v="1"/>
    <n v="0"/>
    <n v="0"/>
    <n v="0"/>
    <x v="0"/>
    <x v="0"/>
    <x v="0"/>
  </r>
  <r>
    <n v="20296637697"/>
    <x v="2"/>
    <x v="2"/>
    <x v="339"/>
    <x v="340"/>
    <x v="326"/>
    <n v="2"/>
    <x v="8"/>
    <s v="PV01BIS - PV01 - PV02 Y PV03"/>
    <s v="CALLE LOS ASTILLEROS 102"/>
    <x v="96"/>
    <x v="0"/>
    <x v="0"/>
    <x v="2"/>
    <x v="190"/>
    <x v="0"/>
    <n v="4"/>
    <n v="161"/>
    <x v="0"/>
    <x v="1"/>
    <n v="2.5641025641025641E-3"/>
    <x v="10"/>
    <x v="1"/>
    <s v="OK"/>
    <x v="0"/>
    <s v="OK"/>
    <x v="0"/>
    <x v="0"/>
    <n v="1"/>
    <n v="0"/>
    <n v="0"/>
    <n v="0"/>
    <x v="0"/>
    <x v="0"/>
    <x v="0"/>
  </r>
  <r>
    <n v="20296637697"/>
    <x v="2"/>
    <x v="2"/>
    <x v="340"/>
    <x v="341"/>
    <x v="327"/>
    <n v="2"/>
    <x v="11"/>
    <s v="PV01BIS - PV01 - PV02 Y PV03"/>
    <s v="AMPLIACION URBANA"/>
    <x v="97"/>
    <x v="0"/>
    <x v="0"/>
    <x v="2"/>
    <x v="26"/>
    <x v="0"/>
    <n v="4"/>
    <n v="125"/>
    <x v="0"/>
    <x v="1"/>
    <n v="2.5641025641025641E-3"/>
    <x v="6"/>
    <x v="1"/>
    <s v="OK"/>
    <x v="0"/>
    <s v="OK"/>
    <x v="0"/>
    <x v="0"/>
    <n v="1"/>
    <n v="0"/>
    <n v="0"/>
    <n v="0"/>
    <x v="0"/>
    <x v="0"/>
    <x v="0"/>
  </r>
  <r>
    <n v="20296637697"/>
    <x v="2"/>
    <x v="2"/>
    <x v="341"/>
    <x v="342"/>
    <x v="328"/>
    <n v="2"/>
    <x v="74"/>
    <s v="PV01BIS - PV01 - PV02 Y PV03"/>
    <s v="PRL AMAZONAS 1410 AZAPAMPA"/>
    <x v="98"/>
    <x v="0"/>
    <x v="0"/>
    <x v="2"/>
    <x v="16"/>
    <x v="0"/>
    <n v="4"/>
    <n v="207"/>
    <x v="0"/>
    <x v="1"/>
    <n v="2.5641025641025641E-3"/>
    <x v="8"/>
    <x v="1"/>
    <s v="OK"/>
    <x v="0"/>
    <s v="OK"/>
    <x v="0"/>
    <x v="0"/>
    <n v="1"/>
    <n v="0"/>
    <n v="0"/>
    <n v="0"/>
    <x v="0"/>
    <x v="0"/>
    <x v="0"/>
  </r>
  <r>
    <n v="20296637697"/>
    <x v="2"/>
    <x v="2"/>
    <x v="342"/>
    <x v="343"/>
    <x v="329"/>
    <n v="2"/>
    <x v="67"/>
    <s v="PV01BIS - PV01 - PV02 Y PV03"/>
    <s v="AV. PRIMAVERA MZ C LT 7 HEROES DE LA BREÑA CAMPOY"/>
    <x v="15"/>
    <x v="0"/>
    <x v="0"/>
    <x v="2"/>
    <x v="186"/>
    <x v="0"/>
    <n v="4"/>
    <n v="64"/>
    <x v="0"/>
    <x v="1"/>
    <n v="2.5641025641025641E-3"/>
    <x v="11"/>
    <x v="1"/>
    <s v="OK"/>
    <x v="0"/>
    <s v="OK"/>
    <x v="0"/>
    <x v="0"/>
    <n v="1"/>
    <n v="0"/>
    <n v="1"/>
    <n v="0"/>
    <x v="0"/>
    <x v="0"/>
    <x v="1"/>
  </r>
  <r>
    <n v="20296637697"/>
    <x v="2"/>
    <x v="2"/>
    <x v="343"/>
    <x v="344"/>
    <x v="330"/>
    <n v="2"/>
    <x v="8"/>
    <s v="PV01BIS - PV01 - PV02 Y PV03"/>
    <s v="ASENT H ROCA FUERTE MZ 23 LT 15"/>
    <x v="99"/>
    <x v="0"/>
    <x v="0"/>
    <x v="2"/>
    <x v="38"/>
    <x v="0"/>
    <n v="4"/>
    <n v="227"/>
    <x v="0"/>
    <x v="1"/>
    <n v="2.5641025641025641E-3"/>
    <x v="9"/>
    <x v="1"/>
    <s v="OK"/>
    <x v="0"/>
    <s v="OK"/>
    <x v="0"/>
    <x v="0"/>
    <n v="1"/>
    <n v="0"/>
    <n v="0"/>
    <n v="0"/>
    <x v="0"/>
    <x v="0"/>
    <x v="0"/>
  </r>
  <r>
    <n v="20296637697"/>
    <x v="2"/>
    <x v="2"/>
    <x v="344"/>
    <x v="345"/>
    <x v="331"/>
    <n v="1"/>
    <x v="75"/>
    <s v="ESTACION 05 CCM2L"/>
    <s v="CALLE MUÑOZ MZ D LTE 44 URB LA HACIENDA COMAS"/>
    <x v="0"/>
    <x v="1"/>
    <x v="0"/>
    <x v="1"/>
    <x v="191"/>
    <x v="0"/>
    <n v="1"/>
    <n v="200.5"/>
    <x v="0"/>
    <x v="1"/>
    <n v="2.5641025641025641E-3"/>
    <x v="11"/>
    <x v="1"/>
    <s v="OK"/>
    <x v="0"/>
    <s v="OK"/>
    <x v="0"/>
    <x v="0"/>
    <n v="1"/>
    <n v="0"/>
    <n v="0"/>
    <n v="0"/>
    <x v="0"/>
    <x v="0"/>
    <x v="0"/>
  </r>
  <r>
    <n v="20296637697"/>
    <x v="2"/>
    <x v="2"/>
    <x v="345"/>
    <x v="346"/>
    <x v="332"/>
    <n v="2"/>
    <x v="18"/>
    <s v="ESTACION 05 CCM2L"/>
    <s v="AV CUSCO ASENT H. VILLA DEL MAR MZ F LTE 13 MI PERU CALLAO"/>
    <x v="6"/>
    <x v="0"/>
    <x v="0"/>
    <x v="1"/>
    <x v="112"/>
    <x v="0"/>
    <n v="4"/>
    <n v="221"/>
    <x v="0"/>
    <x v="1"/>
    <n v="2.5641025641025641E-3"/>
    <x v="6"/>
    <x v="1"/>
    <s v="OK"/>
    <x v="2"/>
    <s v="OK"/>
    <x v="0"/>
    <x v="0"/>
    <n v="1"/>
    <n v="1"/>
    <n v="0"/>
    <n v="0"/>
    <x v="0"/>
    <x v="0"/>
    <x v="0"/>
  </r>
  <r>
    <n v="20296637697"/>
    <x v="2"/>
    <x v="2"/>
    <x v="346"/>
    <x v="347"/>
    <x v="333"/>
    <n v="1"/>
    <x v="43"/>
    <s v="ESTACION 05 CCM2L"/>
    <s v="PROLONG. LOS ANGELES PSJ. SAN BENITO MZ B LT 04 HUARAL LIMA"/>
    <x v="100"/>
    <x v="0"/>
    <x v="0"/>
    <x v="1"/>
    <x v="125"/>
    <x v="0"/>
    <n v="4"/>
    <n v="200.5"/>
    <x v="0"/>
    <x v="1"/>
    <n v="2.5641025641025641E-3"/>
    <x v="10"/>
    <x v="1"/>
    <s v="OK"/>
    <x v="0"/>
    <s v="OK"/>
    <x v="0"/>
    <x v="0"/>
    <n v="1"/>
    <n v="0"/>
    <n v="0"/>
    <n v="0"/>
    <x v="0"/>
    <x v="0"/>
    <x v="0"/>
  </r>
  <r>
    <n v="20296637697"/>
    <x v="2"/>
    <x v="2"/>
    <x v="347"/>
    <x v="348"/>
    <x v="334"/>
    <n v="2"/>
    <x v="2"/>
    <s v="ESTACION 05 CCM2L"/>
    <s v="ASENT. H. BOCANEGRA ZONA 5 MZ G1 "/>
    <x v="6"/>
    <x v="0"/>
    <x v="0"/>
    <x v="1"/>
    <x v="125"/>
    <x v="0"/>
    <n v="4"/>
    <n v="211.5"/>
    <x v="0"/>
    <x v="1"/>
    <n v="2.5641025641025641E-3"/>
    <x v="13"/>
    <x v="1"/>
    <s v="OK"/>
    <x v="2"/>
    <s v="OK"/>
    <x v="0"/>
    <x v="0"/>
    <n v="1"/>
    <n v="1"/>
    <n v="0"/>
    <n v="0"/>
    <x v="0"/>
    <x v="0"/>
    <x v="0"/>
  </r>
  <r>
    <n v="20296637697"/>
    <x v="2"/>
    <x v="2"/>
    <x v="348"/>
    <x v="349"/>
    <x v="335"/>
    <n v="2"/>
    <x v="18"/>
    <s v="ESTACION 05 CCM2L"/>
    <s v="SECTOR LAGUNA MZ 51 LT 3 CHICLIN"/>
    <x v="101"/>
    <x v="0"/>
    <x v="0"/>
    <x v="1"/>
    <x v="125"/>
    <x v="0"/>
    <n v="4"/>
    <n v="245.5"/>
    <x v="0"/>
    <x v="1"/>
    <n v="2.5641025641025641E-3"/>
    <x v="13"/>
    <x v="1"/>
    <s v="OK"/>
    <x v="0"/>
    <s v="OK"/>
    <x v="0"/>
    <x v="0"/>
    <n v="1"/>
    <n v="0"/>
    <n v="0"/>
    <n v="0"/>
    <x v="0"/>
    <x v="0"/>
    <x v="0"/>
  </r>
  <r>
    <n v="20296637697"/>
    <x v="46"/>
    <x v="2"/>
    <x v="349"/>
    <x v="350"/>
    <x v="336"/>
    <n v="2"/>
    <x v="76"/>
    <s v="ESTACION 05 CCM2L"/>
    <s v="CAJAMARQUILLA CHOSICA ASOC.LOS JARDINES DE LA FLORIDA MZ C LT 1"/>
    <x v="15"/>
    <x v="0"/>
    <x v="0"/>
    <x v="1"/>
    <x v="93"/>
    <x v="0"/>
    <n v="4"/>
    <n v="200.5"/>
    <x v="0"/>
    <x v="0"/>
    <n v="2.5641025641025641E-3"/>
    <x v="12"/>
    <x v="1"/>
    <s v="OK"/>
    <x v="0"/>
    <s v="OK"/>
    <x v="0"/>
    <x v="0"/>
    <n v="1"/>
    <n v="0"/>
    <n v="0"/>
    <n v="0"/>
    <x v="0"/>
    <x v="0"/>
    <x v="0"/>
  </r>
  <r>
    <n v="20296637697"/>
    <x v="46"/>
    <x v="2"/>
    <x v="350"/>
    <x v="351"/>
    <x v="337"/>
    <n v="2"/>
    <x v="77"/>
    <s v="ESTACION 05 CCM2L"/>
    <s v="ASOC. AURORA MZ A LT 1"/>
    <x v="4"/>
    <x v="0"/>
    <x v="0"/>
    <x v="1"/>
    <x v="93"/>
    <x v="0"/>
    <n v="4"/>
    <n v="200.5"/>
    <x v="0"/>
    <x v="0"/>
    <n v="2.5641025641025641E-3"/>
    <x v="6"/>
    <x v="1"/>
    <s v="OK"/>
    <x v="0"/>
    <s v="OK"/>
    <x v="0"/>
    <x v="0"/>
    <n v="1"/>
    <n v="0"/>
    <n v="0"/>
    <n v="0"/>
    <x v="0"/>
    <x v="0"/>
    <x v="0"/>
  </r>
  <r>
    <n v="20296637697"/>
    <x v="2"/>
    <x v="2"/>
    <x v="351"/>
    <x v="352"/>
    <x v="338"/>
    <n v="2"/>
    <x v="2"/>
    <s v="ESTACION 05 CCM2L"/>
    <s v="CALLE FRANCISCO DE TOLEDO 131 URB COLONIAL CALLAO"/>
    <x v="6"/>
    <x v="0"/>
    <x v="0"/>
    <x v="1"/>
    <x v="2"/>
    <x v="0"/>
    <n v="4"/>
    <n v="179"/>
    <x v="0"/>
    <x v="1"/>
    <n v="2.5641025641025641E-3"/>
    <x v="12"/>
    <x v="1"/>
    <s v="OK"/>
    <x v="2"/>
    <s v="OK"/>
    <x v="0"/>
    <x v="0"/>
    <n v="1"/>
    <n v="1"/>
    <n v="0"/>
    <n v="0"/>
    <x v="0"/>
    <x v="0"/>
    <x v="0"/>
  </r>
  <r>
    <n v="20296637697"/>
    <x v="2"/>
    <x v="2"/>
    <x v="352"/>
    <x v="353"/>
    <x v="339"/>
    <n v="2"/>
    <x v="8"/>
    <s v="ESTACION 05 CCM2L"/>
    <s v="CALLE FRANCIA 13 CPME CHICLIN CHICAMA ASCOPE LA LIBERTAD"/>
    <x v="101"/>
    <x v="0"/>
    <x v="0"/>
    <x v="1"/>
    <x v="126"/>
    <x v="0"/>
    <n v="4"/>
    <n v="239.5"/>
    <x v="0"/>
    <x v="1"/>
    <n v="2.5641025641025641E-3"/>
    <x v="8"/>
    <x v="1"/>
    <s v="OK"/>
    <x v="0"/>
    <s v="OK"/>
    <x v="0"/>
    <x v="0"/>
    <n v="1"/>
    <n v="0"/>
    <n v="0"/>
    <n v="0"/>
    <x v="0"/>
    <x v="0"/>
    <x v="0"/>
  </r>
  <r>
    <n v="20296637697"/>
    <x v="2"/>
    <x v="2"/>
    <x v="353"/>
    <x v="354"/>
    <x v="340"/>
    <n v="2"/>
    <x v="18"/>
    <s v="ESTACION 05 CCM2L"/>
    <s v="CALLE HUACHO CPME CHICLIN 2 CHICAMA ASCOPE LA LIBERTAD "/>
    <x v="101"/>
    <x v="0"/>
    <x v="0"/>
    <x v="1"/>
    <x v="192"/>
    <x v="0"/>
    <n v="4"/>
    <n v="237.5"/>
    <x v="0"/>
    <x v="1"/>
    <n v="2.5641025641025641E-3"/>
    <x v="12"/>
    <x v="1"/>
    <s v="OK"/>
    <x v="0"/>
    <s v="OK"/>
    <x v="0"/>
    <x v="0"/>
    <n v="1"/>
    <n v="0"/>
    <n v="0"/>
    <n v="0"/>
    <x v="0"/>
    <x v="0"/>
    <x v="0"/>
  </r>
  <r>
    <n v="20296637697"/>
    <x v="46"/>
    <x v="2"/>
    <x v="354"/>
    <x v="355"/>
    <x v="341"/>
    <n v="2"/>
    <x v="77"/>
    <s v="ESTACION 05 CCM2L"/>
    <s v="CALLE AMAZONAS 284 A.H PERALES LOS SANTA"/>
    <x v="27"/>
    <x v="0"/>
    <x v="0"/>
    <x v="1"/>
    <x v="99"/>
    <x v="0"/>
    <n v="4"/>
    <n v="200.5"/>
    <x v="0"/>
    <x v="0"/>
    <n v="2.5641025641025641E-3"/>
    <x v="12"/>
    <x v="1"/>
    <s v="OK"/>
    <x v="5"/>
    <s v="OK"/>
    <x v="0"/>
    <x v="0"/>
    <n v="1"/>
    <n v="1"/>
    <n v="0"/>
    <n v="0"/>
    <x v="0"/>
    <x v="0"/>
    <x v="0"/>
  </r>
  <r>
    <n v="20296637697"/>
    <x v="2"/>
    <x v="2"/>
    <x v="355"/>
    <x v="356"/>
    <x v="342"/>
    <n v="2"/>
    <x v="67"/>
    <s v="ESTACION 05 CCM2L"/>
    <s v="PJ. SAN FRANCISCO 239 SECTOR 02 CHILCA HUANCAYO JUNIN"/>
    <x v="98"/>
    <x v="0"/>
    <x v="0"/>
    <x v="1"/>
    <x v="21"/>
    <x v="0"/>
    <n v="4"/>
    <n v="261.5"/>
    <x v="0"/>
    <x v="1"/>
    <n v="2.5641025641025641E-3"/>
    <x v="6"/>
    <x v="1"/>
    <s v="OK"/>
    <x v="0"/>
    <s v="OK"/>
    <x v="0"/>
    <x v="0"/>
    <n v="1"/>
    <n v="0"/>
    <n v="0"/>
    <n v="0"/>
    <x v="0"/>
    <x v="0"/>
    <x v="0"/>
  </r>
  <r>
    <n v="20296637697"/>
    <x v="2"/>
    <x v="2"/>
    <x v="356"/>
    <x v="357"/>
    <x v="343"/>
    <n v="2"/>
    <x v="18"/>
    <s v="ESTACION 05 CCM2L"/>
    <s v="CALLE PERU 18 C.P. CHICLIN CHICAMA ASCOPE LA LIBERTAD"/>
    <x v="101"/>
    <x v="0"/>
    <x v="0"/>
    <x v="1"/>
    <x v="21"/>
    <x v="0"/>
    <n v="4"/>
    <n v="240.5"/>
    <x v="0"/>
    <x v="1"/>
    <n v="2.5641025641025641E-3"/>
    <x v="13"/>
    <x v="1"/>
    <s v="OK"/>
    <x v="0"/>
    <s v="OK"/>
    <x v="0"/>
    <x v="0"/>
    <n v="1"/>
    <n v="0"/>
    <n v="0"/>
    <n v="0"/>
    <x v="0"/>
    <x v="0"/>
    <x v="0"/>
  </r>
  <r>
    <n v="20296637697"/>
    <x v="2"/>
    <x v="2"/>
    <x v="357"/>
    <x v="358"/>
    <x v="344"/>
    <n v="2"/>
    <x v="2"/>
    <s v="ESTACION 05 CCM2L"/>
    <s v="COMUNIDAD CANAL PINTO LAS AMAZONAS MAYNAS LORETO"/>
    <x v="102"/>
    <x v="0"/>
    <x v="0"/>
    <x v="1"/>
    <x v="21"/>
    <x v="0"/>
    <n v="4"/>
    <n v="226"/>
    <x v="0"/>
    <x v="1"/>
    <n v="2.5641025641025641E-3"/>
    <x v="11"/>
    <x v="1"/>
    <s v="OK"/>
    <x v="0"/>
    <s v="OK"/>
    <x v="0"/>
    <x v="0"/>
    <n v="1"/>
    <n v="0"/>
    <n v="0"/>
    <n v="0"/>
    <x v="0"/>
    <x v="0"/>
    <x v="0"/>
  </r>
  <r>
    <n v="20296637697"/>
    <x v="2"/>
    <x v="2"/>
    <x v="358"/>
    <x v="359"/>
    <x v="345"/>
    <n v="2"/>
    <x v="67"/>
    <s v="ESTACION 05 CCM2L"/>
    <s v="CASERIO EL PONGO UNION AGUA BLANCA SAN MIGUEL CAJAMARCA"/>
    <x v="103"/>
    <x v="0"/>
    <x v="0"/>
    <x v="1"/>
    <x v="21"/>
    <x v="0"/>
    <n v="4"/>
    <n v="245.5"/>
    <x v="0"/>
    <x v="1"/>
    <n v="2.5641025641025641E-3"/>
    <x v="8"/>
    <x v="1"/>
    <s v="OK"/>
    <x v="0"/>
    <s v="OK"/>
    <x v="0"/>
    <x v="0"/>
    <n v="1"/>
    <n v="0"/>
    <n v="0"/>
    <n v="0"/>
    <x v="0"/>
    <x v="0"/>
    <x v="0"/>
  </r>
  <r>
    <n v="20296637697"/>
    <x v="46"/>
    <x v="2"/>
    <x v="359"/>
    <x v="360"/>
    <x v="346"/>
    <n v="2"/>
    <x v="78"/>
    <s v="ESTACION 05 CCM2L"/>
    <s v="UCV 173 LT 15 HUAYCAN ZONA M"/>
    <x v="1"/>
    <x v="0"/>
    <x v="0"/>
    <x v="1"/>
    <x v="53"/>
    <x v="0"/>
    <n v="4"/>
    <n v="200.5"/>
    <x v="0"/>
    <x v="0"/>
    <n v="2.5641025641025641E-3"/>
    <x v="12"/>
    <x v="1"/>
    <s v="OK"/>
    <x v="1"/>
    <s v="OK"/>
    <x v="0"/>
    <x v="0"/>
    <n v="1"/>
    <n v="1"/>
    <n v="0"/>
    <n v="0"/>
    <x v="0"/>
    <x v="0"/>
    <x v="0"/>
  </r>
  <r>
    <n v="20296637697"/>
    <x v="2"/>
    <x v="2"/>
    <x v="360"/>
    <x v="361"/>
    <x v="347"/>
    <n v="2"/>
    <x v="18"/>
    <s v="ESTACION 05 CCM2L"/>
    <s v="CALLE HUACHO # 22 CHICLIN CHICAMA ASCOPE LA LIBERTAD"/>
    <x v="101"/>
    <x v="0"/>
    <x v="0"/>
    <x v="1"/>
    <x v="193"/>
    <x v="0"/>
    <n v="4"/>
    <n v="219.5"/>
    <x v="0"/>
    <x v="1"/>
    <n v="2.5641025641025641E-3"/>
    <x v="10"/>
    <x v="1"/>
    <s v="OK"/>
    <x v="0"/>
    <s v="OK"/>
    <x v="0"/>
    <x v="0"/>
    <n v="1"/>
    <n v="0"/>
    <n v="0"/>
    <n v="0"/>
    <x v="0"/>
    <x v="0"/>
    <x v="0"/>
  </r>
  <r>
    <n v="20600507355"/>
    <x v="47"/>
    <x v="3"/>
    <x v="361"/>
    <x v="362"/>
    <x v="348"/>
    <n v="3"/>
    <x v="79"/>
    <s v="1a - PTBN"/>
    <s v="Av. Los Dominicos Mz W Lt.  31A"/>
    <x v="3"/>
    <x v="0"/>
    <x v="0"/>
    <x v="2"/>
    <x v="194"/>
    <x v="0"/>
    <n v="1"/>
    <n v="120"/>
    <x v="0"/>
    <x v="0"/>
    <n v="9.0909090909090912E-2"/>
    <x v="11"/>
    <x v="1"/>
    <s v="OK"/>
    <x v="0"/>
    <s v="OK"/>
    <x v="0"/>
    <x v="0"/>
    <n v="1"/>
    <n v="0"/>
    <n v="0"/>
    <n v="0"/>
    <x v="0"/>
    <x v="0"/>
    <x v="0"/>
  </r>
  <r>
    <n v="20603315201"/>
    <x v="48"/>
    <x v="3"/>
    <x v="362"/>
    <x v="363"/>
    <x v="349"/>
    <n v="3"/>
    <x v="79"/>
    <s v="1A - PTBN"/>
    <s v=" Calle B Urb Republica de Venezuela Mz D Lt 13"/>
    <x v="10"/>
    <x v="0"/>
    <x v="0"/>
    <x v="2"/>
    <x v="11"/>
    <x v="0"/>
    <n v="1"/>
    <n v="120"/>
    <x v="0"/>
    <x v="1"/>
    <n v="9.0909090909090912E-2"/>
    <x v="8"/>
    <x v="1"/>
    <s v="OK"/>
    <x v="0"/>
    <s v="OK"/>
    <x v="0"/>
    <x v="0"/>
    <n v="1"/>
    <n v="0"/>
    <n v="0"/>
    <n v="0"/>
    <x v="0"/>
    <x v="0"/>
    <x v="0"/>
  </r>
  <r>
    <n v="20602586198"/>
    <x v="49"/>
    <x v="3"/>
    <x v="363"/>
    <x v="364"/>
    <x v="350"/>
    <n v="3"/>
    <x v="80"/>
    <s v="PTBN"/>
    <s v="Ricardo Palma 281"/>
    <x v="0"/>
    <x v="0"/>
    <x v="0"/>
    <x v="2"/>
    <x v="195"/>
    <x v="0"/>
    <n v="1"/>
    <n v="80"/>
    <x v="0"/>
    <x v="0"/>
    <n v="9.0909090909090912E-2"/>
    <x v="10"/>
    <x v="1"/>
    <s v="OK"/>
    <x v="0"/>
    <s v="OK"/>
    <x v="0"/>
    <x v="0"/>
    <n v="1"/>
    <n v="0"/>
    <n v="0"/>
    <n v="0"/>
    <x v="0"/>
    <x v="0"/>
    <x v="0"/>
  </r>
  <r>
    <n v="20601010128"/>
    <x v="4"/>
    <x v="4"/>
    <x v="364"/>
    <x v="365"/>
    <x v="351"/>
    <n v="1"/>
    <x v="45"/>
    <s v="ESTACION 17 Y 18"/>
    <s v="LA VENTA S/N"/>
    <x v="104"/>
    <x v="0"/>
    <x v="0"/>
    <x v="1"/>
    <x v="24"/>
    <x v="0"/>
    <n v="2"/>
    <n v="176"/>
    <x v="0"/>
    <x v="1"/>
    <n v="2.8571428571428571E-2"/>
    <x v="8"/>
    <x v="1"/>
    <s v="OK"/>
    <x v="0"/>
    <s v="OK"/>
    <x v="0"/>
    <x v="0"/>
    <n v="1"/>
    <n v="0"/>
    <n v="0"/>
    <n v="0"/>
    <x v="0"/>
    <x v="0"/>
    <x v="0"/>
  </r>
  <r>
    <n v="20601010128"/>
    <x v="4"/>
    <x v="4"/>
    <x v="365"/>
    <x v="366"/>
    <x v="352"/>
    <n v="1"/>
    <x v="81"/>
    <s v="ESTACION 17 Y 18"/>
    <s v="JR. SAN MARTIN MZ.T LT. 20"/>
    <x v="105"/>
    <x v="0"/>
    <x v="0"/>
    <x v="1"/>
    <x v="196"/>
    <x v="0"/>
    <n v="2"/>
    <n v="176"/>
    <x v="0"/>
    <x v="1"/>
    <n v="2.8571428571428571E-2"/>
    <x v="11"/>
    <x v="1"/>
    <s v="OK"/>
    <x v="0"/>
    <s v="OK"/>
    <x v="0"/>
    <x v="0"/>
    <n v="1"/>
    <n v="0"/>
    <n v="0"/>
    <n v="0"/>
    <x v="0"/>
    <x v="0"/>
    <x v="0"/>
  </r>
  <r>
    <n v="20601010128"/>
    <x v="4"/>
    <x v="4"/>
    <x v="366"/>
    <x v="367"/>
    <x v="353"/>
    <n v="1"/>
    <x v="23"/>
    <s v="ESTACION 17 Y 18"/>
    <s v="ASOC. VIV. CANADA, MZ A LT 05"/>
    <x v="15"/>
    <x v="1"/>
    <x v="2"/>
    <x v="1"/>
    <x v="197"/>
    <x v="0"/>
    <n v="2"/>
    <n v="176"/>
    <x v="0"/>
    <x v="1"/>
    <n v="2.8571428571428571E-2"/>
    <x v="10"/>
    <x v="1"/>
    <s v="OK"/>
    <x v="0"/>
    <s v="OK"/>
    <x v="0"/>
    <x v="0"/>
    <n v="1"/>
    <n v="0"/>
    <n v="0"/>
    <n v="1"/>
    <x v="0"/>
    <x v="1"/>
    <x v="0"/>
  </r>
  <r>
    <n v="20601010128"/>
    <x v="4"/>
    <x v="4"/>
    <x v="367"/>
    <x v="368"/>
    <x v="354"/>
    <n v="2"/>
    <x v="10"/>
    <s v="ESTACION 17 Y ESTACION 18"/>
    <s v="COMUNIDAD PACCAYPATA"/>
    <x v="106"/>
    <x v="0"/>
    <x v="0"/>
    <x v="1"/>
    <x v="198"/>
    <x v="0"/>
    <n v="4"/>
    <s v="203"/>
    <x v="0"/>
    <x v="1"/>
    <n v="2.8571428571428571E-2"/>
    <x v="8"/>
    <x v="1"/>
    <s v="OK"/>
    <x v="0"/>
    <s v="OK"/>
    <x v="0"/>
    <x v="0"/>
    <n v="1"/>
    <n v="0"/>
    <n v="0"/>
    <n v="0"/>
    <x v="0"/>
    <x v="0"/>
    <x v="0"/>
  </r>
  <r>
    <n v="20601010128"/>
    <x v="4"/>
    <x v="4"/>
    <x v="368"/>
    <x v="369"/>
    <x v="355"/>
    <n v="2"/>
    <x v="15"/>
    <s v="ESTACION 17 Y ESTACION 18"/>
    <s v="URB. VIÑAS DE SURCO OQUENDO MZ. F6 LT 4"/>
    <x v="6"/>
    <x v="0"/>
    <x v="0"/>
    <x v="1"/>
    <x v="199"/>
    <x v="0"/>
    <n v="4"/>
    <s v="198"/>
    <x v="0"/>
    <x v="1"/>
    <n v="2.8571428571428571E-2"/>
    <x v="13"/>
    <x v="1"/>
    <s v="OK"/>
    <x v="2"/>
    <s v="OK"/>
    <x v="0"/>
    <x v="0"/>
    <n v="1"/>
    <n v="1"/>
    <n v="0"/>
    <n v="0"/>
    <x v="0"/>
    <x v="0"/>
    <x v="0"/>
  </r>
  <r>
    <n v="20601010128"/>
    <x v="4"/>
    <x v="4"/>
    <x v="369"/>
    <x v="370"/>
    <x v="356"/>
    <n v="2"/>
    <x v="82"/>
    <s v="ESTACION 17 Y ESTACION 18"/>
    <s v="JR. TEMPLO DEL SOL URB. MANGOMARCA"/>
    <x v="15"/>
    <x v="0"/>
    <x v="0"/>
    <x v="1"/>
    <x v="179"/>
    <x v="0"/>
    <n v="4"/>
    <s v="201.50"/>
    <x v="0"/>
    <x v="1"/>
    <n v="2.8571428571428571E-2"/>
    <x v="12"/>
    <x v="1"/>
    <s v="OK"/>
    <x v="0"/>
    <s v="OK"/>
    <x v="0"/>
    <x v="0"/>
    <n v="1"/>
    <n v="0"/>
    <n v="0"/>
    <n v="0"/>
    <x v="0"/>
    <x v="0"/>
    <x v="0"/>
  </r>
  <r>
    <n v="20601010128"/>
    <x v="4"/>
    <x v="4"/>
    <x v="370"/>
    <x v="371"/>
    <x v="357"/>
    <n v="2"/>
    <x v="15"/>
    <s v="ESTACION 14 Y ESTACION 15"/>
    <s v="ASENT. H LAS ORQUIDEAS MZ.A LT.03"/>
    <x v="4"/>
    <x v="0"/>
    <x v="2"/>
    <x v="1"/>
    <x v="126"/>
    <x v="0"/>
    <n v="2"/>
    <s v="150"/>
    <x v="0"/>
    <x v="1"/>
    <n v="2.8571428571428571E-2"/>
    <x v="9"/>
    <x v="1"/>
    <s v="OK"/>
    <x v="0"/>
    <s v="OK"/>
    <x v="0"/>
    <x v="0"/>
    <n v="1"/>
    <n v="0"/>
    <n v="0"/>
    <n v="1"/>
    <x v="0"/>
    <x v="1"/>
    <x v="0"/>
  </r>
  <r>
    <n v="20601010128"/>
    <x v="4"/>
    <x v="4"/>
    <x v="371"/>
    <x v="372"/>
    <x v="358"/>
    <n v="2"/>
    <x v="15"/>
    <s v="ESTACION 18"/>
    <s v="C.P. VILLA LOS ANGELES A-12"/>
    <x v="79"/>
    <x v="0"/>
    <x v="0"/>
    <x v="1"/>
    <x v="103"/>
    <x v="0"/>
    <n v="4"/>
    <s v="98"/>
    <x v="0"/>
    <x v="1"/>
    <n v="2.8571428571428571E-2"/>
    <x v="13"/>
    <x v="1"/>
    <s v="OK"/>
    <x v="0"/>
    <s v="OK"/>
    <x v="0"/>
    <x v="0"/>
    <n v="1"/>
    <n v="0"/>
    <n v="1"/>
    <n v="0"/>
    <x v="0"/>
    <x v="0"/>
    <x v="1"/>
  </r>
  <r>
    <n v="20601010128"/>
    <x v="4"/>
    <x v="4"/>
    <x v="372"/>
    <x v="373"/>
    <x v="359"/>
    <n v="2"/>
    <x v="15"/>
    <s v="ESTACION 18"/>
    <s v="CALLE LAS MAGNOLIAS 121"/>
    <x v="79"/>
    <x v="0"/>
    <x v="0"/>
    <x v="1"/>
    <x v="103"/>
    <x v="0"/>
    <n v="4"/>
    <s v="98"/>
    <x v="0"/>
    <x v="1"/>
    <n v="2.8571428571428571E-2"/>
    <x v="12"/>
    <x v="1"/>
    <s v="OK"/>
    <x v="0"/>
    <s v="OK"/>
    <x v="0"/>
    <x v="0"/>
    <n v="1"/>
    <n v="0"/>
    <n v="1"/>
    <n v="0"/>
    <x v="0"/>
    <x v="0"/>
    <x v="1"/>
  </r>
  <r>
    <n v="20609301288"/>
    <x v="5"/>
    <x v="5"/>
    <x v="373"/>
    <x v="374"/>
    <x v="222"/>
    <n v="2"/>
    <x v="10"/>
    <s v="POZO VENTILACIÓN 16"/>
    <s v="JR. WASHINGTON 590"/>
    <x v="89"/>
    <x v="0"/>
    <x v="0"/>
    <x v="2"/>
    <x v="5"/>
    <x v="0"/>
    <n v="4"/>
    <n v="38"/>
    <x v="0"/>
    <x v="1"/>
    <n v="9.0909090909090912E-2"/>
    <x v="7"/>
    <x v="1"/>
    <s v="OK"/>
    <x v="2"/>
    <s v="OK"/>
    <x v="0"/>
    <x v="0"/>
    <n v="1"/>
    <n v="1"/>
    <n v="0"/>
    <n v="0"/>
    <x v="0"/>
    <x v="0"/>
    <x v="0"/>
  </r>
  <r>
    <n v="20609301288"/>
    <x v="5"/>
    <x v="5"/>
    <x v="374"/>
    <x v="375"/>
    <x v="360"/>
    <n v="2"/>
    <x v="2"/>
    <s v="POZO VENTILACIÓN 16"/>
    <s v="JR. CALLAO 359 ASENT. H."/>
    <x v="6"/>
    <x v="0"/>
    <x v="0"/>
    <x v="2"/>
    <x v="5"/>
    <x v="0"/>
    <n v="4"/>
    <n v="46"/>
    <x v="0"/>
    <x v="1"/>
    <n v="9.0909090909090912E-2"/>
    <x v="12"/>
    <x v="1"/>
    <s v="OK"/>
    <x v="2"/>
    <s v="OK"/>
    <x v="0"/>
    <x v="0"/>
    <n v="1"/>
    <n v="1"/>
    <n v="0"/>
    <n v="0"/>
    <x v="0"/>
    <x v="0"/>
    <x v="0"/>
  </r>
  <r>
    <n v="20609301289"/>
    <x v="5"/>
    <x v="5"/>
    <x v="375"/>
    <x v="376"/>
    <x v="317"/>
    <n v="2"/>
    <x v="10"/>
    <s v="POZO VENTILACIÓN 16"/>
    <s v="SECTOR B3 PACHACUTEC MZ. B2 LT. 02 -CALLAO-VENTANILLA"/>
    <x v="2"/>
    <x v="0"/>
    <x v="0"/>
    <x v="2"/>
    <x v="173"/>
    <x v="0"/>
    <n v="4"/>
    <n v="46"/>
    <x v="0"/>
    <x v="1"/>
    <n v="9.0909090909090912E-2"/>
    <x v="8"/>
    <x v="1"/>
    <s v="OK"/>
    <x v="2"/>
    <s v="OK"/>
    <x v="0"/>
    <x v="0"/>
    <n v="1"/>
    <n v="1"/>
    <n v="0"/>
    <n v="0"/>
    <x v="0"/>
    <x v="0"/>
    <x v="0"/>
  </r>
  <r>
    <n v="20609301290"/>
    <x v="5"/>
    <x v="5"/>
    <x v="376"/>
    <x v="377"/>
    <x v="361"/>
    <n v="2"/>
    <x v="20"/>
    <s v="POZO VENTILACIÓN 16"/>
    <s v="CALLE SANTA ANA 273 ASENT. H. MILAGRO DE JESÚS LIMA LIMA COMAS"/>
    <x v="0"/>
    <x v="0"/>
    <x v="0"/>
    <x v="2"/>
    <x v="173"/>
    <x v="0"/>
    <n v="4"/>
    <n v="40"/>
    <x v="0"/>
    <x v="1"/>
    <n v="9.0909090909090912E-2"/>
    <x v="13"/>
    <x v="1"/>
    <s v="OK"/>
    <x v="0"/>
    <s v="OK"/>
    <x v="0"/>
    <x v="0"/>
    <n v="1"/>
    <n v="0"/>
    <n v="0"/>
    <n v="0"/>
    <x v="0"/>
    <x v="0"/>
    <x v="0"/>
  </r>
  <r>
    <n v="20603070446"/>
    <x v="50"/>
    <x v="37"/>
    <x v="377"/>
    <x v="378"/>
    <x v="362"/>
    <n v="1"/>
    <x v="7"/>
    <s v="E1,2 y 3"/>
    <s v="JR. JOSE PARDO Y BARREDA #425"/>
    <x v="0"/>
    <x v="0"/>
    <x v="0"/>
    <x v="2"/>
    <x v="200"/>
    <x v="0"/>
    <n v="1"/>
    <n v="176"/>
    <x v="0"/>
    <x v="1"/>
    <n v="4.7619047619047616E-2"/>
    <x v="10"/>
    <x v="1"/>
    <s v="OK"/>
    <x v="0"/>
    <s v="OK"/>
    <x v="0"/>
    <x v="0"/>
    <n v="1"/>
    <n v="0"/>
    <n v="0"/>
    <n v="0"/>
    <x v="0"/>
    <x v="0"/>
    <x v="0"/>
  </r>
  <r>
    <n v="20603070446"/>
    <x v="50"/>
    <x v="37"/>
    <x v="378"/>
    <x v="379"/>
    <x v="363"/>
    <n v="2"/>
    <x v="83"/>
    <s v="E12"/>
    <s v="PROVIV. RES. BARCELONA MZ. ET. 11"/>
    <x v="15"/>
    <x v="0"/>
    <x v="0"/>
    <x v="2"/>
    <x v="200"/>
    <x v="0"/>
    <n v="4"/>
    <n v="132"/>
    <x v="0"/>
    <x v="1"/>
    <n v="4.7619047619047616E-2"/>
    <x v="12"/>
    <x v="1"/>
    <s v="OK"/>
    <x v="0"/>
    <s v="OK"/>
    <x v="0"/>
    <x v="0"/>
    <n v="1"/>
    <n v="0"/>
    <n v="0"/>
    <n v="0"/>
    <x v="0"/>
    <x v="0"/>
    <x v="0"/>
  </r>
  <r>
    <n v="20603070446"/>
    <x v="50"/>
    <x v="37"/>
    <x v="379"/>
    <x v="380"/>
    <x v="364"/>
    <n v="1"/>
    <x v="7"/>
    <s v="E2-4"/>
    <s v="Ca. Mariano melgar 174"/>
    <x v="47"/>
    <x v="0"/>
    <x v="0"/>
    <x v="2"/>
    <x v="201"/>
    <x v="0"/>
    <n v="1"/>
    <n v="12"/>
    <x v="0"/>
    <x v="1"/>
    <n v="4.7619047619047616E-2"/>
    <x v="8"/>
    <x v="1"/>
    <s v="OK"/>
    <x v="0"/>
    <s v="OK"/>
    <x v="0"/>
    <x v="0"/>
    <n v="1"/>
    <n v="0"/>
    <n v="0"/>
    <n v="0"/>
    <x v="0"/>
    <x v="0"/>
    <x v="0"/>
  </r>
  <r>
    <n v="20603070446"/>
    <x v="50"/>
    <x v="37"/>
    <x v="380"/>
    <x v="381"/>
    <x v="365"/>
    <n v="2"/>
    <x v="83"/>
    <s v="E12"/>
    <s v=" COOP. SAGRADA FAMILIA L - 30 LIMA-LIMA-SAN JUAN DE LURIGANCHO"/>
    <x v="15"/>
    <x v="0"/>
    <x v="0"/>
    <x v="2"/>
    <x v="202"/>
    <x v="0"/>
    <n v="4"/>
    <n v="176"/>
    <x v="0"/>
    <x v="1"/>
    <n v="4.7619047619047616E-2"/>
    <x v="7"/>
    <x v="1"/>
    <s v="OK"/>
    <x v="0"/>
    <s v="OK"/>
    <x v="0"/>
    <x v="0"/>
    <n v="1"/>
    <n v="0"/>
    <n v="0"/>
    <n v="0"/>
    <x v="0"/>
    <x v="0"/>
    <x v="0"/>
  </r>
  <r>
    <n v="20603070446"/>
    <x v="50"/>
    <x v="37"/>
    <x v="381"/>
    <x v="382"/>
    <x v="366"/>
    <n v="1"/>
    <x v="7"/>
    <s v="E12"/>
    <s v="Av. Jamaica N°885. Coop. Primavera"/>
    <x v="0"/>
    <x v="0"/>
    <x v="0"/>
    <x v="2"/>
    <x v="115"/>
    <x v="0"/>
    <n v="1"/>
    <n v="108"/>
    <x v="0"/>
    <x v="1"/>
    <n v="4.7619047619047616E-2"/>
    <x v="7"/>
    <x v="1"/>
    <s v="OK"/>
    <x v="0"/>
    <s v="OK"/>
    <x v="0"/>
    <x v="0"/>
    <n v="1"/>
    <n v="0"/>
    <n v="1"/>
    <n v="0"/>
    <x v="0"/>
    <x v="0"/>
    <x v="1"/>
  </r>
  <r>
    <n v="20603070446"/>
    <x v="50"/>
    <x v="37"/>
    <x v="382"/>
    <x v="383"/>
    <x v="367"/>
    <n v="1"/>
    <x v="84"/>
    <s v="E12"/>
    <s v="Jr. los ebanos 109, SJL, Lima "/>
    <x v="10"/>
    <x v="0"/>
    <x v="0"/>
    <x v="2"/>
    <x v="203"/>
    <x v="0"/>
    <n v="1"/>
    <n v="176"/>
    <x v="0"/>
    <x v="1"/>
    <n v="4.7619047619047616E-2"/>
    <x v="6"/>
    <x v="1"/>
    <s v="OK"/>
    <x v="0"/>
    <s v="OK"/>
    <x v="0"/>
    <x v="0"/>
    <n v="1"/>
    <n v="0"/>
    <n v="0"/>
    <n v="0"/>
    <x v="0"/>
    <x v="0"/>
    <x v="0"/>
  </r>
  <r>
    <n v="20603070446"/>
    <x v="50"/>
    <x v="37"/>
    <x v="383"/>
    <x v="384"/>
    <x v="368"/>
    <n v="1"/>
    <x v="84"/>
    <s v="E1, 2 y E2-4"/>
    <s v="Asoc. Rio Santa Mz C Lt 03, Calle 12, Los Olivos, Lima "/>
    <x v="49"/>
    <x v="1"/>
    <x v="0"/>
    <x v="2"/>
    <x v="99"/>
    <x v="0"/>
    <n v="1"/>
    <n v="88"/>
    <x v="0"/>
    <x v="1"/>
    <n v="4.7619047619047616E-2"/>
    <x v="8"/>
    <x v="1"/>
    <s v="OK"/>
    <x v="0"/>
    <s v="OK"/>
    <x v="0"/>
    <x v="0"/>
    <n v="1"/>
    <n v="0"/>
    <n v="0"/>
    <n v="0"/>
    <x v="0"/>
    <x v="0"/>
    <x v="0"/>
  </r>
  <r>
    <n v="20603070448"/>
    <x v="50"/>
    <x v="37"/>
    <x v="384"/>
    <x v="385"/>
    <x v="369"/>
    <n v="2"/>
    <x v="83"/>
    <s v="E2-4"/>
    <s v="La Rinconada Mz. Q Lt. 2"/>
    <x v="53"/>
    <x v="0"/>
    <x v="0"/>
    <x v="2"/>
    <x v="103"/>
    <x v="0"/>
    <n v="4"/>
    <n v="96"/>
    <x v="0"/>
    <x v="1"/>
    <n v="4.7619047619047616E-2"/>
    <x v="6"/>
    <x v="1"/>
    <s v="OK"/>
    <x v="0"/>
    <s v="OK"/>
    <x v="0"/>
    <x v="0"/>
    <n v="1"/>
    <n v="0"/>
    <n v="1"/>
    <n v="0"/>
    <x v="0"/>
    <x v="0"/>
    <x v="1"/>
  </r>
  <r>
    <n v="20603070449"/>
    <x v="50"/>
    <x v="37"/>
    <x v="385"/>
    <x v="386"/>
    <x v="370"/>
    <n v="2"/>
    <x v="83"/>
    <s v="E2-4"/>
    <s v="Calle Villa maria Pj. Villa maria del perpetuo socorro 650 "/>
    <x v="10"/>
    <x v="0"/>
    <x v="0"/>
    <x v="2"/>
    <x v="103"/>
    <x v="0"/>
    <n v="4"/>
    <n v="88"/>
    <x v="0"/>
    <x v="1"/>
    <n v="4.7619047619047616E-2"/>
    <x v="13"/>
    <x v="1"/>
    <s v="OK"/>
    <x v="0"/>
    <s v="OK"/>
    <x v="0"/>
    <x v="0"/>
    <n v="1"/>
    <n v="0"/>
    <n v="1"/>
    <n v="0"/>
    <x v="0"/>
    <x v="0"/>
    <x v="1"/>
  </r>
  <r>
    <n v="20603070450"/>
    <x v="50"/>
    <x v="37"/>
    <x v="386"/>
    <x v="387"/>
    <x v="371"/>
    <n v="2"/>
    <x v="83"/>
    <s v="E2-4"/>
    <s v="Calle Murcia B4 LT 38 "/>
    <x v="49"/>
    <x v="0"/>
    <x v="0"/>
    <x v="2"/>
    <x v="103"/>
    <x v="0"/>
    <n v="4"/>
    <n v="96"/>
    <x v="0"/>
    <x v="1"/>
    <n v="4.7619047619047616E-2"/>
    <x v="8"/>
    <x v="1"/>
    <s v="OK"/>
    <x v="0"/>
    <s v="OK"/>
    <x v="0"/>
    <x v="0"/>
    <n v="1"/>
    <n v="0"/>
    <n v="1"/>
    <n v="0"/>
    <x v="0"/>
    <x v="0"/>
    <x v="1"/>
  </r>
  <r>
    <n v="20603070452"/>
    <x v="50"/>
    <x v="37"/>
    <x v="387"/>
    <x v="388"/>
    <x v="337"/>
    <n v="1"/>
    <x v="7"/>
    <s v="E12, E1,2 y 3"/>
    <s v="Jr. Pedro elmes mz. K1 lt.36 urb. Villa del norte"/>
    <x v="49"/>
    <x v="0"/>
    <x v="17"/>
    <x v="2"/>
    <x v="98"/>
    <x v="2"/>
    <n v="1"/>
    <n v="44"/>
    <x v="0"/>
    <x v="1"/>
    <n v="4.7619047619047616E-2"/>
    <x v="6"/>
    <x v="1"/>
    <s v="OK"/>
    <x v="0"/>
    <s v="OK"/>
    <x v="0"/>
    <x v="0"/>
    <n v="1"/>
    <n v="0"/>
    <n v="0"/>
    <n v="1"/>
    <x v="0"/>
    <x v="1"/>
    <x v="0"/>
  </r>
  <r>
    <n v="20603070453"/>
    <x v="50"/>
    <x v="37"/>
    <x v="388"/>
    <x v="389"/>
    <x v="372"/>
    <n v="1"/>
    <x v="84"/>
    <s v="E1, 2, 3 y E2-4"/>
    <s v="Asent. H. m. bastidas p-18"/>
    <x v="107"/>
    <x v="0"/>
    <x v="18"/>
    <x v="2"/>
    <x v="204"/>
    <x v="2"/>
    <n v="1"/>
    <n v="132"/>
    <x v="0"/>
    <x v="1"/>
    <n v="4.7619047619047616E-2"/>
    <x v="8"/>
    <x v="1"/>
    <s v="OK"/>
    <x v="0"/>
    <s v="OK"/>
    <x v="0"/>
    <x v="0"/>
    <n v="1"/>
    <n v="0"/>
    <n v="1"/>
    <n v="1"/>
    <x v="0"/>
    <x v="1"/>
    <x v="1"/>
  </r>
  <r>
    <n v="20603639520"/>
    <x v="51"/>
    <x v="38"/>
    <x v="389"/>
    <x v="390"/>
    <x v="373"/>
    <n v="24"/>
    <x v="18"/>
    <s v="E11"/>
    <s v="CALLE LOS ANHELIS URB. PEREGRINOS DEL SEÑOR MZ E LT 14"/>
    <x v="49"/>
    <x v="0"/>
    <x v="2"/>
    <x v="1"/>
    <x v="205"/>
    <x v="2"/>
    <n v="4"/>
    <n v="8"/>
    <x v="0"/>
    <x v="1"/>
    <n v="4.3478260869565216E-2"/>
    <x v="9"/>
    <x v="1"/>
    <s v="OK"/>
    <x v="0"/>
    <s v="OK"/>
    <x v="0"/>
    <x v="1"/>
    <n v="0.5"/>
    <n v="0"/>
    <n v="0"/>
    <n v="1"/>
    <x v="0"/>
    <x v="1"/>
    <x v="0"/>
  </r>
  <r>
    <n v="20603639520"/>
    <x v="51"/>
    <x v="38"/>
    <x v="390"/>
    <x v="391"/>
    <x v="374"/>
    <n v="41"/>
    <x v="85"/>
    <s v="E11"/>
    <s v="JR. LUCANAS S/N"/>
    <x v="108"/>
    <x v="0"/>
    <x v="0"/>
    <x v="1"/>
    <x v="206"/>
    <x v="0"/>
    <n v="4"/>
    <n v="240"/>
    <x v="0"/>
    <x v="1"/>
    <n v="4.3478260869565216E-2"/>
    <x v="9"/>
    <x v="1"/>
    <s v="OK"/>
    <x v="0"/>
    <s v="OK"/>
    <x v="0"/>
    <x v="0"/>
    <n v="1"/>
    <n v="0"/>
    <n v="0"/>
    <n v="0"/>
    <x v="0"/>
    <x v="0"/>
    <x v="0"/>
  </r>
  <r>
    <n v="20608901567"/>
    <x v="52"/>
    <x v="39"/>
    <x v="391"/>
    <x v="392"/>
    <x v="375"/>
    <n v="3"/>
    <x v="86"/>
    <s v="ESTACION 18"/>
    <s v="LOS ARRAYANES 186"/>
    <x v="44"/>
    <x v="0"/>
    <x v="19"/>
    <x v="2"/>
    <x v="128"/>
    <x v="0"/>
    <n v="1"/>
    <n v="192"/>
    <x v="0"/>
    <x v="1"/>
    <n v="0.125"/>
    <x v="7"/>
    <x v="1"/>
    <s v="OK"/>
    <x v="0"/>
    <s v="OK"/>
    <x v="0"/>
    <x v="0"/>
    <n v="1"/>
    <n v="0"/>
    <n v="0"/>
    <n v="0"/>
    <x v="1"/>
    <x v="2"/>
    <x v="0"/>
  </r>
  <r>
    <s v="20600535634"/>
    <x v="6"/>
    <x v="6"/>
    <x v="392"/>
    <x v="393"/>
    <x v="376"/>
    <n v="1"/>
    <x v="87"/>
    <s v="ESTACION E018"/>
    <s v="CALLE AYACUCHO 1192 PJ JOSE GALVEZ"/>
    <x v="8"/>
    <x v="1"/>
    <x v="0"/>
    <x v="2"/>
    <x v="16"/>
    <x v="0"/>
    <n v="1"/>
    <n v="184"/>
    <x v="0"/>
    <x v="1"/>
    <n v="2.4390243902439025E-2"/>
    <x v="7"/>
    <x v="1"/>
    <s v="OK"/>
    <x v="0"/>
    <s v="OK"/>
    <x v="0"/>
    <x v="0"/>
    <n v="1"/>
    <n v="0"/>
    <n v="0"/>
    <n v="0"/>
    <x v="0"/>
    <x v="0"/>
    <x v="0"/>
  </r>
  <r>
    <s v="20600535634"/>
    <x v="6"/>
    <x v="6"/>
    <x v="393"/>
    <x v="394"/>
    <x v="377"/>
    <n v="1"/>
    <x v="87"/>
    <s v="ESTACION E012/E016"/>
    <s v="MZ.E LT.9 ASOC.LOS VIÑEDOS II ETAPA"/>
    <x v="4"/>
    <x v="0"/>
    <x v="0"/>
    <x v="2"/>
    <x v="27"/>
    <x v="0"/>
    <n v="1"/>
    <n v="184"/>
    <x v="0"/>
    <x v="1"/>
    <n v="2.4390243902439025E-2"/>
    <x v="6"/>
    <x v="1"/>
    <s v="OK"/>
    <x v="0"/>
    <s v="OK"/>
    <x v="0"/>
    <x v="0"/>
    <n v="1"/>
    <n v="0"/>
    <n v="0"/>
    <n v="0"/>
    <x v="0"/>
    <x v="0"/>
    <x v="0"/>
  </r>
  <r>
    <s v="20600535634"/>
    <x v="6"/>
    <x v="6"/>
    <x v="394"/>
    <x v="395"/>
    <x v="378"/>
    <n v="2"/>
    <x v="10"/>
    <s v="ESTACION E018"/>
    <s v="URB, LAS FRESAS MZ L LOTE 9"/>
    <x v="6"/>
    <x v="0"/>
    <x v="0"/>
    <x v="2"/>
    <x v="16"/>
    <x v="0"/>
    <n v="4"/>
    <n v="176"/>
    <x v="0"/>
    <x v="1"/>
    <n v="2.4390243902439025E-2"/>
    <x v="12"/>
    <x v="1"/>
    <s v="OK"/>
    <x v="2"/>
    <s v="OK"/>
    <x v="0"/>
    <x v="0"/>
    <n v="1"/>
    <n v="1"/>
    <n v="0"/>
    <n v="0"/>
    <x v="0"/>
    <x v="0"/>
    <x v="0"/>
  </r>
  <r>
    <s v="20600535634"/>
    <x v="6"/>
    <x v="6"/>
    <x v="395"/>
    <x v="396"/>
    <x v="379"/>
    <n v="2"/>
    <x v="2"/>
    <s v="ESTACION E018"/>
    <s v="PJ 7 DE OCTUBRE 3A MZ L1 LTE 12"/>
    <x v="46"/>
    <x v="0"/>
    <x v="0"/>
    <x v="2"/>
    <x v="93"/>
    <x v="0"/>
    <n v="4"/>
    <n v="160"/>
    <x v="0"/>
    <x v="1"/>
    <n v="2.4390243902439025E-2"/>
    <x v="6"/>
    <x v="1"/>
    <s v="OK"/>
    <x v="7"/>
    <s v="OK"/>
    <x v="0"/>
    <x v="0"/>
    <n v="1"/>
    <n v="1"/>
    <n v="0"/>
    <n v="0"/>
    <x v="0"/>
    <x v="0"/>
    <x v="0"/>
  </r>
  <r>
    <s v="20600535634"/>
    <x v="6"/>
    <x v="6"/>
    <x v="396"/>
    <x v="397"/>
    <x v="380"/>
    <n v="2"/>
    <x v="10"/>
    <s v="ESTACION E016"/>
    <s v="MZ G LOTE 17 MONTERREY I VITARTE"/>
    <x v="1"/>
    <x v="0"/>
    <x v="0"/>
    <x v="2"/>
    <x v="53"/>
    <x v="0"/>
    <n v="4"/>
    <n v="168"/>
    <x v="0"/>
    <x v="1"/>
    <n v="2.4390243902439025E-2"/>
    <x v="13"/>
    <x v="1"/>
    <s v="OK"/>
    <x v="1"/>
    <s v="OK"/>
    <x v="0"/>
    <x v="0"/>
    <n v="1"/>
    <n v="1"/>
    <n v="0"/>
    <n v="0"/>
    <x v="0"/>
    <x v="0"/>
    <x v="0"/>
  </r>
  <r>
    <s v="20600535634"/>
    <x v="6"/>
    <x v="6"/>
    <x v="397"/>
    <x v="398"/>
    <x v="381"/>
    <n v="2"/>
    <x v="10"/>
    <s v="ESTACION E016"/>
    <s v="JR. HUASCAR 567 LA PERLA"/>
    <x v="6"/>
    <x v="0"/>
    <x v="0"/>
    <x v="2"/>
    <x v="27"/>
    <x v="0"/>
    <n v="4"/>
    <n v="176"/>
    <x v="0"/>
    <x v="1"/>
    <n v="2.4390243902439025E-2"/>
    <x v="10"/>
    <x v="1"/>
    <s v="OK"/>
    <x v="2"/>
    <s v="OK"/>
    <x v="0"/>
    <x v="0"/>
    <n v="1"/>
    <n v="1"/>
    <n v="0"/>
    <n v="0"/>
    <x v="0"/>
    <x v="0"/>
    <x v="0"/>
  </r>
  <r>
    <s v="20600535634"/>
    <x v="6"/>
    <x v="6"/>
    <x v="398"/>
    <x v="399"/>
    <x v="382"/>
    <n v="2"/>
    <x v="10"/>
    <s v="POZO BIDDLE"/>
    <s v="MZ B6 LEANDRA ORTEGA ESPINOZA PACHACUTEC"/>
    <x v="2"/>
    <x v="0"/>
    <x v="0"/>
    <x v="2"/>
    <x v="27"/>
    <x v="0"/>
    <n v="4"/>
    <n v="112"/>
    <x v="0"/>
    <x v="1"/>
    <n v="2.4390243902439025E-2"/>
    <x v="10"/>
    <x v="1"/>
    <s v="OK"/>
    <x v="2"/>
    <s v="OK"/>
    <x v="0"/>
    <x v="0"/>
    <n v="1"/>
    <n v="1"/>
    <n v="0"/>
    <n v="0"/>
    <x v="0"/>
    <x v="0"/>
    <x v="0"/>
  </r>
  <r>
    <s v="20600535634"/>
    <x v="6"/>
    <x v="6"/>
    <x v="399"/>
    <x v="400"/>
    <x v="383"/>
    <n v="2"/>
    <x v="10"/>
    <s v="ESTACION E018"/>
    <s v="PS LOS LIMONES 191 V.POP EL ERMITAÑO"/>
    <x v="44"/>
    <x v="0"/>
    <x v="0"/>
    <x v="2"/>
    <x v="4"/>
    <x v="0"/>
    <n v="4"/>
    <n v="176"/>
    <x v="0"/>
    <x v="1"/>
    <n v="2.4390243902439025E-2"/>
    <x v="7"/>
    <x v="1"/>
    <s v="OK"/>
    <x v="0"/>
    <s v="OK"/>
    <x v="0"/>
    <x v="0"/>
    <n v="1"/>
    <n v="0"/>
    <n v="1"/>
    <n v="0"/>
    <x v="0"/>
    <x v="0"/>
    <x v="1"/>
  </r>
  <r>
    <s v="20600535634"/>
    <x v="6"/>
    <x v="6"/>
    <x v="400"/>
    <x v="401"/>
    <x v="384"/>
    <n v="2"/>
    <x v="10"/>
    <s v="ESTACION E016"/>
    <s v="PSJ. SANTA ROSITA MZ. 9 LT. 6 "/>
    <x v="15"/>
    <x v="0"/>
    <x v="0"/>
    <x v="2"/>
    <x v="207"/>
    <x v="0"/>
    <n v="4"/>
    <n v="160"/>
    <x v="0"/>
    <x v="1"/>
    <n v="2.4390243902439025E-2"/>
    <x v="9"/>
    <x v="1"/>
    <s v="OK"/>
    <x v="0"/>
    <s v="OK"/>
    <x v="0"/>
    <x v="0"/>
    <n v="1"/>
    <n v="0"/>
    <n v="1"/>
    <n v="0"/>
    <x v="0"/>
    <x v="0"/>
    <x v="1"/>
  </r>
  <r>
    <s v="20600535634"/>
    <x v="6"/>
    <x v="6"/>
    <x v="401"/>
    <x v="402"/>
    <x v="385"/>
    <n v="2"/>
    <x v="10"/>
    <s v="ESTACION E016"/>
    <s v="MZ A LOTE 5 San Gabriel Alto "/>
    <x v="8"/>
    <x v="0"/>
    <x v="0"/>
    <x v="2"/>
    <x v="204"/>
    <x v="0"/>
    <n v="4"/>
    <n v="144"/>
    <x v="0"/>
    <x v="1"/>
    <n v="2.4390243902439025E-2"/>
    <x v="12"/>
    <x v="1"/>
    <s v="OK"/>
    <x v="0"/>
    <s v="OK"/>
    <x v="0"/>
    <x v="0"/>
    <n v="1"/>
    <n v="0"/>
    <n v="1"/>
    <n v="0"/>
    <x v="0"/>
    <x v="0"/>
    <x v="1"/>
  </r>
  <r>
    <s v="20600535634"/>
    <x v="6"/>
    <x v="6"/>
    <x v="402"/>
    <x v="403"/>
    <x v="386"/>
    <n v="2"/>
    <x v="2"/>
    <s v="ESTACION E016"/>
    <s v="DANIEL CRUZ 308 URB CALERA DE LA MERCED"/>
    <x v="86"/>
    <x v="0"/>
    <x v="0"/>
    <x v="2"/>
    <x v="100"/>
    <x v="0"/>
    <n v="4"/>
    <n v="144"/>
    <x v="0"/>
    <x v="1"/>
    <n v="2.4390243902439025E-2"/>
    <x v="12"/>
    <x v="1"/>
    <s v="OK"/>
    <x v="0"/>
    <s v="OK"/>
    <x v="0"/>
    <x v="0"/>
    <n v="1"/>
    <n v="0"/>
    <n v="1"/>
    <n v="0"/>
    <x v="0"/>
    <x v="0"/>
    <x v="1"/>
  </r>
  <r>
    <s v="20562719700"/>
    <x v="7"/>
    <x v="7"/>
    <x v="403"/>
    <x v="404"/>
    <x v="387"/>
    <n v="1"/>
    <x v="23"/>
    <s v="ESTACIONES 06-10-16-25-26-27"/>
    <s v="AV. VILLA MILITAR  2001"/>
    <x v="1"/>
    <x v="0"/>
    <x v="0"/>
    <x v="2"/>
    <x v="208"/>
    <x v="0"/>
    <n v="2"/>
    <n v="192"/>
    <x v="0"/>
    <x v="1"/>
    <n v="5.7803468208092483E-3"/>
    <x v="12"/>
    <x v="1"/>
    <s v="OK"/>
    <x v="1"/>
    <s v="OK"/>
    <x v="0"/>
    <x v="0"/>
    <n v="1"/>
    <n v="1"/>
    <n v="0"/>
    <n v="0"/>
    <x v="0"/>
    <x v="0"/>
    <x v="0"/>
  </r>
  <r>
    <s v="20562719700"/>
    <x v="7"/>
    <x v="7"/>
    <x v="404"/>
    <x v="405"/>
    <x v="388"/>
    <m/>
    <x v="88"/>
    <s v="ESTACION 10"/>
    <s v="FEDERICO VILLAREAL 351   -"/>
    <x v="49"/>
    <x v="0"/>
    <x v="0"/>
    <x v="2"/>
    <x v="209"/>
    <x v="0"/>
    <n v="4"/>
    <n v="192"/>
    <x v="0"/>
    <x v="1"/>
    <n v="5.7803468208092483E-3"/>
    <x v="9"/>
    <x v="1"/>
    <s v="OK"/>
    <x v="0"/>
    <s v="OK"/>
    <x v="0"/>
    <x v="0"/>
    <n v="1"/>
    <n v="0"/>
    <n v="0"/>
    <n v="0"/>
    <x v="0"/>
    <x v="0"/>
    <x v="0"/>
  </r>
  <r>
    <s v="20562719700"/>
    <x v="7"/>
    <x v="7"/>
    <x v="405"/>
    <x v="406"/>
    <x v="389"/>
    <m/>
    <x v="4"/>
    <s v="ESTACION 26"/>
    <s v="IMPERIAL    015-LIMA"/>
    <x v="27"/>
    <x v="0"/>
    <x v="0"/>
    <x v="2"/>
    <x v="210"/>
    <x v="0"/>
    <n v="4"/>
    <n v="192"/>
    <x v="0"/>
    <x v="1"/>
    <n v="5.7803468208092483E-3"/>
    <x v="8"/>
    <x v="1"/>
    <s v="OK"/>
    <x v="5"/>
    <s v="OK"/>
    <x v="0"/>
    <x v="0"/>
    <n v="1"/>
    <n v="1"/>
    <n v="0"/>
    <n v="0"/>
    <x v="0"/>
    <x v="0"/>
    <x v="0"/>
  </r>
  <r>
    <s v="20562719700"/>
    <x v="7"/>
    <x v="7"/>
    <x v="406"/>
    <x v="407"/>
    <x v="390"/>
    <m/>
    <x v="4"/>
    <s v="ESTACION 14"/>
    <s v="IMPERIAL   274"/>
    <x v="27"/>
    <x v="0"/>
    <x v="0"/>
    <x v="2"/>
    <x v="211"/>
    <x v="0"/>
    <n v="4"/>
    <n v="192"/>
    <x v="0"/>
    <x v="1"/>
    <n v="5.7803468208092483E-3"/>
    <x v="10"/>
    <x v="1"/>
    <s v="OK"/>
    <x v="5"/>
    <s v="OK"/>
    <x v="0"/>
    <x v="0"/>
    <n v="1"/>
    <n v="1"/>
    <n v="0"/>
    <n v="0"/>
    <x v="0"/>
    <x v="0"/>
    <x v="0"/>
  </r>
  <r>
    <s v="20562719700"/>
    <x v="7"/>
    <x v="7"/>
    <x v="407"/>
    <x v="408"/>
    <x v="391"/>
    <m/>
    <x v="4"/>
    <s v="ESTACION 26"/>
    <s v="AV. SANTA ROSA S/N - TINTAY - HUANCABELICA"/>
    <x v="109"/>
    <x v="0"/>
    <x v="0"/>
    <x v="2"/>
    <x v="212"/>
    <x v="0"/>
    <n v="4"/>
    <n v="192"/>
    <x v="0"/>
    <x v="1"/>
    <n v="5.7803468208092483E-3"/>
    <x v="6"/>
    <x v="1"/>
    <s v="OK"/>
    <x v="0"/>
    <s v="OK"/>
    <x v="0"/>
    <x v="0"/>
    <n v="1"/>
    <n v="0"/>
    <n v="0"/>
    <n v="0"/>
    <x v="0"/>
    <x v="0"/>
    <x v="0"/>
  </r>
  <r>
    <s v="20562719700"/>
    <x v="7"/>
    <x v="7"/>
    <x v="408"/>
    <x v="409"/>
    <x v="392"/>
    <m/>
    <x v="5"/>
    <s v="ESTACION 10"/>
    <s v="AA.HH. JAVIER HERAUD MZ.K LT.01"/>
    <x v="1"/>
    <x v="0"/>
    <x v="0"/>
    <x v="2"/>
    <x v="213"/>
    <x v="0"/>
    <n v="4"/>
    <n v="192"/>
    <x v="0"/>
    <x v="1"/>
    <n v="5.7803468208092483E-3"/>
    <x v="12"/>
    <x v="1"/>
    <s v="OK"/>
    <x v="1"/>
    <s v="OK"/>
    <x v="0"/>
    <x v="0"/>
    <n v="1"/>
    <n v="1"/>
    <n v="0"/>
    <n v="0"/>
    <x v="0"/>
    <x v="0"/>
    <x v="0"/>
  </r>
  <r>
    <s v="20562719700"/>
    <x v="7"/>
    <x v="7"/>
    <x v="409"/>
    <x v="410"/>
    <x v="393"/>
    <m/>
    <x v="2"/>
    <s v="ESTACIONES 06-10-16-25-26-27"/>
    <s v="CALLE  SAN MIGUEL PIUEBLO JOVEN MZ.L LT.02"/>
    <x v="6"/>
    <x v="0"/>
    <x v="0"/>
    <x v="2"/>
    <x v="108"/>
    <x v="0"/>
    <n v="4"/>
    <n v="192"/>
    <x v="0"/>
    <x v="1"/>
    <n v="5.7803468208092483E-3"/>
    <x v="11"/>
    <x v="1"/>
    <s v="OK"/>
    <x v="2"/>
    <s v="OK"/>
    <x v="0"/>
    <x v="0"/>
    <n v="1"/>
    <n v="1"/>
    <n v="0"/>
    <n v="0"/>
    <x v="0"/>
    <x v="0"/>
    <x v="0"/>
  </r>
  <r>
    <s v="20562719700"/>
    <x v="7"/>
    <x v="7"/>
    <x v="410"/>
    <x v="411"/>
    <x v="394"/>
    <m/>
    <x v="4"/>
    <s v="ESTACION 06"/>
    <s v="AA.HH. BELLAVISTA MZ.O LT.02"/>
    <x v="8"/>
    <x v="0"/>
    <x v="0"/>
    <x v="2"/>
    <x v="162"/>
    <x v="0"/>
    <n v="4"/>
    <n v="192"/>
    <x v="0"/>
    <x v="1"/>
    <n v="5.7803468208092483E-3"/>
    <x v="6"/>
    <x v="1"/>
    <s v="OK"/>
    <x v="0"/>
    <s v="OK"/>
    <x v="0"/>
    <x v="0"/>
    <n v="1"/>
    <n v="0"/>
    <n v="0"/>
    <n v="0"/>
    <x v="0"/>
    <x v="0"/>
    <x v="0"/>
  </r>
  <r>
    <s v="20562719700"/>
    <x v="7"/>
    <x v="7"/>
    <x v="411"/>
    <x v="412"/>
    <x v="395"/>
    <m/>
    <x v="4"/>
    <s v="ESTACION 06"/>
    <s v="AV LOS BLILLANTES MZ 94 LT 30"/>
    <x v="53"/>
    <x v="0"/>
    <x v="0"/>
    <x v="2"/>
    <x v="214"/>
    <x v="0"/>
    <n v="4"/>
    <n v="192"/>
    <x v="0"/>
    <x v="1"/>
    <n v="5.7803468208092483E-3"/>
    <x v="6"/>
    <x v="1"/>
    <s v="OK"/>
    <x v="0"/>
    <s v="OK"/>
    <x v="0"/>
    <x v="0"/>
    <n v="1"/>
    <n v="0"/>
    <n v="0"/>
    <n v="0"/>
    <x v="0"/>
    <x v="0"/>
    <x v="0"/>
  </r>
  <r>
    <s v="20562719700"/>
    <x v="7"/>
    <x v="7"/>
    <x v="412"/>
    <x v="413"/>
    <x v="396"/>
    <m/>
    <x v="4"/>
    <s v="ESTACION 06"/>
    <s v="AV. BAUSATE Y MEZA 23849"/>
    <x v="25"/>
    <x v="0"/>
    <x v="0"/>
    <x v="2"/>
    <x v="162"/>
    <x v="0"/>
    <n v="4"/>
    <n v="192"/>
    <x v="0"/>
    <x v="1"/>
    <n v="5.7803468208092483E-3"/>
    <x v="11"/>
    <x v="1"/>
    <s v="OK"/>
    <x v="4"/>
    <s v="OK"/>
    <x v="0"/>
    <x v="0"/>
    <n v="1"/>
    <n v="1"/>
    <n v="0"/>
    <n v="0"/>
    <x v="0"/>
    <x v="0"/>
    <x v="0"/>
  </r>
  <r>
    <s v="20562719700"/>
    <x v="7"/>
    <x v="7"/>
    <x v="274"/>
    <x v="414"/>
    <x v="263"/>
    <m/>
    <x v="4"/>
    <s v="ESTACION 06"/>
    <s v="JR. 28 DE JULIO 439"/>
    <x v="98"/>
    <x v="0"/>
    <x v="0"/>
    <x v="2"/>
    <x v="162"/>
    <x v="0"/>
    <n v="4"/>
    <n v="192"/>
    <x v="0"/>
    <x v="1"/>
    <n v="5.7803468208092483E-3"/>
    <x v="6"/>
    <x v="1"/>
    <s v="OK"/>
    <x v="0"/>
    <s v="OK"/>
    <x v="0"/>
    <x v="0"/>
    <n v="1"/>
    <n v="0"/>
    <n v="0"/>
    <n v="0"/>
    <x v="0"/>
    <x v="0"/>
    <x v="0"/>
  </r>
  <r>
    <s v="20562719700"/>
    <x v="7"/>
    <x v="7"/>
    <x v="413"/>
    <x v="415"/>
    <x v="397"/>
    <m/>
    <x v="4"/>
    <s v="ESTACION 16"/>
    <s v="PASAJE LAS LILAS, CASUARINAS DE MARTINES  MZ.R LT.13"/>
    <x v="15"/>
    <x v="0"/>
    <x v="0"/>
    <x v="2"/>
    <x v="175"/>
    <x v="0"/>
    <n v="4"/>
    <n v="192"/>
    <x v="0"/>
    <x v="1"/>
    <n v="5.7803468208092483E-3"/>
    <x v="8"/>
    <x v="1"/>
    <s v="OK"/>
    <x v="0"/>
    <s v="OK"/>
    <x v="0"/>
    <x v="0"/>
    <n v="1"/>
    <n v="0"/>
    <n v="0"/>
    <n v="0"/>
    <x v="0"/>
    <x v="0"/>
    <x v="0"/>
  </r>
  <r>
    <s v="20562719700"/>
    <x v="7"/>
    <x v="7"/>
    <x v="414"/>
    <x v="416"/>
    <x v="398"/>
    <m/>
    <x v="4"/>
    <s v="ESTACION 08"/>
    <s v="SAN MARTIN    015-LIMA"/>
    <x v="15"/>
    <x v="0"/>
    <x v="0"/>
    <x v="2"/>
    <x v="215"/>
    <x v="0"/>
    <n v="4"/>
    <n v="192"/>
    <x v="0"/>
    <x v="1"/>
    <n v="5.7803468208092483E-3"/>
    <x v="11"/>
    <x v="1"/>
    <s v="OK"/>
    <x v="0"/>
    <s v="OK"/>
    <x v="0"/>
    <x v="0"/>
    <n v="1"/>
    <n v="0"/>
    <n v="0"/>
    <n v="0"/>
    <x v="0"/>
    <x v="0"/>
    <x v="0"/>
  </r>
  <r>
    <s v="20562719700"/>
    <x v="7"/>
    <x v="7"/>
    <x v="415"/>
    <x v="417"/>
    <x v="399"/>
    <m/>
    <x v="5"/>
    <s v="PV1 BIS"/>
    <s v="URB 27 DE MARZO MZ T LOTE 01    015-LIMA"/>
    <x v="15"/>
    <x v="0"/>
    <x v="0"/>
    <x v="2"/>
    <x v="216"/>
    <x v="0"/>
    <n v="4"/>
    <n v="192"/>
    <x v="0"/>
    <x v="1"/>
    <n v="5.7803468208092483E-3"/>
    <x v="11"/>
    <x v="1"/>
    <s v="OK"/>
    <x v="0"/>
    <s v="OK"/>
    <x v="0"/>
    <x v="0"/>
    <n v="1"/>
    <n v="0"/>
    <n v="0"/>
    <n v="0"/>
    <x v="0"/>
    <x v="0"/>
    <x v="0"/>
  </r>
  <r>
    <s v="20562719700"/>
    <x v="7"/>
    <x v="7"/>
    <x v="416"/>
    <x v="418"/>
    <x v="400"/>
    <m/>
    <x v="4"/>
    <s v="ESTACION 06"/>
    <s v="URB MUSA MZ 2 LT 17"/>
    <x v="47"/>
    <x v="0"/>
    <x v="0"/>
    <x v="2"/>
    <x v="217"/>
    <x v="0"/>
    <n v="4"/>
    <n v="192"/>
    <x v="0"/>
    <x v="1"/>
    <n v="5.7803468208092483E-3"/>
    <x v="8"/>
    <x v="1"/>
    <s v="OK"/>
    <x v="0"/>
    <s v="OK"/>
    <x v="0"/>
    <x v="0"/>
    <n v="1"/>
    <n v="0"/>
    <n v="0"/>
    <n v="0"/>
    <x v="0"/>
    <x v="0"/>
    <x v="0"/>
  </r>
  <r>
    <s v="20562719700"/>
    <x v="7"/>
    <x v="7"/>
    <x v="417"/>
    <x v="419"/>
    <x v="401"/>
    <m/>
    <x v="5"/>
    <s v="ESTACION 06"/>
    <s v="URB MUSA MZ 2 LT 16"/>
    <x v="47"/>
    <x v="0"/>
    <x v="0"/>
    <x v="2"/>
    <x v="217"/>
    <x v="0"/>
    <n v="4"/>
    <n v="192"/>
    <x v="0"/>
    <x v="1"/>
    <n v="5.7803468208092483E-3"/>
    <x v="12"/>
    <x v="1"/>
    <s v="OK"/>
    <x v="0"/>
    <s v="OK"/>
    <x v="0"/>
    <x v="0"/>
    <n v="1"/>
    <n v="0"/>
    <n v="0"/>
    <n v="0"/>
    <x v="0"/>
    <x v="0"/>
    <x v="0"/>
  </r>
  <r>
    <s v="20562719700"/>
    <x v="7"/>
    <x v="7"/>
    <x v="418"/>
    <x v="420"/>
    <x v="402"/>
    <m/>
    <x v="4"/>
    <s v="ESTACION 06"/>
    <s v="AV. ESTEBAN SALMON210"/>
    <x v="13"/>
    <x v="0"/>
    <x v="0"/>
    <x v="2"/>
    <x v="218"/>
    <x v="0"/>
    <n v="4"/>
    <n v="192"/>
    <x v="0"/>
    <x v="1"/>
    <n v="5.7803468208092483E-3"/>
    <x v="11"/>
    <x v="1"/>
    <s v="OK"/>
    <x v="0"/>
    <s v="OK"/>
    <x v="0"/>
    <x v="0"/>
    <n v="1"/>
    <n v="0"/>
    <n v="0"/>
    <n v="0"/>
    <x v="0"/>
    <x v="0"/>
    <x v="0"/>
  </r>
  <r>
    <s v="20562719700"/>
    <x v="7"/>
    <x v="7"/>
    <x v="419"/>
    <x v="421"/>
    <x v="403"/>
    <m/>
    <x v="2"/>
    <s v="ESTACION 06"/>
    <s v="AA.HH. MARIELITA PRIMO MZ. C LT.1"/>
    <x v="2"/>
    <x v="0"/>
    <x v="0"/>
    <x v="2"/>
    <x v="219"/>
    <x v="0"/>
    <n v="4"/>
    <n v="192"/>
    <x v="0"/>
    <x v="1"/>
    <n v="5.7803468208092483E-3"/>
    <x v="9"/>
    <x v="1"/>
    <s v="OK"/>
    <x v="2"/>
    <s v="OK"/>
    <x v="0"/>
    <x v="0"/>
    <n v="1"/>
    <n v="1"/>
    <n v="0"/>
    <n v="0"/>
    <x v="0"/>
    <x v="0"/>
    <x v="0"/>
  </r>
  <r>
    <s v="20562719700"/>
    <x v="7"/>
    <x v="7"/>
    <x v="420"/>
    <x v="422"/>
    <x v="393"/>
    <m/>
    <x v="4"/>
    <s v="ESTACIONES 06-10-16-25-26-27"/>
    <s v="CALLE  SAN MIGUEL PIUEBLO JOVEN MZ.L LT.02"/>
    <x v="6"/>
    <x v="0"/>
    <x v="0"/>
    <x v="2"/>
    <x v="208"/>
    <x v="0"/>
    <n v="4"/>
    <n v="192"/>
    <x v="0"/>
    <x v="1"/>
    <n v="5.7803468208092483E-3"/>
    <x v="11"/>
    <x v="1"/>
    <s v="OK"/>
    <x v="2"/>
    <s v="OK"/>
    <x v="0"/>
    <x v="0"/>
    <n v="1"/>
    <n v="1"/>
    <n v="0"/>
    <n v="0"/>
    <x v="0"/>
    <x v="0"/>
    <x v="0"/>
  </r>
  <r>
    <s v="20562719700"/>
    <x v="7"/>
    <x v="7"/>
    <x v="421"/>
    <x v="423"/>
    <x v="404"/>
    <m/>
    <x v="4"/>
    <s v="ESTACION 08"/>
    <s v="AV MARGINAL MZ B LT 6"/>
    <x v="6"/>
    <x v="0"/>
    <x v="0"/>
    <x v="2"/>
    <x v="31"/>
    <x v="0"/>
    <n v="4"/>
    <n v="192"/>
    <x v="0"/>
    <x v="1"/>
    <n v="5.7803468208092483E-3"/>
    <x v="8"/>
    <x v="1"/>
    <s v="OK"/>
    <x v="2"/>
    <s v="OK"/>
    <x v="0"/>
    <x v="0"/>
    <n v="1"/>
    <n v="1"/>
    <n v="0"/>
    <n v="0"/>
    <x v="0"/>
    <x v="0"/>
    <x v="0"/>
  </r>
  <r>
    <s v="20562719700"/>
    <x v="7"/>
    <x v="7"/>
    <x v="422"/>
    <x v="424"/>
    <x v="405"/>
    <m/>
    <x v="4"/>
    <s v="ESTACION 10"/>
    <s v="AA.HH. LAS MALVINAS MZ.A LT.04 "/>
    <x v="8"/>
    <x v="0"/>
    <x v="0"/>
    <x v="2"/>
    <x v="220"/>
    <x v="0"/>
    <n v="4"/>
    <n v="192"/>
    <x v="0"/>
    <x v="1"/>
    <n v="5.7803468208092483E-3"/>
    <x v="12"/>
    <x v="1"/>
    <s v="OK"/>
    <x v="0"/>
    <s v="OK"/>
    <x v="0"/>
    <x v="0"/>
    <n v="1"/>
    <n v="0"/>
    <n v="0"/>
    <n v="0"/>
    <x v="0"/>
    <x v="0"/>
    <x v="0"/>
  </r>
  <r>
    <s v="20562719700"/>
    <x v="7"/>
    <x v="7"/>
    <x v="423"/>
    <x v="425"/>
    <x v="406"/>
    <m/>
    <x v="4"/>
    <s v="ESTACION 06"/>
    <s v="HIJOS DE LA MUD 2 MZ.A LT.02 ZAPALLAL"/>
    <x v="4"/>
    <x v="0"/>
    <x v="0"/>
    <x v="2"/>
    <x v="221"/>
    <x v="0"/>
    <n v="4"/>
    <n v="192"/>
    <x v="0"/>
    <x v="1"/>
    <n v="5.7803468208092483E-3"/>
    <x v="12"/>
    <x v="1"/>
    <s v="OK"/>
    <x v="0"/>
    <s v="OK"/>
    <x v="0"/>
    <x v="0"/>
    <n v="1"/>
    <n v="0"/>
    <n v="0"/>
    <n v="0"/>
    <x v="0"/>
    <x v="0"/>
    <x v="0"/>
  </r>
  <r>
    <s v="20562719700"/>
    <x v="7"/>
    <x v="7"/>
    <x v="424"/>
    <x v="426"/>
    <x v="407"/>
    <m/>
    <x v="2"/>
    <s v="ESTACION 02"/>
    <s v="200 MILLAS "/>
    <x v="6"/>
    <x v="0"/>
    <x v="0"/>
    <x v="2"/>
    <x v="185"/>
    <x v="2"/>
    <n v="5"/>
    <n v="112"/>
    <x v="0"/>
    <x v="1"/>
    <n v="5.7803468208092483E-3"/>
    <x v="10"/>
    <x v="1"/>
    <s v="OK"/>
    <x v="2"/>
    <s v="OK"/>
    <x v="0"/>
    <x v="0"/>
    <n v="1"/>
    <n v="1"/>
    <n v="0"/>
    <n v="0"/>
    <x v="0"/>
    <x v="0"/>
    <x v="0"/>
  </r>
  <r>
    <s v="20562719700"/>
    <x v="7"/>
    <x v="7"/>
    <x v="425"/>
    <x v="427"/>
    <x v="251"/>
    <m/>
    <x v="5"/>
    <s v="ESTACION 06"/>
    <s v="CASERIO TARAPOTO - RIO NANAY"/>
    <x v="102"/>
    <x v="0"/>
    <x v="0"/>
    <x v="2"/>
    <x v="222"/>
    <x v="0"/>
    <n v="4"/>
    <n v="192"/>
    <x v="0"/>
    <x v="1"/>
    <n v="5.7803468208092483E-3"/>
    <x v="12"/>
    <x v="1"/>
    <s v="OK"/>
    <x v="0"/>
    <s v="OK"/>
    <x v="0"/>
    <x v="0"/>
    <n v="1"/>
    <n v="0"/>
    <n v="0"/>
    <n v="0"/>
    <x v="0"/>
    <x v="0"/>
    <x v="0"/>
  </r>
  <r>
    <s v="20562719700"/>
    <x v="7"/>
    <x v="7"/>
    <x v="426"/>
    <x v="428"/>
    <x v="408"/>
    <m/>
    <x v="4"/>
    <s v="ESTACION 06"/>
    <s v="CIUDADELA CHALACA MZ.R LT.6"/>
    <x v="110"/>
    <x v="0"/>
    <x v="0"/>
    <x v="2"/>
    <x v="218"/>
    <x v="0"/>
    <n v="4"/>
    <n v="192"/>
    <x v="0"/>
    <x v="1"/>
    <n v="5.7803468208092483E-3"/>
    <x v="9"/>
    <x v="1"/>
    <s v="OK"/>
    <x v="2"/>
    <s v="OK"/>
    <x v="0"/>
    <x v="0"/>
    <n v="1"/>
    <n v="1"/>
    <n v="0"/>
    <n v="0"/>
    <x v="0"/>
    <x v="0"/>
    <x v="0"/>
  </r>
  <r>
    <s v="20562719700"/>
    <x v="7"/>
    <x v="7"/>
    <x v="427"/>
    <x v="429"/>
    <x v="409"/>
    <m/>
    <x v="4"/>
    <s v="ESTACION 08"/>
    <s v="LIMA TAMBO NORTE MZ.E LT.16"/>
    <x v="78"/>
    <x v="0"/>
    <x v="0"/>
    <x v="2"/>
    <x v="223"/>
    <x v="0"/>
    <n v="4"/>
    <n v="192"/>
    <x v="0"/>
    <x v="1"/>
    <n v="5.7803468208092483E-3"/>
    <x v="7"/>
    <x v="1"/>
    <s v="OK"/>
    <x v="6"/>
    <s v="OK"/>
    <x v="0"/>
    <x v="0"/>
    <n v="1"/>
    <n v="1"/>
    <n v="0"/>
    <n v="0"/>
    <x v="0"/>
    <x v="0"/>
    <x v="0"/>
  </r>
  <r>
    <s v="20562719700"/>
    <x v="7"/>
    <x v="7"/>
    <x v="428"/>
    <x v="430"/>
    <x v="410"/>
    <m/>
    <x v="89"/>
    <s v="ESTACION 16"/>
    <s v="UNIVERSAL 183 MZ B LT 26 -"/>
    <x v="6"/>
    <x v="0"/>
    <x v="0"/>
    <x v="2"/>
    <x v="224"/>
    <x v="0"/>
    <n v="4"/>
    <n v="192"/>
    <x v="0"/>
    <x v="1"/>
    <n v="5.7803468208092483E-3"/>
    <x v="12"/>
    <x v="1"/>
    <s v="OK"/>
    <x v="2"/>
    <s v="OK"/>
    <x v="0"/>
    <x v="0"/>
    <n v="1"/>
    <n v="1"/>
    <n v="0"/>
    <n v="0"/>
    <x v="0"/>
    <x v="0"/>
    <x v="0"/>
  </r>
  <r>
    <s v="20562719700"/>
    <x v="7"/>
    <x v="7"/>
    <x v="429"/>
    <x v="431"/>
    <x v="411"/>
    <m/>
    <x v="4"/>
    <s v="ESTACION 08"/>
    <s v="ASC. POSESIONARIOS LOBERA LA MESETA MZ V1 LT 11"/>
    <x v="28"/>
    <x v="0"/>
    <x v="0"/>
    <x v="2"/>
    <x v="225"/>
    <x v="0"/>
    <n v="4"/>
    <n v="192"/>
    <x v="0"/>
    <x v="1"/>
    <n v="5.7803468208092483E-3"/>
    <x v="12"/>
    <x v="1"/>
    <s v="OK"/>
    <x v="0"/>
    <s v="OK"/>
    <x v="0"/>
    <x v="0"/>
    <n v="1"/>
    <n v="0"/>
    <n v="0"/>
    <n v="0"/>
    <x v="0"/>
    <x v="0"/>
    <x v="0"/>
  </r>
  <r>
    <s v="20562719700"/>
    <x v="7"/>
    <x v="7"/>
    <x v="430"/>
    <x v="432"/>
    <x v="412"/>
    <m/>
    <x v="4"/>
    <s v="ESTACION 06"/>
    <s v="AV. TUPAC AMARU 1453"/>
    <x v="110"/>
    <x v="0"/>
    <x v="0"/>
    <x v="2"/>
    <x v="162"/>
    <x v="0"/>
    <n v="4"/>
    <n v="192"/>
    <x v="0"/>
    <x v="1"/>
    <n v="5.7803468208092483E-3"/>
    <x v="11"/>
    <x v="1"/>
    <s v="OK"/>
    <x v="2"/>
    <s v="OK"/>
    <x v="0"/>
    <x v="0"/>
    <n v="1"/>
    <n v="1"/>
    <n v="0"/>
    <n v="0"/>
    <x v="0"/>
    <x v="0"/>
    <x v="0"/>
  </r>
  <r>
    <s v="20562719700"/>
    <x v="7"/>
    <x v="7"/>
    <x v="431"/>
    <x v="433"/>
    <x v="413"/>
    <m/>
    <x v="5"/>
    <s v="ESTACION 06"/>
    <s v="MZ.3F LT.7 ASENTAMIENTO HUMANO TODOS UNIDOS "/>
    <x v="6"/>
    <x v="0"/>
    <x v="0"/>
    <x v="2"/>
    <x v="226"/>
    <x v="0"/>
    <n v="4"/>
    <n v="192"/>
    <x v="0"/>
    <x v="1"/>
    <n v="5.7803468208092483E-3"/>
    <x v="13"/>
    <x v="1"/>
    <s v="OK"/>
    <x v="2"/>
    <s v="OK"/>
    <x v="0"/>
    <x v="0"/>
    <n v="1"/>
    <n v="1"/>
    <n v="0"/>
    <n v="0"/>
    <x v="0"/>
    <x v="0"/>
    <x v="0"/>
  </r>
  <r>
    <s v="20562719700"/>
    <x v="7"/>
    <x v="7"/>
    <x v="432"/>
    <x v="434"/>
    <x v="392"/>
    <m/>
    <x v="90"/>
    <s v="ESTACION 10"/>
    <s v="AÑO NUEVO COOPERATIVA SAN PEDRO "/>
    <x v="0"/>
    <x v="0"/>
    <x v="0"/>
    <x v="2"/>
    <x v="227"/>
    <x v="0"/>
    <n v="4"/>
    <n v="192"/>
    <x v="0"/>
    <x v="1"/>
    <n v="5.7803468208092483E-3"/>
    <x v="12"/>
    <x v="1"/>
    <s v="OK"/>
    <x v="0"/>
    <s v="OK"/>
    <x v="0"/>
    <x v="0"/>
    <n v="1"/>
    <n v="0"/>
    <n v="0"/>
    <n v="0"/>
    <x v="0"/>
    <x v="0"/>
    <x v="0"/>
  </r>
  <r>
    <s v="20562719700"/>
    <x v="7"/>
    <x v="7"/>
    <x v="433"/>
    <x v="435"/>
    <x v="414"/>
    <m/>
    <x v="2"/>
    <s v="ESTACION 08"/>
    <s v="AV. ARGENTINA 5934"/>
    <x v="6"/>
    <x v="0"/>
    <x v="0"/>
    <x v="2"/>
    <x v="228"/>
    <x v="0"/>
    <n v="4"/>
    <n v="192"/>
    <x v="0"/>
    <x v="1"/>
    <n v="5.7803468208092483E-3"/>
    <x v="11"/>
    <x v="1"/>
    <s v="OK"/>
    <x v="2"/>
    <s v="OK"/>
    <x v="0"/>
    <x v="1"/>
    <n v="0.5"/>
    <n v="0.5"/>
    <n v="0"/>
    <n v="0"/>
    <x v="0"/>
    <x v="0"/>
    <x v="0"/>
  </r>
  <r>
    <s v="20562719700"/>
    <x v="7"/>
    <x v="7"/>
    <x v="434"/>
    <x v="436"/>
    <x v="415"/>
    <m/>
    <x v="5"/>
    <s v="ESTACION 08"/>
    <s v="TENIENTE ZECADA 907 AA.HH. 5 DE SEPTIEMBRE "/>
    <x v="21"/>
    <x v="0"/>
    <x v="0"/>
    <x v="2"/>
    <x v="61"/>
    <x v="0"/>
    <n v="4"/>
    <n v="192"/>
    <x v="0"/>
    <x v="1"/>
    <n v="5.7803468208092483E-3"/>
    <x v="12"/>
    <x v="1"/>
    <s v="OK"/>
    <x v="0"/>
    <s v="OK"/>
    <x v="0"/>
    <x v="0"/>
    <n v="1"/>
    <n v="0"/>
    <n v="0"/>
    <n v="0"/>
    <x v="0"/>
    <x v="0"/>
    <x v="0"/>
  </r>
  <r>
    <s v="20562719700"/>
    <x v="7"/>
    <x v="7"/>
    <x v="435"/>
    <x v="437"/>
    <x v="416"/>
    <m/>
    <x v="2"/>
    <s v="ESTACION 08"/>
    <s v="JR. LOPEZ ALBUJAR 1116 MZ.A LT.26 "/>
    <x v="10"/>
    <x v="0"/>
    <x v="0"/>
    <x v="2"/>
    <x v="229"/>
    <x v="0"/>
    <n v="4"/>
    <n v="192"/>
    <x v="0"/>
    <x v="1"/>
    <n v="5.7803468208092483E-3"/>
    <x v="9"/>
    <x v="1"/>
    <s v="OK"/>
    <x v="0"/>
    <s v="OK"/>
    <x v="0"/>
    <x v="0"/>
    <n v="1"/>
    <n v="0"/>
    <n v="0"/>
    <n v="0"/>
    <x v="0"/>
    <x v="0"/>
    <x v="0"/>
  </r>
  <r>
    <s v="20562719700"/>
    <x v="7"/>
    <x v="7"/>
    <x v="436"/>
    <x v="438"/>
    <x v="391"/>
    <m/>
    <x v="4"/>
    <s v="ESTACION 06"/>
    <s v="LION MZ H LT 10"/>
    <x v="111"/>
    <x v="0"/>
    <x v="0"/>
    <x v="2"/>
    <x v="230"/>
    <x v="0"/>
    <n v="4"/>
    <n v="192"/>
    <x v="0"/>
    <x v="1"/>
    <n v="5.7803468208092483E-3"/>
    <x v="6"/>
    <x v="1"/>
    <s v="OK"/>
    <x v="0"/>
    <s v="OK"/>
    <x v="0"/>
    <x v="0"/>
    <n v="1"/>
    <n v="0"/>
    <n v="0"/>
    <n v="0"/>
    <x v="0"/>
    <x v="0"/>
    <x v="0"/>
  </r>
  <r>
    <s v="20562719700"/>
    <x v="7"/>
    <x v="7"/>
    <x v="437"/>
    <x v="439"/>
    <x v="388"/>
    <m/>
    <x v="59"/>
    <s v="ESTACION 08"/>
    <s v="FEDERICO VILLAREAL"/>
    <x v="112"/>
    <x v="0"/>
    <x v="0"/>
    <x v="2"/>
    <x v="231"/>
    <x v="0"/>
    <n v="4"/>
    <n v="192"/>
    <x v="0"/>
    <x v="1"/>
    <n v="5.7803468208092483E-3"/>
    <x v="9"/>
    <x v="1"/>
    <s v="OK"/>
    <x v="0"/>
    <s v="OK"/>
    <x v="0"/>
    <x v="0"/>
    <n v="1"/>
    <n v="0"/>
    <n v="0"/>
    <n v="0"/>
    <x v="0"/>
    <x v="0"/>
    <x v="0"/>
  </r>
  <r>
    <s v="20562719700"/>
    <x v="7"/>
    <x v="7"/>
    <x v="438"/>
    <x v="440"/>
    <x v="328"/>
    <m/>
    <x v="4"/>
    <s v="ESTACION PV1"/>
    <s v="21 DE MARZO MZ G LT 15"/>
    <x v="113"/>
    <x v="0"/>
    <x v="0"/>
    <x v="2"/>
    <x v="232"/>
    <x v="0"/>
    <n v="4"/>
    <n v="192"/>
    <x v="0"/>
    <x v="1"/>
    <n v="5.7803468208092483E-3"/>
    <x v="8"/>
    <x v="1"/>
    <s v="OK"/>
    <x v="0"/>
    <s v="OK"/>
    <x v="0"/>
    <x v="0"/>
    <n v="1"/>
    <n v="0"/>
    <n v="0"/>
    <n v="0"/>
    <x v="0"/>
    <x v="0"/>
    <x v="0"/>
  </r>
  <r>
    <s v="20562719700"/>
    <x v="7"/>
    <x v="7"/>
    <x v="439"/>
    <x v="441"/>
    <x v="417"/>
    <m/>
    <x v="2"/>
    <s v="ESTACION PV1"/>
    <s v="JR PISAGUA 43 B"/>
    <x v="114"/>
    <x v="0"/>
    <x v="0"/>
    <x v="2"/>
    <x v="233"/>
    <x v="0"/>
    <n v="4"/>
    <n v="192"/>
    <x v="0"/>
    <x v="1"/>
    <n v="5.7803468208092483E-3"/>
    <x v="7"/>
    <x v="1"/>
    <s v="OK"/>
    <x v="4"/>
    <s v="OK"/>
    <x v="0"/>
    <x v="0"/>
    <n v="1"/>
    <n v="1"/>
    <n v="0"/>
    <n v="0"/>
    <x v="0"/>
    <x v="0"/>
    <x v="0"/>
  </r>
  <r>
    <s v="20518513665"/>
    <x v="53"/>
    <x v="7"/>
    <x v="440"/>
    <x v="442"/>
    <x v="418"/>
    <n v="1"/>
    <x v="91"/>
    <s v="ESTACION 27"/>
    <s v="JR. LOS NARDOS 230 ZONA JARDIN 1"/>
    <x v="115"/>
    <x v="0"/>
    <x v="0"/>
    <x v="2"/>
    <x v="234"/>
    <x v="0"/>
    <n v="1"/>
    <n v="192"/>
    <x v="0"/>
    <x v="0"/>
    <n v="5.7803468208092483E-3"/>
    <x v="11"/>
    <x v="1"/>
    <s v="OK"/>
    <x v="0"/>
    <s v="OK"/>
    <x v="0"/>
    <x v="0"/>
    <n v="1"/>
    <n v="0"/>
    <n v="0"/>
    <n v="0"/>
    <x v="0"/>
    <x v="0"/>
    <x v="0"/>
  </r>
  <r>
    <s v="20518513665"/>
    <x v="53"/>
    <x v="7"/>
    <x v="441"/>
    <x v="443"/>
    <x v="419"/>
    <n v="1"/>
    <x v="91"/>
    <s v="ESTACION 08"/>
    <s v="URB. ALAMEDA DE ÑAÑA 3RA  ETAPA MZ. F LT. 14"/>
    <x v="15"/>
    <x v="0"/>
    <x v="0"/>
    <x v="2"/>
    <x v="235"/>
    <x v="0"/>
    <n v="1"/>
    <n v="192"/>
    <x v="0"/>
    <x v="0"/>
    <n v="5.7803468208092483E-3"/>
    <x v="11"/>
    <x v="1"/>
    <s v="OK"/>
    <x v="0"/>
    <s v="OK"/>
    <x v="0"/>
    <x v="0"/>
    <n v="1"/>
    <n v="0"/>
    <n v="0"/>
    <n v="0"/>
    <x v="0"/>
    <x v="0"/>
    <x v="0"/>
  </r>
  <r>
    <n v="20504039120"/>
    <x v="8"/>
    <x v="8"/>
    <x v="442"/>
    <x v="444"/>
    <x v="420"/>
    <n v="1"/>
    <x v="6"/>
    <s v="ESTACIÓN 15"/>
    <s v="JR SEBASTIAN SALAZAR BONDY COOP"/>
    <x v="27"/>
    <x v="1"/>
    <x v="0"/>
    <x v="1"/>
    <x v="236"/>
    <x v="0"/>
    <n v="1"/>
    <n v="200"/>
    <x v="0"/>
    <x v="1"/>
    <n v="2.4390243902439025E-2"/>
    <x v="11"/>
    <x v="1"/>
    <s v="OK"/>
    <x v="5"/>
    <s v="OK"/>
    <x v="0"/>
    <x v="0"/>
    <n v="1"/>
    <n v="1"/>
    <n v="0"/>
    <n v="0"/>
    <x v="0"/>
    <x v="0"/>
    <x v="0"/>
  </r>
  <r>
    <n v="20504039120"/>
    <x v="8"/>
    <x v="8"/>
    <x v="443"/>
    <x v="445"/>
    <x v="421"/>
    <n v="1"/>
    <x v="61"/>
    <s v="PATIO TALLER SANTA ANITA"/>
    <s v="JR. VIENA MZ N8 LOTE 28 URB. 5 DE NOVIEMBRE"/>
    <x v="15"/>
    <x v="0"/>
    <x v="0"/>
    <x v="1"/>
    <x v="237"/>
    <x v="0"/>
    <n v="1"/>
    <n v="200"/>
    <x v="0"/>
    <x v="1"/>
    <n v="2.4390243902439025E-2"/>
    <x v="11"/>
    <x v="1"/>
    <s v="OK"/>
    <x v="0"/>
    <s v="OK"/>
    <x v="0"/>
    <x v="0"/>
    <n v="1"/>
    <n v="0"/>
    <n v="0"/>
    <n v="0"/>
    <x v="0"/>
    <x v="0"/>
    <x v="0"/>
  </r>
  <r>
    <n v="20504039120"/>
    <x v="8"/>
    <x v="8"/>
    <x v="444"/>
    <x v="446"/>
    <x v="422"/>
    <n v="1"/>
    <x v="6"/>
    <s v="POZO 01 BIS"/>
    <s v="BRISAS DE SANTA ROSA MZ.D LT.03"/>
    <x v="3"/>
    <x v="1"/>
    <x v="0"/>
    <x v="1"/>
    <x v="238"/>
    <x v="0"/>
    <n v="1"/>
    <n v="200"/>
    <x v="0"/>
    <x v="1"/>
    <n v="2.4390243902439025E-2"/>
    <x v="11"/>
    <x v="1"/>
    <s v="OK"/>
    <x v="0"/>
    <s v="OK"/>
    <x v="0"/>
    <x v="0"/>
    <n v="1"/>
    <n v="0"/>
    <n v="0"/>
    <n v="0"/>
    <x v="0"/>
    <x v="0"/>
    <x v="0"/>
  </r>
  <r>
    <n v="20504039130"/>
    <x v="8"/>
    <x v="8"/>
    <x v="445"/>
    <x v="447"/>
    <x v="423"/>
    <n v="1"/>
    <x v="6"/>
    <s v="ESTACION 17"/>
    <s v="CALLE MAXIMO VELANDO MZ. F LOTE 03"/>
    <x v="27"/>
    <x v="1"/>
    <x v="0"/>
    <x v="1"/>
    <x v="8"/>
    <x v="0"/>
    <n v="1"/>
    <n v="200"/>
    <x v="0"/>
    <x v="1"/>
    <n v="2.4390243902439025E-2"/>
    <x v="13"/>
    <x v="1"/>
    <s v="OK"/>
    <x v="5"/>
    <s v="OK"/>
    <x v="0"/>
    <x v="0"/>
    <n v="1"/>
    <n v="1"/>
    <n v="0"/>
    <n v="0"/>
    <x v="0"/>
    <x v="0"/>
    <x v="0"/>
  </r>
  <r>
    <n v="20602487751"/>
    <x v="54"/>
    <x v="40"/>
    <x v="446"/>
    <x v="448"/>
    <x v="424"/>
    <n v="2"/>
    <x v="92"/>
    <s v="L4"/>
    <s v="Amplc. Max Uhle Mz. B Lt. 4"/>
    <x v="19"/>
    <x v="0"/>
    <x v="13"/>
    <x v="1"/>
    <x v="20"/>
    <x v="2"/>
    <n v="4"/>
    <n v="48"/>
    <x v="0"/>
    <x v="1"/>
    <n v="0.1111111111111111"/>
    <x v="9"/>
    <x v="1"/>
    <s v="OK"/>
    <x v="0"/>
    <s v="OK"/>
    <x v="0"/>
    <x v="0"/>
    <n v="1"/>
    <n v="0"/>
    <n v="0"/>
    <n v="1"/>
    <x v="0"/>
    <x v="1"/>
    <x v="0"/>
  </r>
  <r>
    <n v="20602487751"/>
    <x v="54"/>
    <x v="40"/>
    <x v="447"/>
    <x v="449"/>
    <x v="425"/>
    <n v="2"/>
    <x v="92"/>
    <s v="L4"/>
    <s v="Psj Union S/N"/>
    <x v="116"/>
    <x v="0"/>
    <x v="8"/>
    <x v="1"/>
    <x v="94"/>
    <x v="2"/>
    <n v="4"/>
    <n v="200"/>
    <x v="0"/>
    <x v="1"/>
    <n v="0.1111111111111111"/>
    <x v="12"/>
    <x v="1"/>
    <s v="OK"/>
    <x v="0"/>
    <s v="OK"/>
    <x v="0"/>
    <x v="0"/>
    <n v="1"/>
    <n v="0"/>
    <n v="0"/>
    <n v="1"/>
    <x v="0"/>
    <x v="1"/>
    <x v="0"/>
  </r>
  <r>
    <n v="20602487751"/>
    <x v="54"/>
    <x v="40"/>
    <x v="448"/>
    <x v="450"/>
    <x v="426"/>
    <n v="2"/>
    <x v="92"/>
    <s v="L4"/>
    <s v="Centro Poblado Orellana"/>
    <x v="117"/>
    <x v="0"/>
    <x v="4"/>
    <x v="1"/>
    <x v="26"/>
    <x v="2"/>
    <n v="4"/>
    <n v="48"/>
    <x v="0"/>
    <x v="1"/>
    <n v="0.1111111111111111"/>
    <x v="13"/>
    <x v="1"/>
    <s v="OK"/>
    <x v="0"/>
    <s v="OK"/>
    <x v="0"/>
    <x v="0"/>
    <n v="1"/>
    <n v="0"/>
    <n v="0"/>
    <n v="1"/>
    <x v="0"/>
    <x v="1"/>
    <x v="0"/>
  </r>
  <r>
    <n v="20602213227"/>
    <x v="9"/>
    <x v="9"/>
    <x v="449"/>
    <x v="451"/>
    <x v="427"/>
    <n v="1"/>
    <x v="88"/>
    <s v="E5 L4"/>
    <s v="BARRIO 1 SECTOR 2 4TA ETAPA URB. PACHACAMAC MZ. J' LT. 27"/>
    <x v="19"/>
    <x v="0"/>
    <x v="0"/>
    <x v="1"/>
    <x v="239"/>
    <x v="0"/>
    <n v="1"/>
    <n v="200"/>
    <x v="0"/>
    <x v="1"/>
    <n v="2.7777777777777776E-2"/>
    <x v="10"/>
    <x v="1"/>
    <s v="OK"/>
    <x v="0"/>
    <s v="OK"/>
    <x v="0"/>
    <x v="0"/>
    <n v="1"/>
    <n v="0"/>
    <n v="0"/>
    <n v="0"/>
    <x v="0"/>
    <x v="0"/>
    <x v="0"/>
  </r>
  <r>
    <n v="20602213227"/>
    <x v="9"/>
    <x v="9"/>
    <x v="450"/>
    <x v="452"/>
    <x v="428"/>
    <n v="1"/>
    <x v="75"/>
    <s v="E01"/>
    <s v="CALLE LOS ALARIFES S/N EDIF. H DPTO. 804 URB MATELLINI"/>
    <x v="38"/>
    <x v="1"/>
    <x v="0"/>
    <x v="1"/>
    <x v="17"/>
    <x v="0"/>
    <n v="1"/>
    <n v="192"/>
    <x v="0"/>
    <x v="1"/>
    <n v="2.7777777777777776E-2"/>
    <x v="11"/>
    <x v="1"/>
    <s v="OK"/>
    <x v="0"/>
    <s v="OK"/>
    <x v="0"/>
    <x v="0"/>
    <n v="1"/>
    <n v="0"/>
    <n v="0"/>
    <n v="0"/>
    <x v="0"/>
    <x v="0"/>
    <x v="0"/>
  </r>
  <r>
    <n v="20602213228"/>
    <x v="9"/>
    <x v="9"/>
    <x v="451"/>
    <x v="453"/>
    <x v="429"/>
    <n v="2"/>
    <x v="2"/>
    <s v="E-04 A PV1BIS"/>
    <s v="PSJ. B ANGAMOS 1ER SECTOR MZ. F6 LT. 10"/>
    <x v="2"/>
    <x v="0"/>
    <x v="0"/>
    <x v="1"/>
    <x v="240"/>
    <x v="0"/>
    <n v="2"/>
    <n v="184"/>
    <x v="0"/>
    <x v="1"/>
    <n v="2.7777777777777776E-2"/>
    <x v="9"/>
    <x v="1"/>
    <s v="OK"/>
    <x v="2"/>
    <s v="OK"/>
    <x v="0"/>
    <x v="0"/>
    <n v="1"/>
    <n v="1"/>
    <n v="0"/>
    <n v="0"/>
    <x v="0"/>
    <x v="0"/>
    <x v="0"/>
  </r>
  <r>
    <n v="20602213227"/>
    <x v="9"/>
    <x v="9"/>
    <x v="452"/>
    <x v="454"/>
    <x v="430"/>
    <n v="1"/>
    <x v="93"/>
    <s v=" E5 L4 - PV08"/>
    <s v="CALLE MARÌA EGUSQUIZA DE GÀLVEZ 171"/>
    <x v="28"/>
    <x v="1"/>
    <x v="0"/>
    <x v="1"/>
    <x v="168"/>
    <x v="0"/>
    <n v="1"/>
    <n v="88"/>
    <x v="0"/>
    <x v="1"/>
    <n v="2.7777777777777776E-2"/>
    <x v="7"/>
    <x v="1"/>
    <s v="OK"/>
    <x v="0"/>
    <s v="OK"/>
    <x v="0"/>
    <x v="0"/>
    <n v="1"/>
    <n v="0"/>
    <n v="0"/>
    <n v="0"/>
    <x v="0"/>
    <x v="0"/>
    <x v="0"/>
  </r>
  <r>
    <n v="20602213227"/>
    <x v="9"/>
    <x v="9"/>
    <x v="453"/>
    <x v="455"/>
    <x v="431"/>
    <n v="2"/>
    <x v="2"/>
    <s v="PV08 - E13"/>
    <s v="JR. ATAHUALPA 689"/>
    <x v="89"/>
    <x v="0"/>
    <x v="0"/>
    <x v="1"/>
    <x v="26"/>
    <x v="0"/>
    <n v="2"/>
    <n v="80"/>
    <x v="0"/>
    <x v="1"/>
    <n v="2.7777777777777776E-2"/>
    <x v="11"/>
    <x v="1"/>
    <s v="OK"/>
    <x v="2"/>
    <s v="OK"/>
    <x v="0"/>
    <x v="0"/>
    <n v="1"/>
    <n v="1"/>
    <n v="0"/>
    <n v="0"/>
    <x v="0"/>
    <x v="0"/>
    <x v="0"/>
  </r>
  <r>
    <n v="20602213227"/>
    <x v="9"/>
    <x v="9"/>
    <x v="454"/>
    <x v="456"/>
    <x v="432"/>
    <n v="2"/>
    <x v="10"/>
    <s v="PV08 - E13 - E27"/>
    <s v="P.J. DEFENSORES DE LA PATRIA MZ. S4 LT.20"/>
    <x v="2"/>
    <x v="0"/>
    <x v="0"/>
    <x v="1"/>
    <x v="38"/>
    <x v="0"/>
    <n v="2"/>
    <n v="160"/>
    <x v="0"/>
    <x v="1"/>
    <n v="2.7777777777777776E-2"/>
    <x v="6"/>
    <x v="1"/>
    <s v="OK"/>
    <x v="2"/>
    <s v="OK"/>
    <x v="0"/>
    <x v="0"/>
    <n v="1"/>
    <n v="1"/>
    <n v="0"/>
    <n v="0"/>
    <x v="0"/>
    <x v="0"/>
    <x v="0"/>
  </r>
  <r>
    <n v="20602213227"/>
    <x v="9"/>
    <x v="9"/>
    <x v="455"/>
    <x v="457"/>
    <x v="433"/>
    <n v="1"/>
    <x v="94"/>
    <s v="E13"/>
    <s v="CALLE CIPRIANO GUTIERREZ 122 URB. RES. LA MAR"/>
    <x v="118"/>
    <x v="0"/>
    <x v="0"/>
    <x v="1"/>
    <x v="13"/>
    <x v="0"/>
    <n v="1"/>
    <n v="48"/>
    <x v="0"/>
    <x v="1"/>
    <n v="2.7777777777777776E-2"/>
    <x v="8"/>
    <x v="1"/>
    <s v="OK"/>
    <x v="0"/>
    <s v="OK"/>
    <x v="0"/>
    <x v="0"/>
    <n v="1"/>
    <n v="0"/>
    <n v="0"/>
    <n v="0"/>
    <x v="0"/>
    <x v="0"/>
    <x v="0"/>
  </r>
  <r>
    <n v="20602213227"/>
    <x v="9"/>
    <x v="9"/>
    <x v="456"/>
    <x v="458"/>
    <x v="434"/>
    <n v="1"/>
    <x v="95"/>
    <s v="PV08 - E13 - E17"/>
    <s v="URB. SEÑOR DE LOS MIÑAGROS LT 11"/>
    <x v="73"/>
    <x v="0"/>
    <x v="0"/>
    <x v="1"/>
    <x v="241"/>
    <x v="0"/>
    <n v="1"/>
    <n v="136"/>
    <x v="0"/>
    <x v="1"/>
    <n v="2.7777777777777776E-2"/>
    <x v="8"/>
    <x v="1"/>
    <s v="OK"/>
    <x v="0"/>
    <s v="OK"/>
    <x v="0"/>
    <x v="0"/>
    <n v="1"/>
    <n v="0"/>
    <n v="0"/>
    <n v="0"/>
    <x v="0"/>
    <x v="0"/>
    <x v="0"/>
  </r>
  <r>
    <n v="20602213227"/>
    <x v="9"/>
    <x v="9"/>
    <x v="457"/>
    <x v="459"/>
    <x v="435"/>
    <n v="1"/>
    <x v="96"/>
    <s v="E-04 A PV1BIS"/>
    <s v="UCV 10342 EDIF 2 DPTO 304 SECTOR PEDREROS PREDIO SUBLT. 2"/>
    <x v="119"/>
    <x v="0"/>
    <x v="0"/>
    <x v="1"/>
    <x v="22"/>
    <x v="0"/>
    <n v="1"/>
    <n v="184"/>
    <x v="0"/>
    <x v="1"/>
    <n v="2.7777777777777776E-2"/>
    <x v="9"/>
    <x v="1"/>
    <s v="OK"/>
    <x v="0"/>
    <s v="OK"/>
    <x v="0"/>
    <x v="0"/>
    <n v="1"/>
    <n v="0"/>
    <n v="0"/>
    <n v="0"/>
    <x v="0"/>
    <x v="0"/>
    <x v="0"/>
  </r>
  <r>
    <n v="20550487200"/>
    <x v="10"/>
    <x v="10"/>
    <x v="458"/>
    <x v="460"/>
    <x v="436"/>
    <n v="1"/>
    <x v="17"/>
    <s v="PTSA, E12, E14, E15, E16, E17, E18, E25, E26, E27, E08, E09, E10, E11, E01, E02, E03, E06, E-04, E-19 Y FD"/>
    <s v="JR. FERNANDINI 1068"/>
    <x v="5"/>
    <x v="0"/>
    <x v="0"/>
    <x v="2"/>
    <x v="39"/>
    <x v="0"/>
    <n v="1"/>
    <n v="184"/>
    <x v="0"/>
    <x v="1"/>
    <n v="5.8823529411764705E-2"/>
    <x v="9"/>
    <x v="1"/>
    <s v="OK"/>
    <x v="3"/>
    <s v="OK"/>
    <x v="0"/>
    <x v="0"/>
    <n v="1"/>
    <n v="1"/>
    <n v="0"/>
    <n v="0"/>
    <x v="0"/>
    <x v="0"/>
    <x v="0"/>
  </r>
  <r>
    <n v="20550487200"/>
    <x v="10"/>
    <x v="10"/>
    <x v="459"/>
    <x v="461"/>
    <x v="437"/>
    <n v="1"/>
    <x v="17"/>
    <s v="PTSA, E12, E14, E15, E16, E17, E18, E25, E26, E27, E08, E09, E10, E11, E01, E02, E03, E06, E-04, E-19 Y FD"/>
    <s v="AV. LAS VIÑAS MZ. E LT. 13"/>
    <x v="4"/>
    <x v="0"/>
    <x v="0"/>
    <x v="2"/>
    <x v="39"/>
    <x v="0"/>
    <n v="1"/>
    <n v="184"/>
    <x v="0"/>
    <x v="1"/>
    <n v="5.8823529411764705E-2"/>
    <x v="7"/>
    <x v="1"/>
    <s v="OK"/>
    <x v="0"/>
    <s v="OK"/>
    <x v="0"/>
    <x v="0"/>
    <n v="1"/>
    <n v="0"/>
    <n v="0"/>
    <n v="0"/>
    <x v="0"/>
    <x v="0"/>
    <x v="0"/>
  </r>
  <r>
    <n v="20550487200"/>
    <x v="10"/>
    <x v="10"/>
    <x v="460"/>
    <x v="462"/>
    <x v="438"/>
    <n v="1"/>
    <x v="17"/>
    <s v="PTSA, E12, E14, E15, E16, E17, E18, E25, E26, E27, E08, E09, E10, E11, E01, E02, E03, E06, E-04, E-19 Y FD"/>
    <s v="JR. GRAL. FRANCISCO BOLOGNESI 150"/>
    <x v="28"/>
    <x v="0"/>
    <x v="0"/>
    <x v="2"/>
    <x v="39"/>
    <x v="0"/>
    <n v="1"/>
    <n v="184"/>
    <x v="0"/>
    <x v="1"/>
    <n v="5.8823529411764705E-2"/>
    <x v="6"/>
    <x v="1"/>
    <s v="OK"/>
    <x v="0"/>
    <s v="OK"/>
    <x v="0"/>
    <x v="0"/>
    <n v="1"/>
    <n v="0"/>
    <n v="0"/>
    <n v="0"/>
    <x v="0"/>
    <x v="0"/>
    <x v="0"/>
  </r>
  <r>
    <n v="20550487200"/>
    <x v="10"/>
    <x v="10"/>
    <x v="461"/>
    <x v="463"/>
    <x v="439"/>
    <n v="1"/>
    <x v="17"/>
    <s v="PTSA, E12, E14, E15, E16, E17, E18, E25, E26, E27, E08, E09, E10, E11, E01, E02, E03, E06, E-04, E-19 Y FD"/>
    <s v="JR. HHUIRACOCHA 2331"/>
    <x v="120"/>
    <x v="0"/>
    <x v="0"/>
    <x v="2"/>
    <x v="39"/>
    <x v="0"/>
    <n v="1"/>
    <n v="184"/>
    <x v="0"/>
    <x v="1"/>
    <n v="5.8823529411764705E-2"/>
    <x v="8"/>
    <x v="1"/>
    <s v="OK"/>
    <x v="0"/>
    <s v="OK"/>
    <x v="0"/>
    <x v="0"/>
    <n v="1"/>
    <n v="0"/>
    <n v="0"/>
    <n v="0"/>
    <x v="0"/>
    <x v="0"/>
    <x v="0"/>
  </r>
  <r>
    <n v="20550487200"/>
    <x v="10"/>
    <x v="10"/>
    <x v="462"/>
    <x v="464"/>
    <x v="283"/>
    <n v="1"/>
    <x v="17"/>
    <s v="PTSA, E12, E14, E15, E16, E17, E18, E25, E26, E27, E08, E09, E10, E11, E01, E02, E03, E06, E-04, E-19 Y FD"/>
    <s v="JR. MIGUEL DE ECHENIQUE 736 URB. ORBEA"/>
    <x v="121"/>
    <x v="0"/>
    <x v="0"/>
    <x v="2"/>
    <x v="55"/>
    <x v="0"/>
    <n v="1"/>
    <n v="184"/>
    <x v="0"/>
    <x v="1"/>
    <n v="5.8823529411764705E-2"/>
    <x v="6"/>
    <x v="1"/>
    <s v="OK"/>
    <x v="0"/>
    <s v="OK"/>
    <x v="0"/>
    <x v="0"/>
    <n v="1"/>
    <n v="0"/>
    <n v="0"/>
    <n v="0"/>
    <x v="0"/>
    <x v="0"/>
    <x v="0"/>
  </r>
  <r>
    <n v="20550487200"/>
    <x v="10"/>
    <x v="10"/>
    <x v="463"/>
    <x v="465"/>
    <x v="440"/>
    <n v="1"/>
    <x v="17"/>
    <s v="PTSA, E12, E14, E15, E16, E17, E18, E25, E26, E27, E08, E09, E10, E11, E01, E02, E03, E06, E-04, E-19 Y FD"/>
    <s v="MZ.F LT.4 C.P. ASOC. DE VIV. LOS LIBERTADORES DE PUENTE PIEDRA"/>
    <x v="4"/>
    <x v="0"/>
    <x v="0"/>
    <x v="2"/>
    <x v="40"/>
    <x v="0"/>
    <n v="1"/>
    <n v="184"/>
    <x v="0"/>
    <x v="1"/>
    <n v="5.8823529411764705E-2"/>
    <x v="8"/>
    <x v="1"/>
    <s v="OK"/>
    <x v="0"/>
    <s v="OK"/>
    <x v="0"/>
    <x v="0"/>
    <n v="1"/>
    <n v="0"/>
    <n v="0"/>
    <n v="0"/>
    <x v="0"/>
    <x v="0"/>
    <x v="0"/>
  </r>
  <r>
    <n v="20550487200"/>
    <x v="10"/>
    <x v="10"/>
    <x v="464"/>
    <x v="466"/>
    <x v="441"/>
    <n v="1"/>
    <x v="17"/>
    <s v="PTSA, E12, E14, E15, E16, E17, E18, E25, E26, E27, E08, E09, E10, E11, E01, E02, E03, E06, E-04, E-19 Y FD"/>
    <s v="PUEBLO JOVEN AMPL. LADERAS DE CHILLON MZ. A3 LT. 158"/>
    <x v="4"/>
    <x v="1"/>
    <x v="0"/>
    <x v="2"/>
    <x v="55"/>
    <x v="0"/>
    <n v="1"/>
    <n v="184"/>
    <x v="0"/>
    <x v="1"/>
    <n v="5.8823529411764705E-2"/>
    <x v="7"/>
    <x v="1"/>
    <s v="OK"/>
    <x v="0"/>
    <s v="OK"/>
    <x v="0"/>
    <x v="0"/>
    <n v="1"/>
    <n v="0"/>
    <n v="0"/>
    <n v="0"/>
    <x v="0"/>
    <x v="0"/>
    <x v="0"/>
  </r>
  <r>
    <n v="20550487200"/>
    <x v="10"/>
    <x v="10"/>
    <x v="465"/>
    <x v="467"/>
    <x v="442"/>
    <n v="1"/>
    <x v="17"/>
    <s v="PTSA, E12, E14, E15, E16, E17, E18, E25, E26, E27, E08, E09, E10, E11, E01, E02, E03, E06, E-04, E-19 Y FD"/>
    <s v="JR. AREQUIPA 315 P.J RAUL PORRAS BARRENECHEA"/>
    <x v="54"/>
    <x v="1"/>
    <x v="0"/>
    <x v="2"/>
    <x v="55"/>
    <x v="0"/>
    <n v="1"/>
    <n v="184"/>
    <x v="0"/>
    <x v="1"/>
    <n v="5.8823529411764705E-2"/>
    <x v="10"/>
    <x v="1"/>
    <s v="OK"/>
    <x v="0"/>
    <s v="OK"/>
    <x v="0"/>
    <x v="0"/>
    <n v="1"/>
    <n v="0"/>
    <n v="0"/>
    <n v="0"/>
    <x v="0"/>
    <x v="0"/>
    <x v="0"/>
  </r>
  <r>
    <n v="20550487200"/>
    <x v="10"/>
    <x v="10"/>
    <x v="466"/>
    <x v="468"/>
    <x v="443"/>
    <n v="1"/>
    <x v="17"/>
    <s v="PTSA, E12, E14, E15, E16, E17, E18, E25, E26, E27, E08, E09, E10, E11, E01, E02, E03, E06, E-04, E-19 Y FD"/>
    <s v="CALLE 55 ARMANDO VILLANUEVA MZ. 640"/>
    <x v="49"/>
    <x v="0"/>
    <x v="0"/>
    <x v="2"/>
    <x v="106"/>
    <x v="0"/>
    <n v="1"/>
    <n v="184"/>
    <x v="0"/>
    <x v="1"/>
    <n v="5.8823529411764705E-2"/>
    <x v="10"/>
    <x v="1"/>
    <s v="OK"/>
    <x v="0"/>
    <s v="OK"/>
    <x v="0"/>
    <x v="0"/>
    <n v="1"/>
    <n v="0"/>
    <n v="0"/>
    <n v="0"/>
    <x v="0"/>
    <x v="0"/>
    <x v="0"/>
  </r>
  <r>
    <n v="20550487200"/>
    <x v="10"/>
    <x v="10"/>
    <x v="467"/>
    <x v="469"/>
    <x v="444"/>
    <n v="1"/>
    <x v="17"/>
    <s v="PTSA, E12, E14, E15, E16, E17, E18, E25, E26, E27, E08, E09, E10, E11, E01, E02, E03, E06, E-04, E-19 Y FD"/>
    <s v="AYACUCHO 3948"/>
    <x v="3"/>
    <x v="0"/>
    <x v="0"/>
    <x v="2"/>
    <x v="16"/>
    <x v="0"/>
    <n v="1"/>
    <n v="184"/>
    <x v="0"/>
    <x v="1"/>
    <n v="5.8823529411764705E-2"/>
    <x v="13"/>
    <x v="1"/>
    <s v="OK"/>
    <x v="0"/>
    <s v="OK"/>
    <x v="0"/>
    <x v="0"/>
    <n v="1"/>
    <n v="0"/>
    <n v="0"/>
    <n v="0"/>
    <x v="0"/>
    <x v="0"/>
    <x v="0"/>
  </r>
  <r>
    <n v="20601536536"/>
    <x v="11"/>
    <x v="11"/>
    <x v="468"/>
    <x v="470"/>
    <x v="445"/>
    <m/>
    <x v="15"/>
    <s v="ESTACION 11 / ESTACION 15"/>
    <s v="JR. LOS CONQUISTADORES SECTOR 5 DE MAYO PAMPLONA ALTA MZ. TBA. LT 8"/>
    <x v="53"/>
    <x v="0"/>
    <x v="0"/>
    <x v="2"/>
    <x v="242"/>
    <x v="0"/>
    <n v="1"/>
    <n v="96"/>
    <x v="0"/>
    <x v="0"/>
    <n v="0"/>
    <x v="9"/>
    <x v="1"/>
    <s v="OK"/>
    <x v="0"/>
    <s v="OK"/>
    <x v="0"/>
    <x v="0"/>
    <n v="1"/>
    <n v="0"/>
    <n v="0"/>
    <n v="0"/>
    <x v="0"/>
    <x v="0"/>
    <x v="0"/>
  </r>
  <r>
    <n v="20601536536"/>
    <x v="11"/>
    <x v="11"/>
    <x v="469"/>
    <x v="471"/>
    <x v="446"/>
    <m/>
    <x v="15"/>
    <s v="REGRESO A PLANTA"/>
    <s v="C.P UCHPAYACU S/N"/>
    <x v="122"/>
    <x v="0"/>
    <x v="0"/>
    <x v="2"/>
    <x v="41"/>
    <x v="0"/>
    <n v="1"/>
    <n v="0"/>
    <x v="0"/>
    <x v="0"/>
    <n v="0"/>
    <x v="13"/>
    <x v="1"/>
    <s v="OK"/>
    <x v="0"/>
    <s v="OK"/>
    <x v="0"/>
    <x v="0"/>
    <n v="1"/>
    <n v="0"/>
    <n v="0"/>
    <n v="0"/>
    <x v="0"/>
    <x v="0"/>
    <x v="0"/>
  </r>
  <r>
    <s v="20504138292"/>
    <x v="12"/>
    <x v="12"/>
    <x v="470"/>
    <x v="472"/>
    <x v="447"/>
    <n v="2"/>
    <x v="18"/>
    <s v="PV 04"/>
    <s v="AAHH VILLA HERMOSA MZ VH LT 91"/>
    <x v="123"/>
    <x v="0"/>
    <x v="0"/>
    <x v="2"/>
    <x v="181"/>
    <x v="0"/>
    <n v="4"/>
    <n v="192"/>
    <x v="0"/>
    <x v="1"/>
    <n v="2.3809523809523808E-2"/>
    <x v="9"/>
    <x v="1"/>
    <s v="OK"/>
    <x v="0"/>
    <s v="OK"/>
    <x v="0"/>
    <x v="0"/>
    <n v="1"/>
    <n v="0"/>
    <n v="0"/>
    <n v="0"/>
    <x v="0"/>
    <x v="0"/>
    <x v="0"/>
  </r>
  <r>
    <s v="20504138292"/>
    <x v="12"/>
    <x v="12"/>
    <x v="471"/>
    <x v="473"/>
    <x v="448"/>
    <n v="1"/>
    <x v="84"/>
    <s v="PV 04"/>
    <s v="AV. SUCRE 1053"/>
    <x v="118"/>
    <x v="1"/>
    <x v="0"/>
    <x v="2"/>
    <x v="243"/>
    <x v="0"/>
    <n v="1"/>
    <n v="192"/>
    <x v="0"/>
    <x v="1"/>
    <n v="2.3809523809523808E-2"/>
    <x v="7"/>
    <x v="1"/>
    <s v="OK"/>
    <x v="0"/>
    <s v="OK"/>
    <x v="0"/>
    <x v="0"/>
    <n v="1"/>
    <n v="0"/>
    <n v="0"/>
    <n v="0"/>
    <x v="0"/>
    <x v="0"/>
    <x v="0"/>
  </r>
  <r>
    <s v="20504138292"/>
    <x v="12"/>
    <x v="12"/>
    <x v="472"/>
    <x v="474"/>
    <x v="449"/>
    <n v="2"/>
    <x v="18"/>
    <s v="PV 04"/>
    <s v="SECT 7 GRP 3 MZHLT 3"/>
    <x v="19"/>
    <x v="0"/>
    <x v="0"/>
    <x v="2"/>
    <x v="244"/>
    <x v="0"/>
    <n v="4"/>
    <n v="192"/>
    <x v="0"/>
    <x v="1"/>
    <n v="2.3809523809523808E-2"/>
    <x v="6"/>
    <x v="1"/>
    <s v="OK"/>
    <x v="0"/>
    <s v="OK"/>
    <x v="0"/>
    <x v="0"/>
    <n v="1"/>
    <n v="0"/>
    <n v="0"/>
    <n v="0"/>
    <x v="0"/>
    <x v="0"/>
    <x v="0"/>
  </r>
  <r>
    <s v="20504138292"/>
    <x v="12"/>
    <x v="12"/>
    <x v="473"/>
    <x v="475"/>
    <x v="450"/>
    <n v="2"/>
    <x v="97"/>
    <s v="PV 04"/>
    <s v="JR MARISCAL CACERES 259"/>
    <x v="8"/>
    <x v="0"/>
    <x v="0"/>
    <x v="2"/>
    <x v="244"/>
    <x v="0"/>
    <n v="4"/>
    <n v="192"/>
    <x v="0"/>
    <x v="1"/>
    <n v="2.3809523809523808E-2"/>
    <x v="6"/>
    <x v="1"/>
    <s v="OK"/>
    <x v="0"/>
    <s v="OK"/>
    <x v="0"/>
    <x v="0"/>
    <n v="1"/>
    <n v="0"/>
    <n v="0"/>
    <n v="0"/>
    <x v="0"/>
    <x v="0"/>
    <x v="0"/>
  </r>
  <r>
    <s v="20504138292"/>
    <x v="12"/>
    <x v="12"/>
    <x v="474"/>
    <x v="476"/>
    <x v="451"/>
    <n v="2"/>
    <x v="67"/>
    <s v="PV 04"/>
    <s v="SECTOR 6 GRUPO 12 MZ. F LT. 5"/>
    <x v="19"/>
    <x v="0"/>
    <x v="20"/>
    <x v="2"/>
    <x v="245"/>
    <x v="2"/>
    <n v="4"/>
    <n v="85"/>
    <x v="0"/>
    <x v="1"/>
    <n v="2.3809523809523808E-2"/>
    <x v="11"/>
    <x v="1"/>
    <s v="OK"/>
    <x v="0"/>
    <s v="OK"/>
    <x v="0"/>
    <x v="0"/>
    <n v="1"/>
    <n v="0"/>
    <n v="0"/>
    <n v="1"/>
    <x v="0"/>
    <x v="1"/>
    <x v="0"/>
  </r>
  <r>
    <s v="20504138292"/>
    <x v="12"/>
    <x v="12"/>
    <x v="475"/>
    <x v="477"/>
    <x v="452"/>
    <n v="2"/>
    <x v="2"/>
    <s v="PV 04"/>
    <s v="URB CIUDAD DEL PESCADOR MZ. E LT. 20"/>
    <x v="17"/>
    <x v="0"/>
    <x v="0"/>
    <x v="2"/>
    <x v="25"/>
    <x v="0"/>
    <n v="4"/>
    <n v="192"/>
    <x v="0"/>
    <x v="1"/>
    <n v="2.3809523809523808E-2"/>
    <x v="13"/>
    <x v="1"/>
    <s v="OK"/>
    <x v="2"/>
    <s v="OK"/>
    <x v="0"/>
    <x v="0"/>
    <n v="1"/>
    <n v="1"/>
    <n v="0"/>
    <n v="0"/>
    <x v="0"/>
    <x v="0"/>
    <x v="0"/>
  </r>
  <r>
    <s v="20504138292"/>
    <x v="12"/>
    <x v="12"/>
    <x v="476"/>
    <x v="478"/>
    <x v="453"/>
    <n v="2"/>
    <x v="8"/>
    <s v="PV 04"/>
    <s v="JR TALARA MZ 113 LT 43 JOSE GALVEZ "/>
    <x v="8"/>
    <x v="0"/>
    <x v="0"/>
    <x v="2"/>
    <x v="246"/>
    <x v="0"/>
    <n v="4"/>
    <n v="192"/>
    <x v="0"/>
    <x v="1"/>
    <n v="2.3809523809523808E-2"/>
    <x v="11"/>
    <x v="1"/>
    <s v="OK"/>
    <x v="0"/>
    <s v="OK"/>
    <x v="0"/>
    <x v="0"/>
    <n v="1"/>
    <n v="0"/>
    <n v="0"/>
    <n v="0"/>
    <x v="0"/>
    <x v="0"/>
    <x v="0"/>
  </r>
  <r>
    <s v="20504138292"/>
    <x v="12"/>
    <x v="12"/>
    <x v="477"/>
    <x v="479"/>
    <x v="454"/>
    <n v="2"/>
    <x v="18"/>
    <s v="PV 04"/>
    <s v="MZ. W 2 LT 3-A  II ZONA HOGAR POLICIAL"/>
    <x v="8"/>
    <x v="0"/>
    <x v="0"/>
    <x v="2"/>
    <x v="247"/>
    <x v="0"/>
    <n v="4"/>
    <n v="56"/>
    <x v="0"/>
    <x v="1"/>
    <n v="2.3809523809523808E-2"/>
    <x v="12"/>
    <x v="1"/>
    <s v="OK"/>
    <x v="0"/>
    <s v="OK"/>
    <x v="0"/>
    <x v="0"/>
    <n v="1"/>
    <n v="0"/>
    <n v="0"/>
    <n v="0"/>
    <x v="0"/>
    <x v="0"/>
    <x v="0"/>
  </r>
  <r>
    <n v="20524172365"/>
    <x v="55"/>
    <x v="41"/>
    <x v="478"/>
    <x v="480"/>
    <x v="455"/>
    <n v="1"/>
    <x v="98"/>
    <s v="SUMINISTRO E INSTALACIÓN DE BARANDAS DE ACERO INOXIDABLE EN LA ESTACION E17"/>
    <s v="CALLE COSTA AZUL SN"/>
    <x v="124"/>
    <x v="0"/>
    <x v="0"/>
    <x v="1"/>
    <x v="248"/>
    <x v="0"/>
    <n v="2"/>
    <n v="128"/>
    <x v="0"/>
    <x v="1"/>
    <n v="0.1"/>
    <x v="7"/>
    <x v="1"/>
    <s v="OK"/>
    <x v="0"/>
    <s v="OK"/>
    <x v="0"/>
    <x v="0"/>
    <n v="1"/>
    <n v="0"/>
    <n v="0"/>
    <n v="0"/>
    <x v="0"/>
    <x v="0"/>
    <x v="0"/>
  </r>
  <r>
    <n v="20524172365"/>
    <x v="55"/>
    <x v="41"/>
    <x v="479"/>
    <x v="481"/>
    <x v="456"/>
    <n v="1"/>
    <x v="99"/>
    <s v="SUMINISTRO E INSTALACIÓN DE BARANDAS DE ACERO INOXIDABLE EN LA ESTACION E17"/>
    <s v="CALLE BUSTAMANTE Y RIVERO PJ. EL PROGRESO ETAPA 3"/>
    <x v="54"/>
    <x v="0"/>
    <x v="0"/>
    <x v="1"/>
    <x v="242"/>
    <x v="0"/>
    <n v="2"/>
    <n v="128"/>
    <x v="0"/>
    <x v="1"/>
    <n v="0.1"/>
    <x v="8"/>
    <x v="1"/>
    <s v="OK"/>
    <x v="0"/>
    <s v="OK"/>
    <x v="0"/>
    <x v="0"/>
    <n v="1"/>
    <n v="0"/>
    <n v="0"/>
    <n v="0"/>
    <x v="0"/>
    <x v="0"/>
    <x v="0"/>
  </r>
  <r>
    <n v="20524172365"/>
    <x v="55"/>
    <x v="41"/>
    <x v="480"/>
    <x v="482"/>
    <x v="457"/>
    <n v="1"/>
    <x v="100"/>
    <s v="SUMINISTRO E INSTALACIÓN DE BARANDAS DE ACERO INOXIDABLE EN LA ESTACION E17"/>
    <s v="CALLE SANTA URSULA MZ P LT 20 URB SAN GABRIEL"/>
    <x v="15"/>
    <x v="0"/>
    <x v="0"/>
    <x v="1"/>
    <x v="249"/>
    <x v="0"/>
    <n v="2"/>
    <n v="56"/>
    <x v="0"/>
    <x v="1"/>
    <n v="0.1"/>
    <x v="11"/>
    <x v="1"/>
    <s v="OK"/>
    <x v="0"/>
    <s v="OK"/>
    <x v="0"/>
    <x v="0"/>
    <n v="1"/>
    <n v="0"/>
    <n v="0"/>
    <n v="0"/>
    <x v="0"/>
    <x v="0"/>
    <x v="0"/>
  </r>
  <r>
    <n v="20524172365"/>
    <x v="55"/>
    <x v="41"/>
    <x v="481"/>
    <x v="483"/>
    <x v="389"/>
    <n v="2"/>
    <x v="101"/>
    <s v="REVESTIMIENTO DE EDICULOS E-01 “PUERTO DEL CALLAO”, E-02 “BUENOS AIRES” Y E-03 “JUAN PABLO II”"/>
    <s v="ASENT. H. PRIMERO DE OCTUBRE MZ. M LT. 07"/>
    <x v="8"/>
    <x v="0"/>
    <x v="0"/>
    <x v="1"/>
    <x v="201"/>
    <x v="0"/>
    <n v="4"/>
    <n v="24"/>
    <x v="0"/>
    <x v="1"/>
    <n v="0.1"/>
    <x v="8"/>
    <x v="1"/>
    <s v="OK"/>
    <x v="0"/>
    <s v="OK"/>
    <x v="0"/>
    <x v="0"/>
    <n v="1"/>
    <n v="0"/>
    <n v="0"/>
    <n v="0"/>
    <x v="0"/>
    <x v="0"/>
    <x v="0"/>
  </r>
  <r>
    <n v="20550163480"/>
    <x v="13"/>
    <x v="13"/>
    <x v="482"/>
    <x v="484"/>
    <x v="458"/>
    <n v="2"/>
    <x v="19"/>
    <s v="Estacion 05"/>
    <s v="Calle Collazos Lote 4 De Junio"/>
    <x v="125"/>
    <x v="0"/>
    <x v="0"/>
    <x v="2"/>
    <x v="250"/>
    <x v="0"/>
    <n v="4"/>
    <n v="192"/>
    <x v="0"/>
    <x v="1"/>
    <n v="5.8823529411764705E-2"/>
    <x v="9"/>
    <x v="1"/>
    <s v="OK"/>
    <x v="0"/>
    <s v="OK"/>
    <x v="0"/>
    <x v="0"/>
    <n v="1"/>
    <n v="0"/>
    <n v="0"/>
    <n v="0"/>
    <x v="0"/>
    <x v="0"/>
    <x v="0"/>
  </r>
  <r>
    <n v="20550163480"/>
    <x v="13"/>
    <x v="13"/>
    <x v="483"/>
    <x v="485"/>
    <x v="459"/>
    <n v="2"/>
    <x v="19"/>
    <s v="Estacion 03, pozo 03, pozo 4"/>
    <s v="Irregaccion Cabeza de Toro Lateral 3 LT.40"/>
    <x v="44"/>
    <x v="0"/>
    <x v="0"/>
    <x v="2"/>
    <x v="251"/>
    <x v="0"/>
    <n v="4"/>
    <n v="192"/>
    <x v="0"/>
    <x v="1"/>
    <n v="5.8823529411764705E-2"/>
    <x v="7"/>
    <x v="1"/>
    <s v="OK"/>
    <x v="0"/>
    <s v="OK"/>
    <x v="0"/>
    <x v="0"/>
    <n v="1"/>
    <n v="0"/>
    <n v="0"/>
    <n v="0"/>
    <x v="0"/>
    <x v="0"/>
    <x v="0"/>
  </r>
  <r>
    <n v="20550163480"/>
    <x v="13"/>
    <x v="13"/>
    <x v="484"/>
    <x v="486"/>
    <x v="460"/>
    <n v="2"/>
    <x v="19"/>
    <s v="Pozo 08, Estacio 01, Pozo 01"/>
    <s v="Ate Asoc. De Viv Segundo Mercado Lopez MZ. ALT.2"/>
    <x v="1"/>
    <x v="0"/>
    <x v="0"/>
    <x v="2"/>
    <x v="252"/>
    <x v="0"/>
    <n v="4"/>
    <n v="192"/>
    <x v="0"/>
    <x v="1"/>
    <n v="5.8823529411764705E-2"/>
    <x v="9"/>
    <x v="1"/>
    <s v="OK"/>
    <x v="1"/>
    <s v="OK"/>
    <x v="0"/>
    <x v="0"/>
    <n v="1"/>
    <n v="1"/>
    <n v="0"/>
    <n v="0"/>
    <x v="0"/>
    <x v="0"/>
    <x v="0"/>
  </r>
  <r>
    <n v="20550163480"/>
    <x v="13"/>
    <x v="13"/>
    <x v="485"/>
    <x v="487"/>
    <x v="461"/>
    <n v="2"/>
    <x v="102"/>
    <s v="Estacion 13"/>
    <s v="Asoc. El Sauce II MZ. GLT. 11"/>
    <x v="126"/>
    <x v="0"/>
    <x v="0"/>
    <x v="2"/>
    <x v="34"/>
    <x v="0"/>
    <n v="4"/>
    <n v="192"/>
    <x v="0"/>
    <x v="1"/>
    <n v="5.8823529411764705E-2"/>
    <x v="8"/>
    <x v="1"/>
    <s v="OK"/>
    <x v="0"/>
    <s v="OK"/>
    <x v="0"/>
    <x v="0"/>
    <n v="1"/>
    <n v="0"/>
    <n v="0"/>
    <n v="0"/>
    <x v="0"/>
    <x v="0"/>
    <x v="0"/>
  </r>
  <r>
    <n v="20550163480"/>
    <x v="13"/>
    <x v="13"/>
    <x v="486"/>
    <x v="488"/>
    <x v="462"/>
    <n v="2"/>
    <x v="19"/>
    <s v="Estacion 05"/>
    <s v="Calle Mariano Agulo 1733"/>
    <x v="10"/>
    <x v="0"/>
    <x v="0"/>
    <x v="2"/>
    <x v="253"/>
    <x v="0"/>
    <n v="4"/>
    <n v="192"/>
    <x v="0"/>
    <x v="1"/>
    <n v="5.8823529411764705E-2"/>
    <x v="11"/>
    <x v="1"/>
    <s v="OK"/>
    <x v="0"/>
    <s v="OK"/>
    <x v="0"/>
    <x v="0"/>
    <n v="1"/>
    <n v="0"/>
    <n v="0"/>
    <n v="0"/>
    <x v="0"/>
    <x v="0"/>
    <x v="0"/>
  </r>
  <r>
    <n v="20550163480"/>
    <x v="13"/>
    <x v="13"/>
    <x v="487"/>
    <x v="489"/>
    <x v="463"/>
    <n v="2"/>
    <x v="19"/>
    <s v="Estacion 06"/>
    <s v="CL. Victor Raul Hay de la Torre S/N"/>
    <x v="44"/>
    <x v="0"/>
    <x v="0"/>
    <x v="2"/>
    <x v="254"/>
    <x v="0"/>
    <n v="4"/>
    <n v="192"/>
    <x v="0"/>
    <x v="1"/>
    <n v="5.8823529411764705E-2"/>
    <x v="9"/>
    <x v="1"/>
    <s v="OK"/>
    <x v="0"/>
    <s v="OK"/>
    <x v="0"/>
    <x v="0"/>
    <n v="1"/>
    <n v="0"/>
    <n v="0"/>
    <n v="0"/>
    <x v="0"/>
    <x v="0"/>
    <x v="0"/>
  </r>
  <r>
    <n v="20550163480"/>
    <x v="13"/>
    <x v="13"/>
    <x v="488"/>
    <x v="490"/>
    <x v="464"/>
    <n v="2"/>
    <x v="19"/>
    <s v="Estacion 13"/>
    <s v="Calle Capitan quiñones 306"/>
    <x v="58"/>
    <x v="0"/>
    <x v="0"/>
    <x v="2"/>
    <x v="255"/>
    <x v="0"/>
    <n v="4"/>
    <n v="192"/>
    <x v="0"/>
    <x v="1"/>
    <n v="5.8823529411764705E-2"/>
    <x v="12"/>
    <x v="1"/>
    <s v="OK"/>
    <x v="0"/>
    <s v="OK"/>
    <x v="0"/>
    <x v="0"/>
    <n v="1"/>
    <n v="0"/>
    <n v="0"/>
    <n v="0"/>
    <x v="0"/>
    <x v="0"/>
    <x v="0"/>
  </r>
  <r>
    <n v="20550163480"/>
    <x v="13"/>
    <x v="13"/>
    <x v="489"/>
    <x v="491"/>
    <x v="465"/>
    <n v="2"/>
    <x v="19"/>
    <s v="Estacion 13"/>
    <s v="Calle Santa Rosa 1070"/>
    <x v="8"/>
    <x v="0"/>
    <x v="0"/>
    <x v="2"/>
    <x v="256"/>
    <x v="0"/>
    <n v="4"/>
    <n v="192"/>
    <x v="0"/>
    <x v="1"/>
    <n v="5.8823529411764705E-2"/>
    <x v="11"/>
    <x v="1"/>
    <s v="OK"/>
    <x v="0"/>
    <s v="OK"/>
    <x v="0"/>
    <x v="0"/>
    <n v="1"/>
    <n v="0"/>
    <n v="0"/>
    <n v="0"/>
    <x v="0"/>
    <x v="0"/>
    <x v="0"/>
  </r>
  <r>
    <n v="20551135137"/>
    <x v="14"/>
    <x v="14"/>
    <x v="490"/>
    <x v="492"/>
    <x v="466"/>
    <n v="1"/>
    <x v="61"/>
    <s v="E03 - E04"/>
    <s v="FLORES DE VILLA B-23"/>
    <x v="53"/>
    <x v="1"/>
    <x v="0"/>
    <x v="1"/>
    <x v="257"/>
    <x v="0"/>
    <n v="2"/>
    <n v="240"/>
    <x v="0"/>
    <x v="1"/>
    <n v="9.0909090909090912E-2"/>
    <x v="9"/>
    <x v="1"/>
    <s v="OK"/>
    <x v="0"/>
    <s v="OK"/>
    <x v="0"/>
    <x v="0"/>
    <n v="1"/>
    <n v="0"/>
    <n v="0"/>
    <n v="0"/>
    <x v="0"/>
    <x v="0"/>
    <x v="0"/>
  </r>
  <r>
    <n v="20551135137"/>
    <x v="14"/>
    <x v="14"/>
    <x v="491"/>
    <x v="493"/>
    <x v="331"/>
    <n v="2"/>
    <x v="103"/>
    <s v="E03 - E04"/>
    <s v="MZ. C LT. 4 AAHH TUPAC AMARU II"/>
    <x v="49"/>
    <x v="0"/>
    <x v="0"/>
    <x v="1"/>
    <x v="257"/>
    <x v="0"/>
    <n v="4"/>
    <n v="40"/>
    <x v="0"/>
    <x v="1"/>
    <n v="9.0909090909090912E-2"/>
    <x v="11"/>
    <x v="1"/>
    <s v="OK"/>
    <x v="0"/>
    <s v="OK"/>
    <x v="0"/>
    <x v="0"/>
    <n v="1"/>
    <n v="0"/>
    <n v="0"/>
    <n v="0"/>
    <x v="0"/>
    <x v="0"/>
    <x v="0"/>
  </r>
  <r>
    <n v="20551135137"/>
    <x v="14"/>
    <x v="14"/>
    <x v="492"/>
    <x v="494"/>
    <x v="467"/>
    <n v="2"/>
    <x v="103"/>
    <s v="E03 - E04"/>
    <s v="AV. UNIVERSITARIA 1354"/>
    <x v="49"/>
    <x v="0"/>
    <x v="0"/>
    <x v="1"/>
    <x v="257"/>
    <x v="0"/>
    <n v="4"/>
    <n v="24"/>
    <x v="0"/>
    <x v="1"/>
    <n v="9.0909090909090912E-2"/>
    <x v="8"/>
    <x v="1"/>
    <s v="OK"/>
    <x v="0"/>
    <s v="OK"/>
    <x v="0"/>
    <x v="0"/>
    <n v="1"/>
    <n v="0"/>
    <n v="0"/>
    <n v="0"/>
    <x v="0"/>
    <x v="0"/>
    <x v="0"/>
  </r>
  <r>
    <n v="20551135137"/>
    <x v="14"/>
    <x v="14"/>
    <x v="493"/>
    <x v="495"/>
    <x v="468"/>
    <n v="1"/>
    <x v="104"/>
    <s v="E03 - E04"/>
    <s v="AV. FRANCISCO DE ZELA 345 Tablada de Lurin"/>
    <x v="8"/>
    <x v="0"/>
    <x v="0"/>
    <x v="1"/>
    <x v="76"/>
    <x v="0"/>
    <n v="2"/>
    <n v="240"/>
    <x v="0"/>
    <x v="1"/>
    <n v="9.0909090909090912E-2"/>
    <x v="10"/>
    <x v="1"/>
    <s v="OK"/>
    <x v="0"/>
    <s v="OK"/>
    <x v="0"/>
    <x v="0"/>
    <n v="1"/>
    <n v="0"/>
    <n v="0"/>
    <n v="0"/>
    <x v="0"/>
    <x v="0"/>
    <x v="0"/>
  </r>
  <r>
    <s v="20551610030"/>
    <x v="15"/>
    <x v="15"/>
    <x v="494"/>
    <x v="496"/>
    <x v="469"/>
    <n v="1"/>
    <x v="21"/>
    <s v="ESTACION 14 Y 15 "/>
    <s v="JR HUARI 636 INT 09 BARRIOS ALTOS"/>
    <x v="10"/>
    <x v="1"/>
    <x v="0"/>
    <x v="2"/>
    <x v="258"/>
    <x v="0"/>
    <n v="1"/>
    <n v="200.5"/>
    <x v="0"/>
    <x v="1"/>
    <n v="1.2345679012345678E-2"/>
    <x v="13"/>
    <x v="1"/>
    <s v="OK"/>
    <x v="0"/>
    <s v="OK"/>
    <x v="0"/>
    <x v="0"/>
    <n v="1"/>
    <n v="0"/>
    <n v="0"/>
    <n v="0"/>
    <x v="0"/>
    <x v="0"/>
    <x v="0"/>
  </r>
  <r>
    <s v="20551610030"/>
    <x v="15"/>
    <x v="15"/>
    <x v="495"/>
    <x v="497"/>
    <x v="470"/>
    <n v="1"/>
    <x v="105"/>
    <s v="ESTACION 14 Y 15 "/>
    <s v="CALLE INDEPENDENCIA 311 SAN GABRIEL"/>
    <x v="8"/>
    <x v="0"/>
    <x v="0"/>
    <x v="2"/>
    <x v="258"/>
    <x v="0"/>
    <n v="1"/>
    <n v="200.5"/>
    <x v="0"/>
    <x v="1"/>
    <n v="1.2345679012345678E-2"/>
    <x v="8"/>
    <x v="1"/>
    <s v="OK"/>
    <x v="0"/>
    <s v="OK"/>
    <x v="0"/>
    <x v="0"/>
    <n v="1"/>
    <n v="0"/>
    <n v="0"/>
    <n v="0"/>
    <x v="0"/>
    <x v="0"/>
    <x v="0"/>
  </r>
  <r>
    <s v="20551610030"/>
    <x v="15"/>
    <x v="15"/>
    <x v="496"/>
    <x v="498"/>
    <x v="464"/>
    <n v="1"/>
    <x v="106"/>
    <s v="POZO 18 Y 17,16"/>
    <s v="AV. ANGELICA DONAYRE MZ. E2 L-18 ICA- LA TINGUIÑA"/>
    <x v="127"/>
    <x v="0"/>
    <x v="0"/>
    <x v="2"/>
    <x v="259"/>
    <x v="0"/>
    <n v="1"/>
    <n v="200.5"/>
    <x v="0"/>
    <x v="1"/>
    <n v="1.2345679012345678E-2"/>
    <x v="12"/>
    <x v="1"/>
    <s v="OK"/>
    <x v="0"/>
    <s v="OK"/>
    <x v="0"/>
    <x v="0"/>
    <n v="1"/>
    <n v="0"/>
    <n v="0"/>
    <n v="0"/>
    <x v="0"/>
    <x v="0"/>
    <x v="0"/>
  </r>
  <r>
    <s v="20551610030"/>
    <x v="15"/>
    <x v="15"/>
    <x v="497"/>
    <x v="499"/>
    <x v="471"/>
    <n v="1"/>
    <x v="60"/>
    <s v="POZO 18 Y 17,16"/>
    <s v="JR. APURIMAC 355 P.J CARMEN ALTO"/>
    <x v="0"/>
    <x v="0"/>
    <x v="0"/>
    <x v="2"/>
    <x v="41"/>
    <x v="0"/>
    <n v="1"/>
    <n v="200.5"/>
    <x v="0"/>
    <x v="1"/>
    <n v="1.2345679012345678E-2"/>
    <x v="12"/>
    <x v="1"/>
    <s v="OK"/>
    <x v="0"/>
    <s v="OK"/>
    <x v="0"/>
    <x v="0"/>
    <n v="1"/>
    <n v="0"/>
    <n v="0"/>
    <n v="0"/>
    <x v="0"/>
    <x v="0"/>
    <x v="0"/>
  </r>
  <r>
    <s v="20551610030"/>
    <x v="15"/>
    <x v="15"/>
    <x v="498"/>
    <x v="500"/>
    <x v="472"/>
    <n v="1"/>
    <x v="43"/>
    <s v="ESTACION 14 Y 15 "/>
    <s v="ASOC. PROP. MANIALES MZ C LT 30"/>
    <x v="3"/>
    <x v="0"/>
    <x v="0"/>
    <x v="2"/>
    <x v="260"/>
    <x v="0"/>
    <n v="1"/>
    <n v="200.5"/>
    <x v="0"/>
    <x v="1"/>
    <n v="1.2345679012345678E-2"/>
    <x v="12"/>
    <x v="1"/>
    <s v="OK"/>
    <x v="0"/>
    <s v="OK"/>
    <x v="0"/>
    <x v="0"/>
    <n v="1"/>
    <n v="0"/>
    <n v="0"/>
    <n v="0"/>
    <x v="0"/>
    <x v="0"/>
    <x v="0"/>
  </r>
  <r>
    <s v="20551610030"/>
    <x v="15"/>
    <x v="15"/>
    <x v="499"/>
    <x v="501"/>
    <x v="473"/>
    <n v="1"/>
    <x v="43"/>
    <s v="ESTACION 14 Y 15"/>
    <s v="URB.LUIS BEDOVA MZ. E. LT. 15"/>
    <x v="4"/>
    <x v="1"/>
    <x v="0"/>
    <x v="2"/>
    <x v="184"/>
    <x v="0"/>
    <n v="1"/>
    <n v="200.5"/>
    <x v="0"/>
    <x v="1"/>
    <n v="1.2345679012345678E-2"/>
    <x v="8"/>
    <x v="1"/>
    <s v="OK"/>
    <x v="0"/>
    <s v="OK"/>
    <x v="0"/>
    <x v="0"/>
    <n v="1"/>
    <n v="0"/>
    <n v="0"/>
    <n v="0"/>
    <x v="0"/>
    <x v="0"/>
    <x v="0"/>
  </r>
  <r>
    <s v="20551610030"/>
    <x v="15"/>
    <x v="15"/>
    <x v="500"/>
    <x v="502"/>
    <x v="272"/>
    <n v="1"/>
    <x v="107"/>
    <s v="ESTACION 17"/>
    <s v="CALLE BOLOGNESI MZ W LT 16"/>
    <x v="128"/>
    <x v="0"/>
    <x v="0"/>
    <x v="2"/>
    <x v="15"/>
    <x v="0"/>
    <n v="1"/>
    <n v="200.5"/>
    <x v="0"/>
    <x v="1"/>
    <n v="1.2345679012345678E-2"/>
    <x v="12"/>
    <x v="1"/>
    <s v="OK"/>
    <x v="0"/>
    <s v="OK"/>
    <x v="0"/>
    <x v="0"/>
    <n v="1"/>
    <n v="0"/>
    <n v="0"/>
    <n v="0"/>
    <x v="0"/>
    <x v="0"/>
    <x v="0"/>
  </r>
  <r>
    <s v="20551610030"/>
    <x v="15"/>
    <x v="15"/>
    <x v="501"/>
    <x v="503"/>
    <x v="474"/>
    <n v="1"/>
    <x v="60"/>
    <s v="ESTACION 17"/>
    <s v="ASENT H SOCIEDAD UNION DE COLONIZADORES PARCELA C 1 MZ H LT 04"/>
    <x v="19"/>
    <x v="0"/>
    <x v="0"/>
    <x v="2"/>
    <x v="145"/>
    <x v="0"/>
    <n v="1"/>
    <n v="200.5"/>
    <x v="0"/>
    <x v="1"/>
    <n v="1.2345679012345678E-2"/>
    <x v="11"/>
    <x v="1"/>
    <s v="OK"/>
    <x v="0"/>
    <s v="OK"/>
    <x v="0"/>
    <x v="0"/>
    <n v="1"/>
    <n v="0"/>
    <n v="0"/>
    <n v="0"/>
    <x v="0"/>
    <x v="0"/>
    <x v="0"/>
  </r>
  <r>
    <s v="20551610030"/>
    <x v="15"/>
    <x v="15"/>
    <x v="502"/>
    <x v="504"/>
    <x v="475"/>
    <n v="2"/>
    <x v="108"/>
    <s v="ESTACION 14"/>
    <s v="ASENT H. LAS AMERICAS MZ F LT. 2"/>
    <x v="15"/>
    <x v="0"/>
    <x v="0"/>
    <x v="2"/>
    <x v="261"/>
    <x v="0"/>
    <n v="1"/>
    <n v="200.5"/>
    <x v="0"/>
    <x v="1"/>
    <n v="1.2345679012345678E-2"/>
    <x v="11"/>
    <x v="1"/>
    <s v="OK"/>
    <x v="0"/>
    <s v="OK"/>
    <x v="0"/>
    <x v="0"/>
    <n v="1"/>
    <n v="0"/>
    <n v="0"/>
    <n v="0"/>
    <x v="0"/>
    <x v="0"/>
    <x v="0"/>
  </r>
  <r>
    <s v="20551610030"/>
    <x v="15"/>
    <x v="15"/>
    <x v="503"/>
    <x v="505"/>
    <x v="476"/>
    <n v="2"/>
    <x v="108"/>
    <s v="ESTACION 14"/>
    <s v="MZ. U LT 12. ASOC V. RAUL HALLA DE LA TORRE"/>
    <x v="44"/>
    <x v="0"/>
    <x v="0"/>
    <x v="2"/>
    <x v="261"/>
    <x v="0"/>
    <n v="1"/>
    <n v="192"/>
    <x v="0"/>
    <x v="1"/>
    <n v="1.2345679012345678E-2"/>
    <x v="9"/>
    <x v="1"/>
    <s v="OK"/>
    <x v="0"/>
    <s v="OK"/>
    <x v="0"/>
    <x v="0"/>
    <n v="1"/>
    <n v="0"/>
    <n v="0"/>
    <n v="0"/>
    <x v="0"/>
    <x v="0"/>
    <x v="0"/>
  </r>
  <r>
    <s v="20551610030"/>
    <x v="15"/>
    <x v="15"/>
    <x v="504"/>
    <x v="506"/>
    <x v="477"/>
    <n v="2"/>
    <x v="108"/>
    <s v="ESTACION 14"/>
    <s v="RESIDENCIAL CALIFORNIA OQUENDO MZ E LT. 29"/>
    <x v="6"/>
    <x v="0"/>
    <x v="0"/>
    <x v="2"/>
    <x v="258"/>
    <x v="0"/>
    <n v="1"/>
    <n v="195"/>
    <x v="0"/>
    <x v="1"/>
    <n v="1.2345679012345678E-2"/>
    <x v="8"/>
    <x v="1"/>
    <s v="OK"/>
    <x v="2"/>
    <s v="OK"/>
    <x v="0"/>
    <x v="0"/>
    <n v="1"/>
    <n v="1"/>
    <n v="0"/>
    <n v="0"/>
    <x v="0"/>
    <x v="0"/>
    <x v="0"/>
  </r>
  <r>
    <s v="20551610030"/>
    <x v="15"/>
    <x v="15"/>
    <x v="505"/>
    <x v="507"/>
    <x v="478"/>
    <n v="2"/>
    <x v="108"/>
    <s v="ESTACION 15"/>
    <s v="JR. LOS TERRAZOS º737 ASOC MANCO CAPAC"/>
    <x v="15"/>
    <x v="0"/>
    <x v="0"/>
    <x v="2"/>
    <x v="45"/>
    <x v="0"/>
    <n v="1"/>
    <n v="200.5"/>
    <x v="0"/>
    <x v="1"/>
    <n v="1.2345679012345678E-2"/>
    <x v="11"/>
    <x v="1"/>
    <s v="OK"/>
    <x v="0"/>
    <s v="OK"/>
    <x v="0"/>
    <x v="0"/>
    <n v="1"/>
    <n v="0"/>
    <n v="0"/>
    <n v="0"/>
    <x v="0"/>
    <x v="0"/>
    <x v="0"/>
  </r>
  <r>
    <s v="20551610030"/>
    <x v="15"/>
    <x v="15"/>
    <x v="506"/>
    <x v="508"/>
    <x v="479"/>
    <n v="2"/>
    <x v="108"/>
    <s v="ESTACION 15"/>
    <s v="SECTOR 3 GRUPO 12 MZ B LT 12"/>
    <x v="19"/>
    <x v="0"/>
    <x v="0"/>
    <x v="2"/>
    <x v="45"/>
    <x v="0"/>
    <n v="1"/>
    <n v="183.5"/>
    <x v="0"/>
    <x v="1"/>
    <n v="1.2345679012345678E-2"/>
    <x v="7"/>
    <x v="1"/>
    <s v="OK"/>
    <x v="0"/>
    <s v="OK"/>
    <x v="0"/>
    <x v="0"/>
    <n v="1"/>
    <n v="0"/>
    <n v="0"/>
    <n v="0"/>
    <x v="0"/>
    <x v="0"/>
    <x v="0"/>
  </r>
  <r>
    <s v="20551610030"/>
    <x v="15"/>
    <x v="15"/>
    <x v="507"/>
    <x v="509"/>
    <x v="480"/>
    <n v="2"/>
    <x v="22"/>
    <s v="ESTACION 14"/>
    <s v="AV. ANDRES AVELINO CACERES MZ 225 LT 7 JOSE CARLOS MARIATEGUI"/>
    <x v="8"/>
    <x v="0"/>
    <x v="0"/>
    <x v="2"/>
    <x v="262"/>
    <x v="0"/>
    <n v="1"/>
    <n v="200.5"/>
    <x v="0"/>
    <x v="1"/>
    <n v="1.2345679012345678E-2"/>
    <x v="11"/>
    <x v="1"/>
    <s v="OK"/>
    <x v="0"/>
    <s v="OK"/>
    <x v="0"/>
    <x v="0"/>
    <n v="1"/>
    <n v="0"/>
    <n v="0"/>
    <n v="0"/>
    <x v="0"/>
    <x v="0"/>
    <x v="0"/>
  </r>
  <r>
    <s v="20551610030"/>
    <x v="15"/>
    <x v="15"/>
    <x v="508"/>
    <x v="510"/>
    <x v="481"/>
    <n v="2"/>
    <x v="22"/>
    <s v="ESTACION 14 Y 15"/>
    <s v="PRO. ABRAHAM VALDELOMAR 112 BR. MANZANILLA"/>
    <x v="92"/>
    <x v="0"/>
    <x v="0"/>
    <x v="2"/>
    <x v="46"/>
    <x v="0"/>
    <n v="1"/>
    <n v="183.5"/>
    <x v="0"/>
    <x v="1"/>
    <n v="1.2345679012345678E-2"/>
    <x v="6"/>
    <x v="1"/>
    <s v="OK"/>
    <x v="0"/>
    <s v="OK"/>
    <x v="0"/>
    <x v="0"/>
    <n v="1"/>
    <n v="0"/>
    <n v="0"/>
    <n v="0"/>
    <x v="0"/>
    <x v="0"/>
    <x v="0"/>
  </r>
  <r>
    <s v="20551610030"/>
    <x v="15"/>
    <x v="15"/>
    <x v="509"/>
    <x v="511"/>
    <x v="482"/>
    <n v="2"/>
    <x v="22"/>
    <s v="ESTACION 14 Y 15"/>
    <s v="CALLE SIMON BOLIVAR 270 URB HUAQUILLAY"/>
    <x v="0"/>
    <x v="0"/>
    <x v="0"/>
    <x v="2"/>
    <x v="46"/>
    <x v="0"/>
    <n v="1"/>
    <n v="192"/>
    <x v="0"/>
    <x v="1"/>
    <n v="1.2345679012345678E-2"/>
    <x v="11"/>
    <x v="1"/>
    <s v="OK"/>
    <x v="0"/>
    <s v="OK"/>
    <x v="0"/>
    <x v="0"/>
    <n v="1"/>
    <n v="0"/>
    <n v="0"/>
    <n v="0"/>
    <x v="0"/>
    <x v="0"/>
    <x v="0"/>
  </r>
  <r>
    <s v="20551610030"/>
    <x v="15"/>
    <x v="15"/>
    <x v="510"/>
    <x v="512"/>
    <x v="483"/>
    <n v="2"/>
    <x v="22"/>
    <s v="ESTACION 14 Y 15"/>
    <s v="CALLE 36 ASENT H LAURA CALLER MZ 09 LT 20"/>
    <x v="49"/>
    <x v="0"/>
    <x v="0"/>
    <x v="2"/>
    <x v="46"/>
    <x v="0"/>
    <n v="1"/>
    <n v="200.5"/>
    <x v="0"/>
    <x v="1"/>
    <n v="1.2345679012345678E-2"/>
    <x v="13"/>
    <x v="1"/>
    <s v="OK"/>
    <x v="0"/>
    <s v="OK"/>
    <x v="0"/>
    <x v="0"/>
    <n v="1"/>
    <n v="0"/>
    <n v="0"/>
    <n v="0"/>
    <x v="0"/>
    <x v="0"/>
    <x v="0"/>
  </r>
  <r>
    <s v="20551610030"/>
    <x v="15"/>
    <x v="15"/>
    <x v="511"/>
    <x v="513"/>
    <x v="484"/>
    <n v="2"/>
    <x v="22"/>
    <s v="ESTACION 14 Y 15"/>
    <s v="MZ L LT 5 ASOC DE VIV LAS VIÑAS DE SAN JUAN"/>
    <x v="1"/>
    <x v="0"/>
    <x v="0"/>
    <x v="2"/>
    <x v="46"/>
    <x v="0"/>
    <n v="1"/>
    <n v="200.5"/>
    <x v="0"/>
    <x v="1"/>
    <n v="1.2345679012345678E-2"/>
    <x v="12"/>
    <x v="1"/>
    <s v="OK"/>
    <x v="1"/>
    <s v="OK"/>
    <x v="0"/>
    <x v="0"/>
    <n v="1"/>
    <n v="1"/>
    <n v="0"/>
    <n v="0"/>
    <x v="0"/>
    <x v="0"/>
    <x v="0"/>
  </r>
  <r>
    <s v="20551610030"/>
    <x v="15"/>
    <x v="15"/>
    <x v="512"/>
    <x v="514"/>
    <x v="485"/>
    <n v="2"/>
    <x v="22"/>
    <s v="ESTACION 14 Y 15"/>
    <s v="MZ L LT 12 ASOC DE VIV LAS VIÑAS DE SAN JUAN"/>
    <x v="1"/>
    <x v="0"/>
    <x v="0"/>
    <x v="2"/>
    <x v="46"/>
    <x v="0"/>
    <n v="1"/>
    <n v="200.5"/>
    <x v="0"/>
    <x v="1"/>
    <n v="1.2345679012345678E-2"/>
    <x v="8"/>
    <x v="1"/>
    <s v="OK"/>
    <x v="1"/>
    <s v="OK"/>
    <x v="0"/>
    <x v="0"/>
    <n v="1"/>
    <n v="1"/>
    <n v="0"/>
    <n v="0"/>
    <x v="0"/>
    <x v="0"/>
    <x v="0"/>
  </r>
  <r>
    <s v="20551610030"/>
    <x v="15"/>
    <x v="15"/>
    <x v="513"/>
    <x v="515"/>
    <x v="486"/>
    <n v="2"/>
    <x v="22"/>
    <s v="ESTACION 17"/>
    <s v="PJ SAN NICOLAS 110 URB CAJA DE AGUA"/>
    <x v="15"/>
    <x v="0"/>
    <x v="0"/>
    <x v="2"/>
    <x v="17"/>
    <x v="0"/>
    <n v="1"/>
    <n v="192"/>
    <x v="0"/>
    <x v="1"/>
    <n v="1.2345679012345678E-2"/>
    <x v="8"/>
    <x v="1"/>
    <s v="OK"/>
    <x v="0"/>
    <s v="OK"/>
    <x v="0"/>
    <x v="0"/>
    <n v="1"/>
    <n v="0"/>
    <n v="0"/>
    <n v="0"/>
    <x v="0"/>
    <x v="0"/>
    <x v="0"/>
  </r>
  <r>
    <s v="20551610030"/>
    <x v="15"/>
    <x v="15"/>
    <x v="514"/>
    <x v="516"/>
    <x v="487"/>
    <n v="2"/>
    <x v="22"/>
    <s v="ESTACION 14"/>
    <s v="ASENT. H. LADERAS DE CHILLON MZ U. LT. 40"/>
    <x v="4"/>
    <x v="0"/>
    <x v="0"/>
    <x v="2"/>
    <x v="126"/>
    <x v="0"/>
    <n v="1"/>
    <n v="192"/>
    <x v="0"/>
    <x v="1"/>
    <n v="1.2345679012345678E-2"/>
    <x v="7"/>
    <x v="1"/>
    <s v="OK"/>
    <x v="0"/>
    <s v="OK"/>
    <x v="0"/>
    <x v="0"/>
    <n v="1"/>
    <n v="0"/>
    <n v="0"/>
    <n v="0"/>
    <x v="0"/>
    <x v="0"/>
    <x v="0"/>
  </r>
  <r>
    <s v="20551610030"/>
    <x v="15"/>
    <x v="15"/>
    <x v="515"/>
    <x v="517"/>
    <x v="302"/>
    <n v="2"/>
    <x v="22"/>
    <s v="ESTACION 17 Y 18"/>
    <s v="CALLE FELIPE II MZ D LT 2 ASOC. VIV. AYACUCHO"/>
    <x v="15"/>
    <x v="0"/>
    <x v="0"/>
    <x v="2"/>
    <x v="114"/>
    <x v="0"/>
    <n v="1"/>
    <n v="200.5"/>
    <x v="0"/>
    <x v="1"/>
    <n v="1.2345679012345678E-2"/>
    <x v="12"/>
    <x v="1"/>
    <s v="OK"/>
    <x v="0"/>
    <s v="OK"/>
    <x v="0"/>
    <x v="0"/>
    <n v="1"/>
    <n v="0"/>
    <n v="0"/>
    <n v="0"/>
    <x v="0"/>
    <x v="0"/>
    <x v="0"/>
  </r>
  <r>
    <s v="20551610030"/>
    <x v="15"/>
    <x v="15"/>
    <x v="516"/>
    <x v="518"/>
    <x v="488"/>
    <n v="2"/>
    <x v="2"/>
    <s v="ESTACION 15"/>
    <s v="JR. REVOLUCION 380"/>
    <x v="129"/>
    <x v="0"/>
    <x v="0"/>
    <x v="2"/>
    <x v="8"/>
    <x v="0"/>
    <n v="1"/>
    <n v="192"/>
    <x v="0"/>
    <x v="1"/>
    <n v="1.2345679012345678E-2"/>
    <x v="12"/>
    <x v="1"/>
    <s v="OK"/>
    <x v="0"/>
    <s v="OK"/>
    <x v="0"/>
    <x v="0"/>
    <n v="1"/>
    <n v="0"/>
    <n v="0"/>
    <n v="0"/>
    <x v="0"/>
    <x v="0"/>
    <x v="0"/>
  </r>
  <r>
    <s v="20551610030"/>
    <x v="15"/>
    <x v="15"/>
    <x v="517"/>
    <x v="519"/>
    <x v="489"/>
    <n v="2"/>
    <x v="2"/>
    <s v="ESTACION 15"/>
    <s v="CENTRO POBLADO VILLA HUASAPAMPA"/>
    <x v="43"/>
    <x v="0"/>
    <x v="0"/>
    <x v="2"/>
    <x v="201"/>
    <x v="0"/>
    <n v="1"/>
    <n v="200.5"/>
    <x v="0"/>
    <x v="1"/>
    <n v="1.2345679012345678E-2"/>
    <x v="8"/>
    <x v="1"/>
    <s v="OK"/>
    <x v="0"/>
    <s v="OK"/>
    <x v="0"/>
    <x v="0"/>
    <n v="1"/>
    <n v="0"/>
    <n v="0"/>
    <n v="0"/>
    <x v="0"/>
    <x v="0"/>
    <x v="0"/>
  </r>
  <r>
    <s v="20551610030"/>
    <x v="15"/>
    <x v="15"/>
    <x v="518"/>
    <x v="520"/>
    <x v="490"/>
    <n v="2"/>
    <x v="2"/>
    <s v="ESTACION 18"/>
    <s v="PSJ MIGUELGRAU 116-B BLOCK URB JORGE CHAVEZ"/>
    <x v="78"/>
    <x v="0"/>
    <x v="0"/>
    <x v="2"/>
    <x v="247"/>
    <x v="0"/>
    <n v="1"/>
    <n v="200.5"/>
    <x v="0"/>
    <x v="1"/>
    <n v="1.2345679012345678E-2"/>
    <x v="7"/>
    <x v="1"/>
    <s v="OK"/>
    <x v="6"/>
    <s v="OK"/>
    <x v="0"/>
    <x v="0"/>
    <n v="1"/>
    <n v="1"/>
    <n v="0"/>
    <n v="0"/>
    <x v="0"/>
    <x v="0"/>
    <x v="0"/>
  </r>
  <r>
    <s v="20551610030"/>
    <x v="15"/>
    <x v="15"/>
    <x v="519"/>
    <x v="521"/>
    <x v="491"/>
    <n v="2"/>
    <x v="2"/>
    <s v="ESTACION 14"/>
    <s v="MZ A-1 LT 26 GRUPO 31 SECTOR 3"/>
    <x v="19"/>
    <x v="0"/>
    <x v="0"/>
    <x v="2"/>
    <x v="66"/>
    <x v="0"/>
    <n v="1"/>
    <n v="31.5"/>
    <x v="0"/>
    <x v="1"/>
    <n v="1.2345679012345678E-2"/>
    <x v="8"/>
    <x v="1"/>
    <s v="OK"/>
    <x v="0"/>
    <s v="OK"/>
    <x v="0"/>
    <x v="0"/>
    <n v="1"/>
    <n v="0"/>
    <n v="1"/>
    <n v="0"/>
    <x v="0"/>
    <x v="0"/>
    <x v="1"/>
  </r>
  <r>
    <s v="20551610030"/>
    <x v="15"/>
    <x v="15"/>
    <x v="520"/>
    <x v="522"/>
    <x v="492"/>
    <n v="2"/>
    <x v="22"/>
    <s v="ESTACION 14"/>
    <s v="PSJ. SANTA ROSA 106 DPTO 39"/>
    <x v="3"/>
    <x v="0"/>
    <x v="0"/>
    <x v="2"/>
    <x v="263"/>
    <x v="0"/>
    <n v="1"/>
    <n v="23"/>
    <x v="0"/>
    <x v="1"/>
    <n v="1.2345679012345678E-2"/>
    <x v="9"/>
    <x v="1"/>
    <s v="OK"/>
    <x v="0"/>
    <s v="OK"/>
    <x v="0"/>
    <x v="0"/>
    <n v="1"/>
    <n v="0"/>
    <n v="1"/>
    <n v="0"/>
    <x v="0"/>
    <x v="0"/>
    <x v="1"/>
  </r>
  <r>
    <n v="20610192034"/>
    <x v="16"/>
    <x v="16"/>
    <x v="521"/>
    <x v="523"/>
    <x v="493"/>
    <n v="1"/>
    <x v="96"/>
    <s v="ESTACION 10- ESTACION 11-PZ 16-PZ-17-PZ18-E17"/>
    <s v="MZ. 4 LT. 25 P.J. ARRIBA PERU"/>
    <x v="15"/>
    <x v="0"/>
    <x v="0"/>
    <x v="2"/>
    <x v="47"/>
    <x v="0"/>
    <n v="1"/>
    <n v="208"/>
    <x v="0"/>
    <x v="1"/>
    <n v="2.6315789473684209E-2"/>
    <x v="11"/>
    <x v="1"/>
    <s v="OK"/>
    <x v="0"/>
    <s v="OK"/>
    <x v="0"/>
    <x v="0"/>
    <n v="1"/>
    <n v="0"/>
    <n v="0"/>
    <n v="0"/>
    <x v="0"/>
    <x v="0"/>
    <x v="0"/>
  </r>
  <r>
    <n v="20610192034"/>
    <x v="16"/>
    <x v="16"/>
    <x v="522"/>
    <x v="524"/>
    <x v="494"/>
    <n v="2"/>
    <x v="8"/>
    <s v="ESTACION 10- ESTACION 11-PZ 16-PZ-17-PZ18-E17"/>
    <s v="MZ. T6C LT. 6 AV. JOSE CARLOS MARIATEGUI"/>
    <x v="15"/>
    <x v="0"/>
    <x v="5"/>
    <x v="2"/>
    <x v="41"/>
    <x v="2"/>
    <n v="4"/>
    <n v="208"/>
    <x v="0"/>
    <x v="1"/>
    <n v="2.6315789473684209E-2"/>
    <x v="7"/>
    <x v="1"/>
    <s v="OK"/>
    <x v="0"/>
    <s v="OK"/>
    <x v="0"/>
    <x v="0"/>
    <n v="1"/>
    <n v="0"/>
    <n v="0"/>
    <n v="1"/>
    <x v="0"/>
    <x v="1"/>
    <x v="0"/>
  </r>
  <r>
    <n v="20610192034"/>
    <x v="16"/>
    <x v="16"/>
    <x v="523"/>
    <x v="525"/>
    <x v="356"/>
    <n v="2"/>
    <x v="8"/>
    <s v="ESTACION 10- ESTACION 11-PZ 16-PZ-17-PZ18-E17"/>
    <s v="PSJ. SAN MARTIN MZ O LT 14 SAN ALBINO"/>
    <x v="44"/>
    <x v="0"/>
    <x v="4"/>
    <x v="2"/>
    <x v="41"/>
    <x v="2"/>
    <n v="4"/>
    <n v="84"/>
    <x v="0"/>
    <x v="1"/>
    <n v="2.6315789473684209E-2"/>
    <x v="12"/>
    <x v="1"/>
    <s v="OK"/>
    <x v="0"/>
    <s v="OK"/>
    <x v="0"/>
    <x v="0"/>
    <n v="1"/>
    <n v="0"/>
    <n v="0"/>
    <n v="1"/>
    <x v="0"/>
    <x v="1"/>
    <x v="0"/>
  </r>
  <r>
    <n v="20610192034"/>
    <x v="16"/>
    <x v="16"/>
    <x v="524"/>
    <x v="526"/>
    <x v="495"/>
    <n v="2"/>
    <x v="8"/>
    <s v="ESTACION 10- ESTACION 11-PZ 16-PZ-17-PZ18-E17"/>
    <s v="MONTAÑA DE ORACION"/>
    <x v="1"/>
    <x v="0"/>
    <x v="4"/>
    <x v="2"/>
    <x v="41"/>
    <x v="2"/>
    <n v="4"/>
    <n v="84"/>
    <x v="0"/>
    <x v="1"/>
    <n v="2.6315789473684209E-2"/>
    <x v="8"/>
    <x v="1"/>
    <s v="OK"/>
    <x v="1"/>
    <s v="OK"/>
    <x v="0"/>
    <x v="0"/>
    <n v="1"/>
    <n v="1"/>
    <n v="0"/>
    <n v="1"/>
    <x v="0"/>
    <x v="1"/>
    <x v="0"/>
  </r>
  <r>
    <n v="20610192034"/>
    <x v="16"/>
    <x v="16"/>
    <x v="525"/>
    <x v="527"/>
    <x v="496"/>
    <n v="2"/>
    <x v="109"/>
    <s v="ESTACION 10- ESTACION 11-PZ 16-PZ-17-PZ18-E17"/>
    <s v="ASENT. H. SAUL CANTORAL HUAMANI MZ. G LT. 1"/>
    <x v="15"/>
    <x v="0"/>
    <x v="0"/>
    <x v="2"/>
    <x v="41"/>
    <x v="0"/>
    <n v="4"/>
    <n v="208"/>
    <x v="0"/>
    <x v="1"/>
    <n v="2.6315789473684209E-2"/>
    <x v="10"/>
    <x v="1"/>
    <s v="OK"/>
    <x v="0"/>
    <s v="OK"/>
    <x v="0"/>
    <x v="0"/>
    <n v="1"/>
    <n v="0"/>
    <n v="0"/>
    <n v="0"/>
    <x v="0"/>
    <x v="0"/>
    <x v="0"/>
  </r>
  <r>
    <n v="20610192034"/>
    <x v="16"/>
    <x v="16"/>
    <x v="526"/>
    <x v="528"/>
    <x v="497"/>
    <n v="2"/>
    <x v="67"/>
    <s v="ESTACION 10- ESTACION 11-PZ 16-PZ-17-PZ18-E17"/>
    <s v="V. DEL CARMEN MZ. A LT.8"/>
    <x v="46"/>
    <x v="0"/>
    <x v="4"/>
    <x v="2"/>
    <x v="41"/>
    <x v="2"/>
    <n v="4"/>
    <n v="84"/>
    <x v="0"/>
    <x v="1"/>
    <n v="2.6315789473684209E-2"/>
    <x v="9"/>
    <x v="1"/>
    <s v="OK"/>
    <x v="7"/>
    <s v="OK"/>
    <x v="0"/>
    <x v="0"/>
    <n v="1"/>
    <n v="1"/>
    <n v="0"/>
    <n v="1"/>
    <x v="0"/>
    <x v="1"/>
    <x v="0"/>
  </r>
  <r>
    <n v="20610192034"/>
    <x v="16"/>
    <x v="16"/>
    <x v="527"/>
    <x v="529"/>
    <x v="491"/>
    <n v="2"/>
    <x v="8"/>
    <s v="ESTACION 10- ESTACION 11-PZ 16-PZ-17-PZ18-E17"/>
    <s v="PSJ. VIRGEN MARIA MZ D LT. 01 SECTOR VIRGEN DE GUADALUPE"/>
    <x v="8"/>
    <x v="0"/>
    <x v="0"/>
    <x v="2"/>
    <x v="264"/>
    <x v="0"/>
    <n v="4"/>
    <n v="104"/>
    <x v="0"/>
    <x v="1"/>
    <n v="2.6315789473684209E-2"/>
    <x v="8"/>
    <x v="1"/>
    <s v="OK"/>
    <x v="0"/>
    <s v="OK"/>
    <x v="0"/>
    <x v="0"/>
    <n v="1"/>
    <n v="0"/>
    <n v="0"/>
    <n v="0"/>
    <x v="0"/>
    <x v="0"/>
    <x v="0"/>
  </r>
  <r>
    <n v="20610192034"/>
    <x v="16"/>
    <x v="16"/>
    <x v="528"/>
    <x v="530"/>
    <x v="498"/>
    <n v="2"/>
    <x v="11"/>
    <s v="ESTACION 10- ESTACION 11-PZ 16-PZ-17-PZ18-E17"/>
    <s v="AA.HH VALLE DE JESUS MZC LT 13"/>
    <x v="19"/>
    <x v="0"/>
    <x v="0"/>
    <x v="2"/>
    <x v="265"/>
    <x v="0"/>
    <n v="4"/>
    <n v="208"/>
    <x v="0"/>
    <x v="1"/>
    <n v="2.6315789473684209E-2"/>
    <x v="12"/>
    <x v="1"/>
    <s v="OK"/>
    <x v="0"/>
    <s v="OK"/>
    <x v="0"/>
    <x v="0"/>
    <n v="1"/>
    <n v="0"/>
    <n v="0"/>
    <n v="0"/>
    <x v="0"/>
    <x v="0"/>
    <x v="0"/>
  </r>
  <r>
    <s v="20603245246"/>
    <x v="56"/>
    <x v="17"/>
    <x v="529"/>
    <x v="531"/>
    <x v="499"/>
    <n v="1"/>
    <x v="7"/>
    <s v="E01"/>
    <s v="SC 3 Urb. Antonia Moreno de Caceres Mz K Lt. 12"/>
    <x v="2"/>
    <x v="1"/>
    <x v="21"/>
    <x v="1"/>
    <x v="266"/>
    <x v="0"/>
    <n v="2"/>
    <n v="6"/>
    <x v="0"/>
    <x v="1"/>
    <n v="4.7619047619047616E-2"/>
    <x v="13"/>
    <x v="1"/>
    <s v="OK"/>
    <x v="2"/>
    <s v="OK"/>
    <x v="0"/>
    <x v="0"/>
    <n v="1"/>
    <n v="1"/>
    <n v="0"/>
    <n v="0"/>
    <x v="0"/>
    <x v="0"/>
    <x v="0"/>
  </r>
  <r>
    <s v="20600599829"/>
    <x v="17"/>
    <x v="17"/>
    <x v="530"/>
    <x v="532"/>
    <x v="426"/>
    <n v="1"/>
    <x v="7"/>
    <s v="ESTACIÓN 01"/>
    <s v="JR. JOSE GALVEZ 181"/>
    <x v="121"/>
    <x v="1"/>
    <x v="21"/>
    <x v="1"/>
    <x v="177"/>
    <x v="0"/>
    <n v="1"/>
    <n v="260"/>
    <x v="0"/>
    <x v="0"/>
    <n v="4.7619047619047616E-2"/>
    <x v="13"/>
    <x v="1"/>
    <s v="OK"/>
    <x v="0"/>
    <s v="OK"/>
    <x v="0"/>
    <x v="0"/>
    <n v="1"/>
    <n v="0"/>
    <n v="0"/>
    <n v="0"/>
    <x v="0"/>
    <x v="0"/>
    <x v="0"/>
  </r>
  <r>
    <s v="20600599829"/>
    <x v="17"/>
    <x v="17"/>
    <x v="531"/>
    <x v="533"/>
    <x v="500"/>
    <n v="1"/>
    <x v="61"/>
    <s v="ESTACIÓN 01"/>
    <s v="ASENT. H. RAUL PORRAS BARRENECHEA COMITÉ VECINAL 62 MZ. 126 LT. 4"/>
    <x v="54"/>
    <x v="1"/>
    <x v="21"/>
    <x v="1"/>
    <x v="177"/>
    <x v="0"/>
    <n v="1"/>
    <n v="260"/>
    <x v="0"/>
    <x v="0"/>
    <n v="4.7619047619047616E-2"/>
    <x v="12"/>
    <x v="1"/>
    <s v="OK"/>
    <x v="0"/>
    <s v="OK"/>
    <x v="0"/>
    <x v="0"/>
    <n v="1"/>
    <n v="0"/>
    <n v="0"/>
    <n v="0"/>
    <x v="0"/>
    <x v="0"/>
    <x v="0"/>
  </r>
  <r>
    <s v="20600599829"/>
    <x v="17"/>
    <x v="17"/>
    <x v="532"/>
    <x v="534"/>
    <x v="501"/>
    <n v="2"/>
    <x v="110"/>
    <s v="ESTACIÓN 01"/>
    <s v="JR.RIO CHICAMA 5540 PISO 4"/>
    <x v="87"/>
    <x v="0"/>
    <x v="5"/>
    <x v="1"/>
    <x v="107"/>
    <x v="2"/>
    <n v="4"/>
    <n v="162"/>
    <x v="0"/>
    <x v="0"/>
    <n v="4.7619047619047616E-2"/>
    <x v="7"/>
    <x v="1"/>
    <s v="OK"/>
    <x v="0"/>
    <s v="OK"/>
    <x v="0"/>
    <x v="0"/>
    <n v="1"/>
    <n v="0"/>
    <n v="0"/>
    <n v="1"/>
    <x v="0"/>
    <x v="1"/>
    <x v="0"/>
  </r>
  <r>
    <s v="20600599829"/>
    <x v="17"/>
    <x v="17"/>
    <x v="533"/>
    <x v="535"/>
    <x v="502"/>
    <n v="2"/>
    <x v="48"/>
    <s v="ESTACIÓN 01"/>
    <s v="Calle las Flores Asoc. De Viv Los Ficus Mz. C Lt. 1"/>
    <x v="58"/>
    <x v="0"/>
    <x v="5"/>
    <x v="1"/>
    <x v="16"/>
    <x v="2"/>
    <n v="4"/>
    <n v="162"/>
    <x v="0"/>
    <x v="0"/>
    <n v="4.7619047619047616E-2"/>
    <x v="12"/>
    <x v="1"/>
    <s v="OK"/>
    <x v="0"/>
    <s v="OK"/>
    <x v="0"/>
    <x v="0"/>
    <n v="1"/>
    <n v="0"/>
    <n v="0"/>
    <n v="1"/>
    <x v="0"/>
    <x v="1"/>
    <x v="0"/>
  </r>
  <r>
    <s v="20600599829"/>
    <x v="17"/>
    <x v="17"/>
    <x v="534"/>
    <x v="536"/>
    <x v="503"/>
    <n v="2"/>
    <x v="24"/>
    <s v="PV-10"/>
    <s v="Av. Leticia 537"/>
    <x v="130"/>
    <x v="0"/>
    <x v="2"/>
    <x v="1"/>
    <x v="49"/>
    <x v="2"/>
    <n v="4"/>
    <n v="6"/>
    <x v="0"/>
    <x v="0"/>
    <n v="4.7619047619047616E-2"/>
    <x v="13"/>
    <x v="1"/>
    <s v="OK"/>
    <x v="0"/>
    <s v="OK"/>
    <x v="0"/>
    <x v="0"/>
    <n v="1"/>
    <n v="0"/>
    <n v="0"/>
    <n v="1"/>
    <x v="0"/>
    <x v="1"/>
    <x v="0"/>
  </r>
  <r>
    <s v="20600599829"/>
    <x v="17"/>
    <x v="17"/>
    <x v="535"/>
    <x v="537"/>
    <x v="504"/>
    <n v="2"/>
    <x v="24"/>
    <s v="PV-10"/>
    <s v="Mz. 145 LT. 9 Asent. H. San Martin de Porres "/>
    <x v="87"/>
    <x v="0"/>
    <x v="2"/>
    <x v="1"/>
    <x v="49"/>
    <x v="2"/>
    <n v="4"/>
    <n v="5"/>
    <x v="0"/>
    <x v="0"/>
    <n v="4.7619047619047616E-2"/>
    <x v="11"/>
    <x v="1"/>
    <s v="OK"/>
    <x v="0"/>
    <s v="OK"/>
    <x v="0"/>
    <x v="0"/>
    <n v="1"/>
    <n v="0"/>
    <n v="0"/>
    <n v="1"/>
    <x v="0"/>
    <x v="1"/>
    <x v="0"/>
  </r>
  <r>
    <n v="20601119707"/>
    <x v="57"/>
    <x v="42"/>
    <x v="536"/>
    <x v="538"/>
    <x v="505"/>
    <n v="1"/>
    <x v="17"/>
    <s v="OSV-07-24-003_MASTER_PLAN_SERVICIO DE DESMONTAJE, TRANSPORTE Y MONTAJE DE MODULOS DE OFICINAS, COMEDOR Y VESTUARIOS E-04 “INSURGENTES"/>
    <s v="Calle s/nombre dpto 4 urb. Leoncio Prado MZ Ñ Lt 1"/>
    <x v="13"/>
    <x v="0"/>
    <x v="0"/>
    <x v="2"/>
    <x v="52"/>
    <x v="0"/>
    <n v="1"/>
    <n v="176"/>
    <x v="0"/>
    <x v="1"/>
    <n v="9.0909090909090912E-2"/>
    <x v="6"/>
    <x v="1"/>
    <s v="OK"/>
    <x v="0"/>
    <s v="OK"/>
    <x v="0"/>
    <x v="0"/>
    <n v="1"/>
    <n v="0"/>
    <n v="0"/>
    <n v="0"/>
    <x v="0"/>
    <x v="0"/>
    <x v="0"/>
  </r>
  <r>
    <n v="20601119707"/>
    <x v="57"/>
    <x v="42"/>
    <x v="537"/>
    <x v="539"/>
    <x v="506"/>
    <n v="1"/>
    <x v="17"/>
    <s v="OSV-07-24-003_MASTER_PLAN_SERVICIO DE DESMONTAJE, TRANSPORTE Y MONTAJE DE MODULOS DE OFICINAS, COMEDOR Y VESTUARIOS E-04 “INSURGENTES"/>
    <s v="Asoc. Pro viv los claveles Mz Ñ Lt 11A"/>
    <x v="91"/>
    <x v="0"/>
    <x v="0"/>
    <x v="2"/>
    <x v="52"/>
    <x v="0"/>
    <n v="1"/>
    <n v="176"/>
    <x v="0"/>
    <x v="1"/>
    <n v="9.0909090909090912E-2"/>
    <x v="7"/>
    <x v="1"/>
    <s v="OK"/>
    <x v="0"/>
    <s v="OK"/>
    <x v="0"/>
    <x v="0"/>
    <n v="1"/>
    <n v="0"/>
    <n v="0"/>
    <n v="0"/>
    <x v="0"/>
    <x v="0"/>
    <x v="0"/>
  </r>
  <r>
    <s v="20523802861"/>
    <x v="18"/>
    <x v="18"/>
    <x v="538"/>
    <x v="540"/>
    <x v="507"/>
    <n v="2"/>
    <x v="111"/>
    <s v="E15"/>
    <s v="MZ C LOTE 10 URB. SANTA BEATRIZ "/>
    <x v="6"/>
    <x v="0"/>
    <x v="6"/>
    <x v="1"/>
    <x v="267"/>
    <x v="0"/>
    <n v="4"/>
    <n v="120"/>
    <x v="0"/>
    <x v="1"/>
    <n v="8.9285714285714281E-3"/>
    <x v="10"/>
    <x v="1"/>
    <s v="OK"/>
    <x v="2"/>
    <s v="OK"/>
    <x v="0"/>
    <x v="0"/>
    <n v="1"/>
    <n v="1"/>
    <n v="0"/>
    <n v="0"/>
    <x v="0"/>
    <x v="0"/>
    <x v="0"/>
  </r>
  <r>
    <s v="20523802861"/>
    <x v="18"/>
    <x v="18"/>
    <x v="539"/>
    <x v="541"/>
    <x v="508"/>
    <n v="2"/>
    <x v="112"/>
    <s v="E18"/>
    <s v="ASENT. H SANTA CRUZ MZ D LT 12"/>
    <x v="49"/>
    <x v="0"/>
    <x v="6"/>
    <x v="1"/>
    <x v="36"/>
    <x v="0"/>
    <n v="4"/>
    <n v="160"/>
    <x v="0"/>
    <x v="1"/>
    <n v="8.9285714285714281E-3"/>
    <x v="11"/>
    <x v="1"/>
    <s v="OK"/>
    <x v="0"/>
    <s v="OK"/>
    <x v="0"/>
    <x v="0"/>
    <n v="1"/>
    <n v="0"/>
    <n v="0"/>
    <n v="0"/>
    <x v="0"/>
    <x v="0"/>
    <x v="0"/>
  </r>
  <r>
    <s v="20523802861"/>
    <x v="18"/>
    <x v="18"/>
    <x v="540"/>
    <x v="542"/>
    <x v="509"/>
    <n v="2"/>
    <x v="26"/>
    <s v="E16"/>
    <s v="GRUPO 22 A MZ M LT 34"/>
    <x v="19"/>
    <x v="0"/>
    <x v="6"/>
    <x v="1"/>
    <x v="51"/>
    <x v="0"/>
    <n v="4"/>
    <n v="216"/>
    <x v="0"/>
    <x v="1"/>
    <n v="8.9285714285714281E-3"/>
    <x v="8"/>
    <x v="1"/>
    <s v="OK"/>
    <x v="0"/>
    <s v="OK"/>
    <x v="0"/>
    <x v="0"/>
    <n v="1"/>
    <n v="0"/>
    <n v="0"/>
    <n v="0"/>
    <x v="0"/>
    <x v="0"/>
    <x v="0"/>
  </r>
  <r>
    <s v="20523802861"/>
    <x v="18"/>
    <x v="18"/>
    <x v="541"/>
    <x v="543"/>
    <x v="510"/>
    <n v="2"/>
    <x v="8"/>
    <s v="E18"/>
    <s v="SAN ANTONIO MZ C LT 6"/>
    <x v="1"/>
    <x v="0"/>
    <x v="6"/>
    <x v="1"/>
    <x v="172"/>
    <x v="0"/>
    <n v="4"/>
    <n v="16"/>
    <x v="0"/>
    <x v="1"/>
    <n v="8.9285714285714281E-3"/>
    <x v="8"/>
    <x v="1"/>
    <s v="OK"/>
    <x v="1"/>
    <s v="OK"/>
    <x v="0"/>
    <x v="0"/>
    <n v="1"/>
    <n v="1"/>
    <n v="1"/>
    <n v="0"/>
    <x v="0"/>
    <x v="0"/>
    <x v="1"/>
  </r>
  <r>
    <s v="20523802861"/>
    <x v="18"/>
    <x v="18"/>
    <x v="542"/>
    <x v="544"/>
    <x v="511"/>
    <n v="2"/>
    <x v="8"/>
    <s v="E12"/>
    <s v="VILLA DE JESUS IV"/>
    <x v="0"/>
    <x v="0"/>
    <x v="6"/>
    <x v="1"/>
    <x v="103"/>
    <x v="0"/>
    <n v="4"/>
    <n v="72"/>
    <x v="0"/>
    <x v="1"/>
    <n v="8.9285714285714281E-3"/>
    <x v="12"/>
    <x v="1"/>
    <s v="OK"/>
    <x v="0"/>
    <s v="OK"/>
    <x v="0"/>
    <x v="0"/>
    <n v="1"/>
    <n v="0"/>
    <n v="1"/>
    <n v="0"/>
    <x v="0"/>
    <x v="0"/>
    <x v="1"/>
  </r>
  <r>
    <s v="20523802861"/>
    <x v="18"/>
    <x v="18"/>
    <x v="543"/>
    <x v="545"/>
    <x v="512"/>
    <n v="1"/>
    <x v="113"/>
    <s v="PV01"/>
    <s v="AV. METROPOLITANA ASENT. H VIRGEN DE LA PUERTA MZ G LT 23"/>
    <x v="131"/>
    <x v="0"/>
    <x v="6"/>
    <x v="1"/>
    <x v="268"/>
    <x v="0"/>
    <n v="1"/>
    <n v="216"/>
    <x v="0"/>
    <x v="1"/>
    <n v="8.9285714285714281E-3"/>
    <x v="10"/>
    <x v="1"/>
    <s v="OK"/>
    <x v="0"/>
    <s v="OK"/>
    <x v="0"/>
    <x v="0"/>
    <n v="1"/>
    <n v="0"/>
    <n v="0"/>
    <n v="0"/>
    <x v="0"/>
    <x v="0"/>
    <x v="0"/>
  </r>
  <r>
    <s v="20523802861"/>
    <x v="18"/>
    <x v="18"/>
    <x v="544"/>
    <x v="546"/>
    <x v="513"/>
    <n v="2"/>
    <x v="114"/>
    <s v="E14"/>
    <s v="CALLE EDUARDO CORREA 197 - URB. SANTA LUZMILA"/>
    <x v="0"/>
    <x v="0"/>
    <x v="6"/>
    <x v="1"/>
    <x v="269"/>
    <x v="0"/>
    <n v="4"/>
    <n v="96"/>
    <x v="0"/>
    <x v="1"/>
    <n v="8.9285714285714281E-3"/>
    <x v="13"/>
    <x v="1"/>
    <s v="OK"/>
    <x v="0"/>
    <s v="OK"/>
    <x v="0"/>
    <x v="0"/>
    <n v="1"/>
    <n v="0"/>
    <n v="0"/>
    <n v="0"/>
    <x v="0"/>
    <x v="0"/>
    <x v="0"/>
  </r>
  <r>
    <s v="20523802861"/>
    <x v="18"/>
    <x v="18"/>
    <x v="545"/>
    <x v="547"/>
    <x v="514"/>
    <n v="2"/>
    <x v="112"/>
    <s v="E18"/>
    <s v="PARADERO 21 DE FLORES AGRUPACION LA TIERRA PROMETIDA MZ. K LOTE 1 "/>
    <x v="15"/>
    <x v="0"/>
    <x v="6"/>
    <x v="1"/>
    <x v="132"/>
    <x v="0"/>
    <n v="4"/>
    <n v="96"/>
    <x v="0"/>
    <x v="1"/>
    <n v="8.9285714285714281E-3"/>
    <x v="8"/>
    <x v="1"/>
    <s v="OK"/>
    <x v="0"/>
    <s v="OK"/>
    <x v="0"/>
    <x v="0"/>
    <n v="1"/>
    <n v="0"/>
    <n v="0"/>
    <n v="0"/>
    <x v="0"/>
    <x v="0"/>
    <x v="0"/>
  </r>
  <r>
    <s v="20523802861"/>
    <x v="18"/>
    <x v="18"/>
    <x v="546"/>
    <x v="548"/>
    <x v="515"/>
    <n v="1"/>
    <x v="29"/>
    <s v="E17"/>
    <s v="ASENT. H CAHUIDE MZ. I LT 2 "/>
    <x v="44"/>
    <x v="0"/>
    <x v="6"/>
    <x v="1"/>
    <x v="19"/>
    <x v="0"/>
    <n v="4"/>
    <n v="216"/>
    <x v="0"/>
    <x v="1"/>
    <n v="8.9285714285714281E-3"/>
    <x v="10"/>
    <x v="1"/>
    <s v="OK"/>
    <x v="0"/>
    <s v="OK"/>
    <x v="0"/>
    <x v="0"/>
    <n v="1"/>
    <n v="0"/>
    <n v="0"/>
    <n v="0"/>
    <x v="0"/>
    <x v="0"/>
    <x v="0"/>
  </r>
  <r>
    <s v="20523802861"/>
    <x v="18"/>
    <x v="18"/>
    <x v="547"/>
    <x v="549"/>
    <x v="516"/>
    <n v="1"/>
    <x v="60"/>
    <s v="E16"/>
    <s v="ASOC. PROLONGACION DE VIVIENDA LAS CASUARINAS EX PARCELA MZ. B LT. 6"/>
    <x v="34"/>
    <x v="1"/>
    <x v="6"/>
    <x v="1"/>
    <x v="25"/>
    <x v="0"/>
    <n v="1"/>
    <n v="216"/>
    <x v="0"/>
    <x v="1"/>
    <n v="8.9285714285714281E-3"/>
    <x v="8"/>
    <x v="1"/>
    <s v="OK"/>
    <x v="1"/>
    <s v="OK"/>
    <x v="0"/>
    <x v="0"/>
    <n v="1"/>
    <n v="1"/>
    <n v="0"/>
    <n v="0"/>
    <x v="0"/>
    <x v="0"/>
    <x v="0"/>
  </r>
  <r>
    <s v="20523802861"/>
    <x v="18"/>
    <x v="18"/>
    <x v="548"/>
    <x v="550"/>
    <x v="517"/>
    <n v="1"/>
    <x v="113"/>
    <s v="E08"/>
    <s v="AV. CIRCUNVALACION 795"/>
    <x v="14"/>
    <x v="0"/>
    <x v="6"/>
    <x v="1"/>
    <x v="270"/>
    <x v="0"/>
    <n v="1"/>
    <n v="216"/>
    <x v="0"/>
    <x v="1"/>
    <n v="8.9285714285714281E-3"/>
    <x v="13"/>
    <x v="1"/>
    <s v="OK"/>
    <x v="0"/>
    <s v="OK"/>
    <x v="0"/>
    <x v="0"/>
    <n v="1"/>
    <n v="0"/>
    <n v="0"/>
    <n v="0"/>
    <x v="0"/>
    <x v="0"/>
    <x v="0"/>
  </r>
  <r>
    <s v="20523802861"/>
    <x v="18"/>
    <x v="18"/>
    <x v="549"/>
    <x v="551"/>
    <x v="518"/>
    <n v="2"/>
    <x v="11"/>
    <s v="E16"/>
    <s v="JR. PROGRESO 64 URB. TEJADA ALTA"/>
    <x v="132"/>
    <x v="0"/>
    <x v="6"/>
    <x v="1"/>
    <x v="271"/>
    <x v="0"/>
    <n v="4"/>
    <n v="216"/>
    <x v="0"/>
    <x v="1"/>
    <n v="8.9285714285714281E-3"/>
    <x v="8"/>
    <x v="1"/>
    <s v="OK"/>
    <x v="0"/>
    <s v="OK"/>
    <x v="0"/>
    <x v="0"/>
    <n v="1"/>
    <n v="0"/>
    <n v="0"/>
    <n v="0"/>
    <x v="0"/>
    <x v="0"/>
    <x v="0"/>
  </r>
  <r>
    <s v="20523802861"/>
    <x v="18"/>
    <x v="18"/>
    <x v="550"/>
    <x v="552"/>
    <x v="519"/>
    <n v="2"/>
    <x v="111"/>
    <s v="E16"/>
    <s v="CHANCAS ANDAHUAYLAS MZ R LT 25"/>
    <x v="27"/>
    <x v="0"/>
    <x v="6"/>
    <x v="1"/>
    <x v="28"/>
    <x v="0"/>
    <n v="4"/>
    <n v="120"/>
    <x v="0"/>
    <x v="1"/>
    <n v="8.9285714285714281E-3"/>
    <x v="6"/>
    <x v="1"/>
    <s v="OK"/>
    <x v="5"/>
    <s v="OK"/>
    <x v="0"/>
    <x v="0"/>
    <n v="1"/>
    <n v="1"/>
    <n v="1"/>
    <n v="0"/>
    <x v="0"/>
    <x v="0"/>
    <x v="1"/>
  </r>
  <r>
    <s v="20523802861"/>
    <x v="18"/>
    <x v="18"/>
    <x v="551"/>
    <x v="553"/>
    <x v="520"/>
    <n v="2"/>
    <x v="11"/>
    <s v="E16"/>
    <s v="ASEGT. HUAYCAN ZONA E CV.2003"/>
    <x v="34"/>
    <x v="0"/>
    <x v="6"/>
    <x v="1"/>
    <x v="271"/>
    <x v="0"/>
    <n v="4"/>
    <n v="104"/>
    <x v="0"/>
    <x v="1"/>
    <n v="8.9285714285714281E-3"/>
    <x v="12"/>
    <x v="1"/>
    <s v="OK"/>
    <x v="1"/>
    <s v="OK"/>
    <x v="0"/>
    <x v="0"/>
    <n v="1"/>
    <n v="1"/>
    <n v="0"/>
    <n v="0"/>
    <x v="0"/>
    <x v="0"/>
    <x v="0"/>
  </r>
  <r>
    <s v="20523802861"/>
    <x v="18"/>
    <x v="18"/>
    <x v="552"/>
    <x v="554"/>
    <x v="521"/>
    <n v="1"/>
    <x v="115"/>
    <s v="E15"/>
    <s v="MZ K LT 4 URB. MARSICAL CACERES"/>
    <x v="15"/>
    <x v="1"/>
    <x v="6"/>
    <x v="1"/>
    <x v="272"/>
    <x v="0"/>
    <n v="1"/>
    <n v="216"/>
    <x v="0"/>
    <x v="1"/>
    <n v="8.9285714285714281E-3"/>
    <x v="8"/>
    <x v="1"/>
    <s v="OK"/>
    <x v="0"/>
    <s v="OK"/>
    <x v="0"/>
    <x v="0"/>
    <n v="1"/>
    <n v="0"/>
    <n v="0"/>
    <n v="0"/>
    <x v="0"/>
    <x v="0"/>
    <x v="0"/>
  </r>
  <r>
    <s v="20523802861"/>
    <x v="18"/>
    <x v="18"/>
    <x v="553"/>
    <x v="555"/>
    <x v="522"/>
    <n v="1"/>
    <x v="96"/>
    <s v="PV01"/>
    <s v="ASENT. H J PEREZ DE CUELLAR MZ D LT 09"/>
    <x v="15"/>
    <x v="0"/>
    <x v="6"/>
    <x v="1"/>
    <x v="19"/>
    <x v="0"/>
    <n v="1"/>
    <n v="216"/>
    <x v="0"/>
    <x v="1"/>
    <n v="8.9285714285714281E-3"/>
    <x v="8"/>
    <x v="1"/>
    <s v="OK"/>
    <x v="0"/>
    <s v="OK"/>
    <x v="0"/>
    <x v="0"/>
    <n v="1"/>
    <n v="0"/>
    <n v="0"/>
    <n v="0"/>
    <x v="0"/>
    <x v="0"/>
    <x v="0"/>
  </r>
  <r>
    <s v="20523802861"/>
    <x v="18"/>
    <x v="18"/>
    <x v="554"/>
    <x v="556"/>
    <x v="523"/>
    <n v="2"/>
    <x v="2"/>
    <s v="E18"/>
    <s v="JR JOSE VALLE RIESTRA 263 ASENT H 7 DE OCTUBRE"/>
    <x v="46"/>
    <x v="0"/>
    <x v="6"/>
    <x v="1"/>
    <x v="18"/>
    <x v="0"/>
    <n v="4"/>
    <n v="224"/>
    <x v="0"/>
    <x v="1"/>
    <n v="8.9285714285714281E-3"/>
    <x v="10"/>
    <x v="1"/>
    <s v="OK"/>
    <x v="7"/>
    <s v="OK"/>
    <x v="0"/>
    <x v="0"/>
    <n v="1"/>
    <n v="1"/>
    <n v="0"/>
    <n v="0"/>
    <x v="0"/>
    <x v="0"/>
    <x v="0"/>
  </r>
  <r>
    <s v="20523802861"/>
    <x v="18"/>
    <x v="18"/>
    <x v="555"/>
    <x v="557"/>
    <x v="524"/>
    <n v="2"/>
    <x v="2"/>
    <s v="PV05"/>
    <s v="CALLE MEXICO 2144"/>
    <x v="25"/>
    <x v="0"/>
    <x v="6"/>
    <x v="1"/>
    <x v="25"/>
    <x v="0"/>
    <n v="4"/>
    <n v="216"/>
    <x v="0"/>
    <x v="1"/>
    <n v="8.9285714285714281E-3"/>
    <x v="8"/>
    <x v="1"/>
    <s v="OK"/>
    <x v="4"/>
    <s v="OK"/>
    <x v="0"/>
    <x v="0"/>
    <n v="1"/>
    <n v="1"/>
    <n v="0"/>
    <n v="0"/>
    <x v="0"/>
    <x v="0"/>
    <x v="0"/>
  </r>
  <r>
    <s v="20523802861"/>
    <x v="18"/>
    <x v="18"/>
    <x v="556"/>
    <x v="558"/>
    <x v="525"/>
    <n v="2"/>
    <x v="26"/>
    <s v="E16"/>
    <s v="ASENT H ESTRELLA SIMON BOL MZ B LT 30"/>
    <x v="33"/>
    <x v="0"/>
    <x v="15"/>
    <x v="1"/>
    <x v="51"/>
    <x v="2"/>
    <n v="4"/>
    <n v="216"/>
    <x v="0"/>
    <x v="1"/>
    <n v="8.9285714285714281E-3"/>
    <x v="6"/>
    <x v="1"/>
    <s v="OK"/>
    <x v="0"/>
    <s v="OK"/>
    <x v="0"/>
    <x v="0"/>
    <n v="1"/>
    <n v="0"/>
    <n v="0"/>
    <n v="1"/>
    <x v="0"/>
    <x v="1"/>
    <x v="0"/>
  </r>
  <r>
    <s v="20523802861"/>
    <x v="18"/>
    <x v="18"/>
    <x v="557"/>
    <x v="559"/>
    <x v="482"/>
    <n v="2"/>
    <x v="26"/>
    <s v="E16"/>
    <s v="PSJ 4 AENT H LA MERCED MZ E LT 01"/>
    <x v="33"/>
    <x v="0"/>
    <x v="6"/>
    <x v="1"/>
    <x v="51"/>
    <x v="0"/>
    <n v="4"/>
    <n v="216"/>
    <x v="0"/>
    <x v="1"/>
    <n v="8.9285714285714281E-3"/>
    <x v="11"/>
    <x v="1"/>
    <s v="OK"/>
    <x v="0"/>
    <s v="OK"/>
    <x v="0"/>
    <x v="0"/>
    <n v="1"/>
    <n v="0"/>
    <n v="0"/>
    <n v="0"/>
    <x v="0"/>
    <x v="0"/>
    <x v="0"/>
  </r>
  <r>
    <s v="20523802861"/>
    <x v="18"/>
    <x v="18"/>
    <x v="558"/>
    <x v="560"/>
    <x v="526"/>
    <n v="1"/>
    <x v="116"/>
    <s v="E08"/>
    <s v="ASENTAMIENTO HUMANO JUAN PABLO SEGUNDO MZ. B1 LT 16"/>
    <x v="15"/>
    <x v="0"/>
    <x v="6"/>
    <x v="1"/>
    <x v="243"/>
    <x v="0"/>
    <n v="4"/>
    <n v="108"/>
    <x v="0"/>
    <x v="1"/>
    <n v="8.9285714285714281E-3"/>
    <x v="10"/>
    <x v="1"/>
    <s v="OK"/>
    <x v="0"/>
    <s v="OK"/>
    <x v="0"/>
    <x v="0"/>
    <n v="1"/>
    <n v="0"/>
    <n v="0"/>
    <n v="0"/>
    <x v="0"/>
    <x v="0"/>
    <x v="0"/>
  </r>
  <r>
    <s v="20523802861"/>
    <x v="18"/>
    <x v="18"/>
    <x v="559"/>
    <x v="561"/>
    <x v="527"/>
    <n v="2"/>
    <x v="8"/>
    <s v="E18"/>
    <s v="PSJ LAS FLORES AFRP. FAMILIAR 11 DE MAYO MZ. C LT 10"/>
    <x v="54"/>
    <x v="0"/>
    <x v="6"/>
    <x v="1"/>
    <x v="140"/>
    <x v="0"/>
    <n v="4"/>
    <n v="104"/>
    <x v="0"/>
    <x v="1"/>
    <n v="8.9285714285714281E-3"/>
    <x v="8"/>
    <x v="1"/>
    <s v="OK"/>
    <x v="0"/>
    <s v="OK"/>
    <x v="0"/>
    <x v="0"/>
    <n v="1"/>
    <n v="0"/>
    <n v="0"/>
    <n v="0"/>
    <x v="0"/>
    <x v="0"/>
    <x v="0"/>
  </r>
  <r>
    <s v="20523802861"/>
    <x v="18"/>
    <x v="18"/>
    <x v="560"/>
    <x v="562"/>
    <x v="528"/>
    <n v="1"/>
    <x v="116"/>
    <s v="E15"/>
    <s v="UCV 208 ZONA M LOTE 3 HUAYCAN"/>
    <x v="34"/>
    <x v="0"/>
    <x v="6"/>
    <x v="1"/>
    <x v="179"/>
    <x v="0"/>
    <n v="4"/>
    <n v="104"/>
    <x v="0"/>
    <x v="1"/>
    <n v="8.9285714285714281E-3"/>
    <x v="6"/>
    <x v="1"/>
    <s v="OK"/>
    <x v="1"/>
    <s v="OK"/>
    <x v="0"/>
    <x v="0"/>
    <n v="1"/>
    <n v="1"/>
    <n v="0"/>
    <n v="0"/>
    <x v="0"/>
    <x v="0"/>
    <x v="0"/>
  </r>
  <r>
    <s v="20523802861"/>
    <x v="18"/>
    <x v="18"/>
    <x v="561"/>
    <x v="563"/>
    <x v="529"/>
    <n v="2"/>
    <x v="8"/>
    <s v="E18"/>
    <s v="URB MARIANO P MORANTE MZ I LT 35"/>
    <x v="105"/>
    <x v="0"/>
    <x v="6"/>
    <x v="1"/>
    <x v="203"/>
    <x v="0"/>
    <n v="4"/>
    <n v="120"/>
    <x v="0"/>
    <x v="1"/>
    <n v="8.9285714285714281E-3"/>
    <x v="6"/>
    <x v="1"/>
    <s v="OK"/>
    <x v="0"/>
    <s v="OK"/>
    <x v="0"/>
    <x v="0"/>
    <n v="1"/>
    <n v="0"/>
    <n v="0"/>
    <n v="0"/>
    <x v="0"/>
    <x v="0"/>
    <x v="0"/>
  </r>
  <r>
    <s v="20523802861"/>
    <x v="18"/>
    <x v="18"/>
    <x v="562"/>
    <x v="564"/>
    <x v="530"/>
    <n v="2"/>
    <x v="117"/>
    <s v="E12"/>
    <s v="PAMPLONA ALTA MZ J "/>
    <x v="53"/>
    <x v="0"/>
    <x v="6"/>
    <x v="4"/>
    <x v="103"/>
    <x v="0"/>
    <n v="4"/>
    <n v="72"/>
    <x v="0"/>
    <x v="1"/>
    <n v="8.9285714285714281E-3"/>
    <x v="12"/>
    <x v="1"/>
    <s v="OK"/>
    <x v="0"/>
    <s v="OK"/>
    <x v="0"/>
    <x v="0"/>
    <n v="1"/>
    <n v="0"/>
    <n v="1"/>
    <n v="0"/>
    <x v="0"/>
    <x v="0"/>
    <x v="1"/>
  </r>
  <r>
    <s v="20523802861"/>
    <x v="18"/>
    <x v="18"/>
    <x v="563"/>
    <x v="565"/>
    <x v="531"/>
    <n v="1"/>
    <x v="113"/>
    <s v="E16"/>
    <s v="MZ. M LT 8 PISO 2 URB. SANTA POLONIA"/>
    <x v="3"/>
    <x v="0"/>
    <x v="6"/>
    <x v="1"/>
    <x v="16"/>
    <x v="0"/>
    <n v="1"/>
    <n v="216"/>
    <x v="0"/>
    <x v="1"/>
    <n v="8.9285714285714281E-3"/>
    <x v="6"/>
    <x v="1"/>
    <s v="OK"/>
    <x v="0"/>
    <s v="OK"/>
    <x v="0"/>
    <x v="0"/>
    <n v="1"/>
    <n v="0"/>
    <n v="0"/>
    <n v="0"/>
    <x v="0"/>
    <x v="0"/>
    <x v="0"/>
  </r>
  <r>
    <s v="20523802861"/>
    <x v="18"/>
    <x v="18"/>
    <x v="564"/>
    <x v="566"/>
    <x v="532"/>
    <n v="1"/>
    <x v="113"/>
    <s v="E17"/>
    <s v="ASOC. VILLA AVALOS MZ. C LT 17"/>
    <x v="0"/>
    <x v="0"/>
    <x v="0"/>
    <x v="1"/>
    <x v="185"/>
    <x v="0"/>
    <n v="1"/>
    <n v="216"/>
    <x v="0"/>
    <x v="1"/>
    <n v="8.9285714285714281E-3"/>
    <x v="13"/>
    <x v="1"/>
    <s v="OK"/>
    <x v="0"/>
    <s v="OK"/>
    <x v="0"/>
    <x v="0"/>
    <n v="1"/>
    <n v="0"/>
    <n v="0"/>
    <n v="0"/>
    <x v="0"/>
    <x v="0"/>
    <x v="0"/>
  </r>
  <r>
    <s v="20523802861"/>
    <x v="18"/>
    <x v="18"/>
    <x v="565"/>
    <x v="567"/>
    <x v="533"/>
    <n v="2"/>
    <x v="118"/>
    <s v="E16"/>
    <s v="VIRGEN DEL CARMEN MZ Q LT 10"/>
    <x v="15"/>
    <x v="0"/>
    <x v="6"/>
    <x v="1"/>
    <x v="137"/>
    <x v="0"/>
    <n v="4"/>
    <n v="96"/>
    <x v="0"/>
    <x v="1"/>
    <n v="8.9285714285714281E-3"/>
    <x v="9"/>
    <x v="1"/>
    <s v="OK"/>
    <x v="0"/>
    <s v="OK"/>
    <x v="0"/>
    <x v="0"/>
    <n v="1"/>
    <n v="0"/>
    <n v="1"/>
    <n v="0"/>
    <x v="0"/>
    <x v="0"/>
    <x v="1"/>
  </r>
  <r>
    <s v="20523802861"/>
    <x v="18"/>
    <x v="18"/>
    <x v="566"/>
    <x v="568"/>
    <x v="534"/>
    <n v="2"/>
    <x v="11"/>
    <s v="E08"/>
    <s v="URBANIZACION HERMANOS AYAR TERCERA ZONA MZ H LOTE 4 TAHUANTINSUYO"/>
    <x v="44"/>
    <x v="0"/>
    <x v="6"/>
    <x v="1"/>
    <x v="179"/>
    <x v="0"/>
    <n v="4"/>
    <n v="216"/>
    <x v="0"/>
    <x v="1"/>
    <n v="8.9285714285714281E-3"/>
    <x v="12"/>
    <x v="1"/>
    <s v="OK"/>
    <x v="0"/>
    <s v="OK"/>
    <x v="0"/>
    <x v="0"/>
    <n v="1"/>
    <n v="0"/>
    <n v="0"/>
    <n v="0"/>
    <x v="0"/>
    <x v="0"/>
    <x v="0"/>
  </r>
  <r>
    <s v="20523802861"/>
    <x v="18"/>
    <x v="18"/>
    <x v="567"/>
    <x v="569"/>
    <x v="535"/>
    <n v="2"/>
    <x v="2"/>
    <s v="E16"/>
    <s v="SV 28 DE JULIO 2970 PISO 2 URB SAN PABLO"/>
    <x v="25"/>
    <x v="0"/>
    <x v="6"/>
    <x v="1"/>
    <x v="201"/>
    <x v="0"/>
    <n v="4"/>
    <n v="120"/>
    <x v="0"/>
    <x v="1"/>
    <n v="8.9285714285714281E-3"/>
    <x v="6"/>
    <x v="1"/>
    <s v="OK"/>
    <x v="4"/>
    <s v="OK"/>
    <x v="0"/>
    <x v="0"/>
    <n v="1"/>
    <n v="1"/>
    <n v="0"/>
    <n v="0"/>
    <x v="0"/>
    <x v="0"/>
    <x v="0"/>
  </r>
  <r>
    <s v="20523802861"/>
    <x v="18"/>
    <x v="18"/>
    <x v="568"/>
    <x v="570"/>
    <x v="536"/>
    <n v="2"/>
    <x v="26"/>
    <s v="E17"/>
    <s v="MZ D1 LOTE 06 CP - RIO SECO"/>
    <x v="54"/>
    <x v="0"/>
    <x v="5"/>
    <x v="1"/>
    <x v="273"/>
    <x v="2"/>
    <n v="4"/>
    <n v="120"/>
    <x v="0"/>
    <x v="1"/>
    <n v="8.9285714285714281E-3"/>
    <x v="7"/>
    <x v="1"/>
    <s v="OK"/>
    <x v="0"/>
    <s v="OK"/>
    <x v="0"/>
    <x v="0"/>
    <n v="1"/>
    <n v="0"/>
    <n v="0"/>
    <n v="1"/>
    <x v="0"/>
    <x v="1"/>
    <x v="0"/>
  </r>
  <r>
    <s v="20523802861"/>
    <x v="18"/>
    <x v="18"/>
    <x v="569"/>
    <x v="571"/>
    <x v="537"/>
    <n v="1"/>
    <x v="60"/>
    <s v="E14"/>
    <s v="CALLE JUSTICIA N H8 URBANIZACION PROGRESO"/>
    <x v="133"/>
    <x v="0"/>
    <x v="1"/>
    <x v="1"/>
    <x v="106"/>
    <x v="2"/>
    <n v="1"/>
    <n v="182"/>
    <x v="0"/>
    <x v="1"/>
    <n v="8.9285714285714281E-3"/>
    <x v="11"/>
    <x v="1"/>
    <s v="OK"/>
    <x v="0"/>
    <s v="OK"/>
    <x v="0"/>
    <x v="0"/>
    <n v="1"/>
    <n v="0"/>
    <n v="0"/>
    <n v="1"/>
    <x v="0"/>
    <x v="1"/>
    <x v="0"/>
  </r>
  <r>
    <n v="20451703901"/>
    <x v="19"/>
    <x v="19"/>
    <x v="570"/>
    <x v="435"/>
    <x v="414"/>
    <n v="2"/>
    <x v="2"/>
    <s v="ESTACIÓN 8 - ELIO"/>
    <s v="AV. ARGENTINA 5934 INT. 21"/>
    <x v="6"/>
    <x v="0"/>
    <x v="0"/>
    <x v="1"/>
    <x v="274"/>
    <x v="0"/>
    <n v="4"/>
    <n v="192"/>
    <x v="0"/>
    <x v="1"/>
    <n v="5.4644808743169399E-3"/>
    <x v="11"/>
    <x v="1"/>
    <s v="OK"/>
    <x v="2"/>
    <s v="OK"/>
    <x v="0"/>
    <x v="1"/>
    <n v="0.5"/>
    <n v="0.5"/>
    <n v="0"/>
    <n v="0"/>
    <x v="0"/>
    <x v="0"/>
    <x v="0"/>
  </r>
  <r>
    <n v="20451703901"/>
    <x v="19"/>
    <x v="19"/>
    <x v="571"/>
    <x v="572"/>
    <x v="538"/>
    <n v="2"/>
    <x v="67"/>
    <s v="ESTACIÓN 06"/>
    <s v="ASENT H. HIJOS DE APURIMAC MZ J LT 11"/>
    <x v="1"/>
    <x v="0"/>
    <x v="0"/>
    <x v="1"/>
    <x v="275"/>
    <x v="0"/>
    <n v="4"/>
    <n v="212.5"/>
    <x v="0"/>
    <x v="1"/>
    <n v="5.4644808743169399E-3"/>
    <x v="11"/>
    <x v="1"/>
    <s v="OK"/>
    <x v="1"/>
    <s v="OK"/>
    <x v="0"/>
    <x v="0"/>
    <n v="1"/>
    <n v="1"/>
    <n v="0"/>
    <n v="0"/>
    <x v="0"/>
    <x v="0"/>
    <x v="0"/>
  </r>
  <r>
    <n v="20451703901"/>
    <x v="19"/>
    <x v="19"/>
    <x v="572"/>
    <x v="573"/>
    <x v="539"/>
    <n v="2"/>
    <x v="2"/>
    <s v="ESTACIÓN 06"/>
    <s v="BARRIO FLORESTA"/>
    <x v="134"/>
    <x v="0"/>
    <x v="0"/>
    <x v="1"/>
    <x v="276"/>
    <x v="0"/>
    <n v="4"/>
    <n v="216"/>
    <x v="0"/>
    <x v="1"/>
    <n v="5.4644808743169399E-3"/>
    <x v="6"/>
    <x v="1"/>
    <s v="OK"/>
    <x v="0"/>
    <s v="OK"/>
    <x v="0"/>
    <x v="0"/>
    <n v="1"/>
    <n v="0"/>
    <n v="0"/>
    <n v="0"/>
    <x v="0"/>
    <x v="0"/>
    <x v="0"/>
  </r>
  <r>
    <n v="20451703903"/>
    <x v="19"/>
    <x v="19"/>
    <x v="573"/>
    <x v="574"/>
    <x v="540"/>
    <n v="2"/>
    <x v="11"/>
    <s v="ESTACIÓN 8 - ELIO"/>
    <s v="AGRUPACIÓN AMPLIACIÓN BELEN MZ. 1 LT. 2"/>
    <x v="15"/>
    <x v="0"/>
    <x v="7"/>
    <x v="1"/>
    <x v="261"/>
    <x v="2"/>
    <n v="4"/>
    <n v="100"/>
    <x v="0"/>
    <x v="1"/>
    <n v="5.4644808743169399E-3"/>
    <x v="7"/>
    <x v="1"/>
    <s v="OK"/>
    <x v="0"/>
    <s v="OK"/>
    <x v="0"/>
    <x v="0"/>
    <n v="1"/>
    <n v="0"/>
    <n v="0"/>
    <n v="1"/>
    <x v="0"/>
    <x v="1"/>
    <x v="0"/>
  </r>
  <r>
    <n v="20451703903"/>
    <x v="19"/>
    <x v="19"/>
    <x v="574"/>
    <x v="575"/>
    <x v="541"/>
    <n v="1"/>
    <x v="51"/>
    <s v="ESTACIÓN 8 - ELIO"/>
    <s v="CALLE LOS TULIPANES 136 URB MIRAFLORES"/>
    <x v="135"/>
    <x v="0"/>
    <x v="0"/>
    <x v="1"/>
    <x v="112"/>
    <x v="0"/>
    <n v="1"/>
    <n v="217.5"/>
    <x v="0"/>
    <x v="1"/>
    <n v="5.4644808743169399E-3"/>
    <x v="12"/>
    <x v="1"/>
    <s v="OK"/>
    <x v="0"/>
    <s v="OK"/>
    <x v="0"/>
    <x v="0"/>
    <n v="1"/>
    <n v="0"/>
    <n v="0"/>
    <n v="0"/>
    <x v="0"/>
    <x v="0"/>
    <x v="0"/>
  </r>
  <r>
    <n v="20451703901"/>
    <x v="19"/>
    <x v="19"/>
    <x v="575"/>
    <x v="576"/>
    <x v="542"/>
    <n v="2"/>
    <x v="11"/>
    <s v="ESTACIÓN 06"/>
    <s v="CPOBLADO HUACHHUA"/>
    <x v="136"/>
    <x v="0"/>
    <x v="0"/>
    <x v="1"/>
    <x v="261"/>
    <x v="0"/>
    <n v="4"/>
    <n v="206"/>
    <x v="0"/>
    <x v="1"/>
    <n v="5.4644808743169399E-3"/>
    <x v="11"/>
    <x v="1"/>
    <s v="OK"/>
    <x v="0"/>
    <s v="OK"/>
    <x v="0"/>
    <x v="0"/>
    <n v="1"/>
    <n v="0"/>
    <n v="0"/>
    <n v="0"/>
    <x v="0"/>
    <x v="0"/>
    <x v="0"/>
  </r>
  <r>
    <n v="20451703901"/>
    <x v="19"/>
    <x v="19"/>
    <x v="576"/>
    <x v="577"/>
    <x v="543"/>
    <n v="2"/>
    <x v="2"/>
    <s v="ESTACIÓN 8 - ELIO"/>
    <s v="UV. MIRONES CHALET 428 LIMA - CERCADO"/>
    <x v="10"/>
    <x v="0"/>
    <x v="7"/>
    <x v="1"/>
    <x v="111"/>
    <x v="2"/>
    <n v="4"/>
    <n v="100"/>
    <x v="0"/>
    <x v="1"/>
    <n v="5.4644808743169399E-3"/>
    <x v="9"/>
    <x v="1"/>
    <s v="OK"/>
    <x v="0"/>
    <s v="OK"/>
    <x v="0"/>
    <x v="0"/>
    <n v="1"/>
    <n v="0"/>
    <n v="0"/>
    <n v="1"/>
    <x v="0"/>
    <x v="1"/>
    <x v="0"/>
  </r>
  <r>
    <n v="20451703901"/>
    <x v="19"/>
    <x v="19"/>
    <x v="577"/>
    <x v="578"/>
    <x v="544"/>
    <n v="2"/>
    <x v="67"/>
    <s v="ESTACIÓN 8 - ELIO"/>
    <s v="MZ. P3 LT. 24 ASENT. H. OLLANTAY P. ALTA"/>
    <x v="53"/>
    <x v="0"/>
    <x v="7"/>
    <x v="1"/>
    <x v="182"/>
    <x v="2"/>
    <n v="4"/>
    <n v="100"/>
    <x v="0"/>
    <x v="1"/>
    <n v="5.4644808743169399E-3"/>
    <x v="11"/>
    <x v="1"/>
    <s v="OK"/>
    <x v="0"/>
    <s v="OK"/>
    <x v="0"/>
    <x v="0"/>
    <n v="1"/>
    <n v="0"/>
    <n v="0"/>
    <n v="1"/>
    <x v="0"/>
    <x v="1"/>
    <x v="0"/>
  </r>
  <r>
    <n v="20451703901"/>
    <x v="19"/>
    <x v="19"/>
    <x v="578"/>
    <x v="579"/>
    <x v="545"/>
    <n v="2"/>
    <x v="18"/>
    <s v="ESTACIÓN 06"/>
    <s v="MZ D LT 2 "/>
    <x v="95"/>
    <x v="0"/>
    <x v="0"/>
    <x v="1"/>
    <x v="277"/>
    <x v="0"/>
    <n v="4"/>
    <n v="205"/>
    <x v="0"/>
    <x v="1"/>
    <n v="5.4644808743169399E-3"/>
    <x v="8"/>
    <x v="1"/>
    <s v="OK"/>
    <x v="0"/>
    <s v="OK"/>
    <x v="0"/>
    <x v="0"/>
    <n v="1"/>
    <n v="0"/>
    <n v="0"/>
    <n v="0"/>
    <x v="0"/>
    <x v="0"/>
    <x v="0"/>
  </r>
  <r>
    <n v="20451703901"/>
    <x v="19"/>
    <x v="19"/>
    <x v="579"/>
    <x v="580"/>
    <x v="546"/>
    <n v="2"/>
    <x v="11"/>
    <s v="ESTACIÓN 06"/>
    <s v="JR. ANDALUCIA MZ. 15 LT. 13"/>
    <x v="137"/>
    <x v="0"/>
    <x v="0"/>
    <x v="1"/>
    <x v="11"/>
    <x v="0"/>
    <n v="4"/>
    <n v="216"/>
    <x v="0"/>
    <x v="1"/>
    <n v="5.4644808743169399E-3"/>
    <x v="8"/>
    <x v="1"/>
    <s v="OK"/>
    <x v="0"/>
    <s v="OK"/>
    <x v="0"/>
    <x v="0"/>
    <n v="1"/>
    <n v="0"/>
    <n v="0"/>
    <n v="0"/>
    <x v="0"/>
    <x v="0"/>
    <x v="0"/>
  </r>
  <r>
    <n v="20451703901"/>
    <x v="19"/>
    <x v="19"/>
    <x v="580"/>
    <x v="581"/>
    <x v="547"/>
    <n v="2"/>
    <x v="18"/>
    <s v="ESTACIÓN 06"/>
    <s v="ASOC. VIV. INTI MZ. C LT. 10"/>
    <x v="53"/>
    <x v="0"/>
    <x v="0"/>
    <x v="1"/>
    <x v="278"/>
    <x v="0"/>
    <n v="4"/>
    <n v="216"/>
    <x v="0"/>
    <x v="1"/>
    <n v="5.4644808743169399E-3"/>
    <x v="11"/>
    <x v="1"/>
    <s v="OK"/>
    <x v="0"/>
    <s v="OK"/>
    <x v="0"/>
    <x v="0"/>
    <n v="1"/>
    <n v="0"/>
    <n v="0"/>
    <n v="0"/>
    <x v="0"/>
    <x v="0"/>
    <x v="0"/>
  </r>
  <r>
    <n v="20451703901"/>
    <x v="19"/>
    <x v="19"/>
    <x v="581"/>
    <x v="582"/>
    <x v="548"/>
    <n v="2"/>
    <x v="119"/>
    <s v="ESTACIÓN 06"/>
    <s v="ANEXO TOMAC"/>
    <x v="138"/>
    <x v="0"/>
    <x v="5"/>
    <x v="1"/>
    <x v="276"/>
    <x v="2"/>
    <n v="4"/>
    <n v="140.5"/>
    <x v="0"/>
    <x v="1"/>
    <n v="5.4644808743169399E-3"/>
    <x v="12"/>
    <x v="1"/>
    <s v="OK"/>
    <x v="0"/>
    <s v="OK"/>
    <x v="0"/>
    <x v="0"/>
    <n v="1"/>
    <n v="0"/>
    <n v="0"/>
    <n v="1"/>
    <x v="0"/>
    <x v="1"/>
    <x v="0"/>
  </r>
  <r>
    <n v="20451703901"/>
    <x v="19"/>
    <x v="19"/>
    <x v="582"/>
    <x v="583"/>
    <x v="549"/>
    <n v="2"/>
    <x v="11"/>
    <s v="ESTACIÓN 06"/>
    <s v="CALLE 16 DE MARZO 2015 MZ. X1 LT. 43 URB. GALVEZ"/>
    <x v="44"/>
    <x v="0"/>
    <x v="5"/>
    <x v="1"/>
    <x v="26"/>
    <x v="2"/>
    <n v="4"/>
    <n v="140"/>
    <x v="0"/>
    <x v="1"/>
    <n v="5.4644808743169399E-3"/>
    <x v="8"/>
    <x v="1"/>
    <s v="OK"/>
    <x v="0"/>
    <s v="OK"/>
    <x v="0"/>
    <x v="0"/>
    <n v="1"/>
    <n v="0"/>
    <n v="0"/>
    <n v="1"/>
    <x v="0"/>
    <x v="1"/>
    <x v="0"/>
  </r>
  <r>
    <n v="20451703901"/>
    <x v="19"/>
    <x v="19"/>
    <x v="583"/>
    <x v="584"/>
    <x v="550"/>
    <n v="1"/>
    <x v="27"/>
    <s v="ESTACIÓN 06"/>
    <s v="MZ LOS LAURELES 0"/>
    <x v="139"/>
    <x v="0"/>
    <x v="0"/>
    <x v="1"/>
    <x v="279"/>
    <x v="0"/>
    <n v="1"/>
    <n v="192"/>
    <x v="0"/>
    <x v="1"/>
    <n v="5.4644808743169399E-3"/>
    <x v="12"/>
    <x v="1"/>
    <s v="OK"/>
    <x v="0"/>
    <s v="OK"/>
    <x v="0"/>
    <x v="0"/>
    <n v="1"/>
    <n v="0"/>
    <n v="0"/>
    <n v="0"/>
    <x v="0"/>
    <x v="0"/>
    <x v="0"/>
  </r>
  <r>
    <n v="20451703901"/>
    <x v="19"/>
    <x v="19"/>
    <x v="584"/>
    <x v="585"/>
    <x v="551"/>
    <n v="2"/>
    <x v="8"/>
    <s v="ESTACIÓN 06"/>
    <s v="2 DE MAYO 1422 P.J. NUEV ESPERANZA"/>
    <x v="8"/>
    <x v="0"/>
    <x v="0"/>
    <x v="1"/>
    <x v="278"/>
    <x v="0"/>
    <n v="4"/>
    <n v="216"/>
    <x v="0"/>
    <x v="1"/>
    <n v="5.4644808743169399E-3"/>
    <x v="6"/>
    <x v="1"/>
    <s v="OK"/>
    <x v="0"/>
    <s v="OK"/>
    <x v="0"/>
    <x v="0"/>
    <n v="1"/>
    <n v="0"/>
    <n v="0"/>
    <n v="0"/>
    <x v="0"/>
    <x v="0"/>
    <x v="0"/>
  </r>
  <r>
    <n v="20451703901"/>
    <x v="19"/>
    <x v="19"/>
    <x v="585"/>
    <x v="586"/>
    <x v="552"/>
    <n v="2"/>
    <x v="11"/>
    <s v="ESTACIÓN 06"/>
    <s v="MZ K LT 11 LURIGANCHO"/>
    <x v="50"/>
    <x v="0"/>
    <x v="0"/>
    <x v="1"/>
    <x v="280"/>
    <x v="0"/>
    <n v="4"/>
    <n v="216"/>
    <x v="0"/>
    <x v="1"/>
    <n v="5.4644808743169399E-3"/>
    <x v="11"/>
    <x v="1"/>
    <s v="OK"/>
    <x v="0"/>
    <s v="OK"/>
    <x v="0"/>
    <x v="0"/>
    <n v="1"/>
    <n v="0"/>
    <n v="0"/>
    <n v="0"/>
    <x v="0"/>
    <x v="0"/>
    <x v="0"/>
  </r>
  <r>
    <n v="20451703903"/>
    <x v="19"/>
    <x v="19"/>
    <x v="586"/>
    <x v="587"/>
    <x v="553"/>
    <n v="2"/>
    <x v="67"/>
    <s v="ESTACIÓN 8 - ELIO"/>
    <s v="CARR. PRINCIPAL LT. 8 C.P ALTO PALOMAR SECTOR II"/>
    <x v="140"/>
    <x v="0"/>
    <x v="0"/>
    <x v="1"/>
    <x v="271"/>
    <x v="0"/>
    <n v="4"/>
    <n v="210"/>
    <x v="0"/>
    <x v="1"/>
    <n v="5.4644808743169399E-3"/>
    <x v="10"/>
    <x v="1"/>
    <s v="OK"/>
    <x v="0"/>
    <s v="OK"/>
    <x v="0"/>
    <x v="0"/>
    <n v="1"/>
    <n v="0"/>
    <n v="0"/>
    <n v="0"/>
    <x v="0"/>
    <x v="0"/>
    <x v="0"/>
  </r>
  <r>
    <n v="20451703901"/>
    <x v="19"/>
    <x v="19"/>
    <x v="587"/>
    <x v="588"/>
    <x v="554"/>
    <n v="2"/>
    <x v="18"/>
    <s v="ESTACIÓN 06"/>
    <s v="SECTOR 6 GRUPO 13 MZ. K LT.9"/>
    <x v="19"/>
    <x v="0"/>
    <x v="0"/>
    <x v="1"/>
    <x v="135"/>
    <x v="0"/>
    <n v="4"/>
    <n v="216"/>
    <x v="0"/>
    <x v="1"/>
    <n v="5.4644808743169399E-3"/>
    <x v="9"/>
    <x v="1"/>
    <s v="OK"/>
    <x v="0"/>
    <s v="OK"/>
    <x v="0"/>
    <x v="0"/>
    <n v="1"/>
    <n v="0"/>
    <n v="0"/>
    <n v="0"/>
    <x v="0"/>
    <x v="0"/>
    <x v="0"/>
  </r>
  <r>
    <n v="20451703901"/>
    <x v="19"/>
    <x v="19"/>
    <x v="588"/>
    <x v="589"/>
    <x v="555"/>
    <n v="1"/>
    <x v="120"/>
    <s v="ESTACIÓN 06"/>
    <s v=" MZ. 181 LT. 29"/>
    <x v="3"/>
    <x v="0"/>
    <x v="0"/>
    <x v="1"/>
    <x v="281"/>
    <x v="0"/>
    <n v="1"/>
    <n v="196"/>
    <x v="0"/>
    <x v="1"/>
    <n v="5.4644808743169399E-3"/>
    <x v="12"/>
    <x v="1"/>
    <s v="OK"/>
    <x v="0"/>
    <s v="OK"/>
    <x v="0"/>
    <x v="0"/>
    <n v="1"/>
    <n v="0"/>
    <n v="0"/>
    <n v="0"/>
    <x v="0"/>
    <x v="0"/>
    <x v="0"/>
  </r>
  <r>
    <n v="20451703901"/>
    <x v="19"/>
    <x v="19"/>
    <x v="589"/>
    <x v="590"/>
    <x v="556"/>
    <n v="2"/>
    <x v="121"/>
    <s v="ESTACIÓN 06"/>
    <s v="AH EL MIRADOR DE LURIN MZ H LT 13"/>
    <x v="91"/>
    <x v="0"/>
    <x v="0"/>
    <x v="1"/>
    <x v="282"/>
    <x v="0"/>
    <n v="4"/>
    <n v="216"/>
    <x v="0"/>
    <x v="1"/>
    <n v="5.4644808743169399E-3"/>
    <x v="11"/>
    <x v="1"/>
    <s v="OK"/>
    <x v="0"/>
    <s v="OK"/>
    <x v="0"/>
    <x v="0"/>
    <n v="1"/>
    <n v="0"/>
    <n v="0"/>
    <n v="0"/>
    <x v="0"/>
    <x v="0"/>
    <x v="0"/>
  </r>
  <r>
    <n v="20451703901"/>
    <x v="19"/>
    <x v="19"/>
    <x v="590"/>
    <x v="591"/>
    <x v="557"/>
    <n v="2"/>
    <x v="18"/>
    <s v="ESTACIÓN 8 - ELIO"/>
    <s v="CP CASTILLA PATA"/>
    <x v="141"/>
    <x v="0"/>
    <x v="0"/>
    <x v="1"/>
    <x v="283"/>
    <x v="0"/>
    <n v="4"/>
    <n v="210"/>
    <x v="0"/>
    <x v="1"/>
    <n v="5.4644808743169399E-3"/>
    <x v="10"/>
    <x v="1"/>
    <s v="OK"/>
    <x v="0"/>
    <s v="OK"/>
    <x v="0"/>
    <x v="0"/>
    <n v="1"/>
    <n v="0"/>
    <n v="0"/>
    <n v="0"/>
    <x v="0"/>
    <x v="0"/>
    <x v="0"/>
  </r>
  <r>
    <n v="20451703901"/>
    <x v="19"/>
    <x v="19"/>
    <x v="591"/>
    <x v="592"/>
    <x v="558"/>
    <n v="2"/>
    <x v="11"/>
    <s v="ESTACIÓN 8 - ELIO"/>
    <s v="AV. LIBERTAD CPME. CASTILLA PATA LT.1"/>
    <x v="141"/>
    <x v="0"/>
    <x v="0"/>
    <x v="1"/>
    <x v="56"/>
    <x v="0"/>
    <n v="4"/>
    <n v="210"/>
    <x v="0"/>
    <x v="1"/>
    <n v="5.4644808743169399E-3"/>
    <x v="12"/>
    <x v="1"/>
    <s v="OK"/>
    <x v="0"/>
    <s v="OK"/>
    <x v="0"/>
    <x v="0"/>
    <n v="1"/>
    <n v="0"/>
    <n v="0"/>
    <n v="0"/>
    <x v="0"/>
    <x v="0"/>
    <x v="0"/>
  </r>
  <r>
    <n v="20451703901"/>
    <x v="19"/>
    <x v="19"/>
    <x v="592"/>
    <x v="593"/>
    <x v="559"/>
    <n v="2"/>
    <x v="11"/>
    <s v="ESTACIÓN 06"/>
    <s v="MZ E LT1 AH LOS ANGELES SECTOR4"/>
    <x v="0"/>
    <x v="0"/>
    <x v="0"/>
    <x v="1"/>
    <x v="284"/>
    <x v="0"/>
    <n v="4"/>
    <n v="202"/>
    <x v="0"/>
    <x v="1"/>
    <n v="5.4644808743169399E-3"/>
    <x v="9"/>
    <x v="1"/>
    <s v="OK"/>
    <x v="0"/>
    <s v="OK"/>
    <x v="0"/>
    <x v="0"/>
    <n v="1"/>
    <n v="0"/>
    <n v="0"/>
    <n v="0"/>
    <x v="0"/>
    <x v="0"/>
    <x v="0"/>
  </r>
  <r>
    <n v="20451703901"/>
    <x v="19"/>
    <x v="19"/>
    <x v="593"/>
    <x v="594"/>
    <x v="560"/>
    <n v="2"/>
    <x v="67"/>
    <s v="ESTACIÓN 8 - ELIO"/>
    <s v="AV SANTA ROSA 171 MILAGRO DE JESUS"/>
    <x v="0"/>
    <x v="0"/>
    <x v="4"/>
    <x v="1"/>
    <x v="46"/>
    <x v="2"/>
    <n v="4"/>
    <n v="50"/>
    <x v="0"/>
    <x v="1"/>
    <n v="5.4644808743169399E-3"/>
    <x v="8"/>
    <x v="1"/>
    <s v="OK"/>
    <x v="0"/>
    <s v="OK"/>
    <x v="0"/>
    <x v="0"/>
    <n v="1"/>
    <n v="0"/>
    <n v="0"/>
    <n v="1"/>
    <x v="0"/>
    <x v="1"/>
    <x v="0"/>
  </r>
  <r>
    <n v="20451703901"/>
    <x v="19"/>
    <x v="19"/>
    <x v="594"/>
    <x v="595"/>
    <x v="561"/>
    <n v="2"/>
    <x v="18"/>
    <s v="ESTACIÓN 06"/>
    <s v="JR. AMARILIS 342"/>
    <x v="142"/>
    <x v="0"/>
    <x v="0"/>
    <x v="1"/>
    <x v="177"/>
    <x v="0"/>
    <n v="4"/>
    <n v="216"/>
    <x v="0"/>
    <x v="1"/>
    <n v="5.4644808743169399E-3"/>
    <x v="11"/>
    <x v="1"/>
    <s v="OK"/>
    <x v="0"/>
    <s v="OK"/>
    <x v="0"/>
    <x v="0"/>
    <n v="1"/>
    <n v="0"/>
    <n v="0"/>
    <n v="0"/>
    <x v="0"/>
    <x v="0"/>
    <x v="0"/>
  </r>
  <r>
    <n v="20451703903"/>
    <x v="19"/>
    <x v="19"/>
    <x v="595"/>
    <x v="596"/>
    <x v="562"/>
    <n v="2"/>
    <x v="18"/>
    <s v="ESTACIÓN 8 - ELIO"/>
    <s v="CALLE RICARDO ANGULO 1340 URB. CORPAC"/>
    <x v="143"/>
    <x v="0"/>
    <x v="0"/>
    <x v="1"/>
    <x v="285"/>
    <x v="0"/>
    <n v="4"/>
    <n v="190"/>
    <x v="0"/>
    <x v="1"/>
    <n v="5.4644808743169399E-3"/>
    <x v="6"/>
    <x v="1"/>
    <s v="OK"/>
    <x v="0"/>
    <s v="OK"/>
    <x v="0"/>
    <x v="0"/>
    <n v="1"/>
    <n v="0"/>
    <n v="0"/>
    <n v="0"/>
    <x v="0"/>
    <x v="0"/>
    <x v="0"/>
  </r>
  <r>
    <n v="20451703903"/>
    <x v="19"/>
    <x v="19"/>
    <x v="596"/>
    <x v="597"/>
    <x v="563"/>
    <n v="2"/>
    <x v="18"/>
    <s v="ESTACIÓN 8 - ELIO"/>
    <s v="CALLE AMANCAES 13 P.J. SAN JUAN DE AMANCAES"/>
    <x v="13"/>
    <x v="0"/>
    <x v="0"/>
    <x v="3"/>
    <x v="286"/>
    <x v="0"/>
    <n v="4"/>
    <n v="220"/>
    <x v="0"/>
    <x v="1"/>
    <n v="5.4644808743169399E-3"/>
    <x v="8"/>
    <x v="1"/>
    <s v="OK"/>
    <x v="0"/>
    <s v="OK"/>
    <x v="0"/>
    <x v="0"/>
    <n v="1"/>
    <n v="0"/>
    <n v="0"/>
    <n v="0"/>
    <x v="0"/>
    <x v="0"/>
    <x v="0"/>
  </r>
  <r>
    <n v="20451703901"/>
    <x v="19"/>
    <x v="19"/>
    <x v="597"/>
    <x v="598"/>
    <x v="564"/>
    <n v="1"/>
    <x v="84"/>
    <s v="ESTACIÓN 06"/>
    <s v="ASOC. SAPOTAL II MZ E6 LT 21"/>
    <x v="27"/>
    <x v="0"/>
    <x v="0"/>
    <x v="1"/>
    <x v="45"/>
    <x v="0"/>
    <n v="1"/>
    <n v="196"/>
    <x v="0"/>
    <x v="1"/>
    <n v="5.4644808743169399E-3"/>
    <x v="6"/>
    <x v="1"/>
    <s v="OK"/>
    <x v="5"/>
    <s v="OK"/>
    <x v="0"/>
    <x v="0"/>
    <n v="1"/>
    <n v="1"/>
    <n v="0"/>
    <n v="0"/>
    <x v="0"/>
    <x v="0"/>
    <x v="0"/>
  </r>
  <r>
    <n v="20451703901"/>
    <x v="19"/>
    <x v="19"/>
    <x v="598"/>
    <x v="599"/>
    <x v="565"/>
    <n v="2"/>
    <x v="4"/>
    <s v="ESTACIÓN 06"/>
    <s v="JR. CONDESUYOS 611 PISO 2"/>
    <x v="10"/>
    <x v="0"/>
    <x v="0"/>
    <x v="1"/>
    <x v="260"/>
    <x v="0"/>
    <n v="4"/>
    <n v="212"/>
    <x v="0"/>
    <x v="1"/>
    <n v="5.4644808743169399E-3"/>
    <x v="12"/>
    <x v="1"/>
    <s v="OK"/>
    <x v="0"/>
    <s v="OK"/>
    <x v="0"/>
    <x v="0"/>
    <n v="1"/>
    <n v="0"/>
    <n v="0"/>
    <n v="0"/>
    <x v="0"/>
    <x v="0"/>
    <x v="0"/>
  </r>
  <r>
    <n v="20451703903"/>
    <x v="19"/>
    <x v="19"/>
    <x v="599"/>
    <x v="600"/>
    <x v="566"/>
    <n v="2"/>
    <x v="4"/>
    <s v="ESTACIÓN 8 - ELIO"/>
    <s v="ALAN GARCIA PEREZ MZ. K LT 6 "/>
    <x v="101"/>
    <x v="0"/>
    <x v="0"/>
    <x v="1"/>
    <x v="139"/>
    <x v="0"/>
    <n v="4"/>
    <n v="200"/>
    <x v="0"/>
    <x v="1"/>
    <n v="5.4644808743169399E-3"/>
    <x v="10"/>
    <x v="1"/>
    <s v="OK"/>
    <x v="0"/>
    <s v="OK"/>
    <x v="0"/>
    <x v="0"/>
    <n v="1"/>
    <n v="0"/>
    <n v="0"/>
    <n v="0"/>
    <x v="0"/>
    <x v="0"/>
    <x v="0"/>
  </r>
  <r>
    <n v="20451703901"/>
    <x v="19"/>
    <x v="19"/>
    <x v="600"/>
    <x v="601"/>
    <x v="567"/>
    <n v="2"/>
    <x v="3"/>
    <s v="ESTACIÓN 06"/>
    <s v="URB. PEDRO RUIZ GALLO MZ. C LT. 29"/>
    <x v="6"/>
    <x v="0"/>
    <x v="7"/>
    <x v="1"/>
    <x v="11"/>
    <x v="2"/>
    <n v="4"/>
    <n v="98"/>
    <x v="0"/>
    <x v="1"/>
    <n v="5.4644808743169399E-3"/>
    <x v="6"/>
    <x v="1"/>
    <s v="OK"/>
    <x v="2"/>
    <s v="OK"/>
    <x v="0"/>
    <x v="0"/>
    <n v="1"/>
    <n v="1"/>
    <n v="0"/>
    <n v="1"/>
    <x v="0"/>
    <x v="1"/>
    <x v="0"/>
  </r>
  <r>
    <n v="20451703901"/>
    <x v="19"/>
    <x v="19"/>
    <x v="601"/>
    <x v="602"/>
    <x v="568"/>
    <n v="2"/>
    <x v="2"/>
    <s v="ESTACIÓN 06"/>
    <s v="U VECINAL PEDRO RUIZ GALLO MZ. C LT. 29A"/>
    <x v="6"/>
    <x v="0"/>
    <x v="0"/>
    <x v="1"/>
    <x v="287"/>
    <x v="0"/>
    <n v="4"/>
    <n v="89"/>
    <x v="0"/>
    <x v="1"/>
    <n v="5.4644808743169399E-3"/>
    <x v="12"/>
    <x v="1"/>
    <s v="OK"/>
    <x v="2"/>
    <s v="OK"/>
    <x v="0"/>
    <x v="0"/>
    <n v="1"/>
    <n v="1"/>
    <n v="0"/>
    <n v="0"/>
    <x v="0"/>
    <x v="0"/>
    <x v="0"/>
  </r>
  <r>
    <n v="20451703903"/>
    <x v="19"/>
    <x v="19"/>
    <x v="602"/>
    <x v="603"/>
    <x v="569"/>
    <n v="2"/>
    <x v="2"/>
    <s v="ESTACIÓN 8 - ELIO"/>
    <s v="CALLE VIRGEN DE FATIMA MZ. A LT. 21 VILLA FATIMA"/>
    <x v="6"/>
    <x v="0"/>
    <x v="0"/>
    <x v="1"/>
    <x v="288"/>
    <x v="0"/>
    <n v="4"/>
    <n v="210"/>
    <x v="0"/>
    <x v="1"/>
    <n v="5.4644808743169399E-3"/>
    <x v="6"/>
    <x v="1"/>
    <s v="OK"/>
    <x v="2"/>
    <s v="OK"/>
    <x v="0"/>
    <x v="0"/>
    <n v="1"/>
    <n v="1"/>
    <n v="0"/>
    <n v="0"/>
    <x v="0"/>
    <x v="0"/>
    <x v="0"/>
  </r>
  <r>
    <n v="20451703901"/>
    <x v="19"/>
    <x v="19"/>
    <x v="603"/>
    <x v="604"/>
    <x v="570"/>
    <n v="1"/>
    <x v="122"/>
    <s v="ESTACIÓN 8 - ELIO"/>
    <s v="CALLE HORACIO BALLON 103 URB. JACARANDA"/>
    <x v="144"/>
    <x v="0"/>
    <x v="22"/>
    <x v="1"/>
    <x v="289"/>
    <x v="2"/>
    <n v="1"/>
    <n v="200"/>
    <x v="0"/>
    <x v="1"/>
    <n v="5.4644808743169399E-3"/>
    <x v="6"/>
    <x v="1"/>
    <s v="OK"/>
    <x v="0"/>
    <s v="OK"/>
    <x v="0"/>
    <x v="0"/>
    <n v="1"/>
    <n v="0"/>
    <n v="0"/>
    <n v="1"/>
    <x v="0"/>
    <x v="1"/>
    <x v="0"/>
  </r>
  <r>
    <n v="20451703901"/>
    <x v="19"/>
    <x v="19"/>
    <x v="604"/>
    <x v="605"/>
    <x v="571"/>
    <n v="2"/>
    <x v="11"/>
    <s v="ESTACIÓN 06"/>
    <s v="AV LAS TORRES HUACHIPA MZ L LT 2A"/>
    <x v="50"/>
    <x v="0"/>
    <x v="0"/>
    <x v="1"/>
    <x v="282"/>
    <x v="0"/>
    <n v="4"/>
    <n v="216"/>
    <x v="0"/>
    <x v="1"/>
    <n v="5.4644808743169399E-3"/>
    <x v="11"/>
    <x v="1"/>
    <s v="OK"/>
    <x v="0"/>
    <s v="OK"/>
    <x v="0"/>
    <x v="0"/>
    <n v="1"/>
    <n v="0"/>
    <n v="0"/>
    <n v="0"/>
    <x v="0"/>
    <x v="0"/>
    <x v="0"/>
  </r>
  <r>
    <n v="20451703901"/>
    <x v="19"/>
    <x v="19"/>
    <x v="605"/>
    <x v="606"/>
    <x v="572"/>
    <n v="1"/>
    <x v="27"/>
    <s v="ESTACIÓN 8 - ELIO"/>
    <s v="CALLE BRONSINO 390"/>
    <x v="144"/>
    <x v="0"/>
    <x v="0"/>
    <x v="1"/>
    <x v="290"/>
    <x v="0"/>
    <n v="1"/>
    <n v="217.5"/>
    <x v="0"/>
    <x v="1"/>
    <n v="5.4644808743169399E-3"/>
    <x v="6"/>
    <x v="1"/>
    <s v="OK"/>
    <x v="0"/>
    <s v="OK"/>
    <x v="0"/>
    <x v="0"/>
    <n v="1"/>
    <n v="0"/>
    <n v="0"/>
    <n v="0"/>
    <x v="0"/>
    <x v="0"/>
    <x v="0"/>
  </r>
  <r>
    <n v="20451703901"/>
    <x v="19"/>
    <x v="19"/>
    <x v="606"/>
    <x v="607"/>
    <x v="573"/>
    <n v="1"/>
    <x v="123"/>
    <s v="ESTACIÓN 06"/>
    <s v="A.H.M.MICAELA BASTIDAS MZ.I LT.34"/>
    <x v="1"/>
    <x v="0"/>
    <x v="0"/>
    <x v="1"/>
    <x v="281"/>
    <x v="0"/>
    <n v="1"/>
    <n v="196"/>
    <x v="0"/>
    <x v="1"/>
    <n v="5.4644808743169399E-3"/>
    <x v="11"/>
    <x v="1"/>
    <s v="OK"/>
    <x v="1"/>
    <s v="OK"/>
    <x v="0"/>
    <x v="0"/>
    <n v="1"/>
    <n v="1"/>
    <n v="0"/>
    <n v="0"/>
    <x v="0"/>
    <x v="0"/>
    <x v="0"/>
  </r>
  <r>
    <n v="20451703901"/>
    <x v="19"/>
    <x v="19"/>
    <x v="607"/>
    <x v="608"/>
    <x v="574"/>
    <n v="1"/>
    <x v="84"/>
    <s v="ESTACIÓN 8 - ELIO"/>
    <s v="JR. SANDIA 877"/>
    <x v="145"/>
    <x v="0"/>
    <x v="8"/>
    <x v="1"/>
    <x v="180"/>
    <x v="2"/>
    <n v="1"/>
    <n v="210"/>
    <x v="0"/>
    <x v="1"/>
    <n v="5.4644808743169399E-3"/>
    <x v="6"/>
    <x v="1"/>
    <s v="OK"/>
    <x v="0"/>
    <s v="OK"/>
    <x v="0"/>
    <x v="0"/>
    <n v="1"/>
    <n v="0"/>
    <n v="0"/>
    <n v="1"/>
    <x v="0"/>
    <x v="1"/>
    <x v="0"/>
  </r>
  <r>
    <n v="20451703901"/>
    <x v="19"/>
    <x v="19"/>
    <x v="608"/>
    <x v="609"/>
    <x v="575"/>
    <n v="1"/>
    <x v="124"/>
    <s v="ESTACIÓN 06"/>
    <s v="AV. JAVIER PRADO 7130 PISO 3 URB. RES. COVIMA MZ. D1 LT. 29"/>
    <x v="47"/>
    <x v="0"/>
    <x v="0"/>
    <x v="1"/>
    <x v="260"/>
    <x v="0"/>
    <n v="1"/>
    <n v="196"/>
    <x v="0"/>
    <x v="1"/>
    <n v="5.4644808743169399E-3"/>
    <x v="11"/>
    <x v="1"/>
    <s v="OK"/>
    <x v="0"/>
    <s v="OK"/>
    <x v="0"/>
    <x v="0"/>
    <n v="1"/>
    <n v="0"/>
    <n v="0"/>
    <n v="0"/>
    <x v="0"/>
    <x v="0"/>
    <x v="0"/>
  </r>
  <r>
    <s v="20554579133"/>
    <x v="20"/>
    <x v="20"/>
    <x v="609"/>
    <x v="610"/>
    <x v="576"/>
    <n v="1"/>
    <x v="125"/>
    <s v="E12"/>
    <s v="CALLE DOS DE MAYO 450-462 TORRE A DPTO. 103"/>
    <x v="146"/>
    <x v="0"/>
    <x v="0"/>
    <x v="1"/>
    <x v="255"/>
    <x v="0"/>
    <n v="1"/>
    <n v="208"/>
    <x v="0"/>
    <x v="1"/>
    <n v="1.1904761904761904E-2"/>
    <x v="9"/>
    <x v="1"/>
    <s v="OK"/>
    <x v="0"/>
    <s v="OK"/>
    <x v="0"/>
    <x v="0"/>
    <n v="1"/>
    <n v="0"/>
    <n v="0"/>
    <n v="0"/>
    <x v="0"/>
    <x v="0"/>
    <x v="0"/>
  </r>
  <r>
    <s v="20554579133"/>
    <x v="20"/>
    <x v="20"/>
    <x v="610"/>
    <x v="611"/>
    <x v="577"/>
    <n v="1"/>
    <x v="96"/>
    <s v="E11"/>
    <s v="ASENT. H. VILLA MERCEDEZ MZ. F LT. 8"/>
    <x v="10"/>
    <x v="0"/>
    <x v="0"/>
    <x v="1"/>
    <x v="291"/>
    <x v="0"/>
    <n v="1"/>
    <n v="208"/>
    <x v="0"/>
    <x v="1"/>
    <n v="1.1904761904761904E-2"/>
    <x v="9"/>
    <x v="1"/>
    <s v="OK"/>
    <x v="0"/>
    <s v="OK"/>
    <x v="0"/>
    <x v="0"/>
    <n v="1"/>
    <n v="0"/>
    <n v="0"/>
    <n v="0"/>
    <x v="0"/>
    <x v="0"/>
    <x v="0"/>
  </r>
  <r>
    <s v="20554579133"/>
    <x v="20"/>
    <x v="20"/>
    <x v="611"/>
    <x v="612"/>
    <x v="578"/>
    <n v="1"/>
    <x v="126"/>
    <s v="E17"/>
    <s v="CALLE TRES MZ. LT. 11 COOP. V. HUERTOS DE SANTA ROSA"/>
    <x v="10"/>
    <x v="0"/>
    <x v="0"/>
    <x v="1"/>
    <x v="291"/>
    <x v="0"/>
    <n v="1"/>
    <n v="208"/>
    <x v="0"/>
    <x v="1"/>
    <n v="1.1904761904761904E-2"/>
    <x v="12"/>
    <x v="1"/>
    <s v="OK"/>
    <x v="0"/>
    <s v="OK"/>
    <x v="0"/>
    <x v="0"/>
    <n v="1"/>
    <n v="0"/>
    <n v="0"/>
    <n v="0"/>
    <x v="0"/>
    <x v="0"/>
    <x v="0"/>
  </r>
  <r>
    <s v="20554579133"/>
    <x v="20"/>
    <x v="20"/>
    <x v="612"/>
    <x v="613"/>
    <x v="579"/>
    <n v="1"/>
    <x v="125"/>
    <s v="E04"/>
    <s v="GRUPO III SECTOR C HUASCAR CANTO GRANDE MZ. 157 LT. 17"/>
    <x v="15"/>
    <x v="0"/>
    <x v="0"/>
    <x v="1"/>
    <x v="292"/>
    <x v="0"/>
    <n v="1"/>
    <n v="208"/>
    <x v="0"/>
    <x v="1"/>
    <n v="1.1904761904761904E-2"/>
    <x v="6"/>
    <x v="1"/>
    <s v="OK"/>
    <x v="0"/>
    <s v="OK"/>
    <x v="0"/>
    <x v="0"/>
    <n v="1"/>
    <n v="0"/>
    <n v="0"/>
    <n v="0"/>
    <x v="0"/>
    <x v="0"/>
    <x v="0"/>
  </r>
  <r>
    <s v="20554579133"/>
    <x v="20"/>
    <x v="20"/>
    <x v="613"/>
    <x v="614"/>
    <x v="580"/>
    <n v="1"/>
    <x v="28"/>
    <s v="E19, E18"/>
    <s v="MZ H LT 2 ASOCIACION PROMURBAN  LAS TERRAZAS DEL PUEBLO"/>
    <x v="1"/>
    <x v="0"/>
    <x v="0"/>
    <x v="1"/>
    <x v="293"/>
    <x v="0"/>
    <n v="1"/>
    <n v="208"/>
    <x v="0"/>
    <x v="1"/>
    <n v="1.1904761904761904E-2"/>
    <x v="12"/>
    <x v="1"/>
    <s v="OK"/>
    <x v="1"/>
    <s v="OK"/>
    <x v="0"/>
    <x v="0"/>
    <n v="1"/>
    <n v="1"/>
    <n v="0"/>
    <n v="0"/>
    <x v="0"/>
    <x v="0"/>
    <x v="0"/>
  </r>
  <r>
    <s v="20554579133"/>
    <x v="20"/>
    <x v="20"/>
    <x v="614"/>
    <x v="615"/>
    <x v="581"/>
    <n v="1"/>
    <x v="28"/>
    <s v="E25, E26, COLA DE MANIOBRAS"/>
    <s v="CALLE SAN LUIS GONZAGA 722"/>
    <x v="15"/>
    <x v="1"/>
    <x v="0"/>
    <x v="1"/>
    <x v="58"/>
    <x v="0"/>
    <n v="1"/>
    <n v="208"/>
    <x v="0"/>
    <x v="1"/>
    <n v="1.1904761904761904E-2"/>
    <x v="6"/>
    <x v="1"/>
    <s v="OK"/>
    <x v="0"/>
    <s v="OK"/>
    <x v="0"/>
    <x v="0"/>
    <n v="1"/>
    <n v="0"/>
    <n v="0"/>
    <n v="0"/>
    <x v="0"/>
    <x v="0"/>
    <x v="0"/>
  </r>
  <r>
    <s v="20554579133"/>
    <x v="20"/>
    <x v="20"/>
    <x v="615"/>
    <x v="616"/>
    <x v="582"/>
    <n v="1"/>
    <x v="28"/>
    <s v="PV26"/>
    <s v="ASENT. H. LA ALBORADA II ETAPA A MZ 27 LT 5"/>
    <x v="4"/>
    <x v="0"/>
    <x v="0"/>
    <x v="1"/>
    <x v="58"/>
    <x v="0"/>
    <n v="1"/>
    <n v="208"/>
    <x v="0"/>
    <x v="1"/>
    <n v="1.1904761904761904E-2"/>
    <x v="7"/>
    <x v="1"/>
    <s v="OK"/>
    <x v="0"/>
    <s v="OK"/>
    <x v="0"/>
    <x v="0"/>
    <n v="1"/>
    <n v="0"/>
    <n v="0"/>
    <n v="0"/>
    <x v="0"/>
    <x v="0"/>
    <x v="0"/>
  </r>
  <r>
    <s v="20554579133"/>
    <x v="20"/>
    <x v="20"/>
    <x v="616"/>
    <x v="617"/>
    <x v="583"/>
    <n v="1"/>
    <x v="28"/>
    <s v="E23, PV23"/>
    <s v="JR. AMARU YUPANQUI #173"/>
    <x v="8"/>
    <x v="0"/>
    <x v="0"/>
    <x v="1"/>
    <x v="294"/>
    <x v="0"/>
    <n v="1"/>
    <n v="208"/>
    <x v="0"/>
    <x v="1"/>
    <n v="1.1904761904761904E-2"/>
    <x v="12"/>
    <x v="1"/>
    <s v="OK"/>
    <x v="0"/>
    <s v="OK"/>
    <x v="0"/>
    <x v="0"/>
    <n v="1"/>
    <n v="0"/>
    <n v="0"/>
    <n v="0"/>
    <x v="0"/>
    <x v="0"/>
    <x v="0"/>
  </r>
  <r>
    <s v="20554579133"/>
    <x v="20"/>
    <x v="20"/>
    <x v="617"/>
    <x v="618"/>
    <x v="313"/>
    <n v="1"/>
    <x v="28"/>
    <s v="PV23"/>
    <s v="ZONA &quot;A&quot; AA.HH. EL AMAUTA MZ. P LT.5"/>
    <x v="1"/>
    <x v="0"/>
    <x v="0"/>
    <x v="1"/>
    <x v="295"/>
    <x v="0"/>
    <n v="1"/>
    <n v="208"/>
    <x v="0"/>
    <x v="1"/>
    <n v="1.1904761904761904E-2"/>
    <x v="9"/>
    <x v="1"/>
    <s v="OK"/>
    <x v="1"/>
    <s v="OK"/>
    <x v="0"/>
    <x v="0"/>
    <n v="1"/>
    <n v="1"/>
    <n v="0"/>
    <n v="0"/>
    <x v="0"/>
    <x v="0"/>
    <x v="0"/>
  </r>
  <r>
    <s v="20554579133"/>
    <x v="20"/>
    <x v="20"/>
    <x v="618"/>
    <x v="619"/>
    <x v="584"/>
    <n v="1"/>
    <x v="96"/>
    <s v="E23, PV23"/>
    <s v="MZ. A LT. 4 ASOC. COMUNAL LAS FLORES I ETAPA"/>
    <x v="15"/>
    <x v="0"/>
    <x v="0"/>
    <x v="1"/>
    <x v="295"/>
    <x v="0"/>
    <n v="1"/>
    <n v="208"/>
    <x v="0"/>
    <x v="1"/>
    <n v="1.1904761904761904E-2"/>
    <x v="9"/>
    <x v="1"/>
    <s v="OK"/>
    <x v="0"/>
    <s v="OK"/>
    <x v="0"/>
    <x v="0"/>
    <n v="1"/>
    <n v="0"/>
    <n v="0"/>
    <n v="0"/>
    <x v="0"/>
    <x v="0"/>
    <x v="0"/>
  </r>
  <r>
    <s v="20554579133"/>
    <x v="20"/>
    <x v="20"/>
    <x v="619"/>
    <x v="620"/>
    <x v="585"/>
    <n v="1"/>
    <x v="96"/>
    <s v="E04, E03, E02, E01, E19, E18, E17, E14, E15"/>
    <s v="CA. H MZ. C LT. 01 AGRUP. FAM. LOS PORTALES DE SANTA MARIA"/>
    <x v="15"/>
    <x v="0"/>
    <x v="0"/>
    <x v="1"/>
    <x v="296"/>
    <x v="0"/>
    <n v="1"/>
    <n v="208"/>
    <x v="0"/>
    <x v="1"/>
    <n v="1.1904761904761904E-2"/>
    <x v="9"/>
    <x v="1"/>
    <s v="OK"/>
    <x v="0"/>
    <s v="OK"/>
    <x v="0"/>
    <x v="0"/>
    <n v="1"/>
    <n v="0"/>
    <n v="0"/>
    <n v="0"/>
    <x v="0"/>
    <x v="0"/>
    <x v="0"/>
  </r>
  <r>
    <s v="20554579133"/>
    <x v="20"/>
    <x v="20"/>
    <x v="620"/>
    <x v="621"/>
    <x v="586"/>
    <n v="1"/>
    <x v="96"/>
    <s v="E14, E17"/>
    <s v="AV. GRAL VIDAL 520 TABLADA DE LURIN"/>
    <x v="8"/>
    <x v="0"/>
    <x v="0"/>
    <x v="1"/>
    <x v="297"/>
    <x v="0"/>
    <n v="1"/>
    <n v="208"/>
    <x v="0"/>
    <x v="1"/>
    <n v="1.1904761904761904E-2"/>
    <x v="6"/>
    <x v="1"/>
    <s v="OK"/>
    <x v="0"/>
    <s v="OK"/>
    <x v="0"/>
    <x v="0"/>
    <n v="1"/>
    <n v="0"/>
    <n v="0"/>
    <n v="0"/>
    <x v="0"/>
    <x v="0"/>
    <x v="0"/>
  </r>
  <r>
    <s v="20554579133"/>
    <x v="20"/>
    <x v="20"/>
    <x v="621"/>
    <x v="622"/>
    <x v="587"/>
    <n v="1"/>
    <x v="28"/>
    <s v="E11, E14, E15"/>
    <s v="MZ L LT 02 A.H. 18 DE OCTUBRE"/>
    <x v="2"/>
    <x v="0"/>
    <x v="0"/>
    <x v="1"/>
    <x v="298"/>
    <x v="0"/>
    <n v="1"/>
    <n v="208"/>
    <x v="0"/>
    <x v="1"/>
    <n v="1.1904761904761904E-2"/>
    <x v="8"/>
    <x v="1"/>
    <s v="OK"/>
    <x v="2"/>
    <s v="OK"/>
    <x v="0"/>
    <x v="0"/>
    <n v="1"/>
    <n v="1"/>
    <n v="0"/>
    <n v="0"/>
    <x v="0"/>
    <x v="0"/>
    <x v="0"/>
  </r>
  <r>
    <s v="20554579133"/>
    <x v="20"/>
    <x v="20"/>
    <x v="621"/>
    <x v="623"/>
    <x v="588"/>
    <n v="1"/>
    <x v="127"/>
    <s v="E25, E14, E15"/>
    <s v="PSJ LOS BOSQUES AGR. HACIA EL DESARROLLO MZ- M LT- 05"/>
    <x v="15"/>
    <x v="0"/>
    <x v="0"/>
    <x v="1"/>
    <x v="299"/>
    <x v="0"/>
    <n v="1"/>
    <n v="208"/>
    <x v="0"/>
    <x v="1"/>
    <n v="1.1904761904761904E-2"/>
    <x v="7"/>
    <x v="1"/>
    <s v="OK"/>
    <x v="0"/>
    <s v="OK"/>
    <x v="0"/>
    <x v="0"/>
    <n v="1"/>
    <n v="0"/>
    <n v="0"/>
    <n v="0"/>
    <x v="0"/>
    <x v="0"/>
    <x v="0"/>
  </r>
  <r>
    <s v="20554579133"/>
    <x v="20"/>
    <x v="20"/>
    <x v="622"/>
    <x v="624"/>
    <x v="589"/>
    <n v="1"/>
    <x v="28"/>
    <s v="E17, TBM"/>
    <s v="SECTOR 3 ASENT H. ANGAMOS MZ. N-2 LT.1"/>
    <x v="2"/>
    <x v="1"/>
    <x v="0"/>
    <x v="1"/>
    <x v="226"/>
    <x v="0"/>
    <n v="1"/>
    <n v="208"/>
    <x v="0"/>
    <x v="1"/>
    <n v="1.1904761904761904E-2"/>
    <x v="6"/>
    <x v="1"/>
    <s v="OK"/>
    <x v="2"/>
    <s v="OK"/>
    <x v="0"/>
    <x v="0"/>
    <n v="1"/>
    <n v="1"/>
    <n v="0"/>
    <n v="0"/>
    <x v="0"/>
    <x v="0"/>
    <x v="0"/>
  </r>
  <r>
    <s v="20554579133"/>
    <x v="20"/>
    <x v="20"/>
    <x v="623"/>
    <x v="625"/>
    <x v="590"/>
    <n v="1"/>
    <x v="28"/>
    <s v="E17, TBM"/>
    <s v="ASENT H. 13 DE ENERO MZ. A LT. 2"/>
    <x v="0"/>
    <x v="1"/>
    <x v="0"/>
    <x v="1"/>
    <x v="226"/>
    <x v="0"/>
    <n v="1"/>
    <n v="208"/>
    <x v="0"/>
    <x v="1"/>
    <n v="1.1904761904761904E-2"/>
    <x v="7"/>
    <x v="1"/>
    <s v="OK"/>
    <x v="0"/>
    <s v="OK"/>
    <x v="0"/>
    <x v="0"/>
    <n v="1"/>
    <n v="0"/>
    <n v="0"/>
    <n v="0"/>
    <x v="0"/>
    <x v="0"/>
    <x v="0"/>
  </r>
  <r>
    <s v="20554579133"/>
    <x v="20"/>
    <x v="20"/>
    <x v="624"/>
    <x v="626"/>
    <x v="591"/>
    <n v="1"/>
    <x v="128"/>
    <s v="PV01BIS, E01, E02"/>
    <s v="JR. PEDRO CHAMOCHUMBE 497"/>
    <x v="46"/>
    <x v="0"/>
    <x v="0"/>
    <x v="1"/>
    <x v="300"/>
    <x v="0"/>
    <n v="1"/>
    <n v="208"/>
    <x v="0"/>
    <x v="1"/>
    <n v="1.1904761904761904E-2"/>
    <x v="7"/>
    <x v="1"/>
    <s v="OK"/>
    <x v="7"/>
    <s v="OK"/>
    <x v="0"/>
    <x v="0"/>
    <n v="1"/>
    <n v="1"/>
    <n v="0"/>
    <n v="0"/>
    <x v="0"/>
    <x v="0"/>
    <x v="0"/>
  </r>
  <r>
    <s v="20554579133"/>
    <x v="20"/>
    <x v="20"/>
    <x v="625"/>
    <x v="627"/>
    <x v="295"/>
    <n v="1"/>
    <x v="28"/>
    <s v="E25"/>
    <s v="CALLE 12 MZ J LT. 36 URB. TILDA"/>
    <x v="1"/>
    <x v="0"/>
    <x v="0"/>
    <x v="1"/>
    <x v="301"/>
    <x v="0"/>
    <n v="1"/>
    <n v="208"/>
    <x v="0"/>
    <x v="1"/>
    <n v="1.1904761904761904E-2"/>
    <x v="9"/>
    <x v="1"/>
    <s v="OK"/>
    <x v="1"/>
    <s v="OK"/>
    <x v="0"/>
    <x v="0"/>
    <n v="1"/>
    <n v="1"/>
    <n v="0"/>
    <n v="0"/>
    <x v="0"/>
    <x v="0"/>
    <x v="0"/>
  </r>
  <r>
    <s v="20554579133"/>
    <x v="20"/>
    <x v="20"/>
    <x v="626"/>
    <x v="628"/>
    <x v="351"/>
    <n v="1"/>
    <x v="129"/>
    <s v="E11, E12, E14, E15"/>
    <s v="ASENT. H. UNION Y PAZ MZ.G LT. 2"/>
    <x v="53"/>
    <x v="0"/>
    <x v="0"/>
    <x v="1"/>
    <x v="196"/>
    <x v="0"/>
    <n v="1"/>
    <n v="208"/>
    <x v="0"/>
    <x v="1"/>
    <n v="1.1904761904761904E-2"/>
    <x v="8"/>
    <x v="1"/>
    <s v="OK"/>
    <x v="0"/>
    <s v="OK"/>
    <x v="0"/>
    <x v="0"/>
    <n v="1"/>
    <n v="0"/>
    <n v="0"/>
    <n v="0"/>
    <x v="0"/>
    <x v="0"/>
    <x v="0"/>
  </r>
  <r>
    <s v="20554579133"/>
    <x v="20"/>
    <x v="20"/>
    <x v="627"/>
    <x v="629"/>
    <x v="592"/>
    <n v="1"/>
    <x v="28"/>
    <s v="E11, E12, E14, E17"/>
    <s v="JR. INCA MANCO CAPAC MZ. V-III LT. 17"/>
    <x v="15"/>
    <x v="0"/>
    <x v="0"/>
    <x v="1"/>
    <x v="196"/>
    <x v="0"/>
    <n v="1"/>
    <n v="208"/>
    <x v="0"/>
    <x v="1"/>
    <n v="1.1904761904761904E-2"/>
    <x v="6"/>
    <x v="1"/>
    <s v="OK"/>
    <x v="0"/>
    <s v="OK"/>
    <x v="0"/>
    <x v="0"/>
    <n v="1"/>
    <n v="0"/>
    <n v="0"/>
    <n v="0"/>
    <x v="0"/>
    <x v="0"/>
    <x v="0"/>
  </r>
  <r>
    <s v="20554579133"/>
    <x v="20"/>
    <x v="20"/>
    <x v="628"/>
    <x v="630"/>
    <x v="593"/>
    <n v="1"/>
    <x v="28"/>
    <s v="E11, E12, E14, E20"/>
    <s v="URB. PACHACAMAC SECTOR 2 BARRIO 3 MZ. F LT. 18"/>
    <x v="19"/>
    <x v="1"/>
    <x v="0"/>
    <x v="1"/>
    <x v="196"/>
    <x v="0"/>
    <n v="1"/>
    <n v="208"/>
    <x v="0"/>
    <x v="1"/>
    <n v="1.1904761904761904E-2"/>
    <x v="13"/>
    <x v="1"/>
    <s v="OK"/>
    <x v="0"/>
    <s v="OK"/>
    <x v="0"/>
    <x v="0"/>
    <n v="1"/>
    <n v="0"/>
    <n v="0"/>
    <n v="0"/>
    <x v="0"/>
    <x v="0"/>
    <x v="0"/>
  </r>
  <r>
    <s v="20554579133"/>
    <x v="20"/>
    <x v="20"/>
    <x v="629"/>
    <x v="631"/>
    <x v="594"/>
    <n v="1"/>
    <x v="129"/>
    <s v="PV18, PV17, PV16, E16, E18, E19"/>
    <s v="JR. LAS BELLOTITAS 1140 URB. LAS VIOLETAS"/>
    <x v="15"/>
    <x v="0"/>
    <x v="0"/>
    <x v="1"/>
    <x v="241"/>
    <x v="0"/>
    <n v="1"/>
    <n v="208"/>
    <x v="0"/>
    <x v="1"/>
    <n v="1.1904761904761904E-2"/>
    <x v="8"/>
    <x v="1"/>
    <s v="OK"/>
    <x v="0"/>
    <s v="OK"/>
    <x v="0"/>
    <x v="0"/>
    <n v="1"/>
    <n v="0"/>
    <n v="0"/>
    <n v="0"/>
    <x v="0"/>
    <x v="0"/>
    <x v="0"/>
  </r>
  <r>
    <s v="20554579133"/>
    <x v="20"/>
    <x v="20"/>
    <x v="630"/>
    <x v="632"/>
    <x v="595"/>
    <n v="1"/>
    <x v="129"/>
    <s v="E04, E03, E02, E01, PV01 BIS"/>
    <s v="A.H. Anexo Kenyi Fujimori MZ. A Lt 6"/>
    <x v="2"/>
    <x v="0"/>
    <x v="0"/>
    <x v="1"/>
    <x v="302"/>
    <x v="0"/>
    <n v="1"/>
    <n v="208"/>
    <x v="0"/>
    <x v="1"/>
    <n v="1.1904761904761904E-2"/>
    <x v="13"/>
    <x v="1"/>
    <s v="OK"/>
    <x v="2"/>
    <s v="OK"/>
    <x v="0"/>
    <x v="0"/>
    <n v="1"/>
    <n v="1"/>
    <n v="0"/>
    <n v="0"/>
    <x v="0"/>
    <x v="0"/>
    <x v="0"/>
  </r>
  <r>
    <s v="20554579133"/>
    <x v="20"/>
    <x v="20"/>
    <x v="631"/>
    <x v="633"/>
    <x v="596"/>
    <n v="1"/>
    <x v="129"/>
    <s v="E04, E03, E02, E01, PV01 BIS"/>
    <s v="Ciudad del Pescador Mz H Lt 5"/>
    <x v="6"/>
    <x v="1"/>
    <x v="0"/>
    <x v="1"/>
    <x v="302"/>
    <x v="0"/>
    <n v="1"/>
    <n v="208"/>
    <x v="0"/>
    <x v="1"/>
    <n v="1.1904761904761904E-2"/>
    <x v="13"/>
    <x v="1"/>
    <s v="OK"/>
    <x v="2"/>
    <s v="OK"/>
    <x v="0"/>
    <x v="0"/>
    <n v="1"/>
    <n v="1"/>
    <n v="0"/>
    <n v="0"/>
    <x v="0"/>
    <x v="0"/>
    <x v="0"/>
  </r>
  <r>
    <s v="20554579133"/>
    <x v="20"/>
    <x v="20"/>
    <x v="632"/>
    <x v="634"/>
    <x v="597"/>
    <n v="1"/>
    <x v="130"/>
    <s v="E04, E03, E02, E01, PV01 BIS"/>
    <s v="CALLE CHAVIN DE HUANTAR ZARATE"/>
    <x v="15"/>
    <x v="0"/>
    <x v="0"/>
    <x v="1"/>
    <x v="24"/>
    <x v="0"/>
    <n v="1"/>
    <n v="208"/>
    <x v="0"/>
    <x v="1"/>
    <n v="1.1904761904761904E-2"/>
    <x v="9"/>
    <x v="1"/>
    <s v="OK"/>
    <x v="0"/>
    <s v="OK"/>
    <x v="0"/>
    <x v="0"/>
    <n v="1"/>
    <n v="0"/>
    <n v="0"/>
    <n v="0"/>
    <x v="0"/>
    <x v="0"/>
    <x v="0"/>
  </r>
  <r>
    <s v="20554579133"/>
    <x v="20"/>
    <x v="20"/>
    <x v="633"/>
    <x v="635"/>
    <x v="598"/>
    <n v="1"/>
    <x v="29"/>
    <s v="TUNEL PBM"/>
    <s v="PORTADA II MANCHAY MZ B2 LT 4"/>
    <x v="147"/>
    <x v="0"/>
    <x v="0"/>
    <x v="1"/>
    <x v="131"/>
    <x v="0"/>
    <n v="1"/>
    <n v="208"/>
    <x v="0"/>
    <x v="1"/>
    <n v="1.1904761904761904E-2"/>
    <x v="10"/>
    <x v="1"/>
    <s v="OK"/>
    <x v="0"/>
    <s v="OK"/>
    <x v="0"/>
    <x v="0"/>
    <n v="1"/>
    <n v="0"/>
    <n v="0"/>
    <n v="0"/>
    <x v="0"/>
    <x v="0"/>
    <x v="0"/>
  </r>
  <r>
    <s v="20554579133"/>
    <x v="20"/>
    <x v="20"/>
    <x v="634"/>
    <x v="636"/>
    <x v="599"/>
    <n v="1"/>
    <x v="129"/>
    <s v="E08, E09, E10, TVPM"/>
    <s v="AV. PASEO LA CASTELLANA 1080"/>
    <x v="14"/>
    <x v="0"/>
    <x v="0"/>
    <x v="1"/>
    <x v="303"/>
    <x v="0"/>
    <n v="1"/>
    <n v="208"/>
    <x v="0"/>
    <x v="1"/>
    <n v="1.1904761904761904E-2"/>
    <x v="8"/>
    <x v="1"/>
    <s v="OK"/>
    <x v="0"/>
    <s v="OK"/>
    <x v="0"/>
    <x v="0"/>
    <n v="1"/>
    <n v="0"/>
    <n v="0"/>
    <n v="0"/>
    <x v="0"/>
    <x v="0"/>
    <x v="0"/>
  </r>
  <r>
    <s v="20554579133"/>
    <x v="20"/>
    <x v="20"/>
    <x v="635"/>
    <x v="637"/>
    <x v="600"/>
    <n v="1"/>
    <x v="29"/>
    <s v="E08, E09, E10, TVPM"/>
    <s v="PSJ 7 MZ G LT 16 ASENT H. SANTA MARIA AMPL SECT PARCELA"/>
    <x v="15"/>
    <x v="0"/>
    <x v="0"/>
    <x v="1"/>
    <x v="303"/>
    <x v="0"/>
    <n v="1"/>
    <n v="208"/>
    <x v="0"/>
    <x v="1"/>
    <n v="1.1904761904761904E-2"/>
    <x v="7"/>
    <x v="1"/>
    <s v="OK"/>
    <x v="0"/>
    <s v="OK"/>
    <x v="0"/>
    <x v="0"/>
    <n v="1"/>
    <n v="0"/>
    <n v="0"/>
    <n v="0"/>
    <x v="0"/>
    <x v="0"/>
    <x v="0"/>
  </r>
  <r>
    <s v="20554579133"/>
    <x v="20"/>
    <x v="20"/>
    <x v="636"/>
    <x v="638"/>
    <x v="601"/>
    <n v="1"/>
    <x v="29"/>
    <s v="PV01BIS-L4, TBM"/>
    <s v="PSJ 3 DE OCTUBRE 275 PUEBLO JOVEN"/>
    <x v="46"/>
    <x v="0"/>
    <x v="0"/>
    <x v="1"/>
    <x v="235"/>
    <x v="0"/>
    <n v="1"/>
    <n v="208"/>
    <x v="0"/>
    <x v="1"/>
    <n v="1.1904761904761904E-2"/>
    <x v="6"/>
    <x v="1"/>
    <s v="OK"/>
    <x v="7"/>
    <s v="OK"/>
    <x v="0"/>
    <x v="0"/>
    <n v="1"/>
    <n v="1"/>
    <n v="0"/>
    <n v="0"/>
    <x v="0"/>
    <x v="0"/>
    <x v="0"/>
  </r>
  <r>
    <s v="20554579133"/>
    <x v="20"/>
    <x v="20"/>
    <x v="637"/>
    <x v="639"/>
    <x v="602"/>
    <n v="1"/>
    <x v="29"/>
    <s v="PV01BIS-L4, TBM"/>
    <s v="MZ F LT- 2 ASENT H. PRIMERO DE MAYO"/>
    <x v="15"/>
    <x v="0"/>
    <x v="0"/>
    <x v="1"/>
    <x v="235"/>
    <x v="0"/>
    <n v="1"/>
    <n v="208"/>
    <x v="0"/>
    <x v="1"/>
    <n v="1.1904761904761904E-2"/>
    <x v="7"/>
    <x v="1"/>
    <s v="OK"/>
    <x v="0"/>
    <s v="OK"/>
    <x v="0"/>
    <x v="0"/>
    <n v="1"/>
    <n v="0"/>
    <n v="0"/>
    <n v="0"/>
    <x v="0"/>
    <x v="0"/>
    <x v="0"/>
  </r>
  <r>
    <s v="20554579133"/>
    <x v="20"/>
    <x v="20"/>
    <x v="638"/>
    <x v="640"/>
    <x v="603"/>
    <n v="1"/>
    <x v="29"/>
    <s v="E08, E09, E10, E11, E12, TUNEL"/>
    <s v="AV PIRAMIDE DEL SOL 419 URB. ZARATE"/>
    <x v="15"/>
    <x v="0"/>
    <x v="0"/>
    <x v="1"/>
    <x v="304"/>
    <x v="0"/>
    <n v="1"/>
    <n v="208"/>
    <x v="0"/>
    <x v="1"/>
    <n v="1.1904761904761904E-2"/>
    <x v="11"/>
    <x v="1"/>
    <s v="OK"/>
    <x v="0"/>
    <s v="OK"/>
    <x v="0"/>
    <x v="0"/>
    <n v="1"/>
    <n v="0"/>
    <n v="0"/>
    <n v="0"/>
    <x v="0"/>
    <x v="0"/>
    <x v="0"/>
  </r>
  <r>
    <s v="20554579133"/>
    <x v="20"/>
    <x v="20"/>
    <x v="639"/>
    <x v="641"/>
    <x v="260"/>
    <n v="1"/>
    <x v="29"/>
    <s v="E08, E09, E10, E11, E12, TUNEL"/>
    <s v="CASERIO DE COCHAYAN"/>
    <x v="15"/>
    <x v="0"/>
    <x v="0"/>
    <x v="1"/>
    <x v="62"/>
    <x v="0"/>
    <n v="1"/>
    <n v="208"/>
    <x v="0"/>
    <x v="1"/>
    <n v="1.1904761904761904E-2"/>
    <x v="11"/>
    <x v="1"/>
    <s v="OK"/>
    <x v="0"/>
    <s v="OK"/>
    <x v="0"/>
    <x v="0"/>
    <n v="1"/>
    <n v="0"/>
    <n v="0"/>
    <n v="0"/>
    <x v="0"/>
    <x v="0"/>
    <x v="0"/>
  </r>
  <r>
    <s v="20554579133"/>
    <x v="20"/>
    <x v="20"/>
    <x v="640"/>
    <x v="642"/>
    <x v="604"/>
    <n v="1"/>
    <x v="131"/>
    <s v="E02, TVOB, TVPM, TUNEL"/>
    <s v="ASOC. VIV. PARAISO DEL NORTE MZ. B LT. 17"/>
    <x v="4"/>
    <x v="0"/>
    <x v="0"/>
    <x v="1"/>
    <x v="6"/>
    <x v="0"/>
    <n v="1"/>
    <n v="208"/>
    <x v="0"/>
    <x v="1"/>
    <n v="1.1904761904761904E-2"/>
    <x v="11"/>
    <x v="1"/>
    <s v="OK"/>
    <x v="0"/>
    <s v="OK"/>
    <x v="0"/>
    <x v="0"/>
    <n v="1"/>
    <n v="0"/>
    <n v="0"/>
    <n v="0"/>
    <x v="0"/>
    <x v="0"/>
    <x v="0"/>
  </r>
  <r>
    <s v="20554579133"/>
    <x v="20"/>
    <x v="20"/>
    <x v="641"/>
    <x v="643"/>
    <x v="326"/>
    <n v="1"/>
    <x v="132"/>
    <s v="E27, E26, E25, E15, E14, TUNEL, E01, E02, E03"/>
    <s v="RESIDENCIAL PARIACHI MZ H LT 31"/>
    <x v="1"/>
    <x v="0"/>
    <x v="23"/>
    <x v="1"/>
    <x v="305"/>
    <x v="0"/>
    <n v="1"/>
    <n v="168"/>
    <x v="0"/>
    <x v="1"/>
    <n v="1.1904761904761904E-2"/>
    <x v="10"/>
    <x v="1"/>
    <s v="OK"/>
    <x v="1"/>
    <s v="OK"/>
    <x v="0"/>
    <x v="0"/>
    <n v="1"/>
    <n v="1"/>
    <n v="0"/>
    <n v="1"/>
    <x v="0"/>
    <x v="1"/>
    <x v="0"/>
  </r>
  <r>
    <s v="20554579133"/>
    <x v="20"/>
    <x v="20"/>
    <x v="642"/>
    <x v="644"/>
    <x v="605"/>
    <n v="1"/>
    <x v="129"/>
    <s v="E08, E09, E10, E11, E12, TUNEL"/>
    <s v="CALLE 1 MZ A LT 16 URB. ALAMEDA DE ATE ETADA 2DA."/>
    <x v="27"/>
    <x v="0"/>
    <x v="0"/>
    <x v="1"/>
    <x v="306"/>
    <x v="0"/>
    <n v="1"/>
    <n v="208"/>
    <x v="0"/>
    <x v="1"/>
    <n v="1.1904761904761904E-2"/>
    <x v="9"/>
    <x v="1"/>
    <s v="OK"/>
    <x v="5"/>
    <s v="OK"/>
    <x v="0"/>
    <x v="0"/>
    <n v="1"/>
    <n v="1"/>
    <n v="0"/>
    <n v="0"/>
    <x v="0"/>
    <x v="0"/>
    <x v="0"/>
  </r>
  <r>
    <s v="20554579133"/>
    <x v="20"/>
    <x v="20"/>
    <x v="643"/>
    <x v="645"/>
    <x v="606"/>
    <n v="1"/>
    <x v="30"/>
    <s v="E08, E09, E10, E16, TVPM, TVOB"/>
    <s v="AMANCAES MZ 26 LT 13 A.H. NUEVO AMANECER"/>
    <x v="8"/>
    <x v="0"/>
    <x v="0"/>
    <x v="1"/>
    <x v="307"/>
    <x v="0"/>
    <n v="1"/>
    <n v="208"/>
    <x v="0"/>
    <x v="1"/>
    <n v="1.1904761904761904E-2"/>
    <x v="13"/>
    <x v="1"/>
    <s v="OK"/>
    <x v="0"/>
    <s v="OK"/>
    <x v="0"/>
    <x v="0"/>
    <n v="1"/>
    <n v="0"/>
    <n v="0"/>
    <n v="0"/>
    <x v="0"/>
    <x v="0"/>
    <x v="0"/>
  </r>
  <r>
    <s v="20554579133"/>
    <x v="20"/>
    <x v="20"/>
    <x v="644"/>
    <x v="646"/>
    <x v="404"/>
    <n v="1"/>
    <x v="133"/>
    <s v="PV18, PV17, PV16, E16, E18, E19"/>
    <s v="ASOC VIV LAS FLORES DE PARIACHI VITARTE MZ. G  LT. 6"/>
    <x v="1"/>
    <x v="0"/>
    <x v="0"/>
    <x v="1"/>
    <x v="41"/>
    <x v="0"/>
    <n v="1"/>
    <n v="208"/>
    <x v="0"/>
    <x v="1"/>
    <n v="1.1904761904761904E-2"/>
    <x v="8"/>
    <x v="1"/>
    <s v="OK"/>
    <x v="1"/>
    <s v="OK"/>
    <x v="0"/>
    <x v="0"/>
    <n v="1"/>
    <n v="1"/>
    <n v="0"/>
    <n v="0"/>
    <x v="0"/>
    <x v="0"/>
    <x v="0"/>
  </r>
  <r>
    <s v="20554579133"/>
    <x v="20"/>
    <x v="20"/>
    <x v="645"/>
    <x v="647"/>
    <x v="607"/>
    <n v="1"/>
    <x v="30"/>
    <s v="E08, E09, E12, E16"/>
    <s v="VIVIENDAS BUENOS AIRES MZ &quot;K&quot; LT. 137 - HUARAL"/>
    <x v="100"/>
    <x v="0"/>
    <x v="0"/>
    <x v="1"/>
    <x v="10"/>
    <x v="0"/>
    <n v="1"/>
    <n v="208"/>
    <x v="0"/>
    <x v="1"/>
    <n v="1.1904761904761904E-2"/>
    <x v="10"/>
    <x v="1"/>
    <s v="OK"/>
    <x v="0"/>
    <s v="OK"/>
    <x v="0"/>
    <x v="0"/>
    <n v="1"/>
    <n v="0"/>
    <n v="0"/>
    <n v="0"/>
    <x v="0"/>
    <x v="0"/>
    <x v="0"/>
  </r>
  <r>
    <s v="20554579133"/>
    <x v="20"/>
    <x v="20"/>
    <x v="646"/>
    <x v="648"/>
    <x v="608"/>
    <n v="1"/>
    <x v="131"/>
    <s v="E04, E03, E02, E01, PV01 BIS"/>
    <s v="JR. MARSELLA MZ.C LT.46 URB. BUENOS AIRES"/>
    <x v="15"/>
    <x v="0"/>
    <x v="0"/>
    <x v="1"/>
    <x v="308"/>
    <x v="0"/>
    <n v="1"/>
    <n v="208"/>
    <x v="0"/>
    <x v="1"/>
    <n v="1.1904761904761904E-2"/>
    <x v="12"/>
    <x v="1"/>
    <s v="OK"/>
    <x v="0"/>
    <s v="OK"/>
    <x v="0"/>
    <x v="0"/>
    <n v="1"/>
    <n v="0"/>
    <n v="0"/>
    <n v="0"/>
    <x v="0"/>
    <x v="0"/>
    <x v="0"/>
  </r>
  <r>
    <s v="20554579133"/>
    <x v="20"/>
    <x v="20"/>
    <x v="647"/>
    <x v="649"/>
    <x v="609"/>
    <n v="1"/>
    <x v="30"/>
    <s v="E04, E03, E02, E01, PV01 BIS"/>
    <s v="JR. HUANCAYO MZ. T12 LT.11"/>
    <x v="148"/>
    <x v="0"/>
    <x v="0"/>
    <x v="1"/>
    <x v="309"/>
    <x v="0"/>
    <n v="1"/>
    <n v="208"/>
    <x v="0"/>
    <x v="1"/>
    <n v="1.1904761904761904E-2"/>
    <x v="11"/>
    <x v="1"/>
    <s v="OK"/>
    <x v="0"/>
    <s v="OK"/>
    <x v="0"/>
    <x v="0"/>
    <n v="1"/>
    <n v="0"/>
    <n v="0"/>
    <n v="0"/>
    <x v="0"/>
    <x v="0"/>
    <x v="0"/>
  </r>
  <r>
    <s v="20554579133"/>
    <x v="20"/>
    <x v="20"/>
    <x v="648"/>
    <x v="650"/>
    <x v="610"/>
    <n v="1"/>
    <x v="131"/>
    <s v="E08, E09, E12, E16"/>
    <s v="AMP.SEÑOR DE LOS MILAGROS MZ.B 3 LT.20"/>
    <x v="149"/>
    <x v="0"/>
    <x v="0"/>
    <x v="1"/>
    <x v="80"/>
    <x v="0"/>
    <n v="1"/>
    <n v="208"/>
    <x v="0"/>
    <x v="1"/>
    <n v="1.1904761904761904E-2"/>
    <x v="13"/>
    <x v="1"/>
    <s v="OK"/>
    <x v="0"/>
    <s v="OK"/>
    <x v="0"/>
    <x v="0"/>
    <n v="1"/>
    <n v="0"/>
    <n v="0"/>
    <n v="0"/>
    <x v="0"/>
    <x v="0"/>
    <x v="0"/>
  </r>
  <r>
    <s v="20554579133"/>
    <x v="20"/>
    <x v="20"/>
    <x v="649"/>
    <x v="651"/>
    <x v="611"/>
    <n v="1"/>
    <x v="30"/>
    <s v="E01, E02, E03, E04"/>
    <s v="CASERIO ALMIRANTE MIGUEL GRAU"/>
    <x v="150"/>
    <x v="0"/>
    <x v="8"/>
    <x v="1"/>
    <x v="80"/>
    <x v="0"/>
    <n v="1"/>
    <n v="208"/>
    <x v="0"/>
    <x v="1"/>
    <n v="1.1904761904761904E-2"/>
    <x v="10"/>
    <x v="1"/>
    <s v="OK"/>
    <x v="0"/>
    <s v="OK"/>
    <x v="0"/>
    <x v="0"/>
    <n v="1"/>
    <n v="0"/>
    <n v="0"/>
    <n v="1"/>
    <x v="0"/>
    <x v="1"/>
    <x v="0"/>
  </r>
  <r>
    <s v="20554579133"/>
    <x v="20"/>
    <x v="20"/>
    <x v="650"/>
    <x v="652"/>
    <x v="612"/>
    <n v="1"/>
    <x v="134"/>
    <s v="RAMAL LINEA 4, TUNEL"/>
    <s v="MZ. B LT.14 COOP. DE VIV. LA UNION LTDA"/>
    <x v="3"/>
    <x v="0"/>
    <x v="0"/>
    <x v="1"/>
    <x v="143"/>
    <x v="0"/>
    <n v="1"/>
    <n v="208"/>
    <x v="0"/>
    <x v="1"/>
    <n v="1.1904761904761904E-2"/>
    <x v="11"/>
    <x v="1"/>
    <s v="OK"/>
    <x v="0"/>
    <s v="OK"/>
    <x v="0"/>
    <x v="0"/>
    <n v="1"/>
    <n v="0"/>
    <n v="0"/>
    <n v="0"/>
    <x v="0"/>
    <x v="0"/>
    <x v="0"/>
  </r>
  <r>
    <s v="20554579133"/>
    <x v="20"/>
    <x v="20"/>
    <x v="651"/>
    <x v="653"/>
    <x v="613"/>
    <n v="1"/>
    <x v="30"/>
    <s v="E4-1; E06,E09,E12"/>
    <s v="PSJ. CAP. ENRIQUE OSMA 215 APV LAS PALMAS"/>
    <x v="14"/>
    <x v="0"/>
    <x v="0"/>
    <x v="1"/>
    <x v="52"/>
    <x v="0"/>
    <n v="1"/>
    <n v="208"/>
    <x v="0"/>
    <x v="1"/>
    <n v="1.1904761904761904E-2"/>
    <x v="8"/>
    <x v="1"/>
    <s v="OK"/>
    <x v="0"/>
    <s v="OK"/>
    <x v="0"/>
    <x v="0"/>
    <n v="1"/>
    <n v="0"/>
    <n v="0"/>
    <n v="0"/>
    <x v="0"/>
    <x v="0"/>
    <x v="0"/>
  </r>
  <r>
    <s v="20554579133"/>
    <x v="20"/>
    <x v="20"/>
    <x v="652"/>
    <x v="654"/>
    <x v="614"/>
    <n v="1"/>
    <x v="131"/>
    <s v="E4-1; E06,E09,E12"/>
    <s v="CALLE VON HUMBOLDT ASENT H. BELLAVISTA ETAPA 1 "/>
    <x v="44"/>
    <x v="0"/>
    <x v="0"/>
    <x v="1"/>
    <x v="52"/>
    <x v="0"/>
    <n v="1"/>
    <n v="208"/>
    <x v="0"/>
    <x v="1"/>
    <n v="1.1904761904761904E-2"/>
    <x v="9"/>
    <x v="1"/>
    <s v="OK"/>
    <x v="0"/>
    <s v="OK"/>
    <x v="0"/>
    <x v="0"/>
    <n v="1"/>
    <n v="0"/>
    <n v="0"/>
    <n v="0"/>
    <x v="0"/>
    <x v="0"/>
    <x v="0"/>
  </r>
  <r>
    <s v="20554579133"/>
    <x v="20"/>
    <x v="20"/>
    <x v="653"/>
    <x v="655"/>
    <x v="615"/>
    <n v="1"/>
    <x v="131"/>
    <s v="E4-1; E06,E09,E12"/>
    <s v="URB. PALERMO PUEBLO NUEVO CHINCHA ALTA"/>
    <x v="148"/>
    <x v="0"/>
    <x v="0"/>
    <x v="1"/>
    <x v="283"/>
    <x v="0"/>
    <n v="1"/>
    <n v="208"/>
    <x v="0"/>
    <x v="1"/>
    <n v="1.1904761904761904E-2"/>
    <x v="7"/>
    <x v="1"/>
    <s v="OK"/>
    <x v="0"/>
    <s v="OK"/>
    <x v="0"/>
    <x v="0"/>
    <n v="1"/>
    <n v="0"/>
    <n v="0"/>
    <n v="0"/>
    <x v="0"/>
    <x v="0"/>
    <x v="0"/>
  </r>
  <r>
    <s v="20554579133"/>
    <x v="20"/>
    <x v="20"/>
    <x v="654"/>
    <x v="656"/>
    <x v="616"/>
    <n v="1"/>
    <x v="131"/>
    <s v="E4-1; E06,E09,E12"/>
    <s v="CASERIO ALM. MIGUEL GRAU MZ.W LT.08"/>
    <x v="150"/>
    <x v="0"/>
    <x v="0"/>
    <x v="1"/>
    <x v="310"/>
    <x v="0"/>
    <n v="1"/>
    <n v="208"/>
    <x v="0"/>
    <x v="1"/>
    <n v="1.1904761904761904E-2"/>
    <x v="7"/>
    <x v="1"/>
    <s v="OK"/>
    <x v="0"/>
    <s v="OK"/>
    <x v="0"/>
    <x v="0"/>
    <n v="1"/>
    <n v="0"/>
    <n v="0"/>
    <n v="0"/>
    <x v="0"/>
    <x v="0"/>
    <x v="0"/>
  </r>
  <r>
    <s v="20554579133"/>
    <x v="20"/>
    <x v="20"/>
    <x v="655"/>
    <x v="657"/>
    <x v="617"/>
    <n v="1"/>
    <x v="135"/>
    <s v="E4-1; E06,E09,E12"/>
    <s v="MZ C LT 15 P J COLLIQUE  5TA. ZONA"/>
    <x v="0"/>
    <x v="0"/>
    <x v="0"/>
    <x v="1"/>
    <x v="17"/>
    <x v="0"/>
    <n v="1"/>
    <n v="208"/>
    <x v="0"/>
    <x v="1"/>
    <n v="1.1904761904761904E-2"/>
    <x v="7"/>
    <x v="1"/>
    <s v="OK"/>
    <x v="0"/>
    <s v="OK"/>
    <x v="0"/>
    <x v="0"/>
    <n v="1"/>
    <n v="0"/>
    <n v="0"/>
    <n v="0"/>
    <x v="0"/>
    <x v="0"/>
    <x v="0"/>
  </r>
  <r>
    <s v="20554579133"/>
    <x v="20"/>
    <x v="20"/>
    <x v="656"/>
    <x v="658"/>
    <x v="618"/>
    <n v="1"/>
    <x v="135"/>
    <s v="E4-1; E06,E09,E12"/>
    <s v="JR LOS MELOCOTONES 262 PISO 2DO URB NARANJAL"/>
    <x v="3"/>
    <x v="0"/>
    <x v="0"/>
    <x v="1"/>
    <x v="17"/>
    <x v="0"/>
    <n v="1"/>
    <n v="208"/>
    <x v="0"/>
    <x v="1"/>
    <n v="1.1904761904761904E-2"/>
    <x v="7"/>
    <x v="1"/>
    <s v="OK"/>
    <x v="0"/>
    <s v="OK"/>
    <x v="0"/>
    <x v="0"/>
    <n v="1"/>
    <n v="0"/>
    <n v="0"/>
    <n v="0"/>
    <x v="0"/>
    <x v="0"/>
    <x v="0"/>
  </r>
  <r>
    <s v="20554579133"/>
    <x v="20"/>
    <x v="20"/>
    <x v="657"/>
    <x v="659"/>
    <x v="619"/>
    <n v="1"/>
    <x v="136"/>
    <s v="E4-1; E06,E09,E12"/>
    <s v="JR. AYMARAS MZ.D LT.4"/>
    <x v="145"/>
    <x v="0"/>
    <x v="0"/>
    <x v="1"/>
    <x v="145"/>
    <x v="0"/>
    <n v="1"/>
    <n v="208"/>
    <x v="0"/>
    <x v="1"/>
    <n v="1.1904761904761904E-2"/>
    <x v="11"/>
    <x v="1"/>
    <s v="OK"/>
    <x v="0"/>
    <s v="OK"/>
    <x v="0"/>
    <x v="0"/>
    <n v="1"/>
    <n v="0"/>
    <n v="0"/>
    <n v="0"/>
    <x v="0"/>
    <x v="0"/>
    <x v="0"/>
  </r>
  <r>
    <s v="20554579133"/>
    <x v="20"/>
    <x v="20"/>
    <x v="658"/>
    <x v="660"/>
    <x v="620"/>
    <n v="1"/>
    <x v="29"/>
    <s v="E4-1; E06,E09,E12"/>
    <s v="FCO. DE ZELA 800 TABLADA  DE LURIN MZ.68 LT.10"/>
    <x v="8"/>
    <x v="1"/>
    <x v="18"/>
    <x v="1"/>
    <x v="192"/>
    <x v="0"/>
    <n v="1"/>
    <n v="176"/>
    <x v="0"/>
    <x v="1"/>
    <n v="1.1904761904761904E-2"/>
    <x v="10"/>
    <x v="1"/>
    <s v="OK"/>
    <x v="0"/>
    <s v="OK"/>
    <x v="0"/>
    <x v="0"/>
    <n v="1"/>
    <n v="0"/>
    <n v="0"/>
    <n v="1"/>
    <x v="0"/>
    <x v="1"/>
    <x v="0"/>
  </r>
  <r>
    <s v="20554579133"/>
    <x v="20"/>
    <x v="20"/>
    <x v="659"/>
    <x v="661"/>
    <x v="621"/>
    <n v="1"/>
    <x v="129"/>
    <s v="E06, E12, E19"/>
    <s v="URB. PACHACAMAC ETAPA 4TA MZ.H LT.14"/>
    <x v="19"/>
    <x v="0"/>
    <x v="0"/>
    <x v="1"/>
    <x v="192"/>
    <x v="0"/>
    <n v="1"/>
    <n v="208"/>
    <x v="0"/>
    <x v="1"/>
    <n v="1.1904761904761904E-2"/>
    <x v="10"/>
    <x v="1"/>
    <s v="OK"/>
    <x v="0"/>
    <s v="OK"/>
    <x v="0"/>
    <x v="0"/>
    <n v="1"/>
    <n v="0"/>
    <n v="0"/>
    <n v="0"/>
    <x v="0"/>
    <x v="0"/>
    <x v="0"/>
  </r>
  <r>
    <s v="20554579133"/>
    <x v="20"/>
    <x v="20"/>
    <x v="660"/>
    <x v="662"/>
    <x v="622"/>
    <n v="1"/>
    <x v="29"/>
    <s v="E06, E12, E19"/>
    <s v="ASENT. H LAS CASUARINAS MZ.B LT.21"/>
    <x v="95"/>
    <x v="0"/>
    <x v="0"/>
    <x v="1"/>
    <x v="192"/>
    <x v="0"/>
    <n v="1"/>
    <n v="208"/>
    <x v="0"/>
    <x v="1"/>
    <n v="1.1904761904761904E-2"/>
    <x v="13"/>
    <x v="1"/>
    <s v="OK"/>
    <x v="0"/>
    <s v="OK"/>
    <x v="0"/>
    <x v="0"/>
    <n v="1"/>
    <n v="0"/>
    <n v="0"/>
    <n v="0"/>
    <x v="0"/>
    <x v="0"/>
    <x v="0"/>
  </r>
  <r>
    <s v="20554579133"/>
    <x v="20"/>
    <x v="20"/>
    <x v="661"/>
    <x v="663"/>
    <x v="623"/>
    <n v="1"/>
    <x v="29"/>
    <s v="RAMAL LINEA 4, TUNEL"/>
    <s v="SEC. 1 DE MAYO PAMPLONA  ALTA MZ. Q7 LT,6"/>
    <x v="53"/>
    <x v="0"/>
    <x v="0"/>
    <x v="1"/>
    <x v="192"/>
    <x v="0"/>
    <n v="1"/>
    <n v="208"/>
    <x v="0"/>
    <x v="1"/>
    <n v="1.1904761904761904E-2"/>
    <x v="13"/>
    <x v="1"/>
    <s v="OK"/>
    <x v="0"/>
    <s v="OK"/>
    <x v="0"/>
    <x v="0"/>
    <n v="1"/>
    <n v="0"/>
    <n v="0"/>
    <n v="0"/>
    <x v="0"/>
    <x v="0"/>
    <x v="0"/>
  </r>
  <r>
    <s v="20602677126 "/>
    <x v="58"/>
    <x v="43"/>
    <x v="662"/>
    <x v="664"/>
    <x v="624"/>
    <n v="2"/>
    <x v="137"/>
    <s v="TUNEL TBM S97 -E1"/>
    <s v="CALLE MATEO AGUILAR 174-188 PJ. MIRONES BAJO"/>
    <x v="10"/>
    <x v="0"/>
    <x v="0"/>
    <x v="0"/>
    <x v="311"/>
    <x v="2"/>
    <n v="4"/>
    <n v="72"/>
    <x v="0"/>
    <x v="1"/>
    <n v="1.8867924528301886E-2"/>
    <x v="10"/>
    <x v="1"/>
    <s v="OK"/>
    <x v="0"/>
    <s v="OK"/>
    <x v="0"/>
    <x v="1"/>
    <n v="0.5"/>
    <n v="0"/>
    <n v="0"/>
    <n v="0"/>
    <x v="0"/>
    <x v="0"/>
    <x v="0"/>
  </r>
  <r>
    <s v="20602677126 "/>
    <x v="58"/>
    <x v="43"/>
    <x v="663"/>
    <x v="665"/>
    <x v="625"/>
    <n v="2"/>
    <x v="137"/>
    <s v="ESTACION 01"/>
    <s v="LOS OLIVOS  MZA. 1 LOTE. 31 MC1 31 PROVIV LOS OLIVOS"/>
    <x v="151"/>
    <x v="0"/>
    <x v="0"/>
    <x v="0"/>
    <x v="312"/>
    <x v="0"/>
    <n v="4"/>
    <n v="200"/>
    <x v="0"/>
    <x v="1"/>
    <n v="1.8867924528301886E-2"/>
    <x v="6"/>
    <x v="1"/>
    <s v="OK"/>
    <x v="2"/>
    <s v="OK"/>
    <x v="0"/>
    <x v="0"/>
    <n v="1"/>
    <n v="1"/>
    <n v="0"/>
    <n v="0"/>
    <x v="0"/>
    <x v="0"/>
    <x v="0"/>
  </r>
  <r>
    <s v="20602677126 "/>
    <x v="58"/>
    <x v="43"/>
    <x v="664"/>
    <x v="666"/>
    <x v="626"/>
    <n v="2"/>
    <x v="138"/>
    <s v="ESTACION 11"/>
    <s v="CALLE 8 COOP. SAN JUAN DE SALINAS ETAPA 1RA MZ. L. LT .05 "/>
    <x v="3"/>
    <x v="0"/>
    <x v="0"/>
    <x v="0"/>
    <x v="47"/>
    <x v="2"/>
    <n v="4"/>
    <n v="112"/>
    <x v="0"/>
    <x v="1"/>
    <n v="1.8867924528301886E-2"/>
    <x v="12"/>
    <x v="1"/>
    <s v="OK"/>
    <x v="0"/>
    <s v="OK"/>
    <x v="0"/>
    <x v="0"/>
    <n v="1"/>
    <n v="0"/>
    <n v="0"/>
    <n v="0"/>
    <x v="0"/>
    <x v="0"/>
    <x v="0"/>
  </r>
  <r>
    <s v="20602677126 "/>
    <x v="58"/>
    <x v="43"/>
    <x v="662"/>
    <x v="664"/>
    <x v="624"/>
    <n v="2"/>
    <x v="137"/>
    <s v="REUBICADO"/>
    <s v="CALLE MATEO AGUILAR 174-188 PJ. MIRONES BAJO"/>
    <x v="10"/>
    <x v="0"/>
    <x v="0"/>
    <x v="0"/>
    <x v="180"/>
    <x v="0"/>
    <n v="4"/>
    <n v="200"/>
    <x v="0"/>
    <x v="1"/>
    <n v="1.8867924528301886E-2"/>
    <x v="10"/>
    <x v="1"/>
    <s v="OK"/>
    <x v="0"/>
    <s v="OK"/>
    <x v="0"/>
    <x v="1"/>
    <n v="0.5"/>
    <n v="0"/>
    <n v="0"/>
    <n v="0"/>
    <x v="0"/>
    <x v="0"/>
    <x v="0"/>
  </r>
  <r>
    <s v="20602677126 "/>
    <x v="58"/>
    <x v="43"/>
    <x v="665"/>
    <x v="667"/>
    <x v="289"/>
    <n v="2"/>
    <x v="138"/>
    <s v="REUBICADO"/>
    <s v="CALLE 4 ASOC. PROCOA MZ.A1 JT 14 "/>
    <x v="49"/>
    <x v="0"/>
    <x v="0"/>
    <x v="0"/>
    <x v="270"/>
    <x v="2"/>
    <n v="4"/>
    <n v="200"/>
    <x v="0"/>
    <x v="1"/>
    <n v="1.8867924528301886E-2"/>
    <x v="10"/>
    <x v="1"/>
    <s v="OK"/>
    <x v="0"/>
    <s v="OK"/>
    <x v="0"/>
    <x v="0"/>
    <n v="1"/>
    <n v="0"/>
    <n v="0"/>
    <n v="0"/>
    <x v="0"/>
    <x v="0"/>
    <x v="0"/>
  </r>
  <r>
    <s v="20602677126 "/>
    <x v="58"/>
    <x v="43"/>
    <x v="666"/>
    <x v="668"/>
    <x v="627"/>
    <n v="2"/>
    <x v="137"/>
    <s v="PTBN"/>
    <s v="ASENT.H ENSENADA DE CHILLON MZ.LL LT.6-C "/>
    <x v="4"/>
    <x v="0"/>
    <x v="0"/>
    <x v="0"/>
    <x v="171"/>
    <x v="0"/>
    <n v="4"/>
    <n v="192"/>
    <x v="0"/>
    <x v="1"/>
    <n v="1.8867924528301886E-2"/>
    <x v="6"/>
    <x v="1"/>
    <s v="OK"/>
    <x v="0"/>
    <s v="OK"/>
    <x v="0"/>
    <x v="0"/>
    <n v="1"/>
    <n v="0"/>
    <n v="0"/>
    <n v="0"/>
    <x v="0"/>
    <x v="0"/>
    <x v="0"/>
  </r>
  <r>
    <s v="20602677126 "/>
    <x v="58"/>
    <x v="43"/>
    <x v="667"/>
    <x v="669"/>
    <x v="628"/>
    <n v="2"/>
    <x v="2"/>
    <s v="PTBN"/>
    <s v="URB FAUCETT MZ.C LT 32"/>
    <x v="6"/>
    <x v="0"/>
    <x v="0"/>
    <x v="0"/>
    <x v="263"/>
    <x v="0"/>
    <n v="1"/>
    <n v="32"/>
    <x v="0"/>
    <x v="1"/>
    <n v="1.8867924528301886E-2"/>
    <x v="8"/>
    <x v="1"/>
    <s v="OK"/>
    <x v="2"/>
    <s v="OK"/>
    <x v="0"/>
    <x v="0"/>
    <n v="1"/>
    <n v="1"/>
    <n v="1"/>
    <n v="0"/>
    <x v="0"/>
    <x v="0"/>
    <x v="1"/>
  </r>
  <r>
    <n v="20482744983"/>
    <x v="21"/>
    <x v="21"/>
    <x v="668"/>
    <x v="670"/>
    <x v="629"/>
    <n v="1"/>
    <x v="139"/>
    <s v="ESTACION 02"/>
    <s v="CALLE LAS HORMIGAS PJ LAS HORMIGAS MZ A LT 31"/>
    <x v="47"/>
    <x v="1"/>
    <x v="0"/>
    <x v="1"/>
    <x v="148"/>
    <x v="0"/>
    <n v="1"/>
    <n v="240"/>
    <x v="0"/>
    <x v="1"/>
    <n v="1.1111111111111112E-2"/>
    <x v="10"/>
    <x v="1"/>
    <s v="OK"/>
    <x v="0"/>
    <s v="OK"/>
    <x v="0"/>
    <x v="0"/>
    <n v="1"/>
    <n v="0"/>
    <n v="0"/>
    <n v="0"/>
    <x v="0"/>
    <x v="0"/>
    <x v="0"/>
  </r>
  <r>
    <n v="20482744983"/>
    <x v="21"/>
    <x v="21"/>
    <x v="669"/>
    <x v="671"/>
    <x v="630"/>
    <n v="2"/>
    <x v="2"/>
    <s v="ESTACION 06"/>
    <s v="AENT. H. PRIMERO DE JULIO MZ. C LT 8"/>
    <x v="6"/>
    <x v="0"/>
    <x v="0"/>
    <x v="1"/>
    <x v="38"/>
    <x v="0"/>
    <n v="4"/>
    <n v="240"/>
    <x v="0"/>
    <x v="1"/>
    <n v="1.1111111111111112E-2"/>
    <x v="6"/>
    <x v="1"/>
    <s v="OK"/>
    <x v="2"/>
    <s v="OK"/>
    <x v="0"/>
    <x v="0"/>
    <n v="1"/>
    <n v="1"/>
    <n v="0"/>
    <n v="0"/>
    <x v="0"/>
    <x v="0"/>
    <x v="0"/>
  </r>
  <r>
    <n v="20482744983"/>
    <x v="21"/>
    <x v="21"/>
    <x v="670"/>
    <x v="672"/>
    <x v="631"/>
    <n v="2"/>
    <x v="18"/>
    <s v="ESTACION 01"/>
    <s v="ASENT. H. SARITA COLONIA MZ.Z, LT.10"/>
    <x v="6"/>
    <x v="0"/>
    <x v="0"/>
    <x v="1"/>
    <x v="239"/>
    <x v="0"/>
    <n v="4"/>
    <n v="240"/>
    <x v="0"/>
    <x v="1"/>
    <n v="1.1111111111111112E-2"/>
    <x v="12"/>
    <x v="1"/>
    <s v="OK"/>
    <x v="2"/>
    <s v="OK"/>
    <x v="0"/>
    <x v="0"/>
    <n v="1"/>
    <n v="1"/>
    <n v="0"/>
    <n v="0"/>
    <x v="0"/>
    <x v="0"/>
    <x v="0"/>
  </r>
  <r>
    <n v="20482744983"/>
    <x v="21"/>
    <x v="21"/>
    <x v="671"/>
    <x v="673"/>
    <x v="631"/>
    <n v="2"/>
    <x v="67"/>
    <s v="ESTACION 01"/>
    <s v="ASENT. H. SEÑOR DE LA SOLEDAD MZ. L, LT. 09"/>
    <x v="152"/>
    <x v="0"/>
    <x v="0"/>
    <x v="1"/>
    <x v="239"/>
    <x v="0"/>
    <n v="4"/>
    <n v="240"/>
    <x v="0"/>
    <x v="1"/>
    <n v="1.1111111111111112E-2"/>
    <x v="12"/>
    <x v="1"/>
    <s v="OK"/>
    <x v="0"/>
    <s v="OK"/>
    <x v="0"/>
    <x v="0"/>
    <n v="1"/>
    <n v="0"/>
    <n v="0"/>
    <n v="0"/>
    <x v="0"/>
    <x v="0"/>
    <x v="0"/>
  </r>
  <r>
    <n v="20482744983"/>
    <x v="21"/>
    <x v="21"/>
    <x v="672"/>
    <x v="674"/>
    <x v="632"/>
    <n v="2"/>
    <x v="140"/>
    <s v="DOVELAS"/>
    <s v="ASENT H EL MIRADOR SAN CRISTOBAL S/N"/>
    <x v="153"/>
    <x v="0"/>
    <x v="0"/>
    <x v="1"/>
    <x v="239"/>
    <x v="0"/>
    <n v="4"/>
    <n v="240"/>
    <x v="0"/>
    <x v="1"/>
    <n v="1.1111111111111112E-2"/>
    <x v="9"/>
    <x v="1"/>
    <s v="OK"/>
    <x v="0"/>
    <s v="OK"/>
    <x v="0"/>
    <x v="0"/>
    <n v="1"/>
    <n v="0"/>
    <n v="0"/>
    <n v="0"/>
    <x v="0"/>
    <x v="0"/>
    <x v="0"/>
  </r>
  <r>
    <n v="20482744983"/>
    <x v="21"/>
    <x v="21"/>
    <x v="673"/>
    <x v="675"/>
    <x v="633"/>
    <n v="1"/>
    <x v="141"/>
    <s v="REINSERCION URBANA E14 AL E18"/>
    <s v="JR LOS QUIPUS 490-URB ZARATE"/>
    <x v="15"/>
    <x v="0"/>
    <x v="0"/>
    <x v="1"/>
    <x v="27"/>
    <x v="0"/>
    <n v="4"/>
    <n v="240"/>
    <x v="0"/>
    <x v="1"/>
    <n v="1.1111111111111112E-2"/>
    <x v="11"/>
    <x v="1"/>
    <s v="OK"/>
    <x v="0"/>
    <s v="OK"/>
    <x v="0"/>
    <x v="0"/>
    <n v="1"/>
    <n v="0"/>
    <n v="0"/>
    <n v="0"/>
    <x v="0"/>
    <x v="0"/>
    <x v="0"/>
  </r>
  <r>
    <n v="20482744983"/>
    <x v="21"/>
    <x v="21"/>
    <x v="674"/>
    <x v="676"/>
    <x v="612"/>
    <n v="2"/>
    <x v="142"/>
    <s v="REINSERCION URBANA E14 AL E18"/>
    <s v="AVENIDA LOS JAZMINES N°06 LT D URB SANTA ROSA"/>
    <x v="1"/>
    <x v="1"/>
    <x v="0"/>
    <x v="3"/>
    <x v="100"/>
    <x v="0"/>
    <n v="4"/>
    <n v="200"/>
    <x v="0"/>
    <x v="1"/>
    <n v="1.1111111111111112E-2"/>
    <x v="11"/>
    <x v="1"/>
    <s v="OK"/>
    <x v="1"/>
    <s v="OK"/>
    <x v="0"/>
    <x v="0"/>
    <n v="1"/>
    <n v="1"/>
    <n v="1"/>
    <n v="0"/>
    <x v="0"/>
    <x v="0"/>
    <x v="1"/>
  </r>
  <r>
    <n v="20482744983"/>
    <x v="21"/>
    <x v="21"/>
    <x v="675"/>
    <x v="677"/>
    <x v="634"/>
    <n v="2"/>
    <x v="142"/>
    <s v="REINSERCION URBANA E14 AL E18"/>
    <s v="JR ALTO PERU S/N"/>
    <x v="154"/>
    <x v="0"/>
    <x v="0"/>
    <x v="1"/>
    <x v="146"/>
    <x v="0"/>
    <n v="4"/>
    <n v="240"/>
    <x v="0"/>
    <x v="1"/>
    <n v="1.1111111111111112E-2"/>
    <x v="7"/>
    <x v="1"/>
    <s v="OK"/>
    <x v="0"/>
    <s v="OK"/>
    <x v="0"/>
    <x v="0"/>
    <n v="1"/>
    <n v="0"/>
    <n v="1"/>
    <n v="0"/>
    <x v="0"/>
    <x v="0"/>
    <x v="1"/>
  </r>
  <r>
    <n v="20482744983"/>
    <x v="21"/>
    <x v="21"/>
    <x v="676"/>
    <x v="678"/>
    <x v="635"/>
    <n v="2"/>
    <x v="143"/>
    <s v="ESTACION 01"/>
    <s v="BOLOGNESI P.J. NUEVO GAMBETA MZ. H LT. 19"/>
    <x v="6"/>
    <x v="0"/>
    <x v="0"/>
    <x v="1"/>
    <x v="146"/>
    <x v="0"/>
    <n v="4"/>
    <n v="240"/>
    <x v="0"/>
    <x v="1"/>
    <n v="1.1111111111111112E-2"/>
    <x v="7"/>
    <x v="1"/>
    <s v="OK"/>
    <x v="2"/>
    <s v="OK"/>
    <x v="0"/>
    <x v="0"/>
    <n v="1"/>
    <n v="1"/>
    <n v="1"/>
    <n v="0"/>
    <x v="0"/>
    <x v="0"/>
    <x v="1"/>
  </r>
  <r>
    <n v="20482744983"/>
    <x v="21"/>
    <x v="21"/>
    <x v="677"/>
    <x v="679"/>
    <x v="636"/>
    <n v="2"/>
    <x v="11"/>
    <s v="REINSERCION URBANA E14 AL E18"/>
    <s v="GRUPO 6 ASENT. H. HUASCAR MZ 48 LT 22"/>
    <x v="15"/>
    <x v="0"/>
    <x v="0"/>
    <x v="1"/>
    <x v="204"/>
    <x v="0"/>
    <n v="4"/>
    <n v="192"/>
    <x v="0"/>
    <x v="1"/>
    <n v="1.1111111111111112E-2"/>
    <x v="6"/>
    <x v="1"/>
    <s v="OK"/>
    <x v="0"/>
    <s v="OK"/>
    <x v="0"/>
    <x v="0"/>
    <n v="1"/>
    <n v="0"/>
    <n v="1"/>
    <n v="0"/>
    <x v="0"/>
    <x v="0"/>
    <x v="1"/>
  </r>
  <r>
    <n v="20482744983"/>
    <x v="21"/>
    <x v="21"/>
    <x v="678"/>
    <x v="680"/>
    <x v="637"/>
    <n v="2"/>
    <x v="8"/>
    <s v="REINSERCION URBANA E14 AL E18"/>
    <s v="ANEXO 22 LAS LOMAS JICAMARCA MZ AB LT 2"/>
    <x v="95"/>
    <x v="0"/>
    <x v="0"/>
    <x v="1"/>
    <x v="187"/>
    <x v="0"/>
    <n v="4"/>
    <n v="208"/>
    <x v="0"/>
    <x v="1"/>
    <n v="1.1111111111111112E-2"/>
    <x v="13"/>
    <x v="1"/>
    <s v="OK"/>
    <x v="0"/>
    <s v="OK"/>
    <x v="0"/>
    <x v="0"/>
    <n v="1"/>
    <n v="0"/>
    <n v="1"/>
    <n v="0"/>
    <x v="0"/>
    <x v="0"/>
    <x v="1"/>
  </r>
  <r>
    <n v="10461189909"/>
    <x v="59"/>
    <x v="21"/>
    <x v="679"/>
    <x v="681"/>
    <x v="638"/>
    <n v="1"/>
    <x v="96"/>
    <s v="REINSERCION URBANA E14 AL E18"/>
    <s v="AGRP. FAM. VISTA ALEGRE MZ 8 LT 3"/>
    <x v="15"/>
    <x v="0"/>
    <x v="0"/>
    <x v="1"/>
    <x v="100"/>
    <x v="0"/>
    <n v="1"/>
    <n v="200"/>
    <x v="0"/>
    <x v="0"/>
    <n v="1.1111111111111112E-2"/>
    <x v="11"/>
    <x v="1"/>
    <s v="OK"/>
    <x v="0"/>
    <s v="OK"/>
    <x v="0"/>
    <x v="0"/>
    <n v="1"/>
    <n v="0"/>
    <n v="1"/>
    <n v="0"/>
    <x v="0"/>
    <x v="0"/>
    <x v="1"/>
  </r>
  <r>
    <n v="10461189909"/>
    <x v="59"/>
    <x v="21"/>
    <x v="680"/>
    <x v="682"/>
    <x v="639"/>
    <n v="1"/>
    <x v="144"/>
    <s v="REINSERCION URBANA E14 AL E18"/>
    <s v="UCV 217 LT 76 ZONA S ASENT. H. HUAYCAN"/>
    <x v="1"/>
    <x v="0"/>
    <x v="0"/>
    <x v="1"/>
    <x v="100"/>
    <x v="0"/>
    <n v="1"/>
    <n v="200"/>
    <x v="0"/>
    <x v="0"/>
    <n v="1.1111111111111112E-2"/>
    <x v="8"/>
    <x v="1"/>
    <s v="OK"/>
    <x v="1"/>
    <s v="OK"/>
    <x v="0"/>
    <x v="0"/>
    <n v="1"/>
    <n v="1"/>
    <n v="1"/>
    <n v="0"/>
    <x v="0"/>
    <x v="0"/>
    <x v="1"/>
  </r>
  <r>
    <n v="20482744983"/>
    <x v="21"/>
    <x v="21"/>
    <x v="681"/>
    <x v="683"/>
    <x v="640"/>
    <n v="2"/>
    <x v="145"/>
    <s v="REINSERCION URBANA E14 AL E18"/>
    <s v="MZ B-2 LT 35 PORTALES DE JAVIER PRADO 3ERA ETAPA"/>
    <x v="1"/>
    <x v="0"/>
    <x v="0"/>
    <x v="1"/>
    <x v="187"/>
    <x v="0"/>
    <n v="4"/>
    <n v="208"/>
    <x v="0"/>
    <x v="1"/>
    <n v="1.1111111111111112E-2"/>
    <x v="13"/>
    <x v="1"/>
    <s v="OK"/>
    <x v="1"/>
    <s v="OK"/>
    <x v="0"/>
    <x v="0"/>
    <n v="1"/>
    <n v="1"/>
    <n v="1"/>
    <n v="0"/>
    <x v="0"/>
    <x v="0"/>
    <x v="1"/>
  </r>
  <r>
    <n v="20482744983"/>
    <x v="21"/>
    <x v="21"/>
    <x v="682"/>
    <x v="684"/>
    <x v="641"/>
    <n v="1"/>
    <x v="141"/>
    <s v="ESTACION 02"/>
    <s v="JR ALMTE MARTIN GUISSE 1800 DPTO 3005"/>
    <x v="155"/>
    <x v="0"/>
    <x v="0"/>
    <x v="1"/>
    <x v="146"/>
    <x v="0"/>
    <n v="1"/>
    <n v="240"/>
    <x v="0"/>
    <x v="1"/>
    <n v="1.1111111111111112E-2"/>
    <x v="8"/>
    <x v="1"/>
    <s v="OK"/>
    <x v="0"/>
    <s v="OK"/>
    <x v="0"/>
    <x v="0"/>
    <n v="1"/>
    <n v="0"/>
    <n v="1"/>
    <n v="0"/>
    <x v="0"/>
    <x v="0"/>
    <x v="1"/>
  </r>
  <r>
    <n v="20482744983"/>
    <x v="21"/>
    <x v="21"/>
    <x v="683"/>
    <x v="685"/>
    <x v="642"/>
    <n v="1"/>
    <x v="146"/>
    <s v="ESTACION 01"/>
    <s v="CALLE 11 URB. COOPIP DEPTO. 503 MZ O LT 40"/>
    <x v="3"/>
    <x v="0"/>
    <x v="0"/>
    <x v="1"/>
    <x v="4"/>
    <x v="0"/>
    <n v="1"/>
    <n v="224"/>
    <x v="0"/>
    <x v="1"/>
    <n v="1.1111111111111112E-2"/>
    <x v="7"/>
    <x v="1"/>
    <s v="OK"/>
    <x v="0"/>
    <s v="OK"/>
    <x v="0"/>
    <x v="0"/>
    <n v="1"/>
    <n v="0"/>
    <n v="1"/>
    <n v="0"/>
    <x v="0"/>
    <x v="0"/>
    <x v="1"/>
  </r>
  <r>
    <n v="20482744983"/>
    <x v="21"/>
    <x v="21"/>
    <x v="684"/>
    <x v="686"/>
    <x v="643"/>
    <n v="2"/>
    <x v="8"/>
    <s v="REINSERCION URBANA E14 AL E18"/>
    <s v="JR. HUAYNA CAPAC 598 39-11 ASENT. H. EL CARMEN"/>
    <x v="0"/>
    <x v="0"/>
    <x v="0"/>
    <x v="1"/>
    <x v="103"/>
    <x v="0"/>
    <n v="4"/>
    <n v="112"/>
    <x v="0"/>
    <x v="1"/>
    <n v="1.1111111111111112E-2"/>
    <x v="7"/>
    <x v="1"/>
    <s v="OK"/>
    <x v="0"/>
    <s v="OK"/>
    <x v="0"/>
    <x v="0"/>
    <n v="1"/>
    <n v="0"/>
    <n v="1"/>
    <n v="0"/>
    <x v="0"/>
    <x v="0"/>
    <x v="1"/>
  </r>
  <r>
    <n v="20482744983"/>
    <x v="21"/>
    <x v="21"/>
    <x v="685"/>
    <x v="687"/>
    <x v="644"/>
    <n v="1"/>
    <x v="147"/>
    <s v="REINSERCION URBANA E14 AL E18"/>
    <s v="PSJ MONTECARLO 510"/>
    <x v="80"/>
    <x v="1"/>
    <x v="0"/>
    <x v="1"/>
    <x v="146"/>
    <x v="0"/>
    <n v="1"/>
    <n v="240"/>
    <x v="0"/>
    <x v="1"/>
    <n v="1.1111111111111112E-2"/>
    <x v="7"/>
    <x v="1"/>
    <s v="OK"/>
    <x v="0"/>
    <s v="OK"/>
    <x v="0"/>
    <x v="0"/>
    <n v="1"/>
    <n v="0"/>
    <n v="1"/>
    <n v="0"/>
    <x v="0"/>
    <x v="0"/>
    <x v="1"/>
  </r>
  <r>
    <n v="20482744983"/>
    <x v="21"/>
    <x v="21"/>
    <x v="686"/>
    <x v="688"/>
    <x v="645"/>
    <n v="2"/>
    <x v="145"/>
    <s v="REINSERCION URBANA E14 AL E18"/>
    <s v="PSJ. SANCHEZ CARRION 104 SAN PEDRO"/>
    <x v="46"/>
    <x v="0"/>
    <x v="0"/>
    <x v="1"/>
    <x v="103"/>
    <x v="0"/>
    <n v="4"/>
    <n v="112"/>
    <x v="0"/>
    <x v="1"/>
    <n v="1.1111111111111112E-2"/>
    <x v="10"/>
    <x v="1"/>
    <s v="OK"/>
    <x v="7"/>
    <s v="OK"/>
    <x v="0"/>
    <x v="0"/>
    <n v="1"/>
    <n v="1"/>
    <n v="1"/>
    <n v="0"/>
    <x v="0"/>
    <x v="0"/>
    <x v="1"/>
  </r>
  <r>
    <n v="20482744983"/>
    <x v="21"/>
    <x v="21"/>
    <x v="687"/>
    <x v="689"/>
    <x v="646"/>
    <n v="1"/>
    <x v="148"/>
    <s v="REINSERCION URBANA E14 AL E18"/>
    <s v="VILLA RICA 1ERA ETAPA MZ Q LT 14"/>
    <x v="156"/>
    <x v="1"/>
    <x v="0"/>
    <x v="1"/>
    <x v="30"/>
    <x v="0"/>
    <n v="1"/>
    <n v="48"/>
    <x v="0"/>
    <x v="1"/>
    <n v="1.1111111111111112E-2"/>
    <x v="11"/>
    <x v="1"/>
    <s v="OK"/>
    <x v="0"/>
    <s v="OK"/>
    <x v="0"/>
    <x v="0"/>
    <n v="1"/>
    <n v="0"/>
    <n v="1"/>
    <n v="0"/>
    <x v="0"/>
    <x v="0"/>
    <x v="1"/>
  </r>
  <r>
    <n v="20101155588"/>
    <x v="22"/>
    <x v="22"/>
    <x v="688"/>
    <x v="690"/>
    <x v="647"/>
    <n v="1"/>
    <x v="149"/>
    <s v="PATIO TALLER SANTA ANITA"/>
    <s v="HUAYCAN ZONA G LOTE 9"/>
    <x v="1"/>
    <x v="0"/>
    <x v="9"/>
    <x v="1"/>
    <x v="75"/>
    <x v="0"/>
    <n v="1"/>
    <n v="312"/>
    <x v="1"/>
    <x v="1"/>
    <n v="3.134796238244514E-3"/>
    <x v="6"/>
    <x v="1"/>
    <s v="OK"/>
    <x v="1"/>
    <s v="OK"/>
    <x v="0"/>
    <x v="0"/>
    <n v="1"/>
    <n v="1"/>
    <n v="0"/>
    <n v="0"/>
    <x v="0"/>
    <x v="0"/>
    <x v="0"/>
  </r>
  <r>
    <n v="20101155588"/>
    <x v="22"/>
    <x v="22"/>
    <x v="689"/>
    <x v="691"/>
    <x v="648"/>
    <n v="1"/>
    <x v="32"/>
    <s v="POZO 18"/>
    <s v="AV LAS FLORES 174 URB SAN RAFAEL MZ D LOTE 14"/>
    <x v="15"/>
    <x v="0"/>
    <x v="24"/>
    <x v="1"/>
    <x v="313"/>
    <x v="0"/>
    <n v="1"/>
    <n v="264"/>
    <x v="1"/>
    <x v="1"/>
    <n v="3.134796238244514E-3"/>
    <x v="6"/>
    <x v="1"/>
    <s v="OK"/>
    <x v="0"/>
    <s v="OK"/>
    <x v="0"/>
    <x v="0"/>
    <n v="1"/>
    <n v="0"/>
    <n v="0"/>
    <n v="1"/>
    <x v="0"/>
    <x v="1"/>
    <x v="0"/>
  </r>
  <r>
    <n v="20101155588"/>
    <x v="22"/>
    <x v="22"/>
    <x v="690"/>
    <x v="692"/>
    <x v="649"/>
    <n v="1"/>
    <x v="32"/>
    <s v="ESTACION 10"/>
    <s v="SAN JUAN DE AMANCAES MZ 51 LT 11"/>
    <x v="13"/>
    <x v="0"/>
    <x v="9"/>
    <x v="1"/>
    <x v="314"/>
    <x v="0"/>
    <n v="1"/>
    <n v="312"/>
    <x v="1"/>
    <x v="1"/>
    <n v="3.134796238244514E-3"/>
    <x v="10"/>
    <x v="1"/>
    <s v="OK"/>
    <x v="0"/>
    <s v="OK"/>
    <x v="0"/>
    <x v="0"/>
    <n v="1"/>
    <n v="0"/>
    <n v="0"/>
    <n v="0"/>
    <x v="0"/>
    <x v="0"/>
    <x v="0"/>
  </r>
  <r>
    <n v="20101155588"/>
    <x v="22"/>
    <x v="22"/>
    <x v="691"/>
    <x v="693"/>
    <x v="572"/>
    <n v="1"/>
    <x v="32"/>
    <s v="ESTACION 09B"/>
    <s v="JIRON PARUHUAMBA 437"/>
    <x v="3"/>
    <x v="0"/>
    <x v="9"/>
    <x v="1"/>
    <x v="84"/>
    <x v="0"/>
    <n v="1"/>
    <n v="312"/>
    <x v="1"/>
    <x v="1"/>
    <n v="3.134796238244514E-3"/>
    <x v="6"/>
    <x v="1"/>
    <s v="OK"/>
    <x v="0"/>
    <s v="OK"/>
    <x v="0"/>
    <x v="0"/>
    <n v="1"/>
    <n v="0"/>
    <n v="0"/>
    <n v="0"/>
    <x v="0"/>
    <x v="0"/>
    <x v="0"/>
  </r>
  <r>
    <n v="20101155588"/>
    <x v="22"/>
    <x v="22"/>
    <x v="692"/>
    <x v="694"/>
    <x v="367"/>
    <n v="1"/>
    <x v="32"/>
    <s v="OFICINA OIP"/>
    <s v="GUILLERMO RANSAY 397"/>
    <x v="3"/>
    <x v="0"/>
    <x v="9"/>
    <x v="1"/>
    <x v="315"/>
    <x v="0"/>
    <n v="1"/>
    <n v="312"/>
    <x v="1"/>
    <x v="1"/>
    <n v="3.134796238244514E-3"/>
    <x v="6"/>
    <x v="1"/>
    <s v="OK"/>
    <x v="0"/>
    <s v="OK"/>
    <x v="0"/>
    <x v="0"/>
    <n v="1"/>
    <n v="0"/>
    <n v="0"/>
    <n v="0"/>
    <x v="0"/>
    <x v="0"/>
    <x v="0"/>
  </r>
  <r>
    <n v="20101155588"/>
    <x v="22"/>
    <x v="22"/>
    <x v="693"/>
    <x v="695"/>
    <x v="650"/>
    <n v="1"/>
    <x v="32"/>
    <s v="ESTACION 11 A"/>
    <s v="Av. Los Alisos"/>
    <x v="3"/>
    <x v="0"/>
    <x v="9"/>
    <x v="1"/>
    <x v="69"/>
    <x v="0"/>
    <n v="1"/>
    <n v="312"/>
    <x v="1"/>
    <x v="1"/>
    <n v="3.134796238244514E-3"/>
    <x v="10"/>
    <x v="1"/>
    <s v="OK"/>
    <x v="0"/>
    <s v="OK"/>
    <x v="0"/>
    <x v="0"/>
    <n v="1"/>
    <n v="0"/>
    <n v="0"/>
    <n v="0"/>
    <x v="0"/>
    <x v="0"/>
    <x v="0"/>
  </r>
  <r>
    <n v="20101155588"/>
    <x v="22"/>
    <x v="22"/>
    <x v="694"/>
    <x v="696"/>
    <x v="651"/>
    <n v="1"/>
    <x v="32"/>
    <s v="PATIO TALLER SANTA ANITA"/>
    <s v="CALLE LAS VIOLETAS "/>
    <x v="119"/>
    <x v="0"/>
    <x v="9"/>
    <x v="1"/>
    <x v="233"/>
    <x v="0"/>
    <n v="1"/>
    <n v="312"/>
    <x v="1"/>
    <x v="1"/>
    <n v="3.134796238244514E-3"/>
    <x v="11"/>
    <x v="1"/>
    <s v="OK"/>
    <x v="0"/>
    <s v="OK"/>
    <x v="0"/>
    <x v="0"/>
    <n v="1"/>
    <n v="0"/>
    <n v="0"/>
    <n v="0"/>
    <x v="0"/>
    <x v="0"/>
    <x v="0"/>
  </r>
  <r>
    <n v="20101155588"/>
    <x v="22"/>
    <x v="22"/>
    <x v="695"/>
    <x v="697"/>
    <x v="652"/>
    <n v="1"/>
    <x v="32"/>
    <s v="PATIO TALLER SANTA ANITA"/>
    <s v="AV. NICOLAS AYLLON"/>
    <x v="1"/>
    <x v="0"/>
    <x v="9"/>
    <x v="1"/>
    <x v="316"/>
    <x v="0"/>
    <n v="1"/>
    <n v="312"/>
    <x v="1"/>
    <x v="1"/>
    <n v="3.134796238244514E-3"/>
    <x v="6"/>
    <x v="1"/>
    <s v="OK"/>
    <x v="1"/>
    <s v="OK"/>
    <x v="0"/>
    <x v="0"/>
    <n v="1"/>
    <n v="1"/>
    <n v="0"/>
    <n v="0"/>
    <x v="0"/>
    <x v="0"/>
    <x v="0"/>
  </r>
  <r>
    <n v="20101155588"/>
    <x v="22"/>
    <x v="22"/>
    <x v="696"/>
    <x v="698"/>
    <x v="653"/>
    <n v="1"/>
    <x v="32"/>
    <s v="PATIO TALLER SANTA ANITA"/>
    <s v="URB. LOS SAUCES"/>
    <x v="25"/>
    <x v="0"/>
    <x v="9"/>
    <x v="1"/>
    <x v="119"/>
    <x v="0"/>
    <n v="1"/>
    <n v="312"/>
    <x v="1"/>
    <x v="1"/>
    <n v="3.134796238244514E-3"/>
    <x v="6"/>
    <x v="1"/>
    <s v="OK"/>
    <x v="4"/>
    <s v="OK"/>
    <x v="0"/>
    <x v="0"/>
    <n v="1"/>
    <n v="1"/>
    <n v="0"/>
    <n v="0"/>
    <x v="0"/>
    <x v="0"/>
    <x v="0"/>
  </r>
  <r>
    <n v="20101155588"/>
    <x v="22"/>
    <x v="22"/>
    <x v="697"/>
    <x v="699"/>
    <x v="654"/>
    <n v="1"/>
    <x v="32"/>
    <s v="ESTACION 16 B"/>
    <s v="AV. ALCAZAR"/>
    <x v="157"/>
    <x v="0"/>
    <x v="9"/>
    <x v="1"/>
    <x v="317"/>
    <x v="0"/>
    <n v="1"/>
    <n v="312"/>
    <x v="1"/>
    <x v="1"/>
    <n v="3.134796238244514E-3"/>
    <x v="9"/>
    <x v="1"/>
    <s v="OK"/>
    <x v="0"/>
    <s v="OK"/>
    <x v="0"/>
    <x v="0"/>
    <n v="1"/>
    <n v="0"/>
    <n v="0"/>
    <n v="0"/>
    <x v="0"/>
    <x v="0"/>
    <x v="0"/>
  </r>
  <r>
    <n v="20101155588"/>
    <x v="22"/>
    <x v="22"/>
    <x v="698"/>
    <x v="700"/>
    <x v="655"/>
    <n v="1"/>
    <x v="32"/>
    <s v="ESTACION 11 E"/>
    <s v="Av. Los Algarrobos"/>
    <x v="27"/>
    <x v="0"/>
    <x v="9"/>
    <x v="1"/>
    <x v="318"/>
    <x v="0"/>
    <n v="1"/>
    <n v="312"/>
    <x v="1"/>
    <x v="1"/>
    <n v="3.134796238244514E-3"/>
    <x v="7"/>
    <x v="1"/>
    <s v="OK"/>
    <x v="5"/>
    <s v="OK"/>
    <x v="0"/>
    <x v="0"/>
    <n v="1"/>
    <n v="1"/>
    <n v="0"/>
    <n v="0"/>
    <x v="0"/>
    <x v="0"/>
    <x v="0"/>
  </r>
  <r>
    <n v="20101155588"/>
    <x v="22"/>
    <x v="22"/>
    <x v="699"/>
    <x v="701"/>
    <x v="656"/>
    <n v="1"/>
    <x v="32"/>
    <s v="PATIO TALLER SANTA ANITA"/>
    <s v="LA COLECTORA "/>
    <x v="27"/>
    <x v="0"/>
    <x v="9"/>
    <x v="1"/>
    <x v="319"/>
    <x v="0"/>
    <n v="1"/>
    <n v="312"/>
    <x v="1"/>
    <x v="1"/>
    <n v="3.134796238244514E-3"/>
    <x v="10"/>
    <x v="1"/>
    <s v="OK"/>
    <x v="5"/>
    <s v="OK"/>
    <x v="0"/>
    <x v="0"/>
    <n v="1"/>
    <n v="1"/>
    <n v="0"/>
    <n v="0"/>
    <x v="0"/>
    <x v="0"/>
    <x v="0"/>
  </r>
  <r>
    <n v="20101155588"/>
    <x v="22"/>
    <x v="22"/>
    <x v="700"/>
    <x v="702"/>
    <x v="657"/>
    <n v="1"/>
    <x v="32"/>
    <s v="ESTACION 11 B"/>
    <s v="Calle 23 de diciembre"/>
    <x v="44"/>
    <x v="0"/>
    <x v="9"/>
    <x v="1"/>
    <x v="320"/>
    <x v="0"/>
    <n v="1"/>
    <n v="312"/>
    <x v="1"/>
    <x v="1"/>
    <n v="3.134796238244514E-3"/>
    <x v="8"/>
    <x v="1"/>
    <s v="OK"/>
    <x v="0"/>
    <s v="OK"/>
    <x v="0"/>
    <x v="0"/>
    <n v="1"/>
    <n v="0"/>
    <n v="0"/>
    <n v="0"/>
    <x v="0"/>
    <x v="0"/>
    <x v="0"/>
  </r>
  <r>
    <n v="20101155588"/>
    <x v="22"/>
    <x v="22"/>
    <x v="701"/>
    <x v="703"/>
    <x v="658"/>
    <n v="1"/>
    <x v="32"/>
    <s v="PATIO TALLER SANTA ANITA"/>
    <s v="Jr. Italia"/>
    <x v="25"/>
    <x v="0"/>
    <x v="9"/>
    <x v="1"/>
    <x v="321"/>
    <x v="0"/>
    <n v="1"/>
    <n v="312"/>
    <x v="1"/>
    <x v="1"/>
    <n v="3.134796238244514E-3"/>
    <x v="13"/>
    <x v="1"/>
    <s v="OK"/>
    <x v="4"/>
    <s v="OK"/>
    <x v="0"/>
    <x v="0"/>
    <n v="1"/>
    <n v="1"/>
    <n v="0"/>
    <n v="0"/>
    <x v="0"/>
    <x v="0"/>
    <x v="0"/>
  </r>
  <r>
    <n v="20101155588"/>
    <x v="22"/>
    <x v="22"/>
    <x v="702"/>
    <x v="704"/>
    <x v="659"/>
    <n v="1"/>
    <x v="32"/>
    <s v="PATIO TALLER SANTA ANITA"/>
    <s v="AV. LOS RUISEÑORES"/>
    <x v="27"/>
    <x v="0"/>
    <x v="9"/>
    <x v="1"/>
    <x v="322"/>
    <x v="0"/>
    <n v="1"/>
    <n v="312"/>
    <x v="1"/>
    <x v="1"/>
    <n v="3.134796238244514E-3"/>
    <x v="6"/>
    <x v="1"/>
    <s v="OK"/>
    <x v="5"/>
    <s v="OK"/>
    <x v="0"/>
    <x v="0"/>
    <n v="1"/>
    <n v="1"/>
    <n v="0"/>
    <n v="0"/>
    <x v="0"/>
    <x v="0"/>
    <x v="0"/>
  </r>
  <r>
    <n v="20101155588"/>
    <x v="22"/>
    <x v="22"/>
    <x v="703"/>
    <x v="705"/>
    <x v="660"/>
    <n v="1"/>
    <x v="32"/>
    <s v="PATIO TALLER SANTA ANITA"/>
    <s v="AV. LOS GERANIOS "/>
    <x v="119"/>
    <x v="0"/>
    <x v="9"/>
    <x v="1"/>
    <x v="322"/>
    <x v="0"/>
    <n v="1"/>
    <n v="312"/>
    <x v="1"/>
    <x v="1"/>
    <n v="3.134796238244514E-3"/>
    <x v="7"/>
    <x v="1"/>
    <s v="OK"/>
    <x v="0"/>
    <s v="OK"/>
    <x v="0"/>
    <x v="0"/>
    <n v="1"/>
    <n v="0"/>
    <n v="0"/>
    <n v="0"/>
    <x v="0"/>
    <x v="0"/>
    <x v="0"/>
  </r>
  <r>
    <n v="20101155588"/>
    <x v="22"/>
    <x v="22"/>
    <x v="704"/>
    <x v="706"/>
    <x v="661"/>
    <n v="1"/>
    <x v="32"/>
    <s v="PATIO TALLER SANTA ANITA"/>
    <s v="Av. Los Alisos"/>
    <x v="3"/>
    <x v="0"/>
    <x v="9"/>
    <x v="1"/>
    <x v="71"/>
    <x v="0"/>
    <n v="1"/>
    <n v="312"/>
    <x v="1"/>
    <x v="1"/>
    <n v="3.134796238244514E-3"/>
    <x v="8"/>
    <x v="1"/>
    <s v="OK"/>
    <x v="0"/>
    <s v="OK"/>
    <x v="0"/>
    <x v="0"/>
    <n v="1"/>
    <n v="0"/>
    <n v="0"/>
    <n v="0"/>
    <x v="0"/>
    <x v="0"/>
    <x v="0"/>
  </r>
  <r>
    <n v="20101155588"/>
    <x v="22"/>
    <x v="22"/>
    <x v="705"/>
    <x v="707"/>
    <x v="264"/>
    <n v="1"/>
    <x v="32"/>
    <s v="ESTACION 18 C"/>
    <s v="Av. De las Américas"/>
    <x v="25"/>
    <x v="0"/>
    <x v="9"/>
    <x v="1"/>
    <x v="323"/>
    <x v="0"/>
    <n v="1"/>
    <n v="312"/>
    <x v="1"/>
    <x v="1"/>
    <n v="3.134796238244514E-3"/>
    <x v="12"/>
    <x v="1"/>
    <s v="OK"/>
    <x v="4"/>
    <s v="OK"/>
    <x v="0"/>
    <x v="0"/>
    <n v="1"/>
    <n v="1"/>
    <n v="0"/>
    <n v="0"/>
    <x v="0"/>
    <x v="0"/>
    <x v="0"/>
  </r>
  <r>
    <n v="20101155588"/>
    <x v="22"/>
    <x v="22"/>
    <x v="706"/>
    <x v="708"/>
    <x v="662"/>
    <n v="1"/>
    <x v="32"/>
    <s v="PATIO TALLER SANTA ANITA"/>
    <s v="CALLE VESTA 410- RIMAC"/>
    <x v="13"/>
    <x v="0"/>
    <x v="9"/>
    <x v="1"/>
    <x v="324"/>
    <x v="0"/>
    <n v="1"/>
    <n v="312"/>
    <x v="1"/>
    <x v="1"/>
    <n v="3.134796238244514E-3"/>
    <x v="8"/>
    <x v="1"/>
    <s v="OK"/>
    <x v="0"/>
    <s v="OK"/>
    <x v="0"/>
    <x v="0"/>
    <n v="1"/>
    <n v="0"/>
    <n v="0"/>
    <n v="0"/>
    <x v="0"/>
    <x v="0"/>
    <x v="0"/>
  </r>
  <r>
    <n v="20101155588"/>
    <x v="22"/>
    <x v="22"/>
    <x v="678"/>
    <x v="709"/>
    <x v="637"/>
    <n v="1"/>
    <x v="32"/>
    <s v="ESTACION 18 B"/>
    <s v="Av. Parinacochas"/>
    <x v="25"/>
    <x v="0"/>
    <x v="9"/>
    <x v="1"/>
    <x v="325"/>
    <x v="0"/>
    <n v="1"/>
    <n v="312"/>
    <x v="1"/>
    <x v="1"/>
    <n v="3.134796238244514E-3"/>
    <x v="13"/>
    <x v="1"/>
    <s v="OK"/>
    <x v="4"/>
    <s v="OK"/>
    <x v="0"/>
    <x v="0"/>
    <n v="1"/>
    <n v="1"/>
    <n v="0"/>
    <n v="0"/>
    <x v="0"/>
    <x v="0"/>
    <x v="0"/>
  </r>
  <r>
    <n v="20101155588"/>
    <x v="22"/>
    <x v="22"/>
    <x v="707"/>
    <x v="710"/>
    <x v="663"/>
    <n v="1"/>
    <x v="32"/>
    <s v="PATIO TALLER SANTA ANITA"/>
    <s v="JR. PILCOMAYO"/>
    <x v="5"/>
    <x v="1"/>
    <x v="9"/>
    <x v="1"/>
    <x v="74"/>
    <x v="0"/>
    <n v="1"/>
    <n v="312"/>
    <x v="1"/>
    <x v="1"/>
    <n v="3.134796238244514E-3"/>
    <x v="11"/>
    <x v="1"/>
    <s v="OK"/>
    <x v="3"/>
    <s v="OK"/>
    <x v="0"/>
    <x v="0"/>
    <n v="1"/>
    <n v="1"/>
    <n v="0"/>
    <n v="0"/>
    <x v="0"/>
    <x v="0"/>
    <x v="0"/>
  </r>
  <r>
    <n v="20101155588"/>
    <x v="22"/>
    <x v="22"/>
    <x v="708"/>
    <x v="711"/>
    <x v="664"/>
    <n v="1"/>
    <x v="32"/>
    <s v="PATIO TALLER SANTA ANITA"/>
    <s v="CALLE ANTAN N° 299 URB. 27 DE ABRIL"/>
    <x v="27"/>
    <x v="0"/>
    <x v="9"/>
    <x v="1"/>
    <x v="326"/>
    <x v="0"/>
    <n v="1"/>
    <n v="312"/>
    <x v="1"/>
    <x v="1"/>
    <n v="3.134796238244514E-3"/>
    <x v="6"/>
    <x v="1"/>
    <s v="OK"/>
    <x v="5"/>
    <s v="OK"/>
    <x v="0"/>
    <x v="0"/>
    <n v="1"/>
    <n v="1"/>
    <n v="0"/>
    <n v="0"/>
    <x v="0"/>
    <x v="0"/>
    <x v="0"/>
  </r>
  <r>
    <n v="20101155588"/>
    <x v="22"/>
    <x v="22"/>
    <x v="709"/>
    <x v="712"/>
    <x v="665"/>
    <n v="1"/>
    <x v="32"/>
    <s v="ESTACION 14 B"/>
    <s v="JR. JUNIN S/N"/>
    <x v="121"/>
    <x v="0"/>
    <x v="9"/>
    <x v="1"/>
    <x v="327"/>
    <x v="0"/>
    <n v="1"/>
    <n v="312"/>
    <x v="1"/>
    <x v="1"/>
    <n v="3.134796238244514E-3"/>
    <x v="10"/>
    <x v="1"/>
    <s v="OK"/>
    <x v="0"/>
    <s v="OK"/>
    <x v="0"/>
    <x v="0"/>
    <n v="1"/>
    <n v="0"/>
    <n v="0"/>
    <n v="0"/>
    <x v="0"/>
    <x v="0"/>
    <x v="0"/>
  </r>
  <r>
    <n v="20101155588"/>
    <x v="22"/>
    <x v="22"/>
    <x v="710"/>
    <x v="713"/>
    <x v="666"/>
    <n v="1"/>
    <x v="32"/>
    <s v="ESTACION 17 C"/>
    <s v="AV. LA RIEL "/>
    <x v="34"/>
    <x v="0"/>
    <x v="9"/>
    <x v="1"/>
    <x v="328"/>
    <x v="0"/>
    <n v="1"/>
    <n v="312"/>
    <x v="1"/>
    <x v="1"/>
    <n v="3.134796238244514E-3"/>
    <x v="7"/>
    <x v="1"/>
    <s v="OK"/>
    <x v="1"/>
    <s v="OK"/>
    <x v="0"/>
    <x v="0"/>
    <n v="1"/>
    <n v="1"/>
    <n v="0"/>
    <n v="0"/>
    <x v="0"/>
    <x v="0"/>
    <x v="0"/>
  </r>
  <r>
    <n v="20101155588"/>
    <x v="22"/>
    <x v="22"/>
    <x v="711"/>
    <x v="714"/>
    <x v="667"/>
    <n v="1"/>
    <x v="32"/>
    <s v="PATIO TALLER SANTA ANITA"/>
    <s v="LA COLECTORA "/>
    <x v="27"/>
    <x v="0"/>
    <x v="9"/>
    <x v="1"/>
    <x v="118"/>
    <x v="0"/>
    <n v="1"/>
    <n v="312"/>
    <x v="1"/>
    <x v="1"/>
    <n v="3.134796238244514E-3"/>
    <x v="7"/>
    <x v="1"/>
    <s v="OK"/>
    <x v="5"/>
    <s v="OK"/>
    <x v="0"/>
    <x v="0"/>
    <n v="1"/>
    <n v="1"/>
    <n v="0"/>
    <n v="0"/>
    <x v="0"/>
    <x v="0"/>
    <x v="0"/>
  </r>
  <r>
    <n v="20101155588"/>
    <x v="22"/>
    <x v="22"/>
    <x v="712"/>
    <x v="715"/>
    <x v="668"/>
    <n v="1"/>
    <x v="32"/>
    <s v="PATIO TALLER SANTA ANITA"/>
    <s v="JR. LOS PINARES"/>
    <x v="3"/>
    <x v="0"/>
    <x v="9"/>
    <x v="1"/>
    <x v="327"/>
    <x v="0"/>
    <n v="1"/>
    <n v="312"/>
    <x v="1"/>
    <x v="1"/>
    <n v="3.134796238244514E-3"/>
    <x v="12"/>
    <x v="1"/>
    <s v="OK"/>
    <x v="0"/>
    <s v="OK"/>
    <x v="0"/>
    <x v="0"/>
    <n v="1"/>
    <n v="0"/>
    <n v="0"/>
    <n v="0"/>
    <x v="0"/>
    <x v="0"/>
    <x v="0"/>
  </r>
  <r>
    <n v="20101155588"/>
    <x v="22"/>
    <x v="22"/>
    <x v="713"/>
    <x v="716"/>
    <x v="669"/>
    <n v="1"/>
    <x v="32"/>
    <s v="PATIO TALLER SANTA ANITA"/>
    <s v="SAN LORENZO "/>
    <x v="158"/>
    <x v="0"/>
    <x v="9"/>
    <x v="1"/>
    <x v="329"/>
    <x v="0"/>
    <n v="1"/>
    <n v="312"/>
    <x v="1"/>
    <x v="1"/>
    <n v="3.134796238244514E-3"/>
    <x v="9"/>
    <x v="1"/>
    <s v="OK"/>
    <x v="3"/>
    <s v="OK"/>
    <x v="0"/>
    <x v="0"/>
    <n v="1"/>
    <n v="1"/>
    <n v="0"/>
    <n v="0"/>
    <x v="0"/>
    <x v="0"/>
    <x v="0"/>
  </r>
  <r>
    <n v="20101155588"/>
    <x v="22"/>
    <x v="22"/>
    <x v="714"/>
    <x v="717"/>
    <x v="670"/>
    <n v="1"/>
    <x v="32"/>
    <s v="ESTACION 14 B"/>
    <s v="AV. CENTRAL "/>
    <x v="49"/>
    <x v="0"/>
    <x v="9"/>
    <x v="1"/>
    <x v="330"/>
    <x v="0"/>
    <n v="1"/>
    <n v="312"/>
    <x v="1"/>
    <x v="1"/>
    <n v="3.134796238244514E-3"/>
    <x v="9"/>
    <x v="1"/>
    <s v="OK"/>
    <x v="0"/>
    <s v="OK"/>
    <x v="0"/>
    <x v="0"/>
    <n v="1"/>
    <n v="0"/>
    <n v="0"/>
    <n v="0"/>
    <x v="0"/>
    <x v="0"/>
    <x v="0"/>
  </r>
  <r>
    <n v="20101155588"/>
    <x v="22"/>
    <x v="22"/>
    <x v="715"/>
    <x v="718"/>
    <x v="671"/>
    <n v="1"/>
    <x v="32"/>
    <s v="ESTACION 25 B"/>
    <s v="MZL LOTE7 VALLE GRANDE "/>
    <x v="15"/>
    <x v="0"/>
    <x v="9"/>
    <x v="1"/>
    <x v="331"/>
    <x v="0"/>
    <n v="1"/>
    <n v="312"/>
    <x v="1"/>
    <x v="1"/>
    <n v="3.134796238244514E-3"/>
    <x v="6"/>
    <x v="1"/>
    <s v="OK"/>
    <x v="0"/>
    <s v="OK"/>
    <x v="0"/>
    <x v="0"/>
    <n v="1"/>
    <n v="0"/>
    <n v="0"/>
    <n v="0"/>
    <x v="0"/>
    <x v="0"/>
    <x v="0"/>
  </r>
  <r>
    <n v="20101155588"/>
    <x v="22"/>
    <x v="22"/>
    <x v="716"/>
    <x v="719"/>
    <x v="672"/>
    <n v="1"/>
    <x v="32"/>
    <s v="ESTACION 26"/>
    <s v="AAHH LAS AMERICAS"/>
    <x v="44"/>
    <x v="0"/>
    <x v="9"/>
    <x v="1"/>
    <x v="332"/>
    <x v="0"/>
    <n v="1"/>
    <n v="312"/>
    <x v="1"/>
    <x v="1"/>
    <n v="3.134796238244514E-3"/>
    <x v="9"/>
    <x v="1"/>
    <s v="OK"/>
    <x v="0"/>
    <s v="OK"/>
    <x v="0"/>
    <x v="0"/>
    <n v="1"/>
    <n v="0"/>
    <n v="0"/>
    <n v="0"/>
    <x v="0"/>
    <x v="0"/>
    <x v="0"/>
  </r>
  <r>
    <n v="20101155588"/>
    <x v="22"/>
    <x v="22"/>
    <x v="717"/>
    <x v="720"/>
    <x v="673"/>
    <n v="1"/>
    <x v="32"/>
    <s v="POZO 24 A"/>
    <s v="LAS PRADERAS DE PARIACHI MZ 03 LT 25"/>
    <x v="34"/>
    <x v="0"/>
    <x v="23"/>
    <x v="1"/>
    <x v="333"/>
    <x v="0"/>
    <n v="1"/>
    <n v="276"/>
    <x v="1"/>
    <x v="1"/>
    <n v="3.134796238244514E-3"/>
    <x v="6"/>
    <x v="1"/>
    <s v="OK"/>
    <x v="1"/>
    <s v="OK"/>
    <x v="0"/>
    <x v="0"/>
    <n v="1"/>
    <n v="1"/>
    <n v="0"/>
    <n v="1"/>
    <x v="0"/>
    <x v="1"/>
    <x v="0"/>
  </r>
  <r>
    <n v="20101155588"/>
    <x v="22"/>
    <x v="22"/>
    <x v="718"/>
    <x v="721"/>
    <x v="674"/>
    <n v="1"/>
    <x v="32"/>
    <s v="POZO 25.A"/>
    <s v="LA COLECTORA "/>
    <x v="27"/>
    <x v="0"/>
    <x v="9"/>
    <x v="1"/>
    <x v="334"/>
    <x v="0"/>
    <n v="1"/>
    <n v="312"/>
    <x v="1"/>
    <x v="1"/>
    <n v="3.134796238244514E-3"/>
    <x v="11"/>
    <x v="1"/>
    <s v="OK"/>
    <x v="5"/>
    <s v="OK"/>
    <x v="0"/>
    <x v="0"/>
    <n v="1"/>
    <n v="1"/>
    <n v="0"/>
    <n v="0"/>
    <x v="0"/>
    <x v="0"/>
    <x v="0"/>
  </r>
  <r>
    <n v="20101155588"/>
    <x v="22"/>
    <x v="22"/>
    <x v="719"/>
    <x v="722"/>
    <x v="675"/>
    <n v="1"/>
    <x v="32"/>
    <s v="POZO 26.B"/>
    <s v="AV NICLOAS AYLLON "/>
    <x v="1"/>
    <x v="0"/>
    <x v="9"/>
    <x v="1"/>
    <x v="212"/>
    <x v="0"/>
    <n v="1"/>
    <n v="312"/>
    <x v="1"/>
    <x v="1"/>
    <n v="3.134796238244514E-3"/>
    <x v="6"/>
    <x v="1"/>
    <s v="OK"/>
    <x v="1"/>
    <s v="OK"/>
    <x v="0"/>
    <x v="0"/>
    <n v="1"/>
    <n v="1"/>
    <n v="0"/>
    <n v="0"/>
    <x v="0"/>
    <x v="0"/>
    <x v="0"/>
  </r>
  <r>
    <n v="20101155588"/>
    <x v="22"/>
    <x v="22"/>
    <x v="720"/>
    <x v="723"/>
    <x v="494"/>
    <n v="1"/>
    <x v="32"/>
    <s v="ESTACION 11.C"/>
    <s v="AV TUPAC AMARU 610"/>
    <x v="27"/>
    <x v="0"/>
    <x v="9"/>
    <x v="1"/>
    <x v="335"/>
    <x v="0"/>
    <n v="1"/>
    <n v="312"/>
    <x v="1"/>
    <x v="1"/>
    <n v="3.134796238244514E-3"/>
    <x v="7"/>
    <x v="1"/>
    <s v="OK"/>
    <x v="5"/>
    <s v="OK"/>
    <x v="0"/>
    <x v="0"/>
    <n v="1"/>
    <n v="1"/>
    <n v="0"/>
    <n v="0"/>
    <x v="0"/>
    <x v="0"/>
    <x v="0"/>
  </r>
  <r>
    <n v="20101155588"/>
    <x v="22"/>
    <x v="22"/>
    <x v="721"/>
    <x v="724"/>
    <x v="676"/>
    <n v="1"/>
    <x v="32"/>
    <s v="ESTACION 16 E"/>
    <s v="AV. LOS GERANIOS "/>
    <x v="3"/>
    <x v="0"/>
    <x v="9"/>
    <x v="1"/>
    <x v="336"/>
    <x v="0"/>
    <n v="1"/>
    <n v="312"/>
    <x v="1"/>
    <x v="1"/>
    <n v="3.134796238244514E-3"/>
    <x v="13"/>
    <x v="1"/>
    <s v="OK"/>
    <x v="0"/>
    <s v="OK"/>
    <x v="0"/>
    <x v="0"/>
    <n v="1"/>
    <n v="0"/>
    <n v="0"/>
    <n v="0"/>
    <x v="0"/>
    <x v="0"/>
    <x v="0"/>
  </r>
  <r>
    <n v="20101155588"/>
    <x v="22"/>
    <x v="22"/>
    <x v="722"/>
    <x v="725"/>
    <x v="460"/>
    <n v="1"/>
    <x v="32"/>
    <s v="ESTACION 16 D"/>
    <s v="JR. JUNIN 690"/>
    <x v="121"/>
    <x v="0"/>
    <x v="9"/>
    <x v="1"/>
    <x v="337"/>
    <x v="0"/>
    <n v="1"/>
    <n v="312"/>
    <x v="1"/>
    <x v="1"/>
    <n v="3.134796238244514E-3"/>
    <x v="9"/>
    <x v="1"/>
    <s v="OK"/>
    <x v="0"/>
    <s v="OK"/>
    <x v="0"/>
    <x v="0"/>
    <n v="1"/>
    <n v="0"/>
    <n v="0"/>
    <n v="0"/>
    <x v="0"/>
    <x v="0"/>
    <x v="0"/>
  </r>
  <r>
    <n v="20101155588"/>
    <x v="22"/>
    <x v="22"/>
    <x v="723"/>
    <x v="726"/>
    <x v="677"/>
    <n v="1"/>
    <x v="32"/>
    <s v="ESTACION 18.A"/>
    <s v="AV 16 DE ENERO"/>
    <x v="119"/>
    <x v="0"/>
    <x v="9"/>
    <x v="1"/>
    <x v="338"/>
    <x v="0"/>
    <n v="1"/>
    <n v="312"/>
    <x v="1"/>
    <x v="1"/>
    <n v="3.134796238244514E-3"/>
    <x v="6"/>
    <x v="1"/>
    <s v="OK"/>
    <x v="0"/>
    <s v="OK"/>
    <x v="0"/>
    <x v="0"/>
    <n v="1"/>
    <n v="0"/>
    <n v="0"/>
    <n v="0"/>
    <x v="0"/>
    <x v="0"/>
    <x v="0"/>
  </r>
  <r>
    <n v="20101155588"/>
    <x v="22"/>
    <x v="22"/>
    <x v="724"/>
    <x v="727"/>
    <x v="678"/>
    <n v="1"/>
    <x v="32"/>
    <s v="ESTACION 18.D"/>
    <s v="JR. ZORRITOS"/>
    <x v="5"/>
    <x v="0"/>
    <x v="9"/>
    <x v="1"/>
    <x v="339"/>
    <x v="0"/>
    <n v="1"/>
    <n v="312"/>
    <x v="1"/>
    <x v="1"/>
    <n v="3.134796238244514E-3"/>
    <x v="12"/>
    <x v="1"/>
    <s v="OK"/>
    <x v="3"/>
    <s v="OK"/>
    <x v="0"/>
    <x v="0"/>
    <n v="1"/>
    <n v="1"/>
    <n v="0"/>
    <n v="0"/>
    <x v="0"/>
    <x v="0"/>
    <x v="0"/>
  </r>
  <r>
    <n v="20101155588"/>
    <x v="22"/>
    <x v="22"/>
    <x v="725"/>
    <x v="728"/>
    <x v="661"/>
    <n v="1"/>
    <x v="32"/>
    <s v="ESTACION 19 A"/>
    <s v="AV. FERROCARRIL "/>
    <x v="27"/>
    <x v="0"/>
    <x v="9"/>
    <x v="1"/>
    <x v="340"/>
    <x v="0"/>
    <n v="1"/>
    <n v="312"/>
    <x v="1"/>
    <x v="1"/>
    <n v="3.134796238244514E-3"/>
    <x v="8"/>
    <x v="1"/>
    <s v="OK"/>
    <x v="5"/>
    <s v="OK"/>
    <x v="0"/>
    <x v="0"/>
    <n v="1"/>
    <n v="1"/>
    <n v="0"/>
    <n v="0"/>
    <x v="0"/>
    <x v="0"/>
    <x v="0"/>
  </r>
  <r>
    <n v="20101155588"/>
    <x v="22"/>
    <x v="22"/>
    <x v="726"/>
    <x v="729"/>
    <x v="679"/>
    <n v="1"/>
    <x v="32"/>
    <s v="ESTACION 19 E"/>
    <s v="CALLE JOSÉ MARTI"/>
    <x v="44"/>
    <x v="0"/>
    <x v="9"/>
    <x v="1"/>
    <x v="341"/>
    <x v="0"/>
    <n v="1"/>
    <n v="312"/>
    <x v="1"/>
    <x v="1"/>
    <n v="3.134796238244514E-3"/>
    <x v="7"/>
    <x v="1"/>
    <s v="OK"/>
    <x v="0"/>
    <s v="OK"/>
    <x v="0"/>
    <x v="0"/>
    <n v="1"/>
    <n v="0"/>
    <n v="0"/>
    <n v="0"/>
    <x v="0"/>
    <x v="0"/>
    <x v="0"/>
  </r>
  <r>
    <n v="20101155588"/>
    <x v="22"/>
    <x v="22"/>
    <x v="727"/>
    <x v="730"/>
    <x v="680"/>
    <n v="1"/>
    <x v="32"/>
    <s v="PATIO TALLER SANTA ANITA"/>
    <s v="AV LIMA NORTE 153"/>
    <x v="119"/>
    <x v="0"/>
    <x v="9"/>
    <x v="1"/>
    <x v="342"/>
    <x v="0"/>
    <n v="1"/>
    <n v="312"/>
    <x v="1"/>
    <x v="1"/>
    <n v="3.134796238244514E-3"/>
    <x v="9"/>
    <x v="1"/>
    <s v="OK"/>
    <x v="0"/>
    <s v="OK"/>
    <x v="0"/>
    <x v="0"/>
    <n v="1"/>
    <n v="0"/>
    <n v="0"/>
    <n v="0"/>
    <x v="0"/>
    <x v="0"/>
    <x v="0"/>
  </r>
  <r>
    <n v="20101155588"/>
    <x v="22"/>
    <x v="22"/>
    <x v="728"/>
    <x v="731"/>
    <x v="681"/>
    <n v="1"/>
    <x v="32"/>
    <s v="ESTACION 25"/>
    <s v="Av. Santa rosa n°618"/>
    <x v="27"/>
    <x v="0"/>
    <x v="9"/>
    <x v="1"/>
    <x v="343"/>
    <x v="0"/>
    <n v="1"/>
    <n v="312"/>
    <x v="1"/>
    <x v="1"/>
    <n v="3.134796238244514E-3"/>
    <x v="9"/>
    <x v="1"/>
    <s v="OK"/>
    <x v="5"/>
    <s v="OK"/>
    <x v="0"/>
    <x v="0"/>
    <n v="1"/>
    <n v="1"/>
    <n v="0"/>
    <n v="0"/>
    <x v="0"/>
    <x v="0"/>
    <x v="0"/>
  </r>
  <r>
    <n v="20101155588"/>
    <x v="22"/>
    <x v="22"/>
    <x v="729"/>
    <x v="732"/>
    <x v="682"/>
    <n v="1"/>
    <x v="32"/>
    <s v="DESCANSERO"/>
    <s v="AV. ALCAZAR"/>
    <x v="157"/>
    <x v="0"/>
    <x v="9"/>
    <x v="1"/>
    <x v="344"/>
    <x v="0"/>
    <n v="1"/>
    <n v="312"/>
    <x v="1"/>
    <x v="1"/>
    <n v="3.134796238244514E-3"/>
    <x v="9"/>
    <x v="1"/>
    <s v="OK"/>
    <x v="0"/>
    <s v="OK"/>
    <x v="0"/>
    <x v="0"/>
    <n v="1"/>
    <n v="0"/>
    <n v="0"/>
    <n v="0"/>
    <x v="0"/>
    <x v="0"/>
    <x v="0"/>
  </r>
  <r>
    <n v="20101155588"/>
    <x v="22"/>
    <x v="22"/>
    <x v="730"/>
    <x v="733"/>
    <x v="683"/>
    <n v="1"/>
    <x v="32"/>
    <s v="ESTACION 25 VESTIBULO"/>
    <s v="JR. TACNA 240"/>
    <x v="3"/>
    <x v="0"/>
    <x v="9"/>
    <x v="1"/>
    <x v="345"/>
    <x v="0"/>
    <n v="1"/>
    <n v="312"/>
    <x v="1"/>
    <x v="1"/>
    <n v="3.134796238244514E-3"/>
    <x v="6"/>
    <x v="1"/>
    <s v="OK"/>
    <x v="0"/>
    <s v="OK"/>
    <x v="0"/>
    <x v="0"/>
    <n v="1"/>
    <n v="0"/>
    <n v="0"/>
    <n v="0"/>
    <x v="0"/>
    <x v="0"/>
    <x v="0"/>
  </r>
  <r>
    <n v="20101155588"/>
    <x v="22"/>
    <x v="22"/>
    <x v="731"/>
    <x v="734"/>
    <x v="684"/>
    <n v="1"/>
    <x v="32"/>
    <s v="POZO 25.A"/>
    <s v="AV. LOS EUCALIPTOS "/>
    <x v="27"/>
    <x v="0"/>
    <x v="9"/>
    <x v="1"/>
    <x v="346"/>
    <x v="0"/>
    <n v="1"/>
    <n v="312"/>
    <x v="1"/>
    <x v="1"/>
    <n v="3.134796238244514E-3"/>
    <x v="13"/>
    <x v="1"/>
    <s v="OK"/>
    <x v="5"/>
    <s v="OK"/>
    <x v="0"/>
    <x v="0"/>
    <n v="1"/>
    <n v="1"/>
    <n v="0"/>
    <n v="0"/>
    <x v="0"/>
    <x v="0"/>
    <x v="0"/>
  </r>
  <r>
    <n v="20101155588"/>
    <x v="22"/>
    <x v="22"/>
    <x v="732"/>
    <x v="735"/>
    <x v="685"/>
    <n v="1"/>
    <x v="32"/>
    <s v="PATIO TALLER SANTA ANITA"/>
    <s v="2DA ETAPA EL PORTILLO MZ B LT 15 "/>
    <x v="119"/>
    <x v="0"/>
    <x v="9"/>
    <x v="1"/>
    <x v="347"/>
    <x v="0"/>
    <n v="1"/>
    <n v="312"/>
    <x v="1"/>
    <x v="1"/>
    <n v="3.134796238244514E-3"/>
    <x v="10"/>
    <x v="1"/>
    <s v="OK"/>
    <x v="0"/>
    <s v="OK"/>
    <x v="0"/>
    <x v="0"/>
    <n v="1"/>
    <n v="0"/>
    <n v="0"/>
    <n v="0"/>
    <x v="0"/>
    <x v="0"/>
    <x v="0"/>
  </r>
  <r>
    <n v="20101155588"/>
    <x v="22"/>
    <x v="22"/>
    <x v="733"/>
    <x v="736"/>
    <x v="686"/>
    <n v="1"/>
    <x v="150"/>
    <s v="PATIO TALLER GUILLERMO DANSEY "/>
    <s v="JIRON HUASCARAN 381 INTERIOR F"/>
    <x v="25"/>
    <x v="0"/>
    <x v="9"/>
    <x v="1"/>
    <x v="75"/>
    <x v="0"/>
    <n v="1"/>
    <n v="312"/>
    <x v="1"/>
    <x v="1"/>
    <n v="3.134796238244514E-3"/>
    <x v="8"/>
    <x v="1"/>
    <s v="OK"/>
    <x v="4"/>
    <s v="OK"/>
    <x v="0"/>
    <x v="0"/>
    <n v="1"/>
    <n v="1"/>
    <n v="0"/>
    <n v="0"/>
    <x v="0"/>
    <x v="0"/>
    <x v="0"/>
  </r>
  <r>
    <n v="20101155588"/>
    <x v="22"/>
    <x v="22"/>
    <x v="734"/>
    <x v="737"/>
    <x v="687"/>
    <n v="1"/>
    <x v="32"/>
    <s v="PATIO TALLER SANTA ANITA"/>
    <s v="22 DE OCTUBRE MZ A LT 9"/>
    <x v="38"/>
    <x v="0"/>
    <x v="9"/>
    <x v="1"/>
    <x v="77"/>
    <x v="0"/>
    <n v="1"/>
    <n v="312"/>
    <x v="1"/>
    <x v="1"/>
    <n v="3.134796238244514E-3"/>
    <x v="13"/>
    <x v="1"/>
    <s v="OK"/>
    <x v="0"/>
    <s v="OK"/>
    <x v="0"/>
    <x v="0"/>
    <n v="1"/>
    <n v="0"/>
    <n v="0"/>
    <n v="0"/>
    <x v="0"/>
    <x v="0"/>
    <x v="0"/>
  </r>
  <r>
    <n v="20101155588"/>
    <x v="22"/>
    <x v="22"/>
    <x v="735"/>
    <x v="738"/>
    <x v="688"/>
    <n v="1"/>
    <x v="32"/>
    <s v="PATIO TALLER SANTA ANITA"/>
    <s v="MZ C LOTE 4 AGRUP VIRGEN DE LA MERCED"/>
    <x v="15"/>
    <x v="0"/>
    <x v="9"/>
    <x v="1"/>
    <x v="82"/>
    <x v="0"/>
    <n v="1"/>
    <n v="312"/>
    <x v="1"/>
    <x v="1"/>
    <n v="3.134796238244514E-3"/>
    <x v="9"/>
    <x v="1"/>
    <s v="OK"/>
    <x v="0"/>
    <s v="OK"/>
    <x v="0"/>
    <x v="0"/>
    <n v="1"/>
    <n v="0"/>
    <n v="0"/>
    <n v="0"/>
    <x v="0"/>
    <x v="0"/>
    <x v="0"/>
  </r>
  <r>
    <n v="20101155588"/>
    <x v="22"/>
    <x v="22"/>
    <x v="736"/>
    <x v="739"/>
    <x v="689"/>
    <n v="1"/>
    <x v="32"/>
    <s v="PATIO TALLER SANTA ANITA"/>
    <s v="MZ S8 LT 18 JOSE CARLOS MARIATEGUI"/>
    <x v="15"/>
    <x v="0"/>
    <x v="9"/>
    <x v="1"/>
    <x v="348"/>
    <x v="0"/>
    <n v="1"/>
    <n v="312"/>
    <x v="1"/>
    <x v="1"/>
    <n v="3.134796238244514E-3"/>
    <x v="13"/>
    <x v="1"/>
    <s v="OK"/>
    <x v="0"/>
    <s v="OK"/>
    <x v="0"/>
    <x v="0"/>
    <n v="1"/>
    <n v="0"/>
    <n v="0"/>
    <n v="0"/>
    <x v="0"/>
    <x v="0"/>
    <x v="0"/>
  </r>
  <r>
    <n v="20101155588"/>
    <x v="22"/>
    <x v="22"/>
    <x v="737"/>
    <x v="740"/>
    <x v="370"/>
    <n v="1"/>
    <x v="32"/>
    <s v="ESTACION 10 D"/>
    <s v="AV LOS ALISOS"/>
    <x v="49"/>
    <x v="0"/>
    <x v="9"/>
    <x v="1"/>
    <x v="307"/>
    <x v="0"/>
    <n v="1"/>
    <n v="312"/>
    <x v="1"/>
    <x v="1"/>
    <n v="3.134796238244514E-3"/>
    <x v="13"/>
    <x v="1"/>
    <s v="OK"/>
    <x v="0"/>
    <s v="OK"/>
    <x v="0"/>
    <x v="0"/>
    <n v="1"/>
    <n v="0"/>
    <n v="0"/>
    <n v="0"/>
    <x v="0"/>
    <x v="0"/>
    <x v="0"/>
  </r>
  <r>
    <n v="20101155588"/>
    <x v="22"/>
    <x v="22"/>
    <x v="738"/>
    <x v="741"/>
    <x v="615"/>
    <n v="1"/>
    <x v="32"/>
    <s v="ESTACION 12 A"/>
    <s v="AV. ANDAHUAYLAS"/>
    <x v="158"/>
    <x v="0"/>
    <x v="9"/>
    <x v="1"/>
    <x v="68"/>
    <x v="0"/>
    <n v="1"/>
    <n v="312"/>
    <x v="1"/>
    <x v="1"/>
    <n v="3.134796238244514E-3"/>
    <x v="7"/>
    <x v="1"/>
    <s v="OK"/>
    <x v="3"/>
    <s v="OK"/>
    <x v="0"/>
    <x v="0"/>
    <n v="1"/>
    <n v="1"/>
    <n v="0"/>
    <n v="0"/>
    <x v="0"/>
    <x v="0"/>
    <x v="0"/>
  </r>
  <r>
    <n v="20101155588"/>
    <x v="22"/>
    <x v="22"/>
    <x v="739"/>
    <x v="742"/>
    <x v="690"/>
    <n v="1"/>
    <x v="32"/>
    <s v="ESTACION 15 B"/>
    <s v="AV. MEXICO"/>
    <x v="25"/>
    <x v="0"/>
    <x v="9"/>
    <x v="1"/>
    <x v="349"/>
    <x v="0"/>
    <n v="1"/>
    <n v="312"/>
    <x v="1"/>
    <x v="1"/>
    <n v="3.134796238244514E-3"/>
    <x v="10"/>
    <x v="1"/>
    <s v="OK"/>
    <x v="4"/>
    <s v="OK"/>
    <x v="0"/>
    <x v="0"/>
    <n v="1"/>
    <n v="1"/>
    <n v="0"/>
    <n v="0"/>
    <x v="0"/>
    <x v="0"/>
    <x v="0"/>
  </r>
  <r>
    <n v="20101155588"/>
    <x v="22"/>
    <x v="22"/>
    <x v="740"/>
    <x v="743"/>
    <x v="438"/>
    <n v="1"/>
    <x v="32"/>
    <s v="PATIO TALLER SANTA ANITA"/>
    <s v="AV TUPAC AMARU 120"/>
    <x v="27"/>
    <x v="0"/>
    <x v="9"/>
    <x v="1"/>
    <x v="350"/>
    <x v="0"/>
    <n v="1"/>
    <n v="312"/>
    <x v="1"/>
    <x v="1"/>
    <n v="3.134796238244514E-3"/>
    <x v="6"/>
    <x v="1"/>
    <s v="OK"/>
    <x v="5"/>
    <s v="OK"/>
    <x v="0"/>
    <x v="0"/>
    <n v="1"/>
    <n v="1"/>
    <n v="0"/>
    <n v="0"/>
    <x v="0"/>
    <x v="0"/>
    <x v="0"/>
  </r>
  <r>
    <n v="20101155588"/>
    <x v="22"/>
    <x v="22"/>
    <x v="741"/>
    <x v="744"/>
    <x v="691"/>
    <n v="1"/>
    <x v="32"/>
    <s v="ESTACION 19"/>
    <s v="MZ C LOTE 3 AMPLIACION Q21"/>
    <x v="15"/>
    <x v="0"/>
    <x v="16"/>
    <x v="1"/>
    <x v="351"/>
    <x v="0"/>
    <n v="1"/>
    <n v="48"/>
    <x v="1"/>
    <x v="1"/>
    <n v="3.134796238244514E-3"/>
    <x v="13"/>
    <x v="1"/>
    <s v="OK"/>
    <x v="0"/>
    <s v="OK"/>
    <x v="0"/>
    <x v="0"/>
    <n v="1"/>
    <n v="0"/>
    <n v="0"/>
    <n v="1"/>
    <x v="0"/>
    <x v="1"/>
    <x v="0"/>
  </r>
  <r>
    <n v="20101155588"/>
    <x v="22"/>
    <x v="22"/>
    <x v="742"/>
    <x v="745"/>
    <x v="692"/>
    <n v="1"/>
    <x v="32"/>
    <s v="ESTACION 10C"/>
    <s v="CALLE ALIANZA NRO 102 PUEBLO JOVEN SANTA ROSA"/>
    <x v="13"/>
    <x v="0"/>
    <x v="9"/>
    <x v="1"/>
    <x v="84"/>
    <x v="0"/>
    <n v="1"/>
    <n v="312"/>
    <x v="1"/>
    <x v="1"/>
    <n v="3.134796238244514E-3"/>
    <x v="11"/>
    <x v="1"/>
    <s v="OK"/>
    <x v="0"/>
    <s v="OK"/>
    <x v="0"/>
    <x v="0"/>
    <n v="1"/>
    <n v="0"/>
    <n v="0"/>
    <n v="0"/>
    <x v="0"/>
    <x v="0"/>
    <x v="0"/>
  </r>
  <r>
    <n v="20101155588"/>
    <x v="22"/>
    <x v="22"/>
    <x v="743"/>
    <x v="746"/>
    <x v="693"/>
    <n v="1"/>
    <x v="149"/>
    <s v="PATIO TALLER SANTA ANITA"/>
    <s v="PASAJE ANCASH MZG LOTE 12 "/>
    <x v="8"/>
    <x v="0"/>
    <x v="9"/>
    <x v="1"/>
    <x v="352"/>
    <x v="0"/>
    <n v="1"/>
    <n v="312"/>
    <x v="1"/>
    <x v="1"/>
    <n v="3.134796238244514E-3"/>
    <x v="9"/>
    <x v="1"/>
    <s v="OK"/>
    <x v="0"/>
    <s v="OK"/>
    <x v="0"/>
    <x v="0"/>
    <n v="1"/>
    <n v="0"/>
    <n v="0"/>
    <n v="0"/>
    <x v="0"/>
    <x v="0"/>
    <x v="0"/>
  </r>
  <r>
    <n v="20101155588"/>
    <x v="22"/>
    <x v="22"/>
    <x v="744"/>
    <x v="747"/>
    <x v="694"/>
    <n v="1"/>
    <x v="32"/>
    <s v="ESTACION 19D"/>
    <s v="ASOC DE VIVIENDAS LOS ELOTES SAN GERONIMO MZC LOTE 9"/>
    <x v="15"/>
    <x v="0"/>
    <x v="9"/>
    <x v="1"/>
    <x v="267"/>
    <x v="0"/>
    <n v="1"/>
    <n v="312"/>
    <x v="1"/>
    <x v="1"/>
    <n v="3.134796238244514E-3"/>
    <x v="8"/>
    <x v="1"/>
    <s v="OK"/>
    <x v="0"/>
    <s v="OK"/>
    <x v="0"/>
    <x v="0"/>
    <n v="1"/>
    <n v="0"/>
    <n v="0"/>
    <n v="0"/>
    <x v="0"/>
    <x v="0"/>
    <x v="0"/>
  </r>
  <r>
    <n v="20101155588"/>
    <x v="22"/>
    <x v="22"/>
    <x v="745"/>
    <x v="748"/>
    <x v="695"/>
    <n v="1"/>
    <x v="32"/>
    <s v="PREDIO 02"/>
    <s v="AV PACASMAYO URB ALBINO HERRERA MZI LOTE 17"/>
    <x v="6"/>
    <x v="0"/>
    <x v="9"/>
    <x v="1"/>
    <x v="353"/>
    <x v="0"/>
    <n v="1"/>
    <n v="312"/>
    <x v="1"/>
    <x v="1"/>
    <n v="3.134796238244514E-3"/>
    <x v="6"/>
    <x v="1"/>
    <s v="OK"/>
    <x v="2"/>
    <s v="OK"/>
    <x v="0"/>
    <x v="0"/>
    <n v="1"/>
    <n v="1"/>
    <n v="0"/>
    <n v="0"/>
    <x v="0"/>
    <x v="0"/>
    <x v="0"/>
  </r>
  <r>
    <n v="20101155588"/>
    <x v="22"/>
    <x v="22"/>
    <x v="746"/>
    <x v="749"/>
    <x v="696"/>
    <n v="1"/>
    <x v="151"/>
    <s v="PATIO TALLER GUILLERMO DANSEY "/>
    <s v="AV PERU 3314"/>
    <x v="3"/>
    <x v="0"/>
    <x v="9"/>
    <x v="1"/>
    <x v="23"/>
    <x v="0"/>
    <n v="1"/>
    <n v="312"/>
    <x v="1"/>
    <x v="1"/>
    <n v="3.134796238244514E-3"/>
    <x v="8"/>
    <x v="1"/>
    <s v="OK"/>
    <x v="0"/>
    <s v="OK"/>
    <x v="0"/>
    <x v="0"/>
    <n v="1"/>
    <n v="0"/>
    <n v="0"/>
    <n v="0"/>
    <x v="0"/>
    <x v="0"/>
    <x v="0"/>
  </r>
  <r>
    <n v="20101155588"/>
    <x v="22"/>
    <x v="22"/>
    <x v="747"/>
    <x v="750"/>
    <x v="697"/>
    <n v="1"/>
    <x v="151"/>
    <s v="PATIO TALLER GUILLERMO DANSEY "/>
    <s v="JR LINCOLN 127"/>
    <x v="17"/>
    <x v="0"/>
    <x v="9"/>
    <x v="1"/>
    <x v="23"/>
    <x v="0"/>
    <n v="1"/>
    <n v="312"/>
    <x v="1"/>
    <x v="1"/>
    <n v="3.134796238244514E-3"/>
    <x v="7"/>
    <x v="1"/>
    <s v="OK"/>
    <x v="2"/>
    <s v="OK"/>
    <x v="0"/>
    <x v="0"/>
    <n v="1"/>
    <n v="1"/>
    <n v="0"/>
    <n v="0"/>
    <x v="0"/>
    <x v="0"/>
    <x v="0"/>
  </r>
  <r>
    <n v="20101155588"/>
    <x v="22"/>
    <x v="22"/>
    <x v="748"/>
    <x v="751"/>
    <x v="639"/>
    <n v="1"/>
    <x v="32"/>
    <s v="PATIO TALLER GUILLERMO DANSEY "/>
    <s v="AV CONDE DE LEMOS 668"/>
    <x v="17"/>
    <x v="0"/>
    <x v="9"/>
    <x v="1"/>
    <x v="23"/>
    <x v="0"/>
    <n v="1"/>
    <n v="312"/>
    <x v="1"/>
    <x v="1"/>
    <n v="3.134796238244514E-3"/>
    <x v="8"/>
    <x v="1"/>
    <s v="OK"/>
    <x v="2"/>
    <s v="OK"/>
    <x v="0"/>
    <x v="0"/>
    <n v="1"/>
    <n v="1"/>
    <n v="0"/>
    <n v="0"/>
    <x v="0"/>
    <x v="0"/>
    <x v="0"/>
  </r>
  <r>
    <n v="20101155588"/>
    <x v="22"/>
    <x v="22"/>
    <x v="749"/>
    <x v="752"/>
    <x v="698"/>
    <n v="1"/>
    <x v="32"/>
    <s v="ESTACION 06 PTA2"/>
    <s v="CALLE GAMINEDES MZ 13 LOT 13 AAM"/>
    <x v="49"/>
    <x v="0"/>
    <x v="9"/>
    <x v="1"/>
    <x v="23"/>
    <x v="0"/>
    <n v="1"/>
    <n v="312"/>
    <x v="1"/>
    <x v="1"/>
    <n v="3.134796238244514E-3"/>
    <x v="8"/>
    <x v="1"/>
    <s v="OK"/>
    <x v="0"/>
    <s v="OK"/>
    <x v="0"/>
    <x v="0"/>
    <n v="1"/>
    <n v="0"/>
    <n v="0"/>
    <n v="0"/>
    <x v="0"/>
    <x v="0"/>
    <x v="0"/>
  </r>
  <r>
    <n v="20101155588"/>
    <x v="22"/>
    <x v="22"/>
    <x v="750"/>
    <x v="753"/>
    <x v="699"/>
    <n v="1"/>
    <x v="32"/>
    <s v="PATIO TALLER SANTA ANITA"/>
    <s v="AGRUPACION FAMILIAR SANTA ROSA DE LIMA MZD LT 1"/>
    <x v="15"/>
    <x v="0"/>
    <x v="9"/>
    <x v="1"/>
    <x v="354"/>
    <x v="0"/>
    <n v="1"/>
    <n v="312"/>
    <x v="1"/>
    <x v="1"/>
    <n v="3.134796238244514E-3"/>
    <x v="13"/>
    <x v="1"/>
    <s v="OK"/>
    <x v="0"/>
    <s v="OK"/>
    <x v="0"/>
    <x v="0"/>
    <n v="1"/>
    <n v="0"/>
    <n v="0"/>
    <n v="0"/>
    <x v="0"/>
    <x v="0"/>
    <x v="0"/>
  </r>
  <r>
    <n v="20101155588"/>
    <x v="22"/>
    <x v="22"/>
    <x v="751"/>
    <x v="754"/>
    <x v="700"/>
    <n v="1"/>
    <x v="32"/>
    <s v="PATIO TALLER SANTA ANITA"/>
    <s v="JIRON ILO #426"/>
    <x v="45"/>
    <x v="0"/>
    <x v="9"/>
    <x v="1"/>
    <x v="354"/>
    <x v="0"/>
    <n v="1"/>
    <n v="312"/>
    <x v="1"/>
    <x v="1"/>
    <n v="3.134796238244514E-3"/>
    <x v="13"/>
    <x v="1"/>
    <s v="OK"/>
    <x v="3"/>
    <s v="OK"/>
    <x v="0"/>
    <x v="0"/>
    <n v="1"/>
    <n v="1"/>
    <n v="0"/>
    <n v="0"/>
    <x v="0"/>
    <x v="0"/>
    <x v="0"/>
  </r>
  <r>
    <n v="20101155588"/>
    <x v="22"/>
    <x v="22"/>
    <x v="752"/>
    <x v="755"/>
    <x v="366"/>
    <n v="1"/>
    <x v="32"/>
    <s v="PATIO TALLER SANTA ANITA"/>
    <s v="CALLE LOS CHINCHEROS SAN JUAN BAUTISTA MZ D"/>
    <x v="159"/>
    <x v="0"/>
    <x v="3"/>
    <x v="1"/>
    <x v="354"/>
    <x v="0"/>
    <n v="1"/>
    <n v="228"/>
    <x v="1"/>
    <x v="1"/>
    <n v="3.134796238244514E-3"/>
    <x v="7"/>
    <x v="1"/>
    <s v="OK"/>
    <x v="0"/>
    <s v="OK"/>
    <x v="0"/>
    <x v="0"/>
    <n v="1"/>
    <n v="0"/>
    <n v="0"/>
    <n v="1"/>
    <x v="0"/>
    <x v="1"/>
    <x v="0"/>
  </r>
  <r>
    <n v="20101155588"/>
    <x v="22"/>
    <x v="22"/>
    <x v="753"/>
    <x v="756"/>
    <x v="701"/>
    <n v="1"/>
    <x v="32"/>
    <s v="PATIO TALLER SANTA ANITA"/>
    <s v="MZ C LOTE 13 EL PORVENIR"/>
    <x v="1"/>
    <x v="0"/>
    <x v="3"/>
    <x v="1"/>
    <x v="90"/>
    <x v="0"/>
    <n v="1"/>
    <n v="228"/>
    <x v="1"/>
    <x v="1"/>
    <n v="3.134796238244514E-3"/>
    <x v="9"/>
    <x v="1"/>
    <s v="OK"/>
    <x v="1"/>
    <s v="OK"/>
    <x v="0"/>
    <x v="0"/>
    <n v="1"/>
    <n v="1"/>
    <n v="0"/>
    <n v="1"/>
    <x v="0"/>
    <x v="1"/>
    <x v="0"/>
  </r>
  <r>
    <n v="20101155588"/>
    <x v="22"/>
    <x v="22"/>
    <x v="754"/>
    <x v="757"/>
    <x v="702"/>
    <n v="1"/>
    <x v="32"/>
    <s v="PATIO TALLER GUILLERMO DANSEY "/>
    <s v="AV CAHUIDE 1398"/>
    <x v="0"/>
    <x v="0"/>
    <x v="6"/>
    <x v="1"/>
    <x v="90"/>
    <x v="0"/>
    <n v="1"/>
    <n v="312"/>
    <x v="1"/>
    <x v="1"/>
    <n v="3.134796238244514E-3"/>
    <x v="12"/>
    <x v="1"/>
    <s v="OK"/>
    <x v="0"/>
    <s v="OK"/>
    <x v="0"/>
    <x v="0"/>
    <n v="1"/>
    <n v="0"/>
    <n v="0"/>
    <n v="0"/>
    <x v="0"/>
    <x v="0"/>
    <x v="0"/>
  </r>
  <r>
    <n v="20101155588"/>
    <x v="22"/>
    <x v="22"/>
    <x v="755"/>
    <x v="758"/>
    <x v="703"/>
    <n v="1"/>
    <x v="32"/>
    <s v="PATIO TALLER GUILLERMO DANSEY "/>
    <s v="CIUDAD DEL PESCADOR MZ E LOTE20"/>
    <x v="17"/>
    <x v="1"/>
    <x v="6"/>
    <x v="1"/>
    <x v="355"/>
    <x v="0"/>
    <n v="1"/>
    <n v="312"/>
    <x v="1"/>
    <x v="1"/>
    <n v="3.134796238244514E-3"/>
    <x v="10"/>
    <x v="1"/>
    <s v="OK"/>
    <x v="2"/>
    <s v="OK"/>
    <x v="0"/>
    <x v="0"/>
    <n v="1"/>
    <n v="1"/>
    <n v="0"/>
    <n v="0"/>
    <x v="0"/>
    <x v="0"/>
    <x v="0"/>
  </r>
  <r>
    <n v="20101155588"/>
    <x v="22"/>
    <x v="22"/>
    <x v="756"/>
    <x v="759"/>
    <x v="704"/>
    <n v="1"/>
    <x v="32"/>
    <s v="PATIO TALLER SANTA ANITA"/>
    <s v="MZ L LT 21 VIÑA SAN FRANCISCO"/>
    <x v="27"/>
    <x v="0"/>
    <x v="6"/>
    <x v="1"/>
    <x v="142"/>
    <x v="0"/>
    <n v="1"/>
    <n v="312"/>
    <x v="1"/>
    <x v="1"/>
    <n v="3.134796238244514E-3"/>
    <x v="13"/>
    <x v="1"/>
    <s v="OK"/>
    <x v="5"/>
    <s v="OK"/>
    <x v="0"/>
    <x v="0"/>
    <n v="1"/>
    <n v="1"/>
    <n v="0"/>
    <n v="0"/>
    <x v="0"/>
    <x v="0"/>
    <x v="0"/>
  </r>
  <r>
    <n v="20101155588"/>
    <x v="22"/>
    <x v="22"/>
    <x v="757"/>
    <x v="760"/>
    <x v="705"/>
    <n v="1"/>
    <x v="32"/>
    <s v="ESTACION 18F"/>
    <s v="CALLE MARSELLA 480 MZ A LT 24"/>
    <x v="27"/>
    <x v="0"/>
    <x v="6"/>
    <x v="1"/>
    <x v="356"/>
    <x v="0"/>
    <n v="1"/>
    <n v="312"/>
    <x v="1"/>
    <x v="1"/>
    <n v="3.134796238244514E-3"/>
    <x v="9"/>
    <x v="1"/>
    <s v="OK"/>
    <x v="5"/>
    <s v="OK"/>
    <x v="0"/>
    <x v="0"/>
    <n v="1"/>
    <n v="1"/>
    <n v="0"/>
    <n v="0"/>
    <x v="0"/>
    <x v="0"/>
    <x v="0"/>
  </r>
  <r>
    <n v="20101155588"/>
    <x v="22"/>
    <x v="22"/>
    <x v="758"/>
    <x v="761"/>
    <x v="706"/>
    <n v="1"/>
    <x v="32"/>
    <s v="ESTACION 27 SSEE"/>
    <s v="NIÑO JESUS 3ERA ETAPA MZ F LOTE 23"/>
    <x v="1"/>
    <x v="0"/>
    <x v="6"/>
    <x v="1"/>
    <x v="91"/>
    <x v="0"/>
    <n v="1"/>
    <n v="312"/>
    <x v="1"/>
    <x v="1"/>
    <n v="3.134796238244514E-3"/>
    <x v="7"/>
    <x v="1"/>
    <s v="OK"/>
    <x v="1"/>
    <s v="OK"/>
    <x v="0"/>
    <x v="0"/>
    <n v="1"/>
    <n v="1"/>
    <n v="0"/>
    <n v="0"/>
    <x v="0"/>
    <x v="0"/>
    <x v="0"/>
  </r>
  <r>
    <n v="20101155588"/>
    <x v="22"/>
    <x v="22"/>
    <x v="759"/>
    <x v="762"/>
    <x v="707"/>
    <n v="1"/>
    <x v="32"/>
    <s v="PATIO TALLER SANTA ANITA"/>
    <s v="AV LOS ROSALES MZ B LT 4 COOPERATIVA PACHACUTEC"/>
    <x v="27"/>
    <x v="0"/>
    <x v="6"/>
    <x v="1"/>
    <x v="91"/>
    <x v="0"/>
    <n v="1"/>
    <n v="312"/>
    <x v="1"/>
    <x v="1"/>
    <n v="3.134796238244514E-3"/>
    <x v="13"/>
    <x v="1"/>
    <s v="OK"/>
    <x v="5"/>
    <s v="OK"/>
    <x v="0"/>
    <x v="0"/>
    <n v="1"/>
    <n v="1"/>
    <n v="0"/>
    <n v="0"/>
    <x v="0"/>
    <x v="0"/>
    <x v="0"/>
  </r>
  <r>
    <n v="20101155588"/>
    <x v="22"/>
    <x v="22"/>
    <x v="760"/>
    <x v="763"/>
    <x v="708"/>
    <n v="1"/>
    <x v="32"/>
    <s v="ESTACION 27 SSEE"/>
    <s v="UCV 238 ZONA X LOTE 7 HUAYCAN"/>
    <x v="1"/>
    <x v="0"/>
    <x v="6"/>
    <x v="1"/>
    <x v="92"/>
    <x v="0"/>
    <n v="1"/>
    <n v="312"/>
    <x v="1"/>
    <x v="1"/>
    <n v="3.134796238244514E-3"/>
    <x v="10"/>
    <x v="1"/>
    <s v="OK"/>
    <x v="1"/>
    <s v="OK"/>
    <x v="0"/>
    <x v="0"/>
    <n v="1"/>
    <n v="1"/>
    <n v="0"/>
    <n v="0"/>
    <x v="0"/>
    <x v="0"/>
    <x v="0"/>
  </r>
  <r>
    <n v="20101155588"/>
    <x v="22"/>
    <x v="22"/>
    <x v="761"/>
    <x v="764"/>
    <x v="709"/>
    <n v="1"/>
    <x v="32"/>
    <s v="PATIO TALLER SANTA ANITA"/>
    <s v="MZ A LOTE 7 COOP VIV MARAÑON"/>
    <x v="1"/>
    <x v="0"/>
    <x v="6"/>
    <x v="1"/>
    <x v="92"/>
    <x v="0"/>
    <n v="1"/>
    <n v="312"/>
    <x v="1"/>
    <x v="1"/>
    <n v="3.134796238244514E-3"/>
    <x v="13"/>
    <x v="1"/>
    <s v="OK"/>
    <x v="1"/>
    <s v="OK"/>
    <x v="0"/>
    <x v="0"/>
    <n v="1"/>
    <n v="1"/>
    <n v="0"/>
    <n v="0"/>
    <x v="0"/>
    <x v="0"/>
    <x v="0"/>
  </r>
  <r>
    <n v="20101155588"/>
    <x v="22"/>
    <x v="22"/>
    <x v="762"/>
    <x v="765"/>
    <x v="315"/>
    <n v="1"/>
    <x v="151"/>
    <s v="PATIO TALLER DANSEY"/>
    <s v="AV LEONCIO PRADO 460 ZAPALLAL"/>
    <x v="4"/>
    <x v="0"/>
    <x v="6"/>
    <x v="1"/>
    <x v="245"/>
    <x v="0"/>
    <n v="1"/>
    <n v="312"/>
    <x v="1"/>
    <x v="1"/>
    <n v="3.134796238244514E-3"/>
    <x v="9"/>
    <x v="1"/>
    <s v="OK"/>
    <x v="0"/>
    <s v="OK"/>
    <x v="0"/>
    <x v="0"/>
    <n v="1"/>
    <n v="0"/>
    <n v="0"/>
    <n v="0"/>
    <x v="0"/>
    <x v="0"/>
    <x v="0"/>
  </r>
  <r>
    <n v="20101155588"/>
    <x v="22"/>
    <x v="22"/>
    <x v="763"/>
    <x v="766"/>
    <x v="473"/>
    <n v="1"/>
    <x v="32"/>
    <s v="PATIO TALLER SANTA ANITA"/>
    <s v="ASOC VIV LAS LOMAS DEL BOSQUE"/>
    <x v="46"/>
    <x v="0"/>
    <x v="6"/>
    <x v="1"/>
    <x v="93"/>
    <x v="0"/>
    <n v="1"/>
    <n v="312"/>
    <x v="1"/>
    <x v="1"/>
    <n v="3.134796238244514E-3"/>
    <x v="8"/>
    <x v="1"/>
    <s v="OK"/>
    <x v="7"/>
    <s v="OK"/>
    <x v="0"/>
    <x v="0"/>
    <n v="1"/>
    <n v="1"/>
    <n v="0"/>
    <n v="0"/>
    <x v="0"/>
    <x v="0"/>
    <x v="0"/>
  </r>
  <r>
    <n v="20101155588"/>
    <x v="22"/>
    <x v="22"/>
    <x v="764"/>
    <x v="767"/>
    <x v="710"/>
    <n v="1"/>
    <x v="52"/>
    <s v="PATIO TALLER SANTA ANITA"/>
    <s v="PASAJE LOS CIPRESES MZ B9 LOTE 18 VILLA SAN LUIS"/>
    <x v="53"/>
    <x v="0"/>
    <x v="6"/>
    <x v="1"/>
    <x v="148"/>
    <x v="0"/>
    <n v="1"/>
    <n v="312"/>
    <x v="1"/>
    <x v="1"/>
    <n v="3.134796238244514E-3"/>
    <x v="9"/>
    <x v="1"/>
    <s v="OK"/>
    <x v="0"/>
    <s v="OK"/>
    <x v="0"/>
    <x v="0"/>
    <n v="1"/>
    <n v="0"/>
    <n v="0"/>
    <n v="0"/>
    <x v="0"/>
    <x v="0"/>
    <x v="0"/>
  </r>
  <r>
    <n v="20101155588"/>
    <x v="22"/>
    <x v="22"/>
    <x v="765"/>
    <x v="768"/>
    <x v="449"/>
    <n v="1"/>
    <x v="32"/>
    <s v="ESTACION 13C"/>
    <s v="ISIDRO ALCIBAR 520"/>
    <x v="3"/>
    <x v="0"/>
    <x v="25"/>
    <x v="1"/>
    <x v="95"/>
    <x v="0"/>
    <n v="1"/>
    <n v="156"/>
    <x v="1"/>
    <x v="1"/>
    <n v="3.134796238244514E-3"/>
    <x v="6"/>
    <x v="1"/>
    <s v="OK"/>
    <x v="0"/>
    <s v="OK"/>
    <x v="0"/>
    <x v="0"/>
    <n v="1"/>
    <n v="0"/>
    <n v="0"/>
    <n v="1"/>
    <x v="0"/>
    <x v="1"/>
    <x v="0"/>
  </r>
  <r>
    <n v="20101155588"/>
    <x v="22"/>
    <x v="22"/>
    <x v="766"/>
    <x v="769"/>
    <x v="711"/>
    <n v="1"/>
    <x v="32"/>
    <s v="PATIO TALLER SANTA ANITA"/>
    <s v="CALLE 21 NUMERO 169 PAYET"/>
    <x v="44"/>
    <x v="0"/>
    <x v="6"/>
    <x v="1"/>
    <x v="153"/>
    <x v="0"/>
    <n v="1"/>
    <n v="312"/>
    <x v="1"/>
    <x v="1"/>
    <n v="3.134796238244514E-3"/>
    <x v="12"/>
    <x v="1"/>
    <s v="OK"/>
    <x v="0"/>
    <s v="OK"/>
    <x v="0"/>
    <x v="0"/>
    <n v="1"/>
    <n v="0"/>
    <n v="0"/>
    <n v="0"/>
    <x v="0"/>
    <x v="0"/>
    <x v="0"/>
  </r>
  <r>
    <n v="20101155588"/>
    <x v="22"/>
    <x v="22"/>
    <x v="767"/>
    <x v="770"/>
    <x v="712"/>
    <n v="1"/>
    <x v="32"/>
    <s v="DESCANSERO DANSEY"/>
    <s v="LOS PROCERES MZ N LT 5 URB SANTA ROSA"/>
    <x v="6"/>
    <x v="0"/>
    <x v="6"/>
    <x v="1"/>
    <x v="153"/>
    <x v="0"/>
    <n v="1"/>
    <n v="312"/>
    <x v="1"/>
    <x v="1"/>
    <n v="3.134796238244514E-3"/>
    <x v="6"/>
    <x v="1"/>
    <s v="OK"/>
    <x v="2"/>
    <s v="OK"/>
    <x v="0"/>
    <x v="0"/>
    <n v="1"/>
    <n v="1"/>
    <n v="0"/>
    <n v="0"/>
    <x v="0"/>
    <x v="0"/>
    <x v="0"/>
  </r>
  <r>
    <n v="20101155588"/>
    <x v="22"/>
    <x v="22"/>
    <x v="768"/>
    <x v="771"/>
    <x v="713"/>
    <n v="1"/>
    <x v="32"/>
    <s v="ESTACION 13C"/>
    <s v="AV AURELIO GARCIA GARCIA 1666"/>
    <x v="45"/>
    <x v="0"/>
    <x v="6"/>
    <x v="1"/>
    <x v="96"/>
    <x v="0"/>
    <n v="1"/>
    <n v="312"/>
    <x v="1"/>
    <x v="1"/>
    <n v="3.134796238244514E-3"/>
    <x v="6"/>
    <x v="1"/>
    <s v="OK"/>
    <x v="3"/>
    <s v="OK"/>
    <x v="0"/>
    <x v="0"/>
    <n v="1"/>
    <n v="1"/>
    <n v="0"/>
    <n v="0"/>
    <x v="0"/>
    <x v="0"/>
    <x v="0"/>
  </r>
  <r>
    <n v="20101155588"/>
    <x v="22"/>
    <x v="22"/>
    <x v="769"/>
    <x v="772"/>
    <x v="714"/>
    <n v="1"/>
    <x v="32"/>
    <s v="PATIO TALLER DANSEY"/>
    <s v="URB COVIECMA MZ B LOTE 25"/>
    <x v="77"/>
    <x v="0"/>
    <x v="6"/>
    <x v="1"/>
    <x v="97"/>
    <x v="0"/>
    <n v="1"/>
    <n v="288"/>
    <x v="1"/>
    <x v="1"/>
    <n v="3.134796238244514E-3"/>
    <x v="11"/>
    <x v="1"/>
    <s v="OK"/>
    <x v="0"/>
    <s v="OK"/>
    <x v="0"/>
    <x v="0"/>
    <n v="1"/>
    <n v="0"/>
    <n v="0"/>
    <n v="0"/>
    <x v="0"/>
    <x v="0"/>
    <x v="0"/>
  </r>
  <r>
    <n v="20101155588"/>
    <x v="22"/>
    <x v="22"/>
    <x v="770"/>
    <x v="773"/>
    <x v="715"/>
    <n v="1"/>
    <x v="32"/>
    <s v="ESTACION 11D"/>
    <s v="ASE HUMANO CERRO LAS ANIMAS MZ P LT 1"/>
    <x v="4"/>
    <x v="0"/>
    <x v="6"/>
    <x v="1"/>
    <x v="97"/>
    <x v="0"/>
    <n v="1"/>
    <n v="288"/>
    <x v="1"/>
    <x v="1"/>
    <n v="3.134796238244514E-3"/>
    <x v="12"/>
    <x v="1"/>
    <s v="OK"/>
    <x v="0"/>
    <s v="OK"/>
    <x v="0"/>
    <x v="0"/>
    <n v="1"/>
    <n v="0"/>
    <n v="0"/>
    <n v="0"/>
    <x v="0"/>
    <x v="0"/>
    <x v="0"/>
  </r>
  <r>
    <n v="20101155588"/>
    <x v="22"/>
    <x v="22"/>
    <x v="771"/>
    <x v="774"/>
    <x v="716"/>
    <n v="1"/>
    <x v="32"/>
    <s v="POZO 10 B"/>
    <s v="JR PASCO 3715"/>
    <x v="3"/>
    <x v="0"/>
    <x v="26"/>
    <x v="1"/>
    <x v="98"/>
    <x v="0"/>
    <n v="1"/>
    <n v="324"/>
    <x v="1"/>
    <x v="1"/>
    <n v="3.134796238244514E-3"/>
    <x v="7"/>
    <x v="1"/>
    <s v="OK"/>
    <x v="0"/>
    <s v="OK"/>
    <x v="0"/>
    <x v="0"/>
    <n v="1"/>
    <n v="0"/>
    <n v="0"/>
    <n v="1"/>
    <x v="0"/>
    <x v="1"/>
    <x v="0"/>
  </r>
  <r>
    <n v="20101155588"/>
    <x v="22"/>
    <x v="22"/>
    <x v="772"/>
    <x v="775"/>
    <x v="717"/>
    <n v="1"/>
    <x v="32"/>
    <s v="PATIO TALLER SANTA ANITA"/>
    <s v="CALLE JUAN AYLLON 429"/>
    <x v="27"/>
    <x v="0"/>
    <x v="6"/>
    <x v="1"/>
    <x v="99"/>
    <x v="0"/>
    <n v="1"/>
    <n v="156"/>
    <x v="1"/>
    <x v="1"/>
    <n v="3.134796238244514E-3"/>
    <x v="6"/>
    <x v="1"/>
    <s v="OK"/>
    <x v="5"/>
    <s v="OK"/>
    <x v="0"/>
    <x v="0"/>
    <n v="1"/>
    <n v="1"/>
    <n v="0"/>
    <n v="0"/>
    <x v="0"/>
    <x v="0"/>
    <x v="0"/>
  </r>
  <r>
    <n v="20101155588"/>
    <x v="22"/>
    <x v="22"/>
    <x v="773"/>
    <x v="776"/>
    <x v="718"/>
    <n v="1"/>
    <x v="32"/>
    <s v="ESTACION 09B"/>
    <s v="AV VENEZUELA 855 , CHACRA COLORADA"/>
    <x v="5"/>
    <x v="0"/>
    <x v="6"/>
    <x v="1"/>
    <x v="99"/>
    <x v="0"/>
    <n v="1"/>
    <n v="156"/>
    <x v="1"/>
    <x v="1"/>
    <n v="3.134796238244514E-3"/>
    <x v="7"/>
    <x v="1"/>
    <s v="OK"/>
    <x v="3"/>
    <s v="OK"/>
    <x v="0"/>
    <x v="0"/>
    <n v="1"/>
    <n v="1"/>
    <n v="0"/>
    <n v="0"/>
    <x v="0"/>
    <x v="0"/>
    <x v="0"/>
  </r>
  <r>
    <n v="20101155588"/>
    <x v="22"/>
    <x v="22"/>
    <x v="774"/>
    <x v="777"/>
    <x v="719"/>
    <n v="1"/>
    <x v="32"/>
    <s v="ESTACION 8 PTA 3"/>
    <s v="AV MORALES DUARES 2839 MIRONES BAJO"/>
    <x v="3"/>
    <x v="0"/>
    <x v="6"/>
    <x v="1"/>
    <x v="99"/>
    <x v="0"/>
    <n v="1"/>
    <n v="156"/>
    <x v="1"/>
    <x v="1"/>
    <n v="3.134796238244514E-3"/>
    <x v="13"/>
    <x v="1"/>
    <s v="OK"/>
    <x v="0"/>
    <s v="OK"/>
    <x v="0"/>
    <x v="0"/>
    <n v="1"/>
    <n v="0"/>
    <n v="0"/>
    <n v="0"/>
    <x v="0"/>
    <x v="0"/>
    <x v="0"/>
  </r>
  <r>
    <n v="20101155588"/>
    <x v="22"/>
    <x v="22"/>
    <x v="775"/>
    <x v="778"/>
    <x v="396"/>
    <n v="1"/>
    <x v="32"/>
    <s v="PATIO TALLER SANTA ANITA"/>
    <s v="ASOCIACION DE PROPIETARIOS CHIMABAMBA MZ C LT 23"/>
    <x v="3"/>
    <x v="0"/>
    <x v="6"/>
    <x v="1"/>
    <x v="53"/>
    <x v="0"/>
    <n v="1"/>
    <n v="120"/>
    <x v="1"/>
    <x v="1"/>
    <n v="3.134796238244514E-3"/>
    <x v="11"/>
    <x v="1"/>
    <s v="OK"/>
    <x v="0"/>
    <s v="OK"/>
    <x v="0"/>
    <x v="0"/>
    <n v="1"/>
    <n v="0"/>
    <n v="0"/>
    <n v="0"/>
    <x v="0"/>
    <x v="0"/>
    <x v="0"/>
  </r>
  <r>
    <n v="20101155588"/>
    <x v="22"/>
    <x v="22"/>
    <x v="776"/>
    <x v="779"/>
    <x v="720"/>
    <n v="1"/>
    <x v="32"/>
    <s v="POZO 18 B"/>
    <s v="MZ J LOTE 3 LA MERCED LA ENSENADA"/>
    <x v="4"/>
    <x v="0"/>
    <x v="6"/>
    <x v="1"/>
    <x v="53"/>
    <x v="0"/>
    <n v="1"/>
    <n v="120"/>
    <x v="1"/>
    <x v="1"/>
    <n v="3.134796238244514E-3"/>
    <x v="13"/>
    <x v="1"/>
    <s v="OK"/>
    <x v="0"/>
    <s v="OK"/>
    <x v="0"/>
    <x v="0"/>
    <n v="1"/>
    <n v="0"/>
    <n v="0"/>
    <n v="0"/>
    <x v="0"/>
    <x v="0"/>
    <x v="0"/>
  </r>
  <r>
    <n v="20101155588"/>
    <x v="22"/>
    <x v="22"/>
    <x v="777"/>
    <x v="780"/>
    <x v="697"/>
    <n v="1"/>
    <x v="32"/>
    <s v="DESCANSERO ESTACION 13"/>
    <s v="MZ B LOTE 19 COOPERATIVA 9 DE DICIEMBRE"/>
    <x v="13"/>
    <x v="0"/>
    <x v="6"/>
    <x v="1"/>
    <x v="100"/>
    <x v="0"/>
    <n v="1"/>
    <n v="300"/>
    <x v="1"/>
    <x v="1"/>
    <n v="3.134796238244514E-3"/>
    <x v="7"/>
    <x v="1"/>
    <s v="OK"/>
    <x v="0"/>
    <s v="OK"/>
    <x v="0"/>
    <x v="0"/>
    <n v="1"/>
    <n v="0"/>
    <n v="1"/>
    <n v="0"/>
    <x v="0"/>
    <x v="0"/>
    <x v="1"/>
  </r>
  <r>
    <n v="20101155588"/>
    <x v="22"/>
    <x v="22"/>
    <x v="778"/>
    <x v="781"/>
    <x v="721"/>
    <n v="1"/>
    <x v="32"/>
    <s v="VESTIBULO 17"/>
    <s v="116 JIRON TRUJILLO ESTACION CAJA DE AGUA"/>
    <x v="15"/>
    <x v="0"/>
    <x v="6"/>
    <x v="1"/>
    <x v="100"/>
    <x v="0"/>
    <n v="1"/>
    <n v="300"/>
    <x v="1"/>
    <x v="1"/>
    <n v="3.134796238244514E-3"/>
    <x v="10"/>
    <x v="1"/>
    <s v="OK"/>
    <x v="0"/>
    <s v="OK"/>
    <x v="0"/>
    <x v="0"/>
    <n v="1"/>
    <n v="0"/>
    <n v="1"/>
    <n v="0"/>
    <x v="0"/>
    <x v="0"/>
    <x v="1"/>
  </r>
  <r>
    <n v="20101155588"/>
    <x v="22"/>
    <x v="22"/>
    <x v="779"/>
    <x v="782"/>
    <x v="722"/>
    <n v="1"/>
    <x v="32"/>
    <s v="PATIO TALLER SANTA ANITA"/>
    <s v="AV FERROCARRIL S/N LOTE 1 Y 2"/>
    <x v="46"/>
    <x v="0"/>
    <x v="6"/>
    <x v="1"/>
    <x v="100"/>
    <x v="0"/>
    <n v="1"/>
    <n v="300"/>
    <x v="1"/>
    <x v="1"/>
    <n v="3.134796238244514E-3"/>
    <x v="9"/>
    <x v="1"/>
    <s v="OK"/>
    <x v="7"/>
    <s v="OK"/>
    <x v="0"/>
    <x v="0"/>
    <n v="1"/>
    <n v="1"/>
    <n v="1"/>
    <n v="0"/>
    <x v="0"/>
    <x v="0"/>
    <x v="1"/>
  </r>
  <r>
    <n v="20101155588"/>
    <x v="22"/>
    <x v="22"/>
    <x v="780"/>
    <x v="783"/>
    <x v="723"/>
    <n v="1"/>
    <x v="32"/>
    <s v="PATIO TALLER SANTA ANITA"/>
    <s v="MZ B LOTE 21 AGRUP FAMILIAR 27 DE ENERO"/>
    <x v="15"/>
    <x v="0"/>
    <x v="6"/>
    <x v="1"/>
    <x v="115"/>
    <x v="0"/>
    <n v="1"/>
    <n v="216"/>
    <x v="1"/>
    <x v="1"/>
    <n v="3.134796238244514E-3"/>
    <x v="13"/>
    <x v="1"/>
    <s v="OK"/>
    <x v="0"/>
    <s v="OK"/>
    <x v="0"/>
    <x v="0"/>
    <n v="1"/>
    <n v="0"/>
    <n v="1"/>
    <n v="0"/>
    <x v="0"/>
    <x v="0"/>
    <x v="1"/>
  </r>
  <r>
    <n v="20101155588"/>
    <x v="22"/>
    <x v="22"/>
    <x v="781"/>
    <x v="784"/>
    <x v="482"/>
    <n v="1"/>
    <x v="151"/>
    <s v="PATIO TALLER GUILLERMO DANSEY "/>
    <s v="MANCO CAPACC 224 CULTURA PROGRESO"/>
    <x v="52"/>
    <x v="0"/>
    <x v="6"/>
    <x v="1"/>
    <x v="137"/>
    <x v="0"/>
    <n v="1"/>
    <n v="132"/>
    <x v="1"/>
    <x v="1"/>
    <n v="3.134796238244514E-3"/>
    <x v="11"/>
    <x v="1"/>
    <s v="OK"/>
    <x v="0"/>
    <s v="OK"/>
    <x v="0"/>
    <x v="0"/>
    <n v="1"/>
    <n v="0"/>
    <n v="1"/>
    <n v="0"/>
    <x v="0"/>
    <x v="0"/>
    <x v="1"/>
  </r>
  <r>
    <n v="20101155588"/>
    <x v="22"/>
    <x v="22"/>
    <x v="782"/>
    <x v="785"/>
    <x v="724"/>
    <n v="1"/>
    <x v="32"/>
    <s v="PATIO TALLER GUILLERMO DANSEY "/>
    <s v="AV TANTA MAYO MZ H LOTE 33"/>
    <x v="3"/>
    <x v="0"/>
    <x v="6"/>
    <x v="1"/>
    <x v="357"/>
    <x v="0"/>
    <n v="1"/>
    <n v="108"/>
    <x v="1"/>
    <x v="1"/>
    <n v="3.134796238244514E-3"/>
    <x v="7"/>
    <x v="1"/>
    <s v="OK"/>
    <x v="0"/>
    <s v="OK"/>
    <x v="0"/>
    <x v="0"/>
    <n v="1"/>
    <n v="0"/>
    <n v="1"/>
    <n v="0"/>
    <x v="0"/>
    <x v="0"/>
    <x v="1"/>
  </r>
  <r>
    <n v="20554431578"/>
    <x v="60"/>
    <x v="44"/>
    <x v="783"/>
    <x v="786"/>
    <x v="725"/>
    <n v="2"/>
    <x v="152"/>
    <s v="TBM -19"/>
    <s v="URB. ALEJANDRO ALVAREZ  MZ G LT 5A"/>
    <x v="1"/>
    <x v="0"/>
    <x v="0"/>
    <x v="1"/>
    <x v="358"/>
    <x v="0"/>
    <n v="4"/>
    <n v="192"/>
    <x v="0"/>
    <x v="1"/>
    <n v="2.564102564102564E-2"/>
    <x v="10"/>
    <x v="1"/>
    <s v="OK"/>
    <x v="1"/>
    <s v="OK"/>
    <x v="0"/>
    <x v="0"/>
    <n v="1"/>
    <n v="1"/>
    <n v="0"/>
    <n v="0"/>
    <x v="0"/>
    <x v="0"/>
    <x v="0"/>
  </r>
  <r>
    <n v="20554431578"/>
    <x v="60"/>
    <x v="44"/>
    <x v="784"/>
    <x v="787"/>
    <x v="726"/>
    <n v="1"/>
    <x v="113"/>
    <s v="TBM -19"/>
    <s v="URB. ALEJANDRO ALVAREZ  MZ G LT 5A"/>
    <x v="1"/>
    <x v="0"/>
    <x v="0"/>
    <x v="1"/>
    <x v="195"/>
    <x v="0"/>
    <n v="1"/>
    <n v="200"/>
    <x v="0"/>
    <x v="1"/>
    <n v="2.564102564102564E-2"/>
    <x v="7"/>
    <x v="1"/>
    <s v="OK"/>
    <x v="1"/>
    <s v="OK"/>
    <x v="0"/>
    <x v="0"/>
    <n v="1"/>
    <n v="1"/>
    <n v="0"/>
    <n v="0"/>
    <x v="0"/>
    <x v="0"/>
    <x v="0"/>
  </r>
  <r>
    <n v="20554431578"/>
    <x v="60"/>
    <x v="44"/>
    <x v="785"/>
    <x v="788"/>
    <x v="558"/>
    <n v="1"/>
    <x v="60"/>
    <s v="TBM -19"/>
    <s v="ASOC.VILLA EL MILAGRO MZ A LT"/>
    <x v="19"/>
    <x v="1"/>
    <x v="0"/>
    <x v="1"/>
    <x v="359"/>
    <x v="0"/>
    <n v="1"/>
    <n v="200"/>
    <x v="0"/>
    <x v="1"/>
    <n v="2.564102564102564E-2"/>
    <x v="12"/>
    <x v="1"/>
    <s v="OK"/>
    <x v="0"/>
    <s v="OK"/>
    <x v="0"/>
    <x v="0"/>
    <n v="1"/>
    <n v="0"/>
    <n v="0"/>
    <n v="0"/>
    <x v="0"/>
    <x v="0"/>
    <x v="0"/>
  </r>
  <r>
    <n v="20508430681"/>
    <x v="23"/>
    <x v="23"/>
    <x v="786"/>
    <x v="789"/>
    <x v="727"/>
    <n v="2"/>
    <x v="15"/>
    <s v="SUMINISTRO E INSTALACION DE PANELES VITRIFICADOS EN E1, E2, E3,E10,E11, E14,E15 Y E17"/>
    <s v="AA.HH RAUL PORRAS BARNECHEA MZ A LT9"/>
    <x v="54"/>
    <x v="0"/>
    <x v="0"/>
    <x v="1"/>
    <x v="106"/>
    <x v="0"/>
    <n v="4"/>
    <n v="192"/>
    <x v="0"/>
    <x v="1"/>
    <n v="9.433962264150943E-3"/>
    <x v="12"/>
    <x v="1"/>
    <s v="OK"/>
    <x v="0"/>
    <s v="OK"/>
    <x v="0"/>
    <x v="0"/>
    <n v="1"/>
    <n v="0"/>
    <n v="0"/>
    <n v="0"/>
    <x v="0"/>
    <x v="0"/>
    <x v="0"/>
  </r>
  <r>
    <n v="20508430681"/>
    <x v="23"/>
    <x v="23"/>
    <x v="787"/>
    <x v="790"/>
    <x v="728"/>
    <n v="2"/>
    <x v="15"/>
    <s v="SUMINISTRO E INSTALACION DE PANELES VITRIFICADOS EN E1, E2, E3,E10,E11, E14,E15 Y E17"/>
    <s v="E ASOC. VIRGEN DEL CARMEN LT. 23"/>
    <x v="1"/>
    <x v="0"/>
    <x v="0"/>
    <x v="1"/>
    <x v="148"/>
    <x v="0"/>
    <n v="4"/>
    <n v="192"/>
    <x v="0"/>
    <x v="1"/>
    <n v="9.433962264150943E-3"/>
    <x v="9"/>
    <x v="1"/>
    <s v="OK"/>
    <x v="1"/>
    <s v="OK"/>
    <x v="0"/>
    <x v="0"/>
    <n v="1"/>
    <n v="1"/>
    <n v="0"/>
    <n v="0"/>
    <x v="0"/>
    <x v="0"/>
    <x v="0"/>
  </r>
  <r>
    <n v="20508430681"/>
    <x v="23"/>
    <x v="23"/>
    <x v="788"/>
    <x v="791"/>
    <x v="729"/>
    <n v="2"/>
    <x v="15"/>
    <s v="SUMINISTRO E INSTALACION DE PANELES VITRIFICADOS EN E1, E2, E3,E10,E11, E14,E15 Y E17"/>
    <s v="A. H. CERRO LAS ANIMAS MZ. S LT. 5"/>
    <x v="4"/>
    <x v="0"/>
    <x v="0"/>
    <x v="1"/>
    <x v="145"/>
    <x v="0"/>
    <n v="4"/>
    <n v="192"/>
    <x v="0"/>
    <x v="1"/>
    <n v="9.433962264150943E-3"/>
    <x v="9"/>
    <x v="1"/>
    <s v="OK"/>
    <x v="0"/>
    <s v="OK"/>
    <x v="0"/>
    <x v="0"/>
    <n v="1"/>
    <n v="0"/>
    <n v="0"/>
    <n v="0"/>
    <x v="0"/>
    <x v="0"/>
    <x v="0"/>
  </r>
  <r>
    <n v="20508430681"/>
    <x v="23"/>
    <x v="23"/>
    <x v="789"/>
    <x v="792"/>
    <x v="730"/>
    <n v="2"/>
    <x v="2"/>
    <s v="SUMINISTRO E INSTALACION DE PANELES VITRIFICADOS EN E1, E2, E3,E10,E11, E14,E15 Y E17"/>
    <s v="ANEXO VILLA HUASAPAMPA"/>
    <x v="43"/>
    <x v="0"/>
    <x v="0"/>
    <x v="1"/>
    <x v="111"/>
    <x v="0"/>
    <n v="4"/>
    <n v="192"/>
    <x v="0"/>
    <x v="1"/>
    <n v="9.433962264150943E-3"/>
    <x v="10"/>
    <x v="1"/>
    <s v="OK"/>
    <x v="0"/>
    <s v="OK"/>
    <x v="0"/>
    <x v="0"/>
    <n v="1"/>
    <n v="0"/>
    <n v="0"/>
    <n v="0"/>
    <x v="0"/>
    <x v="0"/>
    <x v="0"/>
  </r>
  <r>
    <n v="20508430681"/>
    <x v="23"/>
    <x v="23"/>
    <x v="790"/>
    <x v="793"/>
    <x v="731"/>
    <n v="1"/>
    <x v="153"/>
    <s v="SUMINISTRO E INSTALACION DE PANELES VITRIFICADOS EN E1, E2, E3,E10,E11, E14,E15 Y E17"/>
    <s v="CALLE A URB ANGELICA GAMARRA DE LEON V. MZ. B LT. 16"/>
    <x v="49"/>
    <x v="0"/>
    <x v="0"/>
    <x v="1"/>
    <x v="16"/>
    <x v="0"/>
    <n v="2"/>
    <n v="192"/>
    <x v="0"/>
    <x v="1"/>
    <n v="9.433962264150943E-3"/>
    <x v="11"/>
    <x v="1"/>
    <s v="OK"/>
    <x v="0"/>
    <s v="OK"/>
    <x v="0"/>
    <x v="0"/>
    <n v="1"/>
    <n v="0"/>
    <n v="0"/>
    <n v="0"/>
    <x v="0"/>
    <x v="0"/>
    <x v="0"/>
  </r>
  <r>
    <n v="20508430682"/>
    <x v="23"/>
    <x v="23"/>
    <x v="791"/>
    <x v="794"/>
    <x v="732"/>
    <n v="2"/>
    <x v="15"/>
    <s v="SUMINISTRO E INSTALACION DE PANELES VITRIFICADOS EN E1, E2, E3,E10,E11, E14,E15 Y E17"/>
    <s v="ANEXO SENGACHE AMAZONAS"/>
    <x v="160"/>
    <x v="0"/>
    <x v="0"/>
    <x v="1"/>
    <x v="121"/>
    <x v="0"/>
    <n v="4"/>
    <n v="192"/>
    <x v="0"/>
    <x v="1"/>
    <n v="9.433962264150943E-3"/>
    <x v="11"/>
    <x v="1"/>
    <s v="OK"/>
    <x v="0"/>
    <s v="OK"/>
    <x v="0"/>
    <x v="0"/>
    <n v="1"/>
    <n v="0"/>
    <n v="0"/>
    <n v="0"/>
    <x v="0"/>
    <x v="0"/>
    <x v="0"/>
  </r>
  <r>
    <n v="20508430681"/>
    <x v="23"/>
    <x v="23"/>
    <x v="792"/>
    <x v="795"/>
    <x v="733"/>
    <n v="2"/>
    <x v="2"/>
    <s v="SUMINISTRO E INSTALACION DE PANELES VITRIFICADOS EN E1, E2, E3,E10,E11, E14,E15 Y E17"/>
    <s v="CALLE LINCOLN 297"/>
    <x v="89"/>
    <x v="0"/>
    <x v="26"/>
    <x v="1"/>
    <x v="107"/>
    <x v="2"/>
    <n v="4"/>
    <n v="192"/>
    <x v="0"/>
    <x v="1"/>
    <n v="9.433962264150943E-3"/>
    <x v="8"/>
    <x v="1"/>
    <s v="OK"/>
    <x v="2"/>
    <s v="OK"/>
    <x v="0"/>
    <x v="0"/>
    <n v="1"/>
    <n v="1"/>
    <n v="0"/>
    <n v="1"/>
    <x v="0"/>
    <x v="1"/>
    <x v="0"/>
  </r>
  <r>
    <n v="20508430681"/>
    <x v="23"/>
    <x v="23"/>
    <x v="793"/>
    <x v="796"/>
    <x v="263"/>
    <n v="2"/>
    <x v="15"/>
    <s v="SUMINISTRO E INSTALACION DE PANELES VITRIFICADOS EN E1, E2, E3,E10,E11, E14,E15 Y E17"/>
    <s v="UNIDAD MODELO Y 207"/>
    <x v="6"/>
    <x v="0"/>
    <x v="0"/>
    <x v="1"/>
    <x v="105"/>
    <x v="0"/>
    <n v="4"/>
    <n v="192"/>
    <x v="0"/>
    <x v="1"/>
    <n v="9.433962264150943E-3"/>
    <x v="6"/>
    <x v="1"/>
    <s v="OK"/>
    <x v="2"/>
    <s v="OK"/>
    <x v="0"/>
    <x v="0"/>
    <n v="1"/>
    <n v="1"/>
    <n v="0"/>
    <n v="0"/>
    <x v="0"/>
    <x v="0"/>
    <x v="0"/>
  </r>
  <r>
    <n v="20508430681"/>
    <x v="23"/>
    <x v="23"/>
    <x v="794"/>
    <x v="797"/>
    <x v="734"/>
    <n v="1"/>
    <x v="115"/>
    <s v="SUMINISTRO E INSTALACION DE PANELES VITRIFICADOS EN E1, E2, E3,E10,E11, E14,E15 Y E17"/>
    <s v="JR. EL AZAFRAN 981 URB. LAS PALMERAS ETAPA III"/>
    <x v="49"/>
    <x v="0"/>
    <x v="0"/>
    <x v="1"/>
    <x v="360"/>
    <x v="0"/>
    <n v="1"/>
    <n v="192"/>
    <x v="0"/>
    <x v="1"/>
    <n v="9.433962264150943E-3"/>
    <x v="6"/>
    <x v="1"/>
    <s v="OK"/>
    <x v="0"/>
    <s v="OK"/>
    <x v="0"/>
    <x v="0"/>
    <n v="1"/>
    <n v="0"/>
    <n v="0"/>
    <n v="0"/>
    <x v="0"/>
    <x v="0"/>
    <x v="0"/>
  </r>
  <r>
    <n v="20508430681"/>
    <x v="23"/>
    <x v="23"/>
    <x v="795"/>
    <x v="798"/>
    <x v="735"/>
    <n v="2"/>
    <x v="2"/>
    <s v="SUMINISTRO E INSTALACION DE PANELES VITRIFICADOS EN E1, E2, E3,E10,E11, E14,E15 Y E17"/>
    <s v="JR. LORETO 275 INT. 110"/>
    <x v="5"/>
    <x v="0"/>
    <x v="0"/>
    <x v="1"/>
    <x v="100"/>
    <x v="0"/>
    <n v="4"/>
    <n v="168"/>
    <x v="0"/>
    <x v="1"/>
    <n v="9.433962264150943E-3"/>
    <x v="11"/>
    <x v="1"/>
    <s v="OK"/>
    <x v="3"/>
    <s v="OK"/>
    <x v="0"/>
    <x v="0"/>
    <n v="1"/>
    <n v="1"/>
    <n v="1"/>
    <n v="0"/>
    <x v="0"/>
    <x v="0"/>
    <x v="1"/>
  </r>
  <r>
    <n v="20508430681"/>
    <x v="23"/>
    <x v="23"/>
    <x v="796"/>
    <x v="799"/>
    <x v="232"/>
    <n v="2"/>
    <x v="15"/>
    <s v="SUMINISTRO E INSTALACION DE PANELES VITRIFICADOS EN E1, E2, E3,E10,E11, E14,E15 Y E17"/>
    <s v="COMITÉ 119- PSJE LAS VIOLETAS MZ 152A LT.28"/>
    <x v="44"/>
    <x v="0"/>
    <x v="0"/>
    <x v="1"/>
    <x v="361"/>
    <x v="0"/>
    <n v="4"/>
    <n v="192"/>
    <x v="0"/>
    <x v="1"/>
    <n v="9.433962264150943E-3"/>
    <x v="6"/>
    <x v="1"/>
    <s v="OK"/>
    <x v="0"/>
    <s v="OK"/>
    <x v="0"/>
    <x v="0"/>
    <n v="1"/>
    <n v="0"/>
    <n v="0"/>
    <n v="0"/>
    <x v="0"/>
    <x v="0"/>
    <x v="0"/>
  </r>
  <r>
    <n v="20508430681"/>
    <x v="23"/>
    <x v="23"/>
    <x v="797"/>
    <x v="800"/>
    <x v="736"/>
    <n v="2"/>
    <x v="15"/>
    <s v="SUMINISTRO E INSTALACION DE PANELES VITRIFICADOS EN E1, E2, E3,E10,E11, E14,E15 Y E17"/>
    <s v="PS LAS VIOLETAS ASENT.H. PAMPA DE INDEPENDENCIA MZ. 125A LT. 26"/>
    <x v="44"/>
    <x v="0"/>
    <x v="0"/>
    <x v="1"/>
    <x v="2"/>
    <x v="0"/>
    <n v="4"/>
    <n v="192"/>
    <x v="0"/>
    <x v="1"/>
    <n v="9.433962264150943E-3"/>
    <x v="7"/>
    <x v="1"/>
    <s v="OK"/>
    <x v="0"/>
    <s v="OK"/>
    <x v="0"/>
    <x v="0"/>
    <n v="1"/>
    <n v="0"/>
    <n v="0"/>
    <n v="0"/>
    <x v="0"/>
    <x v="0"/>
    <x v="0"/>
  </r>
  <r>
    <n v="20508430681"/>
    <x v="23"/>
    <x v="23"/>
    <x v="798"/>
    <x v="801"/>
    <x v="737"/>
    <n v="2"/>
    <x v="15"/>
    <s v="SUMINISTRO E INSTALACION DE PANELES VITRIFICADOS EN E1, E2, E3,E10,E11, E14,E15 Y E17"/>
    <s v="ASOC. PROVIV. PROFAM PERU MZ. A-16 LT. 15"/>
    <x v="18"/>
    <x v="0"/>
    <x v="0"/>
    <x v="1"/>
    <x v="105"/>
    <x v="0"/>
    <n v="4"/>
    <n v="192"/>
    <x v="0"/>
    <x v="1"/>
    <n v="9.433962264150943E-3"/>
    <x v="8"/>
    <x v="1"/>
    <s v="OK"/>
    <x v="0"/>
    <s v="OK"/>
    <x v="0"/>
    <x v="0"/>
    <n v="1"/>
    <n v="0"/>
    <n v="0"/>
    <n v="0"/>
    <x v="0"/>
    <x v="0"/>
    <x v="0"/>
  </r>
  <r>
    <n v="20508430681"/>
    <x v="23"/>
    <x v="23"/>
    <x v="799"/>
    <x v="802"/>
    <x v="738"/>
    <n v="2"/>
    <x v="15"/>
    <s v="SUMINISTRO E INSTALACION DE PANELES VITRIFICADOS EN E1, E2, E3,E10,E11, E14,E15 Y E17"/>
    <s v="ASOC. CRUZ DE MOTUPE MZ. B LT. 21"/>
    <x v="19"/>
    <x v="0"/>
    <x v="0"/>
    <x v="1"/>
    <x v="149"/>
    <x v="0"/>
    <n v="4"/>
    <n v="192"/>
    <x v="0"/>
    <x v="1"/>
    <n v="9.433962264150943E-3"/>
    <x v="6"/>
    <x v="1"/>
    <s v="OK"/>
    <x v="0"/>
    <s v="OK"/>
    <x v="0"/>
    <x v="0"/>
    <n v="1"/>
    <n v="0"/>
    <n v="0"/>
    <n v="0"/>
    <x v="0"/>
    <x v="0"/>
    <x v="0"/>
  </r>
  <r>
    <n v="20508430681"/>
    <x v="23"/>
    <x v="23"/>
    <x v="800"/>
    <x v="803"/>
    <x v="739"/>
    <n v="2"/>
    <x v="15"/>
    <s v="SUMINISTRO E INSTALACION DE PANELES VITRIFICADOS EN E1, E2, E3,E10,E11, E14,E15 Y E17"/>
    <s v="MZ. H LT 07 SECTOR 1 ASOC DE VIV SANTA ROSA "/>
    <x v="1"/>
    <x v="0"/>
    <x v="0"/>
    <x v="1"/>
    <x v="111"/>
    <x v="0"/>
    <n v="4"/>
    <n v="192"/>
    <x v="0"/>
    <x v="1"/>
    <n v="9.433962264150943E-3"/>
    <x v="12"/>
    <x v="1"/>
    <s v="OK"/>
    <x v="1"/>
    <s v="OK"/>
    <x v="0"/>
    <x v="0"/>
    <n v="1"/>
    <n v="1"/>
    <n v="0"/>
    <n v="0"/>
    <x v="0"/>
    <x v="0"/>
    <x v="0"/>
  </r>
  <r>
    <n v="20508430681"/>
    <x v="23"/>
    <x v="23"/>
    <x v="801"/>
    <x v="804"/>
    <x v="740"/>
    <n v="1"/>
    <x v="154"/>
    <s v="SUMINISTRO E INSTALACION DE PANELES VITRIFICADOS EN E1, E2, E3,E10,E11, E14,E15 Y E17"/>
    <s v="PSJ. FAUSTINO SANCHEZ CARRION 137 DPTO 105"/>
    <x v="132"/>
    <x v="0"/>
    <x v="0"/>
    <x v="1"/>
    <x v="362"/>
    <x v="0"/>
    <n v="1"/>
    <n v="192"/>
    <x v="0"/>
    <x v="1"/>
    <n v="9.433962264150943E-3"/>
    <x v="9"/>
    <x v="1"/>
    <s v="OK"/>
    <x v="0"/>
    <s v="OK"/>
    <x v="0"/>
    <x v="0"/>
    <n v="1"/>
    <n v="0"/>
    <n v="0"/>
    <n v="0"/>
    <x v="0"/>
    <x v="0"/>
    <x v="0"/>
  </r>
  <r>
    <n v="20508430681"/>
    <x v="23"/>
    <x v="23"/>
    <x v="802"/>
    <x v="805"/>
    <x v="741"/>
    <n v="2"/>
    <x v="15"/>
    <s v="SUMINISTRO E INSTALACION DE PANELES VITRIFICADOS EN E1, E2, E3,E10,E11, E14,E15 Y E17"/>
    <s v="AV. GUARDIA PERUANA LA CAMPIÑA MZ. R1 LT. 7"/>
    <x v="38"/>
    <x v="0"/>
    <x v="0"/>
    <x v="1"/>
    <x v="51"/>
    <x v="0"/>
    <n v="4"/>
    <n v="192"/>
    <x v="0"/>
    <x v="1"/>
    <n v="9.433962264150943E-3"/>
    <x v="10"/>
    <x v="1"/>
    <s v="OK"/>
    <x v="0"/>
    <s v="OK"/>
    <x v="0"/>
    <x v="0"/>
    <n v="1"/>
    <n v="0"/>
    <n v="0"/>
    <n v="0"/>
    <x v="0"/>
    <x v="0"/>
    <x v="0"/>
  </r>
  <r>
    <n v="20508430681"/>
    <x v="23"/>
    <x v="23"/>
    <x v="803"/>
    <x v="806"/>
    <x v="742"/>
    <n v="2"/>
    <x v="15"/>
    <s v="SUMINISTRO E INSTALACION DE PANELES VITRIFICADOS EN E1, E2, E3,E10,E11, E14,E15 Y E17"/>
    <s v="ASOC VILLA LAS FLORES MZ. C LT. 8"/>
    <x v="4"/>
    <x v="0"/>
    <x v="0"/>
    <x v="1"/>
    <x v="103"/>
    <x v="0"/>
    <n v="4"/>
    <n v="96"/>
    <x v="0"/>
    <x v="1"/>
    <n v="9.433962264150943E-3"/>
    <x v="8"/>
    <x v="1"/>
    <s v="OK"/>
    <x v="0"/>
    <s v="OK"/>
    <x v="0"/>
    <x v="0"/>
    <n v="1"/>
    <n v="0"/>
    <n v="1"/>
    <n v="0"/>
    <x v="0"/>
    <x v="0"/>
    <x v="1"/>
  </r>
  <r>
    <n v="20508430681"/>
    <x v="23"/>
    <x v="23"/>
    <x v="804"/>
    <x v="807"/>
    <x v="743"/>
    <n v="2"/>
    <x v="15"/>
    <s v="SUMINISTRO E INSTALACION DE PANELES VITRIFICADOS EN E1, E2, E3,E10,E11, E14,E15 Y E17"/>
    <s v="ASOC.ALTO MOQUEGUA A-11 MOQUEGUA"/>
    <x v="161"/>
    <x v="0"/>
    <x v="0"/>
    <x v="1"/>
    <x v="18"/>
    <x v="0"/>
    <n v="4"/>
    <n v="192"/>
    <x v="0"/>
    <x v="1"/>
    <n v="9.433962264150943E-3"/>
    <x v="9"/>
    <x v="1"/>
    <s v="OK"/>
    <x v="0"/>
    <s v="OK"/>
    <x v="0"/>
    <x v="0"/>
    <n v="1"/>
    <n v="0"/>
    <n v="0"/>
    <n v="0"/>
    <x v="0"/>
    <x v="0"/>
    <x v="0"/>
  </r>
  <r>
    <n v="20508430681"/>
    <x v="23"/>
    <x v="23"/>
    <x v="805"/>
    <x v="808"/>
    <x v="261"/>
    <n v="2"/>
    <x v="15"/>
    <s v="SUMINISTRO E INSTALACION DE PANELES VITRIFICADOS EN E1, E2, E3,E10,E11, E14,E15 Y E17"/>
    <s v="AV.6 MZ.U LT.3 P.JOVEN SAN JUAN DE LIBERTAD"/>
    <x v="38"/>
    <x v="0"/>
    <x v="0"/>
    <x v="1"/>
    <x v="125"/>
    <x v="0"/>
    <n v="4"/>
    <n v="192"/>
    <x v="0"/>
    <x v="1"/>
    <n v="9.433962264150943E-3"/>
    <x v="12"/>
    <x v="1"/>
    <s v="OK"/>
    <x v="0"/>
    <s v="OK"/>
    <x v="0"/>
    <x v="0"/>
    <n v="1"/>
    <n v="0"/>
    <n v="0"/>
    <n v="0"/>
    <x v="0"/>
    <x v="0"/>
    <x v="0"/>
  </r>
  <r>
    <n v="20508430681"/>
    <x v="23"/>
    <x v="23"/>
    <x v="806"/>
    <x v="809"/>
    <x v="744"/>
    <n v="2"/>
    <x v="15"/>
    <s v="SUMINISTRO E INSTALACION DE PANELES VITRIFICADOS EN E1, E2, E3,E10,E11, E14,E15 Y E17"/>
    <s v="SEGUNDA DE PALAO AAHH LAMPA DE ORO MZ H LT 9"/>
    <x v="3"/>
    <x v="0"/>
    <x v="0"/>
    <x v="1"/>
    <x v="363"/>
    <x v="0"/>
    <n v="4"/>
    <n v="192"/>
    <x v="0"/>
    <x v="1"/>
    <n v="9.433962264150943E-3"/>
    <x v="7"/>
    <x v="1"/>
    <s v="OK"/>
    <x v="0"/>
    <s v="OK"/>
    <x v="0"/>
    <x v="0"/>
    <n v="1"/>
    <n v="0"/>
    <n v="0"/>
    <n v="0"/>
    <x v="0"/>
    <x v="0"/>
    <x v="0"/>
  </r>
  <r>
    <n v="20508430681"/>
    <x v="23"/>
    <x v="23"/>
    <x v="807"/>
    <x v="810"/>
    <x v="397"/>
    <n v="1"/>
    <x v="155"/>
    <s v="SUMINISTRO E INSTALACION DE PANELES VITRIFICADOS EN E1, E2, E3,E10,E11, E14,E15 Y E17"/>
    <s v="JR. RIO UCAYALI URB. CANTO REY MZ. H1 LT.06"/>
    <x v="15"/>
    <x v="0"/>
    <x v="0"/>
    <x v="1"/>
    <x v="70"/>
    <x v="0"/>
    <n v="2"/>
    <n v="192"/>
    <x v="0"/>
    <x v="1"/>
    <n v="9.433962264150943E-3"/>
    <x v="8"/>
    <x v="1"/>
    <s v="OK"/>
    <x v="0"/>
    <s v="OK"/>
    <x v="0"/>
    <x v="0"/>
    <n v="1"/>
    <n v="0"/>
    <n v="0"/>
    <n v="0"/>
    <x v="0"/>
    <x v="0"/>
    <x v="0"/>
  </r>
  <r>
    <n v="20508430681"/>
    <x v="23"/>
    <x v="23"/>
    <x v="808"/>
    <x v="811"/>
    <x v="551"/>
    <n v="1"/>
    <x v="156"/>
    <s v="SUMINISTRO E INSTALACION DE PANELES VITRIFICADOS EN E1, E2, E3,E10,E11, E14,E15 Y E17"/>
    <s v="Calle Pacaritambo 114-116 Tahuantinsuyo"/>
    <x v="44"/>
    <x v="0"/>
    <x v="0"/>
    <x v="1"/>
    <x v="6"/>
    <x v="0"/>
    <n v="2"/>
    <n v="192"/>
    <x v="0"/>
    <x v="1"/>
    <n v="9.433962264150943E-3"/>
    <x v="6"/>
    <x v="1"/>
    <s v="OK"/>
    <x v="0"/>
    <s v="OK"/>
    <x v="0"/>
    <x v="0"/>
    <n v="1"/>
    <n v="0"/>
    <n v="0"/>
    <n v="0"/>
    <x v="0"/>
    <x v="0"/>
    <x v="0"/>
  </r>
  <r>
    <n v="20508430681"/>
    <x v="23"/>
    <x v="23"/>
    <x v="809"/>
    <x v="812"/>
    <x v="543"/>
    <n v="2"/>
    <x v="15"/>
    <s v="SUMINISTRO E INSTALACION DE PANELES VITRIFICADOS EN E1, E2, E3,E10,E11, E14,E15 Y E17"/>
    <s v="ASENT.H LAS ANIMAS MZ.Q1 LT.7 "/>
    <x v="4"/>
    <x v="0"/>
    <x v="0"/>
    <x v="1"/>
    <x v="4"/>
    <x v="0"/>
    <n v="4"/>
    <n v="192"/>
    <x v="0"/>
    <x v="1"/>
    <n v="9.433962264150943E-3"/>
    <x v="9"/>
    <x v="1"/>
    <s v="OK"/>
    <x v="0"/>
    <s v="OK"/>
    <x v="0"/>
    <x v="0"/>
    <n v="1"/>
    <n v="0"/>
    <n v="1"/>
    <n v="0"/>
    <x v="0"/>
    <x v="0"/>
    <x v="1"/>
  </r>
  <r>
    <n v="20508430681"/>
    <x v="23"/>
    <x v="23"/>
    <x v="810"/>
    <x v="813"/>
    <x v="745"/>
    <n v="2"/>
    <x v="38"/>
    <s v="SUMINISTRO E INSTALACION DE PANELES VITRIFICADOS EN E1, E2, E3,E10,E11, E14,E15 Y E17"/>
    <s v="LAS VIÑAS DE SAN JUAN MZ W LT 1"/>
    <x v="1"/>
    <x v="0"/>
    <x v="0"/>
    <x v="1"/>
    <x v="364"/>
    <x v="0"/>
    <n v="4"/>
    <n v="192"/>
    <x v="0"/>
    <x v="1"/>
    <n v="9.433962264150943E-3"/>
    <x v="11"/>
    <x v="1"/>
    <s v="OK"/>
    <x v="1"/>
    <s v="OK"/>
    <x v="0"/>
    <x v="0"/>
    <n v="1"/>
    <n v="1"/>
    <n v="0"/>
    <n v="0"/>
    <x v="0"/>
    <x v="0"/>
    <x v="0"/>
  </r>
  <r>
    <n v="20508430681"/>
    <x v="23"/>
    <x v="23"/>
    <x v="811"/>
    <x v="814"/>
    <x v="746"/>
    <n v="1"/>
    <x v="115"/>
    <s v="SUMINISTRO E INSTALACION DE PANELES VITRIFICADOS EN E1, E2, E3,E10,E11, E14,E15 Y E17"/>
    <s v="ASENT. H. MAX UHLE MZ. Q LT. 18"/>
    <x v="19"/>
    <x v="1"/>
    <x v="0"/>
    <x v="1"/>
    <x v="365"/>
    <x v="0"/>
    <n v="1"/>
    <n v="192"/>
    <x v="0"/>
    <x v="1"/>
    <n v="9.433962264150943E-3"/>
    <x v="7"/>
    <x v="1"/>
    <s v="OK"/>
    <x v="0"/>
    <s v="OK"/>
    <x v="0"/>
    <x v="0"/>
    <n v="1"/>
    <n v="0"/>
    <n v="0"/>
    <n v="0"/>
    <x v="0"/>
    <x v="0"/>
    <x v="0"/>
  </r>
  <r>
    <n v="20508430681"/>
    <x v="23"/>
    <x v="23"/>
    <x v="812"/>
    <x v="815"/>
    <x v="747"/>
    <n v="2"/>
    <x v="15"/>
    <s v="SUMINISTRO E INSTALACION DE PANELES VITRIFICADOS EN E1, E2, E3,E10,E11, E14,E15 Y E17"/>
    <s v="CALLE CASTAÑETA A.H. MUNICIPAL 2 MZ. N LT 13"/>
    <x v="3"/>
    <x v="0"/>
    <x v="0"/>
    <x v="1"/>
    <x v="366"/>
    <x v="0"/>
    <n v="4"/>
    <n v="192"/>
    <x v="0"/>
    <x v="1"/>
    <n v="9.433962264150943E-3"/>
    <x v="9"/>
    <x v="1"/>
    <s v="OK"/>
    <x v="0"/>
    <s v="OK"/>
    <x v="0"/>
    <x v="0"/>
    <n v="1"/>
    <n v="0"/>
    <n v="0"/>
    <n v="0"/>
    <x v="0"/>
    <x v="0"/>
    <x v="0"/>
  </r>
  <r>
    <n v="20508430681"/>
    <x v="23"/>
    <x v="23"/>
    <x v="813"/>
    <x v="816"/>
    <x v="748"/>
    <n v="2"/>
    <x v="157"/>
    <s v="SUMINISTRO E INSTALACION DE PANELES VITRIFICADOS EN E1, E2, E3,E10,E11, E14,E15 Y E17"/>
    <s v="ASENT. H. LOS ROSALES DE PRO MZ. J1 LT. 08"/>
    <x v="49"/>
    <x v="0"/>
    <x v="0"/>
    <x v="1"/>
    <x v="305"/>
    <x v="0"/>
    <n v="4"/>
    <n v="192"/>
    <x v="0"/>
    <x v="1"/>
    <n v="9.433962264150943E-3"/>
    <x v="8"/>
    <x v="1"/>
    <s v="OK"/>
    <x v="0"/>
    <s v="OK"/>
    <x v="0"/>
    <x v="0"/>
    <n v="1"/>
    <n v="0"/>
    <n v="0"/>
    <n v="0"/>
    <x v="0"/>
    <x v="0"/>
    <x v="0"/>
  </r>
  <r>
    <n v="20508430681"/>
    <x v="23"/>
    <x v="23"/>
    <x v="814"/>
    <x v="817"/>
    <x v="374"/>
    <n v="2"/>
    <x v="15"/>
    <s v="SUMINISTRO E INSTALACION DE PANELES VITRIFICADOS EN E1, E2, E3,E10,E11, E14,E15 Y E17"/>
    <s v="COOP. LOS PEQUEÑOS IND. ATE VITARTE MZ.E LT. 23"/>
    <x v="1"/>
    <x v="0"/>
    <x v="0"/>
    <x v="1"/>
    <x v="65"/>
    <x v="0"/>
    <n v="4"/>
    <n v="192"/>
    <x v="0"/>
    <x v="1"/>
    <n v="9.433962264150943E-3"/>
    <x v="9"/>
    <x v="1"/>
    <s v="OK"/>
    <x v="1"/>
    <s v="OK"/>
    <x v="0"/>
    <x v="0"/>
    <n v="1"/>
    <n v="1"/>
    <n v="0"/>
    <n v="0"/>
    <x v="0"/>
    <x v="0"/>
    <x v="0"/>
  </r>
  <r>
    <n v="20508430681"/>
    <x v="23"/>
    <x v="23"/>
    <x v="815"/>
    <x v="818"/>
    <x v="749"/>
    <n v="2"/>
    <x v="15"/>
    <s v="SUMINISTRO E INSTALACION DE PANELES VITRIFICADOS EN E1, E2, E3,E10,E11, E14,E15 Y E17"/>
    <s v="CALLE AREQUIPA N° 385"/>
    <x v="3"/>
    <x v="0"/>
    <x v="0"/>
    <x v="1"/>
    <x v="364"/>
    <x v="0"/>
    <n v="4"/>
    <n v="192"/>
    <x v="0"/>
    <x v="1"/>
    <n v="9.433962264150943E-3"/>
    <x v="9"/>
    <x v="1"/>
    <s v="OK"/>
    <x v="0"/>
    <s v="OK"/>
    <x v="0"/>
    <x v="0"/>
    <n v="1"/>
    <n v="0"/>
    <n v="0"/>
    <n v="0"/>
    <x v="0"/>
    <x v="0"/>
    <x v="0"/>
  </r>
  <r>
    <n v="20508430681"/>
    <x v="23"/>
    <x v="23"/>
    <x v="816"/>
    <x v="819"/>
    <x v="489"/>
    <n v="1"/>
    <x v="115"/>
    <s v="SUMINISTRO E INSTALACION DE PANELES VITRIFICADOS EN E1, E2, E3,E10,E11, E14,E15 Y E17"/>
    <s v="MOQUEGUA ASENT.H. RAMON CASTILLA MZ. G LT. 13"/>
    <x v="6"/>
    <x v="0"/>
    <x v="0"/>
    <x v="1"/>
    <x v="25"/>
    <x v="0"/>
    <n v="4"/>
    <n v="192"/>
    <x v="0"/>
    <x v="1"/>
    <n v="9.433962264150943E-3"/>
    <x v="8"/>
    <x v="1"/>
    <s v="OK"/>
    <x v="2"/>
    <s v="OK"/>
    <x v="0"/>
    <x v="0"/>
    <n v="1"/>
    <n v="1"/>
    <n v="0"/>
    <n v="0"/>
    <x v="0"/>
    <x v="0"/>
    <x v="0"/>
  </r>
  <r>
    <n v="20508430681"/>
    <x v="23"/>
    <x v="23"/>
    <x v="817"/>
    <x v="820"/>
    <x v="447"/>
    <n v="2"/>
    <x v="15"/>
    <s v="SUMINISTRO E INSTALACION DE PANELES VITRIFICADOS EN E1, E2, E3,E10,E11, E14,E15 Y E17"/>
    <s v="CALLE 83 URB. PACHACAMAC BARRIO 4 SECTOR II ETAPA 4TA MZM LT 36"/>
    <x v="19"/>
    <x v="0"/>
    <x v="0"/>
    <x v="1"/>
    <x v="364"/>
    <x v="0"/>
    <n v="4"/>
    <n v="72"/>
    <x v="0"/>
    <x v="1"/>
    <n v="9.433962264150943E-3"/>
    <x v="9"/>
    <x v="1"/>
    <s v="OK"/>
    <x v="0"/>
    <s v="OK"/>
    <x v="0"/>
    <x v="0"/>
    <n v="1"/>
    <n v="0"/>
    <n v="0"/>
    <n v="0"/>
    <x v="0"/>
    <x v="0"/>
    <x v="0"/>
  </r>
  <r>
    <s v="20600373863"/>
    <x v="25"/>
    <x v="24"/>
    <x v="818"/>
    <x v="821"/>
    <x v="750"/>
    <n v="1"/>
    <x v="139"/>
    <s v="ESTACION 05 L4"/>
    <s v="JR. HERMOZA RIOS 212"/>
    <x v="162"/>
    <x v="0"/>
    <x v="0"/>
    <x v="1"/>
    <x v="367"/>
    <x v="3"/>
    <n v="1"/>
    <n v="33"/>
    <x v="0"/>
    <x v="1"/>
    <n v="4.9019607843137254E-3"/>
    <x v="11"/>
    <x v="1"/>
    <s v="OK"/>
    <x v="0"/>
    <s v="OK"/>
    <x v="0"/>
    <x v="0"/>
    <n v="1"/>
    <n v="0"/>
    <n v="0"/>
    <n v="0"/>
    <x v="0"/>
    <x v="0"/>
    <x v="0"/>
  </r>
  <r>
    <s v="20600373863"/>
    <x v="25"/>
    <x v="24"/>
    <x v="819"/>
    <x v="822"/>
    <x v="693"/>
    <n v="3"/>
    <x v="158"/>
    <s v="ESTACION 05 L4"/>
    <s v="MZ B LOT 48 AH CIUDAD DE LOS CONSTRUCTORES"/>
    <x v="15"/>
    <x v="0"/>
    <x v="0"/>
    <x v="1"/>
    <x v="367"/>
    <x v="0"/>
    <n v="1"/>
    <n v="286"/>
    <x v="0"/>
    <x v="1"/>
    <n v="4.9019607843137254E-3"/>
    <x v="9"/>
    <x v="1"/>
    <s v="OK"/>
    <x v="0"/>
    <s v="OK"/>
    <x v="0"/>
    <x v="0"/>
    <n v="1"/>
    <n v="0"/>
    <n v="0"/>
    <n v="0"/>
    <x v="0"/>
    <x v="0"/>
    <x v="0"/>
  </r>
  <r>
    <s v="20600373863"/>
    <x v="25"/>
    <x v="24"/>
    <x v="820"/>
    <x v="823"/>
    <x v="399"/>
    <n v="3"/>
    <x v="159"/>
    <s v="ESTACION 06 L4"/>
    <s v="CALLE URUGUAY 182"/>
    <x v="38"/>
    <x v="0"/>
    <x v="0"/>
    <x v="1"/>
    <x v="367"/>
    <x v="0"/>
    <n v="1"/>
    <n v="286"/>
    <x v="0"/>
    <x v="1"/>
    <n v="4.9019607843137254E-3"/>
    <x v="11"/>
    <x v="1"/>
    <s v="OK"/>
    <x v="0"/>
    <s v="OK"/>
    <x v="0"/>
    <x v="0"/>
    <n v="1"/>
    <n v="0"/>
    <n v="0"/>
    <n v="0"/>
    <x v="0"/>
    <x v="0"/>
    <x v="0"/>
  </r>
  <r>
    <s v="20600373863"/>
    <x v="25"/>
    <x v="24"/>
    <x v="821"/>
    <x v="824"/>
    <x v="751"/>
    <n v="1"/>
    <x v="160"/>
    <s v="ESTACION 05 L4"/>
    <s v="FUNDO CHOLOLO AV SANTA CRUZ A-1"/>
    <x v="163"/>
    <x v="0"/>
    <x v="0"/>
    <x v="1"/>
    <x v="368"/>
    <x v="0"/>
    <n v="1"/>
    <n v="286"/>
    <x v="0"/>
    <x v="1"/>
    <n v="4.9019607843137254E-3"/>
    <x v="9"/>
    <x v="1"/>
    <s v="OK"/>
    <x v="0"/>
    <s v="OK"/>
    <x v="0"/>
    <x v="0"/>
    <n v="1"/>
    <n v="0"/>
    <n v="0"/>
    <n v="0"/>
    <x v="0"/>
    <x v="0"/>
    <x v="0"/>
  </r>
  <r>
    <s v="20600373863"/>
    <x v="25"/>
    <x v="24"/>
    <x v="822"/>
    <x v="825"/>
    <x v="752"/>
    <n v="3"/>
    <x v="161"/>
    <s v="ESTACION 06 L4"/>
    <s v="SECTOR 8 GRUPO 2 MZ A LOT 18"/>
    <x v="164"/>
    <x v="0"/>
    <x v="0"/>
    <x v="1"/>
    <x v="369"/>
    <x v="0"/>
    <n v="1"/>
    <n v="286"/>
    <x v="0"/>
    <x v="1"/>
    <n v="4.9019607843137254E-3"/>
    <x v="8"/>
    <x v="1"/>
    <s v="OK"/>
    <x v="0"/>
    <s v="OK"/>
    <x v="0"/>
    <x v="0"/>
    <n v="1"/>
    <n v="0"/>
    <n v="0"/>
    <n v="0"/>
    <x v="0"/>
    <x v="0"/>
    <x v="0"/>
  </r>
  <r>
    <s v="20600373863"/>
    <x v="25"/>
    <x v="24"/>
    <x v="823"/>
    <x v="826"/>
    <x v="753"/>
    <n v="1"/>
    <x v="162"/>
    <s v="ESTACION 05 L4"/>
    <s v="PSJ F5 BLOCK P URB LAS GARDENIAS DE LA MOLINA MZ B LOT 2"/>
    <x v="165"/>
    <x v="1"/>
    <x v="0"/>
    <x v="1"/>
    <x v="370"/>
    <x v="0"/>
    <n v="1"/>
    <n v="286"/>
    <x v="0"/>
    <x v="1"/>
    <n v="4.9019607843137254E-3"/>
    <x v="6"/>
    <x v="1"/>
    <s v="OK"/>
    <x v="0"/>
    <s v="OK"/>
    <x v="0"/>
    <x v="0"/>
    <n v="1"/>
    <n v="0"/>
    <n v="0"/>
    <n v="0"/>
    <x v="0"/>
    <x v="0"/>
    <x v="0"/>
  </r>
  <r>
    <s v="20600373863"/>
    <x v="25"/>
    <x v="24"/>
    <x v="824"/>
    <x v="827"/>
    <x v="754"/>
    <n v="3"/>
    <x v="163"/>
    <s v="ESTACION 06 L4"/>
    <s v="ASOC CANTA GALLO MZ C LOT 30 "/>
    <x v="13"/>
    <x v="0"/>
    <x v="0"/>
    <x v="1"/>
    <x v="371"/>
    <x v="0"/>
    <n v="1"/>
    <n v="286"/>
    <x v="0"/>
    <x v="1"/>
    <n v="4.9019607843137254E-3"/>
    <x v="7"/>
    <x v="1"/>
    <s v="OK"/>
    <x v="0"/>
    <s v="OK"/>
    <x v="0"/>
    <x v="0"/>
    <n v="1"/>
    <n v="0"/>
    <n v="0"/>
    <n v="0"/>
    <x v="0"/>
    <x v="0"/>
    <x v="0"/>
  </r>
  <r>
    <s v="20600373863"/>
    <x v="25"/>
    <x v="24"/>
    <x v="825"/>
    <x v="828"/>
    <x v="291"/>
    <n v="3"/>
    <x v="158"/>
    <s v="ESTACION 06 L4"/>
    <s v="JR. LUIS DE LA CUBA 133 CHORRILLOS "/>
    <x v="10"/>
    <x v="0"/>
    <x v="0"/>
    <x v="1"/>
    <x v="372"/>
    <x v="0"/>
    <n v="1"/>
    <n v="286"/>
    <x v="0"/>
    <x v="1"/>
    <n v="4.9019607843137254E-3"/>
    <x v="7"/>
    <x v="1"/>
    <s v="OK"/>
    <x v="0"/>
    <s v="OK"/>
    <x v="0"/>
    <x v="0"/>
    <n v="1"/>
    <n v="0"/>
    <n v="0"/>
    <n v="0"/>
    <x v="0"/>
    <x v="0"/>
    <x v="0"/>
  </r>
  <r>
    <s v="20600373863"/>
    <x v="25"/>
    <x v="24"/>
    <x v="826"/>
    <x v="829"/>
    <x v="755"/>
    <n v="3"/>
    <x v="164"/>
    <s v="ESTACION 06 L4"/>
    <s v="CALLE BOREAL MZ. G. LT. 21 ASOC. SAN ROQUE"/>
    <x v="87"/>
    <x v="0"/>
    <x v="0"/>
    <x v="1"/>
    <x v="373"/>
    <x v="0"/>
    <n v="1"/>
    <n v="286"/>
    <x v="0"/>
    <x v="1"/>
    <n v="4.9019607843137254E-3"/>
    <x v="7"/>
    <x v="1"/>
    <s v="OK"/>
    <x v="0"/>
    <s v="OK"/>
    <x v="0"/>
    <x v="0"/>
    <n v="1"/>
    <n v="0"/>
    <n v="0"/>
    <n v="0"/>
    <x v="0"/>
    <x v="0"/>
    <x v="0"/>
  </r>
  <r>
    <s v="20600373863"/>
    <x v="25"/>
    <x v="24"/>
    <x v="827"/>
    <x v="830"/>
    <x v="756"/>
    <n v="1"/>
    <x v="165"/>
    <s v="ESTACION 06 L4"/>
    <s v="JOSE CARLOS MARIATEGUI MZ A LOTE 15 "/>
    <x v="49"/>
    <x v="0"/>
    <x v="0"/>
    <x v="1"/>
    <x v="374"/>
    <x v="0"/>
    <n v="1"/>
    <n v="286"/>
    <x v="0"/>
    <x v="1"/>
    <n v="4.9019607843137254E-3"/>
    <x v="6"/>
    <x v="1"/>
    <s v="OK"/>
    <x v="0"/>
    <s v="OK"/>
    <x v="0"/>
    <x v="0"/>
    <n v="1"/>
    <n v="0"/>
    <n v="0"/>
    <n v="0"/>
    <x v="0"/>
    <x v="0"/>
    <x v="0"/>
  </r>
  <r>
    <s v="20600373863"/>
    <x v="25"/>
    <x v="24"/>
    <x v="828"/>
    <x v="831"/>
    <x v="757"/>
    <n v="3"/>
    <x v="163"/>
    <s v="ESTACION 06 L4"/>
    <s v="AV. PETTIT THOUARS 1306"/>
    <x v="155"/>
    <x v="0"/>
    <x v="0"/>
    <x v="5"/>
    <x v="375"/>
    <x v="0"/>
    <n v="1"/>
    <n v="286"/>
    <x v="0"/>
    <x v="1"/>
    <n v="4.9019607843137254E-3"/>
    <x v="9"/>
    <x v="1"/>
    <s v="OK"/>
    <x v="0"/>
    <s v="OK"/>
    <x v="0"/>
    <x v="0"/>
    <n v="1"/>
    <n v="0"/>
    <n v="0"/>
    <n v="0"/>
    <x v="0"/>
    <x v="0"/>
    <x v="0"/>
  </r>
  <r>
    <s v="20600373863"/>
    <x v="25"/>
    <x v="24"/>
    <x v="829"/>
    <x v="832"/>
    <x v="758"/>
    <n v="1"/>
    <x v="165"/>
    <s v="ESTACION 05 L4"/>
    <s v="JR CHAMOCHUMBI 343"/>
    <x v="46"/>
    <x v="0"/>
    <x v="0"/>
    <x v="1"/>
    <x v="376"/>
    <x v="0"/>
    <n v="1"/>
    <n v="286"/>
    <x v="0"/>
    <x v="1"/>
    <n v="4.9019607843137254E-3"/>
    <x v="8"/>
    <x v="1"/>
    <s v="OK"/>
    <x v="7"/>
    <s v="OK"/>
    <x v="0"/>
    <x v="0"/>
    <n v="1"/>
    <n v="1"/>
    <n v="0"/>
    <n v="0"/>
    <x v="0"/>
    <x v="0"/>
    <x v="0"/>
  </r>
  <r>
    <s v="20600373863"/>
    <x v="25"/>
    <x v="24"/>
    <x v="830"/>
    <x v="833"/>
    <x v="268"/>
    <n v="1"/>
    <x v="166"/>
    <s v="ESTACION 05 L4"/>
    <s v="JR APURIMAC 618"/>
    <x v="166"/>
    <x v="0"/>
    <x v="0"/>
    <x v="1"/>
    <x v="377"/>
    <x v="0"/>
    <n v="1"/>
    <n v="286"/>
    <x v="0"/>
    <x v="1"/>
    <n v="4.9019607843137254E-3"/>
    <x v="9"/>
    <x v="1"/>
    <s v="OK"/>
    <x v="0"/>
    <s v="OK"/>
    <x v="0"/>
    <x v="0"/>
    <n v="1"/>
    <n v="0"/>
    <n v="0"/>
    <n v="0"/>
    <x v="0"/>
    <x v="0"/>
    <x v="0"/>
  </r>
  <r>
    <s v="20600373863"/>
    <x v="25"/>
    <x v="24"/>
    <x v="831"/>
    <x v="834"/>
    <x v="759"/>
    <n v="1"/>
    <x v="167"/>
    <s v="ESTACION 06 L4"/>
    <s v="CALLE ANTARES 320"/>
    <x v="77"/>
    <x v="0"/>
    <x v="0"/>
    <x v="5"/>
    <x v="378"/>
    <x v="0"/>
    <n v="1"/>
    <n v="286"/>
    <x v="0"/>
    <x v="1"/>
    <n v="4.9019607843137254E-3"/>
    <x v="9"/>
    <x v="1"/>
    <s v="OK"/>
    <x v="0"/>
    <s v="OK"/>
    <x v="0"/>
    <x v="0"/>
    <n v="1"/>
    <n v="0"/>
    <n v="0"/>
    <n v="0"/>
    <x v="0"/>
    <x v="0"/>
    <x v="0"/>
  </r>
  <r>
    <s v="20600373863"/>
    <x v="25"/>
    <x v="24"/>
    <x v="832"/>
    <x v="835"/>
    <x v="760"/>
    <n v="1"/>
    <x v="168"/>
    <s v="ESTACION 05 L4"/>
    <s v="CALLE LA FRONTERA ASENT H BELLA LUZ  MZ P LT 16"/>
    <x v="167"/>
    <x v="1"/>
    <x v="0"/>
    <x v="1"/>
    <x v="379"/>
    <x v="0"/>
    <n v="1"/>
    <n v="286"/>
    <x v="0"/>
    <x v="1"/>
    <n v="4.9019607843137254E-3"/>
    <x v="7"/>
    <x v="1"/>
    <s v="OK"/>
    <x v="0"/>
    <s v="OK"/>
    <x v="0"/>
    <x v="0"/>
    <n v="1"/>
    <n v="0"/>
    <n v="0"/>
    <n v="0"/>
    <x v="0"/>
    <x v="0"/>
    <x v="0"/>
  </r>
  <r>
    <s v="20600373863"/>
    <x v="25"/>
    <x v="24"/>
    <x v="833"/>
    <x v="836"/>
    <x v="761"/>
    <n v="1"/>
    <x v="169"/>
    <s v="ESTACION 05 L4"/>
    <s v="JR LOS QUIMICOS  MZ D5 LOT 13"/>
    <x v="165"/>
    <x v="0"/>
    <x v="27"/>
    <x v="1"/>
    <x v="266"/>
    <x v="2"/>
    <n v="1"/>
    <n v="33"/>
    <x v="0"/>
    <x v="1"/>
    <n v="4.9019607843137254E-3"/>
    <x v="8"/>
    <x v="1"/>
    <s v="OK"/>
    <x v="0"/>
    <s v="OK"/>
    <x v="0"/>
    <x v="0"/>
    <n v="1"/>
    <n v="0"/>
    <n v="0"/>
    <n v="1"/>
    <x v="0"/>
    <x v="1"/>
    <x v="0"/>
  </r>
  <r>
    <s v="20600373863"/>
    <x v="25"/>
    <x v="24"/>
    <x v="834"/>
    <x v="837"/>
    <x v="762"/>
    <n v="1"/>
    <x v="170"/>
    <s v="ESTACION 05 L4"/>
    <s v="JR EL BUEN RETIRO 219 DT 301 URB MONTERRICO CHICO"/>
    <x v="14"/>
    <x v="0"/>
    <x v="11"/>
    <x v="1"/>
    <x v="380"/>
    <x v="2"/>
    <n v="1"/>
    <n v="187"/>
    <x v="0"/>
    <x v="1"/>
    <n v="4.9019607843137254E-3"/>
    <x v="6"/>
    <x v="1"/>
    <s v="OK"/>
    <x v="0"/>
    <s v="OK"/>
    <x v="0"/>
    <x v="0"/>
    <n v="1"/>
    <n v="0"/>
    <n v="0"/>
    <n v="1"/>
    <x v="0"/>
    <x v="1"/>
    <x v="0"/>
  </r>
  <r>
    <s v="20600373863"/>
    <x v="25"/>
    <x v="24"/>
    <x v="835"/>
    <x v="838"/>
    <x v="763"/>
    <n v="1"/>
    <x v="171"/>
    <s v="ESTACION 05 L4"/>
    <s v="JR.AMALIA PUGA 699 URB.VILLACAMPA -RIMAC-LIMA"/>
    <x v="13"/>
    <x v="0"/>
    <x v="0"/>
    <x v="1"/>
    <x v="381"/>
    <x v="0"/>
    <n v="1"/>
    <n v="286"/>
    <x v="0"/>
    <x v="1"/>
    <n v="4.9019607843137254E-3"/>
    <x v="10"/>
    <x v="1"/>
    <s v="OK"/>
    <x v="0"/>
    <s v="OK"/>
    <x v="0"/>
    <x v="0"/>
    <n v="1"/>
    <n v="0"/>
    <n v="0"/>
    <n v="0"/>
    <x v="0"/>
    <x v="0"/>
    <x v="0"/>
  </r>
  <r>
    <s v="20600373863"/>
    <x v="25"/>
    <x v="24"/>
    <x v="836"/>
    <x v="839"/>
    <x v="764"/>
    <n v="1"/>
    <x v="165"/>
    <s v="ESTACION 05 L4"/>
    <s v="CALLE LAS HORTENCIAS S/N URB.STO TOMAS-CHANCHAMAYO-JUNIN"/>
    <x v="168"/>
    <x v="0"/>
    <x v="0"/>
    <x v="1"/>
    <x v="382"/>
    <x v="3"/>
    <n v="1"/>
    <n v="286"/>
    <x v="0"/>
    <x v="1"/>
    <n v="4.9019607843137254E-3"/>
    <x v="8"/>
    <x v="1"/>
    <s v="OK"/>
    <x v="0"/>
    <s v="OK"/>
    <x v="0"/>
    <x v="0"/>
    <n v="1"/>
    <n v="0"/>
    <n v="0"/>
    <n v="0"/>
    <x v="0"/>
    <x v="0"/>
    <x v="0"/>
  </r>
  <r>
    <s v="20600373863"/>
    <x v="25"/>
    <x v="24"/>
    <x v="837"/>
    <x v="840"/>
    <x v="765"/>
    <n v="3"/>
    <x v="172"/>
    <s v="ESTACION 05 L4"/>
    <s v="CL 25 DE ABRIL 123 AH VIRGEN DE LOURDES"/>
    <x v="167"/>
    <x v="0"/>
    <x v="0"/>
    <x v="1"/>
    <x v="383"/>
    <x v="3"/>
    <n v="1"/>
    <n v="286"/>
    <x v="0"/>
    <x v="1"/>
    <n v="4.9019607843137254E-3"/>
    <x v="11"/>
    <x v="1"/>
    <s v="OK"/>
    <x v="0"/>
    <s v="OK"/>
    <x v="0"/>
    <x v="0"/>
    <n v="1"/>
    <n v="0"/>
    <n v="0"/>
    <n v="0"/>
    <x v="0"/>
    <x v="0"/>
    <x v="0"/>
  </r>
  <r>
    <s v="20600373863"/>
    <x v="25"/>
    <x v="24"/>
    <x v="838"/>
    <x v="841"/>
    <x v="766"/>
    <n v="1"/>
    <x v="167"/>
    <s v="ESTACION 05 L4"/>
    <s v="CALLE BERNARDO ALCEDO 338 URB. LOS PROCERES "/>
    <x v="14"/>
    <x v="1"/>
    <x v="0"/>
    <x v="1"/>
    <x v="384"/>
    <x v="3"/>
    <n v="1"/>
    <n v="286"/>
    <x v="0"/>
    <x v="1"/>
    <n v="4.9019607843137254E-3"/>
    <x v="6"/>
    <x v="1"/>
    <s v="OK"/>
    <x v="0"/>
    <s v="OK"/>
    <x v="0"/>
    <x v="0"/>
    <n v="1"/>
    <n v="0"/>
    <n v="0"/>
    <n v="0"/>
    <x v="0"/>
    <x v="0"/>
    <x v="0"/>
  </r>
  <r>
    <s v="20600373863"/>
    <x v="25"/>
    <x v="24"/>
    <x v="839"/>
    <x v="842"/>
    <x v="767"/>
    <n v="3"/>
    <x v="173"/>
    <s v="ESTACION 06 L4"/>
    <s v="AV. LOS PINOS ASENT. H. JOSE OLAYA BALANDRA MZ. F LT. 07"/>
    <x v="169"/>
    <x v="0"/>
    <x v="0"/>
    <x v="1"/>
    <x v="60"/>
    <x v="0"/>
    <n v="1"/>
    <n v="286"/>
    <x v="0"/>
    <x v="1"/>
    <n v="4.9019607843137254E-3"/>
    <x v="11"/>
    <x v="1"/>
    <s v="OK"/>
    <x v="2"/>
    <s v="OK"/>
    <x v="0"/>
    <x v="0"/>
    <n v="1"/>
    <n v="1"/>
    <n v="0"/>
    <n v="0"/>
    <x v="0"/>
    <x v="0"/>
    <x v="0"/>
  </r>
  <r>
    <s v="20600373863"/>
    <x v="25"/>
    <x v="24"/>
    <x v="840"/>
    <x v="843"/>
    <x v="341"/>
    <n v="3"/>
    <x v="6"/>
    <s v="ESTACION 06 L4"/>
    <s v="AV. ALMIRANTE GRAU (BUENOS AIRES) 146"/>
    <x v="6"/>
    <x v="1"/>
    <x v="0"/>
    <x v="1"/>
    <x v="164"/>
    <x v="0"/>
    <n v="1"/>
    <n v="286"/>
    <x v="0"/>
    <x v="1"/>
    <n v="4.9019607843137254E-3"/>
    <x v="12"/>
    <x v="1"/>
    <s v="OK"/>
    <x v="2"/>
    <s v="OK"/>
    <x v="0"/>
    <x v="0"/>
    <n v="1"/>
    <n v="1"/>
    <n v="0"/>
    <n v="0"/>
    <x v="0"/>
    <x v="0"/>
    <x v="0"/>
  </r>
  <r>
    <s v="20600373863"/>
    <x v="25"/>
    <x v="24"/>
    <x v="841"/>
    <x v="844"/>
    <x v="768"/>
    <n v="2"/>
    <x v="2"/>
    <s v="ESTACION 05 L4"/>
    <s v="ASOC. SANTA BEATRIZ MZ. H LT. 5"/>
    <x v="6"/>
    <x v="0"/>
    <x v="0"/>
    <x v="1"/>
    <x v="385"/>
    <x v="0"/>
    <n v="4"/>
    <n v="286"/>
    <x v="0"/>
    <x v="1"/>
    <n v="4.9019607843137254E-3"/>
    <x v="10"/>
    <x v="1"/>
    <s v="OK"/>
    <x v="2"/>
    <s v="OK"/>
    <x v="0"/>
    <x v="0"/>
    <n v="1"/>
    <n v="1"/>
    <n v="0"/>
    <n v="0"/>
    <x v="0"/>
    <x v="0"/>
    <x v="0"/>
  </r>
  <r>
    <s v="20600373863"/>
    <x v="25"/>
    <x v="24"/>
    <x v="842"/>
    <x v="845"/>
    <x v="769"/>
    <n v="1"/>
    <x v="174"/>
    <s v="ESTACION 05 L4"/>
    <s v="CALLE ANTARES 320"/>
    <x v="77"/>
    <x v="0"/>
    <x v="13"/>
    <x v="5"/>
    <x v="386"/>
    <x v="2"/>
    <n v="1"/>
    <n v="88"/>
    <x v="0"/>
    <x v="1"/>
    <n v="4.9019607843137254E-3"/>
    <x v="9"/>
    <x v="1"/>
    <s v="OK"/>
    <x v="0"/>
    <s v="OK"/>
    <x v="0"/>
    <x v="0"/>
    <n v="1"/>
    <n v="0"/>
    <n v="0"/>
    <n v="1"/>
    <x v="0"/>
    <x v="1"/>
    <x v="0"/>
  </r>
  <r>
    <s v="20600373863"/>
    <x v="25"/>
    <x v="24"/>
    <x v="843"/>
    <x v="846"/>
    <x v="770"/>
    <n v="1"/>
    <x v="165"/>
    <s v="ESTACION 05 L4"/>
    <s v="PARQUE MZ. J LT. 18 H.U.P LOMAS DEL SUR"/>
    <x v="170"/>
    <x v="1"/>
    <x v="0"/>
    <x v="1"/>
    <x v="319"/>
    <x v="0"/>
    <n v="1"/>
    <n v="286"/>
    <x v="0"/>
    <x v="1"/>
    <n v="4.9019607843137254E-3"/>
    <x v="7"/>
    <x v="1"/>
    <s v="OK"/>
    <x v="0"/>
    <s v="OK"/>
    <x v="0"/>
    <x v="0"/>
    <n v="1"/>
    <n v="0"/>
    <n v="0"/>
    <n v="0"/>
    <x v="0"/>
    <x v="0"/>
    <x v="0"/>
  </r>
  <r>
    <s v="20603966695"/>
    <x v="24"/>
    <x v="24"/>
    <x v="844"/>
    <x v="847"/>
    <x v="771"/>
    <n v="3"/>
    <x v="34"/>
    <s v="ESTACION 05 L4"/>
    <s v="AV. MARIANO IGNACIO PRADO 3166 ETAPA 1 PISO 3 URB. CONDEVILLA SEÑOR"/>
    <x v="3"/>
    <x v="0"/>
    <x v="0"/>
    <x v="1"/>
    <x v="387"/>
    <x v="0"/>
    <n v="1"/>
    <n v="286"/>
    <x v="0"/>
    <x v="0"/>
    <n v="4.9019607843137254E-3"/>
    <x v="13"/>
    <x v="1"/>
    <s v="OK"/>
    <x v="0"/>
    <s v="OK"/>
    <x v="0"/>
    <x v="0"/>
    <n v="1"/>
    <n v="0"/>
    <n v="0"/>
    <n v="0"/>
    <x v="0"/>
    <x v="0"/>
    <x v="0"/>
  </r>
  <r>
    <s v="20600373863"/>
    <x v="25"/>
    <x v="24"/>
    <x v="845"/>
    <x v="848"/>
    <x v="772"/>
    <n v="1"/>
    <x v="165"/>
    <s v="ESTACION 06 L4"/>
    <s v="CALLE 5 MZ. C LT. 25 URB. SANTO DOMINGO 1RA. ETAPA"/>
    <x v="54"/>
    <x v="0"/>
    <x v="0"/>
    <x v="1"/>
    <x v="316"/>
    <x v="0"/>
    <n v="1"/>
    <n v="286"/>
    <x v="0"/>
    <x v="1"/>
    <n v="4.9019607843137254E-3"/>
    <x v="11"/>
    <x v="1"/>
    <s v="OK"/>
    <x v="0"/>
    <s v="OK"/>
    <x v="0"/>
    <x v="0"/>
    <n v="1"/>
    <n v="0"/>
    <n v="0"/>
    <n v="0"/>
    <x v="0"/>
    <x v="0"/>
    <x v="0"/>
  </r>
  <r>
    <s v="20600373863"/>
    <x v="25"/>
    <x v="24"/>
    <x v="846"/>
    <x v="849"/>
    <x v="773"/>
    <n v="3"/>
    <x v="164"/>
    <s v="ESTACION 06 L4"/>
    <s v="UPIS SAN CRISTOBAL MZ. A LT. 21"/>
    <x v="78"/>
    <x v="0"/>
    <x v="0"/>
    <x v="1"/>
    <x v="362"/>
    <x v="0"/>
    <n v="1"/>
    <n v="286"/>
    <x v="0"/>
    <x v="1"/>
    <n v="4.9019607843137254E-3"/>
    <x v="8"/>
    <x v="1"/>
    <s v="OK"/>
    <x v="6"/>
    <s v="OK"/>
    <x v="0"/>
    <x v="0"/>
    <n v="1"/>
    <n v="1"/>
    <n v="0"/>
    <n v="0"/>
    <x v="0"/>
    <x v="0"/>
    <x v="0"/>
  </r>
  <r>
    <s v="20600373863"/>
    <x v="25"/>
    <x v="24"/>
    <x v="847"/>
    <x v="850"/>
    <x v="774"/>
    <n v="1"/>
    <x v="23"/>
    <s v="ESTACION 05 L4"/>
    <s v="AV. VENEZUELA 642 DPTO. 505 TORRE 1"/>
    <x v="5"/>
    <x v="0"/>
    <x v="0"/>
    <x v="1"/>
    <x v="388"/>
    <x v="0"/>
    <n v="1"/>
    <n v="286"/>
    <x v="0"/>
    <x v="1"/>
    <n v="4.9019607843137254E-3"/>
    <x v="13"/>
    <x v="1"/>
    <s v="OK"/>
    <x v="3"/>
    <s v="OK"/>
    <x v="0"/>
    <x v="0"/>
    <n v="1"/>
    <n v="1"/>
    <n v="0"/>
    <n v="0"/>
    <x v="0"/>
    <x v="0"/>
    <x v="0"/>
  </r>
  <r>
    <s v="20600373863"/>
    <x v="25"/>
    <x v="24"/>
    <x v="848"/>
    <x v="851"/>
    <x v="775"/>
    <n v="3"/>
    <x v="175"/>
    <s v="ESTACION 05 L4"/>
    <s v="CALLE ENRIQUE LOPEZ ALBUJAR COOP. HUERTA SANTA ROSA MZ. A LT.26"/>
    <x v="10"/>
    <x v="0"/>
    <x v="0"/>
    <x v="1"/>
    <x v="361"/>
    <x v="0"/>
    <n v="1"/>
    <n v="286"/>
    <x v="0"/>
    <x v="1"/>
    <n v="4.9019607843137254E-3"/>
    <x v="8"/>
    <x v="1"/>
    <s v="OK"/>
    <x v="0"/>
    <s v="OK"/>
    <x v="0"/>
    <x v="0"/>
    <n v="1"/>
    <n v="0"/>
    <n v="0"/>
    <n v="0"/>
    <x v="0"/>
    <x v="0"/>
    <x v="0"/>
  </r>
  <r>
    <s v="20600373863"/>
    <x v="25"/>
    <x v="24"/>
    <x v="849"/>
    <x v="852"/>
    <x v="776"/>
    <n v="1"/>
    <x v="176"/>
    <s v="ESTACION 05 L4"/>
    <s v="CALLE JEAN LOUIS FORAN 137 DPTO. 202"/>
    <x v="144"/>
    <x v="1"/>
    <x v="11"/>
    <x v="1"/>
    <x v="57"/>
    <x v="2"/>
    <n v="1"/>
    <n v="187"/>
    <x v="0"/>
    <x v="1"/>
    <n v="4.9019607843137254E-3"/>
    <x v="6"/>
    <x v="1"/>
    <s v="OK"/>
    <x v="0"/>
    <s v="OK"/>
    <x v="0"/>
    <x v="0"/>
    <n v="1"/>
    <n v="0"/>
    <n v="0"/>
    <n v="1"/>
    <x v="0"/>
    <x v="1"/>
    <x v="0"/>
  </r>
  <r>
    <s v="20600373863"/>
    <x v="25"/>
    <x v="24"/>
    <x v="850"/>
    <x v="853"/>
    <x v="777"/>
    <n v="3"/>
    <x v="173"/>
    <s v="ESTACION 05 L4"/>
    <s v="57 MZ K14 1B SECTOR LOS JARDINES CP RURAL HUERTOS DE MANCHAY"/>
    <x v="58"/>
    <x v="0"/>
    <x v="0"/>
    <x v="1"/>
    <x v="57"/>
    <x v="0"/>
    <n v="1"/>
    <n v="286"/>
    <x v="0"/>
    <x v="1"/>
    <n v="4.9019607843137254E-3"/>
    <x v="9"/>
    <x v="1"/>
    <s v="OK"/>
    <x v="0"/>
    <s v="OK"/>
    <x v="0"/>
    <x v="0"/>
    <n v="1"/>
    <n v="0"/>
    <n v="0"/>
    <n v="0"/>
    <x v="0"/>
    <x v="0"/>
    <x v="0"/>
  </r>
  <r>
    <s v="20603966695"/>
    <x v="24"/>
    <x v="24"/>
    <x v="851"/>
    <x v="854"/>
    <x v="778"/>
    <n v="3"/>
    <x v="34"/>
    <s v="ESTACION 05 L4"/>
    <s v="BLOCK H1 DPTO. 102 BCO DE MEDIDORES 1 "/>
    <x v="2"/>
    <x v="0"/>
    <x v="0"/>
    <x v="1"/>
    <x v="6"/>
    <x v="0"/>
    <n v="1"/>
    <n v="286"/>
    <x v="0"/>
    <x v="0"/>
    <n v="4.9019607843137254E-3"/>
    <x v="13"/>
    <x v="1"/>
    <s v="OK"/>
    <x v="2"/>
    <s v="OK"/>
    <x v="0"/>
    <x v="0"/>
    <n v="1"/>
    <n v="1"/>
    <n v="0"/>
    <n v="0"/>
    <x v="0"/>
    <x v="0"/>
    <x v="0"/>
  </r>
  <r>
    <s v="20600373863"/>
    <x v="25"/>
    <x v="24"/>
    <x v="852"/>
    <x v="855"/>
    <x v="779"/>
    <n v="3"/>
    <x v="177"/>
    <s v="ESTACION 06 L4"/>
    <s v="URB.PACHACAMAC BARRIO 4 SECTOR II MZ B LOTE 2"/>
    <x v="19"/>
    <x v="0"/>
    <x v="13"/>
    <x v="1"/>
    <x v="305"/>
    <x v="2"/>
    <n v="1"/>
    <n v="88"/>
    <x v="0"/>
    <x v="1"/>
    <n v="4.9019607843137254E-3"/>
    <x v="11"/>
    <x v="1"/>
    <s v="OK"/>
    <x v="0"/>
    <s v="OK"/>
    <x v="0"/>
    <x v="0"/>
    <n v="1"/>
    <n v="0"/>
    <n v="0"/>
    <n v="1"/>
    <x v="0"/>
    <x v="1"/>
    <x v="0"/>
  </r>
  <r>
    <s v="20600373863"/>
    <x v="25"/>
    <x v="24"/>
    <x v="853"/>
    <x v="856"/>
    <x v="780"/>
    <n v="2"/>
    <x v="2"/>
    <s v="ESTACION 03 L4"/>
    <s v="JR.CONSTITUCION 714 INT 4 - CALLAO"/>
    <x v="6"/>
    <x v="0"/>
    <x v="1"/>
    <x v="1"/>
    <x v="389"/>
    <x v="2"/>
    <n v="4"/>
    <n v="88"/>
    <x v="0"/>
    <x v="1"/>
    <n v="4.9019607843137254E-3"/>
    <x v="6"/>
    <x v="1"/>
    <s v="OK"/>
    <x v="2"/>
    <s v="OK"/>
    <x v="0"/>
    <x v="0"/>
    <n v="1"/>
    <n v="1"/>
    <n v="0"/>
    <n v="1"/>
    <x v="0"/>
    <x v="1"/>
    <x v="0"/>
  </r>
  <r>
    <s v="20600373863"/>
    <x v="25"/>
    <x v="24"/>
    <x v="854"/>
    <x v="857"/>
    <x v="781"/>
    <n v="3"/>
    <x v="178"/>
    <s v="ESTACION 03 L4"/>
    <s v="CALLE LA ESPERANZA URN CIUDAD EL PESCADOR MZ U 2 LOTE 7"/>
    <x v="17"/>
    <x v="0"/>
    <x v="0"/>
    <x v="1"/>
    <x v="390"/>
    <x v="0"/>
    <n v="1"/>
    <n v="286"/>
    <x v="0"/>
    <x v="1"/>
    <n v="4.9019607843137254E-3"/>
    <x v="8"/>
    <x v="1"/>
    <s v="OK"/>
    <x v="2"/>
    <s v="OK"/>
    <x v="0"/>
    <x v="0"/>
    <n v="1"/>
    <n v="1"/>
    <n v="0"/>
    <n v="0"/>
    <x v="0"/>
    <x v="0"/>
    <x v="0"/>
  </r>
  <r>
    <s v="20600373863"/>
    <x v="25"/>
    <x v="24"/>
    <x v="855"/>
    <x v="858"/>
    <x v="782"/>
    <n v="3"/>
    <x v="178"/>
    <s v="ESTACION 03 L4"/>
    <s v="CIUDAD DEL PESCADOR MZ O 1"/>
    <x v="17"/>
    <x v="0"/>
    <x v="0"/>
    <x v="1"/>
    <x v="390"/>
    <x v="0"/>
    <n v="1"/>
    <n v="286"/>
    <x v="0"/>
    <x v="1"/>
    <n v="4.9019607843137254E-3"/>
    <x v="13"/>
    <x v="1"/>
    <s v="OK"/>
    <x v="2"/>
    <s v="OK"/>
    <x v="0"/>
    <x v="0"/>
    <n v="1"/>
    <n v="1"/>
    <n v="0"/>
    <n v="0"/>
    <x v="0"/>
    <x v="0"/>
    <x v="0"/>
  </r>
  <r>
    <s v="20600373863"/>
    <x v="25"/>
    <x v="24"/>
    <x v="856"/>
    <x v="859"/>
    <x v="783"/>
    <n v="3"/>
    <x v="173"/>
    <s v="ESTACION 06 L4"/>
    <s v="SECTOR IMPERIAL ASENT. H. PAMPLONA ALTA MZ. D LT. 02"/>
    <x v="53"/>
    <x v="0"/>
    <x v="0"/>
    <x v="1"/>
    <x v="391"/>
    <x v="0"/>
    <n v="1"/>
    <n v="286"/>
    <x v="0"/>
    <x v="1"/>
    <n v="4.9019607843137254E-3"/>
    <x v="6"/>
    <x v="1"/>
    <s v="OK"/>
    <x v="0"/>
    <s v="OK"/>
    <x v="0"/>
    <x v="0"/>
    <n v="1"/>
    <n v="0"/>
    <n v="0"/>
    <n v="0"/>
    <x v="0"/>
    <x v="0"/>
    <x v="0"/>
  </r>
  <r>
    <s v="20600373863"/>
    <x v="25"/>
    <x v="24"/>
    <x v="857"/>
    <x v="860"/>
    <x v="784"/>
    <n v="3"/>
    <x v="163"/>
    <s v="ESTACION 06 L4"/>
    <s v="CALLE LAS ANEMONAS 575 PISO 3 LAS FLORES"/>
    <x v="171"/>
    <x v="0"/>
    <x v="0"/>
    <x v="1"/>
    <x v="392"/>
    <x v="0"/>
    <n v="1"/>
    <n v="286"/>
    <x v="0"/>
    <x v="1"/>
    <n v="4.9019607843137254E-3"/>
    <x v="11"/>
    <x v="1"/>
    <s v="OK"/>
    <x v="0"/>
    <s v="OK"/>
    <x v="0"/>
    <x v="0"/>
    <n v="1"/>
    <n v="0"/>
    <n v="0"/>
    <n v="0"/>
    <x v="0"/>
    <x v="0"/>
    <x v="0"/>
  </r>
  <r>
    <s v="20600373863"/>
    <x v="25"/>
    <x v="24"/>
    <x v="858"/>
    <x v="861"/>
    <x v="785"/>
    <n v="1"/>
    <x v="165"/>
    <s v="ESTACION 03 L4"/>
    <s v="CALLE AREQUIPA 380 DPTO 601"/>
    <x v="172"/>
    <x v="0"/>
    <x v="0"/>
    <x v="1"/>
    <x v="393"/>
    <x v="0"/>
    <n v="1"/>
    <n v="286"/>
    <x v="0"/>
    <x v="1"/>
    <n v="4.9019607843137254E-3"/>
    <x v="13"/>
    <x v="1"/>
    <s v="OK"/>
    <x v="0"/>
    <s v="OK"/>
    <x v="0"/>
    <x v="0"/>
    <n v="1"/>
    <n v="0"/>
    <n v="0"/>
    <n v="0"/>
    <x v="0"/>
    <x v="0"/>
    <x v="0"/>
  </r>
  <r>
    <s v="20600373863"/>
    <x v="25"/>
    <x v="24"/>
    <x v="859"/>
    <x v="862"/>
    <x v="786"/>
    <n v="3"/>
    <x v="178"/>
    <s v="ESTACION 05 L4"/>
    <s v="UPIS PUEBLO LIBRE LOS CLAVELES MZ F LOTE 25"/>
    <x v="7"/>
    <x v="0"/>
    <x v="0"/>
    <x v="1"/>
    <x v="133"/>
    <x v="0"/>
    <n v="1"/>
    <n v="286"/>
    <x v="0"/>
    <x v="1"/>
    <n v="4.9019607843137254E-3"/>
    <x v="11"/>
    <x v="1"/>
    <s v="OK"/>
    <x v="0"/>
    <s v="OK"/>
    <x v="0"/>
    <x v="0"/>
    <n v="1"/>
    <n v="0"/>
    <n v="0"/>
    <n v="0"/>
    <x v="0"/>
    <x v="0"/>
    <x v="0"/>
  </r>
  <r>
    <s v="20600373863"/>
    <x v="25"/>
    <x v="24"/>
    <x v="860"/>
    <x v="863"/>
    <x v="787"/>
    <n v="3"/>
    <x v="178"/>
    <s v="ESTACION 03 L4"/>
    <s v="MZ T1 LT 27 HUASCAYA "/>
    <x v="156"/>
    <x v="0"/>
    <x v="0"/>
    <x v="1"/>
    <x v="308"/>
    <x v="0"/>
    <n v="1"/>
    <n v="286"/>
    <x v="0"/>
    <x v="1"/>
    <n v="4.9019607843137254E-3"/>
    <x v="7"/>
    <x v="1"/>
    <s v="OK"/>
    <x v="0"/>
    <s v="OK"/>
    <x v="0"/>
    <x v="0"/>
    <n v="1"/>
    <n v="0"/>
    <n v="0"/>
    <n v="0"/>
    <x v="0"/>
    <x v="0"/>
    <x v="0"/>
  </r>
  <r>
    <s v="20600373863"/>
    <x v="25"/>
    <x v="24"/>
    <x v="861"/>
    <x v="864"/>
    <x v="788"/>
    <n v="2"/>
    <x v="2"/>
    <s v="ESTACION 02 L4"/>
    <s v="URB.SANTA MARINA SUR BLOCK 18 DPTO 119"/>
    <x v="6"/>
    <x v="0"/>
    <x v="0"/>
    <x v="1"/>
    <x v="394"/>
    <x v="0"/>
    <n v="4"/>
    <n v="286"/>
    <x v="0"/>
    <x v="1"/>
    <n v="4.9019607843137254E-3"/>
    <x v="8"/>
    <x v="1"/>
    <s v="OK"/>
    <x v="2"/>
    <s v="OK"/>
    <x v="0"/>
    <x v="0"/>
    <n v="1"/>
    <n v="1"/>
    <n v="0"/>
    <n v="0"/>
    <x v="0"/>
    <x v="0"/>
    <x v="0"/>
  </r>
  <r>
    <s v="20600373863"/>
    <x v="25"/>
    <x v="24"/>
    <x v="862"/>
    <x v="865"/>
    <x v="789"/>
    <n v="1"/>
    <x v="167"/>
    <s v="ESTACION 06 L4"/>
    <s v="AV PANAMERICANA 369"/>
    <x v="173"/>
    <x v="0"/>
    <x v="0"/>
    <x v="1"/>
    <x v="244"/>
    <x v="0"/>
    <n v="1"/>
    <n v="286"/>
    <x v="0"/>
    <x v="1"/>
    <n v="4.9019607843137254E-3"/>
    <x v="9"/>
    <x v="1"/>
    <s v="OK"/>
    <x v="0"/>
    <s v="OK"/>
    <x v="0"/>
    <x v="0"/>
    <n v="1"/>
    <n v="0"/>
    <n v="0"/>
    <n v="0"/>
    <x v="0"/>
    <x v="0"/>
    <x v="0"/>
  </r>
  <r>
    <s v="20600373863"/>
    <x v="25"/>
    <x v="24"/>
    <x v="863"/>
    <x v="866"/>
    <x v="790"/>
    <n v="1"/>
    <x v="23"/>
    <s v="ESTACION 05 L4"/>
    <s v="CALLE JOAQUIN CAPELLA 772 URB INGENIERIA"/>
    <x v="3"/>
    <x v="0"/>
    <x v="0"/>
    <x v="1"/>
    <x v="244"/>
    <x v="0"/>
    <n v="1"/>
    <n v="286"/>
    <x v="0"/>
    <x v="1"/>
    <n v="4.9019607843137254E-3"/>
    <x v="8"/>
    <x v="1"/>
    <s v="OK"/>
    <x v="0"/>
    <s v="OK"/>
    <x v="0"/>
    <x v="0"/>
    <n v="1"/>
    <n v="0"/>
    <n v="0"/>
    <n v="0"/>
    <x v="0"/>
    <x v="0"/>
    <x v="0"/>
  </r>
  <r>
    <s v="20600373863"/>
    <x v="25"/>
    <x v="24"/>
    <x v="864"/>
    <x v="867"/>
    <x v="333"/>
    <n v="2"/>
    <x v="178"/>
    <s v="ESTACION 03 L4"/>
    <s v="ASENT.H LOS 4 SUYOS II SECTOR PEC PACHACUTEC MZ E LT 9"/>
    <x v="2"/>
    <x v="0"/>
    <x v="0"/>
    <x v="1"/>
    <x v="143"/>
    <x v="0"/>
    <n v="4"/>
    <n v="286"/>
    <x v="0"/>
    <x v="1"/>
    <n v="4.9019607843137254E-3"/>
    <x v="10"/>
    <x v="1"/>
    <s v="OK"/>
    <x v="2"/>
    <s v="OK"/>
    <x v="0"/>
    <x v="0"/>
    <n v="1"/>
    <n v="1"/>
    <n v="0"/>
    <n v="0"/>
    <x v="0"/>
    <x v="0"/>
    <x v="0"/>
  </r>
  <r>
    <s v="20600373863"/>
    <x v="25"/>
    <x v="24"/>
    <x v="865"/>
    <x v="868"/>
    <x v="492"/>
    <n v="1"/>
    <x v="165"/>
    <s v="ESTACION 05 L4"/>
    <s v="CALLE RUY DIAZ 329 DPTO 401 URB. LA COLONIAL"/>
    <x v="6"/>
    <x v="0"/>
    <x v="0"/>
    <x v="1"/>
    <x v="199"/>
    <x v="0"/>
    <n v="1"/>
    <n v="286"/>
    <x v="0"/>
    <x v="1"/>
    <n v="4.9019607843137254E-3"/>
    <x v="9"/>
    <x v="1"/>
    <s v="OK"/>
    <x v="2"/>
    <s v="OK"/>
    <x v="0"/>
    <x v="0"/>
    <n v="1"/>
    <n v="1"/>
    <n v="0"/>
    <n v="0"/>
    <x v="0"/>
    <x v="0"/>
    <x v="0"/>
  </r>
  <r>
    <s v="20600373863"/>
    <x v="25"/>
    <x v="24"/>
    <x v="866"/>
    <x v="869"/>
    <x v="791"/>
    <n v="1"/>
    <x v="52"/>
    <s v="ESTACION 05 L4"/>
    <s v="SAN CAMILO MZ. B2 LT. 01"/>
    <x v="174"/>
    <x v="1"/>
    <x v="0"/>
    <x v="1"/>
    <x v="395"/>
    <x v="0"/>
    <n v="1"/>
    <n v="286"/>
    <x v="0"/>
    <x v="1"/>
    <n v="4.9019607843137254E-3"/>
    <x v="8"/>
    <x v="1"/>
    <s v="OK"/>
    <x v="0"/>
    <s v="OK"/>
    <x v="0"/>
    <x v="0"/>
    <n v="1"/>
    <n v="0"/>
    <n v="0"/>
    <n v="0"/>
    <x v="0"/>
    <x v="0"/>
    <x v="0"/>
  </r>
  <r>
    <s v="20600373863"/>
    <x v="25"/>
    <x v="24"/>
    <x v="867"/>
    <x v="870"/>
    <x v="792"/>
    <n v="1"/>
    <x v="23"/>
    <s v="ESTACION 06 L4"/>
    <s v="CALLE 13 DE DICIEMBRE ASENT H CESAR VALLEJO MZ H LT 23"/>
    <x v="175"/>
    <x v="0"/>
    <x v="0"/>
    <x v="1"/>
    <x v="107"/>
    <x v="0"/>
    <n v="1"/>
    <n v="286"/>
    <x v="0"/>
    <x v="1"/>
    <n v="4.9019607843137254E-3"/>
    <x v="6"/>
    <x v="1"/>
    <s v="OK"/>
    <x v="0"/>
    <s v="OK"/>
    <x v="0"/>
    <x v="0"/>
    <n v="1"/>
    <n v="0"/>
    <n v="0"/>
    <n v="0"/>
    <x v="0"/>
    <x v="0"/>
    <x v="0"/>
  </r>
  <r>
    <s v="20600373863"/>
    <x v="25"/>
    <x v="24"/>
    <x v="868"/>
    <x v="871"/>
    <x v="793"/>
    <n v="1"/>
    <x v="23"/>
    <s v="ESTACION 05 L4"/>
    <s v="CALLE LA FLORIDA ASENT H 200 MILLAS MZ C LT 8"/>
    <x v="6"/>
    <x v="0"/>
    <x v="0"/>
    <x v="1"/>
    <x v="184"/>
    <x v="0"/>
    <n v="1"/>
    <n v="286"/>
    <x v="0"/>
    <x v="1"/>
    <n v="4.9019607843137254E-3"/>
    <x v="7"/>
    <x v="1"/>
    <s v="OK"/>
    <x v="2"/>
    <s v="OK"/>
    <x v="0"/>
    <x v="0"/>
    <n v="1"/>
    <n v="1"/>
    <n v="0"/>
    <n v="0"/>
    <x v="0"/>
    <x v="0"/>
    <x v="0"/>
  </r>
  <r>
    <s v="20600373863"/>
    <x v="25"/>
    <x v="24"/>
    <x v="869"/>
    <x v="872"/>
    <x v="794"/>
    <n v="3"/>
    <x v="179"/>
    <s v="ESTACION 05 L4"/>
    <s v="ASENT H LOS ALAMOS SAN JUAN DE LURIG MZ G LT 02"/>
    <x v="15"/>
    <x v="0"/>
    <x v="0"/>
    <x v="1"/>
    <x v="184"/>
    <x v="0"/>
    <n v="1"/>
    <n v="286"/>
    <x v="0"/>
    <x v="1"/>
    <n v="4.9019607843137254E-3"/>
    <x v="10"/>
    <x v="1"/>
    <s v="OK"/>
    <x v="0"/>
    <s v="OK"/>
    <x v="0"/>
    <x v="0"/>
    <n v="1"/>
    <n v="0"/>
    <n v="0"/>
    <n v="0"/>
    <x v="0"/>
    <x v="0"/>
    <x v="0"/>
  </r>
  <r>
    <s v="20600373863"/>
    <x v="25"/>
    <x v="24"/>
    <x v="870"/>
    <x v="873"/>
    <x v="795"/>
    <n v="3"/>
    <x v="179"/>
    <s v="ESTACION 06 L4"/>
    <s v="URB VALLE HERMOSO MZ C LT 24"/>
    <x v="3"/>
    <x v="0"/>
    <x v="0"/>
    <x v="1"/>
    <x v="184"/>
    <x v="0"/>
    <n v="1"/>
    <n v="286"/>
    <x v="0"/>
    <x v="1"/>
    <n v="4.9019607843137254E-3"/>
    <x v="11"/>
    <x v="1"/>
    <s v="OK"/>
    <x v="0"/>
    <s v="OK"/>
    <x v="0"/>
    <x v="0"/>
    <n v="1"/>
    <n v="0"/>
    <n v="0"/>
    <n v="0"/>
    <x v="0"/>
    <x v="0"/>
    <x v="0"/>
  </r>
  <r>
    <s v="20600373863"/>
    <x v="25"/>
    <x v="24"/>
    <x v="871"/>
    <x v="874"/>
    <x v="284"/>
    <n v="3"/>
    <x v="180"/>
    <s v="ESTACION 05 L4"/>
    <s v="URB BALCON DEL RIMAC MZ A1 LT 20 "/>
    <x v="13"/>
    <x v="0"/>
    <x v="0"/>
    <x v="1"/>
    <x v="396"/>
    <x v="0"/>
    <n v="1"/>
    <n v="286"/>
    <x v="0"/>
    <x v="1"/>
    <n v="4.9019607843137254E-3"/>
    <x v="9"/>
    <x v="1"/>
    <s v="OK"/>
    <x v="0"/>
    <s v="OK"/>
    <x v="0"/>
    <x v="0"/>
    <n v="1"/>
    <n v="0"/>
    <n v="0"/>
    <n v="0"/>
    <x v="0"/>
    <x v="0"/>
    <x v="0"/>
  </r>
  <r>
    <s v="20600373863"/>
    <x v="25"/>
    <x v="24"/>
    <x v="872"/>
    <x v="875"/>
    <x v="796"/>
    <n v="1"/>
    <x v="165"/>
    <s v="ESTACION 06 L4"/>
    <s v="MZ B1 LT 10 ASENT H LOS CEDROS II ETAPA"/>
    <x v="2"/>
    <x v="1"/>
    <x v="0"/>
    <x v="1"/>
    <x v="128"/>
    <x v="0"/>
    <n v="1"/>
    <n v="286"/>
    <x v="0"/>
    <x v="1"/>
    <n v="4.9019607843137254E-3"/>
    <x v="10"/>
    <x v="1"/>
    <s v="OK"/>
    <x v="2"/>
    <s v="OK"/>
    <x v="0"/>
    <x v="0"/>
    <n v="1"/>
    <n v="1"/>
    <n v="0"/>
    <n v="0"/>
    <x v="0"/>
    <x v="0"/>
    <x v="0"/>
  </r>
  <r>
    <s v="20600373863"/>
    <x v="25"/>
    <x v="24"/>
    <x v="873"/>
    <x v="876"/>
    <x v="797"/>
    <n v="1"/>
    <x v="181"/>
    <s v="ESTACION 05 L4"/>
    <s v="AV LA FONTANA 812 URB LA RIVIERA DE MONTERRICO"/>
    <x v="165"/>
    <x v="0"/>
    <x v="0"/>
    <x v="1"/>
    <x v="49"/>
    <x v="0"/>
    <n v="1"/>
    <n v="286"/>
    <x v="0"/>
    <x v="1"/>
    <n v="4.9019607843137254E-3"/>
    <x v="7"/>
    <x v="1"/>
    <s v="OK"/>
    <x v="0"/>
    <s v="OK"/>
    <x v="0"/>
    <x v="0"/>
    <n v="1"/>
    <n v="0"/>
    <n v="0"/>
    <n v="0"/>
    <x v="0"/>
    <x v="0"/>
    <x v="0"/>
  </r>
  <r>
    <s v="20600373863"/>
    <x v="25"/>
    <x v="24"/>
    <x v="874"/>
    <x v="877"/>
    <x v="589"/>
    <n v="2"/>
    <x v="2"/>
    <s v="ESTACION 06 L4"/>
    <s v="LORETO 817 INT 10 "/>
    <x v="6"/>
    <x v="0"/>
    <x v="0"/>
    <x v="1"/>
    <x v="203"/>
    <x v="0"/>
    <n v="4"/>
    <n v="286"/>
    <x v="0"/>
    <x v="1"/>
    <n v="4.9019607843137254E-3"/>
    <x v="6"/>
    <x v="1"/>
    <s v="OK"/>
    <x v="2"/>
    <s v="OK"/>
    <x v="0"/>
    <x v="0"/>
    <n v="1"/>
    <n v="1"/>
    <n v="0"/>
    <n v="0"/>
    <x v="0"/>
    <x v="0"/>
    <x v="0"/>
  </r>
  <r>
    <s v="20600373863"/>
    <x v="25"/>
    <x v="24"/>
    <x v="875"/>
    <x v="878"/>
    <x v="798"/>
    <n v="2"/>
    <x v="2"/>
    <s v="ESTACION 06 L4"/>
    <s v="ASENT H PRIMERO DE JULIO MZ A LT 35 "/>
    <x v="6"/>
    <x v="0"/>
    <x v="0"/>
    <x v="1"/>
    <x v="203"/>
    <x v="0"/>
    <n v="4"/>
    <n v="286"/>
    <x v="0"/>
    <x v="1"/>
    <n v="4.9019607843137254E-3"/>
    <x v="12"/>
    <x v="1"/>
    <s v="OK"/>
    <x v="2"/>
    <s v="OK"/>
    <x v="0"/>
    <x v="0"/>
    <n v="1"/>
    <n v="1"/>
    <n v="0"/>
    <n v="0"/>
    <x v="0"/>
    <x v="0"/>
    <x v="0"/>
  </r>
  <r>
    <s v="20600373863"/>
    <x v="25"/>
    <x v="24"/>
    <x v="876"/>
    <x v="879"/>
    <x v="799"/>
    <n v="2"/>
    <x v="2"/>
    <s v="ESTACION 05 L4"/>
    <s v="PSJ 21 ASENT H BOCANEGRA ZONA 5 MZ G45 LT 22 "/>
    <x v="6"/>
    <x v="0"/>
    <x v="0"/>
    <x v="1"/>
    <x v="98"/>
    <x v="0"/>
    <n v="4"/>
    <n v="286"/>
    <x v="0"/>
    <x v="1"/>
    <n v="4.9019607843137254E-3"/>
    <x v="12"/>
    <x v="1"/>
    <s v="OK"/>
    <x v="2"/>
    <s v="OK"/>
    <x v="0"/>
    <x v="0"/>
    <n v="1"/>
    <n v="1"/>
    <n v="0"/>
    <n v="0"/>
    <x v="0"/>
    <x v="0"/>
    <x v="0"/>
  </r>
  <r>
    <s v="20601214831"/>
    <x v="61"/>
    <x v="24"/>
    <x v="877"/>
    <x v="880"/>
    <x v="313"/>
    <n v="3"/>
    <x v="164"/>
    <s v="ESTACION 06 L4"/>
    <s v="PSJ 19 PJ RAUL P BARRENECHEA MZ 29 E LT 4"/>
    <x v="54"/>
    <x v="0"/>
    <x v="27"/>
    <x v="1"/>
    <x v="105"/>
    <x v="2"/>
    <n v="1"/>
    <n v="33"/>
    <x v="0"/>
    <x v="0"/>
    <n v="4.9019607843137254E-3"/>
    <x v="9"/>
    <x v="1"/>
    <s v="OK"/>
    <x v="0"/>
    <s v="OK"/>
    <x v="0"/>
    <x v="0"/>
    <n v="1"/>
    <n v="0"/>
    <n v="0"/>
    <n v="1"/>
    <x v="0"/>
    <x v="1"/>
    <x v="0"/>
  </r>
  <r>
    <n v="20566343631"/>
    <x v="26"/>
    <x v="25"/>
    <x v="878"/>
    <x v="881"/>
    <x v="800"/>
    <n v="1"/>
    <x v="182"/>
    <s v="Trazo y Replanteo para Instalaciones Electricas Túnel - Etapa 01B"/>
    <s v="Mz. N Lote 9 Hab. Urb. Alamos Canto Grande"/>
    <x v="15"/>
    <x v="0"/>
    <x v="0"/>
    <x v="1"/>
    <x v="147"/>
    <x v="0"/>
    <n v="1"/>
    <n v="184"/>
    <x v="0"/>
    <x v="1"/>
    <n v="5.0251256281407036E-3"/>
    <x v="12"/>
    <x v="1"/>
    <s v="OK"/>
    <x v="0"/>
    <s v="OK"/>
    <x v="0"/>
    <x v="0"/>
    <n v="1"/>
    <n v="0"/>
    <n v="0"/>
    <n v="0"/>
    <x v="0"/>
    <x v="0"/>
    <x v="0"/>
  </r>
  <r>
    <n v="20566343631"/>
    <x v="26"/>
    <x v="25"/>
    <x v="879"/>
    <x v="882"/>
    <x v="350"/>
    <n v="2"/>
    <x v="37"/>
    <s v="Trazo y Replanteo para Instalaciones Electricas Túnel - Etapa 01B"/>
    <s v="Mz. K Lote 10 AA.HH. 25 de Julio"/>
    <x v="34"/>
    <x v="0"/>
    <x v="0"/>
    <x v="1"/>
    <x v="16"/>
    <x v="0"/>
    <n v="4"/>
    <n v="184"/>
    <x v="0"/>
    <x v="1"/>
    <n v="5.0251256281407036E-3"/>
    <x v="10"/>
    <x v="1"/>
    <s v="OK"/>
    <x v="1"/>
    <s v="OK"/>
    <x v="0"/>
    <x v="0"/>
    <n v="1"/>
    <n v="1"/>
    <n v="0"/>
    <n v="0"/>
    <x v="0"/>
    <x v="0"/>
    <x v="0"/>
  </r>
  <r>
    <n v="20611000520"/>
    <x v="27"/>
    <x v="26"/>
    <x v="880"/>
    <x v="883"/>
    <x v="493"/>
    <n v="1"/>
    <x v="88"/>
    <s v="ESTACION -01"/>
    <s v="CALLE LAS MORAS 200 PISO 3 INT. C URB. NARANJAL"/>
    <x v="3"/>
    <x v="0"/>
    <x v="0"/>
    <x v="2"/>
    <x v="115"/>
    <x v="0"/>
    <n v="1"/>
    <n v="111"/>
    <x v="0"/>
    <x v="1"/>
    <n v="0.125"/>
    <x v="11"/>
    <x v="1"/>
    <s v="OK"/>
    <x v="0"/>
    <s v="OK"/>
    <x v="0"/>
    <x v="0"/>
    <n v="1"/>
    <n v="0"/>
    <n v="1"/>
    <n v="0"/>
    <x v="0"/>
    <x v="0"/>
    <x v="1"/>
  </r>
  <r>
    <n v="20611000520"/>
    <x v="27"/>
    <x v="26"/>
    <x v="881"/>
    <x v="884"/>
    <x v="801"/>
    <n v="2"/>
    <x v="38"/>
    <s v="ESTACION -01"/>
    <s v="JR. MZ. D LT. 9 PROYECTOS ESPECIALES 1245 URB. PROYECTOS ESPECIALES ETAPA 1 "/>
    <x v="15"/>
    <x v="0"/>
    <x v="0"/>
    <x v="2"/>
    <x v="115"/>
    <x v="0"/>
    <n v="1"/>
    <n v="114"/>
    <x v="0"/>
    <x v="1"/>
    <n v="0.125"/>
    <x v="10"/>
    <x v="1"/>
    <s v="OK"/>
    <x v="0"/>
    <s v="OK"/>
    <x v="0"/>
    <x v="0"/>
    <n v="1"/>
    <n v="0"/>
    <n v="1"/>
    <n v="0"/>
    <x v="0"/>
    <x v="0"/>
    <x v="1"/>
  </r>
  <r>
    <n v="20611000520"/>
    <x v="27"/>
    <x v="26"/>
    <x v="882"/>
    <x v="885"/>
    <x v="802"/>
    <n v="2"/>
    <x v="38"/>
    <s v="ESTACION -01"/>
    <s v="CARR ALANYA SN"/>
    <x v="176"/>
    <x v="0"/>
    <x v="0"/>
    <x v="2"/>
    <x v="9"/>
    <x v="0"/>
    <n v="1"/>
    <n v="80"/>
    <x v="0"/>
    <x v="1"/>
    <n v="0.125"/>
    <x v="7"/>
    <x v="1"/>
    <s v="OK"/>
    <x v="0"/>
    <s v="OK"/>
    <x v="0"/>
    <x v="0"/>
    <n v="1"/>
    <n v="0"/>
    <n v="1"/>
    <n v="0"/>
    <x v="0"/>
    <x v="0"/>
    <x v="1"/>
  </r>
  <r>
    <s v="20611000520"/>
    <x v="27"/>
    <x v="26"/>
    <x v="883"/>
    <x v="886"/>
    <x v="803"/>
    <n v="1"/>
    <x v="88"/>
    <s v="ESTACION -01"/>
    <s v="MARISCAL CACERES 683 KM 18"/>
    <x v="54"/>
    <x v="0"/>
    <x v="0"/>
    <x v="2"/>
    <x v="115"/>
    <x v="0"/>
    <n v="1"/>
    <n v="106.05"/>
    <x v="0"/>
    <x v="1"/>
    <n v="0.125"/>
    <x v="8"/>
    <x v="1"/>
    <s v="OK"/>
    <x v="0"/>
    <s v="OK"/>
    <x v="0"/>
    <x v="0"/>
    <n v="1"/>
    <n v="0"/>
    <n v="1"/>
    <n v="0"/>
    <x v="0"/>
    <x v="0"/>
    <x v="1"/>
  </r>
  <r>
    <n v="20555684721"/>
    <x v="28"/>
    <x v="27"/>
    <x v="884"/>
    <x v="887"/>
    <x v="804"/>
    <n v="1"/>
    <x v="17"/>
    <s v="PATIO TALLER /PV/ESTACIONES/LAB"/>
    <s v="Jr. Algeciras 242 "/>
    <x v="78"/>
    <x v="0"/>
    <x v="0"/>
    <x v="2"/>
    <x v="397"/>
    <x v="0"/>
    <n v="1"/>
    <n v="263"/>
    <x v="0"/>
    <x v="1"/>
    <n v="1.4285714285714285E-2"/>
    <x v="11"/>
    <x v="1"/>
    <s v="OK"/>
    <x v="6"/>
    <s v="OK"/>
    <x v="0"/>
    <x v="0"/>
    <n v="1"/>
    <n v="1"/>
    <n v="0"/>
    <n v="0"/>
    <x v="0"/>
    <x v="0"/>
    <x v="0"/>
  </r>
  <r>
    <n v="20555684721"/>
    <x v="28"/>
    <x v="27"/>
    <x v="885"/>
    <x v="888"/>
    <x v="805"/>
    <n v="1"/>
    <x v="17"/>
    <s v="PATIO TALLER /PV/ESTACIONES/LAB"/>
    <s v="CALLE SANTA CRUZ MZ D LOTE 1"/>
    <x v="8"/>
    <x v="0"/>
    <x v="0"/>
    <x v="2"/>
    <x v="4"/>
    <x v="0"/>
    <n v="1"/>
    <n v="260"/>
    <x v="0"/>
    <x v="1"/>
    <n v="1.4285714285714285E-2"/>
    <x v="8"/>
    <x v="1"/>
    <s v="OK"/>
    <x v="0"/>
    <s v="OK"/>
    <x v="0"/>
    <x v="0"/>
    <n v="1"/>
    <n v="0"/>
    <n v="1"/>
    <n v="0"/>
    <x v="0"/>
    <x v="0"/>
    <x v="1"/>
  </r>
  <r>
    <n v="20555684721"/>
    <x v="28"/>
    <x v="27"/>
    <x v="886"/>
    <x v="889"/>
    <x v="806"/>
    <n v="1"/>
    <x v="17"/>
    <s v="PATIO TALLER /PV/ESTACIONES/LAB"/>
    <s v="VELASCO ASTETE 174 DEP 301 "/>
    <x v="144"/>
    <x v="0"/>
    <x v="0"/>
    <x v="2"/>
    <x v="398"/>
    <x v="0"/>
    <n v="1"/>
    <n v="93"/>
    <x v="0"/>
    <x v="1"/>
    <n v="1.4285714285714285E-2"/>
    <x v="9"/>
    <x v="1"/>
    <s v="OK"/>
    <x v="0"/>
    <s v="OK"/>
    <x v="0"/>
    <x v="0"/>
    <n v="1"/>
    <n v="0"/>
    <n v="0"/>
    <n v="0"/>
    <x v="0"/>
    <x v="0"/>
    <x v="0"/>
  </r>
  <r>
    <n v="20555684721"/>
    <x v="28"/>
    <x v="27"/>
    <x v="887"/>
    <x v="890"/>
    <x v="807"/>
    <n v="1"/>
    <x v="17"/>
    <s v="PATIO TALLER /PV/ESTACIONES/LAB"/>
    <s v="ASENT.H. CHAVIN DE HUANTAR MZ. I, LTE. 26 "/>
    <x v="19"/>
    <x v="0"/>
    <x v="0"/>
    <x v="2"/>
    <x v="399"/>
    <x v="0"/>
    <n v="1"/>
    <n v="263"/>
    <x v="0"/>
    <x v="1"/>
    <n v="1.4285714285714285E-2"/>
    <x v="10"/>
    <x v="1"/>
    <s v="OK"/>
    <x v="0"/>
    <s v="OK"/>
    <x v="0"/>
    <x v="0"/>
    <n v="1"/>
    <n v="0"/>
    <n v="0"/>
    <n v="0"/>
    <x v="0"/>
    <x v="0"/>
    <x v="0"/>
  </r>
  <r>
    <n v="20555684721"/>
    <x v="28"/>
    <x v="27"/>
    <x v="888"/>
    <x v="891"/>
    <x v="751"/>
    <n v="1"/>
    <x v="17"/>
    <s v="PATIO TALLER /PV/ESTACIONES/LAB"/>
    <s v="KM 15 CARRETERA CENTRAL TAMBO PARIACHI"/>
    <x v="1"/>
    <x v="0"/>
    <x v="0"/>
    <x v="2"/>
    <x v="400"/>
    <x v="0"/>
    <n v="1"/>
    <n v="263"/>
    <x v="0"/>
    <x v="1"/>
    <n v="1.4285714285714285E-2"/>
    <x v="9"/>
    <x v="1"/>
    <s v="OK"/>
    <x v="1"/>
    <s v="OK"/>
    <x v="0"/>
    <x v="0"/>
    <n v="1"/>
    <n v="1"/>
    <n v="0"/>
    <n v="0"/>
    <x v="0"/>
    <x v="0"/>
    <x v="0"/>
  </r>
  <r>
    <n v="20555684721"/>
    <x v="28"/>
    <x v="27"/>
    <x v="889"/>
    <x v="892"/>
    <x v="808"/>
    <n v="1"/>
    <x v="17"/>
    <s v="PATIO TALLER /PV/ESTACIONES/LAB"/>
    <s v="CARRETERA CENTRAL KM 14 1/2, PARADERO GRIFO GLORIA. MZ A, LT 21, ASOC. CASA GRANDE"/>
    <x v="1"/>
    <x v="0"/>
    <x v="0"/>
    <x v="2"/>
    <x v="401"/>
    <x v="0"/>
    <n v="1"/>
    <n v="263"/>
    <x v="0"/>
    <x v="1"/>
    <n v="1.4285714285714285E-2"/>
    <x v="10"/>
    <x v="1"/>
    <s v="OK"/>
    <x v="1"/>
    <s v="OK"/>
    <x v="0"/>
    <x v="0"/>
    <n v="1"/>
    <n v="1"/>
    <n v="0"/>
    <n v="0"/>
    <x v="0"/>
    <x v="0"/>
    <x v="0"/>
  </r>
  <r>
    <n v="20555684721"/>
    <x v="28"/>
    <x v="27"/>
    <x v="890"/>
    <x v="893"/>
    <x v="809"/>
    <n v="1"/>
    <x v="17"/>
    <s v="PATIO TALLER /PV/ESTACIONES/LAB"/>
    <s v="MZ G LT 1 AH KEIKO SOFIA PARTE BAJA "/>
    <x v="4"/>
    <x v="0"/>
    <x v="0"/>
    <x v="2"/>
    <x v="402"/>
    <x v="0"/>
    <n v="1"/>
    <n v="197"/>
    <x v="0"/>
    <x v="1"/>
    <n v="1.4285714285714285E-2"/>
    <x v="11"/>
    <x v="1"/>
    <s v="OK"/>
    <x v="0"/>
    <s v="OK"/>
    <x v="0"/>
    <x v="0"/>
    <n v="1"/>
    <n v="0"/>
    <n v="0"/>
    <n v="0"/>
    <x v="0"/>
    <x v="0"/>
    <x v="0"/>
  </r>
  <r>
    <n v="20555684721"/>
    <x v="28"/>
    <x v="27"/>
    <x v="891"/>
    <x v="894"/>
    <x v="810"/>
    <n v="1"/>
    <x v="17"/>
    <s v="PATIO TALLER /PV/ESTACIONES/LAB"/>
    <s v="Mz X Lote 30 AA.HH San Fernando"/>
    <x v="15"/>
    <x v="0"/>
    <x v="0"/>
    <x v="2"/>
    <x v="403"/>
    <x v="0"/>
    <n v="1"/>
    <n v="162"/>
    <x v="0"/>
    <x v="1"/>
    <n v="1.4285714285714285E-2"/>
    <x v="6"/>
    <x v="1"/>
    <s v="OK"/>
    <x v="0"/>
    <s v="OK"/>
    <x v="0"/>
    <x v="0"/>
    <n v="1"/>
    <n v="0"/>
    <n v="0"/>
    <n v="0"/>
    <x v="0"/>
    <x v="0"/>
    <x v="0"/>
  </r>
  <r>
    <n v="20555684721"/>
    <x v="28"/>
    <x v="27"/>
    <x v="892"/>
    <x v="895"/>
    <x v="811"/>
    <n v="1"/>
    <x v="17"/>
    <s v="PATIO TALLER /PV/ESTACIONES/LAB"/>
    <s v="JIRON SANTA HELENA MANZANA Nº LOTE 4A  ZAPAYAL"/>
    <x v="177"/>
    <x v="0"/>
    <x v="0"/>
    <x v="2"/>
    <x v="404"/>
    <x v="0"/>
    <n v="1"/>
    <n v="263"/>
    <x v="0"/>
    <x v="1"/>
    <n v="1.4285714285714285E-2"/>
    <x v="12"/>
    <x v="1"/>
    <s v="OK"/>
    <x v="0"/>
    <s v="OK"/>
    <x v="0"/>
    <x v="0"/>
    <n v="1"/>
    <n v="0"/>
    <n v="0"/>
    <n v="0"/>
    <x v="0"/>
    <x v="0"/>
    <x v="0"/>
  </r>
  <r>
    <n v="20555684721"/>
    <x v="28"/>
    <x v="27"/>
    <x v="893"/>
    <x v="896"/>
    <x v="440"/>
    <n v="1"/>
    <x v="17"/>
    <s v="PATIO TALLER /PV/ESTACIONES/LAB"/>
    <s v="M2 M LT 9 AH LUIS FELIPE DE LAS CASAS VENTANILLA CALLAO"/>
    <x v="2"/>
    <x v="0"/>
    <x v="0"/>
    <x v="2"/>
    <x v="116"/>
    <x v="0"/>
    <n v="1"/>
    <n v="263"/>
    <x v="0"/>
    <x v="1"/>
    <n v="1.4285714285714285E-2"/>
    <x v="8"/>
    <x v="1"/>
    <s v="OK"/>
    <x v="2"/>
    <s v="OK"/>
    <x v="0"/>
    <x v="0"/>
    <n v="1"/>
    <n v="1"/>
    <n v="0"/>
    <n v="0"/>
    <x v="0"/>
    <x v="0"/>
    <x v="0"/>
  </r>
  <r>
    <n v="20555684721"/>
    <x v="28"/>
    <x v="27"/>
    <x v="894"/>
    <x v="897"/>
    <x v="812"/>
    <n v="1"/>
    <x v="17"/>
    <s v="PATIO TALLER /PV/ESTACIONES/LAB"/>
    <s v="ASENTAMIENTO H SANTA ROSA LAS CONCHITAS MZ E LOTE 6"/>
    <x v="8"/>
    <x v="0"/>
    <x v="0"/>
    <x v="2"/>
    <x v="405"/>
    <x v="0"/>
    <n v="1"/>
    <n v="257"/>
    <x v="0"/>
    <x v="1"/>
    <n v="1.4285714285714285E-2"/>
    <x v="6"/>
    <x v="1"/>
    <s v="OK"/>
    <x v="0"/>
    <s v="OK"/>
    <x v="0"/>
    <x v="0"/>
    <n v="1"/>
    <n v="0"/>
    <n v="0"/>
    <n v="0"/>
    <x v="0"/>
    <x v="0"/>
    <x v="0"/>
  </r>
  <r>
    <n v="20555684721"/>
    <x v="28"/>
    <x v="27"/>
    <x v="895"/>
    <x v="898"/>
    <x v="813"/>
    <n v="1"/>
    <x v="17"/>
    <s v="PATIO TALLER /PV/ESTACIONES/LAB"/>
    <s v="JIRON  AZULEJOS Nº460 URB.SAN CARLOS"/>
    <x v="15"/>
    <x v="0"/>
    <x v="0"/>
    <x v="2"/>
    <x v="406"/>
    <x v="0"/>
    <n v="1"/>
    <n v="257"/>
    <x v="0"/>
    <x v="1"/>
    <n v="1.4285714285714285E-2"/>
    <x v="6"/>
    <x v="1"/>
    <s v="OK"/>
    <x v="0"/>
    <s v="OK"/>
    <x v="0"/>
    <x v="0"/>
    <n v="1"/>
    <n v="0"/>
    <n v="0"/>
    <n v="0"/>
    <x v="0"/>
    <x v="0"/>
    <x v="0"/>
  </r>
  <r>
    <n v="20555684721"/>
    <x v="28"/>
    <x v="27"/>
    <x v="896"/>
    <x v="899"/>
    <x v="814"/>
    <n v="1"/>
    <x v="17"/>
    <s v="PATIO TALLER /PV/ESTACIONES/LAB"/>
    <s v="APV VILLA EL SOL B-6  ALLPAORCONA "/>
    <x v="178"/>
    <x v="0"/>
    <x v="0"/>
    <x v="2"/>
    <x v="121"/>
    <x v="0"/>
    <n v="1"/>
    <n v="0"/>
    <x v="0"/>
    <x v="1"/>
    <n v="1.4285714285714285E-2"/>
    <x v="10"/>
    <x v="1"/>
    <s v="OK"/>
    <x v="0"/>
    <s v="OK"/>
    <x v="0"/>
    <x v="0"/>
    <n v="1"/>
    <n v="0"/>
    <n v="0"/>
    <n v="0"/>
    <x v="0"/>
    <x v="0"/>
    <x v="0"/>
  </r>
  <r>
    <n v="20555684721"/>
    <x v="28"/>
    <x v="27"/>
    <x v="897"/>
    <x v="900"/>
    <x v="815"/>
    <n v="1"/>
    <x v="17"/>
    <s v="PATIO TALLER /PV/ESTACIONES/LAB"/>
    <s v="CL LETICIA 475  "/>
    <x v="49"/>
    <x v="0"/>
    <x v="0"/>
    <x v="2"/>
    <x v="121"/>
    <x v="0"/>
    <n v="1"/>
    <n v="242"/>
    <x v="0"/>
    <x v="1"/>
    <n v="1.4285714285714285E-2"/>
    <x v="7"/>
    <x v="1"/>
    <s v="OK"/>
    <x v="0"/>
    <s v="OK"/>
    <x v="0"/>
    <x v="0"/>
    <n v="1"/>
    <n v="0"/>
    <n v="0"/>
    <n v="0"/>
    <x v="0"/>
    <x v="0"/>
    <x v="0"/>
  </r>
  <r>
    <n v="20555684721"/>
    <x v="28"/>
    <x v="27"/>
    <x v="898"/>
    <x v="901"/>
    <x v="816"/>
    <n v="1"/>
    <x v="17"/>
    <s v="PATIO TALLER /PV/ESTACIONES/LAB"/>
    <s v="JIRON JUAN SOLORZANO NR 3093 CONDE"/>
    <x v="3"/>
    <x v="0"/>
    <x v="0"/>
    <x v="2"/>
    <x v="122"/>
    <x v="0"/>
    <n v="1"/>
    <n v="260"/>
    <x v="0"/>
    <x v="1"/>
    <n v="1.4285714285714285E-2"/>
    <x v="12"/>
    <x v="1"/>
    <s v="OK"/>
    <x v="0"/>
    <s v="OK"/>
    <x v="0"/>
    <x v="0"/>
    <n v="1"/>
    <n v="0"/>
    <n v="0"/>
    <n v="0"/>
    <x v="0"/>
    <x v="0"/>
    <x v="0"/>
  </r>
  <r>
    <n v="20555684721"/>
    <x v="28"/>
    <x v="27"/>
    <x v="899"/>
    <x v="902"/>
    <x v="817"/>
    <n v="1"/>
    <x v="17"/>
    <s v="PATIO TALLER /PV/ESTACIONES/LAB"/>
    <s v="AA.HH. JOSE C.MARIATEGUI MZ.C LT.1"/>
    <x v="49"/>
    <x v="0"/>
    <x v="0"/>
    <x v="2"/>
    <x v="122"/>
    <x v="0"/>
    <n v="1"/>
    <n v="251"/>
    <x v="0"/>
    <x v="1"/>
    <n v="1.4285714285714285E-2"/>
    <x v="12"/>
    <x v="1"/>
    <s v="OK"/>
    <x v="0"/>
    <s v="OK"/>
    <x v="0"/>
    <x v="0"/>
    <n v="1"/>
    <n v="0"/>
    <n v="0"/>
    <n v="0"/>
    <x v="0"/>
    <x v="0"/>
    <x v="0"/>
  </r>
  <r>
    <n v="20555684721"/>
    <x v="28"/>
    <x v="27"/>
    <x v="900"/>
    <x v="903"/>
    <x v="818"/>
    <n v="1"/>
    <x v="17"/>
    <s v="PATIO TALLER /PV/ESTACIONES/LAB"/>
    <s v="JR.13 DE SEPTIEMBRE 710 "/>
    <x v="0"/>
    <x v="0"/>
    <x v="0"/>
    <x v="2"/>
    <x v="122"/>
    <x v="0"/>
    <n v="1"/>
    <n v="257"/>
    <x v="0"/>
    <x v="1"/>
    <n v="1.4285714285714285E-2"/>
    <x v="9"/>
    <x v="1"/>
    <s v="OK"/>
    <x v="0"/>
    <s v="OK"/>
    <x v="0"/>
    <x v="0"/>
    <n v="1"/>
    <n v="0"/>
    <n v="0"/>
    <n v="0"/>
    <x v="0"/>
    <x v="0"/>
    <x v="0"/>
  </r>
  <r>
    <n v="20555684721"/>
    <x v="28"/>
    <x v="27"/>
    <x v="901"/>
    <x v="904"/>
    <x v="819"/>
    <n v="1"/>
    <x v="17"/>
    <s v="PATIO TALLER /PV/ESTACIONES/LAB"/>
    <s v="JR. LOS CLAVELES MZ 5H LT. 15"/>
    <x v="54"/>
    <x v="0"/>
    <x v="0"/>
    <x v="2"/>
    <x v="122"/>
    <x v="0"/>
    <n v="1"/>
    <n v="263"/>
    <x v="0"/>
    <x v="1"/>
    <n v="1.4285714285714285E-2"/>
    <x v="13"/>
    <x v="1"/>
    <s v="OK"/>
    <x v="0"/>
    <s v="OK"/>
    <x v="0"/>
    <x v="0"/>
    <n v="1"/>
    <n v="0"/>
    <n v="0"/>
    <n v="0"/>
    <x v="0"/>
    <x v="0"/>
    <x v="0"/>
  </r>
  <r>
    <n v="20555684721"/>
    <x v="28"/>
    <x v="27"/>
    <x v="902"/>
    <x v="905"/>
    <x v="791"/>
    <n v="1"/>
    <x v="17"/>
    <s v="PATIO TALLER /PV/ESTACIONES/LAB"/>
    <s v="CALLE ANTA 112 COOP.27 DE ABRIL MZ 02 LT 32"/>
    <x v="1"/>
    <x v="0"/>
    <x v="0"/>
    <x v="2"/>
    <x v="407"/>
    <x v="0"/>
    <n v="1"/>
    <n v="245"/>
    <x v="0"/>
    <x v="1"/>
    <n v="1.4285714285714285E-2"/>
    <x v="8"/>
    <x v="1"/>
    <s v="OK"/>
    <x v="1"/>
    <s v="OK"/>
    <x v="0"/>
    <x v="0"/>
    <n v="1"/>
    <n v="1"/>
    <n v="0"/>
    <n v="0"/>
    <x v="0"/>
    <x v="0"/>
    <x v="0"/>
  </r>
  <r>
    <n v="20555684721"/>
    <x v="28"/>
    <x v="27"/>
    <x v="903"/>
    <x v="906"/>
    <x v="446"/>
    <n v="1"/>
    <x v="17"/>
    <s v="PATIO TALLER /PV/ESTACIONES/LAB"/>
    <s v="AV.VILLAMARIA 1733 CERCADO MZ. G17 LT. 7 "/>
    <x v="8"/>
    <x v="0"/>
    <x v="15"/>
    <x v="2"/>
    <x v="407"/>
    <x v="2"/>
    <n v="1"/>
    <n v="30"/>
    <x v="0"/>
    <x v="1"/>
    <n v="1.4285714285714285E-2"/>
    <x v="13"/>
    <x v="1"/>
    <s v="OK"/>
    <x v="0"/>
    <s v="OK"/>
    <x v="0"/>
    <x v="0"/>
    <n v="1"/>
    <n v="0"/>
    <n v="0"/>
    <n v="1"/>
    <x v="0"/>
    <x v="1"/>
    <x v="0"/>
  </r>
  <r>
    <n v="20555684721"/>
    <x v="28"/>
    <x v="27"/>
    <x v="904"/>
    <x v="907"/>
    <x v="747"/>
    <n v="1"/>
    <x v="17"/>
    <s v="PATIO TALLER /PV/ESTACIONES/LAB"/>
    <s v="A.H. SAN JUDAS MZ B LT 3 SEGUNDO SECTOR"/>
    <x v="6"/>
    <x v="0"/>
    <x v="0"/>
    <x v="2"/>
    <x v="123"/>
    <x v="0"/>
    <n v="1"/>
    <n v="252"/>
    <x v="0"/>
    <x v="1"/>
    <n v="1.4285714285714285E-2"/>
    <x v="9"/>
    <x v="1"/>
    <s v="OK"/>
    <x v="2"/>
    <s v="OK"/>
    <x v="0"/>
    <x v="0"/>
    <n v="1"/>
    <n v="1"/>
    <n v="0"/>
    <n v="0"/>
    <x v="0"/>
    <x v="0"/>
    <x v="0"/>
  </r>
  <r>
    <n v="20555684721"/>
    <x v="28"/>
    <x v="27"/>
    <x v="905"/>
    <x v="908"/>
    <x v="698"/>
    <n v="1"/>
    <x v="17"/>
    <s v="PATIO TALLER /PV/ESTACIONES/LAB"/>
    <s v="PASEO DE LOS DOMINICOS 171 DPTO 202"/>
    <x v="6"/>
    <x v="0"/>
    <x v="0"/>
    <x v="2"/>
    <x v="123"/>
    <x v="0"/>
    <n v="1"/>
    <n v="263"/>
    <x v="0"/>
    <x v="1"/>
    <n v="1.4285714285714285E-2"/>
    <x v="8"/>
    <x v="1"/>
    <s v="OK"/>
    <x v="2"/>
    <s v="OK"/>
    <x v="0"/>
    <x v="0"/>
    <n v="1"/>
    <n v="1"/>
    <n v="0"/>
    <n v="0"/>
    <x v="0"/>
    <x v="0"/>
    <x v="0"/>
  </r>
  <r>
    <n v="20555684721"/>
    <x v="28"/>
    <x v="27"/>
    <x v="906"/>
    <x v="909"/>
    <x v="820"/>
    <n v="1"/>
    <x v="17"/>
    <s v="PATIO TALLER /PV/ESTACIONES/LAB"/>
    <s v="AA.HH VILLA SOLIDARIDAD MZ X-3 LT.2"/>
    <x v="179"/>
    <x v="0"/>
    <x v="0"/>
    <x v="2"/>
    <x v="123"/>
    <x v="0"/>
    <n v="1"/>
    <n v="214"/>
    <x v="0"/>
    <x v="1"/>
    <n v="1.4285714285714285E-2"/>
    <x v="7"/>
    <x v="1"/>
    <s v="OK"/>
    <x v="0"/>
    <s v="OK"/>
    <x v="0"/>
    <x v="0"/>
    <n v="1"/>
    <n v="0"/>
    <n v="0"/>
    <n v="0"/>
    <x v="0"/>
    <x v="0"/>
    <x v="0"/>
  </r>
  <r>
    <n v="20555684721"/>
    <x v="28"/>
    <x v="27"/>
    <x v="907"/>
    <x v="910"/>
    <x v="265"/>
    <n v="1"/>
    <x v="17"/>
    <s v="PATIO TALLER /PV/ESTACIONES/LAB"/>
    <s v="JR. MIGUEL A.MORAN MZ.12 LT8"/>
    <x v="180"/>
    <x v="0"/>
    <x v="8"/>
    <x v="2"/>
    <x v="124"/>
    <x v="0"/>
    <n v="1"/>
    <n v="222"/>
    <x v="0"/>
    <x v="1"/>
    <n v="1.4285714285714285E-2"/>
    <x v="11"/>
    <x v="1"/>
    <s v="OK"/>
    <x v="0"/>
    <s v="OK"/>
    <x v="0"/>
    <x v="0"/>
    <n v="1"/>
    <n v="0"/>
    <n v="0"/>
    <n v="1"/>
    <x v="0"/>
    <x v="1"/>
    <x v="0"/>
  </r>
  <r>
    <n v="20555684721"/>
    <x v="28"/>
    <x v="27"/>
    <x v="908"/>
    <x v="911"/>
    <x v="365"/>
    <n v="1"/>
    <x v="17"/>
    <s v="PATIO TALLER /PV/ESTACIONES/LAB"/>
    <s v="CALLE 28  MZ A1 LT 37 URB COVI INRESA"/>
    <x v="6"/>
    <x v="0"/>
    <x v="0"/>
    <x v="2"/>
    <x v="124"/>
    <x v="0"/>
    <n v="1"/>
    <n v="230"/>
    <x v="0"/>
    <x v="1"/>
    <n v="1.4285714285714285E-2"/>
    <x v="7"/>
    <x v="1"/>
    <s v="OK"/>
    <x v="2"/>
    <s v="OK"/>
    <x v="0"/>
    <x v="0"/>
    <n v="1"/>
    <n v="1"/>
    <n v="0"/>
    <n v="0"/>
    <x v="0"/>
    <x v="0"/>
    <x v="0"/>
  </r>
  <r>
    <n v="20555684721"/>
    <x v="28"/>
    <x v="27"/>
    <x v="909"/>
    <x v="912"/>
    <x v="821"/>
    <n v="1"/>
    <x v="17"/>
    <s v="PATIO TALLER /PV/ESTACIONES/LAB"/>
    <s v="AV.TRAPICHE TUNGASUCA URB. LOS ROSALES MZ B. LOTE 11"/>
    <x v="0"/>
    <x v="0"/>
    <x v="0"/>
    <x v="2"/>
    <x v="14"/>
    <x v="0"/>
    <n v="1"/>
    <n v="247"/>
    <x v="0"/>
    <x v="1"/>
    <n v="1.4285714285714285E-2"/>
    <x v="11"/>
    <x v="1"/>
    <s v="OK"/>
    <x v="0"/>
    <s v="OK"/>
    <x v="0"/>
    <x v="0"/>
    <n v="1"/>
    <n v="0"/>
    <n v="0"/>
    <n v="0"/>
    <x v="0"/>
    <x v="0"/>
    <x v="0"/>
  </r>
  <r>
    <n v="20555684721"/>
    <x v="28"/>
    <x v="27"/>
    <x v="910"/>
    <x v="913"/>
    <x v="822"/>
    <n v="1"/>
    <x v="17"/>
    <s v="PATIO TALLER /PV/ESTACIONES/LAB"/>
    <s v="JR. LLOQUE YUPANQUI 937 DPTO 103"/>
    <x v="51"/>
    <x v="0"/>
    <x v="0"/>
    <x v="2"/>
    <x v="14"/>
    <x v="0"/>
    <n v="1"/>
    <n v="260"/>
    <x v="0"/>
    <x v="1"/>
    <n v="1.4285714285714285E-2"/>
    <x v="13"/>
    <x v="1"/>
    <s v="OK"/>
    <x v="0"/>
    <s v="OK"/>
    <x v="0"/>
    <x v="0"/>
    <n v="1"/>
    <n v="0"/>
    <n v="0"/>
    <n v="0"/>
    <x v="0"/>
    <x v="0"/>
    <x v="0"/>
  </r>
  <r>
    <n v="20555684721"/>
    <x v="28"/>
    <x v="27"/>
    <x v="911"/>
    <x v="914"/>
    <x v="823"/>
    <n v="1"/>
    <x v="17"/>
    <s v="PATIO TALLER /PV/ESTACIONES/LAB"/>
    <s v="AVENIDA EL SOL 824"/>
    <x v="8"/>
    <x v="0"/>
    <x v="0"/>
    <x v="2"/>
    <x v="2"/>
    <x v="0"/>
    <n v="1"/>
    <n v="263"/>
    <x v="0"/>
    <x v="1"/>
    <n v="1.4285714285714285E-2"/>
    <x v="13"/>
    <x v="1"/>
    <s v="OK"/>
    <x v="0"/>
    <s v="OK"/>
    <x v="0"/>
    <x v="0"/>
    <n v="1"/>
    <n v="0"/>
    <n v="0"/>
    <n v="0"/>
    <x v="0"/>
    <x v="0"/>
    <x v="0"/>
  </r>
  <r>
    <n v="20555684721"/>
    <x v="28"/>
    <x v="27"/>
    <x v="912"/>
    <x v="915"/>
    <x v="824"/>
    <n v="1"/>
    <x v="17"/>
    <s v="PATIO TALLER /PV/ESTACIONES/LAB"/>
    <s v="PACHACUTEC YUPANQUI 820 "/>
    <x v="92"/>
    <x v="0"/>
    <x v="0"/>
    <x v="2"/>
    <x v="27"/>
    <x v="0"/>
    <n v="1"/>
    <n v="260"/>
    <x v="0"/>
    <x v="1"/>
    <n v="1.4285714285714285E-2"/>
    <x v="13"/>
    <x v="1"/>
    <s v="OK"/>
    <x v="0"/>
    <s v="OK"/>
    <x v="0"/>
    <x v="0"/>
    <n v="1"/>
    <n v="0"/>
    <n v="0"/>
    <n v="0"/>
    <x v="0"/>
    <x v="0"/>
    <x v="0"/>
  </r>
  <r>
    <n v="20555684721"/>
    <x v="28"/>
    <x v="27"/>
    <x v="913"/>
    <x v="916"/>
    <x v="825"/>
    <n v="1"/>
    <x v="17"/>
    <s v="PATIO TALLER /PV/ESTACIONES/LAB"/>
    <s v="JR.GALAXIA 2574 COOP. LOS ANGELES "/>
    <x v="15"/>
    <x v="0"/>
    <x v="0"/>
    <x v="2"/>
    <x v="27"/>
    <x v="0"/>
    <n v="1"/>
    <n v="146"/>
    <x v="0"/>
    <x v="1"/>
    <n v="1.4285714285714285E-2"/>
    <x v="7"/>
    <x v="1"/>
    <s v="OK"/>
    <x v="0"/>
    <s v="OK"/>
    <x v="0"/>
    <x v="0"/>
    <n v="1"/>
    <n v="0"/>
    <n v="0"/>
    <n v="0"/>
    <x v="0"/>
    <x v="0"/>
    <x v="0"/>
  </r>
  <r>
    <n v="20555684721"/>
    <x v="28"/>
    <x v="27"/>
    <x v="914"/>
    <x v="917"/>
    <x v="826"/>
    <n v="1"/>
    <x v="17"/>
    <s v="PATIO TALLER /PV/ESTACIONES/LAB"/>
    <s v="CALLE C2 AA.HH. LAS COLINAS DE LOS LICENCIADOS MZ.A LT.20 "/>
    <x v="2"/>
    <x v="0"/>
    <x v="0"/>
    <x v="2"/>
    <x v="27"/>
    <x v="0"/>
    <n v="1"/>
    <n v="227"/>
    <x v="0"/>
    <x v="1"/>
    <n v="1.4285714285714285E-2"/>
    <x v="13"/>
    <x v="1"/>
    <s v="OK"/>
    <x v="2"/>
    <s v="OK"/>
    <x v="0"/>
    <x v="0"/>
    <n v="1"/>
    <n v="1"/>
    <n v="0"/>
    <n v="0"/>
    <x v="0"/>
    <x v="0"/>
    <x v="0"/>
  </r>
  <r>
    <n v="20523293533"/>
    <x v="62"/>
    <x v="45"/>
    <x v="915"/>
    <x v="918"/>
    <x v="250"/>
    <n v="1"/>
    <x v="183"/>
    <s v="CALLAO"/>
    <s v="CALLAO"/>
    <x v="6"/>
    <x v="1"/>
    <x v="0"/>
    <x v="1"/>
    <x v="408"/>
    <x v="0"/>
    <n v="1"/>
    <n v="360"/>
    <x v="0"/>
    <x v="1"/>
    <n v="0.05"/>
    <x v="8"/>
    <x v="1"/>
    <s v="OK"/>
    <x v="2"/>
    <s v="OK"/>
    <x v="0"/>
    <x v="0"/>
    <n v="1"/>
    <n v="1"/>
    <n v="0"/>
    <n v="0"/>
    <x v="0"/>
    <x v="0"/>
    <x v="0"/>
  </r>
  <r>
    <n v="20523293533"/>
    <x v="62"/>
    <x v="45"/>
    <x v="916"/>
    <x v="919"/>
    <x v="827"/>
    <n v="1"/>
    <x v="183"/>
    <s v="CALLAO"/>
    <s v="CALLAO"/>
    <x v="6"/>
    <x v="0"/>
    <x v="0"/>
    <x v="1"/>
    <x v="409"/>
    <x v="0"/>
    <n v="1"/>
    <n v="360"/>
    <x v="0"/>
    <x v="1"/>
    <n v="0.05"/>
    <x v="6"/>
    <x v="1"/>
    <s v="OK"/>
    <x v="2"/>
    <s v="OK"/>
    <x v="0"/>
    <x v="0"/>
    <n v="1"/>
    <n v="1"/>
    <n v="0"/>
    <n v="0"/>
    <x v="0"/>
    <x v="0"/>
    <x v="0"/>
  </r>
  <r>
    <n v="20523293533"/>
    <x v="62"/>
    <x v="45"/>
    <x v="917"/>
    <x v="920"/>
    <x v="278"/>
    <n v="1"/>
    <x v="183"/>
    <s v="AGUSTINO"/>
    <s v="LURIN"/>
    <x v="91"/>
    <x v="0"/>
    <x v="0"/>
    <x v="1"/>
    <x v="284"/>
    <x v="0"/>
    <n v="1"/>
    <n v="72"/>
    <x v="0"/>
    <x v="1"/>
    <n v="0.05"/>
    <x v="6"/>
    <x v="1"/>
    <s v="OK"/>
    <x v="0"/>
    <s v="OK"/>
    <x v="0"/>
    <x v="0"/>
    <n v="1"/>
    <n v="0"/>
    <n v="0"/>
    <n v="0"/>
    <x v="0"/>
    <x v="0"/>
    <x v="0"/>
  </r>
  <r>
    <s v="20601668018"/>
    <x v="29"/>
    <x v="28"/>
    <x v="918"/>
    <x v="921"/>
    <x v="828"/>
    <n v="3"/>
    <x v="40"/>
    <s v="E03"/>
    <s v="JR. LAS VALERIANAS 751 URB. LAS FLORES"/>
    <x v="15"/>
    <x v="0"/>
    <x v="0"/>
    <x v="2"/>
    <x v="65"/>
    <x v="0"/>
    <n v="1"/>
    <n v="178"/>
    <x v="0"/>
    <x v="0"/>
    <n v="9.8039215686274508E-3"/>
    <x v="7"/>
    <x v="1"/>
    <s v="OK"/>
    <x v="0"/>
    <s v="OK"/>
    <x v="0"/>
    <x v="0"/>
    <n v="1"/>
    <n v="0"/>
    <n v="0"/>
    <n v="0"/>
    <x v="0"/>
    <x v="0"/>
    <x v="0"/>
  </r>
  <r>
    <s v="20601668018"/>
    <x v="29"/>
    <x v="28"/>
    <x v="919"/>
    <x v="922"/>
    <x v="744"/>
    <n v="3"/>
    <x v="40"/>
    <s v="E02"/>
    <s v="M H-L 06 A. H. FELIX MORENO CABALLERO II"/>
    <x v="2"/>
    <x v="0"/>
    <x v="0"/>
    <x v="2"/>
    <x v="150"/>
    <x v="0"/>
    <n v="1"/>
    <n v="98"/>
    <x v="0"/>
    <x v="0"/>
    <n v="9.8039215686274508E-3"/>
    <x v="7"/>
    <x v="1"/>
    <s v="OK"/>
    <x v="2"/>
    <s v="OK"/>
    <x v="0"/>
    <x v="0"/>
    <n v="1"/>
    <n v="1"/>
    <n v="0"/>
    <n v="0"/>
    <x v="0"/>
    <x v="0"/>
    <x v="0"/>
  </r>
  <r>
    <s v="20601668018"/>
    <x v="29"/>
    <x v="28"/>
    <x v="920"/>
    <x v="923"/>
    <x v="829"/>
    <n v="3"/>
    <x v="39"/>
    <s v="E03"/>
    <s v="FELIX RAUCANA MZ. C LT. 28 A"/>
    <x v="1"/>
    <x v="0"/>
    <x v="0"/>
    <x v="2"/>
    <x v="410"/>
    <x v="0"/>
    <n v="1"/>
    <n v="121"/>
    <x v="0"/>
    <x v="0"/>
    <n v="9.8039215686274508E-3"/>
    <x v="7"/>
    <x v="1"/>
    <s v="OK"/>
    <x v="1"/>
    <s v="OK"/>
    <x v="0"/>
    <x v="0"/>
    <n v="1"/>
    <n v="1"/>
    <n v="0"/>
    <n v="0"/>
    <x v="0"/>
    <x v="0"/>
    <x v="0"/>
  </r>
  <r>
    <s v="20601668018"/>
    <x v="29"/>
    <x v="28"/>
    <x v="921"/>
    <x v="924"/>
    <x v="830"/>
    <n v="3"/>
    <x v="40"/>
    <s v="E03"/>
    <s v="CARRET SULLANA TAMBOGRANDE ASENT. H. JESUS MARIA LT. 34"/>
    <x v="175"/>
    <x v="0"/>
    <x v="0"/>
    <x v="2"/>
    <x v="410"/>
    <x v="0"/>
    <n v="1"/>
    <n v="144"/>
    <x v="0"/>
    <x v="0"/>
    <n v="9.8039215686274508E-3"/>
    <x v="8"/>
    <x v="1"/>
    <s v="OK"/>
    <x v="0"/>
    <s v="OK"/>
    <x v="0"/>
    <x v="0"/>
    <n v="1"/>
    <n v="0"/>
    <n v="0"/>
    <n v="0"/>
    <x v="0"/>
    <x v="0"/>
    <x v="0"/>
  </r>
  <r>
    <s v="20601668018"/>
    <x v="29"/>
    <x v="28"/>
    <x v="922"/>
    <x v="925"/>
    <x v="575"/>
    <n v="3"/>
    <x v="40"/>
    <s v="E01"/>
    <s v="AV. CORDILLERA ORIENTAL MZ. C2 LT. 08 ASOC. DELICIAS DE VILLA 2DA ZONA"/>
    <x v="38"/>
    <x v="0"/>
    <x v="0"/>
    <x v="2"/>
    <x v="243"/>
    <x v="0"/>
    <n v="1"/>
    <n v="152"/>
    <x v="0"/>
    <x v="0"/>
    <n v="9.8039215686274508E-3"/>
    <x v="11"/>
    <x v="1"/>
    <s v="OK"/>
    <x v="0"/>
    <s v="OK"/>
    <x v="0"/>
    <x v="0"/>
    <n v="1"/>
    <n v="0"/>
    <n v="0"/>
    <n v="0"/>
    <x v="0"/>
    <x v="0"/>
    <x v="0"/>
  </r>
  <r>
    <s v="20601668018"/>
    <x v="29"/>
    <x v="28"/>
    <x v="923"/>
    <x v="926"/>
    <x v="258"/>
    <n v="3"/>
    <x v="39"/>
    <s v="E01"/>
    <s v="MZ. B LT. 11 ASOC. STA. ELIZABETH 2DA. ETAPA"/>
    <x v="15"/>
    <x v="0"/>
    <x v="0"/>
    <x v="2"/>
    <x v="411"/>
    <x v="0"/>
    <n v="1"/>
    <n v="121"/>
    <x v="0"/>
    <x v="0"/>
    <n v="9.8039215686274508E-3"/>
    <x v="11"/>
    <x v="1"/>
    <s v="OK"/>
    <x v="0"/>
    <s v="OK"/>
    <x v="0"/>
    <x v="0"/>
    <n v="1"/>
    <n v="0"/>
    <n v="0"/>
    <n v="0"/>
    <x v="0"/>
    <x v="0"/>
    <x v="0"/>
  </r>
  <r>
    <s v="20601668018"/>
    <x v="29"/>
    <x v="28"/>
    <x v="924"/>
    <x v="927"/>
    <x v="831"/>
    <n v="3"/>
    <x v="39"/>
    <s v="E02"/>
    <s v="CONDESA DE LEMOS 163 - 165 URB. SAN MIGUELITO"/>
    <x v="28"/>
    <x v="0"/>
    <x v="0"/>
    <x v="2"/>
    <x v="247"/>
    <x v="0"/>
    <n v="1"/>
    <n v="183"/>
    <x v="0"/>
    <x v="0"/>
    <n v="9.8039215686274508E-3"/>
    <x v="13"/>
    <x v="1"/>
    <s v="OK"/>
    <x v="0"/>
    <s v="OK"/>
    <x v="0"/>
    <x v="0"/>
    <n v="1"/>
    <n v="0"/>
    <n v="0"/>
    <n v="0"/>
    <x v="0"/>
    <x v="0"/>
    <x v="0"/>
  </r>
  <r>
    <s v="20601668018"/>
    <x v="29"/>
    <x v="28"/>
    <x v="925"/>
    <x v="928"/>
    <x v="832"/>
    <n v="3"/>
    <x v="184"/>
    <s v="E02"/>
    <s v="ASOC. COMUNCAL LAS FLORES DE JICAMARCA MZ . P LT.32"/>
    <x v="15"/>
    <x v="0"/>
    <x v="0"/>
    <x v="2"/>
    <x v="412"/>
    <x v="0"/>
    <n v="1"/>
    <n v="144"/>
    <x v="0"/>
    <x v="0"/>
    <n v="9.8039215686274508E-3"/>
    <x v="13"/>
    <x v="1"/>
    <s v="OK"/>
    <x v="0"/>
    <s v="OK"/>
    <x v="0"/>
    <x v="0"/>
    <n v="1"/>
    <n v="0"/>
    <n v="0"/>
    <n v="0"/>
    <x v="0"/>
    <x v="0"/>
    <x v="0"/>
  </r>
  <r>
    <s v="20601668018"/>
    <x v="29"/>
    <x v="28"/>
    <x v="926"/>
    <x v="929"/>
    <x v="676"/>
    <n v="3"/>
    <x v="185"/>
    <s v="E02"/>
    <s v="URB. LOS JAZMINES DEL NARANJAL MZ. D1 LT. 10A"/>
    <x v="3"/>
    <x v="0"/>
    <x v="0"/>
    <x v="2"/>
    <x v="150"/>
    <x v="0"/>
    <n v="1"/>
    <n v="152"/>
    <x v="0"/>
    <x v="0"/>
    <n v="9.8039215686274508E-3"/>
    <x v="13"/>
    <x v="1"/>
    <s v="OK"/>
    <x v="0"/>
    <s v="OK"/>
    <x v="0"/>
    <x v="0"/>
    <n v="1"/>
    <n v="0"/>
    <n v="0"/>
    <n v="0"/>
    <x v="0"/>
    <x v="0"/>
    <x v="0"/>
  </r>
  <r>
    <s v="20601668018"/>
    <x v="29"/>
    <x v="28"/>
    <x v="927"/>
    <x v="930"/>
    <x v="805"/>
    <n v="3"/>
    <x v="40"/>
    <s v="E03"/>
    <s v="CALLE FLORENCIA URB. FIORI"/>
    <x v="3"/>
    <x v="0"/>
    <x v="0"/>
    <x v="2"/>
    <x v="127"/>
    <x v="0"/>
    <n v="1"/>
    <n v="144"/>
    <x v="0"/>
    <x v="0"/>
    <n v="9.8039215686274508E-3"/>
    <x v="8"/>
    <x v="1"/>
    <s v="OK"/>
    <x v="0"/>
    <s v="OK"/>
    <x v="0"/>
    <x v="0"/>
    <n v="1"/>
    <n v="0"/>
    <n v="0"/>
    <n v="0"/>
    <x v="0"/>
    <x v="0"/>
    <x v="0"/>
  </r>
  <r>
    <s v="20601668018"/>
    <x v="29"/>
    <x v="28"/>
    <x v="928"/>
    <x v="931"/>
    <x v="255"/>
    <n v="3"/>
    <x v="39"/>
    <s v="E03"/>
    <s v="ASENT. H. 15 DE ENERO MZ. Ñ LT.21"/>
    <x v="15"/>
    <x v="0"/>
    <x v="0"/>
    <x v="2"/>
    <x v="127"/>
    <x v="0"/>
    <n v="1"/>
    <n v="183"/>
    <x v="0"/>
    <x v="0"/>
    <n v="9.8039215686274508E-3"/>
    <x v="7"/>
    <x v="1"/>
    <s v="OK"/>
    <x v="0"/>
    <s v="OK"/>
    <x v="0"/>
    <x v="0"/>
    <n v="1"/>
    <n v="0"/>
    <n v="0"/>
    <n v="0"/>
    <x v="0"/>
    <x v="0"/>
    <x v="0"/>
  </r>
  <r>
    <n v="20606079274"/>
    <x v="30"/>
    <x v="28"/>
    <x v="929"/>
    <x v="932"/>
    <x v="833"/>
    <n v="2"/>
    <x v="2"/>
    <s v="E02"/>
    <s v="ASENT. H. SAN JUDAS TADEO MZ. D LT. 13"/>
    <x v="6"/>
    <x v="0"/>
    <x v="0"/>
    <x v="2"/>
    <x v="246"/>
    <x v="0"/>
    <n v="4"/>
    <n v="192"/>
    <x v="0"/>
    <x v="0"/>
    <n v="9.8039215686274508E-3"/>
    <x v="7"/>
    <x v="1"/>
    <s v="OK"/>
    <x v="2"/>
    <s v="OK"/>
    <x v="0"/>
    <x v="0"/>
    <n v="1"/>
    <n v="1"/>
    <n v="0"/>
    <n v="0"/>
    <x v="0"/>
    <x v="0"/>
    <x v="0"/>
  </r>
  <r>
    <n v="20604863580"/>
    <x v="31"/>
    <x v="28"/>
    <x v="930"/>
    <x v="933"/>
    <x v="834"/>
    <n v="3"/>
    <x v="41"/>
    <s v="E01"/>
    <s v="JR. LOS HINOJOS 549 COOP. LAS FLORES"/>
    <x v="15"/>
    <x v="0"/>
    <x v="0"/>
    <x v="2"/>
    <x v="413"/>
    <x v="0"/>
    <n v="1"/>
    <n v="104"/>
    <x v="0"/>
    <x v="0"/>
    <n v="9.8039215686274508E-3"/>
    <x v="7"/>
    <x v="1"/>
    <s v="OK"/>
    <x v="0"/>
    <s v="OK"/>
    <x v="0"/>
    <x v="0"/>
    <n v="1"/>
    <n v="0"/>
    <n v="0"/>
    <n v="0"/>
    <x v="0"/>
    <x v="0"/>
    <x v="0"/>
  </r>
  <r>
    <n v="20604863580"/>
    <x v="31"/>
    <x v="28"/>
    <x v="931"/>
    <x v="934"/>
    <x v="835"/>
    <n v="3"/>
    <x v="41"/>
    <s v="E01"/>
    <s v="JR. TRUJILLO 325 URB. CAJA DE AGUA"/>
    <x v="15"/>
    <x v="0"/>
    <x v="0"/>
    <x v="2"/>
    <x v="13"/>
    <x v="0"/>
    <n v="1"/>
    <n v="17"/>
    <x v="0"/>
    <x v="0"/>
    <n v="9.8039215686274508E-3"/>
    <x v="9"/>
    <x v="1"/>
    <s v="OK"/>
    <x v="0"/>
    <s v="OK"/>
    <x v="0"/>
    <x v="0"/>
    <n v="1"/>
    <n v="0"/>
    <n v="0"/>
    <n v="0"/>
    <x v="0"/>
    <x v="0"/>
    <x v="0"/>
  </r>
  <r>
    <n v="20604863580"/>
    <x v="31"/>
    <x v="28"/>
    <x v="932"/>
    <x v="935"/>
    <x v="544"/>
    <n v="3"/>
    <x v="41"/>
    <s v="E01"/>
    <s v="OVALO DE MIRAFLORES"/>
    <x v="10"/>
    <x v="0"/>
    <x v="0"/>
    <x v="4"/>
    <x v="413"/>
    <x v="0"/>
    <n v="1"/>
    <n v="169"/>
    <x v="0"/>
    <x v="0"/>
    <n v="9.8039215686274508E-3"/>
    <x v="11"/>
    <x v="1"/>
    <s v="OK"/>
    <x v="0"/>
    <s v="OK"/>
    <x v="0"/>
    <x v="0"/>
    <n v="1"/>
    <n v="0"/>
    <n v="0"/>
    <n v="0"/>
    <x v="0"/>
    <x v="0"/>
    <x v="0"/>
  </r>
  <r>
    <n v="20604863580"/>
    <x v="31"/>
    <x v="28"/>
    <x v="933"/>
    <x v="936"/>
    <x v="836"/>
    <n v="3"/>
    <x v="41"/>
    <s v="E01"/>
    <s v="JR. ALBERTO ABERD 614 ZARUMILLA"/>
    <x v="3"/>
    <x v="0"/>
    <x v="0"/>
    <x v="2"/>
    <x v="414"/>
    <x v="0"/>
    <n v="1"/>
    <n v="169"/>
    <x v="0"/>
    <x v="0"/>
    <n v="9.8039215686274508E-3"/>
    <x v="8"/>
    <x v="1"/>
    <s v="OK"/>
    <x v="0"/>
    <s v="OK"/>
    <x v="0"/>
    <x v="0"/>
    <n v="1"/>
    <n v="0"/>
    <n v="0"/>
    <n v="0"/>
    <x v="0"/>
    <x v="0"/>
    <x v="0"/>
  </r>
  <r>
    <n v="20604863580"/>
    <x v="31"/>
    <x v="28"/>
    <x v="934"/>
    <x v="937"/>
    <x v="236"/>
    <n v="3"/>
    <x v="41"/>
    <s v="E01"/>
    <s v="CALLE 6 MZ. C LT. 30 A.H. CRUZ DE MOTUPE - GRUPO 5"/>
    <x v="15"/>
    <x v="0"/>
    <x v="0"/>
    <x v="2"/>
    <x v="129"/>
    <x v="0"/>
    <n v="1"/>
    <n v="121"/>
    <x v="0"/>
    <x v="0"/>
    <n v="9.8039215686274508E-3"/>
    <x v="12"/>
    <x v="1"/>
    <s v="OK"/>
    <x v="0"/>
    <s v="OK"/>
    <x v="0"/>
    <x v="0"/>
    <n v="1"/>
    <n v="0"/>
    <n v="0"/>
    <n v="0"/>
    <x v="0"/>
    <x v="0"/>
    <x v="0"/>
  </r>
  <r>
    <s v="10258661350"/>
    <x v="32"/>
    <x v="28"/>
    <x v="935"/>
    <x v="938"/>
    <x v="837"/>
    <n v="3"/>
    <x v="42"/>
    <s v="E03"/>
    <s v="AV. PIO XII 544 URB. ASTETE MARANGA"/>
    <x v="28"/>
    <x v="0"/>
    <x v="0"/>
    <x v="2"/>
    <x v="394"/>
    <x v="0"/>
    <n v="1"/>
    <n v="186"/>
    <x v="0"/>
    <x v="0"/>
    <n v="9.8039215686274508E-3"/>
    <x v="13"/>
    <x v="1"/>
    <s v="OK"/>
    <x v="0"/>
    <s v="OK"/>
    <x v="0"/>
    <x v="0"/>
    <n v="1"/>
    <n v="0"/>
    <n v="0"/>
    <n v="0"/>
    <x v="0"/>
    <x v="0"/>
    <x v="0"/>
  </r>
  <r>
    <s v="10258661350"/>
    <x v="32"/>
    <x v="28"/>
    <x v="936"/>
    <x v="939"/>
    <x v="838"/>
    <n v="3"/>
    <x v="42"/>
    <s v="E01"/>
    <s v="JR. LAS AZALIAS URB. LOS VIÑEDOS DE CARABAYLLO MZ. W LT. 48"/>
    <x v="0"/>
    <x v="0"/>
    <x v="0"/>
    <x v="2"/>
    <x v="394"/>
    <x v="0"/>
    <n v="1"/>
    <n v="178"/>
    <x v="0"/>
    <x v="0"/>
    <n v="9.8039215686274508E-3"/>
    <x v="10"/>
    <x v="1"/>
    <s v="OK"/>
    <x v="0"/>
    <s v="OK"/>
    <x v="0"/>
    <x v="0"/>
    <n v="1"/>
    <n v="0"/>
    <n v="0"/>
    <n v="0"/>
    <x v="0"/>
    <x v="0"/>
    <x v="0"/>
  </r>
  <r>
    <n v="20604863580"/>
    <x v="32"/>
    <x v="28"/>
    <x v="937"/>
    <x v="940"/>
    <x v="839"/>
    <n v="3"/>
    <x v="42"/>
    <s v="E02"/>
    <s v="MZ. 7 LT. 20 ASENT H. STA ROSITA"/>
    <x v="15"/>
    <x v="0"/>
    <x v="0"/>
    <x v="2"/>
    <x v="415"/>
    <x v="0"/>
    <n v="1"/>
    <n v="175"/>
    <x v="0"/>
    <x v="0"/>
    <n v="9.8039215686274508E-3"/>
    <x v="8"/>
    <x v="1"/>
    <s v="OK"/>
    <x v="0"/>
    <s v="OK"/>
    <x v="0"/>
    <x v="0"/>
    <n v="1"/>
    <n v="0"/>
    <n v="0"/>
    <n v="0"/>
    <x v="0"/>
    <x v="0"/>
    <x v="0"/>
  </r>
  <r>
    <s v="10258661350"/>
    <x v="32"/>
    <x v="28"/>
    <x v="938"/>
    <x v="941"/>
    <x v="840"/>
    <n v="3"/>
    <x v="42"/>
    <s v="E02"/>
    <s v="CALLE HURTADO DE MENDOZA 343 DPTO. 201 URB. LA COLONIAL"/>
    <x v="6"/>
    <x v="0"/>
    <x v="0"/>
    <x v="2"/>
    <x v="114"/>
    <x v="0"/>
    <n v="1"/>
    <n v="166"/>
    <x v="0"/>
    <x v="0"/>
    <n v="9.8039215686274508E-3"/>
    <x v="12"/>
    <x v="1"/>
    <s v="OK"/>
    <x v="2"/>
    <s v="OK"/>
    <x v="0"/>
    <x v="0"/>
    <n v="1"/>
    <n v="1"/>
    <n v="0"/>
    <n v="0"/>
    <x v="0"/>
    <x v="0"/>
    <x v="0"/>
  </r>
  <r>
    <s v="10258661350"/>
    <x v="32"/>
    <x v="28"/>
    <x v="939"/>
    <x v="942"/>
    <x v="841"/>
    <n v="3"/>
    <x v="42"/>
    <s v="E03"/>
    <s v="AV. RICARDO PALMA MZ. C LT. 05 EL PORTAL DE NARANJAL"/>
    <x v="3"/>
    <x v="0"/>
    <x v="0"/>
    <x v="2"/>
    <x v="11"/>
    <x v="0"/>
    <n v="1"/>
    <n v="113"/>
    <x v="0"/>
    <x v="0"/>
    <n v="9.8039215686274508E-3"/>
    <x v="9"/>
    <x v="1"/>
    <s v="OK"/>
    <x v="0"/>
    <s v="OK"/>
    <x v="0"/>
    <x v="0"/>
    <n v="1"/>
    <n v="0"/>
    <n v="0"/>
    <n v="0"/>
    <x v="0"/>
    <x v="0"/>
    <x v="0"/>
  </r>
  <r>
    <s v="10258661350"/>
    <x v="32"/>
    <x v="28"/>
    <x v="940"/>
    <x v="943"/>
    <x v="842"/>
    <n v="3"/>
    <x v="42"/>
    <s v="E02"/>
    <s v="CALLE HUABO 290"/>
    <x v="181"/>
    <x v="0"/>
    <x v="0"/>
    <x v="2"/>
    <x v="3"/>
    <x v="0"/>
    <n v="1"/>
    <n v="155"/>
    <x v="0"/>
    <x v="0"/>
    <n v="9.8039215686274508E-3"/>
    <x v="6"/>
    <x v="1"/>
    <s v="OK"/>
    <x v="0"/>
    <s v="OK"/>
    <x v="0"/>
    <x v="0"/>
    <n v="1"/>
    <n v="0"/>
    <n v="0"/>
    <n v="0"/>
    <x v="0"/>
    <x v="0"/>
    <x v="0"/>
  </r>
  <r>
    <s v="10258661350"/>
    <x v="32"/>
    <x v="28"/>
    <x v="941"/>
    <x v="944"/>
    <x v="465"/>
    <n v="3"/>
    <x v="42"/>
    <s v="E03"/>
    <s v="AV. 2 ASENT. H. LA ARBOLEDA MZ. T LT. 13"/>
    <x v="18"/>
    <x v="0"/>
    <x v="0"/>
    <x v="2"/>
    <x v="13"/>
    <x v="0"/>
    <n v="1"/>
    <n v="169"/>
    <x v="0"/>
    <x v="0"/>
    <n v="9.8039215686274508E-3"/>
    <x v="11"/>
    <x v="1"/>
    <s v="OK"/>
    <x v="0"/>
    <s v="OK"/>
    <x v="0"/>
    <x v="0"/>
    <n v="1"/>
    <n v="0"/>
    <n v="0"/>
    <n v="0"/>
    <x v="0"/>
    <x v="0"/>
    <x v="0"/>
  </r>
  <r>
    <s v="10258661350"/>
    <x v="32"/>
    <x v="28"/>
    <x v="942"/>
    <x v="945"/>
    <x v="843"/>
    <n v="3"/>
    <x v="42"/>
    <s v="E03"/>
    <s v="PJ. ASENT. H. SANTA ROSA DEL NARANJAL MZ. L. LT. 14"/>
    <x v="49"/>
    <x v="0"/>
    <x v="0"/>
    <x v="2"/>
    <x v="63"/>
    <x v="0"/>
    <n v="1"/>
    <n v="169"/>
    <x v="0"/>
    <x v="0"/>
    <n v="9.8039215686274508E-3"/>
    <x v="9"/>
    <x v="1"/>
    <s v="OK"/>
    <x v="0"/>
    <s v="OK"/>
    <x v="0"/>
    <x v="0"/>
    <n v="1"/>
    <n v="0"/>
    <n v="0"/>
    <n v="0"/>
    <x v="0"/>
    <x v="0"/>
    <x v="0"/>
  </r>
  <r>
    <n v="20604863580"/>
    <x v="32"/>
    <x v="28"/>
    <x v="943"/>
    <x v="946"/>
    <x v="844"/>
    <n v="3"/>
    <x v="42"/>
    <s v="E02"/>
    <s v="ASENT. H. AÑO NUEVO MZ. D- 08 LT. 06"/>
    <x v="0"/>
    <x v="0"/>
    <x v="0"/>
    <x v="2"/>
    <x v="89"/>
    <x v="0"/>
    <n v="1"/>
    <n v="121"/>
    <x v="0"/>
    <x v="0"/>
    <n v="9.8039215686274508E-3"/>
    <x v="11"/>
    <x v="1"/>
    <s v="OK"/>
    <x v="0"/>
    <s v="OK"/>
    <x v="0"/>
    <x v="0"/>
    <n v="1"/>
    <n v="0"/>
    <n v="0"/>
    <n v="0"/>
    <x v="0"/>
    <x v="0"/>
    <x v="0"/>
  </r>
  <r>
    <s v="10258661350"/>
    <x v="32"/>
    <x v="28"/>
    <x v="944"/>
    <x v="947"/>
    <x v="845"/>
    <n v="3"/>
    <x v="42"/>
    <s v="E03"/>
    <s v="AV. PROGRESO 379 TRES COMPUERTAS - VISTA ALEGRE"/>
    <x v="15"/>
    <x v="0"/>
    <x v="0"/>
    <x v="2"/>
    <x v="416"/>
    <x v="0"/>
    <n v="1"/>
    <n v="178"/>
    <x v="0"/>
    <x v="0"/>
    <n v="9.8039215686274508E-3"/>
    <x v="12"/>
    <x v="1"/>
    <s v="OK"/>
    <x v="0"/>
    <s v="OK"/>
    <x v="0"/>
    <x v="0"/>
    <n v="1"/>
    <n v="0"/>
    <n v="0"/>
    <n v="0"/>
    <x v="0"/>
    <x v="0"/>
    <x v="0"/>
  </r>
  <r>
    <n v="20604863580"/>
    <x v="32"/>
    <x v="28"/>
    <x v="945"/>
    <x v="948"/>
    <x v="846"/>
    <n v="3"/>
    <x v="41"/>
    <s v="E03"/>
    <s v="CALLE 2 ASOC DE PROP RESID EL PORTAL DE CARABAYLLO MZ. E LT. 31"/>
    <x v="54"/>
    <x v="0"/>
    <x v="0"/>
    <x v="2"/>
    <x v="202"/>
    <x v="0"/>
    <n v="1"/>
    <n v="144"/>
    <x v="0"/>
    <x v="0"/>
    <n v="9.8039215686274508E-3"/>
    <x v="11"/>
    <x v="1"/>
    <s v="OK"/>
    <x v="0"/>
    <s v="OK"/>
    <x v="0"/>
    <x v="0"/>
    <n v="1"/>
    <n v="0"/>
    <n v="0"/>
    <n v="0"/>
    <x v="0"/>
    <x v="0"/>
    <x v="0"/>
  </r>
  <r>
    <n v="10443116864"/>
    <x v="33"/>
    <x v="28"/>
    <x v="946"/>
    <x v="949"/>
    <x v="476"/>
    <n v="3"/>
    <x v="41"/>
    <s v="E02"/>
    <s v="CALLE LOS TULIPANES MZ. A LT. 14"/>
    <x v="49"/>
    <x v="0"/>
    <x v="0"/>
    <x v="2"/>
    <x v="283"/>
    <x v="0"/>
    <n v="1"/>
    <n v="127"/>
    <x v="0"/>
    <x v="0"/>
    <n v="9.8039215686274508E-3"/>
    <x v="9"/>
    <x v="1"/>
    <s v="OK"/>
    <x v="0"/>
    <s v="OK"/>
    <x v="0"/>
    <x v="0"/>
    <n v="1"/>
    <n v="0"/>
    <n v="0"/>
    <n v="0"/>
    <x v="0"/>
    <x v="0"/>
    <x v="0"/>
  </r>
  <r>
    <n v="10443116864"/>
    <x v="33"/>
    <x v="28"/>
    <x v="947"/>
    <x v="950"/>
    <x v="302"/>
    <n v="3"/>
    <x v="186"/>
    <s v="E02"/>
    <s v="FUNDO VILLEGAS"/>
    <x v="153"/>
    <x v="0"/>
    <x v="0"/>
    <x v="2"/>
    <x v="124"/>
    <x v="0"/>
    <n v="1"/>
    <n v="178"/>
    <x v="0"/>
    <x v="0"/>
    <n v="9.8039215686274508E-3"/>
    <x v="12"/>
    <x v="1"/>
    <s v="OK"/>
    <x v="0"/>
    <s v="OK"/>
    <x v="0"/>
    <x v="0"/>
    <n v="1"/>
    <n v="0"/>
    <n v="0"/>
    <n v="0"/>
    <x v="0"/>
    <x v="0"/>
    <x v="0"/>
  </r>
  <r>
    <n v="10443116864"/>
    <x v="33"/>
    <x v="28"/>
    <x v="948"/>
    <x v="951"/>
    <x v="847"/>
    <n v="3"/>
    <x v="41"/>
    <s v="E02"/>
    <s v="JR. PIEDRA BIGUA 1830 ASOC. INCA MANCO CAPAC"/>
    <x v="15"/>
    <x v="0"/>
    <x v="0"/>
    <x v="2"/>
    <x v="270"/>
    <x v="0"/>
    <n v="1"/>
    <n v="183"/>
    <x v="0"/>
    <x v="0"/>
    <n v="9.8039215686274508E-3"/>
    <x v="11"/>
    <x v="1"/>
    <s v="OK"/>
    <x v="0"/>
    <s v="OK"/>
    <x v="0"/>
    <x v="0"/>
    <n v="1"/>
    <n v="0"/>
    <n v="0"/>
    <n v="0"/>
    <x v="0"/>
    <x v="0"/>
    <x v="0"/>
  </r>
  <r>
    <s v="20101620256"/>
    <x v="34"/>
    <x v="28"/>
    <x v="949"/>
    <x v="952"/>
    <x v="437"/>
    <n v="1"/>
    <x v="45"/>
    <s v="E03"/>
    <s v="CALLE LAS AZUCENAS RES. NARANJAL MZ. A LT. 8"/>
    <x v="3"/>
    <x v="0"/>
    <x v="0"/>
    <x v="2"/>
    <x v="182"/>
    <x v="0"/>
    <n v="1"/>
    <n v="104"/>
    <x v="0"/>
    <x v="0"/>
    <n v="9.8039215686274508E-3"/>
    <x v="7"/>
    <x v="1"/>
    <s v="OK"/>
    <x v="0"/>
    <s v="OK"/>
    <x v="0"/>
    <x v="0"/>
    <n v="1"/>
    <n v="0"/>
    <n v="0"/>
    <n v="0"/>
    <x v="0"/>
    <x v="0"/>
    <x v="0"/>
  </r>
  <r>
    <s v="20101620256"/>
    <x v="34"/>
    <x v="28"/>
    <x v="950"/>
    <x v="953"/>
    <x v="848"/>
    <n v="1"/>
    <x v="106"/>
    <s v="E01"/>
    <s v="PSJ.CORIRE 241 C. DE LA VEGA"/>
    <x v="10"/>
    <x v="0"/>
    <x v="0"/>
    <x v="2"/>
    <x v="277"/>
    <x v="0"/>
    <n v="1"/>
    <n v="17"/>
    <x v="0"/>
    <x v="0"/>
    <n v="9.8039215686274508E-3"/>
    <x v="12"/>
    <x v="1"/>
    <s v="OK"/>
    <x v="0"/>
    <s v="OK"/>
    <x v="0"/>
    <x v="0"/>
    <n v="1"/>
    <n v="0"/>
    <n v="0"/>
    <n v="0"/>
    <x v="0"/>
    <x v="0"/>
    <x v="0"/>
  </r>
  <r>
    <s v="20101620256"/>
    <x v="34"/>
    <x v="28"/>
    <x v="951"/>
    <x v="954"/>
    <x v="849"/>
    <n v="1"/>
    <x v="187"/>
    <s v="E03"/>
    <s v="AV. LOS RUIZSEÑORES 465"/>
    <x v="27"/>
    <x v="0"/>
    <x v="0"/>
    <x v="2"/>
    <x v="417"/>
    <x v="0"/>
    <n v="1"/>
    <n v="164"/>
    <x v="0"/>
    <x v="0"/>
    <n v="9.8039215686274508E-3"/>
    <x v="10"/>
    <x v="1"/>
    <s v="OK"/>
    <x v="5"/>
    <s v="OK"/>
    <x v="0"/>
    <x v="0"/>
    <n v="1"/>
    <n v="1"/>
    <n v="0"/>
    <n v="0"/>
    <x v="0"/>
    <x v="0"/>
    <x v="0"/>
  </r>
  <r>
    <s v="20101620256"/>
    <x v="34"/>
    <x v="28"/>
    <x v="952"/>
    <x v="955"/>
    <x v="850"/>
    <n v="1"/>
    <x v="113"/>
    <s v="E01"/>
    <s v="PSJ. MILAGRO LT. 5 EL ROSARIO A "/>
    <x v="100"/>
    <x v="0"/>
    <x v="0"/>
    <x v="2"/>
    <x v="418"/>
    <x v="0"/>
    <n v="1"/>
    <n v="82"/>
    <x v="0"/>
    <x v="0"/>
    <n v="9.8039215686274508E-3"/>
    <x v="9"/>
    <x v="1"/>
    <s v="OK"/>
    <x v="0"/>
    <s v="OK"/>
    <x v="0"/>
    <x v="0"/>
    <n v="1"/>
    <n v="0"/>
    <n v="0"/>
    <n v="0"/>
    <x v="0"/>
    <x v="0"/>
    <x v="0"/>
  </r>
  <r>
    <s v="20101620256"/>
    <x v="34"/>
    <x v="28"/>
    <x v="953"/>
    <x v="956"/>
    <x v="808"/>
    <n v="1"/>
    <x v="103"/>
    <s v="E03"/>
    <s v="CALLE CARABAYLLO 140 URB.EL PARRAL"/>
    <x v="0"/>
    <x v="0"/>
    <x v="0"/>
    <x v="2"/>
    <x v="419"/>
    <x v="0"/>
    <n v="1"/>
    <n v="130"/>
    <x v="0"/>
    <x v="0"/>
    <n v="9.8039215686274508E-3"/>
    <x v="10"/>
    <x v="1"/>
    <s v="OK"/>
    <x v="0"/>
    <s v="OK"/>
    <x v="0"/>
    <x v="0"/>
    <n v="1"/>
    <n v="0"/>
    <n v="0"/>
    <n v="0"/>
    <x v="0"/>
    <x v="0"/>
    <x v="0"/>
  </r>
  <r>
    <s v="20101620256"/>
    <x v="34"/>
    <x v="28"/>
    <x v="954"/>
    <x v="957"/>
    <x v="851"/>
    <n v="1"/>
    <x v="188"/>
    <s v="E02"/>
    <s v="MZ D .LT 02 AGRP. FAM.MANO DE DIOS "/>
    <x v="15"/>
    <x v="0"/>
    <x v="0"/>
    <x v="2"/>
    <x v="418"/>
    <x v="0"/>
    <n v="1"/>
    <n v="192"/>
    <x v="0"/>
    <x v="0"/>
    <n v="9.8039215686274508E-3"/>
    <x v="11"/>
    <x v="1"/>
    <s v="OK"/>
    <x v="0"/>
    <s v="OK"/>
    <x v="0"/>
    <x v="0"/>
    <n v="1"/>
    <n v="0"/>
    <n v="0"/>
    <n v="0"/>
    <x v="0"/>
    <x v="0"/>
    <x v="0"/>
  </r>
  <r>
    <s v="20101620256"/>
    <x v="34"/>
    <x v="28"/>
    <x v="955"/>
    <x v="958"/>
    <x v="852"/>
    <n v="1"/>
    <x v="189"/>
    <s v="E03"/>
    <s v="JR. LAS AMERICAS N° 1279"/>
    <x v="3"/>
    <x v="0"/>
    <x v="0"/>
    <x v="2"/>
    <x v="417"/>
    <x v="0"/>
    <n v="1"/>
    <n v="56"/>
    <x v="0"/>
    <x v="0"/>
    <n v="9.8039215686274508E-3"/>
    <x v="12"/>
    <x v="1"/>
    <s v="OK"/>
    <x v="0"/>
    <s v="OK"/>
    <x v="0"/>
    <x v="0"/>
    <n v="1"/>
    <n v="0"/>
    <n v="0"/>
    <n v="0"/>
    <x v="0"/>
    <x v="0"/>
    <x v="0"/>
  </r>
  <r>
    <s v="20101620256"/>
    <x v="34"/>
    <x v="28"/>
    <x v="956"/>
    <x v="959"/>
    <x v="249"/>
    <n v="1"/>
    <x v="52"/>
    <s v="E02"/>
    <s v="MZ G LT. 3 PROVIV LA FLORIDA II"/>
    <x v="3"/>
    <x v="0"/>
    <x v="0"/>
    <x v="2"/>
    <x v="420"/>
    <x v="0"/>
    <n v="1"/>
    <n v="192"/>
    <x v="0"/>
    <x v="0"/>
    <n v="9.8039215686274508E-3"/>
    <x v="9"/>
    <x v="1"/>
    <s v="OK"/>
    <x v="0"/>
    <s v="OK"/>
    <x v="0"/>
    <x v="0"/>
    <n v="1"/>
    <n v="0"/>
    <n v="0"/>
    <n v="0"/>
    <x v="0"/>
    <x v="0"/>
    <x v="0"/>
  </r>
  <r>
    <n v="20606991062"/>
    <x v="35"/>
    <x v="29"/>
    <x v="957"/>
    <x v="960"/>
    <x v="853"/>
    <n v="1"/>
    <x v="44"/>
    <s v="OBR-06-23-020 – INSTALACIÓN DE TERRAZOS Y PORCELANATO EN ESTACIONES E-01 “PUERTO CALLAO”, E-02 “BUENOS AIRES” Y E-03 “JUAN PABLO II”"/>
    <s v="CALLE HUAMACHUCO 1847"/>
    <x v="51"/>
    <x v="1"/>
    <x v="0"/>
    <x v="2"/>
    <x v="421"/>
    <x v="0"/>
    <n v="1"/>
    <n v="192"/>
    <x v="0"/>
    <x v="1"/>
    <n v="2.6315789473684209E-2"/>
    <x v="7"/>
    <x v="1"/>
    <s v="OK"/>
    <x v="0"/>
    <s v="OK"/>
    <x v="0"/>
    <x v="0"/>
    <n v="1"/>
    <n v="0"/>
    <n v="0"/>
    <n v="0"/>
    <x v="0"/>
    <x v="0"/>
    <x v="0"/>
  </r>
  <r>
    <n v="20606991062"/>
    <x v="35"/>
    <x v="29"/>
    <x v="958"/>
    <x v="961"/>
    <x v="522"/>
    <n v="1"/>
    <x v="96"/>
    <s v="OBR-06-23-020 – INSTALACIÓN DE TERRAZOS Y PORCELANATO EN ESTACIONES E-01 “PUERTO CALLAO”, E-02 “BUENOS AIRES” Y E-03 “JUAN PABLO II”"/>
    <s v="ASENT.H. J. PEREZ DE CUELLAR MZ D LT 9"/>
    <x v="15"/>
    <x v="0"/>
    <x v="0"/>
    <x v="2"/>
    <x v="422"/>
    <x v="0"/>
    <n v="1"/>
    <n v="192"/>
    <x v="0"/>
    <x v="1"/>
    <n v="2.6315789473684209E-2"/>
    <x v="8"/>
    <x v="1"/>
    <s v="OK"/>
    <x v="0"/>
    <s v="OK"/>
    <x v="0"/>
    <x v="0"/>
    <n v="1"/>
    <n v="0"/>
    <n v="0"/>
    <n v="0"/>
    <x v="0"/>
    <x v="0"/>
    <x v="0"/>
  </r>
  <r>
    <n v="20606991062"/>
    <x v="35"/>
    <x v="29"/>
    <x v="959"/>
    <x v="962"/>
    <x v="854"/>
    <n v="2"/>
    <x v="8"/>
    <s v="OBR-06-23-020 – INSTALACIÓN DE TERRAZOS Y PORCELANATO EN ESTACIONES E-01 “PUERTO CALLAO”, E-02 “BUENOS AIRES” Y E-03 “JUAN PABLO II”"/>
    <s v="AV TUPAC AMARU 235"/>
    <x v="182"/>
    <x v="0"/>
    <x v="0"/>
    <x v="2"/>
    <x v="423"/>
    <x v="0"/>
    <n v="1"/>
    <n v="192"/>
    <x v="0"/>
    <x v="1"/>
    <n v="2.6315789473684209E-2"/>
    <x v="12"/>
    <x v="1"/>
    <s v="OK"/>
    <x v="2"/>
    <s v="OK"/>
    <x v="0"/>
    <x v="0"/>
    <n v="1"/>
    <n v="1"/>
    <n v="0"/>
    <n v="0"/>
    <x v="0"/>
    <x v="0"/>
    <x v="0"/>
  </r>
  <r>
    <n v="20606991062"/>
    <x v="35"/>
    <x v="29"/>
    <x v="960"/>
    <x v="963"/>
    <x v="333"/>
    <n v="2"/>
    <x v="8"/>
    <s v="OBR-06-23-020 – INSTALACIÓN DE TERRAZOS Y PORCELANATO EN ESTACIONES E-01 “PUERTO CALLAO”, E-02 “BUENOS AIRES” Y E-03 “JUAN PABLO II”"/>
    <s v="GR. E3 SEC E PILOTO PACHACUTEC MZ. N LT 08"/>
    <x v="2"/>
    <x v="0"/>
    <x v="0"/>
    <x v="2"/>
    <x v="424"/>
    <x v="0"/>
    <n v="1"/>
    <n v="192"/>
    <x v="0"/>
    <x v="1"/>
    <n v="2.6315789473684209E-2"/>
    <x v="10"/>
    <x v="1"/>
    <s v="OK"/>
    <x v="2"/>
    <s v="OK"/>
    <x v="0"/>
    <x v="0"/>
    <n v="1"/>
    <n v="1"/>
    <n v="0"/>
    <n v="0"/>
    <x v="0"/>
    <x v="0"/>
    <x v="0"/>
  </r>
  <r>
    <n v="20606991062"/>
    <x v="35"/>
    <x v="29"/>
    <x v="961"/>
    <x v="964"/>
    <x v="855"/>
    <n v="1"/>
    <x v="190"/>
    <s v="OBR-06-23-020 – INSTALACIÓN DE TERRAZOS Y PORCELANATO EN ESTACIONES E-01 “PUERTO CALLAO”, E-02 “BUENOS AIRES” Y E-03 “JUAN PABLO II”"/>
    <s v="CALLE MANUEL GONZALES PRADA 843 PJ EL CARMEN"/>
    <x v="0"/>
    <x v="0"/>
    <x v="0"/>
    <x v="2"/>
    <x v="70"/>
    <x v="0"/>
    <n v="1"/>
    <n v="192"/>
    <x v="0"/>
    <x v="1"/>
    <n v="2.6315789473684209E-2"/>
    <x v="9"/>
    <x v="1"/>
    <s v="OK"/>
    <x v="0"/>
    <s v="OK"/>
    <x v="0"/>
    <x v="0"/>
    <n v="1"/>
    <n v="0"/>
    <n v="0"/>
    <n v="0"/>
    <x v="0"/>
    <x v="0"/>
    <x v="0"/>
  </r>
  <r>
    <n v="20606991062"/>
    <x v="35"/>
    <x v="29"/>
    <x v="962"/>
    <x v="965"/>
    <x v="856"/>
    <n v="1"/>
    <x v="191"/>
    <s v="OBR-06-23-020 – INSTALACIÓN DE TERRAZOS Y PORCELANATO EN ESTACIONES E-01 “PUERTO CALLAO”, E-02 “BUENOS AIRES” Y E-03 “JUAN PABLO II”"/>
    <s v="RPO.VIV.LOS ALGARROBOS MZ C LT 1"/>
    <x v="3"/>
    <x v="0"/>
    <x v="0"/>
    <x v="2"/>
    <x v="425"/>
    <x v="0"/>
    <n v="1"/>
    <n v="192"/>
    <x v="0"/>
    <x v="1"/>
    <n v="2.6315789473684209E-2"/>
    <x v="12"/>
    <x v="1"/>
    <s v="OK"/>
    <x v="0"/>
    <s v="OK"/>
    <x v="0"/>
    <x v="0"/>
    <n v="1"/>
    <n v="0"/>
    <n v="0"/>
    <n v="0"/>
    <x v="0"/>
    <x v="0"/>
    <x v="0"/>
  </r>
  <r>
    <n v="20606991062"/>
    <x v="35"/>
    <x v="29"/>
    <x v="963"/>
    <x v="966"/>
    <x v="380"/>
    <n v="2"/>
    <x v="8"/>
    <s v="OBR-06-23-020 – INSTALACIÓN DE TERRAZOS Y PORCELANATO EN ESTACIONES E-01 “PUERTO CALLAO”, E-02 “BUENOS AIRES” Y E-03 “JUAN PABLO II”"/>
    <s v="OCROS"/>
    <x v="183"/>
    <x v="0"/>
    <x v="0"/>
    <x v="2"/>
    <x v="70"/>
    <x v="0"/>
    <n v="1"/>
    <n v="185"/>
    <x v="0"/>
    <x v="1"/>
    <n v="2.6315789473684209E-2"/>
    <x v="13"/>
    <x v="1"/>
    <s v="OK"/>
    <x v="0"/>
    <s v="OK"/>
    <x v="0"/>
    <x v="0"/>
    <n v="1"/>
    <n v="0"/>
    <n v="0"/>
    <n v="0"/>
    <x v="0"/>
    <x v="0"/>
    <x v="0"/>
  </r>
  <r>
    <n v="20606991062"/>
    <x v="35"/>
    <x v="29"/>
    <x v="964"/>
    <x v="967"/>
    <x v="857"/>
    <n v="2"/>
    <x v="8"/>
    <s v="OBR-06-23-020 – INSTALACIÓN DE TERRAZOS Y PORCELANATO EN ESTACIONES E-01 “PUERTO CALLAO”, E-02 “BUENOS AIRES” Y E-03 “JUAN PABLO II”"/>
    <s v="ASOC. LOS PORTALES MZ A LT 1"/>
    <x v="53"/>
    <x v="0"/>
    <x v="0"/>
    <x v="2"/>
    <x v="426"/>
    <x v="0"/>
    <n v="1"/>
    <n v="192"/>
    <x v="0"/>
    <x v="1"/>
    <n v="2.6315789473684209E-2"/>
    <x v="6"/>
    <x v="1"/>
    <s v="OK"/>
    <x v="0"/>
    <s v="OK"/>
    <x v="0"/>
    <x v="0"/>
    <n v="1"/>
    <n v="0"/>
    <n v="0"/>
    <n v="0"/>
    <x v="0"/>
    <x v="0"/>
    <x v="0"/>
  </r>
  <r>
    <n v="20100568617"/>
    <x v="63"/>
    <x v="46"/>
    <x v="965"/>
    <x v="968"/>
    <x v="397"/>
    <n v="1"/>
    <x v="192"/>
    <s v="TRASLADO DE DOVELAS - PLANTA DOVELAS E-19"/>
    <s v="A.H. VIRGEN DE GUADALUPE MZ. O LT. 13"/>
    <x v="36"/>
    <x v="0"/>
    <x v="0"/>
    <x v="1"/>
    <x v="427"/>
    <x v="0"/>
    <n v="1"/>
    <n v="208"/>
    <x v="0"/>
    <x v="1"/>
    <n v="0.125"/>
    <x v="8"/>
    <x v="1"/>
    <s v="OK"/>
    <x v="2"/>
    <s v="OK"/>
    <x v="0"/>
    <x v="0"/>
    <n v="1"/>
    <n v="1"/>
    <n v="0"/>
    <n v="0"/>
    <x v="0"/>
    <x v="0"/>
    <x v="0"/>
  </r>
  <r>
    <n v="20557447181"/>
    <x v="64"/>
    <x v="47"/>
    <x v="966"/>
    <x v="969"/>
    <x v="516"/>
    <n v="1"/>
    <x v="91"/>
    <s v="Estacion 4"/>
    <s v="ASOC VIV LAS BRISAS DE HUACHIPA MZ E LT 21"/>
    <x v="50"/>
    <x v="0"/>
    <x v="6"/>
    <x v="2"/>
    <x v="196"/>
    <x v="0"/>
    <n v="1"/>
    <n v="190"/>
    <x v="0"/>
    <x v="1"/>
    <n v="0.125"/>
    <x v="8"/>
    <x v="1"/>
    <s v="OK"/>
    <x v="0"/>
    <s v="OK"/>
    <x v="0"/>
    <x v="0"/>
    <n v="1"/>
    <n v="0"/>
    <n v="0"/>
    <n v="0"/>
    <x v="0"/>
    <x v="0"/>
    <x v="0"/>
  </r>
  <r>
    <n v="20557447181"/>
    <x v="64"/>
    <x v="47"/>
    <x v="967"/>
    <x v="970"/>
    <x v="290"/>
    <n v="1"/>
    <x v="91"/>
    <s v="Estacion 4"/>
    <s v="AGRUPAMIENTO SEÑOR DE HUANCA MZ D LT4"/>
    <x v="50"/>
    <x v="0"/>
    <x v="6"/>
    <x v="2"/>
    <x v="428"/>
    <x v="0"/>
    <n v="1"/>
    <n v="190"/>
    <x v="0"/>
    <x v="1"/>
    <n v="0.125"/>
    <x v="6"/>
    <x v="1"/>
    <s v="OK"/>
    <x v="0"/>
    <s v="OK"/>
    <x v="0"/>
    <x v="0"/>
    <n v="1"/>
    <n v="0"/>
    <n v="0"/>
    <n v="0"/>
    <x v="0"/>
    <x v="0"/>
    <x v="0"/>
  </r>
  <r>
    <n v="20557447181"/>
    <x v="64"/>
    <x v="47"/>
    <x v="968"/>
    <x v="971"/>
    <x v="858"/>
    <n v="1"/>
    <x v="91"/>
    <s v="Estacion 1"/>
    <s v="PARCEÑA 6 ZONA I ASOC. HUERTA GRANJA EL AYLLU LT. 10"/>
    <x v="50"/>
    <x v="0"/>
    <x v="6"/>
    <x v="2"/>
    <x v="54"/>
    <x v="0"/>
    <n v="1"/>
    <n v="208"/>
    <x v="0"/>
    <x v="1"/>
    <n v="0.125"/>
    <x v="10"/>
    <x v="1"/>
    <s v="OK"/>
    <x v="0"/>
    <s v="OK"/>
    <x v="0"/>
    <x v="0"/>
    <n v="1"/>
    <n v="0"/>
    <n v="0"/>
    <n v="0"/>
    <x v="0"/>
    <x v="0"/>
    <x v="0"/>
  </r>
  <r>
    <n v="20556570681"/>
    <x v="36"/>
    <x v="30"/>
    <x v="969"/>
    <x v="972"/>
    <x v="859"/>
    <n v="1"/>
    <x v="106"/>
    <s v="SUPERESTRUCTURA DE VIA TUNEL PBM PV1BIS - E4 - Y -TRAMO 3ra VIA PARQUE MURILLO – E19"/>
    <s v="CALLE OSCAR MIROQUEZADA 115"/>
    <x v="47"/>
    <x v="0"/>
    <x v="0"/>
    <x v="2"/>
    <x v="55"/>
    <x v="0"/>
    <n v="1"/>
    <n v="240"/>
    <x v="0"/>
    <x v="1"/>
    <n v="4.7619047619047623E-3"/>
    <x v="13"/>
    <x v="1"/>
    <s v="OK"/>
    <x v="0"/>
    <s v="OK"/>
    <x v="0"/>
    <x v="0"/>
    <n v="1"/>
    <n v="0"/>
    <n v="0"/>
    <n v="0"/>
    <x v="0"/>
    <x v="0"/>
    <x v="0"/>
  </r>
  <r>
    <n v="20556570681"/>
    <x v="36"/>
    <x v="30"/>
    <x v="970"/>
    <x v="973"/>
    <x v="860"/>
    <n v="1"/>
    <x v="165"/>
    <s v="SUPERESTRUCTURA DE VIA TUNEL PBM PV1BIS - E4 - Y -TRAMO 3ra VIA PARQUE MURILLO – E19"/>
    <s v="MZ I LOTE 22 IV ETAPA "/>
    <x v="19"/>
    <x v="0"/>
    <x v="0"/>
    <x v="2"/>
    <x v="106"/>
    <x v="0"/>
    <n v="1"/>
    <n v="240"/>
    <x v="0"/>
    <x v="1"/>
    <n v="4.7619047619047623E-3"/>
    <x v="13"/>
    <x v="1"/>
    <s v="OK"/>
    <x v="0"/>
    <s v="OK"/>
    <x v="0"/>
    <x v="0"/>
    <n v="1"/>
    <n v="0"/>
    <n v="0"/>
    <n v="0"/>
    <x v="0"/>
    <x v="0"/>
    <x v="0"/>
  </r>
  <r>
    <n v="20556570681"/>
    <x v="36"/>
    <x v="30"/>
    <x v="971"/>
    <x v="974"/>
    <x v="414"/>
    <n v="2"/>
    <x v="157"/>
    <s v="SUPERESTRUCTURA DE VIA TUNEL PBM PV1BIS - E4 - Y -TRAMO 3ra VIA PARQUE MURILLO – E19"/>
    <s v="ASOC. DE VIVIENDA BRISAS DE SANTA ROSA MZ F LOTE 34"/>
    <x v="3"/>
    <x v="0"/>
    <x v="0"/>
    <x v="2"/>
    <x v="429"/>
    <x v="0"/>
    <n v="4"/>
    <n v="240"/>
    <x v="0"/>
    <x v="1"/>
    <n v="4.7619047619047623E-3"/>
    <x v="11"/>
    <x v="1"/>
    <s v="OK"/>
    <x v="0"/>
    <s v="OK"/>
    <x v="0"/>
    <x v="0"/>
    <n v="1"/>
    <n v="0"/>
    <n v="0"/>
    <n v="0"/>
    <x v="0"/>
    <x v="0"/>
    <x v="0"/>
  </r>
  <r>
    <n v="20556570681"/>
    <x v="36"/>
    <x v="30"/>
    <x v="972"/>
    <x v="975"/>
    <x v="861"/>
    <n v="2"/>
    <x v="193"/>
    <s v="SUPERESTRUCTURA DE VIA TUNEL PBM PV1BIS - E4 - Y -TRAMO 3ra VIA PARQUE MURILLO – E19"/>
    <s v="PASAJE LAS BEGONIAS O7 ASOC. UNION SANTA CRUZ"/>
    <x v="15"/>
    <x v="0"/>
    <x v="0"/>
    <x v="2"/>
    <x v="429"/>
    <x v="0"/>
    <n v="4"/>
    <n v="240"/>
    <x v="0"/>
    <x v="1"/>
    <n v="4.7619047619047623E-3"/>
    <x v="12"/>
    <x v="1"/>
    <s v="OK"/>
    <x v="0"/>
    <s v="OK"/>
    <x v="0"/>
    <x v="0"/>
    <n v="1"/>
    <n v="0"/>
    <n v="0"/>
    <n v="0"/>
    <x v="0"/>
    <x v="0"/>
    <x v="0"/>
  </r>
  <r>
    <n v="20556570681"/>
    <x v="36"/>
    <x v="30"/>
    <x v="973"/>
    <x v="976"/>
    <x v="704"/>
    <n v="2"/>
    <x v="8"/>
    <s v="SUPERESTRUCTURA DE VIA TUNEL PBM PV1BIS - E4 - Y -TRAMO 3ra VIA PARQUE MURILLO – E19"/>
    <s v="CALLE MISIONERO MANZINI BLOCK 3 DPTO. 104"/>
    <x v="6"/>
    <x v="0"/>
    <x v="0"/>
    <x v="2"/>
    <x v="429"/>
    <x v="0"/>
    <n v="4"/>
    <n v="240"/>
    <x v="0"/>
    <x v="1"/>
    <n v="4.7619047619047623E-3"/>
    <x v="13"/>
    <x v="1"/>
    <s v="OK"/>
    <x v="2"/>
    <s v="OK"/>
    <x v="0"/>
    <x v="0"/>
    <n v="1"/>
    <n v="1"/>
    <n v="0"/>
    <n v="0"/>
    <x v="0"/>
    <x v="0"/>
    <x v="0"/>
  </r>
  <r>
    <n v="20556570681"/>
    <x v="36"/>
    <x v="30"/>
    <x v="974"/>
    <x v="977"/>
    <x v="862"/>
    <n v="2"/>
    <x v="194"/>
    <s v="SUPERESTRUCTURA DE VIA TUNEL PBM PV1BIS - E4 - Y -TRAMO 3ra VIA PARQUE MURILLO – E19"/>
    <s v="AV LOS ANGELES 315"/>
    <x v="125"/>
    <x v="0"/>
    <x v="0"/>
    <x v="2"/>
    <x v="430"/>
    <x v="0"/>
    <n v="4"/>
    <n v="240"/>
    <x v="0"/>
    <x v="1"/>
    <n v="4.7619047619047623E-3"/>
    <x v="9"/>
    <x v="1"/>
    <s v="OK"/>
    <x v="0"/>
    <s v="OK"/>
    <x v="0"/>
    <x v="0"/>
    <n v="1"/>
    <n v="0"/>
    <n v="0"/>
    <n v="0"/>
    <x v="0"/>
    <x v="0"/>
    <x v="0"/>
  </r>
  <r>
    <n v="20556570681"/>
    <x v="36"/>
    <x v="30"/>
    <x v="975"/>
    <x v="978"/>
    <x v="863"/>
    <n v="2"/>
    <x v="67"/>
    <s v="SUPERESTRUCTURA DE VIA TUNEL PBM PV1BIS - E4 - Y -TRAMO 3ra VIA PARQUE MURILLO – E19"/>
    <s v="URB. LOZ JAZMINES MZ A LOTE 18"/>
    <x v="15"/>
    <x v="0"/>
    <x v="0"/>
    <x v="2"/>
    <x v="40"/>
    <x v="0"/>
    <n v="4"/>
    <n v="240"/>
    <x v="0"/>
    <x v="1"/>
    <n v="4.7619047619047623E-3"/>
    <x v="12"/>
    <x v="1"/>
    <s v="OK"/>
    <x v="0"/>
    <s v="OK"/>
    <x v="0"/>
    <x v="0"/>
    <n v="1"/>
    <n v="0"/>
    <n v="0"/>
    <n v="0"/>
    <x v="0"/>
    <x v="0"/>
    <x v="0"/>
  </r>
  <r>
    <n v="20556570681"/>
    <x v="36"/>
    <x v="30"/>
    <x v="976"/>
    <x v="979"/>
    <x v="864"/>
    <n v="2"/>
    <x v="8"/>
    <s v="SUPERESTRUCTURA DE VIA TUNEL PBM PV1BIS - E4 - Y -TRAMO 3ra VIA PARQUE MURILLO – E19"/>
    <s v="MZ E LOTE 11 LOMAS DEL GOLF"/>
    <x v="1"/>
    <x v="0"/>
    <x v="0"/>
    <x v="2"/>
    <x v="40"/>
    <x v="0"/>
    <n v="4"/>
    <n v="240"/>
    <x v="0"/>
    <x v="1"/>
    <n v="4.7619047619047623E-3"/>
    <x v="12"/>
    <x v="1"/>
    <s v="OK"/>
    <x v="1"/>
    <s v="OK"/>
    <x v="0"/>
    <x v="0"/>
    <n v="1"/>
    <n v="1"/>
    <n v="0"/>
    <n v="0"/>
    <x v="0"/>
    <x v="0"/>
    <x v="0"/>
  </r>
  <r>
    <n v="20556570681"/>
    <x v="36"/>
    <x v="30"/>
    <x v="977"/>
    <x v="980"/>
    <x v="371"/>
    <n v="2"/>
    <x v="8"/>
    <s v="SUPERESTRUCTURA DE VIA TUNEL PBM PV1BIS - E4 - Y -TRAMO 3ra VIA PARQUE MURILLO – E19"/>
    <s v="ASOC. LA UNION SANTA CRUZ CAJAMARQUILLA MZ C LOTE 7"/>
    <x v="50"/>
    <x v="0"/>
    <x v="0"/>
    <x v="2"/>
    <x v="114"/>
    <x v="0"/>
    <n v="4"/>
    <n v="240"/>
    <x v="0"/>
    <x v="1"/>
    <n v="4.7619047619047623E-3"/>
    <x v="8"/>
    <x v="1"/>
    <s v="OK"/>
    <x v="0"/>
    <s v="OK"/>
    <x v="0"/>
    <x v="0"/>
    <n v="1"/>
    <n v="0"/>
    <n v="0"/>
    <n v="0"/>
    <x v="0"/>
    <x v="0"/>
    <x v="0"/>
  </r>
  <r>
    <n v="20556570681"/>
    <x v="36"/>
    <x v="30"/>
    <x v="978"/>
    <x v="981"/>
    <x v="306"/>
    <n v="2"/>
    <x v="157"/>
    <s v="SUPERESTRUCTURA DE VIA TUNEL PBM PV1BIS - E4 - Y -TRAMO 3ra VIA PARQUE MURILLO – E19"/>
    <s v="PSJE. LOS BRILLANTES MZ A LOTE 5 "/>
    <x v="119"/>
    <x v="0"/>
    <x v="0"/>
    <x v="2"/>
    <x v="185"/>
    <x v="0"/>
    <n v="4"/>
    <n v="240"/>
    <x v="0"/>
    <x v="1"/>
    <n v="4.7619047619047623E-3"/>
    <x v="11"/>
    <x v="1"/>
    <s v="OK"/>
    <x v="0"/>
    <s v="OK"/>
    <x v="0"/>
    <x v="0"/>
    <n v="1"/>
    <n v="0"/>
    <n v="0"/>
    <n v="0"/>
    <x v="0"/>
    <x v="0"/>
    <x v="0"/>
  </r>
  <r>
    <n v="20556570681"/>
    <x v="36"/>
    <x v="30"/>
    <x v="979"/>
    <x v="982"/>
    <x v="691"/>
    <n v="2"/>
    <x v="8"/>
    <s v="SUPERESTRUCTURA DE VIA TUNEL PBM PV1BIS - E4 - Y -TRAMO 3ra VIA PARQUE MURILLO – E19"/>
    <s v="UCV 921 LOTE 29 ZONA F HUAYCAN"/>
    <x v="1"/>
    <x v="0"/>
    <x v="28"/>
    <x v="2"/>
    <x v="431"/>
    <x v="2"/>
    <n v="4"/>
    <n v="120"/>
    <x v="0"/>
    <x v="1"/>
    <n v="4.7619047619047623E-3"/>
    <x v="13"/>
    <x v="1"/>
    <s v="OK"/>
    <x v="1"/>
    <s v="OK"/>
    <x v="0"/>
    <x v="0"/>
    <n v="1"/>
    <n v="1"/>
    <n v="0"/>
    <n v="1"/>
    <x v="0"/>
    <x v="1"/>
    <x v="0"/>
  </r>
  <r>
    <n v="20556570681"/>
    <x v="36"/>
    <x v="30"/>
    <x v="980"/>
    <x v="983"/>
    <x v="865"/>
    <n v="2"/>
    <x v="157"/>
    <s v="SUPERESTRUCTURA DE VIA TUNEL PBM PV1BIS - E4 - Y -TRAMO 3ra VIA PARQUE MURILLO – E19"/>
    <s v="CALLE 28  URB ALBINO HERRERA MZ S1 LT 21"/>
    <x v="6"/>
    <x v="0"/>
    <x v="0"/>
    <x v="2"/>
    <x v="193"/>
    <x v="0"/>
    <n v="4"/>
    <n v="240"/>
    <x v="0"/>
    <x v="1"/>
    <n v="4.7619047619047623E-3"/>
    <x v="6"/>
    <x v="1"/>
    <s v="OK"/>
    <x v="2"/>
    <s v="OK"/>
    <x v="0"/>
    <x v="0"/>
    <n v="1"/>
    <n v="1"/>
    <n v="0"/>
    <n v="0"/>
    <x v="0"/>
    <x v="0"/>
    <x v="0"/>
  </r>
  <r>
    <n v="20556570681"/>
    <x v="36"/>
    <x v="30"/>
    <x v="981"/>
    <x v="984"/>
    <x v="803"/>
    <n v="1"/>
    <x v="96"/>
    <s v="SUPERESTRUCTURA DE VIA TUNEL PBM PV1BIS - E4 - Y -TRAMO 3ra VIA PARQUE MURILLO – E19"/>
    <s v="JR. LAS GALENAS 240 ASOC. SAN HILARION "/>
    <x v="76"/>
    <x v="0"/>
    <x v="0"/>
    <x v="2"/>
    <x v="51"/>
    <x v="0"/>
    <n v="1"/>
    <n v="240"/>
    <x v="0"/>
    <x v="1"/>
    <n v="4.7619047619047623E-3"/>
    <x v="8"/>
    <x v="1"/>
    <s v="OK"/>
    <x v="0"/>
    <s v="OK"/>
    <x v="0"/>
    <x v="0"/>
    <n v="1"/>
    <n v="0"/>
    <n v="0"/>
    <n v="0"/>
    <x v="0"/>
    <x v="0"/>
    <x v="0"/>
  </r>
  <r>
    <n v="20556570681"/>
    <x v="36"/>
    <x v="30"/>
    <x v="982"/>
    <x v="985"/>
    <x v="866"/>
    <n v="2"/>
    <x v="67"/>
    <s v="ESTACION 03 BOCANEGRA LINEA 4"/>
    <s v="JR RIO SANTA FE CANTO REY"/>
    <x v="184"/>
    <x v="0"/>
    <x v="0"/>
    <x v="2"/>
    <x v="2"/>
    <x v="0"/>
    <n v="4"/>
    <n v="240"/>
    <x v="0"/>
    <x v="1"/>
    <n v="4.7619047619047623E-3"/>
    <x v="8"/>
    <x v="1"/>
    <s v="OK"/>
    <x v="0"/>
    <s v="OK"/>
    <x v="0"/>
    <x v="0"/>
    <n v="1"/>
    <n v="0"/>
    <n v="0"/>
    <n v="0"/>
    <x v="0"/>
    <x v="0"/>
    <x v="0"/>
  </r>
  <r>
    <n v="20556570681"/>
    <x v="36"/>
    <x v="30"/>
    <x v="983"/>
    <x v="986"/>
    <x v="867"/>
    <n v="2"/>
    <x v="2"/>
    <s v="ESTACION 03 BOCANEGRA LINEA 4"/>
    <s v="CALLE 2 PUEBLO JOVEN CALLEJON VILLEGAS MZ H LT 10"/>
    <x v="6"/>
    <x v="0"/>
    <x v="0"/>
    <x v="2"/>
    <x v="128"/>
    <x v="0"/>
    <n v="4"/>
    <n v="240"/>
    <x v="0"/>
    <x v="1"/>
    <n v="4.7619047619047623E-3"/>
    <x v="9"/>
    <x v="1"/>
    <s v="OK"/>
    <x v="2"/>
    <s v="OK"/>
    <x v="0"/>
    <x v="0"/>
    <n v="1"/>
    <n v="1"/>
    <n v="0"/>
    <n v="0"/>
    <x v="0"/>
    <x v="0"/>
    <x v="0"/>
  </r>
  <r>
    <n v="20556570681"/>
    <x v="36"/>
    <x v="30"/>
    <x v="984"/>
    <x v="987"/>
    <x v="718"/>
    <n v="2"/>
    <x v="8"/>
    <s v="ESTACION 03 BOCANEGRA LINEA 4"/>
    <s v="CALLE 3 MZ.E LT.3 ASOC.VILLA MERCEDES"/>
    <x v="15"/>
    <x v="0"/>
    <x v="0"/>
    <x v="2"/>
    <x v="25"/>
    <x v="0"/>
    <n v="4"/>
    <n v="240"/>
    <x v="0"/>
    <x v="1"/>
    <n v="4.7619047619047623E-3"/>
    <x v="7"/>
    <x v="1"/>
    <s v="OK"/>
    <x v="0"/>
    <s v="OK"/>
    <x v="0"/>
    <x v="0"/>
    <n v="1"/>
    <n v="0"/>
    <n v="0"/>
    <n v="0"/>
    <x v="0"/>
    <x v="0"/>
    <x v="0"/>
  </r>
  <r>
    <n v="20556570681"/>
    <x v="36"/>
    <x v="30"/>
    <x v="985"/>
    <x v="988"/>
    <x v="868"/>
    <n v="2"/>
    <x v="12"/>
    <s v="ESTACION 03 BOCANEGRA LINEA 4"/>
    <s v="CALLE SAN FRANCISCO ASENT.H. SAN FRANCISCO MZ. A   ATE LIMA Perú"/>
    <x v="1"/>
    <x v="0"/>
    <x v="0"/>
    <x v="2"/>
    <x v="245"/>
    <x v="0"/>
    <n v="4"/>
    <n v="240"/>
    <x v="0"/>
    <x v="1"/>
    <n v="4.7619047619047623E-3"/>
    <x v="11"/>
    <x v="1"/>
    <s v="OK"/>
    <x v="1"/>
    <s v="OK"/>
    <x v="0"/>
    <x v="0"/>
    <n v="1"/>
    <n v="1"/>
    <n v="0"/>
    <n v="0"/>
    <x v="0"/>
    <x v="0"/>
    <x v="0"/>
  </r>
  <r>
    <n v="20556570681"/>
    <x v="36"/>
    <x v="30"/>
    <x v="986"/>
    <x v="989"/>
    <x v="869"/>
    <n v="2"/>
    <x v="11"/>
    <s v="ESTACION 03 BOCANEGRA LINEA 4"/>
    <s v="CALLE MIGUEL GRAU 709"/>
    <x v="185"/>
    <x v="0"/>
    <x v="0"/>
    <x v="2"/>
    <x v="240"/>
    <x v="0"/>
    <n v="4"/>
    <n v="240"/>
    <x v="0"/>
    <x v="1"/>
    <n v="4.7619047619047623E-3"/>
    <x v="6"/>
    <x v="1"/>
    <s v="OK"/>
    <x v="0"/>
    <s v="OK"/>
    <x v="0"/>
    <x v="0"/>
    <n v="1"/>
    <n v="0"/>
    <n v="0"/>
    <n v="0"/>
    <x v="0"/>
    <x v="0"/>
    <x v="0"/>
  </r>
  <r>
    <n v="20556570681"/>
    <x v="36"/>
    <x v="30"/>
    <x v="987"/>
    <x v="990"/>
    <x v="311"/>
    <n v="2"/>
    <x v="11"/>
    <s v="ESTACION 03 BOCANEGRA LINEA 4"/>
    <s v="CALLE MIGUEL GRAU 709"/>
    <x v="185"/>
    <x v="0"/>
    <x v="0"/>
    <x v="2"/>
    <x v="128"/>
    <x v="0"/>
    <n v="4"/>
    <n v="240"/>
    <x v="0"/>
    <x v="1"/>
    <n v="4.7619047619047623E-3"/>
    <x v="10"/>
    <x v="1"/>
    <s v="OK"/>
    <x v="0"/>
    <s v="OK"/>
    <x v="0"/>
    <x v="0"/>
    <n v="1"/>
    <n v="0"/>
    <n v="0"/>
    <n v="0"/>
    <x v="0"/>
    <x v="0"/>
    <x v="0"/>
  </r>
  <r>
    <n v="20556570681"/>
    <x v="36"/>
    <x v="30"/>
    <x v="988"/>
    <x v="991"/>
    <x v="337"/>
    <n v="2"/>
    <x v="11"/>
    <s v="ESTACION 03 BOCANEGRA LINEA 4"/>
    <s v="LOMAS ALTA JICAMARCA MZ. BC5 LT. 6 LIMA-HUAROCHIRI"/>
    <x v="95"/>
    <x v="0"/>
    <x v="24"/>
    <x v="2"/>
    <x v="245"/>
    <x v="2"/>
    <n v="4"/>
    <n v="176"/>
    <x v="0"/>
    <x v="1"/>
    <n v="4.7619047619047623E-3"/>
    <x v="6"/>
    <x v="1"/>
    <s v="OK"/>
    <x v="0"/>
    <s v="OK"/>
    <x v="0"/>
    <x v="0"/>
    <n v="1"/>
    <n v="0"/>
    <n v="0"/>
    <n v="1"/>
    <x v="0"/>
    <x v="1"/>
    <x v="0"/>
  </r>
  <r>
    <n v="20556570681"/>
    <x v="36"/>
    <x v="30"/>
    <x v="989"/>
    <x v="992"/>
    <x v="870"/>
    <n v="1"/>
    <x v="106"/>
    <s v="ESTACION 03 BOCANEGRA LINEA 4"/>
    <s v="AV. 3 DE OCTUBRE 1226"/>
    <x v="0"/>
    <x v="0"/>
    <x v="0"/>
    <x v="2"/>
    <x v="114"/>
    <x v="0"/>
    <n v="1"/>
    <n v="240"/>
    <x v="0"/>
    <x v="1"/>
    <n v="4.7619047619047623E-3"/>
    <x v="10"/>
    <x v="1"/>
    <s v="OK"/>
    <x v="0"/>
    <s v="OK"/>
    <x v="0"/>
    <x v="0"/>
    <n v="1"/>
    <n v="0"/>
    <n v="0"/>
    <n v="0"/>
    <x v="0"/>
    <x v="0"/>
    <x v="0"/>
  </r>
  <r>
    <n v="20556570681"/>
    <x v="36"/>
    <x v="30"/>
    <x v="990"/>
    <x v="993"/>
    <x v="871"/>
    <n v="2"/>
    <x v="11"/>
    <s v="ESTACION 03 BOCANEGRA LINEA 4"/>
    <s v="PARCCORA S/N"/>
    <x v="183"/>
    <x v="0"/>
    <x v="27"/>
    <x v="2"/>
    <x v="239"/>
    <x v="2"/>
    <n v="4"/>
    <n v="24"/>
    <x v="0"/>
    <x v="1"/>
    <n v="4.7619047619047623E-3"/>
    <x v="13"/>
    <x v="1"/>
    <s v="OK"/>
    <x v="0"/>
    <s v="OK"/>
    <x v="0"/>
    <x v="0"/>
    <n v="1"/>
    <n v="0"/>
    <n v="0"/>
    <n v="1"/>
    <x v="0"/>
    <x v="1"/>
    <x v="0"/>
  </r>
  <r>
    <n v="20556570681"/>
    <x v="36"/>
    <x v="30"/>
    <x v="991"/>
    <x v="994"/>
    <x v="872"/>
    <n v="1"/>
    <x v="106"/>
    <s v="ESTACION 03 BOCANEGRA LINEA 4"/>
    <s v="PSJ MIGUEL GRAU MZ 32 LT2C ZONA D ETAPA 5"/>
    <x v="186"/>
    <x v="0"/>
    <x v="0"/>
    <x v="2"/>
    <x v="145"/>
    <x v="0"/>
    <n v="1"/>
    <n v="240"/>
    <x v="0"/>
    <x v="1"/>
    <n v="4.7619047619047623E-3"/>
    <x v="8"/>
    <x v="1"/>
    <s v="OK"/>
    <x v="0"/>
    <s v="OK"/>
    <x v="0"/>
    <x v="0"/>
    <n v="1"/>
    <n v="0"/>
    <n v="0"/>
    <n v="0"/>
    <x v="0"/>
    <x v="0"/>
    <x v="0"/>
  </r>
  <r>
    <n v="20556570681"/>
    <x v="36"/>
    <x v="30"/>
    <x v="992"/>
    <x v="995"/>
    <x v="420"/>
    <n v="2"/>
    <x v="67"/>
    <s v="ESTACION 03 BOCANEGRA LINEA 4"/>
    <s v="AV ALAMEDA SUR MZ J12LT 41 LOS CEDROS DE VILLA SECTOR 1 ZONA B"/>
    <x v="38"/>
    <x v="0"/>
    <x v="0"/>
    <x v="2"/>
    <x v="432"/>
    <x v="0"/>
    <n v="4"/>
    <n v="240"/>
    <x v="0"/>
    <x v="1"/>
    <n v="4.7619047619047623E-3"/>
    <x v="11"/>
    <x v="1"/>
    <s v="OK"/>
    <x v="0"/>
    <s v="OK"/>
    <x v="0"/>
    <x v="0"/>
    <n v="1"/>
    <n v="0"/>
    <n v="0"/>
    <n v="0"/>
    <x v="0"/>
    <x v="0"/>
    <x v="0"/>
  </r>
  <r>
    <n v="20556570681"/>
    <x v="36"/>
    <x v="30"/>
    <x v="993"/>
    <x v="996"/>
    <x v="873"/>
    <n v="1"/>
    <x v="96"/>
    <s v="ESTACION 03 BOCANEGRA LINEA 4"/>
    <s v="JICAMARCA - ANEXO 22 PAMPA CTO GRANDE"/>
    <x v="95"/>
    <x v="0"/>
    <x v="0"/>
    <x v="2"/>
    <x v="105"/>
    <x v="0"/>
    <n v="1"/>
    <n v="240"/>
    <x v="0"/>
    <x v="1"/>
    <n v="4.7619047619047623E-3"/>
    <x v="7"/>
    <x v="1"/>
    <s v="OK"/>
    <x v="0"/>
    <s v="OK"/>
    <x v="0"/>
    <x v="0"/>
    <n v="1"/>
    <n v="0"/>
    <n v="0"/>
    <n v="0"/>
    <x v="0"/>
    <x v="0"/>
    <x v="0"/>
  </r>
  <r>
    <n v="20556570681"/>
    <x v="36"/>
    <x v="30"/>
    <x v="994"/>
    <x v="997"/>
    <x v="874"/>
    <n v="2"/>
    <x v="8"/>
    <s v="ESTACION 03 BOCANEGRA LINEA 4"/>
    <s v="CALLE INTIHUATANA 172 COOP. CHANCAS"/>
    <x v="27"/>
    <x v="0"/>
    <x v="0"/>
    <x v="2"/>
    <x v="207"/>
    <x v="0"/>
    <n v="4"/>
    <n v="224"/>
    <x v="0"/>
    <x v="1"/>
    <n v="4.7619047619047623E-3"/>
    <x v="6"/>
    <x v="1"/>
    <s v="OK"/>
    <x v="5"/>
    <s v="OK"/>
    <x v="0"/>
    <x v="0"/>
    <n v="1"/>
    <n v="1"/>
    <n v="1"/>
    <n v="0"/>
    <x v="0"/>
    <x v="0"/>
    <x v="1"/>
  </r>
  <r>
    <n v="20556570681"/>
    <x v="36"/>
    <x v="30"/>
    <x v="995"/>
    <x v="998"/>
    <x v="875"/>
    <n v="1"/>
    <x v="52"/>
    <s v="ESTACION 03 BOCANEGRA LINEA 4"/>
    <s v="CALLE JOSE DIAZ 310"/>
    <x v="158"/>
    <x v="0"/>
    <x v="0"/>
    <x v="2"/>
    <x v="207"/>
    <x v="0"/>
    <n v="1"/>
    <n v="224"/>
    <x v="0"/>
    <x v="1"/>
    <n v="4.7619047619047623E-3"/>
    <x v="12"/>
    <x v="1"/>
    <s v="OK"/>
    <x v="3"/>
    <s v="OK"/>
    <x v="0"/>
    <x v="0"/>
    <n v="1"/>
    <n v="1"/>
    <n v="1"/>
    <n v="0"/>
    <x v="0"/>
    <x v="0"/>
    <x v="1"/>
  </r>
  <r>
    <n v="20556570681"/>
    <x v="36"/>
    <x v="30"/>
    <x v="389"/>
    <x v="390"/>
    <x v="373"/>
    <n v="2"/>
    <x v="18"/>
    <s v="ESTACION 03 BOCANEGRA LINEA 4"/>
    <s v="MZ E LT 14 PEREGRINOS DEL SEÑOR"/>
    <x v="49"/>
    <x v="0"/>
    <x v="0"/>
    <x v="2"/>
    <x v="29"/>
    <x v="0"/>
    <n v="4"/>
    <n v="176"/>
    <x v="0"/>
    <x v="1"/>
    <n v="4.7619047619047623E-3"/>
    <x v="9"/>
    <x v="1"/>
    <s v="OK"/>
    <x v="0"/>
    <s v="OK"/>
    <x v="0"/>
    <x v="1"/>
    <n v="0.5"/>
    <n v="0"/>
    <n v="1"/>
    <n v="0"/>
    <x v="0"/>
    <x v="0"/>
    <x v="1"/>
  </r>
  <r>
    <n v="20556570681"/>
    <x v="36"/>
    <x v="30"/>
    <x v="996"/>
    <x v="999"/>
    <x v="876"/>
    <n v="2"/>
    <x v="11"/>
    <s v="ESTACION 03 BOCANEGRA LINEA 4"/>
    <s v="CARMEN ALTO MZ 64 LT 34 SANTA ROSA"/>
    <x v="4"/>
    <x v="0"/>
    <x v="0"/>
    <x v="2"/>
    <x v="28"/>
    <x v="0"/>
    <n v="4"/>
    <n v="168"/>
    <x v="0"/>
    <x v="1"/>
    <n v="4.7619047619047623E-3"/>
    <x v="12"/>
    <x v="1"/>
    <s v="OK"/>
    <x v="0"/>
    <s v="OK"/>
    <x v="0"/>
    <x v="0"/>
    <n v="1"/>
    <n v="0"/>
    <n v="1"/>
    <n v="0"/>
    <x v="0"/>
    <x v="0"/>
    <x v="1"/>
  </r>
  <r>
    <n v="20556570681"/>
    <x v="36"/>
    <x v="30"/>
    <x v="997"/>
    <x v="1000"/>
    <x v="226"/>
    <n v="2"/>
    <x v="8"/>
    <s v="ESTACION 03 BOCANEGRA LINEA 4"/>
    <s v="MZ F LT 25 LAS LOMAS CANTO GRANDE"/>
    <x v="76"/>
    <x v="0"/>
    <x v="0"/>
    <x v="2"/>
    <x v="28"/>
    <x v="0"/>
    <n v="4"/>
    <n v="168"/>
    <x v="0"/>
    <x v="1"/>
    <n v="4.7619047619047623E-3"/>
    <x v="6"/>
    <x v="1"/>
    <s v="OK"/>
    <x v="0"/>
    <s v="OK"/>
    <x v="0"/>
    <x v="0"/>
    <n v="1"/>
    <n v="0"/>
    <n v="1"/>
    <n v="0"/>
    <x v="0"/>
    <x v="0"/>
    <x v="1"/>
  </r>
  <r>
    <n v="20556570681"/>
    <x v="36"/>
    <x v="30"/>
    <x v="998"/>
    <x v="1001"/>
    <x v="877"/>
    <n v="2"/>
    <x v="2"/>
    <s v="ESTACION 03 BOCANEGRA LINEA 4"/>
    <s v="MIRONES BAJO JR JOAQUIN CAPELLO 3225"/>
    <x v="158"/>
    <x v="0"/>
    <x v="0"/>
    <x v="2"/>
    <x v="28"/>
    <x v="0"/>
    <n v="4"/>
    <n v="168"/>
    <x v="0"/>
    <x v="1"/>
    <n v="4.7619047619047623E-3"/>
    <x v="8"/>
    <x v="1"/>
    <s v="OK"/>
    <x v="3"/>
    <s v="OK"/>
    <x v="0"/>
    <x v="0"/>
    <n v="1"/>
    <n v="1"/>
    <n v="1"/>
    <n v="0"/>
    <x v="0"/>
    <x v="0"/>
    <x v="1"/>
  </r>
  <r>
    <n v="20556570681"/>
    <x v="36"/>
    <x v="30"/>
    <x v="999"/>
    <x v="1002"/>
    <x v="878"/>
    <n v="2"/>
    <x v="18"/>
    <s v="ESTACION 03 BOCANEGRA LINEA 4"/>
    <s v="AAHH JOSE CARLOS MAREATEGUI"/>
    <x v="76"/>
    <x v="0"/>
    <x v="0"/>
    <x v="2"/>
    <x v="101"/>
    <x v="0"/>
    <n v="4"/>
    <n v="104"/>
    <x v="0"/>
    <x v="1"/>
    <n v="4.7619047619047623E-3"/>
    <x v="6"/>
    <x v="1"/>
    <s v="OK"/>
    <x v="0"/>
    <s v="OK"/>
    <x v="0"/>
    <x v="0"/>
    <n v="1"/>
    <n v="0"/>
    <n v="1"/>
    <n v="0"/>
    <x v="0"/>
    <x v="0"/>
    <x v="1"/>
  </r>
  <r>
    <n v="20556570681"/>
    <x v="36"/>
    <x v="30"/>
    <x v="1000"/>
    <x v="1003"/>
    <x v="879"/>
    <n v="2"/>
    <x v="67"/>
    <s v="ESTACION 03 BOCANEGRA LINEA 4"/>
    <s v="LA GRUTA DE SANTA MARIA LT 10"/>
    <x v="76"/>
    <x v="0"/>
    <x v="0"/>
    <x v="2"/>
    <x v="101"/>
    <x v="0"/>
    <n v="4"/>
    <n v="104"/>
    <x v="0"/>
    <x v="1"/>
    <n v="4.7619047619047623E-3"/>
    <x v="11"/>
    <x v="1"/>
    <s v="OK"/>
    <x v="0"/>
    <s v="OK"/>
    <x v="0"/>
    <x v="0"/>
    <n v="1"/>
    <n v="0"/>
    <n v="1"/>
    <n v="0"/>
    <x v="0"/>
    <x v="0"/>
    <x v="1"/>
  </r>
  <r>
    <n v="20556570681"/>
    <x v="36"/>
    <x v="30"/>
    <x v="1001"/>
    <x v="1004"/>
    <x v="880"/>
    <n v="2"/>
    <x v="157"/>
    <s v="SUPERESTRUCTURA DE VIA TUNEL PBM PV1BIS - E4 - Y -TRAMO 3ra VIA PARQUE MURILLO – E19"/>
    <s v="AV. ARGENTINA 1887 MZ. B LT. 11 -CALLAO"/>
    <x v="6"/>
    <x v="0"/>
    <x v="0"/>
    <x v="2"/>
    <x v="100"/>
    <x v="0"/>
    <n v="4"/>
    <n v="208"/>
    <x v="0"/>
    <x v="1"/>
    <n v="4.7619047619047623E-3"/>
    <x v="7"/>
    <x v="1"/>
    <s v="OK"/>
    <x v="2"/>
    <s v="OK"/>
    <x v="0"/>
    <x v="0"/>
    <n v="1"/>
    <n v="1"/>
    <n v="1"/>
    <n v="0"/>
    <x v="0"/>
    <x v="0"/>
    <x v="1"/>
  </r>
  <r>
    <n v="20556570681"/>
    <x v="36"/>
    <x v="30"/>
    <x v="1002"/>
    <x v="1005"/>
    <x v="329"/>
    <n v="2"/>
    <x v="11"/>
    <s v="SUPERESTRUCTURA DE VIA TUNEL PBM PV1BIS - E4 - Y -TRAMO 3ra VIA PARQUE MURILLO – E19"/>
    <s v="A.H EL HUASCARAN AMPLIACION MZ. C1 LT. 2 LIMA"/>
    <x v="4"/>
    <x v="0"/>
    <x v="0"/>
    <x v="2"/>
    <x v="29"/>
    <x v="0"/>
    <n v="4"/>
    <n v="176"/>
    <x v="0"/>
    <x v="1"/>
    <n v="4.7619047619047623E-3"/>
    <x v="11"/>
    <x v="1"/>
    <s v="OK"/>
    <x v="0"/>
    <s v="OK"/>
    <x v="0"/>
    <x v="0"/>
    <n v="1"/>
    <n v="0"/>
    <n v="1"/>
    <n v="0"/>
    <x v="0"/>
    <x v="0"/>
    <x v="1"/>
  </r>
  <r>
    <n v="20556570681"/>
    <x v="36"/>
    <x v="30"/>
    <x v="1003"/>
    <x v="1006"/>
    <x v="789"/>
    <n v="1"/>
    <x v="106"/>
    <s v="SUPERESTRUCTURA DE VIA TUNEL PBM PV1BIS - E4 - Y -TRAMO 3ra VIA PARQUE MURILLO – E19"/>
    <s v="ASOC. MONTE DE LOS OLIVOS MZ. A LT. 19 LIMA"/>
    <x v="96"/>
    <x v="0"/>
    <x v="0"/>
    <x v="2"/>
    <x v="4"/>
    <x v="0"/>
    <n v="1"/>
    <n v="232"/>
    <x v="0"/>
    <x v="1"/>
    <n v="4.7619047619047623E-3"/>
    <x v="9"/>
    <x v="1"/>
    <s v="OK"/>
    <x v="0"/>
    <s v="OK"/>
    <x v="0"/>
    <x v="0"/>
    <n v="1"/>
    <n v="0"/>
    <n v="1"/>
    <n v="0"/>
    <x v="0"/>
    <x v="0"/>
    <x v="1"/>
  </r>
  <r>
    <n v="20556570681"/>
    <x v="36"/>
    <x v="30"/>
    <x v="1004"/>
    <x v="1007"/>
    <x v="881"/>
    <n v="2"/>
    <x v="2"/>
    <s v="SUPERESTRUCTURA DE VIA TUNEL PBM PV1BIS - E4 - Y -TRAMO 3ra VIA PARQUE MURILLO – E19"/>
    <s v="JR. APURIMAC 449 -CALLAO"/>
    <x v="6"/>
    <x v="0"/>
    <x v="0"/>
    <x v="2"/>
    <x v="4"/>
    <x v="0"/>
    <n v="4"/>
    <n v="232"/>
    <x v="0"/>
    <x v="1"/>
    <n v="4.7619047619047623E-3"/>
    <x v="6"/>
    <x v="1"/>
    <s v="OK"/>
    <x v="2"/>
    <s v="OK"/>
    <x v="0"/>
    <x v="0"/>
    <n v="1"/>
    <n v="1"/>
    <n v="1"/>
    <n v="0"/>
    <x v="0"/>
    <x v="0"/>
    <x v="1"/>
  </r>
  <r>
    <n v="20556570681"/>
    <x v="36"/>
    <x v="30"/>
    <x v="1005"/>
    <x v="1008"/>
    <x v="882"/>
    <n v="2"/>
    <x v="20"/>
    <s v="SUPERESTRUCTURA DE VIA TUNEL PBM PV1BIS - E4 - Y -TRAMO 3ra VIA PARQUE MURILLO – E19"/>
    <s v="UCV. 94 LT. 37 ZONA F A.H. HUAYCAN LIMA"/>
    <x v="1"/>
    <x v="0"/>
    <x v="0"/>
    <x v="2"/>
    <x v="128"/>
    <x v="0"/>
    <n v="4"/>
    <n v="240"/>
    <x v="0"/>
    <x v="1"/>
    <n v="4.7619047619047623E-3"/>
    <x v="9"/>
    <x v="1"/>
    <s v="OK"/>
    <x v="1"/>
    <s v="OK"/>
    <x v="0"/>
    <x v="0"/>
    <n v="1"/>
    <n v="1"/>
    <n v="0"/>
    <n v="0"/>
    <x v="0"/>
    <x v="0"/>
    <x v="0"/>
  </r>
  <r>
    <n v="20556570681"/>
    <x v="36"/>
    <x v="30"/>
    <x v="1006"/>
    <x v="1009"/>
    <x v="883"/>
    <n v="2"/>
    <x v="10"/>
    <s v="SUPERESTRUCTURA DE VIA TUNEL PBM PV1BIS - E4 - Y -TRAMO 3ra VIA PARQUE MURILLO – E19"/>
    <s v="A.H. 5 DE JULIO MZ.I LT.18 LIMA"/>
    <x v="76"/>
    <x v="0"/>
    <x v="0"/>
    <x v="2"/>
    <x v="128"/>
    <x v="0"/>
    <n v="4"/>
    <n v="240"/>
    <x v="0"/>
    <x v="1"/>
    <n v="4.7619047619047623E-3"/>
    <x v="6"/>
    <x v="1"/>
    <s v="OK"/>
    <x v="0"/>
    <s v="OK"/>
    <x v="0"/>
    <x v="0"/>
    <n v="1"/>
    <n v="0"/>
    <n v="0"/>
    <n v="0"/>
    <x v="0"/>
    <x v="0"/>
    <x v="0"/>
  </r>
  <r>
    <s v="20297543653"/>
    <x v="37"/>
    <x v="31"/>
    <x v="1007"/>
    <x v="1010"/>
    <x v="804"/>
    <n v="3"/>
    <x v="195"/>
    <s v="Est., Pozos, P. Taller"/>
    <s v="ASOC. VIV. SEÑOR DE LOS MILAGROS MZ D LT 9"/>
    <x v="3"/>
    <x v="0"/>
    <x v="6"/>
    <x v="1"/>
    <x v="286"/>
    <x v="0"/>
    <n v="1"/>
    <n v="284.75"/>
    <x v="0"/>
    <x v="1"/>
    <n v="8.0000000000000002E-3"/>
    <x v="11"/>
    <x v="1"/>
    <s v="OK"/>
    <x v="0"/>
    <s v="OK"/>
    <x v="0"/>
    <x v="0"/>
    <n v="1"/>
    <n v="0"/>
    <n v="0"/>
    <n v="0"/>
    <x v="0"/>
    <x v="0"/>
    <x v="0"/>
  </r>
  <r>
    <s v="20297543653"/>
    <x v="37"/>
    <x v="31"/>
    <x v="1008"/>
    <x v="1011"/>
    <x v="884"/>
    <n v="3"/>
    <x v="196"/>
    <s v="Est., Pozos, P. Taller"/>
    <s v="A.H. AMPL. CRISTO REY 4TA ZONA COLLIQUE MZ. H LT.7"/>
    <x v="0"/>
    <x v="0"/>
    <x v="6"/>
    <x v="1"/>
    <x v="49"/>
    <x v="0"/>
    <n v="1"/>
    <n v="302.06666666666666"/>
    <x v="0"/>
    <x v="1"/>
    <n v="8.0000000000000002E-3"/>
    <x v="12"/>
    <x v="1"/>
    <s v="OK"/>
    <x v="0"/>
    <s v="OK"/>
    <x v="0"/>
    <x v="0"/>
    <n v="1"/>
    <n v="0"/>
    <n v="0"/>
    <n v="0"/>
    <x v="0"/>
    <x v="0"/>
    <x v="0"/>
  </r>
  <r>
    <s v="20297543653"/>
    <x v="37"/>
    <x v="31"/>
    <x v="1009"/>
    <x v="1012"/>
    <x v="885"/>
    <n v="3"/>
    <x v="196"/>
    <s v="Est., Pozos, P. Taller"/>
    <s v="M B - L 05 ASOC PRO VIV LOS ANGELES DE PUENTE PIEDRA"/>
    <x v="4"/>
    <x v="0"/>
    <x v="6"/>
    <x v="1"/>
    <x v="433"/>
    <x v="0"/>
    <n v="1"/>
    <n v="310.31666666666666"/>
    <x v="0"/>
    <x v="1"/>
    <n v="8.0000000000000002E-3"/>
    <x v="12"/>
    <x v="1"/>
    <s v="OK"/>
    <x v="0"/>
    <s v="OK"/>
    <x v="0"/>
    <x v="0"/>
    <n v="1"/>
    <n v="0"/>
    <n v="0"/>
    <n v="0"/>
    <x v="0"/>
    <x v="0"/>
    <x v="0"/>
  </r>
  <r>
    <s v="20297543653"/>
    <x v="37"/>
    <x v="31"/>
    <x v="1010"/>
    <x v="1013"/>
    <x v="886"/>
    <n v="3"/>
    <x v="46"/>
    <s v="Est., Pozos, P. Taller"/>
    <s v="JR MARGANITAS 1964 INCA MANCO CAPAC"/>
    <x v="15"/>
    <x v="0"/>
    <x v="6"/>
    <x v="1"/>
    <x v="172"/>
    <x v="0"/>
    <n v="1"/>
    <n v="251.81666666666666"/>
    <x v="0"/>
    <x v="1"/>
    <n v="8.0000000000000002E-3"/>
    <x v="13"/>
    <x v="1"/>
    <s v="OK"/>
    <x v="0"/>
    <s v="OK"/>
    <x v="0"/>
    <x v="0"/>
    <n v="1"/>
    <n v="0"/>
    <n v="1"/>
    <n v="0"/>
    <x v="0"/>
    <x v="0"/>
    <x v="1"/>
  </r>
  <r>
    <s v="20297543653"/>
    <x v="37"/>
    <x v="31"/>
    <x v="1011"/>
    <x v="1014"/>
    <x v="887"/>
    <n v="3"/>
    <x v="46"/>
    <s v="Est., Pozos, P. Taller"/>
    <s v="UCV.189 MZ P LT 17 ZONA P ASENT. H. HUAYCAN"/>
    <x v="1"/>
    <x v="0"/>
    <x v="6"/>
    <x v="1"/>
    <x v="434"/>
    <x v="0"/>
    <n v="1"/>
    <n v="306.2166666666667"/>
    <x v="0"/>
    <x v="1"/>
    <n v="8.0000000000000002E-3"/>
    <x v="13"/>
    <x v="1"/>
    <s v="OK"/>
    <x v="1"/>
    <s v="OK"/>
    <x v="0"/>
    <x v="0"/>
    <n v="1"/>
    <n v="1"/>
    <n v="0"/>
    <n v="0"/>
    <x v="0"/>
    <x v="0"/>
    <x v="0"/>
  </r>
  <r>
    <s v="20297543653"/>
    <x v="37"/>
    <x v="31"/>
    <x v="1012"/>
    <x v="1015"/>
    <x v="888"/>
    <n v="1"/>
    <x v="197"/>
    <s v="Est., Pozos, P. Taller"/>
    <s v="JR. PACHACUTEC 161 URB TAHUANTISUYO"/>
    <x v="44"/>
    <x v="0"/>
    <x v="6"/>
    <x v="1"/>
    <x v="435"/>
    <x v="0"/>
    <n v="1"/>
    <n v="240"/>
    <x v="0"/>
    <x v="1"/>
    <n v="8.0000000000000002E-3"/>
    <x v="12"/>
    <x v="1"/>
    <s v="OK"/>
    <x v="0"/>
    <s v="OK"/>
    <x v="0"/>
    <x v="0"/>
    <n v="1"/>
    <n v="0"/>
    <n v="0"/>
    <n v="0"/>
    <x v="0"/>
    <x v="0"/>
    <x v="0"/>
  </r>
  <r>
    <s v="20297543653"/>
    <x v="37"/>
    <x v="31"/>
    <x v="1013"/>
    <x v="1016"/>
    <x v="889"/>
    <n v="1"/>
    <x v="197"/>
    <s v="Est., Pozos, P. Taller"/>
    <s v="CALLE MARQUES DE MANCERA PISO 2 MZ. W LT. 08"/>
    <x v="14"/>
    <x v="0"/>
    <x v="6"/>
    <x v="1"/>
    <x v="436"/>
    <x v="0"/>
    <n v="1"/>
    <n v="240"/>
    <x v="0"/>
    <x v="1"/>
    <n v="8.0000000000000002E-3"/>
    <x v="6"/>
    <x v="1"/>
    <s v="OK"/>
    <x v="0"/>
    <s v="OK"/>
    <x v="0"/>
    <x v="0"/>
    <n v="1"/>
    <n v="0"/>
    <n v="0"/>
    <n v="0"/>
    <x v="0"/>
    <x v="0"/>
    <x v="0"/>
  </r>
  <r>
    <s v="20297543653"/>
    <x v="37"/>
    <x v="31"/>
    <x v="1014"/>
    <x v="1017"/>
    <x v="340"/>
    <n v="3"/>
    <x v="196"/>
    <s v="Est., Pozos, P. Taller"/>
    <s v="UNIDAD LA VILLA ASENT. H. CERRO DE CORVIAN LT. 11-A"/>
    <x v="19"/>
    <x v="0"/>
    <x v="6"/>
    <x v="1"/>
    <x v="240"/>
    <x v="0"/>
    <n v="1"/>
    <n v="207.60000000000002"/>
    <x v="0"/>
    <x v="1"/>
    <n v="8.0000000000000002E-3"/>
    <x v="12"/>
    <x v="1"/>
    <s v="OK"/>
    <x v="0"/>
    <s v="OK"/>
    <x v="0"/>
    <x v="0"/>
    <n v="1"/>
    <n v="0"/>
    <n v="0"/>
    <n v="0"/>
    <x v="0"/>
    <x v="0"/>
    <x v="0"/>
  </r>
  <r>
    <s v="20297543653"/>
    <x v="37"/>
    <x v="31"/>
    <x v="1008"/>
    <x v="1018"/>
    <x v="890"/>
    <n v="3"/>
    <x v="195"/>
    <s v="Est., Pozos, P. Taller"/>
    <s v="MZ C6 LT4 AAHH 6 DE MARZO"/>
    <x v="0"/>
    <x v="0"/>
    <x v="6"/>
    <x v="1"/>
    <x v="53"/>
    <x v="0"/>
    <n v="1"/>
    <n v="284.2166666666667"/>
    <x v="0"/>
    <x v="1"/>
    <n v="8.0000000000000002E-3"/>
    <x v="8"/>
    <x v="1"/>
    <s v="OK"/>
    <x v="0"/>
    <s v="OK"/>
    <x v="0"/>
    <x v="0"/>
    <n v="1"/>
    <n v="0"/>
    <n v="0"/>
    <n v="0"/>
    <x v="0"/>
    <x v="0"/>
    <x v="0"/>
  </r>
  <r>
    <s v="20297543653"/>
    <x v="37"/>
    <x v="31"/>
    <x v="1015"/>
    <x v="1019"/>
    <x v="891"/>
    <n v="3"/>
    <x v="196"/>
    <s v="Est., Pozos, P. Taller"/>
    <s v="CA. LOS AZAHARES 188 192 COOP. SANTA ROSA DE QUIVES"/>
    <x v="27"/>
    <x v="0"/>
    <x v="6"/>
    <x v="1"/>
    <x v="437"/>
    <x v="0"/>
    <n v="1"/>
    <n v="300.11666666666667"/>
    <x v="0"/>
    <x v="1"/>
    <n v="8.0000000000000002E-3"/>
    <x v="12"/>
    <x v="1"/>
    <s v="OK"/>
    <x v="5"/>
    <s v="OK"/>
    <x v="0"/>
    <x v="0"/>
    <n v="1"/>
    <n v="1"/>
    <n v="0"/>
    <n v="0"/>
    <x v="0"/>
    <x v="0"/>
    <x v="0"/>
  </r>
  <r>
    <s v="20297543653"/>
    <x v="37"/>
    <x v="31"/>
    <x v="1016"/>
    <x v="1020"/>
    <x v="892"/>
    <n v="1"/>
    <x v="197"/>
    <s v="Est., Pozos, P. Taller"/>
    <s v="AV. 28 DE JULIO 1327 INT. 21"/>
    <x v="25"/>
    <x v="0"/>
    <x v="6"/>
    <x v="1"/>
    <x v="438"/>
    <x v="0"/>
    <n v="1"/>
    <n v="240"/>
    <x v="0"/>
    <x v="1"/>
    <n v="8.0000000000000002E-3"/>
    <x v="11"/>
    <x v="1"/>
    <s v="OK"/>
    <x v="4"/>
    <s v="OK"/>
    <x v="0"/>
    <x v="0"/>
    <n v="1"/>
    <n v="1"/>
    <n v="0"/>
    <n v="0"/>
    <x v="0"/>
    <x v="0"/>
    <x v="0"/>
  </r>
  <r>
    <s v="20297543653"/>
    <x v="37"/>
    <x v="31"/>
    <x v="1017"/>
    <x v="1021"/>
    <x v="893"/>
    <n v="1"/>
    <x v="198"/>
    <s v="Est., Pozos, P. Taller"/>
    <s v="AV. GERARDO UNGER 1523 PISO 3 DPTO. 301 URB. LOS JARDINES"/>
    <x v="3"/>
    <x v="0"/>
    <x v="6"/>
    <x v="1"/>
    <x v="380"/>
    <x v="0"/>
    <n v="1"/>
    <n v="240"/>
    <x v="0"/>
    <x v="1"/>
    <n v="8.0000000000000002E-3"/>
    <x v="11"/>
    <x v="1"/>
    <s v="OK"/>
    <x v="0"/>
    <s v="OK"/>
    <x v="0"/>
    <x v="0"/>
    <n v="1"/>
    <n v="0"/>
    <n v="0"/>
    <n v="0"/>
    <x v="0"/>
    <x v="0"/>
    <x v="0"/>
  </r>
  <r>
    <n v="20608368796"/>
    <x v="38"/>
    <x v="32"/>
    <x v="1018"/>
    <x v="1022"/>
    <x v="705"/>
    <n v="2"/>
    <x v="199"/>
    <s v="E17"/>
    <s v="AAHH ARRIBA PERU MZ 3 LT 29"/>
    <x v="76"/>
    <x v="0"/>
    <x v="0"/>
    <x v="1"/>
    <x v="439"/>
    <x v="0"/>
    <n v="4"/>
    <n v="192"/>
    <x v="0"/>
    <x v="1"/>
    <n v="2.2727272727272728E-2"/>
    <x v="9"/>
    <x v="1"/>
    <s v="OK"/>
    <x v="0"/>
    <s v="OK"/>
    <x v="0"/>
    <x v="0"/>
    <n v="1"/>
    <n v="0"/>
    <n v="0"/>
    <n v="0"/>
    <x v="0"/>
    <x v="0"/>
    <x v="0"/>
  </r>
  <r>
    <n v="20608368796"/>
    <x v="38"/>
    <x v="32"/>
    <x v="1019"/>
    <x v="1023"/>
    <x v="894"/>
    <n v="2"/>
    <x v="199"/>
    <s v="E11"/>
    <s v="ASOC VIV PARQUE IND. MZ D LT 2"/>
    <x v="72"/>
    <x v="0"/>
    <x v="0"/>
    <x v="1"/>
    <x v="41"/>
    <x v="0"/>
    <n v="4"/>
    <n v="192"/>
    <x v="0"/>
    <x v="1"/>
    <n v="2.2727272727272728E-2"/>
    <x v="9"/>
    <x v="1"/>
    <s v="OK"/>
    <x v="0"/>
    <s v="OK"/>
    <x v="0"/>
    <x v="0"/>
    <n v="1"/>
    <n v="0"/>
    <n v="0"/>
    <n v="0"/>
    <x v="0"/>
    <x v="0"/>
    <x v="0"/>
  </r>
  <r>
    <n v="20608368796"/>
    <x v="38"/>
    <x v="32"/>
    <x v="1020"/>
    <x v="1024"/>
    <x v="895"/>
    <n v="2"/>
    <x v="199"/>
    <s v="E11"/>
    <s v="AV SANTA ELVIRA 6024 URB VILLA SOL"/>
    <x v="49"/>
    <x v="0"/>
    <x v="0"/>
    <x v="1"/>
    <x v="41"/>
    <x v="0"/>
    <n v="4"/>
    <n v="192"/>
    <x v="0"/>
    <x v="1"/>
    <n v="2.2727272727272728E-2"/>
    <x v="9"/>
    <x v="1"/>
    <s v="OK"/>
    <x v="0"/>
    <s v="OK"/>
    <x v="0"/>
    <x v="0"/>
    <n v="1"/>
    <n v="0"/>
    <n v="0"/>
    <n v="0"/>
    <x v="0"/>
    <x v="0"/>
    <x v="0"/>
  </r>
  <r>
    <n v="20608368796"/>
    <x v="38"/>
    <x v="32"/>
    <x v="1021"/>
    <x v="1025"/>
    <x v="337"/>
    <n v="2"/>
    <x v="12"/>
    <s v="E10"/>
    <s v="BARRIO NUEVA FLORIDA "/>
    <x v="187"/>
    <x v="0"/>
    <x v="0"/>
    <x v="1"/>
    <x v="242"/>
    <x v="0"/>
    <n v="4"/>
    <n v="192"/>
    <x v="0"/>
    <x v="1"/>
    <n v="2.2727272727272728E-2"/>
    <x v="6"/>
    <x v="1"/>
    <s v="OK"/>
    <x v="0"/>
    <s v="OK"/>
    <x v="0"/>
    <x v="0"/>
    <n v="1"/>
    <n v="0"/>
    <n v="0"/>
    <n v="0"/>
    <x v="0"/>
    <x v="0"/>
    <x v="0"/>
  </r>
  <r>
    <n v="20608368796"/>
    <x v="38"/>
    <x v="32"/>
    <x v="1022"/>
    <x v="1026"/>
    <x v="896"/>
    <n v="1"/>
    <x v="64"/>
    <s v="E10"/>
    <s v="CALLE 5 AAHH ENRIQUE MILLA OCHOA CMTE 10 MZ 136 LT 14"/>
    <x v="49"/>
    <x v="1"/>
    <x v="0"/>
    <x v="1"/>
    <x v="67"/>
    <x v="0"/>
    <n v="1"/>
    <n v="192"/>
    <x v="0"/>
    <x v="1"/>
    <n v="2.2727272727272728E-2"/>
    <x v="12"/>
    <x v="1"/>
    <s v="OK"/>
    <x v="0"/>
    <s v="OK"/>
    <x v="0"/>
    <x v="0"/>
    <n v="1"/>
    <n v="0"/>
    <n v="0"/>
    <n v="0"/>
    <x v="0"/>
    <x v="0"/>
    <x v="0"/>
  </r>
  <r>
    <n v="20608368796"/>
    <x v="38"/>
    <x v="32"/>
    <x v="1023"/>
    <x v="1027"/>
    <x v="897"/>
    <n v="1"/>
    <x v="148"/>
    <s v="E01"/>
    <s v="LAS GOLONDRINAS MZ B LT 13 "/>
    <x v="188"/>
    <x v="1"/>
    <x v="0"/>
    <x v="1"/>
    <x v="276"/>
    <x v="0"/>
    <n v="1"/>
    <n v="29"/>
    <x v="0"/>
    <x v="1"/>
    <n v="2.2727272727272728E-2"/>
    <x v="7"/>
    <x v="1"/>
    <s v="OK"/>
    <x v="0"/>
    <s v="OK"/>
    <x v="0"/>
    <x v="0"/>
    <n v="1"/>
    <n v="0"/>
    <n v="0"/>
    <n v="0"/>
    <x v="0"/>
    <x v="0"/>
    <x v="0"/>
  </r>
  <r>
    <n v="20608368796"/>
    <x v="38"/>
    <x v="32"/>
    <x v="1024"/>
    <x v="1028"/>
    <x v="511"/>
    <n v="2"/>
    <x v="49"/>
    <s v="E01"/>
    <s v="MZ Q1 LT 38 AH SANTA MARIA "/>
    <x v="15"/>
    <x v="0"/>
    <x v="0"/>
    <x v="1"/>
    <x v="49"/>
    <x v="0"/>
    <n v="4"/>
    <n v="144"/>
    <x v="0"/>
    <x v="1"/>
    <n v="2.2727272727272728E-2"/>
    <x v="12"/>
    <x v="1"/>
    <s v="OK"/>
    <x v="0"/>
    <s v="OK"/>
    <x v="0"/>
    <x v="0"/>
    <n v="1"/>
    <n v="0"/>
    <n v="0"/>
    <n v="0"/>
    <x v="0"/>
    <x v="0"/>
    <x v="0"/>
  </r>
  <r>
    <n v="20608368796"/>
    <x v="38"/>
    <x v="32"/>
    <x v="1025"/>
    <x v="1029"/>
    <x v="898"/>
    <n v="1"/>
    <x v="165"/>
    <s v="E12"/>
    <s v="MZ A1 LT 18 COOPERATIVA HUANCAYO"/>
    <x v="46"/>
    <x v="0"/>
    <x v="0"/>
    <x v="1"/>
    <x v="187"/>
    <x v="0"/>
    <n v="1"/>
    <n v="168"/>
    <x v="0"/>
    <x v="1"/>
    <n v="2.2727272727272728E-2"/>
    <x v="12"/>
    <x v="1"/>
    <s v="OK"/>
    <x v="7"/>
    <s v="OK"/>
    <x v="0"/>
    <x v="0"/>
    <n v="1"/>
    <n v="1"/>
    <n v="1"/>
    <n v="0"/>
    <x v="0"/>
    <x v="0"/>
    <x v="1"/>
  </r>
  <r>
    <n v="20602042201"/>
    <x v="65"/>
    <x v="33"/>
    <x v="1026"/>
    <x v="1030"/>
    <x v="899"/>
    <n v="1"/>
    <x v="17"/>
    <s v="PV16, PV17 Y PV18"/>
    <s v="ASOC. D PROP LOS HUERTOS LA LIBERTAD C19"/>
    <x v="4"/>
    <x v="0"/>
    <x v="14"/>
    <x v="2"/>
    <x v="289"/>
    <x v="0"/>
    <n v="2"/>
    <n v="192"/>
    <x v="0"/>
    <x v="1"/>
    <n v="2.8571428571428571E-2"/>
    <x v="8"/>
    <x v="1"/>
    <s v="OK"/>
    <x v="0"/>
    <s v="OK"/>
    <x v="0"/>
    <x v="0"/>
    <n v="1"/>
    <n v="0"/>
    <n v="0"/>
    <n v="0"/>
    <x v="0"/>
    <x v="0"/>
    <x v="0"/>
  </r>
  <r>
    <n v="20553067538"/>
    <x v="39"/>
    <x v="33"/>
    <x v="1027"/>
    <x v="1031"/>
    <x v="266"/>
    <n v="2"/>
    <x v="50"/>
    <s v="PV16, PV17 Y PV18"/>
    <s v="CA. LA UNION 1349 AA.HH JUSTICIA PAZ Y VIDA"/>
    <x v="142"/>
    <x v="0"/>
    <x v="14"/>
    <x v="2"/>
    <x v="440"/>
    <x v="0"/>
    <n v="2"/>
    <n v="0"/>
    <x v="0"/>
    <x v="0"/>
    <n v="2.8571428571428571E-2"/>
    <x v="11"/>
    <x v="1"/>
    <s v="OK"/>
    <x v="0"/>
    <s v="OK"/>
    <x v="0"/>
    <x v="0"/>
    <n v="1"/>
    <n v="0"/>
    <n v="0"/>
    <n v="0"/>
    <x v="0"/>
    <x v="0"/>
    <x v="0"/>
  </r>
  <r>
    <n v="20553067538"/>
    <x v="39"/>
    <x v="33"/>
    <x v="1028"/>
    <x v="1032"/>
    <x v="900"/>
    <n v="2"/>
    <x v="50"/>
    <s v="PV16, PV17 Y PV18"/>
    <s v="URB. 27 DE NOVIEMBRE MZ.A 9"/>
    <x v="189"/>
    <x v="0"/>
    <x v="14"/>
    <x v="2"/>
    <x v="440"/>
    <x v="0"/>
    <n v="2"/>
    <n v="96"/>
    <x v="0"/>
    <x v="0"/>
    <n v="2.8571428571428571E-2"/>
    <x v="13"/>
    <x v="1"/>
    <s v="OK"/>
    <x v="0"/>
    <s v="OK"/>
    <x v="0"/>
    <x v="0"/>
    <n v="1"/>
    <n v="0"/>
    <n v="0"/>
    <n v="0"/>
    <x v="0"/>
    <x v="0"/>
    <x v="0"/>
  </r>
  <r>
    <n v="20600200896"/>
    <x v="40"/>
    <x v="33"/>
    <x v="1029"/>
    <x v="1033"/>
    <x v="901"/>
    <n v="1"/>
    <x v="17"/>
    <s v="PV16, PV17 Y PV18"/>
    <s v="JR. LAS QUENAS 455"/>
    <x v="15"/>
    <x v="0"/>
    <x v="14"/>
    <x v="2"/>
    <x v="141"/>
    <x v="0"/>
    <n v="2"/>
    <n v="144"/>
    <x v="0"/>
    <x v="0"/>
    <n v="2.8571428571428571E-2"/>
    <x v="8"/>
    <x v="1"/>
    <s v="OK"/>
    <x v="0"/>
    <s v="OK"/>
    <x v="0"/>
    <x v="0"/>
    <n v="1"/>
    <n v="0"/>
    <n v="0"/>
    <n v="0"/>
    <x v="0"/>
    <x v="0"/>
    <x v="0"/>
  </r>
  <r>
    <n v="20600200896"/>
    <x v="40"/>
    <x v="33"/>
    <x v="1030"/>
    <x v="1034"/>
    <x v="902"/>
    <n v="1"/>
    <x v="17"/>
    <s v="PV16, PV17 Y PV18"/>
    <s v="ASENT. H. ASUNCIÓN 8 MZ. D2. LT.20"/>
    <x v="190"/>
    <x v="0"/>
    <x v="14"/>
    <x v="2"/>
    <x v="141"/>
    <x v="0"/>
    <n v="2"/>
    <n v="144"/>
    <x v="0"/>
    <x v="0"/>
    <n v="2.8571428571428571E-2"/>
    <x v="13"/>
    <x v="1"/>
    <s v="OK"/>
    <x v="0"/>
    <s v="OK"/>
    <x v="0"/>
    <x v="0"/>
    <n v="1"/>
    <n v="0"/>
    <n v="0"/>
    <n v="0"/>
    <x v="0"/>
    <x v="0"/>
    <x v="0"/>
  </r>
  <r>
    <n v="20600200896"/>
    <x v="40"/>
    <x v="33"/>
    <x v="1031"/>
    <x v="1035"/>
    <x v="903"/>
    <n v="1"/>
    <x v="17"/>
    <s v="PV16, PV17 Y PV18"/>
    <s v="SECTOR 6 GRUPO 7 MZ. A LT. 7"/>
    <x v="19"/>
    <x v="1"/>
    <x v="14"/>
    <x v="2"/>
    <x v="430"/>
    <x v="0"/>
    <n v="2"/>
    <n v="144"/>
    <x v="0"/>
    <x v="0"/>
    <n v="2.8571428571428571E-2"/>
    <x v="8"/>
    <x v="1"/>
    <s v="OK"/>
    <x v="0"/>
    <s v="OK"/>
    <x v="0"/>
    <x v="0"/>
    <n v="1"/>
    <n v="0"/>
    <n v="0"/>
    <n v="0"/>
    <x v="0"/>
    <x v="0"/>
    <x v="0"/>
  </r>
  <r>
    <n v="20600200896"/>
    <x v="40"/>
    <x v="33"/>
    <x v="1032"/>
    <x v="1036"/>
    <x v="904"/>
    <n v="1"/>
    <x v="17"/>
    <s v="PV16, PV17 Y PV18"/>
    <s v="AV. CAMINO REAL ASOC. EL EDEN MZ. D LT. 16"/>
    <x v="54"/>
    <x v="0"/>
    <x v="14"/>
    <x v="2"/>
    <x v="271"/>
    <x v="0"/>
    <n v="2"/>
    <n v="96"/>
    <x v="0"/>
    <x v="0"/>
    <n v="2.8571428571428571E-2"/>
    <x v="9"/>
    <x v="1"/>
    <s v="OK"/>
    <x v="0"/>
    <s v="OK"/>
    <x v="0"/>
    <x v="0"/>
    <n v="1"/>
    <n v="0"/>
    <n v="0"/>
    <n v="0"/>
    <x v="0"/>
    <x v="0"/>
    <x v="0"/>
  </r>
  <r>
    <n v="20600200896"/>
    <x v="40"/>
    <x v="33"/>
    <x v="1033"/>
    <x v="1037"/>
    <x v="905"/>
    <n v="1"/>
    <x v="17"/>
    <s v="PV16, PV17 Y PV18"/>
    <s v="MZ. Ñ LT. 17 SECTOR 2 2DA. ETAPA VILLA LOS REYES"/>
    <x v="2"/>
    <x v="0"/>
    <x v="14"/>
    <x v="2"/>
    <x v="0"/>
    <x v="0"/>
    <n v="2"/>
    <n v="56"/>
    <x v="0"/>
    <x v="0"/>
    <n v="2.8571428571428571E-2"/>
    <x v="8"/>
    <x v="1"/>
    <s v="OK"/>
    <x v="2"/>
    <s v="OK"/>
    <x v="0"/>
    <x v="0"/>
    <n v="1"/>
    <n v="1"/>
    <n v="0"/>
    <n v="0"/>
    <x v="0"/>
    <x v="0"/>
    <x v="0"/>
  </r>
  <r>
    <n v="20603304510"/>
    <x v="41"/>
    <x v="34"/>
    <x v="1034"/>
    <x v="1038"/>
    <x v="906"/>
    <n v="1"/>
    <x v="17"/>
    <s v="POZO PV3"/>
    <s v="PROLONGACION SAMANEZ OCAMP 301 PUEBLO JOVEN EL PROGRESO LIMA "/>
    <x v="54"/>
    <x v="0"/>
    <x v="6"/>
    <x v="5"/>
    <x v="5"/>
    <x v="0"/>
    <n v="1"/>
    <n v="312"/>
    <x v="0"/>
    <x v="1"/>
    <n v="5.076142131979695E-3"/>
    <x v="13"/>
    <x v="1"/>
    <s v="OK"/>
    <x v="0"/>
    <s v="OK"/>
    <x v="0"/>
    <x v="0"/>
    <n v="1"/>
    <n v="0"/>
    <n v="0"/>
    <n v="0"/>
    <x v="0"/>
    <x v="0"/>
    <x v="0"/>
  </r>
  <r>
    <n v="20603304510"/>
    <x v="41"/>
    <x v="34"/>
    <x v="1035"/>
    <x v="1039"/>
    <x v="907"/>
    <n v="1"/>
    <x v="17"/>
    <s v="POZO PV3"/>
    <s v="MZ. Z LT. 3 CALLAO "/>
    <x v="6"/>
    <x v="0"/>
    <x v="6"/>
    <x v="1"/>
    <x v="411"/>
    <x v="0"/>
    <n v="1"/>
    <n v="300"/>
    <x v="0"/>
    <x v="1"/>
    <n v="5.076142131979695E-3"/>
    <x v="11"/>
    <x v="1"/>
    <s v="OK"/>
    <x v="2"/>
    <s v="OK"/>
    <x v="0"/>
    <x v="0"/>
    <n v="1"/>
    <n v="1"/>
    <n v="0"/>
    <n v="0"/>
    <x v="0"/>
    <x v="0"/>
    <x v="0"/>
  </r>
  <r>
    <n v="20603304510"/>
    <x v="41"/>
    <x v="34"/>
    <x v="1036"/>
    <x v="1040"/>
    <x v="743"/>
    <n v="1"/>
    <x v="17"/>
    <s v="DOVELAS"/>
    <s v="CALLE GUILLERMO BIELA 2031 URB EL PACIFICO 1RA ETAPA MZ. H LT. 10 LIMA "/>
    <x v="3"/>
    <x v="1"/>
    <x v="6"/>
    <x v="1"/>
    <x v="202"/>
    <x v="0"/>
    <n v="1"/>
    <n v="300"/>
    <x v="0"/>
    <x v="1"/>
    <n v="5.076142131979695E-3"/>
    <x v="9"/>
    <x v="1"/>
    <s v="OK"/>
    <x v="0"/>
    <s v="OK"/>
    <x v="0"/>
    <x v="0"/>
    <n v="1"/>
    <n v="0"/>
    <n v="0"/>
    <n v="0"/>
    <x v="0"/>
    <x v="0"/>
    <x v="0"/>
  </r>
  <r>
    <n v="20603304510"/>
    <x v="41"/>
    <x v="34"/>
    <x v="1037"/>
    <x v="1041"/>
    <x v="908"/>
    <n v="1"/>
    <x v="17"/>
    <s v="E06"/>
    <s v="CASERIO NUEVO MUNDO SAN MARTIN"/>
    <x v="191"/>
    <x v="1"/>
    <x v="6"/>
    <x v="1"/>
    <x v="141"/>
    <x v="0"/>
    <n v="1"/>
    <n v="300"/>
    <x v="0"/>
    <x v="1"/>
    <n v="5.076142131979695E-3"/>
    <x v="9"/>
    <x v="1"/>
    <s v="OK"/>
    <x v="0"/>
    <s v="OK"/>
    <x v="0"/>
    <x v="0"/>
    <n v="1"/>
    <n v="0"/>
    <n v="0"/>
    <n v="0"/>
    <x v="0"/>
    <x v="0"/>
    <x v="0"/>
  </r>
  <r>
    <n v="20603304510"/>
    <x v="41"/>
    <x v="34"/>
    <x v="1038"/>
    <x v="1042"/>
    <x v="909"/>
    <n v="1"/>
    <x v="17"/>
    <s v="POZO PV 02"/>
    <s v="JR.DOS DE MAYO 1238 SAN MARTIN "/>
    <x v="192"/>
    <x v="0"/>
    <x v="6"/>
    <x v="1"/>
    <x v="141"/>
    <x v="0"/>
    <n v="1"/>
    <n v="300"/>
    <x v="0"/>
    <x v="1"/>
    <n v="5.076142131979695E-3"/>
    <x v="8"/>
    <x v="1"/>
    <s v="OK"/>
    <x v="0"/>
    <s v="OK"/>
    <x v="0"/>
    <x v="0"/>
    <n v="1"/>
    <n v="0"/>
    <n v="0"/>
    <n v="0"/>
    <x v="0"/>
    <x v="0"/>
    <x v="0"/>
  </r>
  <r>
    <n v="20603304510"/>
    <x v="41"/>
    <x v="34"/>
    <x v="1039"/>
    <x v="1043"/>
    <x v="910"/>
    <n v="1"/>
    <x v="17"/>
    <s v="E01"/>
    <s v="AV. LOS OLIVOS ASOC. VIV. EL ROSARIO DEL NORTE MZ. A LT. 3 LIMA "/>
    <x v="3"/>
    <x v="0"/>
    <x v="6"/>
    <x v="1"/>
    <x v="5"/>
    <x v="0"/>
    <n v="1"/>
    <n v="312"/>
    <x v="0"/>
    <x v="1"/>
    <n v="5.076142131979695E-3"/>
    <x v="11"/>
    <x v="1"/>
    <s v="OK"/>
    <x v="0"/>
    <s v="OK"/>
    <x v="0"/>
    <x v="0"/>
    <n v="1"/>
    <n v="0"/>
    <n v="0"/>
    <n v="0"/>
    <x v="0"/>
    <x v="0"/>
    <x v="0"/>
  </r>
  <r>
    <n v="20603304510"/>
    <x v="41"/>
    <x v="34"/>
    <x v="1040"/>
    <x v="1044"/>
    <x v="911"/>
    <n v="1"/>
    <x v="17"/>
    <s v="DOVELAS"/>
    <s v="STA VERONICA 209 PALAO 2 ETAPA LIMA - LIMA - SAN MARTIN DE PORRES"/>
    <x v="3"/>
    <x v="0"/>
    <x v="6"/>
    <x v="1"/>
    <x v="441"/>
    <x v="0"/>
    <n v="1"/>
    <n v="300"/>
    <x v="0"/>
    <x v="1"/>
    <n v="5.076142131979695E-3"/>
    <x v="13"/>
    <x v="1"/>
    <s v="OK"/>
    <x v="0"/>
    <s v="OK"/>
    <x v="0"/>
    <x v="0"/>
    <n v="1"/>
    <n v="0"/>
    <n v="0"/>
    <n v="0"/>
    <x v="0"/>
    <x v="0"/>
    <x v="0"/>
  </r>
  <r>
    <n v="20603304510"/>
    <x v="41"/>
    <x v="34"/>
    <x v="1041"/>
    <x v="1045"/>
    <x v="912"/>
    <n v="1"/>
    <x v="17"/>
    <s v="E02"/>
    <s v="PSJ. LOS OLIVOS B18 ASENT.H. JESUS DE NAZARETH"/>
    <x v="70"/>
    <x v="0"/>
    <x v="6"/>
    <x v="1"/>
    <x v="141"/>
    <x v="0"/>
    <n v="1"/>
    <n v="324"/>
    <x v="0"/>
    <x v="1"/>
    <n v="5.076142131979695E-3"/>
    <x v="13"/>
    <x v="1"/>
    <s v="OK"/>
    <x v="0"/>
    <s v="OK"/>
    <x v="0"/>
    <x v="0"/>
    <n v="1"/>
    <n v="0"/>
    <n v="0"/>
    <n v="0"/>
    <x v="0"/>
    <x v="0"/>
    <x v="0"/>
  </r>
  <r>
    <n v="20603304510"/>
    <x v="41"/>
    <x v="34"/>
    <x v="1042"/>
    <x v="1046"/>
    <x v="913"/>
    <n v="1"/>
    <x v="17"/>
    <s v="E05"/>
    <s v="JIRON MICAELA BASTIDAS 145 VILLA SEÑOR DE LOS MILAGROS CALLAO"/>
    <x v="6"/>
    <x v="0"/>
    <x v="6"/>
    <x v="1"/>
    <x v="114"/>
    <x v="0"/>
    <n v="1"/>
    <n v="264"/>
    <x v="0"/>
    <x v="1"/>
    <n v="5.076142131979695E-3"/>
    <x v="11"/>
    <x v="1"/>
    <s v="OK"/>
    <x v="2"/>
    <s v="OK"/>
    <x v="0"/>
    <x v="0"/>
    <n v="1"/>
    <n v="1"/>
    <n v="0"/>
    <n v="0"/>
    <x v="0"/>
    <x v="0"/>
    <x v="0"/>
  </r>
  <r>
    <n v="20603304510"/>
    <x v="41"/>
    <x v="34"/>
    <x v="1043"/>
    <x v="1047"/>
    <x v="914"/>
    <n v="1"/>
    <x v="17"/>
    <s v="E02"/>
    <s v="CALLE VELASCO ALVARADO ASENT.H. DEFENSORES DE LA PATRIA MZ. K4 LT. 25 CALLAO"/>
    <x v="2"/>
    <x v="0"/>
    <x v="6"/>
    <x v="1"/>
    <x v="141"/>
    <x v="0"/>
    <n v="1"/>
    <n v="276"/>
    <x v="0"/>
    <x v="1"/>
    <n v="5.076142131979695E-3"/>
    <x v="10"/>
    <x v="1"/>
    <s v="OK"/>
    <x v="2"/>
    <s v="OK"/>
    <x v="0"/>
    <x v="0"/>
    <n v="1"/>
    <n v="1"/>
    <n v="0"/>
    <n v="0"/>
    <x v="0"/>
    <x v="0"/>
    <x v="0"/>
  </r>
  <r>
    <n v="20603304510"/>
    <x v="41"/>
    <x v="34"/>
    <x v="1044"/>
    <x v="1048"/>
    <x v="915"/>
    <n v="1"/>
    <x v="17"/>
    <s v="E01"/>
    <s v="JIRON WASHINGTON 275 CALLAO"/>
    <x v="6"/>
    <x v="0"/>
    <x v="6"/>
    <x v="1"/>
    <x v="1"/>
    <x v="0"/>
    <n v="1"/>
    <n v="312"/>
    <x v="0"/>
    <x v="1"/>
    <n v="5.076142131979695E-3"/>
    <x v="9"/>
    <x v="1"/>
    <s v="OK"/>
    <x v="2"/>
    <s v="OK"/>
    <x v="0"/>
    <x v="0"/>
    <n v="1"/>
    <n v="1"/>
    <n v="0"/>
    <n v="0"/>
    <x v="0"/>
    <x v="0"/>
    <x v="0"/>
  </r>
  <r>
    <n v="20603304510"/>
    <x v="41"/>
    <x v="34"/>
    <x v="1045"/>
    <x v="1049"/>
    <x v="916"/>
    <n v="1"/>
    <x v="17"/>
    <s v="E05"/>
    <s v="ASENT.H. LOS NARANJOS MZ. A LT. 8 CALLAO "/>
    <x v="2"/>
    <x v="0"/>
    <x v="6"/>
    <x v="1"/>
    <x v="191"/>
    <x v="0"/>
    <n v="1"/>
    <n v="288"/>
    <x v="0"/>
    <x v="1"/>
    <n v="5.076142131979695E-3"/>
    <x v="8"/>
    <x v="1"/>
    <s v="OK"/>
    <x v="2"/>
    <s v="OK"/>
    <x v="0"/>
    <x v="0"/>
    <n v="1"/>
    <n v="1"/>
    <n v="0"/>
    <n v="0"/>
    <x v="0"/>
    <x v="0"/>
    <x v="0"/>
  </r>
  <r>
    <n v="20603304510"/>
    <x v="41"/>
    <x v="34"/>
    <x v="1046"/>
    <x v="1050"/>
    <x v="917"/>
    <n v="1"/>
    <x v="17"/>
    <s v="POZO PV3"/>
    <s v="AV. PROCERES DE LA INDEP.07 MZ.M7 LT.29 A.H. HORACIO ZEVALLOS G. LIMA "/>
    <x v="15"/>
    <x v="0"/>
    <x v="6"/>
    <x v="1"/>
    <x v="144"/>
    <x v="0"/>
    <n v="1"/>
    <n v="300"/>
    <x v="0"/>
    <x v="1"/>
    <n v="5.076142131979695E-3"/>
    <x v="10"/>
    <x v="1"/>
    <s v="OK"/>
    <x v="0"/>
    <s v="OK"/>
    <x v="0"/>
    <x v="0"/>
    <n v="1"/>
    <n v="0"/>
    <n v="0"/>
    <n v="0"/>
    <x v="0"/>
    <x v="0"/>
    <x v="0"/>
  </r>
  <r>
    <n v="20603304510"/>
    <x v="41"/>
    <x v="34"/>
    <x v="1047"/>
    <x v="1051"/>
    <x v="918"/>
    <n v="1"/>
    <x v="17"/>
    <s v="E06"/>
    <s v="ASENT.H. COSTA AZUL MZ. L LT. 19 CALLAO "/>
    <x v="2"/>
    <x v="0"/>
    <x v="6"/>
    <x v="1"/>
    <x v="441"/>
    <x v="0"/>
    <n v="1"/>
    <n v="216"/>
    <x v="0"/>
    <x v="1"/>
    <n v="5.076142131979695E-3"/>
    <x v="10"/>
    <x v="1"/>
    <s v="OK"/>
    <x v="2"/>
    <s v="OK"/>
    <x v="0"/>
    <x v="0"/>
    <n v="1"/>
    <n v="1"/>
    <n v="0"/>
    <n v="0"/>
    <x v="0"/>
    <x v="0"/>
    <x v="0"/>
  </r>
  <r>
    <n v="20603304510"/>
    <x v="41"/>
    <x v="34"/>
    <x v="1048"/>
    <x v="1052"/>
    <x v="919"/>
    <n v="1"/>
    <x v="17"/>
    <s v="E03"/>
    <s v="MZ. C LT. 9 CALLAO "/>
    <x v="6"/>
    <x v="0"/>
    <x v="6"/>
    <x v="1"/>
    <x v="5"/>
    <x v="0"/>
    <n v="1"/>
    <n v="300"/>
    <x v="0"/>
    <x v="1"/>
    <n v="5.076142131979695E-3"/>
    <x v="8"/>
    <x v="1"/>
    <s v="OK"/>
    <x v="2"/>
    <s v="OK"/>
    <x v="0"/>
    <x v="0"/>
    <n v="1"/>
    <n v="1"/>
    <n v="0"/>
    <n v="0"/>
    <x v="0"/>
    <x v="0"/>
    <x v="0"/>
  </r>
  <r>
    <n v="20603304510"/>
    <x v="41"/>
    <x v="34"/>
    <x v="1049"/>
    <x v="1053"/>
    <x v="920"/>
    <n v="1"/>
    <x v="17"/>
    <s v="POZO PV 01"/>
    <s v="NESTOR GAMBETA BAJA MZ. L LT. 23 CALLAO "/>
    <x v="6"/>
    <x v="0"/>
    <x v="6"/>
    <x v="1"/>
    <x v="144"/>
    <x v="0"/>
    <n v="1"/>
    <n v="228"/>
    <x v="0"/>
    <x v="1"/>
    <n v="5.076142131979695E-3"/>
    <x v="8"/>
    <x v="1"/>
    <s v="OK"/>
    <x v="2"/>
    <s v="OK"/>
    <x v="0"/>
    <x v="0"/>
    <n v="1"/>
    <n v="1"/>
    <n v="0"/>
    <n v="0"/>
    <x v="0"/>
    <x v="0"/>
    <x v="0"/>
  </r>
  <r>
    <n v="20603304510"/>
    <x v="41"/>
    <x v="34"/>
    <x v="1050"/>
    <x v="1054"/>
    <x v="622"/>
    <n v="1"/>
    <x v="17"/>
    <s v="E05"/>
    <s v="CALLE LOS DURAZNOS COOP. F MALASPINA MZ. W LT. 12 LIMA"/>
    <x v="3"/>
    <x v="0"/>
    <x v="6"/>
    <x v="1"/>
    <x v="141"/>
    <x v="0"/>
    <n v="1"/>
    <n v="312"/>
    <x v="0"/>
    <x v="1"/>
    <n v="5.076142131979695E-3"/>
    <x v="13"/>
    <x v="1"/>
    <s v="OK"/>
    <x v="0"/>
    <s v="OK"/>
    <x v="0"/>
    <x v="0"/>
    <n v="1"/>
    <n v="0"/>
    <n v="0"/>
    <n v="0"/>
    <x v="0"/>
    <x v="0"/>
    <x v="0"/>
  </r>
  <r>
    <n v="20603304510"/>
    <x v="41"/>
    <x v="34"/>
    <x v="1051"/>
    <x v="1055"/>
    <x v="921"/>
    <n v="1"/>
    <x v="17"/>
    <s v="PATIO TALLER BOCANEGRA"/>
    <s v="STA. VERONICA 209 PALAO 2DA ET. LIMA "/>
    <x v="3"/>
    <x v="0"/>
    <x v="6"/>
    <x v="1"/>
    <x v="441"/>
    <x v="0"/>
    <n v="1"/>
    <n v="288"/>
    <x v="0"/>
    <x v="1"/>
    <n v="5.076142131979695E-3"/>
    <x v="13"/>
    <x v="1"/>
    <s v="OK"/>
    <x v="0"/>
    <s v="OK"/>
    <x v="0"/>
    <x v="0"/>
    <n v="1"/>
    <n v="0"/>
    <n v="0"/>
    <n v="0"/>
    <x v="0"/>
    <x v="0"/>
    <x v="0"/>
  </r>
  <r>
    <n v="20603304510"/>
    <x v="41"/>
    <x v="34"/>
    <x v="1052"/>
    <x v="1056"/>
    <x v="922"/>
    <n v="1"/>
    <x v="17"/>
    <s v="E02"/>
    <s v="CASERIO SANTA CATALINA LORETO "/>
    <x v="193"/>
    <x v="0"/>
    <x v="6"/>
    <x v="1"/>
    <x v="141"/>
    <x v="0"/>
    <n v="1"/>
    <n v="300"/>
    <x v="0"/>
    <x v="1"/>
    <n v="5.076142131979695E-3"/>
    <x v="10"/>
    <x v="1"/>
    <s v="OK"/>
    <x v="0"/>
    <s v="OK"/>
    <x v="0"/>
    <x v="0"/>
    <n v="1"/>
    <n v="0"/>
    <n v="0"/>
    <n v="0"/>
    <x v="0"/>
    <x v="0"/>
    <x v="0"/>
  </r>
  <r>
    <n v="20603304510"/>
    <x v="41"/>
    <x v="34"/>
    <x v="1053"/>
    <x v="1057"/>
    <x v="923"/>
    <n v="1"/>
    <x v="17"/>
    <s v="E01"/>
    <s v="JIRON ARICA 241 CALLAO"/>
    <x v="89"/>
    <x v="0"/>
    <x v="6"/>
    <x v="1"/>
    <x v="142"/>
    <x v="0"/>
    <n v="1"/>
    <n v="312"/>
    <x v="0"/>
    <x v="1"/>
    <n v="5.076142131979695E-3"/>
    <x v="6"/>
    <x v="1"/>
    <s v="OK"/>
    <x v="2"/>
    <s v="OK"/>
    <x v="0"/>
    <x v="0"/>
    <n v="1"/>
    <n v="1"/>
    <n v="0"/>
    <n v="0"/>
    <x v="0"/>
    <x v="0"/>
    <x v="0"/>
  </r>
  <r>
    <n v="20603304510"/>
    <x v="41"/>
    <x v="34"/>
    <x v="1054"/>
    <x v="1058"/>
    <x v="709"/>
    <n v="1"/>
    <x v="17"/>
    <s v="E01"/>
    <s v="PSJ. VARGAS CHAVEZ LORETO "/>
    <x v="193"/>
    <x v="0"/>
    <x v="6"/>
    <x v="1"/>
    <x v="141"/>
    <x v="0"/>
    <n v="1"/>
    <n v="300"/>
    <x v="0"/>
    <x v="1"/>
    <n v="5.076142131979695E-3"/>
    <x v="13"/>
    <x v="1"/>
    <s v="OK"/>
    <x v="0"/>
    <s v="OK"/>
    <x v="0"/>
    <x v="0"/>
    <n v="1"/>
    <n v="0"/>
    <n v="0"/>
    <n v="0"/>
    <x v="0"/>
    <x v="0"/>
    <x v="0"/>
  </r>
  <r>
    <n v="20603304510"/>
    <x v="41"/>
    <x v="34"/>
    <x v="1055"/>
    <x v="1059"/>
    <x v="924"/>
    <n v="1"/>
    <x v="17"/>
    <s v="DOVELAS"/>
    <s v="JIRON NAZCA 190 DPTO 202 URB SANTA MARIA CALLAO"/>
    <x v="6"/>
    <x v="0"/>
    <x v="6"/>
    <x v="3"/>
    <x v="16"/>
    <x v="0"/>
    <n v="1"/>
    <n v="300"/>
    <x v="0"/>
    <x v="1"/>
    <n v="5.076142131979695E-3"/>
    <x v="6"/>
    <x v="1"/>
    <s v="OK"/>
    <x v="2"/>
    <s v="OK"/>
    <x v="0"/>
    <x v="0"/>
    <n v="1"/>
    <n v="1"/>
    <n v="0"/>
    <n v="0"/>
    <x v="0"/>
    <x v="0"/>
    <x v="0"/>
  </r>
  <r>
    <n v="20603304510"/>
    <x v="41"/>
    <x v="34"/>
    <x v="1056"/>
    <x v="1060"/>
    <x v="925"/>
    <n v="1"/>
    <x v="17"/>
    <s v="E06"/>
    <s v="JIRON ERNESTO DELGADO S/N AAHH PILARES AZULES MZ E LT 24 CALLAO"/>
    <x v="6"/>
    <x v="0"/>
    <x v="6"/>
    <x v="1"/>
    <x v="16"/>
    <x v="0"/>
    <n v="1"/>
    <n v="300"/>
    <x v="0"/>
    <x v="1"/>
    <n v="5.076142131979695E-3"/>
    <x v="6"/>
    <x v="1"/>
    <s v="OK"/>
    <x v="2"/>
    <s v="OK"/>
    <x v="0"/>
    <x v="0"/>
    <n v="1"/>
    <n v="1"/>
    <n v="0"/>
    <n v="0"/>
    <x v="0"/>
    <x v="0"/>
    <x v="0"/>
  </r>
  <r>
    <n v="20603304510"/>
    <x v="41"/>
    <x v="34"/>
    <x v="1057"/>
    <x v="1061"/>
    <x v="926"/>
    <n v="1"/>
    <x v="17"/>
    <s v="E06"/>
    <s v="JIRON MADRE DE DIOS 3895 LIMA"/>
    <x v="3"/>
    <x v="0"/>
    <x v="6"/>
    <x v="1"/>
    <x v="148"/>
    <x v="0"/>
    <n v="1"/>
    <n v="312"/>
    <x v="0"/>
    <x v="1"/>
    <n v="5.076142131979695E-3"/>
    <x v="12"/>
    <x v="1"/>
    <s v="OK"/>
    <x v="0"/>
    <s v="OK"/>
    <x v="0"/>
    <x v="0"/>
    <n v="1"/>
    <n v="0"/>
    <n v="0"/>
    <n v="0"/>
    <x v="0"/>
    <x v="0"/>
    <x v="0"/>
  </r>
  <r>
    <n v="20603304510"/>
    <x v="41"/>
    <x v="34"/>
    <x v="1058"/>
    <x v="1062"/>
    <x v="927"/>
    <n v="1"/>
    <x v="17"/>
    <s v="PATIO TALLER BOCANEGRA"/>
    <s v="ASOCIACIÓN VIRGEN DEL ROSARIO MZ J LT 07 LIMA"/>
    <x v="3"/>
    <x v="0"/>
    <x v="22"/>
    <x v="1"/>
    <x v="94"/>
    <x v="2"/>
    <n v="1"/>
    <n v="204"/>
    <x v="0"/>
    <x v="1"/>
    <n v="5.076142131979695E-3"/>
    <x v="8"/>
    <x v="1"/>
    <s v="OK"/>
    <x v="0"/>
    <s v="OK"/>
    <x v="0"/>
    <x v="0"/>
    <n v="1"/>
    <n v="0"/>
    <n v="0"/>
    <n v="1"/>
    <x v="0"/>
    <x v="1"/>
    <x v="0"/>
  </r>
  <r>
    <n v="20603304510"/>
    <x v="41"/>
    <x v="34"/>
    <x v="1059"/>
    <x v="1063"/>
    <x v="928"/>
    <n v="1"/>
    <x v="17"/>
    <s v="E01"/>
    <s v="CALLE 12 URBANIZACION EL ALAMO MZA. F LOTE. 15 CALLAO"/>
    <x v="6"/>
    <x v="0"/>
    <x v="6"/>
    <x v="3"/>
    <x v="128"/>
    <x v="0"/>
    <n v="1"/>
    <n v="300"/>
    <x v="0"/>
    <x v="1"/>
    <n v="5.076142131979695E-3"/>
    <x v="7"/>
    <x v="1"/>
    <s v="OK"/>
    <x v="2"/>
    <s v="OK"/>
    <x v="0"/>
    <x v="0"/>
    <n v="1"/>
    <n v="1"/>
    <n v="0"/>
    <n v="0"/>
    <x v="0"/>
    <x v="0"/>
    <x v="0"/>
  </r>
  <r>
    <n v="20603304510"/>
    <x v="41"/>
    <x v="34"/>
    <x v="1060"/>
    <x v="1064"/>
    <x v="380"/>
    <n v="1"/>
    <x v="17"/>
    <s v="E02"/>
    <s v="JIRON ATAHUALPA 168 CALLAO"/>
    <x v="17"/>
    <x v="0"/>
    <x v="6"/>
    <x v="1"/>
    <x v="146"/>
    <x v="0"/>
    <n v="1"/>
    <n v="300"/>
    <x v="0"/>
    <x v="1"/>
    <n v="5.076142131979695E-3"/>
    <x v="13"/>
    <x v="1"/>
    <s v="OK"/>
    <x v="2"/>
    <s v="OK"/>
    <x v="0"/>
    <x v="0"/>
    <n v="1"/>
    <n v="1"/>
    <n v="1"/>
    <n v="0"/>
    <x v="0"/>
    <x v="0"/>
    <x v="1"/>
  </r>
  <r>
    <n v="20603304510"/>
    <x v="41"/>
    <x v="34"/>
    <x v="1061"/>
    <x v="1065"/>
    <x v="929"/>
    <n v="1"/>
    <x v="17"/>
    <s v="E01"/>
    <s v="AA.HH. JUAN PABLO II MZ P LT 7"/>
    <x v="6"/>
    <x v="0"/>
    <x v="6"/>
    <x v="1"/>
    <x v="101"/>
    <x v="0"/>
    <n v="1"/>
    <n v="132"/>
    <x v="0"/>
    <x v="1"/>
    <n v="5.076142131979695E-3"/>
    <x v="11"/>
    <x v="1"/>
    <s v="OK"/>
    <x v="2"/>
    <s v="OK"/>
    <x v="0"/>
    <x v="0"/>
    <n v="1"/>
    <n v="1"/>
    <n v="1"/>
    <n v="0"/>
    <x v="0"/>
    <x v="0"/>
    <x v="1"/>
  </r>
  <r>
    <n v="20601917590"/>
    <x v="0"/>
    <x v="0"/>
    <x v="1062"/>
    <x v="1066"/>
    <x v="930"/>
    <n v="1"/>
    <x v="61"/>
    <s v="E3"/>
    <s v="Mz. Z Lt. 12 2da Etapa San Benito "/>
    <x v="54"/>
    <x v="0"/>
    <x v="0"/>
    <x v="0"/>
    <x v="1"/>
    <x v="0"/>
    <n v="1"/>
    <n v="200"/>
    <x v="0"/>
    <x v="0"/>
    <n v="1.6666666666666666E-2"/>
    <x v="14"/>
    <x v="2"/>
    <s v="OK"/>
    <x v="0"/>
    <s v="OK"/>
    <x v="0"/>
    <x v="0"/>
    <n v="1"/>
    <n v="0"/>
    <n v="0"/>
    <n v="0"/>
    <x v="0"/>
    <x v="0"/>
    <x v="0"/>
  </r>
  <r>
    <n v="20601917590"/>
    <x v="0"/>
    <x v="0"/>
    <x v="1063"/>
    <x v="1067"/>
    <x v="931"/>
    <n v="1"/>
    <x v="200"/>
    <s v="E2"/>
    <s v="Av. Simón Bolivar 1428, Tablada Zona Antigua- Villa Maria del Triunfo"/>
    <x v="72"/>
    <x v="0"/>
    <x v="0"/>
    <x v="0"/>
    <x v="17"/>
    <x v="0"/>
    <n v="1"/>
    <n v="200"/>
    <x v="0"/>
    <x v="0"/>
    <n v="1.6666666666666666E-2"/>
    <x v="14"/>
    <x v="2"/>
    <s v="OK"/>
    <x v="0"/>
    <s v="OK"/>
    <x v="0"/>
    <x v="0"/>
    <n v="1"/>
    <n v="0"/>
    <n v="0"/>
    <n v="0"/>
    <x v="0"/>
    <x v="0"/>
    <x v="0"/>
  </r>
  <r>
    <n v="20601917590"/>
    <x v="0"/>
    <x v="0"/>
    <x v="1064"/>
    <x v="1068"/>
    <x v="932"/>
    <n v="1"/>
    <x v="201"/>
    <s v="E1"/>
    <s v="Fundo Huarangal N° 01 Lurín"/>
    <x v="91"/>
    <x v="0"/>
    <x v="0"/>
    <x v="0"/>
    <x v="5"/>
    <x v="0"/>
    <n v="1"/>
    <n v="192"/>
    <x v="0"/>
    <x v="0"/>
    <n v="1.6666666666666666E-2"/>
    <x v="15"/>
    <x v="2"/>
    <s v="OK"/>
    <x v="0"/>
    <s v="OK"/>
    <x v="0"/>
    <x v="0"/>
    <n v="1"/>
    <n v="0"/>
    <n v="0"/>
    <n v="0"/>
    <x v="0"/>
    <x v="0"/>
    <x v="0"/>
  </r>
  <r>
    <n v="20601917590"/>
    <x v="0"/>
    <x v="0"/>
    <x v="1065"/>
    <x v="1069"/>
    <x v="933"/>
    <n v="1"/>
    <x v="0"/>
    <s v="E3"/>
    <s v="Urb. Rosa Luz Etapa 1 Mz. C, Lt.12 Puente Piedra"/>
    <x v="4"/>
    <x v="0"/>
    <x v="0"/>
    <x v="0"/>
    <x v="4"/>
    <x v="1"/>
    <m/>
    <n v="152"/>
    <x v="0"/>
    <x v="0"/>
    <n v="1.6666666666666666E-2"/>
    <x v="16"/>
    <x v="2"/>
    <s v="OK"/>
    <x v="0"/>
    <s v="OK"/>
    <x v="0"/>
    <x v="0"/>
    <n v="1"/>
    <n v="0"/>
    <n v="1"/>
    <n v="0"/>
    <x v="0"/>
    <x v="0"/>
    <x v="1"/>
  </r>
  <r>
    <n v="20601917590"/>
    <x v="0"/>
    <x v="0"/>
    <x v="1066"/>
    <x v="1070"/>
    <x v="934"/>
    <n v="1"/>
    <x v="0"/>
    <s v="E1"/>
    <s v="Jr. Enrique Oppenheimer 573 "/>
    <x v="194"/>
    <x v="0"/>
    <x v="0"/>
    <x v="0"/>
    <x v="141"/>
    <x v="0"/>
    <n v="1"/>
    <n v="200"/>
    <x v="0"/>
    <x v="0"/>
    <n v="1.6666666666666666E-2"/>
    <x v="15"/>
    <x v="2"/>
    <s v="OK"/>
    <x v="0"/>
    <s v="OK"/>
    <x v="0"/>
    <x v="0"/>
    <n v="1"/>
    <n v="0"/>
    <n v="0"/>
    <n v="0"/>
    <x v="0"/>
    <x v="0"/>
    <x v="0"/>
  </r>
  <r>
    <n v="20601917590"/>
    <x v="0"/>
    <x v="0"/>
    <x v="1067"/>
    <x v="1071"/>
    <x v="935"/>
    <n v="1"/>
    <x v="0"/>
    <s v="E1"/>
    <s v="Psj. Grau Mz. 19 Lt. 8 AAHH Unión Progreso Esperanza Belén  San Juan de Lurigancho"/>
    <x v="15"/>
    <x v="0"/>
    <x v="0"/>
    <x v="0"/>
    <x v="49"/>
    <x v="0"/>
    <n v="1"/>
    <n v="192"/>
    <x v="0"/>
    <x v="0"/>
    <n v="1.6666666666666666E-2"/>
    <x v="17"/>
    <x v="2"/>
    <s v="OK"/>
    <x v="0"/>
    <s v="OK"/>
    <x v="0"/>
    <x v="0"/>
    <n v="1"/>
    <n v="0"/>
    <n v="0"/>
    <n v="0"/>
    <x v="0"/>
    <x v="0"/>
    <x v="0"/>
  </r>
  <r>
    <n v="20601917590"/>
    <x v="0"/>
    <x v="0"/>
    <x v="1068"/>
    <x v="1072"/>
    <x v="936"/>
    <n v="1"/>
    <x v="202"/>
    <s v="E3"/>
    <s v="CALLE ALFA 144"/>
    <x v="1"/>
    <x v="0"/>
    <x v="0"/>
    <x v="0"/>
    <x v="5"/>
    <x v="0"/>
    <n v="1"/>
    <n v="200"/>
    <x v="0"/>
    <x v="0"/>
    <n v="1.6666666666666666E-2"/>
    <x v="18"/>
    <x v="2"/>
    <s v="OK"/>
    <x v="1"/>
    <s v="OK"/>
    <x v="0"/>
    <x v="0"/>
    <n v="1"/>
    <n v="1"/>
    <n v="0"/>
    <n v="0"/>
    <x v="0"/>
    <x v="0"/>
    <x v="0"/>
  </r>
  <r>
    <n v="20601917590"/>
    <x v="0"/>
    <x v="0"/>
    <x v="1069"/>
    <x v="1073"/>
    <x v="937"/>
    <n v="1"/>
    <x v="0"/>
    <s v="E1"/>
    <s v="Mi Perú Mz. K1 Lt. 33 – Ventanilla "/>
    <x v="195"/>
    <x v="0"/>
    <x v="0"/>
    <x v="0"/>
    <x v="25"/>
    <x v="0"/>
    <n v="1"/>
    <n v="200"/>
    <x v="0"/>
    <x v="0"/>
    <n v="1.6666666666666666E-2"/>
    <x v="17"/>
    <x v="2"/>
    <s v="OK"/>
    <x v="0"/>
    <s v="OK"/>
    <x v="0"/>
    <x v="0"/>
    <n v="1"/>
    <n v="0"/>
    <n v="0"/>
    <n v="0"/>
    <x v="0"/>
    <x v="0"/>
    <x v="0"/>
  </r>
  <r>
    <n v="20601917590"/>
    <x v="0"/>
    <x v="0"/>
    <x v="1070"/>
    <x v="1074"/>
    <x v="938"/>
    <n v="1"/>
    <x v="0"/>
    <s v="E2"/>
    <s v="Psj. 51 Mz. C10 Lt.8 AAHH Bocanegra Callao "/>
    <x v="6"/>
    <x v="0"/>
    <x v="0"/>
    <x v="0"/>
    <x v="36"/>
    <x v="0"/>
    <n v="1"/>
    <n v="192"/>
    <x v="0"/>
    <x v="0"/>
    <n v="1.6666666666666666E-2"/>
    <x v="18"/>
    <x v="2"/>
    <s v="OK"/>
    <x v="2"/>
    <s v="OK"/>
    <x v="0"/>
    <x v="0"/>
    <n v="1"/>
    <n v="1"/>
    <n v="0"/>
    <n v="0"/>
    <x v="0"/>
    <x v="0"/>
    <x v="0"/>
  </r>
  <r>
    <n v="20601917590"/>
    <x v="0"/>
    <x v="0"/>
    <x v="1071"/>
    <x v="1075"/>
    <x v="939"/>
    <n v="1"/>
    <x v="203"/>
    <s v="E3"/>
    <s v="Jr. Napo 847- dpto 804"/>
    <x v="5"/>
    <x v="0"/>
    <x v="0"/>
    <x v="0"/>
    <x v="123"/>
    <x v="0"/>
    <n v="1"/>
    <n v="200"/>
    <x v="0"/>
    <x v="0"/>
    <n v="1.6666666666666666E-2"/>
    <x v="18"/>
    <x v="2"/>
    <s v="OK"/>
    <x v="3"/>
    <s v="OK"/>
    <x v="0"/>
    <x v="0"/>
    <n v="1"/>
    <n v="1"/>
    <n v="0"/>
    <n v="0"/>
    <x v="0"/>
    <x v="0"/>
    <x v="0"/>
  </r>
  <r>
    <n v="20601917590"/>
    <x v="0"/>
    <x v="0"/>
    <x v="1072"/>
    <x v="1076"/>
    <x v="940"/>
    <n v="1"/>
    <x v="204"/>
    <s v="E1"/>
    <s v="Mz.D Lt.16 Asociación las Orquideas de Naranjal- San Martin de Porres"/>
    <x v="3"/>
    <x v="0"/>
    <x v="0"/>
    <x v="0"/>
    <x v="2"/>
    <x v="0"/>
    <n v="1"/>
    <n v="160"/>
    <x v="0"/>
    <x v="0"/>
    <n v="1.6666666666666666E-2"/>
    <x v="18"/>
    <x v="2"/>
    <s v="OK"/>
    <x v="0"/>
    <s v="OK"/>
    <x v="0"/>
    <x v="0"/>
    <n v="1"/>
    <n v="0"/>
    <n v="0"/>
    <n v="0"/>
    <x v="0"/>
    <x v="0"/>
    <x v="0"/>
  </r>
  <r>
    <n v="20601917590"/>
    <x v="0"/>
    <x v="0"/>
    <x v="1073"/>
    <x v="1077"/>
    <x v="941"/>
    <n v="1"/>
    <x v="0"/>
    <s v="E3"/>
    <s v="AAHH Virgen de Guadalupe Mz. E Lt.10 Ventanilla, Callao"/>
    <x v="6"/>
    <x v="0"/>
    <x v="0"/>
    <x v="0"/>
    <x v="111"/>
    <x v="0"/>
    <n v="1"/>
    <n v="168"/>
    <x v="0"/>
    <x v="0"/>
    <n v="1.6666666666666666E-2"/>
    <x v="19"/>
    <x v="2"/>
    <s v="OK"/>
    <x v="2"/>
    <s v="OK"/>
    <x v="0"/>
    <x v="0"/>
    <n v="1"/>
    <n v="1"/>
    <n v="0"/>
    <n v="0"/>
    <x v="0"/>
    <x v="0"/>
    <x v="0"/>
  </r>
  <r>
    <n v="20601917590"/>
    <x v="0"/>
    <x v="0"/>
    <x v="1074"/>
    <x v="1078"/>
    <x v="942"/>
    <n v="1"/>
    <x v="0"/>
    <s v="E3"/>
    <s v="Mz. Y Lt. 4 AAHH Luis Felipe De  las Casas - Ventanilla"/>
    <x v="2"/>
    <x v="0"/>
    <x v="0"/>
    <x v="0"/>
    <x v="239"/>
    <x v="0"/>
    <n v="1"/>
    <n v="200"/>
    <x v="0"/>
    <x v="0"/>
    <n v="1.6666666666666666E-2"/>
    <x v="18"/>
    <x v="2"/>
    <s v="OK"/>
    <x v="2"/>
    <s v="OK"/>
    <x v="0"/>
    <x v="0"/>
    <n v="1"/>
    <n v="1"/>
    <n v="0"/>
    <n v="0"/>
    <x v="0"/>
    <x v="0"/>
    <x v="0"/>
  </r>
  <r>
    <n v="20601917590"/>
    <x v="0"/>
    <x v="0"/>
    <x v="1075"/>
    <x v="1079"/>
    <x v="943"/>
    <n v="1"/>
    <x v="0"/>
    <s v="E3"/>
    <s v="Urb. Alameda de la Rivera Mz. F Lt. S2 - ATE"/>
    <x v="1"/>
    <x v="0"/>
    <x v="0"/>
    <x v="0"/>
    <x v="188"/>
    <x v="1"/>
    <m/>
    <n v="200"/>
    <x v="0"/>
    <x v="0"/>
    <n v="1.6666666666666666E-2"/>
    <x v="16"/>
    <x v="2"/>
    <s v="OK"/>
    <x v="1"/>
    <s v="OK"/>
    <x v="0"/>
    <x v="0"/>
    <n v="1"/>
    <n v="1"/>
    <n v="0"/>
    <n v="0"/>
    <x v="0"/>
    <x v="0"/>
    <x v="0"/>
  </r>
  <r>
    <n v="20601917590"/>
    <x v="0"/>
    <x v="0"/>
    <x v="1076"/>
    <x v="1080"/>
    <x v="944"/>
    <n v="1"/>
    <x v="0"/>
    <s v="E1"/>
    <s v="Calle Los Cipreces 165 – San Martin de Porres "/>
    <x v="3"/>
    <x v="0"/>
    <x v="0"/>
    <x v="0"/>
    <x v="49"/>
    <x v="0"/>
    <n v="1"/>
    <n v="184"/>
    <x v="0"/>
    <x v="0"/>
    <n v="1.6666666666666666E-2"/>
    <x v="18"/>
    <x v="2"/>
    <s v="OK"/>
    <x v="0"/>
    <s v="OK"/>
    <x v="0"/>
    <x v="0"/>
    <n v="1"/>
    <n v="0"/>
    <n v="0"/>
    <n v="0"/>
    <x v="0"/>
    <x v="0"/>
    <x v="0"/>
  </r>
  <r>
    <n v="20601917590"/>
    <x v="0"/>
    <x v="0"/>
    <x v="1077"/>
    <x v="1081"/>
    <x v="945"/>
    <n v="1"/>
    <x v="205"/>
    <s v="E3"/>
    <s v="Av. Las Brisas AAHH 25 de febrero Mz. E Lt. 9"/>
    <x v="6"/>
    <x v="0"/>
    <x v="0"/>
    <x v="0"/>
    <x v="278"/>
    <x v="0"/>
    <n v="1"/>
    <n v="200"/>
    <x v="0"/>
    <x v="0"/>
    <n v="1.6666666666666666E-2"/>
    <x v="15"/>
    <x v="2"/>
    <s v="OK"/>
    <x v="2"/>
    <s v="OK"/>
    <x v="0"/>
    <x v="0"/>
    <n v="1"/>
    <n v="1"/>
    <n v="0"/>
    <n v="0"/>
    <x v="0"/>
    <x v="0"/>
    <x v="0"/>
  </r>
  <r>
    <n v="20601917590"/>
    <x v="0"/>
    <x v="0"/>
    <x v="1078"/>
    <x v="1082"/>
    <x v="946"/>
    <n v="1"/>
    <x v="206"/>
    <s v="E2"/>
    <s v="Jr. Pedro Unanue 203 Int. 301 Urb. Antares "/>
    <x v="3"/>
    <x v="0"/>
    <x v="0"/>
    <x v="0"/>
    <x v="125"/>
    <x v="0"/>
    <n v="1"/>
    <n v="200"/>
    <x v="0"/>
    <x v="0"/>
    <n v="1.6666666666666666E-2"/>
    <x v="16"/>
    <x v="2"/>
    <s v="OK"/>
    <x v="0"/>
    <s v="OK"/>
    <x v="0"/>
    <x v="0"/>
    <n v="1"/>
    <n v="0"/>
    <n v="0"/>
    <n v="0"/>
    <x v="0"/>
    <x v="0"/>
    <x v="0"/>
  </r>
  <r>
    <n v="2055163079"/>
    <x v="42"/>
    <x v="35"/>
    <x v="1079"/>
    <x v="1083"/>
    <x v="947"/>
    <n v="1"/>
    <x v="57"/>
    <s v="ESTACIONES Y PATIO TALLER"/>
    <s v="COOPERATIVA LAS VERTIENTES MZ Y LOTE 7"/>
    <x v="19"/>
    <x v="0"/>
    <x v="0"/>
    <x v="1"/>
    <x v="442"/>
    <x v="0"/>
    <n v="2"/>
    <n v="10"/>
    <x v="0"/>
    <x v="1"/>
    <n v="0.125"/>
    <x v="20"/>
    <x v="2"/>
    <s v="OK"/>
    <x v="0"/>
    <s v="OK"/>
    <x v="0"/>
    <x v="0"/>
    <n v="1"/>
    <n v="0"/>
    <n v="0"/>
    <n v="0"/>
    <x v="0"/>
    <x v="0"/>
    <x v="0"/>
  </r>
  <r>
    <n v="2055163079"/>
    <x v="42"/>
    <x v="35"/>
    <x v="1080"/>
    <x v="1084"/>
    <x v="948"/>
    <n v="3"/>
    <x v="58"/>
    <s v="ESTACIONES Y PATIO TALLER"/>
    <s v="CALLE LOS EUCALIPTOS MZ L2 LT 22"/>
    <x v="15"/>
    <x v="0"/>
    <x v="0"/>
    <x v="1"/>
    <x v="443"/>
    <x v="0"/>
    <n v="1"/>
    <n v="18"/>
    <x v="0"/>
    <x v="1"/>
    <n v="0.125"/>
    <x v="21"/>
    <x v="2"/>
    <s v="OK"/>
    <x v="0"/>
    <s v="OK"/>
    <x v="0"/>
    <x v="0"/>
    <n v="1"/>
    <n v="0"/>
    <n v="0"/>
    <n v="0"/>
    <x v="0"/>
    <x v="0"/>
    <x v="0"/>
  </r>
  <r>
    <n v="20600111354"/>
    <x v="1"/>
    <x v="1"/>
    <x v="1081"/>
    <x v="1085"/>
    <x v="949"/>
    <n v="2"/>
    <x v="4"/>
    <s v="ESTACION 03 RAMAL 4"/>
    <s v="MZ I LT 6 SECTOR 2 GRUPO 23-A"/>
    <x v="19"/>
    <x v="0"/>
    <x v="0"/>
    <x v="1"/>
    <x v="444"/>
    <x v="0"/>
    <n v="4"/>
    <n v="166"/>
    <x v="0"/>
    <x v="1"/>
    <n v="7.462686567164179E-3"/>
    <x v="22"/>
    <x v="2"/>
    <s v="OK"/>
    <x v="0"/>
    <s v="OK"/>
    <x v="0"/>
    <x v="0"/>
    <n v="1"/>
    <n v="0"/>
    <n v="0"/>
    <n v="0"/>
    <x v="0"/>
    <x v="0"/>
    <x v="0"/>
  </r>
  <r>
    <n v="20600111354"/>
    <x v="1"/>
    <x v="1"/>
    <x v="1082"/>
    <x v="1086"/>
    <x v="950"/>
    <n v="1"/>
    <x v="45"/>
    <s v="PLANTA DOVELAS"/>
    <s v="LADERAS DE VILLA MZ N LT 4"/>
    <x v="53"/>
    <x v="0"/>
    <x v="0"/>
    <x v="1"/>
    <x v="445"/>
    <x v="0"/>
    <n v="1"/>
    <n v="246"/>
    <x v="0"/>
    <x v="1"/>
    <n v="7.462686567164179E-3"/>
    <x v="18"/>
    <x v="2"/>
    <s v="OK"/>
    <x v="0"/>
    <s v="OK"/>
    <x v="0"/>
    <x v="0"/>
    <n v="1"/>
    <n v="0"/>
    <n v="0"/>
    <n v="0"/>
    <x v="0"/>
    <x v="0"/>
    <x v="0"/>
  </r>
  <r>
    <n v="20600111354"/>
    <x v="1"/>
    <x v="1"/>
    <x v="1083"/>
    <x v="1087"/>
    <x v="951"/>
    <n v="1"/>
    <x v="45"/>
    <s v=" ESTACION 01 / ESTACION 02/ ESTACION 12/ ESTACION 11/ ESTACION 09"/>
    <s v="CALLE  19 DE MARZO 107 URB. SANTA ROSA -  RIMAC"/>
    <x v="157"/>
    <x v="0"/>
    <x v="0"/>
    <x v="1"/>
    <x v="446"/>
    <x v="0"/>
    <n v="1"/>
    <n v="278.5"/>
    <x v="0"/>
    <x v="1"/>
    <n v="7.462686567164179E-3"/>
    <x v="16"/>
    <x v="2"/>
    <s v="OK"/>
    <x v="0"/>
    <s v="OK"/>
    <x v="0"/>
    <x v="0"/>
    <n v="1"/>
    <n v="0"/>
    <n v="0"/>
    <n v="0"/>
    <x v="0"/>
    <x v="0"/>
    <x v="0"/>
  </r>
  <r>
    <n v="20600111354"/>
    <x v="1"/>
    <x v="1"/>
    <x v="1084"/>
    <x v="1088"/>
    <x v="952"/>
    <n v="2"/>
    <x v="59"/>
    <s v="ESTACION 03 RAMAL 4"/>
    <s v="CALLE .CAMINO REAL MATASANGO MZ 1U LT.20 "/>
    <x v="1"/>
    <x v="0"/>
    <x v="0"/>
    <x v="1"/>
    <x v="447"/>
    <x v="0"/>
    <n v="4"/>
    <n v="168"/>
    <x v="0"/>
    <x v="1"/>
    <n v="7.462686567164179E-3"/>
    <x v="18"/>
    <x v="2"/>
    <s v="OK"/>
    <x v="1"/>
    <s v="OK"/>
    <x v="0"/>
    <x v="0"/>
    <n v="1"/>
    <n v="1"/>
    <n v="0"/>
    <n v="0"/>
    <x v="0"/>
    <x v="0"/>
    <x v="0"/>
  </r>
  <r>
    <n v="20600111354"/>
    <x v="1"/>
    <x v="1"/>
    <x v="1085"/>
    <x v="1089"/>
    <x v="953"/>
    <n v="1"/>
    <x v="207"/>
    <s v="ESTACION 01 / ESTACION 2 / ESTACIÓN 12/ ESTACION 11 / ESTACION 09"/>
    <s v="JR. JUAN VALELNCIA N°335 AÑO NUEVO - COMAS"/>
    <x v="0"/>
    <x v="1"/>
    <x v="0"/>
    <x v="1"/>
    <x v="448"/>
    <x v="0"/>
    <n v="1"/>
    <n v="184"/>
    <x v="0"/>
    <x v="1"/>
    <n v="7.462686567164179E-3"/>
    <x v="19"/>
    <x v="2"/>
    <s v="OK"/>
    <x v="0"/>
    <s v="OK"/>
    <x v="0"/>
    <x v="0"/>
    <n v="1"/>
    <n v="0"/>
    <n v="0"/>
    <n v="0"/>
    <x v="0"/>
    <x v="0"/>
    <x v="0"/>
  </r>
  <r>
    <n v="20600111354"/>
    <x v="1"/>
    <x v="1"/>
    <x v="1086"/>
    <x v="1090"/>
    <x v="954"/>
    <n v="1"/>
    <x v="197"/>
    <s v="ESTACION 09/ ESTACION 03 RAMAL 4"/>
    <s v="AV. LA PAZ 769"/>
    <x v="28"/>
    <x v="0"/>
    <x v="0"/>
    <x v="1"/>
    <x v="449"/>
    <x v="0"/>
    <n v="1"/>
    <n v="240"/>
    <x v="0"/>
    <x v="1"/>
    <n v="7.462686567164179E-3"/>
    <x v="19"/>
    <x v="2"/>
    <s v="OK"/>
    <x v="0"/>
    <s v="OK"/>
    <x v="0"/>
    <x v="0"/>
    <n v="1"/>
    <n v="0"/>
    <n v="0"/>
    <n v="0"/>
    <x v="0"/>
    <x v="0"/>
    <x v="0"/>
  </r>
  <r>
    <n v="20600111354"/>
    <x v="1"/>
    <x v="1"/>
    <x v="1087"/>
    <x v="1091"/>
    <x v="955"/>
    <n v="1"/>
    <x v="208"/>
    <s v="ESTACION 01 / ESTACION 2 / ESTACIÓN 12/ ESTACION 11 / ESTACION 09"/>
    <s v="JR. TOMAS MOLLA 168"/>
    <x v="157"/>
    <x v="1"/>
    <x v="0"/>
    <x v="1"/>
    <x v="450"/>
    <x v="0"/>
    <n v="2"/>
    <n v="176"/>
    <x v="0"/>
    <x v="1"/>
    <n v="7.462686567164179E-3"/>
    <x v="21"/>
    <x v="2"/>
    <s v="OK"/>
    <x v="0"/>
    <s v="OK"/>
    <x v="0"/>
    <x v="0"/>
    <n v="1"/>
    <n v="0"/>
    <n v="0"/>
    <n v="0"/>
    <x v="0"/>
    <x v="0"/>
    <x v="0"/>
  </r>
  <r>
    <n v="20600111354"/>
    <x v="1"/>
    <x v="1"/>
    <x v="1088"/>
    <x v="1092"/>
    <x v="956"/>
    <n v="1"/>
    <x v="4"/>
    <s v="DOVELAS"/>
    <s v="MZ-A1-LT 32 3PS COOP. CÉSAR VALLEJO"/>
    <x v="3"/>
    <x v="0"/>
    <x v="0"/>
    <x v="1"/>
    <x v="450"/>
    <x v="0"/>
    <n v="2"/>
    <n v="252"/>
    <x v="0"/>
    <x v="1"/>
    <n v="7.462686567164179E-3"/>
    <x v="17"/>
    <x v="2"/>
    <s v="OK"/>
    <x v="0"/>
    <s v="OK"/>
    <x v="0"/>
    <x v="0"/>
    <n v="1"/>
    <n v="0"/>
    <n v="0"/>
    <n v="0"/>
    <x v="0"/>
    <x v="0"/>
    <x v="0"/>
  </r>
  <r>
    <n v="20600111354"/>
    <x v="1"/>
    <x v="1"/>
    <x v="1089"/>
    <x v="1093"/>
    <x v="957"/>
    <n v="1"/>
    <x v="209"/>
    <s v="ESTACION 01 / ESTACION 2 / ESTACIÓN 12/ ESTACION 11 / ESTACION 09"/>
    <s v="MZ 2 LT 4 SECTOR NIÑO JESUS AH 25 DE DICIEMBRE SAN GABRIEL ALTO"/>
    <x v="8"/>
    <x v="1"/>
    <x v="0"/>
    <x v="1"/>
    <x v="451"/>
    <x v="0"/>
    <n v="1"/>
    <n v="184"/>
    <x v="0"/>
    <x v="1"/>
    <n v="7.462686567164179E-3"/>
    <x v="18"/>
    <x v="2"/>
    <s v="OK"/>
    <x v="0"/>
    <s v="OK"/>
    <x v="0"/>
    <x v="0"/>
    <n v="1"/>
    <n v="0"/>
    <n v="0"/>
    <n v="0"/>
    <x v="0"/>
    <x v="0"/>
    <x v="0"/>
  </r>
  <r>
    <n v="20600111354"/>
    <x v="1"/>
    <x v="1"/>
    <x v="1090"/>
    <x v="1094"/>
    <x v="958"/>
    <n v="1"/>
    <x v="210"/>
    <s v="ESTACION 01 / ESTACION 2 / ESTACIÓN 12/ ESTACION 11 / ESTACION 09"/>
    <s v="URB. VIRGEN DEL ROSARIO MZ.K1 LT.47"/>
    <x v="3"/>
    <x v="1"/>
    <x v="0"/>
    <x v="1"/>
    <x v="452"/>
    <x v="0"/>
    <n v="1"/>
    <n v="224"/>
    <x v="0"/>
    <x v="1"/>
    <n v="7.462686567164179E-3"/>
    <x v="19"/>
    <x v="2"/>
    <s v="OK"/>
    <x v="0"/>
    <s v="OK"/>
    <x v="0"/>
    <x v="0"/>
    <n v="1"/>
    <n v="0"/>
    <n v="0"/>
    <n v="0"/>
    <x v="0"/>
    <x v="0"/>
    <x v="0"/>
  </r>
  <r>
    <n v="20600111354"/>
    <x v="1"/>
    <x v="1"/>
    <x v="1091"/>
    <x v="1095"/>
    <x v="959"/>
    <n v="2"/>
    <x v="59"/>
    <s v="ESTACION 09 / ESTACION 11/ ESTACION 03 RAMAL 4"/>
    <s v="CALLE D URB LOS CLAVELES DE JAVIER PRADO MZ. D LT. 31"/>
    <x v="1"/>
    <x v="0"/>
    <x v="0"/>
    <x v="1"/>
    <x v="453"/>
    <x v="0"/>
    <n v="4"/>
    <n v="177"/>
    <x v="0"/>
    <x v="1"/>
    <n v="7.462686567164179E-3"/>
    <x v="15"/>
    <x v="2"/>
    <s v="OK"/>
    <x v="1"/>
    <s v="OK"/>
    <x v="0"/>
    <x v="0"/>
    <n v="1"/>
    <n v="1"/>
    <n v="0"/>
    <n v="0"/>
    <x v="0"/>
    <x v="0"/>
    <x v="0"/>
  </r>
  <r>
    <n v="20600111354"/>
    <x v="1"/>
    <x v="1"/>
    <x v="1092"/>
    <x v="1096"/>
    <x v="960"/>
    <n v="2"/>
    <x v="4"/>
    <s v="ESTACION 01/ESTACION 09"/>
    <s v="MZ.04 LT.13 ASENT.H ARRIBA"/>
    <x v="15"/>
    <x v="0"/>
    <x v="0"/>
    <x v="1"/>
    <x v="454"/>
    <x v="0"/>
    <n v="4"/>
    <n v="174"/>
    <x v="0"/>
    <x v="1"/>
    <n v="7.462686567164179E-3"/>
    <x v="19"/>
    <x v="2"/>
    <s v="OK"/>
    <x v="0"/>
    <s v="OK"/>
    <x v="0"/>
    <x v="0"/>
    <n v="1"/>
    <n v="0"/>
    <n v="0"/>
    <n v="0"/>
    <x v="0"/>
    <x v="0"/>
    <x v="0"/>
  </r>
  <r>
    <n v="20600111354"/>
    <x v="1"/>
    <x v="1"/>
    <x v="1093"/>
    <x v="1097"/>
    <x v="961"/>
    <n v="2"/>
    <x v="4"/>
    <s v="ESTACION 12/ ESTACION 11"/>
    <s v="PS 2 S-21 BARR PIEDRA LIZA"/>
    <x v="157"/>
    <x v="0"/>
    <x v="0"/>
    <x v="1"/>
    <x v="454"/>
    <x v="0"/>
    <n v="4"/>
    <n v="172.5"/>
    <x v="0"/>
    <x v="1"/>
    <n v="7.462686567164179E-3"/>
    <x v="19"/>
    <x v="2"/>
    <s v="OK"/>
    <x v="0"/>
    <s v="OK"/>
    <x v="0"/>
    <x v="0"/>
    <n v="1"/>
    <n v="0"/>
    <n v="0"/>
    <n v="0"/>
    <x v="0"/>
    <x v="0"/>
    <x v="0"/>
  </r>
  <r>
    <n v="20600111354"/>
    <x v="1"/>
    <x v="1"/>
    <x v="1094"/>
    <x v="1098"/>
    <x v="962"/>
    <n v="2"/>
    <x v="4"/>
    <s v="ESTACION 11 / ESTACION 09"/>
    <s v="MZ. I LT. 13 ASENT. H. 13 DE OCTUBRE"/>
    <x v="53"/>
    <x v="0"/>
    <x v="0"/>
    <x v="1"/>
    <x v="455"/>
    <x v="0"/>
    <n v="4"/>
    <n v="169"/>
    <x v="0"/>
    <x v="1"/>
    <n v="7.462686567164179E-3"/>
    <x v="21"/>
    <x v="2"/>
    <s v="OK"/>
    <x v="0"/>
    <s v="OK"/>
    <x v="0"/>
    <x v="0"/>
    <n v="1"/>
    <n v="0"/>
    <n v="0"/>
    <n v="0"/>
    <x v="0"/>
    <x v="0"/>
    <x v="0"/>
  </r>
  <r>
    <n v="20600111354"/>
    <x v="1"/>
    <x v="1"/>
    <x v="1095"/>
    <x v="1099"/>
    <x v="963"/>
    <n v="2"/>
    <x v="4"/>
    <s v=" ESTACION 11 / ESTACION 03 RAMAL 4"/>
    <s v="CORONEL ALTHAUS MZ.Q11 LT.16 URB. MRCAL CACERES"/>
    <x v="15"/>
    <x v="0"/>
    <x v="0"/>
    <x v="1"/>
    <x v="455"/>
    <x v="0"/>
    <n v="4"/>
    <n v="168.5"/>
    <x v="0"/>
    <x v="1"/>
    <n v="7.462686567164179E-3"/>
    <x v="18"/>
    <x v="2"/>
    <s v="OK"/>
    <x v="0"/>
    <s v="OK"/>
    <x v="0"/>
    <x v="0"/>
    <n v="1"/>
    <n v="0"/>
    <n v="0"/>
    <n v="0"/>
    <x v="0"/>
    <x v="0"/>
    <x v="0"/>
  </r>
  <r>
    <n v="20600111354"/>
    <x v="1"/>
    <x v="1"/>
    <x v="1096"/>
    <x v="1100"/>
    <x v="964"/>
    <n v="2"/>
    <x v="4"/>
    <s v="TVPM/ ESTACION 11/ESTACION 12"/>
    <s v="SECTOR G MZ J LT 6 COOP. SOL DE VITARTE"/>
    <x v="1"/>
    <x v="0"/>
    <x v="0"/>
    <x v="1"/>
    <x v="456"/>
    <x v="0"/>
    <n v="4"/>
    <n v="171"/>
    <x v="0"/>
    <x v="1"/>
    <n v="7.462686567164179E-3"/>
    <x v="17"/>
    <x v="2"/>
    <s v="OK"/>
    <x v="1"/>
    <s v="OK"/>
    <x v="0"/>
    <x v="0"/>
    <n v="1"/>
    <n v="1"/>
    <n v="0"/>
    <n v="0"/>
    <x v="0"/>
    <x v="0"/>
    <x v="0"/>
  </r>
  <r>
    <n v="20600111354"/>
    <x v="1"/>
    <x v="1"/>
    <x v="1097"/>
    <x v="1101"/>
    <x v="965"/>
    <n v="2"/>
    <x v="4"/>
    <s v="ESTACION 11/ ESTACION 12"/>
    <s v="ASENT. H. PESQUERO II - PACHACUTEC MZ. A LT. 1"/>
    <x v="2"/>
    <x v="0"/>
    <x v="0"/>
    <x v="1"/>
    <x v="457"/>
    <x v="0"/>
    <n v="4"/>
    <n v="178"/>
    <x v="0"/>
    <x v="1"/>
    <n v="7.462686567164179E-3"/>
    <x v="18"/>
    <x v="2"/>
    <s v="OK"/>
    <x v="2"/>
    <s v="OK"/>
    <x v="0"/>
    <x v="0"/>
    <n v="1"/>
    <n v="1"/>
    <n v="0"/>
    <n v="0"/>
    <x v="0"/>
    <x v="0"/>
    <x v="0"/>
  </r>
  <r>
    <n v="20600111354"/>
    <x v="1"/>
    <x v="1"/>
    <x v="1098"/>
    <x v="1102"/>
    <x v="966"/>
    <n v="2"/>
    <x v="4"/>
    <s v="ESTACION 09/ESTACION 01/ ESTACION 12"/>
    <s v="CALLE 2 P.V. RESIDENCIAL LAS BEGONIAS ETAPA I MZ. E LT 4"/>
    <x v="3"/>
    <x v="0"/>
    <x v="0"/>
    <x v="1"/>
    <x v="458"/>
    <x v="0"/>
    <n v="4"/>
    <n v="174.5"/>
    <x v="0"/>
    <x v="1"/>
    <n v="7.462686567164179E-3"/>
    <x v="19"/>
    <x v="2"/>
    <s v="OK"/>
    <x v="0"/>
    <s v="OK"/>
    <x v="0"/>
    <x v="0"/>
    <n v="1"/>
    <n v="0"/>
    <n v="0"/>
    <n v="0"/>
    <x v="0"/>
    <x v="0"/>
    <x v="0"/>
  </r>
  <r>
    <n v="20600111354"/>
    <x v="1"/>
    <x v="1"/>
    <x v="1099"/>
    <x v="1103"/>
    <x v="967"/>
    <n v="2"/>
    <x v="4"/>
    <s v="ESTACION 12 / ESTACION 11"/>
    <s v="ASOC STA. ROSA DE VALLE GRANDE MZ F-19"/>
    <x v="1"/>
    <x v="0"/>
    <x v="0"/>
    <x v="1"/>
    <x v="459"/>
    <x v="0"/>
    <n v="4"/>
    <n v="168.5"/>
    <x v="0"/>
    <x v="1"/>
    <n v="7.462686567164179E-3"/>
    <x v="19"/>
    <x v="2"/>
    <s v="OK"/>
    <x v="1"/>
    <s v="OK"/>
    <x v="0"/>
    <x v="0"/>
    <n v="1"/>
    <n v="1"/>
    <n v="0"/>
    <n v="0"/>
    <x v="0"/>
    <x v="0"/>
    <x v="0"/>
  </r>
  <r>
    <n v="20600111354"/>
    <x v="1"/>
    <x v="1"/>
    <x v="1100"/>
    <x v="1104"/>
    <x v="968"/>
    <n v="1"/>
    <x v="211"/>
    <s v="ESTACION 01 / ESTACION 2 / ESTACIÓN 12/ ESTACION 11 / ESTACION 09"/>
    <s v="JR SANTA ROSA 580"/>
    <x v="92"/>
    <x v="1"/>
    <x v="0"/>
    <x v="1"/>
    <x v="460"/>
    <x v="0"/>
    <n v="1"/>
    <n v="240"/>
    <x v="0"/>
    <x v="1"/>
    <n v="7.462686567164179E-3"/>
    <x v="19"/>
    <x v="2"/>
    <s v="OK"/>
    <x v="0"/>
    <s v="OK"/>
    <x v="0"/>
    <x v="0"/>
    <n v="1"/>
    <n v="0"/>
    <n v="0"/>
    <n v="0"/>
    <x v="0"/>
    <x v="0"/>
    <x v="0"/>
  </r>
  <r>
    <n v="20600111354"/>
    <x v="1"/>
    <x v="1"/>
    <x v="1101"/>
    <x v="1105"/>
    <x v="969"/>
    <n v="2"/>
    <x v="4"/>
    <s v="PLANTA DOVELAS"/>
    <s v="MZ A-1 LT 32 3PS COOP. CESAR VALLEJO"/>
    <x v="3"/>
    <x v="0"/>
    <x v="0"/>
    <x v="1"/>
    <x v="461"/>
    <x v="0"/>
    <n v="2"/>
    <n v="188.5"/>
    <x v="0"/>
    <x v="1"/>
    <n v="7.462686567164179E-3"/>
    <x v="18"/>
    <x v="2"/>
    <s v="OK"/>
    <x v="0"/>
    <s v="OK"/>
    <x v="0"/>
    <x v="0"/>
    <n v="1"/>
    <n v="0"/>
    <n v="0"/>
    <n v="0"/>
    <x v="0"/>
    <x v="0"/>
    <x v="0"/>
  </r>
  <r>
    <n v="20600111354"/>
    <x v="1"/>
    <x v="1"/>
    <x v="1102"/>
    <x v="1106"/>
    <x v="970"/>
    <n v="2"/>
    <x v="4"/>
    <s v="ESTACION 09 / ESTACION 11"/>
    <s v="ASENT. H. JOSE OLAYA MZ G. LT. 9"/>
    <x v="91"/>
    <x v="0"/>
    <x v="0"/>
    <x v="1"/>
    <x v="462"/>
    <x v="0"/>
    <n v="4"/>
    <n v="175.5"/>
    <x v="0"/>
    <x v="1"/>
    <n v="7.462686567164179E-3"/>
    <x v="16"/>
    <x v="2"/>
    <s v="OK"/>
    <x v="0"/>
    <s v="OK"/>
    <x v="0"/>
    <x v="0"/>
    <n v="1"/>
    <n v="0"/>
    <n v="0"/>
    <n v="0"/>
    <x v="0"/>
    <x v="0"/>
    <x v="0"/>
  </r>
  <r>
    <n v="20600111354"/>
    <x v="1"/>
    <x v="1"/>
    <x v="1103"/>
    <x v="1107"/>
    <x v="971"/>
    <n v="1"/>
    <x v="45"/>
    <s v="ESTACION 12 / ESTACION 11 / ESTACION 01 / ESTACION 02"/>
    <s v="MZ BA 2 LT 11 JOSE CARLOS MARIATEGUI"/>
    <x v="15"/>
    <x v="0"/>
    <x v="0"/>
    <x v="1"/>
    <x v="463"/>
    <x v="0"/>
    <n v="1"/>
    <n v="305"/>
    <x v="0"/>
    <x v="1"/>
    <n v="7.462686567164179E-3"/>
    <x v="19"/>
    <x v="2"/>
    <s v="OK"/>
    <x v="0"/>
    <s v="OK"/>
    <x v="0"/>
    <x v="0"/>
    <n v="1"/>
    <n v="0"/>
    <n v="0"/>
    <n v="0"/>
    <x v="0"/>
    <x v="0"/>
    <x v="0"/>
  </r>
  <r>
    <n v="20600111354"/>
    <x v="1"/>
    <x v="1"/>
    <x v="1104"/>
    <x v="1108"/>
    <x v="972"/>
    <n v="2"/>
    <x v="4"/>
    <s v="ESTACION 09"/>
    <s v="JR. LA ESPERANZA 325 ASOC. EL PORVENIR"/>
    <x v="1"/>
    <x v="0"/>
    <x v="0"/>
    <x v="1"/>
    <x v="130"/>
    <x v="0"/>
    <n v="4"/>
    <n v="177.5"/>
    <x v="0"/>
    <x v="1"/>
    <n v="7.462686567164179E-3"/>
    <x v="21"/>
    <x v="2"/>
    <s v="OK"/>
    <x v="1"/>
    <s v="OK"/>
    <x v="0"/>
    <x v="0"/>
    <n v="1"/>
    <n v="1"/>
    <n v="0"/>
    <n v="0"/>
    <x v="0"/>
    <x v="0"/>
    <x v="0"/>
  </r>
  <r>
    <n v="20600111354"/>
    <x v="1"/>
    <x v="1"/>
    <x v="1105"/>
    <x v="1109"/>
    <x v="973"/>
    <n v="2"/>
    <x v="59"/>
    <s v="ESTACION 11/ESTACION 12"/>
    <s v="AAHH MATAZANGO MZ U LTE 13A"/>
    <x v="1"/>
    <x v="0"/>
    <x v="0"/>
    <x v="1"/>
    <x v="79"/>
    <x v="0"/>
    <n v="4"/>
    <n v="169"/>
    <x v="0"/>
    <x v="1"/>
    <n v="7.462686567164179E-3"/>
    <x v="19"/>
    <x v="2"/>
    <s v="OK"/>
    <x v="1"/>
    <s v="OK"/>
    <x v="0"/>
    <x v="0"/>
    <n v="1"/>
    <n v="1"/>
    <n v="0"/>
    <n v="0"/>
    <x v="0"/>
    <x v="0"/>
    <x v="0"/>
  </r>
  <r>
    <n v="20600111354"/>
    <x v="1"/>
    <x v="1"/>
    <x v="1106"/>
    <x v="1110"/>
    <x v="974"/>
    <n v="2"/>
    <x v="59"/>
    <s v="ESTACION 09"/>
    <s v="MZ S LTE 6ASENT H. MARTIRES DEL PERIODISMO"/>
    <x v="15"/>
    <x v="0"/>
    <x v="0"/>
    <x v="1"/>
    <x v="78"/>
    <x v="0"/>
    <n v="4"/>
    <n v="177"/>
    <x v="0"/>
    <x v="1"/>
    <n v="7.462686567164179E-3"/>
    <x v="14"/>
    <x v="2"/>
    <s v="OK"/>
    <x v="0"/>
    <s v="OK"/>
    <x v="0"/>
    <x v="0"/>
    <n v="1"/>
    <n v="0"/>
    <n v="0"/>
    <n v="0"/>
    <x v="0"/>
    <x v="0"/>
    <x v="0"/>
  </r>
  <r>
    <n v="20600111354"/>
    <x v="1"/>
    <x v="1"/>
    <x v="1107"/>
    <x v="1111"/>
    <x v="975"/>
    <n v="2"/>
    <x v="4"/>
    <s v="ESTACION 11 / ESTACION 09 / ESTACION 03 RAMAL 4"/>
    <s v="ASOC. EL MIRADOR DE CARAPONGO MZ A LT 12"/>
    <x v="50"/>
    <x v="0"/>
    <x v="0"/>
    <x v="1"/>
    <x v="79"/>
    <x v="0"/>
    <n v="4"/>
    <n v="176"/>
    <x v="0"/>
    <x v="1"/>
    <n v="7.462686567164179E-3"/>
    <x v="18"/>
    <x v="2"/>
    <s v="OK"/>
    <x v="0"/>
    <s v="OK"/>
    <x v="0"/>
    <x v="0"/>
    <n v="1"/>
    <n v="0"/>
    <n v="0"/>
    <n v="0"/>
    <x v="0"/>
    <x v="0"/>
    <x v="0"/>
  </r>
  <r>
    <n v="20600111354"/>
    <x v="1"/>
    <x v="1"/>
    <x v="1108"/>
    <x v="1112"/>
    <x v="976"/>
    <n v="2"/>
    <x v="4"/>
    <s v="ESTACION 11 / ESTACION 09 / ESTACION 03 RAMAL 4"/>
    <s v="MZ. 11 LT 12 ASENT. H. MCAL. RAMON SECT. L SANCHEZ"/>
    <x v="15"/>
    <x v="0"/>
    <x v="10"/>
    <x v="1"/>
    <x v="79"/>
    <x v="2"/>
    <n v="4"/>
    <n v="95.5"/>
    <x v="0"/>
    <x v="1"/>
    <n v="7.462686567164179E-3"/>
    <x v="20"/>
    <x v="2"/>
    <s v="OK"/>
    <x v="0"/>
    <s v="OK"/>
    <x v="0"/>
    <x v="1"/>
    <n v="0.5"/>
    <n v="0"/>
    <n v="0"/>
    <n v="1"/>
    <x v="0"/>
    <x v="1"/>
    <x v="0"/>
  </r>
  <r>
    <n v="20600111354"/>
    <x v="1"/>
    <x v="1"/>
    <x v="1109"/>
    <x v="1113"/>
    <x v="977"/>
    <n v="2"/>
    <x v="59"/>
    <s v="ESTACION 11 / ESTACION 09 / ESTACION 03 RAMAL 4"/>
    <s v="ASENT. H. MARIELITA PRIMO MZ C LT 1"/>
    <x v="2"/>
    <x v="0"/>
    <x v="0"/>
    <x v="1"/>
    <x v="45"/>
    <x v="0"/>
    <n v="4"/>
    <n v="182"/>
    <x v="0"/>
    <x v="1"/>
    <n v="7.462686567164179E-3"/>
    <x v="22"/>
    <x v="2"/>
    <s v="OK"/>
    <x v="2"/>
    <s v="OK"/>
    <x v="0"/>
    <x v="0"/>
    <n v="1"/>
    <n v="1"/>
    <n v="0"/>
    <n v="0"/>
    <x v="0"/>
    <x v="0"/>
    <x v="0"/>
  </r>
  <r>
    <n v="20600111354"/>
    <x v="1"/>
    <x v="1"/>
    <x v="1110"/>
    <x v="1114"/>
    <x v="978"/>
    <n v="2"/>
    <x v="4"/>
    <s v="ESTACION 03 RAMAL 4"/>
    <s v="MZ A LT 7 AGRUPAMIENTO FAMILIAR LOS PORTALES"/>
    <x v="91"/>
    <x v="0"/>
    <x v="0"/>
    <x v="1"/>
    <x v="123"/>
    <x v="0"/>
    <n v="4"/>
    <n v="184.5"/>
    <x v="0"/>
    <x v="1"/>
    <n v="7.462686567164179E-3"/>
    <x v="17"/>
    <x v="2"/>
    <s v="OK"/>
    <x v="0"/>
    <s v="OK"/>
    <x v="0"/>
    <x v="1"/>
    <n v="0.5"/>
    <n v="0"/>
    <n v="0"/>
    <n v="0"/>
    <x v="0"/>
    <x v="0"/>
    <x v="0"/>
  </r>
  <r>
    <n v="20600111354"/>
    <x v="1"/>
    <x v="1"/>
    <x v="1111"/>
    <x v="1115"/>
    <x v="979"/>
    <n v="2"/>
    <x v="4"/>
    <s v="ESTACION 12 / ESTACION 03 RAMAL 4"/>
    <s v="MZ J J LT 6 ASENT EL SOL NACIENTE 1ERA ETAPA "/>
    <x v="54"/>
    <x v="0"/>
    <x v="0"/>
    <x v="1"/>
    <x v="169"/>
    <x v="0"/>
    <n v="4"/>
    <n v="189"/>
    <x v="0"/>
    <x v="1"/>
    <n v="7.462686567164179E-3"/>
    <x v="14"/>
    <x v="2"/>
    <s v="OK"/>
    <x v="0"/>
    <s v="OK"/>
    <x v="0"/>
    <x v="0"/>
    <n v="1"/>
    <n v="0"/>
    <n v="0"/>
    <n v="0"/>
    <x v="0"/>
    <x v="0"/>
    <x v="0"/>
  </r>
  <r>
    <n v="20600111354"/>
    <x v="1"/>
    <x v="1"/>
    <x v="1112"/>
    <x v="1116"/>
    <x v="980"/>
    <n v="1"/>
    <x v="62"/>
    <s v="PLANTA DOVELAS"/>
    <s v="ASOC. PROP. VIV. VILLA LAS ORQUIDEAS MZ B LT 11"/>
    <x v="4"/>
    <x v="0"/>
    <x v="22"/>
    <x v="1"/>
    <x v="354"/>
    <x v="2"/>
    <n v="1"/>
    <n v="196.5"/>
    <x v="0"/>
    <x v="1"/>
    <n v="7.462686567164179E-3"/>
    <x v="15"/>
    <x v="2"/>
    <s v="OK"/>
    <x v="0"/>
    <s v="OK"/>
    <x v="0"/>
    <x v="0"/>
    <n v="1"/>
    <n v="0"/>
    <n v="0"/>
    <n v="1"/>
    <x v="0"/>
    <x v="1"/>
    <x v="0"/>
  </r>
  <r>
    <n v="20600111354"/>
    <x v="1"/>
    <x v="1"/>
    <x v="1113"/>
    <x v="1117"/>
    <x v="981"/>
    <n v="1"/>
    <x v="52"/>
    <s v="ESTACION 01 / ESTACION 2 / ESTACIÓN 12/ ESTACION 11 / ESTACION 09 / PLANTA DOVELAS"/>
    <s v="JR JUNIO 182 CONDOMINIO VILLA CAMPIÑA"/>
    <x v="38"/>
    <x v="1"/>
    <x v="0"/>
    <x v="3"/>
    <x v="179"/>
    <x v="0"/>
    <n v="1"/>
    <n v="184"/>
    <x v="0"/>
    <x v="1"/>
    <n v="7.462686567164179E-3"/>
    <x v="18"/>
    <x v="2"/>
    <s v="OK"/>
    <x v="0"/>
    <s v="OK"/>
    <x v="0"/>
    <x v="0"/>
    <n v="1"/>
    <n v="0"/>
    <n v="0"/>
    <n v="0"/>
    <x v="0"/>
    <x v="0"/>
    <x v="0"/>
  </r>
  <r>
    <n v="20600111354"/>
    <x v="1"/>
    <x v="1"/>
    <x v="1114"/>
    <x v="1118"/>
    <x v="982"/>
    <n v="1"/>
    <x v="60"/>
    <s v="ESTACION 13"/>
    <s v="MZ. 10 LT. 13 P. JOVEN ARRIBA PERU"/>
    <x v="15"/>
    <x v="0"/>
    <x v="0"/>
    <x v="1"/>
    <x v="128"/>
    <x v="0"/>
    <n v="1"/>
    <n v="303"/>
    <x v="0"/>
    <x v="1"/>
    <n v="7.462686567164179E-3"/>
    <x v="17"/>
    <x v="2"/>
    <s v="OK"/>
    <x v="0"/>
    <s v="OK"/>
    <x v="0"/>
    <x v="0"/>
    <n v="1"/>
    <n v="0"/>
    <n v="0"/>
    <n v="0"/>
    <x v="0"/>
    <x v="0"/>
    <x v="0"/>
  </r>
  <r>
    <n v="20600111354"/>
    <x v="1"/>
    <x v="1"/>
    <x v="1115"/>
    <x v="1119"/>
    <x v="983"/>
    <n v="2"/>
    <x v="4"/>
    <s v="ESTACION 13 / ESTACION 03 RAMAL 4"/>
    <s v="CALLA HIPOLITO UNANUE PJ MATEO PUMACAHUA MZ B LT 18 "/>
    <x v="14"/>
    <x v="0"/>
    <x v="0"/>
    <x v="1"/>
    <x v="171"/>
    <x v="0"/>
    <n v="4"/>
    <n v="169"/>
    <x v="0"/>
    <x v="1"/>
    <n v="7.462686567164179E-3"/>
    <x v="16"/>
    <x v="2"/>
    <s v="OK"/>
    <x v="0"/>
    <s v="OK"/>
    <x v="0"/>
    <x v="0"/>
    <n v="1"/>
    <n v="0"/>
    <n v="0"/>
    <n v="0"/>
    <x v="0"/>
    <x v="0"/>
    <x v="0"/>
  </r>
  <r>
    <n v="20600111354"/>
    <x v="1"/>
    <x v="1"/>
    <x v="1116"/>
    <x v="1120"/>
    <x v="984"/>
    <n v="2"/>
    <x v="3"/>
    <s v="ESTACION 13 "/>
    <s v="JR CRESPO CASTILLO 1574 MIRONES ALTO "/>
    <x v="196"/>
    <x v="0"/>
    <x v="0"/>
    <x v="1"/>
    <x v="145"/>
    <x v="0"/>
    <n v="4"/>
    <n v="163.5"/>
    <x v="0"/>
    <x v="1"/>
    <n v="7.462686567164179E-3"/>
    <x v="20"/>
    <x v="2"/>
    <s v="OK"/>
    <x v="0"/>
    <s v="OK"/>
    <x v="0"/>
    <x v="0"/>
    <n v="1"/>
    <n v="0"/>
    <n v="0"/>
    <n v="0"/>
    <x v="0"/>
    <x v="0"/>
    <x v="0"/>
  </r>
  <r>
    <n v="20600111354"/>
    <x v="1"/>
    <x v="1"/>
    <x v="1117"/>
    <x v="1121"/>
    <x v="985"/>
    <n v="2"/>
    <x v="4"/>
    <s v="ESTACION 13 / ESTACION 03 RAMAL 4"/>
    <s v="AV CIRCUNVALACION MZ F LT 12 AH PUEBLOS UNIDOS SCT "/>
    <x v="15"/>
    <x v="0"/>
    <x v="0"/>
    <x v="1"/>
    <x v="171"/>
    <x v="0"/>
    <n v="4"/>
    <n v="173.5"/>
    <x v="0"/>
    <x v="1"/>
    <n v="7.462686567164179E-3"/>
    <x v="18"/>
    <x v="2"/>
    <s v="OK"/>
    <x v="0"/>
    <s v="OK"/>
    <x v="0"/>
    <x v="0"/>
    <n v="1"/>
    <n v="0"/>
    <n v="0"/>
    <n v="0"/>
    <x v="0"/>
    <x v="0"/>
    <x v="0"/>
  </r>
  <r>
    <n v="20600111354"/>
    <x v="1"/>
    <x v="1"/>
    <x v="1118"/>
    <x v="1122"/>
    <x v="986"/>
    <n v="2"/>
    <x v="4"/>
    <s v="ESTACION 13 / ESTACION 03 RAMAL 4"/>
    <s v="CASERIO SAN ANTONIO SAN PABLO"/>
    <x v="197"/>
    <x v="0"/>
    <x v="0"/>
    <x v="1"/>
    <x v="8"/>
    <x v="0"/>
    <n v="4"/>
    <n v="176"/>
    <x v="0"/>
    <x v="1"/>
    <n v="7.462686567164179E-3"/>
    <x v="18"/>
    <x v="2"/>
    <s v="OK"/>
    <x v="0"/>
    <s v="OK"/>
    <x v="0"/>
    <x v="0"/>
    <n v="1"/>
    <n v="0"/>
    <n v="0"/>
    <n v="0"/>
    <x v="0"/>
    <x v="0"/>
    <x v="0"/>
  </r>
  <r>
    <n v="20600111354"/>
    <x v="1"/>
    <x v="1"/>
    <x v="1119"/>
    <x v="1123"/>
    <x v="987"/>
    <n v="2"/>
    <x v="4"/>
    <s v="ESTACION 13 / ESTACION 03 RAMAL 4"/>
    <s v="ADESESEP MZ J 5 LOT 4 SANTA ROSA"/>
    <x v="196"/>
    <x v="0"/>
    <x v="0"/>
    <x v="1"/>
    <x v="8"/>
    <x v="0"/>
    <n v="4"/>
    <n v="170.5"/>
    <x v="0"/>
    <x v="1"/>
    <n v="7.462686567164179E-3"/>
    <x v="22"/>
    <x v="2"/>
    <s v="OK"/>
    <x v="0"/>
    <s v="OK"/>
    <x v="0"/>
    <x v="0"/>
    <n v="1"/>
    <n v="0"/>
    <n v="0"/>
    <n v="0"/>
    <x v="0"/>
    <x v="0"/>
    <x v="0"/>
  </r>
  <r>
    <n v="20600111354"/>
    <x v="1"/>
    <x v="1"/>
    <x v="1120"/>
    <x v="1124"/>
    <x v="988"/>
    <n v="2"/>
    <x v="4"/>
    <s v="ESTACION 13 / ESTACION 03 RAMAL 4"/>
    <s v="MZ H1 LT AH ALFONSO UGARTE "/>
    <x v="2"/>
    <x v="0"/>
    <x v="0"/>
    <x v="1"/>
    <x v="8"/>
    <x v="0"/>
    <n v="4"/>
    <n v="174"/>
    <x v="0"/>
    <x v="1"/>
    <n v="7.462686567164179E-3"/>
    <x v="21"/>
    <x v="2"/>
    <s v="OK"/>
    <x v="2"/>
    <s v="OK"/>
    <x v="0"/>
    <x v="0"/>
    <n v="1"/>
    <n v="1"/>
    <n v="0"/>
    <n v="0"/>
    <x v="0"/>
    <x v="0"/>
    <x v="0"/>
  </r>
  <r>
    <n v="20600111354"/>
    <x v="1"/>
    <x v="1"/>
    <x v="1121"/>
    <x v="1125"/>
    <x v="989"/>
    <n v="2"/>
    <x v="4"/>
    <s v="ESTACION 13 / ESTACION 03 RAMAL 4"/>
    <s v="JR LAS PERAS 454 NARANJAL "/>
    <x v="3"/>
    <x v="0"/>
    <x v="0"/>
    <x v="1"/>
    <x v="171"/>
    <x v="0"/>
    <n v="4"/>
    <n v="175.5"/>
    <x v="0"/>
    <x v="1"/>
    <n v="7.462686567164179E-3"/>
    <x v="15"/>
    <x v="2"/>
    <s v="OK"/>
    <x v="0"/>
    <s v="OK"/>
    <x v="0"/>
    <x v="0"/>
    <n v="1"/>
    <n v="0"/>
    <n v="0"/>
    <n v="0"/>
    <x v="0"/>
    <x v="0"/>
    <x v="0"/>
  </r>
  <r>
    <n v="20600111354"/>
    <x v="1"/>
    <x v="1"/>
    <x v="1122"/>
    <x v="1126"/>
    <x v="990"/>
    <n v="2"/>
    <x v="2"/>
    <s v="ESTACION 13 "/>
    <s v="CALLE SIERRA DE CUERDA LARGA 37"/>
    <x v="198"/>
    <x v="0"/>
    <x v="0"/>
    <x v="1"/>
    <x v="203"/>
    <x v="0"/>
    <n v="4"/>
    <n v="155"/>
    <x v="0"/>
    <x v="1"/>
    <n v="7.462686567164179E-3"/>
    <x v="16"/>
    <x v="2"/>
    <s v="OK"/>
    <x v="0"/>
    <s v="OK"/>
    <x v="0"/>
    <x v="0"/>
    <n v="1"/>
    <n v="0"/>
    <n v="0"/>
    <n v="0"/>
    <x v="0"/>
    <x v="0"/>
    <x v="0"/>
  </r>
  <r>
    <n v="20600111354"/>
    <x v="1"/>
    <x v="1"/>
    <x v="1123"/>
    <x v="1127"/>
    <x v="991"/>
    <n v="2"/>
    <x v="4"/>
    <s v="ESTACION 13 / ESTACION 03 RAMAL 4"/>
    <s v="ASOC VIV. EL TRIUNFO DE JOSE GALVEZ MZ C LT 9"/>
    <x v="8"/>
    <x v="0"/>
    <x v="0"/>
    <x v="1"/>
    <x v="137"/>
    <x v="0"/>
    <n v="4"/>
    <n v="62.5"/>
    <x v="0"/>
    <x v="1"/>
    <n v="7.462686567164179E-3"/>
    <x v="21"/>
    <x v="2"/>
    <s v="OK"/>
    <x v="0"/>
    <s v="OK"/>
    <x v="0"/>
    <x v="0"/>
    <n v="1"/>
    <n v="0"/>
    <n v="1"/>
    <n v="0"/>
    <x v="0"/>
    <x v="0"/>
    <x v="1"/>
  </r>
  <r>
    <n v="20600111354"/>
    <x v="1"/>
    <x v="1"/>
    <x v="1124"/>
    <x v="1128"/>
    <x v="992"/>
    <n v="2"/>
    <x v="4"/>
    <s v="ESTACION 13 / ESTACION 03 RAMAL 4"/>
    <s v="C. POBLADO LA AVIACION"/>
    <x v="135"/>
    <x v="0"/>
    <x v="0"/>
    <x v="1"/>
    <x v="137"/>
    <x v="0"/>
    <n v="4"/>
    <n v="65"/>
    <x v="0"/>
    <x v="1"/>
    <n v="7.462686567164179E-3"/>
    <x v="22"/>
    <x v="2"/>
    <s v="OK"/>
    <x v="0"/>
    <s v="OK"/>
    <x v="0"/>
    <x v="0"/>
    <n v="1"/>
    <n v="0"/>
    <n v="1"/>
    <n v="0"/>
    <x v="0"/>
    <x v="0"/>
    <x v="1"/>
  </r>
  <r>
    <n v="20600111354"/>
    <x v="1"/>
    <x v="1"/>
    <x v="1125"/>
    <x v="1129"/>
    <x v="992"/>
    <n v="2"/>
    <x v="4"/>
    <s v="ESTACION 13 / ESTACION 03 RAMAL 4"/>
    <s v="AGROP. FAMILIAR VILLA RICA MZ D1 LT 18"/>
    <x v="15"/>
    <x v="0"/>
    <x v="0"/>
    <x v="1"/>
    <x v="464"/>
    <x v="0"/>
    <n v="4"/>
    <n v="64.5"/>
    <x v="0"/>
    <x v="1"/>
    <n v="7.462686567164179E-3"/>
    <x v="22"/>
    <x v="2"/>
    <s v="OK"/>
    <x v="0"/>
    <s v="OK"/>
    <x v="0"/>
    <x v="0"/>
    <n v="1"/>
    <n v="0"/>
    <n v="1"/>
    <n v="0"/>
    <x v="0"/>
    <x v="0"/>
    <x v="1"/>
  </r>
  <r>
    <n v="20600111354"/>
    <x v="1"/>
    <x v="1"/>
    <x v="1126"/>
    <x v="1130"/>
    <x v="993"/>
    <n v="2"/>
    <x v="4"/>
    <s v="ESTACION 13 / ESTACION 03 RAMAL 4"/>
    <s v="CALLE SANTA CRUZ CASERIO SANTA CRUZ MZ W1 LT 4"/>
    <x v="7"/>
    <x v="0"/>
    <x v="0"/>
    <x v="1"/>
    <x v="30"/>
    <x v="0"/>
    <n v="4"/>
    <n v="58"/>
    <x v="0"/>
    <x v="1"/>
    <n v="7.462686567164179E-3"/>
    <x v="14"/>
    <x v="2"/>
    <s v="OK"/>
    <x v="0"/>
    <s v="OK"/>
    <x v="0"/>
    <x v="0"/>
    <n v="1"/>
    <n v="0"/>
    <n v="1"/>
    <n v="0"/>
    <x v="0"/>
    <x v="0"/>
    <x v="1"/>
  </r>
  <r>
    <n v="20550335795"/>
    <x v="43"/>
    <x v="1"/>
    <x v="1127"/>
    <x v="1131"/>
    <x v="994"/>
    <n v="2"/>
    <x v="4"/>
    <s v="PLANTA DOVELAS"/>
    <s v="JR. TAHUANTINSUYO 1499 URB ZARATE"/>
    <x v="199"/>
    <x v="0"/>
    <x v="0"/>
    <x v="1"/>
    <x v="173"/>
    <x v="0"/>
    <n v="1"/>
    <n v="189.5"/>
    <x v="0"/>
    <x v="0"/>
    <n v="7.462686567164179E-3"/>
    <x v="21"/>
    <x v="2"/>
    <s v="OK"/>
    <x v="0"/>
    <s v="OK"/>
    <x v="0"/>
    <x v="0"/>
    <n v="1"/>
    <n v="0"/>
    <n v="0"/>
    <n v="0"/>
    <x v="0"/>
    <x v="0"/>
    <x v="0"/>
  </r>
  <r>
    <n v="20550335795"/>
    <x v="43"/>
    <x v="1"/>
    <x v="1128"/>
    <x v="1132"/>
    <x v="995"/>
    <n v="2"/>
    <x v="59"/>
    <s v="PLANTA DOVELAS"/>
    <s v="CALLE HUANUCO 0038 URBANIZACION PALERMO INT. 0301"/>
    <x v="10"/>
    <x v="0"/>
    <x v="0"/>
    <x v="1"/>
    <x v="174"/>
    <x v="0"/>
    <n v="1"/>
    <n v="208"/>
    <x v="0"/>
    <x v="0"/>
    <n v="7.462686567164179E-3"/>
    <x v="21"/>
    <x v="2"/>
    <s v="OK"/>
    <x v="0"/>
    <s v="OK"/>
    <x v="0"/>
    <x v="0"/>
    <n v="1"/>
    <n v="0"/>
    <n v="0"/>
    <n v="0"/>
    <x v="0"/>
    <x v="0"/>
    <x v="0"/>
  </r>
  <r>
    <n v="20550335795"/>
    <x v="43"/>
    <x v="1"/>
    <x v="1129"/>
    <x v="1133"/>
    <x v="996"/>
    <n v="2"/>
    <x v="59"/>
    <s v="PLANTA DOVELAS"/>
    <s v="SANTA ANITA MZ.A-1 LT.13-A URB.VILLA MARINA"/>
    <x v="38"/>
    <x v="0"/>
    <x v="0"/>
    <x v="1"/>
    <x v="465"/>
    <x v="0"/>
    <n v="4"/>
    <n v="160"/>
    <x v="0"/>
    <x v="0"/>
    <n v="7.462686567164179E-3"/>
    <x v="16"/>
    <x v="2"/>
    <s v="OK"/>
    <x v="0"/>
    <s v="OK"/>
    <x v="0"/>
    <x v="0"/>
    <n v="1"/>
    <n v="0"/>
    <n v="0"/>
    <n v="0"/>
    <x v="0"/>
    <x v="0"/>
    <x v="0"/>
  </r>
  <r>
    <n v="20550335795"/>
    <x v="43"/>
    <x v="1"/>
    <x v="1130"/>
    <x v="1134"/>
    <x v="997"/>
    <n v="2"/>
    <x v="4"/>
    <s v="PLANTA DOVELAS"/>
    <s v="MZ.B 8 LT.20 VIRGEN DEL BUEN PASO PAMPLONA ALTA "/>
    <x v="53"/>
    <x v="0"/>
    <x v="0"/>
    <x v="1"/>
    <x v="173"/>
    <x v="0"/>
    <n v="4"/>
    <n v="208"/>
    <x v="0"/>
    <x v="0"/>
    <n v="7.462686567164179E-3"/>
    <x v="22"/>
    <x v="2"/>
    <s v="OK"/>
    <x v="0"/>
    <s v="OK"/>
    <x v="0"/>
    <x v="0"/>
    <n v="1"/>
    <n v="0"/>
    <n v="0"/>
    <n v="0"/>
    <x v="0"/>
    <x v="0"/>
    <x v="0"/>
  </r>
  <r>
    <n v="20550335795"/>
    <x v="43"/>
    <x v="1"/>
    <x v="1131"/>
    <x v="1135"/>
    <x v="998"/>
    <n v="2"/>
    <x v="4"/>
    <s v="PLANTA DOVELAS"/>
    <s v="PSJ. SAN MATEO MZ.B2 LT.5 3 ZONA ASOC.RURAL AGROP.LAS DELICIAS"/>
    <x v="38"/>
    <x v="0"/>
    <x v="0"/>
    <x v="1"/>
    <x v="173"/>
    <x v="0"/>
    <n v="4"/>
    <n v="208"/>
    <x v="0"/>
    <x v="0"/>
    <n v="7.462686567164179E-3"/>
    <x v="15"/>
    <x v="2"/>
    <s v="OK"/>
    <x v="0"/>
    <s v="OK"/>
    <x v="0"/>
    <x v="0"/>
    <n v="1"/>
    <n v="0"/>
    <n v="0"/>
    <n v="0"/>
    <x v="0"/>
    <x v="0"/>
    <x v="0"/>
  </r>
  <r>
    <n v="20550335795"/>
    <x v="43"/>
    <x v="1"/>
    <x v="1132"/>
    <x v="1136"/>
    <x v="999"/>
    <n v="2"/>
    <x v="4"/>
    <s v="PLANTA DOVELAS"/>
    <s v="ANEXO PICHUTA HUANCAVELICA-CASTROVIRREYNA-HUACHOS"/>
    <x v="200"/>
    <x v="0"/>
    <x v="0"/>
    <x v="1"/>
    <x v="466"/>
    <x v="0"/>
    <n v="4"/>
    <n v="208"/>
    <x v="0"/>
    <x v="0"/>
    <n v="7.462686567164179E-3"/>
    <x v="15"/>
    <x v="2"/>
    <s v="OK"/>
    <x v="0"/>
    <s v="OK"/>
    <x v="0"/>
    <x v="0"/>
    <n v="1"/>
    <n v="0"/>
    <n v="0"/>
    <n v="0"/>
    <x v="0"/>
    <x v="0"/>
    <x v="0"/>
  </r>
  <r>
    <n v="20550335795"/>
    <x v="43"/>
    <x v="1"/>
    <x v="1133"/>
    <x v="1137"/>
    <x v="1000"/>
    <n v="2"/>
    <x v="4"/>
    <s v="PLANTA DOVELAS"/>
    <s v="SANTA ROSA 1102 ASOC CENTRAL UNIFICADA"/>
    <x v="201"/>
    <x v="0"/>
    <x v="0"/>
    <x v="1"/>
    <x v="173"/>
    <x v="0"/>
    <n v="4"/>
    <n v="143.5"/>
    <x v="0"/>
    <x v="0"/>
    <n v="7.462686567164179E-3"/>
    <x v="20"/>
    <x v="2"/>
    <s v="OK"/>
    <x v="0"/>
    <s v="OK"/>
    <x v="0"/>
    <x v="0"/>
    <n v="1"/>
    <n v="0"/>
    <n v="0"/>
    <n v="0"/>
    <x v="0"/>
    <x v="0"/>
    <x v="0"/>
  </r>
  <r>
    <n v="20550335795"/>
    <x v="43"/>
    <x v="1"/>
    <x v="1134"/>
    <x v="1138"/>
    <x v="1001"/>
    <n v="2"/>
    <x v="212"/>
    <s v="PLANTA DOVELAS"/>
    <s v="AV. PERU MZ. 10S LT. 06 P. JOVEN TABLADA"/>
    <x v="8"/>
    <x v="0"/>
    <x v="0"/>
    <x v="1"/>
    <x v="173"/>
    <x v="0"/>
    <n v="4"/>
    <n v="181.5"/>
    <x v="0"/>
    <x v="0"/>
    <n v="7.462686567164179E-3"/>
    <x v="16"/>
    <x v="2"/>
    <s v="OK"/>
    <x v="0"/>
    <s v="OK"/>
    <x v="0"/>
    <x v="0"/>
    <n v="1"/>
    <n v="0"/>
    <n v="0"/>
    <n v="0"/>
    <x v="0"/>
    <x v="0"/>
    <x v="0"/>
  </r>
  <r>
    <n v="20550335795"/>
    <x v="43"/>
    <x v="1"/>
    <x v="1135"/>
    <x v="1139"/>
    <x v="1002"/>
    <n v="2"/>
    <x v="4"/>
    <s v="PLANTA DOVELAS"/>
    <s v="CASERIO JUAN PABLO II"/>
    <x v="202"/>
    <x v="0"/>
    <x v="0"/>
    <x v="1"/>
    <x v="305"/>
    <x v="0"/>
    <n v="4"/>
    <n v="208"/>
    <x v="0"/>
    <x v="0"/>
    <n v="7.462686567164179E-3"/>
    <x v="20"/>
    <x v="2"/>
    <s v="OK"/>
    <x v="0"/>
    <s v="OK"/>
    <x v="0"/>
    <x v="0"/>
    <n v="1"/>
    <n v="0"/>
    <n v="0"/>
    <n v="0"/>
    <x v="0"/>
    <x v="0"/>
    <x v="0"/>
  </r>
  <r>
    <n v="20521130327"/>
    <x v="66"/>
    <x v="1"/>
    <x v="1136"/>
    <x v="1140"/>
    <x v="1003"/>
    <n v="1"/>
    <x v="213"/>
    <s v="ESTACION 01/ESTACION 09/ESTACION 11/ESTACION 12/DOVELAS/ESTACION 02"/>
    <s v="MZ P  LOTE 25 COOP ANDAHUAYLAS"/>
    <x v="27"/>
    <x v="0"/>
    <x v="0"/>
    <x v="1"/>
    <x v="467"/>
    <x v="0"/>
    <n v="1"/>
    <n v="230"/>
    <x v="0"/>
    <x v="0"/>
    <n v="7.462686567164179E-3"/>
    <x v="21"/>
    <x v="2"/>
    <s v="OK"/>
    <x v="5"/>
    <s v="OK"/>
    <x v="0"/>
    <x v="0"/>
    <n v="1"/>
    <n v="1"/>
    <n v="0"/>
    <n v="0"/>
    <x v="0"/>
    <x v="0"/>
    <x v="0"/>
  </r>
  <r>
    <n v="20521130327"/>
    <x v="66"/>
    <x v="1"/>
    <x v="1137"/>
    <x v="1141"/>
    <x v="1004"/>
    <n v="1"/>
    <x v="214"/>
    <s v="ESTACION 01/ESTACION 09/ESTACION 11/ESTACION 12/DOVELAS/ESTACION 02"/>
    <s v="ASENT. H. U. PROG. ESPERANZA MZ E LT 9"/>
    <x v="15"/>
    <x v="0"/>
    <x v="0"/>
    <x v="1"/>
    <x v="30"/>
    <x v="0"/>
    <n v="1"/>
    <n v="42"/>
    <x v="0"/>
    <x v="0"/>
    <n v="7.462686567164179E-3"/>
    <x v="16"/>
    <x v="2"/>
    <s v="OK"/>
    <x v="0"/>
    <s v="OK"/>
    <x v="0"/>
    <x v="0"/>
    <n v="1"/>
    <n v="0"/>
    <n v="1"/>
    <n v="0"/>
    <x v="0"/>
    <x v="0"/>
    <x v="1"/>
  </r>
  <r>
    <s v="20507867228"/>
    <x v="67"/>
    <x v="1"/>
    <x v="1138"/>
    <x v="1142"/>
    <x v="1005"/>
    <n v="1"/>
    <x v="192"/>
    <s v="PLANTA DOVELAS"/>
    <s v="LOS INGENIEROS 685 DPTO 302. URB VALLE HERMOSO"/>
    <x v="77"/>
    <x v="0"/>
    <x v="0"/>
    <x v="1"/>
    <x v="225"/>
    <x v="0"/>
    <n v="1"/>
    <n v="245"/>
    <x v="0"/>
    <x v="0"/>
    <n v="7.462686567164179E-3"/>
    <x v="14"/>
    <x v="2"/>
    <s v="OK"/>
    <x v="0"/>
    <s v="OK"/>
    <x v="0"/>
    <x v="0"/>
    <n v="1"/>
    <n v="0"/>
    <n v="0"/>
    <n v="0"/>
    <x v="0"/>
    <x v="0"/>
    <x v="0"/>
  </r>
  <r>
    <s v="20507867228"/>
    <x v="67"/>
    <x v="1"/>
    <x v="1139"/>
    <x v="1143"/>
    <x v="933"/>
    <n v="1"/>
    <x v="215"/>
    <s v="PLANTA DOVELAS"/>
    <s v="CALLE KUKAMOTO MZ O LOTE 52 ASENTAMIENTO HUMANO KUKAMOTO"/>
    <x v="2"/>
    <x v="0"/>
    <x v="0"/>
    <x v="1"/>
    <x v="468"/>
    <x v="0"/>
    <n v="1"/>
    <n v="240"/>
    <x v="0"/>
    <x v="0"/>
    <n v="7.462686567164179E-3"/>
    <x v="16"/>
    <x v="2"/>
    <s v="OK"/>
    <x v="2"/>
    <s v="OK"/>
    <x v="0"/>
    <x v="0"/>
    <n v="1"/>
    <n v="1"/>
    <n v="0"/>
    <n v="0"/>
    <x v="0"/>
    <x v="0"/>
    <x v="0"/>
  </r>
  <r>
    <s v="20431084172"/>
    <x v="44"/>
    <x v="36"/>
    <x v="1140"/>
    <x v="1144"/>
    <x v="1006"/>
    <n v="3"/>
    <x v="63"/>
    <s v="E-08, E-09, OVALO 200 MILLAS "/>
    <s v=" MZ. W LT. 1 URB. LOS JARDINES DE SAN JUAN 2DA ETAPA "/>
    <x v="15"/>
    <x v="0"/>
    <x v="0"/>
    <x v="1"/>
    <x v="469"/>
    <x v="0"/>
    <n v="1"/>
    <n v="200"/>
    <x v="0"/>
    <x v="1"/>
    <n v="0.1"/>
    <x v="17"/>
    <x v="2"/>
    <s v="OK"/>
    <x v="0"/>
    <s v="OK"/>
    <x v="0"/>
    <x v="0"/>
    <n v="1"/>
    <n v="0"/>
    <n v="0"/>
    <n v="0"/>
    <x v="0"/>
    <x v="0"/>
    <x v="0"/>
  </r>
  <r>
    <s v="20431084172"/>
    <x v="44"/>
    <x v="36"/>
    <x v="1141"/>
    <x v="1145"/>
    <x v="1007"/>
    <n v="3"/>
    <x v="91"/>
    <s v="E-10, E-11, E-12, PV03, PV01, PV02, E-04, E-01, E-03 - CALLAO"/>
    <s v="AH. CAHUIDE MZ. B LT. 1"/>
    <x v="46"/>
    <x v="0"/>
    <x v="0"/>
    <x v="1"/>
    <x v="470"/>
    <x v="0"/>
    <n v="1"/>
    <n v="200"/>
    <x v="0"/>
    <x v="1"/>
    <n v="0.1"/>
    <x v="18"/>
    <x v="2"/>
    <s v="OK"/>
    <x v="7"/>
    <s v="OK"/>
    <x v="0"/>
    <x v="0"/>
    <n v="1"/>
    <n v="1"/>
    <n v="0"/>
    <n v="0"/>
    <x v="0"/>
    <x v="0"/>
    <x v="0"/>
  </r>
  <r>
    <n v="20296637697"/>
    <x v="2"/>
    <x v="2"/>
    <x v="1142"/>
    <x v="1146"/>
    <x v="1008"/>
    <n v="1"/>
    <x v="216"/>
    <s v="E-4"/>
    <s v="ARUBA 131 SANTA PATRICIA"/>
    <x v="47"/>
    <x v="1"/>
    <x v="0"/>
    <x v="1"/>
    <x v="122"/>
    <x v="0"/>
    <n v="1"/>
    <n v="192"/>
    <x v="0"/>
    <x v="1"/>
    <n v="2.5641025641025641E-3"/>
    <x v="20"/>
    <x v="2"/>
    <s v="OK"/>
    <x v="0"/>
    <s v="OK"/>
    <x v="0"/>
    <x v="0"/>
    <n v="1"/>
    <n v="0"/>
    <n v="0"/>
    <n v="0"/>
    <x v="0"/>
    <x v="0"/>
    <x v="0"/>
  </r>
  <r>
    <n v="20296637697"/>
    <x v="2"/>
    <x v="2"/>
    <x v="1143"/>
    <x v="1147"/>
    <x v="1009"/>
    <n v="2"/>
    <x v="205"/>
    <s v="E-4"/>
    <s v="SANTA ROSA DE LIMA MZ B LT 01"/>
    <x v="15"/>
    <x v="0"/>
    <x v="0"/>
    <x v="1"/>
    <x v="47"/>
    <x v="0"/>
    <n v="4"/>
    <n v="220.5"/>
    <x v="0"/>
    <x v="1"/>
    <n v="2.5641025641025641E-3"/>
    <x v="17"/>
    <x v="2"/>
    <s v="OK"/>
    <x v="0"/>
    <s v="OK"/>
    <x v="0"/>
    <x v="0"/>
    <n v="1"/>
    <n v="0"/>
    <n v="0"/>
    <n v="0"/>
    <x v="0"/>
    <x v="0"/>
    <x v="0"/>
  </r>
  <r>
    <n v="20296637697"/>
    <x v="2"/>
    <x v="2"/>
    <x v="1144"/>
    <x v="1148"/>
    <x v="1010"/>
    <n v="2"/>
    <x v="11"/>
    <s v="E-4"/>
    <s v="ASOC. VILLA PRIMAVERA MZ. A LT.13 "/>
    <x v="44"/>
    <x v="0"/>
    <x v="0"/>
    <x v="1"/>
    <x v="471"/>
    <x v="0"/>
    <n v="4"/>
    <n v="215"/>
    <x v="0"/>
    <x v="1"/>
    <n v="2.5641025641025641E-3"/>
    <x v="17"/>
    <x v="2"/>
    <s v="OK"/>
    <x v="0"/>
    <s v="OK"/>
    <x v="0"/>
    <x v="0"/>
    <n v="1"/>
    <n v="0"/>
    <n v="0"/>
    <n v="0"/>
    <x v="0"/>
    <x v="0"/>
    <x v="0"/>
  </r>
  <r>
    <n v="20296637697"/>
    <x v="2"/>
    <x v="2"/>
    <x v="1145"/>
    <x v="1149"/>
    <x v="1011"/>
    <n v="2"/>
    <x v="11"/>
    <s v="E-4"/>
    <s v="AMAUTA 1 MZ W LT. 3"/>
    <x v="1"/>
    <x v="0"/>
    <x v="0"/>
    <x v="1"/>
    <x v="472"/>
    <x v="0"/>
    <n v="4"/>
    <n v="217"/>
    <x v="0"/>
    <x v="1"/>
    <n v="2.5641025641025641E-3"/>
    <x v="18"/>
    <x v="2"/>
    <s v="OK"/>
    <x v="1"/>
    <s v="OK"/>
    <x v="0"/>
    <x v="0"/>
    <n v="1"/>
    <n v="1"/>
    <n v="0"/>
    <n v="0"/>
    <x v="0"/>
    <x v="0"/>
    <x v="0"/>
  </r>
  <r>
    <n v="20296637697"/>
    <x v="2"/>
    <x v="2"/>
    <x v="1146"/>
    <x v="1150"/>
    <x v="1012"/>
    <n v="2"/>
    <x v="11"/>
    <s v="E-4"/>
    <s v="MZ F LT 2 ZONA 4 HIJOS DE VENTANILLA"/>
    <x v="2"/>
    <x v="0"/>
    <x v="0"/>
    <x v="1"/>
    <x v="472"/>
    <x v="0"/>
    <n v="4"/>
    <n v="186.5"/>
    <x v="0"/>
    <x v="1"/>
    <n v="2.5641025641025641E-3"/>
    <x v="22"/>
    <x v="2"/>
    <s v="OK"/>
    <x v="2"/>
    <s v="OK"/>
    <x v="0"/>
    <x v="0"/>
    <n v="1"/>
    <n v="1"/>
    <n v="0"/>
    <n v="0"/>
    <x v="0"/>
    <x v="0"/>
    <x v="0"/>
  </r>
  <r>
    <n v="20296637697"/>
    <x v="2"/>
    <x v="2"/>
    <x v="1147"/>
    <x v="1151"/>
    <x v="1013"/>
    <n v="2"/>
    <x v="2"/>
    <s v="E-4"/>
    <s v="LOS PORTALES DEL AREOPUERTO S/N"/>
    <x v="6"/>
    <x v="1"/>
    <x v="0"/>
    <x v="1"/>
    <x v="10"/>
    <x v="0"/>
    <n v="4"/>
    <n v="214.5"/>
    <x v="0"/>
    <x v="1"/>
    <n v="2.5641025641025641E-3"/>
    <x v="15"/>
    <x v="2"/>
    <s v="OK"/>
    <x v="2"/>
    <s v="OK"/>
    <x v="0"/>
    <x v="0"/>
    <n v="1"/>
    <n v="1"/>
    <n v="0"/>
    <n v="0"/>
    <x v="0"/>
    <x v="0"/>
    <x v="0"/>
  </r>
  <r>
    <n v="20296637697"/>
    <x v="2"/>
    <x v="2"/>
    <x v="1148"/>
    <x v="1152"/>
    <x v="1014"/>
    <n v="2"/>
    <x v="67"/>
    <s v="E-4"/>
    <s v="PRIMAVERA MZ C LT3 SAN GABRIEL"/>
    <x v="0"/>
    <x v="0"/>
    <x v="0"/>
    <x v="1"/>
    <x v="10"/>
    <x v="0"/>
    <n v="4"/>
    <n v="218"/>
    <x v="0"/>
    <x v="1"/>
    <n v="2.5641025641025641E-3"/>
    <x v="17"/>
    <x v="2"/>
    <s v="OK"/>
    <x v="0"/>
    <s v="OK"/>
    <x v="0"/>
    <x v="0"/>
    <n v="1"/>
    <n v="0"/>
    <n v="0"/>
    <n v="0"/>
    <x v="0"/>
    <x v="0"/>
    <x v="0"/>
  </r>
  <r>
    <n v="20296637697"/>
    <x v="2"/>
    <x v="2"/>
    <x v="1149"/>
    <x v="1153"/>
    <x v="1015"/>
    <n v="1"/>
    <x v="217"/>
    <s v="E-4"/>
    <s v="CALLE JOAQUIN TORRICO 410 ZONA B"/>
    <x v="53"/>
    <x v="0"/>
    <x v="0"/>
    <x v="1"/>
    <x v="78"/>
    <x v="0"/>
    <n v="1"/>
    <n v="192"/>
    <x v="0"/>
    <x v="1"/>
    <n v="2.5641025641025641E-3"/>
    <x v="17"/>
    <x v="2"/>
    <s v="OK"/>
    <x v="0"/>
    <s v="OK"/>
    <x v="0"/>
    <x v="0"/>
    <n v="1"/>
    <n v="0"/>
    <n v="0"/>
    <n v="0"/>
    <x v="0"/>
    <x v="0"/>
    <x v="0"/>
  </r>
  <r>
    <n v="20296637697"/>
    <x v="2"/>
    <x v="2"/>
    <x v="1150"/>
    <x v="1154"/>
    <x v="1016"/>
    <n v="2"/>
    <x v="8"/>
    <s v="E-4"/>
    <s v="AH. INMACULADA CONCEPCION MZ. F1 LT 6 - LIMA"/>
    <x v="1"/>
    <x v="0"/>
    <x v="0"/>
    <x v="1"/>
    <x v="79"/>
    <x v="0"/>
    <n v="4"/>
    <n v="204"/>
    <x v="0"/>
    <x v="1"/>
    <n v="2.5641025641025641E-3"/>
    <x v="15"/>
    <x v="2"/>
    <s v="OK"/>
    <x v="1"/>
    <s v="OK"/>
    <x v="0"/>
    <x v="0"/>
    <n v="1"/>
    <n v="1"/>
    <n v="0"/>
    <n v="0"/>
    <x v="0"/>
    <x v="0"/>
    <x v="0"/>
  </r>
  <r>
    <n v="20296637697"/>
    <x v="2"/>
    <x v="2"/>
    <x v="1151"/>
    <x v="1155"/>
    <x v="1017"/>
    <n v="2"/>
    <x v="8"/>
    <s v="E-4"/>
    <s v="AAHH. LOS ROSALES DE PRO MZ. S LT. 19 LIMA"/>
    <x v="49"/>
    <x v="0"/>
    <x v="0"/>
    <x v="1"/>
    <x v="79"/>
    <x v="0"/>
    <n v="4"/>
    <n v="224.5"/>
    <x v="0"/>
    <x v="1"/>
    <n v="2.5641025641025641E-3"/>
    <x v="18"/>
    <x v="2"/>
    <s v="OK"/>
    <x v="0"/>
    <s v="OK"/>
    <x v="0"/>
    <x v="0"/>
    <n v="1"/>
    <n v="0"/>
    <n v="0"/>
    <n v="0"/>
    <x v="0"/>
    <x v="0"/>
    <x v="0"/>
  </r>
  <r>
    <n v="20296637697"/>
    <x v="2"/>
    <x v="2"/>
    <x v="1152"/>
    <x v="1156"/>
    <x v="1018"/>
    <n v="2"/>
    <x v="18"/>
    <s v="E-4"/>
    <s v="AAHH. FAMILIAR VIRGEN DEL CARMEN MZ. D LT. 9"/>
    <x v="203"/>
    <x v="0"/>
    <x v="0"/>
    <x v="1"/>
    <x v="123"/>
    <x v="0"/>
    <n v="4"/>
    <n v="252.5"/>
    <x v="0"/>
    <x v="1"/>
    <n v="2.5641025641025641E-3"/>
    <x v="20"/>
    <x v="2"/>
    <s v="OK"/>
    <x v="0"/>
    <s v="OK"/>
    <x v="0"/>
    <x v="0"/>
    <n v="1"/>
    <n v="0"/>
    <n v="0"/>
    <n v="0"/>
    <x v="0"/>
    <x v="0"/>
    <x v="0"/>
  </r>
  <r>
    <n v="20296637697"/>
    <x v="2"/>
    <x v="2"/>
    <x v="1153"/>
    <x v="1157"/>
    <x v="1019"/>
    <n v="2"/>
    <x v="67"/>
    <s v="E-4"/>
    <s v="MALL DEL SUR MZ. A LT. 27 EL PORVENIR"/>
    <x v="204"/>
    <x v="0"/>
    <x v="0"/>
    <x v="1"/>
    <x v="64"/>
    <x v="0"/>
    <n v="4"/>
    <n v="214.5"/>
    <x v="0"/>
    <x v="1"/>
    <n v="2.5641025641025641E-3"/>
    <x v="20"/>
    <x v="2"/>
    <s v="OK"/>
    <x v="1"/>
    <s v="OK"/>
    <x v="0"/>
    <x v="0"/>
    <n v="1"/>
    <n v="1"/>
    <n v="0"/>
    <n v="0"/>
    <x v="0"/>
    <x v="0"/>
    <x v="0"/>
  </r>
  <r>
    <n v="20296637697"/>
    <x v="2"/>
    <x v="2"/>
    <x v="1154"/>
    <x v="1158"/>
    <x v="1020"/>
    <n v="1"/>
    <x v="218"/>
    <s v="E-4"/>
    <s v="AV. BOLIVAR 550 DPTO 202 A"/>
    <x v="118"/>
    <x v="1"/>
    <x v="0"/>
    <x v="1"/>
    <x v="170"/>
    <x v="0"/>
    <n v="1"/>
    <n v="192"/>
    <x v="0"/>
    <x v="1"/>
    <n v="2.5641025641025641E-3"/>
    <x v="15"/>
    <x v="2"/>
    <s v="OK"/>
    <x v="0"/>
    <s v="OK"/>
    <x v="0"/>
    <x v="0"/>
    <n v="1"/>
    <n v="0"/>
    <n v="0"/>
    <n v="0"/>
    <x v="0"/>
    <x v="0"/>
    <x v="0"/>
  </r>
  <r>
    <n v="20296637697"/>
    <x v="2"/>
    <x v="2"/>
    <x v="1155"/>
    <x v="1159"/>
    <x v="1021"/>
    <n v="2"/>
    <x v="11"/>
    <s v="E-4"/>
    <s v="AAHH. PROLONGACION SANTA ROSA"/>
    <x v="44"/>
    <x v="0"/>
    <x v="0"/>
    <x v="1"/>
    <x v="354"/>
    <x v="0"/>
    <n v="4"/>
    <n v="239.5"/>
    <x v="0"/>
    <x v="1"/>
    <n v="2.5641025641025641E-3"/>
    <x v="20"/>
    <x v="2"/>
    <s v="OK"/>
    <x v="0"/>
    <s v="OK"/>
    <x v="0"/>
    <x v="0"/>
    <n v="1"/>
    <n v="0"/>
    <n v="0"/>
    <n v="0"/>
    <x v="0"/>
    <x v="0"/>
    <x v="0"/>
  </r>
  <r>
    <n v="20296637697"/>
    <x v="2"/>
    <x v="2"/>
    <x v="1156"/>
    <x v="1160"/>
    <x v="1022"/>
    <n v="2"/>
    <x v="2"/>
    <s v="E-4"/>
    <s v="PEDRO RUIZ GALLO E-22"/>
    <x v="6"/>
    <x v="0"/>
    <x v="0"/>
    <x v="1"/>
    <x v="127"/>
    <x v="0"/>
    <n v="4"/>
    <n v="187"/>
    <x v="0"/>
    <x v="1"/>
    <n v="2.5641025641025641E-3"/>
    <x v="19"/>
    <x v="2"/>
    <s v="OK"/>
    <x v="2"/>
    <s v="OK"/>
    <x v="0"/>
    <x v="0"/>
    <n v="1"/>
    <n v="1"/>
    <n v="0"/>
    <n v="0"/>
    <x v="0"/>
    <x v="0"/>
    <x v="0"/>
  </r>
  <r>
    <n v="20296637697"/>
    <x v="2"/>
    <x v="2"/>
    <x v="1157"/>
    <x v="1161"/>
    <x v="1023"/>
    <n v="2"/>
    <x v="67"/>
    <s v="E-4"/>
    <s v="COMITE 33B ZONA NUEVA ESPERANZA MZ 4SF LT 5"/>
    <x v="8"/>
    <x v="0"/>
    <x v="0"/>
    <x v="1"/>
    <x v="127"/>
    <x v="0"/>
    <n v="4"/>
    <n v="195"/>
    <x v="0"/>
    <x v="1"/>
    <n v="2.5641025641025641E-3"/>
    <x v="19"/>
    <x v="2"/>
    <s v="OK"/>
    <x v="0"/>
    <s v="OK"/>
    <x v="0"/>
    <x v="0"/>
    <n v="1"/>
    <n v="0"/>
    <n v="0"/>
    <n v="0"/>
    <x v="0"/>
    <x v="0"/>
    <x v="0"/>
  </r>
  <r>
    <n v="20296637697"/>
    <x v="2"/>
    <x v="2"/>
    <x v="1158"/>
    <x v="1162"/>
    <x v="1024"/>
    <n v="2"/>
    <x v="67"/>
    <s v="E-4"/>
    <s v="MZ T-12 LT. 10 SECTOR RINCONADA ALTA CP HUERTOS DE MANCHAY"/>
    <x v="58"/>
    <x v="0"/>
    <x v="0"/>
    <x v="1"/>
    <x v="473"/>
    <x v="0"/>
    <n v="4"/>
    <n v="164.5"/>
    <x v="0"/>
    <x v="1"/>
    <n v="2.5641025641025641E-3"/>
    <x v="22"/>
    <x v="2"/>
    <s v="OK"/>
    <x v="0"/>
    <s v="OK"/>
    <x v="0"/>
    <x v="0"/>
    <n v="1"/>
    <n v="0"/>
    <n v="0"/>
    <n v="0"/>
    <x v="0"/>
    <x v="0"/>
    <x v="0"/>
  </r>
  <r>
    <n v="20296637697"/>
    <x v="2"/>
    <x v="2"/>
    <x v="1159"/>
    <x v="1163"/>
    <x v="1025"/>
    <n v="2"/>
    <x v="11"/>
    <s v="E-4"/>
    <s v="AAHH. SANTISIMA CRUZ AMPLIACION MZ. D LT. 02"/>
    <x v="44"/>
    <x v="0"/>
    <x v="0"/>
    <x v="1"/>
    <x v="473"/>
    <x v="0"/>
    <n v="4"/>
    <n v="312"/>
    <x v="0"/>
    <x v="1"/>
    <n v="2.5641025641025641E-3"/>
    <x v="14"/>
    <x v="2"/>
    <s v="OK"/>
    <x v="0"/>
    <s v="OK"/>
    <x v="0"/>
    <x v="0"/>
    <n v="1"/>
    <n v="0"/>
    <n v="0"/>
    <n v="0"/>
    <x v="0"/>
    <x v="0"/>
    <x v="0"/>
  </r>
  <r>
    <n v="20296637697"/>
    <x v="2"/>
    <x v="2"/>
    <x v="1160"/>
    <x v="1164"/>
    <x v="1017"/>
    <n v="2"/>
    <x v="11"/>
    <s v="E-4"/>
    <s v="AAHH. LIMATAMBO ETAPA II MZ. H LT. 12"/>
    <x v="54"/>
    <x v="0"/>
    <x v="0"/>
    <x v="1"/>
    <x v="243"/>
    <x v="0"/>
    <n v="4"/>
    <n v="227.5"/>
    <x v="0"/>
    <x v="1"/>
    <n v="2.5641025641025641E-3"/>
    <x v="18"/>
    <x v="2"/>
    <s v="OK"/>
    <x v="0"/>
    <s v="OK"/>
    <x v="0"/>
    <x v="0"/>
    <n v="1"/>
    <n v="0"/>
    <n v="0"/>
    <n v="0"/>
    <x v="0"/>
    <x v="0"/>
    <x v="0"/>
  </r>
  <r>
    <n v="20296637697"/>
    <x v="2"/>
    <x v="2"/>
    <x v="1161"/>
    <x v="1165"/>
    <x v="1026"/>
    <n v="2"/>
    <x v="11"/>
    <s v="E-4"/>
    <s v="AAHH- HIJOS DE VILLA LOS REYES MZ. X1 LT 21"/>
    <x v="2"/>
    <x v="0"/>
    <x v="13"/>
    <x v="1"/>
    <x v="415"/>
    <x v="2"/>
    <n v="4"/>
    <n v="96"/>
    <x v="0"/>
    <x v="1"/>
    <n v="2.5641025641025641E-3"/>
    <x v="22"/>
    <x v="2"/>
    <s v="OK"/>
    <x v="2"/>
    <s v="OK"/>
    <x v="0"/>
    <x v="0"/>
    <n v="1"/>
    <n v="1"/>
    <n v="0"/>
    <n v="1"/>
    <x v="0"/>
    <x v="1"/>
    <x v="0"/>
  </r>
  <r>
    <n v="20296637697"/>
    <x v="2"/>
    <x v="2"/>
    <x v="1162"/>
    <x v="1166"/>
    <x v="1027"/>
    <n v="2"/>
    <x v="18"/>
    <s v="E-4"/>
    <s v="PARQUE DEPORTIVO MZ. T LT. 30 CANTO CHICO"/>
    <x v="15"/>
    <x v="0"/>
    <x v="0"/>
    <x v="1"/>
    <x v="129"/>
    <x v="0"/>
    <n v="4"/>
    <n v="201"/>
    <x v="0"/>
    <x v="1"/>
    <n v="2.5641025641025641E-3"/>
    <x v="16"/>
    <x v="2"/>
    <s v="OK"/>
    <x v="0"/>
    <s v="OK"/>
    <x v="0"/>
    <x v="0"/>
    <n v="1"/>
    <n v="0"/>
    <n v="0"/>
    <n v="0"/>
    <x v="0"/>
    <x v="0"/>
    <x v="0"/>
  </r>
  <r>
    <n v="20296637697"/>
    <x v="2"/>
    <x v="2"/>
    <x v="1163"/>
    <x v="1167"/>
    <x v="1028"/>
    <n v="2"/>
    <x v="2"/>
    <s v="E-4"/>
    <s v="MZ. I LT. 13 ASOC. LOS CHASQUIS CALLE 8 SAN MARTIN DE PORRES"/>
    <x v="3"/>
    <x v="0"/>
    <x v="0"/>
    <x v="1"/>
    <x v="35"/>
    <x v="0"/>
    <n v="4"/>
    <n v="211"/>
    <x v="0"/>
    <x v="1"/>
    <n v="2.5641025641025641E-3"/>
    <x v="16"/>
    <x v="2"/>
    <s v="OK"/>
    <x v="0"/>
    <s v="OK"/>
    <x v="0"/>
    <x v="0"/>
    <n v="1"/>
    <n v="0"/>
    <n v="0"/>
    <n v="0"/>
    <x v="0"/>
    <x v="0"/>
    <x v="0"/>
  </r>
  <r>
    <n v="20296637697"/>
    <x v="2"/>
    <x v="2"/>
    <x v="1164"/>
    <x v="1168"/>
    <x v="1029"/>
    <n v="1"/>
    <x v="61"/>
    <s v="E-4"/>
    <s v="AV. SATELITE C-09 C.P.M CIUDAD SATELITE "/>
    <x v="205"/>
    <x v="1"/>
    <x v="0"/>
    <x v="1"/>
    <x v="139"/>
    <x v="0"/>
    <n v="1"/>
    <n v="192"/>
    <x v="0"/>
    <x v="1"/>
    <n v="2.5641025641025641E-3"/>
    <x v="16"/>
    <x v="2"/>
    <s v="OK"/>
    <x v="0"/>
    <s v="OK"/>
    <x v="0"/>
    <x v="0"/>
    <n v="1"/>
    <n v="0"/>
    <n v="0"/>
    <n v="0"/>
    <x v="0"/>
    <x v="0"/>
    <x v="0"/>
  </r>
  <r>
    <n v="20296637697"/>
    <x v="2"/>
    <x v="2"/>
    <x v="1165"/>
    <x v="1169"/>
    <x v="1030"/>
    <n v="2"/>
    <x v="18"/>
    <s v="E-4"/>
    <s v="COOP. VIV. MUSA ETAPA 5TA MZ. N LT. 6"/>
    <x v="47"/>
    <x v="0"/>
    <x v="0"/>
    <x v="1"/>
    <x v="180"/>
    <x v="0"/>
    <n v="4"/>
    <n v="263"/>
    <x v="0"/>
    <x v="1"/>
    <n v="2.5641025641025641E-3"/>
    <x v="15"/>
    <x v="2"/>
    <s v="OK"/>
    <x v="0"/>
    <s v="OK"/>
    <x v="0"/>
    <x v="0"/>
    <n v="1"/>
    <n v="0"/>
    <n v="0"/>
    <n v="0"/>
    <x v="0"/>
    <x v="0"/>
    <x v="0"/>
  </r>
  <r>
    <n v="20296637697"/>
    <x v="2"/>
    <x v="2"/>
    <x v="1166"/>
    <x v="1170"/>
    <x v="1031"/>
    <n v="2"/>
    <x v="4"/>
    <s v="E-4"/>
    <s v="ASENT. H. STA. MARIA MZ. F-3 LT.5 CTO. REY"/>
    <x v="15"/>
    <x v="0"/>
    <x v="0"/>
    <x v="1"/>
    <x v="180"/>
    <x v="0"/>
    <n v="4"/>
    <n v="228.5"/>
    <x v="0"/>
    <x v="1"/>
    <n v="2.5641025641025641E-3"/>
    <x v="17"/>
    <x v="2"/>
    <s v="OK"/>
    <x v="0"/>
    <s v="OK"/>
    <x v="0"/>
    <x v="0"/>
    <n v="1"/>
    <n v="0"/>
    <n v="0"/>
    <n v="0"/>
    <x v="0"/>
    <x v="0"/>
    <x v="0"/>
  </r>
  <r>
    <n v="20296637697"/>
    <x v="2"/>
    <x v="2"/>
    <x v="1167"/>
    <x v="1171"/>
    <x v="1032"/>
    <n v="2"/>
    <x v="11"/>
    <s v="E-4"/>
    <s v="ASENT. H. VICTOR CHERO RAMOS MZ. E LT. 4"/>
    <x v="164"/>
    <x v="0"/>
    <x v="7"/>
    <x v="1"/>
    <x v="14"/>
    <x v="2"/>
    <n v="4"/>
    <n v="145"/>
    <x v="0"/>
    <x v="1"/>
    <n v="2.5641025641025641E-3"/>
    <x v="19"/>
    <x v="2"/>
    <s v="OK"/>
    <x v="0"/>
    <s v="OK"/>
    <x v="0"/>
    <x v="0"/>
    <n v="1"/>
    <n v="0"/>
    <n v="0"/>
    <n v="1"/>
    <x v="0"/>
    <x v="1"/>
    <x v="0"/>
  </r>
  <r>
    <n v="20296637697"/>
    <x v="2"/>
    <x v="2"/>
    <x v="1168"/>
    <x v="1172"/>
    <x v="1033"/>
    <n v="2"/>
    <x v="219"/>
    <s v="E-4"/>
    <s v="AV. AMAZONAS 194 PJ JOSE C MARIATEGUI"/>
    <x v="8"/>
    <x v="0"/>
    <x v="0"/>
    <x v="1"/>
    <x v="14"/>
    <x v="0"/>
    <n v="4"/>
    <n v="208"/>
    <x v="0"/>
    <x v="1"/>
    <n v="2.5641025641025641E-3"/>
    <x v="22"/>
    <x v="2"/>
    <s v="OK"/>
    <x v="0"/>
    <s v="OK"/>
    <x v="0"/>
    <x v="0"/>
    <n v="1"/>
    <n v="0"/>
    <n v="0"/>
    <n v="0"/>
    <x v="0"/>
    <x v="0"/>
    <x v="0"/>
  </r>
  <r>
    <n v="20296637697"/>
    <x v="2"/>
    <x v="2"/>
    <x v="1169"/>
    <x v="1173"/>
    <x v="1034"/>
    <n v="2"/>
    <x v="67"/>
    <s v="E-4"/>
    <s v="CALLE 28 DE JULIO S/N CUADRA 4 BARRIO 28 DE JULIO"/>
    <x v="206"/>
    <x v="0"/>
    <x v="0"/>
    <x v="1"/>
    <x v="185"/>
    <x v="0"/>
    <n v="4"/>
    <n v="192"/>
    <x v="0"/>
    <x v="1"/>
    <n v="2.5641025641025641E-3"/>
    <x v="16"/>
    <x v="2"/>
    <s v="OK"/>
    <x v="0"/>
    <s v="OK"/>
    <x v="0"/>
    <x v="0"/>
    <n v="1"/>
    <n v="0"/>
    <n v="0"/>
    <n v="0"/>
    <x v="0"/>
    <x v="0"/>
    <x v="0"/>
  </r>
  <r>
    <n v="20296637697"/>
    <x v="2"/>
    <x v="2"/>
    <x v="1170"/>
    <x v="1174"/>
    <x v="1035"/>
    <n v="2"/>
    <x v="11"/>
    <s v="E-4"/>
    <s v="ASENT. H. LAS CASUARINAS IV ZONA MZ. B LT. 10"/>
    <x v="0"/>
    <x v="0"/>
    <x v="0"/>
    <x v="1"/>
    <x v="25"/>
    <x v="0"/>
    <n v="4"/>
    <n v="208"/>
    <x v="0"/>
    <x v="1"/>
    <n v="2.5641025641025641E-3"/>
    <x v="20"/>
    <x v="2"/>
    <s v="OK"/>
    <x v="0"/>
    <s v="OK"/>
    <x v="0"/>
    <x v="0"/>
    <n v="1"/>
    <n v="0"/>
    <n v="0"/>
    <n v="0"/>
    <x v="0"/>
    <x v="0"/>
    <x v="0"/>
  </r>
  <r>
    <n v="20296637697"/>
    <x v="2"/>
    <x v="2"/>
    <x v="1171"/>
    <x v="1175"/>
    <x v="1036"/>
    <n v="2"/>
    <x v="220"/>
    <s v="E-4"/>
    <s v="C. POBLADO CCOCHACC S/N, AYACUCHO - HUANTA"/>
    <x v="207"/>
    <x v="0"/>
    <x v="0"/>
    <x v="1"/>
    <x v="149"/>
    <x v="0"/>
    <n v="4"/>
    <n v="227"/>
    <x v="0"/>
    <x v="1"/>
    <n v="2.5641025641025641E-3"/>
    <x v="16"/>
    <x v="2"/>
    <s v="OK"/>
    <x v="0"/>
    <s v="OK"/>
    <x v="0"/>
    <x v="0"/>
    <n v="1"/>
    <n v="0"/>
    <n v="0"/>
    <n v="0"/>
    <x v="0"/>
    <x v="0"/>
    <x v="0"/>
  </r>
  <r>
    <n v="20296637697"/>
    <x v="2"/>
    <x v="2"/>
    <x v="1172"/>
    <x v="1176"/>
    <x v="1037"/>
    <n v="2"/>
    <x v="59"/>
    <s v="E-4"/>
    <s v="ASENT. H. ANGAMOS SEC. 1 MZ. E-5 LT. 20"/>
    <x v="2"/>
    <x v="0"/>
    <x v="0"/>
    <x v="1"/>
    <x v="20"/>
    <x v="0"/>
    <n v="4"/>
    <n v="212.5"/>
    <x v="0"/>
    <x v="1"/>
    <n v="2.5641025641025641E-3"/>
    <x v="15"/>
    <x v="2"/>
    <s v="OK"/>
    <x v="2"/>
    <s v="OK"/>
    <x v="0"/>
    <x v="0"/>
    <n v="1"/>
    <n v="1"/>
    <n v="0"/>
    <n v="0"/>
    <x v="0"/>
    <x v="0"/>
    <x v="0"/>
  </r>
  <r>
    <n v="20296637697"/>
    <x v="2"/>
    <x v="2"/>
    <x v="1173"/>
    <x v="1177"/>
    <x v="1038"/>
    <n v="2"/>
    <x v="67"/>
    <s v="E-4"/>
    <s v="LAS REGALIZAS 431 437 MZ M LT 8 S HILARION LIMA-LIMA-SAN JUAN DE LURIGANCHO"/>
    <x v="15"/>
    <x v="0"/>
    <x v="0"/>
    <x v="1"/>
    <x v="18"/>
    <x v="0"/>
    <n v="4"/>
    <n v="179"/>
    <x v="0"/>
    <x v="1"/>
    <n v="2.5641025641025641E-3"/>
    <x v="20"/>
    <x v="2"/>
    <s v="OK"/>
    <x v="0"/>
    <s v="OK"/>
    <x v="0"/>
    <x v="0"/>
    <n v="1"/>
    <n v="0"/>
    <n v="0"/>
    <n v="0"/>
    <x v="0"/>
    <x v="0"/>
    <x v="0"/>
  </r>
  <r>
    <n v="20296637697"/>
    <x v="2"/>
    <x v="2"/>
    <x v="1174"/>
    <x v="1178"/>
    <x v="1039"/>
    <n v="1"/>
    <x v="221"/>
    <s v="E-4"/>
    <s v="BARRIO 27 DE OCTUBRE MZ. F LT. 6, HUAMANGA - AYACUCHO"/>
    <x v="208"/>
    <x v="0"/>
    <x v="0"/>
    <x v="1"/>
    <x v="17"/>
    <x v="0"/>
    <n v="1"/>
    <n v="192"/>
    <x v="0"/>
    <x v="1"/>
    <n v="2.5641025641025641E-3"/>
    <x v="21"/>
    <x v="2"/>
    <s v="OK"/>
    <x v="0"/>
    <s v="OK"/>
    <x v="0"/>
    <x v="0"/>
    <n v="1"/>
    <n v="0"/>
    <n v="0"/>
    <n v="0"/>
    <x v="0"/>
    <x v="0"/>
    <x v="0"/>
  </r>
  <r>
    <n v="20296637697"/>
    <x v="2"/>
    <x v="2"/>
    <x v="1175"/>
    <x v="1179"/>
    <x v="1040"/>
    <n v="2"/>
    <x v="11"/>
    <s v="E-4"/>
    <s v="MZ.C1 LT.5 COOP.VIRGEN DE LAS NIEVES LIMA-LIMA-SANTA ANITA"/>
    <x v="27"/>
    <x v="0"/>
    <x v="0"/>
    <x v="1"/>
    <x v="239"/>
    <x v="0"/>
    <n v="4"/>
    <n v="230"/>
    <x v="0"/>
    <x v="1"/>
    <n v="2.5641025641025641E-3"/>
    <x v="17"/>
    <x v="2"/>
    <s v="OK"/>
    <x v="5"/>
    <s v="OK"/>
    <x v="0"/>
    <x v="0"/>
    <n v="1"/>
    <n v="1"/>
    <n v="0"/>
    <n v="0"/>
    <x v="0"/>
    <x v="0"/>
    <x v="0"/>
  </r>
  <r>
    <n v="20296637697"/>
    <x v="2"/>
    <x v="2"/>
    <x v="1176"/>
    <x v="1180"/>
    <x v="1041"/>
    <n v="2"/>
    <x v="11"/>
    <s v="E-4"/>
    <s v="MZ 7 Q LT 12 A EL MISTI TABLADA DE LURIN"/>
    <x v="8"/>
    <x v="0"/>
    <x v="0"/>
    <x v="1"/>
    <x v="145"/>
    <x v="0"/>
    <n v="4"/>
    <n v="204.5"/>
    <x v="0"/>
    <x v="1"/>
    <n v="2.5641025641025641E-3"/>
    <x v="14"/>
    <x v="2"/>
    <s v="OK"/>
    <x v="0"/>
    <s v="OK"/>
    <x v="0"/>
    <x v="0"/>
    <n v="1"/>
    <n v="0"/>
    <n v="0"/>
    <n v="0"/>
    <x v="0"/>
    <x v="0"/>
    <x v="0"/>
  </r>
  <r>
    <n v="20296637697"/>
    <x v="2"/>
    <x v="2"/>
    <x v="1177"/>
    <x v="1181"/>
    <x v="1042"/>
    <n v="2"/>
    <x v="11"/>
    <s v="E-4"/>
    <s v="ASENT. H. OASIS DE PACHACUTEC SEC. III MZ. B-01 LT. 01"/>
    <x v="2"/>
    <x v="0"/>
    <x v="0"/>
    <x v="1"/>
    <x v="432"/>
    <x v="0"/>
    <n v="4"/>
    <n v="257"/>
    <x v="0"/>
    <x v="1"/>
    <n v="2.5641025641025641E-3"/>
    <x v="17"/>
    <x v="2"/>
    <s v="OK"/>
    <x v="2"/>
    <s v="OK"/>
    <x v="0"/>
    <x v="0"/>
    <n v="1"/>
    <n v="1"/>
    <n v="0"/>
    <n v="0"/>
    <x v="0"/>
    <x v="0"/>
    <x v="0"/>
  </r>
  <r>
    <n v="20296637697"/>
    <x v="2"/>
    <x v="2"/>
    <x v="1178"/>
    <x v="1182"/>
    <x v="1043"/>
    <n v="2"/>
    <x v="3"/>
    <s v="E-4"/>
    <s v="AV. CONTRALMIRANTE MORA 244 BLOCK A - 101"/>
    <x v="6"/>
    <x v="0"/>
    <x v="0"/>
    <x v="1"/>
    <x v="99"/>
    <x v="0"/>
    <n v="4"/>
    <n v="179"/>
    <x v="0"/>
    <x v="1"/>
    <n v="2.5641025641025641E-3"/>
    <x v="18"/>
    <x v="2"/>
    <s v="OK"/>
    <x v="2"/>
    <s v="OK"/>
    <x v="0"/>
    <x v="0"/>
    <n v="1"/>
    <n v="1"/>
    <n v="0"/>
    <n v="0"/>
    <x v="0"/>
    <x v="0"/>
    <x v="0"/>
  </r>
  <r>
    <n v="20296637697"/>
    <x v="2"/>
    <x v="2"/>
    <x v="1179"/>
    <x v="1183"/>
    <x v="1044"/>
    <n v="2"/>
    <x v="11"/>
    <s v="E-4"/>
    <s v="SAN FERNANDO MZ. A LT. 21 - CANTO GRANDE"/>
    <x v="15"/>
    <x v="0"/>
    <x v="0"/>
    <x v="1"/>
    <x v="145"/>
    <x v="0"/>
    <n v="4"/>
    <n v="194.5"/>
    <x v="0"/>
    <x v="1"/>
    <n v="2.5641025641025641E-3"/>
    <x v="20"/>
    <x v="2"/>
    <s v="OK"/>
    <x v="0"/>
    <s v="OK"/>
    <x v="0"/>
    <x v="0"/>
    <n v="1"/>
    <n v="0"/>
    <n v="0"/>
    <n v="0"/>
    <x v="0"/>
    <x v="0"/>
    <x v="0"/>
  </r>
  <r>
    <n v="20296637697"/>
    <x v="2"/>
    <x v="2"/>
    <x v="1180"/>
    <x v="1184"/>
    <x v="1045"/>
    <n v="2"/>
    <x v="11"/>
    <s v="E-4"/>
    <s v="AV. MARIA ELENA MOYANO SECTOR 6 GRUPO 4A MZ D LTE 6 VILLA EL SALVADOR LIMA"/>
    <x v="19"/>
    <x v="0"/>
    <x v="0"/>
    <x v="1"/>
    <x v="27"/>
    <x v="0"/>
    <n v="4"/>
    <n v="206.5"/>
    <x v="0"/>
    <x v="1"/>
    <n v="2.5641025641025641E-3"/>
    <x v="17"/>
    <x v="2"/>
    <s v="OK"/>
    <x v="0"/>
    <s v="OK"/>
    <x v="0"/>
    <x v="0"/>
    <n v="1"/>
    <n v="0"/>
    <n v="0"/>
    <n v="0"/>
    <x v="0"/>
    <x v="0"/>
    <x v="0"/>
  </r>
  <r>
    <n v="20296637697"/>
    <x v="2"/>
    <x v="2"/>
    <x v="1181"/>
    <x v="1185"/>
    <x v="1046"/>
    <n v="2"/>
    <x v="11"/>
    <s v="E-4"/>
    <s v="MZ.J LT.11 HIJOS DE VILLA LOS REYES"/>
    <x v="2"/>
    <x v="0"/>
    <x v="0"/>
    <x v="1"/>
    <x v="145"/>
    <x v="0"/>
    <n v="4"/>
    <n v="209.5"/>
    <x v="0"/>
    <x v="1"/>
    <n v="2.5641025641025641E-3"/>
    <x v="14"/>
    <x v="2"/>
    <s v="OK"/>
    <x v="2"/>
    <s v="OK"/>
    <x v="0"/>
    <x v="0"/>
    <n v="1"/>
    <n v="1"/>
    <n v="0"/>
    <n v="0"/>
    <x v="0"/>
    <x v="0"/>
    <x v="0"/>
  </r>
  <r>
    <n v="20296637697"/>
    <x v="2"/>
    <x v="2"/>
    <x v="1182"/>
    <x v="1186"/>
    <x v="1047"/>
    <n v="2"/>
    <x v="11"/>
    <s v="E-4"/>
    <s v="A.H MERCADO CENTRAL MZ F LOTE 15 PECP VENTANILLA CALLAO"/>
    <x v="6"/>
    <x v="0"/>
    <x v="5"/>
    <x v="1"/>
    <x v="27"/>
    <x v="2"/>
    <n v="4"/>
    <n v="154.5"/>
    <x v="0"/>
    <x v="1"/>
    <n v="2.5641025641025641E-3"/>
    <x v="19"/>
    <x v="2"/>
    <s v="OK"/>
    <x v="2"/>
    <s v="OK"/>
    <x v="0"/>
    <x v="0"/>
    <n v="1"/>
    <n v="1"/>
    <n v="0"/>
    <n v="1"/>
    <x v="0"/>
    <x v="1"/>
    <x v="0"/>
  </r>
  <r>
    <n v="20296637697"/>
    <x v="2"/>
    <x v="2"/>
    <x v="1183"/>
    <x v="1187"/>
    <x v="1048"/>
    <n v="2"/>
    <x v="18"/>
    <s v="E-4"/>
    <s v="PSJ. LIMA MZ. C LT.3"/>
    <x v="4"/>
    <x v="0"/>
    <x v="0"/>
    <x v="1"/>
    <x v="145"/>
    <x v="0"/>
    <n v="4"/>
    <n v="219"/>
    <x v="0"/>
    <x v="1"/>
    <n v="2.5641025641025641E-3"/>
    <x v="16"/>
    <x v="2"/>
    <s v="OK"/>
    <x v="0"/>
    <s v="OK"/>
    <x v="0"/>
    <x v="0"/>
    <n v="1"/>
    <n v="0"/>
    <n v="0"/>
    <n v="0"/>
    <x v="0"/>
    <x v="0"/>
    <x v="0"/>
  </r>
  <r>
    <n v="20296637697"/>
    <x v="2"/>
    <x v="2"/>
    <x v="1184"/>
    <x v="1188"/>
    <x v="1049"/>
    <n v="2"/>
    <x v="11"/>
    <s v="E-4"/>
    <s v="MERCADO SAN CARLOS"/>
    <x v="27"/>
    <x v="0"/>
    <x v="0"/>
    <x v="1"/>
    <x v="145"/>
    <x v="0"/>
    <n v="4"/>
    <n v="172"/>
    <x v="0"/>
    <x v="1"/>
    <n v="2.5641025641025641E-3"/>
    <x v="20"/>
    <x v="2"/>
    <s v="OK"/>
    <x v="5"/>
    <s v="OK"/>
    <x v="0"/>
    <x v="0"/>
    <n v="1"/>
    <n v="1"/>
    <n v="0"/>
    <n v="0"/>
    <x v="0"/>
    <x v="0"/>
    <x v="0"/>
  </r>
  <r>
    <n v="20296637697"/>
    <x v="2"/>
    <x v="2"/>
    <x v="1185"/>
    <x v="1189"/>
    <x v="1050"/>
    <n v="2"/>
    <x v="11"/>
    <s v="E-4"/>
    <s v="CALLE ANDROMEDA N 100"/>
    <x v="209"/>
    <x v="0"/>
    <x v="0"/>
    <x v="1"/>
    <x v="171"/>
    <x v="0"/>
    <n v="4"/>
    <n v="264"/>
    <x v="0"/>
    <x v="1"/>
    <n v="2.5641025641025641E-3"/>
    <x v="18"/>
    <x v="2"/>
    <s v="OK"/>
    <x v="1"/>
    <s v="OK"/>
    <x v="0"/>
    <x v="0"/>
    <n v="1"/>
    <n v="1"/>
    <n v="0"/>
    <n v="0"/>
    <x v="0"/>
    <x v="0"/>
    <x v="0"/>
  </r>
  <r>
    <n v="20296637697"/>
    <x v="2"/>
    <x v="2"/>
    <x v="1186"/>
    <x v="1190"/>
    <x v="1051"/>
    <n v="2"/>
    <x v="222"/>
    <s v="E-4"/>
    <s v="MZ. Q . LT.7 ASOC. ANDRES AVELINO CACERES - ATE"/>
    <x v="1"/>
    <x v="0"/>
    <x v="0"/>
    <x v="1"/>
    <x v="145"/>
    <x v="0"/>
    <n v="4"/>
    <n v="243"/>
    <x v="0"/>
    <x v="1"/>
    <n v="2.5641025641025641E-3"/>
    <x v="18"/>
    <x v="2"/>
    <s v="OK"/>
    <x v="1"/>
    <s v="OK"/>
    <x v="0"/>
    <x v="0"/>
    <n v="1"/>
    <n v="1"/>
    <n v="0"/>
    <n v="0"/>
    <x v="0"/>
    <x v="0"/>
    <x v="0"/>
  </r>
  <r>
    <n v="20296637697"/>
    <x v="2"/>
    <x v="2"/>
    <x v="1187"/>
    <x v="1191"/>
    <x v="1052"/>
    <n v="2"/>
    <x v="11"/>
    <s v="E-4"/>
    <s v="CASERIO SIVINGAN BAJO, CHOTA - CAJAMARCA"/>
    <x v="210"/>
    <x v="0"/>
    <x v="0"/>
    <x v="1"/>
    <x v="145"/>
    <x v="0"/>
    <n v="4"/>
    <n v="230.5"/>
    <x v="0"/>
    <x v="1"/>
    <n v="2.5641025641025641E-3"/>
    <x v="14"/>
    <x v="2"/>
    <s v="OK"/>
    <x v="0"/>
    <s v="OK"/>
    <x v="0"/>
    <x v="0"/>
    <n v="1"/>
    <n v="0"/>
    <n v="0"/>
    <n v="0"/>
    <x v="0"/>
    <x v="0"/>
    <x v="0"/>
  </r>
  <r>
    <n v="20296637697"/>
    <x v="2"/>
    <x v="2"/>
    <x v="1188"/>
    <x v="1192"/>
    <x v="1053"/>
    <n v="2"/>
    <x v="11"/>
    <s v="E-4"/>
    <s v="ASENT. H. ASOC. VALLA HERMOSO EL MIRADOR MZ. B LT. 5H"/>
    <x v="54"/>
    <x v="0"/>
    <x v="0"/>
    <x v="1"/>
    <x v="186"/>
    <x v="0"/>
    <n v="4"/>
    <n v="121.5"/>
    <x v="0"/>
    <x v="1"/>
    <n v="2.5641025641025641E-3"/>
    <x v="14"/>
    <x v="2"/>
    <s v="OK"/>
    <x v="0"/>
    <s v="OK"/>
    <x v="0"/>
    <x v="0"/>
    <n v="1"/>
    <n v="0"/>
    <n v="1"/>
    <n v="0"/>
    <x v="0"/>
    <x v="0"/>
    <x v="1"/>
  </r>
  <r>
    <n v="20296637697"/>
    <x v="2"/>
    <x v="2"/>
    <x v="1189"/>
    <x v="1193"/>
    <x v="1054"/>
    <n v="2"/>
    <x v="66"/>
    <s v="E-4"/>
    <s v="SECTOR LOS ANGELES MZ. 88"/>
    <x v="53"/>
    <x v="0"/>
    <x v="0"/>
    <x v="1"/>
    <x v="101"/>
    <x v="0"/>
    <n v="4"/>
    <n v="50"/>
    <x v="0"/>
    <x v="1"/>
    <n v="2.5641025641025641E-3"/>
    <x v="22"/>
    <x v="2"/>
    <s v="OK"/>
    <x v="0"/>
    <s v="OK"/>
    <x v="0"/>
    <x v="0"/>
    <n v="1"/>
    <n v="0"/>
    <n v="1"/>
    <n v="0"/>
    <x v="0"/>
    <x v="0"/>
    <x v="1"/>
  </r>
  <r>
    <n v="20296637697"/>
    <x v="2"/>
    <x v="2"/>
    <x v="1190"/>
    <x v="1194"/>
    <x v="1055"/>
    <n v="1"/>
    <x v="6"/>
    <s v="PV08-PV10"/>
    <s v="MZ. 24 A LT. 14 P.J. EX FDO. MARQUEZ"/>
    <x v="6"/>
    <x v="1"/>
    <x v="0"/>
    <x v="1"/>
    <x v="53"/>
    <x v="0"/>
    <n v="1"/>
    <n v="192"/>
    <x v="0"/>
    <x v="1"/>
    <n v="2.5641025641025641E-3"/>
    <x v="15"/>
    <x v="2"/>
    <s v="OK"/>
    <x v="2"/>
    <s v="OK"/>
    <x v="0"/>
    <x v="0"/>
    <n v="1"/>
    <n v="1"/>
    <n v="0"/>
    <n v="0"/>
    <x v="0"/>
    <x v="0"/>
    <x v="0"/>
  </r>
  <r>
    <n v="20296637697"/>
    <x v="2"/>
    <x v="2"/>
    <x v="1191"/>
    <x v="1195"/>
    <x v="1056"/>
    <n v="1"/>
    <x v="223"/>
    <s v="PV08-PV10"/>
    <s v="KENJI FUJIMORI MZ O LOTE 14"/>
    <x v="2"/>
    <x v="0"/>
    <x v="0"/>
    <x v="1"/>
    <x v="51"/>
    <x v="0"/>
    <n v="1"/>
    <n v="192"/>
    <x v="0"/>
    <x v="1"/>
    <n v="2.5641025641025641E-3"/>
    <x v="19"/>
    <x v="2"/>
    <s v="OK"/>
    <x v="2"/>
    <s v="OK"/>
    <x v="0"/>
    <x v="0"/>
    <n v="1"/>
    <n v="1"/>
    <n v="0"/>
    <n v="0"/>
    <x v="0"/>
    <x v="0"/>
    <x v="0"/>
  </r>
  <r>
    <n v="20296637697"/>
    <x v="2"/>
    <x v="2"/>
    <x v="1192"/>
    <x v="1196"/>
    <x v="1057"/>
    <n v="1"/>
    <x v="7"/>
    <s v="PV08-PV10"/>
    <s v="CALLE GRAU DPTO 1004"/>
    <x v="121"/>
    <x v="1"/>
    <x v="0"/>
    <x v="1"/>
    <x v="21"/>
    <x v="0"/>
    <n v="1"/>
    <n v="192"/>
    <x v="0"/>
    <x v="1"/>
    <n v="2.5641025641025641E-3"/>
    <x v="14"/>
    <x v="2"/>
    <s v="OK"/>
    <x v="0"/>
    <s v="OK"/>
    <x v="0"/>
    <x v="0"/>
    <n v="1"/>
    <n v="0"/>
    <n v="0"/>
    <n v="0"/>
    <x v="0"/>
    <x v="0"/>
    <x v="0"/>
  </r>
  <r>
    <n v="20296637697"/>
    <x v="2"/>
    <x v="2"/>
    <x v="1193"/>
    <x v="1197"/>
    <x v="1058"/>
    <n v="1"/>
    <x v="182"/>
    <s v="PV08-PV10"/>
    <s v="CALLE 1 URB. PACHACAMAC BARRIO 2 SECTOR 1 MZ. G LT. 38"/>
    <x v="19"/>
    <x v="0"/>
    <x v="0"/>
    <x v="1"/>
    <x v="49"/>
    <x v="0"/>
    <n v="1"/>
    <n v="192"/>
    <x v="0"/>
    <x v="1"/>
    <n v="2.5641025641025641E-3"/>
    <x v="15"/>
    <x v="2"/>
    <s v="OK"/>
    <x v="0"/>
    <s v="OK"/>
    <x v="0"/>
    <x v="0"/>
    <n v="1"/>
    <n v="0"/>
    <n v="0"/>
    <n v="0"/>
    <x v="0"/>
    <x v="0"/>
    <x v="0"/>
  </r>
  <r>
    <n v="20296637697"/>
    <x v="2"/>
    <x v="2"/>
    <x v="1194"/>
    <x v="1198"/>
    <x v="1059"/>
    <n v="1"/>
    <x v="96"/>
    <s v="PV08-PV10"/>
    <s v="CALLE JORGE CHAVEZ 480 P.J. CERCADO"/>
    <x v="8"/>
    <x v="0"/>
    <x v="0"/>
    <x v="1"/>
    <x v="98"/>
    <x v="0"/>
    <n v="1"/>
    <n v="192"/>
    <x v="0"/>
    <x v="1"/>
    <n v="2.5641025641025641E-3"/>
    <x v="20"/>
    <x v="2"/>
    <s v="OK"/>
    <x v="0"/>
    <s v="OK"/>
    <x v="0"/>
    <x v="0"/>
    <n v="1"/>
    <n v="0"/>
    <n v="0"/>
    <n v="0"/>
    <x v="0"/>
    <x v="0"/>
    <x v="0"/>
  </r>
  <r>
    <n v="20296637697"/>
    <x v="2"/>
    <x v="2"/>
    <x v="1195"/>
    <x v="1199"/>
    <x v="1060"/>
    <n v="2"/>
    <x v="59"/>
    <s v="PV08-PV10"/>
    <s v="CASERIO SAN JUAN DE OLLATES, TOCACHE - SAN MARTIN"/>
    <x v="211"/>
    <x v="0"/>
    <x v="0"/>
    <x v="1"/>
    <x v="115"/>
    <x v="0"/>
    <n v="4"/>
    <n v="94.5"/>
    <x v="0"/>
    <x v="1"/>
    <n v="2.5641025641025641E-3"/>
    <x v="14"/>
    <x v="2"/>
    <s v="OK"/>
    <x v="0"/>
    <s v="OK"/>
    <x v="0"/>
    <x v="0"/>
    <n v="1"/>
    <n v="0"/>
    <n v="1"/>
    <n v="0"/>
    <x v="0"/>
    <x v="0"/>
    <x v="1"/>
  </r>
  <r>
    <n v="20296637697"/>
    <x v="2"/>
    <x v="2"/>
    <x v="1196"/>
    <x v="1200"/>
    <x v="1061"/>
    <n v="1"/>
    <x v="224"/>
    <s v="PV08-PV10"/>
    <s v="JR. ANTOFAGASTA 2067 URB. PERU"/>
    <x v="3"/>
    <x v="1"/>
    <x v="0"/>
    <x v="1"/>
    <x v="464"/>
    <x v="0"/>
    <n v="1"/>
    <n v="72"/>
    <x v="0"/>
    <x v="1"/>
    <n v="2.5641025641025641E-3"/>
    <x v="16"/>
    <x v="2"/>
    <s v="OK"/>
    <x v="0"/>
    <s v="OK"/>
    <x v="0"/>
    <x v="0"/>
    <n v="1"/>
    <n v="0"/>
    <n v="1"/>
    <n v="0"/>
    <x v="0"/>
    <x v="0"/>
    <x v="1"/>
  </r>
  <r>
    <n v="20296637697"/>
    <x v="2"/>
    <x v="2"/>
    <x v="1197"/>
    <x v="1201"/>
    <x v="1062"/>
    <n v="2"/>
    <x v="2"/>
    <s v="PV08-PV10"/>
    <s v="UNIDAD VECINAL 3 BLOCK 10 DPTO H"/>
    <x v="10"/>
    <x v="0"/>
    <x v="0"/>
    <x v="1"/>
    <x v="474"/>
    <x v="0"/>
    <n v="4"/>
    <n v="87.5"/>
    <x v="0"/>
    <x v="1"/>
    <n v="2.5641025641025641E-3"/>
    <x v="19"/>
    <x v="2"/>
    <s v="OK"/>
    <x v="0"/>
    <s v="OK"/>
    <x v="0"/>
    <x v="0"/>
    <n v="1"/>
    <n v="0"/>
    <n v="1"/>
    <n v="0"/>
    <x v="0"/>
    <x v="0"/>
    <x v="1"/>
  </r>
  <r>
    <n v="20296637697"/>
    <x v="2"/>
    <x v="2"/>
    <x v="1198"/>
    <x v="1202"/>
    <x v="1063"/>
    <n v="2"/>
    <x v="8"/>
    <s v="PV08-PV10"/>
    <s v="ASOC.DE VIV. NUEVA JUVENTUD MZ. L LT. 04"/>
    <x v="159"/>
    <x v="0"/>
    <x v="0"/>
    <x v="1"/>
    <x v="115"/>
    <x v="0"/>
    <n v="4"/>
    <n v="88.5"/>
    <x v="0"/>
    <x v="1"/>
    <n v="2.5641025641025641E-3"/>
    <x v="18"/>
    <x v="2"/>
    <s v="OK"/>
    <x v="0"/>
    <s v="OK"/>
    <x v="0"/>
    <x v="0"/>
    <n v="1"/>
    <n v="0"/>
    <n v="1"/>
    <n v="0"/>
    <x v="0"/>
    <x v="0"/>
    <x v="1"/>
  </r>
  <r>
    <n v="20296637697"/>
    <x v="2"/>
    <x v="2"/>
    <x v="1199"/>
    <x v="1203"/>
    <x v="1064"/>
    <n v="2"/>
    <x v="18"/>
    <s v="PV08-PV10"/>
    <s v="MZ. N LT. 13 J.C. MARIATEGUI SECTOR 30 DE AGOSTO"/>
    <x v="8"/>
    <x v="0"/>
    <x v="0"/>
    <x v="1"/>
    <x v="464"/>
    <x v="0"/>
    <n v="4"/>
    <n v="26.5"/>
    <x v="0"/>
    <x v="1"/>
    <n v="2.5641025641025641E-3"/>
    <x v="18"/>
    <x v="2"/>
    <s v="OK"/>
    <x v="0"/>
    <s v="OK"/>
    <x v="0"/>
    <x v="0"/>
    <n v="1"/>
    <n v="0"/>
    <n v="1"/>
    <n v="0"/>
    <x v="0"/>
    <x v="0"/>
    <x v="1"/>
  </r>
  <r>
    <n v="20296637697"/>
    <x v="2"/>
    <x v="2"/>
    <x v="1200"/>
    <x v="1204"/>
    <x v="1065"/>
    <n v="1"/>
    <x v="52"/>
    <s v="PV08-PV10"/>
    <s v="AV. TOMAS VALLE ASENT H. DANIEL ALCIDES CARRION MZ. D1 LT. 23"/>
    <x v="3"/>
    <x v="1"/>
    <x v="0"/>
    <x v="1"/>
    <x v="357"/>
    <x v="0"/>
    <n v="1"/>
    <n v="64"/>
    <x v="0"/>
    <x v="1"/>
    <n v="2.5641025641025641E-3"/>
    <x v="16"/>
    <x v="2"/>
    <s v="OK"/>
    <x v="0"/>
    <s v="OK"/>
    <x v="0"/>
    <x v="0"/>
    <n v="1"/>
    <n v="0"/>
    <n v="1"/>
    <n v="0"/>
    <x v="0"/>
    <x v="0"/>
    <x v="1"/>
  </r>
  <r>
    <n v="20296637697"/>
    <x v="2"/>
    <x v="2"/>
    <x v="1201"/>
    <x v="1205"/>
    <x v="1066"/>
    <n v="2"/>
    <x v="4"/>
    <s v="PV08-PV10"/>
    <s v="AV. MZ. E LT. 8 ASOC.COMUNIDAD LA VISCACHERA"/>
    <x v="15"/>
    <x v="0"/>
    <x v="0"/>
    <x v="1"/>
    <x v="187"/>
    <x v="0"/>
    <n v="4"/>
    <n v="162.5"/>
    <x v="0"/>
    <x v="1"/>
    <n v="2.5641025641025641E-3"/>
    <x v="21"/>
    <x v="2"/>
    <s v="OK"/>
    <x v="0"/>
    <s v="OK"/>
    <x v="0"/>
    <x v="0"/>
    <n v="1"/>
    <n v="0"/>
    <n v="1"/>
    <n v="0"/>
    <x v="0"/>
    <x v="0"/>
    <x v="1"/>
  </r>
  <r>
    <n v="20296637697"/>
    <x v="2"/>
    <x v="2"/>
    <x v="1202"/>
    <x v="1206"/>
    <x v="1067"/>
    <n v="2"/>
    <x v="67"/>
    <s v="PV08-PV10"/>
    <s v="ASENT. H. EL AMAUTA SECTOR I MZ. G LT. 5"/>
    <x v="46"/>
    <x v="0"/>
    <x v="0"/>
    <x v="1"/>
    <x v="137"/>
    <x v="0"/>
    <n v="4"/>
    <n v="37"/>
    <x v="0"/>
    <x v="1"/>
    <n v="2.5641025641025641E-3"/>
    <x v="17"/>
    <x v="2"/>
    <s v="OK"/>
    <x v="7"/>
    <s v="OK"/>
    <x v="0"/>
    <x v="0"/>
    <n v="1"/>
    <n v="1"/>
    <n v="1"/>
    <n v="0"/>
    <x v="0"/>
    <x v="0"/>
    <x v="1"/>
  </r>
  <r>
    <n v="20296637697"/>
    <x v="2"/>
    <x v="2"/>
    <x v="1203"/>
    <x v="1207"/>
    <x v="1068"/>
    <n v="2"/>
    <x v="225"/>
    <s v="PV08-PV10"/>
    <s v="RESIDENCIAL PRIMAVERA MZ F LT. 20"/>
    <x v="46"/>
    <x v="0"/>
    <x v="0"/>
    <x v="1"/>
    <x v="29"/>
    <x v="0"/>
    <n v="4"/>
    <n v="121.5"/>
    <x v="0"/>
    <x v="1"/>
    <n v="2.5641025641025641E-3"/>
    <x v="22"/>
    <x v="2"/>
    <s v="OK"/>
    <x v="7"/>
    <s v="OK"/>
    <x v="0"/>
    <x v="1"/>
    <n v="0.5"/>
    <n v="0.5"/>
    <n v="1"/>
    <n v="0"/>
    <x v="0"/>
    <x v="0"/>
    <x v="1"/>
  </r>
  <r>
    <n v="20296637697"/>
    <x v="2"/>
    <x v="2"/>
    <x v="1204"/>
    <x v="1208"/>
    <x v="1060"/>
    <n v="2"/>
    <x v="59"/>
    <s v="PV08-PV10"/>
    <s v="JR. PAÑAMARCA MZ. E LT. 13 ASENT. H. SANTA CRUZ"/>
    <x v="212"/>
    <x v="0"/>
    <x v="0"/>
    <x v="1"/>
    <x v="115"/>
    <x v="0"/>
    <n v="4"/>
    <n v="89"/>
    <x v="0"/>
    <x v="1"/>
    <n v="2.5641025641025641E-3"/>
    <x v="14"/>
    <x v="2"/>
    <s v="OK"/>
    <x v="0"/>
    <s v="OK"/>
    <x v="0"/>
    <x v="0"/>
    <n v="1"/>
    <n v="0"/>
    <n v="1"/>
    <n v="0"/>
    <x v="0"/>
    <x v="0"/>
    <x v="1"/>
  </r>
  <r>
    <n v="20605118764"/>
    <x v="45"/>
    <x v="2"/>
    <x v="1205"/>
    <x v="1209"/>
    <x v="1069"/>
    <n v="2"/>
    <x v="226"/>
    <s v="PV08-PV10"/>
    <s v="ASENT. H. JOSE C. MARIATEGUI MZ. R6C LT. 10"/>
    <x v="15"/>
    <x v="0"/>
    <x v="0"/>
    <x v="1"/>
    <x v="37"/>
    <x v="0"/>
    <n v="4"/>
    <n v="128"/>
    <x v="0"/>
    <x v="0"/>
    <n v="2.5641025641025641E-3"/>
    <x v="16"/>
    <x v="2"/>
    <s v="OK"/>
    <x v="0"/>
    <s v="OK"/>
    <x v="0"/>
    <x v="0"/>
    <n v="1"/>
    <n v="0"/>
    <n v="1"/>
    <n v="0"/>
    <x v="0"/>
    <x v="0"/>
    <x v="1"/>
  </r>
  <r>
    <n v="20605118764"/>
    <x v="45"/>
    <x v="2"/>
    <x v="1206"/>
    <x v="1210"/>
    <x v="1012"/>
    <n v="2"/>
    <x v="227"/>
    <s v="PV08-PV10"/>
    <s v="CALLE F G1 13 ASENT. H. SAN GENARO"/>
    <x v="38"/>
    <x v="0"/>
    <x v="0"/>
    <x v="1"/>
    <x v="188"/>
    <x v="0"/>
    <n v="4"/>
    <n v="128"/>
    <x v="0"/>
    <x v="0"/>
    <n v="2.5641025641025641E-3"/>
    <x v="22"/>
    <x v="2"/>
    <s v="OK"/>
    <x v="0"/>
    <s v="OK"/>
    <x v="0"/>
    <x v="0"/>
    <n v="1"/>
    <n v="0"/>
    <n v="0"/>
    <n v="0"/>
    <x v="0"/>
    <x v="0"/>
    <x v="0"/>
  </r>
  <r>
    <n v="20605118764"/>
    <x v="45"/>
    <x v="2"/>
    <x v="1207"/>
    <x v="1211"/>
    <x v="1070"/>
    <n v="2"/>
    <x v="226"/>
    <s v="PV08-PV10"/>
    <s v="CALLE SAN MARTIN 2911 - 2921"/>
    <x v="213"/>
    <x v="0"/>
    <x v="0"/>
    <x v="1"/>
    <x v="188"/>
    <x v="0"/>
    <n v="4"/>
    <n v="128"/>
    <x v="0"/>
    <x v="0"/>
    <n v="2.5641025641025641E-3"/>
    <x v="18"/>
    <x v="2"/>
    <s v="OK"/>
    <x v="0"/>
    <s v="OK"/>
    <x v="0"/>
    <x v="0"/>
    <n v="1"/>
    <n v="0"/>
    <n v="0"/>
    <n v="0"/>
    <x v="0"/>
    <x v="0"/>
    <x v="0"/>
  </r>
  <r>
    <n v="20605118764"/>
    <x v="45"/>
    <x v="2"/>
    <x v="1208"/>
    <x v="1212"/>
    <x v="1071"/>
    <n v="2"/>
    <x v="226"/>
    <s v="PV08-PV10"/>
    <s v="SAN PABLO 290 - 294, PACASMAYO - LA LIBERTAD"/>
    <x v="214"/>
    <x v="0"/>
    <x v="0"/>
    <x v="1"/>
    <x v="4"/>
    <x v="0"/>
    <n v="4"/>
    <n v="128"/>
    <x v="0"/>
    <x v="0"/>
    <n v="2.5641025641025641E-3"/>
    <x v="21"/>
    <x v="2"/>
    <s v="OK"/>
    <x v="0"/>
    <s v="OK"/>
    <x v="0"/>
    <x v="0"/>
    <n v="1"/>
    <n v="0"/>
    <n v="1"/>
    <n v="0"/>
    <x v="0"/>
    <x v="0"/>
    <x v="1"/>
  </r>
  <r>
    <n v="20296637697"/>
    <x v="2"/>
    <x v="2"/>
    <x v="1209"/>
    <x v="1213"/>
    <x v="1072"/>
    <n v="1"/>
    <x v="228"/>
    <s v="PV01BIS - PV01 - PV02 Y PV03"/>
    <s v="CALLE LAS ESMERALDAS 174 - DPTO.502 - URB. BALCONCILLO - LA VICTORIA"/>
    <x v="25"/>
    <x v="0"/>
    <x v="0"/>
    <x v="2"/>
    <x v="16"/>
    <x v="0"/>
    <n v="1"/>
    <n v="200"/>
    <x v="0"/>
    <x v="1"/>
    <n v="2.5641025641025641E-3"/>
    <x v="22"/>
    <x v="2"/>
    <s v="OK"/>
    <x v="4"/>
    <s v="OK"/>
    <x v="0"/>
    <x v="0"/>
    <n v="1"/>
    <n v="1"/>
    <n v="0"/>
    <n v="0"/>
    <x v="0"/>
    <x v="0"/>
    <x v="0"/>
  </r>
  <r>
    <n v="20296637697"/>
    <x v="2"/>
    <x v="2"/>
    <x v="1210"/>
    <x v="1214"/>
    <x v="1073"/>
    <n v="1"/>
    <x v="216"/>
    <s v="PV01BIS - PV01 - PV02 Y PV03"/>
    <s v="AV PEDRO VENTURO 540 DPTO 301 UB HIGUERETA"/>
    <x v="14"/>
    <x v="0"/>
    <x v="0"/>
    <x v="2"/>
    <x v="16"/>
    <x v="0"/>
    <n v="1"/>
    <n v="192"/>
    <x v="0"/>
    <x v="1"/>
    <n v="2.5641025641025641E-3"/>
    <x v="14"/>
    <x v="2"/>
    <s v="OK"/>
    <x v="0"/>
    <s v="OK"/>
    <x v="0"/>
    <x v="0"/>
    <n v="1"/>
    <n v="0"/>
    <n v="0"/>
    <n v="0"/>
    <x v="0"/>
    <x v="0"/>
    <x v="0"/>
  </r>
  <r>
    <n v="20296637697"/>
    <x v="2"/>
    <x v="2"/>
    <x v="1211"/>
    <x v="1215"/>
    <x v="1074"/>
    <n v="1"/>
    <x v="7"/>
    <s v="PV01BIS - PV01 - PV02 Y PV03"/>
    <s v="UCV 149 LOTE 51 - ZONA HUAYCAN "/>
    <x v="1"/>
    <x v="0"/>
    <x v="0"/>
    <x v="2"/>
    <x v="172"/>
    <x v="0"/>
    <n v="1"/>
    <n v="8"/>
    <x v="0"/>
    <x v="1"/>
    <n v="2.5641025641025641E-3"/>
    <x v="14"/>
    <x v="2"/>
    <s v="OK"/>
    <x v="1"/>
    <s v="OK"/>
    <x v="0"/>
    <x v="0"/>
    <n v="1"/>
    <n v="1"/>
    <n v="1"/>
    <n v="0"/>
    <x v="0"/>
    <x v="0"/>
    <x v="1"/>
  </r>
  <r>
    <n v="20296637697"/>
    <x v="2"/>
    <x v="2"/>
    <x v="1212"/>
    <x v="1216"/>
    <x v="1075"/>
    <n v="1"/>
    <x v="229"/>
    <s v="PV01BIS - PV01 - PV02 Y PV03"/>
    <s v="NICOLAS AYLLON S/N - LUNAHUANA"/>
    <x v="215"/>
    <x v="0"/>
    <x v="0"/>
    <x v="2"/>
    <x v="246"/>
    <x v="0"/>
    <n v="1"/>
    <n v="242"/>
    <x v="0"/>
    <x v="1"/>
    <n v="2.5641025641025641E-3"/>
    <x v="16"/>
    <x v="2"/>
    <s v="OK"/>
    <x v="0"/>
    <s v="OK"/>
    <x v="0"/>
    <x v="0"/>
    <n v="1"/>
    <n v="0"/>
    <n v="0"/>
    <n v="0"/>
    <x v="0"/>
    <x v="0"/>
    <x v="0"/>
  </r>
  <r>
    <n v="20296637697"/>
    <x v="2"/>
    <x v="2"/>
    <x v="1213"/>
    <x v="1217"/>
    <x v="1076"/>
    <n v="1"/>
    <x v="61"/>
    <s v="PV01BIS - PV01 - PV02 Y PV03"/>
    <s v="ZONA JESUS MORALES NRO.938"/>
    <x v="27"/>
    <x v="1"/>
    <x v="0"/>
    <x v="4"/>
    <x v="103"/>
    <x v="0"/>
    <n v="1"/>
    <n v="79"/>
    <x v="0"/>
    <x v="1"/>
    <n v="2.5641025641025641E-3"/>
    <x v="22"/>
    <x v="2"/>
    <s v="OK"/>
    <x v="5"/>
    <s v="OK"/>
    <x v="0"/>
    <x v="0"/>
    <n v="1"/>
    <n v="1"/>
    <n v="1"/>
    <n v="0"/>
    <x v="0"/>
    <x v="0"/>
    <x v="1"/>
  </r>
  <r>
    <n v="20296637697"/>
    <x v="2"/>
    <x v="2"/>
    <x v="1214"/>
    <x v="1218"/>
    <x v="1077"/>
    <n v="1"/>
    <x v="7"/>
    <s v="PV01BIS - PV01 - PV02 Y PV03"/>
    <s v="AV EL TREBOL N 7112"/>
    <x v="49"/>
    <x v="0"/>
    <x v="0"/>
    <x v="2"/>
    <x v="16"/>
    <x v="0"/>
    <n v="1"/>
    <n v="200"/>
    <x v="0"/>
    <x v="1"/>
    <n v="2.5641025641025641E-3"/>
    <x v="22"/>
    <x v="2"/>
    <s v="OK"/>
    <x v="0"/>
    <s v="OK"/>
    <x v="0"/>
    <x v="0"/>
    <n v="1"/>
    <n v="0"/>
    <n v="0"/>
    <n v="0"/>
    <x v="0"/>
    <x v="0"/>
    <x v="0"/>
  </r>
  <r>
    <n v="20296637697"/>
    <x v="2"/>
    <x v="2"/>
    <x v="1215"/>
    <x v="1219"/>
    <x v="1078"/>
    <n v="1"/>
    <x v="230"/>
    <s v="PV01BIS - PV01 - PV02 Y PV03"/>
    <s v="AV. SACO ROJAS 1149- DPTO.A3-101"/>
    <x v="54"/>
    <x v="0"/>
    <x v="0"/>
    <x v="2"/>
    <x v="29"/>
    <x v="0"/>
    <n v="1"/>
    <n v="104"/>
    <x v="0"/>
    <x v="1"/>
    <n v="2.5641025641025641E-3"/>
    <x v="21"/>
    <x v="2"/>
    <s v="OK"/>
    <x v="0"/>
    <s v="OK"/>
    <x v="0"/>
    <x v="0"/>
    <n v="1"/>
    <n v="0"/>
    <n v="1"/>
    <n v="0"/>
    <x v="0"/>
    <x v="0"/>
    <x v="1"/>
  </r>
  <r>
    <n v="20296637697"/>
    <x v="2"/>
    <x v="2"/>
    <x v="1216"/>
    <x v="1220"/>
    <x v="1079"/>
    <n v="2"/>
    <x v="231"/>
    <s v="PV01BIS - PV01 - PV02 Y PV03"/>
    <s v="UCV 149 ZONA J ASENT.H HUAYCAN "/>
    <x v="1"/>
    <x v="0"/>
    <x v="0"/>
    <x v="2"/>
    <x v="172"/>
    <x v="0"/>
    <n v="4"/>
    <n v="8"/>
    <x v="0"/>
    <x v="1"/>
    <n v="2.5641025641025641E-3"/>
    <x v="19"/>
    <x v="2"/>
    <s v="OK"/>
    <x v="1"/>
    <s v="OK"/>
    <x v="0"/>
    <x v="0"/>
    <n v="1"/>
    <n v="1"/>
    <n v="1"/>
    <n v="0"/>
    <x v="0"/>
    <x v="0"/>
    <x v="1"/>
  </r>
  <r>
    <n v="20296637697"/>
    <x v="2"/>
    <x v="2"/>
    <x v="1217"/>
    <x v="1221"/>
    <x v="1080"/>
    <n v="2"/>
    <x v="67"/>
    <s v="PV01BIS - PV01 - PV02 Y PV03"/>
    <s v="CALLE HELSINKI URB PORTALES DE JAVIER PRADO ETAPA 2 MZ B LT"/>
    <x v="1"/>
    <x v="0"/>
    <x v="0"/>
    <x v="2"/>
    <x v="38"/>
    <x v="0"/>
    <n v="4"/>
    <n v="236"/>
    <x v="0"/>
    <x v="1"/>
    <n v="2.5641025641025641E-3"/>
    <x v="20"/>
    <x v="2"/>
    <s v="OK"/>
    <x v="1"/>
    <s v="OK"/>
    <x v="0"/>
    <x v="0"/>
    <n v="1"/>
    <n v="1"/>
    <n v="0"/>
    <n v="0"/>
    <x v="0"/>
    <x v="0"/>
    <x v="0"/>
  </r>
  <r>
    <n v="20296637697"/>
    <x v="2"/>
    <x v="2"/>
    <x v="1218"/>
    <x v="1222"/>
    <x v="1081"/>
    <n v="2"/>
    <x v="18"/>
    <s v="PV01BIS - PV01 - PV02 Y PV03"/>
    <s v="PSJE VELASCO 115 "/>
    <x v="46"/>
    <x v="0"/>
    <x v="0"/>
    <x v="2"/>
    <x v="240"/>
    <x v="0"/>
    <n v="4"/>
    <n v="186"/>
    <x v="0"/>
    <x v="1"/>
    <n v="2.5641025641025641E-3"/>
    <x v="21"/>
    <x v="2"/>
    <s v="OK"/>
    <x v="7"/>
    <s v="OK"/>
    <x v="0"/>
    <x v="0"/>
    <n v="1"/>
    <n v="1"/>
    <n v="0"/>
    <n v="0"/>
    <x v="0"/>
    <x v="0"/>
    <x v="0"/>
  </r>
  <r>
    <n v="20296637697"/>
    <x v="2"/>
    <x v="2"/>
    <x v="1219"/>
    <x v="1223"/>
    <x v="1082"/>
    <n v="2"/>
    <x v="18"/>
    <s v="PV01BIS - PV01 - PV02 Y PV03"/>
    <s v="AV. LA VICTORIA 572"/>
    <x v="4"/>
    <x v="0"/>
    <x v="0"/>
    <x v="2"/>
    <x v="25"/>
    <x v="0"/>
    <n v="4"/>
    <n v="196"/>
    <x v="0"/>
    <x v="1"/>
    <n v="2.5641025641025641E-3"/>
    <x v="21"/>
    <x v="2"/>
    <s v="OK"/>
    <x v="0"/>
    <s v="OK"/>
    <x v="0"/>
    <x v="0"/>
    <n v="1"/>
    <n v="0"/>
    <n v="0"/>
    <n v="0"/>
    <x v="0"/>
    <x v="0"/>
    <x v="0"/>
  </r>
  <r>
    <n v="20296637697"/>
    <x v="2"/>
    <x v="2"/>
    <x v="1220"/>
    <x v="1224"/>
    <x v="1083"/>
    <n v="2"/>
    <x v="11"/>
    <s v="PV01BIS - PV01 - PV02 Y PV03"/>
    <s v="AAHH MINAS 2000 PAMPLONA ALTA MZ H LT 9"/>
    <x v="53"/>
    <x v="0"/>
    <x v="0"/>
    <x v="2"/>
    <x v="126"/>
    <x v="0"/>
    <n v="4"/>
    <n v="187"/>
    <x v="0"/>
    <x v="1"/>
    <n v="2.5641025641025641E-3"/>
    <x v="22"/>
    <x v="2"/>
    <s v="OK"/>
    <x v="0"/>
    <s v="OK"/>
    <x v="0"/>
    <x v="0"/>
    <n v="1"/>
    <n v="0"/>
    <n v="0"/>
    <n v="0"/>
    <x v="0"/>
    <x v="0"/>
    <x v="0"/>
  </r>
  <r>
    <n v="20296637697"/>
    <x v="2"/>
    <x v="2"/>
    <x v="1221"/>
    <x v="1225"/>
    <x v="1084"/>
    <n v="2"/>
    <x v="18"/>
    <s v="PV01BIS - PV01 - PV02 Y PV03"/>
    <s v="AAHH LUIS FELIPE DE LAS CASAS MZ X LT 22"/>
    <x v="2"/>
    <x v="0"/>
    <x v="0"/>
    <x v="2"/>
    <x v="25"/>
    <x v="0"/>
    <n v="4"/>
    <n v="265"/>
    <x v="0"/>
    <x v="1"/>
    <n v="2.5641025641025641E-3"/>
    <x v="15"/>
    <x v="2"/>
    <s v="OK"/>
    <x v="2"/>
    <s v="OK"/>
    <x v="0"/>
    <x v="0"/>
    <n v="1"/>
    <n v="1"/>
    <n v="0"/>
    <n v="0"/>
    <x v="0"/>
    <x v="0"/>
    <x v="0"/>
  </r>
  <r>
    <n v="20296637697"/>
    <x v="2"/>
    <x v="2"/>
    <x v="1222"/>
    <x v="1226"/>
    <x v="1085"/>
    <n v="2"/>
    <x v="8"/>
    <s v="PV01BIS - PV01 - PV02 Y PV03"/>
    <s v="JR AYACUCHO MZ B LT 11 SECTOR OLLANTAY"/>
    <x v="179"/>
    <x v="0"/>
    <x v="0"/>
    <x v="2"/>
    <x v="36"/>
    <x v="0"/>
    <n v="4"/>
    <n v="166"/>
    <x v="0"/>
    <x v="1"/>
    <n v="2.5641025641025641E-3"/>
    <x v="22"/>
    <x v="2"/>
    <s v="OK"/>
    <x v="0"/>
    <s v="OK"/>
    <x v="0"/>
    <x v="0"/>
    <n v="1"/>
    <n v="0"/>
    <n v="0"/>
    <n v="0"/>
    <x v="0"/>
    <x v="0"/>
    <x v="0"/>
  </r>
  <r>
    <n v="20296637697"/>
    <x v="2"/>
    <x v="2"/>
    <x v="1223"/>
    <x v="1227"/>
    <x v="1043"/>
    <n v="2"/>
    <x v="5"/>
    <s v="PV01BIS - PV01 - PV02 Y PV03"/>
    <s v="MZ T6A LT. 05 CMTE VEC. AMP 5 DE MAYO"/>
    <x v="53"/>
    <x v="0"/>
    <x v="0"/>
    <x v="2"/>
    <x v="149"/>
    <x v="0"/>
    <n v="4"/>
    <n v="224"/>
    <x v="0"/>
    <x v="1"/>
    <n v="2.5641025641025641E-3"/>
    <x v="18"/>
    <x v="2"/>
    <s v="OK"/>
    <x v="0"/>
    <s v="OK"/>
    <x v="0"/>
    <x v="0"/>
    <n v="1"/>
    <n v="0"/>
    <n v="0"/>
    <n v="0"/>
    <x v="0"/>
    <x v="0"/>
    <x v="0"/>
  </r>
  <r>
    <n v="20296637697"/>
    <x v="2"/>
    <x v="2"/>
    <x v="1224"/>
    <x v="1228"/>
    <x v="1086"/>
    <n v="2"/>
    <x v="8"/>
    <s v="PV01BIS - PV01 - PV02 Y PV03"/>
    <s v="CALLE OLLANTA 329"/>
    <x v="78"/>
    <x v="0"/>
    <x v="0"/>
    <x v="2"/>
    <x v="25"/>
    <x v="0"/>
    <n v="4"/>
    <n v="204"/>
    <x v="0"/>
    <x v="1"/>
    <n v="2.5641025641025641E-3"/>
    <x v="21"/>
    <x v="2"/>
    <s v="OK"/>
    <x v="6"/>
    <s v="OK"/>
    <x v="0"/>
    <x v="0"/>
    <n v="1"/>
    <n v="1"/>
    <n v="0"/>
    <n v="0"/>
    <x v="0"/>
    <x v="0"/>
    <x v="0"/>
  </r>
  <r>
    <n v="20296637697"/>
    <x v="2"/>
    <x v="2"/>
    <x v="1225"/>
    <x v="1229"/>
    <x v="1087"/>
    <n v="2"/>
    <x v="5"/>
    <s v="PV01BIS - PV01 - PV02 Y PV03"/>
    <s v="AAHH  19 DE MAYO MZ B LT 16"/>
    <x v="3"/>
    <x v="0"/>
    <x v="0"/>
    <x v="2"/>
    <x v="190"/>
    <x v="0"/>
    <n v="4"/>
    <n v="201"/>
    <x v="0"/>
    <x v="1"/>
    <n v="2.5641025641025641E-3"/>
    <x v="16"/>
    <x v="2"/>
    <s v="OK"/>
    <x v="0"/>
    <s v="OK"/>
    <x v="0"/>
    <x v="0"/>
    <n v="1"/>
    <n v="0"/>
    <n v="0"/>
    <n v="0"/>
    <x v="0"/>
    <x v="0"/>
    <x v="0"/>
  </r>
  <r>
    <n v="20296637697"/>
    <x v="2"/>
    <x v="2"/>
    <x v="1226"/>
    <x v="1230"/>
    <x v="1088"/>
    <n v="2"/>
    <x v="67"/>
    <s v="PV01BIS - PV01 - PV02 Y PV03"/>
    <s v="MZ. A LT. B AGRUP. FAM AMAZONAS"/>
    <x v="15"/>
    <x v="0"/>
    <x v="0"/>
    <x v="2"/>
    <x v="38"/>
    <x v="0"/>
    <n v="4"/>
    <n v="214"/>
    <x v="0"/>
    <x v="1"/>
    <n v="2.5641025641025641E-3"/>
    <x v="15"/>
    <x v="2"/>
    <s v="OK"/>
    <x v="0"/>
    <s v="OK"/>
    <x v="0"/>
    <x v="0"/>
    <n v="1"/>
    <n v="0"/>
    <n v="0"/>
    <n v="0"/>
    <x v="0"/>
    <x v="0"/>
    <x v="0"/>
  </r>
  <r>
    <n v="20296637697"/>
    <x v="2"/>
    <x v="2"/>
    <x v="1227"/>
    <x v="1231"/>
    <x v="1089"/>
    <n v="2"/>
    <x v="20"/>
    <s v="PV01BIS - PV01 - PV02 Y PV03"/>
    <s v="MZ.J LT.22 AA.HH EL PACIFICO 2"/>
    <x v="53"/>
    <x v="0"/>
    <x v="0"/>
    <x v="2"/>
    <x v="190"/>
    <x v="0"/>
    <n v="4"/>
    <n v="193"/>
    <x v="0"/>
    <x v="1"/>
    <n v="2.5641025641025641E-3"/>
    <x v="22"/>
    <x v="2"/>
    <s v="OK"/>
    <x v="0"/>
    <s v="OK"/>
    <x v="0"/>
    <x v="0"/>
    <n v="1"/>
    <n v="0"/>
    <n v="0"/>
    <n v="0"/>
    <x v="0"/>
    <x v="0"/>
    <x v="0"/>
  </r>
  <r>
    <n v="20296637697"/>
    <x v="2"/>
    <x v="2"/>
    <x v="1228"/>
    <x v="1232"/>
    <x v="935"/>
    <n v="2"/>
    <x v="2"/>
    <s v="PV01BIS - PV01 - PV02 Y PV03"/>
    <s v="AV LA FLORAL 453 DPTO B"/>
    <x v="25"/>
    <x v="0"/>
    <x v="0"/>
    <x v="2"/>
    <x v="239"/>
    <x v="0"/>
    <n v="4"/>
    <n v="129"/>
    <x v="0"/>
    <x v="1"/>
    <n v="2.5641025641025641E-3"/>
    <x v="17"/>
    <x v="2"/>
    <s v="OK"/>
    <x v="4"/>
    <s v="OK"/>
    <x v="0"/>
    <x v="0"/>
    <n v="1"/>
    <n v="1"/>
    <n v="0"/>
    <n v="0"/>
    <x v="0"/>
    <x v="0"/>
    <x v="0"/>
  </r>
  <r>
    <n v="20296637697"/>
    <x v="2"/>
    <x v="2"/>
    <x v="1229"/>
    <x v="1233"/>
    <x v="1090"/>
    <n v="2"/>
    <x v="20"/>
    <s v="PV01BIS - PV01 - PV02 Y PV03"/>
    <s v="MZ L 3 LT 16 DEFENSORES DE LA PATRIA "/>
    <x v="2"/>
    <x v="0"/>
    <x v="0"/>
    <x v="2"/>
    <x v="126"/>
    <x v="0"/>
    <n v="4"/>
    <n v="225"/>
    <x v="0"/>
    <x v="1"/>
    <n v="2.5641025641025641E-3"/>
    <x v="21"/>
    <x v="2"/>
    <s v="OK"/>
    <x v="2"/>
    <s v="OK"/>
    <x v="0"/>
    <x v="0"/>
    <n v="1"/>
    <n v="1"/>
    <n v="0"/>
    <n v="0"/>
    <x v="0"/>
    <x v="0"/>
    <x v="0"/>
  </r>
  <r>
    <n v="20296637697"/>
    <x v="2"/>
    <x v="2"/>
    <x v="1230"/>
    <x v="1234"/>
    <x v="1091"/>
    <n v="2"/>
    <x v="20"/>
    <s v="PV01BIS - PV01 - PV02 Y PV03"/>
    <s v="CALLE CIRCULAR LAS CAMELIAS 12 - SAN JUAN BAUTISTA - MAYNAS - LORETO"/>
    <x v="70"/>
    <x v="0"/>
    <x v="0"/>
    <x v="2"/>
    <x v="17"/>
    <x v="0"/>
    <n v="4"/>
    <n v="212"/>
    <x v="0"/>
    <x v="1"/>
    <n v="2.5641025641025641E-3"/>
    <x v="14"/>
    <x v="2"/>
    <s v="OK"/>
    <x v="0"/>
    <s v="OK"/>
    <x v="0"/>
    <x v="0"/>
    <n v="1"/>
    <n v="0"/>
    <n v="0"/>
    <n v="0"/>
    <x v="0"/>
    <x v="0"/>
    <x v="0"/>
  </r>
  <r>
    <n v="20296637697"/>
    <x v="2"/>
    <x v="2"/>
    <x v="1203"/>
    <x v="1207"/>
    <x v="1068"/>
    <n v="2"/>
    <x v="232"/>
    <s v="PV01BIS - PV01 - PV02 Y PV03"/>
    <s v="ASOC.VIVI.RESIDENCIAL PRIMAVERA MZ F LOTE 20"/>
    <x v="46"/>
    <x v="0"/>
    <x v="0"/>
    <x v="2"/>
    <x v="155"/>
    <x v="0"/>
    <n v="4"/>
    <n v="50"/>
    <x v="0"/>
    <x v="1"/>
    <n v="2.5641025641025641E-3"/>
    <x v="22"/>
    <x v="2"/>
    <s v="OK"/>
    <x v="7"/>
    <s v="OK"/>
    <x v="0"/>
    <x v="1"/>
    <n v="0.5"/>
    <n v="0.5"/>
    <n v="0"/>
    <n v="0"/>
    <x v="0"/>
    <x v="0"/>
    <x v="0"/>
  </r>
  <r>
    <n v="20296637697"/>
    <x v="2"/>
    <x v="2"/>
    <x v="1231"/>
    <x v="1235"/>
    <x v="1092"/>
    <n v="2"/>
    <x v="20"/>
    <s v="PV01BIS - PV01 - PV02 Y PV03"/>
    <s v="AV SOL DE SANTA ANITA LOS JARDINES MZ N LT 7"/>
    <x v="27"/>
    <x v="0"/>
    <x v="0"/>
    <x v="2"/>
    <x v="149"/>
    <x v="0"/>
    <n v="4"/>
    <n v="196"/>
    <x v="0"/>
    <x v="1"/>
    <n v="2.5641025641025641E-3"/>
    <x v="19"/>
    <x v="2"/>
    <s v="OK"/>
    <x v="5"/>
    <s v="OK"/>
    <x v="0"/>
    <x v="0"/>
    <n v="1"/>
    <n v="1"/>
    <n v="0"/>
    <n v="0"/>
    <x v="0"/>
    <x v="0"/>
    <x v="0"/>
  </r>
  <r>
    <n v="20296637697"/>
    <x v="2"/>
    <x v="2"/>
    <x v="1232"/>
    <x v="1236"/>
    <x v="1093"/>
    <n v="2"/>
    <x v="11"/>
    <s v="PV01BIS - PV01 - PV02 Y PV03"/>
    <s v="MZ. K2 LT.19N- CANTO CHICO"/>
    <x v="15"/>
    <x v="0"/>
    <x v="0"/>
    <x v="2"/>
    <x v="17"/>
    <x v="0"/>
    <n v="4"/>
    <n v="201"/>
    <x v="0"/>
    <x v="1"/>
    <n v="2.5641025641025641E-3"/>
    <x v="22"/>
    <x v="2"/>
    <s v="OK"/>
    <x v="0"/>
    <s v="OK"/>
    <x v="0"/>
    <x v="0"/>
    <n v="1"/>
    <n v="0"/>
    <n v="0"/>
    <n v="0"/>
    <x v="0"/>
    <x v="0"/>
    <x v="0"/>
  </r>
  <r>
    <n v="20296637697"/>
    <x v="2"/>
    <x v="2"/>
    <x v="1233"/>
    <x v="1237"/>
    <x v="1094"/>
    <n v="2"/>
    <x v="11"/>
    <s v="PV01BIS - PV01 - PV02 Y PV03"/>
    <s v="MZ B LT AAHH EL AMAUTA ZONA B"/>
    <x v="1"/>
    <x v="0"/>
    <x v="0"/>
    <x v="2"/>
    <x v="18"/>
    <x v="0"/>
    <n v="4"/>
    <n v="146"/>
    <x v="0"/>
    <x v="1"/>
    <n v="2.5641025641025641E-3"/>
    <x v="15"/>
    <x v="2"/>
    <s v="OK"/>
    <x v="1"/>
    <s v="OK"/>
    <x v="0"/>
    <x v="0"/>
    <n v="1"/>
    <n v="1"/>
    <n v="0"/>
    <n v="0"/>
    <x v="0"/>
    <x v="0"/>
    <x v="0"/>
  </r>
  <r>
    <n v="20296637697"/>
    <x v="2"/>
    <x v="2"/>
    <x v="1234"/>
    <x v="1238"/>
    <x v="1095"/>
    <n v="2"/>
    <x v="11"/>
    <s v="PV01BIS - PV01 - PV02 Y PV03"/>
    <s v="AAHH H MARCELINA CABALLERO DE MORENO MZ J LT 16"/>
    <x v="2"/>
    <x v="0"/>
    <x v="0"/>
    <x v="2"/>
    <x v="26"/>
    <x v="0"/>
    <n v="4"/>
    <n v="144"/>
    <x v="0"/>
    <x v="1"/>
    <n v="2.5641025641025641E-3"/>
    <x v="20"/>
    <x v="2"/>
    <s v="OK"/>
    <x v="2"/>
    <s v="OK"/>
    <x v="0"/>
    <x v="0"/>
    <n v="1"/>
    <n v="1"/>
    <n v="0"/>
    <n v="0"/>
    <x v="0"/>
    <x v="0"/>
    <x v="0"/>
  </r>
  <r>
    <n v="20296637697"/>
    <x v="2"/>
    <x v="2"/>
    <x v="1235"/>
    <x v="1239"/>
    <x v="1096"/>
    <n v="2"/>
    <x v="11"/>
    <s v="PV01BIS - PV01 - PV02 Y PV03"/>
    <s v="AV INKA WIRACOCHA M OA LT 1F ANEXO 22 JICAMARCA "/>
    <x v="95"/>
    <x v="0"/>
    <x v="27"/>
    <x v="2"/>
    <x v="239"/>
    <x v="2"/>
    <n v="4"/>
    <n v="16"/>
    <x v="0"/>
    <x v="1"/>
    <n v="2.5641025641025641E-3"/>
    <x v="17"/>
    <x v="2"/>
    <s v="OK"/>
    <x v="0"/>
    <s v="OK"/>
    <x v="0"/>
    <x v="0"/>
    <n v="1"/>
    <n v="0"/>
    <n v="0"/>
    <n v="1"/>
    <x v="0"/>
    <x v="1"/>
    <x v="0"/>
  </r>
  <r>
    <n v="20296637697"/>
    <x v="2"/>
    <x v="2"/>
    <x v="1236"/>
    <x v="1240"/>
    <x v="1097"/>
    <n v="1"/>
    <x v="233"/>
    <s v="ESTACION 05 CCM2L"/>
    <s v="AV. SAN BORJA NORTE N° 852 – DPTO. 201 LIMA SAN BORJA LIMA"/>
    <x v="144"/>
    <x v="0"/>
    <x v="0"/>
    <x v="1"/>
    <x v="19"/>
    <x v="0"/>
    <n v="1"/>
    <n v="200.5"/>
    <x v="0"/>
    <x v="1"/>
    <n v="2.5641025641025641E-3"/>
    <x v="21"/>
    <x v="2"/>
    <s v="OK"/>
    <x v="0"/>
    <s v="OK"/>
    <x v="0"/>
    <x v="0"/>
    <n v="1"/>
    <n v="0"/>
    <n v="0"/>
    <n v="0"/>
    <x v="0"/>
    <x v="0"/>
    <x v="0"/>
  </r>
  <r>
    <n v="20296637697"/>
    <x v="2"/>
    <x v="2"/>
    <x v="1237"/>
    <x v="1241"/>
    <x v="1098"/>
    <n v="1"/>
    <x v="96"/>
    <s v="ESTACION 05 CCM2L"/>
    <s v="MZ 54 A LT 03 P.J EX FUNDO MARQUEZ CALLAO"/>
    <x v="6"/>
    <x v="0"/>
    <x v="0"/>
    <x v="1"/>
    <x v="278"/>
    <x v="0"/>
    <n v="1"/>
    <n v="200.5"/>
    <x v="0"/>
    <x v="1"/>
    <n v="2.5641025641025641E-3"/>
    <x v="18"/>
    <x v="2"/>
    <s v="OK"/>
    <x v="2"/>
    <s v="OK"/>
    <x v="0"/>
    <x v="0"/>
    <n v="1"/>
    <n v="1"/>
    <n v="0"/>
    <n v="0"/>
    <x v="0"/>
    <x v="0"/>
    <x v="0"/>
  </r>
  <r>
    <n v="20296637697"/>
    <x v="2"/>
    <x v="2"/>
    <x v="1238"/>
    <x v="1242"/>
    <x v="1099"/>
    <n v="1"/>
    <x v="65"/>
    <s v="ESTACION 05 CCM2L"/>
    <s v="JR. GAMA S/N ASOC. PRO. VIV CASABLANCA SAN JUAN DE LURIGANCHO LIMA"/>
    <x v="15"/>
    <x v="0"/>
    <x v="0"/>
    <x v="1"/>
    <x v="14"/>
    <x v="0"/>
    <n v="1"/>
    <n v="192"/>
    <x v="0"/>
    <x v="1"/>
    <n v="2.5641025641025641E-3"/>
    <x v="22"/>
    <x v="2"/>
    <s v="OK"/>
    <x v="0"/>
    <s v="OK"/>
    <x v="0"/>
    <x v="0"/>
    <n v="1"/>
    <n v="0"/>
    <n v="0"/>
    <n v="0"/>
    <x v="0"/>
    <x v="0"/>
    <x v="0"/>
  </r>
  <r>
    <n v="20296637697"/>
    <x v="2"/>
    <x v="2"/>
    <x v="1239"/>
    <x v="1243"/>
    <x v="1100"/>
    <n v="1"/>
    <x v="7"/>
    <s v="ESTACION 05 CCM2L"/>
    <s v="AV. BRASIL # 1775 JESUS MARIA LIMA"/>
    <x v="51"/>
    <x v="0"/>
    <x v="0"/>
    <x v="1"/>
    <x v="191"/>
    <x v="0"/>
    <n v="1"/>
    <n v="200.5"/>
    <x v="0"/>
    <x v="1"/>
    <n v="2.5641025641025641E-3"/>
    <x v="14"/>
    <x v="2"/>
    <s v="OK"/>
    <x v="0"/>
    <s v="OK"/>
    <x v="0"/>
    <x v="0"/>
    <n v="1"/>
    <n v="0"/>
    <n v="0"/>
    <n v="0"/>
    <x v="0"/>
    <x v="0"/>
    <x v="0"/>
  </r>
  <r>
    <n v="20296637697"/>
    <x v="2"/>
    <x v="2"/>
    <x v="1240"/>
    <x v="1244"/>
    <x v="1101"/>
    <n v="2"/>
    <x v="205"/>
    <s v="ESTACION 05 CCM2L"/>
    <s v="MZ. 141 LOTE 10 SECTOR B AA.HH. HUASCAR SAN JUAN DE LURIGANCHO LIMA"/>
    <x v="15"/>
    <x v="0"/>
    <x v="0"/>
    <x v="1"/>
    <x v="111"/>
    <x v="0"/>
    <n v="4"/>
    <n v="244"/>
    <x v="0"/>
    <x v="1"/>
    <n v="2.5641025641025641E-3"/>
    <x v="22"/>
    <x v="2"/>
    <s v="OK"/>
    <x v="0"/>
    <s v="OK"/>
    <x v="0"/>
    <x v="0"/>
    <n v="1"/>
    <n v="0"/>
    <n v="0"/>
    <n v="0"/>
    <x v="0"/>
    <x v="0"/>
    <x v="0"/>
  </r>
  <r>
    <n v="20562668871"/>
    <x v="46"/>
    <x v="2"/>
    <x v="1241"/>
    <x v="1245"/>
    <x v="1102"/>
    <n v="2"/>
    <x v="77"/>
    <s v="ESTACION 05 CCM2L"/>
    <s v="JR INCA ROCA AA.HH COLLIQUE 4TA ZONA COMAS LIMA"/>
    <x v="0"/>
    <x v="0"/>
    <x v="22"/>
    <x v="1"/>
    <x v="183"/>
    <x v="2"/>
    <n v="4"/>
    <n v="160.5"/>
    <x v="0"/>
    <x v="0"/>
    <n v="2.5641025641025641E-3"/>
    <x v="19"/>
    <x v="2"/>
    <s v="OK"/>
    <x v="0"/>
    <s v="OK"/>
    <x v="0"/>
    <x v="0"/>
    <n v="1"/>
    <n v="0"/>
    <n v="0"/>
    <n v="1"/>
    <x v="0"/>
    <x v="1"/>
    <x v="0"/>
  </r>
  <r>
    <n v="20296637697"/>
    <x v="2"/>
    <x v="2"/>
    <x v="1242"/>
    <x v="1246"/>
    <x v="1103"/>
    <n v="2"/>
    <x v="2"/>
    <s v="ESTACION 05 CCM2L"/>
    <s v="RICARDO PALMA 588 SAN JOAQUIN BELLAVISTA CALLAO"/>
    <x v="6"/>
    <x v="0"/>
    <x v="0"/>
    <x v="1"/>
    <x v="112"/>
    <x v="0"/>
    <n v="4"/>
    <n v="219"/>
    <x v="0"/>
    <x v="1"/>
    <n v="2.5641025641025641E-3"/>
    <x v="16"/>
    <x v="2"/>
    <s v="OK"/>
    <x v="2"/>
    <s v="OK"/>
    <x v="0"/>
    <x v="0"/>
    <n v="1"/>
    <n v="1"/>
    <n v="0"/>
    <n v="0"/>
    <x v="0"/>
    <x v="0"/>
    <x v="0"/>
  </r>
  <r>
    <n v="20296637697"/>
    <x v="2"/>
    <x v="2"/>
    <x v="1243"/>
    <x v="1247"/>
    <x v="1104"/>
    <n v="2"/>
    <x v="8"/>
    <s v="ESTACION 05 CCM2L"/>
    <s v="CALLE D MZ G LTE 24 SAN IGNACIO SAN JUAN DE LURIGANCHO"/>
    <x v="216"/>
    <x v="0"/>
    <x v="0"/>
    <x v="1"/>
    <x v="112"/>
    <x v="0"/>
    <n v="4"/>
    <n v="214"/>
    <x v="0"/>
    <x v="1"/>
    <n v="2.5641025641025641E-3"/>
    <x v="19"/>
    <x v="2"/>
    <s v="OK"/>
    <x v="0"/>
    <s v="OK"/>
    <x v="0"/>
    <x v="0"/>
    <n v="1"/>
    <n v="0"/>
    <n v="0"/>
    <n v="0"/>
    <x v="0"/>
    <x v="0"/>
    <x v="0"/>
  </r>
  <r>
    <n v="20296637697"/>
    <x v="2"/>
    <x v="2"/>
    <x v="1244"/>
    <x v="1248"/>
    <x v="1105"/>
    <n v="2"/>
    <x v="11"/>
    <s v="ESTACION 05 CCM2L"/>
    <s v="CALLE S/N MZ Y LT 16 SAN GABRIEL ALTO VILLA MARIA DEL TRIUNFO LIMA"/>
    <x v="8"/>
    <x v="0"/>
    <x v="0"/>
    <x v="1"/>
    <x v="106"/>
    <x v="0"/>
    <n v="4"/>
    <n v="218"/>
    <x v="0"/>
    <x v="1"/>
    <n v="2.5641025641025641E-3"/>
    <x v="14"/>
    <x v="2"/>
    <s v="OK"/>
    <x v="0"/>
    <s v="OK"/>
    <x v="0"/>
    <x v="0"/>
    <n v="1"/>
    <n v="0"/>
    <n v="0"/>
    <n v="0"/>
    <x v="0"/>
    <x v="0"/>
    <x v="0"/>
  </r>
  <r>
    <n v="20296637697"/>
    <x v="2"/>
    <x v="2"/>
    <x v="1245"/>
    <x v="1249"/>
    <x v="1106"/>
    <n v="2"/>
    <x v="18"/>
    <s v="ESTACION 05 CCM2L"/>
    <s v="CALLE MIGUEL GRAU # 18 CHICLIN"/>
    <x v="101"/>
    <x v="0"/>
    <x v="0"/>
    <x v="1"/>
    <x v="125"/>
    <x v="0"/>
    <n v="4"/>
    <n v="257"/>
    <x v="0"/>
    <x v="1"/>
    <n v="2.5641025641025641E-3"/>
    <x v="14"/>
    <x v="2"/>
    <s v="OK"/>
    <x v="0"/>
    <s v="OK"/>
    <x v="0"/>
    <x v="0"/>
    <n v="1"/>
    <n v="0"/>
    <n v="0"/>
    <n v="0"/>
    <x v="0"/>
    <x v="0"/>
    <x v="0"/>
  </r>
  <r>
    <n v="20296637697"/>
    <x v="2"/>
    <x v="2"/>
    <x v="1246"/>
    <x v="1250"/>
    <x v="1107"/>
    <n v="1"/>
    <x v="61"/>
    <s v="ESTACION 05 CCM2L"/>
    <s v="ASOC. MONTECARLO MZ G LT 39 SAN MARTIN DE PORRES LIMA"/>
    <x v="3"/>
    <x v="0"/>
    <x v="0"/>
    <x v="1"/>
    <x v="125"/>
    <x v="0"/>
    <n v="4"/>
    <n v="200.5"/>
    <x v="0"/>
    <x v="1"/>
    <n v="2.5641025641025641E-3"/>
    <x v="18"/>
    <x v="2"/>
    <s v="OK"/>
    <x v="0"/>
    <s v="OK"/>
    <x v="0"/>
    <x v="0"/>
    <n v="1"/>
    <n v="0"/>
    <n v="0"/>
    <n v="0"/>
    <x v="0"/>
    <x v="0"/>
    <x v="0"/>
  </r>
  <r>
    <n v="20296637697"/>
    <x v="2"/>
    <x v="2"/>
    <x v="1247"/>
    <x v="1251"/>
    <x v="1108"/>
    <n v="2"/>
    <x v="18"/>
    <s v="ESTACION 05 CCM2L"/>
    <s v="AV. PERU 02 C.P.M. CHICLIN CHICAMA ASCOPE LA LIBERTAD"/>
    <x v="101"/>
    <x v="0"/>
    <x v="0"/>
    <x v="1"/>
    <x v="91"/>
    <x v="0"/>
    <n v="4"/>
    <n v="292"/>
    <x v="0"/>
    <x v="1"/>
    <n v="2.5641025641025641E-3"/>
    <x v="21"/>
    <x v="2"/>
    <s v="OK"/>
    <x v="0"/>
    <s v="OK"/>
    <x v="0"/>
    <x v="0"/>
    <n v="1"/>
    <n v="0"/>
    <n v="0"/>
    <n v="0"/>
    <x v="0"/>
    <x v="0"/>
    <x v="0"/>
  </r>
  <r>
    <n v="20296637697"/>
    <x v="2"/>
    <x v="2"/>
    <x v="1248"/>
    <x v="1252"/>
    <x v="1109"/>
    <n v="2"/>
    <x v="67"/>
    <s v="ESTACION 05 CCM2L"/>
    <s v="URB LOS CEDROS MZ A LT 1 PUENTE PIEDRA LIMA"/>
    <x v="4"/>
    <x v="0"/>
    <x v="0"/>
    <x v="1"/>
    <x v="91"/>
    <x v="0"/>
    <n v="4"/>
    <n v="234.5"/>
    <x v="0"/>
    <x v="1"/>
    <n v="2.5641025641025641E-3"/>
    <x v="17"/>
    <x v="2"/>
    <s v="OK"/>
    <x v="0"/>
    <s v="OK"/>
    <x v="0"/>
    <x v="0"/>
    <n v="1"/>
    <n v="0"/>
    <n v="0"/>
    <n v="0"/>
    <x v="0"/>
    <x v="0"/>
    <x v="0"/>
  </r>
  <r>
    <n v="20296637697"/>
    <x v="2"/>
    <x v="2"/>
    <x v="1249"/>
    <x v="1253"/>
    <x v="1110"/>
    <n v="2"/>
    <x v="8"/>
    <s v="ESTACION 05 CCM2L"/>
    <s v="PJE. EX FUNDO MARQUEZ MZ 54 LT 03"/>
    <x v="6"/>
    <x v="0"/>
    <x v="0"/>
    <x v="1"/>
    <x v="114"/>
    <x v="0"/>
    <n v="4"/>
    <n v="223.5"/>
    <x v="0"/>
    <x v="1"/>
    <n v="2.5641025641025641E-3"/>
    <x v="16"/>
    <x v="2"/>
    <s v="OK"/>
    <x v="2"/>
    <s v="OK"/>
    <x v="0"/>
    <x v="0"/>
    <n v="1"/>
    <n v="1"/>
    <n v="0"/>
    <n v="0"/>
    <x v="0"/>
    <x v="0"/>
    <x v="0"/>
  </r>
  <r>
    <n v="20296637697"/>
    <x v="2"/>
    <x v="2"/>
    <x v="1250"/>
    <x v="1254"/>
    <x v="1111"/>
    <n v="2"/>
    <x v="18"/>
    <s v="ESTACION 05 CCM2L"/>
    <s v="PROLONG. BOLOGNESI CIEZA LEON SAN JULIO MZ D LT 8 CHICLAYO LAMBAYEQUE"/>
    <x v="217"/>
    <x v="0"/>
    <x v="0"/>
    <x v="1"/>
    <x v="185"/>
    <x v="0"/>
    <n v="4"/>
    <n v="236.5"/>
    <x v="0"/>
    <x v="1"/>
    <n v="2.5641025641025641E-3"/>
    <x v="22"/>
    <x v="2"/>
    <s v="OK"/>
    <x v="0"/>
    <s v="OK"/>
    <x v="0"/>
    <x v="0"/>
    <n v="1"/>
    <n v="0"/>
    <n v="0"/>
    <n v="0"/>
    <x v="0"/>
    <x v="0"/>
    <x v="0"/>
  </r>
  <r>
    <n v="20296637697"/>
    <x v="2"/>
    <x v="2"/>
    <x v="1251"/>
    <x v="1255"/>
    <x v="1112"/>
    <n v="2"/>
    <x v="67"/>
    <s v="ESTACION 05 CCM2L"/>
    <s v="MZ 5 LT 25 INT B AAHH FRATERNIDAD II LA ESPERANZA TRUJILLO LA LIBERTAD"/>
    <x v="218"/>
    <x v="0"/>
    <x v="0"/>
    <x v="1"/>
    <x v="152"/>
    <x v="0"/>
    <n v="4"/>
    <n v="259.5"/>
    <x v="0"/>
    <x v="1"/>
    <n v="2.5641025641025641E-3"/>
    <x v="22"/>
    <x v="2"/>
    <s v="OK"/>
    <x v="0"/>
    <s v="OK"/>
    <x v="0"/>
    <x v="0"/>
    <n v="1"/>
    <n v="0"/>
    <n v="0"/>
    <n v="0"/>
    <x v="0"/>
    <x v="0"/>
    <x v="0"/>
  </r>
  <r>
    <n v="20296637697"/>
    <x v="2"/>
    <x v="2"/>
    <x v="1252"/>
    <x v="1256"/>
    <x v="1113"/>
    <n v="2"/>
    <x v="67"/>
    <s v="ESTACION 05 CCM2L"/>
    <s v="AA.HH. SAN CARLOS PACHACUTEC MZ E LTE 02 VENTANILLA CALLAO"/>
    <x v="2"/>
    <x v="0"/>
    <x v="0"/>
    <x v="1"/>
    <x v="431"/>
    <x v="0"/>
    <n v="4"/>
    <n v="259.5"/>
    <x v="0"/>
    <x v="1"/>
    <n v="2.5641025641025641E-3"/>
    <x v="18"/>
    <x v="2"/>
    <s v="OK"/>
    <x v="2"/>
    <s v="OK"/>
    <x v="0"/>
    <x v="0"/>
    <n v="1"/>
    <n v="1"/>
    <n v="0"/>
    <n v="0"/>
    <x v="0"/>
    <x v="0"/>
    <x v="0"/>
  </r>
  <r>
    <n v="20296637697"/>
    <x v="2"/>
    <x v="2"/>
    <x v="1253"/>
    <x v="1257"/>
    <x v="1114"/>
    <n v="2"/>
    <x v="67"/>
    <s v="ESTACION 05 CCM2L"/>
    <s v="UCV 149LT 51 AA.HH. HUAYCAN ZONA J ATE LIMA"/>
    <x v="1"/>
    <x v="0"/>
    <x v="0"/>
    <x v="1"/>
    <x v="475"/>
    <x v="0"/>
    <n v="4"/>
    <n v="232"/>
    <x v="0"/>
    <x v="1"/>
    <n v="2.5641025641025641E-3"/>
    <x v="22"/>
    <x v="2"/>
    <s v="OK"/>
    <x v="1"/>
    <s v="OK"/>
    <x v="0"/>
    <x v="0"/>
    <n v="1"/>
    <n v="1"/>
    <n v="0"/>
    <n v="0"/>
    <x v="0"/>
    <x v="0"/>
    <x v="0"/>
  </r>
  <r>
    <n v="20296637697"/>
    <x v="2"/>
    <x v="2"/>
    <x v="1254"/>
    <x v="1258"/>
    <x v="1115"/>
    <n v="2"/>
    <x v="11"/>
    <s v="ESTACION 05 CCM2L"/>
    <s v="MZ J LTE 02 AGRUP. DE VIVI. BELLAVISTA CARABAYLLO LIMA"/>
    <x v="54"/>
    <x v="0"/>
    <x v="0"/>
    <x v="1"/>
    <x v="20"/>
    <x v="0"/>
    <n v="4"/>
    <n v="230"/>
    <x v="0"/>
    <x v="1"/>
    <n v="2.5641025641025641E-3"/>
    <x v="14"/>
    <x v="2"/>
    <s v="OK"/>
    <x v="0"/>
    <s v="OK"/>
    <x v="0"/>
    <x v="0"/>
    <n v="1"/>
    <n v="0"/>
    <n v="0"/>
    <n v="0"/>
    <x v="0"/>
    <x v="0"/>
    <x v="0"/>
  </r>
  <r>
    <n v="20296637697"/>
    <x v="2"/>
    <x v="2"/>
    <x v="1255"/>
    <x v="1259"/>
    <x v="1116"/>
    <n v="2"/>
    <x v="67"/>
    <s v="ESTACION 05 CCM2L"/>
    <s v="11 DE FEBRERO MZ C LT 8 CHICAMA TRUJILLO"/>
    <x v="101"/>
    <x v="0"/>
    <x v="0"/>
    <x v="1"/>
    <x v="20"/>
    <x v="0"/>
    <n v="4"/>
    <n v="249.5"/>
    <x v="0"/>
    <x v="1"/>
    <n v="2.5641025641025641E-3"/>
    <x v="17"/>
    <x v="2"/>
    <s v="OK"/>
    <x v="0"/>
    <s v="OK"/>
    <x v="0"/>
    <x v="0"/>
    <n v="1"/>
    <n v="0"/>
    <n v="0"/>
    <n v="0"/>
    <x v="0"/>
    <x v="0"/>
    <x v="0"/>
  </r>
  <r>
    <n v="20296637697"/>
    <x v="46"/>
    <x v="2"/>
    <x v="1256"/>
    <x v="1260"/>
    <x v="1117"/>
    <n v="2"/>
    <x v="76"/>
    <s v="ESTACION 05 CCM2L"/>
    <s v="A. ASENT. H. MANUEL SCORZA MZ. G LT. 21"/>
    <x v="53"/>
    <x v="0"/>
    <x v="0"/>
    <x v="1"/>
    <x v="171"/>
    <x v="0"/>
    <n v="4"/>
    <n v="200.5"/>
    <x v="0"/>
    <x v="0"/>
    <n v="2.5641025641025641E-3"/>
    <x v="18"/>
    <x v="2"/>
    <s v="OK"/>
    <x v="0"/>
    <s v="OK"/>
    <x v="0"/>
    <x v="0"/>
    <n v="1"/>
    <n v="0"/>
    <n v="0"/>
    <n v="0"/>
    <x v="0"/>
    <x v="0"/>
    <x v="0"/>
  </r>
  <r>
    <n v="20296637697"/>
    <x v="2"/>
    <x v="2"/>
    <x v="1257"/>
    <x v="1261"/>
    <x v="1118"/>
    <n v="2"/>
    <x v="234"/>
    <s v="ESTACION 05 CCM2L"/>
    <s v="BLOCK W DPTO. 106 UNIDAD MODELO CALLAO"/>
    <x v="6"/>
    <x v="0"/>
    <x v="0"/>
    <x v="1"/>
    <x v="49"/>
    <x v="0"/>
    <n v="4"/>
    <n v="204"/>
    <x v="0"/>
    <x v="1"/>
    <n v="2.5641025641025641E-3"/>
    <x v="18"/>
    <x v="2"/>
    <s v="OK"/>
    <x v="2"/>
    <s v="OK"/>
    <x v="0"/>
    <x v="0"/>
    <n v="1"/>
    <n v="1"/>
    <n v="0"/>
    <n v="0"/>
    <x v="0"/>
    <x v="0"/>
    <x v="0"/>
  </r>
  <r>
    <n v="20296637697"/>
    <x v="2"/>
    <x v="2"/>
    <x v="1258"/>
    <x v="1262"/>
    <x v="1000"/>
    <n v="2"/>
    <x v="234"/>
    <s v="ESTACION 05 CCM2L"/>
    <s v="AV. LA PAZ # 1712 SAN MIGUEL LIMA"/>
    <x v="28"/>
    <x v="0"/>
    <x v="0"/>
    <x v="1"/>
    <x v="203"/>
    <x v="0"/>
    <n v="4"/>
    <n v="204"/>
    <x v="0"/>
    <x v="1"/>
    <n v="2.5641025641025641E-3"/>
    <x v="20"/>
    <x v="2"/>
    <s v="OK"/>
    <x v="0"/>
    <s v="OK"/>
    <x v="0"/>
    <x v="0"/>
    <n v="1"/>
    <n v="0"/>
    <n v="0"/>
    <n v="0"/>
    <x v="0"/>
    <x v="0"/>
    <x v="0"/>
  </r>
  <r>
    <n v="20296637697"/>
    <x v="2"/>
    <x v="2"/>
    <x v="1259"/>
    <x v="1263"/>
    <x v="1119"/>
    <n v="1"/>
    <x v="235"/>
    <s v="ESTACION 05 CCM2L"/>
    <s v="ASENT.H. LOS JAZMINES DE PALAO MZ D LTE 4 SAN MARTIN DE PORRES LIMA"/>
    <x v="3"/>
    <x v="0"/>
    <x v="0"/>
    <x v="1"/>
    <x v="105"/>
    <x v="0"/>
    <n v="1"/>
    <n v="200.5"/>
    <x v="0"/>
    <x v="1"/>
    <n v="2.5641025641025641E-3"/>
    <x v="15"/>
    <x v="2"/>
    <s v="OK"/>
    <x v="0"/>
    <s v="OK"/>
    <x v="0"/>
    <x v="0"/>
    <n v="1"/>
    <n v="0"/>
    <n v="0"/>
    <n v="0"/>
    <x v="0"/>
    <x v="0"/>
    <x v="0"/>
  </r>
  <r>
    <n v="20296637697"/>
    <x v="2"/>
    <x v="2"/>
    <x v="1260"/>
    <x v="1264"/>
    <x v="978"/>
    <n v="2"/>
    <x v="11"/>
    <s v="ESTACION 05 CCM2L"/>
    <s v="ASOC. FAM.EL MIRADOR DE MARIATEGUI MZ U LT 1 SAN JUAN DE LURIGANCHO LIMA"/>
    <x v="15"/>
    <x v="0"/>
    <x v="0"/>
    <x v="1"/>
    <x v="22"/>
    <x v="0"/>
    <n v="4"/>
    <n v="221.5"/>
    <x v="0"/>
    <x v="1"/>
    <n v="2.5641025641025641E-3"/>
    <x v="17"/>
    <x v="2"/>
    <s v="OK"/>
    <x v="0"/>
    <s v="OK"/>
    <x v="0"/>
    <x v="0"/>
    <n v="1"/>
    <n v="0"/>
    <n v="0"/>
    <n v="0"/>
    <x v="0"/>
    <x v="0"/>
    <x v="0"/>
  </r>
  <r>
    <n v="20296637697"/>
    <x v="2"/>
    <x v="2"/>
    <x v="1261"/>
    <x v="1265"/>
    <x v="1120"/>
    <n v="2"/>
    <x v="11"/>
    <s v="ESTACION 05 CCM2L"/>
    <s v="PSJ. JORGE RODRIGUEZ ARTEAGA ASENT. H ANCIETA BAJA MZ E LT 16 EL AGUSTINO LIMA"/>
    <x v="46"/>
    <x v="0"/>
    <x v="0"/>
    <x v="1"/>
    <x v="53"/>
    <x v="0"/>
    <n v="4"/>
    <n v="219"/>
    <x v="0"/>
    <x v="1"/>
    <n v="2.5641025641025641E-3"/>
    <x v="16"/>
    <x v="2"/>
    <s v="OK"/>
    <x v="7"/>
    <s v="OK"/>
    <x v="0"/>
    <x v="0"/>
    <n v="1"/>
    <n v="1"/>
    <n v="0"/>
    <n v="0"/>
    <x v="0"/>
    <x v="0"/>
    <x v="0"/>
  </r>
  <r>
    <n v="20296637697"/>
    <x v="2"/>
    <x v="2"/>
    <x v="1262"/>
    <x v="1266"/>
    <x v="1121"/>
    <n v="2"/>
    <x v="66"/>
    <s v="ESTACION 05 CCM2L"/>
    <s v="JR. ANTOFAGASTA # 2251 SAN MARTIN DE PORRES LIMA"/>
    <x v="3"/>
    <x v="0"/>
    <x v="0"/>
    <x v="1"/>
    <x v="476"/>
    <x v="0"/>
    <n v="4"/>
    <n v="191.5"/>
    <x v="0"/>
    <x v="1"/>
    <n v="2.5641025641025641E-3"/>
    <x v="20"/>
    <x v="2"/>
    <s v="OK"/>
    <x v="0"/>
    <s v="OK"/>
    <x v="0"/>
    <x v="0"/>
    <n v="1"/>
    <n v="0"/>
    <n v="0"/>
    <n v="0"/>
    <x v="0"/>
    <x v="0"/>
    <x v="0"/>
  </r>
  <r>
    <n v="20296637697"/>
    <x v="2"/>
    <x v="2"/>
    <x v="1263"/>
    <x v="1267"/>
    <x v="1122"/>
    <n v="2"/>
    <x v="236"/>
    <s v="ESTACION 05 CCM2L"/>
    <s v="JR JUNIN 1060 INT 11 BARRIOS ALTOS LIMA"/>
    <x v="45"/>
    <x v="0"/>
    <x v="0"/>
    <x v="1"/>
    <x v="29"/>
    <x v="0"/>
    <n v="4"/>
    <n v="128"/>
    <x v="0"/>
    <x v="1"/>
    <n v="2.5641025641025641E-3"/>
    <x v="19"/>
    <x v="2"/>
    <s v="OK"/>
    <x v="3"/>
    <s v="OK"/>
    <x v="0"/>
    <x v="0"/>
    <n v="1"/>
    <n v="1"/>
    <n v="1"/>
    <n v="0"/>
    <x v="0"/>
    <x v="0"/>
    <x v="1"/>
  </r>
  <r>
    <n v="20296637697"/>
    <x v="2"/>
    <x v="2"/>
    <x v="1264"/>
    <x v="1268"/>
    <x v="1123"/>
    <n v="1"/>
    <x v="223"/>
    <s v="ESTACION 05 CCM2L"/>
    <s v="AA.HH NICOLAS KUSUNOKI 4TA ZONA DE COLLIQUE MZ. D LT. 09 LIMA"/>
    <x v="0"/>
    <x v="0"/>
    <x v="0"/>
    <x v="1"/>
    <x v="28"/>
    <x v="0"/>
    <n v="1"/>
    <n v="96"/>
    <x v="0"/>
    <x v="1"/>
    <n v="2.5641025641025641E-3"/>
    <x v="20"/>
    <x v="2"/>
    <s v="OK"/>
    <x v="0"/>
    <s v="OK"/>
    <x v="0"/>
    <x v="0"/>
    <n v="1"/>
    <n v="0"/>
    <n v="1"/>
    <n v="0"/>
    <x v="0"/>
    <x v="0"/>
    <x v="1"/>
  </r>
  <r>
    <n v="20296637697"/>
    <x v="2"/>
    <x v="2"/>
    <x v="1265"/>
    <x v="1269"/>
    <x v="1124"/>
    <n v="1"/>
    <x v="7"/>
    <s v="ESTACION 05 CCM2L"/>
    <s v="ANGAMOS ESTE 1860 LT 43 PS 1 Y 2 SURQUILLO LIMA"/>
    <x v="86"/>
    <x v="0"/>
    <x v="0"/>
    <x v="1"/>
    <x v="37"/>
    <x v="0"/>
    <n v="1"/>
    <n v="87.5"/>
    <x v="0"/>
    <x v="1"/>
    <n v="2.5641025641025641E-3"/>
    <x v="15"/>
    <x v="2"/>
    <s v="OK"/>
    <x v="0"/>
    <s v="OK"/>
    <x v="0"/>
    <x v="0"/>
    <n v="1"/>
    <n v="0"/>
    <n v="1"/>
    <n v="0"/>
    <x v="0"/>
    <x v="0"/>
    <x v="1"/>
  </r>
  <r>
    <n v="20296637697"/>
    <x v="2"/>
    <x v="2"/>
    <x v="1266"/>
    <x v="1270"/>
    <x v="1125"/>
    <n v="1"/>
    <x v="61"/>
    <s v="ESTACION 05 CCM2L"/>
    <s v="CALLE CAP. RUY DIAZ # 212 URB LA COLONIAL CALLAO"/>
    <x v="6"/>
    <x v="1"/>
    <x v="0"/>
    <x v="1"/>
    <x v="101"/>
    <x v="0"/>
    <n v="1"/>
    <n v="39.5"/>
    <x v="0"/>
    <x v="1"/>
    <n v="2.5641025641025641E-3"/>
    <x v="22"/>
    <x v="2"/>
    <s v="OK"/>
    <x v="2"/>
    <s v="OK"/>
    <x v="0"/>
    <x v="0"/>
    <n v="1"/>
    <n v="1"/>
    <n v="1"/>
    <n v="0"/>
    <x v="0"/>
    <x v="0"/>
    <x v="1"/>
  </r>
  <r>
    <n v="20296637697"/>
    <x v="2"/>
    <x v="2"/>
    <x v="1267"/>
    <x v="1271"/>
    <x v="1126"/>
    <n v="2"/>
    <x v="194"/>
    <s v="ESTACION 05 CCM2L"/>
    <s v="AV. LOS POSTES OESTE S/N MZ L LT 19 SAN HILARION ALTO SAN JUAN DE LURIGANCHO LIMA"/>
    <x v="15"/>
    <x v="0"/>
    <x v="0"/>
    <x v="1"/>
    <x v="30"/>
    <x v="0"/>
    <n v="4"/>
    <n v="40"/>
    <x v="0"/>
    <x v="1"/>
    <n v="2.5641025641025641E-3"/>
    <x v="19"/>
    <x v="2"/>
    <s v="OK"/>
    <x v="0"/>
    <s v="OK"/>
    <x v="0"/>
    <x v="0"/>
    <n v="1"/>
    <n v="0"/>
    <n v="1"/>
    <n v="0"/>
    <x v="0"/>
    <x v="0"/>
    <x v="1"/>
  </r>
  <r>
    <n v="20296637697"/>
    <x v="2"/>
    <x v="2"/>
    <x v="1268"/>
    <x v="1272"/>
    <x v="1125"/>
    <n v="2"/>
    <x v="237"/>
    <s v="ESTACION 05 CCM2L"/>
    <s v="CALLE BENITO PEREZ GALDOS # 3146 AMA KELLA SAN MARTIN DE PORRES LIMA"/>
    <x v="3"/>
    <x v="0"/>
    <x v="0"/>
    <x v="1"/>
    <x v="66"/>
    <x v="0"/>
    <n v="4"/>
    <n v="32"/>
    <x v="0"/>
    <x v="1"/>
    <n v="2.5641025641025641E-3"/>
    <x v="22"/>
    <x v="2"/>
    <s v="OK"/>
    <x v="0"/>
    <s v="OK"/>
    <x v="0"/>
    <x v="0"/>
    <n v="1"/>
    <n v="0"/>
    <n v="1"/>
    <n v="0"/>
    <x v="0"/>
    <x v="0"/>
    <x v="1"/>
  </r>
  <r>
    <n v="20603315201"/>
    <x v="48"/>
    <x v="3"/>
    <x v="1269"/>
    <x v="1273"/>
    <x v="1127"/>
    <n v="1"/>
    <x v="115"/>
    <s v="1A - PTBN"/>
    <s v="MZ. A Lt. 17 AAHH Victor Raul Haya de la Torre "/>
    <x v="2"/>
    <x v="0"/>
    <x v="0"/>
    <x v="2"/>
    <x v="194"/>
    <x v="0"/>
    <n v="1"/>
    <n v="120"/>
    <x v="0"/>
    <x v="1"/>
    <n v="9.0909090909090912E-2"/>
    <x v="15"/>
    <x v="2"/>
    <s v="OK"/>
    <x v="2"/>
    <s v="OK"/>
    <x v="0"/>
    <x v="0"/>
    <n v="1"/>
    <n v="1"/>
    <n v="0"/>
    <n v="0"/>
    <x v="0"/>
    <x v="0"/>
    <x v="0"/>
  </r>
  <r>
    <n v="20600507355"/>
    <x v="47"/>
    <x v="3"/>
    <x v="1270"/>
    <x v="1274"/>
    <x v="1128"/>
    <n v="3"/>
    <x v="79"/>
    <s v="1a - PTBN"/>
    <s v="Asoc. Viv. Y Desar. Int. Nueva Generacion Mz F lt 4"/>
    <x v="219"/>
    <x v="0"/>
    <x v="0"/>
    <x v="2"/>
    <x v="309"/>
    <x v="0"/>
    <n v="1"/>
    <n v="120"/>
    <x v="0"/>
    <x v="0"/>
    <n v="9.0909090909090912E-2"/>
    <x v="18"/>
    <x v="2"/>
    <s v="OK"/>
    <x v="0"/>
    <s v="OK"/>
    <x v="0"/>
    <x v="0"/>
    <n v="1"/>
    <n v="0"/>
    <n v="0"/>
    <n v="0"/>
    <x v="0"/>
    <x v="0"/>
    <x v="0"/>
  </r>
  <r>
    <n v="20602586198"/>
    <x v="49"/>
    <x v="3"/>
    <x v="1271"/>
    <x v="1275"/>
    <x v="1129"/>
    <n v="3"/>
    <x v="80"/>
    <s v="PTBN"/>
    <s v="Av. Belaunde 326 - Señor de los Milagros"/>
    <x v="0"/>
    <x v="0"/>
    <x v="0"/>
    <x v="2"/>
    <x v="199"/>
    <x v="0"/>
    <n v="1"/>
    <n v="80"/>
    <x v="0"/>
    <x v="0"/>
    <n v="9.0909090909090912E-2"/>
    <x v="22"/>
    <x v="2"/>
    <s v="OK"/>
    <x v="0"/>
    <s v="OK"/>
    <x v="0"/>
    <x v="0"/>
    <n v="1"/>
    <n v="0"/>
    <n v="0"/>
    <n v="0"/>
    <x v="0"/>
    <x v="0"/>
    <x v="0"/>
  </r>
  <r>
    <n v="20604796424"/>
    <x v="3"/>
    <x v="3"/>
    <x v="1272"/>
    <x v="1276"/>
    <x v="1130"/>
    <n v="3"/>
    <x v="13"/>
    <s v="PTBN"/>
    <s v="Asoc. Las Colinas 4ta Etapa  Mz A2  Lt.13 "/>
    <x v="3"/>
    <x v="0"/>
    <x v="0"/>
    <x v="2"/>
    <x v="23"/>
    <x v="0"/>
    <n v="1"/>
    <n v="80"/>
    <x v="0"/>
    <x v="0"/>
    <n v="9.0909090909090912E-2"/>
    <x v="22"/>
    <x v="2"/>
    <s v="OK"/>
    <x v="0"/>
    <s v="OK"/>
    <x v="0"/>
    <x v="0"/>
    <n v="1"/>
    <n v="0"/>
    <n v="0"/>
    <n v="0"/>
    <x v="0"/>
    <x v="0"/>
    <x v="0"/>
  </r>
  <r>
    <n v="20601010128"/>
    <x v="4"/>
    <x v="4"/>
    <x v="1273"/>
    <x v="1277"/>
    <x v="1131"/>
    <n v="1"/>
    <x v="238"/>
    <s v="ESTACION 17 Y 18"/>
    <s v="CALLE MANUEL CELEDONIO DE LA TORRE 625"/>
    <x v="27"/>
    <x v="0"/>
    <x v="0"/>
    <x v="1"/>
    <x v="196"/>
    <x v="0"/>
    <n v="2"/>
    <n v="176"/>
    <x v="0"/>
    <x v="1"/>
    <n v="2.8571428571428571E-2"/>
    <x v="14"/>
    <x v="2"/>
    <s v="OK"/>
    <x v="5"/>
    <s v="OK"/>
    <x v="0"/>
    <x v="0"/>
    <n v="1"/>
    <n v="1"/>
    <n v="0"/>
    <n v="0"/>
    <x v="0"/>
    <x v="0"/>
    <x v="0"/>
  </r>
  <r>
    <n v="20601010128"/>
    <x v="4"/>
    <x v="4"/>
    <x v="1274"/>
    <x v="1278"/>
    <x v="982"/>
    <n v="1"/>
    <x v="239"/>
    <s v="ESTACION 17 Y 18"/>
    <s v="ASOC. VIV. CANADA, MZ A LT 06"/>
    <x v="15"/>
    <x v="0"/>
    <x v="0"/>
    <x v="1"/>
    <x v="477"/>
    <x v="0"/>
    <n v="2"/>
    <n v="176"/>
    <x v="0"/>
    <x v="1"/>
    <n v="2.8571428571428571E-2"/>
    <x v="17"/>
    <x v="2"/>
    <s v="OK"/>
    <x v="0"/>
    <s v="OK"/>
    <x v="0"/>
    <x v="0"/>
    <n v="1"/>
    <n v="0"/>
    <n v="0"/>
    <n v="0"/>
    <x v="0"/>
    <x v="0"/>
    <x v="0"/>
  </r>
  <r>
    <n v="20601010128"/>
    <x v="4"/>
    <x v="4"/>
    <x v="1275"/>
    <x v="1279"/>
    <x v="1132"/>
    <n v="1"/>
    <x v="115"/>
    <s v="ESTACION 17 Y 18"/>
    <s v="PROLONG.PETATEROS 2327A BR.SANTA ELENA"/>
    <x v="220"/>
    <x v="1"/>
    <x v="0"/>
    <x v="1"/>
    <x v="478"/>
    <x v="0"/>
    <n v="2"/>
    <n v="176"/>
    <x v="0"/>
    <x v="1"/>
    <n v="2.8571428571428571E-2"/>
    <x v="15"/>
    <x v="2"/>
    <s v="OK"/>
    <x v="0"/>
    <s v="OK"/>
    <x v="0"/>
    <x v="0"/>
    <n v="1"/>
    <n v="0"/>
    <n v="0"/>
    <n v="0"/>
    <x v="0"/>
    <x v="0"/>
    <x v="0"/>
  </r>
  <r>
    <n v="20601010128"/>
    <x v="4"/>
    <x v="4"/>
    <x v="1276"/>
    <x v="1280"/>
    <x v="1133"/>
    <n v="2"/>
    <x v="15"/>
    <s v="ESTACION 17 Y ESTACION 18"/>
    <s v="VITARTE ASOC. DE VIV EL MONUMENTAL DE ATE MZ.FI LT. 10"/>
    <x v="1"/>
    <x v="0"/>
    <x v="0"/>
    <x v="1"/>
    <x v="260"/>
    <x v="0"/>
    <n v="4"/>
    <s v="191.50"/>
    <x v="0"/>
    <x v="1"/>
    <n v="2.8571428571428571E-2"/>
    <x v="18"/>
    <x v="2"/>
    <s v="OK"/>
    <x v="1"/>
    <s v="OK"/>
    <x v="0"/>
    <x v="0"/>
    <n v="1"/>
    <n v="1"/>
    <n v="0"/>
    <n v="0"/>
    <x v="0"/>
    <x v="0"/>
    <x v="0"/>
  </r>
  <r>
    <n v="20601010128"/>
    <x v="4"/>
    <x v="4"/>
    <x v="1277"/>
    <x v="1281"/>
    <x v="1134"/>
    <n v="2"/>
    <x v="15"/>
    <s v="ESTACION 17 Y ESTACION 18"/>
    <s v="JR. 20 DE ENERO S/N"/>
    <x v="221"/>
    <x v="0"/>
    <x v="0"/>
    <x v="1"/>
    <x v="163"/>
    <x v="0"/>
    <n v="4"/>
    <s v="151"/>
    <x v="0"/>
    <x v="1"/>
    <n v="2.8571428571428571E-2"/>
    <x v="18"/>
    <x v="2"/>
    <s v="OK"/>
    <x v="0"/>
    <s v="OK"/>
    <x v="0"/>
    <x v="0"/>
    <n v="1"/>
    <n v="0"/>
    <n v="0"/>
    <n v="0"/>
    <x v="0"/>
    <x v="0"/>
    <x v="0"/>
  </r>
  <r>
    <n v="20601010128"/>
    <x v="4"/>
    <x v="4"/>
    <x v="1278"/>
    <x v="1282"/>
    <x v="1135"/>
    <n v="2"/>
    <x v="157"/>
    <s v="ESTACION 17 Y ESTACION 18"/>
    <s v="CALLE PROGRESO P.J CAP. QUIÑONES MZ.E LT.18"/>
    <x v="222"/>
    <x v="0"/>
    <x v="0"/>
    <x v="1"/>
    <x v="82"/>
    <x v="0"/>
    <n v="4"/>
    <s v="200"/>
    <x v="0"/>
    <x v="1"/>
    <n v="2.8571428571428571E-2"/>
    <x v="19"/>
    <x v="2"/>
    <s v="OK"/>
    <x v="0"/>
    <s v="OK"/>
    <x v="0"/>
    <x v="0"/>
    <n v="1"/>
    <n v="0"/>
    <n v="0"/>
    <n v="0"/>
    <x v="0"/>
    <x v="0"/>
    <x v="0"/>
  </r>
  <r>
    <n v="20601010128"/>
    <x v="4"/>
    <x v="4"/>
    <x v="1279"/>
    <x v="1283"/>
    <x v="1136"/>
    <n v="2"/>
    <x v="240"/>
    <s v="ESTACION 17 Y ESTACION 18"/>
    <s v="ASENT. H. JESUS DE NAZARETH MZ. A 27"/>
    <x v="90"/>
    <x v="0"/>
    <x v="2"/>
    <x v="1"/>
    <x v="34"/>
    <x v="0"/>
    <n v="4"/>
    <s v="0"/>
    <x v="0"/>
    <x v="1"/>
    <n v="2.8571428571428571E-2"/>
    <x v="20"/>
    <x v="2"/>
    <s v="OK"/>
    <x v="0"/>
    <s v="OK"/>
    <x v="0"/>
    <x v="0"/>
    <n v="1"/>
    <n v="0"/>
    <n v="0"/>
    <n v="1"/>
    <x v="0"/>
    <x v="1"/>
    <x v="0"/>
  </r>
  <r>
    <n v="20601010128"/>
    <x v="4"/>
    <x v="4"/>
    <x v="1280"/>
    <x v="1284"/>
    <x v="1137"/>
    <n v="2"/>
    <x v="157"/>
    <s v="ESTACION 17 Y ESTACION 18"/>
    <s v="CA LOS BOSQUES C.P.M SANTA ROSA"/>
    <x v="205"/>
    <x v="0"/>
    <x v="0"/>
    <x v="1"/>
    <x v="29"/>
    <x v="0"/>
    <n v="4"/>
    <s v="147"/>
    <x v="0"/>
    <x v="1"/>
    <n v="2.8571428571428571E-2"/>
    <x v="19"/>
    <x v="2"/>
    <s v="OK"/>
    <x v="0"/>
    <s v="OK"/>
    <x v="0"/>
    <x v="0"/>
    <n v="1"/>
    <n v="0"/>
    <n v="1"/>
    <n v="0"/>
    <x v="0"/>
    <x v="0"/>
    <x v="1"/>
  </r>
  <r>
    <n v="20601010128"/>
    <x v="4"/>
    <x v="4"/>
    <x v="1281"/>
    <x v="1285"/>
    <x v="1138"/>
    <n v="2"/>
    <x v="15"/>
    <s v="ESTACION 17 Y ESTACION 18"/>
    <s v="ASENT.H CARLOS TIZON PACHECOMZ.U LT.22"/>
    <x v="223"/>
    <x v="0"/>
    <x v="0"/>
    <x v="1"/>
    <x v="202"/>
    <x v="0"/>
    <n v="4"/>
    <s v="191.50"/>
    <x v="0"/>
    <x v="1"/>
    <n v="2.8571428571428571E-2"/>
    <x v="14"/>
    <x v="2"/>
    <s v="OK"/>
    <x v="0"/>
    <s v="OK"/>
    <x v="0"/>
    <x v="0"/>
    <n v="1"/>
    <n v="0"/>
    <n v="0"/>
    <n v="0"/>
    <x v="0"/>
    <x v="0"/>
    <x v="0"/>
  </r>
  <r>
    <n v="20601010128"/>
    <x v="4"/>
    <x v="4"/>
    <x v="1282"/>
    <x v="1286"/>
    <x v="1139"/>
    <n v="2"/>
    <x v="74"/>
    <s v="ESTACION 17 Y ESTACION 18"/>
    <s v="JR. MANUEL ODRIA 483- EL PROGRESO"/>
    <x v="54"/>
    <x v="0"/>
    <x v="0"/>
    <x v="1"/>
    <x v="355"/>
    <x v="0"/>
    <n v="4"/>
    <s v="189"/>
    <x v="0"/>
    <x v="1"/>
    <n v="2.8571428571428571E-2"/>
    <x v="14"/>
    <x v="2"/>
    <s v="OK"/>
    <x v="0"/>
    <s v="OK"/>
    <x v="0"/>
    <x v="0"/>
    <n v="1"/>
    <n v="0"/>
    <n v="0"/>
    <n v="0"/>
    <x v="0"/>
    <x v="0"/>
    <x v="0"/>
  </r>
  <r>
    <n v="20601010128"/>
    <x v="4"/>
    <x v="4"/>
    <x v="1283"/>
    <x v="1287"/>
    <x v="1140"/>
    <n v="2"/>
    <x v="15"/>
    <s v="ESTACION 17 Y ESTACION 18"/>
    <s v="MZ.Q2 LT.20 ASENT.H. JOSE CARLOS MARIATEGUI"/>
    <x v="15"/>
    <x v="0"/>
    <x v="0"/>
    <x v="1"/>
    <x v="441"/>
    <x v="0"/>
    <n v="4"/>
    <s v="0"/>
    <x v="0"/>
    <x v="1"/>
    <n v="2.8571428571428571E-2"/>
    <x v="21"/>
    <x v="2"/>
    <s v="OK"/>
    <x v="0"/>
    <s v="OK"/>
    <x v="0"/>
    <x v="0"/>
    <n v="1"/>
    <n v="0"/>
    <n v="0"/>
    <n v="0"/>
    <x v="0"/>
    <x v="0"/>
    <x v="0"/>
  </r>
  <r>
    <n v="20601010128"/>
    <x v="4"/>
    <x v="4"/>
    <x v="1284"/>
    <x v="1288"/>
    <x v="1141"/>
    <n v="2"/>
    <x v="157"/>
    <s v="ESTACION 17 Y ESTACION 18"/>
    <s v="CALLE SF MZ.G LT24-25 VILLA HIPER COMER"/>
    <x v="0"/>
    <x v="0"/>
    <x v="0"/>
    <x v="1"/>
    <x v="430"/>
    <x v="0"/>
    <n v="4"/>
    <s v="198"/>
    <x v="0"/>
    <x v="1"/>
    <n v="2.8571428571428571E-2"/>
    <x v="20"/>
    <x v="2"/>
    <s v="OK"/>
    <x v="0"/>
    <s v="OK"/>
    <x v="0"/>
    <x v="0"/>
    <n v="1"/>
    <n v="0"/>
    <n v="0"/>
    <n v="0"/>
    <x v="0"/>
    <x v="0"/>
    <x v="0"/>
  </r>
  <r>
    <n v="20601010128"/>
    <x v="4"/>
    <x v="4"/>
    <x v="1285"/>
    <x v="1289"/>
    <x v="1133"/>
    <n v="2"/>
    <x v="15"/>
    <s v="ESTACION 17 Y ESTACION 18"/>
    <s v="VITARTE ASOC. DE VIV EL MONUMENTAL DE ATE MZ.FI LT. 10"/>
    <x v="1"/>
    <x v="0"/>
    <x v="0"/>
    <x v="1"/>
    <x v="430"/>
    <x v="0"/>
    <n v="4"/>
    <s v="0"/>
    <x v="0"/>
    <x v="1"/>
    <n v="2.8571428571428571E-2"/>
    <x v="18"/>
    <x v="2"/>
    <s v="OK"/>
    <x v="1"/>
    <s v="OK"/>
    <x v="0"/>
    <x v="0"/>
    <n v="1"/>
    <n v="1"/>
    <n v="0"/>
    <n v="0"/>
    <x v="0"/>
    <x v="0"/>
    <x v="0"/>
  </r>
  <r>
    <n v="20601010128"/>
    <x v="4"/>
    <x v="4"/>
    <x v="1286"/>
    <x v="1290"/>
    <x v="1142"/>
    <n v="2"/>
    <x v="8"/>
    <s v="ESTACION 17 Y ESTACION 18"/>
    <s v="PASAJE 8 MZ.O LT.8 AH. JAVIER HERAUD"/>
    <x v="1"/>
    <x v="0"/>
    <x v="0"/>
    <x v="1"/>
    <x v="479"/>
    <x v="0"/>
    <n v="4"/>
    <s v="200"/>
    <x v="0"/>
    <x v="1"/>
    <n v="2.8571428571428571E-2"/>
    <x v="21"/>
    <x v="2"/>
    <s v="OK"/>
    <x v="1"/>
    <s v="OK"/>
    <x v="0"/>
    <x v="0"/>
    <n v="1"/>
    <n v="1"/>
    <n v="0"/>
    <n v="0"/>
    <x v="0"/>
    <x v="0"/>
    <x v="0"/>
  </r>
  <r>
    <n v="20601010128"/>
    <x v="4"/>
    <x v="4"/>
    <x v="1287"/>
    <x v="1291"/>
    <x v="1133"/>
    <n v="1"/>
    <x v="238"/>
    <s v="ESTACION 17 Y 18"/>
    <s v="MZ. A, LT.02, ASOC. VIVIENDA CANADA"/>
    <x v="15"/>
    <x v="0"/>
    <x v="0"/>
    <x v="1"/>
    <x v="262"/>
    <x v="0"/>
    <n v="2"/>
    <n v="176"/>
    <x v="0"/>
    <x v="1"/>
    <n v="2.8571428571428571E-2"/>
    <x v="18"/>
    <x v="2"/>
    <s v="OK"/>
    <x v="0"/>
    <s v="OK"/>
    <x v="0"/>
    <x v="0"/>
    <n v="1"/>
    <n v="0"/>
    <n v="0"/>
    <n v="0"/>
    <x v="0"/>
    <x v="0"/>
    <x v="0"/>
  </r>
  <r>
    <n v="20601010128"/>
    <x v="4"/>
    <x v="4"/>
    <x v="1288"/>
    <x v="1292"/>
    <x v="1143"/>
    <n v="2"/>
    <x v="15"/>
    <s v="ESTACION 14 Y ESTACION 15"/>
    <s v="MZ.B LT.51 ASOC VIV. LOS TULIPANES"/>
    <x v="49"/>
    <x v="0"/>
    <x v="0"/>
    <x v="1"/>
    <x v="16"/>
    <x v="0"/>
    <n v="4"/>
    <s v="189"/>
    <x v="0"/>
    <x v="1"/>
    <n v="2.8571428571428571E-2"/>
    <x v="15"/>
    <x v="2"/>
    <s v="OK"/>
    <x v="0"/>
    <s v="OK"/>
    <x v="0"/>
    <x v="0"/>
    <n v="1"/>
    <n v="0"/>
    <n v="0"/>
    <n v="0"/>
    <x v="0"/>
    <x v="0"/>
    <x v="0"/>
  </r>
  <r>
    <n v="20601010128"/>
    <x v="4"/>
    <x v="4"/>
    <x v="1289"/>
    <x v="1293"/>
    <x v="1144"/>
    <n v="2"/>
    <x v="59"/>
    <s v="ESTACION 17 Y ESTACION 18"/>
    <s v="JR. MAYTA CAPAC MZ.33 LT.02"/>
    <x v="224"/>
    <x v="0"/>
    <x v="0"/>
    <x v="1"/>
    <x v="49"/>
    <x v="0"/>
    <n v="4"/>
    <s v="200.5"/>
    <x v="0"/>
    <x v="1"/>
    <n v="2.8571428571428571E-2"/>
    <x v="19"/>
    <x v="2"/>
    <s v="OK"/>
    <x v="0"/>
    <s v="OK"/>
    <x v="0"/>
    <x v="0"/>
    <n v="1"/>
    <n v="0"/>
    <n v="0"/>
    <n v="0"/>
    <x v="0"/>
    <x v="0"/>
    <x v="0"/>
  </r>
  <r>
    <n v="20601010128"/>
    <x v="4"/>
    <x v="4"/>
    <x v="1290"/>
    <x v="1294"/>
    <x v="1133"/>
    <n v="1"/>
    <x v="106"/>
    <s v="ESTACION 17 Y 18"/>
    <s v="MZ. F LT.1 URB. FHILADELFIA ATE I ETAPA "/>
    <x v="1"/>
    <x v="0"/>
    <x v="0"/>
    <x v="1"/>
    <x v="203"/>
    <x v="0"/>
    <n v="2"/>
    <n v="176"/>
    <x v="0"/>
    <x v="1"/>
    <n v="2.8571428571428571E-2"/>
    <x v="18"/>
    <x v="2"/>
    <s v="OK"/>
    <x v="1"/>
    <s v="OK"/>
    <x v="0"/>
    <x v="0"/>
    <n v="1"/>
    <n v="1"/>
    <n v="0"/>
    <n v="0"/>
    <x v="0"/>
    <x v="0"/>
    <x v="0"/>
  </r>
  <r>
    <n v="20609301288"/>
    <x v="5"/>
    <x v="5"/>
    <x v="1291"/>
    <x v="1295"/>
    <x v="1145"/>
    <n v="2"/>
    <x v="20"/>
    <s v="POZO VENTILACIÓN 16"/>
    <s v="CALLE GALAPAGOS ASOC. POS PAPICO - ADESESEP MZ C3. LT18"/>
    <x v="2"/>
    <x v="0"/>
    <x v="0"/>
    <x v="2"/>
    <x v="173"/>
    <x v="0"/>
    <n v="4"/>
    <n v="46"/>
    <x v="0"/>
    <x v="1"/>
    <n v="9.0909090909090912E-2"/>
    <x v="17"/>
    <x v="2"/>
    <s v="OK"/>
    <x v="2"/>
    <s v="OK"/>
    <x v="0"/>
    <x v="0"/>
    <n v="1"/>
    <n v="1"/>
    <n v="0"/>
    <n v="0"/>
    <x v="0"/>
    <x v="0"/>
    <x v="0"/>
  </r>
  <r>
    <n v="20609301288"/>
    <x v="5"/>
    <x v="5"/>
    <x v="1292"/>
    <x v="1296"/>
    <x v="1146"/>
    <n v="2"/>
    <x v="10"/>
    <s v="POZO VENTILACIÓN 16"/>
    <s v="MZ K-3 LT. 12 ASENT. H LEANDRA ORTEGA ESPINOZA"/>
    <x v="2"/>
    <x v="0"/>
    <x v="0"/>
    <x v="2"/>
    <x v="173"/>
    <x v="0"/>
    <n v="4"/>
    <n v="39"/>
    <x v="0"/>
    <x v="1"/>
    <n v="9.0909090909090912E-2"/>
    <x v="17"/>
    <x v="2"/>
    <s v="OK"/>
    <x v="2"/>
    <s v="OK"/>
    <x v="0"/>
    <x v="0"/>
    <n v="1"/>
    <n v="1"/>
    <n v="0"/>
    <n v="0"/>
    <x v="0"/>
    <x v="0"/>
    <x v="0"/>
  </r>
  <r>
    <n v="20603070446"/>
    <x v="50"/>
    <x v="37"/>
    <x v="1293"/>
    <x v="1297"/>
    <x v="1147"/>
    <n v="2"/>
    <x v="83"/>
    <s v="E1,2 y 3"/>
    <s v="JR. LOS GERANIOS MZ 4E LT 04 PUEBLO JOVEN EL PROGRESO"/>
    <x v="54"/>
    <x v="0"/>
    <x v="0"/>
    <x v="2"/>
    <x v="200"/>
    <x v="0"/>
    <n v="4"/>
    <n v="176"/>
    <x v="0"/>
    <x v="1"/>
    <n v="4.7619047619047616E-2"/>
    <x v="15"/>
    <x v="2"/>
    <s v="OK"/>
    <x v="0"/>
    <s v="OK"/>
    <x v="0"/>
    <x v="0"/>
    <n v="1"/>
    <n v="0"/>
    <n v="0"/>
    <n v="0"/>
    <x v="0"/>
    <x v="0"/>
    <x v="0"/>
  </r>
  <r>
    <n v="20603070446"/>
    <x v="50"/>
    <x v="37"/>
    <x v="1294"/>
    <x v="1298"/>
    <x v="1148"/>
    <n v="2"/>
    <x v="83"/>
    <s v="E1,2 y 3"/>
    <s v="RES. BARCELONA MZ.F LT.18"/>
    <x v="54"/>
    <x v="0"/>
    <x v="0"/>
    <x v="2"/>
    <x v="262"/>
    <x v="0"/>
    <n v="4"/>
    <n v="176"/>
    <x v="0"/>
    <x v="1"/>
    <n v="4.7619047619047616E-2"/>
    <x v="20"/>
    <x v="2"/>
    <s v="OK"/>
    <x v="0"/>
    <s v="OK"/>
    <x v="0"/>
    <x v="0"/>
    <n v="1"/>
    <n v="0"/>
    <n v="0"/>
    <n v="0"/>
    <x v="0"/>
    <x v="0"/>
    <x v="0"/>
  </r>
  <r>
    <n v="20603070446"/>
    <x v="50"/>
    <x v="37"/>
    <x v="1295"/>
    <x v="1299"/>
    <x v="1149"/>
    <n v="1"/>
    <x v="7"/>
    <s v="E1 y 2"/>
    <s v="Jr. Virrey Conde los Lemos 321 Dpto. 102, Urb. La Colonial"/>
    <x v="6"/>
    <x v="1"/>
    <x v="0"/>
    <x v="2"/>
    <x v="66"/>
    <x v="0"/>
    <n v="1"/>
    <n v="36"/>
    <x v="0"/>
    <x v="1"/>
    <n v="4.7619047619047616E-2"/>
    <x v="15"/>
    <x v="2"/>
    <s v="OK"/>
    <x v="2"/>
    <s v="OK"/>
    <x v="0"/>
    <x v="0"/>
    <n v="1"/>
    <n v="1"/>
    <n v="1"/>
    <n v="0"/>
    <x v="0"/>
    <x v="0"/>
    <x v="1"/>
  </r>
  <r>
    <n v="20603070451"/>
    <x v="50"/>
    <x v="37"/>
    <x v="1296"/>
    <x v="1300"/>
    <x v="1150"/>
    <n v="1"/>
    <x v="84"/>
    <s v="E12, E1,2 y 3"/>
    <s v="Asoc. Villa de jesus mz 6 lt 27"/>
    <x v="19"/>
    <x v="0"/>
    <x v="16"/>
    <x v="2"/>
    <x v="98"/>
    <x v="2"/>
    <n v="1"/>
    <n v="24"/>
    <x v="0"/>
    <x v="1"/>
    <n v="4.7619047619047616E-2"/>
    <x v="15"/>
    <x v="2"/>
    <s v="OK"/>
    <x v="0"/>
    <s v="OK"/>
    <x v="0"/>
    <x v="0"/>
    <n v="1"/>
    <n v="0"/>
    <n v="0"/>
    <n v="1"/>
    <x v="0"/>
    <x v="1"/>
    <x v="0"/>
  </r>
  <r>
    <n v="20603639520"/>
    <x v="51"/>
    <x v="38"/>
    <x v="1297"/>
    <x v="1301"/>
    <x v="1151"/>
    <n v="14"/>
    <x v="11"/>
    <s v="E11"/>
    <s v="MZ. E LOTE 10 SIETE DE JUNIO"/>
    <x v="118"/>
    <x v="0"/>
    <x v="0"/>
    <x v="1"/>
    <x v="301"/>
    <x v="0"/>
    <n v="4"/>
    <n v="240"/>
    <x v="0"/>
    <x v="1"/>
    <n v="4.3478260869565216E-2"/>
    <x v="17"/>
    <x v="2"/>
    <s v="OK"/>
    <x v="0"/>
    <s v="OK"/>
    <x v="0"/>
    <x v="0"/>
    <n v="1"/>
    <n v="0"/>
    <n v="0"/>
    <n v="0"/>
    <x v="0"/>
    <x v="0"/>
    <x v="0"/>
  </r>
  <r>
    <n v="20603639520"/>
    <x v="51"/>
    <x v="38"/>
    <x v="1298"/>
    <x v="1302"/>
    <x v="1152"/>
    <n v="19"/>
    <x v="11"/>
    <s v="E11"/>
    <s v="A.H. SAN PEDRO DE ATE MZ C1 LT 4"/>
    <x v="1"/>
    <x v="0"/>
    <x v="2"/>
    <x v="1"/>
    <x v="81"/>
    <x v="2"/>
    <n v="4"/>
    <n v="8"/>
    <x v="0"/>
    <x v="1"/>
    <n v="4.3478260869565216E-2"/>
    <x v="17"/>
    <x v="2"/>
    <s v="OK"/>
    <x v="1"/>
    <s v="OK"/>
    <x v="0"/>
    <x v="0"/>
    <n v="1"/>
    <n v="1"/>
    <n v="0"/>
    <n v="1"/>
    <x v="0"/>
    <x v="1"/>
    <x v="0"/>
  </r>
  <r>
    <n v="20603639520"/>
    <x v="51"/>
    <x v="38"/>
    <x v="1299"/>
    <x v="1303"/>
    <x v="1153"/>
    <n v="23"/>
    <x v="2"/>
    <s v="E11"/>
    <s v="JR. FULGENCIO VALDEZ 568 DPTO. 102 URB. CHACRA COLORADA"/>
    <x v="5"/>
    <x v="0"/>
    <x v="2"/>
    <x v="1"/>
    <x v="242"/>
    <x v="2"/>
    <n v="4"/>
    <n v="8"/>
    <x v="0"/>
    <x v="1"/>
    <n v="4.3478260869565216E-2"/>
    <x v="14"/>
    <x v="2"/>
    <s v="OK"/>
    <x v="3"/>
    <s v="OK"/>
    <x v="0"/>
    <x v="0"/>
    <n v="1"/>
    <n v="1"/>
    <n v="0"/>
    <n v="1"/>
    <x v="0"/>
    <x v="1"/>
    <x v="0"/>
  </r>
  <r>
    <n v="20603639520"/>
    <x v="51"/>
    <x v="38"/>
    <x v="1300"/>
    <x v="1304"/>
    <x v="1154"/>
    <n v="28"/>
    <x v="11"/>
    <s v="E11"/>
    <s v="MZ A LT 11 SR DE LOS MILAGROS NUEVA RINCONADA PAMPLONA ALTA"/>
    <x v="53"/>
    <x v="0"/>
    <x v="0"/>
    <x v="1"/>
    <x v="110"/>
    <x v="0"/>
    <n v="4"/>
    <n v="240"/>
    <x v="0"/>
    <x v="1"/>
    <n v="4.3478260869565216E-2"/>
    <x v="16"/>
    <x v="2"/>
    <s v="OK"/>
    <x v="0"/>
    <s v="OK"/>
    <x v="0"/>
    <x v="0"/>
    <n v="1"/>
    <n v="0"/>
    <n v="0"/>
    <n v="0"/>
    <x v="0"/>
    <x v="0"/>
    <x v="0"/>
  </r>
  <r>
    <n v="20550520002"/>
    <x v="68"/>
    <x v="38"/>
    <x v="1301"/>
    <x v="1305"/>
    <x v="1155"/>
    <n v="35"/>
    <x v="173"/>
    <s v="E11"/>
    <s v="MZ I LT 23 3RA ETAPA PACHACAMAC"/>
    <x v="19"/>
    <x v="0"/>
    <x v="1"/>
    <x v="1"/>
    <x v="208"/>
    <x v="2"/>
    <n v="1"/>
    <n v="0"/>
    <x v="0"/>
    <x v="0"/>
    <n v="4.3478260869565216E-2"/>
    <x v="17"/>
    <x v="2"/>
    <s v="OK"/>
    <x v="0"/>
    <s v="OK"/>
    <x v="0"/>
    <x v="0"/>
    <n v="1"/>
    <n v="0"/>
    <n v="0"/>
    <n v="1"/>
    <x v="0"/>
    <x v="1"/>
    <x v="0"/>
  </r>
  <r>
    <n v="20556570681"/>
    <x v="69"/>
    <x v="38"/>
    <x v="1302"/>
    <x v="1306"/>
    <x v="1156"/>
    <n v="38"/>
    <x v="51"/>
    <s v="E11"/>
    <s v="MZ N LOTE 9  URB. SAN ILDEFONSO III"/>
    <x v="10"/>
    <x v="0"/>
    <x v="0"/>
    <x v="1"/>
    <x v="480"/>
    <x v="0"/>
    <n v="1"/>
    <n v="240"/>
    <x v="0"/>
    <x v="0"/>
    <n v="4.3478260869565216E-2"/>
    <x v="19"/>
    <x v="2"/>
    <s v="OK"/>
    <x v="0"/>
    <s v="OK"/>
    <x v="0"/>
    <x v="0"/>
    <n v="1"/>
    <n v="0"/>
    <n v="0"/>
    <n v="0"/>
    <x v="0"/>
    <x v="0"/>
    <x v="0"/>
  </r>
  <r>
    <n v="20603639520"/>
    <x v="51"/>
    <x v="38"/>
    <x v="1303"/>
    <x v="1307"/>
    <x v="1157"/>
    <n v="46"/>
    <x v="67"/>
    <s v="E11"/>
    <m/>
    <x v="225"/>
    <x v="0"/>
    <x v="2"/>
    <x v="1"/>
    <x v="86"/>
    <x v="2"/>
    <n v="4"/>
    <n v="8"/>
    <x v="0"/>
    <x v="1"/>
    <n v="4.3478260869565216E-2"/>
    <x v="14"/>
    <x v="2"/>
    <s v="OK"/>
    <x v="0"/>
    <s v="OK"/>
    <x v="0"/>
    <x v="1"/>
    <n v="0.5"/>
    <n v="0"/>
    <n v="0"/>
    <n v="1"/>
    <x v="0"/>
    <x v="1"/>
    <x v="0"/>
  </r>
  <r>
    <n v="20608901567"/>
    <x v="52"/>
    <x v="39"/>
    <x v="1304"/>
    <x v="1308"/>
    <x v="1158"/>
    <n v="3"/>
    <x v="86"/>
    <s v="ESTACION 18"/>
    <s v="CALLE TALARA 152 URB. EL ERMITAÑO"/>
    <x v="44"/>
    <x v="0"/>
    <x v="19"/>
    <x v="2"/>
    <x v="240"/>
    <x v="0"/>
    <n v="1"/>
    <n v="200"/>
    <x v="0"/>
    <x v="1"/>
    <n v="0.125"/>
    <x v="15"/>
    <x v="2"/>
    <s v="OK"/>
    <x v="0"/>
    <s v="OK"/>
    <x v="0"/>
    <x v="0"/>
    <n v="1"/>
    <n v="0"/>
    <n v="0"/>
    <n v="0"/>
    <x v="1"/>
    <x v="2"/>
    <x v="0"/>
  </r>
  <r>
    <n v="20608901567"/>
    <x v="52"/>
    <x v="39"/>
    <x v="1305"/>
    <x v="1309"/>
    <x v="1159"/>
    <n v="1"/>
    <x v="17"/>
    <s v="ESTACION 18"/>
    <s v="AAHH HUAYCAN ZONA P UCV 192 LT 6"/>
    <x v="1"/>
    <x v="0"/>
    <x v="19"/>
    <x v="2"/>
    <x v="128"/>
    <x v="0"/>
    <n v="1"/>
    <n v="200"/>
    <x v="0"/>
    <x v="1"/>
    <n v="0.125"/>
    <x v="15"/>
    <x v="2"/>
    <s v="OK"/>
    <x v="1"/>
    <s v="OK"/>
    <x v="0"/>
    <x v="0"/>
    <n v="1"/>
    <n v="1"/>
    <n v="0"/>
    <n v="0"/>
    <x v="1"/>
    <x v="2"/>
    <x v="0"/>
  </r>
  <r>
    <s v="20600535634"/>
    <x v="6"/>
    <x v="6"/>
    <x v="1306"/>
    <x v="1310"/>
    <x v="1160"/>
    <n v="1"/>
    <x v="87"/>
    <s v="ESTACION E016"/>
    <s v="MZ E LT 9 PROG. VIV. LOS VIÑEDOS "/>
    <x v="4"/>
    <x v="1"/>
    <x v="0"/>
    <x v="2"/>
    <x v="200"/>
    <x v="0"/>
    <n v="1"/>
    <n v="184"/>
    <x v="0"/>
    <x v="1"/>
    <n v="2.4390243902439025E-2"/>
    <x v="19"/>
    <x v="2"/>
    <s v="OK"/>
    <x v="0"/>
    <s v="OK"/>
    <x v="0"/>
    <x v="0"/>
    <n v="1"/>
    <n v="0"/>
    <n v="0"/>
    <n v="0"/>
    <x v="0"/>
    <x v="0"/>
    <x v="0"/>
  </r>
  <r>
    <s v="20600535634"/>
    <x v="6"/>
    <x v="6"/>
    <x v="1307"/>
    <x v="1311"/>
    <x v="1161"/>
    <n v="1"/>
    <x v="115"/>
    <s v="ESTACION E018"/>
    <s v="URB MRCAL CACERES MZ. T16 LT. 1"/>
    <x v="15"/>
    <x v="1"/>
    <x v="0"/>
    <x v="2"/>
    <x v="200"/>
    <x v="0"/>
    <n v="1"/>
    <n v="184"/>
    <x v="0"/>
    <x v="1"/>
    <n v="2.4390243902439025E-2"/>
    <x v="20"/>
    <x v="2"/>
    <s v="OK"/>
    <x v="0"/>
    <s v="OK"/>
    <x v="0"/>
    <x v="0"/>
    <n v="1"/>
    <n v="0"/>
    <n v="0"/>
    <n v="0"/>
    <x v="0"/>
    <x v="0"/>
    <x v="0"/>
  </r>
  <r>
    <s v="20600535634"/>
    <x v="6"/>
    <x v="6"/>
    <x v="1308"/>
    <x v="1312"/>
    <x v="1162"/>
    <n v="1"/>
    <x v="115"/>
    <s v="ESTACION E016"/>
    <s v="ASENT.H. SAN PEDRO DE CHOQUE MZ I' LT 06"/>
    <x v="4"/>
    <x v="0"/>
    <x v="0"/>
    <x v="2"/>
    <x v="247"/>
    <x v="0"/>
    <n v="1"/>
    <n v="184"/>
    <x v="0"/>
    <x v="1"/>
    <n v="2.4390243902439025E-2"/>
    <x v="19"/>
    <x v="2"/>
    <s v="OK"/>
    <x v="0"/>
    <s v="OK"/>
    <x v="0"/>
    <x v="0"/>
    <n v="1"/>
    <n v="0"/>
    <n v="0"/>
    <n v="0"/>
    <x v="0"/>
    <x v="0"/>
    <x v="0"/>
  </r>
  <r>
    <s v="20600535634"/>
    <x v="6"/>
    <x v="6"/>
    <x v="1309"/>
    <x v="1313"/>
    <x v="1163"/>
    <n v="2"/>
    <x v="10"/>
    <s v="ESTACION E018"/>
    <s v="JR CUZCO 3286"/>
    <x v="3"/>
    <x v="0"/>
    <x v="0"/>
    <x v="4"/>
    <x v="16"/>
    <x v="0"/>
    <n v="4"/>
    <n v="176"/>
    <x v="0"/>
    <x v="1"/>
    <n v="2.4390243902439025E-2"/>
    <x v="16"/>
    <x v="2"/>
    <s v="OK"/>
    <x v="0"/>
    <s v="OK"/>
    <x v="0"/>
    <x v="0"/>
    <n v="1"/>
    <n v="0"/>
    <n v="0"/>
    <n v="0"/>
    <x v="0"/>
    <x v="0"/>
    <x v="0"/>
  </r>
  <r>
    <s v="20600535634"/>
    <x v="6"/>
    <x v="6"/>
    <x v="1310"/>
    <x v="1314"/>
    <x v="1164"/>
    <n v="2"/>
    <x v="10"/>
    <s v="ESTACION E018"/>
    <s v="COOP. RAMIRO PRIALE MZ T SANTA CLARA"/>
    <x v="1"/>
    <x v="0"/>
    <x v="0"/>
    <x v="4"/>
    <x v="16"/>
    <x v="0"/>
    <n v="4"/>
    <n v="176"/>
    <x v="0"/>
    <x v="1"/>
    <n v="2.4390243902439025E-2"/>
    <x v="15"/>
    <x v="2"/>
    <s v="OK"/>
    <x v="1"/>
    <s v="OK"/>
    <x v="0"/>
    <x v="0"/>
    <n v="1"/>
    <n v="1"/>
    <n v="0"/>
    <n v="0"/>
    <x v="0"/>
    <x v="0"/>
    <x v="0"/>
  </r>
  <r>
    <s v="20600535634"/>
    <x v="6"/>
    <x v="6"/>
    <x v="1311"/>
    <x v="1315"/>
    <x v="1165"/>
    <n v="2"/>
    <x v="10"/>
    <s v="ESTACION E018/E016"/>
    <s v="MZ E1 LT 20 URB MAYORAZGO SEGUNDA ETAPA"/>
    <x v="3"/>
    <x v="0"/>
    <x v="0"/>
    <x v="2"/>
    <x v="26"/>
    <x v="0"/>
    <n v="4"/>
    <n v="168"/>
    <x v="0"/>
    <x v="1"/>
    <n v="2.4390243902439025E-2"/>
    <x v="20"/>
    <x v="2"/>
    <s v="OK"/>
    <x v="0"/>
    <s v="OK"/>
    <x v="0"/>
    <x v="0"/>
    <n v="1"/>
    <n v="0"/>
    <n v="0"/>
    <n v="0"/>
    <x v="0"/>
    <x v="0"/>
    <x v="0"/>
  </r>
  <r>
    <s v="20600535634"/>
    <x v="6"/>
    <x v="6"/>
    <x v="1312"/>
    <x v="1316"/>
    <x v="1166"/>
    <n v="2"/>
    <x v="10"/>
    <s v="ESTACION E018"/>
    <s v="PJ LOS LIMONES 191 ERMITAÑO"/>
    <x v="44"/>
    <x v="0"/>
    <x v="0"/>
    <x v="2"/>
    <x v="17"/>
    <x v="0"/>
    <n v="4"/>
    <n v="176"/>
    <x v="0"/>
    <x v="1"/>
    <n v="2.4390243902439025E-2"/>
    <x v="14"/>
    <x v="2"/>
    <s v="OK"/>
    <x v="0"/>
    <s v="OK"/>
    <x v="0"/>
    <x v="0"/>
    <n v="1"/>
    <n v="0"/>
    <n v="0"/>
    <n v="0"/>
    <x v="0"/>
    <x v="0"/>
    <x v="0"/>
  </r>
  <r>
    <s v="20600535634"/>
    <x v="6"/>
    <x v="6"/>
    <x v="1313"/>
    <x v="1317"/>
    <x v="1167"/>
    <n v="2"/>
    <x v="10"/>
    <s v="ESTACION E016/E018"/>
    <s v="PSJ. TUPAC AMARU MZ. L LT. 8 P.J. CRUZ DE MAYO"/>
    <x v="44"/>
    <x v="0"/>
    <x v="0"/>
    <x v="2"/>
    <x v="192"/>
    <x v="0"/>
    <n v="4"/>
    <n v="168"/>
    <x v="0"/>
    <x v="1"/>
    <n v="2.4390243902439025E-2"/>
    <x v="19"/>
    <x v="2"/>
    <s v="OK"/>
    <x v="0"/>
    <s v="OK"/>
    <x v="0"/>
    <x v="0"/>
    <n v="1"/>
    <n v="0"/>
    <n v="0"/>
    <n v="0"/>
    <x v="0"/>
    <x v="0"/>
    <x v="0"/>
  </r>
  <r>
    <s v="20600535634"/>
    <x v="6"/>
    <x v="6"/>
    <x v="1314"/>
    <x v="1318"/>
    <x v="1168"/>
    <n v="2"/>
    <x v="10"/>
    <s v="ESTACION E016/E018"/>
    <s v="JR. APURIMAC 4095,"/>
    <x v="3"/>
    <x v="0"/>
    <x v="0"/>
    <x v="2"/>
    <x v="192"/>
    <x v="0"/>
    <n v="4"/>
    <n v="176"/>
    <x v="0"/>
    <x v="1"/>
    <n v="2.4390243902439025E-2"/>
    <x v="15"/>
    <x v="2"/>
    <s v="OK"/>
    <x v="0"/>
    <s v="OK"/>
    <x v="0"/>
    <x v="0"/>
    <n v="1"/>
    <n v="0"/>
    <n v="0"/>
    <n v="0"/>
    <x v="0"/>
    <x v="0"/>
    <x v="0"/>
  </r>
  <r>
    <s v="20600535634"/>
    <x v="6"/>
    <x v="6"/>
    <x v="1315"/>
    <x v="1319"/>
    <x v="1169"/>
    <n v="2"/>
    <x v="10"/>
    <s v="ESTACION E018"/>
    <s v="MZ.Q LT.1 ASENT.H. SANTISIMA CRUZ"/>
    <x v="44"/>
    <x v="0"/>
    <x v="0"/>
    <x v="2"/>
    <x v="4"/>
    <x v="0"/>
    <n v="4"/>
    <n v="176"/>
    <x v="0"/>
    <x v="1"/>
    <n v="2.4390243902439025E-2"/>
    <x v="16"/>
    <x v="2"/>
    <s v="OK"/>
    <x v="0"/>
    <s v="OK"/>
    <x v="0"/>
    <x v="0"/>
    <n v="1"/>
    <n v="0"/>
    <n v="1"/>
    <n v="0"/>
    <x v="0"/>
    <x v="0"/>
    <x v="1"/>
  </r>
  <r>
    <s v="20600535634"/>
    <x v="6"/>
    <x v="6"/>
    <x v="1316"/>
    <x v="1320"/>
    <x v="1170"/>
    <n v="2"/>
    <x v="10"/>
    <s v="ESTACION E016"/>
    <s v="MZ.E-4 LT.37 SECTOR 12 DE NOVIEMBRE P.ALTA"/>
    <x v="53"/>
    <x v="0"/>
    <x v="0"/>
    <x v="2"/>
    <x v="4"/>
    <x v="0"/>
    <n v="4"/>
    <n v="176"/>
    <x v="0"/>
    <x v="1"/>
    <n v="2.4390243902439025E-2"/>
    <x v="22"/>
    <x v="2"/>
    <s v="OK"/>
    <x v="0"/>
    <s v="OK"/>
    <x v="0"/>
    <x v="0"/>
    <n v="1"/>
    <n v="0"/>
    <n v="1"/>
    <n v="0"/>
    <x v="0"/>
    <x v="0"/>
    <x v="1"/>
  </r>
  <r>
    <s v="20600535634"/>
    <x v="6"/>
    <x v="6"/>
    <x v="1317"/>
    <x v="1321"/>
    <x v="1171"/>
    <n v="2"/>
    <x v="10"/>
    <s v="ESTACION E016"/>
    <s v="CALLE MARIA PARADO DE BELLIDO 160 SANTA CLARA"/>
    <x v="1"/>
    <x v="0"/>
    <x v="0"/>
    <x v="2"/>
    <x v="204"/>
    <x v="0"/>
    <n v="4"/>
    <n v="144"/>
    <x v="0"/>
    <x v="1"/>
    <n v="2.4390243902439025E-2"/>
    <x v="21"/>
    <x v="2"/>
    <s v="OK"/>
    <x v="1"/>
    <s v="OK"/>
    <x v="0"/>
    <x v="0"/>
    <n v="1"/>
    <n v="1"/>
    <n v="1"/>
    <n v="0"/>
    <x v="0"/>
    <x v="0"/>
    <x v="1"/>
  </r>
  <r>
    <s v="20600535634"/>
    <x v="6"/>
    <x v="6"/>
    <x v="1318"/>
    <x v="1322"/>
    <x v="1172"/>
    <n v="2"/>
    <x v="10"/>
    <s v="ESTACION E012"/>
    <s v="CAL.LIBERTAD 988"/>
    <x v="23"/>
    <x v="0"/>
    <x v="0"/>
    <x v="2"/>
    <x v="37"/>
    <x v="0"/>
    <n v="4"/>
    <n v="96"/>
    <x v="0"/>
    <x v="1"/>
    <n v="2.4390243902439025E-2"/>
    <x v="16"/>
    <x v="2"/>
    <s v="OK"/>
    <x v="0"/>
    <s v="OK"/>
    <x v="0"/>
    <x v="0"/>
    <n v="1"/>
    <n v="0"/>
    <n v="1"/>
    <n v="0"/>
    <x v="0"/>
    <x v="0"/>
    <x v="1"/>
  </r>
  <r>
    <s v="20600535634"/>
    <x v="6"/>
    <x v="6"/>
    <x v="1319"/>
    <x v="1323"/>
    <x v="1173"/>
    <n v="2"/>
    <x v="10"/>
    <s v="ESTACION E012"/>
    <s v="PAMPLONA MZA. B7 LOTE. 19 PAMPLONA SECTOR 7 DE JUNIO"/>
    <x v="53"/>
    <x v="0"/>
    <x v="0"/>
    <x v="4"/>
    <x v="481"/>
    <x v="0"/>
    <n v="4"/>
    <n v="88"/>
    <x v="0"/>
    <x v="1"/>
    <n v="2.4390243902439025E-2"/>
    <x v="20"/>
    <x v="2"/>
    <s v="OK"/>
    <x v="0"/>
    <s v="OK"/>
    <x v="0"/>
    <x v="0"/>
    <n v="1"/>
    <n v="0"/>
    <n v="1"/>
    <n v="0"/>
    <x v="0"/>
    <x v="0"/>
    <x v="1"/>
  </r>
  <r>
    <s v="20562719700"/>
    <x v="7"/>
    <x v="7"/>
    <x v="1320"/>
    <x v="1324"/>
    <x v="1174"/>
    <n v="1"/>
    <x v="88"/>
    <s v="ESTACION 16"/>
    <s v="AV PROLONGACION JAVIER +I8:I44PRADO 7567"/>
    <x v="34"/>
    <x v="0"/>
    <x v="0"/>
    <x v="2"/>
    <x v="482"/>
    <x v="0"/>
    <n v="2"/>
    <n v="192"/>
    <x v="0"/>
    <x v="1"/>
    <n v="5.7803468208092483E-3"/>
    <x v="22"/>
    <x v="2"/>
    <s v="OK"/>
    <x v="1"/>
    <s v="OK"/>
    <x v="0"/>
    <x v="0"/>
    <n v="1"/>
    <n v="1"/>
    <n v="0"/>
    <n v="0"/>
    <x v="0"/>
    <x v="0"/>
    <x v="0"/>
  </r>
  <r>
    <s v="20562719700"/>
    <x v="7"/>
    <x v="7"/>
    <x v="1321"/>
    <x v="1325"/>
    <x v="1175"/>
    <n v="1"/>
    <x v="241"/>
    <s v="ESTACION 26"/>
    <s v="FRANCISCO PIZARRO 253 BELLAVISTA"/>
    <x v="7"/>
    <x v="1"/>
    <x v="0"/>
    <x v="2"/>
    <x v="483"/>
    <x v="0"/>
    <n v="2"/>
    <n v="192"/>
    <x v="0"/>
    <x v="1"/>
    <n v="5.7803468208092483E-3"/>
    <x v="20"/>
    <x v="2"/>
    <s v="OK"/>
    <x v="0"/>
    <s v="OK"/>
    <x v="0"/>
    <x v="0"/>
    <n v="1"/>
    <n v="0"/>
    <n v="0"/>
    <n v="0"/>
    <x v="0"/>
    <x v="0"/>
    <x v="0"/>
  </r>
  <r>
    <s v="20562719700"/>
    <x v="7"/>
    <x v="7"/>
    <x v="1322"/>
    <x v="1326"/>
    <x v="1176"/>
    <n v="1"/>
    <x v="93"/>
    <s v="ESTACION 26"/>
    <s v="CALLE 27 MZ.V LT.4 URB.EL TREBOL 3ERA ETAPA LIMA-LIMA-LOS OLIVOS  "/>
    <x v="15"/>
    <x v="0"/>
    <x v="0"/>
    <x v="2"/>
    <x v="484"/>
    <x v="0"/>
    <n v="2"/>
    <n v="192"/>
    <x v="0"/>
    <x v="1"/>
    <n v="5.7803468208092483E-3"/>
    <x v="20"/>
    <x v="2"/>
    <s v="OK"/>
    <x v="0"/>
    <s v="OK"/>
    <x v="0"/>
    <x v="0"/>
    <n v="1"/>
    <n v="0"/>
    <n v="0"/>
    <n v="0"/>
    <x v="0"/>
    <x v="0"/>
    <x v="0"/>
  </r>
  <r>
    <s v="20562719700"/>
    <x v="7"/>
    <x v="7"/>
    <x v="1323"/>
    <x v="1327"/>
    <x v="1177"/>
    <n v="1"/>
    <x v="93"/>
    <s v="ESTACION 06"/>
    <s v="MZ. LT.35 URB. VILLA SOL"/>
    <x v="49"/>
    <x v="1"/>
    <x v="0"/>
    <x v="2"/>
    <x v="485"/>
    <x v="0"/>
    <n v="2"/>
    <n v="192"/>
    <x v="0"/>
    <x v="1"/>
    <n v="5.7803468208092483E-3"/>
    <x v="15"/>
    <x v="2"/>
    <s v="OK"/>
    <x v="0"/>
    <s v="OK"/>
    <x v="0"/>
    <x v="0"/>
    <n v="1"/>
    <n v="0"/>
    <n v="0"/>
    <n v="0"/>
    <x v="0"/>
    <x v="0"/>
    <x v="0"/>
  </r>
  <r>
    <s v="20562719700"/>
    <x v="7"/>
    <x v="7"/>
    <x v="1324"/>
    <x v="1328"/>
    <x v="1178"/>
    <n v="1"/>
    <x v="93"/>
    <s v="ESTACION 08"/>
    <s v="JR. ANDRES TORRES PAZ 305 URB. CONDEVILLA"/>
    <x v="3"/>
    <x v="0"/>
    <x v="0"/>
    <x v="2"/>
    <x v="486"/>
    <x v="0"/>
    <n v="2"/>
    <n v="140"/>
    <x v="0"/>
    <x v="1"/>
    <n v="5.7803468208092483E-3"/>
    <x v="20"/>
    <x v="2"/>
    <s v="OK"/>
    <x v="0"/>
    <s v="OK"/>
    <x v="0"/>
    <x v="0"/>
    <n v="1"/>
    <n v="0"/>
    <n v="0"/>
    <n v="0"/>
    <x v="0"/>
    <x v="0"/>
    <x v="0"/>
  </r>
  <r>
    <s v="20562719700"/>
    <x v="7"/>
    <x v="7"/>
    <x v="1325"/>
    <x v="1329"/>
    <x v="1179"/>
    <n v="1"/>
    <x v="115"/>
    <s v="ESTACIONES 06-10-16-25-26-27"/>
    <s v="MZ.I. LT.15 AA.HH. CRUCE EL MILAGRO"/>
    <x v="226"/>
    <x v="0"/>
    <x v="0"/>
    <x v="2"/>
    <x v="54"/>
    <x v="0"/>
    <n v="2"/>
    <n v="192"/>
    <x v="0"/>
    <x v="1"/>
    <n v="5.7803468208092483E-3"/>
    <x v="17"/>
    <x v="2"/>
    <s v="OK"/>
    <x v="0"/>
    <s v="OK"/>
    <x v="0"/>
    <x v="0"/>
    <n v="1"/>
    <n v="0"/>
    <n v="0"/>
    <n v="0"/>
    <x v="0"/>
    <x v="0"/>
    <x v="0"/>
  </r>
  <r>
    <s v="20562719700"/>
    <x v="7"/>
    <x v="7"/>
    <x v="1326"/>
    <x v="1330"/>
    <x v="1180"/>
    <n v="1"/>
    <x v="93"/>
    <s v="ESTACION 26"/>
    <s v="AV. SANTA ROSA S/N - TINTAY - HUANCABELICA"/>
    <x v="227"/>
    <x v="0"/>
    <x v="0"/>
    <x v="2"/>
    <x v="159"/>
    <x v="0"/>
    <n v="2"/>
    <n v="192"/>
    <x v="0"/>
    <x v="1"/>
    <n v="5.7803468208092483E-3"/>
    <x v="19"/>
    <x v="2"/>
    <s v="OK"/>
    <x v="0"/>
    <s v="OK"/>
    <x v="0"/>
    <x v="0"/>
    <n v="1"/>
    <n v="0"/>
    <n v="0"/>
    <n v="0"/>
    <x v="0"/>
    <x v="0"/>
    <x v="0"/>
  </r>
  <r>
    <s v="20562719700"/>
    <x v="7"/>
    <x v="7"/>
    <x v="1327"/>
    <x v="1331"/>
    <x v="1181"/>
    <n v="1"/>
    <x v="93"/>
    <s v="ESTACION 08"/>
    <s v="JR PUMACAHUA   1563"/>
    <x v="51"/>
    <x v="0"/>
    <x v="0"/>
    <x v="2"/>
    <x v="487"/>
    <x v="0"/>
    <n v="2"/>
    <n v="192"/>
    <x v="0"/>
    <x v="1"/>
    <n v="5.7803468208092483E-3"/>
    <x v="15"/>
    <x v="2"/>
    <s v="OK"/>
    <x v="0"/>
    <s v="OK"/>
    <x v="0"/>
    <x v="0"/>
    <n v="1"/>
    <n v="0"/>
    <n v="0"/>
    <n v="0"/>
    <x v="0"/>
    <x v="0"/>
    <x v="0"/>
  </r>
  <r>
    <s v="20562719700"/>
    <x v="7"/>
    <x v="7"/>
    <x v="1328"/>
    <x v="1332"/>
    <x v="1182"/>
    <n v="1"/>
    <x v="242"/>
    <s v="ESTACION 26"/>
    <s v="JOSE DE LA RIVA AUGERO EL TREBOL MZ V LT 4 PISO 5"/>
    <x v="228"/>
    <x v="0"/>
    <x v="0"/>
    <x v="2"/>
    <x v="488"/>
    <x v="0"/>
    <n v="2"/>
    <n v="192"/>
    <x v="0"/>
    <x v="1"/>
    <n v="5.7803468208092483E-3"/>
    <x v="21"/>
    <x v="2"/>
    <s v="OK"/>
    <x v="0"/>
    <s v="OK"/>
    <x v="0"/>
    <x v="0"/>
    <n v="1"/>
    <n v="0"/>
    <n v="0"/>
    <n v="0"/>
    <x v="0"/>
    <x v="0"/>
    <x v="0"/>
  </r>
  <r>
    <s v="20562719700"/>
    <x v="7"/>
    <x v="7"/>
    <x v="1329"/>
    <x v="1333"/>
    <x v="1183"/>
    <n v="1"/>
    <x v="115"/>
    <s v="ESTACION 10"/>
    <s v="CALLE 27 MZ.V LT.4 URB.EL TREBOL 3ERA ETAPA LIMA-LIMA-LOS OLIVOS  "/>
    <x v="229"/>
    <x v="0"/>
    <x v="0"/>
    <x v="2"/>
    <x v="489"/>
    <x v="0"/>
    <n v="2"/>
    <n v="192"/>
    <x v="0"/>
    <x v="1"/>
    <n v="5.7803468208092483E-3"/>
    <x v="19"/>
    <x v="2"/>
    <s v="OK"/>
    <x v="0"/>
    <s v="OK"/>
    <x v="0"/>
    <x v="0"/>
    <n v="1"/>
    <n v="0"/>
    <n v="0"/>
    <n v="0"/>
    <x v="0"/>
    <x v="0"/>
    <x v="0"/>
  </r>
  <r>
    <s v="20562719700"/>
    <x v="7"/>
    <x v="7"/>
    <x v="1330"/>
    <x v="1334"/>
    <x v="1184"/>
    <m/>
    <x v="2"/>
    <s v="ESTACION 06"/>
    <s v="AV. LA PAZ 980 DPTO 8 LA PERLA"/>
    <x v="6"/>
    <x v="0"/>
    <x v="0"/>
    <x v="2"/>
    <x v="167"/>
    <x v="0"/>
    <n v="4"/>
    <n v="192"/>
    <x v="0"/>
    <x v="1"/>
    <n v="5.7803468208092483E-3"/>
    <x v="14"/>
    <x v="2"/>
    <s v="OK"/>
    <x v="2"/>
    <s v="OK"/>
    <x v="0"/>
    <x v="0"/>
    <n v="1"/>
    <n v="1"/>
    <n v="0"/>
    <n v="0"/>
    <x v="0"/>
    <x v="0"/>
    <x v="0"/>
  </r>
  <r>
    <s v="20562719700"/>
    <x v="7"/>
    <x v="7"/>
    <x v="1331"/>
    <x v="1335"/>
    <x v="1185"/>
    <m/>
    <x v="59"/>
    <s v="ESTACION 06"/>
    <s v="AV. ESTEBAN SALMON210"/>
    <x v="13"/>
    <x v="0"/>
    <x v="0"/>
    <x v="2"/>
    <x v="490"/>
    <x v="0"/>
    <n v="4"/>
    <n v="192"/>
    <x v="0"/>
    <x v="1"/>
    <n v="5.7803468208092483E-3"/>
    <x v="22"/>
    <x v="2"/>
    <s v="OK"/>
    <x v="0"/>
    <s v="OK"/>
    <x v="0"/>
    <x v="0"/>
    <n v="1"/>
    <n v="0"/>
    <n v="0"/>
    <n v="0"/>
    <x v="0"/>
    <x v="0"/>
    <x v="0"/>
  </r>
  <r>
    <s v="20562719700"/>
    <x v="7"/>
    <x v="7"/>
    <x v="1332"/>
    <x v="1336"/>
    <x v="1186"/>
    <m/>
    <x v="4"/>
    <s v="ESTACION 08"/>
    <s v="VARIANTE  DE HUCHUMAYO "/>
    <x v="230"/>
    <x v="0"/>
    <x v="0"/>
    <x v="2"/>
    <x v="443"/>
    <x v="0"/>
    <n v="4"/>
    <n v="192"/>
    <x v="0"/>
    <x v="1"/>
    <n v="5.7803468208092483E-3"/>
    <x v="18"/>
    <x v="2"/>
    <s v="OK"/>
    <x v="0"/>
    <s v="OK"/>
    <x v="0"/>
    <x v="0"/>
    <n v="1"/>
    <n v="0"/>
    <n v="0"/>
    <n v="0"/>
    <x v="0"/>
    <x v="0"/>
    <x v="0"/>
  </r>
  <r>
    <s v="20562719700"/>
    <x v="7"/>
    <x v="7"/>
    <x v="1333"/>
    <x v="1337"/>
    <x v="1187"/>
    <m/>
    <x v="4"/>
    <s v="ESTACION 08"/>
    <s v="AAHH 15 DE ENERO MZ 13 LT 21    015-LIMA"/>
    <x v="15"/>
    <x v="0"/>
    <x v="0"/>
    <x v="2"/>
    <x v="491"/>
    <x v="0"/>
    <n v="4"/>
    <n v="192"/>
    <x v="0"/>
    <x v="1"/>
    <n v="5.7803468208092483E-3"/>
    <x v="17"/>
    <x v="2"/>
    <s v="OK"/>
    <x v="0"/>
    <s v="OK"/>
    <x v="0"/>
    <x v="0"/>
    <n v="1"/>
    <n v="0"/>
    <n v="0"/>
    <n v="0"/>
    <x v="0"/>
    <x v="0"/>
    <x v="0"/>
  </r>
  <r>
    <s v="20562719700"/>
    <x v="7"/>
    <x v="7"/>
    <x v="1334"/>
    <x v="1338"/>
    <x v="1188"/>
    <m/>
    <x v="59"/>
    <s v="ESTACION 06"/>
    <s v="CALLE 10 COOP. VIRGEN DE FATIMA MZ.M LT.23"/>
    <x v="3"/>
    <x v="0"/>
    <x v="0"/>
    <x v="2"/>
    <x v="218"/>
    <x v="0"/>
    <n v="4"/>
    <n v="192"/>
    <x v="0"/>
    <x v="1"/>
    <n v="5.7803468208092483E-3"/>
    <x v="17"/>
    <x v="2"/>
    <s v="OK"/>
    <x v="0"/>
    <s v="OK"/>
    <x v="0"/>
    <x v="0"/>
    <n v="1"/>
    <n v="0"/>
    <n v="0"/>
    <n v="0"/>
    <x v="0"/>
    <x v="0"/>
    <x v="0"/>
  </r>
  <r>
    <s v="20562719700"/>
    <x v="7"/>
    <x v="7"/>
    <x v="1335"/>
    <x v="1339"/>
    <x v="1189"/>
    <m/>
    <x v="4"/>
    <s v="ESTACION 08"/>
    <s v="SECTOR 2 GRUPO 19"/>
    <x v="2"/>
    <x v="0"/>
    <x v="0"/>
    <x v="2"/>
    <x v="31"/>
    <x v="0"/>
    <n v="4"/>
    <n v="192"/>
    <x v="0"/>
    <x v="1"/>
    <n v="5.7803468208092483E-3"/>
    <x v="22"/>
    <x v="2"/>
    <s v="OK"/>
    <x v="2"/>
    <s v="OK"/>
    <x v="0"/>
    <x v="0"/>
    <n v="1"/>
    <n v="1"/>
    <n v="0"/>
    <n v="0"/>
    <x v="0"/>
    <x v="0"/>
    <x v="0"/>
  </r>
  <r>
    <s v="20562719700"/>
    <x v="7"/>
    <x v="7"/>
    <x v="1336"/>
    <x v="1340"/>
    <x v="1190"/>
    <m/>
    <x v="4"/>
    <s v="ESTACION 26"/>
    <s v="LA MAR 562  2DO -"/>
    <x v="231"/>
    <x v="0"/>
    <x v="0"/>
    <x v="2"/>
    <x v="492"/>
    <x v="0"/>
    <n v="4"/>
    <n v="192"/>
    <x v="0"/>
    <x v="1"/>
    <n v="5.7803468208092483E-3"/>
    <x v="21"/>
    <x v="2"/>
    <s v="OK"/>
    <x v="0"/>
    <s v="OK"/>
    <x v="0"/>
    <x v="0"/>
    <n v="1"/>
    <n v="0"/>
    <n v="0"/>
    <n v="0"/>
    <x v="0"/>
    <x v="0"/>
    <x v="0"/>
  </r>
  <r>
    <s v="20562719700"/>
    <x v="7"/>
    <x v="7"/>
    <x v="1337"/>
    <x v="1341"/>
    <x v="1191"/>
    <m/>
    <x v="4"/>
    <s v="ESTACION 16"/>
    <s v="LA LIBERTAD 340   -"/>
    <x v="118"/>
    <x v="0"/>
    <x v="0"/>
    <x v="2"/>
    <x v="493"/>
    <x v="0"/>
    <n v="4"/>
    <n v="192"/>
    <x v="0"/>
    <x v="1"/>
    <n v="5.7803468208092483E-3"/>
    <x v="14"/>
    <x v="2"/>
    <s v="OK"/>
    <x v="0"/>
    <s v="OK"/>
    <x v="0"/>
    <x v="0"/>
    <n v="1"/>
    <n v="0"/>
    <n v="0"/>
    <n v="0"/>
    <x v="0"/>
    <x v="0"/>
    <x v="0"/>
  </r>
  <r>
    <s v="20562719700"/>
    <x v="7"/>
    <x v="7"/>
    <x v="1338"/>
    <x v="1342"/>
    <x v="1192"/>
    <m/>
    <x v="4"/>
    <s v="ESTACION 08"/>
    <s v="AYACUCHO 679 MZ 2 LT 2 JOSE GALVEZ -"/>
    <x v="2"/>
    <x v="0"/>
    <x v="0"/>
    <x v="2"/>
    <x v="209"/>
    <x v="0"/>
    <n v="4"/>
    <n v="192"/>
    <x v="0"/>
    <x v="1"/>
    <n v="5.7803468208092483E-3"/>
    <x v="16"/>
    <x v="2"/>
    <s v="OK"/>
    <x v="2"/>
    <s v="OK"/>
    <x v="0"/>
    <x v="0"/>
    <n v="1"/>
    <n v="1"/>
    <n v="0"/>
    <n v="0"/>
    <x v="0"/>
    <x v="0"/>
    <x v="0"/>
  </r>
  <r>
    <s v="20562719700"/>
    <x v="7"/>
    <x v="7"/>
    <x v="1339"/>
    <x v="1343"/>
    <x v="1193"/>
    <m/>
    <x v="4"/>
    <s v="ESTACION 08"/>
    <s v="MARIA PARADO DE BELLIDO 1185  UNIVERSAL SEGUNDA ETAPA 015-LIMA"/>
    <x v="3"/>
    <x v="0"/>
    <x v="0"/>
    <x v="2"/>
    <x v="494"/>
    <x v="0"/>
    <n v="4"/>
    <n v="192"/>
    <x v="0"/>
    <x v="1"/>
    <n v="5.7803468208092483E-3"/>
    <x v="16"/>
    <x v="2"/>
    <s v="OK"/>
    <x v="0"/>
    <s v="OK"/>
    <x v="0"/>
    <x v="0"/>
    <n v="1"/>
    <n v="0"/>
    <n v="0"/>
    <n v="0"/>
    <x v="0"/>
    <x v="0"/>
    <x v="0"/>
  </r>
  <r>
    <s v="20562719700"/>
    <x v="7"/>
    <x v="7"/>
    <x v="1340"/>
    <x v="1344"/>
    <x v="1194"/>
    <m/>
    <x v="4"/>
    <s v="ESTACION 06"/>
    <s v="CRUZ DE MOTUPO MZ L LT 1 2DA ETAPA GRUPO 5 -"/>
    <x v="8"/>
    <x v="0"/>
    <x v="0"/>
    <x v="2"/>
    <x v="495"/>
    <x v="0"/>
    <n v="4"/>
    <n v="192"/>
    <x v="0"/>
    <x v="1"/>
    <n v="5.7803468208092483E-3"/>
    <x v="16"/>
    <x v="2"/>
    <s v="OK"/>
    <x v="0"/>
    <s v="OK"/>
    <x v="0"/>
    <x v="0"/>
    <n v="1"/>
    <n v="0"/>
    <n v="0"/>
    <n v="0"/>
    <x v="0"/>
    <x v="0"/>
    <x v="0"/>
  </r>
  <r>
    <s v="20562719700"/>
    <x v="7"/>
    <x v="7"/>
    <x v="1341"/>
    <x v="1345"/>
    <x v="1195"/>
    <m/>
    <x v="4"/>
    <s v="ESTACION 06"/>
    <s v="URB. SANTA ROSA DE VILLA MZ.D LT.13"/>
    <x v="54"/>
    <x v="0"/>
    <x v="0"/>
    <x v="2"/>
    <x v="226"/>
    <x v="0"/>
    <n v="4"/>
    <n v="192"/>
    <x v="0"/>
    <x v="1"/>
    <n v="5.7803468208092483E-3"/>
    <x v="17"/>
    <x v="2"/>
    <s v="OK"/>
    <x v="0"/>
    <s v="OK"/>
    <x v="0"/>
    <x v="0"/>
    <n v="1"/>
    <n v="0"/>
    <n v="0"/>
    <n v="0"/>
    <x v="0"/>
    <x v="0"/>
    <x v="0"/>
  </r>
  <r>
    <s v="20562719700"/>
    <x v="7"/>
    <x v="7"/>
    <x v="1342"/>
    <x v="1346"/>
    <x v="1196"/>
    <m/>
    <x v="4"/>
    <s v="ESTACION 06"/>
    <s v="JR SAN LORENZO 383"/>
    <x v="86"/>
    <x v="0"/>
    <x v="0"/>
    <x v="2"/>
    <x v="214"/>
    <x v="0"/>
    <n v="4"/>
    <n v="192"/>
    <x v="0"/>
    <x v="1"/>
    <n v="5.7803468208092483E-3"/>
    <x v="19"/>
    <x v="2"/>
    <s v="OK"/>
    <x v="0"/>
    <s v="OK"/>
    <x v="0"/>
    <x v="0"/>
    <n v="1"/>
    <n v="0"/>
    <n v="0"/>
    <n v="0"/>
    <x v="0"/>
    <x v="0"/>
    <x v="0"/>
  </r>
  <r>
    <s v="20562719700"/>
    <x v="7"/>
    <x v="7"/>
    <x v="1343"/>
    <x v="1347"/>
    <x v="1197"/>
    <m/>
    <x v="5"/>
    <s v="ESTACION 06"/>
    <s v="CALLE YUNGAY 153"/>
    <x v="8"/>
    <x v="0"/>
    <x v="0"/>
    <x v="2"/>
    <x v="162"/>
    <x v="0"/>
    <n v="4"/>
    <n v="192"/>
    <x v="0"/>
    <x v="1"/>
    <n v="5.7803468208092483E-3"/>
    <x v="16"/>
    <x v="2"/>
    <s v="OK"/>
    <x v="0"/>
    <s v="OK"/>
    <x v="0"/>
    <x v="0"/>
    <n v="1"/>
    <n v="0"/>
    <n v="0"/>
    <n v="0"/>
    <x v="0"/>
    <x v="0"/>
    <x v="0"/>
  </r>
  <r>
    <s v="20562719700"/>
    <x v="7"/>
    <x v="7"/>
    <x v="1344"/>
    <x v="1348"/>
    <x v="1198"/>
    <m/>
    <x v="59"/>
    <s v="ESTACION 16"/>
    <s v="ASOC. LAS GARDENIAS MZ D LT 3  015-LIMA"/>
    <x v="146"/>
    <x v="0"/>
    <x v="0"/>
    <x v="2"/>
    <x v="496"/>
    <x v="0"/>
    <n v="4"/>
    <n v="192"/>
    <x v="0"/>
    <x v="1"/>
    <n v="5.7803468208092483E-3"/>
    <x v="22"/>
    <x v="2"/>
    <s v="OK"/>
    <x v="0"/>
    <s v="OK"/>
    <x v="0"/>
    <x v="0"/>
    <n v="1"/>
    <n v="0"/>
    <n v="0"/>
    <n v="0"/>
    <x v="0"/>
    <x v="0"/>
    <x v="0"/>
  </r>
  <r>
    <s v="20562719700"/>
    <x v="7"/>
    <x v="7"/>
    <x v="1345"/>
    <x v="1349"/>
    <x v="1199"/>
    <m/>
    <x v="4"/>
    <s v="ESTACION 16"/>
    <s v="MZ 4A LT 6   JOSE CARLOS MARIATEGUI 015-LIMA"/>
    <x v="15"/>
    <x v="0"/>
    <x v="0"/>
    <x v="2"/>
    <x v="497"/>
    <x v="0"/>
    <n v="4"/>
    <n v="192"/>
    <x v="0"/>
    <x v="1"/>
    <n v="5.7803468208092483E-3"/>
    <x v="17"/>
    <x v="2"/>
    <s v="OK"/>
    <x v="0"/>
    <s v="OK"/>
    <x v="0"/>
    <x v="0"/>
    <n v="1"/>
    <n v="0"/>
    <n v="0"/>
    <n v="0"/>
    <x v="0"/>
    <x v="0"/>
    <x v="0"/>
  </r>
  <r>
    <s v="20562719700"/>
    <x v="7"/>
    <x v="7"/>
    <x v="1346"/>
    <x v="1350"/>
    <x v="1200"/>
    <m/>
    <x v="59"/>
    <s v="ESTACION 06"/>
    <s v="CALLE 41-A AA.HH. 10 DE OCTUBRE MZ.B9 LT.33"/>
    <x v="15"/>
    <x v="0"/>
    <x v="0"/>
    <x v="2"/>
    <x v="219"/>
    <x v="0"/>
    <n v="4"/>
    <n v="192"/>
    <x v="0"/>
    <x v="1"/>
    <n v="5.7803468208092483E-3"/>
    <x v="16"/>
    <x v="2"/>
    <s v="OK"/>
    <x v="0"/>
    <s v="OK"/>
    <x v="0"/>
    <x v="0"/>
    <n v="1"/>
    <n v="0"/>
    <n v="0"/>
    <n v="0"/>
    <x v="0"/>
    <x v="0"/>
    <x v="0"/>
  </r>
  <r>
    <s v="20562719700"/>
    <x v="7"/>
    <x v="7"/>
    <x v="1347"/>
    <x v="1351"/>
    <x v="1201"/>
    <m/>
    <x v="4"/>
    <s v="PV1 BIS"/>
    <s v="AV HUANDOY EL SEO MZ A LT 30   URB EL OLIVAR 015-LIMA"/>
    <x v="49"/>
    <x v="0"/>
    <x v="0"/>
    <x v="2"/>
    <x v="215"/>
    <x v="0"/>
    <n v="4"/>
    <n v="192"/>
    <x v="0"/>
    <x v="1"/>
    <n v="5.7803468208092483E-3"/>
    <x v="18"/>
    <x v="2"/>
    <s v="OK"/>
    <x v="0"/>
    <s v="OK"/>
    <x v="0"/>
    <x v="0"/>
    <n v="1"/>
    <n v="0"/>
    <n v="0"/>
    <n v="0"/>
    <x v="0"/>
    <x v="0"/>
    <x v="0"/>
  </r>
  <r>
    <s v="20562719700"/>
    <x v="7"/>
    <x v="7"/>
    <x v="1348"/>
    <x v="1352"/>
    <x v="1202"/>
    <m/>
    <x v="4"/>
    <s v="ESTACION 06"/>
    <s v="MARCO PUENTE LLANOS AAHH CERRO CANDELA MZ O LT 04"/>
    <x v="1"/>
    <x v="0"/>
    <x v="0"/>
    <x v="2"/>
    <x v="217"/>
    <x v="0"/>
    <n v="4"/>
    <n v="192"/>
    <x v="0"/>
    <x v="1"/>
    <n v="5.7803468208092483E-3"/>
    <x v="18"/>
    <x v="2"/>
    <s v="OK"/>
    <x v="1"/>
    <s v="OK"/>
    <x v="0"/>
    <x v="0"/>
    <n v="1"/>
    <n v="1"/>
    <n v="0"/>
    <n v="0"/>
    <x v="0"/>
    <x v="0"/>
    <x v="0"/>
  </r>
  <r>
    <s v="20562719700"/>
    <x v="7"/>
    <x v="7"/>
    <x v="1349"/>
    <x v="1353"/>
    <x v="1203"/>
    <m/>
    <x v="4"/>
    <s v="ESTACION 06"/>
    <s v="JR. TRUJILLO 458"/>
    <x v="13"/>
    <x v="0"/>
    <x v="0"/>
    <x v="2"/>
    <x v="221"/>
    <x v="0"/>
    <n v="4"/>
    <n v="192"/>
    <x v="0"/>
    <x v="1"/>
    <n v="5.7803468208092483E-3"/>
    <x v="17"/>
    <x v="2"/>
    <s v="OK"/>
    <x v="0"/>
    <s v="OK"/>
    <x v="0"/>
    <x v="0"/>
    <n v="1"/>
    <n v="0"/>
    <n v="0"/>
    <n v="0"/>
    <x v="0"/>
    <x v="0"/>
    <x v="0"/>
  </r>
  <r>
    <s v="20562719700"/>
    <x v="7"/>
    <x v="7"/>
    <x v="1350"/>
    <x v="1354"/>
    <x v="1204"/>
    <m/>
    <x v="4"/>
    <s v="ESTACION 06"/>
    <s v="CALLE YUNGAY 153"/>
    <x v="8"/>
    <x v="0"/>
    <x v="0"/>
    <x v="2"/>
    <x v="218"/>
    <x v="0"/>
    <n v="4"/>
    <n v="192"/>
    <x v="0"/>
    <x v="1"/>
    <n v="5.7803468208092483E-3"/>
    <x v="16"/>
    <x v="2"/>
    <s v="OK"/>
    <x v="0"/>
    <s v="OK"/>
    <x v="0"/>
    <x v="0"/>
    <n v="1"/>
    <n v="0"/>
    <n v="0"/>
    <n v="0"/>
    <x v="0"/>
    <x v="0"/>
    <x v="0"/>
  </r>
  <r>
    <s v="20562719700"/>
    <x v="7"/>
    <x v="7"/>
    <x v="1351"/>
    <x v="1355"/>
    <x v="1098"/>
    <m/>
    <x v="4"/>
    <s v="ESTACION 08"/>
    <s v="LIMA TAMBO NORTE MZ.E LT.16"/>
    <x v="78"/>
    <x v="0"/>
    <x v="0"/>
    <x v="2"/>
    <x v="443"/>
    <x v="0"/>
    <n v="4"/>
    <n v="192"/>
    <x v="0"/>
    <x v="1"/>
    <n v="5.7803468208092483E-3"/>
    <x v="18"/>
    <x v="2"/>
    <s v="OK"/>
    <x v="6"/>
    <s v="OK"/>
    <x v="0"/>
    <x v="0"/>
    <n v="1"/>
    <n v="1"/>
    <n v="0"/>
    <n v="0"/>
    <x v="0"/>
    <x v="0"/>
    <x v="0"/>
  </r>
  <r>
    <s v="20562719700"/>
    <x v="7"/>
    <x v="7"/>
    <x v="1352"/>
    <x v="1356"/>
    <x v="1205"/>
    <m/>
    <x v="5"/>
    <s v="ESTACION 08"/>
    <s v="JR. 28 DE JULIO 439"/>
    <x v="10"/>
    <x v="0"/>
    <x v="0"/>
    <x v="2"/>
    <x v="31"/>
    <x v="0"/>
    <n v="4"/>
    <n v="192"/>
    <x v="0"/>
    <x v="1"/>
    <n v="5.7803468208092483E-3"/>
    <x v="14"/>
    <x v="2"/>
    <s v="OK"/>
    <x v="0"/>
    <s v="OK"/>
    <x v="0"/>
    <x v="0"/>
    <n v="1"/>
    <n v="0"/>
    <n v="0"/>
    <n v="0"/>
    <x v="0"/>
    <x v="0"/>
    <x v="0"/>
  </r>
  <r>
    <s v="20562719700"/>
    <x v="7"/>
    <x v="7"/>
    <x v="1353"/>
    <x v="1357"/>
    <x v="1180"/>
    <m/>
    <x v="89"/>
    <s v="PV1 BIS"/>
    <s v="SAN CARLOS MZ B  PRO VIVIENDA SAN CARLOS -"/>
    <x v="8"/>
    <x v="0"/>
    <x v="0"/>
    <x v="2"/>
    <x v="498"/>
    <x v="0"/>
    <n v="4"/>
    <n v="192"/>
    <x v="0"/>
    <x v="1"/>
    <n v="5.7803468208092483E-3"/>
    <x v="19"/>
    <x v="2"/>
    <s v="OK"/>
    <x v="0"/>
    <s v="OK"/>
    <x v="0"/>
    <x v="0"/>
    <n v="1"/>
    <n v="0"/>
    <n v="0"/>
    <n v="0"/>
    <x v="0"/>
    <x v="0"/>
    <x v="0"/>
  </r>
  <r>
    <s v="20562719700"/>
    <x v="7"/>
    <x v="7"/>
    <x v="1354"/>
    <x v="1358"/>
    <x v="1206"/>
    <m/>
    <x v="59"/>
    <s v="PV1 BIS"/>
    <s v="LOS ROBLES MZ A LT 3  -"/>
    <x v="2"/>
    <x v="0"/>
    <x v="0"/>
    <x v="2"/>
    <x v="499"/>
    <x v="0"/>
    <n v="4"/>
    <n v="192"/>
    <x v="0"/>
    <x v="1"/>
    <n v="5.7803468208092483E-3"/>
    <x v="22"/>
    <x v="2"/>
    <s v="OK"/>
    <x v="2"/>
    <s v="OK"/>
    <x v="0"/>
    <x v="0"/>
    <n v="1"/>
    <n v="1"/>
    <n v="0"/>
    <n v="0"/>
    <x v="0"/>
    <x v="0"/>
    <x v="0"/>
  </r>
  <r>
    <s v="20562719700"/>
    <x v="7"/>
    <x v="7"/>
    <x v="1355"/>
    <x v="1359"/>
    <x v="1207"/>
    <m/>
    <x v="4"/>
    <s v="ESTACION 08"/>
    <s v="PASAJE CHIMU MZ 71 LT 34"/>
    <x v="2"/>
    <x v="0"/>
    <x v="0"/>
    <x v="2"/>
    <x v="225"/>
    <x v="0"/>
    <n v="4"/>
    <n v="192"/>
    <x v="0"/>
    <x v="1"/>
    <n v="5.7803468208092483E-3"/>
    <x v="16"/>
    <x v="2"/>
    <s v="OK"/>
    <x v="2"/>
    <s v="OK"/>
    <x v="0"/>
    <x v="0"/>
    <n v="1"/>
    <n v="1"/>
    <n v="0"/>
    <n v="0"/>
    <x v="0"/>
    <x v="0"/>
    <x v="0"/>
  </r>
  <r>
    <s v="20562719700"/>
    <x v="7"/>
    <x v="7"/>
    <x v="1356"/>
    <x v="1360"/>
    <x v="1200"/>
    <m/>
    <x v="4"/>
    <s v="ESTACION 10"/>
    <s v="CALLE LOS CIPRESE 195 PJ. MANCO INCA "/>
    <x v="44"/>
    <x v="0"/>
    <x v="0"/>
    <x v="2"/>
    <x v="227"/>
    <x v="0"/>
    <n v="4"/>
    <n v="192"/>
    <x v="0"/>
    <x v="1"/>
    <n v="5.7803468208092483E-3"/>
    <x v="16"/>
    <x v="2"/>
    <s v="OK"/>
    <x v="0"/>
    <s v="OK"/>
    <x v="0"/>
    <x v="0"/>
    <n v="1"/>
    <n v="0"/>
    <n v="0"/>
    <n v="0"/>
    <x v="0"/>
    <x v="0"/>
    <x v="0"/>
  </r>
  <r>
    <s v="20562719700"/>
    <x v="7"/>
    <x v="7"/>
    <x v="1357"/>
    <x v="1361"/>
    <x v="1208"/>
    <m/>
    <x v="89"/>
    <s v="ESTACION 16"/>
    <s v="HUASCAYA MZ Ñ LT 8  -"/>
    <x v="27"/>
    <x v="0"/>
    <x v="0"/>
    <x v="2"/>
    <x v="500"/>
    <x v="0"/>
    <n v="4"/>
    <n v="192"/>
    <x v="0"/>
    <x v="1"/>
    <n v="5.7803468208092483E-3"/>
    <x v="22"/>
    <x v="2"/>
    <s v="OK"/>
    <x v="5"/>
    <s v="OK"/>
    <x v="0"/>
    <x v="0"/>
    <n v="1"/>
    <n v="1"/>
    <n v="0"/>
    <n v="0"/>
    <x v="0"/>
    <x v="0"/>
    <x v="0"/>
  </r>
  <r>
    <s v="20562719700"/>
    <x v="7"/>
    <x v="7"/>
    <x v="1358"/>
    <x v="1362"/>
    <x v="1209"/>
    <m/>
    <x v="4"/>
    <s v="ESTACION 14"/>
    <s v="MZ K LT 6"/>
    <x v="1"/>
    <x v="0"/>
    <x v="0"/>
    <x v="2"/>
    <x v="501"/>
    <x v="0"/>
    <n v="4"/>
    <n v="192"/>
    <x v="0"/>
    <x v="1"/>
    <n v="5.7803468208092483E-3"/>
    <x v="21"/>
    <x v="2"/>
    <s v="OK"/>
    <x v="1"/>
    <s v="OK"/>
    <x v="0"/>
    <x v="0"/>
    <n v="1"/>
    <n v="1"/>
    <n v="0"/>
    <n v="0"/>
    <x v="0"/>
    <x v="0"/>
    <x v="0"/>
  </r>
  <r>
    <s v="20562719700"/>
    <x v="7"/>
    <x v="7"/>
    <x v="1107"/>
    <x v="1363"/>
    <x v="975"/>
    <m/>
    <x v="4"/>
    <s v="ESTACION 06"/>
    <s v="ASOC. DE VIVIENDA EL MIRADOR CAROPONGO MZ A LT 12"/>
    <x v="119"/>
    <x v="0"/>
    <x v="0"/>
    <x v="2"/>
    <x v="214"/>
    <x v="0"/>
    <n v="4"/>
    <n v="192"/>
    <x v="0"/>
    <x v="1"/>
    <n v="5.7803468208092483E-3"/>
    <x v="18"/>
    <x v="2"/>
    <s v="OK"/>
    <x v="0"/>
    <s v="OK"/>
    <x v="0"/>
    <x v="0"/>
    <n v="1"/>
    <n v="0"/>
    <n v="0"/>
    <n v="0"/>
    <x v="0"/>
    <x v="0"/>
    <x v="0"/>
  </r>
  <r>
    <s v="20562719700"/>
    <x v="7"/>
    <x v="7"/>
    <x v="1359"/>
    <x v="1364"/>
    <x v="1210"/>
    <m/>
    <x v="4"/>
    <s v="ESTACION 06"/>
    <s v="JR CHIMBOTE 2168 URB SANTOYO"/>
    <x v="46"/>
    <x v="0"/>
    <x v="0"/>
    <x v="2"/>
    <x v="214"/>
    <x v="0"/>
    <n v="4"/>
    <n v="192"/>
    <x v="0"/>
    <x v="1"/>
    <n v="5.7803468208092483E-3"/>
    <x v="22"/>
    <x v="2"/>
    <s v="OK"/>
    <x v="7"/>
    <s v="OK"/>
    <x v="0"/>
    <x v="0"/>
    <n v="1"/>
    <n v="1"/>
    <n v="0"/>
    <n v="0"/>
    <x v="0"/>
    <x v="0"/>
    <x v="0"/>
  </r>
  <r>
    <s v="20562719700"/>
    <x v="7"/>
    <x v="7"/>
    <x v="1360"/>
    <x v="1365"/>
    <x v="1211"/>
    <m/>
    <x v="4"/>
    <s v="ESTACION 06"/>
    <s v="AA.HH. BELLAVISTA MZ.O LT.02"/>
    <x v="8"/>
    <x v="0"/>
    <x v="0"/>
    <x v="2"/>
    <x v="218"/>
    <x v="0"/>
    <n v="4"/>
    <n v="192"/>
    <x v="0"/>
    <x v="1"/>
    <n v="5.7803468208092483E-3"/>
    <x v="21"/>
    <x v="2"/>
    <s v="OK"/>
    <x v="0"/>
    <s v="OK"/>
    <x v="0"/>
    <x v="0"/>
    <n v="1"/>
    <n v="0"/>
    <n v="0"/>
    <n v="0"/>
    <x v="0"/>
    <x v="0"/>
    <x v="0"/>
  </r>
  <r>
    <s v="20562719700"/>
    <x v="7"/>
    <x v="7"/>
    <x v="1361"/>
    <x v="1366"/>
    <x v="1212"/>
    <m/>
    <x v="4"/>
    <s v="PV1 BIS"/>
    <s v="COOP PARAISO MZ C LT 1  -"/>
    <x v="27"/>
    <x v="0"/>
    <x v="0"/>
    <x v="2"/>
    <x v="502"/>
    <x v="0"/>
    <n v="4"/>
    <n v="192"/>
    <x v="0"/>
    <x v="1"/>
    <n v="5.7803468208092483E-3"/>
    <x v="18"/>
    <x v="2"/>
    <s v="OK"/>
    <x v="5"/>
    <s v="OK"/>
    <x v="0"/>
    <x v="0"/>
    <n v="1"/>
    <n v="1"/>
    <n v="0"/>
    <n v="0"/>
    <x v="0"/>
    <x v="0"/>
    <x v="0"/>
  </r>
  <r>
    <s v="20562719700"/>
    <x v="7"/>
    <x v="7"/>
    <x v="1362"/>
    <x v="1367"/>
    <x v="1213"/>
    <m/>
    <x v="4"/>
    <s v="ESTACION 06"/>
    <s v="MZ R16 LT 15 LOS ALAMOS HUERTOS DE MANCHAY"/>
    <x v="58"/>
    <x v="0"/>
    <x v="0"/>
    <x v="2"/>
    <x v="217"/>
    <x v="0"/>
    <n v="4"/>
    <n v="192"/>
    <x v="0"/>
    <x v="1"/>
    <n v="5.7803468208092483E-3"/>
    <x v="15"/>
    <x v="2"/>
    <s v="OK"/>
    <x v="0"/>
    <s v="OK"/>
    <x v="0"/>
    <x v="0"/>
    <n v="1"/>
    <n v="0"/>
    <n v="0"/>
    <n v="0"/>
    <x v="0"/>
    <x v="0"/>
    <x v="0"/>
  </r>
  <r>
    <s v="20562719700"/>
    <x v="7"/>
    <x v="7"/>
    <x v="1108"/>
    <x v="1112"/>
    <x v="976"/>
    <m/>
    <x v="4"/>
    <s v="ESTACION 10"/>
    <s v="MZ A LT 7    015-LIMA"/>
    <x v="91"/>
    <x v="0"/>
    <x v="0"/>
    <x v="2"/>
    <x v="491"/>
    <x v="0"/>
    <n v="4"/>
    <n v="192"/>
    <x v="0"/>
    <x v="1"/>
    <n v="5.7803468208092483E-3"/>
    <x v="20"/>
    <x v="2"/>
    <s v="OK"/>
    <x v="0"/>
    <s v="OK"/>
    <x v="0"/>
    <x v="1"/>
    <n v="0.5"/>
    <n v="0"/>
    <n v="0"/>
    <n v="0"/>
    <x v="0"/>
    <x v="0"/>
    <x v="0"/>
  </r>
  <r>
    <s v="20562719700"/>
    <x v="7"/>
    <x v="7"/>
    <x v="1110"/>
    <x v="1114"/>
    <x v="978"/>
    <m/>
    <x v="4"/>
    <s v="ESTACION 16"/>
    <s v="MZ.A LT.07 LOS PORTALES DE MAMACONA ALTA"/>
    <x v="91"/>
    <x v="0"/>
    <x v="0"/>
    <x v="2"/>
    <x v="341"/>
    <x v="0"/>
    <n v="4"/>
    <n v="192"/>
    <x v="0"/>
    <x v="1"/>
    <n v="5.7803468208092483E-3"/>
    <x v="17"/>
    <x v="2"/>
    <s v="OK"/>
    <x v="0"/>
    <s v="OK"/>
    <x v="0"/>
    <x v="1"/>
    <n v="0.5"/>
    <n v="0"/>
    <n v="0"/>
    <n v="0"/>
    <x v="0"/>
    <x v="0"/>
    <x v="0"/>
  </r>
  <r>
    <s v="20562719700"/>
    <x v="7"/>
    <x v="7"/>
    <x v="1363"/>
    <x v="1368"/>
    <x v="1214"/>
    <m/>
    <x v="4"/>
    <s v="ESTACION 06"/>
    <s v="AV. BAUSATE Y MEZA 23849"/>
    <x v="25"/>
    <x v="0"/>
    <x v="0"/>
    <x v="2"/>
    <x v="218"/>
    <x v="0"/>
    <n v="4"/>
    <n v="192"/>
    <x v="0"/>
    <x v="1"/>
    <n v="5.7803468208092483E-3"/>
    <x v="14"/>
    <x v="2"/>
    <s v="OK"/>
    <x v="4"/>
    <s v="OK"/>
    <x v="0"/>
    <x v="0"/>
    <n v="1"/>
    <n v="1"/>
    <n v="0"/>
    <n v="0"/>
    <x v="0"/>
    <x v="0"/>
    <x v="0"/>
  </r>
  <r>
    <s v="20562719700"/>
    <x v="7"/>
    <x v="7"/>
    <x v="1364"/>
    <x v="1369"/>
    <x v="1215"/>
    <m/>
    <x v="4"/>
    <s v="ESTACION 08"/>
    <s v="CRUZ DE MOTUPO MZ L LT 1 2DA ETAPA GRUPO 5 -"/>
    <x v="15"/>
    <x v="0"/>
    <x v="0"/>
    <x v="2"/>
    <x v="225"/>
    <x v="0"/>
    <n v="4"/>
    <n v="192"/>
    <x v="0"/>
    <x v="1"/>
    <n v="5.7803468208092483E-3"/>
    <x v="15"/>
    <x v="2"/>
    <s v="OK"/>
    <x v="0"/>
    <s v="OK"/>
    <x v="0"/>
    <x v="0"/>
    <n v="1"/>
    <n v="0"/>
    <n v="0"/>
    <n v="0"/>
    <x v="0"/>
    <x v="0"/>
    <x v="0"/>
  </r>
  <r>
    <s v="20562719700"/>
    <x v="7"/>
    <x v="7"/>
    <x v="1365"/>
    <x v="1370"/>
    <x v="1216"/>
    <m/>
    <x v="4"/>
    <s v="ESTACION 10"/>
    <s v="MZ.H LT.06 A.H. 30 DE AGOSTO "/>
    <x v="3"/>
    <x v="0"/>
    <x v="0"/>
    <x v="2"/>
    <x v="220"/>
    <x v="0"/>
    <n v="4"/>
    <n v="192"/>
    <x v="0"/>
    <x v="1"/>
    <n v="5.7803468208092483E-3"/>
    <x v="20"/>
    <x v="2"/>
    <s v="OK"/>
    <x v="0"/>
    <s v="OK"/>
    <x v="0"/>
    <x v="0"/>
    <n v="1"/>
    <n v="0"/>
    <n v="0"/>
    <n v="0"/>
    <x v="0"/>
    <x v="0"/>
    <x v="0"/>
  </r>
  <r>
    <s v="20562719700"/>
    <x v="7"/>
    <x v="7"/>
    <x v="1366"/>
    <x v="1371"/>
    <x v="1217"/>
    <m/>
    <x v="4"/>
    <s v="ESTACION 16"/>
    <s v="12 DE AGOSTO  MZ G LT 1    015-LIMA"/>
    <x v="49"/>
    <x v="0"/>
    <x v="0"/>
    <x v="2"/>
    <x v="503"/>
    <x v="0"/>
    <n v="4"/>
    <n v="192"/>
    <x v="0"/>
    <x v="1"/>
    <n v="5.7803468208092483E-3"/>
    <x v="16"/>
    <x v="2"/>
    <s v="OK"/>
    <x v="0"/>
    <s v="OK"/>
    <x v="0"/>
    <x v="0"/>
    <n v="1"/>
    <n v="0"/>
    <n v="0"/>
    <n v="0"/>
    <x v="0"/>
    <x v="0"/>
    <x v="0"/>
  </r>
  <r>
    <s v="20562719700"/>
    <x v="7"/>
    <x v="7"/>
    <x v="1367"/>
    <x v="1372"/>
    <x v="1218"/>
    <m/>
    <x v="4"/>
    <s v="ESTACION 06"/>
    <s v="ASOC. RAUCANA MZ D LT 17"/>
    <x v="1"/>
    <x v="0"/>
    <x v="0"/>
    <x v="2"/>
    <x v="217"/>
    <x v="0"/>
    <n v="4"/>
    <n v="192"/>
    <x v="0"/>
    <x v="1"/>
    <n v="5.7803468208092483E-3"/>
    <x v="18"/>
    <x v="2"/>
    <s v="OK"/>
    <x v="1"/>
    <s v="OK"/>
    <x v="0"/>
    <x v="0"/>
    <n v="1"/>
    <n v="1"/>
    <n v="0"/>
    <n v="0"/>
    <x v="0"/>
    <x v="0"/>
    <x v="0"/>
  </r>
  <r>
    <s v="20562719700"/>
    <x v="7"/>
    <x v="7"/>
    <x v="1368"/>
    <x v="1373"/>
    <x v="988"/>
    <m/>
    <x v="4"/>
    <s v="ESTACION 06"/>
    <s v="HIJOS DE LA MUD 2 MZ.A LT.02 ZAPALLAL"/>
    <x v="15"/>
    <x v="0"/>
    <x v="0"/>
    <x v="2"/>
    <x v="222"/>
    <x v="0"/>
    <n v="4"/>
    <n v="192"/>
    <x v="0"/>
    <x v="1"/>
    <n v="5.7803468208092483E-3"/>
    <x v="21"/>
    <x v="2"/>
    <s v="OK"/>
    <x v="0"/>
    <s v="OK"/>
    <x v="0"/>
    <x v="0"/>
    <n v="1"/>
    <n v="0"/>
    <n v="0"/>
    <n v="0"/>
    <x v="0"/>
    <x v="0"/>
    <x v="0"/>
  </r>
  <r>
    <s v="20562719700"/>
    <x v="7"/>
    <x v="7"/>
    <x v="1369"/>
    <x v="1374"/>
    <x v="1219"/>
    <m/>
    <x v="4"/>
    <s v="ESTACION 08"/>
    <s v="UNIVERSAL 183 MZ B LT 26 -"/>
    <x v="15"/>
    <x v="0"/>
    <x v="0"/>
    <x v="2"/>
    <x v="31"/>
    <x v="0"/>
    <n v="4"/>
    <n v="192"/>
    <x v="0"/>
    <x v="1"/>
    <n v="5.7803468208092483E-3"/>
    <x v="22"/>
    <x v="2"/>
    <s v="OK"/>
    <x v="0"/>
    <s v="OK"/>
    <x v="0"/>
    <x v="0"/>
    <n v="1"/>
    <n v="0"/>
    <n v="0"/>
    <n v="0"/>
    <x v="0"/>
    <x v="0"/>
    <x v="0"/>
  </r>
  <r>
    <s v="20562719700"/>
    <x v="7"/>
    <x v="7"/>
    <x v="1370"/>
    <x v="1375"/>
    <x v="1119"/>
    <m/>
    <x v="2"/>
    <s v="ESTACION 10"/>
    <s v="CALLE YUNGAY 153"/>
    <x v="8"/>
    <x v="0"/>
    <x v="0"/>
    <x v="2"/>
    <x v="206"/>
    <x v="0"/>
    <n v="4"/>
    <n v="192"/>
    <x v="0"/>
    <x v="1"/>
    <n v="5.7803468208092483E-3"/>
    <x v="15"/>
    <x v="2"/>
    <s v="OK"/>
    <x v="0"/>
    <s v="OK"/>
    <x v="0"/>
    <x v="1"/>
    <n v="0.5"/>
    <n v="0"/>
    <n v="0"/>
    <n v="0"/>
    <x v="0"/>
    <x v="0"/>
    <x v="0"/>
  </r>
  <r>
    <s v="20562719700"/>
    <x v="7"/>
    <x v="7"/>
    <x v="1371"/>
    <x v="1376"/>
    <x v="1220"/>
    <m/>
    <x v="4"/>
    <s v="ESTACION 06"/>
    <s v="CALLE PUNO MZ.C10 LT.8 A.H. LEONCIO PRADO "/>
    <x v="53"/>
    <x v="0"/>
    <x v="0"/>
    <x v="2"/>
    <x v="222"/>
    <x v="0"/>
    <n v="4"/>
    <n v="192"/>
    <x v="0"/>
    <x v="1"/>
    <n v="5.7803468208092483E-3"/>
    <x v="22"/>
    <x v="2"/>
    <s v="OK"/>
    <x v="0"/>
    <s v="OK"/>
    <x v="0"/>
    <x v="0"/>
    <n v="1"/>
    <n v="0"/>
    <n v="0"/>
    <n v="0"/>
    <x v="0"/>
    <x v="0"/>
    <x v="0"/>
  </r>
  <r>
    <s v="20562719700"/>
    <x v="7"/>
    <x v="7"/>
    <x v="1372"/>
    <x v="1377"/>
    <x v="1221"/>
    <m/>
    <x v="4"/>
    <s v="ESTACION 08"/>
    <s v="VARIANTE  DE HUCHUMAYO "/>
    <x v="230"/>
    <x v="0"/>
    <x v="0"/>
    <x v="2"/>
    <x v="223"/>
    <x v="0"/>
    <n v="4"/>
    <n v="192"/>
    <x v="0"/>
    <x v="1"/>
    <n v="5.7803468208092483E-3"/>
    <x v="14"/>
    <x v="2"/>
    <s v="OK"/>
    <x v="0"/>
    <s v="OK"/>
    <x v="0"/>
    <x v="0"/>
    <n v="1"/>
    <n v="0"/>
    <n v="0"/>
    <n v="0"/>
    <x v="0"/>
    <x v="0"/>
    <x v="0"/>
  </r>
  <r>
    <s v="20562719700"/>
    <x v="7"/>
    <x v="7"/>
    <x v="1373"/>
    <x v="1378"/>
    <x v="1222"/>
    <m/>
    <x v="4"/>
    <s v="ESTACION 08"/>
    <s v="AV LOS BLILLANTES MZ 94 LT 30"/>
    <x v="57"/>
    <x v="0"/>
    <x v="0"/>
    <x v="2"/>
    <x v="31"/>
    <x v="0"/>
    <n v="4"/>
    <n v="192"/>
    <x v="0"/>
    <x v="1"/>
    <n v="5.7803468208092483E-3"/>
    <x v="19"/>
    <x v="2"/>
    <s v="OK"/>
    <x v="0"/>
    <s v="OK"/>
    <x v="0"/>
    <x v="0"/>
    <n v="1"/>
    <n v="0"/>
    <n v="0"/>
    <n v="0"/>
    <x v="0"/>
    <x v="0"/>
    <x v="0"/>
  </r>
  <r>
    <s v="20562719700"/>
    <x v="7"/>
    <x v="7"/>
    <x v="1374"/>
    <x v="1379"/>
    <x v="1223"/>
    <m/>
    <x v="2"/>
    <s v="ESTACION 08"/>
    <s v="JR SAN LORENZO 383"/>
    <x v="10"/>
    <x v="0"/>
    <x v="0"/>
    <x v="2"/>
    <x v="225"/>
    <x v="0"/>
    <n v="4"/>
    <n v="192"/>
    <x v="0"/>
    <x v="1"/>
    <n v="5.7803468208092483E-3"/>
    <x v="16"/>
    <x v="2"/>
    <s v="OK"/>
    <x v="0"/>
    <s v="OK"/>
    <x v="0"/>
    <x v="0"/>
    <n v="1"/>
    <n v="0"/>
    <n v="0"/>
    <n v="0"/>
    <x v="0"/>
    <x v="0"/>
    <x v="0"/>
  </r>
  <r>
    <s v="20562719700"/>
    <x v="7"/>
    <x v="7"/>
    <x v="1375"/>
    <x v="1380"/>
    <x v="1224"/>
    <m/>
    <x v="4"/>
    <s v="ESTACION 08"/>
    <s v="AV LOS BLILLANTES MZ 94 LT 30"/>
    <x v="6"/>
    <x v="0"/>
    <x v="0"/>
    <x v="2"/>
    <x v="225"/>
    <x v="0"/>
    <n v="4"/>
    <n v="192"/>
    <x v="0"/>
    <x v="1"/>
    <n v="5.7803468208092483E-3"/>
    <x v="14"/>
    <x v="2"/>
    <s v="OK"/>
    <x v="2"/>
    <s v="OK"/>
    <x v="0"/>
    <x v="0"/>
    <n v="1"/>
    <n v="1"/>
    <n v="0"/>
    <n v="0"/>
    <x v="0"/>
    <x v="0"/>
    <x v="0"/>
  </r>
  <r>
    <s v="20562719700"/>
    <x v="7"/>
    <x v="7"/>
    <x v="1376"/>
    <x v="1381"/>
    <x v="1186"/>
    <m/>
    <x v="4"/>
    <s v="ESTACION 06"/>
    <s v="JR. 28 DE JULIO 439"/>
    <x v="98"/>
    <x v="0"/>
    <x v="0"/>
    <x v="2"/>
    <x v="218"/>
    <x v="0"/>
    <n v="4"/>
    <n v="192"/>
    <x v="0"/>
    <x v="1"/>
    <n v="5.7803468208092483E-3"/>
    <x v="18"/>
    <x v="2"/>
    <s v="OK"/>
    <x v="0"/>
    <s v="OK"/>
    <x v="0"/>
    <x v="0"/>
    <n v="1"/>
    <n v="0"/>
    <n v="0"/>
    <n v="0"/>
    <x v="0"/>
    <x v="0"/>
    <x v="0"/>
  </r>
  <r>
    <s v="20562719700"/>
    <x v="7"/>
    <x v="7"/>
    <x v="1377"/>
    <x v="1382"/>
    <x v="1225"/>
    <m/>
    <x v="23"/>
    <s v="ESTACION PV1"/>
    <s v="AA.HH. BUENOS AIRES MZ.B1 LT.10"/>
    <x v="232"/>
    <x v="0"/>
    <x v="0"/>
    <x v="2"/>
    <x v="362"/>
    <x v="0"/>
    <n v="4"/>
    <n v="192"/>
    <x v="0"/>
    <x v="1"/>
    <n v="5.7803468208092483E-3"/>
    <x v="22"/>
    <x v="2"/>
    <s v="OK"/>
    <x v="0"/>
    <s v="OK"/>
    <x v="0"/>
    <x v="0"/>
    <n v="1"/>
    <n v="0"/>
    <n v="0"/>
    <n v="0"/>
    <x v="0"/>
    <x v="0"/>
    <x v="0"/>
  </r>
  <r>
    <s v="20562719700"/>
    <x v="7"/>
    <x v="7"/>
    <x v="1378"/>
    <x v="1383"/>
    <x v="1226"/>
    <m/>
    <x v="2"/>
    <s v="ESTACION PV1"/>
    <s v="SECTOR 1 GRUPO 18"/>
    <x v="19"/>
    <x v="0"/>
    <x v="0"/>
    <x v="2"/>
    <x v="362"/>
    <x v="0"/>
    <n v="4"/>
    <n v="192"/>
    <x v="0"/>
    <x v="1"/>
    <n v="5.7803468208092483E-3"/>
    <x v="16"/>
    <x v="2"/>
    <s v="OK"/>
    <x v="0"/>
    <s v="OK"/>
    <x v="0"/>
    <x v="0"/>
    <n v="1"/>
    <n v="0"/>
    <n v="0"/>
    <n v="0"/>
    <x v="0"/>
    <x v="0"/>
    <x v="0"/>
  </r>
  <r>
    <s v="20562719700"/>
    <x v="7"/>
    <x v="7"/>
    <x v="1379"/>
    <x v="1384"/>
    <x v="1227"/>
    <m/>
    <x v="59"/>
    <s v="ESTACION PV1"/>
    <s v="AV.ANTENOR ORREGO MZ.G LT.17 AA.HH. SARITA COLONIA"/>
    <x v="6"/>
    <x v="0"/>
    <x v="0"/>
    <x v="2"/>
    <x v="229"/>
    <x v="0"/>
    <n v="4"/>
    <n v="192"/>
    <x v="0"/>
    <x v="1"/>
    <n v="5.7803468208092483E-3"/>
    <x v="14"/>
    <x v="2"/>
    <s v="OK"/>
    <x v="2"/>
    <s v="OK"/>
    <x v="0"/>
    <x v="0"/>
    <n v="1"/>
    <n v="1"/>
    <n v="0"/>
    <n v="0"/>
    <x v="0"/>
    <x v="0"/>
    <x v="0"/>
  </r>
  <r>
    <s v="20562719700"/>
    <x v="7"/>
    <x v="7"/>
    <x v="1380"/>
    <x v="1385"/>
    <x v="1228"/>
    <m/>
    <x v="4"/>
    <s v="ESTACION PV1"/>
    <s v="MZ.67F LT.06 AA.HH. NUEVA ESPERANZA"/>
    <x v="115"/>
    <x v="0"/>
    <x v="0"/>
    <x v="2"/>
    <x v="32"/>
    <x v="0"/>
    <n v="4"/>
    <n v="192"/>
    <x v="0"/>
    <x v="1"/>
    <n v="5.7803468208092483E-3"/>
    <x v="14"/>
    <x v="2"/>
    <s v="OK"/>
    <x v="0"/>
    <s v="OK"/>
    <x v="0"/>
    <x v="0"/>
    <n v="1"/>
    <n v="0"/>
    <n v="0"/>
    <n v="0"/>
    <x v="0"/>
    <x v="0"/>
    <x v="0"/>
  </r>
  <r>
    <s v="20562719700"/>
    <x v="7"/>
    <x v="7"/>
    <x v="1381"/>
    <x v="1386"/>
    <x v="1229"/>
    <m/>
    <x v="2"/>
    <s v="ESTACION 06"/>
    <s v="JR ANCASH MZC LT24 JOSE OLAYA"/>
    <x v="22"/>
    <x v="0"/>
    <x v="0"/>
    <x v="2"/>
    <x v="504"/>
    <x v="0"/>
    <n v="4"/>
    <n v="192"/>
    <x v="0"/>
    <x v="1"/>
    <n v="5.7803468208092483E-3"/>
    <x v="19"/>
    <x v="2"/>
    <s v="OK"/>
    <x v="2"/>
    <s v="OK"/>
    <x v="0"/>
    <x v="0"/>
    <n v="1"/>
    <n v="1"/>
    <n v="0"/>
    <n v="0"/>
    <x v="0"/>
    <x v="0"/>
    <x v="0"/>
  </r>
  <r>
    <s v="20562719700"/>
    <x v="7"/>
    <x v="7"/>
    <x v="1382"/>
    <x v="1387"/>
    <x v="1230"/>
    <m/>
    <x v="59"/>
    <s v="ESTACION 06"/>
    <s v="41-A AAHH 10 DE OCTUBRE MZ B9"/>
    <x v="111"/>
    <x v="0"/>
    <x v="0"/>
    <x v="2"/>
    <x v="505"/>
    <x v="0"/>
    <n v="4"/>
    <n v="192"/>
    <x v="0"/>
    <x v="1"/>
    <n v="5.7803468208092483E-3"/>
    <x v="20"/>
    <x v="2"/>
    <s v="OK"/>
    <x v="0"/>
    <s v="OK"/>
    <x v="0"/>
    <x v="0"/>
    <n v="1"/>
    <n v="0"/>
    <n v="0"/>
    <n v="0"/>
    <x v="0"/>
    <x v="0"/>
    <x v="0"/>
  </r>
  <r>
    <s v="20562719700"/>
    <x v="7"/>
    <x v="7"/>
    <x v="1383"/>
    <x v="1388"/>
    <x v="1231"/>
    <m/>
    <x v="4"/>
    <s v="ESTACION PV1"/>
    <s v="LOS JARDINES DE LA ENCALADA"/>
    <x v="233"/>
    <x v="0"/>
    <x v="0"/>
    <x v="2"/>
    <x v="506"/>
    <x v="0"/>
    <n v="4"/>
    <n v="192"/>
    <x v="0"/>
    <x v="1"/>
    <n v="5.7803468208092483E-3"/>
    <x v="19"/>
    <x v="2"/>
    <s v="OK"/>
    <x v="5"/>
    <s v="OK"/>
    <x v="0"/>
    <x v="0"/>
    <n v="1"/>
    <n v="1"/>
    <n v="0"/>
    <n v="0"/>
    <x v="0"/>
    <x v="0"/>
    <x v="0"/>
  </r>
  <r>
    <s v="20562719700"/>
    <x v="7"/>
    <x v="7"/>
    <x v="1109"/>
    <x v="1389"/>
    <x v="977"/>
    <m/>
    <x v="59"/>
    <s v="ESTACION PV1"/>
    <s v="AAHH MARIELITA PRIMO"/>
    <x v="234"/>
    <x v="0"/>
    <x v="0"/>
    <x v="2"/>
    <x v="225"/>
    <x v="0"/>
    <n v="4"/>
    <n v="192"/>
    <x v="0"/>
    <x v="1"/>
    <n v="5.7803468208092483E-3"/>
    <x v="22"/>
    <x v="2"/>
    <s v="OK"/>
    <x v="2"/>
    <s v="OK"/>
    <x v="0"/>
    <x v="0"/>
    <n v="1"/>
    <n v="1"/>
    <n v="0"/>
    <n v="0"/>
    <x v="0"/>
    <x v="0"/>
    <x v="0"/>
  </r>
  <r>
    <s v="20562719700"/>
    <x v="7"/>
    <x v="7"/>
    <x v="1384"/>
    <x v="1390"/>
    <x v="1232"/>
    <m/>
    <x v="2"/>
    <s v="ESTACION PV1"/>
    <s v="AV 1 DE MAYO 1971"/>
    <x v="235"/>
    <x v="0"/>
    <x v="0"/>
    <x v="2"/>
    <x v="507"/>
    <x v="0"/>
    <n v="4"/>
    <n v="192"/>
    <x v="0"/>
    <x v="1"/>
    <n v="5.7803468208092483E-3"/>
    <x v="16"/>
    <x v="2"/>
    <s v="OK"/>
    <x v="7"/>
    <s v="OK"/>
    <x v="0"/>
    <x v="0"/>
    <n v="1"/>
    <n v="1"/>
    <n v="0"/>
    <n v="0"/>
    <x v="0"/>
    <x v="0"/>
    <x v="0"/>
  </r>
  <r>
    <s v="20562719700"/>
    <x v="7"/>
    <x v="7"/>
    <x v="1385"/>
    <x v="1375"/>
    <x v="934"/>
    <m/>
    <x v="2"/>
    <s v="ESTACION 08"/>
    <s v="MANZANILLA II MZ F LT 94"/>
    <x v="112"/>
    <x v="0"/>
    <x v="0"/>
    <x v="2"/>
    <x v="508"/>
    <x v="0"/>
    <n v="4"/>
    <n v="192"/>
    <x v="0"/>
    <x v="1"/>
    <n v="5.7803468208092483E-3"/>
    <x v="15"/>
    <x v="2"/>
    <s v="OK"/>
    <x v="0"/>
    <s v="OK"/>
    <x v="0"/>
    <x v="1"/>
    <n v="0.5"/>
    <n v="0"/>
    <n v="0"/>
    <n v="0"/>
    <x v="0"/>
    <x v="0"/>
    <x v="0"/>
  </r>
  <r>
    <s v="20562719700"/>
    <x v="7"/>
    <x v="7"/>
    <x v="1386"/>
    <x v="1391"/>
    <x v="1233"/>
    <m/>
    <x v="59"/>
    <s v="ESTACION 08"/>
    <m/>
    <x v="112"/>
    <x v="0"/>
    <x v="0"/>
    <x v="2"/>
    <x v="509"/>
    <x v="0"/>
    <n v="4"/>
    <n v="192"/>
    <x v="0"/>
    <x v="1"/>
    <n v="5.7803468208092483E-3"/>
    <x v="17"/>
    <x v="2"/>
    <s v="OK"/>
    <x v="0"/>
    <s v="OK"/>
    <x v="0"/>
    <x v="0"/>
    <n v="1"/>
    <n v="0"/>
    <n v="0"/>
    <n v="0"/>
    <x v="0"/>
    <x v="0"/>
    <x v="0"/>
  </r>
  <r>
    <s v="20518513665"/>
    <x v="53"/>
    <x v="7"/>
    <x v="1387"/>
    <x v="1392"/>
    <x v="1234"/>
    <n v="1"/>
    <x v="66"/>
    <s v="PV1 BIS"/>
    <s v="MZ.A LT.5 A.H. REAL FE"/>
    <x v="6"/>
    <x v="0"/>
    <x v="0"/>
    <x v="2"/>
    <x v="510"/>
    <x v="0"/>
    <n v="1"/>
    <n v="192"/>
    <x v="0"/>
    <x v="0"/>
    <n v="5.7803468208092483E-3"/>
    <x v="18"/>
    <x v="2"/>
    <s v="OK"/>
    <x v="2"/>
    <s v="OK"/>
    <x v="0"/>
    <x v="0"/>
    <n v="1"/>
    <n v="1"/>
    <n v="0"/>
    <n v="0"/>
    <x v="0"/>
    <x v="0"/>
    <x v="0"/>
  </r>
  <r>
    <s v="20518513665"/>
    <x v="53"/>
    <x v="7"/>
    <x v="1388"/>
    <x v="1393"/>
    <x v="1235"/>
    <n v="1"/>
    <x v="91"/>
    <s v="ESTACION 16"/>
    <s v="JR. URANO 2475 SANTA ELIZABETH MZ.H LT.16"/>
    <x v="15"/>
    <x v="0"/>
    <x v="0"/>
    <x v="2"/>
    <x v="511"/>
    <x v="0"/>
    <n v="1"/>
    <n v="192"/>
    <x v="0"/>
    <x v="0"/>
    <n v="5.7803468208092483E-3"/>
    <x v="14"/>
    <x v="2"/>
    <s v="OK"/>
    <x v="0"/>
    <s v="OK"/>
    <x v="0"/>
    <x v="0"/>
    <n v="1"/>
    <n v="0"/>
    <n v="0"/>
    <n v="0"/>
    <x v="0"/>
    <x v="0"/>
    <x v="0"/>
  </r>
  <r>
    <s v="20518513665"/>
    <x v="53"/>
    <x v="7"/>
    <x v="1389"/>
    <x v="1394"/>
    <x v="1044"/>
    <n v="1"/>
    <x v="243"/>
    <s v="ESTACIONES 06-10-16-25-26-27"/>
    <s v="JR. HUASCAR 1017"/>
    <x v="115"/>
    <x v="0"/>
    <x v="0"/>
    <x v="2"/>
    <x v="108"/>
    <x v="0"/>
    <n v="1"/>
    <n v="192"/>
    <x v="0"/>
    <x v="0"/>
    <n v="5.7803468208092483E-3"/>
    <x v="20"/>
    <x v="2"/>
    <s v="OK"/>
    <x v="0"/>
    <s v="OK"/>
    <x v="0"/>
    <x v="0"/>
    <n v="1"/>
    <n v="0"/>
    <n v="0"/>
    <n v="0"/>
    <x v="0"/>
    <x v="0"/>
    <x v="0"/>
  </r>
  <r>
    <s v="20518513665"/>
    <x v="53"/>
    <x v="7"/>
    <x v="1390"/>
    <x v="1395"/>
    <x v="1236"/>
    <n v="1"/>
    <x v="66"/>
    <s v="ESTACION 10"/>
    <s v="JR. LOS NARDOS 230 ZONA JARDIN 2"/>
    <x v="115"/>
    <x v="0"/>
    <x v="0"/>
    <x v="2"/>
    <x v="512"/>
    <x v="0"/>
    <n v="1"/>
    <n v="192"/>
    <x v="0"/>
    <x v="0"/>
    <n v="5.7803468208092483E-3"/>
    <x v="16"/>
    <x v="2"/>
    <s v="OK"/>
    <x v="0"/>
    <s v="OK"/>
    <x v="0"/>
    <x v="0"/>
    <n v="1"/>
    <n v="0"/>
    <n v="0"/>
    <n v="0"/>
    <x v="0"/>
    <x v="0"/>
    <x v="0"/>
  </r>
  <r>
    <n v="20504039120"/>
    <x v="8"/>
    <x v="8"/>
    <x v="1391"/>
    <x v="1396"/>
    <x v="1237"/>
    <n v="1"/>
    <x v="6"/>
    <s v="PATIO TALLER SANTA ANITA"/>
    <s v="ASOC VIVIENDIA LOS PINOS MZ A LT"/>
    <x v="27"/>
    <x v="1"/>
    <x v="0"/>
    <x v="1"/>
    <x v="513"/>
    <x v="0"/>
    <n v="1"/>
    <n v="200"/>
    <x v="0"/>
    <x v="1"/>
    <n v="2.4390243902439025E-2"/>
    <x v="17"/>
    <x v="2"/>
    <s v="OK"/>
    <x v="5"/>
    <s v="OK"/>
    <x v="0"/>
    <x v="0"/>
    <n v="1"/>
    <n v="1"/>
    <n v="0"/>
    <n v="0"/>
    <x v="0"/>
    <x v="0"/>
    <x v="0"/>
  </r>
  <r>
    <n v="20504039120"/>
    <x v="8"/>
    <x v="8"/>
    <x v="1392"/>
    <x v="1397"/>
    <x v="1238"/>
    <n v="1"/>
    <x v="6"/>
    <s v="OFICINA DANSEY"/>
    <s v="JR. HUSARES DE JUNIN 499 CONDEVILLA"/>
    <x v="3"/>
    <x v="1"/>
    <x v="0"/>
    <x v="1"/>
    <x v="43"/>
    <x v="0"/>
    <n v="1"/>
    <n v="200"/>
    <x v="0"/>
    <x v="1"/>
    <n v="2.4390243902439025E-2"/>
    <x v="18"/>
    <x v="2"/>
    <s v="OK"/>
    <x v="0"/>
    <s v="OK"/>
    <x v="0"/>
    <x v="0"/>
    <n v="1"/>
    <n v="0"/>
    <n v="0"/>
    <n v="0"/>
    <x v="0"/>
    <x v="0"/>
    <x v="0"/>
  </r>
  <r>
    <n v="20504039121"/>
    <x v="8"/>
    <x v="8"/>
    <x v="1393"/>
    <x v="1398"/>
    <x v="1239"/>
    <n v="1"/>
    <x v="6"/>
    <s v="ESTACION 10"/>
    <s v="JR. ICA AAHH MARISCAL RAMON CASTILLA MZ.C LT.3"/>
    <x v="6"/>
    <x v="1"/>
    <x v="0"/>
    <x v="1"/>
    <x v="386"/>
    <x v="0"/>
    <n v="1"/>
    <n v="200"/>
    <x v="0"/>
    <x v="1"/>
    <n v="2.4390243902439025E-2"/>
    <x v="16"/>
    <x v="2"/>
    <s v="OK"/>
    <x v="2"/>
    <s v="OK"/>
    <x v="0"/>
    <x v="0"/>
    <n v="1"/>
    <n v="1"/>
    <n v="0"/>
    <n v="0"/>
    <x v="0"/>
    <x v="0"/>
    <x v="0"/>
  </r>
  <r>
    <n v="20602487751"/>
    <x v="54"/>
    <x v="40"/>
    <x v="1394"/>
    <x v="1399"/>
    <x v="1240"/>
    <n v="1"/>
    <x v="61"/>
    <s v="L4"/>
    <s v="Calle 22 Mz H Lt 5 Asoc. Montecarlos "/>
    <x v="3"/>
    <x v="1"/>
    <x v="0"/>
    <x v="1"/>
    <x v="514"/>
    <x v="0"/>
    <n v="1"/>
    <n v="200"/>
    <x v="0"/>
    <x v="1"/>
    <n v="0.1111111111111111"/>
    <x v="20"/>
    <x v="2"/>
    <s v="OK"/>
    <x v="0"/>
    <s v="OK"/>
    <x v="0"/>
    <x v="0"/>
    <n v="1"/>
    <n v="0"/>
    <n v="0"/>
    <n v="0"/>
    <x v="0"/>
    <x v="0"/>
    <x v="0"/>
  </r>
  <r>
    <n v="20602487751"/>
    <x v="54"/>
    <x v="40"/>
    <x v="1395"/>
    <x v="1400"/>
    <x v="1241"/>
    <n v="2"/>
    <x v="244"/>
    <s v="L4"/>
    <s v="AAHH Jesus Oropeza Chonta Mz. A Lt. 15"/>
    <x v="4"/>
    <x v="0"/>
    <x v="0"/>
    <x v="1"/>
    <x v="42"/>
    <x v="0"/>
    <n v="4"/>
    <n v="200"/>
    <x v="0"/>
    <x v="1"/>
    <n v="0.1111111111111111"/>
    <x v="21"/>
    <x v="2"/>
    <s v="OK"/>
    <x v="0"/>
    <s v="OK"/>
    <x v="0"/>
    <x v="0"/>
    <n v="1"/>
    <n v="0"/>
    <n v="0"/>
    <n v="0"/>
    <x v="0"/>
    <x v="0"/>
    <x v="0"/>
  </r>
  <r>
    <n v="20602487751"/>
    <x v="54"/>
    <x v="40"/>
    <x v="1396"/>
    <x v="1401"/>
    <x v="1056"/>
    <n v="1"/>
    <x v="245"/>
    <s v="L4"/>
    <s v="Calle Armando Blondet 271"/>
    <x v="143"/>
    <x v="0"/>
    <x v="0"/>
    <x v="1"/>
    <x v="515"/>
    <x v="0"/>
    <n v="1"/>
    <n v="200"/>
    <x v="0"/>
    <x v="1"/>
    <n v="0.1111111111111111"/>
    <x v="19"/>
    <x v="2"/>
    <s v="OK"/>
    <x v="0"/>
    <s v="OK"/>
    <x v="0"/>
    <x v="0"/>
    <n v="1"/>
    <n v="0"/>
    <n v="0"/>
    <n v="0"/>
    <x v="0"/>
    <x v="0"/>
    <x v="0"/>
  </r>
  <r>
    <n v="20602213227"/>
    <x v="9"/>
    <x v="9"/>
    <x v="1397"/>
    <x v="1402"/>
    <x v="1242"/>
    <n v="2"/>
    <x v="246"/>
    <s v="E-04 A PV1BIS"/>
    <s v="URB. LA RIBERA DE CHILLON MZ. P LT. 17"/>
    <x v="4"/>
    <x v="0"/>
    <x v="0"/>
    <x v="1"/>
    <x v="38"/>
    <x v="0"/>
    <n v="2"/>
    <n v="184"/>
    <x v="0"/>
    <x v="1"/>
    <n v="2.7777777777777776E-2"/>
    <x v="17"/>
    <x v="2"/>
    <s v="OK"/>
    <x v="0"/>
    <s v="OK"/>
    <x v="0"/>
    <x v="0"/>
    <n v="1"/>
    <n v="0"/>
    <n v="0"/>
    <n v="0"/>
    <x v="0"/>
    <x v="0"/>
    <x v="0"/>
  </r>
  <r>
    <n v="20602213227"/>
    <x v="9"/>
    <x v="9"/>
    <x v="1398"/>
    <x v="1403"/>
    <x v="1133"/>
    <n v="2"/>
    <x v="246"/>
    <s v="E-04 A PV1BIS"/>
    <s v="CALLE CABO PANTOJA 441"/>
    <x v="23"/>
    <x v="0"/>
    <x v="0"/>
    <x v="1"/>
    <x v="38"/>
    <x v="0"/>
    <n v="2"/>
    <n v="176"/>
    <x v="0"/>
    <x v="1"/>
    <n v="2.7777777777777776E-2"/>
    <x v="18"/>
    <x v="2"/>
    <s v="OK"/>
    <x v="0"/>
    <s v="OK"/>
    <x v="0"/>
    <x v="0"/>
    <n v="1"/>
    <n v="0"/>
    <n v="0"/>
    <n v="0"/>
    <x v="0"/>
    <x v="0"/>
    <x v="0"/>
  </r>
  <r>
    <n v="20602213227"/>
    <x v="9"/>
    <x v="9"/>
    <x v="1399"/>
    <x v="1404"/>
    <x v="1243"/>
    <n v="1"/>
    <x v="88"/>
    <s v="PV08 - E27 - E13 - E-04 A PV1BIS"/>
    <s v="MZ. C4 LT. 18 A.H. LAS LOMAS DE VENTANILLA"/>
    <x v="2"/>
    <x v="0"/>
    <x v="0"/>
    <x v="1"/>
    <x v="93"/>
    <x v="0"/>
    <n v="1"/>
    <n v="128"/>
    <x v="0"/>
    <x v="1"/>
    <n v="2.7777777777777776E-2"/>
    <x v="18"/>
    <x v="2"/>
    <s v="OK"/>
    <x v="2"/>
    <s v="OK"/>
    <x v="0"/>
    <x v="0"/>
    <n v="1"/>
    <n v="1"/>
    <n v="0"/>
    <n v="0"/>
    <x v="0"/>
    <x v="0"/>
    <x v="0"/>
  </r>
  <r>
    <n v="20602213227"/>
    <x v="9"/>
    <x v="9"/>
    <x v="1400"/>
    <x v="1405"/>
    <x v="1125"/>
    <n v="1"/>
    <x v="95"/>
    <s v="E01 - E5 L4"/>
    <s v="ASOC DE VIV TUNGASUCA III ETAPA MZ C LT 8"/>
    <x v="0"/>
    <x v="0"/>
    <x v="0"/>
    <x v="1"/>
    <x v="259"/>
    <x v="0"/>
    <n v="1"/>
    <n v="136"/>
    <x v="0"/>
    <x v="1"/>
    <n v="2.7777777777777776E-2"/>
    <x v="22"/>
    <x v="2"/>
    <s v="OK"/>
    <x v="0"/>
    <s v="OK"/>
    <x v="0"/>
    <x v="0"/>
    <n v="1"/>
    <n v="0"/>
    <n v="0"/>
    <n v="0"/>
    <x v="0"/>
    <x v="0"/>
    <x v="0"/>
  </r>
  <r>
    <n v="20602213227"/>
    <x v="9"/>
    <x v="9"/>
    <x v="1401"/>
    <x v="1406"/>
    <x v="1244"/>
    <n v="1"/>
    <x v="94"/>
    <s v="E01 - E5 L4"/>
    <s v="SANTA TERESA MZ H LT 5"/>
    <x v="4"/>
    <x v="0"/>
    <x v="0"/>
    <x v="3"/>
    <x v="516"/>
    <x v="0"/>
    <n v="1"/>
    <n v="160"/>
    <x v="0"/>
    <x v="1"/>
    <n v="2.7777777777777776E-2"/>
    <x v="18"/>
    <x v="2"/>
    <s v="OK"/>
    <x v="0"/>
    <s v="OK"/>
    <x v="0"/>
    <x v="0"/>
    <n v="1"/>
    <n v="0"/>
    <n v="0"/>
    <n v="0"/>
    <x v="0"/>
    <x v="0"/>
    <x v="0"/>
  </r>
  <r>
    <n v="20602213227"/>
    <x v="9"/>
    <x v="9"/>
    <x v="1402"/>
    <x v="1407"/>
    <x v="1245"/>
    <n v="1"/>
    <x v="95"/>
    <s v="E-04 A PV1BIS"/>
    <s v="CALLE LA PAZ MZ.O LT.4 A.H.CIUDAD DE GOSEN "/>
    <x v="8"/>
    <x v="0"/>
    <x v="0"/>
    <x v="1"/>
    <x v="241"/>
    <x v="0"/>
    <n v="1"/>
    <n v="168"/>
    <x v="0"/>
    <x v="1"/>
    <n v="2.7777777777777776E-2"/>
    <x v="19"/>
    <x v="2"/>
    <s v="OK"/>
    <x v="0"/>
    <s v="OK"/>
    <x v="0"/>
    <x v="0"/>
    <n v="1"/>
    <n v="0"/>
    <n v="0"/>
    <n v="0"/>
    <x v="0"/>
    <x v="0"/>
    <x v="0"/>
  </r>
  <r>
    <n v="20602213227"/>
    <x v="9"/>
    <x v="9"/>
    <x v="1403"/>
    <x v="1408"/>
    <x v="1246"/>
    <n v="1"/>
    <x v="247"/>
    <s v="E01 - E13"/>
    <s v="CAL. LOS HEROES 127 ASENT. H . LA FRATERNIDAD "/>
    <x v="44"/>
    <x v="0"/>
    <x v="0"/>
    <x v="1"/>
    <x v="517"/>
    <x v="0"/>
    <n v="1"/>
    <n v="144"/>
    <x v="0"/>
    <x v="1"/>
    <n v="2.7777777777777776E-2"/>
    <x v="18"/>
    <x v="2"/>
    <s v="OK"/>
    <x v="0"/>
    <s v="OK"/>
    <x v="0"/>
    <x v="0"/>
    <n v="1"/>
    <n v="0"/>
    <n v="0"/>
    <n v="0"/>
    <x v="0"/>
    <x v="0"/>
    <x v="0"/>
  </r>
  <r>
    <n v="20602213227"/>
    <x v="9"/>
    <x v="9"/>
    <x v="1404"/>
    <x v="1409"/>
    <x v="1247"/>
    <n v="1"/>
    <x v="94"/>
    <s v="E5 L4 - PV08"/>
    <s v="TUPAC AMARU 259"/>
    <x v="79"/>
    <x v="0"/>
    <x v="0"/>
    <x v="1"/>
    <x v="518"/>
    <x v="0"/>
    <n v="1"/>
    <n v="152"/>
    <x v="0"/>
    <x v="1"/>
    <n v="2.7777777777777776E-2"/>
    <x v="14"/>
    <x v="2"/>
    <s v="OK"/>
    <x v="0"/>
    <s v="OK"/>
    <x v="0"/>
    <x v="0"/>
    <n v="1"/>
    <n v="0"/>
    <n v="0"/>
    <n v="0"/>
    <x v="0"/>
    <x v="0"/>
    <x v="0"/>
  </r>
  <r>
    <n v="20602213227"/>
    <x v="9"/>
    <x v="9"/>
    <x v="1405"/>
    <x v="1410"/>
    <x v="1248"/>
    <n v="1"/>
    <x v="93"/>
    <s v="PV08 - E13"/>
    <s v="AV. SURCO URB. COOVIECMA MZ G LT 3"/>
    <x v="14"/>
    <x v="0"/>
    <x v="0"/>
    <x v="1"/>
    <x v="69"/>
    <x v="0"/>
    <n v="1"/>
    <n v="176"/>
    <x v="0"/>
    <x v="1"/>
    <n v="2.7777777777777776E-2"/>
    <x v="19"/>
    <x v="2"/>
    <s v="OK"/>
    <x v="0"/>
    <s v="OK"/>
    <x v="0"/>
    <x v="0"/>
    <n v="1"/>
    <n v="0"/>
    <n v="0"/>
    <n v="0"/>
    <x v="0"/>
    <x v="0"/>
    <x v="0"/>
  </r>
  <r>
    <n v="20602213227"/>
    <x v="9"/>
    <x v="9"/>
    <x v="1406"/>
    <x v="1411"/>
    <x v="1249"/>
    <n v="1"/>
    <x v="248"/>
    <s v=" PV08 - E13 "/>
    <s v="LOS FAISANES 358 BLOCK B DPTO.405"/>
    <x v="38"/>
    <x v="0"/>
    <x v="0"/>
    <x v="1"/>
    <x v="519"/>
    <x v="0"/>
    <n v="1"/>
    <n v="136"/>
    <x v="0"/>
    <x v="1"/>
    <n v="2.7777777777777776E-2"/>
    <x v="15"/>
    <x v="2"/>
    <s v="OK"/>
    <x v="0"/>
    <s v="OK"/>
    <x v="0"/>
    <x v="0"/>
    <n v="1"/>
    <n v="0"/>
    <n v="0"/>
    <n v="0"/>
    <x v="0"/>
    <x v="0"/>
    <x v="0"/>
  </r>
  <r>
    <n v="20602213227"/>
    <x v="9"/>
    <x v="9"/>
    <x v="1407"/>
    <x v="1412"/>
    <x v="1250"/>
    <n v="2"/>
    <x v="16"/>
    <s v="E-04 A PV1BIS"/>
    <s v="JIRON COBALTO MZ. LT. 04. URB. SAN HILARION"/>
    <x v="15"/>
    <x v="0"/>
    <x v="0"/>
    <x v="1"/>
    <x v="4"/>
    <x v="0"/>
    <n v="2"/>
    <n v="232"/>
    <x v="0"/>
    <x v="1"/>
    <n v="2.7777777777777776E-2"/>
    <x v="20"/>
    <x v="2"/>
    <s v="OK"/>
    <x v="0"/>
    <s v="OK"/>
    <x v="0"/>
    <x v="0"/>
    <n v="1"/>
    <n v="0"/>
    <n v="1"/>
    <n v="0"/>
    <x v="0"/>
    <x v="0"/>
    <x v="1"/>
  </r>
  <r>
    <n v="20602213227"/>
    <x v="9"/>
    <x v="9"/>
    <x v="1408"/>
    <x v="1413"/>
    <x v="1251"/>
    <n v="2"/>
    <x v="16"/>
    <s v="E-04 A PV1BIS"/>
    <s v="AVENIDA LOS JAZMINES 754 CTO GRANDE"/>
    <x v="15"/>
    <x v="0"/>
    <x v="0"/>
    <x v="1"/>
    <x v="186"/>
    <x v="0"/>
    <n v="2"/>
    <n v="136"/>
    <x v="0"/>
    <x v="1"/>
    <n v="2.7777777777777776E-2"/>
    <x v="19"/>
    <x v="2"/>
    <s v="OK"/>
    <x v="0"/>
    <s v="OK"/>
    <x v="0"/>
    <x v="0"/>
    <n v="1"/>
    <n v="0"/>
    <n v="1"/>
    <n v="0"/>
    <x v="0"/>
    <x v="0"/>
    <x v="1"/>
  </r>
  <r>
    <n v="20602213227"/>
    <x v="9"/>
    <x v="9"/>
    <x v="1409"/>
    <x v="1414"/>
    <x v="1252"/>
    <n v="2"/>
    <x v="16"/>
    <s v="E-04 A PV1BIS"/>
    <s v="JIRON LOS INCAS 321"/>
    <x v="44"/>
    <x v="0"/>
    <x v="0"/>
    <x v="1"/>
    <x v="263"/>
    <x v="0"/>
    <n v="2"/>
    <n v="56"/>
    <x v="0"/>
    <x v="1"/>
    <n v="2.7777777777777776E-2"/>
    <x v="14"/>
    <x v="2"/>
    <s v="OK"/>
    <x v="0"/>
    <s v="OK"/>
    <x v="0"/>
    <x v="0"/>
    <n v="1"/>
    <n v="0"/>
    <n v="1"/>
    <n v="0"/>
    <x v="0"/>
    <x v="0"/>
    <x v="1"/>
  </r>
  <r>
    <n v="20602213227"/>
    <x v="9"/>
    <x v="9"/>
    <x v="1410"/>
    <x v="1415"/>
    <x v="1108"/>
    <n v="2"/>
    <x v="16"/>
    <s v="E-04 A PV1BIS"/>
    <s v="URB. MARISCAL CACERES MZ. D22 LT. 35"/>
    <x v="15"/>
    <x v="0"/>
    <x v="0"/>
    <x v="1"/>
    <x v="9"/>
    <x v="0"/>
    <n v="2"/>
    <n v="112"/>
    <x v="0"/>
    <x v="1"/>
    <n v="2.7777777777777776E-2"/>
    <x v="21"/>
    <x v="2"/>
    <s v="OK"/>
    <x v="0"/>
    <s v="OK"/>
    <x v="0"/>
    <x v="0"/>
    <n v="1"/>
    <n v="0"/>
    <n v="1"/>
    <n v="0"/>
    <x v="0"/>
    <x v="0"/>
    <x v="1"/>
  </r>
  <r>
    <s v="20601322456"/>
    <x v="70"/>
    <x v="48"/>
    <x v="1411"/>
    <x v="1416"/>
    <x v="1253"/>
    <n v="2"/>
    <x v="66"/>
    <s v="E-6"/>
    <s v="MZ. B LT.5  URB. CAJA DE AGUA "/>
    <x v="15"/>
    <x v="0"/>
    <x v="0"/>
    <x v="0"/>
    <x v="292"/>
    <x v="0"/>
    <n v="4"/>
    <n v="208"/>
    <x v="0"/>
    <x v="1"/>
    <n v="0.1"/>
    <x v="14"/>
    <x v="2"/>
    <s v="OK"/>
    <x v="0"/>
    <s v="OK"/>
    <x v="0"/>
    <x v="0"/>
    <n v="1"/>
    <n v="0"/>
    <n v="0"/>
    <n v="0"/>
    <x v="0"/>
    <x v="0"/>
    <x v="0"/>
  </r>
  <r>
    <s v="20601322456"/>
    <x v="70"/>
    <x v="48"/>
    <x v="1412"/>
    <x v="1417"/>
    <x v="1254"/>
    <n v="2"/>
    <x v="66"/>
    <s v="E-13"/>
    <s v="CALLE SR. DE LA AGONIA MZ.11 LT.8 P JOVEN SAN MIGUEL"/>
    <x v="79"/>
    <x v="0"/>
    <x v="0"/>
    <x v="0"/>
    <x v="520"/>
    <x v="0"/>
    <n v="4"/>
    <n v="208"/>
    <x v="0"/>
    <x v="1"/>
    <n v="0.1"/>
    <x v="16"/>
    <x v="2"/>
    <s v="OK"/>
    <x v="0"/>
    <s v="OK"/>
    <x v="0"/>
    <x v="0"/>
    <n v="1"/>
    <n v="0"/>
    <n v="0"/>
    <n v="0"/>
    <x v="0"/>
    <x v="0"/>
    <x v="0"/>
  </r>
  <r>
    <n v="20601536536"/>
    <x v="11"/>
    <x v="11"/>
    <x v="1413"/>
    <x v="1418"/>
    <x v="1255"/>
    <m/>
    <x v="15"/>
    <s v="REGRESO A PLANTA"/>
    <s v="MZ. i3 LT. 4 A.H. DEFENSORES DE LA PATRIA"/>
    <x v="2"/>
    <x v="0"/>
    <x v="0"/>
    <x v="2"/>
    <x v="41"/>
    <x v="0"/>
    <n v="1"/>
    <n v="0"/>
    <x v="0"/>
    <x v="0"/>
    <n v="0"/>
    <x v="20"/>
    <x v="2"/>
    <s v="OK"/>
    <x v="2"/>
    <s v="OK"/>
    <x v="0"/>
    <x v="0"/>
    <n v="1"/>
    <n v="1"/>
    <n v="0"/>
    <n v="0"/>
    <x v="0"/>
    <x v="0"/>
    <x v="0"/>
  </r>
  <r>
    <n v="20601536536"/>
    <x v="11"/>
    <x v="11"/>
    <x v="1414"/>
    <x v="1419"/>
    <x v="1256"/>
    <m/>
    <x v="157"/>
    <s v="REGRESO A PLANTA"/>
    <s v="MZ. G3 LT. 7 A.H. DEFENSORES DE LA PATRIA"/>
    <x v="2"/>
    <x v="0"/>
    <x v="0"/>
    <x v="2"/>
    <x v="41"/>
    <x v="0"/>
    <n v="1"/>
    <n v="0"/>
    <x v="0"/>
    <x v="0"/>
    <n v="0"/>
    <x v="14"/>
    <x v="2"/>
    <s v="OK"/>
    <x v="2"/>
    <s v="OK"/>
    <x v="0"/>
    <x v="0"/>
    <n v="1"/>
    <n v="1"/>
    <n v="0"/>
    <n v="0"/>
    <x v="0"/>
    <x v="0"/>
    <x v="0"/>
  </r>
  <r>
    <n v="20601536536"/>
    <x v="11"/>
    <x v="11"/>
    <x v="1415"/>
    <x v="1420"/>
    <x v="1257"/>
    <m/>
    <x v="15"/>
    <s v="REGRESO A PLANTA"/>
    <s v="ASEN,  HUMANO VALLE VERDE MZ. B LT. 11 "/>
    <x v="2"/>
    <x v="0"/>
    <x v="0"/>
    <x v="2"/>
    <x v="41"/>
    <x v="0"/>
    <n v="1"/>
    <n v="0"/>
    <x v="0"/>
    <x v="0"/>
    <n v="0"/>
    <x v="19"/>
    <x v="2"/>
    <s v="OK"/>
    <x v="2"/>
    <s v="OK"/>
    <x v="0"/>
    <x v="0"/>
    <n v="1"/>
    <n v="1"/>
    <n v="0"/>
    <n v="0"/>
    <x v="0"/>
    <x v="0"/>
    <x v="0"/>
  </r>
  <r>
    <n v="20601536536"/>
    <x v="11"/>
    <x v="11"/>
    <x v="1416"/>
    <x v="1421"/>
    <x v="1258"/>
    <m/>
    <x v="157"/>
    <s v="ESTACION 11 / ESTACION 15"/>
    <s v="JR. JORDAN SECTOR EL NAZARENO MZ D LOTE 26"/>
    <x v="53"/>
    <x v="0"/>
    <x v="0"/>
    <x v="2"/>
    <x v="242"/>
    <x v="0"/>
    <n v="1"/>
    <n v="120"/>
    <x v="0"/>
    <x v="0"/>
    <n v="0"/>
    <x v="17"/>
    <x v="2"/>
    <s v="OK"/>
    <x v="0"/>
    <s v="OK"/>
    <x v="0"/>
    <x v="0"/>
    <n v="1"/>
    <n v="0"/>
    <n v="0"/>
    <n v="0"/>
    <x v="0"/>
    <x v="0"/>
    <x v="0"/>
  </r>
  <r>
    <n v="20601536536"/>
    <x v="11"/>
    <x v="11"/>
    <x v="1417"/>
    <x v="1422"/>
    <x v="1259"/>
    <m/>
    <x v="157"/>
    <s v="ESTACION 11 / ESTACION 15"/>
    <s v="JR. JORDAN SECTOR EL NAZARENO MZ D LOTE 26"/>
    <x v="53"/>
    <x v="0"/>
    <x v="0"/>
    <x v="2"/>
    <x v="242"/>
    <x v="0"/>
    <n v="1"/>
    <n v="120"/>
    <x v="0"/>
    <x v="0"/>
    <n v="0"/>
    <x v="14"/>
    <x v="2"/>
    <s v="OK"/>
    <x v="0"/>
    <s v="OK"/>
    <x v="0"/>
    <x v="0"/>
    <n v="1"/>
    <n v="0"/>
    <n v="0"/>
    <n v="0"/>
    <x v="0"/>
    <x v="0"/>
    <x v="0"/>
  </r>
  <r>
    <n v="20601536536"/>
    <x v="11"/>
    <x v="11"/>
    <x v="1418"/>
    <x v="1423"/>
    <x v="1260"/>
    <n v="1"/>
    <x v="61"/>
    <s v="ESTACION 15"/>
    <s v="CALLE LOBOS DE AFUERA S/N URB. LOS CEDROS DE VILLA MZ A-6 LT 22"/>
    <x v="38"/>
    <x v="0"/>
    <x v="0"/>
    <x v="2"/>
    <x v="242"/>
    <x v="0"/>
    <n v="1"/>
    <n v="144"/>
    <x v="0"/>
    <x v="0"/>
    <n v="0"/>
    <x v="16"/>
    <x v="2"/>
    <s v="OK"/>
    <x v="0"/>
    <s v="OK"/>
    <x v="0"/>
    <x v="0"/>
    <n v="1"/>
    <n v="0"/>
    <n v="0"/>
    <n v="0"/>
    <x v="0"/>
    <x v="0"/>
    <x v="0"/>
  </r>
  <r>
    <n v="20601536536"/>
    <x v="11"/>
    <x v="11"/>
    <x v="1419"/>
    <x v="1424"/>
    <x v="1261"/>
    <m/>
    <x v="15"/>
    <s v="REGRESO A PLANTA"/>
    <s v="JR. CARHUAZ 387 – BRENA - LIMA"/>
    <x v="5"/>
    <x v="0"/>
    <x v="0"/>
    <x v="2"/>
    <x v="521"/>
    <x v="0"/>
    <n v="1"/>
    <n v="144"/>
    <x v="0"/>
    <x v="0"/>
    <n v="0"/>
    <x v="16"/>
    <x v="2"/>
    <s v="OK"/>
    <x v="3"/>
    <s v="OK"/>
    <x v="0"/>
    <x v="0"/>
    <n v="1"/>
    <n v="1"/>
    <n v="0"/>
    <n v="0"/>
    <x v="0"/>
    <x v="0"/>
    <x v="0"/>
  </r>
  <r>
    <s v="20504138292"/>
    <x v="12"/>
    <x v="12"/>
    <x v="1420"/>
    <x v="1425"/>
    <x v="1030"/>
    <n v="2"/>
    <x v="8"/>
    <s v="PV 04"/>
    <s v="JR JOSE DE LA MAR 149 URB STA LUZMILA ETAPA II"/>
    <x v="0"/>
    <x v="0"/>
    <x v="0"/>
    <x v="2"/>
    <x v="473"/>
    <x v="0"/>
    <n v="4"/>
    <n v="192"/>
    <x v="0"/>
    <x v="1"/>
    <n v="2.3809523809523808E-2"/>
    <x v="15"/>
    <x v="2"/>
    <s v="OK"/>
    <x v="0"/>
    <s v="OK"/>
    <x v="0"/>
    <x v="0"/>
    <n v="1"/>
    <n v="0"/>
    <n v="0"/>
    <n v="0"/>
    <x v="0"/>
    <x v="0"/>
    <x v="0"/>
  </r>
  <r>
    <s v="20504138292"/>
    <x v="12"/>
    <x v="12"/>
    <x v="1421"/>
    <x v="1426"/>
    <x v="1262"/>
    <n v="2"/>
    <x v="18"/>
    <s v="PV 04"/>
    <s v="AV ALFONSO UGARTE 1349 AAHH JOSE GALVEZ"/>
    <x v="8"/>
    <x v="0"/>
    <x v="0"/>
    <x v="2"/>
    <x v="179"/>
    <x v="0"/>
    <n v="4"/>
    <n v="192"/>
    <x v="0"/>
    <x v="1"/>
    <n v="2.3809523809523808E-2"/>
    <x v="22"/>
    <x v="2"/>
    <s v="OK"/>
    <x v="0"/>
    <s v="OK"/>
    <x v="0"/>
    <x v="0"/>
    <n v="1"/>
    <n v="0"/>
    <n v="0"/>
    <n v="0"/>
    <x v="0"/>
    <x v="0"/>
    <x v="0"/>
  </r>
  <r>
    <s v="20504138292"/>
    <x v="12"/>
    <x v="12"/>
    <x v="1422"/>
    <x v="1427"/>
    <x v="1263"/>
    <n v="1"/>
    <x v="6"/>
    <s v="PV 04"/>
    <s v="URB SAN RAFAEL MZ E5 LT 14"/>
    <x v="170"/>
    <x v="1"/>
    <x v="0"/>
    <x v="2"/>
    <x v="429"/>
    <x v="0"/>
    <n v="1"/>
    <n v="192"/>
    <x v="0"/>
    <x v="1"/>
    <n v="2.3809523809523808E-2"/>
    <x v="17"/>
    <x v="2"/>
    <s v="OK"/>
    <x v="0"/>
    <s v="OK"/>
    <x v="0"/>
    <x v="0"/>
    <n v="1"/>
    <n v="0"/>
    <n v="0"/>
    <n v="0"/>
    <x v="0"/>
    <x v="0"/>
    <x v="0"/>
  </r>
  <r>
    <s v="20504138292"/>
    <x v="12"/>
    <x v="12"/>
    <x v="1423"/>
    <x v="1428"/>
    <x v="1264"/>
    <n v="1"/>
    <x v="84"/>
    <s v="PV 04"/>
    <s v="CALLE TRUJILLO 407 P.J. POETA JOSE GALVEZ"/>
    <x v="8"/>
    <x v="0"/>
    <x v="0"/>
    <x v="2"/>
    <x v="177"/>
    <x v="0"/>
    <n v="1"/>
    <n v="192"/>
    <x v="0"/>
    <x v="1"/>
    <n v="2.3809523809523808E-2"/>
    <x v="22"/>
    <x v="2"/>
    <s v="OK"/>
    <x v="0"/>
    <s v="OK"/>
    <x v="0"/>
    <x v="0"/>
    <n v="1"/>
    <n v="0"/>
    <n v="0"/>
    <n v="0"/>
    <x v="0"/>
    <x v="0"/>
    <x v="0"/>
  </r>
  <r>
    <s v="20504138292"/>
    <x v="12"/>
    <x v="12"/>
    <x v="1424"/>
    <x v="1429"/>
    <x v="1265"/>
    <n v="2"/>
    <x v="74"/>
    <s v="PV 04"/>
    <s v="MZ P LT 8 LAS AMERICAS PAMPLONA ALTA"/>
    <x v="53"/>
    <x v="0"/>
    <x v="0"/>
    <x v="2"/>
    <x v="42"/>
    <x v="0"/>
    <n v="4"/>
    <n v="192"/>
    <x v="0"/>
    <x v="1"/>
    <n v="2.3809523809523808E-2"/>
    <x v="17"/>
    <x v="2"/>
    <s v="OK"/>
    <x v="0"/>
    <s v="OK"/>
    <x v="0"/>
    <x v="0"/>
    <n v="1"/>
    <n v="0"/>
    <n v="0"/>
    <n v="0"/>
    <x v="0"/>
    <x v="0"/>
    <x v="0"/>
  </r>
  <r>
    <s v="20504138292"/>
    <x v="12"/>
    <x v="12"/>
    <x v="1425"/>
    <x v="1430"/>
    <x v="1206"/>
    <n v="2"/>
    <x v="18"/>
    <s v="PV 04"/>
    <s v="JOSE GALVEZ MZ 134 H LT 1  CMTE 74 A"/>
    <x v="8"/>
    <x v="0"/>
    <x v="0"/>
    <x v="2"/>
    <x v="111"/>
    <x v="0"/>
    <n v="4"/>
    <n v="192"/>
    <x v="0"/>
    <x v="1"/>
    <n v="2.3809523809523808E-2"/>
    <x v="22"/>
    <x v="2"/>
    <s v="OK"/>
    <x v="0"/>
    <s v="OK"/>
    <x v="0"/>
    <x v="0"/>
    <n v="1"/>
    <n v="0"/>
    <n v="0"/>
    <n v="0"/>
    <x v="0"/>
    <x v="0"/>
    <x v="0"/>
  </r>
  <r>
    <s v="20504138292"/>
    <x v="12"/>
    <x v="12"/>
    <x v="1426"/>
    <x v="1431"/>
    <x v="1266"/>
    <n v="2"/>
    <x v="67"/>
    <s v="PV 04"/>
    <s v="CALLE JOSE GALVEZ MZ.C LT.02 URB.CENTRO POBLADO STA.CLARA"/>
    <x v="1"/>
    <x v="0"/>
    <x v="0"/>
    <x v="2"/>
    <x v="245"/>
    <x v="0"/>
    <n v="4"/>
    <n v="192"/>
    <x v="0"/>
    <x v="1"/>
    <n v="2.3809523809523808E-2"/>
    <x v="16"/>
    <x v="2"/>
    <s v="OK"/>
    <x v="1"/>
    <s v="OK"/>
    <x v="0"/>
    <x v="0"/>
    <n v="1"/>
    <n v="1"/>
    <n v="0"/>
    <n v="0"/>
    <x v="0"/>
    <x v="0"/>
    <x v="0"/>
  </r>
  <r>
    <s v="20504138292"/>
    <x v="12"/>
    <x v="12"/>
    <x v="1427"/>
    <x v="1432"/>
    <x v="1267"/>
    <n v="2"/>
    <x v="18"/>
    <s v="PV 04"/>
    <s v="CALLE 1 MZ C LT 11 PISO 2 URB EL LUCUMO  AAHH HUAYCAN"/>
    <x v="1"/>
    <x v="0"/>
    <x v="0"/>
    <x v="2"/>
    <x v="38"/>
    <x v="0"/>
    <n v="4"/>
    <n v="192"/>
    <x v="0"/>
    <x v="1"/>
    <n v="2.3809523809523808E-2"/>
    <x v="21"/>
    <x v="2"/>
    <s v="OK"/>
    <x v="1"/>
    <s v="OK"/>
    <x v="0"/>
    <x v="0"/>
    <n v="1"/>
    <n v="1"/>
    <n v="0"/>
    <n v="0"/>
    <x v="0"/>
    <x v="0"/>
    <x v="0"/>
  </r>
  <r>
    <s v="20504138292"/>
    <x v="12"/>
    <x v="12"/>
    <x v="1428"/>
    <x v="1433"/>
    <x v="1268"/>
    <n v="2"/>
    <x v="11"/>
    <s v="PV 04"/>
    <s v="MZ L1 LT 06 A. H. SAN MIGUEL DE ARCANGEL"/>
    <x v="8"/>
    <x v="0"/>
    <x v="0"/>
    <x v="2"/>
    <x v="21"/>
    <x v="0"/>
    <n v="4"/>
    <n v="72"/>
    <x v="0"/>
    <x v="1"/>
    <n v="2.3809523809523808E-2"/>
    <x v="17"/>
    <x v="2"/>
    <s v="OK"/>
    <x v="0"/>
    <s v="OK"/>
    <x v="0"/>
    <x v="0"/>
    <n v="1"/>
    <n v="0"/>
    <n v="0"/>
    <n v="0"/>
    <x v="0"/>
    <x v="0"/>
    <x v="0"/>
  </r>
  <r>
    <s v="20504138292"/>
    <x v="12"/>
    <x v="12"/>
    <x v="1429"/>
    <x v="1434"/>
    <x v="1269"/>
    <n v="2"/>
    <x v="18"/>
    <s v="PV 04"/>
    <s v="MZ 11 LT 10 ZONA K CIUDAD DE DIOS"/>
    <x v="53"/>
    <x v="0"/>
    <x v="0"/>
    <x v="2"/>
    <x v="476"/>
    <x v="0"/>
    <n v="4"/>
    <n v="8.5"/>
    <x v="0"/>
    <x v="1"/>
    <n v="2.3809523809523808E-2"/>
    <x v="21"/>
    <x v="2"/>
    <s v="OK"/>
    <x v="0"/>
    <s v="OK"/>
    <x v="0"/>
    <x v="0"/>
    <n v="1"/>
    <n v="0"/>
    <n v="0"/>
    <n v="0"/>
    <x v="0"/>
    <x v="0"/>
    <x v="0"/>
  </r>
  <r>
    <n v="20524172365"/>
    <x v="55"/>
    <x v="41"/>
    <x v="1430"/>
    <x v="1435"/>
    <x v="1270"/>
    <n v="1"/>
    <x v="100"/>
    <s v="SUMINISTRO E INSTALACIÓN DE BARANDAS DE ACERO INOXIDABLE EN LA ESTACION E17"/>
    <s v="AH. EL PACIFICO.  II ETAPA. MZ L. LOTE 3."/>
    <x v="53"/>
    <x v="0"/>
    <x v="0"/>
    <x v="1"/>
    <x v="122"/>
    <x v="0"/>
    <n v="2"/>
    <n v="120"/>
    <x v="0"/>
    <x v="1"/>
    <n v="0.1"/>
    <x v="22"/>
    <x v="2"/>
    <s v="OK"/>
    <x v="0"/>
    <s v="OK"/>
    <x v="0"/>
    <x v="0"/>
    <n v="1"/>
    <n v="0"/>
    <n v="0"/>
    <n v="0"/>
    <x v="0"/>
    <x v="0"/>
    <x v="0"/>
  </r>
  <r>
    <n v="20524172365"/>
    <x v="55"/>
    <x v="41"/>
    <x v="1431"/>
    <x v="1436"/>
    <x v="1271"/>
    <n v="1"/>
    <x v="100"/>
    <s v="SUMINISTRO E INSTALACIÓN DE BARANDAS DE ACERO INOXIDABLE EN LA ESTACION E17"/>
    <s v="MZ. R LT. 3 URB. COOP. DE VIV. SAN FRANCISCO"/>
    <x v="27"/>
    <x v="0"/>
    <x v="0"/>
    <x v="1"/>
    <x v="11"/>
    <x v="0"/>
    <n v="2"/>
    <n v="112"/>
    <x v="0"/>
    <x v="1"/>
    <n v="0.1"/>
    <x v="22"/>
    <x v="2"/>
    <s v="OK"/>
    <x v="5"/>
    <s v="OK"/>
    <x v="0"/>
    <x v="0"/>
    <n v="1"/>
    <n v="1"/>
    <n v="0"/>
    <n v="0"/>
    <x v="0"/>
    <x v="0"/>
    <x v="0"/>
  </r>
  <r>
    <n v="20550163480"/>
    <x v="13"/>
    <x v="13"/>
    <x v="1432"/>
    <x v="1437"/>
    <x v="1272"/>
    <n v="2"/>
    <x v="19"/>
    <s v="Estacion 06"/>
    <s v="Boca Negra Sector 3 Lote 09"/>
    <x v="6"/>
    <x v="0"/>
    <x v="0"/>
    <x v="2"/>
    <x v="522"/>
    <x v="0"/>
    <n v="4"/>
    <n v="192"/>
    <x v="0"/>
    <x v="1"/>
    <n v="5.8823529411764705E-2"/>
    <x v="22"/>
    <x v="2"/>
    <s v="OK"/>
    <x v="2"/>
    <s v="OK"/>
    <x v="0"/>
    <x v="0"/>
    <n v="1"/>
    <n v="1"/>
    <n v="0"/>
    <n v="0"/>
    <x v="0"/>
    <x v="0"/>
    <x v="0"/>
  </r>
  <r>
    <n v="20550163480"/>
    <x v="13"/>
    <x v="13"/>
    <x v="1433"/>
    <x v="1438"/>
    <x v="1273"/>
    <n v="2"/>
    <x v="102"/>
    <s v="E1, E2, E3, E4, E5, E6, E7, E8, E9, E10, E11, E12, E13, E14, E15, E16, E17, E18, E19, E20,E21, E22, E23, E24, E25,E26, E27, Pozos Patio Taller  Da Callao y Patio Taller De Santa Anita"/>
    <s v="Asent. H. San Francisco de Pariachi Mz. NLT. 12"/>
    <x v="1"/>
    <x v="0"/>
    <x v="0"/>
    <x v="2"/>
    <x v="111"/>
    <x v="0"/>
    <n v="4"/>
    <n v="192"/>
    <x v="0"/>
    <x v="1"/>
    <n v="5.8823529411764705E-2"/>
    <x v="20"/>
    <x v="2"/>
    <s v="OK"/>
    <x v="1"/>
    <s v="OK"/>
    <x v="0"/>
    <x v="0"/>
    <n v="1"/>
    <n v="1"/>
    <n v="0"/>
    <n v="0"/>
    <x v="0"/>
    <x v="0"/>
    <x v="0"/>
  </r>
  <r>
    <n v="20550163480"/>
    <x v="13"/>
    <x v="13"/>
    <x v="1434"/>
    <x v="1439"/>
    <x v="1274"/>
    <n v="2"/>
    <x v="19"/>
    <s v="Estacion 13,Estacion 06, Estacion 01"/>
    <s v="Virgen Del Carmen MZ. QLT. 35"/>
    <x v="1"/>
    <x v="0"/>
    <x v="0"/>
    <x v="2"/>
    <x v="44"/>
    <x v="0"/>
    <n v="4"/>
    <n v="192"/>
    <x v="0"/>
    <x v="1"/>
    <n v="5.8823529411764705E-2"/>
    <x v="18"/>
    <x v="2"/>
    <s v="OK"/>
    <x v="1"/>
    <s v="OK"/>
    <x v="0"/>
    <x v="0"/>
    <n v="1"/>
    <n v="1"/>
    <n v="0"/>
    <n v="0"/>
    <x v="0"/>
    <x v="0"/>
    <x v="0"/>
  </r>
  <r>
    <n v="20550163480"/>
    <x v="13"/>
    <x v="13"/>
    <x v="1435"/>
    <x v="1440"/>
    <x v="1275"/>
    <n v="2"/>
    <x v="19"/>
    <s v="E1, E2, E3, E4, E5, E6, E7, E8, E9, E10, E11, E12, E13, E14, E15, E16, E17, E18, E19, E20,E21, E22, E23, E24, E25,E26, E27, Pozos Patio Taller  Da Callao y Patio Taller De Santa Anita"/>
    <s v="MZ A LT 08 Asoc. Pro. Vivienda Sol Naciente de Horacio"/>
    <x v="1"/>
    <x v="0"/>
    <x v="0"/>
    <x v="2"/>
    <x v="224"/>
    <x v="0"/>
    <n v="4"/>
    <n v="192"/>
    <x v="0"/>
    <x v="1"/>
    <n v="5.8823529411764705E-2"/>
    <x v="16"/>
    <x v="2"/>
    <s v="OK"/>
    <x v="1"/>
    <s v="OK"/>
    <x v="0"/>
    <x v="0"/>
    <n v="1"/>
    <n v="1"/>
    <n v="0"/>
    <n v="0"/>
    <x v="0"/>
    <x v="0"/>
    <x v="0"/>
  </r>
  <r>
    <n v="20550163480"/>
    <x v="13"/>
    <x v="13"/>
    <x v="1436"/>
    <x v="1441"/>
    <x v="1276"/>
    <n v="2"/>
    <x v="19"/>
    <s v="Estacion 05, Estacion 03, Estacion 13"/>
    <s v="Asent. H. Santa Rosa MZ 66D LT.1"/>
    <x v="33"/>
    <x v="0"/>
    <x v="0"/>
    <x v="2"/>
    <x v="523"/>
    <x v="0"/>
    <n v="4"/>
    <n v="192"/>
    <x v="0"/>
    <x v="1"/>
    <n v="5.8823529411764705E-2"/>
    <x v="15"/>
    <x v="2"/>
    <s v="OK"/>
    <x v="0"/>
    <s v="OK"/>
    <x v="0"/>
    <x v="0"/>
    <n v="1"/>
    <n v="0"/>
    <n v="0"/>
    <n v="0"/>
    <x v="0"/>
    <x v="0"/>
    <x v="0"/>
  </r>
  <r>
    <n v="20551135137"/>
    <x v="14"/>
    <x v="14"/>
    <x v="1437"/>
    <x v="1442"/>
    <x v="1277"/>
    <n v="1"/>
    <x v="7"/>
    <s v="E03 - E04"/>
    <s v="AV. FRANCISCO DE ZELA 345 Tablada de Lurin"/>
    <x v="8"/>
    <x v="0"/>
    <x v="0"/>
    <x v="1"/>
    <x v="257"/>
    <x v="0"/>
    <n v="2"/>
    <n v="240"/>
    <x v="0"/>
    <x v="1"/>
    <n v="9.0909090909090912E-2"/>
    <x v="19"/>
    <x v="2"/>
    <s v="OK"/>
    <x v="0"/>
    <s v="OK"/>
    <x v="0"/>
    <x v="0"/>
    <n v="1"/>
    <n v="0"/>
    <n v="0"/>
    <n v="0"/>
    <x v="0"/>
    <x v="0"/>
    <x v="0"/>
  </r>
  <r>
    <n v="20551135137"/>
    <x v="14"/>
    <x v="14"/>
    <x v="1438"/>
    <x v="1443"/>
    <x v="965"/>
    <n v="2"/>
    <x v="103"/>
    <s v="E03 - E04"/>
    <s v="MZ.A LT.01 ASOC.VIV.LA LIBERTAD SJL"/>
    <x v="15"/>
    <x v="0"/>
    <x v="0"/>
    <x v="1"/>
    <x v="257"/>
    <x v="0"/>
    <n v="4"/>
    <n v="40"/>
    <x v="0"/>
    <x v="1"/>
    <n v="9.0909090909090912E-2"/>
    <x v="18"/>
    <x v="2"/>
    <s v="OK"/>
    <x v="0"/>
    <s v="OK"/>
    <x v="0"/>
    <x v="0"/>
    <n v="1"/>
    <n v="0"/>
    <n v="0"/>
    <n v="0"/>
    <x v="0"/>
    <x v="0"/>
    <x v="0"/>
  </r>
  <r>
    <n v="20551135137"/>
    <x v="14"/>
    <x v="14"/>
    <x v="1439"/>
    <x v="1444"/>
    <x v="1278"/>
    <n v="1"/>
    <x v="91"/>
    <s v="E03 - E04"/>
    <s v="AV. RAMON CASTILLA 207 DPTO.302"/>
    <x v="143"/>
    <x v="0"/>
    <x v="0"/>
    <x v="1"/>
    <x v="524"/>
    <x v="0"/>
    <n v="2"/>
    <n v="40"/>
    <x v="0"/>
    <x v="1"/>
    <n v="9.0909090909090912E-2"/>
    <x v="17"/>
    <x v="2"/>
    <s v="OK"/>
    <x v="0"/>
    <s v="OK"/>
    <x v="0"/>
    <x v="0"/>
    <n v="1"/>
    <n v="0"/>
    <n v="0"/>
    <n v="0"/>
    <x v="0"/>
    <x v="0"/>
    <x v="0"/>
  </r>
  <r>
    <s v="20551610030"/>
    <x v="15"/>
    <x v="15"/>
    <x v="1440"/>
    <x v="1445"/>
    <x v="1279"/>
    <n v="1"/>
    <x v="153"/>
    <s v="ESTACION 14 Y 15 / POZO 18 Y 17,16"/>
    <s v="AV. PROCERES 950 - SANTIAGO DE SURCO"/>
    <x v="14"/>
    <x v="0"/>
    <x v="0"/>
    <x v="2"/>
    <x v="259"/>
    <x v="0"/>
    <n v="2"/>
    <n v="200.5"/>
    <x v="0"/>
    <x v="1"/>
    <n v="1.2345679012345678E-2"/>
    <x v="15"/>
    <x v="2"/>
    <s v="OK"/>
    <x v="0"/>
    <s v="OK"/>
    <x v="0"/>
    <x v="0"/>
    <n v="1"/>
    <n v="0"/>
    <n v="0"/>
    <n v="0"/>
    <x v="0"/>
    <x v="0"/>
    <x v="0"/>
  </r>
  <r>
    <s v="20551610030"/>
    <x v="15"/>
    <x v="15"/>
    <x v="1441"/>
    <x v="1446"/>
    <x v="1021"/>
    <n v="1"/>
    <x v="153"/>
    <s v="ESTACION 14 Y 15 "/>
    <s v="CALLE GONZALES PRADA 171 URB. MIRAFLORES"/>
    <x v="146"/>
    <x v="0"/>
    <x v="0"/>
    <x v="2"/>
    <x v="258"/>
    <x v="0"/>
    <n v="1"/>
    <n v="200.5"/>
    <x v="0"/>
    <x v="1"/>
    <n v="1.2345679012345678E-2"/>
    <x v="20"/>
    <x v="2"/>
    <s v="OK"/>
    <x v="0"/>
    <s v="OK"/>
    <x v="0"/>
    <x v="0"/>
    <n v="1"/>
    <n v="0"/>
    <n v="0"/>
    <n v="0"/>
    <x v="0"/>
    <x v="0"/>
    <x v="0"/>
  </r>
  <r>
    <s v="20551610030"/>
    <x v="15"/>
    <x v="15"/>
    <x v="1442"/>
    <x v="1447"/>
    <x v="1280"/>
    <n v="1"/>
    <x v="249"/>
    <s v="ESTACION 14 Y 15 "/>
    <s v="CALLE LOS FICUS ASOC. DE VIV. LOS PINOS MZ M M LT 35"/>
    <x v="4"/>
    <x v="0"/>
    <x v="0"/>
    <x v="2"/>
    <x v="525"/>
    <x v="0"/>
    <n v="1"/>
    <n v="200.5"/>
    <x v="0"/>
    <x v="1"/>
    <n v="1.2345679012345678E-2"/>
    <x v="19"/>
    <x v="2"/>
    <s v="OK"/>
    <x v="0"/>
    <s v="OK"/>
    <x v="0"/>
    <x v="0"/>
    <n v="1"/>
    <n v="0"/>
    <n v="0"/>
    <n v="0"/>
    <x v="0"/>
    <x v="0"/>
    <x v="0"/>
  </r>
  <r>
    <s v="20551610030"/>
    <x v="15"/>
    <x v="15"/>
    <x v="1443"/>
    <x v="1448"/>
    <x v="1281"/>
    <n v="1"/>
    <x v="249"/>
    <s v="ESTACION 14 Y 15 "/>
    <s v="CALLE GRIMALDO DEL SOLAR 170"/>
    <x v="146"/>
    <x v="0"/>
    <x v="0"/>
    <x v="6"/>
    <x v="259"/>
    <x v="0"/>
    <n v="1"/>
    <n v="200.5"/>
    <x v="0"/>
    <x v="1"/>
    <n v="1.2345679012345678E-2"/>
    <x v="21"/>
    <x v="2"/>
    <s v="OK"/>
    <x v="0"/>
    <s v="OK"/>
    <x v="0"/>
    <x v="0"/>
    <n v="1"/>
    <n v="0"/>
    <n v="0"/>
    <n v="0"/>
    <x v="0"/>
    <x v="0"/>
    <x v="0"/>
  </r>
  <r>
    <s v="20551610030"/>
    <x v="15"/>
    <x v="15"/>
    <x v="1444"/>
    <x v="1449"/>
    <x v="1282"/>
    <n v="1"/>
    <x v="141"/>
    <s v="ESTACION 14"/>
    <s v="AV. NARANJAL 1025 PARQUE NARANJAL"/>
    <x v="49"/>
    <x v="0"/>
    <x v="0"/>
    <x v="2"/>
    <x v="526"/>
    <x v="0"/>
    <n v="1"/>
    <n v="200.5"/>
    <x v="0"/>
    <x v="1"/>
    <n v="1.2345679012345678E-2"/>
    <x v="19"/>
    <x v="2"/>
    <s v="OK"/>
    <x v="0"/>
    <s v="OK"/>
    <x v="0"/>
    <x v="0"/>
    <n v="1"/>
    <n v="0"/>
    <n v="0"/>
    <n v="0"/>
    <x v="0"/>
    <x v="0"/>
    <x v="0"/>
  </r>
  <r>
    <s v="20551610030"/>
    <x v="15"/>
    <x v="15"/>
    <x v="1445"/>
    <x v="1450"/>
    <x v="1283"/>
    <n v="1"/>
    <x v="250"/>
    <s v="ESTACION 14 Y 15"/>
    <s v="CALLE LLOQUE YUPANQUI 377"/>
    <x v="236"/>
    <x v="0"/>
    <x v="0"/>
    <x v="2"/>
    <x v="393"/>
    <x v="0"/>
    <n v="1"/>
    <n v="200.5"/>
    <x v="0"/>
    <x v="1"/>
    <n v="1.2345679012345678E-2"/>
    <x v="14"/>
    <x v="2"/>
    <s v="OK"/>
    <x v="0"/>
    <s v="OK"/>
    <x v="0"/>
    <x v="0"/>
    <n v="1"/>
    <n v="0"/>
    <n v="0"/>
    <n v="0"/>
    <x v="0"/>
    <x v="0"/>
    <x v="0"/>
  </r>
  <r>
    <s v="20551610030"/>
    <x v="15"/>
    <x v="15"/>
    <x v="1446"/>
    <x v="1451"/>
    <x v="1284"/>
    <n v="1"/>
    <x v="60"/>
    <s v="ESTACION 14"/>
    <s v="AV 6 DE AGOSTO 907 DPTO 304"/>
    <x v="51"/>
    <x v="1"/>
    <x v="0"/>
    <x v="2"/>
    <x v="98"/>
    <x v="0"/>
    <n v="1"/>
    <n v="200.5"/>
    <x v="0"/>
    <x v="1"/>
    <n v="1.2345679012345678E-2"/>
    <x v="16"/>
    <x v="2"/>
    <s v="OK"/>
    <x v="0"/>
    <s v="OK"/>
    <x v="0"/>
    <x v="0"/>
    <n v="1"/>
    <n v="0"/>
    <n v="0"/>
    <n v="0"/>
    <x v="0"/>
    <x v="0"/>
    <x v="0"/>
  </r>
  <r>
    <s v="20551610030"/>
    <x v="15"/>
    <x v="15"/>
    <x v="1447"/>
    <x v="1452"/>
    <x v="1285"/>
    <n v="1"/>
    <x v="107"/>
    <s v="ESTACION 18"/>
    <s v="MZ I LT 01 AH EL MIRADOR DE LOS HUMEDALES"/>
    <x v="2"/>
    <x v="0"/>
    <x v="0"/>
    <x v="2"/>
    <x v="51"/>
    <x v="0"/>
    <n v="1"/>
    <n v="200.5"/>
    <x v="0"/>
    <x v="1"/>
    <n v="1.2345679012345678E-2"/>
    <x v="21"/>
    <x v="2"/>
    <s v="OK"/>
    <x v="2"/>
    <s v="OK"/>
    <x v="0"/>
    <x v="0"/>
    <n v="1"/>
    <n v="1"/>
    <n v="0"/>
    <n v="0"/>
    <x v="0"/>
    <x v="0"/>
    <x v="0"/>
  </r>
  <r>
    <s v="20551610030"/>
    <x v="15"/>
    <x v="15"/>
    <x v="1448"/>
    <x v="1453"/>
    <x v="1286"/>
    <n v="2"/>
    <x v="108"/>
    <s v="ESTACION 14"/>
    <s v="AV. 2 DE MAYO 1784NP.J NUEVA ESPERANZA MZ 32 LT. 9"/>
    <x v="8"/>
    <x v="0"/>
    <x v="0"/>
    <x v="2"/>
    <x v="261"/>
    <x v="0"/>
    <n v="1"/>
    <n v="200.5"/>
    <x v="0"/>
    <x v="1"/>
    <n v="1.2345679012345678E-2"/>
    <x v="21"/>
    <x v="2"/>
    <s v="OK"/>
    <x v="0"/>
    <s v="OK"/>
    <x v="0"/>
    <x v="0"/>
    <n v="1"/>
    <n v="0"/>
    <n v="0"/>
    <n v="0"/>
    <x v="0"/>
    <x v="0"/>
    <x v="0"/>
  </r>
  <r>
    <s v="20551610030"/>
    <x v="15"/>
    <x v="15"/>
    <x v="1449"/>
    <x v="1454"/>
    <x v="1287"/>
    <n v="2"/>
    <x v="108"/>
    <s v="ESTACION 14"/>
    <s v="CALLE SAN ANTONIO 256 PUEBLO JOVEN SAN MARTIN"/>
    <x v="135"/>
    <x v="0"/>
    <x v="0"/>
    <x v="2"/>
    <x v="258"/>
    <x v="0"/>
    <n v="1"/>
    <n v="166.5"/>
    <x v="0"/>
    <x v="1"/>
    <n v="1.2345679012345678E-2"/>
    <x v="15"/>
    <x v="2"/>
    <s v="OK"/>
    <x v="0"/>
    <s v="OK"/>
    <x v="0"/>
    <x v="0"/>
    <n v="1"/>
    <n v="0"/>
    <n v="0"/>
    <n v="0"/>
    <x v="0"/>
    <x v="0"/>
    <x v="0"/>
  </r>
  <r>
    <s v="20551610030"/>
    <x v="15"/>
    <x v="15"/>
    <x v="1450"/>
    <x v="1455"/>
    <x v="1288"/>
    <n v="2"/>
    <x v="108"/>
    <s v="ESTACION 14"/>
    <s v="CALLE LAS GAVIOTAS PUESTO NRO 8 URB SAN JOSE"/>
    <x v="17"/>
    <x v="0"/>
    <x v="0"/>
    <x v="2"/>
    <x v="45"/>
    <x v="0"/>
    <n v="1"/>
    <n v="192"/>
    <x v="0"/>
    <x v="1"/>
    <n v="1.2345679012345678E-2"/>
    <x v="22"/>
    <x v="2"/>
    <s v="OK"/>
    <x v="2"/>
    <s v="OK"/>
    <x v="0"/>
    <x v="0"/>
    <n v="1"/>
    <n v="1"/>
    <n v="0"/>
    <n v="0"/>
    <x v="0"/>
    <x v="0"/>
    <x v="0"/>
  </r>
  <r>
    <s v="20551610030"/>
    <x v="15"/>
    <x v="15"/>
    <x v="1451"/>
    <x v="1456"/>
    <x v="1289"/>
    <n v="2"/>
    <x v="108"/>
    <s v="ESTACION 15"/>
    <s v="AV. LA VICTORIA 753"/>
    <x v="4"/>
    <x v="0"/>
    <x v="0"/>
    <x v="2"/>
    <x v="45"/>
    <x v="0"/>
    <n v="1"/>
    <n v="192"/>
    <x v="0"/>
    <x v="1"/>
    <n v="1.2345679012345678E-2"/>
    <x v="14"/>
    <x v="2"/>
    <s v="OK"/>
    <x v="0"/>
    <s v="OK"/>
    <x v="0"/>
    <x v="0"/>
    <n v="1"/>
    <n v="0"/>
    <n v="0"/>
    <n v="0"/>
    <x v="0"/>
    <x v="0"/>
    <x v="0"/>
  </r>
  <r>
    <s v="20551610030"/>
    <x v="15"/>
    <x v="15"/>
    <x v="1452"/>
    <x v="1457"/>
    <x v="1290"/>
    <n v="2"/>
    <x v="108"/>
    <s v="ESTACION 15"/>
    <s v="JR LOS OPALOS 1918 ASOC SAN HILARION "/>
    <x v="15"/>
    <x v="0"/>
    <x v="0"/>
    <x v="2"/>
    <x v="45"/>
    <x v="0"/>
    <n v="1"/>
    <n v="200.5"/>
    <x v="0"/>
    <x v="1"/>
    <n v="1.2345679012345678E-2"/>
    <x v="15"/>
    <x v="2"/>
    <s v="OK"/>
    <x v="0"/>
    <s v="OK"/>
    <x v="0"/>
    <x v="0"/>
    <n v="1"/>
    <n v="0"/>
    <n v="0"/>
    <n v="0"/>
    <x v="0"/>
    <x v="0"/>
    <x v="0"/>
  </r>
  <r>
    <s v="20551610030"/>
    <x v="15"/>
    <x v="15"/>
    <x v="1453"/>
    <x v="1458"/>
    <x v="1291"/>
    <n v="2"/>
    <x v="108"/>
    <s v="ESTACION 15"/>
    <s v="MZ E LT 6 ASOC PROP SOLEDAD"/>
    <x v="4"/>
    <x v="0"/>
    <x v="0"/>
    <x v="2"/>
    <x v="45"/>
    <x v="0"/>
    <n v="1"/>
    <n v="200.5"/>
    <x v="0"/>
    <x v="1"/>
    <n v="1.2345679012345678E-2"/>
    <x v="17"/>
    <x v="2"/>
    <s v="OK"/>
    <x v="0"/>
    <s v="OK"/>
    <x v="0"/>
    <x v="0"/>
    <n v="1"/>
    <n v="0"/>
    <n v="0"/>
    <n v="0"/>
    <x v="0"/>
    <x v="0"/>
    <x v="0"/>
  </r>
  <r>
    <s v="20551610030"/>
    <x v="15"/>
    <x v="15"/>
    <x v="1454"/>
    <x v="1459"/>
    <x v="1205"/>
    <n v="2"/>
    <x v="22"/>
    <s v="ESTACION 14 Y 15"/>
    <s v="PANCHO FIERRO 3942 MZ X LT 20 SMP PAN NTE"/>
    <x v="49"/>
    <x v="0"/>
    <x v="0"/>
    <x v="2"/>
    <x v="46"/>
    <x v="0"/>
    <n v="1"/>
    <n v="175"/>
    <x v="0"/>
    <x v="1"/>
    <n v="1.2345679012345678E-2"/>
    <x v="14"/>
    <x v="2"/>
    <s v="OK"/>
    <x v="0"/>
    <s v="OK"/>
    <x v="0"/>
    <x v="0"/>
    <n v="1"/>
    <n v="0"/>
    <n v="0"/>
    <n v="0"/>
    <x v="0"/>
    <x v="0"/>
    <x v="0"/>
  </r>
  <r>
    <s v="20551610030"/>
    <x v="15"/>
    <x v="15"/>
    <x v="1455"/>
    <x v="1460"/>
    <x v="1292"/>
    <n v="2"/>
    <x v="22"/>
    <s v="ESTACION 14 Y 15"/>
    <s v="MZ F LT 2 AH LAS LOMAS DEL PARAISO DPTO 2 PISO"/>
    <x v="2"/>
    <x v="0"/>
    <x v="0"/>
    <x v="2"/>
    <x v="46"/>
    <x v="0"/>
    <n v="1"/>
    <n v="192"/>
    <x v="0"/>
    <x v="1"/>
    <n v="1.2345679012345678E-2"/>
    <x v="14"/>
    <x v="2"/>
    <s v="OK"/>
    <x v="2"/>
    <s v="OK"/>
    <x v="0"/>
    <x v="0"/>
    <n v="1"/>
    <n v="1"/>
    <n v="0"/>
    <n v="0"/>
    <x v="0"/>
    <x v="0"/>
    <x v="0"/>
  </r>
  <r>
    <s v="20551610030"/>
    <x v="15"/>
    <x v="15"/>
    <x v="1456"/>
    <x v="1461"/>
    <x v="1293"/>
    <n v="2"/>
    <x v="22"/>
    <s v="ESTACION 14"/>
    <s v="MZ D3 LT 15 ASENT H VILLA HERMOSA"/>
    <x v="15"/>
    <x v="0"/>
    <x v="0"/>
    <x v="2"/>
    <x v="46"/>
    <x v="0"/>
    <n v="1"/>
    <n v="200.5"/>
    <x v="0"/>
    <x v="1"/>
    <n v="1.2345679012345678E-2"/>
    <x v="21"/>
    <x v="2"/>
    <s v="OK"/>
    <x v="0"/>
    <s v="OK"/>
    <x v="0"/>
    <x v="0"/>
    <n v="1"/>
    <n v="0"/>
    <n v="0"/>
    <n v="0"/>
    <x v="0"/>
    <x v="0"/>
    <x v="0"/>
  </r>
  <r>
    <s v="20551610030"/>
    <x v="15"/>
    <x v="15"/>
    <x v="1457"/>
    <x v="1462"/>
    <x v="1294"/>
    <n v="2"/>
    <x v="251"/>
    <s v="ESTACION 15"/>
    <s v="ASEN.H. VILLA EMILIA MZ. E LT. 15"/>
    <x v="36"/>
    <x v="0"/>
    <x v="0"/>
    <x v="2"/>
    <x v="183"/>
    <x v="0"/>
    <n v="1"/>
    <n v="200.5"/>
    <x v="0"/>
    <x v="1"/>
    <n v="1.2345679012345678E-2"/>
    <x v="16"/>
    <x v="2"/>
    <s v="OK"/>
    <x v="2"/>
    <s v="OK"/>
    <x v="0"/>
    <x v="0"/>
    <n v="1"/>
    <n v="1"/>
    <n v="0"/>
    <n v="0"/>
    <x v="0"/>
    <x v="0"/>
    <x v="0"/>
  </r>
  <r>
    <s v="20551610030"/>
    <x v="15"/>
    <x v="15"/>
    <x v="1458"/>
    <x v="1463"/>
    <x v="1295"/>
    <n v="2"/>
    <x v="251"/>
    <s v="ESTACION 15"/>
    <s v="ASENT .H. S.S. JUAN PABLO II MZ. E-14 LT. 22"/>
    <x v="15"/>
    <x v="0"/>
    <x v="0"/>
    <x v="2"/>
    <x v="112"/>
    <x v="0"/>
    <n v="1"/>
    <n v="192"/>
    <x v="0"/>
    <x v="1"/>
    <n v="1.2345679012345678E-2"/>
    <x v="16"/>
    <x v="2"/>
    <s v="OK"/>
    <x v="0"/>
    <s v="OK"/>
    <x v="0"/>
    <x v="0"/>
    <n v="1"/>
    <n v="0"/>
    <n v="0"/>
    <n v="0"/>
    <x v="0"/>
    <x v="0"/>
    <x v="0"/>
  </r>
  <r>
    <s v="20551610030"/>
    <x v="15"/>
    <x v="15"/>
    <x v="1384"/>
    <x v="1464"/>
    <x v="1232"/>
    <n v="2"/>
    <x v="2"/>
    <s v="ESTACION 17"/>
    <s v="PSL. SEÑOR DE LOS MILAGROS MZ. A LT.1"/>
    <x v="46"/>
    <x v="0"/>
    <x v="0"/>
    <x v="2"/>
    <x v="113"/>
    <x v="0"/>
    <n v="1"/>
    <n v="200.5"/>
    <x v="0"/>
    <x v="1"/>
    <n v="1.2345679012345678E-2"/>
    <x v="16"/>
    <x v="2"/>
    <s v="OK"/>
    <x v="7"/>
    <s v="OK"/>
    <x v="0"/>
    <x v="0"/>
    <n v="1"/>
    <n v="1"/>
    <n v="0"/>
    <n v="0"/>
    <x v="0"/>
    <x v="0"/>
    <x v="0"/>
  </r>
  <r>
    <s v="20551610030"/>
    <x v="15"/>
    <x v="15"/>
    <x v="1459"/>
    <x v="1465"/>
    <x v="1296"/>
    <n v="2"/>
    <x v="22"/>
    <s v="ESTACION 17 Y 18"/>
    <s v="MZ.S LT.03 PARCELA I ASENT.H. 23 DE OCTUBRE II ET."/>
    <x v="15"/>
    <x v="0"/>
    <x v="0"/>
    <x v="2"/>
    <x v="114"/>
    <x v="0"/>
    <n v="1"/>
    <n v="200.5"/>
    <x v="0"/>
    <x v="1"/>
    <n v="1.2345679012345678E-2"/>
    <x v="18"/>
    <x v="2"/>
    <s v="OK"/>
    <x v="0"/>
    <s v="OK"/>
    <x v="0"/>
    <x v="0"/>
    <n v="1"/>
    <n v="0"/>
    <n v="0"/>
    <n v="0"/>
    <x v="0"/>
    <x v="0"/>
    <x v="0"/>
  </r>
  <r>
    <s v="20551610030"/>
    <x v="15"/>
    <x v="15"/>
    <x v="1460"/>
    <x v="1466"/>
    <x v="1133"/>
    <n v="2"/>
    <x v="40"/>
    <s v="ESTACION 17 Y 18"/>
    <s v="CALLE E33 MZ. H LT. 03 ASENT. H. SANTA PATRICIA II"/>
    <x v="2"/>
    <x v="0"/>
    <x v="0"/>
    <x v="2"/>
    <x v="152"/>
    <x v="0"/>
    <n v="1"/>
    <n v="200.5"/>
    <x v="0"/>
    <x v="1"/>
    <n v="1.2345679012345678E-2"/>
    <x v="18"/>
    <x v="2"/>
    <s v="OK"/>
    <x v="2"/>
    <s v="OK"/>
    <x v="0"/>
    <x v="0"/>
    <n v="1"/>
    <n v="1"/>
    <n v="0"/>
    <n v="0"/>
    <x v="0"/>
    <x v="0"/>
    <x v="0"/>
  </r>
  <r>
    <s v="20551610030"/>
    <x v="15"/>
    <x v="15"/>
    <x v="1461"/>
    <x v="1467"/>
    <x v="1210"/>
    <n v="2"/>
    <x v="40"/>
    <s v="ESTACION 14 Y 15"/>
    <s v="JR.SANCHEZ SILVA 132 URB.SANTA LUZMILA"/>
    <x v="0"/>
    <x v="0"/>
    <x v="0"/>
    <x v="2"/>
    <x v="25"/>
    <x v="0"/>
    <n v="1"/>
    <n v="200.5"/>
    <x v="0"/>
    <x v="1"/>
    <n v="1.2345679012345678E-2"/>
    <x v="22"/>
    <x v="2"/>
    <s v="OK"/>
    <x v="0"/>
    <s v="OK"/>
    <x v="0"/>
    <x v="0"/>
    <n v="1"/>
    <n v="0"/>
    <n v="0"/>
    <n v="0"/>
    <x v="0"/>
    <x v="0"/>
    <x v="0"/>
  </r>
  <r>
    <s v="20551610030"/>
    <x v="15"/>
    <x v="15"/>
    <x v="1462"/>
    <x v="1468"/>
    <x v="1297"/>
    <n v="2"/>
    <x v="22"/>
    <s v="ESTACION 17 Y 18"/>
    <s v="AV.BAYOVAR SECTOR 1 MZ. N LT. 21"/>
    <x v="15"/>
    <x v="0"/>
    <x v="0"/>
    <x v="2"/>
    <x v="114"/>
    <x v="0"/>
    <n v="1"/>
    <n v="200.5"/>
    <x v="0"/>
    <x v="1"/>
    <n v="1.2345679012345678E-2"/>
    <x v="18"/>
    <x v="2"/>
    <s v="OK"/>
    <x v="0"/>
    <s v="OK"/>
    <x v="0"/>
    <x v="0"/>
    <n v="1"/>
    <n v="0"/>
    <n v="0"/>
    <n v="0"/>
    <x v="0"/>
    <x v="0"/>
    <x v="0"/>
  </r>
  <r>
    <s v="20551610030"/>
    <x v="15"/>
    <x v="15"/>
    <x v="1463"/>
    <x v="1469"/>
    <x v="1298"/>
    <n v="2"/>
    <x v="2"/>
    <s v="ESTACION 17"/>
    <s v="PSJ LEONCIO PRADO 104 - CERRO SAN PEDRO"/>
    <x v="46"/>
    <x v="0"/>
    <x v="0"/>
    <x v="2"/>
    <x v="247"/>
    <x v="0"/>
    <n v="1"/>
    <n v="200.5"/>
    <x v="0"/>
    <x v="1"/>
    <n v="1.2345679012345678E-2"/>
    <x v="22"/>
    <x v="2"/>
    <s v="OK"/>
    <x v="7"/>
    <s v="OK"/>
    <x v="0"/>
    <x v="0"/>
    <n v="1"/>
    <n v="1"/>
    <n v="0"/>
    <n v="0"/>
    <x v="0"/>
    <x v="0"/>
    <x v="0"/>
  </r>
  <r>
    <s v="20551610030"/>
    <x v="15"/>
    <x v="15"/>
    <x v="1464"/>
    <x v="1470"/>
    <x v="1299"/>
    <n v="2"/>
    <x v="22"/>
    <s v="ESTACION 17"/>
    <s v="JR. HUALGAYOC 375"/>
    <x v="13"/>
    <x v="0"/>
    <x v="0"/>
    <x v="2"/>
    <x v="51"/>
    <x v="0"/>
    <n v="1"/>
    <n v="200.5"/>
    <x v="0"/>
    <x v="1"/>
    <n v="1.2345679012345678E-2"/>
    <x v="14"/>
    <x v="2"/>
    <s v="OK"/>
    <x v="0"/>
    <s v="OK"/>
    <x v="0"/>
    <x v="0"/>
    <n v="1"/>
    <n v="0"/>
    <n v="0"/>
    <n v="0"/>
    <x v="0"/>
    <x v="0"/>
    <x v="0"/>
  </r>
  <r>
    <n v="20610192034"/>
    <x v="16"/>
    <x v="16"/>
    <x v="1465"/>
    <x v="1471"/>
    <x v="1300"/>
    <n v="1"/>
    <x v="252"/>
    <s v="ESTACION 10- ESTACION 11-PZ 16-PZ-17-PZ18-E17"/>
    <s v="CALLE S/N URB. LOS PROCERES MZ. 1-2 LT. 3"/>
    <x v="14"/>
    <x v="1"/>
    <x v="0"/>
    <x v="2"/>
    <x v="41"/>
    <x v="0"/>
    <n v="1"/>
    <n v="208"/>
    <x v="0"/>
    <x v="1"/>
    <n v="2.6315789473684209E-2"/>
    <x v="22"/>
    <x v="2"/>
    <s v="OK"/>
    <x v="0"/>
    <s v="OK"/>
    <x v="0"/>
    <x v="0"/>
    <n v="1"/>
    <n v="0"/>
    <n v="0"/>
    <n v="0"/>
    <x v="0"/>
    <x v="0"/>
    <x v="0"/>
  </r>
  <r>
    <n v="20610192034"/>
    <x v="16"/>
    <x v="16"/>
    <x v="1466"/>
    <x v="1472"/>
    <x v="1301"/>
    <n v="1"/>
    <x v="253"/>
    <s v="ESTACION 10- ESTACION 11-PZ 16-PZ-17-PZ18-E17"/>
    <s v="LOPEZ DE AYALA 648 DTO. 101"/>
    <x v="144"/>
    <x v="0"/>
    <x v="0"/>
    <x v="2"/>
    <x v="41"/>
    <x v="0"/>
    <n v="1"/>
    <n v="208"/>
    <x v="0"/>
    <x v="1"/>
    <n v="2.6315789473684209E-2"/>
    <x v="17"/>
    <x v="2"/>
    <s v="OK"/>
    <x v="0"/>
    <s v="OK"/>
    <x v="0"/>
    <x v="0"/>
    <n v="1"/>
    <n v="0"/>
    <n v="0"/>
    <n v="0"/>
    <x v="0"/>
    <x v="0"/>
    <x v="0"/>
  </r>
  <r>
    <n v="20610192034"/>
    <x v="16"/>
    <x v="16"/>
    <x v="1467"/>
    <x v="1473"/>
    <x v="1302"/>
    <n v="2"/>
    <x v="11"/>
    <s v="ESTACION 10- ESTACION 11-PZ 16-PZ-17-PZ18-E17"/>
    <s v="JR. LAS GRETAS 173 ASOC. SAN HILARION"/>
    <x v="15"/>
    <x v="0"/>
    <x v="0"/>
    <x v="2"/>
    <x v="527"/>
    <x v="0"/>
    <n v="4"/>
    <n v="184"/>
    <x v="0"/>
    <x v="1"/>
    <n v="2.6315789473684209E-2"/>
    <x v="21"/>
    <x v="2"/>
    <s v="OK"/>
    <x v="0"/>
    <s v="OK"/>
    <x v="0"/>
    <x v="0"/>
    <n v="1"/>
    <n v="0"/>
    <n v="0"/>
    <n v="0"/>
    <x v="0"/>
    <x v="0"/>
    <x v="0"/>
  </r>
  <r>
    <n v="20610192034"/>
    <x v="16"/>
    <x v="16"/>
    <x v="1468"/>
    <x v="1474"/>
    <x v="1303"/>
    <n v="2"/>
    <x v="2"/>
    <s v="ESTACION 10- ESTACION 11-PZ 16-PZ-17-PZ18-E17"/>
    <s v="ASENT. H. NUEVA VIDA MZ. P LT. 01"/>
    <x v="15"/>
    <x v="0"/>
    <x v="0"/>
    <x v="2"/>
    <x v="138"/>
    <x v="0"/>
    <n v="4"/>
    <n v="208"/>
    <x v="0"/>
    <x v="1"/>
    <n v="2.6315789473684209E-2"/>
    <x v="19"/>
    <x v="2"/>
    <s v="OK"/>
    <x v="0"/>
    <s v="OK"/>
    <x v="0"/>
    <x v="0"/>
    <n v="1"/>
    <n v="0"/>
    <n v="0"/>
    <n v="0"/>
    <x v="0"/>
    <x v="0"/>
    <x v="0"/>
  </r>
  <r>
    <n v="20610192034"/>
    <x v="16"/>
    <x v="16"/>
    <x v="1469"/>
    <x v="1475"/>
    <x v="1080"/>
    <n v="2"/>
    <x v="8"/>
    <s v="ESTACION 10- ESTACION 11-PZ 16-PZ-17-PZ18-E17"/>
    <s v="PSJ. VIRGEN MARIA MZ D LT 01 SECTOR VIRGEN DE GUADALUPE"/>
    <x v="8"/>
    <x v="0"/>
    <x v="0"/>
    <x v="2"/>
    <x v="264"/>
    <x v="0"/>
    <n v="4"/>
    <n v="208"/>
    <x v="0"/>
    <x v="1"/>
    <n v="2.6315789473684209E-2"/>
    <x v="20"/>
    <x v="2"/>
    <s v="OK"/>
    <x v="0"/>
    <s v="OK"/>
    <x v="0"/>
    <x v="0"/>
    <n v="1"/>
    <n v="0"/>
    <n v="0"/>
    <n v="0"/>
    <x v="0"/>
    <x v="0"/>
    <x v="0"/>
  </r>
  <r>
    <s v="20600599829"/>
    <x v="17"/>
    <x v="17"/>
    <x v="1470"/>
    <x v="1476"/>
    <x v="1304"/>
    <n v="1"/>
    <x v="165"/>
    <s v="ESTACIÓN 01"/>
    <s v="JR. PARQUE MADRE DE DIOS 353"/>
    <x v="10"/>
    <x v="0"/>
    <x v="21"/>
    <x v="1"/>
    <x v="177"/>
    <x v="0"/>
    <n v="2"/>
    <n v="240"/>
    <x v="0"/>
    <x v="0"/>
    <n v="4.7619047619047616E-2"/>
    <x v="21"/>
    <x v="2"/>
    <s v="OK"/>
    <x v="0"/>
    <s v="OK"/>
    <x v="0"/>
    <x v="0"/>
    <n v="1"/>
    <n v="0"/>
    <n v="0"/>
    <n v="0"/>
    <x v="0"/>
    <x v="0"/>
    <x v="0"/>
  </r>
  <r>
    <s v="20600599829"/>
    <x v="17"/>
    <x v="17"/>
    <x v="1471"/>
    <x v="1477"/>
    <x v="1305"/>
    <n v="1"/>
    <x v="165"/>
    <s v="PV-10"/>
    <s v="Av. Los Andes 740"/>
    <x v="237"/>
    <x v="0"/>
    <x v="2"/>
    <x v="1"/>
    <x v="51"/>
    <x v="2"/>
    <n v="1"/>
    <n v="6"/>
    <x v="0"/>
    <x v="0"/>
    <n v="4.7619047619047616E-2"/>
    <x v="22"/>
    <x v="2"/>
    <s v="OK"/>
    <x v="0"/>
    <s v="OK"/>
    <x v="0"/>
    <x v="0"/>
    <n v="1"/>
    <n v="0"/>
    <n v="0"/>
    <n v="1"/>
    <x v="0"/>
    <x v="1"/>
    <x v="0"/>
  </r>
  <r>
    <s v="20600599829"/>
    <x v="17"/>
    <x v="17"/>
    <x v="1472"/>
    <x v="1478"/>
    <x v="1306"/>
    <n v="2"/>
    <x v="254"/>
    <s v="ESTACIÓN 01"/>
    <s v="JR. PEDRO RUIZ GALLO MZ 41, LT 75"/>
    <x v="0"/>
    <x v="0"/>
    <x v="5"/>
    <x v="1"/>
    <x v="107"/>
    <x v="2"/>
    <n v="4"/>
    <n v="162"/>
    <x v="0"/>
    <x v="0"/>
    <n v="4.7619047619047616E-2"/>
    <x v="16"/>
    <x v="2"/>
    <s v="OK"/>
    <x v="0"/>
    <s v="OK"/>
    <x v="0"/>
    <x v="0"/>
    <n v="1"/>
    <n v="0"/>
    <n v="0"/>
    <n v="1"/>
    <x v="0"/>
    <x v="1"/>
    <x v="0"/>
  </r>
  <r>
    <s v="20600599829"/>
    <x v="17"/>
    <x v="17"/>
    <x v="1473"/>
    <x v="1479"/>
    <x v="1307"/>
    <n v="2"/>
    <x v="255"/>
    <s v="ESTACIÓN 01"/>
    <s v="ASENT H. JORGE CHAVEZ MZ A-32"/>
    <x v="238"/>
    <x v="0"/>
    <x v="2"/>
    <x v="1"/>
    <x v="107"/>
    <x v="2"/>
    <n v="4"/>
    <n v="5"/>
    <x v="0"/>
    <x v="0"/>
    <n v="4.7619047619047616E-2"/>
    <x v="21"/>
    <x v="2"/>
    <s v="OK"/>
    <x v="0"/>
    <s v="OK"/>
    <x v="0"/>
    <x v="0"/>
    <n v="1"/>
    <n v="0"/>
    <n v="0"/>
    <n v="1"/>
    <x v="0"/>
    <x v="1"/>
    <x v="0"/>
  </r>
  <r>
    <n v="20601119707"/>
    <x v="57"/>
    <x v="42"/>
    <x v="1474"/>
    <x v="1480"/>
    <x v="1308"/>
    <n v="1"/>
    <x v="17"/>
    <s v="OSV-07-24-003_MASTER_PLAN_SERVICIO DE DESMONTAJE, TRANSPORTE Y MONTAJE DE MODULOS DE OFICINAS, COMEDOR Y VESTUARIOS E-04 “INSURGENTES"/>
    <s v="Calle Gabriel Chariarse 224 Dpto 1705 Urb san antonio"/>
    <x v="146"/>
    <x v="0"/>
    <x v="0"/>
    <x v="2"/>
    <x v="52"/>
    <x v="0"/>
    <n v="1"/>
    <n v="176"/>
    <x v="0"/>
    <x v="1"/>
    <n v="9.0909090909090912E-2"/>
    <x v="14"/>
    <x v="2"/>
    <s v="OK"/>
    <x v="0"/>
    <s v="OK"/>
    <x v="0"/>
    <x v="0"/>
    <n v="1"/>
    <n v="0"/>
    <n v="0"/>
    <n v="0"/>
    <x v="0"/>
    <x v="0"/>
    <x v="0"/>
  </r>
  <r>
    <n v="20601119707"/>
    <x v="57"/>
    <x v="42"/>
    <x v="1475"/>
    <x v="1481"/>
    <x v="1309"/>
    <n v="1"/>
    <x v="17"/>
    <s v="OSV-07-24-003_MASTER_PLAN_SERVICIO DE DESMONTAJE, TRANSPORTE Y MONTAJE DE MODULOS DE OFICINAS, COMEDOR Y VESTUARIOS E-04 “INSURGENTES"/>
    <s v="Psj. Julio C Tello Mz D1 Lt 7"/>
    <x v="91"/>
    <x v="0"/>
    <x v="0"/>
    <x v="2"/>
    <x v="52"/>
    <x v="0"/>
    <n v="1"/>
    <n v="176"/>
    <x v="0"/>
    <x v="1"/>
    <n v="9.0909090909090912E-2"/>
    <x v="14"/>
    <x v="2"/>
    <s v="OK"/>
    <x v="0"/>
    <s v="OK"/>
    <x v="0"/>
    <x v="0"/>
    <n v="1"/>
    <n v="0"/>
    <n v="0"/>
    <n v="0"/>
    <x v="0"/>
    <x v="0"/>
    <x v="0"/>
  </r>
  <r>
    <n v="20601119707"/>
    <x v="57"/>
    <x v="42"/>
    <x v="1476"/>
    <x v="1482"/>
    <x v="1310"/>
    <n v="1"/>
    <x v="17"/>
    <s v="OSV-07-24-003_MASTER_PLAN_SERVICIO DE DESMONTAJE, TRANSPORTE Y MONTAJE DE MODULOS DE OFICINAS, COMEDOR Y VESTUARIOS E-04 “INSURGENTES"/>
    <s v="Asoc. Viv. Las colinas Etapa 4 Mz A2 Lt 10"/>
    <x v="6"/>
    <x v="0"/>
    <x v="0"/>
    <x v="2"/>
    <x v="52"/>
    <x v="0"/>
    <n v="1"/>
    <n v="176"/>
    <x v="0"/>
    <x v="1"/>
    <n v="9.0909090909090912E-2"/>
    <x v="20"/>
    <x v="2"/>
    <s v="OK"/>
    <x v="2"/>
    <s v="OK"/>
    <x v="0"/>
    <x v="0"/>
    <n v="1"/>
    <n v="1"/>
    <n v="0"/>
    <n v="0"/>
    <x v="0"/>
    <x v="0"/>
    <x v="0"/>
  </r>
  <r>
    <n v="20601119707"/>
    <x v="57"/>
    <x v="42"/>
    <x v="1477"/>
    <x v="1483"/>
    <x v="1311"/>
    <n v="1"/>
    <x v="17"/>
    <s v="OSV-07-24-003_MASTER_PLAN_SERVICIO DE DESMONTAJE, TRANSPORTE Y MONTAJE DE MODULOS DE OFICINAS, COMEDOR Y VESTUARIOS E-04 “INSURGENTES"/>
    <s v="Nuevo Lurin km 40 etapa I Mz 15 Lt 9A"/>
    <x v="91"/>
    <x v="0"/>
    <x v="0"/>
    <x v="2"/>
    <x v="52"/>
    <x v="0"/>
    <n v="1"/>
    <n v="176"/>
    <x v="0"/>
    <x v="1"/>
    <n v="9.0909090909090912E-2"/>
    <x v="22"/>
    <x v="2"/>
    <s v="OK"/>
    <x v="0"/>
    <s v="OK"/>
    <x v="0"/>
    <x v="0"/>
    <n v="1"/>
    <n v="0"/>
    <n v="0"/>
    <n v="0"/>
    <x v="0"/>
    <x v="0"/>
    <x v="0"/>
  </r>
  <r>
    <n v="20601119707"/>
    <x v="57"/>
    <x v="42"/>
    <x v="1478"/>
    <x v="1484"/>
    <x v="1312"/>
    <n v="1"/>
    <x v="17"/>
    <s v="OSV-07-24-003_MASTER_PLAN_SERVICIO DE DESMONTAJE, TRANSPORTE Y MONTAJE DE MODULOS DE OFICINAS, COMEDOR Y VESTUARIOS E-04 “INSURGENTES"/>
    <s v="Jr. Argentina Asent. Humano nuevo lurin Mz 24 Lt 19"/>
    <x v="91"/>
    <x v="0"/>
    <x v="0"/>
    <x v="2"/>
    <x v="52"/>
    <x v="0"/>
    <n v="1"/>
    <n v="176"/>
    <x v="0"/>
    <x v="1"/>
    <n v="9.0909090909090912E-2"/>
    <x v="19"/>
    <x v="2"/>
    <s v="OK"/>
    <x v="0"/>
    <s v="OK"/>
    <x v="0"/>
    <x v="0"/>
    <n v="1"/>
    <n v="0"/>
    <n v="0"/>
    <n v="0"/>
    <x v="0"/>
    <x v="0"/>
    <x v="0"/>
  </r>
  <r>
    <n v="20601119707"/>
    <x v="57"/>
    <x v="42"/>
    <x v="1479"/>
    <x v="1485"/>
    <x v="1313"/>
    <n v="1"/>
    <x v="17"/>
    <s v="OSV-07-24-003_MASTER_PLAN_SERVICIO DE DESMONTAJE, TRANSPORTE Y MONTAJE DE MODULOS DE OFICINAS, COMEDOR Y VESTUARIOS E-04 “INSURGENTES"/>
    <s v="Asoc. Viv y desar int Nueva Generacion Mz F Lt 4"/>
    <x v="219"/>
    <x v="0"/>
    <x v="0"/>
    <x v="2"/>
    <x v="52"/>
    <x v="0"/>
    <n v="1"/>
    <n v="176"/>
    <x v="0"/>
    <x v="1"/>
    <n v="9.0909090909090912E-2"/>
    <x v="19"/>
    <x v="2"/>
    <s v="OK"/>
    <x v="0"/>
    <s v="OK"/>
    <x v="0"/>
    <x v="0"/>
    <n v="1"/>
    <n v="0"/>
    <n v="0"/>
    <n v="0"/>
    <x v="0"/>
    <x v="0"/>
    <x v="0"/>
  </r>
  <r>
    <s v="20523802861"/>
    <x v="18"/>
    <x v="18"/>
    <x v="1480"/>
    <x v="1486"/>
    <x v="1314"/>
    <n v="2"/>
    <x v="8"/>
    <s v="E18"/>
    <s v="MICAELA BASTIDAS MZ M LT 20"/>
    <x v="1"/>
    <x v="0"/>
    <x v="6"/>
    <x v="1"/>
    <x v="103"/>
    <x v="0"/>
    <n v="4"/>
    <n v="72"/>
    <x v="0"/>
    <x v="1"/>
    <n v="8.9285714285714281E-3"/>
    <x v="14"/>
    <x v="2"/>
    <s v="OK"/>
    <x v="1"/>
    <s v="OK"/>
    <x v="0"/>
    <x v="0"/>
    <n v="1"/>
    <n v="1"/>
    <n v="1"/>
    <n v="0"/>
    <x v="0"/>
    <x v="0"/>
    <x v="1"/>
  </r>
  <r>
    <s v="20523802861"/>
    <x v="18"/>
    <x v="18"/>
    <x v="1481"/>
    <x v="1487"/>
    <x v="1263"/>
    <n v="2"/>
    <x v="8"/>
    <s v="E18"/>
    <s v="24 DE MAYO SN"/>
    <x v="239"/>
    <x v="0"/>
    <x v="6"/>
    <x v="1"/>
    <x v="106"/>
    <x v="0"/>
    <n v="4"/>
    <n v="216"/>
    <x v="0"/>
    <x v="1"/>
    <n v="8.9285714285714281E-3"/>
    <x v="17"/>
    <x v="2"/>
    <s v="OK"/>
    <x v="0"/>
    <s v="OK"/>
    <x v="0"/>
    <x v="0"/>
    <n v="1"/>
    <n v="0"/>
    <n v="0"/>
    <n v="0"/>
    <x v="0"/>
    <x v="0"/>
    <x v="0"/>
  </r>
  <r>
    <s v="20523802861"/>
    <x v="18"/>
    <x v="18"/>
    <x v="1482"/>
    <x v="1488"/>
    <x v="1315"/>
    <n v="2"/>
    <x v="8"/>
    <s v="E16"/>
    <s v="A.P.V. DIVINO NIÑO JESUS MZNA D LOTE 04 02"/>
    <x v="92"/>
    <x v="0"/>
    <x v="6"/>
    <x v="1"/>
    <x v="16"/>
    <x v="0"/>
    <n v="4"/>
    <n v="216"/>
    <x v="0"/>
    <x v="1"/>
    <n v="8.9285714285714281E-3"/>
    <x v="16"/>
    <x v="2"/>
    <s v="OK"/>
    <x v="0"/>
    <s v="OK"/>
    <x v="0"/>
    <x v="0"/>
    <n v="1"/>
    <n v="0"/>
    <n v="0"/>
    <n v="0"/>
    <x v="0"/>
    <x v="0"/>
    <x v="0"/>
  </r>
  <r>
    <s v="20523802861"/>
    <x v="18"/>
    <x v="18"/>
    <x v="1483"/>
    <x v="1489"/>
    <x v="1316"/>
    <n v="2"/>
    <x v="112"/>
    <s v="E18"/>
    <s v="AGRUP. FAM. 18 DE JUNIO PARTE A MZ. A LOTE 1"/>
    <x v="15"/>
    <x v="0"/>
    <x v="6"/>
    <x v="1"/>
    <x v="132"/>
    <x v="0"/>
    <n v="4"/>
    <n v="96"/>
    <x v="0"/>
    <x v="1"/>
    <n v="8.9285714285714281E-3"/>
    <x v="19"/>
    <x v="2"/>
    <s v="OK"/>
    <x v="0"/>
    <s v="OK"/>
    <x v="0"/>
    <x v="0"/>
    <n v="1"/>
    <n v="0"/>
    <n v="0"/>
    <n v="0"/>
    <x v="0"/>
    <x v="0"/>
    <x v="0"/>
  </r>
  <r>
    <s v="20523802861"/>
    <x v="18"/>
    <x v="18"/>
    <x v="1484"/>
    <x v="1490"/>
    <x v="1317"/>
    <n v="2"/>
    <x v="8"/>
    <s v="E16"/>
    <s v="AMPLC. PARQUE INDUSTRIAL NRO 1 HUAYCA MZ. E LT. 04"/>
    <x v="1"/>
    <x v="0"/>
    <x v="6"/>
    <x v="1"/>
    <x v="240"/>
    <x v="0"/>
    <n v="4"/>
    <n v="56"/>
    <x v="0"/>
    <x v="1"/>
    <n v="8.9285714285714281E-3"/>
    <x v="16"/>
    <x v="2"/>
    <s v="OK"/>
    <x v="1"/>
    <s v="OK"/>
    <x v="0"/>
    <x v="0"/>
    <n v="1"/>
    <n v="1"/>
    <n v="0"/>
    <n v="0"/>
    <x v="0"/>
    <x v="0"/>
    <x v="0"/>
  </r>
  <r>
    <s v="20523802861"/>
    <x v="18"/>
    <x v="18"/>
    <x v="1485"/>
    <x v="1491"/>
    <x v="1318"/>
    <n v="2"/>
    <x v="11"/>
    <s v="E18"/>
    <s v="ASENT BOCANEGRA ZONA 5"/>
    <x v="6"/>
    <x v="0"/>
    <x v="6"/>
    <x v="1"/>
    <x v="203"/>
    <x v="0"/>
    <n v="4"/>
    <n v="112"/>
    <x v="0"/>
    <x v="1"/>
    <n v="8.9285714285714281E-3"/>
    <x v="17"/>
    <x v="2"/>
    <s v="OK"/>
    <x v="2"/>
    <s v="OK"/>
    <x v="0"/>
    <x v="0"/>
    <n v="1"/>
    <n v="1"/>
    <n v="0"/>
    <n v="0"/>
    <x v="0"/>
    <x v="0"/>
    <x v="0"/>
  </r>
  <r>
    <s v="20523802861"/>
    <x v="18"/>
    <x v="18"/>
    <x v="1486"/>
    <x v="1492"/>
    <x v="1319"/>
    <n v="1"/>
    <x v="113"/>
    <s v="E16"/>
    <s v="PSJ CIRCUNVALACION ALTA ASENT. H MICAELA BASTIDAS MZ J1 LT 18"/>
    <x v="34"/>
    <x v="0"/>
    <x v="6"/>
    <x v="1"/>
    <x v="280"/>
    <x v="0"/>
    <n v="1"/>
    <n v="216"/>
    <x v="0"/>
    <x v="1"/>
    <n v="8.9285714285714281E-3"/>
    <x v="14"/>
    <x v="2"/>
    <s v="OK"/>
    <x v="1"/>
    <s v="OK"/>
    <x v="0"/>
    <x v="0"/>
    <n v="1"/>
    <n v="1"/>
    <n v="0"/>
    <n v="0"/>
    <x v="0"/>
    <x v="0"/>
    <x v="0"/>
  </r>
  <r>
    <s v="20523802861"/>
    <x v="18"/>
    <x v="18"/>
    <x v="1487"/>
    <x v="1493"/>
    <x v="1320"/>
    <n v="2"/>
    <x v="199"/>
    <s v="E18"/>
    <s v="VIÑAS DEL NARANJAL MC LT 14"/>
    <x v="3"/>
    <x v="0"/>
    <x v="6"/>
    <x v="1"/>
    <x v="30"/>
    <x v="0"/>
    <n v="4"/>
    <n v="16"/>
    <x v="0"/>
    <x v="1"/>
    <n v="8.9285714285714281E-3"/>
    <x v="20"/>
    <x v="2"/>
    <s v="OK"/>
    <x v="0"/>
    <s v="OK"/>
    <x v="0"/>
    <x v="0"/>
    <n v="1"/>
    <n v="0"/>
    <n v="1"/>
    <n v="0"/>
    <x v="0"/>
    <x v="0"/>
    <x v="1"/>
  </r>
  <r>
    <s v="20523802861"/>
    <x v="18"/>
    <x v="18"/>
    <x v="1488"/>
    <x v="1494"/>
    <x v="1321"/>
    <n v="2"/>
    <x v="11"/>
    <s v="E18"/>
    <s v="CALLE FERREÑAPE 134 PJ VILLA MARIA DE PERPETUO SOCORRO CERCADO"/>
    <x v="10"/>
    <x v="0"/>
    <x v="6"/>
    <x v="1"/>
    <x v="106"/>
    <x v="0"/>
    <n v="4"/>
    <n v="208"/>
    <x v="0"/>
    <x v="1"/>
    <n v="8.9285714285714281E-3"/>
    <x v="19"/>
    <x v="2"/>
    <s v="OK"/>
    <x v="0"/>
    <s v="OK"/>
    <x v="0"/>
    <x v="0"/>
    <n v="1"/>
    <n v="0"/>
    <n v="0"/>
    <n v="0"/>
    <x v="0"/>
    <x v="0"/>
    <x v="0"/>
  </r>
  <r>
    <s v="20523802861"/>
    <x v="18"/>
    <x v="18"/>
    <x v="1489"/>
    <x v="1495"/>
    <x v="1322"/>
    <n v="2"/>
    <x v="26"/>
    <s v="E16"/>
    <s v="HUAYNA CAPA 38 B "/>
    <x v="0"/>
    <x v="0"/>
    <x v="6"/>
    <x v="1"/>
    <x v="103"/>
    <x v="0"/>
    <n v="4"/>
    <n v="72"/>
    <x v="0"/>
    <x v="1"/>
    <n v="8.9285714285714281E-3"/>
    <x v="21"/>
    <x v="2"/>
    <s v="OK"/>
    <x v="0"/>
    <s v="OK"/>
    <x v="0"/>
    <x v="0"/>
    <n v="1"/>
    <n v="0"/>
    <n v="1"/>
    <n v="0"/>
    <x v="0"/>
    <x v="0"/>
    <x v="1"/>
  </r>
  <r>
    <s v="20523802861"/>
    <x v="18"/>
    <x v="18"/>
    <x v="1490"/>
    <x v="1496"/>
    <x v="1323"/>
    <n v="2"/>
    <x v="11"/>
    <s v="E16"/>
    <s v="SAN MARTIN DE PORRES MZ D LOTE 5"/>
    <x v="0"/>
    <x v="0"/>
    <x v="6"/>
    <x v="1"/>
    <x v="30"/>
    <x v="0"/>
    <n v="4"/>
    <n v="16"/>
    <x v="0"/>
    <x v="1"/>
    <n v="8.9285714285714281E-3"/>
    <x v="14"/>
    <x v="2"/>
    <s v="OK"/>
    <x v="0"/>
    <s v="OK"/>
    <x v="0"/>
    <x v="0"/>
    <n v="1"/>
    <n v="0"/>
    <n v="1"/>
    <n v="0"/>
    <x v="0"/>
    <x v="0"/>
    <x v="1"/>
  </r>
  <r>
    <s v="20523802861"/>
    <x v="18"/>
    <x v="18"/>
    <x v="1491"/>
    <x v="1497"/>
    <x v="1324"/>
    <n v="1"/>
    <x v="60"/>
    <s v="E18"/>
    <s v="LOS HALCONES 459 URB. SANTA CECILIA"/>
    <x v="6"/>
    <x v="0"/>
    <x v="6"/>
    <x v="1"/>
    <x v="473"/>
    <x v="0"/>
    <n v="1"/>
    <n v="216"/>
    <x v="0"/>
    <x v="1"/>
    <n v="8.9285714285714281E-3"/>
    <x v="15"/>
    <x v="2"/>
    <s v="OK"/>
    <x v="2"/>
    <s v="OK"/>
    <x v="0"/>
    <x v="0"/>
    <n v="1"/>
    <n v="1"/>
    <n v="0"/>
    <n v="0"/>
    <x v="0"/>
    <x v="0"/>
    <x v="0"/>
  </r>
  <r>
    <s v="20523802861"/>
    <x v="18"/>
    <x v="18"/>
    <x v="1492"/>
    <x v="1498"/>
    <x v="1325"/>
    <n v="2"/>
    <x v="8"/>
    <s v="E16"/>
    <s v="PSJ PROVENIR 166 DPTO 4"/>
    <x v="25"/>
    <x v="0"/>
    <x v="6"/>
    <x v="1"/>
    <x v="38"/>
    <x v="0"/>
    <n v="4"/>
    <n v="120"/>
    <x v="0"/>
    <x v="1"/>
    <n v="8.9285714285714281E-3"/>
    <x v="18"/>
    <x v="2"/>
    <s v="OK"/>
    <x v="4"/>
    <s v="OK"/>
    <x v="0"/>
    <x v="0"/>
    <n v="1"/>
    <n v="1"/>
    <n v="0"/>
    <n v="0"/>
    <x v="0"/>
    <x v="0"/>
    <x v="0"/>
  </r>
  <r>
    <s v="20523802861"/>
    <x v="18"/>
    <x v="18"/>
    <x v="1493"/>
    <x v="1499"/>
    <x v="1326"/>
    <n v="2"/>
    <x v="118"/>
    <s v="E16"/>
    <s v="ASENT H LA FLORIDA MZ B LOTE 10"/>
    <x v="0"/>
    <x v="0"/>
    <x v="6"/>
    <x v="1"/>
    <x v="9"/>
    <x v="0"/>
    <n v="4"/>
    <n v="96"/>
    <x v="0"/>
    <x v="1"/>
    <n v="8.9285714285714281E-3"/>
    <x v="15"/>
    <x v="2"/>
    <s v="OK"/>
    <x v="0"/>
    <s v="OK"/>
    <x v="0"/>
    <x v="0"/>
    <n v="1"/>
    <n v="0"/>
    <n v="1"/>
    <n v="0"/>
    <x v="0"/>
    <x v="0"/>
    <x v="1"/>
  </r>
  <r>
    <s v="20523802861"/>
    <x v="18"/>
    <x v="18"/>
    <x v="1494"/>
    <x v="1500"/>
    <x v="1147"/>
    <n v="2"/>
    <x v="8"/>
    <s v="E16"/>
    <s v="ASENT H LUIS FELIPE "/>
    <x v="2"/>
    <x v="0"/>
    <x v="6"/>
    <x v="1"/>
    <x v="100"/>
    <x v="0"/>
    <n v="4"/>
    <n v="160"/>
    <x v="0"/>
    <x v="1"/>
    <n v="8.9285714285714281E-3"/>
    <x v="15"/>
    <x v="2"/>
    <s v="OK"/>
    <x v="2"/>
    <s v="OK"/>
    <x v="0"/>
    <x v="0"/>
    <n v="1"/>
    <n v="1"/>
    <n v="1"/>
    <n v="0"/>
    <x v="0"/>
    <x v="0"/>
    <x v="1"/>
  </r>
  <r>
    <s v="20523802861"/>
    <x v="18"/>
    <x v="18"/>
    <x v="1495"/>
    <x v="1501"/>
    <x v="1160"/>
    <n v="2"/>
    <x v="11"/>
    <s v="E16"/>
    <s v="COMITÉ 32 CERRO DENT"/>
    <x v="8"/>
    <x v="0"/>
    <x v="6"/>
    <x v="1"/>
    <x v="100"/>
    <x v="0"/>
    <n v="4"/>
    <n v="160"/>
    <x v="0"/>
    <x v="1"/>
    <n v="8.9285714285714281E-3"/>
    <x v="19"/>
    <x v="2"/>
    <s v="OK"/>
    <x v="0"/>
    <s v="OK"/>
    <x v="0"/>
    <x v="0"/>
    <n v="1"/>
    <n v="0"/>
    <n v="1"/>
    <n v="0"/>
    <x v="0"/>
    <x v="0"/>
    <x v="1"/>
  </r>
  <r>
    <s v="20523802861"/>
    <x v="18"/>
    <x v="18"/>
    <x v="1496"/>
    <x v="1502"/>
    <x v="1327"/>
    <n v="2"/>
    <x v="2"/>
    <s v="E16"/>
    <s v="ASOC PROP VIV VIQUES MZ A LT 10"/>
    <x v="1"/>
    <x v="0"/>
    <x v="6"/>
    <x v="1"/>
    <x v="27"/>
    <x v="0"/>
    <n v="4"/>
    <n v="32"/>
    <x v="0"/>
    <x v="1"/>
    <n v="8.9285714285714281E-3"/>
    <x v="19"/>
    <x v="2"/>
    <s v="OK"/>
    <x v="1"/>
    <s v="OK"/>
    <x v="0"/>
    <x v="1"/>
    <n v="0.5"/>
    <n v="0.5"/>
    <n v="0"/>
    <n v="0"/>
    <x v="0"/>
    <x v="0"/>
    <x v="0"/>
  </r>
  <r>
    <s v="20523802861"/>
    <x v="18"/>
    <x v="18"/>
    <x v="1497"/>
    <x v="1503"/>
    <x v="1328"/>
    <n v="2"/>
    <x v="112"/>
    <s v="E16"/>
    <s v="ASOC. APROVIEP LA ENSENADA I LT 25"/>
    <x v="33"/>
    <x v="0"/>
    <x v="6"/>
    <x v="1"/>
    <x v="51"/>
    <x v="0"/>
    <n v="4"/>
    <n v="216"/>
    <x v="0"/>
    <x v="1"/>
    <n v="8.9285714285714281E-3"/>
    <x v="18"/>
    <x v="2"/>
    <s v="OK"/>
    <x v="0"/>
    <s v="OK"/>
    <x v="0"/>
    <x v="0"/>
    <n v="1"/>
    <n v="0"/>
    <n v="0"/>
    <n v="0"/>
    <x v="0"/>
    <x v="0"/>
    <x v="0"/>
  </r>
  <r>
    <s v="20523802861"/>
    <x v="18"/>
    <x v="18"/>
    <x v="1498"/>
    <x v="1504"/>
    <x v="1329"/>
    <n v="2"/>
    <x v="26"/>
    <s v="E15"/>
    <s v="MZ J-1 LOTE 10 URB LOS ALAMOS CANTO GRANDE"/>
    <x v="15"/>
    <x v="0"/>
    <x v="6"/>
    <x v="1"/>
    <x v="473"/>
    <x v="0"/>
    <n v="4"/>
    <n v="112"/>
    <x v="0"/>
    <x v="1"/>
    <n v="8.9285714285714281E-3"/>
    <x v="17"/>
    <x v="2"/>
    <s v="OK"/>
    <x v="0"/>
    <s v="OK"/>
    <x v="0"/>
    <x v="0"/>
    <n v="1"/>
    <n v="0"/>
    <n v="0"/>
    <n v="0"/>
    <x v="0"/>
    <x v="0"/>
    <x v="0"/>
  </r>
  <r>
    <s v="20523802861"/>
    <x v="18"/>
    <x v="18"/>
    <x v="1499"/>
    <x v="1505"/>
    <x v="1330"/>
    <n v="2"/>
    <x v="2"/>
    <s v="E18"/>
    <s v="JR. 2 DE DICIEMBRE 188 URB. JORGE CHAVEZ"/>
    <x v="78"/>
    <x v="0"/>
    <x v="6"/>
    <x v="1"/>
    <x v="52"/>
    <x v="0"/>
    <n v="4"/>
    <n v="208"/>
    <x v="0"/>
    <x v="1"/>
    <n v="8.9285714285714281E-3"/>
    <x v="22"/>
    <x v="2"/>
    <s v="OK"/>
    <x v="6"/>
    <s v="OK"/>
    <x v="0"/>
    <x v="0"/>
    <n v="1"/>
    <n v="1"/>
    <n v="0"/>
    <n v="0"/>
    <x v="0"/>
    <x v="0"/>
    <x v="0"/>
  </r>
  <r>
    <s v="20523802861"/>
    <x v="18"/>
    <x v="18"/>
    <x v="1500"/>
    <x v="1506"/>
    <x v="1331"/>
    <n v="2"/>
    <x v="112"/>
    <s v="E16"/>
    <s v="PSJ 4 MZ LT 1 ASENT H LA MERCED "/>
    <x v="33"/>
    <x v="0"/>
    <x v="6"/>
    <x v="1"/>
    <x v="51"/>
    <x v="0"/>
    <n v="4"/>
    <n v="216"/>
    <x v="0"/>
    <x v="1"/>
    <n v="8.9285714285714281E-3"/>
    <x v="18"/>
    <x v="2"/>
    <s v="OK"/>
    <x v="0"/>
    <s v="OK"/>
    <x v="0"/>
    <x v="0"/>
    <n v="1"/>
    <n v="0"/>
    <n v="0"/>
    <n v="0"/>
    <x v="0"/>
    <x v="0"/>
    <x v="0"/>
  </r>
  <r>
    <s v="20523802861"/>
    <x v="18"/>
    <x v="18"/>
    <x v="1501"/>
    <x v="1507"/>
    <x v="1332"/>
    <n v="2"/>
    <x v="8"/>
    <s v="E18"/>
    <s v="MZ F LT. 6 ASOC. DE VY CERRO CANDELA"/>
    <x v="34"/>
    <x v="0"/>
    <x v="6"/>
    <x v="1"/>
    <x v="106"/>
    <x v="0"/>
    <n v="4"/>
    <n v="182"/>
    <x v="0"/>
    <x v="1"/>
    <n v="8.9285714285714281E-3"/>
    <x v="22"/>
    <x v="2"/>
    <s v="OK"/>
    <x v="1"/>
    <s v="OK"/>
    <x v="0"/>
    <x v="0"/>
    <n v="1"/>
    <n v="1"/>
    <n v="0"/>
    <n v="0"/>
    <x v="0"/>
    <x v="0"/>
    <x v="0"/>
  </r>
  <r>
    <s v="20523802861"/>
    <x v="18"/>
    <x v="18"/>
    <x v="1502"/>
    <x v="1508"/>
    <x v="1211"/>
    <n v="2"/>
    <x v="4"/>
    <s v="E18"/>
    <s v="LAS LOMAS MZ. 1-6 LT 11 AH JOSE CARLOS MARIATEGUI"/>
    <x v="15"/>
    <x v="0"/>
    <x v="6"/>
    <x v="1"/>
    <x v="125"/>
    <x v="0"/>
    <n v="4"/>
    <n v="200"/>
    <x v="0"/>
    <x v="1"/>
    <n v="8.9285714285714281E-3"/>
    <x v="21"/>
    <x v="2"/>
    <s v="OK"/>
    <x v="0"/>
    <s v="OK"/>
    <x v="0"/>
    <x v="0"/>
    <n v="1"/>
    <n v="0"/>
    <n v="0"/>
    <n v="0"/>
    <x v="0"/>
    <x v="0"/>
    <x v="0"/>
  </r>
  <r>
    <s v="20523802861"/>
    <x v="18"/>
    <x v="18"/>
    <x v="1503"/>
    <x v="1509"/>
    <x v="1333"/>
    <n v="2"/>
    <x v="111"/>
    <s v="E05"/>
    <s v="JR. LAS DROSERAS 386 URB. LAS VIOLETAS"/>
    <x v="15"/>
    <x v="0"/>
    <x v="6"/>
    <x v="1"/>
    <x v="140"/>
    <x v="0"/>
    <n v="4"/>
    <n v="104"/>
    <x v="0"/>
    <x v="1"/>
    <n v="8.9285714285714281E-3"/>
    <x v="19"/>
    <x v="2"/>
    <s v="OK"/>
    <x v="0"/>
    <s v="OK"/>
    <x v="0"/>
    <x v="0"/>
    <n v="1"/>
    <n v="0"/>
    <n v="0"/>
    <n v="0"/>
    <x v="0"/>
    <x v="0"/>
    <x v="0"/>
  </r>
  <r>
    <s v="20523802861"/>
    <x v="18"/>
    <x v="18"/>
    <x v="1504"/>
    <x v="1510"/>
    <x v="1099"/>
    <n v="2"/>
    <x v="59"/>
    <s v="E16"/>
    <s v="CALLE JOSE MILTON RODRIGUEZ 306 URB. HUASCAR"/>
    <x v="27"/>
    <x v="0"/>
    <x v="5"/>
    <x v="1"/>
    <x v="36"/>
    <x v="2"/>
    <n v="4"/>
    <n v="160"/>
    <x v="0"/>
    <x v="1"/>
    <n v="8.9285714285714281E-3"/>
    <x v="22"/>
    <x v="2"/>
    <s v="OK"/>
    <x v="5"/>
    <s v="OK"/>
    <x v="0"/>
    <x v="0"/>
    <n v="1"/>
    <n v="1"/>
    <n v="0"/>
    <n v="1"/>
    <x v="0"/>
    <x v="1"/>
    <x v="0"/>
  </r>
  <r>
    <n v="20451703901"/>
    <x v="19"/>
    <x v="19"/>
    <x v="1505"/>
    <x v="1511"/>
    <x v="1334"/>
    <n v="1"/>
    <x v="90"/>
    <s v="ESTACIÓN 8 - ELIO"/>
    <s v="MZ G3 LT. 5 A. H. SAN GENARO II"/>
    <x v="38"/>
    <x v="0"/>
    <x v="0"/>
    <x v="1"/>
    <x v="393"/>
    <x v="0"/>
    <n v="1"/>
    <n v="217.5"/>
    <x v="0"/>
    <x v="1"/>
    <n v="5.4644808743169399E-3"/>
    <x v="21"/>
    <x v="2"/>
    <s v="OK"/>
    <x v="0"/>
    <s v="OK"/>
    <x v="0"/>
    <x v="0"/>
    <n v="1"/>
    <n v="0"/>
    <n v="0"/>
    <n v="0"/>
    <x v="0"/>
    <x v="0"/>
    <x v="0"/>
  </r>
  <r>
    <n v="20451703901"/>
    <x v="19"/>
    <x v="19"/>
    <x v="1506"/>
    <x v="1512"/>
    <x v="1335"/>
    <n v="2"/>
    <x v="8"/>
    <s v="ESTACIÓN 06"/>
    <s v="ASENT. H. MANZANILLA II MZ. A2 LT. 36"/>
    <x v="10"/>
    <x v="0"/>
    <x v="0"/>
    <x v="1"/>
    <x v="177"/>
    <x v="0"/>
    <n v="4"/>
    <n v="202.5"/>
    <x v="0"/>
    <x v="1"/>
    <n v="5.4644808743169399E-3"/>
    <x v="16"/>
    <x v="2"/>
    <s v="OK"/>
    <x v="0"/>
    <s v="OK"/>
    <x v="0"/>
    <x v="0"/>
    <n v="1"/>
    <n v="0"/>
    <n v="0"/>
    <n v="0"/>
    <x v="0"/>
    <x v="0"/>
    <x v="0"/>
  </r>
  <r>
    <n v="20451703901"/>
    <x v="19"/>
    <x v="19"/>
    <x v="1507"/>
    <x v="1513"/>
    <x v="1336"/>
    <n v="2"/>
    <x v="8"/>
    <s v="ESTACIÓN 06"/>
    <s v="JAVIER HERAUD MZ P LT 11"/>
    <x v="1"/>
    <x v="0"/>
    <x v="0"/>
    <x v="1"/>
    <x v="125"/>
    <x v="0"/>
    <n v="4"/>
    <n v="202.5"/>
    <x v="0"/>
    <x v="1"/>
    <n v="5.4644808743169399E-3"/>
    <x v="20"/>
    <x v="2"/>
    <s v="OK"/>
    <x v="1"/>
    <s v="OK"/>
    <x v="0"/>
    <x v="0"/>
    <n v="1"/>
    <n v="1"/>
    <n v="0"/>
    <n v="0"/>
    <x v="0"/>
    <x v="0"/>
    <x v="0"/>
  </r>
  <r>
    <n v="20451703903"/>
    <x v="19"/>
    <x v="19"/>
    <x v="1508"/>
    <x v="1514"/>
    <x v="1337"/>
    <n v="2"/>
    <x v="2"/>
    <s v="ESTACIÓN 8 - ELIO"/>
    <s v="JR. RESTAURACION 1345 INT. 121 URB. AZCONA"/>
    <x v="5"/>
    <x v="0"/>
    <x v="0"/>
    <x v="1"/>
    <x v="89"/>
    <x v="0"/>
    <n v="4"/>
    <n v="220"/>
    <x v="0"/>
    <x v="1"/>
    <n v="5.4644808743169399E-3"/>
    <x v="15"/>
    <x v="2"/>
    <s v="OK"/>
    <x v="3"/>
    <s v="OK"/>
    <x v="0"/>
    <x v="0"/>
    <n v="1"/>
    <n v="1"/>
    <n v="0"/>
    <n v="0"/>
    <x v="0"/>
    <x v="0"/>
    <x v="0"/>
  </r>
  <r>
    <n v="20451703901"/>
    <x v="19"/>
    <x v="19"/>
    <x v="1509"/>
    <x v="1515"/>
    <x v="1338"/>
    <n v="2"/>
    <x v="3"/>
    <s v="ESTACIÓN 06"/>
    <s v="CALLE VILLAQUIMO"/>
    <x v="28"/>
    <x v="0"/>
    <x v="0"/>
    <x v="1"/>
    <x v="168"/>
    <x v="0"/>
    <n v="4"/>
    <n v="216"/>
    <x v="0"/>
    <x v="1"/>
    <n v="5.4644808743169399E-3"/>
    <x v="19"/>
    <x v="2"/>
    <s v="OK"/>
    <x v="0"/>
    <s v="OK"/>
    <x v="0"/>
    <x v="0"/>
    <n v="1"/>
    <n v="0"/>
    <n v="0"/>
    <n v="0"/>
    <x v="0"/>
    <x v="0"/>
    <x v="0"/>
  </r>
  <r>
    <n v="20451703901"/>
    <x v="19"/>
    <x v="19"/>
    <x v="1510"/>
    <x v="1516"/>
    <x v="1078"/>
    <n v="2"/>
    <x v="256"/>
    <s v="ESTACIÓN 06"/>
    <s v="ETAPA II ASENT. H. PROTYECTOS ESPECIALES MZ. 63 LT. 18"/>
    <x v="15"/>
    <x v="0"/>
    <x v="0"/>
    <x v="1"/>
    <x v="528"/>
    <x v="0"/>
    <n v="4"/>
    <n v="202.5"/>
    <x v="0"/>
    <x v="1"/>
    <n v="5.4644808743169399E-3"/>
    <x v="21"/>
    <x v="2"/>
    <s v="OK"/>
    <x v="0"/>
    <s v="OK"/>
    <x v="0"/>
    <x v="0"/>
    <n v="1"/>
    <n v="0"/>
    <n v="0"/>
    <n v="0"/>
    <x v="0"/>
    <x v="0"/>
    <x v="0"/>
  </r>
  <r>
    <n v="20451703901"/>
    <x v="19"/>
    <x v="19"/>
    <x v="1511"/>
    <x v="1517"/>
    <x v="1339"/>
    <n v="2"/>
    <x v="11"/>
    <s v="ESTACIÓN 06"/>
    <s v="CP HUACHHUA"/>
    <x v="136"/>
    <x v="0"/>
    <x v="29"/>
    <x v="1"/>
    <x v="168"/>
    <x v="2"/>
    <n v="4"/>
    <n v="205"/>
    <x v="0"/>
    <x v="1"/>
    <n v="5.4644808743169399E-3"/>
    <x v="15"/>
    <x v="2"/>
    <s v="OK"/>
    <x v="0"/>
    <s v="OK"/>
    <x v="0"/>
    <x v="0"/>
    <n v="1"/>
    <n v="0"/>
    <n v="0"/>
    <n v="1"/>
    <x v="0"/>
    <x v="1"/>
    <x v="0"/>
  </r>
  <r>
    <n v="20451703901"/>
    <x v="19"/>
    <x v="19"/>
    <x v="1512"/>
    <x v="1518"/>
    <x v="1340"/>
    <n v="2"/>
    <x v="8"/>
    <s v="ESTACIÓN 06"/>
    <s v="ASENT.H. URBANIZACION LOS CONSTRUCTORES ETAPA 1 MZ. N1 LT. 2"/>
    <x v="15"/>
    <x v="0"/>
    <x v="5"/>
    <x v="1"/>
    <x v="529"/>
    <x v="2"/>
    <n v="4"/>
    <n v="149.5"/>
    <x v="0"/>
    <x v="1"/>
    <n v="5.4644808743169399E-3"/>
    <x v="16"/>
    <x v="2"/>
    <s v="OK"/>
    <x v="0"/>
    <s v="OK"/>
    <x v="0"/>
    <x v="0"/>
    <n v="1"/>
    <n v="0"/>
    <n v="0"/>
    <n v="1"/>
    <x v="0"/>
    <x v="1"/>
    <x v="0"/>
  </r>
  <r>
    <n v="20451703903"/>
    <x v="19"/>
    <x v="19"/>
    <x v="1513"/>
    <x v="1519"/>
    <x v="1341"/>
    <n v="2"/>
    <x v="11"/>
    <s v="ESTACIÓN 8 - ELIO"/>
    <s v="CP. YANAS"/>
    <x v="39"/>
    <x v="0"/>
    <x v="0"/>
    <x v="1"/>
    <x v="285"/>
    <x v="0"/>
    <n v="4"/>
    <n v="220"/>
    <x v="0"/>
    <x v="1"/>
    <n v="5.4644808743169399E-3"/>
    <x v="14"/>
    <x v="2"/>
    <s v="OK"/>
    <x v="0"/>
    <s v="OK"/>
    <x v="0"/>
    <x v="0"/>
    <n v="1"/>
    <n v="0"/>
    <n v="0"/>
    <n v="0"/>
    <x v="0"/>
    <x v="0"/>
    <x v="0"/>
  </r>
  <r>
    <n v="20451703903"/>
    <x v="19"/>
    <x v="19"/>
    <x v="1514"/>
    <x v="1520"/>
    <x v="1342"/>
    <n v="2"/>
    <x v="67"/>
    <s v="ESTACIÓN 8 - ELIO"/>
    <s v="MZ.D4 LT.6 LAS DELICIAS DE VILLA"/>
    <x v="38"/>
    <x v="0"/>
    <x v="0"/>
    <x v="1"/>
    <x v="528"/>
    <x v="0"/>
    <n v="4"/>
    <n v="220"/>
    <x v="0"/>
    <x v="1"/>
    <n v="5.4644808743169399E-3"/>
    <x v="14"/>
    <x v="2"/>
    <s v="OK"/>
    <x v="0"/>
    <s v="OK"/>
    <x v="0"/>
    <x v="0"/>
    <n v="1"/>
    <n v="0"/>
    <n v="0"/>
    <n v="0"/>
    <x v="0"/>
    <x v="0"/>
    <x v="0"/>
  </r>
  <r>
    <n v="20451703901"/>
    <x v="19"/>
    <x v="19"/>
    <x v="1515"/>
    <x v="1521"/>
    <x v="1343"/>
    <n v="2"/>
    <x v="11"/>
    <s v="ESTACIÓN 06"/>
    <s v="JR. AYACUCHO 851"/>
    <x v="53"/>
    <x v="0"/>
    <x v="0"/>
    <x v="1"/>
    <x v="530"/>
    <x v="0"/>
    <n v="4"/>
    <n v="198"/>
    <x v="0"/>
    <x v="1"/>
    <n v="5.4644808743169399E-3"/>
    <x v="17"/>
    <x v="2"/>
    <s v="OK"/>
    <x v="0"/>
    <s v="OK"/>
    <x v="0"/>
    <x v="0"/>
    <n v="1"/>
    <n v="0"/>
    <n v="0"/>
    <n v="0"/>
    <x v="0"/>
    <x v="0"/>
    <x v="0"/>
  </r>
  <r>
    <n v="20451703901"/>
    <x v="19"/>
    <x v="19"/>
    <x v="1516"/>
    <x v="1522"/>
    <x v="1344"/>
    <n v="2"/>
    <x v="18"/>
    <s v="ESTACIÓN 8 - ELIO"/>
    <s v="AH BUENOS AIRES DE VILLA MZ 40 LT 34"/>
    <x v="38"/>
    <x v="0"/>
    <x v="0"/>
    <x v="1"/>
    <x v="202"/>
    <x v="0"/>
    <n v="4"/>
    <n v="192"/>
    <x v="0"/>
    <x v="1"/>
    <n v="5.4644808743169399E-3"/>
    <x v="18"/>
    <x v="2"/>
    <s v="OK"/>
    <x v="0"/>
    <s v="OK"/>
    <x v="0"/>
    <x v="0"/>
    <n v="1"/>
    <n v="0"/>
    <n v="0"/>
    <n v="0"/>
    <x v="0"/>
    <x v="0"/>
    <x v="0"/>
  </r>
  <r>
    <n v="20451703903"/>
    <x v="19"/>
    <x v="19"/>
    <x v="1517"/>
    <x v="1523"/>
    <x v="1082"/>
    <n v="2"/>
    <x v="11"/>
    <s v="ESTACIÓN 8 - ELIO"/>
    <s v="A. H SANTA ROSA Mz A LT 17"/>
    <x v="36"/>
    <x v="0"/>
    <x v="0"/>
    <x v="1"/>
    <x v="531"/>
    <x v="0"/>
    <n v="4"/>
    <n v="220"/>
    <x v="0"/>
    <x v="1"/>
    <n v="5.4644808743169399E-3"/>
    <x v="21"/>
    <x v="2"/>
    <s v="OK"/>
    <x v="2"/>
    <s v="OK"/>
    <x v="0"/>
    <x v="0"/>
    <n v="1"/>
    <n v="1"/>
    <n v="0"/>
    <n v="0"/>
    <x v="0"/>
    <x v="0"/>
    <x v="0"/>
  </r>
  <r>
    <n v="20451703901"/>
    <x v="19"/>
    <x v="19"/>
    <x v="1518"/>
    <x v="1524"/>
    <x v="1345"/>
    <n v="2"/>
    <x v="11"/>
    <s v="ESTACIÓN 06"/>
    <s v="A.H. LADERAS DEL CHILLON MZ. A3 LT. 41"/>
    <x v="4"/>
    <x v="0"/>
    <x v="0"/>
    <x v="1"/>
    <x v="15"/>
    <x v="0"/>
    <n v="4"/>
    <n v="202"/>
    <x v="0"/>
    <x v="1"/>
    <n v="5.4644808743169399E-3"/>
    <x v="19"/>
    <x v="2"/>
    <s v="OK"/>
    <x v="0"/>
    <s v="OK"/>
    <x v="0"/>
    <x v="0"/>
    <n v="1"/>
    <n v="0"/>
    <n v="0"/>
    <n v="0"/>
    <x v="0"/>
    <x v="0"/>
    <x v="0"/>
  </r>
  <r>
    <n v="20451703901"/>
    <x v="19"/>
    <x v="19"/>
    <x v="1519"/>
    <x v="1525"/>
    <x v="1346"/>
    <n v="2"/>
    <x v="67"/>
    <s v="ESTACIÓN 06"/>
    <s v="URB. CERES ETAPA 3RA MZ. T LT. 25B"/>
    <x v="1"/>
    <x v="0"/>
    <x v="0"/>
    <x v="1"/>
    <x v="275"/>
    <x v="0"/>
    <n v="4"/>
    <n v="216"/>
    <x v="0"/>
    <x v="1"/>
    <n v="5.4644808743169399E-3"/>
    <x v="17"/>
    <x v="2"/>
    <s v="OK"/>
    <x v="1"/>
    <s v="OK"/>
    <x v="0"/>
    <x v="0"/>
    <n v="1"/>
    <n v="1"/>
    <n v="0"/>
    <n v="0"/>
    <x v="0"/>
    <x v="0"/>
    <x v="0"/>
  </r>
  <r>
    <n v="20451703903"/>
    <x v="19"/>
    <x v="19"/>
    <x v="1520"/>
    <x v="1526"/>
    <x v="1347"/>
    <n v="2"/>
    <x v="18"/>
    <s v="ESTACIÓN 8 - ELIO"/>
    <s v="JR. AYACUCHO 642 INT. 3"/>
    <x v="6"/>
    <x v="0"/>
    <x v="7"/>
    <x v="1"/>
    <x v="11"/>
    <x v="2"/>
    <n v="4"/>
    <n v="100"/>
    <x v="0"/>
    <x v="1"/>
    <n v="5.4644808743169399E-3"/>
    <x v="18"/>
    <x v="2"/>
    <s v="OK"/>
    <x v="2"/>
    <s v="OK"/>
    <x v="0"/>
    <x v="0"/>
    <n v="1"/>
    <n v="1"/>
    <n v="0"/>
    <n v="1"/>
    <x v="0"/>
    <x v="1"/>
    <x v="0"/>
  </r>
  <r>
    <n v="20451703901"/>
    <x v="19"/>
    <x v="19"/>
    <x v="1521"/>
    <x v="1527"/>
    <x v="1348"/>
    <n v="2"/>
    <x v="67"/>
    <s v="ESTACIÓN 06"/>
    <s v="CALLE LOS OLIVOS URB. VIÑA ALTA MZ. U LT. 13"/>
    <x v="47"/>
    <x v="0"/>
    <x v="0"/>
    <x v="1"/>
    <x v="191"/>
    <x v="0"/>
    <n v="4"/>
    <n v="216"/>
    <x v="0"/>
    <x v="1"/>
    <n v="5.4644808743169399E-3"/>
    <x v="19"/>
    <x v="2"/>
    <s v="OK"/>
    <x v="0"/>
    <s v="OK"/>
    <x v="0"/>
    <x v="0"/>
    <n v="1"/>
    <n v="0"/>
    <n v="0"/>
    <n v="0"/>
    <x v="0"/>
    <x v="0"/>
    <x v="0"/>
  </r>
  <r>
    <n v="20451703903"/>
    <x v="19"/>
    <x v="19"/>
    <x v="1522"/>
    <x v="1528"/>
    <x v="1349"/>
    <n v="2"/>
    <x v="2"/>
    <s v="ESTACIÓN 8 - ELIO"/>
    <s v="CALLE ATAHUALPA 527"/>
    <x v="89"/>
    <x v="0"/>
    <x v="7"/>
    <x v="1"/>
    <x v="82"/>
    <x v="2"/>
    <n v="4"/>
    <n v="100"/>
    <x v="0"/>
    <x v="1"/>
    <n v="5.4644808743169399E-3"/>
    <x v="19"/>
    <x v="2"/>
    <s v="OK"/>
    <x v="2"/>
    <s v="OK"/>
    <x v="0"/>
    <x v="0"/>
    <n v="1"/>
    <n v="1"/>
    <n v="0"/>
    <n v="1"/>
    <x v="0"/>
    <x v="1"/>
    <x v="0"/>
  </r>
  <r>
    <n v="20451703901"/>
    <x v="19"/>
    <x v="19"/>
    <x v="1523"/>
    <x v="1529"/>
    <x v="1350"/>
    <n v="1"/>
    <x v="84"/>
    <s v="ESTACIÓN 8 - ELIO"/>
    <s v="LOS ROSALES M2  AAHH BUENOS AIRES DE VILLA "/>
    <x v="38"/>
    <x v="0"/>
    <x v="0"/>
    <x v="1"/>
    <x v="179"/>
    <x v="0"/>
    <n v="1"/>
    <n v="217.5"/>
    <x v="0"/>
    <x v="1"/>
    <n v="5.4644808743169399E-3"/>
    <x v="14"/>
    <x v="2"/>
    <s v="OK"/>
    <x v="0"/>
    <s v="OK"/>
    <x v="0"/>
    <x v="0"/>
    <n v="1"/>
    <n v="0"/>
    <n v="0"/>
    <n v="0"/>
    <x v="0"/>
    <x v="0"/>
    <x v="0"/>
  </r>
  <r>
    <n v="20451703901"/>
    <x v="19"/>
    <x v="19"/>
    <x v="1524"/>
    <x v="1530"/>
    <x v="1351"/>
    <n v="2"/>
    <x v="11"/>
    <s v="ESTACIÓN 06"/>
    <s v="MZ. E LT. 02 ASOC DE VIV SAN JUDAS TADEO ZONA 5 QUEBRADA DE MANCHAY"/>
    <x v="58"/>
    <x v="0"/>
    <x v="0"/>
    <x v="1"/>
    <x v="261"/>
    <x v="0"/>
    <n v="4"/>
    <n v="216"/>
    <x v="0"/>
    <x v="1"/>
    <n v="5.4644808743169399E-3"/>
    <x v="22"/>
    <x v="2"/>
    <s v="OK"/>
    <x v="0"/>
    <s v="OK"/>
    <x v="0"/>
    <x v="0"/>
    <n v="1"/>
    <n v="0"/>
    <n v="0"/>
    <n v="0"/>
    <x v="0"/>
    <x v="0"/>
    <x v="0"/>
  </r>
  <r>
    <n v="20451703901"/>
    <x v="19"/>
    <x v="19"/>
    <x v="1525"/>
    <x v="1531"/>
    <x v="1352"/>
    <n v="2"/>
    <x v="8"/>
    <s v="ESTACIÓN 8 - ELIO"/>
    <s v="JR. JUAN JOSE MUÑOZ PISO 2 URB. SANTA LUZMILA MZ. S3 LT.27 "/>
    <x v="0"/>
    <x v="0"/>
    <x v="7"/>
    <x v="1"/>
    <x v="114"/>
    <x v="2"/>
    <n v="4"/>
    <n v="100"/>
    <x v="0"/>
    <x v="1"/>
    <n v="5.4644808743169399E-3"/>
    <x v="21"/>
    <x v="2"/>
    <s v="OK"/>
    <x v="0"/>
    <s v="OK"/>
    <x v="0"/>
    <x v="0"/>
    <n v="1"/>
    <n v="0"/>
    <n v="0"/>
    <n v="1"/>
    <x v="0"/>
    <x v="1"/>
    <x v="0"/>
  </r>
  <r>
    <n v="20451703901"/>
    <x v="19"/>
    <x v="19"/>
    <x v="1526"/>
    <x v="1532"/>
    <x v="1353"/>
    <n v="2"/>
    <x v="11"/>
    <s v="ESTACIÓN 8 - ELIO"/>
    <s v="PROLONG. JAVIER PRADO 9042 MZ. I1"/>
    <x v="1"/>
    <x v="0"/>
    <x v="0"/>
    <x v="1"/>
    <x v="244"/>
    <x v="0"/>
    <n v="4"/>
    <n v="200"/>
    <x v="0"/>
    <x v="1"/>
    <n v="5.4644808743169399E-3"/>
    <x v="21"/>
    <x v="2"/>
    <s v="OK"/>
    <x v="1"/>
    <s v="OK"/>
    <x v="0"/>
    <x v="0"/>
    <n v="1"/>
    <n v="1"/>
    <n v="0"/>
    <n v="0"/>
    <x v="0"/>
    <x v="0"/>
    <x v="0"/>
  </r>
  <r>
    <n v="20451703901"/>
    <x v="19"/>
    <x v="19"/>
    <x v="1527"/>
    <x v="1533"/>
    <x v="1354"/>
    <n v="2"/>
    <x v="67"/>
    <s v="ESTACIÓN 06"/>
    <s v="MZ. X LT. 38 AH LOS CONSTRUCTORES"/>
    <x v="15"/>
    <x v="0"/>
    <x v="0"/>
    <x v="1"/>
    <x v="57"/>
    <x v="0"/>
    <n v="4"/>
    <n v="216"/>
    <x v="0"/>
    <x v="1"/>
    <n v="5.4644808743169399E-3"/>
    <x v="15"/>
    <x v="2"/>
    <s v="OK"/>
    <x v="0"/>
    <s v="OK"/>
    <x v="0"/>
    <x v="0"/>
    <n v="1"/>
    <n v="0"/>
    <n v="0"/>
    <n v="0"/>
    <x v="0"/>
    <x v="0"/>
    <x v="0"/>
  </r>
  <r>
    <n v="20451703901"/>
    <x v="19"/>
    <x v="19"/>
    <x v="1528"/>
    <x v="1534"/>
    <x v="1355"/>
    <n v="2"/>
    <x v="11"/>
    <s v="ESTACIÓN 06"/>
    <s v="AV ENRIQUE MEIGGS MZ 7 LT 10"/>
    <x v="10"/>
    <x v="0"/>
    <x v="0"/>
    <x v="1"/>
    <x v="264"/>
    <x v="0"/>
    <n v="4"/>
    <n v="216"/>
    <x v="0"/>
    <x v="1"/>
    <n v="5.4644808743169399E-3"/>
    <x v="22"/>
    <x v="2"/>
    <s v="OK"/>
    <x v="0"/>
    <s v="OK"/>
    <x v="0"/>
    <x v="0"/>
    <n v="1"/>
    <n v="0"/>
    <n v="0"/>
    <n v="0"/>
    <x v="0"/>
    <x v="0"/>
    <x v="0"/>
  </r>
  <r>
    <n v="20451703901"/>
    <x v="19"/>
    <x v="19"/>
    <x v="1529"/>
    <x v="1535"/>
    <x v="1356"/>
    <n v="2"/>
    <x v="11"/>
    <s v="ESTACIÓN 8 - ELIO"/>
    <s v="AH SAN LORENZO MZ 1 LT 167 "/>
    <x v="38"/>
    <x v="0"/>
    <x v="4"/>
    <x v="1"/>
    <x v="202"/>
    <x v="2"/>
    <n v="4"/>
    <n v="50"/>
    <x v="0"/>
    <x v="1"/>
    <n v="5.4644808743169399E-3"/>
    <x v="16"/>
    <x v="2"/>
    <s v="OK"/>
    <x v="0"/>
    <s v="OK"/>
    <x v="0"/>
    <x v="0"/>
    <n v="1"/>
    <n v="0"/>
    <n v="0"/>
    <n v="1"/>
    <x v="0"/>
    <x v="1"/>
    <x v="0"/>
  </r>
  <r>
    <n v="20451703901"/>
    <x v="19"/>
    <x v="19"/>
    <x v="1530"/>
    <x v="1536"/>
    <x v="1357"/>
    <n v="2"/>
    <x v="11"/>
    <s v="ESTACIÓN 8 - ELIO"/>
    <s v="CALLE LAS BRISAS DE HUASCAR MZ E LT 6A AGRU BRISAS DE HUASCAR"/>
    <x v="15"/>
    <x v="0"/>
    <x v="0"/>
    <x v="1"/>
    <x v="135"/>
    <x v="0"/>
    <n v="4"/>
    <n v="217.5"/>
    <x v="0"/>
    <x v="1"/>
    <n v="5.4644808743169399E-3"/>
    <x v="22"/>
    <x v="2"/>
    <s v="OK"/>
    <x v="0"/>
    <s v="OK"/>
    <x v="0"/>
    <x v="0"/>
    <n v="1"/>
    <n v="0"/>
    <n v="0"/>
    <n v="0"/>
    <x v="0"/>
    <x v="0"/>
    <x v="0"/>
  </r>
  <r>
    <n v="20451703901"/>
    <x v="19"/>
    <x v="19"/>
    <x v="1531"/>
    <x v="1537"/>
    <x v="1358"/>
    <n v="2"/>
    <x v="2"/>
    <s v="ESTACIÓN 8 - ELIO"/>
    <s v="AV. DEL EJERCITO 304"/>
    <x v="121"/>
    <x v="0"/>
    <x v="0"/>
    <x v="1"/>
    <x v="15"/>
    <x v="0"/>
    <n v="4"/>
    <n v="210"/>
    <x v="0"/>
    <x v="1"/>
    <n v="5.4644808743169399E-3"/>
    <x v="22"/>
    <x v="2"/>
    <s v="OK"/>
    <x v="0"/>
    <s v="OK"/>
    <x v="0"/>
    <x v="0"/>
    <n v="1"/>
    <n v="0"/>
    <n v="0"/>
    <n v="0"/>
    <x v="0"/>
    <x v="0"/>
    <x v="0"/>
  </r>
  <r>
    <n v="20451703901"/>
    <x v="19"/>
    <x v="19"/>
    <x v="1532"/>
    <x v="1538"/>
    <x v="1167"/>
    <n v="2"/>
    <x v="11"/>
    <s v="ESTACIÓN 8 - ELIO"/>
    <s v="MZ. C LT. 4 AH. DORA FRANCISCA ZEA ZONA JCM"/>
    <x v="8"/>
    <x v="0"/>
    <x v="0"/>
    <x v="1"/>
    <x v="135"/>
    <x v="0"/>
    <n v="4"/>
    <n v="217.5"/>
    <x v="0"/>
    <x v="1"/>
    <n v="5.4644808743169399E-3"/>
    <x v="19"/>
    <x v="2"/>
    <s v="OK"/>
    <x v="0"/>
    <s v="OK"/>
    <x v="0"/>
    <x v="0"/>
    <n v="1"/>
    <n v="0"/>
    <n v="0"/>
    <n v="0"/>
    <x v="0"/>
    <x v="0"/>
    <x v="0"/>
  </r>
  <r>
    <n v="20451703901"/>
    <x v="19"/>
    <x v="19"/>
    <x v="1533"/>
    <x v="1539"/>
    <x v="1359"/>
    <n v="2"/>
    <x v="11"/>
    <s v="ESTACIÓN 8 - ELIO"/>
    <s v="C. POBLADO JICAMARCA ANEXO 8 MZ. S-2 LT. 04"/>
    <x v="50"/>
    <x v="0"/>
    <x v="0"/>
    <x v="1"/>
    <x v="437"/>
    <x v="0"/>
    <n v="4"/>
    <n v="210"/>
    <x v="0"/>
    <x v="1"/>
    <n v="5.4644808743169399E-3"/>
    <x v="19"/>
    <x v="2"/>
    <s v="OK"/>
    <x v="0"/>
    <s v="OK"/>
    <x v="0"/>
    <x v="0"/>
    <n v="1"/>
    <n v="0"/>
    <n v="0"/>
    <n v="0"/>
    <x v="0"/>
    <x v="0"/>
    <x v="0"/>
  </r>
  <r>
    <n v="20451703901"/>
    <x v="19"/>
    <x v="19"/>
    <x v="1534"/>
    <x v="1540"/>
    <x v="1360"/>
    <n v="2"/>
    <x v="11"/>
    <s v="ESTACIÓN 06"/>
    <s v="AH JAUN PABLO SEGUNDO MZ M15 LT 7"/>
    <x v="15"/>
    <x v="0"/>
    <x v="0"/>
    <x v="1"/>
    <x v="264"/>
    <x v="0"/>
    <n v="4"/>
    <n v="216"/>
    <x v="0"/>
    <x v="1"/>
    <n v="5.4644808743169399E-3"/>
    <x v="17"/>
    <x v="2"/>
    <s v="OK"/>
    <x v="0"/>
    <s v="OK"/>
    <x v="0"/>
    <x v="0"/>
    <n v="1"/>
    <n v="0"/>
    <n v="0"/>
    <n v="0"/>
    <x v="0"/>
    <x v="0"/>
    <x v="0"/>
  </r>
  <r>
    <n v="20451703901"/>
    <x v="19"/>
    <x v="19"/>
    <x v="1535"/>
    <x v="1541"/>
    <x v="1361"/>
    <n v="2"/>
    <x v="11"/>
    <s v="ESTACIÓN 8 - ELIO"/>
    <s v="AV AMAZONAS 223 A LT 1"/>
    <x v="8"/>
    <x v="0"/>
    <x v="4"/>
    <x v="1"/>
    <x v="532"/>
    <x v="2"/>
    <n v="4"/>
    <n v="50"/>
    <x v="0"/>
    <x v="1"/>
    <n v="5.4644808743169399E-3"/>
    <x v="14"/>
    <x v="2"/>
    <s v="OK"/>
    <x v="0"/>
    <s v="OK"/>
    <x v="0"/>
    <x v="0"/>
    <n v="1"/>
    <n v="0"/>
    <n v="0"/>
    <n v="1"/>
    <x v="0"/>
    <x v="1"/>
    <x v="0"/>
  </r>
  <r>
    <n v="20451703901"/>
    <x v="19"/>
    <x v="19"/>
    <x v="1536"/>
    <x v="1542"/>
    <x v="1362"/>
    <n v="2"/>
    <x v="67"/>
    <s v="ESTACIÓN 8 - ELIO"/>
    <s v="SECTOR 2 GRUPO 21A MZ K LT 8"/>
    <x v="19"/>
    <x v="0"/>
    <x v="29"/>
    <x v="1"/>
    <x v="139"/>
    <x v="2"/>
    <n v="4"/>
    <n v="200"/>
    <x v="0"/>
    <x v="1"/>
    <n v="5.4644808743169399E-3"/>
    <x v="16"/>
    <x v="2"/>
    <s v="OK"/>
    <x v="0"/>
    <s v="OK"/>
    <x v="0"/>
    <x v="0"/>
    <n v="1"/>
    <n v="0"/>
    <n v="0"/>
    <n v="1"/>
    <x v="0"/>
    <x v="1"/>
    <x v="0"/>
  </r>
  <r>
    <n v="20451703901"/>
    <x v="19"/>
    <x v="19"/>
    <x v="1537"/>
    <x v="1543"/>
    <x v="1363"/>
    <n v="2"/>
    <x v="67"/>
    <s v="ESTACIÓN 8 - ELIO"/>
    <s v="MZ.A LOTE S/N PUEBLO LONGOTEA 3"/>
    <x v="240"/>
    <x v="0"/>
    <x v="0"/>
    <x v="1"/>
    <x v="533"/>
    <x v="0"/>
    <n v="4"/>
    <n v="220"/>
    <x v="0"/>
    <x v="1"/>
    <n v="5.4644808743169399E-3"/>
    <x v="21"/>
    <x v="2"/>
    <s v="OK"/>
    <x v="0"/>
    <s v="OK"/>
    <x v="0"/>
    <x v="0"/>
    <n v="1"/>
    <n v="0"/>
    <n v="0"/>
    <n v="0"/>
    <x v="0"/>
    <x v="0"/>
    <x v="0"/>
  </r>
  <r>
    <n v="20451703901"/>
    <x v="19"/>
    <x v="19"/>
    <x v="1538"/>
    <x v="1544"/>
    <x v="1364"/>
    <n v="2"/>
    <x v="11"/>
    <s v="ESTACIÓN 06"/>
    <s v="AH VILLA PROGRESO MZ B LT Z"/>
    <x v="54"/>
    <x v="0"/>
    <x v="0"/>
    <x v="1"/>
    <x v="264"/>
    <x v="0"/>
    <n v="4"/>
    <n v="198.5"/>
    <x v="0"/>
    <x v="1"/>
    <n v="5.4644808743169399E-3"/>
    <x v="22"/>
    <x v="2"/>
    <s v="OK"/>
    <x v="0"/>
    <s v="OK"/>
    <x v="0"/>
    <x v="0"/>
    <n v="1"/>
    <n v="0"/>
    <n v="0"/>
    <n v="0"/>
    <x v="0"/>
    <x v="0"/>
    <x v="0"/>
  </r>
  <r>
    <n v="20451703901"/>
    <x v="19"/>
    <x v="19"/>
    <x v="1539"/>
    <x v="1545"/>
    <x v="1365"/>
    <n v="2"/>
    <x v="8"/>
    <s v="ESTACIÓN 06"/>
    <s v="MZ. S LT. 01 ASENT.H. AMP EL GOLFO "/>
    <x v="2"/>
    <x v="0"/>
    <x v="0"/>
    <x v="1"/>
    <x v="531"/>
    <x v="0"/>
    <n v="4"/>
    <n v="212"/>
    <x v="0"/>
    <x v="1"/>
    <n v="5.4644808743169399E-3"/>
    <x v="19"/>
    <x v="2"/>
    <s v="OK"/>
    <x v="2"/>
    <s v="OK"/>
    <x v="0"/>
    <x v="0"/>
    <n v="1"/>
    <n v="1"/>
    <n v="0"/>
    <n v="0"/>
    <x v="0"/>
    <x v="0"/>
    <x v="0"/>
  </r>
  <r>
    <n v="20451703901"/>
    <x v="19"/>
    <x v="19"/>
    <x v="1540"/>
    <x v="1546"/>
    <x v="1366"/>
    <n v="2"/>
    <x v="11"/>
    <s v="ESTACIÓN 06"/>
    <s v="CALLE 3 MZ 11 COOP DE VIVIENDA HUAYCHAO"/>
    <x v="1"/>
    <x v="0"/>
    <x v="29"/>
    <x v="1"/>
    <x v="416"/>
    <x v="2"/>
    <n v="4"/>
    <n v="204"/>
    <x v="0"/>
    <x v="1"/>
    <n v="5.4644808743169399E-3"/>
    <x v="16"/>
    <x v="2"/>
    <s v="OK"/>
    <x v="1"/>
    <s v="OK"/>
    <x v="0"/>
    <x v="0"/>
    <n v="1"/>
    <n v="1"/>
    <n v="0"/>
    <n v="1"/>
    <x v="0"/>
    <x v="1"/>
    <x v="0"/>
  </r>
  <r>
    <n v="20451703901"/>
    <x v="19"/>
    <x v="19"/>
    <x v="1541"/>
    <x v="1547"/>
    <x v="1367"/>
    <n v="2"/>
    <x v="27"/>
    <s v="ESTACIÓN 06"/>
    <s v="AV. LOS NOGALES 251"/>
    <x v="46"/>
    <x v="1"/>
    <x v="0"/>
    <x v="3"/>
    <x v="304"/>
    <x v="0"/>
    <n v="1"/>
    <n v="196"/>
    <x v="0"/>
    <x v="1"/>
    <n v="5.4644808743169399E-3"/>
    <x v="19"/>
    <x v="2"/>
    <s v="OK"/>
    <x v="7"/>
    <s v="OK"/>
    <x v="0"/>
    <x v="0"/>
    <n v="1"/>
    <n v="1"/>
    <n v="0"/>
    <n v="0"/>
    <x v="0"/>
    <x v="0"/>
    <x v="0"/>
  </r>
  <r>
    <n v="20451703903"/>
    <x v="19"/>
    <x v="19"/>
    <x v="1542"/>
    <x v="1548"/>
    <x v="1368"/>
    <n v="2"/>
    <x v="11"/>
    <s v="ESTACIÓN 8 - ELIO"/>
    <s v="AH 30 DE AGOSTO JC MARIATEGUI MZ D LT 3"/>
    <x v="53"/>
    <x v="0"/>
    <x v="29"/>
    <x v="1"/>
    <x v="139"/>
    <x v="2"/>
    <n v="4"/>
    <n v="200"/>
    <x v="0"/>
    <x v="1"/>
    <n v="5.4644808743169399E-3"/>
    <x v="19"/>
    <x v="2"/>
    <s v="OK"/>
    <x v="0"/>
    <s v="OK"/>
    <x v="0"/>
    <x v="0"/>
    <n v="1"/>
    <n v="0"/>
    <n v="0"/>
    <n v="1"/>
    <x v="0"/>
    <x v="1"/>
    <x v="0"/>
  </r>
  <r>
    <n v="20451703901"/>
    <x v="19"/>
    <x v="19"/>
    <x v="1543"/>
    <x v="1549"/>
    <x v="1369"/>
    <n v="2"/>
    <x v="67"/>
    <s v="ESTACIÓN 8 - ELIO"/>
    <s v="MZ. U2 LT. ASOC VIV AMPL CEDROS DE MANCHAY"/>
    <x v="58"/>
    <x v="0"/>
    <x v="0"/>
    <x v="1"/>
    <x v="244"/>
    <x v="0"/>
    <n v="4"/>
    <n v="210"/>
    <x v="0"/>
    <x v="1"/>
    <n v="5.4644808743169399E-3"/>
    <x v="18"/>
    <x v="2"/>
    <s v="OK"/>
    <x v="0"/>
    <s v="OK"/>
    <x v="0"/>
    <x v="0"/>
    <n v="1"/>
    <n v="0"/>
    <n v="0"/>
    <n v="0"/>
    <x v="0"/>
    <x v="0"/>
    <x v="0"/>
  </r>
  <r>
    <n v="20451703901"/>
    <x v="19"/>
    <x v="19"/>
    <x v="1544"/>
    <x v="1550"/>
    <x v="1370"/>
    <n v="2"/>
    <x v="11"/>
    <s v="ESTACIÓN 8 - ELIO"/>
    <s v="JR. NAPO AZCONA"/>
    <x v="5"/>
    <x v="0"/>
    <x v="0"/>
    <x v="1"/>
    <x v="515"/>
    <x v="0"/>
    <n v="4"/>
    <n v="210"/>
    <x v="0"/>
    <x v="1"/>
    <n v="5.4644808743169399E-3"/>
    <x v="19"/>
    <x v="2"/>
    <s v="OK"/>
    <x v="3"/>
    <s v="OK"/>
    <x v="0"/>
    <x v="0"/>
    <n v="1"/>
    <n v="1"/>
    <n v="0"/>
    <n v="0"/>
    <x v="0"/>
    <x v="0"/>
    <x v="0"/>
  </r>
  <r>
    <n v="20451703901"/>
    <x v="19"/>
    <x v="19"/>
    <x v="1545"/>
    <x v="1551"/>
    <x v="1371"/>
    <n v="1"/>
    <x v="120"/>
    <s v="ESTACIÓN 8 - ELIO"/>
    <s v="CALLE MANCO CAPAC 572 URB SAN JUAN"/>
    <x v="217"/>
    <x v="0"/>
    <x v="0"/>
    <x v="1"/>
    <x v="515"/>
    <x v="0"/>
    <n v="1"/>
    <n v="217.5"/>
    <x v="0"/>
    <x v="1"/>
    <n v="5.4644808743169399E-3"/>
    <x v="16"/>
    <x v="2"/>
    <s v="OK"/>
    <x v="0"/>
    <s v="OK"/>
    <x v="0"/>
    <x v="0"/>
    <n v="1"/>
    <n v="0"/>
    <n v="0"/>
    <n v="0"/>
    <x v="0"/>
    <x v="0"/>
    <x v="0"/>
  </r>
  <r>
    <n v="20451703903"/>
    <x v="19"/>
    <x v="19"/>
    <x v="1546"/>
    <x v="1552"/>
    <x v="1363"/>
    <n v="2"/>
    <x v="11"/>
    <s v="ESTACIÓN 8 - ELIO"/>
    <s v="MZ. D 8 LT. 1 ASOC. PRO VIV. PROFAM PERU"/>
    <x v="18"/>
    <x v="0"/>
    <x v="7"/>
    <x v="1"/>
    <x v="46"/>
    <x v="2"/>
    <n v="4"/>
    <n v="100"/>
    <x v="0"/>
    <x v="1"/>
    <n v="5.4644808743169399E-3"/>
    <x v="21"/>
    <x v="2"/>
    <s v="OK"/>
    <x v="0"/>
    <s v="OK"/>
    <x v="0"/>
    <x v="0"/>
    <n v="1"/>
    <n v="0"/>
    <n v="0"/>
    <n v="1"/>
    <x v="0"/>
    <x v="1"/>
    <x v="0"/>
  </r>
  <r>
    <n v="20451703901"/>
    <x v="19"/>
    <x v="19"/>
    <x v="1547"/>
    <x v="1553"/>
    <x v="1372"/>
    <n v="2"/>
    <x v="18"/>
    <s v="ESTACIÓN 06"/>
    <s v="MZ E LT 35 I ETAPA - LAS PRADERAS"/>
    <x v="27"/>
    <x v="0"/>
    <x v="7"/>
    <x v="1"/>
    <x v="141"/>
    <x v="2"/>
    <n v="4"/>
    <n v="98.5"/>
    <x v="0"/>
    <x v="1"/>
    <n v="5.4644808743169399E-3"/>
    <x v="16"/>
    <x v="2"/>
    <s v="OK"/>
    <x v="5"/>
    <s v="OK"/>
    <x v="0"/>
    <x v="0"/>
    <n v="1"/>
    <n v="1"/>
    <n v="0"/>
    <n v="1"/>
    <x v="0"/>
    <x v="1"/>
    <x v="0"/>
  </r>
  <r>
    <n v="20451703901"/>
    <x v="19"/>
    <x v="19"/>
    <x v="1548"/>
    <x v="1554"/>
    <x v="1357"/>
    <n v="2"/>
    <x v="67"/>
    <s v="ESTACIÓN 06"/>
    <s v="JR. AMERICA 911 DPTO. &quot;C&quot; URB. SAN GERMAN"/>
    <x v="25"/>
    <x v="0"/>
    <x v="0"/>
    <x v="1"/>
    <x v="531"/>
    <x v="0"/>
    <n v="4"/>
    <n v="202"/>
    <x v="0"/>
    <x v="1"/>
    <n v="5.4644808743169399E-3"/>
    <x v="22"/>
    <x v="2"/>
    <s v="OK"/>
    <x v="4"/>
    <s v="OK"/>
    <x v="0"/>
    <x v="0"/>
    <n v="1"/>
    <n v="1"/>
    <n v="0"/>
    <n v="0"/>
    <x v="0"/>
    <x v="0"/>
    <x v="0"/>
  </r>
  <r>
    <n v="20451703901"/>
    <x v="19"/>
    <x v="19"/>
    <x v="1549"/>
    <x v="1555"/>
    <x v="1373"/>
    <n v="2"/>
    <x v="11"/>
    <s v="ESTACIÓN 06"/>
    <s v="AV. MZ. G LT. 12 AGR. POBL. FE Y ESPERANZA DE INCA STONE"/>
    <x v="2"/>
    <x v="0"/>
    <x v="0"/>
    <x v="1"/>
    <x v="11"/>
    <x v="0"/>
    <n v="4"/>
    <n v="202"/>
    <x v="0"/>
    <x v="1"/>
    <n v="5.4644808743169399E-3"/>
    <x v="14"/>
    <x v="2"/>
    <s v="OK"/>
    <x v="2"/>
    <s v="OK"/>
    <x v="0"/>
    <x v="0"/>
    <n v="1"/>
    <n v="1"/>
    <n v="0"/>
    <n v="0"/>
    <x v="0"/>
    <x v="0"/>
    <x v="0"/>
  </r>
  <r>
    <n v="20451703903"/>
    <x v="19"/>
    <x v="19"/>
    <x v="1550"/>
    <x v="1556"/>
    <x v="1374"/>
    <n v="2"/>
    <x v="2"/>
    <s v="ESTACIÓN 8 - ELIO"/>
    <s v="MZ D LT 23 GAMBETA ALTA"/>
    <x v="6"/>
    <x v="0"/>
    <x v="29"/>
    <x v="1"/>
    <x v="317"/>
    <x v="2"/>
    <n v="4"/>
    <n v="200"/>
    <x v="0"/>
    <x v="1"/>
    <n v="5.4644808743169399E-3"/>
    <x v="18"/>
    <x v="2"/>
    <s v="OK"/>
    <x v="2"/>
    <s v="OK"/>
    <x v="0"/>
    <x v="0"/>
    <n v="1"/>
    <n v="1"/>
    <n v="0"/>
    <n v="1"/>
    <x v="0"/>
    <x v="1"/>
    <x v="0"/>
  </r>
  <r>
    <n v="20451703901"/>
    <x v="19"/>
    <x v="19"/>
    <x v="1551"/>
    <x v="1557"/>
    <x v="1358"/>
    <n v="2"/>
    <x v="11"/>
    <s v="ESTACIÓN 06"/>
    <s v="ANEXO CHAHUARMA"/>
    <x v="241"/>
    <x v="0"/>
    <x v="0"/>
    <x v="1"/>
    <x v="532"/>
    <x v="0"/>
    <n v="4"/>
    <n v="202"/>
    <x v="0"/>
    <x v="1"/>
    <n v="5.4644808743169399E-3"/>
    <x v="22"/>
    <x v="2"/>
    <s v="OK"/>
    <x v="0"/>
    <s v="OK"/>
    <x v="0"/>
    <x v="0"/>
    <n v="1"/>
    <n v="0"/>
    <n v="0"/>
    <n v="0"/>
    <x v="0"/>
    <x v="0"/>
    <x v="0"/>
  </r>
  <r>
    <n v="20451703901"/>
    <x v="19"/>
    <x v="19"/>
    <x v="1552"/>
    <x v="1558"/>
    <x v="1146"/>
    <n v="2"/>
    <x v="67"/>
    <s v="ESTACIÓN 06"/>
    <s v="DE VIV.13 DE NOVIEMBRE MZ. B LT. 6"/>
    <x v="1"/>
    <x v="0"/>
    <x v="29"/>
    <x v="1"/>
    <x v="534"/>
    <x v="2"/>
    <n v="4"/>
    <n v="202.5"/>
    <x v="0"/>
    <x v="1"/>
    <n v="5.4644808743169399E-3"/>
    <x v="17"/>
    <x v="2"/>
    <s v="OK"/>
    <x v="1"/>
    <s v="OK"/>
    <x v="0"/>
    <x v="0"/>
    <n v="1"/>
    <n v="1"/>
    <n v="0"/>
    <n v="1"/>
    <x v="0"/>
    <x v="1"/>
    <x v="0"/>
  </r>
  <r>
    <n v="20451703903"/>
    <x v="19"/>
    <x v="19"/>
    <x v="1553"/>
    <x v="1559"/>
    <x v="1118"/>
    <n v="2"/>
    <x v="67"/>
    <s v="ESTACIÓN 8 - ELIO"/>
    <s v="CASERIO NVA. ESPERANZA"/>
    <x v="242"/>
    <x v="0"/>
    <x v="0"/>
    <x v="1"/>
    <x v="422"/>
    <x v="0"/>
    <n v="4"/>
    <n v="220"/>
    <x v="0"/>
    <x v="1"/>
    <n v="5.4644808743169399E-3"/>
    <x v="18"/>
    <x v="2"/>
    <s v="OK"/>
    <x v="0"/>
    <s v="OK"/>
    <x v="0"/>
    <x v="0"/>
    <n v="1"/>
    <n v="0"/>
    <n v="0"/>
    <n v="0"/>
    <x v="0"/>
    <x v="0"/>
    <x v="0"/>
  </r>
  <r>
    <n v="20451703901"/>
    <x v="19"/>
    <x v="19"/>
    <x v="1554"/>
    <x v="1560"/>
    <x v="1375"/>
    <n v="1"/>
    <x v="74"/>
    <s v="ESTACIÓN 8 - ELIO"/>
    <s v="UCV 13 LT 57, ZONA A A.H. HUAYCAN"/>
    <x v="1"/>
    <x v="0"/>
    <x v="0"/>
    <x v="1"/>
    <x v="290"/>
    <x v="0"/>
    <n v="1"/>
    <n v="217.5"/>
    <x v="0"/>
    <x v="1"/>
    <n v="5.4644808743169399E-3"/>
    <x v="16"/>
    <x v="2"/>
    <s v="OK"/>
    <x v="1"/>
    <s v="OK"/>
    <x v="0"/>
    <x v="0"/>
    <n v="1"/>
    <n v="1"/>
    <n v="0"/>
    <n v="0"/>
    <x v="0"/>
    <x v="0"/>
    <x v="0"/>
  </r>
  <r>
    <s v="20554579133"/>
    <x v="20"/>
    <x v="20"/>
    <x v="1555"/>
    <x v="1561"/>
    <x v="1376"/>
    <n v="1"/>
    <x v="257"/>
    <s v="E12"/>
    <s v="CALLE TABATINGA NRO 10"/>
    <x v="146"/>
    <x v="0"/>
    <x v="0"/>
    <x v="6"/>
    <x v="255"/>
    <x v="0"/>
    <n v="3"/>
    <n v="208"/>
    <x v="0"/>
    <x v="1"/>
    <n v="1.1904761904761904E-2"/>
    <x v="20"/>
    <x v="2"/>
    <s v="OK"/>
    <x v="0"/>
    <s v="OK"/>
    <x v="0"/>
    <x v="0"/>
    <n v="1"/>
    <n v="0"/>
    <n v="0"/>
    <n v="0"/>
    <x v="0"/>
    <x v="0"/>
    <x v="0"/>
  </r>
  <r>
    <s v="20554579133"/>
    <x v="20"/>
    <x v="20"/>
    <x v="1556"/>
    <x v="1562"/>
    <x v="1377"/>
    <n v="1"/>
    <x v="96"/>
    <s v="E11"/>
    <s v="PROLONGACION CARLOS ALBERTO IZAGUIRRE MZ C LT 10 APV LOS NISPEROS"/>
    <x v="3"/>
    <x v="0"/>
    <x v="0"/>
    <x v="1"/>
    <x v="535"/>
    <x v="0"/>
    <n v="1"/>
    <n v="208"/>
    <x v="0"/>
    <x v="1"/>
    <n v="1.1904761904761904E-2"/>
    <x v="19"/>
    <x v="2"/>
    <s v="OK"/>
    <x v="0"/>
    <s v="OK"/>
    <x v="0"/>
    <x v="0"/>
    <n v="1"/>
    <n v="0"/>
    <n v="0"/>
    <n v="0"/>
    <x v="0"/>
    <x v="0"/>
    <x v="0"/>
  </r>
  <r>
    <s v="20554579133"/>
    <x v="20"/>
    <x v="20"/>
    <x v="1557"/>
    <x v="1563"/>
    <x v="1378"/>
    <n v="1"/>
    <x v="258"/>
    <s v="E08"/>
    <s v="MZ. G LT. 14 COOP. SAN JUAN DE SALINAS"/>
    <x v="3"/>
    <x v="0"/>
    <x v="0"/>
    <x v="1"/>
    <x v="536"/>
    <x v="0"/>
    <n v="1"/>
    <n v="208"/>
    <x v="0"/>
    <x v="1"/>
    <n v="1.1904761904761904E-2"/>
    <x v="15"/>
    <x v="2"/>
    <s v="OK"/>
    <x v="0"/>
    <s v="OK"/>
    <x v="0"/>
    <x v="0"/>
    <n v="1"/>
    <n v="0"/>
    <n v="0"/>
    <n v="0"/>
    <x v="0"/>
    <x v="0"/>
    <x v="0"/>
  </r>
  <r>
    <s v="20554579133"/>
    <x v="20"/>
    <x v="20"/>
    <x v="1558"/>
    <x v="1564"/>
    <x v="1379"/>
    <n v="1"/>
    <x v="28"/>
    <s v="E04"/>
    <s v="CALLE 2 URB. 200 MILLAS MZ. L LT. 26"/>
    <x v="6"/>
    <x v="0"/>
    <x v="0"/>
    <x v="1"/>
    <x v="291"/>
    <x v="0"/>
    <n v="1"/>
    <n v="208"/>
    <x v="0"/>
    <x v="1"/>
    <n v="1.1904761904761904E-2"/>
    <x v="14"/>
    <x v="2"/>
    <s v="OK"/>
    <x v="2"/>
    <s v="OK"/>
    <x v="0"/>
    <x v="0"/>
    <n v="1"/>
    <n v="1"/>
    <n v="0"/>
    <n v="0"/>
    <x v="0"/>
    <x v="0"/>
    <x v="0"/>
  </r>
  <r>
    <s v="20554579133"/>
    <x v="20"/>
    <x v="20"/>
    <x v="1559"/>
    <x v="1565"/>
    <x v="1380"/>
    <n v="1"/>
    <x v="96"/>
    <s v="E27"/>
    <s v="MZ. D4 LT. 41 URB. MARISCAL CACERES"/>
    <x v="15"/>
    <x v="0"/>
    <x v="0"/>
    <x v="1"/>
    <x v="293"/>
    <x v="0"/>
    <n v="1"/>
    <n v="208"/>
    <x v="0"/>
    <x v="1"/>
    <n v="1.1904761904761904E-2"/>
    <x v="17"/>
    <x v="2"/>
    <s v="OK"/>
    <x v="0"/>
    <s v="OK"/>
    <x v="0"/>
    <x v="0"/>
    <n v="1"/>
    <n v="0"/>
    <n v="0"/>
    <n v="0"/>
    <x v="0"/>
    <x v="0"/>
    <x v="0"/>
  </r>
  <r>
    <s v="20554579133"/>
    <x v="20"/>
    <x v="20"/>
    <x v="1560"/>
    <x v="1566"/>
    <x v="1381"/>
    <n v="1"/>
    <x v="96"/>
    <s v="E19,E18"/>
    <s v="ASENT. H LOS OLIVOS DE PRO MZ. R LT. 34"/>
    <x v="49"/>
    <x v="0"/>
    <x v="0"/>
    <x v="1"/>
    <x v="537"/>
    <x v="0"/>
    <n v="1"/>
    <n v="208"/>
    <x v="0"/>
    <x v="1"/>
    <n v="1.1904761904761904E-2"/>
    <x v="20"/>
    <x v="2"/>
    <s v="OK"/>
    <x v="0"/>
    <s v="OK"/>
    <x v="0"/>
    <x v="0"/>
    <n v="1"/>
    <n v="0"/>
    <n v="0"/>
    <n v="0"/>
    <x v="0"/>
    <x v="0"/>
    <x v="0"/>
  </r>
  <r>
    <s v="20554579133"/>
    <x v="20"/>
    <x v="20"/>
    <x v="1561"/>
    <x v="1567"/>
    <x v="1382"/>
    <n v="1"/>
    <x v="28"/>
    <s v="E02"/>
    <s v="MZ E LOTE 18 URBANIZACIÓN FAUCETT"/>
    <x v="6"/>
    <x v="0"/>
    <x v="0"/>
    <x v="1"/>
    <x v="538"/>
    <x v="0"/>
    <n v="1"/>
    <n v="208"/>
    <x v="0"/>
    <x v="1"/>
    <n v="1.1904761904761904E-2"/>
    <x v="19"/>
    <x v="2"/>
    <s v="OK"/>
    <x v="2"/>
    <s v="OK"/>
    <x v="0"/>
    <x v="0"/>
    <n v="1"/>
    <n v="1"/>
    <n v="0"/>
    <n v="0"/>
    <x v="0"/>
    <x v="0"/>
    <x v="0"/>
  </r>
  <r>
    <s v="20554579133"/>
    <x v="20"/>
    <x v="20"/>
    <x v="1562"/>
    <x v="1568"/>
    <x v="1383"/>
    <n v="1"/>
    <x v="127"/>
    <s v="E14, E15, E17, E18, E19, TBM"/>
    <s v="ASENT. H. LOS OLIVOS DE PRO MZ. F2 LT.14"/>
    <x v="49"/>
    <x v="0"/>
    <x v="0"/>
    <x v="1"/>
    <x v="539"/>
    <x v="0"/>
    <n v="1"/>
    <n v="208"/>
    <x v="0"/>
    <x v="1"/>
    <n v="1.1904761904761904E-2"/>
    <x v="19"/>
    <x v="2"/>
    <s v="OK"/>
    <x v="0"/>
    <s v="OK"/>
    <x v="0"/>
    <x v="0"/>
    <n v="1"/>
    <n v="0"/>
    <n v="0"/>
    <n v="0"/>
    <x v="0"/>
    <x v="0"/>
    <x v="0"/>
  </r>
  <r>
    <s v="20554579133"/>
    <x v="20"/>
    <x v="20"/>
    <x v="1563"/>
    <x v="1569"/>
    <x v="1384"/>
    <n v="1"/>
    <x v="96"/>
    <s v="E14, E17"/>
    <s v="ASOC. TRADICIONES RICARDO PALMA MZ. H LT. 28"/>
    <x v="53"/>
    <x v="0"/>
    <x v="0"/>
    <x v="1"/>
    <x v="297"/>
    <x v="0"/>
    <n v="1"/>
    <n v="208"/>
    <x v="0"/>
    <x v="1"/>
    <n v="1.1904761904761904E-2"/>
    <x v="16"/>
    <x v="2"/>
    <s v="OK"/>
    <x v="0"/>
    <s v="OK"/>
    <x v="0"/>
    <x v="0"/>
    <n v="1"/>
    <n v="0"/>
    <n v="0"/>
    <n v="0"/>
    <x v="0"/>
    <x v="0"/>
    <x v="0"/>
  </r>
  <r>
    <s v="20554579133"/>
    <x v="20"/>
    <x v="20"/>
    <x v="1564"/>
    <x v="1570"/>
    <x v="1385"/>
    <n v="1"/>
    <x v="129"/>
    <s v="E14, E17, E18, E19"/>
    <s v="AV. 34 DE ENERO MZ Y LOT 1 MONTECRISTO DEL PARAISO"/>
    <x v="15"/>
    <x v="0"/>
    <x v="0"/>
    <x v="1"/>
    <x v="540"/>
    <x v="0"/>
    <n v="1"/>
    <n v="208"/>
    <x v="0"/>
    <x v="1"/>
    <n v="1.1904761904761904E-2"/>
    <x v="17"/>
    <x v="2"/>
    <s v="OK"/>
    <x v="0"/>
    <s v="OK"/>
    <x v="0"/>
    <x v="0"/>
    <n v="1"/>
    <n v="0"/>
    <n v="0"/>
    <n v="0"/>
    <x v="0"/>
    <x v="0"/>
    <x v="0"/>
  </r>
  <r>
    <s v="20554579133"/>
    <x v="20"/>
    <x v="20"/>
    <x v="1565"/>
    <x v="1571"/>
    <x v="1386"/>
    <n v="1"/>
    <x v="127"/>
    <s v="E04, E03, E02, E01, E16, E17, E18"/>
    <s v="CA. ALMIRANTE MIGUEL GRAU 246 COOP LAS FLORES"/>
    <x v="15"/>
    <x v="0"/>
    <x v="0"/>
    <x v="1"/>
    <x v="541"/>
    <x v="0"/>
    <n v="1"/>
    <n v="208"/>
    <x v="0"/>
    <x v="1"/>
    <n v="1.1904761904761904E-2"/>
    <x v="21"/>
    <x v="2"/>
    <s v="OK"/>
    <x v="0"/>
    <s v="OK"/>
    <x v="0"/>
    <x v="0"/>
    <n v="1"/>
    <n v="0"/>
    <n v="0"/>
    <n v="0"/>
    <x v="0"/>
    <x v="0"/>
    <x v="0"/>
  </r>
  <r>
    <s v="20554579133"/>
    <x v="20"/>
    <x v="20"/>
    <x v="1566"/>
    <x v="1572"/>
    <x v="971"/>
    <n v="1"/>
    <x v="129"/>
    <s v="E08, E09, E10, TVPM"/>
    <s v="JR. DEAN VALDIVIA 697 DPTO. 103"/>
    <x v="5"/>
    <x v="0"/>
    <x v="0"/>
    <x v="1"/>
    <x v="303"/>
    <x v="0"/>
    <n v="1"/>
    <n v="208"/>
    <x v="0"/>
    <x v="1"/>
    <n v="1.1904761904761904E-2"/>
    <x v="19"/>
    <x v="2"/>
    <s v="OK"/>
    <x v="3"/>
    <s v="OK"/>
    <x v="0"/>
    <x v="0"/>
    <n v="1"/>
    <n v="1"/>
    <n v="0"/>
    <n v="0"/>
    <x v="0"/>
    <x v="0"/>
    <x v="0"/>
  </r>
  <r>
    <s v="20554579133"/>
    <x v="20"/>
    <x v="20"/>
    <x v="1567"/>
    <x v="1573"/>
    <x v="1387"/>
    <n v="1"/>
    <x v="29"/>
    <s v="E08, E09, E10, TVPM"/>
    <s v="ASENT. H. MICAELA BASTIDAS MZ. A-1 LT. 17"/>
    <x v="1"/>
    <x v="0"/>
    <x v="0"/>
    <x v="1"/>
    <x v="303"/>
    <x v="0"/>
    <n v="1"/>
    <n v="208"/>
    <x v="0"/>
    <x v="1"/>
    <n v="1.1904761904761904E-2"/>
    <x v="19"/>
    <x v="2"/>
    <s v="OK"/>
    <x v="1"/>
    <s v="OK"/>
    <x v="0"/>
    <x v="0"/>
    <n v="1"/>
    <n v="1"/>
    <n v="0"/>
    <n v="0"/>
    <x v="0"/>
    <x v="0"/>
    <x v="0"/>
  </r>
  <r>
    <s v="20554579133"/>
    <x v="20"/>
    <x v="20"/>
    <x v="1568"/>
    <x v="1574"/>
    <x v="1388"/>
    <n v="1"/>
    <x v="30"/>
    <s v="E08, E09, E10, E11, E12, TUNEL"/>
    <s v="ATE ASOC. NIÑO JESUS STA. CLARA ETAPA 2DA MZ"/>
    <x v="1"/>
    <x v="0"/>
    <x v="0"/>
    <x v="1"/>
    <x v="542"/>
    <x v="0"/>
    <n v="1"/>
    <n v="208"/>
    <x v="0"/>
    <x v="1"/>
    <n v="1.1904761904761904E-2"/>
    <x v="14"/>
    <x v="2"/>
    <s v="OK"/>
    <x v="1"/>
    <s v="OK"/>
    <x v="0"/>
    <x v="0"/>
    <n v="1"/>
    <n v="1"/>
    <n v="0"/>
    <n v="0"/>
    <x v="0"/>
    <x v="0"/>
    <x v="0"/>
  </r>
  <r>
    <s v="20554579133"/>
    <x v="20"/>
    <x v="20"/>
    <x v="1569"/>
    <x v="1575"/>
    <x v="1304"/>
    <n v="1"/>
    <x v="30"/>
    <s v="E08, E09, E10, E16, TVPM, TVOB"/>
    <s v="AV. CESAR VALLEJO MZ. B LT. 1 ASOC BRISAS DE SEVIMA"/>
    <x v="243"/>
    <x v="0"/>
    <x v="0"/>
    <x v="1"/>
    <x v="543"/>
    <x v="0"/>
    <n v="1"/>
    <n v="208"/>
    <x v="0"/>
    <x v="1"/>
    <n v="1.1904761904761904E-2"/>
    <x v="21"/>
    <x v="2"/>
    <s v="OK"/>
    <x v="7"/>
    <s v="OK"/>
    <x v="0"/>
    <x v="0"/>
    <n v="1"/>
    <n v="1"/>
    <n v="0"/>
    <n v="0"/>
    <x v="0"/>
    <x v="0"/>
    <x v="0"/>
  </r>
  <r>
    <s v="20554579133"/>
    <x v="20"/>
    <x v="20"/>
    <x v="1570"/>
    <x v="1576"/>
    <x v="1389"/>
    <n v="1"/>
    <x v="30"/>
    <s v="RAMAL LINEA 4, TUNEL"/>
    <s v="CALLE 46 URB CIUDAD DEL PESCADOR"/>
    <x v="6"/>
    <x v="0"/>
    <x v="0"/>
    <x v="1"/>
    <x v="544"/>
    <x v="0"/>
    <n v="1"/>
    <n v="208"/>
    <x v="0"/>
    <x v="1"/>
    <n v="1.1904761904761904E-2"/>
    <x v="21"/>
    <x v="2"/>
    <s v="OK"/>
    <x v="2"/>
    <s v="OK"/>
    <x v="0"/>
    <x v="0"/>
    <n v="1"/>
    <n v="1"/>
    <n v="0"/>
    <n v="0"/>
    <x v="0"/>
    <x v="0"/>
    <x v="0"/>
  </r>
  <r>
    <s v="20554579133"/>
    <x v="20"/>
    <x v="20"/>
    <x v="1571"/>
    <x v="1577"/>
    <x v="1390"/>
    <n v="1"/>
    <x v="30"/>
    <s v="E04, E03, E02, E01, PV01 BIS"/>
    <s v="MZ. J - LT 3 ASOC PARQUE INDUSTRIAL PAMPA CORONELA"/>
    <x v="4"/>
    <x v="0"/>
    <x v="0"/>
    <x v="1"/>
    <x v="47"/>
    <x v="0"/>
    <n v="1"/>
    <n v="208"/>
    <x v="0"/>
    <x v="1"/>
    <n v="1.1904761904761904E-2"/>
    <x v="19"/>
    <x v="2"/>
    <s v="OK"/>
    <x v="0"/>
    <s v="OK"/>
    <x v="0"/>
    <x v="0"/>
    <n v="1"/>
    <n v="0"/>
    <n v="0"/>
    <n v="0"/>
    <x v="0"/>
    <x v="0"/>
    <x v="0"/>
  </r>
  <r>
    <s v="20554579133"/>
    <x v="20"/>
    <x v="20"/>
    <x v="1572"/>
    <x v="1578"/>
    <x v="1391"/>
    <n v="1"/>
    <x v="29"/>
    <s v="E4-1; E06,E09,E12"/>
    <s v="MZ. A LT.13 A.H. LOS JAZMINES DE PALAO"/>
    <x v="3"/>
    <x v="0"/>
    <x v="0"/>
    <x v="1"/>
    <x v="192"/>
    <x v="0"/>
    <n v="1"/>
    <n v="208"/>
    <x v="0"/>
    <x v="1"/>
    <n v="1.1904761904761904E-2"/>
    <x v="15"/>
    <x v="2"/>
    <s v="OK"/>
    <x v="0"/>
    <s v="OK"/>
    <x v="0"/>
    <x v="0"/>
    <n v="1"/>
    <n v="0"/>
    <n v="0"/>
    <n v="0"/>
    <x v="0"/>
    <x v="0"/>
    <x v="0"/>
  </r>
  <r>
    <s v="20602677126 "/>
    <x v="58"/>
    <x v="43"/>
    <x v="1573"/>
    <x v="1579"/>
    <x v="1392"/>
    <n v="1"/>
    <x v="259"/>
    <s v="ESTACION 01"/>
    <s v="CALLE FELIPE DE ZELA 522 URB. LOS FICUS "/>
    <x v="27"/>
    <x v="1"/>
    <x v="0"/>
    <x v="0"/>
    <x v="545"/>
    <x v="0"/>
    <n v="2"/>
    <n v="200"/>
    <x v="0"/>
    <x v="1"/>
    <n v="1.8867924528301886E-2"/>
    <x v="17"/>
    <x v="2"/>
    <s v="OK"/>
    <x v="5"/>
    <s v="OK"/>
    <x v="0"/>
    <x v="0"/>
    <n v="1"/>
    <n v="1"/>
    <n v="0"/>
    <n v="0"/>
    <x v="0"/>
    <x v="0"/>
    <x v="0"/>
  </r>
  <r>
    <s v="20602677126 "/>
    <x v="58"/>
    <x v="43"/>
    <x v="1574"/>
    <x v="1580"/>
    <x v="1393"/>
    <n v="2"/>
    <x v="137"/>
    <s v="ESTACION 01"/>
    <s v="CALLE D MZ. U LT. 2 ASENT H. CIUDAD DE LOS CONSTRUCTORES"/>
    <x v="15"/>
    <x v="0"/>
    <x v="0"/>
    <x v="0"/>
    <x v="546"/>
    <x v="0"/>
    <n v="4"/>
    <n v="200"/>
    <x v="0"/>
    <x v="1"/>
    <n v="1.8867924528301886E-2"/>
    <x v="14"/>
    <x v="2"/>
    <s v="OK"/>
    <x v="0"/>
    <s v="OK"/>
    <x v="0"/>
    <x v="0"/>
    <n v="1"/>
    <n v="0"/>
    <n v="0"/>
    <n v="0"/>
    <x v="0"/>
    <x v="0"/>
    <x v="0"/>
  </r>
  <r>
    <s v="20602677126 "/>
    <x v="58"/>
    <x v="43"/>
    <x v="1575"/>
    <x v="1581"/>
    <x v="1394"/>
    <n v="2"/>
    <x v="137"/>
    <s v="ESTACION 01"/>
    <s v="MZ. C LT-34 CIUDADELA CHALACA"/>
    <x v="10"/>
    <x v="0"/>
    <x v="0"/>
    <x v="0"/>
    <x v="547"/>
    <x v="0"/>
    <n v="4"/>
    <n v="200"/>
    <x v="0"/>
    <x v="1"/>
    <n v="1.8867924528301886E-2"/>
    <x v="14"/>
    <x v="2"/>
    <s v="OK"/>
    <x v="0"/>
    <s v="OK"/>
    <x v="0"/>
    <x v="0"/>
    <n v="1"/>
    <n v="0"/>
    <n v="0"/>
    <n v="0"/>
    <x v="0"/>
    <x v="0"/>
    <x v="0"/>
  </r>
  <r>
    <s v="20602677126 "/>
    <x v="58"/>
    <x v="43"/>
    <x v="1576"/>
    <x v="1582"/>
    <x v="1395"/>
    <n v="1"/>
    <x v="260"/>
    <s v="E1-E2-(TUNEL TBM S97)"/>
    <s v="CALLE LOS ALCATRACES 148 URB LIMATAMBO"/>
    <x v="143"/>
    <x v="1"/>
    <x v="0"/>
    <x v="0"/>
    <x v="60"/>
    <x v="2"/>
    <n v="1"/>
    <n v="16"/>
    <x v="0"/>
    <x v="1"/>
    <n v="1.8867924528301886E-2"/>
    <x v="15"/>
    <x v="2"/>
    <s v="OK"/>
    <x v="0"/>
    <s v="OK"/>
    <x v="0"/>
    <x v="0"/>
    <n v="1"/>
    <n v="0"/>
    <n v="0"/>
    <n v="0"/>
    <x v="0"/>
    <x v="0"/>
    <x v="0"/>
  </r>
  <r>
    <s v="20602677126 "/>
    <x v="58"/>
    <x v="43"/>
    <x v="1577"/>
    <x v="1583"/>
    <x v="1396"/>
    <n v="2"/>
    <x v="137"/>
    <s v="ESTACION 01"/>
    <s v="CALLE SANTA PATRICIA URB. SANTA ROSA DE LIMA MZ. F LT. 04"/>
    <x v="49"/>
    <x v="0"/>
    <x v="0"/>
    <x v="0"/>
    <x v="548"/>
    <x v="0"/>
    <n v="4"/>
    <n v="200"/>
    <x v="0"/>
    <x v="1"/>
    <n v="1.8867924528301886E-2"/>
    <x v="22"/>
    <x v="2"/>
    <s v="OK"/>
    <x v="0"/>
    <s v="OK"/>
    <x v="0"/>
    <x v="0"/>
    <n v="1"/>
    <n v="0"/>
    <n v="0"/>
    <n v="0"/>
    <x v="0"/>
    <x v="0"/>
    <x v="0"/>
  </r>
  <r>
    <s v="20602677126 "/>
    <x v="58"/>
    <x v="43"/>
    <x v="1578"/>
    <x v="1584"/>
    <x v="1397"/>
    <n v="2"/>
    <x v="137"/>
    <s v="E1-E2-(TUNEL TBM S97)"/>
    <s v="ASENT. HUMANO SANTA ROSA MZ. E LT. 19 "/>
    <x v="6"/>
    <x v="0"/>
    <x v="0"/>
    <x v="0"/>
    <x v="241"/>
    <x v="2"/>
    <n v="4"/>
    <n v="208"/>
    <x v="0"/>
    <x v="1"/>
    <n v="1.8867924528301886E-2"/>
    <x v="22"/>
    <x v="2"/>
    <s v="OK"/>
    <x v="2"/>
    <s v="OK"/>
    <x v="0"/>
    <x v="0"/>
    <n v="1"/>
    <n v="1"/>
    <n v="0"/>
    <n v="0"/>
    <x v="0"/>
    <x v="0"/>
    <x v="0"/>
  </r>
  <r>
    <s v="20602677126 "/>
    <x v="58"/>
    <x v="43"/>
    <x v="1579"/>
    <x v="1585"/>
    <x v="1398"/>
    <n v="1"/>
    <x v="261"/>
    <s v="ESTACION 01"/>
    <s v="CALLE CHINCHAYSUYO DPTO. 403 MZ. F-A LT. 04"/>
    <x v="28"/>
    <x v="0"/>
    <x v="0"/>
    <x v="0"/>
    <x v="549"/>
    <x v="0"/>
    <n v="1"/>
    <n v="200"/>
    <x v="0"/>
    <x v="1"/>
    <n v="1.8867924528301886E-2"/>
    <x v="19"/>
    <x v="2"/>
    <s v="OK"/>
    <x v="0"/>
    <s v="OK"/>
    <x v="0"/>
    <x v="0"/>
    <n v="1"/>
    <n v="0"/>
    <n v="0"/>
    <n v="0"/>
    <x v="0"/>
    <x v="0"/>
    <x v="0"/>
  </r>
  <r>
    <s v="20602677126 "/>
    <x v="58"/>
    <x v="43"/>
    <x v="1580"/>
    <x v="1586"/>
    <x v="1399"/>
    <n v="2"/>
    <x v="137"/>
    <s v="ESTACION 01"/>
    <s v="CALLE 9 ASOC. DE PROP. BRISAS DEL UNIVERSO  MZ.A LT 30 "/>
    <x v="57"/>
    <x v="0"/>
    <x v="0"/>
    <x v="0"/>
    <x v="241"/>
    <x v="0"/>
    <n v="4"/>
    <n v="200"/>
    <x v="0"/>
    <x v="1"/>
    <n v="1.8867924528301886E-2"/>
    <x v="15"/>
    <x v="2"/>
    <s v="OK"/>
    <x v="0"/>
    <s v="OK"/>
    <x v="0"/>
    <x v="0"/>
    <n v="1"/>
    <n v="0"/>
    <n v="0"/>
    <n v="0"/>
    <x v="0"/>
    <x v="0"/>
    <x v="0"/>
  </r>
  <r>
    <s v="20602677126 "/>
    <x v="58"/>
    <x v="43"/>
    <x v="1581"/>
    <x v="1587"/>
    <x v="989"/>
    <n v="2"/>
    <x v="262"/>
    <s v="TUNEL TBM S97 -E1"/>
    <s v="JR. ANTONIO PORTUGAL 808-URB. FICUS"/>
    <x v="1"/>
    <x v="0"/>
    <x v="0"/>
    <x v="0"/>
    <x v="550"/>
    <x v="2"/>
    <n v="4"/>
    <n v="72"/>
    <x v="0"/>
    <x v="1"/>
    <n v="1.8867924528301886E-2"/>
    <x v="15"/>
    <x v="2"/>
    <s v="OK"/>
    <x v="1"/>
    <s v="OK"/>
    <x v="0"/>
    <x v="1"/>
    <n v="0.5"/>
    <n v="0.5"/>
    <n v="0"/>
    <n v="0"/>
    <x v="0"/>
    <x v="0"/>
    <x v="0"/>
  </r>
  <r>
    <s v="20602677126 "/>
    <x v="58"/>
    <x v="43"/>
    <x v="1582"/>
    <x v="1588"/>
    <x v="1400"/>
    <n v="2"/>
    <x v="137"/>
    <s v="TUNEL TBM S97 -E1"/>
    <s v="JR. ANCASH CDA 18 MZ E-04 LTE 08"/>
    <x v="46"/>
    <x v="0"/>
    <x v="0"/>
    <x v="0"/>
    <x v="550"/>
    <x v="2"/>
    <n v="4"/>
    <n v="24"/>
    <x v="0"/>
    <x v="1"/>
    <n v="1.8867924528301886E-2"/>
    <x v="16"/>
    <x v="2"/>
    <s v="OK"/>
    <x v="7"/>
    <s v="OK"/>
    <x v="0"/>
    <x v="1"/>
    <n v="0.5"/>
    <n v="0.5"/>
    <n v="0"/>
    <n v="0"/>
    <x v="0"/>
    <x v="0"/>
    <x v="0"/>
  </r>
  <r>
    <s v="20602677126 "/>
    <x v="58"/>
    <x v="43"/>
    <x v="1583"/>
    <x v="1589"/>
    <x v="1155"/>
    <n v="2"/>
    <x v="137"/>
    <s v="ESTACION 01"/>
    <s v="AV PARAMONGA MZ F LT2 "/>
    <x v="57"/>
    <x v="0"/>
    <x v="0"/>
    <x v="0"/>
    <x v="547"/>
    <x v="0"/>
    <n v="4"/>
    <n v="200"/>
    <x v="0"/>
    <x v="1"/>
    <n v="1.8867924528301886E-2"/>
    <x v="17"/>
    <x v="2"/>
    <s v="OK"/>
    <x v="0"/>
    <s v="OK"/>
    <x v="0"/>
    <x v="0"/>
    <n v="1"/>
    <n v="0"/>
    <n v="0"/>
    <n v="0"/>
    <x v="0"/>
    <x v="0"/>
    <x v="0"/>
  </r>
  <r>
    <s v="20602677126 "/>
    <x v="58"/>
    <x v="43"/>
    <x v="1584"/>
    <x v="1590"/>
    <x v="1401"/>
    <n v="2"/>
    <x v="12"/>
    <s v="ESTACION 01"/>
    <s v="CALLE TIAHUNACO 448 URB. RESID ZARATE"/>
    <x v="15"/>
    <x v="0"/>
    <x v="0"/>
    <x v="0"/>
    <x v="551"/>
    <x v="0"/>
    <n v="4"/>
    <n v="176"/>
    <x v="0"/>
    <x v="1"/>
    <n v="1.8867924528301886E-2"/>
    <x v="14"/>
    <x v="2"/>
    <s v="OK"/>
    <x v="0"/>
    <s v="OK"/>
    <x v="0"/>
    <x v="0"/>
    <n v="1"/>
    <n v="0"/>
    <n v="0"/>
    <n v="0"/>
    <x v="0"/>
    <x v="0"/>
    <x v="0"/>
  </r>
  <r>
    <s v="20602677126 "/>
    <x v="58"/>
    <x v="43"/>
    <x v="1585"/>
    <x v="1591"/>
    <x v="972"/>
    <n v="1"/>
    <x v="263"/>
    <s v="ESTACION 01"/>
    <s v="ASOC. VALLE CHILLON MZ. F LT. 40"/>
    <x v="4"/>
    <x v="0"/>
    <x v="0"/>
    <x v="0"/>
    <x v="549"/>
    <x v="0"/>
    <n v="1"/>
    <n v="200"/>
    <x v="0"/>
    <x v="1"/>
    <n v="1.8867924528301886E-2"/>
    <x v="21"/>
    <x v="2"/>
    <s v="OK"/>
    <x v="0"/>
    <s v="OK"/>
    <x v="0"/>
    <x v="0"/>
    <n v="1"/>
    <n v="0"/>
    <n v="0"/>
    <n v="0"/>
    <x v="0"/>
    <x v="0"/>
    <x v="0"/>
  </r>
  <r>
    <s v="20602677126 "/>
    <x v="58"/>
    <x v="43"/>
    <x v="1586"/>
    <x v="1592"/>
    <x v="1402"/>
    <n v="2"/>
    <x v="137"/>
    <s v="PTBN"/>
    <s v="LOTIZACION LA ENSENADA CHILLON MZ D LT 8"/>
    <x v="4"/>
    <x v="0"/>
    <x v="0"/>
    <x v="0"/>
    <x v="352"/>
    <x v="0"/>
    <n v="4"/>
    <n v="200"/>
    <x v="0"/>
    <x v="1"/>
    <n v="1.8867924528301886E-2"/>
    <x v="22"/>
    <x v="2"/>
    <s v="OK"/>
    <x v="0"/>
    <s v="OK"/>
    <x v="0"/>
    <x v="0"/>
    <n v="1"/>
    <n v="0"/>
    <n v="0"/>
    <n v="0"/>
    <x v="0"/>
    <x v="0"/>
    <x v="0"/>
  </r>
  <r>
    <s v="20602677126 "/>
    <x v="58"/>
    <x v="43"/>
    <x v="1587"/>
    <x v="1593"/>
    <x v="1403"/>
    <n v="2"/>
    <x v="137"/>
    <s v="E1-E2-(TUNEL TBM S97)"/>
    <s v="BRISAS DE SANTA ROSA MZ A LT 30"/>
    <x v="3"/>
    <x v="0"/>
    <x v="0"/>
    <x v="0"/>
    <x v="552"/>
    <x v="2"/>
    <n v="4"/>
    <n v="16"/>
    <x v="0"/>
    <x v="1"/>
    <n v="1.8867924528301886E-2"/>
    <x v="21"/>
    <x v="2"/>
    <s v="OK"/>
    <x v="0"/>
    <s v="OK"/>
    <x v="0"/>
    <x v="0"/>
    <n v="1"/>
    <n v="0"/>
    <n v="0"/>
    <n v="0"/>
    <x v="0"/>
    <x v="0"/>
    <x v="0"/>
  </r>
  <r>
    <s v="20602677126 "/>
    <x v="58"/>
    <x v="43"/>
    <x v="1588"/>
    <x v="1594"/>
    <x v="1404"/>
    <n v="1"/>
    <x v="60"/>
    <s v="REUBICADO"/>
    <s v="LA REFORMA 288"/>
    <x v="44"/>
    <x v="0"/>
    <x v="0"/>
    <x v="0"/>
    <x v="110"/>
    <x v="2"/>
    <n v="1"/>
    <n v="24"/>
    <x v="0"/>
    <x v="1"/>
    <n v="1.8867924528301886E-2"/>
    <x v="18"/>
    <x v="2"/>
    <s v="OK"/>
    <x v="0"/>
    <s v="OK"/>
    <x v="0"/>
    <x v="0"/>
    <n v="1"/>
    <n v="0"/>
    <n v="0"/>
    <n v="0"/>
    <x v="0"/>
    <x v="0"/>
    <x v="0"/>
  </r>
  <r>
    <s v="20602677126 "/>
    <x v="58"/>
    <x v="43"/>
    <x v="1589"/>
    <x v="1595"/>
    <x v="1405"/>
    <n v="1"/>
    <x v="52"/>
    <s v="ESTACION 01"/>
    <s v="JR CZCO 3134 "/>
    <x v="3"/>
    <x v="0"/>
    <x v="0"/>
    <x v="0"/>
    <x v="553"/>
    <x v="0"/>
    <n v="1"/>
    <n v="200"/>
    <x v="0"/>
    <x v="1"/>
    <n v="1.8867924528301886E-2"/>
    <x v="18"/>
    <x v="2"/>
    <s v="OK"/>
    <x v="0"/>
    <s v="OK"/>
    <x v="0"/>
    <x v="0"/>
    <n v="1"/>
    <n v="0"/>
    <n v="0"/>
    <n v="0"/>
    <x v="0"/>
    <x v="0"/>
    <x v="0"/>
  </r>
  <r>
    <s v="20602677126 "/>
    <x v="58"/>
    <x v="43"/>
    <x v="1590"/>
    <x v="1596"/>
    <x v="1406"/>
    <n v="2"/>
    <x v="3"/>
    <s v="ESTACION 11"/>
    <s v="JR PILCOMAYO 791"/>
    <x v="5"/>
    <x v="0"/>
    <x v="0"/>
    <x v="0"/>
    <x v="264"/>
    <x v="2"/>
    <n v="4"/>
    <n v="112"/>
    <x v="0"/>
    <x v="1"/>
    <n v="1.8867924528301886E-2"/>
    <x v="19"/>
    <x v="2"/>
    <s v="OK"/>
    <x v="3"/>
    <s v="OK"/>
    <x v="0"/>
    <x v="0"/>
    <n v="1"/>
    <n v="1"/>
    <n v="0"/>
    <n v="0"/>
    <x v="0"/>
    <x v="0"/>
    <x v="0"/>
  </r>
  <r>
    <s v="20602677126 "/>
    <x v="58"/>
    <x v="43"/>
    <x v="1591"/>
    <x v="1597"/>
    <x v="1407"/>
    <n v="2"/>
    <x v="3"/>
    <s v="ESTACION 11"/>
    <s v="CALLE NICOLAS DE LA BARRA 323"/>
    <x v="244"/>
    <x v="0"/>
    <x v="0"/>
    <x v="0"/>
    <x v="421"/>
    <x v="2"/>
    <n v="4"/>
    <n v="8"/>
    <x v="0"/>
    <x v="1"/>
    <n v="1.8867924528301886E-2"/>
    <x v="15"/>
    <x v="2"/>
    <s v="OK"/>
    <x v="0"/>
    <s v="OK"/>
    <x v="0"/>
    <x v="0"/>
    <n v="1"/>
    <n v="0"/>
    <n v="0"/>
    <n v="0"/>
    <x v="0"/>
    <x v="0"/>
    <x v="0"/>
  </r>
  <r>
    <s v="20602677126 "/>
    <x v="58"/>
    <x v="43"/>
    <x v="1592"/>
    <x v="1598"/>
    <x v="1408"/>
    <n v="2"/>
    <x v="3"/>
    <s v="ESTACION 04"/>
    <s v="URB CIUDAD DEL PESCADOR  MZ.P -1 LT 17 "/>
    <x v="151"/>
    <x v="0"/>
    <x v="0"/>
    <x v="0"/>
    <x v="123"/>
    <x v="2"/>
    <n v="4"/>
    <n v="184"/>
    <x v="0"/>
    <x v="1"/>
    <n v="1.8867924528301886E-2"/>
    <x v="19"/>
    <x v="2"/>
    <s v="OK"/>
    <x v="2"/>
    <s v="OK"/>
    <x v="0"/>
    <x v="0"/>
    <n v="1"/>
    <n v="1"/>
    <n v="0"/>
    <n v="0"/>
    <x v="0"/>
    <x v="0"/>
    <x v="0"/>
  </r>
  <r>
    <s v="20602677126 "/>
    <x v="58"/>
    <x v="43"/>
    <x v="1593"/>
    <x v="1599"/>
    <x v="1409"/>
    <n v="2"/>
    <x v="137"/>
    <s v="PTBN"/>
    <s v="CALLE LOS SALMOS MZ. P.LT. 03 ASENT.H EL GOL "/>
    <x v="2"/>
    <x v="0"/>
    <x v="0"/>
    <x v="0"/>
    <x v="50"/>
    <x v="0"/>
    <n v="4"/>
    <n v="200"/>
    <x v="0"/>
    <x v="1"/>
    <n v="1.8867924528301886E-2"/>
    <x v="20"/>
    <x v="2"/>
    <s v="OK"/>
    <x v="2"/>
    <s v="OK"/>
    <x v="0"/>
    <x v="0"/>
    <n v="1"/>
    <n v="1"/>
    <n v="0"/>
    <n v="0"/>
    <x v="0"/>
    <x v="0"/>
    <x v="0"/>
  </r>
  <r>
    <s v="20602677126 "/>
    <x v="58"/>
    <x v="43"/>
    <x v="1582"/>
    <x v="1588"/>
    <x v="1400"/>
    <n v="2"/>
    <x v="138"/>
    <s v="REUBICADO"/>
    <s v="JR. ANCASH CDA 18 MZ E-04 LTE 08"/>
    <x v="46"/>
    <x v="0"/>
    <x v="0"/>
    <x v="0"/>
    <x v="16"/>
    <x v="0"/>
    <n v="4"/>
    <n v="200"/>
    <x v="0"/>
    <x v="1"/>
    <n v="1.8867924528301886E-2"/>
    <x v="16"/>
    <x v="2"/>
    <s v="OK"/>
    <x v="7"/>
    <s v="OK"/>
    <x v="0"/>
    <x v="1"/>
    <n v="0.5"/>
    <n v="0.5"/>
    <n v="0"/>
    <n v="0"/>
    <x v="0"/>
    <x v="0"/>
    <x v="0"/>
  </r>
  <r>
    <s v="20602677126 "/>
    <x v="58"/>
    <x v="43"/>
    <x v="1581"/>
    <x v="1587"/>
    <x v="989"/>
    <n v="2"/>
    <x v="262"/>
    <s v="ESTACION 01"/>
    <s v="JR. ANTONIO PORTUGAL 808-URB. FICUS"/>
    <x v="1"/>
    <x v="0"/>
    <x v="0"/>
    <x v="0"/>
    <x v="16"/>
    <x v="0"/>
    <n v="4"/>
    <n v="200"/>
    <x v="0"/>
    <x v="1"/>
    <n v="1.8867924528301886E-2"/>
    <x v="15"/>
    <x v="2"/>
    <s v="OK"/>
    <x v="1"/>
    <s v="OK"/>
    <x v="0"/>
    <x v="1"/>
    <n v="0.5"/>
    <n v="0.5"/>
    <n v="0"/>
    <n v="0"/>
    <x v="0"/>
    <x v="0"/>
    <x v="0"/>
  </r>
  <r>
    <s v="20602677126 "/>
    <x v="58"/>
    <x v="43"/>
    <x v="1594"/>
    <x v="1600"/>
    <x v="1410"/>
    <n v="2"/>
    <x v="138"/>
    <s v="PTBN"/>
    <s v="SECTOR LAS PALMERAS "/>
    <x v="192"/>
    <x v="0"/>
    <x v="0"/>
    <x v="0"/>
    <x v="50"/>
    <x v="0"/>
    <n v="4"/>
    <n v="200"/>
    <x v="0"/>
    <x v="1"/>
    <n v="1.8867924528301886E-2"/>
    <x v="19"/>
    <x v="2"/>
    <s v="OK"/>
    <x v="0"/>
    <s v="OK"/>
    <x v="0"/>
    <x v="0"/>
    <n v="1"/>
    <n v="0"/>
    <n v="0"/>
    <n v="0"/>
    <x v="0"/>
    <x v="0"/>
    <x v="0"/>
  </r>
  <r>
    <s v="20602677126 "/>
    <x v="58"/>
    <x v="43"/>
    <x v="1595"/>
    <x v="1601"/>
    <x v="1411"/>
    <n v="1"/>
    <x v="106"/>
    <s v="REUBICADO"/>
    <s v="ASENT.H ENRIQUE MILLA OCHOA MZ 123 LT 51"/>
    <x v="49"/>
    <x v="0"/>
    <x v="0"/>
    <x v="0"/>
    <x v="171"/>
    <x v="0"/>
    <n v="1"/>
    <n v="200"/>
    <x v="0"/>
    <x v="1"/>
    <n v="1.8867924528301886E-2"/>
    <x v="19"/>
    <x v="2"/>
    <s v="OK"/>
    <x v="0"/>
    <s v="OK"/>
    <x v="0"/>
    <x v="0"/>
    <n v="1"/>
    <n v="0"/>
    <n v="0"/>
    <n v="0"/>
    <x v="0"/>
    <x v="0"/>
    <x v="0"/>
  </r>
  <r>
    <n v="20482744983"/>
    <x v="21"/>
    <x v="21"/>
    <x v="1596"/>
    <x v="1602"/>
    <x v="1412"/>
    <n v="3"/>
    <x v="264"/>
    <s v="REINSERCION URBANA E14 AL E18"/>
    <s v="CALLE ISLAS BALLESTAS MZ. K LT. 22 URB SANTA CRUZ"/>
    <x v="219"/>
    <x v="0"/>
    <x v="0"/>
    <x v="3"/>
    <x v="554"/>
    <x v="0"/>
    <n v="1"/>
    <n v="240"/>
    <x v="0"/>
    <x v="1"/>
    <n v="1.1111111111111112E-2"/>
    <x v="17"/>
    <x v="2"/>
    <s v="OK"/>
    <x v="0"/>
    <s v="OK"/>
    <x v="0"/>
    <x v="0"/>
    <n v="1"/>
    <n v="0"/>
    <n v="0"/>
    <n v="0"/>
    <x v="0"/>
    <x v="0"/>
    <x v="0"/>
  </r>
  <r>
    <n v="20482744983"/>
    <x v="21"/>
    <x v="21"/>
    <x v="1597"/>
    <x v="1603"/>
    <x v="1404"/>
    <n v="1"/>
    <x v="265"/>
    <s v="REINSERCION URBANA E14 AL E18"/>
    <s v="AV. REDUCTO 1583"/>
    <x v="146"/>
    <x v="0"/>
    <x v="0"/>
    <x v="7"/>
    <x v="129"/>
    <x v="0"/>
    <n v="2"/>
    <n v="240"/>
    <x v="0"/>
    <x v="1"/>
    <n v="1.1111111111111112E-2"/>
    <x v="18"/>
    <x v="2"/>
    <s v="OK"/>
    <x v="0"/>
    <s v="OK"/>
    <x v="0"/>
    <x v="0"/>
    <n v="1"/>
    <n v="0"/>
    <n v="0"/>
    <n v="0"/>
    <x v="0"/>
    <x v="0"/>
    <x v="0"/>
  </r>
  <r>
    <n v="20482744983"/>
    <x v="21"/>
    <x v="21"/>
    <x v="1598"/>
    <x v="1604"/>
    <x v="1413"/>
    <n v="3"/>
    <x v="264"/>
    <s v="REINSERCION URBANA E14 AL E18"/>
    <s v="ANEXO CHUCUSPA"/>
    <x v="245"/>
    <x v="0"/>
    <x v="0"/>
    <x v="1"/>
    <x v="14"/>
    <x v="0"/>
    <n v="1"/>
    <n v="240"/>
    <x v="0"/>
    <x v="1"/>
    <n v="1.1111111111111112E-2"/>
    <x v="19"/>
    <x v="2"/>
    <s v="OK"/>
    <x v="0"/>
    <s v="OK"/>
    <x v="0"/>
    <x v="0"/>
    <n v="1"/>
    <n v="0"/>
    <n v="0"/>
    <n v="0"/>
    <x v="0"/>
    <x v="0"/>
    <x v="0"/>
  </r>
  <r>
    <n v="20482744983"/>
    <x v="21"/>
    <x v="21"/>
    <x v="1599"/>
    <x v="1605"/>
    <x v="1414"/>
    <n v="2"/>
    <x v="266"/>
    <s v="ESTACION 01"/>
    <s v="ASOC. DE POS. Y RES. VILLAS DE ANCON - APREVIA MZ 09 LT 06"/>
    <x v="62"/>
    <x v="0"/>
    <x v="0"/>
    <x v="1"/>
    <x v="125"/>
    <x v="0"/>
    <n v="4"/>
    <n v="240"/>
    <x v="0"/>
    <x v="1"/>
    <n v="1.1111111111111112E-2"/>
    <x v="21"/>
    <x v="2"/>
    <s v="OK"/>
    <x v="0"/>
    <s v="OK"/>
    <x v="0"/>
    <x v="0"/>
    <n v="1"/>
    <n v="0"/>
    <n v="0"/>
    <n v="0"/>
    <x v="0"/>
    <x v="0"/>
    <x v="0"/>
  </r>
  <r>
    <n v="20482744983"/>
    <x v="21"/>
    <x v="21"/>
    <x v="1600"/>
    <x v="1606"/>
    <x v="1415"/>
    <n v="2"/>
    <x v="11"/>
    <s v="ESTACION 01"/>
    <s v="CALLE 2 MZ. LL LT. 22 ASENT. H. VILLA LOS REYES SECTOR 1"/>
    <x v="2"/>
    <x v="0"/>
    <x v="0"/>
    <x v="1"/>
    <x v="125"/>
    <x v="0"/>
    <n v="4"/>
    <n v="240"/>
    <x v="0"/>
    <x v="1"/>
    <n v="1.1111111111111112E-2"/>
    <x v="17"/>
    <x v="2"/>
    <s v="OK"/>
    <x v="2"/>
    <s v="OK"/>
    <x v="0"/>
    <x v="0"/>
    <n v="1"/>
    <n v="1"/>
    <n v="0"/>
    <n v="0"/>
    <x v="0"/>
    <x v="0"/>
    <x v="0"/>
  </r>
  <r>
    <n v="20482744983"/>
    <x v="21"/>
    <x v="21"/>
    <x v="1601"/>
    <x v="1607"/>
    <x v="1416"/>
    <n v="3"/>
    <x v="264"/>
    <s v="REINSERCION URBANA E14 AL E18"/>
    <s v="CASERIO PARTIDOR"/>
    <x v="12"/>
    <x v="0"/>
    <x v="0"/>
    <x v="1"/>
    <x v="125"/>
    <x v="0"/>
    <n v="1"/>
    <n v="240"/>
    <x v="0"/>
    <x v="1"/>
    <n v="1.1111111111111112E-2"/>
    <x v="19"/>
    <x v="2"/>
    <s v="OK"/>
    <x v="0"/>
    <s v="OK"/>
    <x v="0"/>
    <x v="0"/>
    <n v="1"/>
    <n v="0"/>
    <n v="0"/>
    <n v="0"/>
    <x v="0"/>
    <x v="0"/>
    <x v="0"/>
  </r>
  <r>
    <n v="20482744983"/>
    <x v="21"/>
    <x v="21"/>
    <x v="1602"/>
    <x v="1608"/>
    <x v="1417"/>
    <n v="2"/>
    <x v="77"/>
    <s v="ESTACION 06"/>
    <s v="CALLE ATAHUALPA ASOC. LA ENCALADA ETAPA 2DA MZ C LT 01"/>
    <x v="27"/>
    <x v="0"/>
    <x v="0"/>
    <x v="1"/>
    <x v="431"/>
    <x v="0"/>
    <n v="4"/>
    <n v="240"/>
    <x v="0"/>
    <x v="1"/>
    <n v="1.1111111111111112E-2"/>
    <x v="18"/>
    <x v="2"/>
    <s v="OK"/>
    <x v="5"/>
    <s v="OK"/>
    <x v="0"/>
    <x v="0"/>
    <n v="1"/>
    <n v="1"/>
    <n v="0"/>
    <n v="0"/>
    <x v="0"/>
    <x v="0"/>
    <x v="0"/>
  </r>
  <r>
    <n v="20482744983"/>
    <x v="21"/>
    <x v="21"/>
    <x v="1603"/>
    <x v="1609"/>
    <x v="1056"/>
    <n v="1"/>
    <x v="141"/>
    <s v="ESTACION 01"/>
    <s v="PSJ. LURDES 265"/>
    <x v="46"/>
    <x v="0"/>
    <x v="0"/>
    <x v="1"/>
    <x v="431"/>
    <x v="0"/>
    <n v="2"/>
    <n v="240"/>
    <x v="0"/>
    <x v="1"/>
    <n v="1.1111111111111112E-2"/>
    <x v="19"/>
    <x v="2"/>
    <s v="OK"/>
    <x v="7"/>
    <s v="OK"/>
    <x v="0"/>
    <x v="0"/>
    <n v="1"/>
    <n v="1"/>
    <n v="0"/>
    <n v="0"/>
    <x v="0"/>
    <x v="0"/>
    <x v="0"/>
  </r>
  <r>
    <n v="20482744983"/>
    <x v="21"/>
    <x v="21"/>
    <x v="1604"/>
    <x v="1610"/>
    <x v="1078"/>
    <n v="1"/>
    <x v="61"/>
    <s v="ESTACION 06"/>
    <s v="CALLE LOS TUMBOS 09-06 URB. PREVI"/>
    <x v="6"/>
    <x v="0"/>
    <x v="0"/>
    <x v="1"/>
    <x v="148"/>
    <x v="0"/>
    <n v="1"/>
    <n v="240"/>
    <x v="0"/>
    <x v="1"/>
    <n v="1.1111111111111112E-2"/>
    <x v="21"/>
    <x v="2"/>
    <s v="OK"/>
    <x v="2"/>
    <s v="OK"/>
    <x v="0"/>
    <x v="0"/>
    <n v="1"/>
    <n v="1"/>
    <n v="0"/>
    <n v="0"/>
    <x v="0"/>
    <x v="0"/>
    <x v="0"/>
  </r>
  <r>
    <n v="20482744983"/>
    <x v="21"/>
    <x v="21"/>
    <x v="1605"/>
    <x v="1611"/>
    <x v="1418"/>
    <n v="1"/>
    <x v="96"/>
    <s v="ESTACION 06"/>
    <s v="AV UNIVERSITARIA MZ Q LT 14 URB VILLA UNIVERSITARIA"/>
    <x v="49"/>
    <x v="0"/>
    <x v="0"/>
    <x v="1"/>
    <x v="148"/>
    <x v="0"/>
    <n v="1"/>
    <n v="240"/>
    <x v="0"/>
    <x v="1"/>
    <n v="1.1111111111111112E-2"/>
    <x v="18"/>
    <x v="2"/>
    <s v="OK"/>
    <x v="0"/>
    <s v="OK"/>
    <x v="0"/>
    <x v="0"/>
    <n v="1"/>
    <n v="0"/>
    <n v="0"/>
    <n v="0"/>
    <x v="0"/>
    <x v="0"/>
    <x v="0"/>
  </r>
  <r>
    <n v="20482744983"/>
    <x v="21"/>
    <x v="21"/>
    <x v="1606"/>
    <x v="1612"/>
    <x v="1419"/>
    <n v="2"/>
    <x v="67"/>
    <s v="ESTACION 06"/>
    <s v="MZ U 01 LT 10 OASIS II SECT DE PACHACUTEC"/>
    <x v="2"/>
    <x v="0"/>
    <x v="13"/>
    <x v="1"/>
    <x v="148"/>
    <x v="2"/>
    <n v="4"/>
    <n v="72"/>
    <x v="0"/>
    <x v="1"/>
    <n v="1.1111111111111112E-2"/>
    <x v="20"/>
    <x v="2"/>
    <s v="OK"/>
    <x v="2"/>
    <s v="OK"/>
    <x v="0"/>
    <x v="0"/>
    <n v="1"/>
    <n v="1"/>
    <n v="0"/>
    <n v="1"/>
    <x v="0"/>
    <x v="1"/>
    <x v="0"/>
  </r>
  <r>
    <n v="20482744983"/>
    <x v="21"/>
    <x v="21"/>
    <x v="1607"/>
    <x v="1613"/>
    <x v="1420"/>
    <n v="2"/>
    <x v="11"/>
    <s v="ESTACION 06"/>
    <s v="MZ B LT 16 PROG MIRADOR II"/>
    <x v="49"/>
    <x v="0"/>
    <x v="0"/>
    <x v="1"/>
    <x v="148"/>
    <x v="0"/>
    <n v="4"/>
    <n v="240"/>
    <x v="0"/>
    <x v="1"/>
    <n v="1.1111111111111112E-2"/>
    <x v="20"/>
    <x v="2"/>
    <s v="OK"/>
    <x v="0"/>
    <s v="OK"/>
    <x v="0"/>
    <x v="0"/>
    <n v="1"/>
    <n v="0"/>
    <n v="0"/>
    <n v="0"/>
    <x v="0"/>
    <x v="0"/>
    <x v="0"/>
  </r>
  <r>
    <n v="20482744983"/>
    <x v="21"/>
    <x v="21"/>
    <x v="1608"/>
    <x v="1614"/>
    <x v="1124"/>
    <n v="2"/>
    <x v="67"/>
    <s v="ESTACION 02"/>
    <s v="UPI EL MANANTIAL CALLE CANCHARI MZ S LT 06"/>
    <x v="246"/>
    <x v="0"/>
    <x v="0"/>
    <x v="1"/>
    <x v="126"/>
    <x v="0"/>
    <n v="4"/>
    <n v="240"/>
    <x v="0"/>
    <x v="1"/>
    <n v="1.1111111111111112E-2"/>
    <x v="15"/>
    <x v="2"/>
    <s v="OK"/>
    <x v="0"/>
    <s v="OK"/>
    <x v="0"/>
    <x v="0"/>
    <n v="1"/>
    <n v="0"/>
    <n v="0"/>
    <n v="0"/>
    <x v="0"/>
    <x v="0"/>
    <x v="0"/>
  </r>
  <r>
    <n v="20482744983"/>
    <x v="21"/>
    <x v="21"/>
    <x v="1609"/>
    <x v="1615"/>
    <x v="1421"/>
    <n v="2"/>
    <x v="67"/>
    <s v="ESTACION 01"/>
    <s v="MZ Q LT 11 ASENT. H. VILLA LIMATAMBO"/>
    <x v="8"/>
    <x v="0"/>
    <x v="0"/>
    <x v="1"/>
    <x v="239"/>
    <x v="0"/>
    <n v="4"/>
    <n v="240"/>
    <x v="0"/>
    <x v="1"/>
    <n v="1.1111111111111112E-2"/>
    <x v="19"/>
    <x v="2"/>
    <s v="OK"/>
    <x v="0"/>
    <s v="OK"/>
    <x v="0"/>
    <x v="0"/>
    <n v="1"/>
    <n v="0"/>
    <n v="0"/>
    <n v="0"/>
    <x v="0"/>
    <x v="0"/>
    <x v="0"/>
  </r>
  <r>
    <n v="20482744983"/>
    <x v="21"/>
    <x v="21"/>
    <x v="1610"/>
    <x v="1616"/>
    <x v="962"/>
    <n v="2"/>
    <x v="76"/>
    <s v="ESTACION 01"/>
    <s v="CALLE A URB 200 MILLAS MZ N LT 03"/>
    <x v="6"/>
    <x v="0"/>
    <x v="0"/>
    <x v="1"/>
    <x v="239"/>
    <x v="0"/>
    <n v="4"/>
    <n v="240"/>
    <x v="0"/>
    <x v="1"/>
    <n v="1.1111111111111112E-2"/>
    <x v="21"/>
    <x v="2"/>
    <s v="OK"/>
    <x v="2"/>
    <s v="OK"/>
    <x v="0"/>
    <x v="0"/>
    <n v="1"/>
    <n v="1"/>
    <n v="0"/>
    <n v="0"/>
    <x v="0"/>
    <x v="0"/>
    <x v="0"/>
  </r>
  <r>
    <n v="20482744983"/>
    <x v="21"/>
    <x v="21"/>
    <x v="1611"/>
    <x v="1617"/>
    <x v="1422"/>
    <n v="2"/>
    <x v="67"/>
    <s v="ESTACION 01"/>
    <s v="CALLE 9 MZ H LT 06 APV ISRAEL"/>
    <x v="15"/>
    <x v="0"/>
    <x v="0"/>
    <x v="1"/>
    <x v="239"/>
    <x v="0"/>
    <n v="4"/>
    <n v="240"/>
    <x v="0"/>
    <x v="1"/>
    <n v="1.1111111111111112E-2"/>
    <x v="17"/>
    <x v="2"/>
    <s v="OK"/>
    <x v="0"/>
    <s v="OK"/>
    <x v="0"/>
    <x v="0"/>
    <n v="1"/>
    <n v="0"/>
    <n v="0"/>
    <n v="0"/>
    <x v="0"/>
    <x v="0"/>
    <x v="0"/>
  </r>
  <r>
    <n v="20482744983"/>
    <x v="21"/>
    <x v="21"/>
    <x v="1612"/>
    <x v="1618"/>
    <x v="1423"/>
    <n v="2"/>
    <x v="67"/>
    <s v="ESTACION 01"/>
    <s v="ASET. H ESFUERZOS UNIDOS ZN JCM MZ M LT 3"/>
    <x v="8"/>
    <x v="0"/>
    <x v="0"/>
    <x v="1"/>
    <x v="239"/>
    <x v="0"/>
    <n v="4"/>
    <n v="240"/>
    <x v="0"/>
    <x v="1"/>
    <n v="1.1111111111111112E-2"/>
    <x v="16"/>
    <x v="2"/>
    <s v="OK"/>
    <x v="0"/>
    <s v="OK"/>
    <x v="0"/>
    <x v="0"/>
    <n v="1"/>
    <n v="0"/>
    <n v="0"/>
    <n v="0"/>
    <x v="0"/>
    <x v="0"/>
    <x v="0"/>
  </r>
  <r>
    <n v="20482744983"/>
    <x v="21"/>
    <x v="21"/>
    <x v="1613"/>
    <x v="1619"/>
    <x v="1424"/>
    <n v="1"/>
    <x v="267"/>
    <s v="REINSERCION URBANA E14 AL E18"/>
    <s v="MZ RR LT 18 SNA CARLOS"/>
    <x v="15"/>
    <x v="0"/>
    <x v="0"/>
    <x v="1"/>
    <x v="27"/>
    <x v="0"/>
    <n v="4"/>
    <n v="240"/>
    <x v="0"/>
    <x v="1"/>
    <n v="1.1111111111111112E-2"/>
    <x v="22"/>
    <x v="2"/>
    <s v="OK"/>
    <x v="0"/>
    <s v="OK"/>
    <x v="0"/>
    <x v="0"/>
    <n v="1"/>
    <n v="0"/>
    <n v="0"/>
    <n v="0"/>
    <x v="0"/>
    <x v="0"/>
    <x v="0"/>
  </r>
  <r>
    <n v="20482744983"/>
    <x v="21"/>
    <x v="21"/>
    <x v="1614"/>
    <x v="1620"/>
    <x v="1110"/>
    <n v="2"/>
    <x v="268"/>
    <s v="REINSERCION URBANA E14 AL E18"/>
    <s v="JR JR PANTANOS BLOCK 1 CIUDAD PANTANOS"/>
    <x v="211"/>
    <x v="0"/>
    <x v="0"/>
    <x v="1"/>
    <x v="187"/>
    <x v="0"/>
    <n v="4"/>
    <n v="208"/>
    <x v="0"/>
    <x v="1"/>
    <n v="1.1111111111111112E-2"/>
    <x v="16"/>
    <x v="2"/>
    <s v="OK"/>
    <x v="0"/>
    <s v="OK"/>
    <x v="0"/>
    <x v="0"/>
    <n v="1"/>
    <n v="0"/>
    <n v="1"/>
    <n v="0"/>
    <x v="0"/>
    <x v="0"/>
    <x v="1"/>
  </r>
  <r>
    <n v="20482744983"/>
    <x v="21"/>
    <x v="21"/>
    <x v="1615"/>
    <x v="1621"/>
    <x v="1088"/>
    <n v="2"/>
    <x v="11"/>
    <s v="REINSERCION URBANA E14 AL E18"/>
    <s v="MZ F LT 33 ASENT H RAMON CASTILLA"/>
    <x v="6"/>
    <x v="0"/>
    <x v="0"/>
    <x v="1"/>
    <x v="187"/>
    <x v="0"/>
    <n v="4"/>
    <n v="208"/>
    <x v="0"/>
    <x v="1"/>
    <n v="1.1111111111111112E-2"/>
    <x v="15"/>
    <x v="2"/>
    <s v="OK"/>
    <x v="2"/>
    <s v="OK"/>
    <x v="0"/>
    <x v="0"/>
    <n v="1"/>
    <n v="1"/>
    <n v="1"/>
    <n v="0"/>
    <x v="0"/>
    <x v="0"/>
    <x v="1"/>
  </r>
  <r>
    <n v="20482744983"/>
    <x v="21"/>
    <x v="21"/>
    <x v="1616"/>
    <x v="1622"/>
    <x v="1425"/>
    <n v="2"/>
    <x v="11"/>
    <s v="REINSERCION URBANA E14 AL E18"/>
    <s v="PSJ CAPAC YUPANQUI ANEXO 22 CC JICAMARCA SECTOR EL CERCADO MZ A LT 4 SUB E"/>
    <x v="95"/>
    <x v="0"/>
    <x v="0"/>
    <x v="1"/>
    <x v="37"/>
    <x v="0"/>
    <n v="4"/>
    <n v="152"/>
    <x v="0"/>
    <x v="1"/>
    <n v="1.1111111111111112E-2"/>
    <x v="18"/>
    <x v="2"/>
    <s v="OK"/>
    <x v="0"/>
    <s v="OK"/>
    <x v="0"/>
    <x v="0"/>
    <n v="1"/>
    <n v="0"/>
    <n v="1"/>
    <n v="0"/>
    <x v="0"/>
    <x v="0"/>
    <x v="1"/>
  </r>
  <r>
    <n v="20482744983"/>
    <x v="21"/>
    <x v="21"/>
    <x v="1617"/>
    <x v="1623"/>
    <x v="1426"/>
    <n v="2"/>
    <x v="268"/>
    <s v="REINSERCION URBANA E14 AL E18"/>
    <s v="BARRIO 6 MZ A LT 12"/>
    <x v="247"/>
    <x v="0"/>
    <x v="0"/>
    <x v="1"/>
    <x v="4"/>
    <x v="0"/>
    <n v="4"/>
    <n v="224"/>
    <x v="0"/>
    <x v="1"/>
    <n v="1.1111111111111112E-2"/>
    <x v="16"/>
    <x v="2"/>
    <s v="OK"/>
    <x v="0"/>
    <s v="OK"/>
    <x v="0"/>
    <x v="0"/>
    <n v="1"/>
    <n v="0"/>
    <n v="1"/>
    <n v="0"/>
    <x v="0"/>
    <x v="0"/>
    <x v="1"/>
  </r>
  <r>
    <n v="20482744983"/>
    <x v="21"/>
    <x v="21"/>
    <x v="1618"/>
    <x v="1624"/>
    <x v="1427"/>
    <n v="1"/>
    <x v="7"/>
    <s v="REINSERCION URBANA E14 AL E18"/>
    <s v="PLAZA PRINCIPAL S/N PBLO. HUACHON"/>
    <x v="248"/>
    <x v="0"/>
    <x v="0"/>
    <x v="1"/>
    <x v="146"/>
    <x v="0"/>
    <n v="1"/>
    <n v="240"/>
    <x v="0"/>
    <x v="1"/>
    <n v="1.1111111111111112E-2"/>
    <x v="16"/>
    <x v="2"/>
    <s v="OK"/>
    <x v="0"/>
    <s v="OK"/>
    <x v="0"/>
    <x v="0"/>
    <n v="1"/>
    <n v="0"/>
    <n v="1"/>
    <n v="0"/>
    <x v="0"/>
    <x v="0"/>
    <x v="1"/>
  </r>
  <r>
    <n v="10461189909"/>
    <x v="59"/>
    <x v="21"/>
    <x v="1619"/>
    <x v="1625"/>
    <x v="947"/>
    <n v="1"/>
    <x v="96"/>
    <s v="REINSERCION URBANA E14 AL E18"/>
    <s v="SECTOR WICHANZAO 2 MZ 45 LT 10"/>
    <x v="218"/>
    <x v="0"/>
    <x v="0"/>
    <x v="1"/>
    <x v="100"/>
    <x v="0"/>
    <n v="1"/>
    <n v="200"/>
    <x v="0"/>
    <x v="0"/>
    <n v="1.1111111111111112E-2"/>
    <x v="20"/>
    <x v="2"/>
    <s v="OK"/>
    <x v="0"/>
    <s v="OK"/>
    <x v="0"/>
    <x v="0"/>
    <n v="1"/>
    <n v="0"/>
    <n v="1"/>
    <n v="0"/>
    <x v="0"/>
    <x v="0"/>
    <x v="1"/>
  </r>
  <r>
    <n v="20482744983"/>
    <x v="21"/>
    <x v="21"/>
    <x v="1620"/>
    <x v="1626"/>
    <x v="1428"/>
    <n v="2"/>
    <x v="142"/>
    <s v="ESTACION 01"/>
    <s v="C.P.M. PACAYZAPA"/>
    <x v="249"/>
    <x v="0"/>
    <x v="0"/>
    <x v="1"/>
    <x v="204"/>
    <x v="0"/>
    <n v="4"/>
    <n v="192"/>
    <x v="0"/>
    <x v="1"/>
    <n v="1.1111111111111112E-2"/>
    <x v="19"/>
    <x v="2"/>
    <s v="OK"/>
    <x v="0"/>
    <s v="OK"/>
    <x v="0"/>
    <x v="0"/>
    <n v="1"/>
    <n v="0"/>
    <n v="1"/>
    <n v="0"/>
    <x v="0"/>
    <x v="0"/>
    <x v="1"/>
  </r>
  <r>
    <n v="20482744983"/>
    <x v="21"/>
    <x v="21"/>
    <x v="1621"/>
    <x v="1627"/>
    <x v="1429"/>
    <n v="3"/>
    <x v="264"/>
    <s v="REINSERCION URBANA E14 AL E18"/>
    <s v="CALLE B MZ Q LT 11 P.JOVEN NESTOR GAMBETA BAJA OESTE"/>
    <x v="6"/>
    <x v="0"/>
    <x v="0"/>
    <x v="1"/>
    <x v="187"/>
    <x v="0"/>
    <n v="1"/>
    <n v="208"/>
    <x v="0"/>
    <x v="1"/>
    <n v="1.1111111111111112E-2"/>
    <x v="21"/>
    <x v="2"/>
    <s v="OK"/>
    <x v="2"/>
    <s v="OK"/>
    <x v="0"/>
    <x v="0"/>
    <n v="1"/>
    <n v="1"/>
    <n v="1"/>
    <n v="0"/>
    <x v="0"/>
    <x v="0"/>
    <x v="1"/>
  </r>
  <r>
    <n v="20482744983"/>
    <x v="21"/>
    <x v="21"/>
    <x v="1622"/>
    <x v="1628"/>
    <x v="1430"/>
    <n v="3"/>
    <x v="269"/>
    <s v="REINSERCION URBANA E14 AL E18"/>
    <s v="AV. C MZ. H. LT. 9 VENTANILLA ALTA"/>
    <x v="2"/>
    <x v="0"/>
    <x v="0"/>
    <x v="1"/>
    <x v="100"/>
    <x v="0"/>
    <n v="1"/>
    <n v="200"/>
    <x v="0"/>
    <x v="1"/>
    <n v="1.1111111111111112E-2"/>
    <x v="14"/>
    <x v="2"/>
    <s v="OK"/>
    <x v="2"/>
    <s v="OK"/>
    <x v="0"/>
    <x v="0"/>
    <n v="1"/>
    <n v="1"/>
    <n v="1"/>
    <n v="0"/>
    <x v="0"/>
    <x v="0"/>
    <x v="1"/>
  </r>
  <r>
    <n v="20482744983"/>
    <x v="21"/>
    <x v="21"/>
    <x v="1623"/>
    <x v="1629"/>
    <x v="986"/>
    <n v="1"/>
    <x v="148"/>
    <s v="ESTACION 02"/>
    <s v="BEJAR 616 URB STA LUZMILA ETAPA II"/>
    <x v="0"/>
    <x v="1"/>
    <x v="0"/>
    <x v="1"/>
    <x v="4"/>
    <x v="0"/>
    <n v="1"/>
    <n v="224"/>
    <x v="0"/>
    <x v="1"/>
    <n v="1.1111111111111112E-2"/>
    <x v="18"/>
    <x v="2"/>
    <s v="OK"/>
    <x v="0"/>
    <s v="OK"/>
    <x v="0"/>
    <x v="0"/>
    <n v="1"/>
    <n v="0"/>
    <n v="1"/>
    <n v="0"/>
    <x v="0"/>
    <x v="0"/>
    <x v="1"/>
  </r>
  <r>
    <n v="10461189909"/>
    <x v="59"/>
    <x v="21"/>
    <x v="1624"/>
    <x v="1630"/>
    <x v="1431"/>
    <n v="1"/>
    <x v="144"/>
    <s v="REINSERCION URBANA E14 AL E18"/>
    <s v="CALLE UNION MZ A LT 09 SAN ANTONIO ALTO"/>
    <x v="50"/>
    <x v="0"/>
    <x v="0"/>
    <x v="1"/>
    <x v="100"/>
    <x v="0"/>
    <n v="1"/>
    <n v="200"/>
    <x v="0"/>
    <x v="0"/>
    <n v="1.1111111111111112E-2"/>
    <x v="15"/>
    <x v="2"/>
    <s v="OK"/>
    <x v="0"/>
    <s v="OK"/>
    <x v="0"/>
    <x v="0"/>
    <n v="1"/>
    <n v="0"/>
    <n v="1"/>
    <n v="0"/>
    <x v="0"/>
    <x v="0"/>
    <x v="1"/>
  </r>
  <r>
    <n v="20482744983"/>
    <x v="21"/>
    <x v="21"/>
    <x v="1625"/>
    <x v="1631"/>
    <x v="1417"/>
    <n v="2"/>
    <x v="77"/>
    <s v="ESTACION 01"/>
    <s v="JR. DUARTE 168 SECTOR 09"/>
    <x v="80"/>
    <x v="0"/>
    <x v="0"/>
    <x v="1"/>
    <x v="100"/>
    <x v="0"/>
    <n v="4"/>
    <n v="200"/>
    <x v="0"/>
    <x v="1"/>
    <n v="1.1111111111111112E-2"/>
    <x v="18"/>
    <x v="2"/>
    <s v="OK"/>
    <x v="0"/>
    <s v="OK"/>
    <x v="0"/>
    <x v="0"/>
    <n v="1"/>
    <n v="0"/>
    <n v="1"/>
    <n v="0"/>
    <x v="0"/>
    <x v="0"/>
    <x v="1"/>
  </r>
  <r>
    <n v="20482744983"/>
    <x v="21"/>
    <x v="21"/>
    <x v="1626"/>
    <x v="1632"/>
    <x v="1432"/>
    <n v="2"/>
    <x v="142"/>
    <s v="ESTACION 02"/>
    <s v="CALLE YURIMAGUAS MZ 31 LT 03"/>
    <x v="123"/>
    <x v="0"/>
    <x v="0"/>
    <x v="1"/>
    <x v="29"/>
    <x v="0"/>
    <n v="4"/>
    <n v="168"/>
    <x v="0"/>
    <x v="1"/>
    <n v="1.1111111111111112E-2"/>
    <x v="21"/>
    <x v="2"/>
    <s v="OK"/>
    <x v="0"/>
    <s v="OK"/>
    <x v="0"/>
    <x v="0"/>
    <n v="1"/>
    <n v="0"/>
    <n v="1"/>
    <n v="0"/>
    <x v="0"/>
    <x v="0"/>
    <x v="1"/>
  </r>
  <r>
    <n v="20482744983"/>
    <x v="21"/>
    <x v="21"/>
    <x v="1627"/>
    <x v="1633"/>
    <x v="1433"/>
    <n v="2"/>
    <x v="270"/>
    <s v="REINSERCION URBANA E14 AL E18"/>
    <s v="COOPERATIVA LOS GERANIOS MZ 11"/>
    <x v="27"/>
    <x v="0"/>
    <x v="0"/>
    <x v="3"/>
    <x v="103"/>
    <x v="0"/>
    <n v="4"/>
    <n v="112"/>
    <x v="0"/>
    <x v="1"/>
    <n v="1.1111111111111112E-2"/>
    <x v="21"/>
    <x v="2"/>
    <s v="OK"/>
    <x v="5"/>
    <s v="OK"/>
    <x v="0"/>
    <x v="0"/>
    <n v="1"/>
    <n v="1"/>
    <n v="1"/>
    <n v="0"/>
    <x v="0"/>
    <x v="0"/>
    <x v="1"/>
  </r>
  <r>
    <n v="20101155588"/>
    <x v="22"/>
    <x v="22"/>
    <x v="1628"/>
    <x v="1634"/>
    <x v="1434"/>
    <n v="1"/>
    <x v="271"/>
    <s v="PATIO TALLER SANTA ANITA"/>
    <s v="Urb. Santa Rosita Mzh Lote 14"/>
    <x v="34"/>
    <x v="1"/>
    <x v="9"/>
    <x v="1"/>
    <x v="555"/>
    <x v="0"/>
    <n v="1"/>
    <n v="312"/>
    <x v="1"/>
    <x v="1"/>
    <n v="3.134796238244514E-3"/>
    <x v="22"/>
    <x v="2"/>
    <s v="OK"/>
    <x v="1"/>
    <s v="OK"/>
    <x v="0"/>
    <x v="0"/>
    <n v="1"/>
    <n v="1"/>
    <n v="0"/>
    <n v="0"/>
    <x v="0"/>
    <x v="0"/>
    <x v="0"/>
  </r>
  <r>
    <n v="20101155588"/>
    <x v="22"/>
    <x v="22"/>
    <x v="1629"/>
    <x v="1635"/>
    <x v="1435"/>
    <n v="1"/>
    <x v="84"/>
    <s v="PATIO TALLER SANTA ANITA"/>
    <s v="AV. LOS EUCALIPTOS "/>
    <x v="27"/>
    <x v="0"/>
    <x v="9"/>
    <x v="1"/>
    <x v="556"/>
    <x v="0"/>
    <n v="1"/>
    <n v="312"/>
    <x v="1"/>
    <x v="1"/>
    <n v="3.134796238244514E-3"/>
    <x v="20"/>
    <x v="2"/>
    <s v="OK"/>
    <x v="5"/>
    <s v="OK"/>
    <x v="0"/>
    <x v="0"/>
    <n v="1"/>
    <n v="1"/>
    <n v="0"/>
    <n v="0"/>
    <x v="0"/>
    <x v="0"/>
    <x v="0"/>
  </r>
  <r>
    <n v="20101155588"/>
    <x v="22"/>
    <x v="22"/>
    <x v="1630"/>
    <x v="1636"/>
    <x v="1436"/>
    <n v="1"/>
    <x v="84"/>
    <s v="PATIO TALLER SANTA ANITA"/>
    <s v="BAYOVAR"/>
    <x v="15"/>
    <x v="0"/>
    <x v="12"/>
    <x v="1"/>
    <x v="557"/>
    <x v="0"/>
    <n v="1"/>
    <n v="216"/>
    <x v="1"/>
    <x v="1"/>
    <n v="3.134796238244514E-3"/>
    <x v="17"/>
    <x v="2"/>
    <s v="OK"/>
    <x v="0"/>
    <s v="OK"/>
    <x v="0"/>
    <x v="0"/>
    <n v="1"/>
    <n v="0"/>
    <n v="0"/>
    <n v="1"/>
    <x v="0"/>
    <x v="1"/>
    <x v="0"/>
  </r>
  <r>
    <n v="20101155588"/>
    <x v="22"/>
    <x v="22"/>
    <x v="1631"/>
    <x v="1637"/>
    <x v="1437"/>
    <n v="1"/>
    <x v="32"/>
    <s v="ESTACION 09A"/>
    <s v="AAHH 20 DE ENERO MZ O LT 6"/>
    <x v="15"/>
    <x v="0"/>
    <x v="9"/>
    <x v="1"/>
    <x v="307"/>
    <x v="0"/>
    <n v="1"/>
    <n v="312"/>
    <x v="1"/>
    <x v="1"/>
    <n v="3.134796238244514E-3"/>
    <x v="21"/>
    <x v="2"/>
    <s v="OK"/>
    <x v="0"/>
    <s v="OK"/>
    <x v="0"/>
    <x v="0"/>
    <n v="1"/>
    <n v="0"/>
    <n v="0"/>
    <n v="0"/>
    <x v="0"/>
    <x v="0"/>
    <x v="0"/>
  </r>
  <r>
    <n v="20101155588"/>
    <x v="22"/>
    <x v="22"/>
    <x v="1632"/>
    <x v="1638"/>
    <x v="1438"/>
    <n v="1"/>
    <x v="32"/>
    <s v="POZO 09"/>
    <s v="CALLE CANAMELARES 120"/>
    <x v="28"/>
    <x v="0"/>
    <x v="0"/>
    <x v="1"/>
    <x v="82"/>
    <x v="0"/>
    <n v="1"/>
    <n v="312"/>
    <x v="1"/>
    <x v="1"/>
    <n v="3.134796238244514E-3"/>
    <x v="19"/>
    <x v="2"/>
    <s v="OK"/>
    <x v="0"/>
    <s v="OK"/>
    <x v="0"/>
    <x v="0"/>
    <n v="1"/>
    <n v="0"/>
    <n v="0"/>
    <n v="0"/>
    <x v="0"/>
    <x v="0"/>
    <x v="0"/>
  </r>
  <r>
    <n v="20101155588"/>
    <x v="22"/>
    <x v="22"/>
    <x v="1633"/>
    <x v="1639"/>
    <x v="1439"/>
    <n v="1"/>
    <x v="84"/>
    <s v="PATIO TALLER SANTA ANITA"/>
    <s v="AAHH SOL Y PROGRESO "/>
    <x v="250"/>
    <x v="1"/>
    <x v="0"/>
    <x v="1"/>
    <x v="516"/>
    <x v="0"/>
    <n v="1"/>
    <n v="312"/>
    <x v="1"/>
    <x v="1"/>
    <n v="3.134796238244514E-3"/>
    <x v="14"/>
    <x v="2"/>
    <s v="OK"/>
    <x v="0"/>
    <s v="OK"/>
    <x v="0"/>
    <x v="0"/>
    <n v="1"/>
    <n v="0"/>
    <n v="0"/>
    <n v="0"/>
    <x v="0"/>
    <x v="0"/>
    <x v="0"/>
  </r>
  <r>
    <n v="20101155588"/>
    <x v="22"/>
    <x v="22"/>
    <x v="1634"/>
    <x v="1640"/>
    <x v="1440"/>
    <n v="1"/>
    <x v="32"/>
    <s v="ESTACION 11 C"/>
    <s v="AV. GRAN CHIMU"/>
    <x v="15"/>
    <x v="0"/>
    <x v="9"/>
    <x v="1"/>
    <x v="221"/>
    <x v="0"/>
    <n v="1"/>
    <n v="312"/>
    <x v="1"/>
    <x v="1"/>
    <n v="3.134796238244514E-3"/>
    <x v="17"/>
    <x v="2"/>
    <s v="OK"/>
    <x v="0"/>
    <s v="OK"/>
    <x v="0"/>
    <x v="0"/>
    <n v="1"/>
    <n v="0"/>
    <n v="0"/>
    <n v="0"/>
    <x v="0"/>
    <x v="0"/>
    <x v="0"/>
  </r>
  <r>
    <n v="20101155588"/>
    <x v="22"/>
    <x v="22"/>
    <x v="1635"/>
    <x v="1641"/>
    <x v="1441"/>
    <n v="1"/>
    <x v="32"/>
    <s v="ESTACION 16 F"/>
    <s v="AV. SANTA MARÍA"/>
    <x v="15"/>
    <x v="0"/>
    <x v="9"/>
    <x v="1"/>
    <x v="365"/>
    <x v="0"/>
    <n v="1"/>
    <n v="312"/>
    <x v="1"/>
    <x v="1"/>
    <n v="3.134796238244514E-3"/>
    <x v="21"/>
    <x v="2"/>
    <s v="OK"/>
    <x v="0"/>
    <s v="OK"/>
    <x v="0"/>
    <x v="0"/>
    <n v="1"/>
    <n v="0"/>
    <n v="0"/>
    <n v="0"/>
    <x v="0"/>
    <x v="0"/>
    <x v="0"/>
  </r>
  <r>
    <n v="20101155588"/>
    <x v="22"/>
    <x v="22"/>
    <x v="1636"/>
    <x v="1642"/>
    <x v="1277"/>
    <n v="1"/>
    <x v="32"/>
    <s v="ESTACION 10 A"/>
    <s v="AV. CENTRAL "/>
    <x v="49"/>
    <x v="0"/>
    <x v="9"/>
    <x v="1"/>
    <x v="351"/>
    <x v="0"/>
    <n v="1"/>
    <n v="312"/>
    <x v="1"/>
    <x v="1"/>
    <n v="3.134796238244514E-3"/>
    <x v="19"/>
    <x v="2"/>
    <s v="OK"/>
    <x v="0"/>
    <s v="OK"/>
    <x v="0"/>
    <x v="0"/>
    <n v="1"/>
    <n v="0"/>
    <n v="0"/>
    <n v="0"/>
    <x v="0"/>
    <x v="0"/>
    <x v="0"/>
  </r>
  <r>
    <n v="20101155588"/>
    <x v="22"/>
    <x v="22"/>
    <x v="1637"/>
    <x v="1643"/>
    <x v="1047"/>
    <n v="1"/>
    <x v="32"/>
    <s v="ESTACION 12 A"/>
    <s v="AV. RETABLO"/>
    <x v="0"/>
    <x v="0"/>
    <x v="9"/>
    <x v="1"/>
    <x v="156"/>
    <x v="0"/>
    <n v="1"/>
    <n v="312"/>
    <x v="1"/>
    <x v="1"/>
    <n v="3.134796238244514E-3"/>
    <x v="19"/>
    <x v="2"/>
    <s v="OK"/>
    <x v="0"/>
    <s v="OK"/>
    <x v="0"/>
    <x v="0"/>
    <n v="1"/>
    <n v="0"/>
    <n v="0"/>
    <n v="0"/>
    <x v="0"/>
    <x v="0"/>
    <x v="0"/>
  </r>
  <r>
    <n v="20101155588"/>
    <x v="22"/>
    <x v="22"/>
    <x v="1638"/>
    <x v="1644"/>
    <x v="1063"/>
    <n v="1"/>
    <x v="32"/>
    <s v="ESTACION 16 A"/>
    <s v="Av. 28 de Julio"/>
    <x v="10"/>
    <x v="0"/>
    <x v="9"/>
    <x v="1"/>
    <x v="69"/>
    <x v="0"/>
    <n v="1"/>
    <n v="312"/>
    <x v="1"/>
    <x v="1"/>
    <n v="3.134796238244514E-3"/>
    <x v="18"/>
    <x v="2"/>
    <s v="OK"/>
    <x v="0"/>
    <s v="OK"/>
    <x v="0"/>
    <x v="0"/>
    <n v="1"/>
    <n v="0"/>
    <n v="0"/>
    <n v="0"/>
    <x v="0"/>
    <x v="0"/>
    <x v="0"/>
  </r>
  <r>
    <n v="20101155588"/>
    <x v="22"/>
    <x v="22"/>
    <x v="1639"/>
    <x v="1645"/>
    <x v="1442"/>
    <n v="1"/>
    <x v="32"/>
    <s v="PATIO TALLER SANTA ANITA"/>
    <s v="AV NICLOAS AYLLON 2519"/>
    <x v="251"/>
    <x v="0"/>
    <x v="9"/>
    <x v="1"/>
    <x v="558"/>
    <x v="0"/>
    <n v="1"/>
    <n v="312"/>
    <x v="1"/>
    <x v="1"/>
    <n v="3.134796238244514E-3"/>
    <x v="20"/>
    <x v="2"/>
    <s v="OK"/>
    <x v="1"/>
    <s v="OK"/>
    <x v="0"/>
    <x v="0"/>
    <n v="1"/>
    <n v="1"/>
    <n v="0"/>
    <n v="0"/>
    <x v="0"/>
    <x v="0"/>
    <x v="0"/>
  </r>
  <r>
    <n v="20101155588"/>
    <x v="22"/>
    <x v="22"/>
    <x v="1640"/>
    <x v="1646"/>
    <x v="1443"/>
    <n v="1"/>
    <x v="32"/>
    <s v="PATIO TALLER SANTA ANITA"/>
    <s v="JR SIMON BOLIVAR S/N"/>
    <x v="6"/>
    <x v="0"/>
    <x v="9"/>
    <x v="1"/>
    <x v="559"/>
    <x v="0"/>
    <n v="1"/>
    <n v="312"/>
    <x v="1"/>
    <x v="1"/>
    <n v="3.134796238244514E-3"/>
    <x v="22"/>
    <x v="2"/>
    <s v="OK"/>
    <x v="2"/>
    <s v="OK"/>
    <x v="0"/>
    <x v="0"/>
    <n v="1"/>
    <n v="1"/>
    <n v="0"/>
    <n v="0"/>
    <x v="0"/>
    <x v="0"/>
    <x v="0"/>
  </r>
  <r>
    <n v="20101155588"/>
    <x v="22"/>
    <x v="22"/>
    <x v="1641"/>
    <x v="1647"/>
    <x v="1444"/>
    <n v="1"/>
    <x v="149"/>
    <s v="PATIO TALLER SANTA ANITA"/>
    <s v="URB. LAS VIOLETAS "/>
    <x v="44"/>
    <x v="0"/>
    <x v="9"/>
    <x v="1"/>
    <x v="560"/>
    <x v="0"/>
    <n v="1"/>
    <n v="312"/>
    <x v="1"/>
    <x v="1"/>
    <n v="3.134796238244514E-3"/>
    <x v="20"/>
    <x v="2"/>
    <s v="OK"/>
    <x v="0"/>
    <s v="OK"/>
    <x v="0"/>
    <x v="0"/>
    <n v="1"/>
    <n v="0"/>
    <n v="0"/>
    <n v="0"/>
    <x v="0"/>
    <x v="0"/>
    <x v="0"/>
  </r>
  <r>
    <n v="20101155588"/>
    <x v="22"/>
    <x v="22"/>
    <x v="1642"/>
    <x v="1648"/>
    <x v="1445"/>
    <n v="1"/>
    <x v="32"/>
    <s v="POZO 18"/>
    <s v="JR. SAN MARTIN 930"/>
    <x v="46"/>
    <x v="0"/>
    <x v="9"/>
    <x v="1"/>
    <x v="220"/>
    <x v="0"/>
    <n v="1"/>
    <n v="312"/>
    <x v="1"/>
    <x v="1"/>
    <n v="3.134796238244514E-3"/>
    <x v="18"/>
    <x v="2"/>
    <s v="OK"/>
    <x v="7"/>
    <s v="OK"/>
    <x v="0"/>
    <x v="0"/>
    <n v="1"/>
    <n v="1"/>
    <n v="0"/>
    <n v="0"/>
    <x v="0"/>
    <x v="0"/>
    <x v="0"/>
  </r>
  <r>
    <n v="20101155588"/>
    <x v="22"/>
    <x v="22"/>
    <x v="1643"/>
    <x v="1649"/>
    <x v="1446"/>
    <n v="1"/>
    <x v="32"/>
    <s v="ESTACION 10 B"/>
    <s v="SAN LORENZO "/>
    <x v="158"/>
    <x v="0"/>
    <x v="9"/>
    <x v="1"/>
    <x v="561"/>
    <x v="0"/>
    <n v="1"/>
    <n v="312"/>
    <x v="1"/>
    <x v="1"/>
    <n v="3.134796238244514E-3"/>
    <x v="21"/>
    <x v="2"/>
    <s v="OK"/>
    <x v="3"/>
    <s v="OK"/>
    <x v="0"/>
    <x v="0"/>
    <n v="1"/>
    <n v="1"/>
    <n v="0"/>
    <n v="0"/>
    <x v="0"/>
    <x v="0"/>
    <x v="0"/>
  </r>
  <r>
    <n v="20101155588"/>
    <x v="22"/>
    <x v="22"/>
    <x v="1644"/>
    <x v="1650"/>
    <x v="1447"/>
    <n v="1"/>
    <x v="32"/>
    <s v="ESTACION 26 NORTE"/>
    <s v="AV. LAS FLORES "/>
    <x v="119"/>
    <x v="0"/>
    <x v="9"/>
    <x v="1"/>
    <x v="562"/>
    <x v="0"/>
    <n v="1"/>
    <n v="312"/>
    <x v="1"/>
    <x v="1"/>
    <n v="3.134796238244514E-3"/>
    <x v="18"/>
    <x v="2"/>
    <s v="OK"/>
    <x v="0"/>
    <s v="OK"/>
    <x v="0"/>
    <x v="0"/>
    <n v="1"/>
    <n v="0"/>
    <n v="0"/>
    <n v="0"/>
    <x v="0"/>
    <x v="0"/>
    <x v="0"/>
  </r>
  <r>
    <n v="20101155588"/>
    <x v="22"/>
    <x v="22"/>
    <x v="1645"/>
    <x v="1651"/>
    <x v="1410"/>
    <n v="1"/>
    <x v="32"/>
    <s v="DESCANSERO POZO 15 / ESTACION 18"/>
    <s v="CALLE RAMON SAVAL 1034 INT.200 URB.MORERAS"/>
    <x v="6"/>
    <x v="0"/>
    <x v="9"/>
    <x v="1"/>
    <x v="563"/>
    <x v="0"/>
    <n v="1"/>
    <n v="312"/>
    <x v="1"/>
    <x v="1"/>
    <n v="3.134796238244514E-3"/>
    <x v="19"/>
    <x v="2"/>
    <s v="OK"/>
    <x v="2"/>
    <s v="OK"/>
    <x v="0"/>
    <x v="0"/>
    <n v="1"/>
    <n v="1"/>
    <n v="0"/>
    <n v="0"/>
    <x v="0"/>
    <x v="0"/>
    <x v="0"/>
  </r>
  <r>
    <n v="20101155588"/>
    <x v="22"/>
    <x v="22"/>
    <x v="1646"/>
    <x v="1652"/>
    <x v="1448"/>
    <n v="1"/>
    <x v="32"/>
    <s v="ESTACION 12 B"/>
    <s v="AV. MICAELA BASTIDAS "/>
    <x v="44"/>
    <x v="0"/>
    <x v="9"/>
    <x v="1"/>
    <x v="117"/>
    <x v="0"/>
    <n v="1"/>
    <n v="312"/>
    <x v="1"/>
    <x v="1"/>
    <n v="3.134796238244514E-3"/>
    <x v="18"/>
    <x v="2"/>
    <s v="OK"/>
    <x v="0"/>
    <s v="OK"/>
    <x v="0"/>
    <x v="0"/>
    <n v="1"/>
    <n v="0"/>
    <n v="0"/>
    <n v="0"/>
    <x v="0"/>
    <x v="0"/>
    <x v="0"/>
  </r>
  <r>
    <n v="20101155588"/>
    <x v="22"/>
    <x v="22"/>
    <x v="1647"/>
    <x v="1653"/>
    <x v="1449"/>
    <n v="1"/>
    <x v="32"/>
    <s v="ESTACION 15 A"/>
    <s v="MZ.10 A2 LT. 17 3era   ZONA BAYOBAR"/>
    <x v="15"/>
    <x v="0"/>
    <x v="9"/>
    <x v="1"/>
    <x v="564"/>
    <x v="0"/>
    <n v="1"/>
    <n v="312"/>
    <x v="1"/>
    <x v="1"/>
    <n v="3.134796238244514E-3"/>
    <x v="17"/>
    <x v="2"/>
    <s v="OK"/>
    <x v="0"/>
    <s v="OK"/>
    <x v="0"/>
    <x v="0"/>
    <n v="1"/>
    <n v="0"/>
    <n v="0"/>
    <n v="0"/>
    <x v="0"/>
    <x v="0"/>
    <x v="0"/>
  </r>
  <r>
    <n v="20101155588"/>
    <x v="22"/>
    <x v="22"/>
    <x v="1648"/>
    <x v="1654"/>
    <x v="1450"/>
    <n v="1"/>
    <x v="32"/>
    <s v="ESTACION 12 B"/>
    <s v="MZ D LT 02 RESIDENCIAL HUANCAYO . "/>
    <x v="46"/>
    <x v="0"/>
    <x v="9"/>
    <x v="1"/>
    <x v="565"/>
    <x v="0"/>
    <n v="1"/>
    <n v="312"/>
    <x v="1"/>
    <x v="1"/>
    <n v="3.134796238244514E-3"/>
    <x v="14"/>
    <x v="2"/>
    <s v="OK"/>
    <x v="7"/>
    <s v="OK"/>
    <x v="0"/>
    <x v="0"/>
    <n v="1"/>
    <n v="1"/>
    <n v="0"/>
    <n v="0"/>
    <x v="0"/>
    <x v="0"/>
    <x v="0"/>
  </r>
  <r>
    <n v="20101155588"/>
    <x v="22"/>
    <x v="22"/>
    <x v="1649"/>
    <x v="1655"/>
    <x v="1451"/>
    <n v="1"/>
    <x v="32"/>
    <s v="ESTACION 17B"/>
    <s v="PARAGE PURUCHUCA MZ A LT 23B "/>
    <x v="1"/>
    <x v="0"/>
    <x v="9"/>
    <x v="1"/>
    <x v="563"/>
    <x v="0"/>
    <n v="1"/>
    <n v="312"/>
    <x v="1"/>
    <x v="1"/>
    <n v="3.134796238244514E-3"/>
    <x v="16"/>
    <x v="2"/>
    <s v="OK"/>
    <x v="1"/>
    <s v="OK"/>
    <x v="0"/>
    <x v="0"/>
    <n v="1"/>
    <n v="1"/>
    <n v="0"/>
    <n v="0"/>
    <x v="0"/>
    <x v="0"/>
    <x v="0"/>
  </r>
  <r>
    <n v="20101155588"/>
    <x v="22"/>
    <x v="22"/>
    <x v="1650"/>
    <x v="1656"/>
    <x v="1452"/>
    <n v="1"/>
    <x v="32"/>
    <s v="ESTACION 17B"/>
    <s v="25 DE ABRIL LOTE 35"/>
    <x v="252"/>
    <x v="0"/>
    <x v="9"/>
    <x v="1"/>
    <x v="566"/>
    <x v="0"/>
    <n v="1"/>
    <n v="312"/>
    <x v="1"/>
    <x v="1"/>
    <n v="3.134796238244514E-3"/>
    <x v="19"/>
    <x v="2"/>
    <s v="OK"/>
    <x v="0"/>
    <s v="OK"/>
    <x v="0"/>
    <x v="0"/>
    <n v="1"/>
    <n v="0"/>
    <n v="0"/>
    <n v="0"/>
    <x v="0"/>
    <x v="0"/>
    <x v="0"/>
  </r>
  <r>
    <n v="20101155588"/>
    <x v="22"/>
    <x v="22"/>
    <x v="1651"/>
    <x v="1657"/>
    <x v="1453"/>
    <n v="1"/>
    <x v="32"/>
    <s v="ESTACION 18 D"/>
    <s v="AV 13 DE ENERO 1839"/>
    <x v="119"/>
    <x v="0"/>
    <x v="9"/>
    <x v="1"/>
    <x v="567"/>
    <x v="0"/>
    <n v="1"/>
    <n v="312"/>
    <x v="1"/>
    <x v="1"/>
    <n v="3.134796238244514E-3"/>
    <x v="15"/>
    <x v="2"/>
    <s v="OK"/>
    <x v="0"/>
    <s v="OK"/>
    <x v="0"/>
    <x v="0"/>
    <n v="1"/>
    <n v="0"/>
    <n v="0"/>
    <n v="0"/>
    <x v="0"/>
    <x v="0"/>
    <x v="0"/>
  </r>
  <r>
    <n v="20101155588"/>
    <x v="22"/>
    <x v="22"/>
    <x v="1652"/>
    <x v="1658"/>
    <x v="1454"/>
    <n v="1"/>
    <x v="32"/>
    <s v="ESTACION 18 D"/>
    <s v="CALLE ALELIES 630"/>
    <x v="46"/>
    <x v="0"/>
    <x v="9"/>
    <x v="1"/>
    <x v="568"/>
    <x v="0"/>
    <n v="1"/>
    <n v="312"/>
    <x v="1"/>
    <x v="1"/>
    <n v="3.134796238244514E-3"/>
    <x v="17"/>
    <x v="2"/>
    <s v="OK"/>
    <x v="7"/>
    <s v="OK"/>
    <x v="0"/>
    <x v="0"/>
    <n v="1"/>
    <n v="1"/>
    <n v="0"/>
    <n v="0"/>
    <x v="0"/>
    <x v="0"/>
    <x v="0"/>
  </r>
  <r>
    <n v="20101155588"/>
    <x v="22"/>
    <x v="22"/>
    <x v="1653"/>
    <x v="1659"/>
    <x v="1455"/>
    <n v="1"/>
    <x v="32"/>
    <s v="PATIO TALLER SANTA ANITA"/>
    <s v="AMAUTA 02 MZ I LT 03 "/>
    <x v="34"/>
    <x v="0"/>
    <x v="9"/>
    <x v="1"/>
    <x v="569"/>
    <x v="0"/>
    <n v="1"/>
    <n v="312"/>
    <x v="1"/>
    <x v="1"/>
    <n v="3.134796238244514E-3"/>
    <x v="17"/>
    <x v="2"/>
    <s v="OK"/>
    <x v="1"/>
    <s v="OK"/>
    <x v="0"/>
    <x v="0"/>
    <n v="1"/>
    <n v="1"/>
    <n v="0"/>
    <n v="0"/>
    <x v="0"/>
    <x v="0"/>
    <x v="0"/>
  </r>
  <r>
    <n v="20101155588"/>
    <x v="22"/>
    <x v="22"/>
    <x v="1654"/>
    <x v="1660"/>
    <x v="1456"/>
    <n v="1"/>
    <x v="32"/>
    <s v="DESCANSERO"/>
    <s v="CALLE ATENAS"/>
    <x v="49"/>
    <x v="0"/>
    <x v="9"/>
    <x v="1"/>
    <x v="570"/>
    <x v="0"/>
    <n v="1"/>
    <n v="312"/>
    <x v="1"/>
    <x v="1"/>
    <n v="3.134796238244514E-3"/>
    <x v="18"/>
    <x v="2"/>
    <s v="OK"/>
    <x v="0"/>
    <s v="OK"/>
    <x v="0"/>
    <x v="0"/>
    <n v="1"/>
    <n v="0"/>
    <n v="0"/>
    <n v="0"/>
    <x v="0"/>
    <x v="0"/>
    <x v="0"/>
  </r>
  <r>
    <n v="20101155588"/>
    <x v="22"/>
    <x v="22"/>
    <x v="1655"/>
    <x v="1661"/>
    <x v="1457"/>
    <n v="1"/>
    <x v="84"/>
    <s v="GUILLERMO DANSEY"/>
    <s v="AVENIDA MARIANO CORNEJO 623"/>
    <x v="118"/>
    <x v="0"/>
    <x v="9"/>
    <x v="1"/>
    <x v="571"/>
    <x v="0"/>
    <n v="1"/>
    <n v="312"/>
    <x v="1"/>
    <x v="1"/>
    <n v="3.134796238244514E-3"/>
    <x v="17"/>
    <x v="2"/>
    <s v="OK"/>
    <x v="0"/>
    <s v="OK"/>
    <x v="0"/>
    <x v="0"/>
    <n v="1"/>
    <n v="0"/>
    <n v="0"/>
    <n v="0"/>
    <x v="0"/>
    <x v="0"/>
    <x v="0"/>
  </r>
  <r>
    <n v="20101155588"/>
    <x v="22"/>
    <x v="22"/>
    <x v="1656"/>
    <x v="1662"/>
    <x v="1458"/>
    <n v="1"/>
    <x v="32"/>
    <s v="PATIO TALLER SANTA ANITA"/>
    <s v="SAN LORENZO "/>
    <x v="253"/>
    <x v="0"/>
    <x v="9"/>
    <x v="1"/>
    <x v="572"/>
    <x v="0"/>
    <n v="1"/>
    <n v="312"/>
    <x v="1"/>
    <x v="1"/>
    <n v="3.134796238244514E-3"/>
    <x v="14"/>
    <x v="2"/>
    <s v="OK"/>
    <x v="1"/>
    <s v="OK"/>
    <x v="0"/>
    <x v="0"/>
    <n v="1"/>
    <n v="1"/>
    <n v="0"/>
    <n v="0"/>
    <x v="0"/>
    <x v="0"/>
    <x v="0"/>
  </r>
  <r>
    <n v="20101155588"/>
    <x v="22"/>
    <x v="22"/>
    <x v="1657"/>
    <x v="1663"/>
    <x v="1459"/>
    <n v="1"/>
    <x v="32"/>
    <s v="DESCANSERO E10"/>
    <s v="AV LOS JACINTOS 2133 URB LAS BEGONIAS"/>
    <x v="15"/>
    <x v="0"/>
    <x v="9"/>
    <x v="1"/>
    <x v="85"/>
    <x v="0"/>
    <n v="1"/>
    <n v="312"/>
    <x v="1"/>
    <x v="1"/>
    <n v="3.134796238244514E-3"/>
    <x v="22"/>
    <x v="2"/>
    <s v="OK"/>
    <x v="0"/>
    <s v="OK"/>
    <x v="0"/>
    <x v="0"/>
    <n v="1"/>
    <n v="0"/>
    <n v="0"/>
    <n v="0"/>
    <x v="0"/>
    <x v="0"/>
    <x v="0"/>
  </r>
  <r>
    <n v="20101155588"/>
    <x v="22"/>
    <x v="22"/>
    <x v="1658"/>
    <x v="1664"/>
    <x v="1460"/>
    <n v="1"/>
    <x v="32"/>
    <s v="PATIO TALLER SANTA ANITA"/>
    <s v="MZ I LT 12 AGRUP VECINAL DEL BOSQUE DE JICAMARCA ANEXO 8"/>
    <x v="15"/>
    <x v="0"/>
    <x v="9"/>
    <x v="1"/>
    <x v="573"/>
    <x v="0"/>
    <n v="1"/>
    <n v="312"/>
    <x v="1"/>
    <x v="1"/>
    <n v="3.134796238244514E-3"/>
    <x v="17"/>
    <x v="2"/>
    <s v="OK"/>
    <x v="0"/>
    <s v="OK"/>
    <x v="0"/>
    <x v="0"/>
    <n v="1"/>
    <n v="0"/>
    <n v="0"/>
    <n v="0"/>
    <x v="0"/>
    <x v="0"/>
    <x v="0"/>
  </r>
  <r>
    <n v="20101155588"/>
    <x v="22"/>
    <x v="22"/>
    <x v="1659"/>
    <x v="1665"/>
    <x v="1190"/>
    <n v="1"/>
    <x v="32"/>
    <s v="ESTACION 10 C"/>
    <s v="AV. CARLOS IZAGUIRRE"/>
    <x v="44"/>
    <x v="0"/>
    <x v="30"/>
    <x v="1"/>
    <x v="417"/>
    <x v="0"/>
    <n v="1"/>
    <n v="312"/>
    <x v="1"/>
    <x v="1"/>
    <n v="3.134796238244514E-3"/>
    <x v="21"/>
    <x v="2"/>
    <s v="OK"/>
    <x v="0"/>
    <s v="OK"/>
    <x v="0"/>
    <x v="0"/>
    <n v="1"/>
    <n v="0"/>
    <n v="0"/>
    <n v="0"/>
    <x v="0"/>
    <x v="0"/>
    <x v="0"/>
  </r>
  <r>
    <n v="20101155588"/>
    <x v="22"/>
    <x v="22"/>
    <x v="1660"/>
    <x v="1666"/>
    <x v="1461"/>
    <n v="1"/>
    <x v="32"/>
    <s v="ESTACION 26 SUR"/>
    <s v="ASOCIACION ROSA MANUEL SEGUNDA ETAPA LETRA C"/>
    <x v="1"/>
    <x v="0"/>
    <x v="9"/>
    <x v="1"/>
    <x v="67"/>
    <x v="0"/>
    <n v="1"/>
    <n v="312"/>
    <x v="1"/>
    <x v="1"/>
    <n v="3.134796238244514E-3"/>
    <x v="18"/>
    <x v="2"/>
    <s v="OK"/>
    <x v="1"/>
    <s v="OK"/>
    <x v="0"/>
    <x v="0"/>
    <n v="1"/>
    <n v="1"/>
    <n v="0"/>
    <n v="0"/>
    <x v="0"/>
    <x v="0"/>
    <x v="0"/>
  </r>
  <r>
    <n v="20101155588"/>
    <x v="22"/>
    <x v="22"/>
    <x v="1661"/>
    <x v="1667"/>
    <x v="1462"/>
    <n v="1"/>
    <x v="32"/>
    <s v="PATIO TALLER SANTA ANITA"/>
    <s v="JR INCA PACHACUTEC 536"/>
    <x v="27"/>
    <x v="0"/>
    <x v="9"/>
    <x v="1"/>
    <x v="87"/>
    <x v="0"/>
    <n v="1"/>
    <n v="312"/>
    <x v="1"/>
    <x v="1"/>
    <n v="3.134796238244514E-3"/>
    <x v="16"/>
    <x v="2"/>
    <s v="OK"/>
    <x v="5"/>
    <s v="OK"/>
    <x v="0"/>
    <x v="0"/>
    <n v="1"/>
    <n v="1"/>
    <n v="0"/>
    <n v="0"/>
    <x v="0"/>
    <x v="0"/>
    <x v="0"/>
  </r>
  <r>
    <n v="20101155588"/>
    <x v="22"/>
    <x v="22"/>
    <x v="1662"/>
    <x v="1668"/>
    <x v="1463"/>
    <n v="1"/>
    <x v="32"/>
    <s v="PATIO TALLER SANTA ANITA"/>
    <s v="AV UNION MZ O LOTE 33"/>
    <x v="52"/>
    <x v="0"/>
    <x v="9"/>
    <x v="1"/>
    <x v="124"/>
    <x v="0"/>
    <n v="1"/>
    <n v="312"/>
    <x v="1"/>
    <x v="1"/>
    <n v="3.134796238244514E-3"/>
    <x v="14"/>
    <x v="2"/>
    <s v="OK"/>
    <x v="0"/>
    <s v="OK"/>
    <x v="0"/>
    <x v="0"/>
    <n v="1"/>
    <n v="0"/>
    <n v="0"/>
    <n v="0"/>
    <x v="0"/>
    <x v="0"/>
    <x v="0"/>
  </r>
  <r>
    <n v="20101155588"/>
    <x v="22"/>
    <x v="22"/>
    <x v="1663"/>
    <x v="1669"/>
    <x v="1464"/>
    <n v="1"/>
    <x v="32"/>
    <s v="VESTIBULO 18"/>
    <s v="MZ A LOTE 3 PORTADA 2 MANCHAY"/>
    <x v="58"/>
    <x v="0"/>
    <x v="6"/>
    <x v="1"/>
    <x v="283"/>
    <x v="0"/>
    <n v="1"/>
    <n v="312"/>
    <x v="1"/>
    <x v="1"/>
    <n v="3.134796238244514E-3"/>
    <x v="14"/>
    <x v="2"/>
    <s v="OK"/>
    <x v="0"/>
    <s v="OK"/>
    <x v="0"/>
    <x v="0"/>
    <n v="1"/>
    <n v="0"/>
    <n v="0"/>
    <n v="0"/>
    <x v="0"/>
    <x v="0"/>
    <x v="0"/>
  </r>
  <r>
    <n v="20101155588"/>
    <x v="22"/>
    <x v="22"/>
    <x v="1664"/>
    <x v="1670"/>
    <x v="1465"/>
    <n v="1"/>
    <x v="32"/>
    <s v="ESTACION 08 ACCESO 01"/>
    <s v="JIRON HUANCAVELICA 3114"/>
    <x v="3"/>
    <x v="0"/>
    <x v="6"/>
    <x v="1"/>
    <x v="271"/>
    <x v="0"/>
    <n v="1"/>
    <n v="312"/>
    <x v="1"/>
    <x v="1"/>
    <n v="3.134796238244514E-3"/>
    <x v="16"/>
    <x v="2"/>
    <s v="OK"/>
    <x v="0"/>
    <s v="OK"/>
    <x v="0"/>
    <x v="0"/>
    <n v="1"/>
    <n v="0"/>
    <n v="0"/>
    <n v="0"/>
    <x v="0"/>
    <x v="0"/>
    <x v="0"/>
  </r>
  <r>
    <n v="20101155588"/>
    <x v="22"/>
    <x v="22"/>
    <x v="1665"/>
    <x v="1671"/>
    <x v="1466"/>
    <n v="1"/>
    <x v="32"/>
    <s v="PATIO TALLER SANTA ANITA"/>
    <s v="ALAMEDA DE ATE II ETAPA MZ K LOTE 10"/>
    <x v="27"/>
    <x v="0"/>
    <x v="6"/>
    <x v="1"/>
    <x v="18"/>
    <x v="0"/>
    <n v="1"/>
    <n v="312"/>
    <x v="1"/>
    <x v="1"/>
    <n v="3.134796238244514E-3"/>
    <x v="19"/>
    <x v="2"/>
    <s v="OK"/>
    <x v="5"/>
    <s v="OK"/>
    <x v="0"/>
    <x v="0"/>
    <n v="1"/>
    <n v="1"/>
    <n v="0"/>
    <n v="0"/>
    <x v="0"/>
    <x v="0"/>
    <x v="0"/>
  </r>
  <r>
    <n v="20101155588"/>
    <x v="22"/>
    <x v="22"/>
    <x v="1666"/>
    <x v="1672"/>
    <x v="1160"/>
    <n v="1"/>
    <x v="32"/>
    <s v="ESTACION 13C"/>
    <s v="CPM AUGUSTO B L MZ N2 LT 1C NUEVO IMPERIAL"/>
    <x v="254"/>
    <x v="0"/>
    <x v="6"/>
    <x v="1"/>
    <x v="94"/>
    <x v="0"/>
    <n v="1"/>
    <n v="312"/>
    <x v="1"/>
    <x v="1"/>
    <n v="3.134796238244514E-3"/>
    <x v="19"/>
    <x v="2"/>
    <s v="OK"/>
    <x v="0"/>
    <s v="OK"/>
    <x v="0"/>
    <x v="0"/>
    <n v="1"/>
    <n v="0"/>
    <n v="0"/>
    <n v="0"/>
    <x v="0"/>
    <x v="0"/>
    <x v="0"/>
  </r>
  <r>
    <n v="20101155588"/>
    <x v="22"/>
    <x v="22"/>
    <x v="1667"/>
    <x v="1673"/>
    <x v="1467"/>
    <n v="1"/>
    <x v="32"/>
    <s v="ESTACION 08"/>
    <s v="JR ISLAY MZ S LOTE 18 ASOC MIGUEL GRAU"/>
    <x v="3"/>
    <x v="0"/>
    <x v="6"/>
    <x v="1"/>
    <x v="94"/>
    <x v="0"/>
    <n v="1"/>
    <n v="312"/>
    <x v="1"/>
    <x v="1"/>
    <n v="3.134796238244514E-3"/>
    <x v="18"/>
    <x v="2"/>
    <s v="OK"/>
    <x v="0"/>
    <s v="OK"/>
    <x v="0"/>
    <x v="0"/>
    <n v="1"/>
    <n v="0"/>
    <n v="0"/>
    <n v="0"/>
    <x v="0"/>
    <x v="0"/>
    <x v="0"/>
  </r>
  <r>
    <n v="20101155588"/>
    <x v="22"/>
    <x v="22"/>
    <x v="1668"/>
    <x v="1674"/>
    <x v="1468"/>
    <n v="1"/>
    <x v="32"/>
    <s v="PATIO TALLER DANSEY"/>
    <s v="JIRON SAN MARTIN 3812"/>
    <x v="3"/>
    <x v="0"/>
    <x v="12"/>
    <x v="1"/>
    <x v="94"/>
    <x v="0"/>
    <n v="1"/>
    <n v="216"/>
    <x v="1"/>
    <x v="1"/>
    <n v="3.134796238244514E-3"/>
    <x v="18"/>
    <x v="2"/>
    <s v="OK"/>
    <x v="0"/>
    <s v="OK"/>
    <x v="0"/>
    <x v="0"/>
    <n v="1"/>
    <n v="0"/>
    <n v="0"/>
    <n v="1"/>
    <x v="0"/>
    <x v="1"/>
    <x v="0"/>
  </r>
  <r>
    <n v="20101155588"/>
    <x v="22"/>
    <x v="22"/>
    <x v="1669"/>
    <x v="1675"/>
    <x v="1469"/>
    <n v="1"/>
    <x v="32"/>
    <s v="PATIO TALLER DANSEY"/>
    <s v="JIRON NOLBERTO JARO 2526 LOS CIPRECES"/>
    <x v="45"/>
    <x v="0"/>
    <x v="6"/>
    <x v="1"/>
    <x v="574"/>
    <x v="0"/>
    <n v="1"/>
    <n v="312"/>
    <x v="1"/>
    <x v="1"/>
    <n v="3.134796238244514E-3"/>
    <x v="19"/>
    <x v="2"/>
    <s v="OK"/>
    <x v="3"/>
    <s v="OK"/>
    <x v="0"/>
    <x v="0"/>
    <n v="1"/>
    <n v="1"/>
    <n v="0"/>
    <n v="0"/>
    <x v="0"/>
    <x v="0"/>
    <x v="0"/>
  </r>
  <r>
    <n v="20101155588"/>
    <x v="22"/>
    <x v="22"/>
    <x v="1670"/>
    <x v="1676"/>
    <x v="1078"/>
    <n v="1"/>
    <x v="32"/>
    <s v="PATIO TALLER DANSEY"/>
    <s v="URB NOCIGLIA II PASAJE I NRO 160"/>
    <x v="5"/>
    <x v="0"/>
    <x v="6"/>
    <x v="1"/>
    <x v="574"/>
    <x v="0"/>
    <n v="1"/>
    <n v="312"/>
    <x v="1"/>
    <x v="1"/>
    <n v="3.134796238244514E-3"/>
    <x v="21"/>
    <x v="2"/>
    <s v="OK"/>
    <x v="3"/>
    <s v="OK"/>
    <x v="0"/>
    <x v="0"/>
    <n v="1"/>
    <n v="1"/>
    <n v="0"/>
    <n v="0"/>
    <x v="0"/>
    <x v="0"/>
    <x v="0"/>
  </r>
  <r>
    <n v="20101155588"/>
    <x v="22"/>
    <x v="22"/>
    <x v="1671"/>
    <x v="1677"/>
    <x v="1470"/>
    <n v="1"/>
    <x v="32"/>
    <s v="PATIO TALLER DANSEY"/>
    <s v="JIRON TOMAS COCRANES 3698"/>
    <x v="3"/>
    <x v="0"/>
    <x v="6"/>
    <x v="1"/>
    <x v="574"/>
    <x v="0"/>
    <n v="1"/>
    <n v="312"/>
    <x v="1"/>
    <x v="1"/>
    <n v="3.134796238244514E-3"/>
    <x v="20"/>
    <x v="2"/>
    <s v="OK"/>
    <x v="0"/>
    <s v="OK"/>
    <x v="0"/>
    <x v="0"/>
    <n v="1"/>
    <n v="0"/>
    <n v="0"/>
    <n v="0"/>
    <x v="0"/>
    <x v="0"/>
    <x v="0"/>
  </r>
  <r>
    <n v="20101155588"/>
    <x v="22"/>
    <x v="22"/>
    <x v="1672"/>
    <x v="1678"/>
    <x v="1471"/>
    <n v="1"/>
    <x v="32"/>
    <s v="PATIO TALLER SANTA ANITA"/>
    <s v="ASO DE VIVIENDAS SEÑOR DE LA JUSTICIA MZ M LOTE 8"/>
    <x v="1"/>
    <x v="0"/>
    <x v="6"/>
    <x v="1"/>
    <x v="97"/>
    <x v="0"/>
    <n v="1"/>
    <n v="288"/>
    <x v="1"/>
    <x v="1"/>
    <n v="3.134796238244514E-3"/>
    <x v="15"/>
    <x v="2"/>
    <s v="OK"/>
    <x v="1"/>
    <s v="OK"/>
    <x v="0"/>
    <x v="0"/>
    <n v="1"/>
    <n v="1"/>
    <n v="0"/>
    <n v="0"/>
    <x v="0"/>
    <x v="0"/>
    <x v="0"/>
  </r>
  <r>
    <n v="20101155588"/>
    <x v="22"/>
    <x v="22"/>
    <x v="1673"/>
    <x v="1679"/>
    <x v="1472"/>
    <n v="1"/>
    <x v="32"/>
    <s v="PATIO TALLER DANSEY"/>
    <s v="AAHH MARIA JESUS ESPINOZA MATOS MZ A LT 6"/>
    <x v="49"/>
    <x v="0"/>
    <x v="10"/>
    <x v="1"/>
    <x v="8"/>
    <x v="0"/>
    <n v="1"/>
    <n v="144"/>
    <x v="1"/>
    <x v="1"/>
    <n v="3.134796238244514E-3"/>
    <x v="21"/>
    <x v="2"/>
    <s v="OK"/>
    <x v="0"/>
    <s v="OK"/>
    <x v="0"/>
    <x v="0"/>
    <n v="1"/>
    <n v="0"/>
    <n v="0"/>
    <n v="1"/>
    <x v="0"/>
    <x v="1"/>
    <x v="0"/>
  </r>
  <r>
    <n v="20101155588"/>
    <x v="22"/>
    <x v="22"/>
    <x v="1674"/>
    <x v="1680"/>
    <x v="1473"/>
    <n v="1"/>
    <x v="32"/>
    <s v="ESTACION 10D"/>
    <s v="MZ B8 LOTE 38 VALLE CHILLON"/>
    <x v="4"/>
    <x v="0"/>
    <x v="6"/>
    <x v="1"/>
    <x v="8"/>
    <x v="0"/>
    <n v="1"/>
    <n v="216"/>
    <x v="1"/>
    <x v="1"/>
    <n v="3.134796238244514E-3"/>
    <x v="14"/>
    <x v="2"/>
    <s v="OK"/>
    <x v="0"/>
    <s v="OK"/>
    <x v="0"/>
    <x v="0"/>
    <n v="1"/>
    <n v="0"/>
    <n v="0"/>
    <n v="0"/>
    <x v="0"/>
    <x v="0"/>
    <x v="0"/>
  </r>
  <r>
    <n v="20101155588"/>
    <x v="22"/>
    <x v="22"/>
    <x v="1675"/>
    <x v="1681"/>
    <x v="1474"/>
    <n v="1"/>
    <x v="32"/>
    <s v="ESTACION 18 E"/>
    <s v="MANGOMARCA BAJA ZARATE"/>
    <x v="15"/>
    <x v="0"/>
    <x v="6"/>
    <x v="1"/>
    <x v="99"/>
    <x v="0"/>
    <n v="1"/>
    <n v="156"/>
    <x v="1"/>
    <x v="1"/>
    <n v="3.134796238244514E-3"/>
    <x v="22"/>
    <x v="2"/>
    <s v="OK"/>
    <x v="0"/>
    <s v="OK"/>
    <x v="0"/>
    <x v="0"/>
    <n v="1"/>
    <n v="0"/>
    <n v="0"/>
    <n v="0"/>
    <x v="0"/>
    <x v="0"/>
    <x v="0"/>
  </r>
  <r>
    <n v="20101155588"/>
    <x v="22"/>
    <x v="22"/>
    <x v="1676"/>
    <x v="1682"/>
    <x v="1475"/>
    <n v="1"/>
    <x v="32"/>
    <s v="VESTIBULO 15"/>
    <s v="AAHH JESUS OROPEZA CHONTA"/>
    <x v="15"/>
    <x v="0"/>
    <x v="6"/>
    <x v="1"/>
    <x v="99"/>
    <x v="0"/>
    <n v="1"/>
    <n v="156"/>
    <x v="1"/>
    <x v="1"/>
    <n v="3.134796238244514E-3"/>
    <x v="19"/>
    <x v="2"/>
    <s v="OK"/>
    <x v="0"/>
    <s v="OK"/>
    <x v="0"/>
    <x v="0"/>
    <n v="1"/>
    <n v="0"/>
    <n v="0"/>
    <n v="0"/>
    <x v="0"/>
    <x v="0"/>
    <x v="0"/>
  </r>
  <r>
    <n v="20101155588"/>
    <x v="22"/>
    <x v="22"/>
    <x v="1677"/>
    <x v="1683"/>
    <x v="1476"/>
    <n v="1"/>
    <x v="151"/>
    <s v="PATIO TALLER GUILLERMO DANSEY "/>
    <s v="MZ J LOTE 3 AMPLIACION DE LAS COLINAS DE SAN JUAN DE AMANCAES"/>
    <x v="13"/>
    <x v="0"/>
    <x v="6"/>
    <x v="1"/>
    <x v="481"/>
    <x v="0"/>
    <n v="1"/>
    <n v="192"/>
    <x v="1"/>
    <x v="1"/>
    <n v="3.134796238244514E-3"/>
    <x v="19"/>
    <x v="2"/>
    <s v="OK"/>
    <x v="0"/>
    <s v="OK"/>
    <x v="0"/>
    <x v="0"/>
    <n v="1"/>
    <n v="0"/>
    <n v="1"/>
    <n v="0"/>
    <x v="0"/>
    <x v="0"/>
    <x v="1"/>
  </r>
  <r>
    <n v="20554431578"/>
    <x v="60"/>
    <x v="44"/>
    <x v="1678"/>
    <x v="1684"/>
    <x v="1477"/>
    <n v="2"/>
    <x v="272"/>
    <s v="TBM -19"/>
    <s v="CALLE  DANIEL ALCIDES  CARRION  1460"/>
    <x v="10"/>
    <x v="0"/>
    <x v="0"/>
    <x v="1"/>
    <x v="77"/>
    <x v="0"/>
    <n v="4"/>
    <n v="144"/>
    <x v="0"/>
    <x v="1"/>
    <n v="2.564102564102564E-2"/>
    <x v="17"/>
    <x v="2"/>
    <s v="OK"/>
    <x v="0"/>
    <s v="OK"/>
    <x v="0"/>
    <x v="0"/>
    <n v="1"/>
    <n v="0"/>
    <n v="0"/>
    <n v="0"/>
    <x v="0"/>
    <x v="0"/>
    <x v="0"/>
  </r>
  <r>
    <n v="20554431578"/>
    <x v="60"/>
    <x v="44"/>
    <x v="1679"/>
    <x v="1685"/>
    <x v="1478"/>
    <n v="2"/>
    <x v="273"/>
    <s v="TBM -19"/>
    <s v="MZ C LOTE 3 ASET. H LOS PROGRESISTAS "/>
    <x v="1"/>
    <x v="0"/>
    <x v="0"/>
    <x v="1"/>
    <x v="164"/>
    <x v="0"/>
    <n v="4"/>
    <n v="144"/>
    <x v="0"/>
    <x v="1"/>
    <n v="2.564102564102564E-2"/>
    <x v="18"/>
    <x v="2"/>
    <s v="OK"/>
    <x v="1"/>
    <s v="OK"/>
    <x v="0"/>
    <x v="0"/>
    <n v="1"/>
    <n v="1"/>
    <n v="0"/>
    <n v="0"/>
    <x v="0"/>
    <x v="0"/>
    <x v="0"/>
  </r>
  <r>
    <n v="20554431578"/>
    <x v="60"/>
    <x v="44"/>
    <x v="1680"/>
    <x v="1686"/>
    <x v="1479"/>
    <n v="2"/>
    <x v="274"/>
    <s v="TBM -19"/>
    <s v="CA. MARIA REICHE CP RESID. ZARAGOZA MZ D LT 11"/>
    <x v="0"/>
    <x v="0"/>
    <x v="0"/>
    <x v="1"/>
    <x v="173"/>
    <x v="0"/>
    <n v="4"/>
    <n v="136"/>
    <x v="0"/>
    <x v="1"/>
    <n v="2.564102564102564E-2"/>
    <x v="17"/>
    <x v="2"/>
    <s v="OK"/>
    <x v="0"/>
    <s v="OK"/>
    <x v="0"/>
    <x v="0"/>
    <n v="1"/>
    <n v="0"/>
    <n v="0"/>
    <n v="0"/>
    <x v="0"/>
    <x v="0"/>
    <x v="0"/>
  </r>
  <r>
    <n v="20554431578"/>
    <x v="60"/>
    <x v="44"/>
    <x v="1681"/>
    <x v="1687"/>
    <x v="1480"/>
    <n v="2"/>
    <x v="164"/>
    <s v="TBM -19"/>
    <s v="UCV 10 LT 54 ZONA DE ASENTAMIENTO HH HUAYCAN "/>
    <x v="1"/>
    <x v="0"/>
    <x v="0"/>
    <x v="1"/>
    <x v="575"/>
    <x v="0"/>
    <n v="4"/>
    <n v="144"/>
    <x v="0"/>
    <x v="1"/>
    <n v="2.564102564102564E-2"/>
    <x v="21"/>
    <x v="2"/>
    <s v="OK"/>
    <x v="1"/>
    <s v="OK"/>
    <x v="0"/>
    <x v="0"/>
    <n v="1"/>
    <n v="1"/>
    <n v="0"/>
    <n v="0"/>
    <x v="0"/>
    <x v="0"/>
    <x v="0"/>
  </r>
  <r>
    <n v="20554431578"/>
    <x v="60"/>
    <x v="44"/>
    <x v="1682"/>
    <x v="1688"/>
    <x v="1221"/>
    <n v="2"/>
    <x v="273"/>
    <s v="E-5"/>
    <s v="AOC FUERZAS POLICIALES SECTOR O LT 28"/>
    <x v="1"/>
    <x v="0"/>
    <x v="0"/>
    <x v="1"/>
    <x v="372"/>
    <x v="0"/>
    <n v="4"/>
    <n v="144"/>
    <x v="0"/>
    <x v="1"/>
    <n v="2.564102564102564E-2"/>
    <x v="14"/>
    <x v="2"/>
    <s v="OK"/>
    <x v="1"/>
    <s v="OK"/>
    <x v="0"/>
    <x v="0"/>
    <n v="1"/>
    <n v="1"/>
    <n v="0"/>
    <n v="0"/>
    <x v="0"/>
    <x v="0"/>
    <x v="0"/>
  </r>
  <r>
    <n v="20554431578"/>
    <x v="60"/>
    <x v="44"/>
    <x v="1683"/>
    <x v="1689"/>
    <x v="1481"/>
    <n v="2"/>
    <x v="273"/>
    <s v="TBM -19"/>
    <s v="ASENT. H. LOS JAZMINES MZ A LT ZO4 - LURIGANCHO"/>
    <x v="119"/>
    <x v="0"/>
    <x v="0"/>
    <x v="1"/>
    <x v="302"/>
    <x v="0"/>
    <n v="4"/>
    <n v="120"/>
    <x v="0"/>
    <x v="1"/>
    <n v="2.564102564102564E-2"/>
    <x v="19"/>
    <x v="2"/>
    <s v="OK"/>
    <x v="0"/>
    <s v="OK"/>
    <x v="0"/>
    <x v="0"/>
    <n v="1"/>
    <n v="0"/>
    <n v="0"/>
    <n v="0"/>
    <x v="0"/>
    <x v="0"/>
    <x v="0"/>
  </r>
  <r>
    <n v="20554431578"/>
    <x v="60"/>
    <x v="44"/>
    <x v="1684"/>
    <x v="1690"/>
    <x v="1415"/>
    <n v="2"/>
    <x v="273"/>
    <s v="TBM -19"/>
    <s v="JR. AREQUIPA MZ. 16 LT. 15 ASENT. H. EX FUNDO MARQUEZ -CALLAO-CALLAO"/>
    <x v="6"/>
    <x v="0"/>
    <x v="0"/>
    <x v="1"/>
    <x v="391"/>
    <x v="0"/>
    <n v="4"/>
    <n v="176"/>
    <x v="0"/>
    <x v="1"/>
    <n v="2.564102564102564E-2"/>
    <x v="17"/>
    <x v="2"/>
    <s v="OK"/>
    <x v="2"/>
    <s v="OK"/>
    <x v="0"/>
    <x v="0"/>
    <n v="1"/>
    <n v="1"/>
    <n v="0"/>
    <n v="0"/>
    <x v="0"/>
    <x v="0"/>
    <x v="0"/>
  </r>
  <r>
    <n v="20554431578"/>
    <x v="60"/>
    <x v="44"/>
    <x v="1685"/>
    <x v="1691"/>
    <x v="1075"/>
    <n v="2"/>
    <x v="273"/>
    <s v="TBM -19"/>
    <s v="ASENTAMIENTO H. SECTOR NORTE LAS FLORES"/>
    <x v="15"/>
    <x v="0"/>
    <x v="0"/>
    <x v="1"/>
    <x v="548"/>
    <x v="0"/>
    <n v="4"/>
    <n v="160"/>
    <x v="0"/>
    <x v="1"/>
    <n v="2.564102564102564E-2"/>
    <x v="16"/>
    <x v="2"/>
    <s v="OK"/>
    <x v="0"/>
    <s v="OK"/>
    <x v="0"/>
    <x v="0"/>
    <n v="1"/>
    <n v="0"/>
    <n v="0"/>
    <n v="0"/>
    <x v="0"/>
    <x v="0"/>
    <x v="0"/>
  </r>
  <r>
    <n v="20554431578"/>
    <x v="60"/>
    <x v="44"/>
    <x v="1686"/>
    <x v="1692"/>
    <x v="1478"/>
    <n v="2"/>
    <x v="273"/>
    <s v="TBM -19"/>
    <s v="LOS ROBLES DE ATE II"/>
    <x v="1"/>
    <x v="0"/>
    <x v="0"/>
    <x v="1"/>
    <x v="576"/>
    <x v="0"/>
    <n v="4"/>
    <n v="160"/>
    <x v="0"/>
    <x v="1"/>
    <n v="2.564102564102564E-2"/>
    <x v="18"/>
    <x v="2"/>
    <s v="OK"/>
    <x v="1"/>
    <s v="OK"/>
    <x v="0"/>
    <x v="0"/>
    <n v="1"/>
    <n v="1"/>
    <n v="0"/>
    <n v="0"/>
    <x v="0"/>
    <x v="0"/>
    <x v="0"/>
  </r>
  <r>
    <n v="20554431578"/>
    <x v="60"/>
    <x v="44"/>
    <x v="1687"/>
    <x v="1693"/>
    <x v="1482"/>
    <n v="2"/>
    <x v="273"/>
    <s v="TBM -19"/>
    <s v="CALLE  BERLIN 207  URB. VIEGEN DEL CARMEN "/>
    <x v="1"/>
    <x v="0"/>
    <x v="0"/>
    <x v="1"/>
    <x v="577"/>
    <x v="0"/>
    <n v="4"/>
    <n v="112"/>
    <x v="0"/>
    <x v="1"/>
    <n v="2.564102564102564E-2"/>
    <x v="17"/>
    <x v="2"/>
    <s v="OK"/>
    <x v="1"/>
    <s v="OK"/>
    <x v="0"/>
    <x v="0"/>
    <n v="1"/>
    <n v="1"/>
    <n v="0"/>
    <n v="0"/>
    <x v="0"/>
    <x v="0"/>
    <x v="0"/>
  </r>
  <r>
    <n v="20554431578"/>
    <x v="60"/>
    <x v="44"/>
    <x v="1688"/>
    <x v="1694"/>
    <x v="1483"/>
    <n v="2"/>
    <x v="275"/>
    <s v="TBM -19"/>
    <s v="ASENT.  H HORIZONTE  MZ P4 LT 8"/>
    <x v="54"/>
    <x v="0"/>
    <x v="0"/>
    <x v="1"/>
    <x v="578"/>
    <x v="0"/>
    <n v="4"/>
    <n v="136"/>
    <x v="0"/>
    <x v="1"/>
    <n v="2.564102564102564E-2"/>
    <x v="17"/>
    <x v="2"/>
    <s v="OK"/>
    <x v="0"/>
    <s v="OK"/>
    <x v="0"/>
    <x v="0"/>
    <n v="1"/>
    <n v="0"/>
    <n v="0"/>
    <n v="0"/>
    <x v="0"/>
    <x v="0"/>
    <x v="0"/>
  </r>
  <r>
    <n v="20554431578"/>
    <x v="60"/>
    <x v="44"/>
    <x v="1689"/>
    <x v="1695"/>
    <x v="1430"/>
    <n v="2"/>
    <x v="273"/>
    <s v="TBM -19"/>
    <s v="ASOC. VIV LOS YAROWILCAS MZ L LTE 10"/>
    <x v="147"/>
    <x v="0"/>
    <x v="0"/>
    <x v="1"/>
    <x v="99"/>
    <x v="0"/>
    <n v="4"/>
    <n v="144"/>
    <x v="0"/>
    <x v="1"/>
    <n v="2.564102564102564E-2"/>
    <x v="14"/>
    <x v="2"/>
    <s v="OK"/>
    <x v="0"/>
    <s v="OK"/>
    <x v="0"/>
    <x v="0"/>
    <n v="1"/>
    <n v="0"/>
    <n v="0"/>
    <n v="0"/>
    <x v="0"/>
    <x v="0"/>
    <x v="0"/>
  </r>
  <r>
    <n v="20554431578"/>
    <x v="60"/>
    <x v="44"/>
    <x v="1690"/>
    <x v="1696"/>
    <x v="1484"/>
    <n v="2"/>
    <x v="164"/>
    <s v="TBM"/>
    <s v="PSJ TACNA PISO 2 PUEBLO J SAN ALBINO MZ O LT 2"/>
    <x v="44"/>
    <x v="0"/>
    <x v="0"/>
    <x v="1"/>
    <x v="28"/>
    <x v="0"/>
    <n v="4"/>
    <n v="56"/>
    <x v="0"/>
    <x v="1"/>
    <n v="2.564102564102564E-2"/>
    <x v="20"/>
    <x v="2"/>
    <s v="OK"/>
    <x v="0"/>
    <s v="OK"/>
    <x v="0"/>
    <x v="0"/>
    <n v="1"/>
    <n v="0"/>
    <n v="1"/>
    <n v="0"/>
    <x v="0"/>
    <x v="0"/>
    <x v="1"/>
  </r>
  <r>
    <n v="20508430681"/>
    <x v="23"/>
    <x v="23"/>
    <x v="1691"/>
    <x v="1697"/>
    <x v="1485"/>
    <n v="2"/>
    <x v="15"/>
    <s v="SUMINISTRO E INSTALACION DE PANELES VITRIFICADOS EN E1, E2, E3,E10,E11, E14,E15 Y E17"/>
    <s v="ASOC. VIRGEN DE FATIMA MZ D LT 1"/>
    <x v="1"/>
    <x v="0"/>
    <x v="0"/>
    <x v="1"/>
    <x v="19"/>
    <x v="0"/>
    <n v="4"/>
    <n v="192"/>
    <x v="0"/>
    <x v="1"/>
    <n v="9.433962264150943E-3"/>
    <x v="18"/>
    <x v="2"/>
    <s v="OK"/>
    <x v="1"/>
    <s v="OK"/>
    <x v="0"/>
    <x v="0"/>
    <n v="1"/>
    <n v="1"/>
    <n v="0"/>
    <n v="0"/>
    <x v="0"/>
    <x v="0"/>
    <x v="0"/>
  </r>
  <r>
    <n v="20508430681"/>
    <x v="23"/>
    <x v="23"/>
    <x v="1692"/>
    <x v="1698"/>
    <x v="1486"/>
    <n v="2"/>
    <x v="15"/>
    <s v="SUMINISTRO E INSTALACION DE PANELES VITRIFICADOS EN E1, E2, E3,E10,E11, E14,E15 Y E17"/>
    <s v="ASENT.H. JESUS MARIA B1-22"/>
    <x v="90"/>
    <x v="0"/>
    <x v="0"/>
    <x v="1"/>
    <x v="18"/>
    <x v="0"/>
    <n v="4"/>
    <n v="192"/>
    <x v="0"/>
    <x v="1"/>
    <n v="9.433962264150943E-3"/>
    <x v="19"/>
    <x v="2"/>
    <s v="OK"/>
    <x v="0"/>
    <s v="OK"/>
    <x v="0"/>
    <x v="0"/>
    <n v="1"/>
    <n v="0"/>
    <n v="0"/>
    <n v="0"/>
    <x v="0"/>
    <x v="0"/>
    <x v="0"/>
  </r>
  <r>
    <n v="20508430681"/>
    <x v="23"/>
    <x v="23"/>
    <x v="1693"/>
    <x v="1699"/>
    <x v="1487"/>
    <n v="2"/>
    <x v="15"/>
    <s v="SUMINISTRO E INSTALACION DE PANELES VITRIFICADOS EN E1, E2, E3,E10,E11, E14,E15 Y E17"/>
    <s v="CALLE SIN NOMBRE MZ.H LT.03 AH SEÑOR DE LOS MILAGROS"/>
    <x v="4"/>
    <x v="0"/>
    <x v="0"/>
    <x v="1"/>
    <x v="105"/>
    <x v="0"/>
    <n v="4"/>
    <n v="192"/>
    <x v="0"/>
    <x v="1"/>
    <n v="9.433962264150943E-3"/>
    <x v="14"/>
    <x v="2"/>
    <s v="OK"/>
    <x v="0"/>
    <s v="OK"/>
    <x v="0"/>
    <x v="0"/>
    <n v="1"/>
    <n v="0"/>
    <n v="0"/>
    <n v="0"/>
    <x v="0"/>
    <x v="0"/>
    <x v="0"/>
  </r>
  <r>
    <n v="20508430681"/>
    <x v="23"/>
    <x v="23"/>
    <x v="1694"/>
    <x v="1700"/>
    <x v="1191"/>
    <n v="2"/>
    <x v="15"/>
    <s v="SUMINISTRO E INSTALACION DE PANELES VITRIFICADOS EN E1, E2, E3,E10,E11, E14,E15 Y E17"/>
    <s v="PSJ. ANEXO DE COCHAPAMPA S/N"/>
    <x v="255"/>
    <x v="0"/>
    <x v="0"/>
    <x v="1"/>
    <x v="185"/>
    <x v="0"/>
    <n v="4"/>
    <n v="192"/>
    <x v="0"/>
    <x v="1"/>
    <n v="9.433962264150943E-3"/>
    <x v="14"/>
    <x v="2"/>
    <s v="OK"/>
    <x v="0"/>
    <s v="OK"/>
    <x v="0"/>
    <x v="0"/>
    <n v="1"/>
    <n v="0"/>
    <n v="0"/>
    <n v="0"/>
    <x v="0"/>
    <x v="0"/>
    <x v="0"/>
  </r>
  <r>
    <n v="20508430681"/>
    <x v="23"/>
    <x v="23"/>
    <x v="1695"/>
    <x v="1701"/>
    <x v="1488"/>
    <n v="1"/>
    <x v="7"/>
    <s v="SUMINISTRO E INSTALACION DE PANELES VITRIFICADOS EN E1, E2, E3,E10,E11, E14,E15 Y E17"/>
    <s v="JR. ANDRES AVELINO A.CACERES ESTE 502"/>
    <x v="54"/>
    <x v="0"/>
    <x v="0"/>
    <x v="1"/>
    <x v="120"/>
    <x v="0"/>
    <n v="2"/>
    <n v="192"/>
    <x v="0"/>
    <x v="1"/>
    <n v="9.433962264150943E-3"/>
    <x v="22"/>
    <x v="2"/>
    <s v="OK"/>
    <x v="0"/>
    <s v="OK"/>
    <x v="0"/>
    <x v="0"/>
    <n v="1"/>
    <n v="0"/>
    <n v="0"/>
    <n v="0"/>
    <x v="0"/>
    <x v="0"/>
    <x v="0"/>
  </r>
  <r>
    <n v="20508430681"/>
    <x v="23"/>
    <x v="23"/>
    <x v="1696"/>
    <x v="1702"/>
    <x v="1050"/>
    <n v="2"/>
    <x v="15"/>
    <s v="SUMINISTRO E INSTALACION DE PANELES VITRIFICADOS EN E1, E2, E3,E10,E11, E14,E15 Y E17"/>
    <s v="MZ. S LT. 5 P.JOVEN LAS ANIMAS"/>
    <x v="4"/>
    <x v="0"/>
    <x v="0"/>
    <x v="1"/>
    <x v="462"/>
    <x v="0"/>
    <n v="4"/>
    <n v="192"/>
    <x v="0"/>
    <x v="1"/>
    <n v="9.433962264150943E-3"/>
    <x v="18"/>
    <x v="2"/>
    <s v="OK"/>
    <x v="0"/>
    <s v="OK"/>
    <x v="0"/>
    <x v="0"/>
    <n v="1"/>
    <n v="0"/>
    <n v="0"/>
    <n v="0"/>
    <x v="0"/>
    <x v="0"/>
    <x v="0"/>
  </r>
  <r>
    <n v="20508430681"/>
    <x v="23"/>
    <x v="23"/>
    <x v="1697"/>
    <x v="1703"/>
    <x v="959"/>
    <n v="2"/>
    <x v="15"/>
    <s v="SUMINISTRO E INSTALACION DE PANELES VITRIFICADOS EN E1, E2, E3,E10,E11, E14,E15 Y E17"/>
    <s v="MZ. Q4 LT. 13 NUEVO PACHACUTEC SEC A GR A3"/>
    <x v="2"/>
    <x v="0"/>
    <x v="0"/>
    <x v="1"/>
    <x v="240"/>
    <x v="0"/>
    <n v="4"/>
    <n v="192"/>
    <x v="0"/>
    <x v="1"/>
    <n v="9.433962264150943E-3"/>
    <x v="15"/>
    <x v="2"/>
    <s v="OK"/>
    <x v="2"/>
    <s v="OK"/>
    <x v="0"/>
    <x v="0"/>
    <n v="1"/>
    <n v="1"/>
    <n v="0"/>
    <n v="0"/>
    <x v="0"/>
    <x v="0"/>
    <x v="0"/>
  </r>
  <r>
    <n v="20508430681"/>
    <x v="23"/>
    <x v="23"/>
    <x v="1698"/>
    <x v="1704"/>
    <x v="1473"/>
    <n v="2"/>
    <x v="15"/>
    <s v="SUMINISTRO E INSTALACION DE PANELES VITRIFICADOS EN E1, E2, E3,E10,E11, E14,E15 Y E17"/>
    <s v="AV. MEXICO 1623 URB LA POLVORA"/>
    <x v="25"/>
    <x v="0"/>
    <x v="0"/>
    <x v="1"/>
    <x v="106"/>
    <x v="0"/>
    <n v="4"/>
    <n v="192"/>
    <x v="0"/>
    <x v="1"/>
    <n v="9.433962264150943E-3"/>
    <x v="14"/>
    <x v="2"/>
    <s v="OK"/>
    <x v="4"/>
    <s v="OK"/>
    <x v="0"/>
    <x v="0"/>
    <n v="1"/>
    <n v="1"/>
    <n v="0"/>
    <n v="0"/>
    <x v="0"/>
    <x v="0"/>
    <x v="0"/>
  </r>
  <r>
    <n v="20508430681"/>
    <x v="23"/>
    <x v="23"/>
    <x v="1699"/>
    <x v="1705"/>
    <x v="1230"/>
    <n v="2"/>
    <x v="15"/>
    <s v="SUMINISTRO E INSTALACION DE PANELES VITRIFICADOS EN E1, E2, E3,E10,E11, E14,E15 Y E17"/>
    <s v="PROL.JOSE PARDO 171 3ER.PISO P.J. EL PROGRESO"/>
    <x v="54"/>
    <x v="0"/>
    <x v="0"/>
    <x v="1"/>
    <x v="106"/>
    <x v="0"/>
    <n v="4"/>
    <n v="192"/>
    <x v="0"/>
    <x v="1"/>
    <n v="9.433962264150943E-3"/>
    <x v="20"/>
    <x v="2"/>
    <s v="OK"/>
    <x v="0"/>
    <s v="OK"/>
    <x v="0"/>
    <x v="0"/>
    <n v="1"/>
    <n v="0"/>
    <n v="0"/>
    <n v="0"/>
    <x v="0"/>
    <x v="0"/>
    <x v="0"/>
  </r>
  <r>
    <n v="20508430681"/>
    <x v="23"/>
    <x v="23"/>
    <x v="1700"/>
    <x v="1706"/>
    <x v="1489"/>
    <n v="2"/>
    <x v="15"/>
    <s v="SUMINISTRO E INSTALACION DE PANELES VITRIFICADOS EN E1, E2, E3,E10,E11, E14,E15 Y E17"/>
    <s v="LA HABANA 171"/>
    <x v="143"/>
    <x v="0"/>
    <x v="0"/>
    <x v="1"/>
    <x v="139"/>
    <x v="0"/>
    <n v="4"/>
    <n v="192"/>
    <x v="0"/>
    <x v="1"/>
    <n v="9.433962264150943E-3"/>
    <x v="15"/>
    <x v="2"/>
    <s v="OK"/>
    <x v="0"/>
    <s v="OK"/>
    <x v="0"/>
    <x v="0"/>
    <n v="1"/>
    <n v="0"/>
    <n v="0"/>
    <n v="0"/>
    <x v="0"/>
    <x v="0"/>
    <x v="0"/>
  </r>
  <r>
    <n v="20508430681"/>
    <x v="23"/>
    <x v="23"/>
    <x v="1701"/>
    <x v="1707"/>
    <x v="1490"/>
    <n v="1"/>
    <x v="115"/>
    <s v="SUMINISTRO E INSTALACION DE PANELES VITRIFICADOS EN E1, E2, E3,E10,E11, E14,E15 Y E17"/>
    <s v="AV. MIGUEL GRAU LT 14 URB. COND. MANZANOS DE STA CLARA "/>
    <x v="1"/>
    <x v="0"/>
    <x v="0"/>
    <x v="1"/>
    <x v="364"/>
    <x v="0"/>
    <n v="1"/>
    <n v="192"/>
    <x v="0"/>
    <x v="1"/>
    <n v="9.433962264150943E-3"/>
    <x v="14"/>
    <x v="2"/>
    <s v="OK"/>
    <x v="1"/>
    <s v="OK"/>
    <x v="0"/>
    <x v="0"/>
    <n v="1"/>
    <n v="1"/>
    <n v="0"/>
    <n v="0"/>
    <x v="0"/>
    <x v="0"/>
    <x v="0"/>
  </r>
  <r>
    <n v="20508430681"/>
    <x v="23"/>
    <x v="23"/>
    <x v="1702"/>
    <x v="1708"/>
    <x v="1491"/>
    <n v="2"/>
    <x v="15"/>
    <s v="SUMINISTRO E INSTALACION DE PANELES VITRIFICADOS EN E1, E2, E3,E10,E11, E14,E15 Y E17"/>
    <s v="ASOC. LOS HUERTOS DE COPACABANA MZ. A LT. 7"/>
    <x v="4"/>
    <x v="0"/>
    <x v="0"/>
    <x v="1"/>
    <x v="102"/>
    <x v="0"/>
    <n v="4"/>
    <n v="192"/>
    <x v="0"/>
    <x v="1"/>
    <n v="9.433962264150943E-3"/>
    <x v="22"/>
    <x v="2"/>
    <s v="OK"/>
    <x v="0"/>
    <s v="OK"/>
    <x v="0"/>
    <x v="0"/>
    <n v="1"/>
    <n v="0"/>
    <n v="0"/>
    <n v="0"/>
    <x v="0"/>
    <x v="0"/>
    <x v="0"/>
  </r>
  <r>
    <n v="20508430681"/>
    <x v="23"/>
    <x v="23"/>
    <x v="1703"/>
    <x v="1709"/>
    <x v="1492"/>
    <n v="2"/>
    <x v="15"/>
    <s v="SUMINISTRO E INSTALACION DE PANELES VITRIFICADOS EN E1, E2, E3,E10,E11, E14,E15 Y E17"/>
    <s v="JR. LOS ANGELES 406 CASERIO SAN VICENTE"/>
    <x v="256"/>
    <x v="0"/>
    <x v="0"/>
    <x v="1"/>
    <x v="4"/>
    <x v="0"/>
    <n v="4"/>
    <n v="192"/>
    <x v="0"/>
    <x v="1"/>
    <n v="9.433962264150943E-3"/>
    <x v="19"/>
    <x v="2"/>
    <s v="OK"/>
    <x v="0"/>
    <s v="OK"/>
    <x v="0"/>
    <x v="0"/>
    <n v="1"/>
    <n v="0"/>
    <n v="1"/>
    <n v="0"/>
    <x v="0"/>
    <x v="0"/>
    <x v="1"/>
  </r>
  <r>
    <n v="20508430681"/>
    <x v="23"/>
    <x v="23"/>
    <x v="1704"/>
    <x v="1710"/>
    <x v="1196"/>
    <n v="2"/>
    <x v="15"/>
    <s v="SUMINISTRO E INSTALACION DE PANELES VITRIFICADOS EN E1, E2, E3,E10,E11, E14,E15 Y E17"/>
    <s v="ASENT. H. SAN JUAN DE DIOS AMPL. CMTE 20 MZ L-2"/>
    <x v="44"/>
    <x v="0"/>
    <x v="0"/>
    <x v="1"/>
    <x v="111"/>
    <x v="0"/>
    <n v="4"/>
    <n v="192"/>
    <x v="0"/>
    <x v="1"/>
    <n v="9.433962264150943E-3"/>
    <x v="19"/>
    <x v="2"/>
    <s v="OK"/>
    <x v="0"/>
    <s v="OK"/>
    <x v="0"/>
    <x v="0"/>
    <n v="1"/>
    <n v="0"/>
    <n v="0"/>
    <n v="0"/>
    <x v="0"/>
    <x v="0"/>
    <x v="0"/>
  </r>
  <r>
    <n v="20508430681"/>
    <x v="23"/>
    <x v="23"/>
    <x v="1705"/>
    <x v="1711"/>
    <x v="1493"/>
    <n v="2"/>
    <x v="15"/>
    <s v="SUMINISTRO E INSTALACION DE PANELES VITRIFICADOS EN E1, E2, E3,E10,E11, E14,E15 Y E17"/>
    <s v="JR. MAYA DE BRITO 458"/>
    <x v="129"/>
    <x v="0"/>
    <x v="0"/>
    <x v="1"/>
    <x v="82"/>
    <x v="0"/>
    <n v="4"/>
    <n v="192"/>
    <x v="0"/>
    <x v="1"/>
    <n v="9.433962264150943E-3"/>
    <x v="14"/>
    <x v="2"/>
    <s v="OK"/>
    <x v="0"/>
    <s v="OK"/>
    <x v="0"/>
    <x v="0"/>
    <n v="1"/>
    <n v="0"/>
    <n v="0"/>
    <n v="0"/>
    <x v="0"/>
    <x v="0"/>
    <x v="0"/>
  </r>
  <r>
    <n v="20508430681"/>
    <x v="23"/>
    <x v="23"/>
    <x v="1706"/>
    <x v="1712"/>
    <x v="1494"/>
    <n v="1"/>
    <x v="115"/>
    <s v="SUMINISTRO E INSTALACION DE PANELES VITRIFICADOS EN E1, E2, E3,E10,E11, E14,E15 Y E17"/>
    <s v="JR. RAUL PILCO PEREZ 279"/>
    <x v="23"/>
    <x v="0"/>
    <x v="0"/>
    <x v="1"/>
    <x v="16"/>
    <x v="0"/>
    <n v="2"/>
    <n v="192"/>
    <x v="0"/>
    <x v="1"/>
    <n v="9.433962264150943E-3"/>
    <x v="19"/>
    <x v="2"/>
    <s v="OK"/>
    <x v="0"/>
    <s v="OK"/>
    <x v="0"/>
    <x v="0"/>
    <n v="1"/>
    <n v="0"/>
    <n v="0"/>
    <n v="0"/>
    <x v="0"/>
    <x v="0"/>
    <x v="0"/>
  </r>
  <r>
    <n v="20508430681"/>
    <x v="23"/>
    <x v="23"/>
    <x v="1707"/>
    <x v="1713"/>
    <x v="1495"/>
    <n v="2"/>
    <x v="2"/>
    <s v="SUMINISTRO E INSTALACION DE PANELES VITRIFICADOS EN E1, E2, E3,E10,E11, E14,E15 Y E17"/>
    <s v="AH VALLE DE JESUS MZ. H LT. 21"/>
    <x v="19"/>
    <x v="0"/>
    <x v="0"/>
    <x v="1"/>
    <x v="2"/>
    <x v="0"/>
    <n v="4"/>
    <n v="192"/>
    <x v="0"/>
    <x v="1"/>
    <n v="9.433962264150943E-3"/>
    <x v="18"/>
    <x v="2"/>
    <s v="OK"/>
    <x v="0"/>
    <s v="OK"/>
    <x v="0"/>
    <x v="0"/>
    <n v="1"/>
    <n v="0"/>
    <n v="0"/>
    <n v="0"/>
    <x v="0"/>
    <x v="0"/>
    <x v="0"/>
  </r>
  <r>
    <n v="20508430681"/>
    <x v="23"/>
    <x v="23"/>
    <x v="1708"/>
    <x v="1714"/>
    <x v="1496"/>
    <n v="2"/>
    <x v="15"/>
    <s v="SUMINISTRO E INSTALACION DE PANELES VITRIFICADOS EN E1, E2, E3,E10,E11, E14,E15 Y E17"/>
    <s v="CALLE JOSE OLAYA BARRIO LA PRIMAVERA MZ. J LT. 20"/>
    <x v="150"/>
    <x v="0"/>
    <x v="0"/>
    <x v="1"/>
    <x v="105"/>
    <x v="0"/>
    <n v="4"/>
    <n v="192"/>
    <x v="0"/>
    <x v="1"/>
    <n v="9.433962264150943E-3"/>
    <x v="14"/>
    <x v="2"/>
    <s v="OK"/>
    <x v="0"/>
    <s v="OK"/>
    <x v="0"/>
    <x v="0"/>
    <n v="1"/>
    <n v="0"/>
    <n v="0"/>
    <n v="0"/>
    <x v="0"/>
    <x v="0"/>
    <x v="0"/>
  </r>
  <r>
    <n v="20508430681"/>
    <x v="23"/>
    <x v="23"/>
    <x v="1709"/>
    <x v="1715"/>
    <x v="1497"/>
    <n v="2"/>
    <x v="38"/>
    <s v="SUMINISTRO E INSTALACION DE PANELES VITRIFICADOS EN E1, E2, E3,E10,E11, E14,E15 Y E17"/>
    <s v="LT. 14 A.H. ANDRES HURTADO DE MENDOZA"/>
    <x v="257"/>
    <x v="0"/>
    <x v="0"/>
    <x v="1"/>
    <x v="416"/>
    <x v="0"/>
    <n v="4"/>
    <n v="192"/>
    <x v="0"/>
    <x v="1"/>
    <n v="9.433962264150943E-3"/>
    <x v="19"/>
    <x v="2"/>
    <s v="OK"/>
    <x v="0"/>
    <s v="OK"/>
    <x v="0"/>
    <x v="0"/>
    <n v="1"/>
    <n v="0"/>
    <n v="0"/>
    <n v="0"/>
    <x v="0"/>
    <x v="0"/>
    <x v="0"/>
  </r>
  <r>
    <n v="20508430681"/>
    <x v="23"/>
    <x v="23"/>
    <x v="1710"/>
    <x v="1716"/>
    <x v="1498"/>
    <n v="2"/>
    <x v="15"/>
    <s v="SUMINISTRO E INSTALACION DE PANELES VITRIFICADOS EN E1, E2, E3,E10,E11, E14,E15 Y E17"/>
    <s v="AV. MARIANO CONDORCANQUI URB STA. AMELIA MZ. B LT. 1"/>
    <x v="0"/>
    <x v="0"/>
    <x v="0"/>
    <x v="1"/>
    <x v="21"/>
    <x v="0"/>
    <n v="4"/>
    <n v="192"/>
    <x v="0"/>
    <x v="1"/>
    <n v="9.433962264150943E-3"/>
    <x v="15"/>
    <x v="2"/>
    <s v="OK"/>
    <x v="0"/>
    <s v="OK"/>
    <x v="0"/>
    <x v="0"/>
    <n v="1"/>
    <n v="0"/>
    <n v="0"/>
    <n v="0"/>
    <x v="0"/>
    <x v="0"/>
    <x v="0"/>
  </r>
  <r>
    <n v="20508430681"/>
    <x v="23"/>
    <x v="23"/>
    <x v="1711"/>
    <x v="1717"/>
    <x v="1499"/>
    <n v="2"/>
    <x v="2"/>
    <s v="SUMINISTRO E INSTALACION DE PANELES VITRIFICADOS EN E1, E2, E3,E10,E11, E14,E15 Y E17"/>
    <s v="PSJE.JOSE DE LA CRUZ 142 URB.CHACARITAS"/>
    <x v="6"/>
    <x v="0"/>
    <x v="0"/>
    <x v="1"/>
    <x v="9"/>
    <x v="0"/>
    <n v="4"/>
    <n v="88"/>
    <x v="0"/>
    <x v="1"/>
    <n v="9.433962264150943E-3"/>
    <x v="14"/>
    <x v="2"/>
    <s v="OK"/>
    <x v="2"/>
    <s v="OK"/>
    <x v="0"/>
    <x v="0"/>
    <n v="1"/>
    <n v="1"/>
    <n v="1"/>
    <n v="0"/>
    <x v="0"/>
    <x v="0"/>
    <x v="1"/>
  </r>
  <r>
    <n v="20508430681"/>
    <x v="23"/>
    <x v="23"/>
    <x v="1712"/>
    <x v="1718"/>
    <x v="1500"/>
    <n v="2"/>
    <x v="15"/>
    <s v="SUMINISTRO E INSTALACION DE PANELES VITRIFICADOS EN E1, E2, E3,E10,E11, E14,E15 Y E17"/>
    <s v="CALLE CAJAMARCA 929"/>
    <x v="256"/>
    <x v="0"/>
    <x v="0"/>
    <x v="1"/>
    <x v="2"/>
    <x v="0"/>
    <n v="4"/>
    <n v="192"/>
    <x v="0"/>
    <x v="1"/>
    <n v="9.433962264150943E-3"/>
    <x v="17"/>
    <x v="2"/>
    <s v="OK"/>
    <x v="0"/>
    <s v="OK"/>
    <x v="0"/>
    <x v="0"/>
    <n v="1"/>
    <n v="0"/>
    <n v="0"/>
    <n v="0"/>
    <x v="0"/>
    <x v="0"/>
    <x v="0"/>
  </r>
  <r>
    <n v="20508430681"/>
    <x v="23"/>
    <x v="23"/>
    <x v="1713"/>
    <x v="1719"/>
    <x v="1501"/>
    <n v="2"/>
    <x v="15"/>
    <s v="SUMINISTRO E INSTALACION DE PANELES VITRIFICADOS EN E1, E2, E3,E10,E11, E14,E15 Y E17"/>
    <s v="MZ.C11 LT.19 SECTOR LEONCIO PRADO PAMPLONA ALTA"/>
    <x v="53"/>
    <x v="0"/>
    <x v="0"/>
    <x v="1"/>
    <x v="140"/>
    <x v="0"/>
    <n v="4"/>
    <n v="192"/>
    <x v="0"/>
    <x v="1"/>
    <n v="9.433962264150943E-3"/>
    <x v="17"/>
    <x v="2"/>
    <s v="OK"/>
    <x v="0"/>
    <s v="OK"/>
    <x v="0"/>
    <x v="0"/>
    <n v="1"/>
    <n v="0"/>
    <n v="0"/>
    <n v="0"/>
    <x v="0"/>
    <x v="0"/>
    <x v="0"/>
  </r>
  <r>
    <n v="20508430681"/>
    <x v="23"/>
    <x v="23"/>
    <x v="1714"/>
    <x v="1720"/>
    <x v="1042"/>
    <n v="1"/>
    <x v="155"/>
    <s v="SUMINISTRO E INSTALACION DE PANELES VITRIFICADOS EN E1, E2, E3,E10,E11, E14,E15 Y E17"/>
    <s v="JR. CAHUIDE 900 BLOCK 158 DPTO 402"/>
    <x v="51"/>
    <x v="0"/>
    <x v="0"/>
    <x v="1"/>
    <x v="364"/>
    <x v="0"/>
    <n v="2"/>
    <n v="192"/>
    <x v="0"/>
    <x v="1"/>
    <n v="9.433962264150943E-3"/>
    <x v="17"/>
    <x v="2"/>
    <s v="OK"/>
    <x v="0"/>
    <s v="OK"/>
    <x v="0"/>
    <x v="0"/>
    <n v="1"/>
    <n v="0"/>
    <n v="0"/>
    <n v="0"/>
    <x v="0"/>
    <x v="0"/>
    <x v="0"/>
  </r>
  <r>
    <n v="20508430681"/>
    <x v="23"/>
    <x v="23"/>
    <x v="1715"/>
    <x v="1721"/>
    <x v="1502"/>
    <n v="2"/>
    <x v="15"/>
    <s v="SUMINISTRO E INSTALACION DE PANELES VITRIFICADOS EN E1, E2, E3,E10,E11, E14,E15 Y E17"/>
    <s v="MZ. E4 LT.7 PORTADA III MANCHAY"/>
    <x v="58"/>
    <x v="0"/>
    <x v="0"/>
    <x v="1"/>
    <x v="54"/>
    <x v="0"/>
    <n v="4"/>
    <n v="192"/>
    <x v="0"/>
    <x v="1"/>
    <n v="9.433962264150943E-3"/>
    <x v="20"/>
    <x v="2"/>
    <s v="OK"/>
    <x v="0"/>
    <s v="OK"/>
    <x v="0"/>
    <x v="0"/>
    <n v="1"/>
    <n v="0"/>
    <n v="0"/>
    <n v="0"/>
    <x v="0"/>
    <x v="0"/>
    <x v="0"/>
  </r>
  <r>
    <n v="20508430681"/>
    <x v="23"/>
    <x v="23"/>
    <x v="1716"/>
    <x v="1722"/>
    <x v="1209"/>
    <n v="2"/>
    <x v="15"/>
    <s v="SUMINISTRO E INSTALACION DE PANELES VITRIFICADOS EN E1, E2, E3,E10,E11, E14,E15 Y E17"/>
    <s v="MZ. B LT. 24 ASOC. VIV. LAS TORRES DE COPACABANA"/>
    <x v="54"/>
    <x v="0"/>
    <x v="0"/>
    <x v="1"/>
    <x v="579"/>
    <x v="0"/>
    <n v="4"/>
    <n v="192"/>
    <x v="0"/>
    <x v="1"/>
    <n v="9.433962264150943E-3"/>
    <x v="21"/>
    <x v="2"/>
    <s v="OK"/>
    <x v="0"/>
    <s v="OK"/>
    <x v="0"/>
    <x v="0"/>
    <n v="1"/>
    <n v="0"/>
    <n v="0"/>
    <n v="0"/>
    <x v="0"/>
    <x v="0"/>
    <x v="0"/>
  </r>
  <r>
    <n v="20508430681"/>
    <x v="23"/>
    <x v="23"/>
    <x v="1717"/>
    <x v="1723"/>
    <x v="1503"/>
    <n v="2"/>
    <x v="15"/>
    <s v="SUMINISTRO E INSTALACION DE PANELES VITRIFICADOS EN E1, E2, E3,E10,E11, E14,E15 Y E17"/>
    <s v="ASENT.H. SAN PEDRO MZ. M LT. 44"/>
    <x v="90"/>
    <x v="0"/>
    <x v="0"/>
    <x v="1"/>
    <x v="105"/>
    <x v="0"/>
    <n v="4"/>
    <n v="192"/>
    <x v="0"/>
    <x v="1"/>
    <n v="9.433962264150943E-3"/>
    <x v="19"/>
    <x v="2"/>
    <s v="OK"/>
    <x v="0"/>
    <s v="OK"/>
    <x v="0"/>
    <x v="0"/>
    <n v="1"/>
    <n v="0"/>
    <n v="0"/>
    <n v="0"/>
    <x v="0"/>
    <x v="0"/>
    <x v="0"/>
  </r>
  <r>
    <n v="20508430681"/>
    <x v="23"/>
    <x v="23"/>
    <x v="1718"/>
    <x v="1724"/>
    <x v="1504"/>
    <n v="2"/>
    <x v="15"/>
    <s v="SUMINISTRO E INSTALACION DE PANELES VITRIFICADOS EN E1, E2, E3,E10,E11, E14,E15 Y E17"/>
    <s v="ASENT. LAMPA DE ORO MZ H LT 9 ETAPA II"/>
    <x v="3"/>
    <x v="0"/>
    <x v="0"/>
    <x v="1"/>
    <x v="111"/>
    <x v="0"/>
    <n v="4"/>
    <n v="192"/>
    <x v="0"/>
    <x v="1"/>
    <n v="9.433962264150943E-3"/>
    <x v="18"/>
    <x v="2"/>
    <s v="OK"/>
    <x v="0"/>
    <s v="OK"/>
    <x v="0"/>
    <x v="0"/>
    <n v="1"/>
    <n v="0"/>
    <n v="0"/>
    <n v="0"/>
    <x v="0"/>
    <x v="0"/>
    <x v="0"/>
  </r>
  <r>
    <n v="20508430681"/>
    <x v="23"/>
    <x v="23"/>
    <x v="1719"/>
    <x v="1725"/>
    <x v="1097"/>
    <n v="2"/>
    <x v="157"/>
    <s v="SUMINISTRO E INSTALACION DE PANELES VITRIFICADOS EN E1, E2, E3,E10,E11, E14,E15 Y E17"/>
    <s v="MZ. 38 LT 20 AH UPIS HUASCAR DE CANTO GRANDE"/>
    <x v="15"/>
    <x v="0"/>
    <x v="0"/>
    <x v="1"/>
    <x v="166"/>
    <x v="0"/>
    <n v="4"/>
    <n v="192"/>
    <x v="0"/>
    <x v="1"/>
    <n v="9.433962264150943E-3"/>
    <x v="21"/>
    <x v="2"/>
    <s v="OK"/>
    <x v="0"/>
    <s v="OK"/>
    <x v="0"/>
    <x v="0"/>
    <n v="1"/>
    <n v="0"/>
    <n v="0"/>
    <n v="0"/>
    <x v="0"/>
    <x v="0"/>
    <x v="0"/>
  </r>
  <r>
    <n v="20508430681"/>
    <x v="23"/>
    <x v="23"/>
    <x v="1720"/>
    <x v="1726"/>
    <x v="1505"/>
    <n v="2"/>
    <x v="15"/>
    <s v="SUMINISTRO E INSTALACION DE PANELES VITRIFICADOS EN E1, E2, E3,E10,E11, E14,E15 Y E17"/>
    <s v="CALLE AREQUIPA N° 385"/>
    <x v="3"/>
    <x v="0"/>
    <x v="0"/>
    <x v="1"/>
    <x v="462"/>
    <x v="0"/>
    <n v="4"/>
    <n v="192"/>
    <x v="0"/>
    <x v="1"/>
    <n v="9.433962264150943E-3"/>
    <x v="17"/>
    <x v="2"/>
    <s v="OK"/>
    <x v="0"/>
    <s v="OK"/>
    <x v="0"/>
    <x v="0"/>
    <n v="1"/>
    <n v="0"/>
    <n v="0"/>
    <n v="0"/>
    <x v="0"/>
    <x v="0"/>
    <x v="0"/>
  </r>
  <r>
    <n v="20508430681"/>
    <x v="23"/>
    <x v="23"/>
    <x v="1721"/>
    <x v="1727"/>
    <x v="1506"/>
    <n v="2"/>
    <x v="157"/>
    <s v="SUMINISTRO E INSTALACION DE PANELES VITRIFICADOS EN E1, E2, E3,E10,E11, E14,E15 Y E17"/>
    <s v="CALLE CASERILLO PACATAY BLOCK 1 PISO 1 CASERIO CASERIO PACATAY"/>
    <x v="255"/>
    <x v="0"/>
    <x v="0"/>
    <x v="1"/>
    <x v="185"/>
    <x v="0"/>
    <n v="4"/>
    <n v="192"/>
    <x v="0"/>
    <x v="1"/>
    <n v="9.433962264150943E-3"/>
    <x v="20"/>
    <x v="2"/>
    <s v="OK"/>
    <x v="0"/>
    <s v="OK"/>
    <x v="0"/>
    <x v="0"/>
    <n v="1"/>
    <n v="0"/>
    <n v="0"/>
    <n v="0"/>
    <x v="0"/>
    <x v="0"/>
    <x v="0"/>
  </r>
  <r>
    <n v="20508430681"/>
    <x v="23"/>
    <x v="23"/>
    <x v="1722"/>
    <x v="1728"/>
    <x v="1507"/>
    <n v="2"/>
    <x v="15"/>
    <s v="SUMINISTRO E INSTALACION DE PANELES VITRIFICADOS EN E1, E2, E3,E10,E11, E14,E15 Y E17"/>
    <s v="CALLE LA CULTURA MZ. H LT. 42"/>
    <x v="3"/>
    <x v="0"/>
    <x v="0"/>
    <x v="1"/>
    <x v="105"/>
    <x v="0"/>
    <n v="4"/>
    <n v="192"/>
    <x v="0"/>
    <x v="1"/>
    <n v="9.433962264150943E-3"/>
    <x v="19"/>
    <x v="2"/>
    <s v="OK"/>
    <x v="0"/>
    <s v="OK"/>
    <x v="0"/>
    <x v="0"/>
    <n v="1"/>
    <n v="0"/>
    <n v="0"/>
    <n v="0"/>
    <x v="0"/>
    <x v="0"/>
    <x v="0"/>
  </r>
  <r>
    <n v="20508430681"/>
    <x v="23"/>
    <x v="23"/>
    <x v="1723"/>
    <x v="1729"/>
    <x v="1250"/>
    <n v="2"/>
    <x v="15"/>
    <s v="SUMINISTRO E INSTALACION DE PANELES VITRIFICADOS EN E1, E2, E3,E10,E11, E14,E15 Y E17"/>
    <s v="CALLE LAS PALMAS PUEBLO JOVEN JULIO CESAR TELLO MZ. F2 LT 01"/>
    <x v="91"/>
    <x v="0"/>
    <x v="0"/>
    <x v="1"/>
    <x v="361"/>
    <x v="0"/>
    <n v="4"/>
    <n v="192"/>
    <x v="0"/>
    <x v="1"/>
    <n v="9.433962264150943E-3"/>
    <x v="20"/>
    <x v="2"/>
    <s v="OK"/>
    <x v="0"/>
    <s v="OK"/>
    <x v="0"/>
    <x v="0"/>
    <n v="1"/>
    <n v="0"/>
    <n v="0"/>
    <n v="0"/>
    <x v="0"/>
    <x v="0"/>
    <x v="0"/>
  </r>
  <r>
    <n v="20508430681"/>
    <x v="23"/>
    <x v="23"/>
    <x v="1724"/>
    <x v="1730"/>
    <x v="1508"/>
    <n v="2"/>
    <x v="15"/>
    <s v="SUMINISTRO E INSTALACION DE PANELES VITRIFICADOS EN E1, E2, E3,E10,E11, E14,E15 Y E17"/>
    <s v="AV. BRASIL 2037 URB FUNDO OYAGUE"/>
    <x v="51"/>
    <x v="0"/>
    <x v="0"/>
    <x v="1"/>
    <x v="16"/>
    <x v="0"/>
    <n v="4"/>
    <n v="192"/>
    <x v="0"/>
    <x v="1"/>
    <n v="9.433962264150943E-3"/>
    <x v="17"/>
    <x v="2"/>
    <s v="OK"/>
    <x v="0"/>
    <s v="OK"/>
    <x v="0"/>
    <x v="0"/>
    <n v="1"/>
    <n v="0"/>
    <n v="0"/>
    <n v="0"/>
    <x v="0"/>
    <x v="0"/>
    <x v="0"/>
  </r>
  <r>
    <n v="20508430681"/>
    <x v="23"/>
    <x v="23"/>
    <x v="1725"/>
    <x v="1731"/>
    <x v="1509"/>
    <n v="2"/>
    <x v="15"/>
    <s v="SUMINISTRO E INSTALACION DE PANELES VITRIFICADOS EN E1, E2, E3,E10,E11, E14,E15 Y E17"/>
    <s v="AA.HH. 4 DE DICIEMBRE MZ. D LT.4"/>
    <x v="44"/>
    <x v="0"/>
    <x v="0"/>
    <x v="1"/>
    <x v="149"/>
    <x v="0"/>
    <n v="4"/>
    <n v="192"/>
    <x v="0"/>
    <x v="1"/>
    <n v="9.433962264150943E-3"/>
    <x v="19"/>
    <x v="2"/>
    <s v="OK"/>
    <x v="0"/>
    <s v="OK"/>
    <x v="0"/>
    <x v="0"/>
    <n v="1"/>
    <n v="0"/>
    <n v="0"/>
    <n v="0"/>
    <x v="0"/>
    <x v="0"/>
    <x v="0"/>
  </r>
  <r>
    <n v="20508430681"/>
    <x v="23"/>
    <x v="23"/>
    <x v="1726"/>
    <x v="1732"/>
    <x v="1510"/>
    <n v="2"/>
    <x v="15"/>
    <s v="SUMINISTRO E INSTALACION DE PANELES VITRIFICADOS EN E1, E2, E3,E10,E11, E14,E15 Y E17"/>
    <s v="MZ. D LT. 06 ASENT.H HIROSHIMA"/>
    <x v="54"/>
    <x v="0"/>
    <x v="27"/>
    <x v="1"/>
    <x v="149"/>
    <x v="2"/>
    <n v="4"/>
    <n v="24"/>
    <x v="0"/>
    <x v="1"/>
    <n v="9.433962264150943E-3"/>
    <x v="19"/>
    <x v="2"/>
    <s v="OK"/>
    <x v="0"/>
    <s v="OK"/>
    <x v="0"/>
    <x v="0"/>
    <n v="1"/>
    <n v="0"/>
    <n v="0"/>
    <n v="1"/>
    <x v="0"/>
    <x v="1"/>
    <x v="0"/>
  </r>
  <r>
    <n v="20508430681"/>
    <x v="23"/>
    <x v="23"/>
    <x v="1727"/>
    <x v="1733"/>
    <x v="1511"/>
    <n v="2"/>
    <x v="15"/>
    <s v="SUMINISTRO E INSTALACION DE PANELES VITRIFICADOS EN E1, E2, E3,E10,E11, E14,E15 Y E17"/>
    <s v="CALLE LIMA 129 PSJ SANTA ROSA"/>
    <x v="217"/>
    <x v="0"/>
    <x v="0"/>
    <x v="1"/>
    <x v="277"/>
    <x v="0"/>
    <n v="4"/>
    <n v="192"/>
    <x v="0"/>
    <x v="1"/>
    <n v="9.433962264150943E-3"/>
    <x v="18"/>
    <x v="2"/>
    <s v="OK"/>
    <x v="0"/>
    <s v="OK"/>
    <x v="0"/>
    <x v="0"/>
    <n v="1"/>
    <n v="0"/>
    <n v="0"/>
    <n v="0"/>
    <x v="0"/>
    <x v="0"/>
    <x v="0"/>
  </r>
  <r>
    <s v="20600373863"/>
    <x v="25"/>
    <x v="24"/>
    <x v="1728"/>
    <x v="1734"/>
    <x v="1512"/>
    <n v="3"/>
    <x v="276"/>
    <s v="ESTACION 05 L4"/>
    <s v="URB FELIPE SALAVERRY TALARA ETAPA 1 MZ Z 16"/>
    <x v="90"/>
    <x v="0"/>
    <x v="0"/>
    <x v="1"/>
    <x v="580"/>
    <x v="0"/>
    <n v="1"/>
    <n v="286"/>
    <x v="0"/>
    <x v="1"/>
    <n v="4.9019607843137254E-3"/>
    <x v="14"/>
    <x v="2"/>
    <s v="OK"/>
    <x v="0"/>
    <s v="OK"/>
    <x v="0"/>
    <x v="0"/>
    <n v="1"/>
    <n v="0"/>
    <n v="0"/>
    <n v="0"/>
    <x v="0"/>
    <x v="0"/>
    <x v="0"/>
  </r>
  <r>
    <s v="20600373863"/>
    <x v="25"/>
    <x v="24"/>
    <x v="1729"/>
    <x v="1735"/>
    <x v="1513"/>
    <n v="3"/>
    <x v="163"/>
    <s v="ESTACION 03 L4"/>
    <s v="CALLE SAN ALBERTO MZ F2 LT. 20"/>
    <x v="86"/>
    <x v="0"/>
    <x v="0"/>
    <x v="1"/>
    <x v="581"/>
    <x v="0"/>
    <n v="1"/>
    <n v="286"/>
    <x v="0"/>
    <x v="1"/>
    <n v="4.9019607843137254E-3"/>
    <x v="22"/>
    <x v="2"/>
    <s v="OK"/>
    <x v="0"/>
    <s v="OK"/>
    <x v="0"/>
    <x v="0"/>
    <n v="1"/>
    <n v="0"/>
    <n v="0"/>
    <n v="0"/>
    <x v="0"/>
    <x v="0"/>
    <x v="0"/>
  </r>
  <r>
    <s v="20600373863"/>
    <x v="25"/>
    <x v="24"/>
    <x v="1730"/>
    <x v="1736"/>
    <x v="1514"/>
    <n v="3"/>
    <x v="159"/>
    <s v="ESTACION 05 L4"/>
    <s v="PSJ SAUCES AGRUPACION UNIDOS PARA EL DESARROLLO MZ D LOT 6"/>
    <x v="184"/>
    <x v="0"/>
    <x v="0"/>
    <x v="1"/>
    <x v="581"/>
    <x v="0"/>
    <n v="1"/>
    <n v="286"/>
    <x v="0"/>
    <x v="1"/>
    <n v="4.9019607843137254E-3"/>
    <x v="15"/>
    <x v="2"/>
    <s v="OK"/>
    <x v="0"/>
    <s v="OK"/>
    <x v="0"/>
    <x v="0"/>
    <n v="1"/>
    <n v="0"/>
    <n v="0"/>
    <n v="0"/>
    <x v="0"/>
    <x v="0"/>
    <x v="0"/>
  </r>
  <r>
    <s v="20600373863"/>
    <x v="25"/>
    <x v="24"/>
    <x v="1731"/>
    <x v="1737"/>
    <x v="1515"/>
    <n v="1"/>
    <x v="277"/>
    <s v="ESTACION 05 L4"/>
    <s v="CALLE A MZ B LOT 11 URB LA SAGRADA FAMILIA "/>
    <x v="151"/>
    <x v="0"/>
    <x v="0"/>
    <x v="1"/>
    <x v="367"/>
    <x v="0"/>
    <n v="1"/>
    <n v="286"/>
    <x v="0"/>
    <x v="1"/>
    <n v="4.9019607843137254E-3"/>
    <x v="22"/>
    <x v="2"/>
    <s v="OK"/>
    <x v="2"/>
    <s v="OK"/>
    <x v="0"/>
    <x v="0"/>
    <n v="1"/>
    <n v="1"/>
    <n v="0"/>
    <n v="0"/>
    <x v="0"/>
    <x v="0"/>
    <x v="0"/>
  </r>
  <r>
    <s v="20600373863"/>
    <x v="25"/>
    <x v="24"/>
    <x v="1732"/>
    <x v="1738"/>
    <x v="1516"/>
    <n v="3"/>
    <x v="159"/>
    <s v="ESTACION 06 L4"/>
    <s v="ASENT. H. RODRIGO FRANCO MZ M LOT 9"/>
    <x v="258"/>
    <x v="0"/>
    <x v="0"/>
    <x v="1"/>
    <x v="582"/>
    <x v="0"/>
    <n v="1"/>
    <n v="286"/>
    <x v="0"/>
    <x v="1"/>
    <n v="4.9019607843137254E-3"/>
    <x v="19"/>
    <x v="2"/>
    <s v="OK"/>
    <x v="0"/>
    <s v="OK"/>
    <x v="0"/>
    <x v="0"/>
    <n v="1"/>
    <n v="0"/>
    <n v="0"/>
    <n v="0"/>
    <x v="0"/>
    <x v="0"/>
    <x v="0"/>
  </r>
  <r>
    <s v="20600373863"/>
    <x v="25"/>
    <x v="24"/>
    <x v="1733"/>
    <x v="1739"/>
    <x v="1309"/>
    <n v="3"/>
    <x v="164"/>
    <s v="ESTACION 05 L4"/>
    <s v="JR TUNGAZUCA 189 AÑO NUEVO"/>
    <x v="0"/>
    <x v="0"/>
    <x v="0"/>
    <x v="1"/>
    <x v="368"/>
    <x v="0"/>
    <n v="1"/>
    <n v="286"/>
    <x v="0"/>
    <x v="1"/>
    <n v="4.9019607843137254E-3"/>
    <x v="14"/>
    <x v="2"/>
    <s v="OK"/>
    <x v="0"/>
    <s v="OK"/>
    <x v="0"/>
    <x v="0"/>
    <n v="1"/>
    <n v="0"/>
    <n v="0"/>
    <n v="0"/>
    <x v="0"/>
    <x v="0"/>
    <x v="0"/>
  </r>
  <r>
    <s v="20600373863"/>
    <x v="25"/>
    <x v="24"/>
    <x v="1734"/>
    <x v="1740"/>
    <x v="1517"/>
    <n v="3"/>
    <x v="205"/>
    <s v="ESTACION 06 L4"/>
    <s v="MZ. DI LOT. 12 ASOCC. AA.HH VALLE SAGRADO ANEX 22 JICAMARCA SCT III"/>
    <x v="95"/>
    <x v="0"/>
    <x v="0"/>
    <x v="1"/>
    <x v="583"/>
    <x v="0"/>
    <n v="1"/>
    <n v="286"/>
    <x v="0"/>
    <x v="1"/>
    <n v="4.9019607843137254E-3"/>
    <x v="22"/>
    <x v="2"/>
    <s v="OK"/>
    <x v="0"/>
    <s v="OK"/>
    <x v="0"/>
    <x v="0"/>
    <n v="1"/>
    <n v="0"/>
    <n v="0"/>
    <n v="0"/>
    <x v="0"/>
    <x v="0"/>
    <x v="0"/>
  </r>
  <r>
    <s v="20600373863"/>
    <x v="25"/>
    <x v="24"/>
    <x v="1735"/>
    <x v="1741"/>
    <x v="1460"/>
    <n v="3"/>
    <x v="163"/>
    <s v="ESTACION 05 L4"/>
    <s v="CALLE MELITON CARBAJAL 138 URB EL PORVENIR "/>
    <x v="217"/>
    <x v="0"/>
    <x v="0"/>
    <x v="1"/>
    <x v="584"/>
    <x v="0"/>
    <n v="1"/>
    <n v="286"/>
    <x v="0"/>
    <x v="1"/>
    <n v="4.9019607843137254E-3"/>
    <x v="17"/>
    <x v="2"/>
    <s v="OK"/>
    <x v="0"/>
    <s v="OK"/>
    <x v="0"/>
    <x v="0"/>
    <n v="1"/>
    <n v="0"/>
    <n v="0"/>
    <n v="0"/>
    <x v="0"/>
    <x v="0"/>
    <x v="0"/>
  </r>
  <r>
    <s v="20600373863"/>
    <x v="25"/>
    <x v="24"/>
    <x v="1736"/>
    <x v="1742"/>
    <x v="1518"/>
    <n v="1"/>
    <x v="278"/>
    <s v="ESTACION 05 L4"/>
    <s v="CALLE JUAN ANTONIO 290 URB LIGURIA "/>
    <x v="14"/>
    <x v="0"/>
    <x v="0"/>
    <x v="1"/>
    <x v="585"/>
    <x v="0"/>
    <n v="1"/>
    <n v="286"/>
    <x v="0"/>
    <x v="1"/>
    <n v="4.9019607843137254E-3"/>
    <x v="22"/>
    <x v="2"/>
    <s v="OK"/>
    <x v="0"/>
    <s v="OK"/>
    <x v="0"/>
    <x v="0"/>
    <n v="1"/>
    <n v="0"/>
    <n v="0"/>
    <n v="0"/>
    <x v="0"/>
    <x v="0"/>
    <x v="0"/>
  </r>
  <r>
    <s v="20600373863"/>
    <x v="25"/>
    <x v="24"/>
    <x v="1737"/>
    <x v="1743"/>
    <x v="1519"/>
    <n v="3"/>
    <x v="279"/>
    <s v="ESTACION 05 L4"/>
    <s v="CARR. A HUANUCO LT-30 CAS. SARIAPAMPA"/>
    <x v="259"/>
    <x v="0"/>
    <x v="0"/>
    <x v="1"/>
    <x v="586"/>
    <x v="0"/>
    <n v="1"/>
    <n v="286"/>
    <x v="0"/>
    <x v="1"/>
    <n v="4.9019607843137254E-3"/>
    <x v="19"/>
    <x v="2"/>
    <s v="OK"/>
    <x v="0"/>
    <s v="OK"/>
    <x v="0"/>
    <x v="0"/>
    <n v="1"/>
    <n v="0"/>
    <n v="0"/>
    <n v="0"/>
    <x v="0"/>
    <x v="0"/>
    <x v="0"/>
  </r>
  <r>
    <s v="20600373863"/>
    <x v="25"/>
    <x v="24"/>
    <x v="1738"/>
    <x v="1744"/>
    <x v="1520"/>
    <n v="3"/>
    <x v="98"/>
    <s v="ESTACION 05 L4"/>
    <s v="BUENOS AIRES 366 URB MOYOPAMPA-CHOSICA"/>
    <x v="50"/>
    <x v="0"/>
    <x v="0"/>
    <x v="1"/>
    <x v="587"/>
    <x v="0"/>
    <n v="1"/>
    <n v="286"/>
    <x v="0"/>
    <x v="1"/>
    <n v="4.9019607843137254E-3"/>
    <x v="22"/>
    <x v="2"/>
    <s v="OK"/>
    <x v="0"/>
    <s v="OK"/>
    <x v="0"/>
    <x v="0"/>
    <n v="1"/>
    <n v="0"/>
    <n v="0"/>
    <n v="0"/>
    <x v="0"/>
    <x v="0"/>
    <x v="0"/>
  </r>
  <r>
    <s v="20600373863"/>
    <x v="25"/>
    <x v="24"/>
    <x v="1739"/>
    <x v="1745"/>
    <x v="1521"/>
    <n v="3"/>
    <x v="269"/>
    <s v="ESTACION 06 L4"/>
    <s v="AV JOSE GALVEZ MZ E LOT 17"/>
    <x v="6"/>
    <x v="0"/>
    <x v="0"/>
    <x v="1"/>
    <x v="587"/>
    <x v="0"/>
    <n v="1"/>
    <n v="286"/>
    <x v="0"/>
    <x v="1"/>
    <n v="4.9019607843137254E-3"/>
    <x v="18"/>
    <x v="2"/>
    <s v="OK"/>
    <x v="2"/>
    <s v="OK"/>
    <x v="0"/>
    <x v="0"/>
    <n v="1"/>
    <n v="1"/>
    <n v="0"/>
    <n v="0"/>
    <x v="0"/>
    <x v="0"/>
    <x v="0"/>
  </r>
  <r>
    <s v="20600373863"/>
    <x v="25"/>
    <x v="24"/>
    <x v="1740"/>
    <x v="1746"/>
    <x v="1522"/>
    <n v="3"/>
    <x v="280"/>
    <s v="ESTACION 06 L4"/>
    <s v="MZ 95 LT 01 SECTOR SIMON BOLIVAR"/>
    <x v="260"/>
    <x v="0"/>
    <x v="0"/>
    <x v="1"/>
    <x v="588"/>
    <x v="0"/>
    <n v="1"/>
    <n v="286"/>
    <x v="0"/>
    <x v="1"/>
    <n v="4.9019607843137254E-3"/>
    <x v="22"/>
    <x v="2"/>
    <s v="OK"/>
    <x v="0"/>
    <s v="OK"/>
    <x v="0"/>
    <x v="0"/>
    <n v="1"/>
    <n v="0"/>
    <n v="0"/>
    <n v="0"/>
    <x v="0"/>
    <x v="0"/>
    <x v="0"/>
  </r>
  <r>
    <s v="20600373863"/>
    <x v="25"/>
    <x v="24"/>
    <x v="1741"/>
    <x v="1747"/>
    <x v="1523"/>
    <n v="3"/>
    <x v="212"/>
    <s v="ESTACION 06 L4"/>
    <s v="URB PEDREROS  M-.12"/>
    <x v="92"/>
    <x v="0"/>
    <x v="0"/>
    <x v="1"/>
    <x v="589"/>
    <x v="0"/>
    <n v="1"/>
    <n v="286"/>
    <x v="0"/>
    <x v="1"/>
    <n v="4.9019607843137254E-3"/>
    <x v="16"/>
    <x v="2"/>
    <s v="OK"/>
    <x v="0"/>
    <s v="OK"/>
    <x v="0"/>
    <x v="0"/>
    <n v="1"/>
    <n v="0"/>
    <n v="0"/>
    <n v="0"/>
    <x v="0"/>
    <x v="0"/>
    <x v="0"/>
  </r>
  <r>
    <s v="20600373863"/>
    <x v="25"/>
    <x v="24"/>
    <x v="1742"/>
    <x v="1748"/>
    <x v="1524"/>
    <n v="3"/>
    <x v="163"/>
    <s v="ESTACION 05 L4"/>
    <s v="A.H 25 DE DICIEMBRE MZ G LOT 4 PJ 25 DE DICIEMBRE "/>
    <x v="174"/>
    <x v="0"/>
    <x v="0"/>
    <x v="1"/>
    <x v="590"/>
    <x v="0"/>
    <n v="1"/>
    <n v="286"/>
    <x v="0"/>
    <x v="1"/>
    <n v="4.9019607843137254E-3"/>
    <x v="20"/>
    <x v="2"/>
    <s v="OK"/>
    <x v="0"/>
    <s v="OK"/>
    <x v="0"/>
    <x v="0"/>
    <n v="1"/>
    <n v="0"/>
    <n v="0"/>
    <n v="0"/>
    <x v="0"/>
    <x v="0"/>
    <x v="0"/>
  </r>
  <r>
    <s v="20600373863"/>
    <x v="25"/>
    <x v="24"/>
    <x v="1743"/>
    <x v="1749"/>
    <x v="1525"/>
    <n v="1"/>
    <x v="84"/>
    <s v="ESTACION 05 L4"/>
    <s v="JR ANDAHUALYAS  186"/>
    <x v="10"/>
    <x v="0"/>
    <x v="0"/>
    <x v="1"/>
    <x v="591"/>
    <x v="0"/>
    <n v="1"/>
    <n v="286"/>
    <x v="0"/>
    <x v="1"/>
    <n v="4.9019607843137254E-3"/>
    <x v="15"/>
    <x v="2"/>
    <s v="OK"/>
    <x v="0"/>
    <s v="OK"/>
    <x v="0"/>
    <x v="0"/>
    <n v="1"/>
    <n v="0"/>
    <n v="0"/>
    <n v="0"/>
    <x v="0"/>
    <x v="0"/>
    <x v="0"/>
  </r>
  <r>
    <s v="20600373863"/>
    <x v="25"/>
    <x v="24"/>
    <x v="1744"/>
    <x v="1750"/>
    <x v="1526"/>
    <n v="3"/>
    <x v="158"/>
    <s v="ESTACION 03 L4"/>
    <s v="URB. DERRAMA MAGISTERIAL MZ P2 LOTE 20"/>
    <x v="217"/>
    <x v="0"/>
    <x v="0"/>
    <x v="1"/>
    <x v="372"/>
    <x v="0"/>
    <n v="1"/>
    <n v="286"/>
    <x v="0"/>
    <x v="1"/>
    <n v="4.9019607843137254E-3"/>
    <x v="16"/>
    <x v="2"/>
    <s v="OK"/>
    <x v="0"/>
    <s v="OK"/>
    <x v="0"/>
    <x v="0"/>
    <n v="1"/>
    <n v="0"/>
    <n v="0"/>
    <n v="0"/>
    <x v="0"/>
    <x v="0"/>
    <x v="0"/>
  </r>
  <r>
    <s v="20600373863"/>
    <x v="25"/>
    <x v="24"/>
    <x v="1745"/>
    <x v="1751"/>
    <x v="1527"/>
    <n v="1"/>
    <x v="277"/>
    <s v="ESTACION 05 L4"/>
    <s v="ASOC DE VIV. CHILLON MZ Ñ LOT 24"/>
    <x v="4"/>
    <x v="0"/>
    <x v="0"/>
    <x v="1"/>
    <x v="592"/>
    <x v="3"/>
    <n v="1"/>
    <n v="33"/>
    <x v="0"/>
    <x v="1"/>
    <n v="4.9019607843137254E-3"/>
    <x v="20"/>
    <x v="2"/>
    <s v="OK"/>
    <x v="0"/>
    <s v="OK"/>
    <x v="0"/>
    <x v="0"/>
    <n v="1"/>
    <n v="0"/>
    <n v="0"/>
    <n v="0"/>
    <x v="0"/>
    <x v="0"/>
    <x v="0"/>
  </r>
  <r>
    <s v="20600373863"/>
    <x v="25"/>
    <x v="24"/>
    <x v="1746"/>
    <x v="1752"/>
    <x v="1528"/>
    <n v="3"/>
    <x v="281"/>
    <s v="ESTACION 05 L4"/>
    <s v="MARISCAL CACERES  MZ A LOT 3"/>
    <x v="15"/>
    <x v="0"/>
    <x v="0"/>
    <x v="1"/>
    <x v="593"/>
    <x v="3"/>
    <n v="1"/>
    <n v="33"/>
    <x v="0"/>
    <x v="1"/>
    <n v="4.9019607843137254E-3"/>
    <x v="20"/>
    <x v="2"/>
    <s v="OK"/>
    <x v="0"/>
    <s v="OK"/>
    <x v="0"/>
    <x v="0"/>
    <n v="1"/>
    <n v="0"/>
    <n v="0"/>
    <n v="0"/>
    <x v="0"/>
    <x v="0"/>
    <x v="0"/>
  </r>
  <r>
    <s v="20600373863"/>
    <x v="25"/>
    <x v="24"/>
    <x v="1747"/>
    <x v="1753"/>
    <x v="1529"/>
    <n v="3"/>
    <x v="164"/>
    <s v="ESTACION 05 L4"/>
    <s v="PARQUE INDUSTRIAL JR SOLIDARIDAD CDR 8"/>
    <x v="19"/>
    <x v="0"/>
    <x v="0"/>
    <x v="1"/>
    <x v="594"/>
    <x v="0"/>
    <n v="1"/>
    <n v="286"/>
    <x v="0"/>
    <x v="1"/>
    <n v="4.9019607843137254E-3"/>
    <x v="20"/>
    <x v="2"/>
    <s v="OK"/>
    <x v="0"/>
    <s v="OK"/>
    <x v="0"/>
    <x v="0"/>
    <n v="1"/>
    <n v="0"/>
    <n v="0"/>
    <n v="0"/>
    <x v="0"/>
    <x v="0"/>
    <x v="0"/>
  </r>
  <r>
    <s v="20600373863"/>
    <x v="25"/>
    <x v="24"/>
    <x v="1748"/>
    <x v="1754"/>
    <x v="1076"/>
    <n v="1"/>
    <x v="282"/>
    <s v="ESTACION 05 L4"/>
    <s v="CALLE ANTARES 320"/>
    <x v="77"/>
    <x v="0"/>
    <x v="0"/>
    <x v="8"/>
    <x v="595"/>
    <x v="0"/>
    <n v="1"/>
    <n v="286"/>
    <x v="0"/>
    <x v="1"/>
    <n v="4.9019607843137254E-3"/>
    <x v="22"/>
    <x v="2"/>
    <s v="OK"/>
    <x v="0"/>
    <s v="OK"/>
    <x v="0"/>
    <x v="0"/>
    <n v="1"/>
    <n v="0"/>
    <n v="0"/>
    <n v="0"/>
    <x v="0"/>
    <x v="0"/>
    <x v="0"/>
  </r>
  <r>
    <s v="20600373863"/>
    <x v="25"/>
    <x v="24"/>
    <x v="1749"/>
    <x v="1755"/>
    <x v="1530"/>
    <n v="3"/>
    <x v="283"/>
    <s v="ESTACION 05 L4"/>
    <s v="MZ JM LOT 20 SECTRO 6 GRUPO 1"/>
    <x v="164"/>
    <x v="0"/>
    <x v="0"/>
    <x v="1"/>
    <x v="595"/>
    <x v="0"/>
    <n v="1"/>
    <n v="286"/>
    <x v="0"/>
    <x v="1"/>
    <n v="4.9019607843137254E-3"/>
    <x v="18"/>
    <x v="2"/>
    <s v="OK"/>
    <x v="0"/>
    <s v="OK"/>
    <x v="0"/>
    <x v="0"/>
    <n v="1"/>
    <n v="0"/>
    <n v="0"/>
    <n v="0"/>
    <x v="0"/>
    <x v="0"/>
    <x v="0"/>
  </r>
  <r>
    <s v="20600373863"/>
    <x v="25"/>
    <x v="24"/>
    <x v="1750"/>
    <x v="1756"/>
    <x v="1531"/>
    <n v="3"/>
    <x v="158"/>
    <s v="ESTACION 05 L4"/>
    <s v="Mz. H  Lt. 10 Asent.H. Manuel Scorza "/>
    <x v="46"/>
    <x v="0"/>
    <x v="0"/>
    <x v="1"/>
    <x v="596"/>
    <x v="0"/>
    <n v="1"/>
    <n v="286"/>
    <x v="0"/>
    <x v="1"/>
    <n v="4.9019607843137254E-3"/>
    <x v="22"/>
    <x v="2"/>
    <s v="OK"/>
    <x v="7"/>
    <s v="OK"/>
    <x v="0"/>
    <x v="0"/>
    <n v="1"/>
    <n v="1"/>
    <n v="0"/>
    <n v="0"/>
    <x v="0"/>
    <x v="0"/>
    <x v="0"/>
  </r>
  <r>
    <s v="20600373863"/>
    <x v="25"/>
    <x v="24"/>
    <x v="1751"/>
    <x v="1757"/>
    <x v="1532"/>
    <n v="3"/>
    <x v="280"/>
    <s v="ESTACION 05 L4"/>
    <s v="URB. SAN VALENTIN ETAPA 1 MZ. D LT. 15"/>
    <x v="3"/>
    <x v="0"/>
    <x v="0"/>
    <x v="1"/>
    <x v="597"/>
    <x v="3"/>
    <n v="1"/>
    <n v="33"/>
    <x v="0"/>
    <x v="1"/>
    <n v="4.9019607843137254E-3"/>
    <x v="21"/>
    <x v="2"/>
    <s v="OK"/>
    <x v="0"/>
    <s v="OK"/>
    <x v="0"/>
    <x v="0"/>
    <n v="1"/>
    <n v="0"/>
    <n v="0"/>
    <n v="0"/>
    <x v="0"/>
    <x v="0"/>
    <x v="0"/>
  </r>
  <r>
    <s v="20600373863"/>
    <x v="25"/>
    <x v="24"/>
    <x v="1752"/>
    <x v="1758"/>
    <x v="1533"/>
    <n v="3"/>
    <x v="284"/>
    <s v="ESTACION 05 L4"/>
    <s v="MZ D LOT 15 URB VULCANO ASOC SAN PEDRO "/>
    <x v="1"/>
    <x v="0"/>
    <x v="0"/>
    <x v="1"/>
    <x v="299"/>
    <x v="0"/>
    <n v="1"/>
    <n v="286"/>
    <x v="0"/>
    <x v="1"/>
    <n v="4.9019607843137254E-3"/>
    <x v="14"/>
    <x v="2"/>
    <s v="OK"/>
    <x v="1"/>
    <s v="OK"/>
    <x v="0"/>
    <x v="0"/>
    <n v="1"/>
    <n v="1"/>
    <n v="0"/>
    <n v="0"/>
    <x v="0"/>
    <x v="0"/>
    <x v="0"/>
  </r>
  <r>
    <s v="20600373863"/>
    <x v="25"/>
    <x v="24"/>
    <x v="1753"/>
    <x v="1759"/>
    <x v="1391"/>
    <n v="1"/>
    <x v="141"/>
    <s v="ESTACION 05 L4"/>
    <s v="JR JULIO C TELLO 106"/>
    <x v="142"/>
    <x v="1"/>
    <x v="0"/>
    <x v="1"/>
    <x v="598"/>
    <x v="0"/>
    <n v="1"/>
    <n v="286"/>
    <x v="0"/>
    <x v="1"/>
    <n v="4.9019607843137254E-3"/>
    <x v="15"/>
    <x v="2"/>
    <s v="OK"/>
    <x v="0"/>
    <s v="OK"/>
    <x v="0"/>
    <x v="0"/>
    <n v="1"/>
    <n v="0"/>
    <n v="0"/>
    <n v="0"/>
    <x v="0"/>
    <x v="0"/>
    <x v="0"/>
  </r>
  <r>
    <s v="20600373863"/>
    <x v="25"/>
    <x v="24"/>
    <x v="1754"/>
    <x v="1760"/>
    <x v="1534"/>
    <n v="1"/>
    <x v="120"/>
    <s v="ESTACION 06 L4"/>
    <s v="JR ICA 246"/>
    <x v="261"/>
    <x v="0"/>
    <x v="0"/>
    <x v="1"/>
    <x v="598"/>
    <x v="0"/>
    <n v="1"/>
    <n v="286"/>
    <x v="0"/>
    <x v="1"/>
    <n v="4.9019607843137254E-3"/>
    <x v="18"/>
    <x v="2"/>
    <s v="OK"/>
    <x v="0"/>
    <s v="OK"/>
    <x v="0"/>
    <x v="0"/>
    <n v="1"/>
    <n v="0"/>
    <n v="0"/>
    <n v="0"/>
    <x v="0"/>
    <x v="0"/>
    <x v="0"/>
  </r>
  <r>
    <s v="20600373863"/>
    <x v="25"/>
    <x v="24"/>
    <x v="1755"/>
    <x v="1761"/>
    <x v="1535"/>
    <n v="1"/>
    <x v="165"/>
    <s v="ESTACION 05 L4"/>
    <s v="CALLE LAS ORQUIDEAS 2619 "/>
    <x v="155"/>
    <x v="1"/>
    <x v="0"/>
    <x v="1"/>
    <x v="598"/>
    <x v="3"/>
    <n v="1"/>
    <n v="33"/>
    <x v="0"/>
    <x v="1"/>
    <n v="4.9019607843137254E-3"/>
    <x v="20"/>
    <x v="2"/>
    <s v="OK"/>
    <x v="0"/>
    <s v="OK"/>
    <x v="0"/>
    <x v="0"/>
    <n v="1"/>
    <n v="0"/>
    <n v="0"/>
    <n v="0"/>
    <x v="0"/>
    <x v="0"/>
    <x v="0"/>
  </r>
  <r>
    <s v="20600373863"/>
    <x v="25"/>
    <x v="24"/>
    <x v="1756"/>
    <x v="1762"/>
    <x v="1536"/>
    <n v="1"/>
    <x v="285"/>
    <s v="ESTACION 05 L4"/>
    <s v="CALLE ANTARES 320"/>
    <x v="77"/>
    <x v="0"/>
    <x v="0"/>
    <x v="9"/>
    <x v="376"/>
    <x v="3"/>
    <n v="1"/>
    <n v="33"/>
    <x v="0"/>
    <x v="1"/>
    <n v="4.9019607843137254E-3"/>
    <x v="15"/>
    <x v="2"/>
    <s v="OK"/>
    <x v="0"/>
    <s v="OK"/>
    <x v="0"/>
    <x v="0"/>
    <n v="1"/>
    <n v="0"/>
    <n v="0"/>
    <n v="0"/>
    <x v="0"/>
    <x v="0"/>
    <x v="0"/>
  </r>
  <r>
    <s v="20600373863"/>
    <x v="25"/>
    <x v="24"/>
    <x v="1757"/>
    <x v="1763"/>
    <x v="1537"/>
    <n v="3"/>
    <x v="286"/>
    <s v="ESTACION 05 L4"/>
    <s v="ASENT. H. JOSE CARLOS MARIATEGUI _x000d__x000a_MZ. R-1 LT. 44-SAN JUAN DE LURIGANCHO-LIMA-LIMA"/>
    <x v="15"/>
    <x v="0"/>
    <x v="0"/>
    <x v="1"/>
    <x v="599"/>
    <x v="0"/>
    <n v="1"/>
    <n v="286"/>
    <x v="0"/>
    <x v="1"/>
    <n v="4.9019607843137254E-3"/>
    <x v="17"/>
    <x v="2"/>
    <s v="OK"/>
    <x v="0"/>
    <s v="OK"/>
    <x v="0"/>
    <x v="0"/>
    <n v="1"/>
    <n v="0"/>
    <n v="0"/>
    <n v="0"/>
    <x v="0"/>
    <x v="0"/>
    <x v="0"/>
  </r>
  <r>
    <s v="20600373863"/>
    <x v="25"/>
    <x v="24"/>
    <x v="1758"/>
    <x v="1764"/>
    <x v="1538"/>
    <n v="3"/>
    <x v="6"/>
    <s v="ESTACION 05 L4"/>
    <s v="PSJ PROCERES  ASOC  PALERMO MZ D LOT 6"/>
    <x v="10"/>
    <x v="1"/>
    <x v="0"/>
    <x v="1"/>
    <x v="600"/>
    <x v="0"/>
    <n v="1"/>
    <n v="286"/>
    <x v="0"/>
    <x v="1"/>
    <n v="4.9019607843137254E-3"/>
    <x v="18"/>
    <x v="2"/>
    <s v="OK"/>
    <x v="0"/>
    <s v="OK"/>
    <x v="0"/>
    <x v="0"/>
    <n v="1"/>
    <n v="0"/>
    <n v="0"/>
    <n v="0"/>
    <x v="0"/>
    <x v="0"/>
    <x v="0"/>
  </r>
  <r>
    <s v="20600373863"/>
    <x v="25"/>
    <x v="24"/>
    <x v="1759"/>
    <x v="1765"/>
    <x v="1539"/>
    <n v="3"/>
    <x v="284"/>
    <s v="ESTACION 05 L4"/>
    <s v="VINCHOS "/>
    <x v="262"/>
    <x v="0"/>
    <x v="0"/>
    <x v="1"/>
    <x v="601"/>
    <x v="0"/>
    <n v="1"/>
    <n v="286"/>
    <x v="0"/>
    <x v="1"/>
    <n v="4.9019607843137254E-3"/>
    <x v="20"/>
    <x v="2"/>
    <s v="OK"/>
    <x v="0"/>
    <s v="OK"/>
    <x v="0"/>
    <x v="0"/>
    <n v="1"/>
    <n v="0"/>
    <n v="0"/>
    <n v="0"/>
    <x v="0"/>
    <x v="0"/>
    <x v="0"/>
  </r>
  <r>
    <s v="20600373863"/>
    <x v="25"/>
    <x v="24"/>
    <x v="1760"/>
    <x v="1766"/>
    <x v="1540"/>
    <n v="1"/>
    <x v="287"/>
    <s v="ESTACION 03 L4"/>
    <s v="ASET HUM UPIS CIUDAD DE LIMA MZ C LOT 07"/>
    <x v="0"/>
    <x v="0"/>
    <x v="0"/>
    <x v="1"/>
    <x v="602"/>
    <x v="0"/>
    <n v="1"/>
    <n v="286"/>
    <x v="0"/>
    <x v="1"/>
    <n v="4.9019607843137254E-3"/>
    <x v="19"/>
    <x v="2"/>
    <s v="OK"/>
    <x v="0"/>
    <s v="OK"/>
    <x v="0"/>
    <x v="0"/>
    <n v="1"/>
    <n v="0"/>
    <n v="0"/>
    <n v="0"/>
    <x v="0"/>
    <x v="0"/>
    <x v="0"/>
  </r>
  <r>
    <s v="20600373863"/>
    <x v="25"/>
    <x v="24"/>
    <x v="1761"/>
    <x v="1767"/>
    <x v="1462"/>
    <n v="3"/>
    <x v="288"/>
    <s v="ESTACION 06 L4"/>
    <s v="JR JOSE GALVEZ 272"/>
    <x v="182"/>
    <x v="0"/>
    <x v="0"/>
    <x v="1"/>
    <x v="603"/>
    <x v="0"/>
    <n v="1"/>
    <n v="286"/>
    <x v="0"/>
    <x v="1"/>
    <n v="4.9019607843137254E-3"/>
    <x v="16"/>
    <x v="2"/>
    <s v="OK"/>
    <x v="2"/>
    <s v="OK"/>
    <x v="0"/>
    <x v="0"/>
    <n v="1"/>
    <n v="1"/>
    <n v="0"/>
    <n v="0"/>
    <x v="0"/>
    <x v="0"/>
    <x v="0"/>
  </r>
  <r>
    <s v="20600373863"/>
    <x v="25"/>
    <x v="24"/>
    <x v="1762"/>
    <x v="1768"/>
    <x v="1541"/>
    <n v="3"/>
    <x v="281"/>
    <s v="ESTACION 05 L4"/>
    <s v="BARRIO SANTA ROSA "/>
    <x v="263"/>
    <x v="0"/>
    <x v="0"/>
    <x v="1"/>
    <x v="604"/>
    <x v="3"/>
    <n v="1"/>
    <n v="286"/>
    <x v="0"/>
    <x v="1"/>
    <n v="4.9019607843137254E-3"/>
    <x v="16"/>
    <x v="2"/>
    <s v="OK"/>
    <x v="0"/>
    <s v="OK"/>
    <x v="0"/>
    <x v="0"/>
    <n v="1"/>
    <n v="0"/>
    <n v="0"/>
    <n v="0"/>
    <x v="0"/>
    <x v="0"/>
    <x v="0"/>
  </r>
  <r>
    <s v="20600373863"/>
    <x v="25"/>
    <x v="24"/>
    <x v="1763"/>
    <x v="1769"/>
    <x v="1542"/>
    <n v="3"/>
    <x v="289"/>
    <s v="ESTACION 06 L4"/>
    <s v="AH TUPAC AMARU ZONA 1"/>
    <x v="1"/>
    <x v="0"/>
    <x v="0"/>
    <x v="1"/>
    <x v="605"/>
    <x v="0"/>
    <n v="1"/>
    <n v="286"/>
    <x v="0"/>
    <x v="1"/>
    <n v="4.9019607843137254E-3"/>
    <x v="20"/>
    <x v="2"/>
    <s v="OK"/>
    <x v="1"/>
    <s v="OK"/>
    <x v="0"/>
    <x v="0"/>
    <n v="1"/>
    <n v="1"/>
    <n v="0"/>
    <n v="0"/>
    <x v="0"/>
    <x v="0"/>
    <x v="0"/>
  </r>
  <r>
    <s v="20600373863"/>
    <x v="25"/>
    <x v="24"/>
    <x v="1764"/>
    <x v="1770"/>
    <x v="978"/>
    <n v="3"/>
    <x v="163"/>
    <s v="ESTACION 05 L4"/>
    <s v="MZ A LOT 16 ASENT H JOSE SABOGAL "/>
    <x v="15"/>
    <x v="0"/>
    <x v="0"/>
    <x v="1"/>
    <x v="606"/>
    <x v="0"/>
    <n v="1"/>
    <n v="286"/>
    <x v="0"/>
    <x v="1"/>
    <n v="4.9019607843137254E-3"/>
    <x v="17"/>
    <x v="2"/>
    <s v="OK"/>
    <x v="0"/>
    <s v="OK"/>
    <x v="0"/>
    <x v="0"/>
    <n v="1"/>
    <n v="0"/>
    <n v="0"/>
    <n v="0"/>
    <x v="0"/>
    <x v="0"/>
    <x v="0"/>
  </r>
  <r>
    <s v="20600373863"/>
    <x v="25"/>
    <x v="24"/>
    <x v="1765"/>
    <x v="1771"/>
    <x v="1543"/>
    <n v="3"/>
    <x v="172"/>
    <s v="ESTACION 06 L4"/>
    <s v="CALLE JESUS PAENZ 240"/>
    <x v="264"/>
    <x v="0"/>
    <x v="27"/>
    <x v="1"/>
    <x v="383"/>
    <x v="2"/>
    <n v="1"/>
    <n v="33"/>
    <x v="0"/>
    <x v="1"/>
    <n v="4.9019607843137254E-3"/>
    <x v="15"/>
    <x v="2"/>
    <s v="OK"/>
    <x v="0"/>
    <s v="OK"/>
    <x v="0"/>
    <x v="0"/>
    <n v="1"/>
    <n v="0"/>
    <n v="0"/>
    <n v="1"/>
    <x v="0"/>
    <x v="1"/>
    <x v="0"/>
  </r>
  <r>
    <s v="20600373863"/>
    <x v="25"/>
    <x v="24"/>
    <x v="1766"/>
    <x v="1772"/>
    <x v="1544"/>
    <n v="3"/>
    <x v="290"/>
    <s v="ESTACION 05 L4"/>
    <s v="ASENT H SS JUAN PABLO II MZ N4 LOT 16"/>
    <x v="15"/>
    <x v="0"/>
    <x v="0"/>
    <x v="1"/>
    <x v="607"/>
    <x v="0"/>
    <n v="1"/>
    <n v="286"/>
    <x v="0"/>
    <x v="1"/>
    <n v="4.9019607843137254E-3"/>
    <x v="15"/>
    <x v="2"/>
    <s v="OK"/>
    <x v="0"/>
    <s v="OK"/>
    <x v="0"/>
    <x v="0"/>
    <n v="1"/>
    <n v="0"/>
    <n v="0"/>
    <n v="0"/>
    <x v="0"/>
    <x v="0"/>
    <x v="0"/>
  </r>
  <r>
    <s v="20600373863"/>
    <x v="25"/>
    <x v="24"/>
    <x v="1767"/>
    <x v="1773"/>
    <x v="1545"/>
    <n v="3"/>
    <x v="291"/>
    <s v="ESTACION 06 L4"/>
    <s v="MZ. G LT.46 ASOC. EL LUCUMO"/>
    <x v="1"/>
    <x v="0"/>
    <x v="0"/>
    <x v="1"/>
    <x v="608"/>
    <x v="0"/>
    <n v="1"/>
    <n v="286"/>
    <x v="0"/>
    <x v="1"/>
    <n v="4.9019607843137254E-3"/>
    <x v="16"/>
    <x v="2"/>
    <s v="OK"/>
    <x v="1"/>
    <s v="OK"/>
    <x v="0"/>
    <x v="0"/>
    <n v="1"/>
    <n v="1"/>
    <n v="0"/>
    <n v="0"/>
    <x v="0"/>
    <x v="0"/>
    <x v="0"/>
  </r>
  <r>
    <s v="20600373863"/>
    <x v="25"/>
    <x v="24"/>
    <x v="1768"/>
    <x v="1774"/>
    <x v="1406"/>
    <n v="3"/>
    <x v="288"/>
    <s v="ESTACION 05 L4"/>
    <s v="CALLE EL MORRO MZ. A LT. 21 ASENT. H. CIUDAD DE LOS CONSTRUCTORES"/>
    <x v="15"/>
    <x v="0"/>
    <x v="0"/>
    <x v="1"/>
    <x v="609"/>
    <x v="0"/>
    <n v="1"/>
    <n v="286"/>
    <x v="0"/>
    <x v="1"/>
    <n v="4.9019607843137254E-3"/>
    <x v="19"/>
    <x v="2"/>
    <s v="OK"/>
    <x v="0"/>
    <s v="OK"/>
    <x v="0"/>
    <x v="0"/>
    <n v="1"/>
    <n v="0"/>
    <n v="0"/>
    <n v="0"/>
    <x v="0"/>
    <x v="0"/>
    <x v="0"/>
  </r>
  <r>
    <s v="20600373863"/>
    <x v="25"/>
    <x v="24"/>
    <x v="1769"/>
    <x v="1775"/>
    <x v="1546"/>
    <n v="3"/>
    <x v="163"/>
    <s v="ESTACION 05 L4"/>
    <s v="CALLE LOS GERANIOS AH JAZMINES DEL NARANJAL MZ A LT A1"/>
    <x v="3"/>
    <x v="0"/>
    <x v="0"/>
    <x v="1"/>
    <x v="524"/>
    <x v="0"/>
    <n v="1"/>
    <n v="286"/>
    <x v="0"/>
    <x v="1"/>
    <n v="4.9019607843137254E-3"/>
    <x v="18"/>
    <x v="2"/>
    <s v="OK"/>
    <x v="0"/>
    <s v="OK"/>
    <x v="0"/>
    <x v="0"/>
    <n v="1"/>
    <n v="0"/>
    <n v="0"/>
    <n v="0"/>
    <x v="0"/>
    <x v="0"/>
    <x v="0"/>
  </r>
  <r>
    <s v="20600373863"/>
    <x v="25"/>
    <x v="24"/>
    <x v="1770"/>
    <x v="1776"/>
    <x v="1547"/>
    <n v="3"/>
    <x v="205"/>
    <s v="ESTACION 06 L4"/>
    <s v="CALLE MARIANO ANGULO 2583 MIRONES BAJO"/>
    <x v="10"/>
    <x v="0"/>
    <x v="0"/>
    <x v="1"/>
    <x v="31"/>
    <x v="3"/>
    <n v="1"/>
    <n v="286"/>
    <x v="0"/>
    <x v="1"/>
    <n v="4.9019607843137254E-3"/>
    <x v="21"/>
    <x v="2"/>
    <s v="OK"/>
    <x v="0"/>
    <s v="OK"/>
    <x v="0"/>
    <x v="0"/>
    <n v="1"/>
    <n v="0"/>
    <n v="0"/>
    <n v="0"/>
    <x v="0"/>
    <x v="0"/>
    <x v="0"/>
  </r>
  <r>
    <s v="20600373863"/>
    <x v="25"/>
    <x v="24"/>
    <x v="1771"/>
    <x v="1777"/>
    <x v="1548"/>
    <n v="3"/>
    <x v="178"/>
    <s v="ESTACION 03 L4"/>
    <s v="ASENT. H. AMPL JESUS OROPEZA DE CHONTA MZ. N LT.03"/>
    <x v="4"/>
    <x v="0"/>
    <x v="0"/>
    <x v="1"/>
    <x v="319"/>
    <x v="0"/>
    <n v="1"/>
    <n v="286"/>
    <x v="0"/>
    <x v="1"/>
    <n v="4.9019607843137254E-3"/>
    <x v="20"/>
    <x v="2"/>
    <s v="OK"/>
    <x v="0"/>
    <s v="OK"/>
    <x v="0"/>
    <x v="0"/>
    <n v="1"/>
    <n v="0"/>
    <n v="0"/>
    <n v="0"/>
    <x v="0"/>
    <x v="0"/>
    <x v="0"/>
  </r>
  <r>
    <s v="20600373863"/>
    <x v="25"/>
    <x v="24"/>
    <x v="1772"/>
    <x v="1778"/>
    <x v="1164"/>
    <n v="3"/>
    <x v="163"/>
    <s v="ESTACION 05 L4"/>
    <s v="PROY. ESP. PACH. ASENT. H. LOS JAZMINES MZ. I LT.12"/>
    <x v="169"/>
    <x v="0"/>
    <x v="0"/>
    <x v="1"/>
    <x v="319"/>
    <x v="0"/>
    <n v="1"/>
    <n v="286"/>
    <x v="0"/>
    <x v="1"/>
    <n v="4.9019607843137254E-3"/>
    <x v="15"/>
    <x v="2"/>
    <s v="OK"/>
    <x v="2"/>
    <s v="OK"/>
    <x v="0"/>
    <x v="0"/>
    <n v="1"/>
    <n v="1"/>
    <n v="0"/>
    <n v="0"/>
    <x v="0"/>
    <x v="0"/>
    <x v="0"/>
  </r>
  <r>
    <s v="20600373863"/>
    <x v="25"/>
    <x v="24"/>
    <x v="1773"/>
    <x v="1779"/>
    <x v="1247"/>
    <n v="1"/>
    <x v="165"/>
    <s v="ESTACION 05 L4"/>
    <s v="ARQUIMEDES 128 TORRE A DPTO. 101 URB. LA CAMPIÑA ETAPA VI"/>
    <x v="38"/>
    <x v="0"/>
    <x v="0"/>
    <x v="1"/>
    <x v="462"/>
    <x v="3"/>
    <n v="1"/>
    <n v="286"/>
    <x v="0"/>
    <x v="1"/>
    <n v="4.9019607843137254E-3"/>
    <x v="14"/>
    <x v="2"/>
    <s v="OK"/>
    <x v="0"/>
    <s v="OK"/>
    <x v="0"/>
    <x v="0"/>
    <n v="1"/>
    <n v="0"/>
    <n v="0"/>
    <n v="0"/>
    <x v="0"/>
    <x v="0"/>
    <x v="0"/>
  </r>
  <r>
    <s v="20600373863"/>
    <x v="25"/>
    <x v="24"/>
    <x v="1774"/>
    <x v="1780"/>
    <x v="1549"/>
    <n v="3"/>
    <x v="163"/>
    <s v="ESTACION 05 L4"/>
    <s v="ASENT. H MICAELA BASTIDAS MZ. P LT. 07"/>
    <x v="1"/>
    <x v="0"/>
    <x v="13"/>
    <x v="1"/>
    <x v="462"/>
    <x v="2"/>
    <n v="1"/>
    <n v="88"/>
    <x v="0"/>
    <x v="1"/>
    <n v="4.9019607843137254E-3"/>
    <x v="19"/>
    <x v="2"/>
    <s v="OK"/>
    <x v="1"/>
    <s v="OK"/>
    <x v="0"/>
    <x v="0"/>
    <n v="1"/>
    <n v="1"/>
    <n v="0"/>
    <n v="1"/>
    <x v="0"/>
    <x v="1"/>
    <x v="0"/>
  </r>
  <r>
    <s v="20603966695"/>
    <x v="24"/>
    <x v="24"/>
    <x v="1775"/>
    <x v="1781"/>
    <x v="1257"/>
    <n v="3"/>
    <x v="34"/>
    <s v="ESTACION 05 L4"/>
    <s v="CALLE ANTONIO ALARCON 157"/>
    <x v="265"/>
    <x v="0"/>
    <x v="0"/>
    <x v="1"/>
    <x v="610"/>
    <x v="0"/>
    <n v="1"/>
    <n v="286"/>
    <x v="0"/>
    <x v="0"/>
    <n v="4.9019607843137254E-3"/>
    <x v="19"/>
    <x v="2"/>
    <s v="OK"/>
    <x v="4"/>
    <s v="OK"/>
    <x v="0"/>
    <x v="0"/>
    <n v="1"/>
    <n v="1"/>
    <n v="0"/>
    <n v="0"/>
    <x v="0"/>
    <x v="0"/>
    <x v="0"/>
  </r>
  <r>
    <s v="20600373863"/>
    <x v="25"/>
    <x v="24"/>
    <x v="1776"/>
    <x v="1782"/>
    <x v="1295"/>
    <n v="1"/>
    <x v="292"/>
    <s v="ESTACION 05 L4"/>
    <s v="CALLE. LOMA DE LOS NARDOS 227 URB. PROLG. BENAVIDES"/>
    <x v="14"/>
    <x v="1"/>
    <x v="0"/>
    <x v="1"/>
    <x v="57"/>
    <x v="0"/>
    <n v="1"/>
    <n v="286"/>
    <x v="0"/>
    <x v="1"/>
    <n v="4.9019607843137254E-3"/>
    <x v="16"/>
    <x v="2"/>
    <s v="OK"/>
    <x v="0"/>
    <s v="OK"/>
    <x v="0"/>
    <x v="0"/>
    <n v="1"/>
    <n v="0"/>
    <n v="0"/>
    <n v="0"/>
    <x v="0"/>
    <x v="0"/>
    <x v="0"/>
  </r>
  <r>
    <s v="20600373863"/>
    <x v="25"/>
    <x v="24"/>
    <x v="1777"/>
    <x v="1783"/>
    <x v="1550"/>
    <n v="3"/>
    <x v="293"/>
    <s v="ESTACION 05 L4"/>
    <s v="AV. SAENZ PEÑA 755 DPTO. 5"/>
    <x v="6"/>
    <x v="0"/>
    <x v="0"/>
    <x v="1"/>
    <x v="32"/>
    <x v="0"/>
    <n v="1"/>
    <n v="286"/>
    <x v="0"/>
    <x v="1"/>
    <n v="4.9019607843137254E-3"/>
    <x v="19"/>
    <x v="2"/>
    <s v="OK"/>
    <x v="2"/>
    <s v="OK"/>
    <x v="0"/>
    <x v="0"/>
    <n v="1"/>
    <n v="1"/>
    <n v="0"/>
    <n v="0"/>
    <x v="0"/>
    <x v="0"/>
    <x v="0"/>
  </r>
  <r>
    <s v="20600373863"/>
    <x v="25"/>
    <x v="24"/>
    <x v="1778"/>
    <x v="1784"/>
    <x v="1551"/>
    <n v="3"/>
    <x v="173"/>
    <s v="ESTACION 05 L4"/>
    <s v="JR. TAHUANTISUYO 653 URB. ZARATE"/>
    <x v="15"/>
    <x v="0"/>
    <x v="0"/>
    <x v="1"/>
    <x v="363"/>
    <x v="0"/>
    <n v="1"/>
    <n v="286"/>
    <x v="0"/>
    <x v="1"/>
    <n v="4.9019607843137254E-3"/>
    <x v="16"/>
    <x v="2"/>
    <s v="OK"/>
    <x v="0"/>
    <s v="OK"/>
    <x v="0"/>
    <x v="0"/>
    <n v="1"/>
    <n v="0"/>
    <n v="0"/>
    <n v="0"/>
    <x v="0"/>
    <x v="0"/>
    <x v="0"/>
  </r>
  <r>
    <s v="20600373863"/>
    <x v="25"/>
    <x v="24"/>
    <x v="1779"/>
    <x v="1785"/>
    <x v="1552"/>
    <n v="1"/>
    <x v="165"/>
    <s v="ESTACION 06 L4"/>
    <s v="JR.LOS LIBERTADORES 580 MZ B LOTE 21"/>
    <x v="37"/>
    <x v="0"/>
    <x v="0"/>
    <x v="1"/>
    <x v="552"/>
    <x v="0"/>
    <n v="1"/>
    <n v="286"/>
    <x v="0"/>
    <x v="1"/>
    <n v="4.9019607843137254E-3"/>
    <x v="20"/>
    <x v="2"/>
    <s v="OK"/>
    <x v="0"/>
    <s v="OK"/>
    <x v="0"/>
    <x v="0"/>
    <n v="1"/>
    <n v="0"/>
    <n v="0"/>
    <n v="0"/>
    <x v="0"/>
    <x v="0"/>
    <x v="0"/>
  </r>
  <r>
    <s v="20600373863"/>
    <x v="25"/>
    <x v="24"/>
    <x v="1780"/>
    <x v="1786"/>
    <x v="1553"/>
    <n v="3"/>
    <x v="175"/>
    <s v="ESTACION 03 L4"/>
    <s v="AV. GUARDIA REPUBLICANA MZ. H1 LT.40 AGRU PACHACAMAC SECT. 4 1RA ETAPA ZONA A"/>
    <x v="19"/>
    <x v="0"/>
    <x v="0"/>
    <x v="1"/>
    <x v="83"/>
    <x v="0"/>
    <n v="1"/>
    <n v="286"/>
    <x v="0"/>
    <x v="1"/>
    <n v="4.9019607843137254E-3"/>
    <x v="16"/>
    <x v="2"/>
    <s v="OK"/>
    <x v="0"/>
    <s v="OK"/>
    <x v="0"/>
    <x v="0"/>
    <n v="1"/>
    <n v="0"/>
    <n v="0"/>
    <n v="0"/>
    <x v="0"/>
    <x v="0"/>
    <x v="0"/>
  </r>
  <r>
    <s v="20600373863"/>
    <x v="25"/>
    <x v="24"/>
    <x v="1781"/>
    <x v="1787"/>
    <x v="1249"/>
    <n v="1"/>
    <x v="294"/>
    <s v="ESTACION 06 L4"/>
    <s v="CALLE JUAN MAC CLEAN 857.URB.LAS BRISAS"/>
    <x v="217"/>
    <x v="0"/>
    <x v="0"/>
    <x v="1"/>
    <x v="393"/>
    <x v="0"/>
    <n v="1"/>
    <n v="286"/>
    <x v="0"/>
    <x v="1"/>
    <n v="4.9019607843137254E-3"/>
    <x v="15"/>
    <x v="2"/>
    <s v="OK"/>
    <x v="0"/>
    <s v="OK"/>
    <x v="0"/>
    <x v="0"/>
    <n v="1"/>
    <n v="0"/>
    <n v="0"/>
    <n v="0"/>
    <x v="0"/>
    <x v="0"/>
    <x v="0"/>
  </r>
  <r>
    <s v="20600373863"/>
    <x v="25"/>
    <x v="24"/>
    <x v="1782"/>
    <x v="1788"/>
    <x v="1554"/>
    <n v="1"/>
    <x v="295"/>
    <s v="ESTACION 06 L4"/>
    <s v="AV SAN BORJA SUR 947"/>
    <x v="144"/>
    <x v="0"/>
    <x v="0"/>
    <x v="1"/>
    <x v="393"/>
    <x v="0"/>
    <n v="4"/>
    <n v="286"/>
    <x v="0"/>
    <x v="1"/>
    <n v="4.9019607843137254E-3"/>
    <x v="15"/>
    <x v="2"/>
    <s v="OK"/>
    <x v="0"/>
    <s v="OK"/>
    <x v="0"/>
    <x v="0"/>
    <n v="1"/>
    <n v="0"/>
    <n v="0"/>
    <n v="0"/>
    <x v="0"/>
    <x v="0"/>
    <x v="0"/>
  </r>
  <r>
    <s v="20600373863"/>
    <x v="25"/>
    <x v="24"/>
    <x v="1783"/>
    <x v="1789"/>
    <x v="1555"/>
    <n v="3"/>
    <x v="178"/>
    <s v="ESTACION 03 L4"/>
    <s v="JR 2 DE MAYO 427"/>
    <x v="0"/>
    <x v="0"/>
    <x v="0"/>
    <x v="1"/>
    <x v="611"/>
    <x v="0"/>
    <n v="1"/>
    <n v="286"/>
    <x v="0"/>
    <x v="1"/>
    <n v="4.9019607843137254E-3"/>
    <x v="17"/>
    <x v="2"/>
    <s v="OK"/>
    <x v="0"/>
    <s v="OK"/>
    <x v="0"/>
    <x v="0"/>
    <n v="1"/>
    <n v="0"/>
    <n v="0"/>
    <n v="0"/>
    <x v="0"/>
    <x v="0"/>
    <x v="0"/>
  </r>
  <r>
    <s v="20600373863"/>
    <x v="25"/>
    <x v="24"/>
    <x v="1784"/>
    <x v="1790"/>
    <x v="1556"/>
    <n v="2"/>
    <x v="11"/>
    <s v="ESTACION 06 L4"/>
    <s v="ASENT.LOS ANGELES NORESTE - ETAPA 2 MZ B LT 13"/>
    <x v="7"/>
    <x v="0"/>
    <x v="0"/>
    <x v="1"/>
    <x v="611"/>
    <x v="0"/>
    <n v="4"/>
    <n v="286"/>
    <x v="0"/>
    <x v="1"/>
    <n v="4.9019607843137254E-3"/>
    <x v="14"/>
    <x v="2"/>
    <s v="OK"/>
    <x v="0"/>
    <s v="OK"/>
    <x v="0"/>
    <x v="0"/>
    <n v="1"/>
    <n v="0"/>
    <n v="0"/>
    <n v="0"/>
    <x v="0"/>
    <x v="0"/>
    <x v="0"/>
  </r>
  <r>
    <s v="20600373863"/>
    <x v="25"/>
    <x v="24"/>
    <x v="1785"/>
    <x v="1791"/>
    <x v="1557"/>
    <n v="2"/>
    <x v="2"/>
    <s v="ESTACION 05 L4"/>
    <s v="JR JOSE OLAYA ASENT H RUGGIA MZ C LT 13"/>
    <x v="6"/>
    <x v="0"/>
    <x v="0"/>
    <x v="1"/>
    <x v="394"/>
    <x v="0"/>
    <n v="4"/>
    <n v="286"/>
    <x v="0"/>
    <x v="1"/>
    <n v="4.9019607843137254E-3"/>
    <x v="19"/>
    <x v="2"/>
    <s v="OK"/>
    <x v="2"/>
    <s v="OK"/>
    <x v="0"/>
    <x v="0"/>
    <n v="1"/>
    <n v="1"/>
    <n v="0"/>
    <n v="0"/>
    <x v="0"/>
    <x v="0"/>
    <x v="0"/>
  </r>
  <r>
    <s v="20600373863"/>
    <x v="25"/>
    <x v="24"/>
    <x v="1786"/>
    <x v="1792"/>
    <x v="1558"/>
    <n v="1"/>
    <x v="141"/>
    <s v="ESTACION 06 L4"/>
    <s v="CALLE GARCILASO DE LA VEGA 2017"/>
    <x v="155"/>
    <x v="0"/>
    <x v="0"/>
    <x v="1"/>
    <x v="244"/>
    <x v="0"/>
    <n v="1"/>
    <n v="286"/>
    <x v="0"/>
    <x v="1"/>
    <n v="4.9019607843137254E-3"/>
    <x v="22"/>
    <x v="2"/>
    <s v="OK"/>
    <x v="0"/>
    <s v="OK"/>
    <x v="0"/>
    <x v="0"/>
    <n v="1"/>
    <n v="0"/>
    <n v="0"/>
    <n v="0"/>
    <x v="0"/>
    <x v="0"/>
    <x v="0"/>
  </r>
  <r>
    <s v="20600373863"/>
    <x v="25"/>
    <x v="24"/>
    <x v="1787"/>
    <x v="1793"/>
    <x v="1559"/>
    <n v="1"/>
    <x v="84"/>
    <s v="ESTACION 06 L4"/>
    <s v="MZ C LT 27 ASENT H NUEVA CAJA DE AGUA"/>
    <x v="10"/>
    <x v="0"/>
    <x v="0"/>
    <x v="1"/>
    <x v="270"/>
    <x v="0"/>
    <n v="1"/>
    <n v="286"/>
    <x v="0"/>
    <x v="1"/>
    <n v="4.9019607843137254E-3"/>
    <x v="18"/>
    <x v="2"/>
    <s v="OK"/>
    <x v="0"/>
    <s v="OK"/>
    <x v="0"/>
    <x v="0"/>
    <n v="1"/>
    <n v="0"/>
    <n v="0"/>
    <n v="0"/>
    <x v="0"/>
    <x v="0"/>
    <x v="0"/>
  </r>
  <r>
    <s v="20600373863"/>
    <x v="25"/>
    <x v="24"/>
    <x v="1788"/>
    <x v="1794"/>
    <x v="1560"/>
    <n v="3"/>
    <x v="98"/>
    <s v="ESTACION 05 L4"/>
    <s v="JR. RUIBARBOS 351 PISO 2 MZ. 1 LT.5"/>
    <x v="171"/>
    <x v="0"/>
    <x v="0"/>
    <x v="1"/>
    <x v="46"/>
    <x v="0"/>
    <n v="1"/>
    <n v="286"/>
    <x v="0"/>
    <x v="1"/>
    <n v="4.9019607843137254E-3"/>
    <x v="22"/>
    <x v="2"/>
    <s v="OK"/>
    <x v="0"/>
    <s v="OK"/>
    <x v="0"/>
    <x v="0"/>
    <n v="1"/>
    <n v="0"/>
    <n v="0"/>
    <n v="0"/>
    <x v="0"/>
    <x v="0"/>
    <x v="0"/>
  </r>
  <r>
    <s v="20600373863"/>
    <x v="25"/>
    <x v="24"/>
    <x v="1789"/>
    <x v="1795"/>
    <x v="1561"/>
    <n v="1"/>
    <x v="84"/>
    <s v="ESTACION 05 L4"/>
    <s v="URB SANTA CLAUDIA I-29"/>
    <x v="79"/>
    <x v="0"/>
    <x v="0"/>
    <x v="1"/>
    <x v="107"/>
    <x v="0"/>
    <n v="1"/>
    <n v="286"/>
    <x v="0"/>
    <x v="1"/>
    <n v="4.9019607843137254E-3"/>
    <x v="16"/>
    <x v="2"/>
    <s v="OK"/>
    <x v="0"/>
    <s v="OK"/>
    <x v="0"/>
    <x v="0"/>
    <n v="1"/>
    <n v="0"/>
    <n v="0"/>
    <n v="0"/>
    <x v="0"/>
    <x v="0"/>
    <x v="0"/>
  </r>
  <r>
    <s v="20600373863"/>
    <x v="25"/>
    <x v="24"/>
    <x v="1790"/>
    <x v="1796"/>
    <x v="1562"/>
    <n v="1"/>
    <x v="84"/>
    <s v="ESTACION 06 L4"/>
    <s v="URB LOS QUENUALES MZ C LT 29"/>
    <x v="44"/>
    <x v="1"/>
    <x v="0"/>
    <x v="1"/>
    <x v="52"/>
    <x v="0"/>
    <n v="1"/>
    <n v="286"/>
    <x v="0"/>
    <x v="1"/>
    <n v="4.9019607843137254E-3"/>
    <x v="21"/>
    <x v="2"/>
    <s v="OK"/>
    <x v="0"/>
    <s v="OK"/>
    <x v="0"/>
    <x v="0"/>
    <n v="1"/>
    <n v="0"/>
    <n v="0"/>
    <n v="0"/>
    <x v="0"/>
    <x v="0"/>
    <x v="0"/>
  </r>
  <r>
    <s v="20600373863"/>
    <x v="25"/>
    <x v="24"/>
    <x v="1791"/>
    <x v="1797"/>
    <x v="1563"/>
    <n v="3"/>
    <x v="66"/>
    <s v="ESTACION 05 L4"/>
    <s v="JR"/>
    <x v="266"/>
    <x v="0"/>
    <x v="27"/>
    <x v="1"/>
    <x v="114"/>
    <x v="2"/>
    <n v="1"/>
    <n v="33"/>
    <x v="0"/>
    <x v="1"/>
    <n v="4.9019607843137254E-3"/>
    <x v="14"/>
    <x v="2"/>
    <s v="OK"/>
    <x v="0"/>
    <s v="OK"/>
    <x v="0"/>
    <x v="0"/>
    <n v="1"/>
    <n v="0"/>
    <n v="0"/>
    <n v="1"/>
    <x v="0"/>
    <x v="1"/>
    <x v="0"/>
  </r>
  <r>
    <s v="20600373863"/>
    <x v="25"/>
    <x v="24"/>
    <x v="1792"/>
    <x v="1798"/>
    <x v="1564"/>
    <n v="1"/>
    <x v="296"/>
    <s v="ESTACION 06 L4"/>
    <s v="ASENT H. EL NAZARENO MZ G LT 1"/>
    <x v="267"/>
    <x v="1"/>
    <x v="0"/>
    <x v="1"/>
    <x v="95"/>
    <x v="0"/>
    <n v="1"/>
    <n v="286"/>
    <x v="0"/>
    <x v="1"/>
    <n v="4.9019607843137254E-3"/>
    <x v="19"/>
    <x v="2"/>
    <s v="OK"/>
    <x v="0"/>
    <s v="OK"/>
    <x v="0"/>
    <x v="0"/>
    <n v="1"/>
    <n v="0"/>
    <n v="0"/>
    <n v="0"/>
    <x v="0"/>
    <x v="0"/>
    <x v="0"/>
  </r>
  <r>
    <s v="20600373863"/>
    <x v="25"/>
    <x v="24"/>
    <x v="1793"/>
    <x v="1799"/>
    <x v="1565"/>
    <n v="3"/>
    <x v="297"/>
    <s v="ESTACION 05 L4"/>
    <s v="CALLE 53 ASENT H ENRIQUE MILLA OCHOA MZ 130 LT 25 "/>
    <x v="49"/>
    <x v="0"/>
    <x v="0"/>
    <x v="1"/>
    <x v="95"/>
    <x v="0"/>
    <n v="1"/>
    <n v="286"/>
    <x v="0"/>
    <x v="1"/>
    <n v="4.9019607843137254E-3"/>
    <x v="21"/>
    <x v="2"/>
    <s v="OK"/>
    <x v="0"/>
    <s v="OK"/>
    <x v="0"/>
    <x v="0"/>
    <n v="1"/>
    <n v="0"/>
    <n v="0"/>
    <n v="0"/>
    <x v="0"/>
    <x v="0"/>
    <x v="0"/>
  </r>
  <r>
    <s v="20600373863"/>
    <x v="25"/>
    <x v="24"/>
    <x v="1794"/>
    <x v="1800"/>
    <x v="1566"/>
    <n v="1"/>
    <x v="106"/>
    <s v="ESTACION 03 L4"/>
    <s v="CALLE B MZ E LT 39 EL TREBOL "/>
    <x v="78"/>
    <x v="0"/>
    <x v="0"/>
    <x v="1"/>
    <x v="239"/>
    <x v="0"/>
    <n v="1"/>
    <n v="286"/>
    <x v="0"/>
    <x v="1"/>
    <n v="4.9019607843137254E-3"/>
    <x v="21"/>
    <x v="2"/>
    <s v="OK"/>
    <x v="6"/>
    <s v="OK"/>
    <x v="0"/>
    <x v="0"/>
    <n v="1"/>
    <n v="1"/>
    <n v="0"/>
    <n v="0"/>
    <x v="0"/>
    <x v="0"/>
    <x v="0"/>
  </r>
  <r>
    <s v="20600373863"/>
    <x v="25"/>
    <x v="24"/>
    <x v="1795"/>
    <x v="1801"/>
    <x v="1567"/>
    <n v="2"/>
    <x v="2"/>
    <s v="ESTACION 05 L4"/>
    <s v="MZ E-11 LT 24 ASENT H BOCANEGRA"/>
    <x v="6"/>
    <x v="0"/>
    <x v="0"/>
    <x v="1"/>
    <x v="192"/>
    <x v="0"/>
    <n v="4"/>
    <n v="286"/>
    <x v="0"/>
    <x v="1"/>
    <n v="4.9019607843137254E-3"/>
    <x v="17"/>
    <x v="2"/>
    <s v="OK"/>
    <x v="2"/>
    <s v="OK"/>
    <x v="0"/>
    <x v="0"/>
    <n v="1"/>
    <n v="1"/>
    <n v="0"/>
    <n v="0"/>
    <x v="0"/>
    <x v="0"/>
    <x v="0"/>
  </r>
  <r>
    <s v="20601214831"/>
    <x v="61"/>
    <x v="24"/>
    <x v="1796"/>
    <x v="1802"/>
    <x v="1568"/>
    <n v="3"/>
    <x v="66"/>
    <s v="ESTACION 06 L4"/>
    <s v="AV PADRE URRACA 121 TORRE 14 DEPTO 502"/>
    <x v="28"/>
    <x v="0"/>
    <x v="27"/>
    <x v="1"/>
    <x v="105"/>
    <x v="2"/>
    <n v="1"/>
    <n v="33"/>
    <x v="0"/>
    <x v="0"/>
    <n v="4.9019607843137254E-3"/>
    <x v="15"/>
    <x v="2"/>
    <s v="OK"/>
    <x v="0"/>
    <s v="OK"/>
    <x v="0"/>
    <x v="0"/>
    <n v="1"/>
    <n v="0"/>
    <n v="0"/>
    <n v="1"/>
    <x v="0"/>
    <x v="1"/>
    <x v="0"/>
  </r>
  <r>
    <s v="20600373863"/>
    <x v="25"/>
    <x v="24"/>
    <x v="1797"/>
    <x v="1803"/>
    <x v="1569"/>
    <n v="1"/>
    <x v="298"/>
    <s v="ESTACION 05 L4"/>
    <s v="JR CORICANCHA 458 CESAR VALLEJO"/>
    <x v="8"/>
    <x v="1"/>
    <x v="0"/>
    <x v="1"/>
    <x v="37"/>
    <x v="0"/>
    <n v="1"/>
    <n v="176"/>
    <x v="0"/>
    <x v="1"/>
    <n v="4.9019607843137254E-3"/>
    <x v="15"/>
    <x v="2"/>
    <s v="OK"/>
    <x v="0"/>
    <s v="OK"/>
    <x v="0"/>
    <x v="0"/>
    <n v="1"/>
    <n v="0"/>
    <n v="1"/>
    <n v="0"/>
    <x v="0"/>
    <x v="0"/>
    <x v="1"/>
  </r>
  <r>
    <s v="20600373863"/>
    <x v="25"/>
    <x v="24"/>
    <x v="1798"/>
    <x v="1804"/>
    <x v="1443"/>
    <n v="3"/>
    <x v="66"/>
    <s v="ESTACION 05 L4"/>
    <s v="MZ A LT 11 ASENT H RICARDO DURAND FLORES"/>
    <x v="2"/>
    <x v="0"/>
    <x v="0"/>
    <x v="1"/>
    <x v="115"/>
    <x v="0"/>
    <n v="1"/>
    <n v="176"/>
    <x v="0"/>
    <x v="1"/>
    <n v="4.9019607843137254E-3"/>
    <x v="22"/>
    <x v="2"/>
    <s v="OK"/>
    <x v="2"/>
    <s v="OK"/>
    <x v="0"/>
    <x v="0"/>
    <n v="1"/>
    <n v="1"/>
    <n v="1"/>
    <n v="0"/>
    <x v="0"/>
    <x v="0"/>
    <x v="1"/>
  </r>
  <r>
    <s v="20600373863"/>
    <x v="25"/>
    <x v="24"/>
    <x v="1799"/>
    <x v="1805"/>
    <x v="1570"/>
    <n v="1"/>
    <x v="299"/>
    <s v="ESTACION 05 L4"/>
    <s v="GNRAL TRINIDAD MORAN 243 DPTO 802"/>
    <x v="155"/>
    <x v="0"/>
    <x v="0"/>
    <x v="1"/>
    <x v="137"/>
    <x v="0"/>
    <n v="1"/>
    <n v="176"/>
    <x v="0"/>
    <x v="1"/>
    <n v="4.9019607843137254E-3"/>
    <x v="19"/>
    <x v="2"/>
    <s v="OK"/>
    <x v="0"/>
    <s v="OK"/>
    <x v="0"/>
    <x v="0"/>
    <n v="1"/>
    <n v="0"/>
    <n v="1"/>
    <n v="0"/>
    <x v="0"/>
    <x v="0"/>
    <x v="1"/>
  </r>
  <r>
    <s v="20600373863"/>
    <x v="25"/>
    <x v="24"/>
    <x v="1800"/>
    <x v="1806"/>
    <x v="1571"/>
    <n v="1"/>
    <x v="84"/>
    <s v="ESTACION 05 L4"/>
    <s v="AV ALIPIO PONCE VASQUEZ URB VIPOL DE NARAJAL MZ H LT 09"/>
    <x v="3"/>
    <x v="0"/>
    <x v="0"/>
    <x v="1"/>
    <x v="137"/>
    <x v="0"/>
    <n v="1"/>
    <n v="176"/>
    <x v="0"/>
    <x v="1"/>
    <n v="4.9019607843137254E-3"/>
    <x v="22"/>
    <x v="2"/>
    <s v="OK"/>
    <x v="0"/>
    <s v="OK"/>
    <x v="0"/>
    <x v="0"/>
    <n v="1"/>
    <n v="0"/>
    <n v="1"/>
    <n v="0"/>
    <x v="0"/>
    <x v="0"/>
    <x v="1"/>
  </r>
  <r>
    <n v="20392753339"/>
    <x v="71"/>
    <x v="49"/>
    <x v="1801"/>
    <x v="1807"/>
    <x v="1572"/>
    <n v="1"/>
    <x v="300"/>
    <s v="ESTACIÓN 19-TBM"/>
    <s v="URB. RESIDENCIAL ALAMEDA DEL NORTE MZ.H LOTE 29"/>
    <x v="54"/>
    <x v="0"/>
    <x v="0"/>
    <x v="1"/>
    <x v="475"/>
    <x v="0"/>
    <n v="1"/>
    <n v="226"/>
    <x v="0"/>
    <x v="1"/>
    <n v="0.1"/>
    <x v="19"/>
    <x v="2"/>
    <s v="OK"/>
    <x v="0"/>
    <s v="OK"/>
    <x v="0"/>
    <x v="0"/>
    <n v="1"/>
    <n v="0"/>
    <n v="0"/>
    <n v="0"/>
    <x v="0"/>
    <x v="0"/>
    <x v="0"/>
  </r>
  <r>
    <n v="20392753339"/>
    <x v="71"/>
    <x v="49"/>
    <x v="1802"/>
    <x v="1808"/>
    <x v="1573"/>
    <n v="1"/>
    <x v="301"/>
    <s v="ESTACIÓN 19-TBM"/>
    <s v="JR. SIMON BOLIVAR 140"/>
    <x v="28"/>
    <x v="0"/>
    <x v="0"/>
    <x v="1"/>
    <x v="475"/>
    <x v="0"/>
    <n v="1"/>
    <n v="232.5"/>
    <x v="0"/>
    <x v="1"/>
    <n v="0.1"/>
    <x v="22"/>
    <x v="2"/>
    <s v="OK"/>
    <x v="0"/>
    <s v="OK"/>
    <x v="0"/>
    <x v="0"/>
    <n v="1"/>
    <n v="0"/>
    <n v="0"/>
    <n v="0"/>
    <x v="0"/>
    <x v="0"/>
    <x v="0"/>
  </r>
  <r>
    <n v="20517941337"/>
    <x v="72"/>
    <x v="50"/>
    <x v="1803"/>
    <x v="1809"/>
    <x v="1574"/>
    <n v="1"/>
    <x v="91"/>
    <s v="PATIO TALLER - NORTE 2"/>
    <s v="AV. 28 DE JULIO "/>
    <x v="268"/>
    <x v="0"/>
    <x v="0"/>
    <x v="1"/>
    <x v="146"/>
    <x v="0"/>
    <n v="1"/>
    <n v="127"/>
    <x v="0"/>
    <x v="1"/>
    <n v="0.16666666666666666"/>
    <x v="17"/>
    <x v="2"/>
    <s v="OK"/>
    <x v="0"/>
    <s v="OK"/>
    <x v="0"/>
    <x v="0"/>
    <n v="1"/>
    <n v="0"/>
    <n v="1"/>
    <n v="0"/>
    <x v="0"/>
    <x v="0"/>
    <x v="1"/>
  </r>
  <r>
    <n v="20566343631"/>
    <x v="26"/>
    <x v="25"/>
    <x v="1804"/>
    <x v="1810"/>
    <x v="1575"/>
    <n v="2"/>
    <x v="302"/>
    <s v="Trazo y Replanteo para Instalaciones Electricas Túnel - Etapa 01B"/>
    <s v="Av. Gonzales Prada 363"/>
    <x v="0"/>
    <x v="0"/>
    <x v="0"/>
    <x v="1"/>
    <x v="147"/>
    <x v="0"/>
    <n v="4"/>
    <n v="184"/>
    <x v="0"/>
    <x v="1"/>
    <n v="5.0251256281407036E-3"/>
    <x v="16"/>
    <x v="2"/>
    <s v="OK"/>
    <x v="0"/>
    <s v="OK"/>
    <x v="0"/>
    <x v="0"/>
    <n v="1"/>
    <n v="0"/>
    <n v="0"/>
    <n v="0"/>
    <x v="0"/>
    <x v="0"/>
    <x v="0"/>
  </r>
  <r>
    <n v="20566343631"/>
    <x v="26"/>
    <x v="25"/>
    <x v="1805"/>
    <x v="1811"/>
    <x v="1576"/>
    <n v="2"/>
    <x v="36"/>
    <s v="Trazo y Replanteo para Instalaciones Electricas Túnel - Etapa 01B"/>
    <s v="Jr. Pevas 756"/>
    <x v="23"/>
    <x v="0"/>
    <x v="0"/>
    <x v="1"/>
    <x v="15"/>
    <x v="0"/>
    <n v="4"/>
    <n v="184"/>
    <x v="0"/>
    <x v="1"/>
    <n v="5.0251256281407036E-3"/>
    <x v="18"/>
    <x v="2"/>
    <s v="OK"/>
    <x v="0"/>
    <s v="OK"/>
    <x v="0"/>
    <x v="0"/>
    <n v="1"/>
    <n v="0"/>
    <n v="0"/>
    <n v="0"/>
    <x v="0"/>
    <x v="0"/>
    <x v="0"/>
  </r>
  <r>
    <n v="20566343631"/>
    <x v="26"/>
    <x v="25"/>
    <x v="1806"/>
    <x v="1812"/>
    <x v="1577"/>
    <n v="1"/>
    <x v="88"/>
    <s v="Trazo y Replanteo para Instalaciones Electricas Túnel - Etapa 01B"/>
    <s v="Calle Santa Teresa 300"/>
    <x v="34"/>
    <x v="0"/>
    <x v="0"/>
    <x v="1"/>
    <x v="111"/>
    <x v="0"/>
    <n v="1"/>
    <n v="184"/>
    <x v="0"/>
    <x v="1"/>
    <n v="5.0251256281407036E-3"/>
    <x v="14"/>
    <x v="2"/>
    <s v="OK"/>
    <x v="1"/>
    <s v="OK"/>
    <x v="0"/>
    <x v="0"/>
    <n v="1"/>
    <n v="1"/>
    <n v="0"/>
    <n v="0"/>
    <x v="0"/>
    <x v="0"/>
    <x v="0"/>
  </r>
  <r>
    <n v="20566343631"/>
    <x v="26"/>
    <x v="25"/>
    <x v="1807"/>
    <x v="1813"/>
    <x v="1578"/>
    <n v="1"/>
    <x v="61"/>
    <s v="Trazo y Replanteo para Instalaciones Electricas Túnel - Etapa 01B"/>
    <s v="La Reforma Mz. K10 Lote 18 L. Prado Pamplona Alta"/>
    <x v="53"/>
    <x v="0"/>
    <x v="0"/>
    <x v="1"/>
    <x v="147"/>
    <x v="0"/>
    <n v="1"/>
    <n v="184"/>
    <x v="0"/>
    <x v="1"/>
    <n v="5.0251256281407036E-3"/>
    <x v="20"/>
    <x v="2"/>
    <s v="OK"/>
    <x v="0"/>
    <s v="OK"/>
    <x v="0"/>
    <x v="0"/>
    <n v="1"/>
    <n v="0"/>
    <n v="0"/>
    <n v="0"/>
    <x v="0"/>
    <x v="0"/>
    <x v="0"/>
  </r>
  <r>
    <n v="20566343631"/>
    <x v="26"/>
    <x v="25"/>
    <x v="1808"/>
    <x v="1814"/>
    <x v="1293"/>
    <n v="1"/>
    <x v="88"/>
    <s v="Trazo y Replanteo para Instalaciones Electricas Túnel - Etapa 01B"/>
    <s v="Manuel C. Dulanto Mz. 2-S Lt. 32"/>
    <x v="6"/>
    <x v="0"/>
    <x v="0"/>
    <x v="1"/>
    <x v="55"/>
    <x v="0"/>
    <n v="1"/>
    <n v="184"/>
    <x v="0"/>
    <x v="1"/>
    <n v="5.0251256281407036E-3"/>
    <x v="21"/>
    <x v="2"/>
    <s v="OK"/>
    <x v="2"/>
    <s v="OK"/>
    <x v="0"/>
    <x v="0"/>
    <n v="1"/>
    <n v="1"/>
    <n v="0"/>
    <n v="0"/>
    <x v="0"/>
    <x v="0"/>
    <x v="0"/>
  </r>
  <r>
    <n v="20566343631"/>
    <x v="26"/>
    <x v="25"/>
    <x v="1809"/>
    <x v="1815"/>
    <x v="1579"/>
    <n v="2"/>
    <x v="302"/>
    <s v="Trazo y Replanteo para Instalaciones Electricas Túnel - Etapa 01B"/>
    <s v="Mz. E Sub Lote 4D Urb. Villa Vitarte"/>
    <x v="1"/>
    <x v="0"/>
    <x v="31"/>
    <x v="1"/>
    <x v="91"/>
    <x v="2"/>
    <n v="4"/>
    <n v="68"/>
    <x v="0"/>
    <x v="1"/>
    <n v="5.0251256281407036E-3"/>
    <x v="16"/>
    <x v="2"/>
    <s v="OK"/>
    <x v="1"/>
    <s v="OK"/>
    <x v="0"/>
    <x v="0"/>
    <n v="1"/>
    <n v="1"/>
    <n v="0"/>
    <n v="1"/>
    <x v="0"/>
    <x v="1"/>
    <x v="0"/>
  </r>
  <r>
    <n v="20566343631"/>
    <x v="26"/>
    <x v="25"/>
    <x v="1810"/>
    <x v="1816"/>
    <x v="1580"/>
    <n v="2"/>
    <x v="302"/>
    <s v="Trazo y Replanteo para Instalaciones Electricas Túnel - Etapa 01B"/>
    <s v="Calle 31 AA.HH. Las Laderas de Chillon"/>
    <x v="4"/>
    <x v="0"/>
    <x v="0"/>
    <x v="1"/>
    <x v="91"/>
    <x v="0"/>
    <n v="4"/>
    <n v="184"/>
    <x v="0"/>
    <x v="1"/>
    <n v="5.0251256281407036E-3"/>
    <x v="16"/>
    <x v="2"/>
    <s v="OK"/>
    <x v="0"/>
    <s v="OK"/>
    <x v="0"/>
    <x v="0"/>
    <n v="1"/>
    <n v="0"/>
    <n v="0"/>
    <n v="0"/>
    <x v="0"/>
    <x v="0"/>
    <x v="0"/>
  </r>
  <r>
    <n v="20566343631"/>
    <x v="26"/>
    <x v="25"/>
    <x v="1811"/>
    <x v="1817"/>
    <x v="1581"/>
    <n v="2"/>
    <x v="36"/>
    <s v="Trazo y Replanteo para Instalaciones Electricas Túnel - Etapa 01B"/>
    <s v="AA.HH. Alto El Molino Mz. H02 Lote 23"/>
    <x v="79"/>
    <x v="0"/>
    <x v="0"/>
    <x v="1"/>
    <x v="185"/>
    <x v="0"/>
    <n v="4"/>
    <n v="184"/>
    <x v="0"/>
    <x v="1"/>
    <n v="5.0251256281407036E-3"/>
    <x v="21"/>
    <x v="2"/>
    <s v="OK"/>
    <x v="0"/>
    <s v="OK"/>
    <x v="0"/>
    <x v="0"/>
    <n v="1"/>
    <n v="0"/>
    <n v="0"/>
    <n v="0"/>
    <x v="0"/>
    <x v="0"/>
    <x v="0"/>
  </r>
  <r>
    <n v="20566343631"/>
    <x v="26"/>
    <x v="25"/>
    <x v="1812"/>
    <x v="1818"/>
    <x v="1582"/>
    <n v="2"/>
    <x v="302"/>
    <s v="Trazo y Replanteo para Instalaciones Electricas Túnel - Etapa 01B"/>
    <s v="Caserio Salitre Mz. B Lote 1"/>
    <x v="269"/>
    <x v="0"/>
    <x v="0"/>
    <x v="1"/>
    <x v="185"/>
    <x v="0"/>
    <n v="4"/>
    <n v="184"/>
    <x v="0"/>
    <x v="1"/>
    <n v="5.0251256281407036E-3"/>
    <x v="21"/>
    <x v="2"/>
    <s v="OK"/>
    <x v="0"/>
    <s v="OK"/>
    <x v="0"/>
    <x v="0"/>
    <n v="1"/>
    <n v="0"/>
    <n v="0"/>
    <n v="0"/>
    <x v="0"/>
    <x v="0"/>
    <x v="0"/>
  </r>
  <r>
    <n v="20566343631"/>
    <x v="26"/>
    <x v="25"/>
    <x v="1813"/>
    <x v="1819"/>
    <x v="1583"/>
    <n v="2"/>
    <x v="36"/>
    <s v="Trazo y Replanteo para Instalaciones Electricas Túnel - Etapa 01B"/>
    <s v="Calle Corazón de Jesús N° 172 Urb. San Gregorio"/>
    <x v="1"/>
    <x v="0"/>
    <x v="0"/>
    <x v="1"/>
    <x v="185"/>
    <x v="0"/>
    <n v="4"/>
    <n v="184"/>
    <x v="0"/>
    <x v="1"/>
    <n v="5.0251256281407036E-3"/>
    <x v="15"/>
    <x v="2"/>
    <s v="OK"/>
    <x v="1"/>
    <s v="OK"/>
    <x v="0"/>
    <x v="0"/>
    <n v="1"/>
    <n v="1"/>
    <n v="0"/>
    <n v="0"/>
    <x v="0"/>
    <x v="0"/>
    <x v="0"/>
  </r>
  <r>
    <n v="20566343631"/>
    <x v="26"/>
    <x v="25"/>
    <x v="1814"/>
    <x v="1820"/>
    <x v="1053"/>
    <n v="2"/>
    <x v="36"/>
    <s v="Trazo y Replanteo para Instalaciones Electricas Túnel - Etapa 01B"/>
    <s v="Av. Carlos Izaguirre Mz. B Lote 15 Urb.  Kama"/>
    <x v="270"/>
    <x v="0"/>
    <x v="0"/>
    <x v="1"/>
    <x v="431"/>
    <x v="0"/>
    <n v="4"/>
    <n v="184"/>
    <x v="0"/>
    <x v="1"/>
    <n v="5.0251256281407036E-3"/>
    <x v="14"/>
    <x v="2"/>
    <s v="OK"/>
    <x v="0"/>
    <s v="OK"/>
    <x v="0"/>
    <x v="0"/>
    <n v="1"/>
    <n v="0"/>
    <n v="0"/>
    <n v="0"/>
    <x v="0"/>
    <x v="0"/>
    <x v="0"/>
  </r>
  <r>
    <n v="20566343631"/>
    <x v="26"/>
    <x v="25"/>
    <x v="1815"/>
    <x v="1821"/>
    <x v="1584"/>
    <n v="2"/>
    <x v="36"/>
    <s v="Trazo y Replanteo para Instalaciones Electricas Túnel - Etapa 01B"/>
    <s v="Mz. E1 Lote 02 Pasaje San Hilarion"/>
    <x v="15"/>
    <x v="0"/>
    <x v="0"/>
    <x v="1"/>
    <x v="431"/>
    <x v="0"/>
    <n v="4"/>
    <n v="184"/>
    <x v="0"/>
    <x v="1"/>
    <n v="5.0251256281407036E-3"/>
    <x v="22"/>
    <x v="2"/>
    <s v="OK"/>
    <x v="0"/>
    <s v="OK"/>
    <x v="0"/>
    <x v="0"/>
    <n v="1"/>
    <n v="0"/>
    <n v="0"/>
    <n v="0"/>
    <x v="0"/>
    <x v="0"/>
    <x v="0"/>
  </r>
  <r>
    <n v="20566343631"/>
    <x v="26"/>
    <x v="25"/>
    <x v="1816"/>
    <x v="1822"/>
    <x v="1585"/>
    <n v="2"/>
    <x v="302"/>
    <s v="Trazo y Replanteo para Instalaciones Electricas Túnel - Etapa 01B"/>
    <s v="Pasaje Raul Porras Barrenechea Mz. N° 113 Lote 08"/>
    <x v="54"/>
    <x v="0"/>
    <x v="0"/>
    <x v="1"/>
    <x v="431"/>
    <x v="0"/>
    <n v="4"/>
    <n v="184"/>
    <x v="0"/>
    <x v="1"/>
    <n v="5.0251256281407036E-3"/>
    <x v="22"/>
    <x v="2"/>
    <s v="OK"/>
    <x v="0"/>
    <s v="OK"/>
    <x v="0"/>
    <x v="0"/>
    <n v="1"/>
    <n v="0"/>
    <n v="0"/>
    <n v="0"/>
    <x v="0"/>
    <x v="0"/>
    <x v="0"/>
  </r>
  <r>
    <n v="20566343631"/>
    <x v="26"/>
    <x v="25"/>
    <x v="1817"/>
    <x v="1823"/>
    <x v="1586"/>
    <n v="2"/>
    <x v="36"/>
    <s v="Trazo y Replanteo para Instalaciones Electricas Túnel - Etapa 01B"/>
    <s v="Calle Cuarta 341 Urb. Chacaritas"/>
    <x v="6"/>
    <x v="0"/>
    <x v="0"/>
    <x v="1"/>
    <x v="431"/>
    <x v="0"/>
    <n v="4"/>
    <n v="184"/>
    <x v="0"/>
    <x v="1"/>
    <n v="5.0251256281407036E-3"/>
    <x v="20"/>
    <x v="2"/>
    <s v="OK"/>
    <x v="2"/>
    <s v="OK"/>
    <x v="0"/>
    <x v="0"/>
    <n v="1"/>
    <n v="1"/>
    <n v="0"/>
    <n v="0"/>
    <x v="0"/>
    <x v="0"/>
    <x v="0"/>
  </r>
  <r>
    <n v="20566343631"/>
    <x v="26"/>
    <x v="25"/>
    <x v="1818"/>
    <x v="1824"/>
    <x v="1587"/>
    <n v="2"/>
    <x v="36"/>
    <s v="Trazo y Replanteo para Instalaciones Electricas Túnel - Etapa 01B"/>
    <s v="Av. El Carmen N° 660"/>
    <x v="8"/>
    <x v="0"/>
    <x v="0"/>
    <x v="1"/>
    <x v="20"/>
    <x v="0"/>
    <n v="4"/>
    <n v="184"/>
    <x v="0"/>
    <x v="1"/>
    <n v="5.0251256281407036E-3"/>
    <x v="21"/>
    <x v="2"/>
    <s v="OK"/>
    <x v="0"/>
    <s v="OK"/>
    <x v="0"/>
    <x v="0"/>
    <n v="1"/>
    <n v="0"/>
    <n v="0"/>
    <n v="0"/>
    <x v="0"/>
    <x v="0"/>
    <x v="0"/>
  </r>
  <r>
    <n v="20611000520"/>
    <x v="27"/>
    <x v="26"/>
    <x v="1819"/>
    <x v="1825"/>
    <x v="1588"/>
    <n v="2"/>
    <x v="38"/>
    <s v="ESTACION -01"/>
    <s v="ASENT. H. VIÑA ALTA ETAPA 2 MZ. U LT. 4"/>
    <x v="47"/>
    <x v="0"/>
    <x v="0"/>
    <x v="2"/>
    <x v="115"/>
    <x v="0"/>
    <n v="1"/>
    <n v="101.5"/>
    <x v="0"/>
    <x v="1"/>
    <n v="0.125"/>
    <x v="22"/>
    <x v="2"/>
    <s v="OK"/>
    <x v="0"/>
    <s v="OK"/>
    <x v="0"/>
    <x v="0"/>
    <n v="1"/>
    <n v="0"/>
    <n v="1"/>
    <n v="0"/>
    <x v="0"/>
    <x v="0"/>
    <x v="1"/>
  </r>
  <r>
    <n v="20611000520"/>
    <x v="27"/>
    <x v="26"/>
    <x v="1820"/>
    <x v="1826"/>
    <x v="1589"/>
    <n v="2"/>
    <x v="38"/>
    <s v="ESTACION -01"/>
    <s v="JR. LOS ASTRONOMOS ASENT. H. JAIME ZUBIETA MZ. J LT. 9 "/>
    <x v="15"/>
    <x v="0"/>
    <x v="0"/>
    <x v="2"/>
    <x v="115"/>
    <x v="0"/>
    <n v="1"/>
    <n v="121"/>
    <x v="0"/>
    <x v="1"/>
    <n v="0.125"/>
    <x v="14"/>
    <x v="2"/>
    <s v="OK"/>
    <x v="0"/>
    <s v="OK"/>
    <x v="0"/>
    <x v="0"/>
    <n v="1"/>
    <n v="0"/>
    <n v="1"/>
    <n v="0"/>
    <x v="0"/>
    <x v="0"/>
    <x v="1"/>
  </r>
  <r>
    <n v="20555684721"/>
    <x v="28"/>
    <x v="27"/>
    <x v="1821"/>
    <x v="1827"/>
    <x v="1532"/>
    <n v="1"/>
    <x v="17"/>
    <s v="PATIO TALLER /PV/ESTACIONES/LAB"/>
    <s v="AA HH. Chavin de Huantar Mz I, Lte 26"/>
    <x v="271"/>
    <x v="0"/>
    <x v="0"/>
    <x v="2"/>
    <x v="612"/>
    <x v="0"/>
    <n v="1"/>
    <n v="263"/>
    <x v="0"/>
    <x v="1"/>
    <n v="1.4285714285714285E-2"/>
    <x v="21"/>
    <x v="2"/>
    <s v="OK"/>
    <x v="0"/>
    <s v="OK"/>
    <x v="0"/>
    <x v="0"/>
    <n v="1"/>
    <n v="0"/>
    <n v="0"/>
    <n v="0"/>
    <x v="0"/>
    <x v="0"/>
    <x v="0"/>
  </r>
  <r>
    <n v="20555684721"/>
    <x v="28"/>
    <x v="27"/>
    <x v="1822"/>
    <x v="1828"/>
    <x v="1590"/>
    <n v="1"/>
    <x v="17"/>
    <s v="PATIO TALLER /PV/ESTACIONES/LAB"/>
    <s v="Mz Ñ2 Lote 56 - Los jardines de Chillon"/>
    <x v="4"/>
    <x v="0"/>
    <x v="0"/>
    <x v="2"/>
    <x v="613"/>
    <x v="0"/>
    <n v="1"/>
    <n v="0"/>
    <x v="0"/>
    <x v="1"/>
    <n v="1.4285714285714285E-2"/>
    <x v="20"/>
    <x v="2"/>
    <s v="OK"/>
    <x v="0"/>
    <s v="OK"/>
    <x v="0"/>
    <x v="0"/>
    <n v="1"/>
    <n v="0"/>
    <n v="0"/>
    <n v="0"/>
    <x v="0"/>
    <x v="0"/>
    <x v="0"/>
  </r>
  <r>
    <n v="20555684721"/>
    <x v="28"/>
    <x v="27"/>
    <x v="1823"/>
    <x v="1829"/>
    <x v="1591"/>
    <n v="1"/>
    <x v="17"/>
    <s v="PATIO TALLER /PV/ESTACIONES/LAB"/>
    <s v="Mz 9E, lt 5, Av. Jose de San Martin"/>
    <x v="8"/>
    <x v="0"/>
    <x v="0"/>
    <x v="2"/>
    <x v="614"/>
    <x v="0"/>
    <n v="1"/>
    <n v="263"/>
    <x v="0"/>
    <x v="1"/>
    <n v="1.4285714285714285E-2"/>
    <x v="15"/>
    <x v="2"/>
    <s v="OK"/>
    <x v="0"/>
    <s v="OK"/>
    <x v="0"/>
    <x v="0"/>
    <n v="1"/>
    <n v="0"/>
    <n v="0"/>
    <n v="0"/>
    <x v="0"/>
    <x v="0"/>
    <x v="0"/>
  </r>
  <r>
    <n v="20555684721"/>
    <x v="28"/>
    <x v="27"/>
    <x v="1824"/>
    <x v="1830"/>
    <x v="1592"/>
    <n v="1"/>
    <x v="17"/>
    <s v="PATIO TALLER /PV/ESTACIONES/LAB"/>
    <s v="MZ K LT 14 URB. LOS ROSALES SAN ANDRES"/>
    <x v="272"/>
    <x v="0"/>
    <x v="0"/>
    <x v="2"/>
    <x v="615"/>
    <x v="0"/>
    <n v="1"/>
    <n v="263"/>
    <x v="0"/>
    <x v="1"/>
    <n v="1.4285714285714285E-2"/>
    <x v="19"/>
    <x v="2"/>
    <s v="OK"/>
    <x v="0"/>
    <s v="OK"/>
    <x v="0"/>
    <x v="0"/>
    <n v="1"/>
    <n v="0"/>
    <n v="0"/>
    <n v="0"/>
    <x v="0"/>
    <x v="0"/>
    <x v="0"/>
  </r>
  <r>
    <n v="20555684721"/>
    <x v="28"/>
    <x v="27"/>
    <x v="1825"/>
    <x v="1831"/>
    <x v="1593"/>
    <n v="1"/>
    <x v="17"/>
    <s v="PATIO TALLER /PV/ESTACIONES/LAB"/>
    <s v="ASENT.H. KEYKO SOFIA MZ. G, LOTE 4 - PUENTE PIEDRA"/>
    <x v="4"/>
    <x v="0"/>
    <x v="0"/>
    <x v="2"/>
    <x v="616"/>
    <x v="0"/>
    <n v="1"/>
    <n v="104"/>
    <x v="0"/>
    <x v="1"/>
    <n v="1.4285714285714285E-2"/>
    <x v="15"/>
    <x v="2"/>
    <s v="OK"/>
    <x v="0"/>
    <s v="OK"/>
    <x v="0"/>
    <x v="0"/>
    <n v="1"/>
    <n v="0"/>
    <n v="0"/>
    <n v="0"/>
    <x v="0"/>
    <x v="0"/>
    <x v="0"/>
  </r>
  <r>
    <n v="20555684721"/>
    <x v="28"/>
    <x v="27"/>
    <x v="1826"/>
    <x v="1832"/>
    <x v="1231"/>
    <n v="1"/>
    <x v="17"/>
    <s v="PATIO TALLER /PV/ESTACIONES/LAB"/>
    <s v="MZ Z LT 3 PJ SEÑOR DE LOS MILAGROS  CHOSICA  LURIGANCHO "/>
    <x v="50"/>
    <x v="0"/>
    <x v="0"/>
    <x v="2"/>
    <x v="116"/>
    <x v="0"/>
    <n v="1"/>
    <n v="71"/>
    <x v="0"/>
    <x v="1"/>
    <n v="1.4285714285714285E-2"/>
    <x v="19"/>
    <x v="2"/>
    <s v="OK"/>
    <x v="0"/>
    <s v="OK"/>
    <x v="0"/>
    <x v="0"/>
    <n v="1"/>
    <n v="0"/>
    <n v="0"/>
    <n v="0"/>
    <x v="0"/>
    <x v="0"/>
    <x v="0"/>
  </r>
  <r>
    <n v="20555684721"/>
    <x v="28"/>
    <x v="27"/>
    <x v="1827"/>
    <x v="1833"/>
    <x v="1594"/>
    <n v="1"/>
    <x v="17"/>
    <s v="PATIO TALLER /PV/ESTACIONES/LAB"/>
    <s v="CALLE IGNACIO MORSESKY "/>
    <x v="273"/>
    <x v="0"/>
    <x v="0"/>
    <x v="2"/>
    <x v="122"/>
    <x v="0"/>
    <n v="1"/>
    <n v="194"/>
    <x v="0"/>
    <x v="1"/>
    <n v="1.4285714285714285E-2"/>
    <x v="20"/>
    <x v="2"/>
    <s v="OK"/>
    <x v="0"/>
    <s v="OK"/>
    <x v="0"/>
    <x v="0"/>
    <n v="1"/>
    <n v="0"/>
    <n v="0"/>
    <n v="0"/>
    <x v="0"/>
    <x v="0"/>
    <x v="0"/>
  </r>
  <r>
    <n v="20555684721"/>
    <x v="28"/>
    <x v="27"/>
    <x v="1828"/>
    <x v="1834"/>
    <x v="1595"/>
    <n v="1"/>
    <x v="17"/>
    <s v="PATIO TALLER /PV/ESTACIONES/LAB"/>
    <s v="ASOC,. PROP. OLIVOS STA.ROSA MZ C LT 13"/>
    <x v="3"/>
    <x v="0"/>
    <x v="0"/>
    <x v="2"/>
    <x v="123"/>
    <x v="0"/>
    <n v="1"/>
    <n v="263"/>
    <x v="0"/>
    <x v="1"/>
    <n v="1.4285714285714285E-2"/>
    <x v="17"/>
    <x v="2"/>
    <s v="OK"/>
    <x v="0"/>
    <s v="OK"/>
    <x v="0"/>
    <x v="0"/>
    <n v="1"/>
    <n v="0"/>
    <n v="0"/>
    <n v="0"/>
    <x v="0"/>
    <x v="0"/>
    <x v="0"/>
  </r>
  <r>
    <n v="20555684721"/>
    <x v="28"/>
    <x v="27"/>
    <x v="1829"/>
    <x v="1835"/>
    <x v="1596"/>
    <n v="1"/>
    <x v="17"/>
    <s v="PATIO TALLER /PV/ESTACIONES/LAB"/>
    <s v="ASOCIACION VIRGEN DEL SOL ETAPA 3 MZ 3 LT 06"/>
    <x v="49"/>
    <x v="0"/>
    <x v="0"/>
    <x v="2"/>
    <x v="123"/>
    <x v="0"/>
    <n v="1"/>
    <n v="263"/>
    <x v="0"/>
    <x v="1"/>
    <n v="1.4285714285714285E-2"/>
    <x v="18"/>
    <x v="2"/>
    <s v="OK"/>
    <x v="0"/>
    <s v="OK"/>
    <x v="0"/>
    <x v="0"/>
    <n v="1"/>
    <n v="0"/>
    <n v="0"/>
    <n v="0"/>
    <x v="0"/>
    <x v="0"/>
    <x v="0"/>
  </r>
  <r>
    <n v="20555684721"/>
    <x v="28"/>
    <x v="27"/>
    <x v="1830"/>
    <x v="1836"/>
    <x v="1597"/>
    <n v="1"/>
    <x v="17"/>
    <s v="PATIO TALLER /PV/ESTACIONES/LAB"/>
    <s v="CALLE TACNA NORTE 376"/>
    <x v="6"/>
    <x v="0"/>
    <x v="0"/>
    <x v="2"/>
    <x v="14"/>
    <x v="0"/>
    <n v="1"/>
    <n v="263"/>
    <x v="0"/>
    <x v="1"/>
    <n v="1.4285714285714285E-2"/>
    <x v="20"/>
    <x v="2"/>
    <s v="OK"/>
    <x v="2"/>
    <s v="OK"/>
    <x v="0"/>
    <x v="0"/>
    <n v="1"/>
    <n v="1"/>
    <n v="0"/>
    <n v="0"/>
    <x v="0"/>
    <x v="0"/>
    <x v="0"/>
  </r>
  <r>
    <n v="20555684721"/>
    <x v="28"/>
    <x v="27"/>
    <x v="1831"/>
    <x v="1837"/>
    <x v="1476"/>
    <n v="1"/>
    <x v="17"/>
    <s v="PATIO TALLER /PV/ESTACIONES/LAB"/>
    <s v="AA.HH. ANGAMOS SEC III MZ Q6 LT 1"/>
    <x v="2"/>
    <x v="0"/>
    <x v="0"/>
    <x v="2"/>
    <x v="14"/>
    <x v="0"/>
    <n v="1"/>
    <n v="252"/>
    <x v="0"/>
    <x v="1"/>
    <n v="1.4285714285714285E-2"/>
    <x v="19"/>
    <x v="2"/>
    <s v="OK"/>
    <x v="2"/>
    <s v="OK"/>
    <x v="0"/>
    <x v="0"/>
    <n v="1"/>
    <n v="1"/>
    <n v="0"/>
    <n v="0"/>
    <x v="0"/>
    <x v="0"/>
    <x v="0"/>
  </r>
  <r>
    <n v="20555684721"/>
    <x v="28"/>
    <x v="27"/>
    <x v="1832"/>
    <x v="1838"/>
    <x v="1598"/>
    <n v="1"/>
    <x v="17"/>
    <s v="PATIO TALLER /PV/ESTACIONES/LAB"/>
    <s v="CALLE LOS SAUCES P.J. NESTOR GAMBETTA BAJA ESTEMZ C3. LT 08"/>
    <x v="6"/>
    <x v="0"/>
    <x v="0"/>
    <x v="2"/>
    <x v="14"/>
    <x v="0"/>
    <n v="1"/>
    <n v="250"/>
    <x v="0"/>
    <x v="1"/>
    <n v="1.4285714285714285E-2"/>
    <x v="19"/>
    <x v="2"/>
    <s v="OK"/>
    <x v="2"/>
    <s v="OK"/>
    <x v="0"/>
    <x v="0"/>
    <n v="1"/>
    <n v="1"/>
    <n v="0"/>
    <n v="0"/>
    <x v="0"/>
    <x v="0"/>
    <x v="0"/>
  </r>
  <r>
    <n v="20523293533"/>
    <x v="62"/>
    <x v="45"/>
    <x v="1833"/>
    <x v="1839"/>
    <x v="1599"/>
    <n v="1"/>
    <x v="303"/>
    <s v="AGUSTINO"/>
    <s v="AGUSTINO"/>
    <x v="13"/>
    <x v="0"/>
    <x v="0"/>
    <x v="1"/>
    <x v="408"/>
    <x v="0"/>
    <n v="1"/>
    <n v="312"/>
    <x v="0"/>
    <x v="1"/>
    <n v="0.05"/>
    <x v="21"/>
    <x v="2"/>
    <s v="OK"/>
    <x v="0"/>
    <s v="OK"/>
    <x v="0"/>
    <x v="0"/>
    <n v="1"/>
    <n v="0"/>
    <n v="0"/>
    <n v="0"/>
    <x v="0"/>
    <x v="0"/>
    <x v="0"/>
  </r>
  <r>
    <n v="20523293533"/>
    <x v="62"/>
    <x v="45"/>
    <x v="1834"/>
    <x v="1840"/>
    <x v="1600"/>
    <n v="1"/>
    <x v="303"/>
    <s v="CALLAO"/>
    <s v="CALLAO"/>
    <x v="49"/>
    <x v="0"/>
    <x v="0"/>
    <x v="1"/>
    <x v="408"/>
    <x v="0"/>
    <n v="1"/>
    <n v="324"/>
    <x v="0"/>
    <x v="1"/>
    <n v="0.05"/>
    <x v="21"/>
    <x v="2"/>
    <s v="OK"/>
    <x v="0"/>
    <s v="OK"/>
    <x v="0"/>
    <x v="0"/>
    <n v="1"/>
    <n v="0"/>
    <n v="0"/>
    <n v="0"/>
    <x v="0"/>
    <x v="0"/>
    <x v="0"/>
  </r>
  <r>
    <n v="20523293533"/>
    <x v="62"/>
    <x v="45"/>
    <x v="1835"/>
    <x v="1841"/>
    <x v="1601"/>
    <n v="1"/>
    <x v="303"/>
    <s v="CALLAO-AGUSTINO"/>
    <s v="CALLAO-AGUSTINO"/>
    <x v="14"/>
    <x v="0"/>
    <x v="0"/>
    <x v="1"/>
    <x v="408"/>
    <x v="0"/>
    <n v="1"/>
    <n v="132"/>
    <x v="0"/>
    <x v="1"/>
    <n v="0.05"/>
    <x v="15"/>
    <x v="2"/>
    <s v="OK"/>
    <x v="0"/>
    <s v="OK"/>
    <x v="0"/>
    <x v="0"/>
    <n v="1"/>
    <n v="0"/>
    <n v="0"/>
    <n v="0"/>
    <x v="0"/>
    <x v="0"/>
    <x v="0"/>
  </r>
  <r>
    <n v="20523293533"/>
    <x v="62"/>
    <x v="45"/>
    <x v="1836"/>
    <x v="1842"/>
    <x v="1602"/>
    <n v="1"/>
    <x v="183"/>
    <s v="AGUSTINO"/>
    <s v="MAGDALENA"/>
    <x v="231"/>
    <x v="1"/>
    <x v="0"/>
    <x v="1"/>
    <x v="221"/>
    <x v="0"/>
    <n v="1"/>
    <n v="360"/>
    <x v="0"/>
    <x v="1"/>
    <n v="0.05"/>
    <x v="21"/>
    <x v="2"/>
    <s v="OK"/>
    <x v="0"/>
    <s v="OK"/>
    <x v="0"/>
    <x v="0"/>
    <n v="1"/>
    <n v="0"/>
    <n v="0"/>
    <n v="0"/>
    <x v="0"/>
    <x v="0"/>
    <x v="0"/>
  </r>
  <r>
    <n v="20523293533"/>
    <x v="62"/>
    <x v="45"/>
    <x v="1837"/>
    <x v="1843"/>
    <x v="1603"/>
    <n v="1"/>
    <x v="183"/>
    <s v="SANTA ANITA"/>
    <s v="VILLA EL SALVADOR"/>
    <x v="19"/>
    <x v="0"/>
    <x v="0"/>
    <x v="10"/>
    <x v="617"/>
    <x v="0"/>
    <n v="1"/>
    <n v="228"/>
    <x v="0"/>
    <x v="1"/>
    <n v="0.05"/>
    <x v="14"/>
    <x v="2"/>
    <s v="OK"/>
    <x v="0"/>
    <s v="OK"/>
    <x v="0"/>
    <x v="0"/>
    <n v="1"/>
    <n v="0"/>
    <n v="0"/>
    <n v="0"/>
    <x v="0"/>
    <x v="0"/>
    <x v="0"/>
  </r>
  <r>
    <n v="20523293533"/>
    <x v="62"/>
    <x v="45"/>
    <x v="1838"/>
    <x v="1844"/>
    <x v="1604"/>
    <n v="1"/>
    <x v="304"/>
    <s v="AGUSTINO"/>
    <s v="AGUSTINO"/>
    <x v="3"/>
    <x v="0"/>
    <x v="0"/>
    <x v="3"/>
    <x v="74"/>
    <x v="0"/>
    <n v="1"/>
    <n v="360"/>
    <x v="0"/>
    <x v="1"/>
    <n v="0.05"/>
    <x v="18"/>
    <x v="2"/>
    <s v="OK"/>
    <x v="0"/>
    <s v="OK"/>
    <x v="0"/>
    <x v="0"/>
    <n v="1"/>
    <n v="0"/>
    <n v="0"/>
    <n v="0"/>
    <x v="0"/>
    <x v="0"/>
    <x v="0"/>
  </r>
  <r>
    <n v="20523293533"/>
    <x v="62"/>
    <x v="45"/>
    <x v="1839"/>
    <x v="1845"/>
    <x v="1605"/>
    <n v="1"/>
    <x v="304"/>
    <s v="SANTA ANITA"/>
    <s v="SANTA ANITA"/>
    <x v="1"/>
    <x v="1"/>
    <x v="0"/>
    <x v="3"/>
    <x v="618"/>
    <x v="0"/>
    <n v="1"/>
    <n v="24"/>
    <x v="0"/>
    <x v="1"/>
    <n v="0.05"/>
    <x v="19"/>
    <x v="2"/>
    <s v="OK"/>
    <x v="1"/>
    <s v="OK"/>
    <x v="0"/>
    <x v="0"/>
    <n v="1"/>
    <n v="1"/>
    <n v="0"/>
    <n v="0"/>
    <x v="0"/>
    <x v="0"/>
    <x v="0"/>
  </r>
  <r>
    <n v="20523293533"/>
    <x v="62"/>
    <x v="45"/>
    <x v="1840"/>
    <x v="1846"/>
    <x v="1606"/>
    <n v="1"/>
    <x v="304"/>
    <s v="SANTA ANITA"/>
    <s v="SANTA ANITA"/>
    <x v="49"/>
    <x v="1"/>
    <x v="0"/>
    <x v="3"/>
    <x v="619"/>
    <x v="0"/>
    <n v="1"/>
    <n v="360"/>
    <x v="0"/>
    <x v="1"/>
    <n v="0.05"/>
    <x v="19"/>
    <x v="2"/>
    <s v="OK"/>
    <x v="0"/>
    <s v="OK"/>
    <x v="0"/>
    <x v="0"/>
    <n v="1"/>
    <n v="0"/>
    <n v="0"/>
    <n v="0"/>
    <x v="0"/>
    <x v="0"/>
    <x v="0"/>
  </r>
  <r>
    <n v="20523293533"/>
    <x v="62"/>
    <x v="45"/>
    <x v="1841"/>
    <x v="1847"/>
    <x v="1607"/>
    <n v="1"/>
    <x v="304"/>
    <s v="SANTA ANITA"/>
    <s v="SAN LUIS"/>
    <x v="78"/>
    <x v="0"/>
    <x v="0"/>
    <x v="1"/>
    <x v="617"/>
    <x v="0"/>
    <n v="1"/>
    <n v="300"/>
    <x v="0"/>
    <x v="1"/>
    <n v="0.05"/>
    <x v="21"/>
    <x v="2"/>
    <s v="OK"/>
    <x v="6"/>
    <s v="OK"/>
    <x v="0"/>
    <x v="0"/>
    <n v="1"/>
    <n v="1"/>
    <n v="0"/>
    <n v="0"/>
    <x v="0"/>
    <x v="0"/>
    <x v="0"/>
  </r>
  <r>
    <n v="20523293533"/>
    <x v="62"/>
    <x v="45"/>
    <x v="1842"/>
    <x v="1848"/>
    <x v="1257"/>
    <n v="1"/>
    <x v="304"/>
    <s v="AGUSTINO"/>
    <s v="BREÑA"/>
    <x v="5"/>
    <x v="1"/>
    <x v="0"/>
    <x v="3"/>
    <x v="620"/>
    <x v="0"/>
    <n v="1"/>
    <n v="360"/>
    <x v="0"/>
    <x v="1"/>
    <n v="0.05"/>
    <x v="19"/>
    <x v="2"/>
    <s v="OK"/>
    <x v="3"/>
    <s v="OK"/>
    <x v="0"/>
    <x v="0"/>
    <n v="1"/>
    <n v="1"/>
    <n v="0"/>
    <n v="0"/>
    <x v="0"/>
    <x v="0"/>
    <x v="0"/>
  </r>
  <r>
    <n v="20523293533"/>
    <x v="62"/>
    <x v="45"/>
    <x v="1843"/>
    <x v="1849"/>
    <x v="1608"/>
    <n v="1"/>
    <x v="304"/>
    <s v="SANTA ANITA"/>
    <s v="SURQUILLO"/>
    <x v="86"/>
    <x v="0"/>
    <x v="0"/>
    <x v="3"/>
    <x v="621"/>
    <x v="0"/>
    <n v="1"/>
    <n v="336"/>
    <x v="0"/>
    <x v="1"/>
    <n v="0.05"/>
    <x v="20"/>
    <x v="2"/>
    <s v="OK"/>
    <x v="0"/>
    <s v="OK"/>
    <x v="0"/>
    <x v="0"/>
    <n v="1"/>
    <n v="0"/>
    <n v="0"/>
    <n v="0"/>
    <x v="0"/>
    <x v="0"/>
    <x v="0"/>
  </r>
  <r>
    <s v="20601668018"/>
    <x v="29"/>
    <x v="28"/>
    <x v="1844"/>
    <x v="1850"/>
    <x v="1609"/>
    <n v="3"/>
    <x v="305"/>
    <s v="E01"/>
    <s v="CALLE 1. APV. KAMA l  MZ. J LT.08"/>
    <x v="274"/>
    <x v="0"/>
    <x v="0"/>
    <x v="2"/>
    <x v="532"/>
    <x v="0"/>
    <n v="1"/>
    <n v="96"/>
    <x v="0"/>
    <x v="0"/>
    <n v="9.8039215686274508E-3"/>
    <x v="20"/>
    <x v="2"/>
    <s v="OK"/>
    <x v="0"/>
    <s v="OK"/>
    <x v="0"/>
    <x v="0"/>
    <n v="1"/>
    <n v="0"/>
    <n v="0"/>
    <n v="0"/>
    <x v="0"/>
    <x v="0"/>
    <x v="0"/>
  </r>
  <r>
    <s v="20601668018"/>
    <x v="29"/>
    <x v="28"/>
    <x v="1845"/>
    <x v="1851"/>
    <x v="1610"/>
    <n v="3"/>
    <x v="305"/>
    <s v="E03"/>
    <s v="CALLE 2 MZ. K LT. 12  15 DE ENERO  "/>
    <x v="15"/>
    <x v="0"/>
    <x v="0"/>
    <x v="2"/>
    <x v="622"/>
    <x v="0"/>
    <n v="1"/>
    <n v="186"/>
    <x v="0"/>
    <x v="0"/>
    <n v="9.8039215686274508E-3"/>
    <x v="17"/>
    <x v="2"/>
    <s v="OK"/>
    <x v="0"/>
    <s v="OK"/>
    <x v="0"/>
    <x v="0"/>
    <n v="1"/>
    <n v="0"/>
    <n v="0"/>
    <n v="0"/>
    <x v="0"/>
    <x v="0"/>
    <x v="0"/>
  </r>
  <r>
    <s v="20601668018"/>
    <x v="29"/>
    <x v="28"/>
    <x v="1846"/>
    <x v="1852"/>
    <x v="1611"/>
    <n v="1"/>
    <x v="39"/>
    <s v="E01"/>
    <s v="CALLE 3 ASOC. VIV MONTE DE LOS OLIVOS ETAPA 5 MZ. D LT. 08"/>
    <x v="3"/>
    <x v="0"/>
    <x v="0"/>
    <x v="2"/>
    <x v="410"/>
    <x v="0"/>
    <n v="1"/>
    <n v="110"/>
    <x v="0"/>
    <x v="0"/>
    <n v="9.8039215686274508E-3"/>
    <x v="22"/>
    <x v="2"/>
    <s v="OK"/>
    <x v="0"/>
    <s v="OK"/>
    <x v="0"/>
    <x v="0"/>
    <n v="1"/>
    <n v="0"/>
    <n v="0"/>
    <n v="0"/>
    <x v="0"/>
    <x v="0"/>
    <x v="0"/>
  </r>
  <r>
    <n v="20606079274"/>
    <x v="30"/>
    <x v="28"/>
    <x v="1847"/>
    <x v="1853"/>
    <x v="1612"/>
    <n v="2"/>
    <x v="2"/>
    <s v="E01"/>
    <s v="LAZARETO 1158 DPTO. 24"/>
    <x v="6"/>
    <x v="0"/>
    <x v="0"/>
    <x v="2"/>
    <x v="126"/>
    <x v="0"/>
    <n v="4"/>
    <n v="192"/>
    <x v="0"/>
    <x v="0"/>
    <n v="9.8039215686274508E-3"/>
    <x v="20"/>
    <x v="2"/>
    <s v="OK"/>
    <x v="2"/>
    <s v="OK"/>
    <x v="0"/>
    <x v="0"/>
    <n v="1"/>
    <n v="1"/>
    <n v="0"/>
    <n v="0"/>
    <x v="0"/>
    <x v="0"/>
    <x v="0"/>
  </r>
  <r>
    <n v="20606079274"/>
    <x v="30"/>
    <x v="28"/>
    <x v="1848"/>
    <x v="1854"/>
    <x v="1613"/>
    <n v="2"/>
    <x v="2"/>
    <s v="E03"/>
    <s v="COOP. VIV. IRESA MZ. C LT. 01 URB. EL TREBOL ETAPA III"/>
    <x v="49"/>
    <x v="0"/>
    <x v="0"/>
    <x v="2"/>
    <x v="140"/>
    <x v="0"/>
    <n v="4"/>
    <n v="192"/>
    <x v="0"/>
    <x v="0"/>
    <n v="9.8039215686274508E-3"/>
    <x v="17"/>
    <x v="2"/>
    <s v="OK"/>
    <x v="0"/>
    <s v="OK"/>
    <x v="0"/>
    <x v="0"/>
    <n v="1"/>
    <n v="0"/>
    <n v="0"/>
    <n v="0"/>
    <x v="0"/>
    <x v="0"/>
    <x v="0"/>
  </r>
  <r>
    <n v="20606079274"/>
    <x v="30"/>
    <x v="28"/>
    <x v="1849"/>
    <x v="1855"/>
    <x v="1614"/>
    <n v="2"/>
    <x v="2"/>
    <s v="E02"/>
    <s v="JR. TUPAC AMARU 210"/>
    <x v="17"/>
    <x v="0"/>
    <x v="0"/>
    <x v="2"/>
    <x v="114"/>
    <x v="0"/>
    <n v="4"/>
    <n v="192"/>
    <x v="0"/>
    <x v="0"/>
    <n v="9.8039215686274508E-3"/>
    <x v="18"/>
    <x v="2"/>
    <s v="OK"/>
    <x v="2"/>
    <s v="OK"/>
    <x v="0"/>
    <x v="0"/>
    <n v="1"/>
    <n v="1"/>
    <n v="0"/>
    <n v="0"/>
    <x v="0"/>
    <x v="0"/>
    <x v="0"/>
  </r>
  <r>
    <n v="20606079274"/>
    <x v="30"/>
    <x v="28"/>
    <x v="1850"/>
    <x v="1856"/>
    <x v="1615"/>
    <n v="2"/>
    <x v="2"/>
    <s v="E02"/>
    <s v="TUPAC AMARU 210"/>
    <x v="17"/>
    <x v="0"/>
    <x v="0"/>
    <x v="2"/>
    <x v="168"/>
    <x v="0"/>
    <n v="4"/>
    <n v="192"/>
    <x v="0"/>
    <x v="0"/>
    <n v="9.8039215686274508E-3"/>
    <x v="17"/>
    <x v="2"/>
    <s v="OK"/>
    <x v="2"/>
    <s v="OK"/>
    <x v="0"/>
    <x v="0"/>
    <n v="1"/>
    <n v="1"/>
    <n v="0"/>
    <n v="0"/>
    <x v="0"/>
    <x v="0"/>
    <x v="0"/>
  </r>
  <r>
    <n v="20606079274"/>
    <x v="30"/>
    <x v="28"/>
    <x v="1851"/>
    <x v="1857"/>
    <x v="1616"/>
    <n v="2"/>
    <x v="2"/>
    <s v="E01"/>
    <s v="CALLE QUINTA 251 PISO 2"/>
    <x v="6"/>
    <x v="0"/>
    <x v="0"/>
    <x v="2"/>
    <x v="179"/>
    <x v="0"/>
    <n v="4"/>
    <n v="192"/>
    <x v="0"/>
    <x v="0"/>
    <n v="9.8039215686274508E-3"/>
    <x v="15"/>
    <x v="2"/>
    <s v="OK"/>
    <x v="2"/>
    <s v="OK"/>
    <x v="0"/>
    <x v="0"/>
    <n v="1"/>
    <n v="1"/>
    <n v="0"/>
    <n v="0"/>
    <x v="0"/>
    <x v="0"/>
    <x v="0"/>
  </r>
  <r>
    <n v="20604863580"/>
    <x v="31"/>
    <x v="28"/>
    <x v="1852"/>
    <x v="1858"/>
    <x v="1617"/>
    <n v="3"/>
    <x v="41"/>
    <s v="E02"/>
    <s v="MARSELLA URB. PUENTE SECT. 1 MZ. K1 LT. 01"/>
    <x v="27"/>
    <x v="1"/>
    <x v="0"/>
    <x v="2"/>
    <x v="64"/>
    <x v="0"/>
    <n v="1"/>
    <n v="192"/>
    <x v="0"/>
    <x v="0"/>
    <n v="9.8039215686274508E-3"/>
    <x v="20"/>
    <x v="2"/>
    <s v="OK"/>
    <x v="5"/>
    <s v="OK"/>
    <x v="0"/>
    <x v="0"/>
    <n v="1"/>
    <n v="1"/>
    <n v="0"/>
    <n v="0"/>
    <x v="0"/>
    <x v="0"/>
    <x v="0"/>
  </r>
  <r>
    <n v="20604863580"/>
    <x v="31"/>
    <x v="28"/>
    <x v="1853"/>
    <x v="1859"/>
    <x v="1618"/>
    <n v="3"/>
    <x v="41"/>
    <s v="E01"/>
    <s v="AGRUP. FAM. DE VIV MANOS UNIDAS MZ. M LT. 03"/>
    <x v="15"/>
    <x v="0"/>
    <x v="0"/>
    <x v="2"/>
    <x v="429"/>
    <x v="0"/>
    <n v="1"/>
    <n v="76"/>
    <x v="0"/>
    <x v="0"/>
    <n v="9.8039215686274508E-3"/>
    <x v="14"/>
    <x v="2"/>
    <s v="OK"/>
    <x v="0"/>
    <s v="OK"/>
    <x v="0"/>
    <x v="0"/>
    <n v="1"/>
    <n v="0"/>
    <n v="0"/>
    <n v="0"/>
    <x v="0"/>
    <x v="0"/>
    <x v="0"/>
  </r>
  <r>
    <n v="20604863580"/>
    <x v="31"/>
    <x v="28"/>
    <x v="1854"/>
    <x v="1860"/>
    <x v="943"/>
    <n v="3"/>
    <x v="41"/>
    <s v="E01"/>
    <s v="MZ. G LT. 02 ASOC VIV NUEVA ERA CAJA DE AGUA"/>
    <x v="15"/>
    <x v="0"/>
    <x v="0"/>
    <x v="2"/>
    <x v="169"/>
    <x v="0"/>
    <n v="1"/>
    <n v="144"/>
    <x v="0"/>
    <x v="0"/>
    <n v="9.8039215686274508E-3"/>
    <x v="16"/>
    <x v="2"/>
    <s v="OK"/>
    <x v="0"/>
    <s v="OK"/>
    <x v="0"/>
    <x v="0"/>
    <n v="1"/>
    <n v="0"/>
    <n v="0"/>
    <n v="0"/>
    <x v="0"/>
    <x v="0"/>
    <x v="0"/>
  </r>
  <r>
    <n v="20604863580"/>
    <x v="31"/>
    <x v="28"/>
    <x v="1855"/>
    <x v="1861"/>
    <x v="1015"/>
    <n v="3"/>
    <x v="41"/>
    <s v="E01"/>
    <s v="PSJ. PUNO 122 URB. CAJA DE AGUA"/>
    <x v="15"/>
    <x v="0"/>
    <x v="0"/>
    <x v="2"/>
    <x v="13"/>
    <x v="0"/>
    <n v="1"/>
    <n v="169"/>
    <x v="0"/>
    <x v="0"/>
    <n v="9.8039215686274508E-3"/>
    <x v="17"/>
    <x v="2"/>
    <s v="OK"/>
    <x v="0"/>
    <s v="OK"/>
    <x v="0"/>
    <x v="0"/>
    <n v="1"/>
    <n v="0"/>
    <n v="0"/>
    <n v="0"/>
    <x v="0"/>
    <x v="0"/>
    <x v="0"/>
  </r>
  <r>
    <n v="20604863580"/>
    <x v="31"/>
    <x v="28"/>
    <x v="1856"/>
    <x v="1862"/>
    <x v="1619"/>
    <n v="3"/>
    <x v="42"/>
    <s v="E01"/>
    <s v="CALLE CANDALIO MZ. B3 LT. 8 GRUPO 7 ASENT. H. HUASCAR"/>
    <x v="15"/>
    <x v="0"/>
    <x v="0"/>
    <x v="2"/>
    <x v="623"/>
    <x v="0"/>
    <n v="1"/>
    <n v="169"/>
    <x v="0"/>
    <x v="0"/>
    <n v="9.8039215686274508E-3"/>
    <x v="22"/>
    <x v="2"/>
    <s v="OK"/>
    <x v="0"/>
    <s v="OK"/>
    <x v="0"/>
    <x v="0"/>
    <n v="1"/>
    <n v="0"/>
    <n v="0"/>
    <n v="0"/>
    <x v="0"/>
    <x v="0"/>
    <x v="0"/>
  </r>
  <r>
    <n v="20604863580"/>
    <x v="31"/>
    <x v="28"/>
    <x v="1857"/>
    <x v="1863"/>
    <x v="1620"/>
    <n v="3"/>
    <x v="41"/>
    <s v="E01"/>
    <s v="PSJ 50 MZ W2 LT 03 ASENT H NUEVO AMANECER"/>
    <x v="3"/>
    <x v="0"/>
    <x v="0"/>
    <x v="2"/>
    <x v="202"/>
    <x v="0"/>
    <n v="1"/>
    <n v="107"/>
    <x v="0"/>
    <x v="0"/>
    <n v="9.8039215686274508E-3"/>
    <x v="14"/>
    <x v="2"/>
    <s v="OK"/>
    <x v="0"/>
    <s v="OK"/>
    <x v="0"/>
    <x v="0"/>
    <n v="1"/>
    <n v="0"/>
    <n v="0"/>
    <n v="0"/>
    <x v="0"/>
    <x v="0"/>
    <x v="0"/>
  </r>
  <r>
    <n v="20604863580"/>
    <x v="31"/>
    <x v="28"/>
    <x v="1858"/>
    <x v="1864"/>
    <x v="1208"/>
    <n v="3"/>
    <x v="41"/>
    <s v="E01"/>
    <s v="JR. LIBERACION MZ. 15 LT. 14 ASENT. H. HUASCAR"/>
    <x v="15"/>
    <x v="0"/>
    <x v="0"/>
    <x v="2"/>
    <x v="623"/>
    <x v="0"/>
    <n v="1"/>
    <n v="178"/>
    <x v="0"/>
    <x v="0"/>
    <n v="9.8039215686274508E-3"/>
    <x v="22"/>
    <x v="2"/>
    <s v="OK"/>
    <x v="0"/>
    <s v="OK"/>
    <x v="0"/>
    <x v="0"/>
    <n v="1"/>
    <n v="0"/>
    <n v="0"/>
    <n v="0"/>
    <x v="0"/>
    <x v="0"/>
    <x v="0"/>
  </r>
  <r>
    <n v="20604863580"/>
    <x v="31"/>
    <x v="28"/>
    <x v="1859"/>
    <x v="1865"/>
    <x v="1621"/>
    <n v="3"/>
    <x v="41"/>
    <s v="E01"/>
    <s v="JR. LAS ALHUCEMAS 1371 COOP. LAS FLORES"/>
    <x v="15"/>
    <x v="0"/>
    <x v="0"/>
    <x v="2"/>
    <x v="89"/>
    <x v="0"/>
    <n v="1"/>
    <n v="152"/>
    <x v="0"/>
    <x v="0"/>
    <n v="9.8039215686274508E-3"/>
    <x v="19"/>
    <x v="2"/>
    <s v="OK"/>
    <x v="0"/>
    <s v="OK"/>
    <x v="0"/>
    <x v="0"/>
    <n v="1"/>
    <n v="0"/>
    <n v="0"/>
    <n v="0"/>
    <x v="0"/>
    <x v="0"/>
    <x v="0"/>
  </r>
  <r>
    <s v="10258661350"/>
    <x v="32"/>
    <x v="28"/>
    <x v="1860"/>
    <x v="1866"/>
    <x v="1348"/>
    <n v="3"/>
    <x v="42"/>
    <s v="E03"/>
    <s v="CASERIO LA LAGUNA "/>
    <x v="275"/>
    <x v="0"/>
    <x v="0"/>
    <x v="2"/>
    <x v="624"/>
    <x v="0"/>
    <n v="1"/>
    <n v="186"/>
    <x v="0"/>
    <x v="0"/>
    <n v="9.8039215686274508E-3"/>
    <x v="19"/>
    <x v="2"/>
    <s v="OK"/>
    <x v="0"/>
    <s v="OK"/>
    <x v="0"/>
    <x v="0"/>
    <n v="1"/>
    <n v="0"/>
    <n v="0"/>
    <n v="0"/>
    <x v="0"/>
    <x v="0"/>
    <x v="0"/>
  </r>
  <r>
    <s v="10258661350"/>
    <x v="32"/>
    <x v="28"/>
    <x v="1861"/>
    <x v="1867"/>
    <x v="1622"/>
    <n v="3"/>
    <x v="42"/>
    <s v="E01"/>
    <s v="PJ. CESAR VALLEJO ASENT. H. 04 DE DICIEMBRE MZ. K LT. 06"/>
    <x v="44"/>
    <x v="0"/>
    <x v="0"/>
    <x v="2"/>
    <x v="269"/>
    <x v="0"/>
    <n v="1"/>
    <n v="169"/>
    <x v="0"/>
    <x v="0"/>
    <n v="9.8039215686274508E-3"/>
    <x v="20"/>
    <x v="2"/>
    <s v="OK"/>
    <x v="0"/>
    <s v="OK"/>
    <x v="0"/>
    <x v="0"/>
    <n v="1"/>
    <n v="0"/>
    <n v="0"/>
    <n v="0"/>
    <x v="0"/>
    <x v="0"/>
    <x v="0"/>
  </r>
  <r>
    <s v="10258661350"/>
    <x v="32"/>
    <x v="28"/>
    <x v="1862"/>
    <x v="1868"/>
    <x v="1623"/>
    <n v="3"/>
    <x v="42"/>
    <s v="E01"/>
    <s v="BARRIO EL PROGRESO"/>
    <x v="276"/>
    <x v="0"/>
    <x v="0"/>
    <x v="2"/>
    <x v="110"/>
    <x v="0"/>
    <n v="1"/>
    <n v="178"/>
    <x v="0"/>
    <x v="0"/>
    <n v="9.8039215686274508E-3"/>
    <x v="19"/>
    <x v="2"/>
    <s v="OK"/>
    <x v="0"/>
    <s v="OK"/>
    <x v="0"/>
    <x v="0"/>
    <n v="1"/>
    <n v="0"/>
    <n v="0"/>
    <n v="0"/>
    <x v="0"/>
    <x v="0"/>
    <x v="0"/>
  </r>
  <r>
    <s v="10258661350"/>
    <x v="32"/>
    <x v="28"/>
    <x v="1863"/>
    <x v="1869"/>
    <x v="1624"/>
    <n v="3"/>
    <x v="42"/>
    <s v="E03"/>
    <s v="CALLE LA CANTUTA N-28 URB. LA ALBORADA"/>
    <x v="0"/>
    <x v="0"/>
    <x v="0"/>
    <x v="2"/>
    <x v="11"/>
    <x v="0"/>
    <n v="1"/>
    <n v="169"/>
    <x v="0"/>
    <x v="0"/>
    <n v="9.8039215686274508E-3"/>
    <x v="17"/>
    <x v="2"/>
    <s v="OK"/>
    <x v="0"/>
    <s v="OK"/>
    <x v="0"/>
    <x v="0"/>
    <n v="1"/>
    <n v="0"/>
    <n v="0"/>
    <n v="0"/>
    <x v="0"/>
    <x v="0"/>
    <x v="0"/>
  </r>
  <r>
    <n v="10443116864"/>
    <x v="33"/>
    <x v="28"/>
    <x v="1864"/>
    <x v="1870"/>
    <x v="1625"/>
    <n v="3"/>
    <x v="41"/>
    <s v="E02"/>
    <s v="PQ. EL VALLE COOP EL VALLE ETAPA I MZ LT. 14"/>
    <x v="15"/>
    <x v="0"/>
    <x v="0"/>
    <x v="2"/>
    <x v="270"/>
    <x v="0"/>
    <n v="1"/>
    <n v="192"/>
    <x v="0"/>
    <x v="0"/>
    <n v="9.8039215686274508E-3"/>
    <x v="15"/>
    <x v="2"/>
    <s v="OK"/>
    <x v="0"/>
    <s v="OK"/>
    <x v="0"/>
    <x v="0"/>
    <n v="1"/>
    <n v="0"/>
    <n v="0"/>
    <n v="0"/>
    <x v="0"/>
    <x v="0"/>
    <x v="0"/>
  </r>
  <r>
    <n v="10443116864"/>
    <x v="33"/>
    <x v="28"/>
    <x v="1865"/>
    <x v="1871"/>
    <x v="1626"/>
    <n v="3"/>
    <x v="42"/>
    <s v="E02"/>
    <s v="ASOC. DE VIVIENDA PARAISO DORADO MZ. B LT. 3"/>
    <x v="3"/>
    <x v="0"/>
    <x v="0"/>
    <x v="2"/>
    <x v="283"/>
    <x v="0"/>
    <n v="1"/>
    <n v="175"/>
    <x v="0"/>
    <x v="0"/>
    <n v="9.8039215686274508E-3"/>
    <x v="17"/>
    <x v="2"/>
    <s v="OK"/>
    <x v="0"/>
    <s v="OK"/>
    <x v="0"/>
    <x v="0"/>
    <n v="1"/>
    <n v="0"/>
    <n v="0"/>
    <n v="0"/>
    <x v="0"/>
    <x v="0"/>
    <x v="0"/>
  </r>
  <r>
    <n v="10443116864"/>
    <x v="33"/>
    <x v="28"/>
    <x v="1866"/>
    <x v="1872"/>
    <x v="1495"/>
    <n v="3"/>
    <x v="41"/>
    <s v="E02"/>
    <s v="JR. LIBERACIÓN MZ. 15 LT. 12 ASENT. H . HUASCAR"/>
    <x v="15"/>
    <x v="0"/>
    <x v="0"/>
    <x v="2"/>
    <x v="124"/>
    <x v="0"/>
    <n v="1"/>
    <n v="175"/>
    <x v="0"/>
    <x v="0"/>
    <n v="9.8039215686274508E-3"/>
    <x v="18"/>
    <x v="2"/>
    <s v="OK"/>
    <x v="0"/>
    <s v="OK"/>
    <x v="0"/>
    <x v="0"/>
    <n v="1"/>
    <n v="0"/>
    <n v="0"/>
    <n v="0"/>
    <x v="0"/>
    <x v="0"/>
    <x v="0"/>
  </r>
  <r>
    <s v="20101620256"/>
    <x v="34"/>
    <x v="28"/>
    <x v="1867"/>
    <x v="1873"/>
    <x v="1627"/>
    <n v="1"/>
    <x v="139"/>
    <s v="E01"/>
    <s v="URB LOS PORTALES DEL AEROPUERTO MZ. J1 LT. 9 -CALLAO"/>
    <x v="6"/>
    <x v="0"/>
    <x v="0"/>
    <x v="2"/>
    <x v="625"/>
    <x v="0"/>
    <n v="1"/>
    <n v="113"/>
    <x v="0"/>
    <x v="0"/>
    <n v="9.8039215686274508E-3"/>
    <x v="19"/>
    <x v="2"/>
    <s v="OK"/>
    <x v="2"/>
    <s v="OK"/>
    <x v="0"/>
    <x v="0"/>
    <n v="1"/>
    <n v="1"/>
    <n v="0"/>
    <n v="0"/>
    <x v="0"/>
    <x v="0"/>
    <x v="0"/>
  </r>
  <r>
    <s v="20101620256"/>
    <x v="34"/>
    <x v="28"/>
    <x v="1868"/>
    <x v="1874"/>
    <x v="1520"/>
    <n v="1"/>
    <x v="88"/>
    <s v="E02"/>
    <s v="ASENT. H. LOS JARDINES DE PALAO MZ. I LT 20"/>
    <x v="3"/>
    <x v="0"/>
    <x v="0"/>
    <x v="2"/>
    <x v="179"/>
    <x v="0"/>
    <n v="1"/>
    <n v="192"/>
    <x v="0"/>
    <x v="0"/>
    <n v="9.8039215686274508E-3"/>
    <x v="22"/>
    <x v="2"/>
    <s v="OK"/>
    <x v="0"/>
    <s v="OK"/>
    <x v="0"/>
    <x v="0"/>
    <n v="1"/>
    <n v="0"/>
    <n v="0"/>
    <n v="0"/>
    <x v="0"/>
    <x v="0"/>
    <x v="0"/>
  </r>
  <r>
    <s v="20101620256"/>
    <x v="34"/>
    <x v="28"/>
    <x v="1869"/>
    <x v="1875"/>
    <x v="1628"/>
    <n v="1"/>
    <x v="42"/>
    <s v="E03"/>
    <s v="CALLE LOMA CLARA URB.ESMERALDA MZ.B LT.14 "/>
    <x v="54"/>
    <x v="0"/>
    <x v="0"/>
    <x v="2"/>
    <x v="560"/>
    <x v="0"/>
    <n v="1"/>
    <n v="186"/>
    <x v="0"/>
    <x v="0"/>
    <n v="9.8039215686274508E-3"/>
    <x v="16"/>
    <x v="2"/>
    <s v="OK"/>
    <x v="0"/>
    <s v="OK"/>
    <x v="0"/>
    <x v="0"/>
    <n v="1"/>
    <n v="0"/>
    <n v="0"/>
    <n v="0"/>
    <x v="0"/>
    <x v="0"/>
    <x v="0"/>
  </r>
  <r>
    <s v="20101620256"/>
    <x v="34"/>
    <x v="28"/>
    <x v="1870"/>
    <x v="1876"/>
    <x v="1629"/>
    <n v="1"/>
    <x v="306"/>
    <s v="E01"/>
    <s v="ASENT.H.NICOLAS DE PIEROLA ETAPA ll MZ.114 LT.15"/>
    <x v="50"/>
    <x v="0"/>
    <x v="0"/>
    <x v="2"/>
    <x v="192"/>
    <x v="0"/>
    <n v="1"/>
    <n v="87"/>
    <x v="0"/>
    <x v="0"/>
    <n v="9.8039215686274508E-3"/>
    <x v="18"/>
    <x v="2"/>
    <s v="OK"/>
    <x v="0"/>
    <s v="OK"/>
    <x v="0"/>
    <x v="0"/>
    <n v="1"/>
    <n v="0"/>
    <n v="0"/>
    <n v="0"/>
    <x v="0"/>
    <x v="0"/>
    <x v="0"/>
  </r>
  <r>
    <s v="20101620256"/>
    <x v="34"/>
    <x v="28"/>
    <x v="1871"/>
    <x v="1877"/>
    <x v="1630"/>
    <n v="1"/>
    <x v="205"/>
    <s v="E01"/>
    <s v="AV. TUPAC AMARU D-25 COOP. LOS MOLLES"/>
    <x v="27"/>
    <x v="0"/>
    <x v="0"/>
    <x v="2"/>
    <x v="101"/>
    <x v="0"/>
    <n v="1"/>
    <n v="68"/>
    <x v="0"/>
    <x v="0"/>
    <n v="9.8039215686274508E-3"/>
    <x v="21"/>
    <x v="2"/>
    <s v="OK"/>
    <x v="5"/>
    <s v="OK"/>
    <x v="0"/>
    <x v="0"/>
    <n v="1"/>
    <n v="1"/>
    <n v="1"/>
    <n v="0"/>
    <x v="0"/>
    <x v="0"/>
    <x v="1"/>
  </r>
  <r>
    <s v="20101620256"/>
    <x v="34"/>
    <x v="28"/>
    <x v="1872"/>
    <x v="1878"/>
    <x v="1631"/>
    <n v="1"/>
    <x v="106"/>
    <s v="E02"/>
    <s v="ASENT.H . TRES DE OCTUBRE MZ. 23 LT. 14"/>
    <x v="53"/>
    <x v="0"/>
    <x v="0"/>
    <x v="2"/>
    <x v="508"/>
    <x v="0"/>
    <n v="1"/>
    <n v="192"/>
    <x v="0"/>
    <x v="0"/>
    <n v="9.8039215686274508E-3"/>
    <x v="20"/>
    <x v="2"/>
    <s v="OK"/>
    <x v="0"/>
    <s v="OK"/>
    <x v="0"/>
    <x v="0"/>
    <n v="1"/>
    <n v="0"/>
    <n v="0"/>
    <n v="0"/>
    <x v="0"/>
    <x v="0"/>
    <x v="0"/>
  </r>
  <r>
    <s v="20101620256"/>
    <x v="34"/>
    <x v="28"/>
    <x v="1873"/>
    <x v="1879"/>
    <x v="1047"/>
    <n v="1"/>
    <x v="307"/>
    <s v="E02"/>
    <s v="JR. 7 DE JUNIO P.J VILLA SAN LUIS MZ. H8 LT. 26"/>
    <x v="53"/>
    <x v="0"/>
    <x v="0"/>
    <x v="2"/>
    <x v="521"/>
    <x v="0"/>
    <n v="1"/>
    <n v="73"/>
    <x v="0"/>
    <x v="0"/>
    <n v="9.8039215686274508E-3"/>
    <x v="19"/>
    <x v="2"/>
    <s v="OK"/>
    <x v="0"/>
    <s v="OK"/>
    <x v="0"/>
    <x v="0"/>
    <n v="1"/>
    <n v="0"/>
    <n v="0"/>
    <n v="0"/>
    <x v="0"/>
    <x v="0"/>
    <x v="0"/>
  </r>
  <r>
    <n v="20606991062"/>
    <x v="35"/>
    <x v="29"/>
    <x v="1874"/>
    <x v="1880"/>
    <x v="1632"/>
    <n v="2"/>
    <x v="11"/>
    <s v="OBR-06-23-020 – INSTALACIÓN DE TERRAZOS Y PORCELANATO EN ESTACIONES E-01 “PUERTO CALLAO”, E-02 “BUENOS AIRES” Y E-03 “JUAN PABLO II”"/>
    <s v="UCV 127 LT 64 ZONA H AH HUAYCAN"/>
    <x v="1"/>
    <x v="0"/>
    <x v="0"/>
    <x v="2"/>
    <x v="110"/>
    <x v="0"/>
    <n v="1"/>
    <n v="170"/>
    <x v="0"/>
    <x v="1"/>
    <n v="2.6315789473684209E-2"/>
    <x v="16"/>
    <x v="2"/>
    <s v="OK"/>
    <x v="1"/>
    <s v="OK"/>
    <x v="0"/>
    <x v="0"/>
    <n v="1"/>
    <n v="1"/>
    <n v="0"/>
    <n v="0"/>
    <x v="0"/>
    <x v="0"/>
    <x v="0"/>
  </r>
  <r>
    <n v="20606991062"/>
    <x v="35"/>
    <x v="29"/>
    <x v="1875"/>
    <x v="1881"/>
    <x v="1633"/>
    <n v="1"/>
    <x v="308"/>
    <s v="OBR-06-23-020 – INSTALACIÓN DE TERRAZOS Y PORCELANATO EN ESTACIONES E-01 “PUERTO CALLAO”, E-02 “BUENOS AIRES” Y E-03 “JUAN PABLO II”"/>
    <s v="CALLE LAS BEGONIAS 107 URB. LOS VIÑEDOS"/>
    <x v="0"/>
    <x v="1"/>
    <x v="0"/>
    <x v="2"/>
    <x v="306"/>
    <x v="0"/>
    <n v="1"/>
    <n v="186"/>
    <x v="0"/>
    <x v="1"/>
    <n v="2.6315789473684209E-2"/>
    <x v="14"/>
    <x v="2"/>
    <s v="OK"/>
    <x v="0"/>
    <s v="OK"/>
    <x v="0"/>
    <x v="0"/>
    <n v="1"/>
    <n v="0"/>
    <n v="0"/>
    <n v="0"/>
    <x v="0"/>
    <x v="0"/>
    <x v="0"/>
  </r>
  <r>
    <n v="20606991062"/>
    <x v="35"/>
    <x v="29"/>
    <x v="1876"/>
    <x v="1882"/>
    <x v="1634"/>
    <n v="2"/>
    <x v="2"/>
    <s v="OBR-06-23-020 – INSTALACIÓN DE TERRAZOS Y PORCELANATO EN ESTACIONES E-01 “PUERTO CALLAO”, E-02 “BUENOS AIRES” Y E-03 “JUAN PABLO II”"/>
    <s v="JR. VICTOR FAJARDO 950"/>
    <x v="17"/>
    <x v="0"/>
    <x v="0"/>
    <x v="2"/>
    <x v="176"/>
    <x v="0"/>
    <n v="1"/>
    <n v="192"/>
    <x v="0"/>
    <x v="1"/>
    <n v="2.6315789473684209E-2"/>
    <x v="15"/>
    <x v="2"/>
    <s v="OK"/>
    <x v="2"/>
    <s v="OK"/>
    <x v="0"/>
    <x v="0"/>
    <n v="1"/>
    <n v="1"/>
    <n v="0"/>
    <n v="0"/>
    <x v="0"/>
    <x v="0"/>
    <x v="0"/>
  </r>
  <r>
    <n v="20606991062"/>
    <x v="35"/>
    <x v="29"/>
    <x v="1877"/>
    <x v="1883"/>
    <x v="1635"/>
    <n v="1"/>
    <x v="309"/>
    <s v="OBR-06-23-020 – INSTALACIÓN DE TERRAZOS Y PORCELANATO EN ESTACIONES E-01 “PUERTO CALLAO”, E-02 “BUENOS AIRES” Y E-03 “JUAN PABLO II”"/>
    <s v="JR LOS AMAUTAS 847 URB. ZARATE"/>
    <x v="15"/>
    <x v="0"/>
    <x v="0"/>
    <x v="2"/>
    <x v="626"/>
    <x v="0"/>
    <n v="1"/>
    <n v="192"/>
    <x v="0"/>
    <x v="1"/>
    <n v="2.6315789473684209E-2"/>
    <x v="14"/>
    <x v="2"/>
    <s v="OK"/>
    <x v="0"/>
    <s v="OK"/>
    <x v="0"/>
    <x v="0"/>
    <n v="1"/>
    <n v="0"/>
    <n v="0"/>
    <n v="0"/>
    <x v="0"/>
    <x v="0"/>
    <x v="0"/>
  </r>
  <r>
    <n v="20606991062"/>
    <x v="35"/>
    <x v="29"/>
    <x v="1878"/>
    <x v="1884"/>
    <x v="1636"/>
    <n v="2"/>
    <x v="11"/>
    <s v="OBR-06-23-020 – INSTALACIÓN DE TERRAZOS Y PORCELANATO EN ESTACIONES E-01 “PUERTO CALLAO”, E-02 “BUENOS AIRES” Y E-03 “JUAN PABLO II”"/>
    <s v="MZ E-1 LT 15 URB. VILLA DEL NORTE"/>
    <x v="49"/>
    <x v="0"/>
    <x v="0"/>
    <x v="2"/>
    <x v="122"/>
    <x v="0"/>
    <n v="1"/>
    <n v="192"/>
    <x v="0"/>
    <x v="1"/>
    <n v="2.6315789473684209E-2"/>
    <x v="22"/>
    <x v="2"/>
    <s v="OK"/>
    <x v="0"/>
    <s v="OK"/>
    <x v="0"/>
    <x v="0"/>
    <n v="1"/>
    <n v="0"/>
    <n v="0"/>
    <n v="0"/>
    <x v="0"/>
    <x v="0"/>
    <x v="0"/>
  </r>
  <r>
    <n v="20606991062"/>
    <x v="35"/>
    <x v="29"/>
    <x v="1879"/>
    <x v="1885"/>
    <x v="1637"/>
    <n v="2"/>
    <x v="11"/>
    <s v="OBR-06-23-020 – INSTALACIÓN DE TERRAZOS Y PORCELANATO EN ESTACIONES E-01 “PUERTO CALLAO”, E-02 “BUENOS AIRES” Y E-03 “JUAN PABLO II”"/>
    <s v="MZ B LT 13 A.H. 19 DE AGOSTO NUEVO PACHACUTEC"/>
    <x v="2"/>
    <x v="0"/>
    <x v="0"/>
    <x v="2"/>
    <x v="242"/>
    <x v="0"/>
    <n v="1"/>
    <n v="192"/>
    <x v="0"/>
    <x v="1"/>
    <n v="2.6315789473684209E-2"/>
    <x v="17"/>
    <x v="2"/>
    <s v="OK"/>
    <x v="2"/>
    <s v="OK"/>
    <x v="0"/>
    <x v="0"/>
    <n v="1"/>
    <n v="1"/>
    <n v="0"/>
    <n v="0"/>
    <x v="0"/>
    <x v="0"/>
    <x v="0"/>
  </r>
  <r>
    <n v="20606991062"/>
    <x v="35"/>
    <x v="29"/>
    <x v="1880"/>
    <x v="1886"/>
    <x v="1638"/>
    <n v="1"/>
    <x v="106"/>
    <s v="OBR-06-23-020 – INSTALACIÓN DE TERRAZOS Y PORCELANATO EN ESTACIONES E-01 “PUERTO CALLAO”, E-02 “BUENOS AIRES” Y E-03 “JUAN PABLO II”"/>
    <s v="CA. AZALEAS MZ. Q LT. 7 - URB. SOL DE SANTA ANITA "/>
    <x v="27"/>
    <x v="1"/>
    <x v="0"/>
    <x v="3"/>
    <x v="424"/>
    <x v="0"/>
    <n v="1"/>
    <n v="192"/>
    <x v="0"/>
    <x v="1"/>
    <n v="2.6315789473684209E-2"/>
    <x v="20"/>
    <x v="2"/>
    <s v="OK"/>
    <x v="5"/>
    <s v="OK"/>
    <x v="0"/>
    <x v="0"/>
    <n v="1"/>
    <n v="1"/>
    <n v="0"/>
    <n v="0"/>
    <x v="0"/>
    <x v="0"/>
    <x v="0"/>
  </r>
  <r>
    <n v="20606991062"/>
    <x v="35"/>
    <x v="29"/>
    <x v="1881"/>
    <x v="1887"/>
    <x v="1345"/>
    <n v="2"/>
    <x v="8"/>
    <s v="OBR-06-23-020 – INSTALACIÓN DE TERRAZOS Y PORCELANATO EN ESTACIONES E-01 “PUERTO CALLAO”, E-02 “BUENOS AIRES” Y E-03 “JUAN PABLO II”"/>
    <s v="CALLE 4 ASOC DE PRO LOS PORTALES DEL NORTE MZ B LT 38"/>
    <x v="49"/>
    <x v="0"/>
    <x v="0"/>
    <x v="2"/>
    <x v="70"/>
    <x v="0"/>
    <n v="1"/>
    <n v="192"/>
    <x v="0"/>
    <x v="1"/>
    <n v="2.6315789473684209E-2"/>
    <x v="19"/>
    <x v="2"/>
    <s v="OK"/>
    <x v="0"/>
    <s v="OK"/>
    <x v="0"/>
    <x v="0"/>
    <n v="1"/>
    <n v="0"/>
    <n v="0"/>
    <n v="0"/>
    <x v="0"/>
    <x v="0"/>
    <x v="0"/>
  </r>
  <r>
    <n v="20606991062"/>
    <x v="35"/>
    <x v="29"/>
    <x v="1882"/>
    <x v="1888"/>
    <x v="1594"/>
    <n v="2"/>
    <x v="8"/>
    <s v="OBR-06-23-020 – INSTALACIÓN DE TERRAZOS Y PORCELANATO EN ESTACIONES E-01 “PUERTO CALLAO”, E-02 “BUENOS AIRES” Y E-03 “JUAN PABLO II”"/>
    <s v="AV VIA EVITAMIENTO S/N ASENT H MATAZANGO MZ E LT 3"/>
    <x v="47"/>
    <x v="0"/>
    <x v="0"/>
    <x v="2"/>
    <x v="70"/>
    <x v="0"/>
    <n v="1"/>
    <n v="192"/>
    <x v="0"/>
    <x v="1"/>
    <n v="2.6315789473684209E-2"/>
    <x v="20"/>
    <x v="2"/>
    <s v="OK"/>
    <x v="0"/>
    <s v="OK"/>
    <x v="0"/>
    <x v="0"/>
    <n v="1"/>
    <n v="0"/>
    <n v="0"/>
    <n v="0"/>
    <x v="0"/>
    <x v="0"/>
    <x v="0"/>
  </r>
  <r>
    <n v="20606991062"/>
    <x v="35"/>
    <x v="29"/>
    <x v="1883"/>
    <x v="1889"/>
    <x v="1174"/>
    <n v="2"/>
    <x v="8"/>
    <s v="OBR-06-23-020 – INSTALACIÓN DE TERRAZOS Y PORCELANATO EN ESTACIONES E-01 “PUERTO CALLAO”, E-02 “BUENOS AIRES” Y E-03 “JUAN PABLO II”"/>
    <s v="HUAYCAN UCV 24 LT 22 ZONA B"/>
    <x v="1"/>
    <x v="0"/>
    <x v="0"/>
    <x v="2"/>
    <x v="543"/>
    <x v="0"/>
    <n v="1"/>
    <n v="192"/>
    <x v="0"/>
    <x v="1"/>
    <n v="2.6315789473684209E-2"/>
    <x v="22"/>
    <x v="2"/>
    <s v="OK"/>
    <x v="1"/>
    <s v="OK"/>
    <x v="0"/>
    <x v="0"/>
    <n v="1"/>
    <n v="1"/>
    <n v="0"/>
    <n v="0"/>
    <x v="0"/>
    <x v="0"/>
    <x v="0"/>
  </r>
  <r>
    <n v="20606991062"/>
    <x v="35"/>
    <x v="29"/>
    <x v="1884"/>
    <x v="1890"/>
    <x v="1639"/>
    <n v="2"/>
    <x v="8"/>
    <s v="OBR-06-23-020 – INSTALACIÓN DE TERRAZOS Y PORCELANATO EN ESTACIONES E-01 “PUERTO CALLAO”, E-02 “BUENOS AIRES” Y E-03 “JUAN PABLO II”"/>
    <s v="CALLE ESTIBINA MZ E LT 24 CAJABAMBA"/>
    <x v="49"/>
    <x v="0"/>
    <x v="0"/>
    <x v="2"/>
    <x v="70"/>
    <x v="0"/>
    <n v="1"/>
    <n v="192"/>
    <x v="0"/>
    <x v="1"/>
    <n v="2.6315789473684209E-2"/>
    <x v="18"/>
    <x v="2"/>
    <s v="OK"/>
    <x v="0"/>
    <s v="OK"/>
    <x v="0"/>
    <x v="0"/>
    <n v="1"/>
    <n v="0"/>
    <n v="0"/>
    <n v="0"/>
    <x v="0"/>
    <x v="0"/>
    <x v="0"/>
  </r>
  <r>
    <n v="20606991062"/>
    <x v="35"/>
    <x v="29"/>
    <x v="1885"/>
    <x v="1891"/>
    <x v="1039"/>
    <n v="1"/>
    <x v="309"/>
    <s v="OBR-06-23-020 – INSTALACIÓN DE TERRAZOS Y PORCELANATO EN ESTACIONES E-01 “PUERTO CALLAO”, E-02 “BUENOS AIRES” Y E-03 “JUAN PABLO II”"/>
    <s v="CL. ESTIBINA MZ E LT 24 CAJABAMBA"/>
    <x v="49"/>
    <x v="0"/>
    <x v="0"/>
    <x v="2"/>
    <x v="70"/>
    <x v="0"/>
    <n v="1"/>
    <n v="192"/>
    <x v="0"/>
    <x v="1"/>
    <n v="2.6315789473684209E-2"/>
    <x v="21"/>
    <x v="2"/>
    <s v="OK"/>
    <x v="0"/>
    <s v="OK"/>
    <x v="0"/>
    <x v="0"/>
    <n v="1"/>
    <n v="0"/>
    <n v="0"/>
    <n v="0"/>
    <x v="0"/>
    <x v="0"/>
    <x v="0"/>
  </r>
  <r>
    <n v="20606991062"/>
    <x v="35"/>
    <x v="29"/>
    <x v="1886"/>
    <x v="1892"/>
    <x v="1640"/>
    <n v="2"/>
    <x v="8"/>
    <s v="OBR-06-23-020 – INSTALACIÓN DE TERRAZOS Y PORCELANATO EN ESTACIONES E-01 “PUERTO CALLAO”, E-02 “BUENOS AIRES” Y E-03 “JUAN PABLO II”"/>
    <s v="AH CASA HUERTA LA CAMPIÑA SECTOR B MZ A 1 LT 22"/>
    <x v="50"/>
    <x v="0"/>
    <x v="0"/>
    <x v="2"/>
    <x v="70"/>
    <x v="0"/>
    <n v="1"/>
    <n v="192"/>
    <x v="0"/>
    <x v="1"/>
    <n v="2.6315789473684209E-2"/>
    <x v="17"/>
    <x v="2"/>
    <s v="OK"/>
    <x v="0"/>
    <s v="OK"/>
    <x v="0"/>
    <x v="0"/>
    <n v="1"/>
    <n v="0"/>
    <n v="0"/>
    <n v="0"/>
    <x v="0"/>
    <x v="0"/>
    <x v="0"/>
  </r>
  <r>
    <n v="20606991062"/>
    <x v="35"/>
    <x v="29"/>
    <x v="1887"/>
    <x v="1893"/>
    <x v="1640"/>
    <n v="2"/>
    <x v="8"/>
    <s v="OBR-06-23-020 – INSTALACIÓN DE TERRAZOS Y PORCELANATO EN ESTACIONES E-01 “PUERTO CALLAO”, E-02 “BUENOS AIRES” Y E-03 “JUAN PABLO II”"/>
    <s v="AH. CASA HUERTA LA CAMPIÑA SECTOR B MZ A 1 LT 22"/>
    <x v="50"/>
    <x v="0"/>
    <x v="0"/>
    <x v="2"/>
    <x v="426"/>
    <x v="0"/>
    <n v="1"/>
    <n v="192"/>
    <x v="0"/>
    <x v="1"/>
    <n v="2.6315789473684209E-2"/>
    <x v="17"/>
    <x v="2"/>
    <s v="OK"/>
    <x v="0"/>
    <s v="OK"/>
    <x v="0"/>
    <x v="0"/>
    <n v="1"/>
    <n v="0"/>
    <n v="0"/>
    <n v="0"/>
    <x v="0"/>
    <x v="0"/>
    <x v="0"/>
  </r>
  <r>
    <n v="20606991062"/>
    <x v="35"/>
    <x v="29"/>
    <x v="1888"/>
    <x v="1502"/>
    <x v="1327"/>
    <n v="2"/>
    <x v="2"/>
    <s v="OBR-06-23-020 – INSTALACIÓN DE TERRAZOS Y PORCELANATO EN ESTACIONES E-01 “PUERTO CALLAO”, E-02 “BUENOS AIRES” Y E-03 “JUAN PABLO II”"/>
    <s v="ASOC PROP VIV VIQUES MZ A LT 10"/>
    <x v="1"/>
    <x v="0"/>
    <x v="0"/>
    <x v="2"/>
    <x v="232"/>
    <x v="0"/>
    <n v="1"/>
    <n v="192"/>
    <x v="0"/>
    <x v="1"/>
    <n v="2.6315789473684209E-2"/>
    <x v="19"/>
    <x v="2"/>
    <s v="OK"/>
    <x v="1"/>
    <s v="OK"/>
    <x v="0"/>
    <x v="1"/>
    <n v="0.5"/>
    <n v="0.5"/>
    <n v="0"/>
    <n v="0"/>
    <x v="0"/>
    <x v="0"/>
    <x v="0"/>
  </r>
  <r>
    <n v="20606991062"/>
    <x v="35"/>
    <x v="29"/>
    <x v="1889"/>
    <x v="1894"/>
    <x v="1641"/>
    <n v="2"/>
    <x v="8"/>
    <s v="OBR-06-23-020 – INSTALACIÓN DE TERRAZOS Y PORCELANATO EN ESTACIONES E-01 “PUERTO CALLAO”, E-02 “BUENOS AIRES” Y E-03 “JUAN PABLO II”"/>
    <s v="MZ A LT 10 ASOC DE VIV ESTRELLA ANDINA"/>
    <x v="1"/>
    <x v="0"/>
    <x v="0"/>
    <x v="2"/>
    <x v="70"/>
    <x v="0"/>
    <n v="1"/>
    <n v="192"/>
    <x v="0"/>
    <x v="1"/>
    <n v="2.6315789473684209E-2"/>
    <x v="17"/>
    <x v="2"/>
    <s v="OK"/>
    <x v="1"/>
    <s v="OK"/>
    <x v="0"/>
    <x v="0"/>
    <n v="1"/>
    <n v="1"/>
    <n v="0"/>
    <n v="0"/>
    <x v="0"/>
    <x v="0"/>
    <x v="0"/>
  </r>
  <r>
    <n v="20606991062"/>
    <x v="35"/>
    <x v="29"/>
    <x v="1890"/>
    <x v="1895"/>
    <x v="1053"/>
    <n v="2"/>
    <x v="8"/>
    <s v="OBR-06-23-020 – INSTALACIÓN DE TERRAZOS Y PORCELANATO EN ESTACIONES E-01 “PUERTO CALLAO”, E-02 “BUENOS AIRES” Y E-03 “JUAN PABLO II”"/>
    <s v="CALLE AGATA MZ C LT 11 ASOC CAJABAMBA"/>
    <x v="49"/>
    <x v="0"/>
    <x v="0"/>
    <x v="2"/>
    <x v="318"/>
    <x v="0"/>
    <n v="1"/>
    <n v="192"/>
    <x v="0"/>
    <x v="1"/>
    <n v="2.6315789473684209E-2"/>
    <x v="14"/>
    <x v="2"/>
    <s v="OK"/>
    <x v="0"/>
    <s v="OK"/>
    <x v="0"/>
    <x v="0"/>
    <n v="1"/>
    <n v="0"/>
    <n v="0"/>
    <n v="0"/>
    <x v="0"/>
    <x v="0"/>
    <x v="0"/>
  </r>
  <r>
    <n v="20606991062"/>
    <x v="35"/>
    <x v="29"/>
    <x v="1891"/>
    <x v="1896"/>
    <x v="1642"/>
    <n v="1"/>
    <x v="44"/>
    <s v="OBR-06-23-020 – INSTALACIÓN DE TERRAZOS Y PORCELANATO EN ESTACIONES E-01 “PUERTO CALLAO”, E-02 “BUENOS AIRES” Y E-03 “JUAN PABLO II”"/>
    <s v="CALLE PASCUAL QUIÑONEZ 180 URB JAVIER PRADO"/>
    <x v="144"/>
    <x v="1"/>
    <x v="0"/>
    <x v="2"/>
    <x v="70"/>
    <x v="0"/>
    <n v="1"/>
    <n v="192"/>
    <x v="0"/>
    <x v="1"/>
    <n v="2.6315789473684209E-2"/>
    <x v="15"/>
    <x v="2"/>
    <s v="OK"/>
    <x v="0"/>
    <s v="OK"/>
    <x v="0"/>
    <x v="0"/>
    <n v="1"/>
    <n v="0"/>
    <n v="0"/>
    <n v="0"/>
    <x v="0"/>
    <x v="0"/>
    <x v="0"/>
  </r>
  <r>
    <n v="20557447181"/>
    <x v="64"/>
    <x v="47"/>
    <x v="1892"/>
    <x v="1897"/>
    <x v="1643"/>
    <n v="1"/>
    <x v="91"/>
    <s v="Patio Taller - Santa Anita"/>
    <s v="AV. LAS TORRES ASOC.MIGUEL GRAU SEMINARIO MZ A.LT.3"/>
    <x v="277"/>
    <x v="0"/>
    <x v="6"/>
    <x v="2"/>
    <x v="266"/>
    <x v="0"/>
    <n v="1"/>
    <n v="190"/>
    <x v="0"/>
    <x v="1"/>
    <n v="0.125"/>
    <x v="21"/>
    <x v="2"/>
    <s v="OK"/>
    <x v="0"/>
    <s v="OK"/>
    <x v="0"/>
    <x v="0"/>
    <n v="1"/>
    <n v="0"/>
    <n v="0"/>
    <n v="0"/>
    <x v="0"/>
    <x v="0"/>
    <x v="0"/>
  </r>
  <r>
    <n v="20557447181"/>
    <x v="64"/>
    <x v="47"/>
    <x v="1893"/>
    <x v="1898"/>
    <x v="1644"/>
    <n v="1"/>
    <x v="91"/>
    <s v="OFICINA CENTRAL"/>
    <s v="CASA HUERTA LA CAMPIÑA.SEC.B. MZ. B1 LT. 10"/>
    <x v="50"/>
    <x v="0"/>
    <x v="6"/>
    <x v="2"/>
    <x v="619"/>
    <x v="0"/>
    <n v="1"/>
    <n v="190"/>
    <x v="0"/>
    <x v="1"/>
    <n v="0.125"/>
    <x v="19"/>
    <x v="2"/>
    <s v="OK"/>
    <x v="0"/>
    <s v="OK"/>
    <x v="0"/>
    <x v="0"/>
    <n v="1"/>
    <n v="0"/>
    <n v="0"/>
    <n v="0"/>
    <x v="0"/>
    <x v="0"/>
    <x v="0"/>
  </r>
  <r>
    <n v="20556570681"/>
    <x v="36"/>
    <x v="30"/>
    <x v="1894"/>
    <x v="1899"/>
    <x v="1645"/>
    <n v="1"/>
    <x v="51"/>
    <s v="SUPERESTRUCTURA DE VIA TUNEL PBM PV1BIS - E4 - Y -TRAMO 3ra VIA PARQUE MURILLO – E19"/>
    <s v="CALLE STRAVINSKI 184 DPTO. 401"/>
    <x v="144"/>
    <x v="0"/>
    <x v="0"/>
    <x v="2"/>
    <x v="139"/>
    <x v="0"/>
    <n v="1"/>
    <n v="240"/>
    <x v="0"/>
    <x v="1"/>
    <n v="4.7619047619047623E-3"/>
    <x v="19"/>
    <x v="2"/>
    <s v="OK"/>
    <x v="0"/>
    <s v="OK"/>
    <x v="0"/>
    <x v="0"/>
    <n v="1"/>
    <n v="0"/>
    <n v="0"/>
    <n v="0"/>
    <x v="0"/>
    <x v="0"/>
    <x v="0"/>
  </r>
  <r>
    <n v="20556570681"/>
    <x v="36"/>
    <x v="30"/>
    <x v="1895"/>
    <x v="1900"/>
    <x v="1646"/>
    <n v="1"/>
    <x v="96"/>
    <s v="SUPERESTRUCTURA DE VIA TUNEL PBM PV1BIS - E4 - Y -TRAMO 3ra VIA PARQUE MURILLO – E19"/>
    <s v="ASENT.H JUVENTUD SOLIDARIA MZ A LT 05"/>
    <x v="278"/>
    <x v="0"/>
    <x v="0"/>
    <x v="2"/>
    <x v="278"/>
    <x v="0"/>
    <n v="1"/>
    <n v="240"/>
    <x v="0"/>
    <x v="1"/>
    <n v="4.7619047619047623E-3"/>
    <x v="15"/>
    <x v="2"/>
    <s v="OK"/>
    <x v="2"/>
    <s v="OK"/>
    <x v="0"/>
    <x v="0"/>
    <n v="1"/>
    <n v="1"/>
    <n v="0"/>
    <n v="0"/>
    <x v="0"/>
    <x v="0"/>
    <x v="0"/>
  </r>
  <r>
    <n v="20556570681"/>
    <x v="36"/>
    <x v="30"/>
    <x v="1896"/>
    <x v="1901"/>
    <x v="1647"/>
    <n v="1"/>
    <x v="123"/>
    <s v="SUPERESTRUCTURA DE VIA TUNEL PBM PV1BIS - E4 - Y -TRAMO 3ra VIA PARQUE MURILLO – E19"/>
    <s v="AV. DEL PARQUE NORTE 707 DPTO. 701 "/>
    <x v="143"/>
    <x v="0"/>
    <x v="0"/>
    <x v="2"/>
    <x v="280"/>
    <x v="0"/>
    <n v="1"/>
    <n v="240"/>
    <x v="0"/>
    <x v="1"/>
    <n v="4.7619047619047623E-3"/>
    <x v="22"/>
    <x v="2"/>
    <s v="OK"/>
    <x v="0"/>
    <s v="OK"/>
    <x v="0"/>
    <x v="0"/>
    <n v="1"/>
    <n v="0"/>
    <n v="0"/>
    <n v="0"/>
    <x v="0"/>
    <x v="0"/>
    <x v="0"/>
  </r>
  <r>
    <n v="20556570681"/>
    <x v="36"/>
    <x v="30"/>
    <x v="1897"/>
    <x v="1902"/>
    <x v="1079"/>
    <n v="2"/>
    <x v="12"/>
    <s v="SUPERESTRUCTURA DE VIA TUNEL PBM PV1BIS - E4 - Y -TRAMO 3ra VIA PARQUE MURILLO – E19"/>
    <s v="AA. HH. MATAZANGO MZ U LOTE 18"/>
    <x v="1"/>
    <x v="0"/>
    <x v="0"/>
    <x v="2"/>
    <x v="429"/>
    <x v="0"/>
    <n v="4"/>
    <n v="240"/>
    <x v="0"/>
    <x v="1"/>
    <n v="4.7619047619047623E-3"/>
    <x v="19"/>
    <x v="2"/>
    <s v="OK"/>
    <x v="1"/>
    <s v="OK"/>
    <x v="0"/>
    <x v="0"/>
    <n v="1"/>
    <n v="1"/>
    <n v="0"/>
    <n v="0"/>
    <x v="0"/>
    <x v="0"/>
    <x v="0"/>
  </r>
  <r>
    <n v="20556570681"/>
    <x v="36"/>
    <x v="30"/>
    <x v="1898"/>
    <x v="1903"/>
    <x v="1648"/>
    <n v="2"/>
    <x v="157"/>
    <s v="SUPERESTRUCTURA DE VIA TUNEL PBM PV1BIS - E4 - Y -TRAMO 3ra VIA PARQUE MURILLO – E19"/>
    <s v="PASAJE LOS CLAVELES MZ C LOTE 06 ASOC. SANTA ROSA"/>
    <x v="1"/>
    <x v="0"/>
    <x v="0"/>
    <x v="2"/>
    <x v="429"/>
    <x v="0"/>
    <n v="4"/>
    <n v="240"/>
    <x v="0"/>
    <x v="1"/>
    <n v="4.7619047619047623E-3"/>
    <x v="16"/>
    <x v="2"/>
    <s v="OK"/>
    <x v="1"/>
    <s v="OK"/>
    <x v="0"/>
    <x v="0"/>
    <n v="1"/>
    <n v="1"/>
    <n v="0"/>
    <n v="0"/>
    <x v="0"/>
    <x v="0"/>
    <x v="0"/>
  </r>
  <r>
    <n v="20556570681"/>
    <x v="36"/>
    <x v="30"/>
    <x v="1899"/>
    <x v="1904"/>
    <x v="1649"/>
    <n v="2"/>
    <x v="59"/>
    <s v="SUPERESTRUCTURA DE VIA TUNEL PBM PV1BIS - E4 - Y -TRAMO 3ra VIA PARQUE MURILLO – E19"/>
    <s v="MZ. I LOTE 3 AGRUP. FAMILIAR SEÑOR DE LOS MILAGROS - BAYOVAR"/>
    <x v="15"/>
    <x v="0"/>
    <x v="0"/>
    <x v="2"/>
    <x v="429"/>
    <x v="0"/>
    <n v="4"/>
    <n v="240"/>
    <x v="0"/>
    <x v="1"/>
    <n v="4.7619047619047623E-3"/>
    <x v="18"/>
    <x v="2"/>
    <s v="OK"/>
    <x v="0"/>
    <s v="OK"/>
    <x v="0"/>
    <x v="0"/>
    <n v="1"/>
    <n v="0"/>
    <n v="0"/>
    <n v="0"/>
    <x v="0"/>
    <x v="0"/>
    <x v="0"/>
  </r>
  <r>
    <n v="20556570681"/>
    <x v="36"/>
    <x v="30"/>
    <x v="1900"/>
    <x v="1905"/>
    <x v="1650"/>
    <n v="2"/>
    <x v="157"/>
    <s v="SUPERESTRUCTURA DE VIA TUNEL PBM PV1BIS - E4 - Y -TRAMO 3ra VIA PARQUE MURILLO – E19"/>
    <s v="CALLE CAMINO REAL MZ U LOTE 18 AA. HH. MATAZANGO"/>
    <x v="1"/>
    <x v="0"/>
    <x v="0"/>
    <x v="2"/>
    <x v="429"/>
    <x v="0"/>
    <n v="4"/>
    <n v="240"/>
    <x v="0"/>
    <x v="1"/>
    <n v="4.7619047619047623E-3"/>
    <x v="17"/>
    <x v="2"/>
    <s v="OK"/>
    <x v="1"/>
    <s v="OK"/>
    <x v="0"/>
    <x v="0"/>
    <n v="1"/>
    <n v="1"/>
    <n v="0"/>
    <n v="0"/>
    <x v="0"/>
    <x v="0"/>
    <x v="0"/>
  </r>
  <r>
    <n v="20556570681"/>
    <x v="36"/>
    <x v="30"/>
    <x v="1901"/>
    <x v="1906"/>
    <x v="1284"/>
    <n v="2"/>
    <x v="157"/>
    <s v="SUPERESTRUCTURA DE VIA TUNEL PBM PV1BIS - E4 - Y -TRAMO 3ra VIA PARQUE MURILLO – E19"/>
    <s v="AA. HH. LOS JAZMINES MZ A LOTE 6"/>
    <x v="15"/>
    <x v="0"/>
    <x v="0"/>
    <x v="2"/>
    <x v="429"/>
    <x v="0"/>
    <n v="4"/>
    <n v="240"/>
    <x v="0"/>
    <x v="1"/>
    <n v="4.7619047619047623E-3"/>
    <x v="16"/>
    <x v="2"/>
    <s v="OK"/>
    <x v="0"/>
    <s v="OK"/>
    <x v="0"/>
    <x v="0"/>
    <n v="1"/>
    <n v="0"/>
    <n v="0"/>
    <n v="0"/>
    <x v="0"/>
    <x v="0"/>
    <x v="0"/>
  </r>
  <r>
    <n v="20556570681"/>
    <x v="36"/>
    <x v="30"/>
    <x v="1902"/>
    <x v="1907"/>
    <x v="1651"/>
    <n v="2"/>
    <x v="310"/>
    <s v="SUPERESTRUCTURA DE VIA TUNEL PBM PV1BIS - E4 - Y -TRAMO 3ra VIA PARQUE MURILLO – E19"/>
    <s v="ASOCIACION DE VIVIENDA VALLE DEL MANTARO MZ I LOTE 25"/>
    <x v="15"/>
    <x v="0"/>
    <x v="0"/>
    <x v="2"/>
    <x v="429"/>
    <x v="0"/>
    <n v="4"/>
    <n v="240"/>
    <x v="0"/>
    <x v="1"/>
    <n v="4.7619047619047623E-3"/>
    <x v="20"/>
    <x v="2"/>
    <s v="OK"/>
    <x v="0"/>
    <s v="OK"/>
    <x v="0"/>
    <x v="0"/>
    <n v="1"/>
    <n v="0"/>
    <n v="0"/>
    <n v="0"/>
    <x v="0"/>
    <x v="0"/>
    <x v="0"/>
  </r>
  <r>
    <n v="20556570681"/>
    <x v="36"/>
    <x v="30"/>
    <x v="1903"/>
    <x v="1908"/>
    <x v="1652"/>
    <n v="2"/>
    <x v="157"/>
    <s v="SUPERESTRUCTURA DE VIA TUNEL PBM PV1BIS - E4 - Y -TRAMO 3ra VIA PARQUE MURILLO – E19"/>
    <s v="JIRON DEL FONDO MZ Q19 LOTE 4 JOSE CARLOS MARIATEGUI"/>
    <x v="15"/>
    <x v="0"/>
    <x v="0"/>
    <x v="2"/>
    <x v="429"/>
    <x v="0"/>
    <n v="4"/>
    <n v="240"/>
    <x v="0"/>
    <x v="1"/>
    <n v="4.7619047619047623E-3"/>
    <x v="16"/>
    <x v="2"/>
    <s v="OK"/>
    <x v="0"/>
    <s v="OK"/>
    <x v="0"/>
    <x v="0"/>
    <n v="1"/>
    <n v="0"/>
    <n v="0"/>
    <n v="0"/>
    <x v="0"/>
    <x v="0"/>
    <x v="0"/>
  </r>
  <r>
    <n v="20556570681"/>
    <x v="36"/>
    <x v="30"/>
    <x v="1904"/>
    <x v="1909"/>
    <x v="1653"/>
    <n v="2"/>
    <x v="311"/>
    <s v="SUPERESTRUCTURA DE VIA TUNEL PBM PV1BIS - E4 - Y -TRAMO 3ra VIA PARQUE MURILLO – E19"/>
    <s v="ASOC. VALLE MANTARO M2 N10"/>
    <x v="1"/>
    <x v="0"/>
    <x v="0"/>
    <x v="2"/>
    <x v="429"/>
    <x v="0"/>
    <n v="4"/>
    <n v="240"/>
    <x v="0"/>
    <x v="1"/>
    <n v="4.7619047619047623E-3"/>
    <x v="19"/>
    <x v="2"/>
    <s v="OK"/>
    <x v="1"/>
    <s v="OK"/>
    <x v="0"/>
    <x v="0"/>
    <n v="1"/>
    <n v="1"/>
    <n v="0"/>
    <n v="0"/>
    <x v="0"/>
    <x v="0"/>
    <x v="0"/>
  </r>
  <r>
    <n v="20556570681"/>
    <x v="36"/>
    <x v="30"/>
    <x v="1905"/>
    <x v="1910"/>
    <x v="1654"/>
    <n v="2"/>
    <x v="67"/>
    <s v="SUPERESTRUCTURA DE VIA TUNEL PBM PV1BIS - E4 - Y -TRAMO 3ra VIA PARQUE MURILLO – E19"/>
    <s v="MZ L LT 22 VII SECTOR GRUPO 4"/>
    <x v="19"/>
    <x v="0"/>
    <x v="0"/>
    <x v="2"/>
    <x v="191"/>
    <x v="0"/>
    <n v="4"/>
    <n v="240"/>
    <x v="0"/>
    <x v="1"/>
    <n v="4.7619047619047623E-3"/>
    <x v="19"/>
    <x v="2"/>
    <s v="OK"/>
    <x v="0"/>
    <s v="OK"/>
    <x v="0"/>
    <x v="0"/>
    <n v="1"/>
    <n v="0"/>
    <n v="0"/>
    <n v="0"/>
    <x v="0"/>
    <x v="0"/>
    <x v="0"/>
  </r>
  <r>
    <n v="20556570681"/>
    <x v="36"/>
    <x v="30"/>
    <x v="1906"/>
    <x v="1911"/>
    <x v="1655"/>
    <n v="2"/>
    <x v="67"/>
    <s v="SUPERESTRUCTURA DE VIA TUNEL PBM PV1BIS - E4 - Y -TRAMO 3ra VIA PARQUE MURILLO – E19"/>
    <s v="ASENT.H LOS JASMINES MZ A LT 18"/>
    <x v="15"/>
    <x v="0"/>
    <x v="0"/>
    <x v="2"/>
    <x v="182"/>
    <x v="0"/>
    <n v="4"/>
    <n v="240"/>
    <x v="0"/>
    <x v="1"/>
    <n v="4.7619047619047623E-3"/>
    <x v="14"/>
    <x v="2"/>
    <s v="OK"/>
    <x v="0"/>
    <s v="OK"/>
    <x v="0"/>
    <x v="0"/>
    <n v="1"/>
    <n v="0"/>
    <n v="0"/>
    <n v="0"/>
    <x v="0"/>
    <x v="0"/>
    <x v="0"/>
  </r>
  <r>
    <n v="20556570681"/>
    <x v="36"/>
    <x v="30"/>
    <x v="1907"/>
    <x v="1912"/>
    <x v="1656"/>
    <n v="2"/>
    <x v="157"/>
    <s v="SUPERESTRUCTURA DE VIA TUNEL PBM PV1BIS - E4 - Y -TRAMO 3ra VIA PARQUE MURILLO – E19"/>
    <s v="CENTRO POBLADO JICAMARCA MZ J LT 2"/>
    <x v="50"/>
    <x v="0"/>
    <x v="0"/>
    <x v="2"/>
    <x v="19"/>
    <x v="0"/>
    <n v="4"/>
    <n v="240"/>
    <x v="0"/>
    <x v="1"/>
    <n v="4.7619047619047623E-3"/>
    <x v="22"/>
    <x v="2"/>
    <s v="OK"/>
    <x v="0"/>
    <s v="OK"/>
    <x v="0"/>
    <x v="0"/>
    <n v="1"/>
    <n v="0"/>
    <n v="0"/>
    <n v="0"/>
    <x v="0"/>
    <x v="0"/>
    <x v="0"/>
  </r>
  <r>
    <n v="20556570681"/>
    <x v="36"/>
    <x v="30"/>
    <x v="1908"/>
    <x v="1913"/>
    <x v="1657"/>
    <n v="2"/>
    <x v="157"/>
    <s v="SUPERESTRUCTURA DE VIA TUNEL PBM PV1BIS - E4 - Y -TRAMO 3ra VIA PARQUE MURILLO – E19"/>
    <s v="GR UCV 139C AMPL B-06 AH HUAYCAN ZONA I"/>
    <x v="1"/>
    <x v="0"/>
    <x v="0"/>
    <x v="2"/>
    <x v="111"/>
    <x v="0"/>
    <n v="4"/>
    <n v="240"/>
    <x v="0"/>
    <x v="1"/>
    <n v="4.7619047619047623E-3"/>
    <x v="22"/>
    <x v="2"/>
    <s v="OK"/>
    <x v="1"/>
    <s v="OK"/>
    <x v="0"/>
    <x v="0"/>
    <n v="1"/>
    <n v="1"/>
    <n v="0"/>
    <n v="0"/>
    <x v="0"/>
    <x v="0"/>
    <x v="0"/>
  </r>
  <r>
    <n v="20556570681"/>
    <x v="36"/>
    <x v="30"/>
    <x v="1909"/>
    <x v="1914"/>
    <x v="1658"/>
    <n v="2"/>
    <x v="2"/>
    <s v="SUPERESTRUCTURA DE VIA TUNEL PBM PV1BIS - E4 - Y -TRAMO 3ra VIA PARQUE MURILLO – E19"/>
    <m/>
    <x v="6"/>
    <x v="0"/>
    <x v="0"/>
    <x v="2"/>
    <x v="135"/>
    <x v="0"/>
    <n v="4"/>
    <n v="240"/>
    <x v="0"/>
    <x v="1"/>
    <n v="4.7619047619047623E-3"/>
    <x v="14"/>
    <x v="2"/>
    <s v="OK"/>
    <x v="2"/>
    <s v="OK"/>
    <x v="0"/>
    <x v="0"/>
    <n v="1"/>
    <n v="1"/>
    <n v="0"/>
    <n v="0"/>
    <x v="0"/>
    <x v="0"/>
    <x v="0"/>
  </r>
  <r>
    <n v="20556570681"/>
    <x v="36"/>
    <x v="30"/>
    <x v="1910"/>
    <x v="1915"/>
    <x v="1659"/>
    <n v="2"/>
    <x v="11"/>
    <s v="SUPERESTRUCTURA DE VIA TUNEL PBM PV1BIS - E4 - Y -TRAMO 3ra VIA PARQUE MURILLO – E19"/>
    <s v="UCV 83 LOTE 6 ZONA E HUAYCAN"/>
    <x v="1"/>
    <x v="0"/>
    <x v="0"/>
    <x v="2"/>
    <x v="55"/>
    <x v="0"/>
    <n v="4"/>
    <n v="240"/>
    <x v="0"/>
    <x v="1"/>
    <n v="4.7619047619047623E-3"/>
    <x v="15"/>
    <x v="2"/>
    <s v="OK"/>
    <x v="1"/>
    <s v="OK"/>
    <x v="0"/>
    <x v="0"/>
    <n v="1"/>
    <n v="1"/>
    <n v="0"/>
    <n v="0"/>
    <x v="0"/>
    <x v="0"/>
    <x v="0"/>
  </r>
  <r>
    <n v="20556570681"/>
    <x v="36"/>
    <x v="30"/>
    <x v="1911"/>
    <x v="1916"/>
    <x v="1660"/>
    <n v="2"/>
    <x v="67"/>
    <s v="SUPERESTRUCTURA DE VIA TUNEL PBM PV1BIS - E4 - Y -TRAMO 3ra VIA PARQUE MURILLO – E19"/>
    <s v="JR. RIO PAUCARTAMBO MZ M LOTE 14"/>
    <x v="49"/>
    <x v="0"/>
    <x v="0"/>
    <x v="2"/>
    <x v="55"/>
    <x v="0"/>
    <n v="4"/>
    <n v="240"/>
    <x v="0"/>
    <x v="1"/>
    <n v="4.7619047619047623E-3"/>
    <x v="17"/>
    <x v="2"/>
    <s v="OK"/>
    <x v="0"/>
    <s v="OK"/>
    <x v="0"/>
    <x v="0"/>
    <n v="1"/>
    <n v="0"/>
    <n v="0"/>
    <n v="0"/>
    <x v="0"/>
    <x v="0"/>
    <x v="0"/>
  </r>
  <r>
    <n v="20556570681"/>
    <x v="36"/>
    <x v="30"/>
    <x v="1912"/>
    <x v="1917"/>
    <x v="1661"/>
    <n v="2"/>
    <x v="11"/>
    <s v="SUPERESTRUCTURA DE VIA TUNEL PBM PV1BIS - E4 - Y -TRAMO 3ra VIA PARQUE MURILLO – E19"/>
    <s v="GRUPO E MZ D LOTE 3"/>
    <x v="1"/>
    <x v="0"/>
    <x v="0"/>
    <x v="2"/>
    <x v="40"/>
    <x v="0"/>
    <n v="4"/>
    <n v="240"/>
    <x v="0"/>
    <x v="1"/>
    <n v="4.7619047619047623E-3"/>
    <x v="22"/>
    <x v="2"/>
    <s v="OK"/>
    <x v="1"/>
    <s v="OK"/>
    <x v="0"/>
    <x v="0"/>
    <n v="1"/>
    <n v="1"/>
    <n v="0"/>
    <n v="0"/>
    <x v="0"/>
    <x v="0"/>
    <x v="0"/>
  </r>
  <r>
    <n v="20556570681"/>
    <x v="36"/>
    <x v="30"/>
    <x v="1913"/>
    <x v="1918"/>
    <x v="1662"/>
    <n v="2"/>
    <x v="8"/>
    <s v="SUPERESTRUCTURA DE VIA TUNEL PBM PV1BIS - E4 - Y -TRAMO 3ra VIA PARQUE MURILLO – E19"/>
    <s v="UCV 180 LOTE 70 ZONA HUAYCAN"/>
    <x v="1"/>
    <x v="0"/>
    <x v="0"/>
    <x v="2"/>
    <x v="40"/>
    <x v="0"/>
    <n v="4"/>
    <n v="240"/>
    <x v="0"/>
    <x v="1"/>
    <n v="4.7619047619047623E-3"/>
    <x v="15"/>
    <x v="2"/>
    <s v="OK"/>
    <x v="1"/>
    <s v="OK"/>
    <x v="0"/>
    <x v="0"/>
    <n v="1"/>
    <n v="1"/>
    <n v="0"/>
    <n v="0"/>
    <x v="0"/>
    <x v="0"/>
    <x v="0"/>
  </r>
  <r>
    <n v="20556570681"/>
    <x v="36"/>
    <x v="30"/>
    <x v="1914"/>
    <x v="1919"/>
    <x v="993"/>
    <n v="2"/>
    <x v="11"/>
    <s v="SUPERESTRUCTURA DE VIA TUNEL PBM PV1BIS - E4 - Y -TRAMO 3ra VIA PARQUE MURILLO – E19"/>
    <s v="AV. PERU 812"/>
    <x v="3"/>
    <x v="0"/>
    <x v="0"/>
    <x v="2"/>
    <x v="40"/>
    <x v="0"/>
    <n v="4"/>
    <n v="240"/>
    <x v="0"/>
    <x v="1"/>
    <n v="4.7619047619047623E-3"/>
    <x v="14"/>
    <x v="2"/>
    <s v="OK"/>
    <x v="0"/>
    <s v="OK"/>
    <x v="0"/>
    <x v="0"/>
    <n v="1"/>
    <n v="0"/>
    <n v="0"/>
    <n v="0"/>
    <x v="0"/>
    <x v="0"/>
    <x v="0"/>
  </r>
  <r>
    <n v="20556570681"/>
    <x v="36"/>
    <x v="30"/>
    <x v="1915"/>
    <x v="1920"/>
    <x v="936"/>
    <n v="2"/>
    <x v="18"/>
    <s v="SUPERESTRUCTURA DE VIA TUNEL PBM PV1BIS - E4 - Y -TRAMO 3ra VIA PARQUE MURILLO – E19"/>
    <s v="PSJE. ISABEL FLORES DE OLIVA 109"/>
    <x v="10"/>
    <x v="0"/>
    <x v="0"/>
    <x v="2"/>
    <x v="283"/>
    <x v="0"/>
    <n v="4"/>
    <n v="240"/>
    <x v="0"/>
    <x v="1"/>
    <n v="4.7619047619047623E-3"/>
    <x v="18"/>
    <x v="2"/>
    <s v="OK"/>
    <x v="0"/>
    <s v="OK"/>
    <x v="0"/>
    <x v="0"/>
    <n v="1"/>
    <n v="0"/>
    <n v="0"/>
    <n v="0"/>
    <x v="0"/>
    <x v="0"/>
    <x v="0"/>
  </r>
  <r>
    <n v="20556570681"/>
    <x v="36"/>
    <x v="30"/>
    <x v="1916"/>
    <x v="1921"/>
    <x v="1518"/>
    <n v="2"/>
    <x v="11"/>
    <s v="SUPERESTRUCTURA DE VIA TUNEL PBM PV1BIS - E4 - Y -TRAMO 3ra VIA PARQUE MURILLO – E19"/>
    <s v="MZ E LOTE 3 PSJE. NUEVA ESPERANZA 8 DE DICIEMBRE"/>
    <x v="8"/>
    <x v="0"/>
    <x v="0"/>
    <x v="2"/>
    <x v="283"/>
    <x v="0"/>
    <n v="4"/>
    <n v="240"/>
    <x v="0"/>
    <x v="1"/>
    <n v="4.7619047619047623E-3"/>
    <x v="22"/>
    <x v="2"/>
    <s v="OK"/>
    <x v="0"/>
    <s v="OK"/>
    <x v="0"/>
    <x v="0"/>
    <n v="1"/>
    <n v="0"/>
    <n v="0"/>
    <n v="0"/>
    <x v="0"/>
    <x v="0"/>
    <x v="0"/>
  </r>
  <r>
    <n v="20556570681"/>
    <x v="36"/>
    <x v="30"/>
    <x v="1917"/>
    <x v="1922"/>
    <x v="1150"/>
    <n v="2"/>
    <x v="11"/>
    <s v="SUPERESTRUCTURA DE VIA TUNEL PBM PV1BIS - E4 - Y -TRAMO 3ra VIA PARQUE MURILLO – E19"/>
    <s v="CALLE RAMON CASTILLA MZ 80 LOTE 44"/>
    <x v="98"/>
    <x v="0"/>
    <x v="0"/>
    <x v="2"/>
    <x v="283"/>
    <x v="0"/>
    <n v="4"/>
    <n v="240"/>
    <x v="0"/>
    <x v="1"/>
    <n v="4.7619047619047623E-3"/>
    <x v="15"/>
    <x v="2"/>
    <s v="OK"/>
    <x v="0"/>
    <s v="OK"/>
    <x v="0"/>
    <x v="0"/>
    <n v="1"/>
    <n v="0"/>
    <n v="0"/>
    <n v="0"/>
    <x v="0"/>
    <x v="0"/>
    <x v="0"/>
  </r>
  <r>
    <n v="20556570681"/>
    <x v="36"/>
    <x v="30"/>
    <x v="1918"/>
    <x v="1923"/>
    <x v="1663"/>
    <n v="2"/>
    <x v="15"/>
    <s v="SUPERESTRUCTURA DE VIA TUNEL PBM PV1BIS - E4 - Y -TRAMO 3ra VIA PARQUE MURILLO – E19"/>
    <s v="MZ D LOTE 36 1ERA ETAPA URB. PACHACAMAC"/>
    <x v="19"/>
    <x v="0"/>
    <x v="0"/>
    <x v="2"/>
    <x v="114"/>
    <x v="0"/>
    <n v="4"/>
    <n v="240"/>
    <x v="0"/>
    <x v="1"/>
    <n v="4.7619047619047623E-3"/>
    <x v="18"/>
    <x v="2"/>
    <s v="OK"/>
    <x v="0"/>
    <s v="OK"/>
    <x v="0"/>
    <x v="0"/>
    <n v="1"/>
    <n v="0"/>
    <n v="0"/>
    <n v="0"/>
    <x v="0"/>
    <x v="0"/>
    <x v="0"/>
  </r>
  <r>
    <n v="20556570681"/>
    <x v="36"/>
    <x v="30"/>
    <x v="1919"/>
    <x v="1924"/>
    <x v="1664"/>
    <n v="2"/>
    <x v="15"/>
    <s v="SUPERESTRUCTURA DE VIA TUNEL PBM PV1BIS - E4 - Y -TRAMO 3ra VIA PARQUE MURILLO – E19"/>
    <s v="AA HH CASA HUERTA LA CAMPIÑA MZQ1 LOTE 45"/>
    <x v="50"/>
    <x v="0"/>
    <x v="0"/>
    <x v="2"/>
    <x v="114"/>
    <x v="0"/>
    <n v="4"/>
    <n v="240"/>
    <x v="0"/>
    <x v="1"/>
    <n v="4.7619047619047623E-3"/>
    <x v="17"/>
    <x v="2"/>
    <s v="OK"/>
    <x v="0"/>
    <s v="OK"/>
    <x v="0"/>
    <x v="0"/>
    <n v="1"/>
    <n v="0"/>
    <n v="0"/>
    <n v="0"/>
    <x v="0"/>
    <x v="0"/>
    <x v="0"/>
  </r>
  <r>
    <n v="20556570681"/>
    <x v="36"/>
    <x v="30"/>
    <x v="1920"/>
    <x v="1925"/>
    <x v="1279"/>
    <n v="2"/>
    <x v="11"/>
    <s v="SUPERESTRUCTURA DE VIA TUNEL PBM PV1BIS - E4 - Y -TRAMO 3ra VIA PARQUE MURILLO – E19"/>
    <s v="SECTOR 6 GRUPO 8 MZ K LOTE 4"/>
    <x v="19"/>
    <x v="0"/>
    <x v="0"/>
    <x v="2"/>
    <x v="114"/>
    <x v="0"/>
    <n v="4"/>
    <n v="240"/>
    <x v="0"/>
    <x v="1"/>
    <n v="4.7619047619047623E-3"/>
    <x v="15"/>
    <x v="2"/>
    <s v="OK"/>
    <x v="0"/>
    <s v="OK"/>
    <x v="0"/>
    <x v="0"/>
    <n v="1"/>
    <n v="0"/>
    <n v="0"/>
    <n v="0"/>
    <x v="0"/>
    <x v="0"/>
    <x v="0"/>
  </r>
  <r>
    <n v="20556570681"/>
    <x v="36"/>
    <x v="30"/>
    <x v="1921"/>
    <x v="1926"/>
    <x v="1665"/>
    <n v="2"/>
    <x v="2"/>
    <s v="SUPERESTRUCTURA DE VIA TUNEL PBM PV1BIS - E4 - Y -TRAMO 3ra VIA PARQUE MURILLO – E19"/>
    <s v="JR. APURIMAC 661"/>
    <x v="6"/>
    <x v="0"/>
    <x v="0"/>
    <x v="2"/>
    <x v="114"/>
    <x v="0"/>
    <n v="4"/>
    <n v="240"/>
    <x v="0"/>
    <x v="1"/>
    <n v="4.7619047619047623E-3"/>
    <x v="19"/>
    <x v="2"/>
    <s v="OK"/>
    <x v="2"/>
    <s v="OK"/>
    <x v="0"/>
    <x v="0"/>
    <n v="1"/>
    <n v="1"/>
    <n v="0"/>
    <n v="0"/>
    <x v="0"/>
    <x v="0"/>
    <x v="0"/>
  </r>
  <r>
    <n v="20556570681"/>
    <x v="36"/>
    <x v="30"/>
    <x v="1922"/>
    <x v="1927"/>
    <x v="1666"/>
    <n v="2"/>
    <x v="2"/>
    <s v="SUPERESTRUCTURA DE VIA TUNEL PBM PV1BIS - E4 - Y -TRAMO 3ra VIA PARQUE MURILLO – E19"/>
    <s v="URB. CONSTANZO MZ 6 LOTE 23"/>
    <x v="6"/>
    <x v="0"/>
    <x v="0"/>
    <x v="2"/>
    <x v="185"/>
    <x v="0"/>
    <n v="4"/>
    <n v="240"/>
    <x v="0"/>
    <x v="1"/>
    <n v="4.7619047619047623E-3"/>
    <x v="17"/>
    <x v="2"/>
    <s v="OK"/>
    <x v="2"/>
    <s v="OK"/>
    <x v="0"/>
    <x v="0"/>
    <n v="1"/>
    <n v="1"/>
    <n v="0"/>
    <n v="0"/>
    <x v="0"/>
    <x v="0"/>
    <x v="0"/>
  </r>
  <r>
    <n v="20556570681"/>
    <x v="36"/>
    <x v="30"/>
    <x v="1923"/>
    <x v="1928"/>
    <x v="1667"/>
    <n v="2"/>
    <x v="11"/>
    <s v="SUPERESTRUCTURA DE VIA TUNEL PBM PV1BIS - E4 - Y -TRAMO 3ra VIA PARQUE MURILLO – E19"/>
    <s v="URB. 6 DE DICIEMBRE MZ A LOTE 18 "/>
    <x v="1"/>
    <x v="0"/>
    <x v="0"/>
    <x v="2"/>
    <x v="25"/>
    <x v="0"/>
    <n v="4"/>
    <n v="240"/>
    <x v="0"/>
    <x v="1"/>
    <n v="4.7619047619047623E-3"/>
    <x v="17"/>
    <x v="2"/>
    <s v="OK"/>
    <x v="1"/>
    <s v="OK"/>
    <x v="0"/>
    <x v="0"/>
    <n v="1"/>
    <n v="1"/>
    <n v="0"/>
    <n v="0"/>
    <x v="0"/>
    <x v="0"/>
    <x v="0"/>
  </r>
  <r>
    <n v="20556570681"/>
    <x v="36"/>
    <x v="30"/>
    <x v="1924"/>
    <x v="1929"/>
    <x v="1460"/>
    <n v="2"/>
    <x v="2"/>
    <s v="SUPERESTRUCTURA DE VIA TUNEL PBM PV1BIS - E4 - Y -TRAMO 3ra VIA PARQUE MURILLO – E19"/>
    <s v="AV. JOSE OLAYA MZ. H LT. 10 ASENT.H. EL MIRADOR "/>
    <x v="2"/>
    <x v="0"/>
    <x v="0"/>
    <x v="2"/>
    <x v="627"/>
    <x v="0"/>
    <n v="4"/>
    <n v="240"/>
    <x v="0"/>
    <x v="1"/>
    <n v="4.7619047619047623E-3"/>
    <x v="17"/>
    <x v="2"/>
    <s v="OK"/>
    <x v="2"/>
    <s v="OK"/>
    <x v="0"/>
    <x v="0"/>
    <n v="1"/>
    <n v="1"/>
    <n v="0"/>
    <n v="0"/>
    <x v="0"/>
    <x v="0"/>
    <x v="0"/>
  </r>
  <r>
    <n v="20556570681"/>
    <x v="36"/>
    <x v="30"/>
    <x v="1925"/>
    <x v="1930"/>
    <x v="1376"/>
    <n v="2"/>
    <x v="2"/>
    <s v="SUPERESTRUCTURA DE VIA TUNEL PBM PV1BIS - E4 - Y -TRAMO 3ra VIA PARQUE MURILLO – E19"/>
    <s v="URB PEDRO RUIZ GALLO MZ. N LT. 18 -CALLAO"/>
    <x v="6"/>
    <x v="0"/>
    <x v="0"/>
    <x v="2"/>
    <x v="136"/>
    <x v="0"/>
    <n v="4"/>
    <n v="240"/>
    <x v="0"/>
    <x v="1"/>
    <n v="4.7619047619047623E-3"/>
    <x v="20"/>
    <x v="2"/>
    <s v="OK"/>
    <x v="2"/>
    <s v="OK"/>
    <x v="0"/>
    <x v="0"/>
    <n v="1"/>
    <n v="1"/>
    <n v="0"/>
    <n v="0"/>
    <x v="0"/>
    <x v="0"/>
    <x v="0"/>
  </r>
  <r>
    <n v="20556570681"/>
    <x v="36"/>
    <x v="30"/>
    <x v="1926"/>
    <x v="1931"/>
    <x v="1668"/>
    <n v="2"/>
    <x v="8"/>
    <s v="SUPERESTRUCTURA DE VIA TUNEL PBM PV1BIS - E4 - Y -TRAMO 3ra VIA PARQUE MURILLO – E19"/>
    <s v="CASERIO SAN PEDRO SASAPE LAMBAYEQUE-LAMBAYEQUE"/>
    <x v="135"/>
    <x v="0"/>
    <x v="0"/>
    <x v="2"/>
    <x v="432"/>
    <x v="0"/>
    <n v="4"/>
    <n v="240"/>
    <x v="0"/>
    <x v="1"/>
    <n v="4.7619047619047623E-3"/>
    <x v="17"/>
    <x v="2"/>
    <s v="OK"/>
    <x v="0"/>
    <s v="OK"/>
    <x v="0"/>
    <x v="0"/>
    <n v="1"/>
    <n v="0"/>
    <n v="0"/>
    <n v="0"/>
    <x v="0"/>
    <x v="0"/>
    <x v="0"/>
  </r>
  <r>
    <n v="20556570681"/>
    <x v="36"/>
    <x v="30"/>
    <x v="1927"/>
    <x v="1932"/>
    <x v="1669"/>
    <n v="2"/>
    <x v="15"/>
    <s v="SUPERESTRUCTURA DE VIA TUNEL PBM PV1BIS - E4 - Y -TRAMO 3ra VIA PARQUE MURILLO – E19"/>
    <s v="JR. HUASCAR 593 URB EL TREBOL II ETAPA LIMA-LIMA"/>
    <x v="49"/>
    <x v="0"/>
    <x v="0"/>
    <x v="2"/>
    <x v="432"/>
    <x v="0"/>
    <n v="4"/>
    <n v="240"/>
    <x v="0"/>
    <x v="1"/>
    <n v="4.7619047619047623E-3"/>
    <x v="15"/>
    <x v="2"/>
    <s v="OK"/>
    <x v="0"/>
    <s v="OK"/>
    <x v="0"/>
    <x v="0"/>
    <n v="1"/>
    <n v="0"/>
    <n v="0"/>
    <n v="0"/>
    <x v="0"/>
    <x v="0"/>
    <x v="0"/>
  </r>
  <r>
    <n v="20556570681"/>
    <x v="36"/>
    <x v="30"/>
    <x v="1928"/>
    <x v="1933"/>
    <x v="1670"/>
    <n v="2"/>
    <x v="11"/>
    <s v="SUPERESTRUCTURA DE VIA TUNEL PBM PV1BIS - E4 - Y -TRAMO 3ra VIA PARQUE MURILLO – E19"/>
    <s v="UCV.97 LT.44 ZONA F.HUAYCAN LIMA-LIMA-ATE  "/>
    <x v="1"/>
    <x v="0"/>
    <x v="0"/>
    <x v="2"/>
    <x v="98"/>
    <x v="0"/>
    <n v="4"/>
    <n v="240"/>
    <x v="0"/>
    <x v="1"/>
    <n v="4.7619047619047623E-3"/>
    <x v="21"/>
    <x v="2"/>
    <s v="OK"/>
    <x v="1"/>
    <s v="OK"/>
    <x v="0"/>
    <x v="0"/>
    <n v="1"/>
    <n v="1"/>
    <n v="0"/>
    <n v="0"/>
    <x v="0"/>
    <x v="0"/>
    <x v="0"/>
  </r>
  <r>
    <n v="20556570681"/>
    <x v="36"/>
    <x v="30"/>
    <x v="1929"/>
    <x v="1934"/>
    <x v="1531"/>
    <n v="2"/>
    <x v="312"/>
    <s v="ESTACION 03 BOCANEGRA LINEA 4"/>
    <s v="JR. POMA DE AYALA 511"/>
    <x v="279"/>
    <x v="0"/>
    <x v="16"/>
    <x v="2"/>
    <x v="17"/>
    <x v="2"/>
    <n v="4"/>
    <n v="32"/>
    <x v="0"/>
    <x v="1"/>
    <n v="4.7619047619047623E-3"/>
    <x v="22"/>
    <x v="2"/>
    <s v="OK"/>
    <x v="0"/>
    <s v="OK"/>
    <x v="0"/>
    <x v="0"/>
    <n v="1"/>
    <n v="0"/>
    <n v="0"/>
    <n v="1"/>
    <x v="0"/>
    <x v="1"/>
    <x v="0"/>
  </r>
  <r>
    <n v="20556570681"/>
    <x v="36"/>
    <x v="30"/>
    <x v="1930"/>
    <x v="1935"/>
    <x v="1047"/>
    <n v="2"/>
    <x v="8"/>
    <s v="ESTACION 03 BOCANEGRA LINEA 4"/>
    <s v="PSJ. CANCHA CANCHA PP.JJ. SAN ALBINO MZ. Ñ LT. 02"/>
    <x v="44"/>
    <x v="0"/>
    <x v="0"/>
    <x v="2"/>
    <x v="25"/>
    <x v="0"/>
    <n v="4"/>
    <n v="240"/>
    <x v="0"/>
    <x v="1"/>
    <n v="4.7619047619047623E-3"/>
    <x v="19"/>
    <x v="2"/>
    <s v="OK"/>
    <x v="0"/>
    <s v="OK"/>
    <x v="0"/>
    <x v="0"/>
    <n v="1"/>
    <n v="0"/>
    <n v="0"/>
    <n v="0"/>
    <x v="0"/>
    <x v="0"/>
    <x v="0"/>
  </r>
  <r>
    <n v="20556570681"/>
    <x v="36"/>
    <x v="30"/>
    <x v="1931"/>
    <x v="1936"/>
    <x v="1671"/>
    <n v="2"/>
    <x v="59"/>
    <s v="ESTACION 03 BOCANEGRA LINEA 4"/>
    <s v="CPM. SANTA BARBARA MZ. L LT. 7   SAN LUIS"/>
    <x v="254"/>
    <x v="0"/>
    <x v="0"/>
    <x v="2"/>
    <x v="92"/>
    <x v="0"/>
    <n v="4"/>
    <n v="240"/>
    <x v="0"/>
    <x v="1"/>
    <n v="4.7619047619047623E-3"/>
    <x v="14"/>
    <x v="2"/>
    <s v="OK"/>
    <x v="0"/>
    <s v="OK"/>
    <x v="0"/>
    <x v="0"/>
    <n v="1"/>
    <n v="0"/>
    <n v="0"/>
    <n v="0"/>
    <x v="0"/>
    <x v="0"/>
    <x v="0"/>
  </r>
  <r>
    <n v="20556570681"/>
    <x v="36"/>
    <x v="30"/>
    <x v="1932"/>
    <x v="1937"/>
    <x v="1672"/>
    <n v="2"/>
    <x v="67"/>
    <s v="ESTACION 03 BOCANEGRA LINEA 4"/>
    <s v="ASENT. HUMANO 03 DE OCTUBRE MZ F LT 03"/>
    <x v="185"/>
    <x v="0"/>
    <x v="0"/>
    <x v="2"/>
    <x v="128"/>
    <x v="0"/>
    <n v="4"/>
    <n v="240"/>
    <x v="0"/>
    <x v="1"/>
    <n v="4.7619047619047623E-3"/>
    <x v="15"/>
    <x v="2"/>
    <s v="OK"/>
    <x v="0"/>
    <s v="OK"/>
    <x v="0"/>
    <x v="0"/>
    <n v="1"/>
    <n v="0"/>
    <n v="0"/>
    <n v="0"/>
    <x v="0"/>
    <x v="0"/>
    <x v="0"/>
  </r>
  <r>
    <n v="20556570681"/>
    <x v="36"/>
    <x v="30"/>
    <x v="1933"/>
    <x v="1938"/>
    <x v="1290"/>
    <n v="1"/>
    <x v="141"/>
    <s v="ESTACION 03 BOCANEGRA LINEA 4"/>
    <s v="JR.12 DE AGOSTO MZ.F LT.07-B URB.MARIANO MELGAR   JULIACA SAN ROMAN Perú"/>
    <x v="280"/>
    <x v="0"/>
    <x v="0"/>
    <x v="2"/>
    <x v="50"/>
    <x v="0"/>
    <n v="1"/>
    <n v="240"/>
    <x v="0"/>
    <x v="1"/>
    <n v="4.7619047619047623E-3"/>
    <x v="15"/>
    <x v="2"/>
    <s v="OK"/>
    <x v="0"/>
    <s v="OK"/>
    <x v="0"/>
    <x v="0"/>
    <n v="1"/>
    <n v="0"/>
    <n v="0"/>
    <n v="0"/>
    <x v="0"/>
    <x v="0"/>
    <x v="0"/>
  </r>
  <r>
    <n v="20556570681"/>
    <x v="36"/>
    <x v="30"/>
    <x v="1934"/>
    <x v="1939"/>
    <x v="1673"/>
    <n v="2"/>
    <x v="67"/>
    <s v="ESTACION 03 BOCANEGRA LINEA 4"/>
    <s v="JUTA DE POBLADORES ANEXO 22 JICAMARCA MZ BZ .LT 14C"/>
    <x v="281"/>
    <x v="0"/>
    <x v="0"/>
    <x v="2"/>
    <x v="245"/>
    <x v="0"/>
    <n v="4"/>
    <n v="240"/>
    <x v="0"/>
    <x v="1"/>
    <n v="4.7619047619047623E-3"/>
    <x v="20"/>
    <x v="2"/>
    <s v="OK"/>
    <x v="0"/>
    <s v="OK"/>
    <x v="0"/>
    <x v="0"/>
    <n v="1"/>
    <n v="0"/>
    <n v="0"/>
    <n v="0"/>
    <x v="0"/>
    <x v="0"/>
    <x v="0"/>
  </r>
  <r>
    <n v="20556570681"/>
    <x v="36"/>
    <x v="30"/>
    <x v="1935"/>
    <x v="1940"/>
    <x v="1674"/>
    <n v="2"/>
    <x v="11"/>
    <s v="ESTACION 03 BOCANEGRA LINEA 4"/>
    <s v="JR. MASISEA MZ A LT 08"/>
    <x v="137"/>
    <x v="0"/>
    <x v="0"/>
    <x v="2"/>
    <x v="240"/>
    <x v="0"/>
    <n v="4"/>
    <n v="240"/>
    <x v="0"/>
    <x v="1"/>
    <n v="4.7619047619047623E-3"/>
    <x v="18"/>
    <x v="2"/>
    <s v="OK"/>
    <x v="0"/>
    <s v="OK"/>
    <x v="0"/>
    <x v="0"/>
    <n v="1"/>
    <n v="0"/>
    <n v="0"/>
    <n v="0"/>
    <x v="0"/>
    <x v="0"/>
    <x v="0"/>
  </r>
  <r>
    <n v="20556570681"/>
    <x v="36"/>
    <x v="30"/>
    <x v="1936"/>
    <x v="1941"/>
    <x v="1675"/>
    <n v="2"/>
    <x v="229"/>
    <s v="ESTACION 03 BOCANEGRA LINEA 4"/>
    <s v="CALLE M GA ASOC. DE VIVIENDA LA RINCONADA DE SANTA MARIA"/>
    <x v="15"/>
    <x v="0"/>
    <x v="0"/>
    <x v="2"/>
    <x v="628"/>
    <x v="0"/>
    <n v="4"/>
    <n v="240"/>
    <x v="0"/>
    <x v="1"/>
    <n v="4.7619047619047623E-3"/>
    <x v="15"/>
    <x v="2"/>
    <s v="OK"/>
    <x v="0"/>
    <s v="OK"/>
    <x v="0"/>
    <x v="0"/>
    <n v="1"/>
    <n v="0"/>
    <n v="0"/>
    <n v="0"/>
    <x v="0"/>
    <x v="0"/>
    <x v="0"/>
  </r>
  <r>
    <n v="20556570681"/>
    <x v="36"/>
    <x v="30"/>
    <x v="1937"/>
    <x v="1942"/>
    <x v="1089"/>
    <n v="2"/>
    <x v="194"/>
    <s v="ESTACION 03 BOCANEGRA LINEA 4"/>
    <s v="CAMPO ALEGRE S/N HUALMAY"/>
    <x v="282"/>
    <x v="0"/>
    <x v="0"/>
    <x v="2"/>
    <x v="26"/>
    <x v="0"/>
    <n v="4"/>
    <n v="240"/>
    <x v="0"/>
    <x v="1"/>
    <n v="4.7619047619047623E-3"/>
    <x v="22"/>
    <x v="2"/>
    <s v="OK"/>
    <x v="0"/>
    <s v="OK"/>
    <x v="0"/>
    <x v="0"/>
    <n v="1"/>
    <n v="0"/>
    <n v="0"/>
    <n v="0"/>
    <x v="0"/>
    <x v="0"/>
    <x v="0"/>
  </r>
  <r>
    <n v="20556570681"/>
    <x v="36"/>
    <x v="30"/>
    <x v="1938"/>
    <x v="1943"/>
    <x v="1676"/>
    <n v="2"/>
    <x v="11"/>
    <s v="ESTACION 03 BOCANEGRA LINEA 4"/>
    <s v="CALLE ARGENTINA MZ.T1 LT.01 ASENT.H.NUEVO PROGRE SO  VENTANILLA PROV. CONST. DEL CALLAO Perú"/>
    <x v="2"/>
    <x v="0"/>
    <x v="0"/>
    <x v="2"/>
    <x v="2"/>
    <x v="0"/>
    <n v="4"/>
    <n v="240"/>
    <x v="0"/>
    <x v="1"/>
    <n v="4.7619047619047623E-3"/>
    <x v="20"/>
    <x v="2"/>
    <s v="OK"/>
    <x v="2"/>
    <s v="OK"/>
    <x v="0"/>
    <x v="0"/>
    <n v="1"/>
    <n v="1"/>
    <n v="0"/>
    <n v="0"/>
    <x v="0"/>
    <x v="0"/>
    <x v="0"/>
  </r>
  <r>
    <n v="20556570681"/>
    <x v="36"/>
    <x v="30"/>
    <x v="1939"/>
    <x v="1944"/>
    <x v="1677"/>
    <n v="2"/>
    <x v="67"/>
    <s v="ESTACION 03 BOCANEGRA LINEA 4"/>
    <s v="MZ G LT 01 AH. NUEVO PACHACUTEC - PROYECTO ESPECIAL CIUDAD PACHACUTEC"/>
    <x v="2"/>
    <x v="0"/>
    <x v="0"/>
    <x v="2"/>
    <x v="239"/>
    <x v="0"/>
    <n v="4"/>
    <n v="240"/>
    <x v="0"/>
    <x v="1"/>
    <n v="4.7619047619047623E-3"/>
    <x v="18"/>
    <x v="2"/>
    <s v="OK"/>
    <x v="2"/>
    <s v="OK"/>
    <x v="0"/>
    <x v="0"/>
    <n v="1"/>
    <n v="1"/>
    <n v="0"/>
    <n v="0"/>
    <x v="0"/>
    <x v="0"/>
    <x v="0"/>
  </r>
  <r>
    <n v="20556570681"/>
    <x v="36"/>
    <x v="30"/>
    <x v="1940"/>
    <x v="1945"/>
    <x v="1678"/>
    <n v="2"/>
    <x v="67"/>
    <s v="ESTACION 03 BOCANEGRA LINEA 4"/>
    <s v="ME J LA 12 VILLA SOL"/>
    <x v="174"/>
    <x v="0"/>
    <x v="0"/>
    <x v="2"/>
    <x v="2"/>
    <x v="0"/>
    <n v="4"/>
    <n v="240"/>
    <x v="0"/>
    <x v="1"/>
    <n v="4.7619047619047623E-3"/>
    <x v="17"/>
    <x v="2"/>
    <s v="OK"/>
    <x v="0"/>
    <s v="OK"/>
    <x v="0"/>
    <x v="0"/>
    <n v="1"/>
    <n v="0"/>
    <n v="0"/>
    <n v="0"/>
    <x v="0"/>
    <x v="0"/>
    <x v="0"/>
  </r>
  <r>
    <n v="20556570681"/>
    <x v="36"/>
    <x v="30"/>
    <x v="1941"/>
    <x v="1946"/>
    <x v="1086"/>
    <n v="2"/>
    <x v="67"/>
    <s v="ESTACION 03 BOCANEGRA LINEA 4"/>
    <s v="PSJE PROGRESO 106"/>
    <x v="80"/>
    <x v="0"/>
    <x v="0"/>
    <x v="2"/>
    <x v="239"/>
    <x v="0"/>
    <n v="4"/>
    <n v="240"/>
    <x v="0"/>
    <x v="1"/>
    <n v="4.7619047619047623E-3"/>
    <x v="21"/>
    <x v="2"/>
    <s v="OK"/>
    <x v="0"/>
    <s v="OK"/>
    <x v="0"/>
    <x v="0"/>
    <n v="1"/>
    <n v="0"/>
    <n v="0"/>
    <n v="0"/>
    <x v="0"/>
    <x v="0"/>
    <x v="0"/>
  </r>
  <r>
    <n v="20556570681"/>
    <x v="36"/>
    <x v="30"/>
    <x v="1942"/>
    <x v="1947"/>
    <x v="1679"/>
    <n v="2"/>
    <x v="67"/>
    <s v="ESTACION 03 BOCANEGRA LINEA 4"/>
    <s v="GRUPO 2 SECTOR 2 MZ=H. LT=10"/>
    <x v="164"/>
    <x v="0"/>
    <x v="0"/>
    <x v="2"/>
    <x v="245"/>
    <x v="0"/>
    <n v="4"/>
    <n v="240"/>
    <x v="0"/>
    <x v="1"/>
    <n v="4.7619047619047623E-3"/>
    <x v="22"/>
    <x v="2"/>
    <s v="OK"/>
    <x v="0"/>
    <s v="OK"/>
    <x v="0"/>
    <x v="0"/>
    <n v="1"/>
    <n v="0"/>
    <n v="0"/>
    <n v="0"/>
    <x v="0"/>
    <x v="0"/>
    <x v="0"/>
  </r>
  <r>
    <n v="20556570681"/>
    <x v="36"/>
    <x v="30"/>
    <x v="1943"/>
    <x v="1948"/>
    <x v="1680"/>
    <n v="1"/>
    <x v="96"/>
    <s v="ESTACION 03 BOCANEGRA LINEA 4"/>
    <s v="SECTOR 7; GRUPO 1; MANZANA H; LOTE 11"/>
    <x v="19"/>
    <x v="0"/>
    <x v="0"/>
    <x v="2"/>
    <x v="148"/>
    <x v="0"/>
    <n v="1"/>
    <n v="240"/>
    <x v="0"/>
    <x v="1"/>
    <n v="4.7619047619047623E-3"/>
    <x v="19"/>
    <x v="2"/>
    <s v="OK"/>
    <x v="0"/>
    <s v="OK"/>
    <x v="0"/>
    <x v="0"/>
    <n v="1"/>
    <n v="0"/>
    <n v="0"/>
    <n v="0"/>
    <x v="0"/>
    <x v="0"/>
    <x v="0"/>
  </r>
  <r>
    <n v="20556570681"/>
    <x v="36"/>
    <x v="30"/>
    <x v="1944"/>
    <x v="1949"/>
    <x v="1681"/>
    <n v="2"/>
    <x v="11"/>
    <s v="ESTACION 03 BOCANEGRA LINEA 4"/>
    <s v="MZ E LT 7 ASENT. HUMANO NACIONES UNIDAS"/>
    <x v="283"/>
    <x v="0"/>
    <x v="0"/>
    <x v="2"/>
    <x v="239"/>
    <x v="0"/>
    <n v="4"/>
    <n v="240"/>
    <x v="0"/>
    <x v="1"/>
    <n v="4.7619047619047623E-3"/>
    <x v="22"/>
    <x v="2"/>
    <s v="OK"/>
    <x v="0"/>
    <s v="OK"/>
    <x v="0"/>
    <x v="0"/>
    <n v="1"/>
    <n v="0"/>
    <n v="0"/>
    <n v="0"/>
    <x v="0"/>
    <x v="0"/>
    <x v="0"/>
  </r>
  <r>
    <n v="20556570681"/>
    <x v="36"/>
    <x v="30"/>
    <x v="1945"/>
    <x v="1950"/>
    <x v="1682"/>
    <n v="2"/>
    <x v="67"/>
    <s v="ESTACION 03 BOCANEGRA LINEA 4"/>
    <s v="SECTOR 6 GRUPO 11 MZ O LOTE 8A"/>
    <x v="164"/>
    <x v="0"/>
    <x v="0"/>
    <x v="2"/>
    <x v="2"/>
    <x v="0"/>
    <n v="4"/>
    <n v="240"/>
    <x v="0"/>
    <x v="1"/>
    <n v="4.7619047619047623E-3"/>
    <x v="17"/>
    <x v="2"/>
    <s v="OK"/>
    <x v="0"/>
    <s v="OK"/>
    <x v="0"/>
    <x v="0"/>
    <n v="1"/>
    <n v="0"/>
    <n v="0"/>
    <n v="0"/>
    <x v="0"/>
    <x v="0"/>
    <x v="0"/>
  </r>
  <r>
    <n v="20556570681"/>
    <x v="36"/>
    <x v="30"/>
    <x v="1946"/>
    <x v="1951"/>
    <x v="1683"/>
    <n v="2"/>
    <x v="4"/>
    <s v="ESTACION 03 BOCANEGRA LINEA 4"/>
    <s v="CALLE LUIS PARDO ASOC. SECT ESTE ANEXO B JICAMARCA MZ X LT 25-B"/>
    <x v="284"/>
    <x v="0"/>
    <x v="0"/>
    <x v="2"/>
    <x v="25"/>
    <x v="0"/>
    <n v="4"/>
    <n v="240"/>
    <x v="0"/>
    <x v="1"/>
    <n v="4.7619047619047623E-3"/>
    <x v="20"/>
    <x v="2"/>
    <s v="OK"/>
    <x v="0"/>
    <s v="OK"/>
    <x v="0"/>
    <x v="0"/>
    <n v="1"/>
    <n v="0"/>
    <n v="0"/>
    <n v="0"/>
    <x v="0"/>
    <x v="0"/>
    <x v="0"/>
  </r>
  <r>
    <n v="20556570681"/>
    <x v="36"/>
    <x v="30"/>
    <x v="1947"/>
    <x v="1952"/>
    <x v="1684"/>
    <n v="2"/>
    <x v="11"/>
    <s v="ESTACION 03 BOCANEGRA LINEA 4"/>
    <s v="POB. TRAPICHE S/N"/>
    <x v="285"/>
    <x v="0"/>
    <x v="0"/>
    <x v="2"/>
    <x v="239"/>
    <x v="0"/>
    <n v="4"/>
    <n v="240"/>
    <x v="0"/>
    <x v="1"/>
    <n v="4.7619047619047623E-3"/>
    <x v="17"/>
    <x v="2"/>
    <s v="OK"/>
    <x v="0"/>
    <s v="OK"/>
    <x v="0"/>
    <x v="0"/>
    <n v="1"/>
    <n v="0"/>
    <n v="0"/>
    <n v="0"/>
    <x v="0"/>
    <x v="0"/>
    <x v="0"/>
  </r>
  <r>
    <n v="20556570681"/>
    <x v="36"/>
    <x v="30"/>
    <x v="1948"/>
    <x v="1953"/>
    <x v="1685"/>
    <n v="1"/>
    <x v="123"/>
    <s v="ESTACION 03 BOCANEGRA LINEA 4"/>
    <s v="JR JAUREGUI 1067"/>
    <x v="145"/>
    <x v="0"/>
    <x v="0"/>
    <x v="2"/>
    <x v="126"/>
    <x v="0"/>
    <n v="1"/>
    <n v="240"/>
    <x v="0"/>
    <x v="1"/>
    <n v="4.7619047619047623E-3"/>
    <x v="15"/>
    <x v="2"/>
    <s v="OK"/>
    <x v="0"/>
    <s v="OK"/>
    <x v="0"/>
    <x v="0"/>
    <n v="1"/>
    <n v="0"/>
    <n v="0"/>
    <n v="0"/>
    <x v="0"/>
    <x v="0"/>
    <x v="0"/>
  </r>
  <r>
    <n v="20556570681"/>
    <x v="36"/>
    <x v="30"/>
    <x v="1949"/>
    <x v="1954"/>
    <x v="1686"/>
    <n v="1"/>
    <x v="313"/>
    <s v="ESTACION 03 BOCANEGRA LINEA 4"/>
    <s v="AV. HUAROCHIRI MZ O LT 31"/>
    <x v="1"/>
    <x v="1"/>
    <x v="0"/>
    <x v="4"/>
    <x v="145"/>
    <x v="0"/>
    <n v="1"/>
    <n v="240"/>
    <x v="0"/>
    <x v="1"/>
    <n v="4.7619047619047623E-3"/>
    <x v="18"/>
    <x v="2"/>
    <s v="OK"/>
    <x v="1"/>
    <s v="OK"/>
    <x v="0"/>
    <x v="0"/>
    <n v="1"/>
    <n v="1"/>
    <n v="0"/>
    <n v="0"/>
    <x v="0"/>
    <x v="0"/>
    <x v="0"/>
  </r>
  <r>
    <n v="20556570681"/>
    <x v="36"/>
    <x v="30"/>
    <x v="1950"/>
    <x v="1955"/>
    <x v="1687"/>
    <n v="2"/>
    <x v="59"/>
    <s v="ESTACION 03 BOCANEGRA LINEA 4"/>
    <s v="C.P.M STA BARBARA MZ LL LT 07"/>
    <x v="78"/>
    <x v="0"/>
    <x v="0"/>
    <x v="2"/>
    <x v="203"/>
    <x v="0"/>
    <n v="4"/>
    <n v="240"/>
    <x v="0"/>
    <x v="1"/>
    <n v="4.7619047619047623E-3"/>
    <x v="22"/>
    <x v="2"/>
    <s v="OK"/>
    <x v="6"/>
    <s v="OK"/>
    <x v="0"/>
    <x v="0"/>
    <n v="1"/>
    <n v="1"/>
    <n v="0"/>
    <n v="0"/>
    <x v="0"/>
    <x v="0"/>
    <x v="0"/>
  </r>
  <r>
    <n v="20556570681"/>
    <x v="36"/>
    <x v="30"/>
    <x v="1951"/>
    <x v="1956"/>
    <x v="1688"/>
    <n v="2"/>
    <x v="2"/>
    <s v="ESTACION 03 BOCANEGRA LINEA 4"/>
    <s v="CALLE SAN MIGUEL PUEBLO J. MIGUEL GRAU MZ L  LT 04"/>
    <x v="6"/>
    <x v="0"/>
    <x v="0"/>
    <x v="2"/>
    <x v="98"/>
    <x v="0"/>
    <n v="4"/>
    <n v="240"/>
    <x v="0"/>
    <x v="1"/>
    <n v="4.7619047619047623E-3"/>
    <x v="15"/>
    <x v="2"/>
    <s v="OK"/>
    <x v="2"/>
    <s v="OK"/>
    <x v="0"/>
    <x v="0"/>
    <n v="1"/>
    <n v="1"/>
    <n v="0"/>
    <n v="0"/>
    <x v="0"/>
    <x v="0"/>
    <x v="0"/>
  </r>
  <r>
    <n v="20556570681"/>
    <x v="36"/>
    <x v="30"/>
    <x v="1952"/>
    <x v="1957"/>
    <x v="1689"/>
    <n v="1"/>
    <x v="90"/>
    <s v="ESTACION 03 BOCANEGRA LINEA 4"/>
    <s v="17 DE NOVIEMBRE CUADRA 7 INT. 717 "/>
    <x v="44"/>
    <x v="0"/>
    <x v="0"/>
    <x v="2"/>
    <x v="27"/>
    <x v="0"/>
    <n v="1"/>
    <n v="240"/>
    <x v="0"/>
    <x v="1"/>
    <n v="4.7619047619047623E-3"/>
    <x v="17"/>
    <x v="2"/>
    <s v="OK"/>
    <x v="0"/>
    <s v="OK"/>
    <x v="0"/>
    <x v="0"/>
    <n v="1"/>
    <n v="0"/>
    <n v="0"/>
    <n v="0"/>
    <x v="0"/>
    <x v="0"/>
    <x v="0"/>
  </r>
  <r>
    <n v="20556570681"/>
    <x v="36"/>
    <x v="30"/>
    <x v="1953"/>
    <x v="1958"/>
    <x v="1690"/>
    <n v="1"/>
    <x v="88"/>
    <s v="ESTACION 03 BOCANEGRA LINEA 4"/>
    <s v="AV. EL PARQUE 3ERA ETAPA LAS GARDENIAS "/>
    <x v="1"/>
    <x v="0"/>
    <x v="0"/>
    <x v="2"/>
    <x v="193"/>
    <x v="0"/>
    <n v="1"/>
    <n v="240"/>
    <x v="0"/>
    <x v="1"/>
    <n v="4.7619047619047623E-3"/>
    <x v="18"/>
    <x v="2"/>
    <s v="OK"/>
    <x v="1"/>
    <s v="OK"/>
    <x v="0"/>
    <x v="0"/>
    <n v="1"/>
    <n v="1"/>
    <n v="0"/>
    <n v="0"/>
    <x v="0"/>
    <x v="0"/>
    <x v="0"/>
  </r>
  <r>
    <n v="20556570681"/>
    <x v="36"/>
    <x v="30"/>
    <x v="1954"/>
    <x v="1959"/>
    <x v="1691"/>
    <n v="2"/>
    <x v="67"/>
    <s v="ESTACION 03 BOCANEGRA LINEA 4"/>
    <s v="MZ R LT 5 ECOS DE HILLON"/>
    <x v="0"/>
    <x v="0"/>
    <x v="0"/>
    <x v="2"/>
    <x v="193"/>
    <x v="0"/>
    <n v="4"/>
    <n v="240"/>
    <x v="0"/>
    <x v="1"/>
    <n v="4.7619047619047623E-3"/>
    <x v="20"/>
    <x v="2"/>
    <s v="OK"/>
    <x v="0"/>
    <s v="OK"/>
    <x v="0"/>
    <x v="0"/>
    <n v="1"/>
    <n v="0"/>
    <n v="0"/>
    <n v="0"/>
    <x v="0"/>
    <x v="0"/>
    <x v="0"/>
  </r>
  <r>
    <n v="20556570681"/>
    <x v="36"/>
    <x v="30"/>
    <x v="1955"/>
    <x v="1960"/>
    <x v="1692"/>
    <n v="2"/>
    <x v="67"/>
    <s v="ESTACION 03 BOCANEGRA LINEA 4"/>
    <s v="MZ N1 SUBLOTE 4B LOTE 10 CAMPOY"/>
    <x v="76"/>
    <x v="0"/>
    <x v="0"/>
    <x v="2"/>
    <x v="193"/>
    <x v="0"/>
    <n v="4"/>
    <n v="240"/>
    <x v="0"/>
    <x v="1"/>
    <n v="4.7619047619047623E-3"/>
    <x v="19"/>
    <x v="2"/>
    <s v="OK"/>
    <x v="0"/>
    <s v="OK"/>
    <x v="0"/>
    <x v="0"/>
    <n v="1"/>
    <n v="0"/>
    <n v="0"/>
    <n v="0"/>
    <x v="0"/>
    <x v="0"/>
    <x v="0"/>
  </r>
  <r>
    <n v="20556570681"/>
    <x v="36"/>
    <x v="30"/>
    <x v="1956"/>
    <x v="1961"/>
    <x v="1693"/>
    <n v="2"/>
    <x v="67"/>
    <s v="ESTACION 03 BOCANEGRA LINEA 4"/>
    <s v="CALLE LAS PALMERAS MZ 38 LT 03"/>
    <x v="38"/>
    <x v="0"/>
    <x v="0"/>
    <x v="2"/>
    <x v="193"/>
    <x v="0"/>
    <n v="4"/>
    <n v="240"/>
    <x v="0"/>
    <x v="1"/>
    <n v="4.7619047619047623E-3"/>
    <x v="21"/>
    <x v="2"/>
    <s v="OK"/>
    <x v="0"/>
    <s v="OK"/>
    <x v="0"/>
    <x v="0"/>
    <n v="1"/>
    <n v="0"/>
    <n v="0"/>
    <n v="0"/>
    <x v="0"/>
    <x v="0"/>
    <x v="0"/>
  </r>
  <r>
    <n v="20556570681"/>
    <x v="36"/>
    <x v="30"/>
    <x v="1957"/>
    <x v="1962"/>
    <x v="1694"/>
    <n v="2"/>
    <x v="67"/>
    <s v="ESTACION 03 BOCANEGRA LINEA 4"/>
    <s v="JR HONRRADES 734"/>
    <x v="49"/>
    <x v="0"/>
    <x v="0"/>
    <x v="2"/>
    <x v="193"/>
    <x v="0"/>
    <n v="4"/>
    <n v="240"/>
    <x v="0"/>
    <x v="1"/>
    <n v="4.7619047619047623E-3"/>
    <x v="20"/>
    <x v="2"/>
    <s v="OK"/>
    <x v="0"/>
    <s v="OK"/>
    <x v="0"/>
    <x v="0"/>
    <n v="1"/>
    <n v="0"/>
    <n v="0"/>
    <n v="0"/>
    <x v="0"/>
    <x v="0"/>
    <x v="0"/>
  </r>
  <r>
    <n v="20556570681"/>
    <x v="36"/>
    <x v="30"/>
    <x v="1958"/>
    <x v="1963"/>
    <x v="1214"/>
    <n v="2"/>
    <x v="67"/>
    <s v="ESTACION 03 BOCANEGRA LINEA 4"/>
    <s v="MZ A LT02 VIVIENDA RESIDENCIAL SAN ANDRES"/>
    <x v="4"/>
    <x v="0"/>
    <x v="0"/>
    <x v="2"/>
    <x v="193"/>
    <x v="0"/>
    <n v="4"/>
    <n v="240"/>
    <x v="0"/>
    <x v="1"/>
    <n v="4.7619047619047623E-3"/>
    <x v="14"/>
    <x v="2"/>
    <s v="OK"/>
    <x v="0"/>
    <s v="OK"/>
    <x v="0"/>
    <x v="0"/>
    <n v="1"/>
    <n v="0"/>
    <n v="0"/>
    <n v="0"/>
    <x v="0"/>
    <x v="0"/>
    <x v="0"/>
  </r>
  <r>
    <n v="20556570681"/>
    <x v="36"/>
    <x v="30"/>
    <x v="1959"/>
    <x v="1964"/>
    <x v="1174"/>
    <n v="2"/>
    <x v="11"/>
    <s v="ESTACION 03 BOCANEGRA LINEA 4"/>
    <s v="MZ N LT 2 AMP W3 JOSE CARLOS MARIATEGUI"/>
    <x v="76"/>
    <x v="0"/>
    <x v="0"/>
    <x v="2"/>
    <x v="476"/>
    <x v="0"/>
    <n v="4"/>
    <n v="240"/>
    <x v="0"/>
    <x v="1"/>
    <n v="4.7619047619047623E-3"/>
    <x v="22"/>
    <x v="2"/>
    <s v="OK"/>
    <x v="0"/>
    <s v="OK"/>
    <x v="0"/>
    <x v="0"/>
    <n v="1"/>
    <n v="0"/>
    <n v="0"/>
    <n v="0"/>
    <x v="0"/>
    <x v="0"/>
    <x v="0"/>
  </r>
  <r>
    <n v="20556570681"/>
    <x v="36"/>
    <x v="30"/>
    <x v="1960"/>
    <x v="1965"/>
    <x v="1695"/>
    <n v="2"/>
    <x v="8"/>
    <s v="ESTACION 03 BOCANEGRA LINEA 4"/>
    <s v="URB. MARISCAL CACERES MZ L2 LT 16"/>
    <x v="76"/>
    <x v="0"/>
    <x v="0"/>
    <x v="2"/>
    <x v="476"/>
    <x v="0"/>
    <n v="4"/>
    <n v="240"/>
    <x v="0"/>
    <x v="1"/>
    <n v="4.7619047619047623E-3"/>
    <x v="21"/>
    <x v="2"/>
    <s v="OK"/>
    <x v="0"/>
    <s v="OK"/>
    <x v="0"/>
    <x v="0"/>
    <n v="1"/>
    <n v="0"/>
    <n v="0"/>
    <n v="0"/>
    <x v="0"/>
    <x v="0"/>
    <x v="0"/>
  </r>
  <r>
    <n v="20556570681"/>
    <x v="36"/>
    <x v="30"/>
    <x v="1961"/>
    <x v="1966"/>
    <x v="1696"/>
    <n v="2"/>
    <x v="67"/>
    <s v="ESTACION 03 BOCANEGRA LINEA 4"/>
    <s v="MZL LT 02 A.H.H MARIA LEON"/>
    <x v="6"/>
    <x v="0"/>
    <x v="0"/>
    <x v="2"/>
    <x v="476"/>
    <x v="0"/>
    <n v="4"/>
    <n v="240"/>
    <x v="0"/>
    <x v="1"/>
    <n v="4.7619047619047623E-3"/>
    <x v="19"/>
    <x v="2"/>
    <s v="OK"/>
    <x v="2"/>
    <s v="OK"/>
    <x v="0"/>
    <x v="0"/>
    <n v="1"/>
    <n v="1"/>
    <n v="0"/>
    <n v="0"/>
    <x v="0"/>
    <x v="0"/>
    <x v="0"/>
  </r>
  <r>
    <n v="20556570681"/>
    <x v="36"/>
    <x v="30"/>
    <x v="1962"/>
    <x v="1967"/>
    <x v="1697"/>
    <n v="2"/>
    <x v="67"/>
    <s v="ESTACION 03 BOCANEGRA LINEA 4"/>
    <s v="MZ P LT 04 QUEBRADA DE MANCHAY"/>
    <x v="286"/>
    <x v="0"/>
    <x v="0"/>
    <x v="2"/>
    <x v="476"/>
    <x v="0"/>
    <n v="4"/>
    <n v="240"/>
    <x v="0"/>
    <x v="1"/>
    <n v="4.7619047619047623E-3"/>
    <x v="22"/>
    <x v="2"/>
    <s v="OK"/>
    <x v="0"/>
    <s v="OK"/>
    <x v="0"/>
    <x v="0"/>
    <n v="1"/>
    <n v="0"/>
    <n v="0"/>
    <n v="0"/>
    <x v="0"/>
    <x v="0"/>
    <x v="0"/>
  </r>
  <r>
    <n v="20556570681"/>
    <x v="36"/>
    <x v="30"/>
    <x v="1963"/>
    <x v="1968"/>
    <x v="1698"/>
    <n v="2"/>
    <x v="67"/>
    <s v="ESTACION 03 BOCANEGRA LINEA 4"/>
    <s v="CALLE MARCA 121 PARQUE NARANAJL"/>
    <x v="49"/>
    <x v="0"/>
    <x v="0"/>
    <x v="4"/>
    <x v="476"/>
    <x v="0"/>
    <n v="4"/>
    <n v="240"/>
    <x v="0"/>
    <x v="1"/>
    <n v="4.7619047619047623E-3"/>
    <x v="16"/>
    <x v="2"/>
    <s v="OK"/>
    <x v="0"/>
    <s v="OK"/>
    <x v="0"/>
    <x v="0"/>
    <n v="1"/>
    <n v="0"/>
    <n v="0"/>
    <n v="0"/>
    <x v="0"/>
    <x v="0"/>
    <x v="0"/>
  </r>
  <r>
    <n v="20556570681"/>
    <x v="36"/>
    <x v="30"/>
    <x v="1964"/>
    <x v="1969"/>
    <x v="1148"/>
    <n v="2"/>
    <x v="19"/>
    <s v="ESTACION 03 BOCANEGRA LINEA 4"/>
    <s v=" URB. SAN IDELFONSO N3"/>
    <x v="92"/>
    <x v="0"/>
    <x v="0"/>
    <x v="2"/>
    <x v="27"/>
    <x v="0"/>
    <n v="4"/>
    <n v="240"/>
    <x v="0"/>
    <x v="1"/>
    <n v="4.7619047619047623E-3"/>
    <x v="20"/>
    <x v="2"/>
    <s v="OK"/>
    <x v="0"/>
    <s v="OK"/>
    <x v="0"/>
    <x v="0"/>
    <n v="1"/>
    <n v="0"/>
    <n v="0"/>
    <n v="0"/>
    <x v="0"/>
    <x v="0"/>
    <x v="0"/>
  </r>
  <r>
    <n v="20556570681"/>
    <x v="36"/>
    <x v="30"/>
    <x v="1965"/>
    <x v="1970"/>
    <x v="1699"/>
    <n v="2"/>
    <x v="67"/>
    <s v="ESTACION 03 BOCANEGRA LINEA 4"/>
    <s v="AH. LA GRUTA DE SANTA MARIA "/>
    <x v="76"/>
    <x v="0"/>
    <x v="0"/>
    <x v="2"/>
    <x v="476"/>
    <x v="0"/>
    <n v="4"/>
    <n v="240"/>
    <x v="0"/>
    <x v="1"/>
    <n v="4.7619047619047623E-3"/>
    <x v="19"/>
    <x v="2"/>
    <s v="OK"/>
    <x v="0"/>
    <s v="OK"/>
    <x v="0"/>
    <x v="0"/>
    <n v="1"/>
    <n v="0"/>
    <n v="0"/>
    <n v="0"/>
    <x v="0"/>
    <x v="0"/>
    <x v="0"/>
  </r>
  <r>
    <n v="20556570681"/>
    <x v="36"/>
    <x v="30"/>
    <x v="1966"/>
    <x v="1971"/>
    <x v="1565"/>
    <n v="2"/>
    <x v="67"/>
    <s v="ESTACION 03 BOCANEGRA LINEA 4"/>
    <s v="MZ Z LT 25 AAHH "/>
    <x v="2"/>
    <x v="0"/>
    <x v="0"/>
    <x v="2"/>
    <x v="476"/>
    <x v="0"/>
    <n v="4"/>
    <n v="240"/>
    <x v="0"/>
    <x v="1"/>
    <n v="4.7619047619047623E-3"/>
    <x v="21"/>
    <x v="2"/>
    <s v="OK"/>
    <x v="2"/>
    <s v="OK"/>
    <x v="0"/>
    <x v="0"/>
    <n v="1"/>
    <n v="1"/>
    <n v="0"/>
    <n v="0"/>
    <x v="0"/>
    <x v="0"/>
    <x v="0"/>
  </r>
  <r>
    <n v="20556570681"/>
    <x v="36"/>
    <x v="30"/>
    <x v="1303"/>
    <x v="1307"/>
    <x v="1157"/>
    <n v="2"/>
    <x v="67"/>
    <s v="ESTACION 03 BOCANEGRA LINEA 4"/>
    <s v="PROG. NAZARETH DE NARANJAL MZ E LT 22"/>
    <x v="96"/>
    <x v="0"/>
    <x v="0"/>
    <x v="2"/>
    <x v="204"/>
    <x v="0"/>
    <n v="4"/>
    <n v="200"/>
    <x v="0"/>
    <x v="1"/>
    <n v="4.7619047619047623E-3"/>
    <x v="14"/>
    <x v="2"/>
    <s v="OK"/>
    <x v="0"/>
    <s v="OK"/>
    <x v="0"/>
    <x v="1"/>
    <n v="0.5"/>
    <n v="0"/>
    <n v="1"/>
    <n v="0"/>
    <x v="0"/>
    <x v="0"/>
    <x v="1"/>
  </r>
  <r>
    <n v="20556570681"/>
    <x v="36"/>
    <x v="30"/>
    <x v="1967"/>
    <x v="1972"/>
    <x v="1307"/>
    <n v="2"/>
    <x v="11"/>
    <s v="ESTACION 03 BOCANEGRA LINEA 4"/>
    <s v="AGR SAN PEDRO DE PAYET MZ B LT 1 "/>
    <x v="44"/>
    <x v="0"/>
    <x v="24"/>
    <x v="2"/>
    <x v="28"/>
    <x v="2"/>
    <n v="4"/>
    <n v="176"/>
    <x v="0"/>
    <x v="1"/>
    <n v="4.7619047619047623E-3"/>
    <x v="21"/>
    <x v="2"/>
    <s v="OK"/>
    <x v="0"/>
    <s v="OK"/>
    <x v="0"/>
    <x v="0"/>
    <n v="1"/>
    <n v="0"/>
    <n v="1"/>
    <n v="1"/>
    <x v="0"/>
    <x v="1"/>
    <x v="1"/>
  </r>
  <r>
    <n v="20556570681"/>
    <x v="36"/>
    <x v="30"/>
    <x v="1968"/>
    <x v="1973"/>
    <x v="1700"/>
    <n v="2"/>
    <x v="11"/>
    <s v="ESTACION 03 BOCANEGRA LINEA 4"/>
    <s v="AAHH LA RIVERA MICAELA BASTIDAS"/>
    <x v="54"/>
    <x v="0"/>
    <x v="0"/>
    <x v="2"/>
    <x v="28"/>
    <x v="0"/>
    <n v="4"/>
    <n v="168"/>
    <x v="0"/>
    <x v="1"/>
    <n v="4.7619047619047623E-3"/>
    <x v="21"/>
    <x v="2"/>
    <s v="OK"/>
    <x v="0"/>
    <s v="OK"/>
    <x v="0"/>
    <x v="0"/>
    <n v="1"/>
    <n v="0"/>
    <n v="1"/>
    <n v="0"/>
    <x v="0"/>
    <x v="0"/>
    <x v="1"/>
  </r>
  <r>
    <n v="20556570681"/>
    <x v="36"/>
    <x v="30"/>
    <x v="1969"/>
    <x v="1974"/>
    <x v="1584"/>
    <n v="2"/>
    <x v="11"/>
    <s v="ESTACION 03 BOCANEGRA LINEA 4"/>
    <s v="ARMANDO MAQUE 390 BELAUNDE"/>
    <x v="0"/>
    <x v="0"/>
    <x v="0"/>
    <x v="4"/>
    <x v="101"/>
    <x v="0"/>
    <n v="4"/>
    <n v="104"/>
    <x v="0"/>
    <x v="1"/>
    <n v="4.7619047619047623E-3"/>
    <x v="22"/>
    <x v="2"/>
    <s v="OK"/>
    <x v="0"/>
    <s v="OK"/>
    <x v="0"/>
    <x v="0"/>
    <n v="1"/>
    <n v="0"/>
    <n v="1"/>
    <n v="0"/>
    <x v="0"/>
    <x v="0"/>
    <x v="1"/>
  </r>
  <r>
    <n v="20556570681"/>
    <x v="36"/>
    <x v="30"/>
    <x v="1970"/>
    <x v="1975"/>
    <x v="1384"/>
    <n v="2"/>
    <x v="11"/>
    <s v="ESTACION 03 BOCANEGRA LINEA 4"/>
    <s v="AA.HH. VILLA ESCUDERO MZ T LT 14"/>
    <x v="36"/>
    <x v="0"/>
    <x v="0"/>
    <x v="2"/>
    <x v="101"/>
    <x v="0"/>
    <n v="4"/>
    <n v="104"/>
    <x v="0"/>
    <x v="1"/>
    <n v="4.7619047619047623E-3"/>
    <x v="16"/>
    <x v="2"/>
    <s v="OK"/>
    <x v="2"/>
    <s v="OK"/>
    <x v="0"/>
    <x v="0"/>
    <n v="1"/>
    <n v="1"/>
    <n v="1"/>
    <n v="0"/>
    <x v="0"/>
    <x v="0"/>
    <x v="1"/>
  </r>
  <r>
    <n v="20556570681"/>
    <x v="36"/>
    <x v="30"/>
    <x v="1971"/>
    <x v="1976"/>
    <x v="1701"/>
    <n v="2"/>
    <x v="11"/>
    <s v="ESTACION 03 BOCANEGRA LINEA 4"/>
    <s v="AMPL 5 DE ENERO MZ L7 LT 5"/>
    <x v="6"/>
    <x v="0"/>
    <x v="0"/>
    <x v="2"/>
    <x v="101"/>
    <x v="0"/>
    <n v="4"/>
    <n v="104"/>
    <x v="0"/>
    <x v="1"/>
    <n v="4.7619047619047623E-3"/>
    <x v="21"/>
    <x v="2"/>
    <s v="OK"/>
    <x v="2"/>
    <s v="OK"/>
    <x v="0"/>
    <x v="0"/>
    <n v="1"/>
    <n v="1"/>
    <n v="1"/>
    <n v="0"/>
    <x v="0"/>
    <x v="0"/>
    <x v="1"/>
  </r>
  <r>
    <n v="20556570681"/>
    <x v="36"/>
    <x v="30"/>
    <x v="1972"/>
    <x v="1977"/>
    <x v="1702"/>
    <n v="2"/>
    <x v="11"/>
    <s v="SUPERESTRUCTURA DE VIA TUNEL PBM PV1BIS - E4 - Y -TRAMO 3ra VIA PARQUE MURILLO – E19"/>
    <s v="ASOC. COMUNIDAD RESIDENTES SAN AGUSTIN DE CANIN MZ. A LT. 06 LIMA"/>
    <x v="4"/>
    <x v="0"/>
    <x v="0"/>
    <x v="2"/>
    <x v="137"/>
    <x v="0"/>
    <n v="4"/>
    <n v="96"/>
    <x v="0"/>
    <x v="1"/>
    <n v="4.7619047619047623E-3"/>
    <x v="22"/>
    <x v="2"/>
    <s v="OK"/>
    <x v="0"/>
    <s v="OK"/>
    <x v="0"/>
    <x v="0"/>
    <n v="1"/>
    <n v="0"/>
    <n v="1"/>
    <n v="0"/>
    <x v="0"/>
    <x v="0"/>
    <x v="1"/>
  </r>
  <r>
    <n v="20556570681"/>
    <x v="36"/>
    <x v="30"/>
    <x v="1973"/>
    <x v="1978"/>
    <x v="1438"/>
    <n v="2"/>
    <x v="8"/>
    <s v="SUPERESTRUCTURA DE VIA TUNEL PBM PV1BIS - E4 - Y -TRAMO 3ra VIA PARQUE MURILLO – E19"/>
    <s v="MOLINO ALTO S/N LIMA"/>
    <x v="54"/>
    <x v="0"/>
    <x v="0"/>
    <x v="2"/>
    <x v="29"/>
    <x v="0"/>
    <n v="4"/>
    <n v="176"/>
    <x v="0"/>
    <x v="1"/>
    <n v="4.7619047619047623E-3"/>
    <x v="19"/>
    <x v="2"/>
    <s v="OK"/>
    <x v="0"/>
    <s v="OK"/>
    <x v="0"/>
    <x v="0"/>
    <n v="1"/>
    <n v="0"/>
    <n v="1"/>
    <n v="0"/>
    <x v="0"/>
    <x v="0"/>
    <x v="1"/>
  </r>
  <r>
    <n v="20556570681"/>
    <x v="36"/>
    <x v="30"/>
    <x v="1974"/>
    <x v="1979"/>
    <x v="1703"/>
    <n v="2"/>
    <x v="11"/>
    <s v="ESTACION 03 BOCANEGRA LINEA 4"/>
    <s v="ASENT.H. EL AMAUTA ZONA B MZ. E LT. 34 LIMA-LIMA"/>
    <x v="1"/>
    <x v="0"/>
    <x v="0"/>
    <x v="2"/>
    <x v="27"/>
    <x v="0"/>
    <n v="4"/>
    <n v="240"/>
    <x v="0"/>
    <x v="1"/>
    <n v="4.7619047619047623E-3"/>
    <x v="15"/>
    <x v="2"/>
    <s v="OK"/>
    <x v="1"/>
    <s v="OK"/>
    <x v="0"/>
    <x v="0"/>
    <n v="1"/>
    <n v="1"/>
    <n v="0"/>
    <n v="0"/>
    <x v="0"/>
    <x v="0"/>
    <x v="0"/>
  </r>
  <r>
    <n v="20556570681"/>
    <x v="36"/>
    <x v="30"/>
    <x v="1975"/>
    <x v="1980"/>
    <x v="1704"/>
    <n v="2"/>
    <x v="20"/>
    <s v="SUPERESTRUCTURA DE VIA TUNEL PBM PV1BIS - E4 - Y -TRAMO 3ra VIA PARQUE MURILLO – E19"/>
    <s v="AV. 24 DE JUNIO MZ. 25 LT. 18 LIMA"/>
    <x v="38"/>
    <x v="0"/>
    <x v="0"/>
    <x v="2"/>
    <x v="128"/>
    <x v="0"/>
    <n v="4"/>
    <n v="240"/>
    <x v="0"/>
    <x v="1"/>
    <n v="4.7619047619047623E-3"/>
    <x v="22"/>
    <x v="2"/>
    <s v="OK"/>
    <x v="0"/>
    <s v="OK"/>
    <x v="0"/>
    <x v="0"/>
    <n v="1"/>
    <n v="0"/>
    <n v="0"/>
    <n v="0"/>
    <x v="0"/>
    <x v="0"/>
    <x v="0"/>
  </r>
  <r>
    <n v="20556570681"/>
    <x v="36"/>
    <x v="30"/>
    <x v="1976"/>
    <x v="1981"/>
    <x v="1705"/>
    <n v="2"/>
    <x v="20"/>
    <s v="SUPERESTRUCTURA DE VIA TUNEL PBM PV1BIS - E4 - Y -TRAMO 3ra VIA PARQUE MURILLO – E19"/>
    <s v="MZ.G LT.15 ASOC.VIV.RES.SANTA CLARA LIMA"/>
    <x v="1"/>
    <x v="0"/>
    <x v="0"/>
    <x v="2"/>
    <x v="190"/>
    <x v="0"/>
    <n v="4"/>
    <n v="240"/>
    <x v="0"/>
    <x v="1"/>
    <n v="4.7619047619047623E-3"/>
    <x v="21"/>
    <x v="2"/>
    <s v="OK"/>
    <x v="1"/>
    <s v="OK"/>
    <x v="0"/>
    <x v="0"/>
    <n v="1"/>
    <n v="1"/>
    <n v="0"/>
    <n v="0"/>
    <x v="0"/>
    <x v="0"/>
    <x v="0"/>
  </r>
  <r>
    <s v="20297543653"/>
    <x v="37"/>
    <x v="31"/>
    <x v="1977"/>
    <x v="1982"/>
    <x v="1706"/>
    <n v="3"/>
    <x v="196"/>
    <s v="Est., Pozos, P. Taller"/>
    <s v="CALLE F ASEMT. H. NUEVA JERUSALEN MZ 04 LT 05"/>
    <x v="4"/>
    <x v="0"/>
    <x v="6"/>
    <x v="1"/>
    <x v="437"/>
    <x v="0"/>
    <n v="1"/>
    <n v="312.73333333333335"/>
    <x v="0"/>
    <x v="1"/>
    <n v="8.0000000000000002E-3"/>
    <x v="16"/>
    <x v="2"/>
    <s v="OK"/>
    <x v="0"/>
    <s v="OK"/>
    <x v="0"/>
    <x v="0"/>
    <n v="1"/>
    <n v="0"/>
    <n v="0"/>
    <n v="0"/>
    <x v="0"/>
    <x v="0"/>
    <x v="0"/>
  </r>
  <r>
    <s v="20297543653"/>
    <x v="37"/>
    <x v="31"/>
    <x v="1978"/>
    <x v="1983"/>
    <x v="1707"/>
    <n v="3"/>
    <x v="196"/>
    <s v="Est., Pozos, P. Taller"/>
    <s v="AV. GRAN CHIMU 1031 "/>
    <x v="15"/>
    <x v="0"/>
    <x v="6"/>
    <x v="1"/>
    <x v="240"/>
    <x v="0"/>
    <n v="1"/>
    <n v="306.2166666666667"/>
    <x v="0"/>
    <x v="1"/>
    <n v="8.0000000000000002E-3"/>
    <x v="19"/>
    <x v="2"/>
    <s v="OK"/>
    <x v="0"/>
    <s v="OK"/>
    <x v="0"/>
    <x v="0"/>
    <n v="1"/>
    <n v="0"/>
    <n v="0"/>
    <n v="0"/>
    <x v="0"/>
    <x v="0"/>
    <x v="0"/>
  </r>
  <r>
    <s v="20297543653"/>
    <x v="37"/>
    <x v="31"/>
    <x v="1979"/>
    <x v="1984"/>
    <x v="1708"/>
    <n v="3"/>
    <x v="196"/>
    <s v="Est., Pozos, P. Taller"/>
    <s v="ASENT. H. PAMP. ALTA-VIRG,BUEN PASO MZ E-8 LT 04"/>
    <x v="53"/>
    <x v="0"/>
    <x v="6"/>
    <x v="1"/>
    <x v="283"/>
    <x v="0"/>
    <n v="2"/>
    <n v="326.10000000000002"/>
    <x v="0"/>
    <x v="1"/>
    <n v="8.0000000000000002E-3"/>
    <x v="22"/>
    <x v="2"/>
    <s v="OK"/>
    <x v="0"/>
    <s v="OK"/>
    <x v="0"/>
    <x v="0"/>
    <n v="1"/>
    <n v="0"/>
    <n v="0"/>
    <n v="0"/>
    <x v="0"/>
    <x v="0"/>
    <x v="0"/>
  </r>
  <r>
    <s v="20297543653"/>
    <x v="37"/>
    <x v="31"/>
    <x v="1980"/>
    <x v="1985"/>
    <x v="1709"/>
    <n v="3"/>
    <x v="196"/>
    <s v="Est., Pozos, P. Taller"/>
    <s v="MZ E LT 25 NUEVA ESPERANZA"/>
    <x v="0"/>
    <x v="0"/>
    <x v="6"/>
    <x v="1"/>
    <x v="433"/>
    <x v="0"/>
    <n v="1"/>
    <n v="306.63333333333333"/>
    <x v="0"/>
    <x v="1"/>
    <n v="8.0000000000000002E-3"/>
    <x v="17"/>
    <x v="2"/>
    <s v="OK"/>
    <x v="0"/>
    <s v="OK"/>
    <x v="0"/>
    <x v="0"/>
    <n v="1"/>
    <n v="0"/>
    <n v="0"/>
    <n v="0"/>
    <x v="0"/>
    <x v="0"/>
    <x v="0"/>
  </r>
  <r>
    <s v="20297543653"/>
    <x v="37"/>
    <x v="31"/>
    <x v="1981"/>
    <x v="1986"/>
    <x v="1710"/>
    <n v="3"/>
    <x v="196"/>
    <s v="Est., Pozos, P. Taller"/>
    <s v="AV. MANCHAY MZ. Q LT. 7C, HUERTOS DE MANCHAY"/>
    <x v="58"/>
    <x v="0"/>
    <x v="6"/>
    <x v="1"/>
    <x v="115"/>
    <x v="0"/>
    <n v="1"/>
    <n v="337.95000000000005"/>
    <x v="0"/>
    <x v="1"/>
    <n v="8.0000000000000002E-3"/>
    <x v="21"/>
    <x v="2"/>
    <s v="OK"/>
    <x v="0"/>
    <s v="OK"/>
    <x v="0"/>
    <x v="0"/>
    <n v="1"/>
    <n v="0"/>
    <n v="1"/>
    <n v="0"/>
    <x v="0"/>
    <x v="0"/>
    <x v="1"/>
  </r>
  <r>
    <s v="20297543653"/>
    <x v="37"/>
    <x v="31"/>
    <x v="1982"/>
    <x v="1987"/>
    <x v="1711"/>
    <n v="3"/>
    <x v="196"/>
    <s v="Est., Pozos, P. Taller"/>
    <s v="AV. NESTOR GAMBETA MZ 5 LT F GAMBETA BAJA"/>
    <x v="6"/>
    <x v="0"/>
    <x v="6"/>
    <x v="3"/>
    <x v="57"/>
    <x v="0"/>
    <n v="1"/>
    <n v="300.05"/>
    <x v="0"/>
    <x v="1"/>
    <n v="8.0000000000000002E-3"/>
    <x v="17"/>
    <x v="2"/>
    <s v="OK"/>
    <x v="2"/>
    <s v="OK"/>
    <x v="0"/>
    <x v="0"/>
    <n v="1"/>
    <n v="1"/>
    <n v="0"/>
    <n v="0"/>
    <x v="0"/>
    <x v="0"/>
    <x v="0"/>
  </r>
  <r>
    <s v="20297543653"/>
    <x v="37"/>
    <x v="31"/>
    <x v="1983"/>
    <x v="1988"/>
    <x v="1503"/>
    <n v="3"/>
    <x v="46"/>
    <s v="Est., Pozos, P. Taller"/>
    <s v="ASOC. VIV. LA FLORIDA MZ G LT 4 "/>
    <x v="287"/>
    <x v="0"/>
    <x v="6"/>
    <x v="1"/>
    <x v="317"/>
    <x v="0"/>
    <n v="1"/>
    <n v="268.56666666666666"/>
    <x v="0"/>
    <x v="1"/>
    <n v="8.0000000000000002E-3"/>
    <x v="19"/>
    <x v="2"/>
    <s v="OK"/>
    <x v="1"/>
    <s v="OK"/>
    <x v="0"/>
    <x v="0"/>
    <n v="1"/>
    <n v="1"/>
    <n v="0"/>
    <n v="0"/>
    <x v="0"/>
    <x v="0"/>
    <x v="0"/>
  </r>
  <r>
    <s v="20297543653"/>
    <x v="37"/>
    <x v="31"/>
    <x v="1984"/>
    <x v="1989"/>
    <x v="1712"/>
    <n v="1"/>
    <x v="314"/>
    <s v="Est., Pozos, P. Taller"/>
    <s v="JR CUZCO 1064 MORROPON CHULUCANAS"/>
    <x v="7"/>
    <x v="0"/>
    <x v="6"/>
    <x v="1"/>
    <x v="579"/>
    <x v="0"/>
    <n v="1"/>
    <n v="240"/>
    <x v="0"/>
    <x v="1"/>
    <n v="8.0000000000000002E-3"/>
    <x v="14"/>
    <x v="2"/>
    <s v="OK"/>
    <x v="0"/>
    <s v="OK"/>
    <x v="0"/>
    <x v="0"/>
    <n v="1"/>
    <n v="0"/>
    <n v="0"/>
    <n v="0"/>
    <x v="0"/>
    <x v="0"/>
    <x v="0"/>
  </r>
  <r>
    <s v="20297543653"/>
    <x v="37"/>
    <x v="31"/>
    <x v="1985"/>
    <x v="1990"/>
    <x v="1713"/>
    <n v="3"/>
    <x v="196"/>
    <s v="Est., Pozos, P. Taller"/>
    <s v="URB . UPIS LAS BEGONIAS MZ C LT 6 -LURIN"/>
    <x v="91"/>
    <x v="0"/>
    <x v="6"/>
    <x v="1"/>
    <x v="103"/>
    <x v="0"/>
    <n v="1"/>
    <n v="290.2833333333333"/>
    <x v="0"/>
    <x v="1"/>
    <n v="8.0000000000000002E-3"/>
    <x v="14"/>
    <x v="2"/>
    <s v="OK"/>
    <x v="0"/>
    <s v="OK"/>
    <x v="0"/>
    <x v="0"/>
    <n v="1"/>
    <n v="0"/>
    <n v="1"/>
    <n v="0"/>
    <x v="0"/>
    <x v="0"/>
    <x v="1"/>
  </r>
  <r>
    <s v="20297543653"/>
    <x v="37"/>
    <x v="31"/>
    <x v="1986"/>
    <x v="1991"/>
    <x v="1714"/>
    <n v="3"/>
    <x v="196"/>
    <s v="Est., Pozos, P. Taller"/>
    <s v="CALLE 16 PISO 2 ASENT. H. LAURA CALLER 11 LT. 7"/>
    <x v="49"/>
    <x v="0"/>
    <x v="6"/>
    <x v="1"/>
    <x v="629"/>
    <x v="0"/>
    <n v="1"/>
    <n v="305.59999999999997"/>
    <x v="0"/>
    <x v="1"/>
    <n v="8.0000000000000002E-3"/>
    <x v="22"/>
    <x v="2"/>
    <s v="OK"/>
    <x v="0"/>
    <s v="OK"/>
    <x v="0"/>
    <x v="0"/>
    <n v="1"/>
    <n v="0"/>
    <n v="0"/>
    <n v="0"/>
    <x v="0"/>
    <x v="0"/>
    <x v="0"/>
  </r>
  <r>
    <s v="20297543653"/>
    <x v="37"/>
    <x v="31"/>
    <x v="1987"/>
    <x v="1992"/>
    <x v="1715"/>
    <n v="1"/>
    <x v="198"/>
    <s v="Est., Pozos, P. Taller"/>
    <s v="AV. MARSELLA 411 - ATE"/>
    <x v="34"/>
    <x v="1"/>
    <x v="6"/>
    <x v="1"/>
    <x v="630"/>
    <x v="0"/>
    <n v="1"/>
    <n v="240"/>
    <x v="0"/>
    <x v="1"/>
    <n v="8.0000000000000002E-3"/>
    <x v="20"/>
    <x v="2"/>
    <s v="OK"/>
    <x v="1"/>
    <s v="OK"/>
    <x v="0"/>
    <x v="0"/>
    <n v="1"/>
    <n v="1"/>
    <n v="0"/>
    <n v="0"/>
    <x v="0"/>
    <x v="0"/>
    <x v="0"/>
  </r>
  <r>
    <s v="20297543653"/>
    <x v="37"/>
    <x v="31"/>
    <x v="1988"/>
    <x v="1993"/>
    <x v="1716"/>
    <n v="3"/>
    <x v="196"/>
    <s v="Est., Pozos, P. Taller"/>
    <s v="JR. AYACUCHO 277 VILLA SEÑOR DE LOS MILAGROS"/>
    <x v="182"/>
    <x v="0"/>
    <x v="6"/>
    <x v="1"/>
    <x v="437"/>
    <x v="0"/>
    <n v="1"/>
    <n v="298.26666666666665"/>
    <x v="0"/>
    <x v="1"/>
    <n v="8.0000000000000002E-3"/>
    <x v="21"/>
    <x v="2"/>
    <s v="OK"/>
    <x v="2"/>
    <s v="OK"/>
    <x v="0"/>
    <x v="0"/>
    <n v="1"/>
    <n v="1"/>
    <n v="0"/>
    <n v="0"/>
    <x v="0"/>
    <x v="0"/>
    <x v="0"/>
  </r>
  <r>
    <s v="20297543653"/>
    <x v="37"/>
    <x v="31"/>
    <x v="1989"/>
    <x v="1994"/>
    <x v="1717"/>
    <n v="1"/>
    <x v="315"/>
    <s v="Est., Pozos, P. Taller"/>
    <s v="CALLE LOS SAUCES MZ G1 LT 10 COOP. UNAMARCA"/>
    <x v="53"/>
    <x v="0"/>
    <x v="6"/>
    <x v="1"/>
    <x v="631"/>
    <x v="0"/>
    <n v="2"/>
    <n v="240"/>
    <x v="0"/>
    <x v="1"/>
    <n v="8.0000000000000002E-3"/>
    <x v="15"/>
    <x v="2"/>
    <s v="OK"/>
    <x v="0"/>
    <s v="OK"/>
    <x v="0"/>
    <x v="0"/>
    <n v="1"/>
    <n v="0"/>
    <n v="0"/>
    <n v="0"/>
    <x v="0"/>
    <x v="0"/>
    <x v="0"/>
  </r>
  <r>
    <s v="20297543653"/>
    <x v="37"/>
    <x v="31"/>
    <x v="1990"/>
    <x v="1995"/>
    <x v="1718"/>
    <n v="3"/>
    <x v="195"/>
    <s v="Est., Pozos, P. Taller"/>
    <s v="CALLE 01 DE MAYO MZ B2 LT 25 PJ EL RESCATE"/>
    <x v="45"/>
    <x v="0"/>
    <x v="6"/>
    <x v="1"/>
    <x v="286"/>
    <x v="0"/>
    <n v="1"/>
    <n v="276.14999999999998"/>
    <x v="0"/>
    <x v="1"/>
    <n v="8.0000000000000002E-3"/>
    <x v="22"/>
    <x v="2"/>
    <s v="OK"/>
    <x v="3"/>
    <s v="OK"/>
    <x v="0"/>
    <x v="0"/>
    <n v="1"/>
    <n v="1"/>
    <n v="0"/>
    <n v="0"/>
    <x v="0"/>
    <x v="0"/>
    <x v="0"/>
  </r>
  <r>
    <s v="20297543653"/>
    <x v="37"/>
    <x v="31"/>
    <x v="1991"/>
    <x v="1996"/>
    <x v="1719"/>
    <n v="1"/>
    <x v="315"/>
    <s v="Est., Pozos, P. Taller"/>
    <s v="JR. JUNIN 881 INT. 103B"/>
    <x v="121"/>
    <x v="0"/>
    <x v="6"/>
    <x v="1"/>
    <x v="531"/>
    <x v="0"/>
    <n v="1"/>
    <n v="240"/>
    <x v="0"/>
    <x v="1"/>
    <n v="8.0000000000000002E-3"/>
    <x v="16"/>
    <x v="2"/>
    <s v="OK"/>
    <x v="0"/>
    <s v="OK"/>
    <x v="0"/>
    <x v="0"/>
    <n v="1"/>
    <n v="0"/>
    <n v="0"/>
    <n v="0"/>
    <x v="0"/>
    <x v="0"/>
    <x v="0"/>
  </r>
  <r>
    <s v="20297543653"/>
    <x v="37"/>
    <x v="31"/>
    <x v="1992"/>
    <x v="1997"/>
    <x v="1720"/>
    <n v="3"/>
    <x v="196"/>
    <s v="Est., Pozos, P. Taller"/>
    <s v="JR RAMON ESPINOZA 668"/>
    <x v="13"/>
    <x v="0"/>
    <x v="6"/>
    <x v="3"/>
    <x v="304"/>
    <x v="0"/>
    <n v="1"/>
    <n v="298.58333333333331"/>
    <x v="0"/>
    <x v="1"/>
    <n v="8.0000000000000002E-3"/>
    <x v="14"/>
    <x v="2"/>
    <s v="OK"/>
    <x v="0"/>
    <s v="OK"/>
    <x v="0"/>
    <x v="0"/>
    <n v="1"/>
    <n v="0"/>
    <n v="0"/>
    <n v="0"/>
    <x v="0"/>
    <x v="0"/>
    <x v="0"/>
  </r>
  <r>
    <s v="20297543653"/>
    <x v="37"/>
    <x v="31"/>
    <x v="1993"/>
    <x v="1998"/>
    <x v="1721"/>
    <n v="3"/>
    <x v="196"/>
    <s v="Est., Pozos, P. Taller"/>
    <s v="PSJE Q MZ V LT 18 - URB SAN HILARION - S"/>
    <x v="10"/>
    <x v="0"/>
    <x v="6"/>
    <x v="1"/>
    <x v="632"/>
    <x v="0"/>
    <n v="2"/>
    <n v="301.33333333333331"/>
    <x v="0"/>
    <x v="1"/>
    <n v="8.0000000000000002E-3"/>
    <x v="22"/>
    <x v="2"/>
    <s v="OK"/>
    <x v="0"/>
    <s v="OK"/>
    <x v="0"/>
    <x v="0"/>
    <n v="1"/>
    <n v="0"/>
    <n v="0"/>
    <n v="0"/>
    <x v="0"/>
    <x v="0"/>
    <x v="0"/>
  </r>
  <r>
    <s v="20297543653"/>
    <x v="37"/>
    <x v="31"/>
    <x v="1994"/>
    <x v="1999"/>
    <x v="1722"/>
    <n v="3"/>
    <x v="196"/>
    <s v="Est., Pozos, P. Taller"/>
    <s v="URB. POP. EL ERMITAÑO MZ. U1 LT. 23"/>
    <x v="44"/>
    <x v="0"/>
    <x v="6"/>
    <x v="1"/>
    <x v="240"/>
    <x v="0"/>
    <n v="1"/>
    <n v="298.95000000000005"/>
    <x v="0"/>
    <x v="1"/>
    <n v="8.0000000000000002E-3"/>
    <x v="20"/>
    <x v="2"/>
    <s v="OK"/>
    <x v="0"/>
    <s v="OK"/>
    <x v="0"/>
    <x v="0"/>
    <n v="1"/>
    <n v="0"/>
    <n v="0"/>
    <n v="0"/>
    <x v="0"/>
    <x v="0"/>
    <x v="0"/>
  </r>
  <r>
    <s v="20297543653"/>
    <x v="37"/>
    <x v="31"/>
    <x v="1995"/>
    <x v="2000"/>
    <x v="1723"/>
    <n v="1"/>
    <x v="315"/>
    <s v="Est., Pozos, P. Taller"/>
    <s v="AV. SANTA ROSA MZ F LT 61 URB. LOS PINOS "/>
    <x v="15"/>
    <x v="0"/>
    <x v="6"/>
    <x v="1"/>
    <x v="297"/>
    <x v="0"/>
    <n v="1"/>
    <n v="240"/>
    <x v="0"/>
    <x v="1"/>
    <n v="8.0000000000000002E-3"/>
    <x v="22"/>
    <x v="2"/>
    <s v="OK"/>
    <x v="0"/>
    <s v="OK"/>
    <x v="0"/>
    <x v="0"/>
    <n v="1"/>
    <n v="0"/>
    <n v="0"/>
    <n v="0"/>
    <x v="0"/>
    <x v="0"/>
    <x v="0"/>
  </r>
  <r>
    <s v="20297543653"/>
    <x v="37"/>
    <x v="31"/>
    <x v="1996"/>
    <x v="2001"/>
    <x v="1724"/>
    <n v="3"/>
    <x v="196"/>
    <s v="Est., Pozos, P. Taller"/>
    <s v="ASENT. H. 19 DE MAYO MZ G LT 20"/>
    <x v="49"/>
    <x v="0"/>
    <x v="6"/>
    <x v="1"/>
    <x v="433"/>
    <x v="0"/>
    <n v="1"/>
    <n v="316.15000000000003"/>
    <x v="0"/>
    <x v="1"/>
    <n v="8.0000000000000002E-3"/>
    <x v="18"/>
    <x v="2"/>
    <s v="OK"/>
    <x v="0"/>
    <s v="OK"/>
    <x v="0"/>
    <x v="0"/>
    <n v="1"/>
    <n v="0"/>
    <n v="0"/>
    <n v="0"/>
    <x v="0"/>
    <x v="0"/>
    <x v="0"/>
  </r>
  <r>
    <s v="20297543653"/>
    <x v="37"/>
    <x v="31"/>
    <x v="1997"/>
    <x v="2002"/>
    <x v="1725"/>
    <n v="3"/>
    <x v="196"/>
    <s v="Est., Pozos, P. Taller"/>
    <s v="JR CRISNTEMOS N° 318 - BELLAVISTA"/>
    <x v="6"/>
    <x v="0"/>
    <x v="6"/>
    <x v="3"/>
    <x v="433"/>
    <x v="0"/>
    <n v="1"/>
    <n v="314.13333333333333"/>
    <x v="0"/>
    <x v="1"/>
    <n v="8.0000000000000002E-3"/>
    <x v="21"/>
    <x v="2"/>
    <s v="OK"/>
    <x v="2"/>
    <s v="OK"/>
    <x v="0"/>
    <x v="0"/>
    <n v="1"/>
    <n v="1"/>
    <n v="0"/>
    <n v="0"/>
    <x v="0"/>
    <x v="0"/>
    <x v="0"/>
  </r>
  <r>
    <s v="20297543653"/>
    <x v="37"/>
    <x v="31"/>
    <x v="1998"/>
    <x v="2003"/>
    <x v="1655"/>
    <n v="3"/>
    <x v="46"/>
    <s v="Est., Pozos, P. Taller"/>
    <s v="JR HUANCAVELICA 641 PISO 2 INT C. - CERCADO"/>
    <x v="10"/>
    <x v="0"/>
    <x v="6"/>
    <x v="1"/>
    <x v="137"/>
    <x v="0"/>
    <n v="1"/>
    <n v="286.08333333333337"/>
    <x v="0"/>
    <x v="1"/>
    <n v="8.0000000000000002E-3"/>
    <x v="14"/>
    <x v="2"/>
    <s v="OK"/>
    <x v="0"/>
    <s v="OK"/>
    <x v="0"/>
    <x v="0"/>
    <n v="1"/>
    <n v="0"/>
    <n v="1"/>
    <n v="0"/>
    <x v="0"/>
    <x v="0"/>
    <x v="1"/>
  </r>
  <r>
    <s v="20297543653"/>
    <x v="37"/>
    <x v="31"/>
    <x v="1999"/>
    <x v="2004"/>
    <x v="1086"/>
    <n v="3"/>
    <x v="196"/>
    <s v="Est., Pozos, P. Taller"/>
    <s v="CALLE HONS MUSSO MZ B LOTE 1 URB JORGE CHAVEZ "/>
    <x v="6"/>
    <x v="0"/>
    <x v="6"/>
    <x v="1"/>
    <x v="633"/>
    <x v="0"/>
    <n v="1"/>
    <n v="313.41666666666669"/>
    <x v="0"/>
    <x v="1"/>
    <n v="8.0000000000000002E-3"/>
    <x v="21"/>
    <x v="2"/>
    <s v="OK"/>
    <x v="2"/>
    <s v="OK"/>
    <x v="0"/>
    <x v="0"/>
    <n v="1"/>
    <n v="1"/>
    <n v="0"/>
    <n v="0"/>
    <x v="0"/>
    <x v="0"/>
    <x v="0"/>
  </r>
  <r>
    <s v="20297543653"/>
    <x v="37"/>
    <x v="31"/>
    <x v="2000"/>
    <x v="2005"/>
    <x v="1726"/>
    <n v="3"/>
    <x v="196"/>
    <s v="Est., Pozos, P. Taller"/>
    <s v="JR MARISCAL OSCAR BENAVIDES MZ F LT 14 – AA,HH, MAJESTAD HIROITO - EL PROGRESO"/>
    <x v="54"/>
    <x v="0"/>
    <x v="6"/>
    <x v="1"/>
    <x v="531"/>
    <x v="0"/>
    <n v="1"/>
    <n v="297.34999999999997"/>
    <x v="0"/>
    <x v="1"/>
    <n v="8.0000000000000002E-3"/>
    <x v="16"/>
    <x v="2"/>
    <s v="OK"/>
    <x v="0"/>
    <s v="OK"/>
    <x v="0"/>
    <x v="0"/>
    <n v="1"/>
    <n v="0"/>
    <n v="0"/>
    <n v="0"/>
    <x v="0"/>
    <x v="0"/>
    <x v="0"/>
  </r>
  <r>
    <s v="20297543653"/>
    <x v="37"/>
    <x v="31"/>
    <x v="2001"/>
    <x v="2006"/>
    <x v="993"/>
    <n v="3"/>
    <x v="196"/>
    <s v="Est., Pozos, P. Taller"/>
    <s v="URB. PROVIV. PRADERAS DE OQUENDO MZ D LT 32"/>
    <x v="6"/>
    <x v="0"/>
    <x v="6"/>
    <x v="1"/>
    <x v="634"/>
    <x v="0"/>
    <n v="1"/>
    <n v="297.11666666666667"/>
    <x v="0"/>
    <x v="1"/>
    <n v="8.0000000000000002E-3"/>
    <x v="14"/>
    <x v="2"/>
    <s v="OK"/>
    <x v="2"/>
    <s v="OK"/>
    <x v="0"/>
    <x v="0"/>
    <n v="1"/>
    <n v="1"/>
    <n v="0"/>
    <n v="0"/>
    <x v="0"/>
    <x v="0"/>
    <x v="0"/>
  </r>
  <r>
    <s v="20297543653"/>
    <x v="37"/>
    <x v="31"/>
    <x v="2002"/>
    <x v="2007"/>
    <x v="1727"/>
    <n v="1"/>
    <x v="197"/>
    <s v="Est., Pozos, P. Taller"/>
    <s v="ASOC. LAS BRISAS DE SANTA CLARA MZ B LT 13"/>
    <x v="1"/>
    <x v="0"/>
    <x v="6"/>
    <x v="1"/>
    <x v="635"/>
    <x v="0"/>
    <n v="1"/>
    <n v="240"/>
    <x v="0"/>
    <x v="1"/>
    <n v="8.0000000000000002E-3"/>
    <x v="20"/>
    <x v="2"/>
    <s v="OK"/>
    <x v="1"/>
    <s v="OK"/>
    <x v="0"/>
    <x v="0"/>
    <n v="1"/>
    <n v="1"/>
    <n v="0"/>
    <n v="0"/>
    <x v="0"/>
    <x v="0"/>
    <x v="0"/>
  </r>
  <r>
    <s v="20297543653"/>
    <x v="37"/>
    <x v="31"/>
    <x v="2003"/>
    <x v="2008"/>
    <x v="1728"/>
    <n v="3"/>
    <x v="196"/>
    <s v="Est., Pozos, P. Taller"/>
    <s v="JR. TIAHUANACO 951 - URB ZARATE"/>
    <x v="15"/>
    <x v="0"/>
    <x v="6"/>
    <x v="1"/>
    <x v="197"/>
    <x v="0"/>
    <n v="1"/>
    <n v="290.81666666666666"/>
    <x v="0"/>
    <x v="1"/>
    <n v="8.0000000000000002E-3"/>
    <x v="17"/>
    <x v="2"/>
    <s v="OK"/>
    <x v="0"/>
    <s v="OK"/>
    <x v="0"/>
    <x v="0"/>
    <n v="1"/>
    <n v="0"/>
    <n v="0"/>
    <n v="0"/>
    <x v="0"/>
    <x v="0"/>
    <x v="0"/>
  </r>
  <r>
    <s v="20297543653"/>
    <x v="37"/>
    <x v="31"/>
    <x v="2004"/>
    <x v="2009"/>
    <x v="1729"/>
    <n v="3"/>
    <x v="196"/>
    <s v="Est., Pozos, P. Taller"/>
    <s v="ASENT. H. BALNEARIO III SECTOR MZ. C LT. 2"/>
    <x v="2"/>
    <x v="0"/>
    <x v="6"/>
    <x v="1"/>
    <x v="437"/>
    <x v="0"/>
    <n v="1"/>
    <n v="293.95"/>
    <x v="0"/>
    <x v="1"/>
    <n v="8.0000000000000002E-3"/>
    <x v="17"/>
    <x v="2"/>
    <s v="OK"/>
    <x v="2"/>
    <s v="OK"/>
    <x v="0"/>
    <x v="0"/>
    <n v="1"/>
    <n v="1"/>
    <n v="0"/>
    <n v="0"/>
    <x v="0"/>
    <x v="0"/>
    <x v="0"/>
  </r>
  <r>
    <s v="20297543653"/>
    <x v="37"/>
    <x v="31"/>
    <x v="2005"/>
    <x v="2010"/>
    <x v="1559"/>
    <n v="1"/>
    <x v="316"/>
    <s v="Est., Pozos, P. Taller"/>
    <s v="JR TRES MARIAS MZ 8X LT 7A"/>
    <x v="8"/>
    <x v="0"/>
    <x v="6"/>
    <x v="1"/>
    <x v="636"/>
    <x v="0"/>
    <n v="1"/>
    <n v="240"/>
    <x v="0"/>
    <x v="1"/>
    <n v="8.0000000000000002E-3"/>
    <x v="18"/>
    <x v="2"/>
    <s v="OK"/>
    <x v="0"/>
    <s v="OK"/>
    <x v="0"/>
    <x v="0"/>
    <n v="1"/>
    <n v="0"/>
    <n v="0"/>
    <n v="0"/>
    <x v="0"/>
    <x v="0"/>
    <x v="0"/>
  </r>
  <r>
    <s v="20297543653"/>
    <x v="37"/>
    <x v="31"/>
    <x v="2006"/>
    <x v="2011"/>
    <x v="1667"/>
    <n v="1"/>
    <x v="197"/>
    <s v="Est., Pozos, P. Taller"/>
    <s v="SECTOR 3 GRUPO 22 MZ H LT 2"/>
    <x v="19"/>
    <x v="0"/>
    <x v="6"/>
    <x v="1"/>
    <x v="115"/>
    <x v="0"/>
    <n v="1"/>
    <n v="240"/>
    <x v="0"/>
    <x v="1"/>
    <n v="8.0000000000000002E-3"/>
    <x v="17"/>
    <x v="2"/>
    <s v="OK"/>
    <x v="0"/>
    <s v="OK"/>
    <x v="0"/>
    <x v="0"/>
    <n v="1"/>
    <n v="0"/>
    <n v="1"/>
    <n v="0"/>
    <x v="0"/>
    <x v="0"/>
    <x v="1"/>
  </r>
  <r>
    <s v="20297543653"/>
    <x v="37"/>
    <x v="31"/>
    <x v="2007"/>
    <x v="2012"/>
    <x v="1730"/>
    <n v="1"/>
    <x v="317"/>
    <s v="Est., Pozos, P. Taller"/>
    <s v="MZ I LT 6 AH 5 DE JULIO "/>
    <x v="15"/>
    <x v="0"/>
    <x v="6"/>
    <x v="1"/>
    <x v="637"/>
    <x v="0"/>
    <n v="2"/>
    <n v="240"/>
    <x v="0"/>
    <x v="1"/>
    <n v="8.0000000000000002E-3"/>
    <x v="16"/>
    <x v="2"/>
    <s v="OK"/>
    <x v="0"/>
    <s v="OK"/>
    <x v="0"/>
    <x v="0"/>
    <n v="1"/>
    <n v="0"/>
    <n v="0"/>
    <n v="0"/>
    <x v="0"/>
    <x v="0"/>
    <x v="0"/>
  </r>
  <r>
    <s v="20297543653"/>
    <x v="37"/>
    <x v="31"/>
    <x v="2008"/>
    <x v="2013"/>
    <x v="1731"/>
    <n v="3"/>
    <x v="140"/>
    <s v="Est., Pozos, P. Taller"/>
    <s v="BOCANEGRA SECTOR 3 MZ D28 LT 25"/>
    <x v="6"/>
    <x v="0"/>
    <x v="6"/>
    <x v="1"/>
    <x v="286"/>
    <x v="0"/>
    <n v="1"/>
    <n v="303.2"/>
    <x v="0"/>
    <x v="1"/>
    <n v="8.0000000000000002E-3"/>
    <x v="15"/>
    <x v="2"/>
    <s v="OK"/>
    <x v="2"/>
    <s v="OK"/>
    <x v="0"/>
    <x v="0"/>
    <n v="1"/>
    <n v="1"/>
    <n v="0"/>
    <n v="0"/>
    <x v="0"/>
    <x v="0"/>
    <x v="0"/>
  </r>
  <r>
    <s v="20297543653"/>
    <x v="37"/>
    <x v="31"/>
    <x v="2009"/>
    <x v="2014"/>
    <x v="1732"/>
    <n v="3"/>
    <x v="196"/>
    <s v="Est., Pozos, P. Taller"/>
    <s v="MZ. B15 LT11 PJ VIRGEN DEL BUEN PASO PAMPLONA ALTA"/>
    <x v="53"/>
    <x v="0"/>
    <x v="6"/>
    <x v="1"/>
    <x v="638"/>
    <x v="0"/>
    <n v="1"/>
    <n v="295.75"/>
    <x v="0"/>
    <x v="1"/>
    <n v="8.0000000000000002E-3"/>
    <x v="15"/>
    <x v="2"/>
    <s v="OK"/>
    <x v="0"/>
    <s v="OK"/>
    <x v="0"/>
    <x v="0"/>
    <n v="1"/>
    <n v="0"/>
    <n v="0"/>
    <n v="0"/>
    <x v="0"/>
    <x v="0"/>
    <x v="0"/>
  </r>
  <r>
    <s v="20297543653"/>
    <x v="37"/>
    <x v="31"/>
    <x v="2010"/>
    <x v="2015"/>
    <x v="1733"/>
    <n v="3"/>
    <x v="196"/>
    <s v="Est., Pozos, P. Taller"/>
    <s v="CA COBRE K2-10 PJ SAN HILARION SAB"/>
    <x v="15"/>
    <x v="0"/>
    <x v="6"/>
    <x v="1"/>
    <x v="365"/>
    <x v="0"/>
    <n v="1"/>
    <n v="293.01666666666665"/>
    <x v="0"/>
    <x v="1"/>
    <n v="8.0000000000000002E-3"/>
    <x v="22"/>
    <x v="2"/>
    <s v="OK"/>
    <x v="0"/>
    <s v="OK"/>
    <x v="0"/>
    <x v="0"/>
    <n v="1"/>
    <n v="0"/>
    <n v="0"/>
    <n v="0"/>
    <x v="0"/>
    <x v="0"/>
    <x v="0"/>
  </r>
  <r>
    <s v="20297543653"/>
    <x v="37"/>
    <x v="31"/>
    <x v="2011"/>
    <x v="2016"/>
    <x v="1734"/>
    <n v="3"/>
    <x v="46"/>
    <s v="Est., Pozos, P. Taller"/>
    <s v="CALLE C LT 27 CMTE 3 SANTA ROSA DE LAS CONCHITAS"/>
    <x v="8"/>
    <x v="0"/>
    <x v="6"/>
    <x v="1"/>
    <x v="137"/>
    <x v="0"/>
    <n v="1"/>
    <n v="302.76666666666665"/>
    <x v="0"/>
    <x v="1"/>
    <n v="8.0000000000000002E-3"/>
    <x v="16"/>
    <x v="2"/>
    <s v="OK"/>
    <x v="0"/>
    <s v="OK"/>
    <x v="0"/>
    <x v="0"/>
    <n v="1"/>
    <n v="0"/>
    <n v="1"/>
    <n v="0"/>
    <x v="0"/>
    <x v="0"/>
    <x v="1"/>
  </r>
  <r>
    <s v="20297543653"/>
    <x v="37"/>
    <x v="31"/>
    <x v="2012"/>
    <x v="2017"/>
    <x v="1735"/>
    <n v="3"/>
    <x v="196"/>
    <s v="Est., Pozos, P. Taller"/>
    <s v="AV. ASENT. H. 24 DE JUNIOMZ D LT 13 "/>
    <x v="2"/>
    <x v="0"/>
    <x v="6"/>
    <x v="1"/>
    <x v="300"/>
    <x v="0"/>
    <n v="1"/>
    <n v="302.8"/>
    <x v="0"/>
    <x v="1"/>
    <n v="8.0000000000000002E-3"/>
    <x v="14"/>
    <x v="2"/>
    <s v="OK"/>
    <x v="2"/>
    <s v="OK"/>
    <x v="0"/>
    <x v="0"/>
    <n v="1"/>
    <n v="1"/>
    <n v="0"/>
    <n v="0"/>
    <x v="0"/>
    <x v="0"/>
    <x v="0"/>
  </r>
  <r>
    <s v="20297543653"/>
    <x v="37"/>
    <x v="31"/>
    <x v="2013"/>
    <x v="2018"/>
    <x v="1607"/>
    <n v="3"/>
    <x v="196"/>
    <s v="Est., Pozos, P. Taller"/>
    <s v="AV.24 DE JUNIO SAN JUAN DE AMANCAES MZ. 05 LT. 04"/>
    <x v="13"/>
    <x v="0"/>
    <x v="6"/>
    <x v="1"/>
    <x v="576"/>
    <x v="0"/>
    <n v="1"/>
    <n v="303.38333333333333"/>
    <x v="0"/>
    <x v="1"/>
    <n v="8.0000000000000002E-3"/>
    <x v="21"/>
    <x v="2"/>
    <s v="OK"/>
    <x v="0"/>
    <s v="OK"/>
    <x v="0"/>
    <x v="0"/>
    <n v="1"/>
    <n v="0"/>
    <n v="0"/>
    <n v="0"/>
    <x v="0"/>
    <x v="0"/>
    <x v="0"/>
  </r>
  <r>
    <s v="20297543653"/>
    <x v="37"/>
    <x v="31"/>
    <x v="2014"/>
    <x v="2019"/>
    <x v="1736"/>
    <n v="1"/>
    <x v="318"/>
    <s v="Est., Pozos, P. Taller"/>
    <s v="AV. TUPAC AMARU 119 INGENIERIA "/>
    <x v="3"/>
    <x v="0"/>
    <x v="6"/>
    <x v="1"/>
    <x v="635"/>
    <x v="0"/>
    <n v="1"/>
    <n v="240"/>
    <x v="0"/>
    <x v="1"/>
    <n v="8.0000000000000002E-3"/>
    <x v="16"/>
    <x v="2"/>
    <s v="OK"/>
    <x v="0"/>
    <s v="OK"/>
    <x v="0"/>
    <x v="0"/>
    <n v="1"/>
    <n v="0"/>
    <n v="0"/>
    <n v="0"/>
    <x v="0"/>
    <x v="0"/>
    <x v="0"/>
  </r>
  <r>
    <s v="20297543653"/>
    <x v="37"/>
    <x v="31"/>
    <x v="1008"/>
    <x v="2020"/>
    <x v="1737"/>
    <n v="3"/>
    <x v="195"/>
    <s v="Est., Pozos, P. Taller"/>
    <s v="ASOC. AMPLIACIÓN HIJOS DE PROFAM PERU MZ // MZ J 21 LT 12 ASOC. PRO VIV. RESIDENCIAL SANTA ROSA"/>
    <x v="2"/>
    <x v="0"/>
    <x v="6"/>
    <x v="1"/>
    <x v="53"/>
    <x v="0"/>
    <n v="1"/>
    <n v="287.26666666666665"/>
    <x v="0"/>
    <x v="1"/>
    <n v="8.0000000000000002E-3"/>
    <x v="14"/>
    <x v="2"/>
    <s v="OK"/>
    <x v="2"/>
    <s v="OK"/>
    <x v="0"/>
    <x v="0"/>
    <n v="1"/>
    <n v="1"/>
    <n v="0"/>
    <n v="0"/>
    <x v="0"/>
    <x v="0"/>
    <x v="0"/>
  </r>
  <r>
    <s v="20297543653"/>
    <x v="37"/>
    <x v="31"/>
    <x v="2015"/>
    <x v="2021"/>
    <x v="1738"/>
    <n v="3"/>
    <x v="196"/>
    <s v="Est., Pozos, P. Taller"/>
    <s v="4TA ZONA COLLIQUE ASENT. H. LOS PEDREGALES MZ D LT 2"/>
    <x v="0"/>
    <x v="0"/>
    <x v="6"/>
    <x v="1"/>
    <x v="361"/>
    <x v="0"/>
    <n v="1"/>
    <n v="294.98333333333335"/>
    <x v="0"/>
    <x v="1"/>
    <n v="8.0000000000000002E-3"/>
    <x v="22"/>
    <x v="2"/>
    <s v="OK"/>
    <x v="0"/>
    <s v="OK"/>
    <x v="0"/>
    <x v="0"/>
    <n v="1"/>
    <n v="0"/>
    <n v="0"/>
    <n v="0"/>
    <x v="0"/>
    <x v="0"/>
    <x v="0"/>
  </r>
  <r>
    <s v="20297543653"/>
    <x v="37"/>
    <x v="31"/>
    <x v="2016"/>
    <x v="2022"/>
    <x v="1739"/>
    <n v="3"/>
    <x v="196"/>
    <s v="Est., Pozos, P. Taller"/>
    <s v="AV. 21 N. 287 EDIFICIO 5 DPTO. 1307"/>
    <x v="0"/>
    <x v="0"/>
    <x v="6"/>
    <x v="1"/>
    <x v="240"/>
    <x v="0"/>
    <n v="1"/>
    <n v="305.63333333333333"/>
    <x v="0"/>
    <x v="1"/>
    <n v="8.0000000000000002E-3"/>
    <x v="16"/>
    <x v="2"/>
    <s v="OK"/>
    <x v="0"/>
    <s v="OK"/>
    <x v="0"/>
    <x v="0"/>
    <n v="1"/>
    <n v="0"/>
    <n v="0"/>
    <n v="0"/>
    <x v="0"/>
    <x v="0"/>
    <x v="0"/>
  </r>
  <r>
    <s v="20297543653"/>
    <x v="37"/>
    <x v="31"/>
    <x v="2017"/>
    <x v="2023"/>
    <x v="1504"/>
    <n v="3"/>
    <x v="196"/>
    <s v="Est., Pozos, P. Taller"/>
    <s v="ASENT. H. SAGRADA FAMILIA MZ B LT 16"/>
    <x v="0"/>
    <x v="0"/>
    <x v="6"/>
    <x v="1"/>
    <x v="433"/>
    <x v="0"/>
    <n v="1"/>
    <n v="308.7833333333333"/>
    <x v="0"/>
    <x v="1"/>
    <n v="8.0000000000000002E-3"/>
    <x v="18"/>
    <x v="2"/>
    <s v="OK"/>
    <x v="0"/>
    <s v="OK"/>
    <x v="0"/>
    <x v="0"/>
    <n v="1"/>
    <n v="0"/>
    <n v="0"/>
    <n v="0"/>
    <x v="0"/>
    <x v="0"/>
    <x v="0"/>
  </r>
  <r>
    <s v="20297543653"/>
    <x v="37"/>
    <x v="31"/>
    <x v="2018"/>
    <x v="2024"/>
    <x v="1740"/>
    <n v="1"/>
    <x v="198"/>
    <s v="Est., Pozos, P. Taller"/>
    <s v="ASENT. H. C. CUETO FERNANDINI MZ. E LT. 14"/>
    <x v="49"/>
    <x v="0"/>
    <x v="6"/>
    <x v="1"/>
    <x v="639"/>
    <x v="0"/>
    <n v="1"/>
    <n v="240"/>
    <x v="0"/>
    <x v="1"/>
    <n v="8.0000000000000002E-3"/>
    <x v="21"/>
    <x v="2"/>
    <s v="OK"/>
    <x v="0"/>
    <s v="OK"/>
    <x v="0"/>
    <x v="0"/>
    <n v="1"/>
    <n v="0"/>
    <n v="0"/>
    <n v="0"/>
    <x v="0"/>
    <x v="0"/>
    <x v="0"/>
  </r>
  <r>
    <s v="20297543653"/>
    <x v="37"/>
    <x v="31"/>
    <x v="1008"/>
    <x v="2025"/>
    <x v="1741"/>
    <n v="1"/>
    <x v="319"/>
    <s v="Est., Pozos, P. Taller"/>
    <s v="URB. LA ALAMEDA MZ D LT. 04 - LA LIBERTAD"/>
    <x v="131"/>
    <x v="0"/>
    <x v="6"/>
    <x v="1"/>
    <x v="145"/>
    <x v="0"/>
    <n v="1"/>
    <n v="240"/>
    <x v="0"/>
    <x v="1"/>
    <n v="8.0000000000000002E-3"/>
    <x v="16"/>
    <x v="2"/>
    <s v="OK"/>
    <x v="0"/>
    <s v="OK"/>
    <x v="0"/>
    <x v="0"/>
    <n v="1"/>
    <n v="0"/>
    <n v="0"/>
    <n v="0"/>
    <x v="0"/>
    <x v="0"/>
    <x v="0"/>
  </r>
  <r>
    <n v="20608368796"/>
    <x v="38"/>
    <x v="32"/>
    <x v="2019"/>
    <x v="2026"/>
    <x v="1742"/>
    <n v="2"/>
    <x v="199"/>
    <s v="E11"/>
    <s v="AV CANTO SOL AAHH LAS TERRAZAS MZ K LT 7 "/>
    <x v="76"/>
    <x v="0"/>
    <x v="0"/>
    <x v="1"/>
    <x v="228"/>
    <x v="0"/>
    <n v="4"/>
    <n v="192"/>
    <x v="0"/>
    <x v="1"/>
    <n v="2.2727272727272728E-2"/>
    <x v="21"/>
    <x v="2"/>
    <s v="OK"/>
    <x v="0"/>
    <s v="OK"/>
    <x v="0"/>
    <x v="0"/>
    <n v="1"/>
    <n v="0"/>
    <n v="0"/>
    <n v="0"/>
    <x v="0"/>
    <x v="0"/>
    <x v="0"/>
  </r>
  <r>
    <n v="20608368796"/>
    <x v="38"/>
    <x v="32"/>
    <x v="2020"/>
    <x v="2027"/>
    <x v="1239"/>
    <n v="2"/>
    <x v="199"/>
    <s v="E11"/>
    <s v="PSJ QUILLABAMBA 131 COOP PABLO VI"/>
    <x v="0"/>
    <x v="0"/>
    <x v="0"/>
    <x v="1"/>
    <x v="228"/>
    <x v="0"/>
    <n v="4"/>
    <n v="192"/>
    <x v="0"/>
    <x v="1"/>
    <n v="2.2727272727272728E-2"/>
    <x v="16"/>
    <x v="2"/>
    <s v="OK"/>
    <x v="0"/>
    <s v="OK"/>
    <x v="0"/>
    <x v="0"/>
    <n v="1"/>
    <n v="0"/>
    <n v="0"/>
    <n v="0"/>
    <x v="0"/>
    <x v="0"/>
    <x v="0"/>
  </r>
  <r>
    <n v="20608368796"/>
    <x v="38"/>
    <x v="32"/>
    <x v="2021"/>
    <x v="2028"/>
    <x v="1743"/>
    <n v="1"/>
    <x v="84"/>
    <s v="E11"/>
    <s v="MAGDALENA DEL MAR 334"/>
    <x v="231"/>
    <x v="0"/>
    <x v="0"/>
    <x v="3"/>
    <x v="41"/>
    <x v="0"/>
    <n v="1"/>
    <n v="192"/>
    <x v="0"/>
    <x v="1"/>
    <n v="2.2727272727272728E-2"/>
    <x v="14"/>
    <x v="2"/>
    <s v="OK"/>
    <x v="0"/>
    <s v="OK"/>
    <x v="0"/>
    <x v="0"/>
    <n v="1"/>
    <n v="0"/>
    <n v="0"/>
    <n v="0"/>
    <x v="0"/>
    <x v="0"/>
    <x v="0"/>
  </r>
  <r>
    <n v="20608368796"/>
    <x v="38"/>
    <x v="32"/>
    <x v="2022"/>
    <x v="2029"/>
    <x v="1744"/>
    <n v="2"/>
    <x v="199"/>
    <s v="E17"/>
    <s v="PUEBLO CHAUYAR"/>
    <x v="288"/>
    <x v="0"/>
    <x v="0"/>
    <x v="1"/>
    <x v="41"/>
    <x v="0"/>
    <n v="4"/>
    <n v="192"/>
    <x v="0"/>
    <x v="1"/>
    <n v="2.2727272727272728E-2"/>
    <x v="22"/>
    <x v="2"/>
    <s v="OK"/>
    <x v="0"/>
    <s v="OK"/>
    <x v="0"/>
    <x v="0"/>
    <n v="1"/>
    <n v="0"/>
    <n v="0"/>
    <n v="0"/>
    <x v="0"/>
    <x v="0"/>
    <x v="0"/>
  </r>
  <r>
    <n v="20608368796"/>
    <x v="38"/>
    <x v="32"/>
    <x v="2023"/>
    <x v="2030"/>
    <x v="1020"/>
    <n v="2"/>
    <x v="2"/>
    <s v="E11"/>
    <s v="URB SANTA MARINA SUR BLOCK 5 N° 122"/>
    <x v="6"/>
    <x v="0"/>
    <x v="0"/>
    <x v="1"/>
    <x v="41"/>
    <x v="0"/>
    <n v="4"/>
    <n v="192"/>
    <x v="0"/>
    <x v="1"/>
    <n v="2.2727272727272728E-2"/>
    <x v="15"/>
    <x v="2"/>
    <s v="OK"/>
    <x v="2"/>
    <s v="OK"/>
    <x v="0"/>
    <x v="0"/>
    <n v="1"/>
    <n v="1"/>
    <n v="0"/>
    <n v="0"/>
    <x v="0"/>
    <x v="0"/>
    <x v="0"/>
  </r>
  <r>
    <n v="20608368796"/>
    <x v="38"/>
    <x v="32"/>
    <x v="2024"/>
    <x v="2031"/>
    <x v="1745"/>
    <n v="1"/>
    <x v="122"/>
    <s v="E11"/>
    <s v="CALLE MANUEL ESTACIO 143"/>
    <x v="28"/>
    <x v="0"/>
    <x v="0"/>
    <x v="3"/>
    <x v="41"/>
    <x v="0"/>
    <n v="1"/>
    <n v="192"/>
    <x v="0"/>
    <x v="1"/>
    <n v="2.2727272727272728E-2"/>
    <x v="16"/>
    <x v="2"/>
    <s v="OK"/>
    <x v="0"/>
    <s v="OK"/>
    <x v="0"/>
    <x v="0"/>
    <n v="1"/>
    <n v="0"/>
    <n v="0"/>
    <n v="0"/>
    <x v="0"/>
    <x v="0"/>
    <x v="0"/>
  </r>
  <r>
    <n v="20608368796"/>
    <x v="38"/>
    <x v="32"/>
    <x v="2025"/>
    <x v="2032"/>
    <x v="1746"/>
    <n v="2"/>
    <x v="199"/>
    <s v="E17"/>
    <s v="PSJ LAS PALMERAS AAHH NUEVA GALES MZ N LT 8"/>
    <x v="159"/>
    <x v="0"/>
    <x v="0"/>
    <x v="1"/>
    <x v="41"/>
    <x v="0"/>
    <n v="4"/>
    <n v="192"/>
    <x v="0"/>
    <x v="1"/>
    <n v="2.2727272727272728E-2"/>
    <x v="21"/>
    <x v="2"/>
    <s v="OK"/>
    <x v="0"/>
    <s v="OK"/>
    <x v="0"/>
    <x v="0"/>
    <n v="1"/>
    <n v="0"/>
    <n v="0"/>
    <n v="0"/>
    <x v="0"/>
    <x v="0"/>
    <x v="0"/>
  </r>
  <r>
    <n v="20608368796"/>
    <x v="38"/>
    <x v="32"/>
    <x v="2026"/>
    <x v="2033"/>
    <x v="1443"/>
    <n v="2"/>
    <x v="199"/>
    <s v="E10"/>
    <s v="JR ANDAHUAYLAS MZ E2 LT 23 SANTA ROSA"/>
    <x v="6"/>
    <x v="0"/>
    <x v="0"/>
    <x v="3"/>
    <x v="41"/>
    <x v="0"/>
    <n v="4"/>
    <n v="192"/>
    <x v="0"/>
    <x v="1"/>
    <n v="2.2727272727272728E-2"/>
    <x v="22"/>
    <x v="2"/>
    <s v="OK"/>
    <x v="2"/>
    <s v="OK"/>
    <x v="0"/>
    <x v="0"/>
    <n v="1"/>
    <n v="1"/>
    <n v="0"/>
    <n v="0"/>
    <x v="0"/>
    <x v="0"/>
    <x v="0"/>
  </r>
  <r>
    <n v="20608368796"/>
    <x v="38"/>
    <x v="32"/>
    <x v="2027"/>
    <x v="2034"/>
    <x v="1747"/>
    <n v="1"/>
    <x v="52"/>
    <s v="E17"/>
    <s v="URB LOS JAZMINES P.N.P MZ B LT 19 "/>
    <x v="7"/>
    <x v="1"/>
    <x v="0"/>
    <x v="1"/>
    <x v="67"/>
    <x v="0"/>
    <n v="1"/>
    <n v="192"/>
    <x v="0"/>
    <x v="1"/>
    <n v="2.2727272727272728E-2"/>
    <x v="19"/>
    <x v="2"/>
    <s v="OK"/>
    <x v="0"/>
    <s v="OK"/>
    <x v="0"/>
    <x v="0"/>
    <n v="1"/>
    <n v="0"/>
    <n v="0"/>
    <n v="0"/>
    <x v="0"/>
    <x v="0"/>
    <x v="0"/>
  </r>
  <r>
    <n v="20608368796"/>
    <x v="38"/>
    <x v="32"/>
    <x v="2028"/>
    <x v="2035"/>
    <x v="1354"/>
    <n v="1"/>
    <x v="148"/>
    <s v="E01"/>
    <s v="CALLE CARLOS MOORE COOP. SANGARARA MZ N LT 88"/>
    <x v="0"/>
    <x v="1"/>
    <x v="0"/>
    <x v="1"/>
    <x v="472"/>
    <x v="0"/>
    <n v="1"/>
    <n v="192"/>
    <x v="0"/>
    <x v="1"/>
    <n v="2.2727272727272728E-2"/>
    <x v="15"/>
    <x v="2"/>
    <s v="OK"/>
    <x v="0"/>
    <s v="OK"/>
    <x v="0"/>
    <x v="0"/>
    <n v="1"/>
    <n v="0"/>
    <n v="0"/>
    <n v="0"/>
    <x v="0"/>
    <x v="0"/>
    <x v="0"/>
  </r>
  <r>
    <n v="20608368796"/>
    <x v="38"/>
    <x v="32"/>
    <x v="2029"/>
    <x v="2036"/>
    <x v="963"/>
    <n v="1"/>
    <x v="320"/>
    <s v="E17"/>
    <s v="JR LOS ECONOMISTAS AAHH ATUSPARIA MZ K1 LT 25"/>
    <x v="289"/>
    <x v="0"/>
    <x v="0"/>
    <x v="1"/>
    <x v="472"/>
    <x v="0"/>
    <n v="1"/>
    <n v="192"/>
    <x v="0"/>
    <x v="1"/>
    <n v="2.2727272727272728E-2"/>
    <x v="18"/>
    <x v="2"/>
    <s v="OK"/>
    <x v="0"/>
    <s v="OK"/>
    <x v="0"/>
    <x v="0"/>
    <n v="1"/>
    <n v="0"/>
    <n v="0"/>
    <n v="0"/>
    <x v="0"/>
    <x v="0"/>
    <x v="0"/>
  </r>
  <r>
    <n v="20608368796"/>
    <x v="38"/>
    <x v="32"/>
    <x v="2030"/>
    <x v="2037"/>
    <x v="1255"/>
    <n v="2"/>
    <x v="49"/>
    <s v="E17"/>
    <s v="MZ R LT B URB. ASOC. PRO CAMPOY"/>
    <x v="15"/>
    <x v="0"/>
    <x v="0"/>
    <x v="1"/>
    <x v="46"/>
    <x v="0"/>
    <n v="4"/>
    <n v="192"/>
    <x v="0"/>
    <x v="1"/>
    <n v="2.2727272727272728E-2"/>
    <x v="20"/>
    <x v="2"/>
    <s v="OK"/>
    <x v="0"/>
    <s v="OK"/>
    <x v="0"/>
    <x v="0"/>
    <n v="1"/>
    <n v="0"/>
    <n v="0"/>
    <n v="0"/>
    <x v="0"/>
    <x v="0"/>
    <x v="0"/>
  </r>
  <r>
    <n v="20608368796"/>
    <x v="38"/>
    <x v="32"/>
    <x v="2031"/>
    <x v="2038"/>
    <x v="1363"/>
    <n v="2"/>
    <x v="49"/>
    <s v="E17"/>
    <s v="AV EL MILAGRO 217"/>
    <x v="44"/>
    <x v="0"/>
    <x v="0"/>
    <x v="1"/>
    <x v="139"/>
    <x v="0"/>
    <n v="4"/>
    <n v="128"/>
    <x v="0"/>
    <x v="1"/>
    <n v="2.2727272727272728E-2"/>
    <x v="21"/>
    <x v="2"/>
    <s v="OK"/>
    <x v="0"/>
    <s v="OK"/>
    <x v="0"/>
    <x v="0"/>
    <n v="1"/>
    <n v="0"/>
    <n v="0"/>
    <n v="0"/>
    <x v="0"/>
    <x v="0"/>
    <x v="0"/>
  </r>
  <r>
    <n v="20608368796"/>
    <x v="38"/>
    <x v="32"/>
    <x v="2032"/>
    <x v="2039"/>
    <x v="1748"/>
    <n v="2"/>
    <x v="49"/>
    <s v="E01"/>
    <s v="PASAJE TEJADITA 104 INT 9"/>
    <x v="132"/>
    <x v="0"/>
    <x v="0"/>
    <x v="1"/>
    <x v="139"/>
    <x v="0"/>
    <n v="4"/>
    <n v="128"/>
    <x v="0"/>
    <x v="1"/>
    <n v="2.2727272727272728E-2"/>
    <x v="17"/>
    <x v="2"/>
    <s v="OK"/>
    <x v="0"/>
    <s v="OK"/>
    <x v="0"/>
    <x v="0"/>
    <n v="1"/>
    <n v="0"/>
    <n v="0"/>
    <n v="0"/>
    <x v="0"/>
    <x v="0"/>
    <x v="0"/>
  </r>
  <r>
    <n v="20608368796"/>
    <x v="38"/>
    <x v="32"/>
    <x v="2033"/>
    <x v="2040"/>
    <x v="1749"/>
    <n v="2"/>
    <x v="47"/>
    <s v="E11"/>
    <s v="JUAN PEÑA 219 URB SANTO TORIBIO "/>
    <x v="53"/>
    <x v="0"/>
    <x v="0"/>
    <x v="3"/>
    <x v="185"/>
    <x v="0"/>
    <n v="4"/>
    <n v="80"/>
    <x v="0"/>
    <x v="1"/>
    <n v="2.2727272727272728E-2"/>
    <x v="20"/>
    <x v="2"/>
    <s v="OK"/>
    <x v="0"/>
    <s v="OK"/>
    <x v="0"/>
    <x v="0"/>
    <n v="1"/>
    <n v="0"/>
    <n v="0"/>
    <n v="0"/>
    <x v="0"/>
    <x v="0"/>
    <x v="0"/>
  </r>
  <r>
    <n v="20608368796"/>
    <x v="38"/>
    <x v="32"/>
    <x v="2034"/>
    <x v="2041"/>
    <x v="1750"/>
    <n v="2"/>
    <x v="49"/>
    <s v="E01"/>
    <s v="SAN JUAN DE AMANCAES MZ 23A LT 13"/>
    <x v="13"/>
    <x v="0"/>
    <x v="0"/>
    <x v="1"/>
    <x v="2"/>
    <x v="0"/>
    <n v="4"/>
    <n v="160"/>
    <x v="0"/>
    <x v="1"/>
    <n v="2.2727272727272728E-2"/>
    <x v="21"/>
    <x v="2"/>
    <s v="OK"/>
    <x v="0"/>
    <s v="OK"/>
    <x v="0"/>
    <x v="0"/>
    <n v="1"/>
    <n v="0"/>
    <n v="0"/>
    <n v="0"/>
    <x v="0"/>
    <x v="0"/>
    <x v="0"/>
  </r>
  <r>
    <n v="20608368796"/>
    <x v="38"/>
    <x v="32"/>
    <x v="2035"/>
    <x v="2042"/>
    <x v="1751"/>
    <n v="2"/>
    <x v="49"/>
    <s v="E10"/>
    <s v="MZ B LT 16 PROLONGACIOMN DE VIV LOS PORTALES DE CHAVIN"/>
    <x v="188"/>
    <x v="0"/>
    <x v="0"/>
    <x v="1"/>
    <x v="640"/>
    <x v="0"/>
    <n v="4"/>
    <n v="152"/>
    <x v="0"/>
    <x v="1"/>
    <n v="2.2727272727272728E-2"/>
    <x v="19"/>
    <x v="2"/>
    <s v="OK"/>
    <x v="0"/>
    <s v="OK"/>
    <x v="0"/>
    <x v="0"/>
    <n v="1"/>
    <n v="0"/>
    <n v="0"/>
    <n v="0"/>
    <x v="0"/>
    <x v="0"/>
    <x v="0"/>
  </r>
  <r>
    <n v="20608368796"/>
    <x v="38"/>
    <x v="32"/>
    <x v="2036"/>
    <x v="2043"/>
    <x v="1752"/>
    <n v="2"/>
    <x v="49"/>
    <s v="E11"/>
    <s v="AH VIVIENDA UNICA MZ S LT27 "/>
    <x v="53"/>
    <x v="0"/>
    <x v="0"/>
    <x v="1"/>
    <x v="145"/>
    <x v="0"/>
    <n v="4"/>
    <n v="192"/>
    <x v="0"/>
    <x v="1"/>
    <n v="2.2727272727272728E-2"/>
    <x v="16"/>
    <x v="2"/>
    <s v="OK"/>
    <x v="0"/>
    <s v="OK"/>
    <x v="0"/>
    <x v="0"/>
    <n v="1"/>
    <n v="0"/>
    <n v="0"/>
    <n v="0"/>
    <x v="0"/>
    <x v="0"/>
    <x v="0"/>
  </r>
  <r>
    <n v="20608368796"/>
    <x v="38"/>
    <x v="32"/>
    <x v="2037"/>
    <x v="2044"/>
    <x v="1527"/>
    <n v="2"/>
    <x v="49"/>
    <s v="E11"/>
    <s v="JR 9 DE AGOSTO 402"/>
    <x v="290"/>
    <x v="0"/>
    <x v="0"/>
    <x v="1"/>
    <x v="49"/>
    <x v="0"/>
    <n v="4"/>
    <n v="144"/>
    <x v="0"/>
    <x v="1"/>
    <n v="2.2727272727272728E-2"/>
    <x v="20"/>
    <x v="2"/>
    <s v="OK"/>
    <x v="0"/>
    <s v="OK"/>
    <x v="0"/>
    <x v="0"/>
    <n v="1"/>
    <n v="0"/>
    <n v="0"/>
    <n v="0"/>
    <x v="0"/>
    <x v="0"/>
    <x v="0"/>
  </r>
  <r>
    <n v="20608368796"/>
    <x v="38"/>
    <x v="32"/>
    <x v="2038"/>
    <x v="2045"/>
    <x v="940"/>
    <n v="2"/>
    <x v="49"/>
    <s v="E01"/>
    <s v="MZ R LT 08 AH LAS TERRAZAS"/>
    <x v="15"/>
    <x v="0"/>
    <x v="0"/>
    <x v="1"/>
    <x v="49"/>
    <x v="0"/>
    <n v="4"/>
    <n v="144"/>
    <x v="0"/>
    <x v="1"/>
    <n v="2.2727272727272728E-2"/>
    <x v="18"/>
    <x v="2"/>
    <s v="OK"/>
    <x v="0"/>
    <s v="OK"/>
    <x v="0"/>
    <x v="0"/>
    <n v="1"/>
    <n v="0"/>
    <n v="0"/>
    <n v="0"/>
    <x v="0"/>
    <x v="0"/>
    <x v="0"/>
  </r>
  <r>
    <n v="20602042201"/>
    <x v="65"/>
    <x v="33"/>
    <x v="2039"/>
    <x v="2046"/>
    <x v="1461"/>
    <n v="1"/>
    <x v="17"/>
    <s v="E20, E21, E22, E23 Y E24_x000d__x000a_PV19 BIS, PV20, PV21, PV22, PV23 , PV24, PV25 Y PV26"/>
    <s v="CALLE DOÑA CATALINA 350"/>
    <x v="14"/>
    <x v="0"/>
    <x v="14"/>
    <x v="2"/>
    <x v="641"/>
    <x v="0"/>
    <n v="2"/>
    <n v="0"/>
    <x v="0"/>
    <x v="1"/>
    <n v="2.8571428571428571E-2"/>
    <x v="18"/>
    <x v="2"/>
    <s v="OK"/>
    <x v="0"/>
    <s v="OK"/>
    <x v="0"/>
    <x v="0"/>
    <n v="1"/>
    <n v="0"/>
    <n v="0"/>
    <n v="0"/>
    <x v="0"/>
    <x v="0"/>
    <x v="0"/>
  </r>
  <r>
    <n v="20602042201"/>
    <x v="65"/>
    <x v="33"/>
    <x v="2040"/>
    <x v="2047"/>
    <x v="977"/>
    <n v="1"/>
    <x v="17"/>
    <s v="E20, E21, E22, E23 Y E24_x000d__x000a_PV19 BIS, PV20, PV21, PV22, PV23 , PV24, PV25 Y PV26"/>
    <s v="AV. SEPARADORA INDUSTRIAL 3038"/>
    <x v="1"/>
    <x v="0"/>
    <x v="14"/>
    <x v="3"/>
    <x v="366"/>
    <x v="0"/>
    <n v="2"/>
    <n v="192"/>
    <x v="0"/>
    <x v="1"/>
    <n v="2.8571428571428571E-2"/>
    <x v="22"/>
    <x v="2"/>
    <s v="OK"/>
    <x v="1"/>
    <s v="OK"/>
    <x v="0"/>
    <x v="0"/>
    <n v="1"/>
    <n v="1"/>
    <n v="0"/>
    <n v="0"/>
    <x v="0"/>
    <x v="0"/>
    <x v="0"/>
  </r>
  <r>
    <n v="20602042201"/>
    <x v="65"/>
    <x v="33"/>
    <x v="2041"/>
    <x v="2048"/>
    <x v="1753"/>
    <n v="1"/>
    <x v="17"/>
    <s v="PV16, PV17 Y PV18"/>
    <s v="AV. COSTANERA #2200"/>
    <x v="28"/>
    <x v="0"/>
    <x v="14"/>
    <x v="3"/>
    <x v="642"/>
    <x v="0"/>
    <n v="2"/>
    <n v="96"/>
    <x v="0"/>
    <x v="1"/>
    <n v="2.8571428571428571E-2"/>
    <x v="16"/>
    <x v="2"/>
    <s v="OK"/>
    <x v="0"/>
    <s v="OK"/>
    <x v="0"/>
    <x v="0"/>
    <n v="1"/>
    <n v="0"/>
    <n v="0"/>
    <n v="0"/>
    <x v="0"/>
    <x v="0"/>
    <x v="0"/>
  </r>
  <r>
    <n v="20553067538"/>
    <x v="39"/>
    <x v="33"/>
    <x v="2042"/>
    <x v="2049"/>
    <x v="1754"/>
    <n v="2"/>
    <x v="50"/>
    <s v="PV16, PV17 Y PV18"/>
    <s v="PJ. HUANSAN 117"/>
    <x v="142"/>
    <x v="0"/>
    <x v="14"/>
    <x v="2"/>
    <x v="440"/>
    <x v="0"/>
    <n v="2"/>
    <n v="96"/>
    <x v="0"/>
    <x v="0"/>
    <n v="2.8571428571428571E-2"/>
    <x v="14"/>
    <x v="2"/>
    <s v="OK"/>
    <x v="0"/>
    <s v="OK"/>
    <x v="0"/>
    <x v="0"/>
    <n v="1"/>
    <n v="0"/>
    <n v="0"/>
    <n v="0"/>
    <x v="0"/>
    <x v="0"/>
    <x v="0"/>
  </r>
  <r>
    <n v="20553067538"/>
    <x v="39"/>
    <x v="33"/>
    <x v="2043"/>
    <x v="2050"/>
    <x v="1585"/>
    <n v="1"/>
    <x v="17"/>
    <s v="PV16, PV17 Y PV18"/>
    <s v="C.P. YAURILLA T1-17"/>
    <x v="291"/>
    <x v="0"/>
    <x v="14"/>
    <x v="2"/>
    <x v="425"/>
    <x v="0"/>
    <n v="2"/>
    <n v="0"/>
    <x v="0"/>
    <x v="0"/>
    <n v="2.8571428571428571E-2"/>
    <x v="22"/>
    <x v="2"/>
    <s v="OK"/>
    <x v="0"/>
    <s v="OK"/>
    <x v="0"/>
    <x v="0"/>
    <n v="1"/>
    <n v="0"/>
    <n v="0"/>
    <n v="0"/>
    <x v="0"/>
    <x v="0"/>
    <x v="0"/>
  </r>
  <r>
    <n v="20553067538"/>
    <x v="39"/>
    <x v="33"/>
    <x v="2044"/>
    <x v="2051"/>
    <x v="1755"/>
    <n v="1"/>
    <x v="17"/>
    <s v="PV16, PV17 Y PV18"/>
    <s v="JR. SAN SEBASTIAN 0 CAS. VILLO"/>
    <x v="292"/>
    <x v="0"/>
    <x v="14"/>
    <x v="2"/>
    <x v="425"/>
    <x v="0"/>
    <n v="2"/>
    <n v="0"/>
    <x v="0"/>
    <x v="0"/>
    <n v="2.8571428571428571E-2"/>
    <x v="21"/>
    <x v="2"/>
    <s v="OK"/>
    <x v="0"/>
    <s v="OK"/>
    <x v="0"/>
    <x v="0"/>
    <n v="1"/>
    <n v="0"/>
    <n v="0"/>
    <n v="0"/>
    <x v="0"/>
    <x v="0"/>
    <x v="0"/>
  </r>
  <r>
    <n v="20553067538"/>
    <x v="39"/>
    <x v="33"/>
    <x v="2045"/>
    <x v="2052"/>
    <x v="1756"/>
    <n v="1"/>
    <x v="17"/>
    <s v="PV16, PV17 Y PV18"/>
    <s v="JR. MANCHEGO MUÑOZ 400"/>
    <x v="293"/>
    <x v="0"/>
    <x v="14"/>
    <x v="2"/>
    <x v="286"/>
    <x v="0"/>
    <n v="2"/>
    <n v="0"/>
    <x v="0"/>
    <x v="0"/>
    <n v="2.8571428571428571E-2"/>
    <x v="21"/>
    <x v="2"/>
    <s v="OK"/>
    <x v="0"/>
    <s v="OK"/>
    <x v="0"/>
    <x v="0"/>
    <n v="1"/>
    <n v="0"/>
    <n v="0"/>
    <n v="0"/>
    <x v="0"/>
    <x v="0"/>
    <x v="0"/>
  </r>
  <r>
    <n v="20553067538"/>
    <x v="39"/>
    <x v="33"/>
    <x v="2046"/>
    <x v="2053"/>
    <x v="1757"/>
    <n v="2"/>
    <x v="50"/>
    <s v="E-14 Y E-15"/>
    <s v="URB. SOL DE ICA - LOS PORTALES - 7MA ETAPA F-23"/>
    <x v="92"/>
    <x v="0"/>
    <x v="14"/>
    <x v="2"/>
    <x v="479"/>
    <x v="0"/>
    <n v="2"/>
    <n v="0"/>
    <x v="0"/>
    <x v="0"/>
    <n v="2.8571428571428571E-2"/>
    <x v="21"/>
    <x v="2"/>
    <s v="OK"/>
    <x v="0"/>
    <s v="OK"/>
    <x v="0"/>
    <x v="0"/>
    <n v="1"/>
    <n v="0"/>
    <n v="0"/>
    <n v="0"/>
    <x v="0"/>
    <x v="0"/>
    <x v="0"/>
  </r>
  <r>
    <n v="20553067541"/>
    <x v="39"/>
    <x v="33"/>
    <x v="2047"/>
    <x v="2054"/>
    <x v="951"/>
    <n v="1"/>
    <x v="50"/>
    <s v="E-14 Y E-15"/>
    <s v="CALLE 17 143 TUPAC AMARU"/>
    <x v="44"/>
    <x v="0"/>
    <x v="14"/>
    <x v="2"/>
    <x v="28"/>
    <x v="0"/>
    <n v="2"/>
    <n v="144"/>
    <x v="0"/>
    <x v="0"/>
    <n v="2.8571428571428571E-2"/>
    <x v="16"/>
    <x v="2"/>
    <s v="OK"/>
    <x v="0"/>
    <s v="OK"/>
    <x v="0"/>
    <x v="0"/>
    <n v="1"/>
    <n v="0"/>
    <n v="1"/>
    <n v="0"/>
    <x v="0"/>
    <x v="0"/>
    <x v="1"/>
  </r>
  <r>
    <n v="20600200896"/>
    <x v="40"/>
    <x v="33"/>
    <x v="2048"/>
    <x v="2055"/>
    <x v="1758"/>
    <n v="1"/>
    <x v="17"/>
    <s v="PV16, PV17 Y PV18"/>
    <s v="AV. LA TORRE 828"/>
    <x v="294"/>
    <x v="0"/>
    <x v="14"/>
    <x v="2"/>
    <x v="141"/>
    <x v="0"/>
    <n v="2"/>
    <n v="144"/>
    <x v="0"/>
    <x v="0"/>
    <n v="2.8571428571428571E-2"/>
    <x v="20"/>
    <x v="2"/>
    <s v="OK"/>
    <x v="0"/>
    <s v="OK"/>
    <x v="0"/>
    <x v="0"/>
    <n v="1"/>
    <n v="0"/>
    <n v="0"/>
    <n v="0"/>
    <x v="0"/>
    <x v="0"/>
    <x v="0"/>
  </r>
  <r>
    <n v="20600200896"/>
    <x v="40"/>
    <x v="33"/>
    <x v="2049"/>
    <x v="2056"/>
    <x v="1759"/>
    <n v="1"/>
    <x v="17"/>
    <s v="PV16, PV17 Y PV18"/>
    <s v="A.P.V COMPRADORES DE TERRENOS CAMPOY MZ. P-1 LT. 05"/>
    <x v="15"/>
    <x v="0"/>
    <x v="14"/>
    <x v="2"/>
    <x v="141"/>
    <x v="0"/>
    <n v="2"/>
    <n v="144"/>
    <x v="0"/>
    <x v="0"/>
    <n v="2.8571428571428571E-2"/>
    <x v="18"/>
    <x v="2"/>
    <s v="OK"/>
    <x v="0"/>
    <s v="OK"/>
    <x v="0"/>
    <x v="0"/>
    <n v="1"/>
    <n v="0"/>
    <n v="0"/>
    <n v="0"/>
    <x v="0"/>
    <x v="0"/>
    <x v="0"/>
  </r>
  <r>
    <n v="20600200896"/>
    <x v="40"/>
    <x v="33"/>
    <x v="2050"/>
    <x v="2057"/>
    <x v="1760"/>
    <n v="1"/>
    <x v="17"/>
    <s v="PV16, PV17 Y PV18"/>
    <s v="HUERTOS DE LURIN MZ. T. LT. 3"/>
    <x v="91"/>
    <x v="0"/>
    <x v="14"/>
    <x v="2"/>
    <x v="141"/>
    <x v="0"/>
    <n v="2"/>
    <n v="144"/>
    <x v="0"/>
    <x v="0"/>
    <n v="2.8571428571428571E-2"/>
    <x v="15"/>
    <x v="2"/>
    <s v="OK"/>
    <x v="0"/>
    <s v="OK"/>
    <x v="0"/>
    <x v="0"/>
    <n v="1"/>
    <n v="0"/>
    <n v="0"/>
    <n v="0"/>
    <x v="0"/>
    <x v="0"/>
    <x v="0"/>
  </r>
  <r>
    <n v="20600200896"/>
    <x v="40"/>
    <x v="33"/>
    <x v="2051"/>
    <x v="2058"/>
    <x v="1761"/>
    <n v="1"/>
    <x v="17"/>
    <s v="PV16, PV17 Y PV18"/>
    <s v="MODULO A SECTOR 4 CIUDAD MAJES MZ. F4 LT. 12"/>
    <x v="295"/>
    <x v="0"/>
    <x v="14"/>
    <x v="2"/>
    <x v="185"/>
    <x v="0"/>
    <n v="2"/>
    <n v="56"/>
    <x v="0"/>
    <x v="0"/>
    <n v="2.8571428571428571E-2"/>
    <x v="19"/>
    <x v="2"/>
    <s v="OK"/>
    <x v="0"/>
    <s v="OK"/>
    <x v="0"/>
    <x v="0"/>
    <n v="1"/>
    <n v="0"/>
    <n v="0"/>
    <n v="0"/>
    <x v="0"/>
    <x v="0"/>
    <x v="0"/>
  </r>
  <r>
    <n v="20603304510"/>
    <x v="41"/>
    <x v="34"/>
    <x v="2052"/>
    <x v="2059"/>
    <x v="1762"/>
    <n v="1"/>
    <x v="17"/>
    <s v="E02"/>
    <s v="AVENIDA LOS FICUS  425 LIMA"/>
    <x v="44"/>
    <x v="0"/>
    <x v="6"/>
    <x v="3"/>
    <x v="1"/>
    <x v="0"/>
    <n v="1"/>
    <n v="312"/>
    <x v="0"/>
    <x v="1"/>
    <n v="5.076142131979695E-3"/>
    <x v="20"/>
    <x v="2"/>
    <s v="OK"/>
    <x v="0"/>
    <s v="OK"/>
    <x v="0"/>
    <x v="0"/>
    <n v="1"/>
    <n v="0"/>
    <n v="0"/>
    <n v="0"/>
    <x v="0"/>
    <x v="0"/>
    <x v="0"/>
  </r>
  <r>
    <n v="20603304510"/>
    <x v="41"/>
    <x v="34"/>
    <x v="2053"/>
    <x v="2060"/>
    <x v="1763"/>
    <n v="1"/>
    <x v="17"/>
    <s v="E05"/>
    <s v="CALLE LOS SAUCES MZ D LT 10C CALLAO "/>
    <x v="6"/>
    <x v="0"/>
    <x v="6"/>
    <x v="3"/>
    <x v="286"/>
    <x v="0"/>
    <n v="1"/>
    <n v="300"/>
    <x v="0"/>
    <x v="1"/>
    <n v="5.076142131979695E-3"/>
    <x v="22"/>
    <x v="2"/>
    <s v="OK"/>
    <x v="2"/>
    <s v="OK"/>
    <x v="0"/>
    <x v="0"/>
    <n v="1"/>
    <n v="1"/>
    <n v="0"/>
    <n v="0"/>
    <x v="0"/>
    <x v="0"/>
    <x v="0"/>
  </r>
  <r>
    <n v="20603304510"/>
    <x v="41"/>
    <x v="34"/>
    <x v="2054"/>
    <x v="2061"/>
    <x v="1764"/>
    <n v="1"/>
    <x v="17"/>
    <s v="E02"/>
    <s v="AVENIDA MONTEVIDEO 270 INT 105 CALLAO "/>
    <x v="89"/>
    <x v="0"/>
    <x v="6"/>
    <x v="3"/>
    <x v="169"/>
    <x v="0"/>
    <n v="1"/>
    <n v="300"/>
    <x v="0"/>
    <x v="1"/>
    <n v="5.076142131979695E-3"/>
    <x v="17"/>
    <x v="2"/>
    <s v="OK"/>
    <x v="2"/>
    <s v="OK"/>
    <x v="0"/>
    <x v="0"/>
    <n v="1"/>
    <n v="1"/>
    <n v="0"/>
    <n v="0"/>
    <x v="0"/>
    <x v="0"/>
    <x v="0"/>
  </r>
  <r>
    <n v="20603304510"/>
    <x v="41"/>
    <x v="34"/>
    <x v="2055"/>
    <x v="2062"/>
    <x v="1765"/>
    <n v="1"/>
    <x v="17"/>
    <s v="E05"/>
    <s v="AV PASTOR SEVILLA MZ E LT 2 VILLA MERCEDES LIMA "/>
    <x v="53"/>
    <x v="0"/>
    <x v="6"/>
    <x v="1"/>
    <x v="268"/>
    <x v="0"/>
    <n v="1"/>
    <n v="300"/>
    <x v="0"/>
    <x v="1"/>
    <n v="5.076142131979695E-3"/>
    <x v="21"/>
    <x v="2"/>
    <s v="OK"/>
    <x v="0"/>
    <s v="OK"/>
    <x v="0"/>
    <x v="0"/>
    <n v="1"/>
    <n v="0"/>
    <n v="0"/>
    <n v="0"/>
    <x v="0"/>
    <x v="0"/>
    <x v="0"/>
  </r>
  <r>
    <n v="20603304510"/>
    <x v="41"/>
    <x v="34"/>
    <x v="2056"/>
    <x v="2063"/>
    <x v="1288"/>
    <n v="1"/>
    <x v="17"/>
    <s v="E04"/>
    <s v="COOP. ALBINO HERRERA 1 ETAPA MZ. O LT. 3 CALLAO"/>
    <x v="6"/>
    <x v="0"/>
    <x v="6"/>
    <x v="1"/>
    <x v="141"/>
    <x v="0"/>
    <n v="1"/>
    <n v="312"/>
    <x v="0"/>
    <x v="1"/>
    <n v="5.076142131979695E-3"/>
    <x v="22"/>
    <x v="2"/>
    <s v="OK"/>
    <x v="2"/>
    <s v="OK"/>
    <x v="0"/>
    <x v="0"/>
    <n v="1"/>
    <n v="1"/>
    <n v="0"/>
    <n v="0"/>
    <x v="0"/>
    <x v="0"/>
    <x v="0"/>
  </r>
  <r>
    <n v="20603304510"/>
    <x v="41"/>
    <x v="34"/>
    <x v="2057"/>
    <x v="2064"/>
    <x v="1766"/>
    <n v="1"/>
    <x v="17"/>
    <s v="PATIO TALLER BOCANEGRA"/>
    <s v="CALLE ROGELIO SALDAÑA 272 SAN GERMAN MZ. S LT. 20 LIMA "/>
    <x v="3"/>
    <x v="0"/>
    <x v="6"/>
    <x v="1"/>
    <x v="141"/>
    <x v="0"/>
    <n v="1"/>
    <n v="312"/>
    <x v="0"/>
    <x v="1"/>
    <n v="5.076142131979695E-3"/>
    <x v="17"/>
    <x v="2"/>
    <s v="OK"/>
    <x v="0"/>
    <s v="OK"/>
    <x v="0"/>
    <x v="0"/>
    <n v="1"/>
    <n v="0"/>
    <n v="0"/>
    <n v="0"/>
    <x v="0"/>
    <x v="0"/>
    <x v="0"/>
  </r>
  <r>
    <n v="20603304510"/>
    <x v="41"/>
    <x v="34"/>
    <x v="2058"/>
    <x v="2065"/>
    <x v="1767"/>
    <n v="1"/>
    <x v="17"/>
    <s v="DOVELAS"/>
    <s v="CALLE MANUEL RAYGADA 125 URB.ESTELLA MARIS CALLAO "/>
    <x v="17"/>
    <x v="0"/>
    <x v="6"/>
    <x v="1"/>
    <x v="141"/>
    <x v="0"/>
    <n v="1"/>
    <n v="300"/>
    <x v="0"/>
    <x v="1"/>
    <n v="5.076142131979695E-3"/>
    <x v="17"/>
    <x v="2"/>
    <s v="OK"/>
    <x v="2"/>
    <s v="OK"/>
    <x v="0"/>
    <x v="0"/>
    <n v="1"/>
    <n v="1"/>
    <n v="0"/>
    <n v="0"/>
    <x v="0"/>
    <x v="0"/>
    <x v="0"/>
  </r>
  <r>
    <n v="20603304510"/>
    <x v="41"/>
    <x v="34"/>
    <x v="2059"/>
    <x v="2066"/>
    <x v="969"/>
    <n v="1"/>
    <x v="17"/>
    <s v="DOVELAS"/>
    <s v="CALLE 28 T13 URB.EL PACIFICO 2DA.ETAPA LIMA "/>
    <x v="3"/>
    <x v="0"/>
    <x v="15"/>
    <x v="1"/>
    <x v="141"/>
    <x v="2"/>
    <n v="1"/>
    <n v="144"/>
    <x v="0"/>
    <x v="1"/>
    <n v="5.076142131979695E-3"/>
    <x v="18"/>
    <x v="2"/>
    <s v="OK"/>
    <x v="0"/>
    <s v="OK"/>
    <x v="0"/>
    <x v="0"/>
    <n v="1"/>
    <n v="0"/>
    <n v="0"/>
    <n v="1"/>
    <x v="0"/>
    <x v="1"/>
    <x v="0"/>
  </r>
  <r>
    <n v="20603304510"/>
    <x v="41"/>
    <x v="34"/>
    <x v="2060"/>
    <x v="2067"/>
    <x v="1768"/>
    <n v="1"/>
    <x v="17"/>
    <s v="PATIO TALLER BOCANEGRA"/>
    <s v="LOS FICUS EL ERMITAÑO MZ. B3 LT. 3 LIMA "/>
    <x v="44"/>
    <x v="0"/>
    <x v="6"/>
    <x v="1"/>
    <x v="5"/>
    <x v="0"/>
    <n v="1"/>
    <n v="300"/>
    <x v="0"/>
    <x v="1"/>
    <n v="5.076142131979695E-3"/>
    <x v="17"/>
    <x v="2"/>
    <s v="OK"/>
    <x v="0"/>
    <s v="OK"/>
    <x v="0"/>
    <x v="0"/>
    <n v="1"/>
    <n v="0"/>
    <n v="0"/>
    <n v="0"/>
    <x v="0"/>
    <x v="0"/>
    <x v="0"/>
  </r>
  <r>
    <n v="20603304510"/>
    <x v="41"/>
    <x v="34"/>
    <x v="2061"/>
    <x v="2068"/>
    <x v="1769"/>
    <n v="1"/>
    <x v="17"/>
    <s v="DOVELAS"/>
    <s v="PSJ ATLANTIDA 445 LORETO "/>
    <x v="23"/>
    <x v="0"/>
    <x v="6"/>
    <x v="1"/>
    <x v="141"/>
    <x v="0"/>
    <n v="1"/>
    <n v="300"/>
    <x v="0"/>
    <x v="1"/>
    <n v="5.076142131979695E-3"/>
    <x v="21"/>
    <x v="2"/>
    <s v="OK"/>
    <x v="0"/>
    <s v="OK"/>
    <x v="0"/>
    <x v="0"/>
    <n v="1"/>
    <n v="0"/>
    <n v="0"/>
    <n v="0"/>
    <x v="0"/>
    <x v="0"/>
    <x v="0"/>
  </r>
  <r>
    <n v="20603304510"/>
    <x v="41"/>
    <x v="34"/>
    <x v="2062"/>
    <x v="2069"/>
    <x v="1770"/>
    <n v="1"/>
    <x v="17"/>
    <s v="PATIO TALLER BOCANEGRA"/>
    <s v="CALLE MANUEL RAYGADA 1158 EDIFICIO 2 DPTO. 61 CALLAO "/>
    <x v="6"/>
    <x v="0"/>
    <x v="6"/>
    <x v="1"/>
    <x v="141"/>
    <x v="0"/>
    <n v="1"/>
    <n v="312"/>
    <x v="0"/>
    <x v="1"/>
    <n v="5.076142131979695E-3"/>
    <x v="18"/>
    <x v="2"/>
    <s v="OK"/>
    <x v="2"/>
    <s v="OK"/>
    <x v="0"/>
    <x v="0"/>
    <n v="1"/>
    <n v="1"/>
    <n v="0"/>
    <n v="0"/>
    <x v="0"/>
    <x v="0"/>
    <x v="0"/>
  </r>
  <r>
    <n v="20603304510"/>
    <x v="41"/>
    <x v="34"/>
    <x v="2063"/>
    <x v="2070"/>
    <x v="1771"/>
    <n v="1"/>
    <x v="17"/>
    <s v="POZO PV 01"/>
    <s v="ASENT.H. ANGAMOS SECTOR II MZ. J14 LT. 23 CALLAO "/>
    <x v="2"/>
    <x v="0"/>
    <x v="6"/>
    <x v="1"/>
    <x v="191"/>
    <x v="0"/>
    <n v="1"/>
    <n v="300"/>
    <x v="0"/>
    <x v="1"/>
    <n v="5.076142131979695E-3"/>
    <x v="21"/>
    <x v="2"/>
    <s v="OK"/>
    <x v="2"/>
    <s v="OK"/>
    <x v="0"/>
    <x v="0"/>
    <n v="1"/>
    <n v="1"/>
    <n v="0"/>
    <n v="0"/>
    <x v="0"/>
    <x v="0"/>
    <x v="0"/>
  </r>
  <r>
    <n v="20603304510"/>
    <x v="41"/>
    <x v="34"/>
    <x v="2064"/>
    <x v="2071"/>
    <x v="1772"/>
    <n v="1"/>
    <x v="17"/>
    <s v="POZO PV 01"/>
    <s v="JIRON ALBERTO SECADA 567 INTERIOR 13 CALLAO"/>
    <x v="6"/>
    <x v="0"/>
    <x v="6"/>
    <x v="1"/>
    <x v="1"/>
    <x v="0"/>
    <n v="1"/>
    <n v="228"/>
    <x v="0"/>
    <x v="1"/>
    <n v="5.076142131979695E-3"/>
    <x v="17"/>
    <x v="2"/>
    <s v="OK"/>
    <x v="2"/>
    <s v="OK"/>
    <x v="0"/>
    <x v="0"/>
    <n v="1"/>
    <n v="1"/>
    <n v="0"/>
    <n v="0"/>
    <x v="0"/>
    <x v="0"/>
    <x v="0"/>
  </r>
  <r>
    <n v="20603304510"/>
    <x v="41"/>
    <x v="34"/>
    <x v="2065"/>
    <x v="2072"/>
    <x v="1773"/>
    <n v="1"/>
    <x v="17"/>
    <s v="E06"/>
    <s v="JR. FELIPE PINGLO ALVA 604 MZ. G LT. 18 CALLAO "/>
    <x v="63"/>
    <x v="0"/>
    <x v="6"/>
    <x v="1"/>
    <x v="5"/>
    <x v="0"/>
    <n v="1"/>
    <n v="312"/>
    <x v="0"/>
    <x v="1"/>
    <n v="5.076142131979695E-3"/>
    <x v="18"/>
    <x v="2"/>
    <s v="OK"/>
    <x v="2"/>
    <s v="OK"/>
    <x v="0"/>
    <x v="0"/>
    <n v="1"/>
    <n v="1"/>
    <n v="0"/>
    <n v="0"/>
    <x v="0"/>
    <x v="0"/>
    <x v="0"/>
  </r>
  <r>
    <n v="20603304510"/>
    <x v="41"/>
    <x v="34"/>
    <x v="2066"/>
    <x v="2073"/>
    <x v="1774"/>
    <n v="1"/>
    <x v="17"/>
    <s v="E01"/>
    <s v="PACHACUTEC SECTOR D GR D1 MZ. V4 LT. 1 CALLAO "/>
    <x v="2"/>
    <x v="0"/>
    <x v="6"/>
    <x v="1"/>
    <x v="5"/>
    <x v="0"/>
    <n v="1"/>
    <n v="312"/>
    <x v="0"/>
    <x v="1"/>
    <n v="5.076142131979695E-3"/>
    <x v="22"/>
    <x v="2"/>
    <s v="OK"/>
    <x v="2"/>
    <s v="OK"/>
    <x v="0"/>
    <x v="0"/>
    <n v="1"/>
    <n v="1"/>
    <n v="0"/>
    <n v="0"/>
    <x v="0"/>
    <x v="0"/>
    <x v="0"/>
  </r>
  <r>
    <n v="20603304510"/>
    <x v="41"/>
    <x v="34"/>
    <x v="2067"/>
    <x v="2074"/>
    <x v="1775"/>
    <n v="1"/>
    <x v="17"/>
    <s v="E01"/>
    <s v="MZ.R 5 LT.7 ASOC.PRO.VIV.PROFAM PERU LIMA "/>
    <x v="18"/>
    <x v="0"/>
    <x v="6"/>
    <x v="1"/>
    <x v="5"/>
    <x v="0"/>
    <n v="1"/>
    <n v="312"/>
    <x v="0"/>
    <x v="1"/>
    <n v="5.076142131979695E-3"/>
    <x v="16"/>
    <x v="2"/>
    <s v="OK"/>
    <x v="0"/>
    <s v="OK"/>
    <x v="0"/>
    <x v="0"/>
    <n v="1"/>
    <n v="0"/>
    <n v="0"/>
    <n v="0"/>
    <x v="0"/>
    <x v="0"/>
    <x v="0"/>
  </r>
  <r>
    <n v="20603304510"/>
    <x v="41"/>
    <x v="34"/>
    <x v="2068"/>
    <x v="2075"/>
    <x v="1336"/>
    <n v="1"/>
    <x v="17"/>
    <s v="E02"/>
    <s v="JIRON AYACUCHO 4159 LIMA"/>
    <x v="3"/>
    <x v="0"/>
    <x v="6"/>
    <x v="1"/>
    <x v="1"/>
    <x v="0"/>
    <n v="1"/>
    <n v="312"/>
    <x v="0"/>
    <x v="1"/>
    <n v="5.076142131979695E-3"/>
    <x v="20"/>
    <x v="2"/>
    <s v="OK"/>
    <x v="0"/>
    <s v="OK"/>
    <x v="0"/>
    <x v="0"/>
    <n v="1"/>
    <n v="0"/>
    <n v="0"/>
    <n v="0"/>
    <x v="0"/>
    <x v="0"/>
    <x v="0"/>
  </r>
  <r>
    <n v="20603304510"/>
    <x v="41"/>
    <x v="34"/>
    <x v="2069"/>
    <x v="2076"/>
    <x v="1776"/>
    <n v="1"/>
    <x v="17"/>
    <s v="POZO PV 02"/>
    <s v="PSJE. SIMON BOLIVAR LT6 LORETO "/>
    <x v="296"/>
    <x v="0"/>
    <x v="6"/>
    <x v="1"/>
    <x v="141"/>
    <x v="0"/>
    <n v="1"/>
    <n v="312"/>
    <x v="0"/>
    <x v="1"/>
    <n v="5.076142131979695E-3"/>
    <x v="20"/>
    <x v="2"/>
    <s v="OK"/>
    <x v="0"/>
    <s v="OK"/>
    <x v="0"/>
    <x v="0"/>
    <n v="1"/>
    <n v="0"/>
    <n v="0"/>
    <n v="0"/>
    <x v="0"/>
    <x v="0"/>
    <x v="0"/>
  </r>
  <r>
    <n v="20603304510"/>
    <x v="41"/>
    <x v="34"/>
    <x v="2070"/>
    <x v="2077"/>
    <x v="1777"/>
    <n v="1"/>
    <x v="17"/>
    <s v="E06"/>
    <s v="AVENIDA SAN JOSE MZ C LT 3 LIMA"/>
    <x v="3"/>
    <x v="0"/>
    <x v="6"/>
    <x v="1"/>
    <x v="1"/>
    <x v="0"/>
    <n v="1"/>
    <n v="300"/>
    <x v="0"/>
    <x v="1"/>
    <n v="5.076142131979695E-3"/>
    <x v="19"/>
    <x v="2"/>
    <s v="OK"/>
    <x v="0"/>
    <s v="OK"/>
    <x v="0"/>
    <x v="0"/>
    <n v="1"/>
    <n v="0"/>
    <n v="0"/>
    <n v="0"/>
    <x v="0"/>
    <x v="0"/>
    <x v="0"/>
  </r>
  <r>
    <n v="20603304510"/>
    <x v="41"/>
    <x v="34"/>
    <x v="2071"/>
    <x v="2078"/>
    <x v="1778"/>
    <n v="1"/>
    <x v="17"/>
    <s v="E06"/>
    <s v="JIRON LOS HELECHOS 333 LIMA"/>
    <x v="15"/>
    <x v="0"/>
    <x v="6"/>
    <x v="1"/>
    <x v="1"/>
    <x v="0"/>
    <n v="1"/>
    <n v="312"/>
    <x v="0"/>
    <x v="1"/>
    <n v="5.076142131979695E-3"/>
    <x v="19"/>
    <x v="2"/>
    <s v="OK"/>
    <x v="0"/>
    <s v="OK"/>
    <x v="0"/>
    <x v="0"/>
    <n v="1"/>
    <n v="0"/>
    <n v="0"/>
    <n v="0"/>
    <x v="0"/>
    <x v="0"/>
    <x v="0"/>
  </r>
  <r>
    <n v="20603304510"/>
    <x v="41"/>
    <x v="34"/>
    <x v="2072"/>
    <x v="2079"/>
    <x v="1442"/>
    <n v="1"/>
    <x v="17"/>
    <s v="E06"/>
    <s v="AYACUCHO 1230 DPTO. 22 CALLAO"/>
    <x v="6"/>
    <x v="0"/>
    <x v="6"/>
    <x v="1"/>
    <x v="141"/>
    <x v="0"/>
    <n v="1"/>
    <n v="312"/>
    <x v="0"/>
    <x v="1"/>
    <n v="5.076142131979695E-3"/>
    <x v="20"/>
    <x v="2"/>
    <s v="OK"/>
    <x v="2"/>
    <s v="OK"/>
    <x v="0"/>
    <x v="0"/>
    <n v="1"/>
    <n v="1"/>
    <n v="0"/>
    <n v="0"/>
    <x v="0"/>
    <x v="0"/>
    <x v="0"/>
  </r>
  <r>
    <n v="20603304510"/>
    <x v="41"/>
    <x v="34"/>
    <x v="2073"/>
    <x v="2080"/>
    <x v="1779"/>
    <n v="1"/>
    <x v="17"/>
    <s v="E01"/>
    <s v="ASENT.H. PACHACUTEC MZ. 5G LT. 05 CALLAO "/>
    <x v="2"/>
    <x v="0"/>
    <x v="6"/>
    <x v="1"/>
    <x v="5"/>
    <x v="0"/>
    <n v="1"/>
    <n v="312"/>
    <x v="0"/>
    <x v="1"/>
    <n v="5.076142131979695E-3"/>
    <x v="20"/>
    <x v="2"/>
    <s v="OK"/>
    <x v="2"/>
    <s v="OK"/>
    <x v="0"/>
    <x v="0"/>
    <n v="1"/>
    <n v="1"/>
    <n v="0"/>
    <n v="0"/>
    <x v="0"/>
    <x v="0"/>
    <x v="0"/>
  </r>
  <r>
    <n v="20603304510"/>
    <x v="41"/>
    <x v="34"/>
    <x v="2074"/>
    <x v="2081"/>
    <x v="1780"/>
    <n v="1"/>
    <x v="17"/>
    <s v="E04"/>
    <s v="PUNO 3681 LIMA"/>
    <x v="3"/>
    <x v="0"/>
    <x v="6"/>
    <x v="1"/>
    <x v="312"/>
    <x v="0"/>
    <n v="1"/>
    <n v="312"/>
    <x v="0"/>
    <x v="1"/>
    <n v="5.076142131979695E-3"/>
    <x v="15"/>
    <x v="2"/>
    <s v="OK"/>
    <x v="0"/>
    <s v="OK"/>
    <x v="0"/>
    <x v="0"/>
    <n v="1"/>
    <n v="0"/>
    <n v="0"/>
    <n v="0"/>
    <x v="0"/>
    <x v="0"/>
    <x v="0"/>
  </r>
  <r>
    <n v="20603304510"/>
    <x v="41"/>
    <x v="34"/>
    <x v="2075"/>
    <x v="2082"/>
    <x v="1781"/>
    <n v="1"/>
    <x v="17"/>
    <s v="E03"/>
    <s v="AV. BOCANEGRA MZ D LT 54 URB LOS JAZMINES CALLAO"/>
    <x v="6"/>
    <x v="0"/>
    <x v="6"/>
    <x v="1"/>
    <x v="1"/>
    <x v="0"/>
    <n v="1"/>
    <n v="300"/>
    <x v="0"/>
    <x v="1"/>
    <n v="5.076142131979695E-3"/>
    <x v="19"/>
    <x v="2"/>
    <s v="OK"/>
    <x v="2"/>
    <s v="OK"/>
    <x v="0"/>
    <x v="0"/>
    <n v="1"/>
    <n v="1"/>
    <n v="0"/>
    <n v="0"/>
    <x v="0"/>
    <x v="0"/>
    <x v="0"/>
  </r>
  <r>
    <n v="20603304510"/>
    <x v="41"/>
    <x v="34"/>
    <x v="2076"/>
    <x v="2083"/>
    <x v="1782"/>
    <n v="1"/>
    <x v="17"/>
    <s v="POZO PV 01"/>
    <s v="PASAJE 12 MZ A LT 08 AAHH VILLA HERMOSA LIMA"/>
    <x v="62"/>
    <x v="0"/>
    <x v="6"/>
    <x v="1"/>
    <x v="18"/>
    <x v="0"/>
    <n v="1"/>
    <n v="300"/>
    <x v="0"/>
    <x v="1"/>
    <n v="5.076142131979695E-3"/>
    <x v="18"/>
    <x v="2"/>
    <s v="OK"/>
    <x v="0"/>
    <s v="OK"/>
    <x v="0"/>
    <x v="0"/>
    <n v="1"/>
    <n v="0"/>
    <n v="0"/>
    <n v="0"/>
    <x v="0"/>
    <x v="0"/>
    <x v="0"/>
  </r>
  <r>
    <n v="20603304510"/>
    <x v="41"/>
    <x v="34"/>
    <x v="2077"/>
    <x v="2084"/>
    <x v="1783"/>
    <n v="1"/>
    <x v="17"/>
    <s v="PATIO TALLER BOCANEGRA"/>
    <s v="JIRON PRIMERO DE ENERO S/N SECU TARMA JUNIN"/>
    <x v="297"/>
    <x v="0"/>
    <x v="6"/>
    <x v="1"/>
    <x v="94"/>
    <x v="0"/>
    <n v="1"/>
    <n v="240"/>
    <x v="0"/>
    <x v="1"/>
    <n v="5.076142131979695E-3"/>
    <x v="16"/>
    <x v="2"/>
    <s v="OK"/>
    <x v="0"/>
    <s v="OK"/>
    <x v="0"/>
    <x v="0"/>
    <n v="1"/>
    <n v="0"/>
    <n v="0"/>
    <n v="0"/>
    <x v="0"/>
    <x v="0"/>
    <x v="0"/>
  </r>
  <r>
    <n v="20603304510"/>
    <x v="41"/>
    <x v="34"/>
    <x v="2078"/>
    <x v="2085"/>
    <x v="1784"/>
    <n v="1"/>
    <x v="17"/>
    <s v="POZO PV 01"/>
    <s v="CALLE S/N MZ V1 LT 10 LIMA"/>
    <x v="44"/>
    <x v="0"/>
    <x v="6"/>
    <x v="1"/>
    <x v="94"/>
    <x v="0"/>
    <n v="1"/>
    <n v="312"/>
    <x v="0"/>
    <x v="1"/>
    <n v="5.076142131979695E-3"/>
    <x v="15"/>
    <x v="2"/>
    <s v="OK"/>
    <x v="0"/>
    <s v="OK"/>
    <x v="0"/>
    <x v="0"/>
    <n v="1"/>
    <n v="0"/>
    <n v="0"/>
    <n v="0"/>
    <x v="0"/>
    <x v="0"/>
    <x v="0"/>
  </r>
  <r>
    <n v="20603304510"/>
    <x v="41"/>
    <x v="34"/>
    <x v="2079"/>
    <x v="2086"/>
    <x v="1061"/>
    <n v="1"/>
    <x v="17"/>
    <s v="E06"/>
    <s v="AVENIDA ROSA DE AMERICA 822 ASOC ROSA DE AMERICA LIMA"/>
    <x v="0"/>
    <x v="0"/>
    <x v="6"/>
    <x v="1"/>
    <x v="94"/>
    <x v="0"/>
    <n v="1"/>
    <n v="300"/>
    <x v="0"/>
    <x v="1"/>
    <n v="5.076142131979695E-3"/>
    <x v="16"/>
    <x v="2"/>
    <s v="OK"/>
    <x v="0"/>
    <s v="OK"/>
    <x v="0"/>
    <x v="0"/>
    <n v="1"/>
    <n v="0"/>
    <n v="0"/>
    <n v="0"/>
    <x v="0"/>
    <x v="0"/>
    <x v="0"/>
  </r>
  <r>
    <n v="20603304510"/>
    <x v="41"/>
    <x v="34"/>
    <x v="2080"/>
    <x v="2087"/>
    <x v="1785"/>
    <n v="1"/>
    <x v="17"/>
    <s v="E06"/>
    <s v="URB SAN DIEGO I ETAPA VIPOL LIMA"/>
    <x v="3"/>
    <x v="0"/>
    <x v="6"/>
    <x v="1"/>
    <x v="150"/>
    <x v="0"/>
    <n v="1"/>
    <n v="312"/>
    <x v="0"/>
    <x v="1"/>
    <n v="5.076142131979695E-3"/>
    <x v="19"/>
    <x v="2"/>
    <s v="OK"/>
    <x v="0"/>
    <s v="OK"/>
    <x v="0"/>
    <x v="0"/>
    <n v="1"/>
    <n v="0"/>
    <n v="0"/>
    <n v="0"/>
    <x v="0"/>
    <x v="0"/>
    <x v="0"/>
  </r>
  <r>
    <n v="20603304510"/>
    <x v="41"/>
    <x v="34"/>
    <x v="2081"/>
    <x v="2088"/>
    <x v="1622"/>
    <n v="1"/>
    <x v="17"/>
    <s v="E06"/>
    <s v="ASOCIACIÓN SOL DEL PINAR MZ B LT  06A"/>
    <x v="0"/>
    <x v="0"/>
    <x v="6"/>
    <x v="1"/>
    <x v="145"/>
    <x v="0"/>
    <n v="1"/>
    <n v="312"/>
    <x v="0"/>
    <x v="1"/>
    <n v="5.076142131979695E-3"/>
    <x v="20"/>
    <x v="2"/>
    <s v="OK"/>
    <x v="0"/>
    <s v="OK"/>
    <x v="0"/>
    <x v="0"/>
    <n v="1"/>
    <n v="0"/>
    <n v="0"/>
    <n v="0"/>
    <x v="0"/>
    <x v="0"/>
    <x v="0"/>
  </r>
  <r>
    <n v="20603304510"/>
    <x v="41"/>
    <x v="34"/>
    <x v="2082"/>
    <x v="2089"/>
    <x v="1786"/>
    <n v="1"/>
    <x v="17"/>
    <s v="E06"/>
    <s v="CALLE CALDERON DE LA BARCA 114"/>
    <x v="28"/>
    <x v="0"/>
    <x v="6"/>
    <x v="1"/>
    <x v="97"/>
    <x v="0"/>
    <n v="1"/>
    <n v="180"/>
    <x v="0"/>
    <x v="1"/>
    <n v="5.076142131979695E-3"/>
    <x v="14"/>
    <x v="2"/>
    <s v="OK"/>
    <x v="0"/>
    <s v="OK"/>
    <x v="0"/>
    <x v="0"/>
    <n v="1"/>
    <n v="0"/>
    <n v="0"/>
    <n v="0"/>
    <x v="0"/>
    <x v="0"/>
    <x v="0"/>
  </r>
  <r>
    <n v="20603304510"/>
    <x v="41"/>
    <x v="34"/>
    <x v="2083"/>
    <x v="2090"/>
    <x v="1787"/>
    <n v="1"/>
    <x v="17"/>
    <s v="POZO PV 01"/>
    <s v="PASAJE TG DE FANNING 243 MZ L3 URB TG DE FANNING"/>
    <x v="49"/>
    <x v="0"/>
    <x v="6"/>
    <x v="3"/>
    <x v="97"/>
    <x v="0"/>
    <n v="1"/>
    <n v="312"/>
    <x v="0"/>
    <x v="1"/>
    <n v="5.076142131979695E-3"/>
    <x v="15"/>
    <x v="2"/>
    <s v="OK"/>
    <x v="0"/>
    <s v="OK"/>
    <x v="0"/>
    <x v="0"/>
    <n v="1"/>
    <n v="0"/>
    <n v="0"/>
    <n v="0"/>
    <x v="0"/>
    <x v="0"/>
    <x v="0"/>
  </r>
  <r>
    <n v="20603304510"/>
    <x v="41"/>
    <x v="34"/>
    <x v="2084"/>
    <x v="2091"/>
    <x v="1788"/>
    <n v="1"/>
    <x v="17"/>
    <s v="E06"/>
    <s v="MZ CE 2 LT 10 PORTADA DE MANCHAY III"/>
    <x v="58"/>
    <x v="0"/>
    <x v="6"/>
    <x v="1"/>
    <x v="21"/>
    <x v="0"/>
    <n v="1"/>
    <n v="300"/>
    <x v="0"/>
    <x v="1"/>
    <n v="5.076142131979695E-3"/>
    <x v="16"/>
    <x v="2"/>
    <s v="OK"/>
    <x v="0"/>
    <s v="OK"/>
    <x v="0"/>
    <x v="0"/>
    <n v="1"/>
    <n v="0"/>
    <n v="0"/>
    <n v="0"/>
    <x v="0"/>
    <x v="0"/>
    <x v="0"/>
  </r>
  <r>
    <n v="20603304510"/>
    <x v="41"/>
    <x v="34"/>
    <x v="2085"/>
    <x v="2092"/>
    <x v="1789"/>
    <n v="1"/>
    <x v="17"/>
    <s v="DESC E05"/>
    <s v="JIRON TUMBES 3821"/>
    <x v="3"/>
    <x v="0"/>
    <x v="6"/>
    <x v="1"/>
    <x v="204"/>
    <x v="0"/>
    <n v="1"/>
    <n v="240"/>
    <x v="0"/>
    <x v="1"/>
    <n v="5.076142131979695E-3"/>
    <x v="14"/>
    <x v="2"/>
    <s v="OK"/>
    <x v="0"/>
    <s v="OK"/>
    <x v="0"/>
    <x v="0"/>
    <n v="1"/>
    <n v="0"/>
    <n v="1"/>
    <n v="0"/>
    <x v="0"/>
    <x v="0"/>
    <x v="1"/>
  </r>
  <r>
    <n v="20603304510"/>
    <x v="41"/>
    <x v="34"/>
    <x v="2086"/>
    <x v="2093"/>
    <x v="1790"/>
    <n v="1"/>
    <x v="17"/>
    <s v="DESC E06"/>
    <s v="JR. COLON 526 INT. 13 "/>
    <x v="6"/>
    <x v="0"/>
    <x v="6"/>
    <x v="1"/>
    <x v="481"/>
    <x v="0"/>
    <n v="1"/>
    <n v="180"/>
    <x v="0"/>
    <x v="1"/>
    <n v="5.076142131979695E-3"/>
    <x v="22"/>
    <x v="2"/>
    <s v="OK"/>
    <x v="2"/>
    <s v="OK"/>
    <x v="0"/>
    <x v="0"/>
    <n v="1"/>
    <n v="1"/>
    <n v="1"/>
    <n v="0"/>
    <x v="0"/>
    <x v="0"/>
    <x v="1"/>
  </r>
  <r>
    <n v="20603304510"/>
    <x v="41"/>
    <x v="34"/>
    <x v="2087"/>
    <x v="2094"/>
    <x v="1791"/>
    <n v="1"/>
    <x v="17"/>
    <s v="POZO 1 PTA 2"/>
    <s v="ASENT. H. JUAN PABLO II MZ H LT 16"/>
    <x v="6"/>
    <x v="0"/>
    <x v="6"/>
    <x v="1"/>
    <x v="357"/>
    <x v="0"/>
    <n v="1"/>
    <n v="108"/>
    <x v="0"/>
    <x v="1"/>
    <n v="5.076142131979695E-3"/>
    <x v="14"/>
    <x v="2"/>
    <s v="OK"/>
    <x v="2"/>
    <s v="OK"/>
    <x v="0"/>
    <x v="0"/>
    <n v="1"/>
    <n v="1"/>
    <n v="1"/>
    <n v="0"/>
    <x v="0"/>
    <x v="0"/>
    <x v="1"/>
  </r>
  <r>
    <n v="20601917590"/>
    <x v="0"/>
    <x v="0"/>
    <x v="2088"/>
    <x v="2095"/>
    <x v="1792"/>
    <n v="1"/>
    <x v="321"/>
    <s v="E3"/>
    <s v="Jr. Las Orquideas Mz. F, Lt. 7 Prl. San Ignacio - Santiago de Surco"/>
    <x v="14"/>
    <x v="0"/>
    <x v="0"/>
    <x v="0"/>
    <x v="4"/>
    <x v="1"/>
    <m/>
    <n v="200"/>
    <x v="0"/>
    <x v="0"/>
    <n v="1.6666666666666666E-2"/>
    <x v="23"/>
    <x v="3"/>
    <s v="OK"/>
    <x v="0"/>
    <s v="OK"/>
    <x v="0"/>
    <x v="0"/>
    <n v="1"/>
    <n v="0"/>
    <n v="1"/>
    <n v="0"/>
    <x v="0"/>
    <x v="0"/>
    <x v="1"/>
  </r>
  <r>
    <n v="20601917590"/>
    <x v="0"/>
    <x v="0"/>
    <x v="2089"/>
    <x v="2096"/>
    <x v="1793"/>
    <n v="1"/>
    <x v="322"/>
    <s v="E3"/>
    <s v="Jr. Jose Higinio 497 Urb Año Nuevo "/>
    <x v="0"/>
    <x v="0"/>
    <x v="0"/>
    <x v="0"/>
    <x v="1"/>
    <x v="0"/>
    <n v="1"/>
    <n v="184"/>
    <x v="0"/>
    <x v="0"/>
    <n v="1.6666666666666666E-2"/>
    <x v="24"/>
    <x v="3"/>
    <s v="OK"/>
    <x v="0"/>
    <s v="OK"/>
    <x v="0"/>
    <x v="0"/>
    <n v="1"/>
    <n v="0"/>
    <n v="0"/>
    <n v="0"/>
    <x v="0"/>
    <x v="0"/>
    <x v="0"/>
  </r>
  <r>
    <n v="20601917590"/>
    <x v="0"/>
    <x v="0"/>
    <x v="2090"/>
    <x v="2097"/>
    <x v="1794"/>
    <n v="1"/>
    <x v="0"/>
    <s v="E3"/>
    <s v="Ramon Castilla 498, Sullana - Piura"/>
    <x v="175"/>
    <x v="0"/>
    <x v="0"/>
    <x v="0"/>
    <x v="30"/>
    <x v="1"/>
    <m/>
    <n v="48"/>
    <x v="0"/>
    <x v="0"/>
    <n v="1.6666666666666666E-2"/>
    <x v="25"/>
    <x v="3"/>
    <s v="OK"/>
    <x v="0"/>
    <s v="OK"/>
    <x v="0"/>
    <x v="0"/>
    <n v="1"/>
    <n v="0"/>
    <n v="1"/>
    <n v="0"/>
    <x v="0"/>
    <x v="0"/>
    <x v="1"/>
  </r>
  <r>
    <n v="20601917590"/>
    <x v="0"/>
    <x v="0"/>
    <x v="2091"/>
    <x v="2098"/>
    <x v="1795"/>
    <n v="1"/>
    <x v="0"/>
    <s v="E3"/>
    <s v="Misionero de San Martin N° 340 Dpto. 301 Ciudad Satélite – Santa Rosa - Callao"/>
    <x v="6"/>
    <x v="0"/>
    <x v="0"/>
    <x v="0"/>
    <x v="145"/>
    <x v="0"/>
    <n v="1"/>
    <n v="136"/>
    <x v="0"/>
    <x v="0"/>
    <n v="1.6666666666666666E-2"/>
    <x v="23"/>
    <x v="3"/>
    <s v="OK"/>
    <x v="2"/>
    <s v="OK"/>
    <x v="0"/>
    <x v="0"/>
    <n v="1"/>
    <n v="1"/>
    <n v="0"/>
    <n v="0"/>
    <x v="0"/>
    <x v="0"/>
    <x v="0"/>
  </r>
  <r>
    <n v="20601917590"/>
    <x v="0"/>
    <x v="0"/>
    <x v="2092"/>
    <x v="2099"/>
    <x v="1796"/>
    <n v="2"/>
    <x v="2"/>
    <s v="E1"/>
    <s v="Jr Venezuela 899 Int 1-A"/>
    <x v="6"/>
    <x v="0"/>
    <x v="0"/>
    <x v="0"/>
    <x v="50"/>
    <x v="0"/>
    <n v="4"/>
    <m/>
    <x v="0"/>
    <x v="0"/>
    <n v="1.6666666666666666E-2"/>
    <x v="26"/>
    <x v="3"/>
    <s v="OK"/>
    <x v="2"/>
    <s v="OK"/>
    <x v="0"/>
    <x v="0"/>
    <n v="1"/>
    <n v="1"/>
    <n v="0"/>
    <n v="0"/>
    <x v="0"/>
    <x v="0"/>
    <x v="0"/>
  </r>
  <r>
    <n v="20601917590"/>
    <x v="0"/>
    <x v="0"/>
    <x v="2093"/>
    <x v="2100"/>
    <x v="1797"/>
    <n v="2"/>
    <x v="2"/>
    <s v="E3"/>
    <m/>
    <x v="225"/>
    <x v="0"/>
    <x v="0"/>
    <x v="0"/>
    <x v="129"/>
    <x v="0"/>
    <n v="4"/>
    <m/>
    <x v="0"/>
    <x v="0"/>
    <n v="1.6666666666666666E-2"/>
    <x v="26"/>
    <x v="3"/>
    <s v="OK"/>
    <x v="0"/>
    <s v="OK"/>
    <x v="0"/>
    <x v="0"/>
    <n v="1"/>
    <n v="0"/>
    <n v="0"/>
    <n v="0"/>
    <x v="0"/>
    <x v="0"/>
    <x v="0"/>
  </r>
  <r>
    <n v="20601917590"/>
    <x v="0"/>
    <x v="0"/>
    <x v="2094"/>
    <x v="2101"/>
    <x v="1798"/>
    <n v="2"/>
    <x v="2"/>
    <s v="E3"/>
    <s v="Av. Guardia Republicana 15093"/>
    <x v="6"/>
    <x v="0"/>
    <x v="0"/>
    <x v="0"/>
    <x v="154"/>
    <x v="0"/>
    <n v="4"/>
    <n v="160"/>
    <x v="0"/>
    <x v="0"/>
    <n v="1.6666666666666666E-2"/>
    <x v="24"/>
    <x v="3"/>
    <s v="OK"/>
    <x v="2"/>
    <s v="OK"/>
    <x v="0"/>
    <x v="0"/>
    <n v="1"/>
    <n v="1"/>
    <n v="0"/>
    <n v="0"/>
    <x v="0"/>
    <x v="0"/>
    <x v="0"/>
  </r>
  <r>
    <n v="2055163079"/>
    <x v="42"/>
    <x v="35"/>
    <x v="2095"/>
    <x v="2102"/>
    <x v="1799"/>
    <n v="3"/>
    <x v="323"/>
    <s v="ESTACIONES Y PATIO TALLER"/>
    <s v="MZ. F LOTE 10 ASENT. H MARCAVILCA"/>
    <x v="38"/>
    <x v="0"/>
    <x v="0"/>
    <x v="1"/>
    <x v="228"/>
    <x v="0"/>
    <n v="1"/>
    <n v="18"/>
    <x v="0"/>
    <x v="1"/>
    <n v="0.125"/>
    <x v="27"/>
    <x v="3"/>
    <s v="OK"/>
    <x v="0"/>
    <s v="OK"/>
    <x v="0"/>
    <x v="0"/>
    <n v="1"/>
    <n v="0"/>
    <n v="0"/>
    <n v="0"/>
    <x v="0"/>
    <x v="0"/>
    <x v="0"/>
  </r>
  <r>
    <n v="2055163079"/>
    <x v="42"/>
    <x v="35"/>
    <x v="2096"/>
    <x v="2103"/>
    <x v="1800"/>
    <n v="3"/>
    <x v="323"/>
    <s v="ESTACIONES Y PATIO TALLER"/>
    <s v="CALLE LOS CAMPESINOS MZ Z LT 36"/>
    <x v="15"/>
    <x v="0"/>
    <x v="0"/>
    <x v="1"/>
    <x v="443"/>
    <x v="0"/>
    <n v="1"/>
    <n v="15"/>
    <x v="0"/>
    <x v="1"/>
    <n v="0.125"/>
    <x v="28"/>
    <x v="3"/>
    <s v="OK"/>
    <x v="0"/>
    <s v="OK"/>
    <x v="0"/>
    <x v="0"/>
    <n v="1"/>
    <n v="0"/>
    <n v="0"/>
    <n v="0"/>
    <x v="0"/>
    <x v="0"/>
    <x v="0"/>
  </r>
  <r>
    <n v="20600111354"/>
    <x v="1"/>
    <x v="1"/>
    <x v="2097"/>
    <x v="2104"/>
    <x v="1801"/>
    <n v="1"/>
    <x v="45"/>
    <s v=" ESTACION 03 RAMAL 4"/>
    <s v="CACERIO VILLA TANIN"/>
    <x v="27"/>
    <x v="0"/>
    <x v="0"/>
    <x v="1"/>
    <x v="445"/>
    <x v="0"/>
    <n v="1"/>
    <n v="278"/>
    <x v="0"/>
    <x v="1"/>
    <n v="7.462686567164179E-3"/>
    <x v="24"/>
    <x v="3"/>
    <s v="OK"/>
    <x v="5"/>
    <s v="OK"/>
    <x v="0"/>
    <x v="0"/>
    <n v="1"/>
    <n v="1"/>
    <n v="0"/>
    <n v="0"/>
    <x v="0"/>
    <x v="0"/>
    <x v="0"/>
  </r>
  <r>
    <n v="20600111354"/>
    <x v="1"/>
    <x v="1"/>
    <x v="2098"/>
    <x v="2105"/>
    <x v="1802"/>
    <n v="2"/>
    <x v="4"/>
    <s v=" ESTACION 01 /ESTACION 02 / ESTACION 03 RAMAL 4"/>
    <s v="MZ J LT 02 LA PASCANA - DISTRITO DE COMAS"/>
    <x v="0"/>
    <x v="0"/>
    <x v="0"/>
    <x v="1"/>
    <x v="643"/>
    <x v="0"/>
    <n v="4"/>
    <n v="168"/>
    <x v="0"/>
    <x v="1"/>
    <n v="7.462686567164179E-3"/>
    <x v="29"/>
    <x v="3"/>
    <s v="OK"/>
    <x v="0"/>
    <s v="OK"/>
    <x v="0"/>
    <x v="0"/>
    <n v="1"/>
    <n v="0"/>
    <n v="0"/>
    <n v="0"/>
    <x v="0"/>
    <x v="0"/>
    <x v="0"/>
  </r>
  <r>
    <n v="20600111354"/>
    <x v="1"/>
    <x v="1"/>
    <x v="2099"/>
    <x v="2106"/>
    <x v="1803"/>
    <n v="1"/>
    <x v="59"/>
    <s v="PLANTA DOVELAS"/>
    <s v="A.H. HIJOS DE MIGUEL GRAU II MZ. C LT. 11"/>
    <x v="81"/>
    <x v="0"/>
    <x v="0"/>
    <x v="1"/>
    <x v="445"/>
    <x v="0"/>
    <n v="4"/>
    <n v="189.5"/>
    <x v="0"/>
    <x v="1"/>
    <n v="7.462686567164179E-3"/>
    <x v="24"/>
    <x v="3"/>
    <s v="OK"/>
    <x v="0"/>
    <s v="OK"/>
    <x v="0"/>
    <x v="0"/>
    <n v="1"/>
    <n v="0"/>
    <n v="0"/>
    <n v="0"/>
    <x v="0"/>
    <x v="0"/>
    <x v="0"/>
  </r>
  <r>
    <n v="20600111354"/>
    <x v="1"/>
    <x v="1"/>
    <x v="2100"/>
    <x v="2107"/>
    <x v="1804"/>
    <n v="1"/>
    <x v="324"/>
    <s v=" ESTACION 03 RAMAL4 /DOVELAS"/>
    <s v="JR. ALMIRANTE MARTIN JORGE GUISEN 484-CERCADO MZ G LT 6 -  CALLAO"/>
    <x v="298"/>
    <x v="1"/>
    <x v="0"/>
    <x v="1"/>
    <x v="644"/>
    <x v="0"/>
    <n v="1"/>
    <n v="232"/>
    <x v="0"/>
    <x v="1"/>
    <n v="7.462686567164179E-3"/>
    <x v="29"/>
    <x v="3"/>
    <s v="OK"/>
    <x v="2"/>
    <s v="OK"/>
    <x v="0"/>
    <x v="0"/>
    <n v="1"/>
    <n v="1"/>
    <n v="0"/>
    <n v="0"/>
    <x v="0"/>
    <x v="0"/>
    <x v="0"/>
  </r>
  <r>
    <n v="20600111354"/>
    <x v="1"/>
    <x v="1"/>
    <x v="2101"/>
    <x v="2108"/>
    <x v="1805"/>
    <n v="2"/>
    <x v="4"/>
    <s v="ESTACION 12/ESTACION 03 RAMAL 4 / ESTACION 09"/>
    <s v="PSJ. LOS TULIPANES NUEVA PRIMAVERA 30 DE SETIEMBRE MZ F LT 14"/>
    <x v="4"/>
    <x v="0"/>
    <x v="0"/>
    <x v="1"/>
    <x v="158"/>
    <x v="0"/>
    <n v="4"/>
    <n v="172"/>
    <x v="0"/>
    <x v="1"/>
    <n v="7.462686567164179E-3"/>
    <x v="25"/>
    <x v="3"/>
    <s v="OK"/>
    <x v="0"/>
    <s v="OK"/>
    <x v="0"/>
    <x v="0"/>
    <n v="1"/>
    <n v="0"/>
    <n v="0"/>
    <n v="0"/>
    <x v="0"/>
    <x v="0"/>
    <x v="0"/>
  </r>
  <r>
    <n v="20600111354"/>
    <x v="1"/>
    <x v="1"/>
    <x v="2102"/>
    <x v="2109"/>
    <x v="1806"/>
    <n v="1"/>
    <x v="4"/>
    <s v="ESTACION 09 /ESTACION 04 / ESTACION 13"/>
    <s v="MZ - D LT 3 PROGRAMA MIRADOR II- "/>
    <x v="3"/>
    <x v="0"/>
    <x v="0"/>
    <x v="1"/>
    <x v="158"/>
    <x v="0"/>
    <n v="1"/>
    <n v="177"/>
    <x v="0"/>
    <x v="1"/>
    <n v="7.462686567164179E-3"/>
    <x v="23"/>
    <x v="3"/>
    <s v="OK"/>
    <x v="0"/>
    <s v="OK"/>
    <x v="0"/>
    <x v="0"/>
    <n v="1"/>
    <n v="0"/>
    <n v="0"/>
    <n v="0"/>
    <x v="0"/>
    <x v="0"/>
    <x v="0"/>
  </r>
  <r>
    <n v="20600111354"/>
    <x v="1"/>
    <x v="1"/>
    <x v="2103"/>
    <x v="2110"/>
    <x v="1807"/>
    <n v="2"/>
    <x v="4"/>
    <s v="ESTACION 03 RAMAL 4"/>
    <s v="Jr. Juan Luis Hague 3590"/>
    <x v="3"/>
    <x v="0"/>
    <x v="0"/>
    <x v="1"/>
    <x v="645"/>
    <x v="0"/>
    <n v="4"/>
    <n v="169"/>
    <x v="0"/>
    <x v="1"/>
    <n v="7.462686567164179E-3"/>
    <x v="28"/>
    <x v="3"/>
    <s v="OK"/>
    <x v="0"/>
    <s v="OK"/>
    <x v="0"/>
    <x v="0"/>
    <n v="1"/>
    <n v="0"/>
    <n v="0"/>
    <n v="0"/>
    <x v="0"/>
    <x v="0"/>
    <x v="0"/>
  </r>
  <r>
    <n v="20600111354"/>
    <x v="1"/>
    <x v="1"/>
    <x v="2104"/>
    <x v="2111"/>
    <x v="1808"/>
    <n v="2"/>
    <x v="4"/>
    <s v="ESTACION 03 RAMAL 4"/>
    <s v="MZ M LTE 3 PSJ. VILLA POETA JOSE GALVEZ PARCELA B"/>
    <x v="8"/>
    <x v="0"/>
    <x v="0"/>
    <x v="1"/>
    <x v="646"/>
    <x v="0"/>
    <n v="4"/>
    <n v="174"/>
    <x v="0"/>
    <x v="1"/>
    <n v="7.462686567164179E-3"/>
    <x v="24"/>
    <x v="3"/>
    <s v="OK"/>
    <x v="0"/>
    <s v="OK"/>
    <x v="0"/>
    <x v="0"/>
    <n v="1"/>
    <n v="0"/>
    <n v="0"/>
    <n v="0"/>
    <x v="0"/>
    <x v="0"/>
    <x v="0"/>
  </r>
  <r>
    <n v="20600111354"/>
    <x v="1"/>
    <x v="1"/>
    <x v="2105"/>
    <x v="2112"/>
    <x v="1809"/>
    <n v="2"/>
    <x v="4"/>
    <s v=" DOVELAS"/>
    <s v="PROLONGACIÓN JOSE GALVEZ 168"/>
    <x v="6"/>
    <x v="0"/>
    <x v="0"/>
    <x v="1"/>
    <x v="647"/>
    <x v="0"/>
    <n v="4"/>
    <n v="195"/>
    <x v="0"/>
    <x v="1"/>
    <n v="7.462686567164179E-3"/>
    <x v="30"/>
    <x v="3"/>
    <s v="OK"/>
    <x v="2"/>
    <s v="OK"/>
    <x v="0"/>
    <x v="0"/>
    <n v="1"/>
    <n v="1"/>
    <n v="0"/>
    <n v="0"/>
    <x v="0"/>
    <x v="0"/>
    <x v="0"/>
  </r>
  <r>
    <n v="20600111354"/>
    <x v="1"/>
    <x v="1"/>
    <x v="2106"/>
    <x v="2113"/>
    <x v="1810"/>
    <n v="2"/>
    <x v="4"/>
    <s v="ESTACION 03 RAMAL 4"/>
    <s v="JOSE MORALES CHICARA 14"/>
    <x v="101"/>
    <x v="0"/>
    <x v="0"/>
    <x v="1"/>
    <x v="648"/>
    <x v="0"/>
    <n v="4"/>
    <n v="183"/>
    <x v="0"/>
    <x v="1"/>
    <n v="7.462686567164179E-3"/>
    <x v="23"/>
    <x v="3"/>
    <s v="OK"/>
    <x v="0"/>
    <s v="OK"/>
    <x v="0"/>
    <x v="0"/>
    <n v="1"/>
    <n v="0"/>
    <n v="0"/>
    <n v="0"/>
    <x v="0"/>
    <x v="0"/>
    <x v="0"/>
  </r>
  <r>
    <n v="20600111354"/>
    <x v="1"/>
    <x v="1"/>
    <x v="2107"/>
    <x v="2114"/>
    <x v="1811"/>
    <n v="1"/>
    <x v="60"/>
    <s v="ESTACION 01 / ESTACION 2 / ESTACIÓN 12/ ESTACION 11 / ESTACION 09"/>
    <s v="AV.PROLONG.SALAVERRY NRO.157 CONDEVILLA"/>
    <x v="3"/>
    <x v="0"/>
    <x v="0"/>
    <x v="1"/>
    <x v="649"/>
    <x v="0"/>
    <n v="1"/>
    <n v="275.5"/>
    <x v="0"/>
    <x v="1"/>
    <n v="7.462686567164179E-3"/>
    <x v="25"/>
    <x v="3"/>
    <s v="OK"/>
    <x v="0"/>
    <s v="OK"/>
    <x v="0"/>
    <x v="0"/>
    <n v="1"/>
    <n v="0"/>
    <n v="0"/>
    <n v="0"/>
    <x v="0"/>
    <x v="0"/>
    <x v="0"/>
  </r>
  <r>
    <n v="20600111354"/>
    <x v="1"/>
    <x v="1"/>
    <x v="2108"/>
    <x v="2115"/>
    <x v="1812"/>
    <n v="1"/>
    <x v="45"/>
    <s v="ESTACION 11/  ESTACION 09"/>
    <s v="MZ.K LT.4 LOS PERALES "/>
    <x v="27"/>
    <x v="0"/>
    <x v="0"/>
    <x v="1"/>
    <x v="650"/>
    <x v="0"/>
    <n v="1"/>
    <n v="303"/>
    <x v="0"/>
    <x v="1"/>
    <n v="7.462686567164179E-3"/>
    <x v="31"/>
    <x v="3"/>
    <s v="OK"/>
    <x v="5"/>
    <s v="OK"/>
    <x v="0"/>
    <x v="0"/>
    <n v="1"/>
    <n v="1"/>
    <n v="0"/>
    <n v="0"/>
    <x v="0"/>
    <x v="0"/>
    <x v="0"/>
  </r>
  <r>
    <n v="20600111354"/>
    <x v="1"/>
    <x v="1"/>
    <x v="2109"/>
    <x v="2116"/>
    <x v="1813"/>
    <n v="2"/>
    <x v="4"/>
    <s v="ESTACION 09 / ESTACION 11"/>
    <s v="JR. LAS PALMERAS 191"/>
    <x v="0"/>
    <x v="0"/>
    <x v="0"/>
    <x v="1"/>
    <x v="388"/>
    <x v="0"/>
    <n v="4"/>
    <n v="179"/>
    <x v="0"/>
    <x v="1"/>
    <n v="7.462686567164179E-3"/>
    <x v="27"/>
    <x v="3"/>
    <s v="OK"/>
    <x v="0"/>
    <s v="OK"/>
    <x v="0"/>
    <x v="0"/>
    <n v="1"/>
    <n v="0"/>
    <n v="0"/>
    <n v="0"/>
    <x v="0"/>
    <x v="0"/>
    <x v="0"/>
  </r>
  <r>
    <n v="20600111354"/>
    <x v="1"/>
    <x v="1"/>
    <x v="2110"/>
    <x v="2117"/>
    <x v="1814"/>
    <n v="2"/>
    <x v="5"/>
    <s v="ESTACION 12/ESTACION 09"/>
    <s v="PSJ.RAYMONDI 370 INT.23"/>
    <x v="25"/>
    <x v="0"/>
    <x v="0"/>
    <x v="1"/>
    <x v="261"/>
    <x v="0"/>
    <n v="4"/>
    <n v="167"/>
    <x v="0"/>
    <x v="1"/>
    <n v="7.462686567164179E-3"/>
    <x v="23"/>
    <x v="3"/>
    <s v="OK"/>
    <x v="4"/>
    <s v="OK"/>
    <x v="0"/>
    <x v="0"/>
    <n v="1"/>
    <n v="1"/>
    <n v="0"/>
    <n v="0"/>
    <x v="0"/>
    <x v="0"/>
    <x v="0"/>
  </r>
  <r>
    <n v="20600111354"/>
    <x v="1"/>
    <x v="1"/>
    <x v="2111"/>
    <x v="2118"/>
    <x v="1815"/>
    <n v="2"/>
    <x v="59"/>
    <s v="ESTACION 09"/>
    <s v="MZ L LT 15 PRO V R HAYA DE LA TORRE "/>
    <x v="44"/>
    <x v="0"/>
    <x v="0"/>
    <x v="1"/>
    <x v="78"/>
    <x v="0"/>
    <n v="4"/>
    <n v="175"/>
    <x v="0"/>
    <x v="1"/>
    <n v="7.462686567164179E-3"/>
    <x v="28"/>
    <x v="3"/>
    <s v="OK"/>
    <x v="0"/>
    <s v="OK"/>
    <x v="0"/>
    <x v="0"/>
    <n v="1"/>
    <n v="0"/>
    <n v="0"/>
    <n v="0"/>
    <x v="0"/>
    <x v="0"/>
    <x v="0"/>
  </r>
  <r>
    <n v="20600111354"/>
    <x v="1"/>
    <x v="1"/>
    <x v="2112"/>
    <x v="2119"/>
    <x v="1816"/>
    <n v="2"/>
    <x v="4"/>
    <s v="ESTACION 13 / ESTACION 03 RAMAL 4"/>
    <s v="AV PRIMAVERA MZ C LT 17 SAN GABRIEL"/>
    <x v="8"/>
    <x v="0"/>
    <x v="0"/>
    <x v="1"/>
    <x v="145"/>
    <x v="0"/>
    <n v="4"/>
    <n v="177.5"/>
    <x v="0"/>
    <x v="1"/>
    <n v="7.462686567164179E-3"/>
    <x v="30"/>
    <x v="3"/>
    <s v="OK"/>
    <x v="0"/>
    <s v="OK"/>
    <x v="0"/>
    <x v="0"/>
    <n v="1"/>
    <n v="0"/>
    <n v="0"/>
    <n v="0"/>
    <x v="0"/>
    <x v="0"/>
    <x v="0"/>
  </r>
  <r>
    <n v="20550335795"/>
    <x v="43"/>
    <x v="1"/>
    <x v="2113"/>
    <x v="2120"/>
    <x v="1817"/>
    <n v="2"/>
    <x v="4"/>
    <s v="PLANTA DOVELAS"/>
    <s v="SECTOR 6 GRUPO 5 MZ.J LT.15 "/>
    <x v="19"/>
    <x v="0"/>
    <x v="0"/>
    <x v="1"/>
    <x v="173"/>
    <x v="0"/>
    <n v="4"/>
    <n v="208"/>
    <x v="0"/>
    <x v="0"/>
    <n v="7.462686567164179E-3"/>
    <x v="23"/>
    <x v="3"/>
    <s v="OK"/>
    <x v="0"/>
    <s v="OK"/>
    <x v="0"/>
    <x v="0"/>
    <n v="1"/>
    <n v="0"/>
    <n v="0"/>
    <n v="0"/>
    <x v="0"/>
    <x v="0"/>
    <x v="0"/>
  </r>
  <r>
    <n v="20550335795"/>
    <x v="43"/>
    <x v="1"/>
    <x v="2114"/>
    <x v="2121"/>
    <x v="1818"/>
    <n v="2"/>
    <x v="4"/>
    <s v="PLANTA DOVELAS"/>
    <s v="MONTE ZARUMO S/N LACRAMARCA ALTA ANCASH-SANTA-CHIMBOTE "/>
    <x v="10"/>
    <x v="0"/>
    <x v="0"/>
    <x v="1"/>
    <x v="71"/>
    <x v="0"/>
    <n v="4"/>
    <n v="181.5"/>
    <x v="0"/>
    <x v="0"/>
    <n v="7.462686567164179E-3"/>
    <x v="26"/>
    <x v="3"/>
    <s v="OK"/>
    <x v="0"/>
    <s v="OK"/>
    <x v="0"/>
    <x v="0"/>
    <n v="1"/>
    <n v="0"/>
    <n v="0"/>
    <n v="0"/>
    <x v="0"/>
    <x v="0"/>
    <x v="0"/>
  </r>
  <r>
    <n v="20550335795"/>
    <x v="43"/>
    <x v="1"/>
    <x v="2115"/>
    <x v="2122"/>
    <x v="1819"/>
    <n v="2"/>
    <x v="59"/>
    <s v="PLANTA DOVELAS"/>
    <s v="JIRON PACIFICO 248"/>
    <x v="6"/>
    <x v="0"/>
    <x v="0"/>
    <x v="1"/>
    <x v="173"/>
    <x v="0"/>
    <n v="4"/>
    <n v="208"/>
    <x v="0"/>
    <x v="0"/>
    <n v="7.462686567164179E-3"/>
    <x v="24"/>
    <x v="3"/>
    <s v="OK"/>
    <x v="2"/>
    <s v="OK"/>
    <x v="0"/>
    <x v="0"/>
    <n v="1"/>
    <n v="1"/>
    <n v="0"/>
    <n v="0"/>
    <x v="0"/>
    <x v="0"/>
    <x v="0"/>
  </r>
  <r>
    <n v="20550335795"/>
    <x v="43"/>
    <x v="1"/>
    <x v="2116"/>
    <x v="2123"/>
    <x v="1820"/>
    <n v="2"/>
    <x v="4"/>
    <s v="PLANTA DOVELAS"/>
    <s v="ASENT.H.VILLA ESPERANZA MZ.J-1 LT.10 LIMA-LIMA-CARABAYLLO"/>
    <x v="54"/>
    <x v="0"/>
    <x v="0"/>
    <x v="1"/>
    <x v="651"/>
    <x v="0"/>
    <n v="4"/>
    <n v="200"/>
    <x v="0"/>
    <x v="0"/>
    <n v="7.462686567164179E-3"/>
    <x v="24"/>
    <x v="3"/>
    <s v="OK"/>
    <x v="0"/>
    <s v="OK"/>
    <x v="0"/>
    <x v="0"/>
    <n v="1"/>
    <n v="0"/>
    <n v="0"/>
    <n v="0"/>
    <x v="0"/>
    <x v="0"/>
    <x v="0"/>
  </r>
  <r>
    <n v="20550335795"/>
    <x v="43"/>
    <x v="1"/>
    <x v="2117"/>
    <x v="2124"/>
    <x v="1821"/>
    <n v="1"/>
    <x v="113"/>
    <s v="PLANTA DOVELAS"/>
    <s v="MZ. F LT. 09 ASOC. DE VIVENDA LAS BRISAS DE SANTA ROSA"/>
    <x v="18"/>
    <x v="0"/>
    <x v="0"/>
    <x v="1"/>
    <x v="10"/>
    <x v="0"/>
    <n v="1"/>
    <n v="200"/>
    <x v="0"/>
    <x v="0"/>
    <n v="7.462686567164179E-3"/>
    <x v="28"/>
    <x v="3"/>
    <s v="OK"/>
    <x v="0"/>
    <s v="OK"/>
    <x v="0"/>
    <x v="0"/>
    <n v="1"/>
    <n v="0"/>
    <n v="0"/>
    <n v="0"/>
    <x v="0"/>
    <x v="0"/>
    <x v="0"/>
  </r>
  <r>
    <n v="20550335795"/>
    <x v="43"/>
    <x v="1"/>
    <x v="2118"/>
    <x v="2125"/>
    <x v="1822"/>
    <n v="2"/>
    <x v="4"/>
    <s v="PLANTA DOVELAS"/>
    <s v="ASOC. VIV LAS GARDENIAS ATE VITARTE 1 ETAPA MZ. A12 LT. 29"/>
    <x v="1"/>
    <x v="0"/>
    <x v="0"/>
    <x v="1"/>
    <x v="288"/>
    <x v="0"/>
    <n v="1"/>
    <n v="168"/>
    <x v="0"/>
    <x v="0"/>
    <n v="7.462686567164179E-3"/>
    <x v="24"/>
    <x v="3"/>
    <s v="OK"/>
    <x v="1"/>
    <s v="OK"/>
    <x v="0"/>
    <x v="0"/>
    <n v="1"/>
    <n v="1"/>
    <n v="0"/>
    <n v="0"/>
    <x v="0"/>
    <x v="0"/>
    <x v="0"/>
  </r>
  <r>
    <n v="20550335796"/>
    <x v="43"/>
    <x v="1"/>
    <x v="2119"/>
    <x v="2126"/>
    <x v="1823"/>
    <n v="1"/>
    <x v="325"/>
    <s v="PLANTA DOVELAS"/>
    <s v="JR. CARMEN 758 LIMA"/>
    <x v="86"/>
    <x v="0"/>
    <x v="0"/>
    <x v="1"/>
    <x v="141"/>
    <x v="0"/>
    <n v="1"/>
    <n v="200"/>
    <x v="0"/>
    <x v="0"/>
    <n v="7.462686567164179E-3"/>
    <x v="25"/>
    <x v="3"/>
    <s v="OK"/>
    <x v="0"/>
    <s v="OK"/>
    <x v="0"/>
    <x v="0"/>
    <n v="1"/>
    <n v="0"/>
    <n v="0"/>
    <n v="0"/>
    <x v="0"/>
    <x v="0"/>
    <x v="0"/>
  </r>
  <r>
    <n v="20521130327"/>
    <x v="66"/>
    <x v="1"/>
    <x v="2120"/>
    <x v="2127"/>
    <x v="1824"/>
    <n v="1"/>
    <x v="214"/>
    <s v="ESTACION 01/ESTACION 09/ESTACION 11/ESTACION 12/DOVELAS/ESTACION 02"/>
    <s v="AH. LA ESTRELLA AMPLIACION MZ. K LT 4"/>
    <x v="1"/>
    <x v="0"/>
    <x v="2"/>
    <x v="1"/>
    <x v="652"/>
    <x v="2"/>
    <n v="1"/>
    <n v="0"/>
    <x v="0"/>
    <x v="0"/>
    <n v="7.462686567164179E-3"/>
    <x v="26"/>
    <x v="3"/>
    <s v="OK"/>
    <x v="1"/>
    <s v="OK"/>
    <x v="0"/>
    <x v="0"/>
    <n v="1"/>
    <n v="1"/>
    <n v="0"/>
    <n v="1"/>
    <x v="0"/>
    <x v="1"/>
    <x v="0"/>
  </r>
  <r>
    <s v="20431084172"/>
    <x v="44"/>
    <x v="36"/>
    <x v="2121"/>
    <x v="2128"/>
    <x v="1825"/>
    <n v="3"/>
    <x v="91"/>
    <s v="ESTACION AVIACION NAVAL  - CALLAO"/>
    <s v=" FUNDO BUENOS AIRES MZ. E LT. 1E PANAM. SUR KM. 18 "/>
    <x v="19"/>
    <x v="0"/>
    <x v="0"/>
    <x v="1"/>
    <x v="653"/>
    <x v="0"/>
    <n v="1"/>
    <n v="200"/>
    <x v="0"/>
    <x v="1"/>
    <n v="0.1"/>
    <x v="24"/>
    <x v="3"/>
    <s v="OK"/>
    <x v="0"/>
    <s v="OK"/>
    <x v="0"/>
    <x v="0"/>
    <n v="1"/>
    <n v="0"/>
    <n v="0"/>
    <n v="0"/>
    <x v="0"/>
    <x v="0"/>
    <x v="0"/>
  </r>
  <r>
    <s v="20431084172"/>
    <x v="44"/>
    <x v="36"/>
    <x v="2122"/>
    <x v="2129"/>
    <x v="1826"/>
    <n v="3"/>
    <x v="91"/>
    <s v="ESTACION AVIACION NAVAL  - CALLAO"/>
    <s v="COOP. VIRGEN DE COCHARCAS MZ. G LT. 15 "/>
    <x v="19"/>
    <x v="0"/>
    <x v="0"/>
    <x v="1"/>
    <x v="654"/>
    <x v="0"/>
    <n v="1"/>
    <n v="200"/>
    <x v="0"/>
    <x v="1"/>
    <n v="0.1"/>
    <x v="29"/>
    <x v="3"/>
    <s v="OK"/>
    <x v="0"/>
    <s v="OK"/>
    <x v="0"/>
    <x v="0"/>
    <n v="1"/>
    <n v="0"/>
    <n v="0"/>
    <n v="0"/>
    <x v="0"/>
    <x v="0"/>
    <x v="0"/>
  </r>
  <r>
    <s v="20431084172"/>
    <x v="44"/>
    <x v="36"/>
    <x v="2123"/>
    <x v="2130"/>
    <x v="1827"/>
    <n v="3"/>
    <x v="63"/>
    <s v="E14, E15, E16, E17, E24, E25, E26, E27"/>
    <s v="ASOC. LOS PORTALES DE NARANJAL MZ. C LT. 7 2DA. ETAPA "/>
    <x v="3"/>
    <x v="0"/>
    <x v="0"/>
    <x v="1"/>
    <x v="655"/>
    <x v="0"/>
    <n v="1"/>
    <n v="200"/>
    <x v="0"/>
    <x v="1"/>
    <n v="0.1"/>
    <x v="26"/>
    <x v="3"/>
    <s v="OK"/>
    <x v="0"/>
    <s v="OK"/>
    <x v="0"/>
    <x v="0"/>
    <n v="1"/>
    <n v="0"/>
    <n v="0"/>
    <n v="0"/>
    <x v="0"/>
    <x v="0"/>
    <x v="0"/>
  </r>
  <r>
    <s v="20431084172"/>
    <x v="44"/>
    <x v="36"/>
    <x v="2124"/>
    <x v="2131"/>
    <x v="1828"/>
    <n v="3"/>
    <x v="326"/>
    <s v="-"/>
    <s v=" LAS VEGAS CAL 5 MZ C LT 14"/>
    <x v="4"/>
    <x v="0"/>
    <x v="0"/>
    <x v="1"/>
    <x v="469"/>
    <x v="0"/>
    <n v="1"/>
    <n v="200"/>
    <x v="0"/>
    <x v="1"/>
    <n v="0.1"/>
    <x v="27"/>
    <x v="3"/>
    <s v="OK"/>
    <x v="0"/>
    <s v="OK"/>
    <x v="0"/>
    <x v="0"/>
    <n v="1"/>
    <n v="0"/>
    <n v="0"/>
    <n v="0"/>
    <x v="0"/>
    <x v="0"/>
    <x v="0"/>
  </r>
  <r>
    <n v="20296637697"/>
    <x v="2"/>
    <x v="2"/>
    <x v="2125"/>
    <x v="2132"/>
    <x v="1829"/>
    <n v="2"/>
    <x v="11"/>
    <s v="E-4"/>
    <s v="AAHH 23 DE ENERO "/>
    <x v="44"/>
    <x v="0"/>
    <x v="0"/>
    <x v="1"/>
    <x v="47"/>
    <x v="0"/>
    <n v="4"/>
    <n v="206.5"/>
    <x v="0"/>
    <x v="1"/>
    <n v="2.5641025641025641E-3"/>
    <x v="31"/>
    <x v="3"/>
    <s v="OK"/>
    <x v="0"/>
    <s v="OK"/>
    <x v="0"/>
    <x v="0"/>
    <n v="1"/>
    <n v="0"/>
    <n v="0"/>
    <n v="0"/>
    <x v="0"/>
    <x v="0"/>
    <x v="0"/>
  </r>
  <r>
    <n v="20296637697"/>
    <x v="2"/>
    <x v="2"/>
    <x v="2126"/>
    <x v="2133"/>
    <x v="1830"/>
    <n v="2"/>
    <x v="11"/>
    <s v="E-4"/>
    <s v="ASOCIACION VILLA HERMOSA MZ F LT1"/>
    <x v="1"/>
    <x v="0"/>
    <x v="0"/>
    <x v="1"/>
    <x v="393"/>
    <x v="0"/>
    <n v="4"/>
    <n v="138.5"/>
    <x v="0"/>
    <x v="1"/>
    <n v="2.5641025641025641E-3"/>
    <x v="31"/>
    <x v="3"/>
    <s v="OK"/>
    <x v="1"/>
    <s v="OK"/>
    <x v="0"/>
    <x v="0"/>
    <n v="1"/>
    <n v="1"/>
    <n v="0"/>
    <n v="0"/>
    <x v="0"/>
    <x v="0"/>
    <x v="0"/>
  </r>
  <r>
    <n v="20296637697"/>
    <x v="2"/>
    <x v="2"/>
    <x v="2127"/>
    <x v="2134"/>
    <x v="1831"/>
    <n v="2"/>
    <x v="327"/>
    <s v="E-4"/>
    <s v="CALLE BLASCO NUÑEZ DE VELA 675"/>
    <x v="0"/>
    <x v="0"/>
    <x v="0"/>
    <x v="1"/>
    <x v="393"/>
    <x v="0"/>
    <n v="4"/>
    <n v="209.5"/>
    <x v="0"/>
    <x v="1"/>
    <n v="2.5641025641025641E-3"/>
    <x v="30"/>
    <x v="3"/>
    <s v="OK"/>
    <x v="0"/>
    <s v="OK"/>
    <x v="0"/>
    <x v="0"/>
    <n v="1"/>
    <n v="0"/>
    <n v="0"/>
    <n v="0"/>
    <x v="0"/>
    <x v="0"/>
    <x v="0"/>
  </r>
  <r>
    <n v="20296637697"/>
    <x v="2"/>
    <x v="2"/>
    <x v="2128"/>
    <x v="2135"/>
    <x v="1832"/>
    <n v="2"/>
    <x v="11"/>
    <s v="E-4"/>
    <s v="MZ U LT 4 AH VIRGEN DE CHAPI LIMA"/>
    <x v="58"/>
    <x v="0"/>
    <x v="0"/>
    <x v="1"/>
    <x v="10"/>
    <x v="0"/>
    <n v="4"/>
    <n v="245.5"/>
    <x v="0"/>
    <x v="1"/>
    <n v="2.5641025641025641E-3"/>
    <x v="27"/>
    <x v="3"/>
    <s v="OK"/>
    <x v="0"/>
    <s v="OK"/>
    <x v="0"/>
    <x v="0"/>
    <n v="1"/>
    <n v="0"/>
    <n v="0"/>
    <n v="0"/>
    <x v="0"/>
    <x v="0"/>
    <x v="0"/>
  </r>
  <r>
    <n v="20296637697"/>
    <x v="2"/>
    <x v="2"/>
    <x v="2129"/>
    <x v="2136"/>
    <x v="1833"/>
    <n v="2"/>
    <x v="4"/>
    <s v="E-4"/>
    <s v="VIV. MIÑANO Y DUPEYRA MZ. B LT. 05"/>
    <x v="54"/>
    <x v="0"/>
    <x v="7"/>
    <x v="1"/>
    <x v="10"/>
    <x v="2"/>
    <n v="4"/>
    <n v="123"/>
    <x v="0"/>
    <x v="1"/>
    <n v="2.5641025641025641E-3"/>
    <x v="28"/>
    <x v="3"/>
    <s v="OK"/>
    <x v="0"/>
    <s v="OK"/>
    <x v="0"/>
    <x v="0"/>
    <n v="1"/>
    <n v="0"/>
    <n v="0"/>
    <n v="1"/>
    <x v="0"/>
    <x v="1"/>
    <x v="0"/>
  </r>
  <r>
    <n v="20296637697"/>
    <x v="2"/>
    <x v="2"/>
    <x v="2130"/>
    <x v="2137"/>
    <x v="1834"/>
    <n v="2"/>
    <x v="67"/>
    <s v="E-4"/>
    <s v="AVENIDA CHAVEZ GAVILAN 600-AYACUCHO"/>
    <x v="299"/>
    <x v="0"/>
    <x v="0"/>
    <x v="1"/>
    <x v="10"/>
    <x v="0"/>
    <n v="4"/>
    <n v="221"/>
    <x v="0"/>
    <x v="1"/>
    <n v="2.5641025641025641E-3"/>
    <x v="24"/>
    <x v="3"/>
    <s v="OK"/>
    <x v="0"/>
    <s v="OK"/>
    <x v="0"/>
    <x v="0"/>
    <n v="1"/>
    <n v="0"/>
    <n v="0"/>
    <n v="0"/>
    <x v="0"/>
    <x v="0"/>
    <x v="0"/>
  </r>
  <r>
    <n v="20296637697"/>
    <x v="2"/>
    <x v="2"/>
    <x v="2131"/>
    <x v="2138"/>
    <x v="1835"/>
    <n v="2"/>
    <x v="4"/>
    <s v="E-4"/>
    <s v="MZ. C LTE 2 MONTE LOS OLIVOS"/>
    <x v="1"/>
    <x v="0"/>
    <x v="0"/>
    <x v="1"/>
    <x v="10"/>
    <x v="0"/>
    <n v="4"/>
    <n v="145.5"/>
    <x v="0"/>
    <x v="1"/>
    <n v="2.5641025641025641E-3"/>
    <x v="31"/>
    <x v="3"/>
    <s v="OK"/>
    <x v="1"/>
    <s v="OK"/>
    <x v="0"/>
    <x v="0"/>
    <n v="1"/>
    <n v="1"/>
    <n v="0"/>
    <n v="0"/>
    <x v="0"/>
    <x v="0"/>
    <x v="0"/>
  </r>
  <r>
    <n v="20296637697"/>
    <x v="2"/>
    <x v="2"/>
    <x v="2132"/>
    <x v="2139"/>
    <x v="1836"/>
    <n v="1"/>
    <x v="96"/>
    <s v="E-4"/>
    <s v="AV. JOSE DE LA MAR 286"/>
    <x v="8"/>
    <x v="0"/>
    <x v="0"/>
    <x v="1"/>
    <x v="56"/>
    <x v="0"/>
    <n v="1"/>
    <n v="192"/>
    <x v="0"/>
    <x v="1"/>
    <n v="2.5641025641025641E-3"/>
    <x v="29"/>
    <x v="3"/>
    <s v="OK"/>
    <x v="0"/>
    <s v="OK"/>
    <x v="0"/>
    <x v="0"/>
    <n v="1"/>
    <n v="0"/>
    <n v="0"/>
    <n v="0"/>
    <x v="0"/>
    <x v="0"/>
    <x v="0"/>
  </r>
  <r>
    <n v="20296637697"/>
    <x v="2"/>
    <x v="2"/>
    <x v="2133"/>
    <x v="2140"/>
    <x v="1837"/>
    <n v="2"/>
    <x v="11"/>
    <s v="E-4"/>
    <s v="MZ P LT 7 ASENT H 22 DE OCTUBRE "/>
    <x v="38"/>
    <x v="0"/>
    <x v="0"/>
    <x v="1"/>
    <x v="12"/>
    <x v="0"/>
    <n v="4"/>
    <n v="205"/>
    <x v="0"/>
    <x v="1"/>
    <n v="2.5641025641025641E-3"/>
    <x v="26"/>
    <x v="3"/>
    <s v="OK"/>
    <x v="0"/>
    <s v="OK"/>
    <x v="0"/>
    <x v="0"/>
    <n v="1"/>
    <n v="0"/>
    <n v="0"/>
    <n v="0"/>
    <x v="0"/>
    <x v="0"/>
    <x v="0"/>
  </r>
  <r>
    <n v="20296637697"/>
    <x v="2"/>
    <x v="2"/>
    <x v="2134"/>
    <x v="2141"/>
    <x v="1838"/>
    <n v="2"/>
    <x v="8"/>
    <s v="E-4"/>
    <s v="AAHH AMPL HIJOS DE VILLA DEL MAR MZ. D LT 19 - CALLAO"/>
    <x v="36"/>
    <x v="0"/>
    <x v="0"/>
    <x v="1"/>
    <x v="79"/>
    <x v="0"/>
    <n v="4"/>
    <n v="243"/>
    <x v="0"/>
    <x v="1"/>
    <n v="2.5641025641025641E-3"/>
    <x v="26"/>
    <x v="3"/>
    <s v="OK"/>
    <x v="2"/>
    <s v="OK"/>
    <x v="0"/>
    <x v="0"/>
    <n v="1"/>
    <n v="1"/>
    <n v="0"/>
    <n v="0"/>
    <x v="0"/>
    <x v="0"/>
    <x v="0"/>
  </r>
  <r>
    <n v="20296637697"/>
    <x v="2"/>
    <x v="2"/>
    <x v="2135"/>
    <x v="2142"/>
    <x v="1839"/>
    <n v="1"/>
    <x v="84"/>
    <s v="E-4"/>
    <s v="PROLG. CASTILLA MZ. N-1 LT. 8-A URB NUEVO LURIN"/>
    <x v="91"/>
    <x v="0"/>
    <x v="0"/>
    <x v="1"/>
    <x v="81"/>
    <x v="0"/>
    <n v="1"/>
    <n v="192"/>
    <x v="0"/>
    <x v="1"/>
    <n v="2.5641025641025641E-3"/>
    <x v="26"/>
    <x v="3"/>
    <s v="OK"/>
    <x v="0"/>
    <s v="OK"/>
    <x v="0"/>
    <x v="0"/>
    <n v="1"/>
    <n v="0"/>
    <n v="0"/>
    <n v="0"/>
    <x v="0"/>
    <x v="0"/>
    <x v="0"/>
  </r>
  <r>
    <n v="20296637697"/>
    <x v="2"/>
    <x v="2"/>
    <x v="2136"/>
    <x v="2143"/>
    <x v="1840"/>
    <n v="2"/>
    <x v="2"/>
    <s v="E-4"/>
    <s v="PSJ. 2 URB CIUDAD DEL PESCADOR MZ. V2 LT. 17"/>
    <x v="17"/>
    <x v="0"/>
    <x v="0"/>
    <x v="1"/>
    <x v="13"/>
    <x v="0"/>
    <n v="4"/>
    <n v="205.5"/>
    <x v="0"/>
    <x v="1"/>
    <n v="2.5641025641025641E-3"/>
    <x v="27"/>
    <x v="3"/>
    <s v="OK"/>
    <x v="2"/>
    <s v="OK"/>
    <x v="0"/>
    <x v="0"/>
    <n v="1"/>
    <n v="1"/>
    <n v="0"/>
    <n v="0"/>
    <x v="0"/>
    <x v="0"/>
    <x v="0"/>
  </r>
  <r>
    <n v="20296637697"/>
    <x v="2"/>
    <x v="2"/>
    <x v="2137"/>
    <x v="2144"/>
    <x v="1841"/>
    <n v="2"/>
    <x v="11"/>
    <s v="E-4"/>
    <s v="ASENT.H. DANIEL ALCIDES CARRION MZ.K LT.6"/>
    <x v="3"/>
    <x v="0"/>
    <x v="0"/>
    <x v="1"/>
    <x v="13"/>
    <x v="0"/>
    <n v="4"/>
    <n v="208.5"/>
    <x v="0"/>
    <x v="1"/>
    <n v="2.5641025641025641E-3"/>
    <x v="26"/>
    <x v="3"/>
    <s v="OK"/>
    <x v="0"/>
    <s v="OK"/>
    <x v="0"/>
    <x v="0"/>
    <n v="1"/>
    <n v="0"/>
    <n v="0"/>
    <n v="0"/>
    <x v="0"/>
    <x v="0"/>
    <x v="0"/>
  </r>
  <r>
    <n v="20296637697"/>
    <x v="2"/>
    <x v="2"/>
    <x v="2138"/>
    <x v="2145"/>
    <x v="1842"/>
    <n v="2"/>
    <x v="67"/>
    <s v="E-4"/>
    <s v="PARCEL 5 ASOC.ANDRES AVELINO CACERES MZ. V LT. 6"/>
    <x v="1"/>
    <x v="0"/>
    <x v="0"/>
    <x v="1"/>
    <x v="262"/>
    <x v="0"/>
    <n v="4"/>
    <n v="223.5"/>
    <x v="0"/>
    <x v="1"/>
    <n v="2.5641025641025641E-3"/>
    <x v="23"/>
    <x v="3"/>
    <s v="OK"/>
    <x v="1"/>
    <s v="OK"/>
    <x v="0"/>
    <x v="0"/>
    <n v="1"/>
    <n v="1"/>
    <n v="0"/>
    <n v="0"/>
    <x v="0"/>
    <x v="0"/>
    <x v="0"/>
  </r>
  <r>
    <n v="20296637697"/>
    <x v="2"/>
    <x v="2"/>
    <x v="2139"/>
    <x v="2146"/>
    <x v="1843"/>
    <n v="2"/>
    <x v="11"/>
    <s v="E-4"/>
    <s v="IDEPENDENCIA LAS FLORES DE SANTA ROSA "/>
    <x v="3"/>
    <x v="0"/>
    <x v="0"/>
    <x v="1"/>
    <x v="64"/>
    <x v="0"/>
    <n v="4"/>
    <n v="188"/>
    <x v="0"/>
    <x v="1"/>
    <n v="2.5641025641025641E-3"/>
    <x v="27"/>
    <x v="3"/>
    <s v="OK"/>
    <x v="0"/>
    <s v="OK"/>
    <x v="0"/>
    <x v="0"/>
    <n v="1"/>
    <n v="0"/>
    <n v="0"/>
    <n v="0"/>
    <x v="0"/>
    <x v="0"/>
    <x v="0"/>
  </r>
  <r>
    <n v="20296637697"/>
    <x v="2"/>
    <x v="2"/>
    <x v="2140"/>
    <x v="2147"/>
    <x v="1844"/>
    <n v="2"/>
    <x v="11"/>
    <s v="E-4"/>
    <s v="SAN PEDRO 221 MIRAMAR"/>
    <x v="300"/>
    <x v="0"/>
    <x v="0"/>
    <x v="1"/>
    <x v="64"/>
    <x v="0"/>
    <n v="4"/>
    <n v="177"/>
    <x v="0"/>
    <x v="1"/>
    <n v="2.5641025641025641E-3"/>
    <x v="30"/>
    <x v="3"/>
    <s v="OK"/>
    <x v="0"/>
    <s v="OK"/>
    <x v="0"/>
    <x v="0"/>
    <n v="1"/>
    <n v="0"/>
    <n v="0"/>
    <n v="0"/>
    <x v="0"/>
    <x v="0"/>
    <x v="0"/>
  </r>
  <r>
    <n v="20296637697"/>
    <x v="2"/>
    <x v="2"/>
    <x v="2141"/>
    <x v="2148"/>
    <x v="1845"/>
    <n v="2"/>
    <x v="67"/>
    <s v="E-4"/>
    <s v="MZ. F2 LT 22 PPNP SECTOR E2 PACHACUTE"/>
    <x v="2"/>
    <x v="0"/>
    <x v="0"/>
    <x v="1"/>
    <x v="286"/>
    <x v="0"/>
    <n v="4"/>
    <n v="141"/>
    <x v="0"/>
    <x v="1"/>
    <n v="2.5641025641025641E-3"/>
    <x v="24"/>
    <x v="3"/>
    <s v="OK"/>
    <x v="2"/>
    <s v="OK"/>
    <x v="0"/>
    <x v="0"/>
    <n v="1"/>
    <n v="1"/>
    <n v="0"/>
    <n v="0"/>
    <x v="0"/>
    <x v="0"/>
    <x v="0"/>
  </r>
  <r>
    <n v="20296637697"/>
    <x v="2"/>
    <x v="2"/>
    <x v="2142"/>
    <x v="2149"/>
    <x v="1846"/>
    <n v="1"/>
    <x v="84"/>
    <s v="E-4"/>
    <s v="AV. MARIANO CORNEJO1848 DPTO 1502"/>
    <x v="10"/>
    <x v="1"/>
    <x v="0"/>
    <x v="1"/>
    <x v="354"/>
    <x v="0"/>
    <n v="1"/>
    <n v="192"/>
    <x v="0"/>
    <x v="1"/>
    <n v="2.5641025641025641E-3"/>
    <x v="24"/>
    <x v="3"/>
    <s v="OK"/>
    <x v="0"/>
    <s v="OK"/>
    <x v="0"/>
    <x v="0"/>
    <n v="1"/>
    <n v="0"/>
    <n v="0"/>
    <n v="0"/>
    <x v="0"/>
    <x v="0"/>
    <x v="0"/>
  </r>
  <r>
    <n v="20296637697"/>
    <x v="2"/>
    <x v="2"/>
    <x v="2143"/>
    <x v="2150"/>
    <x v="1847"/>
    <n v="2"/>
    <x v="67"/>
    <s v="E-4"/>
    <s v="AAHH. JUAN GONZALES BERROSPI MZ H LT 12"/>
    <x v="204"/>
    <x v="0"/>
    <x v="0"/>
    <x v="1"/>
    <x v="65"/>
    <x v="0"/>
    <n v="4"/>
    <n v="228"/>
    <x v="0"/>
    <x v="1"/>
    <n v="2.5641025641025641E-3"/>
    <x v="24"/>
    <x v="3"/>
    <s v="OK"/>
    <x v="1"/>
    <s v="OK"/>
    <x v="0"/>
    <x v="0"/>
    <n v="1"/>
    <n v="1"/>
    <n v="0"/>
    <n v="0"/>
    <x v="0"/>
    <x v="0"/>
    <x v="0"/>
  </r>
  <r>
    <n v="20296637697"/>
    <x v="2"/>
    <x v="2"/>
    <x v="2144"/>
    <x v="2151"/>
    <x v="1848"/>
    <n v="2"/>
    <x v="67"/>
    <s v="E-4"/>
    <s v="PSJE CAHUIDE 920 SAN GABRIEL VALLE ALTO"/>
    <x v="8"/>
    <x v="0"/>
    <x v="0"/>
    <x v="1"/>
    <x v="65"/>
    <x v="0"/>
    <n v="4"/>
    <n v="210"/>
    <x v="0"/>
    <x v="1"/>
    <n v="2.5641025641025641E-3"/>
    <x v="23"/>
    <x v="3"/>
    <s v="OK"/>
    <x v="0"/>
    <s v="OK"/>
    <x v="0"/>
    <x v="0"/>
    <n v="1"/>
    <n v="0"/>
    <n v="0"/>
    <n v="0"/>
    <x v="0"/>
    <x v="0"/>
    <x v="0"/>
  </r>
  <r>
    <n v="20296637697"/>
    <x v="2"/>
    <x v="2"/>
    <x v="2145"/>
    <x v="2152"/>
    <x v="1849"/>
    <n v="2"/>
    <x v="67"/>
    <s v="E-4"/>
    <s v="AAHH. AMPLIACIÓN INTEGRAL SOLIDARIDAD 9 DE FEBRERO MZ 19 LT 4"/>
    <x v="15"/>
    <x v="0"/>
    <x v="0"/>
    <x v="1"/>
    <x v="127"/>
    <x v="0"/>
    <n v="4"/>
    <n v="204"/>
    <x v="0"/>
    <x v="1"/>
    <n v="2.5641025641025641E-3"/>
    <x v="23"/>
    <x v="3"/>
    <s v="OK"/>
    <x v="0"/>
    <s v="OK"/>
    <x v="0"/>
    <x v="0"/>
    <n v="1"/>
    <n v="0"/>
    <n v="0"/>
    <n v="0"/>
    <x v="0"/>
    <x v="0"/>
    <x v="0"/>
  </r>
  <r>
    <n v="20296637697"/>
    <x v="2"/>
    <x v="2"/>
    <x v="2146"/>
    <x v="2153"/>
    <x v="1850"/>
    <n v="2"/>
    <x v="11"/>
    <s v="E-4"/>
    <s v="CASERIO VISTA ALEGRE DE CHIA"/>
    <x v="301"/>
    <x v="0"/>
    <x v="1"/>
    <x v="1"/>
    <x v="243"/>
    <x v="2"/>
    <n v="4"/>
    <n v="93"/>
    <x v="0"/>
    <x v="1"/>
    <n v="2.5641025641025641E-3"/>
    <x v="26"/>
    <x v="3"/>
    <s v="OK"/>
    <x v="0"/>
    <s v="OK"/>
    <x v="0"/>
    <x v="0"/>
    <n v="1"/>
    <n v="0"/>
    <n v="0"/>
    <n v="1"/>
    <x v="0"/>
    <x v="1"/>
    <x v="0"/>
  </r>
  <r>
    <n v="20296637697"/>
    <x v="2"/>
    <x v="2"/>
    <x v="2147"/>
    <x v="2154"/>
    <x v="1851"/>
    <n v="2"/>
    <x v="11"/>
    <s v="E-4"/>
    <s v="ILO 379 P. B. DP. 29 CERCADO"/>
    <x v="10"/>
    <x v="0"/>
    <x v="0"/>
    <x v="1"/>
    <x v="129"/>
    <x v="0"/>
    <n v="4"/>
    <n v="219.5"/>
    <x v="0"/>
    <x v="1"/>
    <n v="2.5641025641025641E-3"/>
    <x v="24"/>
    <x v="3"/>
    <s v="OK"/>
    <x v="0"/>
    <s v="OK"/>
    <x v="0"/>
    <x v="0"/>
    <n v="1"/>
    <n v="0"/>
    <n v="0"/>
    <n v="0"/>
    <x v="0"/>
    <x v="0"/>
    <x v="0"/>
  </r>
  <r>
    <n v="20296637697"/>
    <x v="2"/>
    <x v="2"/>
    <x v="2148"/>
    <x v="2155"/>
    <x v="1852"/>
    <n v="2"/>
    <x v="18"/>
    <s v="E-4"/>
    <s v="ASENT. H.  SANTA ROSA DE AZCARRUZ MZ. A LT. 46"/>
    <x v="15"/>
    <x v="0"/>
    <x v="0"/>
    <x v="1"/>
    <x v="129"/>
    <x v="0"/>
    <n v="4"/>
    <n v="195.5"/>
    <x v="0"/>
    <x v="1"/>
    <n v="2.5641025641025641E-3"/>
    <x v="28"/>
    <x v="3"/>
    <s v="OK"/>
    <x v="0"/>
    <s v="OK"/>
    <x v="0"/>
    <x v="0"/>
    <n v="1"/>
    <n v="0"/>
    <n v="0"/>
    <n v="0"/>
    <x v="0"/>
    <x v="0"/>
    <x v="0"/>
  </r>
  <r>
    <n v="20296637697"/>
    <x v="2"/>
    <x v="2"/>
    <x v="2149"/>
    <x v="2156"/>
    <x v="1853"/>
    <n v="2"/>
    <x v="5"/>
    <s v="E-4"/>
    <s v="PROLONG. RAMÓN CASTILLA MZ. D LT. 5"/>
    <x v="0"/>
    <x v="0"/>
    <x v="0"/>
    <x v="1"/>
    <x v="180"/>
    <x v="0"/>
    <n v="4"/>
    <n v="168"/>
    <x v="0"/>
    <x v="1"/>
    <n v="2.5641025641025641E-3"/>
    <x v="25"/>
    <x v="3"/>
    <s v="OK"/>
    <x v="0"/>
    <s v="OK"/>
    <x v="0"/>
    <x v="0"/>
    <n v="1"/>
    <n v="0"/>
    <n v="0"/>
    <n v="0"/>
    <x v="0"/>
    <x v="0"/>
    <x v="0"/>
  </r>
  <r>
    <n v="20296637697"/>
    <x v="2"/>
    <x v="2"/>
    <x v="2150"/>
    <x v="2157"/>
    <x v="1854"/>
    <n v="2"/>
    <x v="2"/>
    <s v="E-4"/>
    <s v="CIUDAD DEL PESCADOR MZ. H-1 LT. 31"/>
    <x v="17"/>
    <x v="0"/>
    <x v="0"/>
    <x v="1"/>
    <x v="180"/>
    <x v="0"/>
    <n v="4"/>
    <n v="229.5"/>
    <x v="0"/>
    <x v="1"/>
    <n v="2.5641025641025641E-3"/>
    <x v="29"/>
    <x v="3"/>
    <s v="OK"/>
    <x v="2"/>
    <s v="OK"/>
    <x v="0"/>
    <x v="0"/>
    <n v="1"/>
    <n v="1"/>
    <n v="0"/>
    <n v="0"/>
    <x v="0"/>
    <x v="0"/>
    <x v="0"/>
  </r>
  <r>
    <n v="20296637697"/>
    <x v="2"/>
    <x v="2"/>
    <x v="2151"/>
    <x v="2158"/>
    <x v="1855"/>
    <n v="2"/>
    <x v="11"/>
    <s v="E-4"/>
    <s v="SECTOR 6 GRUPO 7A MZ. B LT. 05"/>
    <x v="19"/>
    <x v="0"/>
    <x v="13"/>
    <x v="1"/>
    <x v="14"/>
    <x v="2"/>
    <n v="4"/>
    <n v="74"/>
    <x v="0"/>
    <x v="1"/>
    <n v="2.5641025641025641E-3"/>
    <x v="24"/>
    <x v="3"/>
    <s v="OK"/>
    <x v="0"/>
    <s v="OK"/>
    <x v="0"/>
    <x v="0"/>
    <n v="1"/>
    <n v="0"/>
    <n v="0"/>
    <n v="1"/>
    <x v="0"/>
    <x v="1"/>
    <x v="0"/>
  </r>
  <r>
    <n v="20296637697"/>
    <x v="2"/>
    <x v="2"/>
    <x v="2152"/>
    <x v="2159"/>
    <x v="1856"/>
    <n v="2"/>
    <x v="67"/>
    <s v="E-4"/>
    <s v="PSJ. LAS AGUILAS URB. LAS BANDERAS MZ. C13 LT. 15"/>
    <x v="2"/>
    <x v="0"/>
    <x v="0"/>
    <x v="1"/>
    <x v="14"/>
    <x v="0"/>
    <n v="4"/>
    <n v="198"/>
    <x v="0"/>
    <x v="1"/>
    <n v="2.5641025641025641E-3"/>
    <x v="24"/>
    <x v="3"/>
    <s v="OK"/>
    <x v="2"/>
    <s v="OK"/>
    <x v="0"/>
    <x v="0"/>
    <n v="1"/>
    <n v="1"/>
    <n v="0"/>
    <n v="0"/>
    <x v="0"/>
    <x v="0"/>
    <x v="0"/>
  </r>
  <r>
    <n v="20296637697"/>
    <x v="2"/>
    <x v="2"/>
    <x v="2153"/>
    <x v="2160"/>
    <x v="1857"/>
    <n v="2"/>
    <x v="11"/>
    <s v="E-4"/>
    <s v="ASENT. H. HEROES DEL CENEPA MZ. B LT. 6"/>
    <x v="2"/>
    <x v="0"/>
    <x v="0"/>
    <x v="1"/>
    <x v="182"/>
    <x v="0"/>
    <n v="4"/>
    <n v="214.5"/>
    <x v="0"/>
    <x v="1"/>
    <n v="2.5641025641025641E-3"/>
    <x v="30"/>
    <x v="3"/>
    <s v="OK"/>
    <x v="2"/>
    <s v="OK"/>
    <x v="0"/>
    <x v="0"/>
    <n v="1"/>
    <n v="1"/>
    <n v="0"/>
    <n v="0"/>
    <x v="0"/>
    <x v="0"/>
    <x v="0"/>
  </r>
  <r>
    <n v="20296637697"/>
    <x v="2"/>
    <x v="2"/>
    <x v="2154"/>
    <x v="2161"/>
    <x v="1858"/>
    <n v="2"/>
    <x v="11"/>
    <s v="E-4"/>
    <s v="CALLE J 3414 URB TORRE BLANCA 2DA ETAPA"/>
    <x v="54"/>
    <x v="0"/>
    <x v="0"/>
    <x v="1"/>
    <x v="147"/>
    <x v="0"/>
    <n v="4"/>
    <n v="196"/>
    <x v="0"/>
    <x v="1"/>
    <n v="2.5641025641025641E-3"/>
    <x v="26"/>
    <x v="3"/>
    <s v="OK"/>
    <x v="0"/>
    <s v="OK"/>
    <x v="0"/>
    <x v="0"/>
    <n v="1"/>
    <n v="0"/>
    <n v="0"/>
    <n v="0"/>
    <x v="0"/>
    <x v="0"/>
    <x v="0"/>
  </r>
  <r>
    <n v="20296637697"/>
    <x v="2"/>
    <x v="2"/>
    <x v="2155"/>
    <x v="2162"/>
    <x v="1859"/>
    <n v="2"/>
    <x v="11"/>
    <s v="E-4"/>
    <s v="CONCEPCIÓN 350"/>
    <x v="302"/>
    <x v="0"/>
    <x v="0"/>
    <x v="1"/>
    <x v="185"/>
    <x v="0"/>
    <n v="4"/>
    <n v="210"/>
    <x v="0"/>
    <x v="1"/>
    <n v="2.5641025641025641E-3"/>
    <x v="28"/>
    <x v="3"/>
    <s v="OK"/>
    <x v="0"/>
    <s v="OK"/>
    <x v="0"/>
    <x v="0"/>
    <n v="1"/>
    <n v="0"/>
    <n v="0"/>
    <n v="0"/>
    <x v="0"/>
    <x v="0"/>
    <x v="0"/>
  </r>
  <r>
    <n v="20296637697"/>
    <x v="2"/>
    <x v="2"/>
    <x v="2156"/>
    <x v="2163"/>
    <x v="1860"/>
    <n v="2"/>
    <x v="220"/>
    <s v="E-4"/>
    <s v="ASENT. H. HIJOS EXEDENTES MZ. B LT. 5 PAMPLONA BAJA"/>
    <x v="53"/>
    <x v="0"/>
    <x v="0"/>
    <x v="1"/>
    <x v="149"/>
    <x v="0"/>
    <n v="4"/>
    <n v="238"/>
    <x v="0"/>
    <x v="1"/>
    <n v="2.5641025641025641E-3"/>
    <x v="24"/>
    <x v="3"/>
    <s v="OK"/>
    <x v="0"/>
    <s v="OK"/>
    <x v="0"/>
    <x v="0"/>
    <n v="1"/>
    <n v="0"/>
    <n v="0"/>
    <n v="0"/>
    <x v="0"/>
    <x v="0"/>
    <x v="0"/>
  </r>
  <r>
    <n v="20296637697"/>
    <x v="2"/>
    <x v="2"/>
    <x v="2157"/>
    <x v="2164"/>
    <x v="1861"/>
    <n v="2"/>
    <x v="67"/>
    <s v="E-4"/>
    <s v="CASERIO HUACA BLANCA"/>
    <x v="303"/>
    <x v="0"/>
    <x v="0"/>
    <x v="1"/>
    <x v="97"/>
    <x v="0"/>
    <n v="4"/>
    <n v="230.5"/>
    <x v="0"/>
    <x v="1"/>
    <n v="2.5641025641025641E-3"/>
    <x v="27"/>
    <x v="3"/>
    <s v="OK"/>
    <x v="0"/>
    <s v="OK"/>
    <x v="0"/>
    <x v="0"/>
    <n v="1"/>
    <n v="0"/>
    <n v="0"/>
    <n v="0"/>
    <x v="0"/>
    <x v="0"/>
    <x v="0"/>
  </r>
  <r>
    <n v="20296637697"/>
    <x v="2"/>
    <x v="2"/>
    <x v="2158"/>
    <x v="2165"/>
    <x v="1862"/>
    <n v="2"/>
    <x v="328"/>
    <s v="E-4"/>
    <s v="CALLE JUAN CHEPE 159 U. VECINAL SANTA VALENTINA"/>
    <x v="304"/>
    <x v="0"/>
    <x v="0"/>
    <x v="1"/>
    <x v="145"/>
    <x v="0"/>
    <n v="4"/>
    <n v="236.5"/>
    <x v="0"/>
    <x v="1"/>
    <n v="2.5641025641025641E-3"/>
    <x v="29"/>
    <x v="3"/>
    <s v="OK"/>
    <x v="0"/>
    <s v="OK"/>
    <x v="0"/>
    <x v="0"/>
    <n v="1"/>
    <n v="0"/>
    <n v="0"/>
    <n v="0"/>
    <x v="0"/>
    <x v="0"/>
    <x v="0"/>
  </r>
  <r>
    <n v="20296637697"/>
    <x v="2"/>
    <x v="2"/>
    <x v="2159"/>
    <x v="2166"/>
    <x v="1863"/>
    <n v="2"/>
    <x v="67"/>
    <s v="E-4"/>
    <s v="JIRON HUANTA 962 "/>
    <x v="45"/>
    <x v="0"/>
    <x v="0"/>
    <x v="1"/>
    <x v="145"/>
    <x v="0"/>
    <n v="4"/>
    <n v="196.5"/>
    <x v="0"/>
    <x v="1"/>
    <n v="2.5641025641025641E-3"/>
    <x v="28"/>
    <x v="3"/>
    <s v="OK"/>
    <x v="3"/>
    <s v="OK"/>
    <x v="0"/>
    <x v="0"/>
    <n v="1"/>
    <n v="1"/>
    <n v="0"/>
    <n v="0"/>
    <x v="0"/>
    <x v="0"/>
    <x v="0"/>
  </r>
  <r>
    <n v="20296637697"/>
    <x v="2"/>
    <x v="2"/>
    <x v="2160"/>
    <x v="2167"/>
    <x v="1864"/>
    <n v="2"/>
    <x v="11"/>
    <s v="E-4"/>
    <s v="CONJ HAB MARISCAL CACERES MZ R14 LT 10"/>
    <x v="15"/>
    <x v="0"/>
    <x v="0"/>
    <x v="1"/>
    <x v="145"/>
    <x v="0"/>
    <n v="4"/>
    <n v="222"/>
    <x v="0"/>
    <x v="1"/>
    <n v="2.5641025641025641E-3"/>
    <x v="30"/>
    <x v="3"/>
    <s v="OK"/>
    <x v="0"/>
    <s v="OK"/>
    <x v="0"/>
    <x v="0"/>
    <n v="1"/>
    <n v="0"/>
    <n v="0"/>
    <n v="0"/>
    <x v="0"/>
    <x v="0"/>
    <x v="0"/>
  </r>
  <r>
    <n v="20296637697"/>
    <x v="2"/>
    <x v="2"/>
    <x v="2161"/>
    <x v="2168"/>
    <x v="1865"/>
    <n v="2"/>
    <x v="11"/>
    <s v="E-4"/>
    <s v="CENTAURO MZ A LT 19 ASOC AERONAUTICA"/>
    <x v="47"/>
    <x v="0"/>
    <x v="0"/>
    <x v="1"/>
    <x v="145"/>
    <x v="0"/>
    <n v="4"/>
    <n v="243.5"/>
    <x v="0"/>
    <x v="1"/>
    <n v="2.5641025641025641E-3"/>
    <x v="30"/>
    <x v="3"/>
    <s v="OK"/>
    <x v="0"/>
    <s v="OK"/>
    <x v="0"/>
    <x v="0"/>
    <n v="1"/>
    <n v="0"/>
    <n v="0"/>
    <n v="0"/>
    <x v="0"/>
    <x v="0"/>
    <x v="0"/>
  </r>
  <r>
    <n v="20296637697"/>
    <x v="2"/>
    <x v="2"/>
    <x v="2162"/>
    <x v="2169"/>
    <x v="1866"/>
    <n v="2"/>
    <x v="4"/>
    <s v="PV08-PV10"/>
    <s v="ASOCIACION VIVIENDA LAS PALMERAS DE HUACHIPA MZ D LT 3 "/>
    <x v="50"/>
    <x v="0"/>
    <x v="0"/>
    <x v="1"/>
    <x v="393"/>
    <x v="0"/>
    <n v="4"/>
    <n v="260.5"/>
    <x v="0"/>
    <x v="1"/>
    <n v="2.5641025641025641E-3"/>
    <x v="29"/>
    <x v="3"/>
    <s v="OK"/>
    <x v="0"/>
    <s v="OK"/>
    <x v="0"/>
    <x v="0"/>
    <n v="1"/>
    <n v="0"/>
    <n v="0"/>
    <n v="0"/>
    <x v="0"/>
    <x v="0"/>
    <x v="0"/>
  </r>
  <r>
    <n v="20296637697"/>
    <x v="2"/>
    <x v="2"/>
    <x v="2163"/>
    <x v="2170"/>
    <x v="1867"/>
    <n v="2"/>
    <x v="12"/>
    <s v="PV08-PV10"/>
    <s v="JR. ANCASH MZ. K1 LT. 6A"/>
    <x v="70"/>
    <x v="0"/>
    <x v="0"/>
    <x v="1"/>
    <x v="105"/>
    <x v="0"/>
    <n v="4"/>
    <n v="228"/>
    <x v="0"/>
    <x v="1"/>
    <n v="2.5641025641025641E-3"/>
    <x v="23"/>
    <x v="3"/>
    <s v="OK"/>
    <x v="0"/>
    <s v="OK"/>
    <x v="0"/>
    <x v="0"/>
    <n v="1"/>
    <n v="0"/>
    <n v="0"/>
    <n v="0"/>
    <x v="0"/>
    <x v="0"/>
    <x v="0"/>
  </r>
  <r>
    <n v="20296637697"/>
    <x v="2"/>
    <x v="2"/>
    <x v="2164"/>
    <x v="2171"/>
    <x v="1868"/>
    <n v="2"/>
    <x v="4"/>
    <s v="PV08-PV10"/>
    <s v="COOPERACION LA FRAGATA MZ. C LT. 9 CANTO REY"/>
    <x v="15"/>
    <x v="0"/>
    <x v="0"/>
    <x v="1"/>
    <x v="101"/>
    <x v="0"/>
    <n v="4"/>
    <n v="52"/>
    <x v="0"/>
    <x v="1"/>
    <n v="2.5641025641025641E-3"/>
    <x v="28"/>
    <x v="3"/>
    <s v="OK"/>
    <x v="0"/>
    <s v="OK"/>
    <x v="0"/>
    <x v="0"/>
    <n v="1"/>
    <n v="0"/>
    <n v="1"/>
    <n v="0"/>
    <x v="0"/>
    <x v="0"/>
    <x v="1"/>
  </r>
  <r>
    <n v="20296637697"/>
    <x v="2"/>
    <x v="2"/>
    <x v="2165"/>
    <x v="2172"/>
    <x v="1869"/>
    <n v="2"/>
    <x v="4"/>
    <s v="PV08-PV10"/>
    <s v="ASOC. VILLA MERCEDES MZ. D LT. 7"/>
    <x v="4"/>
    <x v="0"/>
    <x v="0"/>
    <x v="1"/>
    <x v="474"/>
    <x v="0"/>
    <n v="4"/>
    <n v="215.5"/>
    <x v="0"/>
    <x v="1"/>
    <n v="2.5641025641025641E-3"/>
    <x v="25"/>
    <x v="3"/>
    <s v="OK"/>
    <x v="0"/>
    <s v="OK"/>
    <x v="0"/>
    <x v="0"/>
    <n v="1"/>
    <n v="0"/>
    <n v="1"/>
    <n v="0"/>
    <x v="0"/>
    <x v="0"/>
    <x v="1"/>
  </r>
  <r>
    <n v="20296637697"/>
    <x v="2"/>
    <x v="2"/>
    <x v="2166"/>
    <x v="2173"/>
    <x v="1870"/>
    <n v="2"/>
    <x v="4"/>
    <s v="PV08-PV10"/>
    <s v="MZ. J LT. 1 AH. VIRGEN DE COCHARCAS IIETAPA J.C.M"/>
    <x v="8"/>
    <x v="0"/>
    <x v="0"/>
    <x v="1"/>
    <x v="464"/>
    <x v="0"/>
    <n v="4"/>
    <n v="26"/>
    <x v="0"/>
    <x v="1"/>
    <n v="2.5641025641025641E-3"/>
    <x v="30"/>
    <x v="3"/>
    <s v="OK"/>
    <x v="0"/>
    <s v="OK"/>
    <x v="0"/>
    <x v="0"/>
    <n v="1"/>
    <n v="0"/>
    <n v="1"/>
    <n v="0"/>
    <x v="0"/>
    <x v="0"/>
    <x v="1"/>
  </r>
  <r>
    <n v="20296637697"/>
    <x v="2"/>
    <x v="2"/>
    <x v="2167"/>
    <x v="2174"/>
    <x v="1871"/>
    <n v="2"/>
    <x v="193"/>
    <s v="PV08-PV10"/>
    <s v="MZ. B LT. 30 ASOC. VIV. BELLO HORIZONTE"/>
    <x v="38"/>
    <x v="0"/>
    <x v="0"/>
    <x v="1"/>
    <x v="101"/>
    <x v="0"/>
    <n v="4"/>
    <n v="54"/>
    <x v="0"/>
    <x v="1"/>
    <n v="2.5641025641025641E-3"/>
    <x v="25"/>
    <x v="3"/>
    <s v="OK"/>
    <x v="0"/>
    <s v="OK"/>
    <x v="0"/>
    <x v="0"/>
    <n v="1"/>
    <n v="0"/>
    <n v="1"/>
    <n v="0"/>
    <x v="0"/>
    <x v="0"/>
    <x v="1"/>
  </r>
  <r>
    <n v="20296637697"/>
    <x v="2"/>
    <x v="2"/>
    <x v="2168"/>
    <x v="2175"/>
    <x v="1872"/>
    <n v="2"/>
    <x v="3"/>
    <s v="PV08-PV10"/>
    <s v="MZ. F7 LT. 12 MI PERÚ - CALLAO"/>
    <x v="305"/>
    <x v="0"/>
    <x v="0"/>
    <x v="1"/>
    <x v="187"/>
    <x v="0"/>
    <n v="4"/>
    <n v="162.5"/>
    <x v="0"/>
    <x v="1"/>
    <n v="2.5641025641025641E-3"/>
    <x v="30"/>
    <x v="3"/>
    <s v="OK"/>
    <x v="0"/>
    <s v="OK"/>
    <x v="0"/>
    <x v="0"/>
    <n v="1"/>
    <n v="0"/>
    <n v="1"/>
    <n v="0"/>
    <x v="0"/>
    <x v="0"/>
    <x v="1"/>
  </r>
  <r>
    <n v="20296637697"/>
    <x v="2"/>
    <x v="2"/>
    <x v="2169"/>
    <x v="2176"/>
    <x v="1873"/>
    <n v="2"/>
    <x v="4"/>
    <s v="PV08-PV10"/>
    <s v="ASOC. DE VIV. ENATRU PERU MZ. AB LT. 6"/>
    <x v="38"/>
    <x v="0"/>
    <x v="0"/>
    <x v="1"/>
    <x v="476"/>
    <x v="0"/>
    <n v="4"/>
    <n v="208.5"/>
    <x v="0"/>
    <x v="1"/>
    <n v="2.5641025641025641E-3"/>
    <x v="24"/>
    <x v="3"/>
    <s v="OK"/>
    <x v="0"/>
    <s v="OK"/>
    <x v="0"/>
    <x v="0"/>
    <n v="1"/>
    <n v="0"/>
    <n v="0"/>
    <n v="0"/>
    <x v="0"/>
    <x v="0"/>
    <x v="0"/>
  </r>
  <r>
    <n v="20296637697"/>
    <x v="2"/>
    <x v="2"/>
    <x v="2170"/>
    <x v="2177"/>
    <x v="1874"/>
    <n v="2"/>
    <x v="11"/>
    <s v="PV08-PV10"/>
    <s v="MZ. E LT. 17  AGRUP. FAMILIAR NUEVO BELEN "/>
    <x v="15"/>
    <x v="0"/>
    <x v="0"/>
    <x v="1"/>
    <x v="137"/>
    <x v="0"/>
    <n v="4"/>
    <n v="45.5"/>
    <x v="0"/>
    <x v="1"/>
    <n v="2.5641025641025641E-3"/>
    <x v="29"/>
    <x v="3"/>
    <s v="OK"/>
    <x v="0"/>
    <s v="OK"/>
    <x v="0"/>
    <x v="0"/>
    <n v="1"/>
    <n v="0"/>
    <n v="1"/>
    <n v="0"/>
    <x v="0"/>
    <x v="0"/>
    <x v="1"/>
  </r>
  <r>
    <n v="20296637697"/>
    <x v="2"/>
    <x v="2"/>
    <x v="2171"/>
    <x v="2178"/>
    <x v="1875"/>
    <n v="2"/>
    <x v="67"/>
    <s v="PV08-PV10"/>
    <s v="JR. HERMILIO VALDIZAN 334 URB. SANTA LUZMILA"/>
    <x v="0"/>
    <x v="0"/>
    <x v="0"/>
    <x v="1"/>
    <x v="37"/>
    <x v="0"/>
    <n v="4"/>
    <n v="84.5"/>
    <x v="0"/>
    <x v="1"/>
    <n v="2.5641025641025641E-3"/>
    <x v="31"/>
    <x v="3"/>
    <s v="OK"/>
    <x v="0"/>
    <s v="OK"/>
    <x v="0"/>
    <x v="0"/>
    <n v="1"/>
    <n v="0"/>
    <n v="1"/>
    <n v="0"/>
    <x v="0"/>
    <x v="0"/>
    <x v="1"/>
  </r>
  <r>
    <n v="20296637697"/>
    <x v="2"/>
    <x v="2"/>
    <x v="2172"/>
    <x v="2179"/>
    <x v="1876"/>
    <n v="1"/>
    <x v="7"/>
    <s v="PV08-PV10"/>
    <s v="MZ. B4 LT. 08 URB. SOL DE HUAMPANI 3RA ETAPA"/>
    <x v="50"/>
    <x v="0"/>
    <x v="0"/>
    <x v="1"/>
    <x v="4"/>
    <x v="0"/>
    <n v="1"/>
    <n v="184"/>
    <x v="0"/>
    <x v="1"/>
    <n v="2.5641025641025641E-3"/>
    <x v="28"/>
    <x v="3"/>
    <s v="OK"/>
    <x v="0"/>
    <s v="OK"/>
    <x v="0"/>
    <x v="0"/>
    <n v="1"/>
    <n v="0"/>
    <n v="1"/>
    <n v="0"/>
    <x v="0"/>
    <x v="0"/>
    <x v="1"/>
  </r>
  <r>
    <n v="20296637697"/>
    <x v="2"/>
    <x v="2"/>
    <x v="2173"/>
    <x v="2180"/>
    <x v="1877"/>
    <n v="2"/>
    <x v="4"/>
    <s v="PV08-PV10"/>
    <s v="AAHH TUPAC AMARU MZ. H LT. 24"/>
    <x v="0"/>
    <x v="0"/>
    <x v="0"/>
    <x v="1"/>
    <x v="101"/>
    <x v="0"/>
    <n v="4"/>
    <n v="50.5"/>
    <x v="0"/>
    <x v="1"/>
    <n v="2.5641025641025641E-3"/>
    <x v="23"/>
    <x v="3"/>
    <s v="OK"/>
    <x v="0"/>
    <s v="OK"/>
    <x v="0"/>
    <x v="0"/>
    <n v="1"/>
    <n v="0"/>
    <n v="1"/>
    <n v="0"/>
    <x v="0"/>
    <x v="0"/>
    <x v="1"/>
  </r>
  <r>
    <n v="20296637697"/>
    <x v="2"/>
    <x v="2"/>
    <x v="2174"/>
    <x v="2181"/>
    <x v="1878"/>
    <n v="2"/>
    <x v="67"/>
    <s v="PV08-PV10"/>
    <s v="PARAISO DE CAJAMARQUILLA MZ. R LT. 3"/>
    <x v="50"/>
    <x v="0"/>
    <x v="0"/>
    <x v="1"/>
    <x v="28"/>
    <x v="0"/>
    <n v="4"/>
    <n v="109"/>
    <x v="0"/>
    <x v="1"/>
    <n v="2.5641025641025641E-3"/>
    <x v="28"/>
    <x v="3"/>
    <s v="OK"/>
    <x v="0"/>
    <s v="OK"/>
    <x v="0"/>
    <x v="0"/>
    <n v="1"/>
    <n v="0"/>
    <n v="1"/>
    <n v="0"/>
    <x v="0"/>
    <x v="0"/>
    <x v="1"/>
  </r>
  <r>
    <n v="20296637697"/>
    <x v="2"/>
    <x v="2"/>
    <x v="2175"/>
    <x v="2182"/>
    <x v="1879"/>
    <n v="2"/>
    <x v="67"/>
    <s v="PV08-PV10"/>
    <s v="MZ. C5 LT. 21 LOS ROSALES KM. 39"/>
    <x v="62"/>
    <x v="0"/>
    <x v="0"/>
    <x v="1"/>
    <x v="28"/>
    <x v="0"/>
    <n v="4"/>
    <n v="109.5"/>
    <x v="0"/>
    <x v="1"/>
    <n v="2.5641025641025641E-3"/>
    <x v="31"/>
    <x v="3"/>
    <s v="OK"/>
    <x v="0"/>
    <s v="OK"/>
    <x v="0"/>
    <x v="0"/>
    <n v="1"/>
    <n v="0"/>
    <n v="1"/>
    <n v="0"/>
    <x v="0"/>
    <x v="0"/>
    <x v="1"/>
  </r>
  <r>
    <n v="20296637697"/>
    <x v="2"/>
    <x v="2"/>
    <x v="2176"/>
    <x v="2183"/>
    <x v="1880"/>
    <n v="1"/>
    <x v="66"/>
    <s v="PV01BIS - PV01 - PV02 Y PV03"/>
    <s v="JR. VIVIANO PAREDES 852"/>
    <x v="53"/>
    <x v="0"/>
    <x v="0"/>
    <x v="2"/>
    <x v="246"/>
    <x v="0"/>
    <n v="1"/>
    <n v="230"/>
    <x v="0"/>
    <x v="1"/>
    <n v="2.5641025641025641E-3"/>
    <x v="26"/>
    <x v="3"/>
    <s v="OK"/>
    <x v="0"/>
    <s v="OK"/>
    <x v="0"/>
    <x v="0"/>
    <n v="1"/>
    <n v="0"/>
    <n v="0"/>
    <n v="0"/>
    <x v="0"/>
    <x v="0"/>
    <x v="0"/>
  </r>
  <r>
    <n v="20296637697"/>
    <x v="2"/>
    <x v="2"/>
    <x v="2177"/>
    <x v="2184"/>
    <x v="1881"/>
    <n v="2"/>
    <x v="11"/>
    <s v="PV01BIS - PV01 - PV02 Y PV03"/>
    <s v="PARQUE LUIS ESPEJO TAMAYO 223"/>
    <x v="45"/>
    <x v="0"/>
    <x v="0"/>
    <x v="2"/>
    <x v="17"/>
    <x v="0"/>
    <n v="4"/>
    <n v="205"/>
    <x v="0"/>
    <x v="1"/>
    <n v="2.5641025641025641E-3"/>
    <x v="30"/>
    <x v="3"/>
    <s v="OK"/>
    <x v="3"/>
    <s v="OK"/>
    <x v="0"/>
    <x v="0"/>
    <n v="1"/>
    <n v="1"/>
    <n v="0"/>
    <n v="0"/>
    <x v="0"/>
    <x v="0"/>
    <x v="0"/>
  </r>
  <r>
    <n v="20296637697"/>
    <x v="2"/>
    <x v="2"/>
    <x v="2178"/>
    <x v="2185"/>
    <x v="1882"/>
    <n v="2"/>
    <x v="329"/>
    <s v="PV01BIS - PV01 - PV02 Y PV03"/>
    <s v="CALLE PRIMAVERA MZ. 1 LT.4 - ASENT. HUMANO NUEVO SAN JUAN SECTOR JUAN VALER SANDOVAL"/>
    <x v="15"/>
    <x v="0"/>
    <x v="0"/>
    <x v="2"/>
    <x v="642"/>
    <x v="0"/>
    <n v="4"/>
    <n v="208"/>
    <x v="0"/>
    <x v="1"/>
    <n v="2.5641025641025641E-3"/>
    <x v="27"/>
    <x v="3"/>
    <s v="OK"/>
    <x v="0"/>
    <s v="OK"/>
    <x v="0"/>
    <x v="0"/>
    <n v="1"/>
    <n v="0"/>
    <n v="0"/>
    <n v="0"/>
    <x v="0"/>
    <x v="0"/>
    <x v="0"/>
  </r>
  <r>
    <n v="20296637697"/>
    <x v="2"/>
    <x v="2"/>
    <x v="2179"/>
    <x v="2186"/>
    <x v="1883"/>
    <n v="2"/>
    <x v="20"/>
    <s v="PV01BIS - PV01 - PV02 Y PV03"/>
    <s v="CALLE VIENA 116 PISO 3 URB RESIDENCIAL CALLAO"/>
    <x v="28"/>
    <x v="0"/>
    <x v="0"/>
    <x v="2"/>
    <x v="126"/>
    <x v="0"/>
    <n v="4"/>
    <n v="251"/>
    <x v="0"/>
    <x v="1"/>
    <n v="2.5641025641025641E-3"/>
    <x v="24"/>
    <x v="3"/>
    <s v="OK"/>
    <x v="0"/>
    <s v="OK"/>
    <x v="0"/>
    <x v="0"/>
    <n v="1"/>
    <n v="0"/>
    <n v="0"/>
    <n v="0"/>
    <x v="0"/>
    <x v="0"/>
    <x v="0"/>
  </r>
  <r>
    <n v="20296637697"/>
    <x v="2"/>
    <x v="2"/>
    <x v="2180"/>
    <x v="2187"/>
    <x v="1884"/>
    <n v="2"/>
    <x v="20"/>
    <s v="PV01BIS - PV01 - PV02 Y PV03"/>
    <s v="CALLE PISCO MZ 12 LT 20 "/>
    <x v="62"/>
    <x v="0"/>
    <x v="0"/>
    <x v="2"/>
    <x v="95"/>
    <x v="0"/>
    <n v="4"/>
    <n v="192"/>
    <x v="0"/>
    <x v="1"/>
    <n v="2.5641025641025641E-3"/>
    <x v="23"/>
    <x v="3"/>
    <s v="OK"/>
    <x v="0"/>
    <s v="OK"/>
    <x v="0"/>
    <x v="0"/>
    <n v="1"/>
    <n v="0"/>
    <n v="0"/>
    <n v="0"/>
    <x v="0"/>
    <x v="0"/>
    <x v="0"/>
  </r>
  <r>
    <n v="20296637697"/>
    <x v="2"/>
    <x v="2"/>
    <x v="2181"/>
    <x v="2188"/>
    <x v="1827"/>
    <n v="2"/>
    <x v="2"/>
    <s v="PV01BIS - PV01 - PV02 Y PV03"/>
    <s v="AV NICOLAS AYLLON 1190 URB VALDIVIEZO"/>
    <x v="78"/>
    <x v="0"/>
    <x v="0"/>
    <x v="2"/>
    <x v="126"/>
    <x v="0"/>
    <n v="4"/>
    <n v="225"/>
    <x v="0"/>
    <x v="1"/>
    <n v="2.5641025641025641E-3"/>
    <x v="26"/>
    <x v="3"/>
    <s v="OK"/>
    <x v="6"/>
    <s v="OK"/>
    <x v="0"/>
    <x v="0"/>
    <n v="1"/>
    <n v="1"/>
    <n v="0"/>
    <n v="0"/>
    <x v="0"/>
    <x v="0"/>
    <x v="0"/>
  </r>
  <r>
    <n v="20296637697"/>
    <x v="2"/>
    <x v="2"/>
    <x v="2182"/>
    <x v="2189"/>
    <x v="1885"/>
    <n v="2"/>
    <x v="20"/>
    <s v="PV01BIS - PV01 - PV02 Y PV03"/>
    <s v="JR. LA HERRADURA S/N - HUANCAVELICA"/>
    <x v="293"/>
    <x v="0"/>
    <x v="0"/>
    <x v="2"/>
    <x v="190"/>
    <x v="0"/>
    <n v="4"/>
    <n v="231"/>
    <x v="0"/>
    <x v="1"/>
    <n v="2.5641025641025641E-3"/>
    <x v="28"/>
    <x v="3"/>
    <s v="OK"/>
    <x v="0"/>
    <s v="OK"/>
    <x v="0"/>
    <x v="0"/>
    <n v="1"/>
    <n v="0"/>
    <n v="0"/>
    <n v="0"/>
    <x v="0"/>
    <x v="0"/>
    <x v="0"/>
  </r>
  <r>
    <n v="20296637697"/>
    <x v="2"/>
    <x v="2"/>
    <x v="2183"/>
    <x v="2190"/>
    <x v="1886"/>
    <n v="2"/>
    <x v="67"/>
    <s v="PV01BIS - PV01 - PV02 Y PV03"/>
    <s v="AAHH VIRGEN DE COCHARCAS "/>
    <x v="8"/>
    <x v="0"/>
    <x v="0"/>
    <x v="2"/>
    <x v="20"/>
    <x v="0"/>
    <n v="4"/>
    <n v="194"/>
    <x v="0"/>
    <x v="1"/>
    <n v="2.5641025641025641E-3"/>
    <x v="23"/>
    <x v="3"/>
    <s v="OK"/>
    <x v="0"/>
    <s v="OK"/>
    <x v="0"/>
    <x v="0"/>
    <n v="1"/>
    <n v="0"/>
    <n v="0"/>
    <n v="0"/>
    <x v="0"/>
    <x v="0"/>
    <x v="0"/>
  </r>
  <r>
    <n v="20296637697"/>
    <x v="2"/>
    <x v="2"/>
    <x v="2184"/>
    <x v="2191"/>
    <x v="1887"/>
    <n v="2"/>
    <x v="222"/>
    <s v="PV01BIS - PV01 - PV02 Y PV03"/>
    <s v="NUEVA RINCONADA PAMPLONA ALTA AAHH PORTADA DEL SOL MZA C LT 03"/>
    <x v="53"/>
    <x v="0"/>
    <x v="0"/>
    <x v="2"/>
    <x v="36"/>
    <x v="0"/>
    <n v="4"/>
    <n v="186"/>
    <x v="0"/>
    <x v="1"/>
    <n v="2.5641025641025641E-3"/>
    <x v="31"/>
    <x v="3"/>
    <s v="OK"/>
    <x v="0"/>
    <s v="OK"/>
    <x v="0"/>
    <x v="0"/>
    <n v="1"/>
    <n v="0"/>
    <n v="0"/>
    <n v="0"/>
    <x v="0"/>
    <x v="0"/>
    <x v="0"/>
  </r>
  <r>
    <n v="20296637697"/>
    <x v="2"/>
    <x v="2"/>
    <x v="2185"/>
    <x v="2192"/>
    <x v="1888"/>
    <n v="2"/>
    <x v="11"/>
    <s v="PV01BIS - PV01 - PV02 Y PV03"/>
    <s v="AA.HH. 9 DE OCTUBRE MZ.G LT.6 "/>
    <x v="46"/>
    <x v="0"/>
    <x v="0"/>
    <x v="2"/>
    <x v="17"/>
    <x v="0"/>
    <n v="4"/>
    <n v="209"/>
    <x v="0"/>
    <x v="1"/>
    <n v="2.5641025641025641E-3"/>
    <x v="25"/>
    <x v="3"/>
    <s v="OK"/>
    <x v="7"/>
    <s v="OK"/>
    <x v="0"/>
    <x v="0"/>
    <n v="1"/>
    <n v="1"/>
    <n v="0"/>
    <n v="0"/>
    <x v="0"/>
    <x v="0"/>
    <x v="0"/>
  </r>
  <r>
    <n v="20296637697"/>
    <x v="2"/>
    <x v="2"/>
    <x v="2186"/>
    <x v="2193"/>
    <x v="1889"/>
    <n v="2"/>
    <x v="67"/>
    <s v="PV01BIS - PV01 - PV02 Y PV03"/>
    <s v="UNIDAD CATASTRAK 12014 SANTA MARIA DE HUACHIPA"/>
    <x v="50"/>
    <x v="0"/>
    <x v="0"/>
    <x v="2"/>
    <x v="38"/>
    <x v="0"/>
    <n v="4"/>
    <n v="265"/>
    <x v="0"/>
    <x v="1"/>
    <n v="2.5641025641025641E-3"/>
    <x v="23"/>
    <x v="3"/>
    <s v="OK"/>
    <x v="0"/>
    <s v="OK"/>
    <x v="0"/>
    <x v="0"/>
    <n v="1"/>
    <n v="0"/>
    <n v="0"/>
    <n v="0"/>
    <x v="0"/>
    <x v="0"/>
    <x v="0"/>
  </r>
  <r>
    <n v="20296637697"/>
    <x v="2"/>
    <x v="2"/>
    <x v="2187"/>
    <x v="2194"/>
    <x v="1890"/>
    <n v="2"/>
    <x v="330"/>
    <s v="PV01BIS - PV01 - PV02 Y PV03"/>
    <s v="CALLE MRCAL ANDRES SANTA CRUZ 1126 PJ HOGAR POLICIAL"/>
    <x v="8"/>
    <x v="0"/>
    <x v="0"/>
    <x v="2"/>
    <x v="115"/>
    <x v="0"/>
    <n v="4"/>
    <n v="86"/>
    <x v="0"/>
    <x v="1"/>
    <n v="2.5641025641025641E-3"/>
    <x v="25"/>
    <x v="3"/>
    <s v="OK"/>
    <x v="0"/>
    <s v="OK"/>
    <x v="0"/>
    <x v="0"/>
    <n v="1"/>
    <n v="0"/>
    <n v="1"/>
    <n v="0"/>
    <x v="0"/>
    <x v="0"/>
    <x v="1"/>
  </r>
  <r>
    <n v="20296637697"/>
    <x v="2"/>
    <x v="2"/>
    <x v="2188"/>
    <x v="2195"/>
    <x v="1891"/>
    <n v="2"/>
    <x v="2"/>
    <s v="PV01BIS - PV01 - PV02 Y PV03"/>
    <s v="JIRON.GRAU969 INT 4 "/>
    <x v="17"/>
    <x v="0"/>
    <x v="0"/>
    <x v="2"/>
    <x v="189"/>
    <x v="0"/>
    <n v="4"/>
    <n v="193"/>
    <x v="0"/>
    <x v="1"/>
    <n v="2.5641025641025641E-3"/>
    <x v="31"/>
    <x v="3"/>
    <s v="OK"/>
    <x v="2"/>
    <s v="OK"/>
    <x v="0"/>
    <x v="0"/>
    <n v="1"/>
    <n v="1"/>
    <n v="0"/>
    <n v="0"/>
    <x v="0"/>
    <x v="0"/>
    <x v="0"/>
  </r>
  <r>
    <n v="20296637697"/>
    <x v="2"/>
    <x v="2"/>
    <x v="2189"/>
    <x v="2196"/>
    <x v="1890"/>
    <n v="2"/>
    <x v="2"/>
    <s v="PV01BIS - PV01 - PV02 Y PV03"/>
    <s v="MZA A -34LOTE 1 BOCANEGRA"/>
    <x v="6"/>
    <x v="0"/>
    <x v="23"/>
    <x v="2"/>
    <x v="204"/>
    <x v="2"/>
    <n v="4"/>
    <n v="105"/>
    <x v="0"/>
    <x v="1"/>
    <n v="2.5641025641025641E-3"/>
    <x v="25"/>
    <x v="3"/>
    <s v="OK"/>
    <x v="2"/>
    <s v="OK"/>
    <x v="0"/>
    <x v="0"/>
    <n v="1"/>
    <n v="1"/>
    <n v="1"/>
    <n v="1"/>
    <x v="0"/>
    <x v="1"/>
    <x v="1"/>
  </r>
  <r>
    <n v="20296637697"/>
    <x v="2"/>
    <x v="2"/>
    <x v="2190"/>
    <x v="2197"/>
    <x v="1892"/>
    <n v="2"/>
    <x v="67"/>
    <s v="PV01BIS - PV01 - PV02 Y PV03"/>
    <s v="AAHH EL PACIFICO MZ. J LOTE 22"/>
    <x v="53"/>
    <x v="0"/>
    <x v="0"/>
    <x v="2"/>
    <x v="17"/>
    <x v="0"/>
    <n v="4"/>
    <n v="193"/>
    <x v="0"/>
    <x v="1"/>
    <n v="2.5641025641025641E-3"/>
    <x v="23"/>
    <x v="3"/>
    <s v="OK"/>
    <x v="0"/>
    <s v="OK"/>
    <x v="0"/>
    <x v="0"/>
    <n v="1"/>
    <n v="0"/>
    <n v="0"/>
    <n v="0"/>
    <x v="0"/>
    <x v="0"/>
    <x v="0"/>
  </r>
  <r>
    <n v="20296637697"/>
    <x v="2"/>
    <x v="2"/>
    <x v="2191"/>
    <x v="2198"/>
    <x v="1893"/>
    <n v="2"/>
    <x v="11"/>
    <s v="PV01BIS - PV01 - PV02 Y PV03"/>
    <s v="CALLE AGUA SANTA 145"/>
    <x v="6"/>
    <x v="0"/>
    <x v="0"/>
    <x v="2"/>
    <x v="186"/>
    <x v="0"/>
    <n v="4"/>
    <n v="77"/>
    <x v="0"/>
    <x v="1"/>
    <n v="2.5641025641025641E-3"/>
    <x v="28"/>
    <x v="3"/>
    <s v="OK"/>
    <x v="2"/>
    <s v="OK"/>
    <x v="0"/>
    <x v="0"/>
    <n v="1"/>
    <n v="1"/>
    <n v="1"/>
    <n v="0"/>
    <x v="0"/>
    <x v="0"/>
    <x v="1"/>
  </r>
  <r>
    <n v="20296637697"/>
    <x v="2"/>
    <x v="2"/>
    <x v="2192"/>
    <x v="2199"/>
    <x v="1894"/>
    <n v="2"/>
    <x v="10"/>
    <s v="PV01BIS - PV01 - PV02 Y PV03"/>
    <s v="CALLE MZ H LT 4 URB BUENA VISTA"/>
    <x v="15"/>
    <x v="0"/>
    <x v="0"/>
    <x v="2"/>
    <x v="17"/>
    <x v="0"/>
    <n v="4"/>
    <n v="222"/>
    <x v="0"/>
    <x v="1"/>
    <n v="2.5641025641025641E-3"/>
    <x v="27"/>
    <x v="3"/>
    <s v="OK"/>
    <x v="0"/>
    <s v="OK"/>
    <x v="0"/>
    <x v="0"/>
    <n v="1"/>
    <n v="0"/>
    <n v="0"/>
    <n v="0"/>
    <x v="0"/>
    <x v="0"/>
    <x v="0"/>
  </r>
  <r>
    <n v="20296637697"/>
    <x v="2"/>
    <x v="2"/>
    <x v="2193"/>
    <x v="2200"/>
    <x v="1895"/>
    <n v="2"/>
    <x v="67"/>
    <s v="PV01BIS - PV01 - PV02 Y PV03"/>
    <s v="LOS LIBERTADORES MZ O LT 28"/>
    <x v="57"/>
    <x v="0"/>
    <x v="0"/>
    <x v="2"/>
    <x v="38"/>
    <x v="0"/>
    <n v="4"/>
    <n v="223"/>
    <x v="0"/>
    <x v="1"/>
    <n v="2.5641025641025641E-3"/>
    <x v="29"/>
    <x v="3"/>
    <s v="OK"/>
    <x v="0"/>
    <s v="OK"/>
    <x v="0"/>
    <x v="0"/>
    <n v="1"/>
    <n v="0"/>
    <n v="0"/>
    <n v="0"/>
    <x v="0"/>
    <x v="0"/>
    <x v="0"/>
  </r>
  <r>
    <n v="20296637697"/>
    <x v="2"/>
    <x v="2"/>
    <x v="2194"/>
    <x v="2201"/>
    <x v="1896"/>
    <n v="2"/>
    <x v="59"/>
    <s v="PV01BIS - PV01 - PV02 Y PV03"/>
    <s v="JR OLLANTA 329 URB JORGE CHAVEZ"/>
    <x v="78"/>
    <x v="0"/>
    <x v="0"/>
    <x v="2"/>
    <x v="140"/>
    <x v="0"/>
    <n v="4"/>
    <n v="232"/>
    <x v="0"/>
    <x v="1"/>
    <n v="2.5641025641025641E-3"/>
    <x v="31"/>
    <x v="3"/>
    <s v="OK"/>
    <x v="6"/>
    <s v="OK"/>
    <x v="0"/>
    <x v="0"/>
    <n v="1"/>
    <n v="1"/>
    <n v="0"/>
    <n v="0"/>
    <x v="0"/>
    <x v="0"/>
    <x v="0"/>
  </r>
  <r>
    <n v="20296637697"/>
    <x v="2"/>
    <x v="2"/>
    <x v="2195"/>
    <x v="2202"/>
    <x v="1897"/>
    <n v="2"/>
    <x v="11"/>
    <s v="PV01BIS - PV01 - PV02 Y PV03"/>
    <s v="AV LAS PALMERAS 229 CANTO REY"/>
    <x v="15"/>
    <x v="0"/>
    <x v="0"/>
    <x v="2"/>
    <x v="16"/>
    <x v="0"/>
    <n v="4"/>
    <n v="218"/>
    <x v="0"/>
    <x v="1"/>
    <n v="2.5641025641025641E-3"/>
    <x v="25"/>
    <x v="3"/>
    <s v="OK"/>
    <x v="0"/>
    <s v="OK"/>
    <x v="0"/>
    <x v="0"/>
    <n v="1"/>
    <n v="0"/>
    <n v="0"/>
    <n v="0"/>
    <x v="0"/>
    <x v="0"/>
    <x v="0"/>
  </r>
  <r>
    <n v="20296637697"/>
    <x v="2"/>
    <x v="2"/>
    <x v="2196"/>
    <x v="2203"/>
    <x v="1898"/>
    <n v="2"/>
    <x v="11"/>
    <s v="PV01BIS - PV01 - PV02 Y PV03"/>
    <s v="AAHH SANTA MARIA MZ L LT 10 "/>
    <x v="204"/>
    <x v="0"/>
    <x v="0"/>
    <x v="2"/>
    <x v="18"/>
    <x v="0"/>
    <n v="4"/>
    <n v="198"/>
    <x v="0"/>
    <x v="1"/>
    <n v="2.5641025641025641E-3"/>
    <x v="31"/>
    <x v="3"/>
    <s v="OK"/>
    <x v="1"/>
    <s v="OK"/>
    <x v="0"/>
    <x v="0"/>
    <n v="1"/>
    <n v="1"/>
    <n v="0"/>
    <n v="0"/>
    <x v="0"/>
    <x v="0"/>
    <x v="0"/>
  </r>
  <r>
    <n v="20296637697"/>
    <x v="2"/>
    <x v="2"/>
    <x v="2197"/>
    <x v="2204"/>
    <x v="1899"/>
    <n v="2"/>
    <x v="67"/>
    <s v="PV01BIS - PV01 - PV02 Y PV03"/>
    <s v="SECTOR 2 GRUPO 21 MZ B LT 10"/>
    <x v="164"/>
    <x v="0"/>
    <x v="0"/>
    <x v="2"/>
    <x v="97"/>
    <x v="0"/>
    <n v="4"/>
    <n v="211"/>
    <x v="0"/>
    <x v="1"/>
    <n v="2.5641025641025641E-3"/>
    <x v="28"/>
    <x v="3"/>
    <s v="OK"/>
    <x v="0"/>
    <s v="OK"/>
    <x v="0"/>
    <x v="0"/>
    <n v="1"/>
    <n v="0"/>
    <n v="0"/>
    <n v="0"/>
    <x v="0"/>
    <x v="0"/>
    <x v="0"/>
  </r>
  <r>
    <n v="20296637697"/>
    <x v="2"/>
    <x v="2"/>
    <x v="2198"/>
    <x v="2205"/>
    <x v="1900"/>
    <n v="2"/>
    <x v="11"/>
    <s v="PV01BIS - PV01 - PV02 Y PV03"/>
    <s v="CASERIO KM 50 MZ C 308"/>
    <x v="306"/>
    <x v="0"/>
    <x v="0"/>
    <x v="2"/>
    <x v="36"/>
    <x v="0"/>
    <n v="4"/>
    <n v="198"/>
    <x v="0"/>
    <x v="1"/>
    <n v="2.5641025641025641E-3"/>
    <x v="26"/>
    <x v="3"/>
    <s v="OK"/>
    <x v="0"/>
    <s v="OK"/>
    <x v="0"/>
    <x v="0"/>
    <n v="1"/>
    <n v="0"/>
    <n v="0"/>
    <n v="0"/>
    <x v="0"/>
    <x v="0"/>
    <x v="0"/>
  </r>
  <r>
    <n v="20296637697"/>
    <x v="2"/>
    <x v="2"/>
    <x v="2199"/>
    <x v="2206"/>
    <x v="1901"/>
    <n v="1"/>
    <x v="331"/>
    <s v="ESTACION 05 CCM2L"/>
    <s v="AV. PERU # 1334 SAN MARTIN DE PORRES LIMA"/>
    <x v="3"/>
    <x v="0"/>
    <x v="0"/>
    <x v="1"/>
    <x v="429"/>
    <x v="0"/>
    <n v="1"/>
    <n v="200.5"/>
    <x v="0"/>
    <x v="1"/>
    <n v="2.5641025641025641E-3"/>
    <x v="30"/>
    <x v="3"/>
    <s v="OK"/>
    <x v="0"/>
    <s v="OK"/>
    <x v="0"/>
    <x v="0"/>
    <n v="1"/>
    <n v="0"/>
    <n v="0"/>
    <n v="0"/>
    <x v="0"/>
    <x v="0"/>
    <x v="0"/>
  </r>
  <r>
    <n v="20296637697"/>
    <x v="2"/>
    <x v="2"/>
    <x v="2200"/>
    <x v="2207"/>
    <x v="1902"/>
    <n v="2"/>
    <x v="11"/>
    <s v="ESTACION 05 CCM2L"/>
    <s v="MZ H LT 9 ASENT H. MINAS 2000 SAN JUAN DE MIRAFLORES LIMA"/>
    <x v="53"/>
    <x v="0"/>
    <x v="0"/>
    <x v="1"/>
    <x v="486"/>
    <x v="0"/>
    <n v="4"/>
    <n v="222"/>
    <x v="0"/>
    <x v="1"/>
    <n v="2.5641025641025641E-3"/>
    <x v="28"/>
    <x v="3"/>
    <s v="OK"/>
    <x v="0"/>
    <s v="OK"/>
    <x v="0"/>
    <x v="0"/>
    <n v="1"/>
    <n v="0"/>
    <n v="0"/>
    <n v="0"/>
    <x v="0"/>
    <x v="0"/>
    <x v="0"/>
  </r>
  <r>
    <n v="20562668871"/>
    <x v="46"/>
    <x v="2"/>
    <x v="2201"/>
    <x v="2208"/>
    <x v="1842"/>
    <n v="2"/>
    <x v="19"/>
    <s v="ESTACION 05 CCM2L"/>
    <s v="AV. REPUBLICA DE POLONIA S/N MZG1 LTE 10 URB LOS PINOS"/>
    <x v="15"/>
    <x v="0"/>
    <x v="0"/>
    <x v="1"/>
    <x v="183"/>
    <x v="0"/>
    <n v="4"/>
    <n v="200.5"/>
    <x v="0"/>
    <x v="0"/>
    <n v="2.5641025641025641E-3"/>
    <x v="23"/>
    <x v="3"/>
    <s v="OK"/>
    <x v="0"/>
    <s v="OK"/>
    <x v="0"/>
    <x v="0"/>
    <n v="1"/>
    <n v="0"/>
    <n v="0"/>
    <n v="0"/>
    <x v="0"/>
    <x v="0"/>
    <x v="0"/>
  </r>
  <r>
    <n v="20296637697"/>
    <x v="2"/>
    <x v="2"/>
    <x v="2202"/>
    <x v="2209"/>
    <x v="1903"/>
    <n v="2"/>
    <x v="2"/>
    <s v="ESTACION 05 CCM2L"/>
    <s v="MZ F14 LOTE 30 BOCANEGRA CALLAO SECTOR 4"/>
    <x v="6"/>
    <x v="1"/>
    <x v="0"/>
    <x v="1"/>
    <x v="106"/>
    <x v="0"/>
    <n v="4"/>
    <n v="206"/>
    <x v="0"/>
    <x v="1"/>
    <n v="2.5641025641025641E-3"/>
    <x v="28"/>
    <x v="3"/>
    <s v="OK"/>
    <x v="2"/>
    <s v="OK"/>
    <x v="0"/>
    <x v="0"/>
    <n v="1"/>
    <n v="1"/>
    <n v="0"/>
    <n v="0"/>
    <x v="0"/>
    <x v="0"/>
    <x v="0"/>
  </r>
  <r>
    <n v="20296637697"/>
    <x v="2"/>
    <x v="2"/>
    <x v="2203"/>
    <x v="2210"/>
    <x v="1904"/>
    <n v="2"/>
    <x v="67"/>
    <s v="ESTACION 05 CCM2L"/>
    <s v="CALLE LA COBRANZA SECTOR CAMPIÑA DE MOCHE MOCHE TRUJILLO LA LIBERTAD"/>
    <x v="300"/>
    <x v="0"/>
    <x v="0"/>
    <x v="1"/>
    <x v="91"/>
    <x v="0"/>
    <n v="4"/>
    <n v="275.5"/>
    <x v="0"/>
    <x v="1"/>
    <n v="2.5641025641025641E-3"/>
    <x v="25"/>
    <x v="3"/>
    <s v="OK"/>
    <x v="0"/>
    <s v="OK"/>
    <x v="0"/>
    <x v="0"/>
    <n v="1"/>
    <n v="0"/>
    <n v="0"/>
    <n v="0"/>
    <x v="0"/>
    <x v="0"/>
    <x v="0"/>
  </r>
  <r>
    <n v="20296637697"/>
    <x v="2"/>
    <x v="2"/>
    <x v="2204"/>
    <x v="2211"/>
    <x v="1905"/>
    <n v="2"/>
    <x v="11"/>
    <s v="ESTACION 05 CCM2L"/>
    <s v="JR. SAN LUIS # 346 CAJAMARCA CAJAMARCA"/>
    <x v="307"/>
    <x v="0"/>
    <x v="0"/>
    <x v="1"/>
    <x v="184"/>
    <x v="0"/>
    <n v="4"/>
    <n v="255.5"/>
    <x v="0"/>
    <x v="1"/>
    <n v="2.5641025641025641E-3"/>
    <x v="24"/>
    <x v="3"/>
    <s v="OK"/>
    <x v="0"/>
    <s v="OK"/>
    <x v="0"/>
    <x v="0"/>
    <n v="1"/>
    <n v="0"/>
    <n v="0"/>
    <n v="0"/>
    <x v="0"/>
    <x v="0"/>
    <x v="0"/>
  </r>
  <r>
    <n v="20296637697"/>
    <x v="2"/>
    <x v="2"/>
    <x v="2205"/>
    <x v="2212"/>
    <x v="1906"/>
    <n v="1"/>
    <x v="332"/>
    <s v="ESTACION 05 CCM2L"/>
    <s v="JIRON JUNO 182 DPTO 405-LA CAMPIÑA CHORRILLOS LIMA"/>
    <x v="38"/>
    <x v="0"/>
    <x v="0"/>
    <x v="1"/>
    <x v="114"/>
    <x v="0"/>
    <n v="4"/>
    <n v="200.5"/>
    <x v="0"/>
    <x v="1"/>
    <n v="2.5641025641025641E-3"/>
    <x v="28"/>
    <x v="3"/>
    <s v="OK"/>
    <x v="0"/>
    <s v="OK"/>
    <x v="0"/>
    <x v="0"/>
    <n v="1"/>
    <n v="0"/>
    <n v="0"/>
    <n v="0"/>
    <x v="0"/>
    <x v="0"/>
    <x v="0"/>
  </r>
  <r>
    <n v="20296637697"/>
    <x v="2"/>
    <x v="2"/>
    <x v="2206"/>
    <x v="2213"/>
    <x v="1907"/>
    <n v="2"/>
    <x v="67"/>
    <s v="ESTACION 05 CCM2L"/>
    <s v="CALLE 18 DE MAYO 1548 FLORENCIA DE MORA TRUJILLO LA LIBERTAD"/>
    <x v="308"/>
    <x v="0"/>
    <x v="0"/>
    <x v="1"/>
    <x v="152"/>
    <x v="0"/>
    <n v="4"/>
    <n v="245.5"/>
    <x v="0"/>
    <x v="1"/>
    <n v="2.5641025641025641E-3"/>
    <x v="31"/>
    <x v="3"/>
    <s v="OK"/>
    <x v="0"/>
    <s v="OK"/>
    <x v="0"/>
    <x v="0"/>
    <n v="1"/>
    <n v="0"/>
    <n v="0"/>
    <n v="0"/>
    <x v="0"/>
    <x v="0"/>
    <x v="0"/>
  </r>
  <r>
    <n v="20296637697"/>
    <x v="2"/>
    <x v="2"/>
    <x v="2207"/>
    <x v="2214"/>
    <x v="1908"/>
    <n v="2"/>
    <x v="11"/>
    <s v="ESTACION 05 CCM2L"/>
    <s v="JR. SAN LUIS # 346 CAJAMARCA CAJAMARCA"/>
    <x v="307"/>
    <x v="0"/>
    <x v="0"/>
    <x v="1"/>
    <x v="431"/>
    <x v="0"/>
    <n v="4"/>
    <n v="215.5"/>
    <x v="0"/>
    <x v="1"/>
    <n v="2.5641025641025641E-3"/>
    <x v="25"/>
    <x v="3"/>
    <s v="OK"/>
    <x v="0"/>
    <s v="OK"/>
    <x v="0"/>
    <x v="0"/>
    <n v="1"/>
    <n v="0"/>
    <n v="0"/>
    <n v="0"/>
    <x v="0"/>
    <x v="0"/>
    <x v="0"/>
  </r>
  <r>
    <n v="20296637697"/>
    <x v="46"/>
    <x v="2"/>
    <x v="2208"/>
    <x v="2215"/>
    <x v="1909"/>
    <n v="2"/>
    <x v="76"/>
    <s v="ESTACION 05 CCM2L"/>
    <s v="MZ A LOTE 31 ASENT. H. LOS ALAMOS DE LIMA LIMA"/>
    <x v="10"/>
    <x v="0"/>
    <x v="0"/>
    <x v="1"/>
    <x v="25"/>
    <x v="0"/>
    <n v="4"/>
    <n v="200.5"/>
    <x v="0"/>
    <x v="0"/>
    <n v="2.5641025641025641E-3"/>
    <x v="26"/>
    <x v="3"/>
    <s v="OK"/>
    <x v="0"/>
    <s v="OK"/>
    <x v="0"/>
    <x v="1"/>
    <n v="0.5"/>
    <n v="0"/>
    <n v="0"/>
    <n v="0"/>
    <x v="0"/>
    <x v="0"/>
    <x v="0"/>
  </r>
  <r>
    <n v="20296637697"/>
    <x v="46"/>
    <x v="2"/>
    <x v="2209"/>
    <x v="2216"/>
    <x v="1910"/>
    <n v="2"/>
    <x v="76"/>
    <s v="ESTACION 05 CCM2L"/>
    <s v="JR. 20 DE MAYO 288 SIERRA LIMEÑA"/>
    <x v="15"/>
    <x v="0"/>
    <x v="0"/>
    <x v="1"/>
    <x v="93"/>
    <x v="0"/>
    <n v="4"/>
    <n v="200.5"/>
    <x v="0"/>
    <x v="0"/>
    <n v="2.5641025641025641E-3"/>
    <x v="28"/>
    <x v="3"/>
    <s v="OK"/>
    <x v="0"/>
    <s v="OK"/>
    <x v="0"/>
    <x v="0"/>
    <n v="1"/>
    <n v="0"/>
    <n v="0"/>
    <n v="0"/>
    <x v="0"/>
    <x v="0"/>
    <x v="0"/>
  </r>
  <r>
    <n v="20296637697"/>
    <x v="2"/>
    <x v="2"/>
    <x v="2210"/>
    <x v="2217"/>
    <x v="1911"/>
    <n v="2"/>
    <x v="333"/>
    <s v="ESTACION 05 CCM2L"/>
    <s v="MZ Ñ LTE 4 VENTANILLA ALTA CALLAO"/>
    <x v="6"/>
    <x v="0"/>
    <x v="0"/>
    <x v="1"/>
    <x v="20"/>
    <x v="0"/>
    <n v="4"/>
    <n v="238"/>
    <x v="0"/>
    <x v="1"/>
    <n v="2.5641025641025641E-3"/>
    <x v="25"/>
    <x v="3"/>
    <s v="OK"/>
    <x v="2"/>
    <s v="OK"/>
    <x v="0"/>
    <x v="0"/>
    <n v="1"/>
    <n v="1"/>
    <n v="0"/>
    <n v="0"/>
    <x v="0"/>
    <x v="0"/>
    <x v="0"/>
  </r>
  <r>
    <n v="20296637697"/>
    <x v="2"/>
    <x v="2"/>
    <x v="2211"/>
    <x v="2218"/>
    <x v="1912"/>
    <n v="2"/>
    <x v="67"/>
    <s v="ESTACION 05 CCM2L"/>
    <s v="COOP.DE VIV. RAMIRO PRIALE MZ K LT 1 ATE LIMA"/>
    <x v="1"/>
    <x v="0"/>
    <x v="0"/>
    <x v="1"/>
    <x v="20"/>
    <x v="0"/>
    <n v="4"/>
    <n v="176.5"/>
    <x v="0"/>
    <x v="1"/>
    <n v="2.5641025641025641E-3"/>
    <x v="26"/>
    <x v="3"/>
    <s v="OK"/>
    <x v="1"/>
    <s v="OK"/>
    <x v="0"/>
    <x v="0"/>
    <n v="1"/>
    <n v="1"/>
    <n v="0"/>
    <n v="0"/>
    <x v="0"/>
    <x v="0"/>
    <x v="0"/>
  </r>
  <r>
    <n v="20296637697"/>
    <x v="2"/>
    <x v="2"/>
    <x v="2212"/>
    <x v="2219"/>
    <x v="1913"/>
    <n v="2"/>
    <x v="67"/>
    <s v="ESTACION 05 CCM2L"/>
    <s v="CALLE LIBERTAD S/N CHICLIN CHICAMA ASCOPE LA LIBERTAD"/>
    <x v="101"/>
    <x v="0"/>
    <x v="0"/>
    <x v="1"/>
    <x v="20"/>
    <x v="0"/>
    <n v="4"/>
    <n v="260"/>
    <x v="0"/>
    <x v="1"/>
    <n v="2.5641025641025641E-3"/>
    <x v="28"/>
    <x v="3"/>
    <s v="OK"/>
    <x v="0"/>
    <s v="OK"/>
    <x v="0"/>
    <x v="0"/>
    <n v="1"/>
    <n v="0"/>
    <n v="0"/>
    <n v="0"/>
    <x v="0"/>
    <x v="0"/>
    <x v="0"/>
  </r>
  <r>
    <n v="20296637697"/>
    <x v="2"/>
    <x v="2"/>
    <x v="2213"/>
    <x v="2220"/>
    <x v="1914"/>
    <n v="2"/>
    <x v="67"/>
    <s v="ESTACION 05 CCM2L"/>
    <s v="MZ N5 LTE 4 AMPLIACION VENTANILLA ALTA CALLAO"/>
    <x v="2"/>
    <x v="0"/>
    <x v="13"/>
    <x v="1"/>
    <x v="36"/>
    <x v="2"/>
    <n v="4"/>
    <n v="126"/>
    <x v="0"/>
    <x v="1"/>
    <n v="2.5641025641025641E-3"/>
    <x v="28"/>
    <x v="3"/>
    <s v="OK"/>
    <x v="2"/>
    <s v="OK"/>
    <x v="0"/>
    <x v="0"/>
    <n v="1"/>
    <n v="1"/>
    <n v="0"/>
    <n v="1"/>
    <x v="0"/>
    <x v="1"/>
    <x v="0"/>
  </r>
  <r>
    <n v="20296637697"/>
    <x v="2"/>
    <x v="2"/>
    <x v="2214"/>
    <x v="2221"/>
    <x v="1915"/>
    <n v="2"/>
    <x v="59"/>
    <s v="ESTACION 05 CCM2L"/>
    <s v="CALLE SANTA ROSA 400 BLOCK 6N INT 8N COM. CAMPESINA ESPIRITU SANTO ETAPA SN MZ SN LT. S/N ANTIOQUIA HUAROCHIRI LIMA"/>
    <x v="309"/>
    <x v="0"/>
    <x v="0"/>
    <x v="1"/>
    <x v="642"/>
    <x v="0"/>
    <n v="4"/>
    <n v="207"/>
    <x v="0"/>
    <x v="1"/>
    <n v="2.5641025641025641E-3"/>
    <x v="26"/>
    <x v="3"/>
    <s v="OK"/>
    <x v="0"/>
    <s v="OK"/>
    <x v="0"/>
    <x v="0"/>
    <n v="1"/>
    <n v="0"/>
    <n v="0"/>
    <n v="0"/>
    <x v="0"/>
    <x v="0"/>
    <x v="0"/>
  </r>
  <r>
    <n v="20296637697"/>
    <x v="2"/>
    <x v="2"/>
    <x v="2215"/>
    <x v="2222"/>
    <x v="1916"/>
    <n v="2"/>
    <x v="11"/>
    <s v="ESTACION 05 CCM2L"/>
    <s v="MZ O SUB LT 30A COOP. DE VIV. UMAMARCA SAN JUAN DE MIRAFLORES LIMA"/>
    <x v="53"/>
    <x v="0"/>
    <x v="0"/>
    <x v="1"/>
    <x v="574"/>
    <x v="0"/>
    <n v="4"/>
    <n v="236.5"/>
    <x v="0"/>
    <x v="1"/>
    <n v="2.5641025641025641E-3"/>
    <x v="31"/>
    <x v="3"/>
    <s v="OK"/>
    <x v="0"/>
    <s v="OK"/>
    <x v="0"/>
    <x v="0"/>
    <n v="1"/>
    <n v="0"/>
    <n v="0"/>
    <n v="0"/>
    <x v="0"/>
    <x v="0"/>
    <x v="0"/>
  </r>
  <r>
    <n v="20296637697"/>
    <x v="2"/>
    <x v="2"/>
    <x v="2216"/>
    <x v="2223"/>
    <x v="1917"/>
    <n v="1"/>
    <x v="84"/>
    <s v="ESTACION 05 CCM2L"/>
    <s v="C.H. PALOMINO BLOCK Q-2 INGRESO E-1 DPTO 41 CERCADO DE LIMA -LIMA"/>
    <x v="45"/>
    <x v="0"/>
    <x v="0"/>
    <x v="1"/>
    <x v="145"/>
    <x v="0"/>
    <n v="1"/>
    <n v="200.5"/>
    <x v="0"/>
    <x v="1"/>
    <n v="2.5641025641025641E-3"/>
    <x v="25"/>
    <x v="3"/>
    <s v="OK"/>
    <x v="3"/>
    <s v="OK"/>
    <x v="0"/>
    <x v="0"/>
    <n v="1"/>
    <n v="1"/>
    <n v="0"/>
    <n v="0"/>
    <x v="0"/>
    <x v="0"/>
    <x v="0"/>
  </r>
  <r>
    <n v="20296637697"/>
    <x v="2"/>
    <x v="2"/>
    <x v="2217"/>
    <x v="2224"/>
    <x v="1918"/>
    <n v="2"/>
    <x v="77"/>
    <s v="ESTACION 05 CCM2L"/>
    <s v="MZ.C-9 LT.42 AMPLC.10 DE OCTUBRE SAN JUAN DE LURIGANCHO LIMA"/>
    <x v="15"/>
    <x v="0"/>
    <x v="0"/>
    <x v="1"/>
    <x v="145"/>
    <x v="0"/>
    <n v="4"/>
    <n v="193"/>
    <x v="0"/>
    <x v="1"/>
    <n v="2.5641025641025641E-3"/>
    <x v="28"/>
    <x v="3"/>
    <s v="OK"/>
    <x v="0"/>
    <s v="OK"/>
    <x v="0"/>
    <x v="0"/>
    <n v="1"/>
    <n v="0"/>
    <n v="0"/>
    <n v="0"/>
    <x v="0"/>
    <x v="0"/>
    <x v="0"/>
  </r>
  <r>
    <n v="20296637697"/>
    <x v="46"/>
    <x v="2"/>
    <x v="2218"/>
    <x v="2225"/>
    <x v="1919"/>
    <n v="2"/>
    <x v="76"/>
    <s v="ESTACION 05 CCM2L"/>
    <s v="CALLE BRASIL 141 P JOVEN NOCHETO"/>
    <x v="27"/>
    <x v="0"/>
    <x v="0"/>
    <x v="1"/>
    <x v="171"/>
    <x v="0"/>
    <n v="4"/>
    <n v="200.5"/>
    <x v="0"/>
    <x v="0"/>
    <n v="2.5641025641025641E-3"/>
    <x v="26"/>
    <x v="3"/>
    <s v="OK"/>
    <x v="5"/>
    <s v="OK"/>
    <x v="0"/>
    <x v="0"/>
    <n v="1"/>
    <n v="1"/>
    <n v="0"/>
    <n v="0"/>
    <x v="0"/>
    <x v="0"/>
    <x v="0"/>
  </r>
  <r>
    <n v="20296637697"/>
    <x v="2"/>
    <x v="2"/>
    <x v="2219"/>
    <x v="2226"/>
    <x v="1920"/>
    <n v="2"/>
    <x v="67"/>
    <s v="ESTACION 05 CCM2L"/>
    <s v="CALLE HUACHO # 9 CHICLIN CHICAMA ASCOPE LA LIBERTAD "/>
    <x v="101"/>
    <x v="0"/>
    <x v="0"/>
    <x v="1"/>
    <x v="99"/>
    <x v="0"/>
    <n v="4"/>
    <n v="233"/>
    <x v="0"/>
    <x v="1"/>
    <n v="2.5641025641025641E-3"/>
    <x v="29"/>
    <x v="3"/>
    <s v="OK"/>
    <x v="0"/>
    <s v="OK"/>
    <x v="0"/>
    <x v="0"/>
    <n v="1"/>
    <n v="0"/>
    <n v="0"/>
    <n v="0"/>
    <x v="0"/>
    <x v="0"/>
    <x v="0"/>
  </r>
  <r>
    <n v="20296637697"/>
    <x v="46"/>
    <x v="2"/>
    <x v="2220"/>
    <x v="2227"/>
    <x v="1921"/>
    <n v="2"/>
    <x v="76"/>
    <s v="ESTACION 05 CCM2L"/>
    <s v="JR. J.C MARIATEGUI BLOCK D DPTO 504"/>
    <x v="4"/>
    <x v="0"/>
    <x v="0"/>
    <x v="1"/>
    <x v="53"/>
    <x v="0"/>
    <n v="4"/>
    <n v="200.5"/>
    <x v="0"/>
    <x v="0"/>
    <n v="2.5641025641025641E-3"/>
    <x v="28"/>
    <x v="3"/>
    <s v="OK"/>
    <x v="0"/>
    <s v="OK"/>
    <x v="0"/>
    <x v="0"/>
    <n v="1"/>
    <n v="0"/>
    <n v="0"/>
    <n v="0"/>
    <x v="0"/>
    <x v="0"/>
    <x v="0"/>
  </r>
  <r>
    <n v="20296637697"/>
    <x v="2"/>
    <x v="2"/>
    <x v="2221"/>
    <x v="2228"/>
    <x v="1922"/>
    <n v="2"/>
    <x v="66"/>
    <s v="ESTACION 05 CCM2L"/>
    <s v="MZ N LT 07 ASOC. DE FAMILIA DE LOS ÁNGELES DE CARABAYLLO LIMA"/>
    <x v="54"/>
    <x v="0"/>
    <x v="0"/>
    <x v="1"/>
    <x v="476"/>
    <x v="0"/>
    <n v="4"/>
    <n v="180.5"/>
    <x v="0"/>
    <x v="1"/>
    <n v="2.5641025641025641E-3"/>
    <x v="27"/>
    <x v="3"/>
    <s v="OK"/>
    <x v="0"/>
    <s v="OK"/>
    <x v="0"/>
    <x v="0"/>
    <n v="1"/>
    <n v="0"/>
    <n v="0"/>
    <n v="0"/>
    <x v="0"/>
    <x v="0"/>
    <x v="0"/>
  </r>
  <r>
    <n v="20296637697"/>
    <x v="2"/>
    <x v="2"/>
    <x v="2222"/>
    <x v="2229"/>
    <x v="1923"/>
    <n v="2"/>
    <x v="212"/>
    <s v="ESTACION 05 CCM2L"/>
    <s v="JR. LAS ORQUIDEAS 259 URB LOS JAZMINES SAN JUAN DE LURIGANCHO LIMA"/>
    <x v="15"/>
    <x v="0"/>
    <x v="0"/>
    <x v="1"/>
    <x v="476"/>
    <x v="0"/>
    <n v="4"/>
    <n v="176.5"/>
    <x v="0"/>
    <x v="1"/>
    <n v="2.5641025641025641E-3"/>
    <x v="24"/>
    <x v="3"/>
    <s v="OK"/>
    <x v="0"/>
    <s v="OK"/>
    <x v="0"/>
    <x v="0"/>
    <n v="1"/>
    <n v="0"/>
    <n v="0"/>
    <n v="0"/>
    <x v="0"/>
    <x v="0"/>
    <x v="0"/>
  </r>
  <r>
    <n v="20296637697"/>
    <x v="2"/>
    <x v="2"/>
    <x v="2223"/>
    <x v="2230"/>
    <x v="1924"/>
    <n v="2"/>
    <x v="11"/>
    <s v="ESTACION 05 CCM2L"/>
    <s v="PSJ RIMAC 505 P.J HUASCARAN RIMAC LIMA"/>
    <x v="13"/>
    <x v="0"/>
    <x v="0"/>
    <x v="1"/>
    <x v="187"/>
    <x v="0"/>
    <n v="4"/>
    <n v="163.5"/>
    <x v="0"/>
    <x v="1"/>
    <n v="2.5641025641025641E-3"/>
    <x v="29"/>
    <x v="3"/>
    <s v="OK"/>
    <x v="0"/>
    <s v="OK"/>
    <x v="0"/>
    <x v="0"/>
    <n v="1"/>
    <n v="0"/>
    <n v="1"/>
    <n v="0"/>
    <x v="0"/>
    <x v="0"/>
    <x v="1"/>
  </r>
  <r>
    <n v="20296637697"/>
    <x v="2"/>
    <x v="2"/>
    <x v="2224"/>
    <x v="2231"/>
    <x v="1925"/>
    <n v="2"/>
    <x v="236"/>
    <s v="ESTACION 05 CCM2L"/>
    <s v="MZ E LT 25 1ERA ETAPA URBANIZACION PACHACAMAC VILLA EL SALVADOR"/>
    <x v="310"/>
    <x v="0"/>
    <x v="0"/>
    <x v="1"/>
    <x v="29"/>
    <x v="0"/>
    <n v="4"/>
    <n v="129"/>
    <x v="0"/>
    <x v="1"/>
    <n v="2.5641025641025641E-3"/>
    <x v="27"/>
    <x v="3"/>
    <s v="OK"/>
    <x v="0"/>
    <s v="OK"/>
    <x v="0"/>
    <x v="0"/>
    <n v="1"/>
    <n v="0"/>
    <n v="1"/>
    <n v="0"/>
    <x v="0"/>
    <x v="0"/>
    <x v="1"/>
  </r>
  <r>
    <n v="20603315201"/>
    <x v="48"/>
    <x v="3"/>
    <x v="2225"/>
    <x v="2232"/>
    <x v="1926"/>
    <n v="1"/>
    <x v="88"/>
    <s v="1A - PTBN"/>
    <s v="AV.GuardiaCivil 551"/>
    <x v="38"/>
    <x v="0"/>
    <x v="0"/>
    <x v="2"/>
    <x v="194"/>
    <x v="0"/>
    <n v="1"/>
    <n v="120"/>
    <x v="0"/>
    <x v="1"/>
    <n v="9.0909090909090912E-2"/>
    <x v="23"/>
    <x v="3"/>
    <s v="OK"/>
    <x v="0"/>
    <s v="OK"/>
    <x v="0"/>
    <x v="0"/>
    <n v="1"/>
    <n v="0"/>
    <n v="0"/>
    <n v="0"/>
    <x v="0"/>
    <x v="0"/>
    <x v="0"/>
  </r>
  <r>
    <n v="20603315201"/>
    <x v="48"/>
    <x v="3"/>
    <x v="2226"/>
    <x v="2233"/>
    <x v="1927"/>
    <n v="1"/>
    <x v="115"/>
    <s v="1a - PTBN"/>
    <s v="Jr.Loreto 152 Jose Galvez"/>
    <x v="8"/>
    <x v="0"/>
    <x v="0"/>
    <x v="2"/>
    <x v="656"/>
    <x v="0"/>
    <n v="1"/>
    <n v="120"/>
    <x v="0"/>
    <x v="1"/>
    <n v="9.0909090909090912E-2"/>
    <x v="26"/>
    <x v="3"/>
    <s v="OK"/>
    <x v="0"/>
    <s v="OK"/>
    <x v="0"/>
    <x v="0"/>
    <n v="1"/>
    <n v="0"/>
    <n v="0"/>
    <n v="0"/>
    <x v="0"/>
    <x v="0"/>
    <x v="0"/>
  </r>
  <r>
    <n v="20601010128"/>
    <x v="4"/>
    <x v="4"/>
    <x v="2227"/>
    <x v="2234"/>
    <x v="1928"/>
    <n v="1"/>
    <x v="334"/>
    <s v="ESTACION 17 Y 18"/>
    <s v="MZ. A, LT.02, ASOC. VIVIENDA CANADA"/>
    <x v="15"/>
    <x v="0"/>
    <x v="0"/>
    <x v="1"/>
    <x v="196"/>
    <x v="0"/>
    <n v="2"/>
    <n v="176"/>
    <x v="0"/>
    <x v="1"/>
    <n v="2.8571428571428571E-2"/>
    <x v="31"/>
    <x v="3"/>
    <s v="OK"/>
    <x v="0"/>
    <s v="OK"/>
    <x v="0"/>
    <x v="0"/>
    <n v="1"/>
    <n v="0"/>
    <n v="0"/>
    <n v="0"/>
    <x v="0"/>
    <x v="0"/>
    <x v="0"/>
  </r>
  <r>
    <n v="20601010128"/>
    <x v="4"/>
    <x v="4"/>
    <x v="2228"/>
    <x v="2235"/>
    <x v="1929"/>
    <n v="2"/>
    <x v="251"/>
    <s v="ESTACION 17 Y ESTACION 18"/>
    <s v="JR. LAS TURQUESAS NRO 426"/>
    <x v="15"/>
    <x v="0"/>
    <x v="0"/>
    <x v="1"/>
    <x v="65"/>
    <x v="0"/>
    <n v="4"/>
    <s v="203"/>
    <x v="0"/>
    <x v="1"/>
    <n v="2.8571428571428571E-2"/>
    <x v="25"/>
    <x v="3"/>
    <s v="OK"/>
    <x v="0"/>
    <s v="OK"/>
    <x v="0"/>
    <x v="0"/>
    <n v="1"/>
    <n v="0"/>
    <n v="0"/>
    <n v="0"/>
    <x v="0"/>
    <x v="0"/>
    <x v="0"/>
  </r>
  <r>
    <n v="20601010128"/>
    <x v="4"/>
    <x v="4"/>
    <x v="2229"/>
    <x v="2236"/>
    <x v="1930"/>
    <n v="2"/>
    <x v="15"/>
    <s v="ESTACION 17 Y ESTACION 18"/>
    <s v="ORG. VEC. LAS GALERAS SECTOR 3 Y 4 MZ. Q-13 LT. 31"/>
    <x v="15"/>
    <x v="0"/>
    <x v="0"/>
    <x v="1"/>
    <x v="657"/>
    <x v="0"/>
    <n v="4"/>
    <s v="199"/>
    <x v="0"/>
    <x v="1"/>
    <n v="2.8571428571428571E-2"/>
    <x v="30"/>
    <x v="3"/>
    <s v="OK"/>
    <x v="0"/>
    <s v="OK"/>
    <x v="0"/>
    <x v="0"/>
    <n v="1"/>
    <n v="0"/>
    <n v="0"/>
    <n v="0"/>
    <x v="0"/>
    <x v="0"/>
    <x v="0"/>
  </r>
  <r>
    <n v="20601010128"/>
    <x v="4"/>
    <x v="4"/>
    <x v="2230"/>
    <x v="2237"/>
    <x v="1931"/>
    <n v="2"/>
    <x v="15"/>
    <s v="ESTACION 17 Y ESTACION 18"/>
    <s v="JR. PARELELO MZ.A-14 LT-9"/>
    <x v="15"/>
    <x v="0"/>
    <x v="0"/>
    <x v="1"/>
    <x v="441"/>
    <x v="0"/>
    <n v="4"/>
    <s v="0"/>
    <x v="0"/>
    <x v="1"/>
    <n v="2.8571428571428571E-2"/>
    <x v="24"/>
    <x v="3"/>
    <s v="OK"/>
    <x v="0"/>
    <s v="OK"/>
    <x v="0"/>
    <x v="0"/>
    <n v="1"/>
    <n v="0"/>
    <n v="0"/>
    <n v="0"/>
    <x v="0"/>
    <x v="0"/>
    <x v="0"/>
  </r>
  <r>
    <n v="20609301288"/>
    <x v="5"/>
    <x v="5"/>
    <x v="2231"/>
    <x v="2238"/>
    <x v="1932"/>
    <n v="2"/>
    <x v="20"/>
    <s v="POZO VENTILACIÓN 16"/>
    <s v="CALLE TARAPACA 132 SECTOR SAN GABRIEL"/>
    <x v="8"/>
    <x v="0"/>
    <x v="0"/>
    <x v="2"/>
    <x v="173"/>
    <x v="0"/>
    <n v="4"/>
    <n v="43"/>
    <x v="0"/>
    <x v="1"/>
    <n v="9.0909090909090912E-2"/>
    <x v="25"/>
    <x v="3"/>
    <s v="OK"/>
    <x v="0"/>
    <s v="OK"/>
    <x v="0"/>
    <x v="0"/>
    <n v="1"/>
    <n v="0"/>
    <n v="0"/>
    <n v="0"/>
    <x v="0"/>
    <x v="0"/>
    <x v="0"/>
  </r>
  <r>
    <n v="20609301288"/>
    <x v="5"/>
    <x v="5"/>
    <x v="2232"/>
    <x v="2239"/>
    <x v="1933"/>
    <n v="2"/>
    <x v="10"/>
    <s v="POZO VENTILACIÓN 16"/>
    <s v="MZ.Q-1 LT.10 LA ALBORADA LIMA-LIMA-COMAS"/>
    <x v="0"/>
    <x v="0"/>
    <x v="0"/>
    <x v="2"/>
    <x v="170"/>
    <x v="0"/>
    <n v="4"/>
    <n v="46"/>
    <x v="0"/>
    <x v="1"/>
    <n v="9.0909090909090912E-2"/>
    <x v="24"/>
    <x v="3"/>
    <s v="OK"/>
    <x v="0"/>
    <s v="OK"/>
    <x v="0"/>
    <x v="0"/>
    <n v="1"/>
    <n v="0"/>
    <n v="0"/>
    <n v="0"/>
    <x v="0"/>
    <x v="0"/>
    <x v="0"/>
  </r>
  <r>
    <n v="20609301288"/>
    <x v="5"/>
    <x v="5"/>
    <x v="2233"/>
    <x v="2240"/>
    <x v="1934"/>
    <n v="2"/>
    <x v="10"/>
    <s v="POZO VENTILACIÓN 16"/>
    <s v="CALLE 16 MZ G LT 6 A.H GRUPO RESIDENCIAL C2"/>
    <x v="2"/>
    <x v="0"/>
    <x v="0"/>
    <x v="2"/>
    <x v="173"/>
    <x v="0"/>
    <n v="4"/>
    <n v="31"/>
    <x v="0"/>
    <x v="1"/>
    <n v="9.0909090909090912E-2"/>
    <x v="31"/>
    <x v="3"/>
    <s v="OK"/>
    <x v="2"/>
    <s v="OK"/>
    <x v="0"/>
    <x v="0"/>
    <n v="1"/>
    <n v="1"/>
    <n v="0"/>
    <n v="0"/>
    <x v="0"/>
    <x v="0"/>
    <x v="0"/>
  </r>
  <r>
    <n v="20603070446"/>
    <x v="50"/>
    <x v="37"/>
    <x v="2234"/>
    <x v="2241"/>
    <x v="1935"/>
    <n v="2"/>
    <x v="83"/>
    <s v="E1,2 y 3"/>
    <s v="JR. LIMA 701 - HUANCAYO / QUILCAS"/>
    <x v="311"/>
    <x v="0"/>
    <x v="0"/>
    <x v="2"/>
    <x v="200"/>
    <x v="0"/>
    <n v="4"/>
    <n v="112"/>
    <x v="0"/>
    <x v="1"/>
    <n v="4.7619047619047616E-2"/>
    <x v="27"/>
    <x v="3"/>
    <s v="OK"/>
    <x v="0"/>
    <s v="OK"/>
    <x v="0"/>
    <x v="0"/>
    <n v="1"/>
    <n v="0"/>
    <n v="0"/>
    <n v="0"/>
    <x v="0"/>
    <x v="0"/>
    <x v="0"/>
  </r>
  <r>
    <n v="20603070446"/>
    <x v="50"/>
    <x v="37"/>
    <x v="2235"/>
    <x v="2242"/>
    <x v="1936"/>
    <n v="2"/>
    <x v="83"/>
    <s v="E1,2 y 3"/>
    <s v="JR. LOS GERANIOS MZ 4E LT 04 PUEBLO JOVEN EL PROGRESO"/>
    <x v="54"/>
    <x v="0"/>
    <x v="0"/>
    <x v="2"/>
    <x v="262"/>
    <x v="0"/>
    <n v="4"/>
    <n v="12"/>
    <x v="0"/>
    <x v="1"/>
    <n v="4.7619047619047616E-2"/>
    <x v="24"/>
    <x v="3"/>
    <s v="OK"/>
    <x v="0"/>
    <s v="OK"/>
    <x v="0"/>
    <x v="0"/>
    <n v="1"/>
    <n v="0"/>
    <n v="0"/>
    <n v="0"/>
    <x v="0"/>
    <x v="0"/>
    <x v="0"/>
  </r>
  <r>
    <n v="20603070446"/>
    <x v="50"/>
    <x v="37"/>
    <x v="2236"/>
    <x v="2243"/>
    <x v="1937"/>
    <n v="2"/>
    <x v="83"/>
    <s v="E12"/>
    <s v="AV. TUPAC AMARU KM 11, MZ I LT10"/>
    <x v="0"/>
    <x v="0"/>
    <x v="0"/>
    <x v="2"/>
    <x v="658"/>
    <x v="0"/>
    <n v="4"/>
    <n v="176"/>
    <x v="0"/>
    <x v="1"/>
    <n v="4.7619047619047616E-2"/>
    <x v="27"/>
    <x v="3"/>
    <s v="OK"/>
    <x v="0"/>
    <s v="OK"/>
    <x v="0"/>
    <x v="0"/>
    <n v="1"/>
    <n v="0"/>
    <n v="0"/>
    <n v="0"/>
    <x v="0"/>
    <x v="0"/>
    <x v="0"/>
  </r>
  <r>
    <n v="20603070446"/>
    <x v="50"/>
    <x v="37"/>
    <x v="2237"/>
    <x v="2244"/>
    <x v="1938"/>
    <n v="2"/>
    <x v="83"/>
    <s v="E1,2 y 3"/>
    <s v="CALLE LIMA 701 -  JUNIN/HUANCAYO/QUILCAS "/>
    <x v="311"/>
    <x v="0"/>
    <x v="0"/>
    <x v="2"/>
    <x v="473"/>
    <x v="0"/>
    <n v="4"/>
    <n v="120"/>
    <x v="0"/>
    <x v="1"/>
    <n v="4.7619047619047616E-2"/>
    <x v="31"/>
    <x v="3"/>
    <s v="OK"/>
    <x v="0"/>
    <s v="OK"/>
    <x v="0"/>
    <x v="0"/>
    <n v="1"/>
    <n v="0"/>
    <n v="0"/>
    <n v="0"/>
    <x v="0"/>
    <x v="0"/>
    <x v="0"/>
  </r>
  <r>
    <n v="20556570681"/>
    <x v="69"/>
    <x v="38"/>
    <x v="2238"/>
    <x v="2245"/>
    <x v="1939"/>
    <n v="4"/>
    <x v="124"/>
    <s v="E11"/>
    <s v="JR. JUNIN 134 DPTO. 302E "/>
    <x v="121"/>
    <x v="0"/>
    <x v="0"/>
    <x v="3"/>
    <x v="469"/>
    <x v="0"/>
    <n v="3"/>
    <n v="240"/>
    <x v="0"/>
    <x v="0"/>
    <n v="4.3478260869565216E-2"/>
    <x v="27"/>
    <x v="3"/>
    <s v="OK"/>
    <x v="0"/>
    <s v="OK"/>
    <x v="0"/>
    <x v="0"/>
    <n v="1"/>
    <n v="0"/>
    <n v="0"/>
    <n v="0"/>
    <x v="0"/>
    <x v="0"/>
    <x v="0"/>
  </r>
  <r>
    <n v="20603639520"/>
    <x v="51"/>
    <x v="38"/>
    <x v="2239"/>
    <x v="2246"/>
    <x v="1940"/>
    <n v="5"/>
    <x v="67"/>
    <s v="E11"/>
    <s v="AV. GRAN CHIMU 653 URB. ZARATE"/>
    <x v="15"/>
    <x v="0"/>
    <x v="0"/>
    <x v="1"/>
    <x v="258"/>
    <x v="0"/>
    <n v="4"/>
    <n v="240"/>
    <x v="0"/>
    <x v="1"/>
    <n v="4.3478260869565216E-2"/>
    <x v="26"/>
    <x v="3"/>
    <s v="OK"/>
    <x v="0"/>
    <s v="OK"/>
    <x v="0"/>
    <x v="0"/>
    <n v="1"/>
    <n v="0"/>
    <n v="0"/>
    <n v="0"/>
    <x v="0"/>
    <x v="0"/>
    <x v="0"/>
  </r>
  <r>
    <n v="20556570681"/>
    <x v="69"/>
    <x v="38"/>
    <x v="2240"/>
    <x v="2247"/>
    <x v="1941"/>
    <n v="21"/>
    <x v="335"/>
    <s v="E11"/>
    <s v="AV LIMA S/N"/>
    <x v="10"/>
    <x v="1"/>
    <x v="0"/>
    <x v="1"/>
    <x v="659"/>
    <x v="0"/>
    <n v="1"/>
    <n v="240"/>
    <x v="0"/>
    <x v="0"/>
    <n v="4.3478260869565216E-2"/>
    <x v="28"/>
    <x v="3"/>
    <s v="OK"/>
    <x v="0"/>
    <s v="OK"/>
    <x v="0"/>
    <x v="2"/>
    <n v="0.33333333333333331"/>
    <n v="2"/>
    <n v="0"/>
    <n v="0"/>
    <x v="0"/>
    <x v="0"/>
    <x v="0"/>
  </r>
  <r>
    <n v="20603639520"/>
    <x v="51"/>
    <x v="38"/>
    <x v="2241"/>
    <x v="2248"/>
    <x v="1942"/>
    <n v="30"/>
    <x v="67"/>
    <s v="E11"/>
    <s v="JR. LAMBAYEQUE 153 SEC. EL MILAGRO"/>
    <x v="312"/>
    <x v="0"/>
    <x v="32"/>
    <x v="1"/>
    <x v="660"/>
    <x v="2"/>
    <n v="4"/>
    <n v="64"/>
    <x v="0"/>
    <x v="1"/>
    <n v="4.3478260869565216E-2"/>
    <x v="31"/>
    <x v="3"/>
    <s v="OK"/>
    <x v="0"/>
    <s v="OK"/>
    <x v="0"/>
    <x v="1"/>
    <n v="0.5"/>
    <n v="0"/>
    <n v="0"/>
    <n v="1"/>
    <x v="0"/>
    <x v="1"/>
    <x v="0"/>
  </r>
  <r>
    <n v="20603639520"/>
    <x v="51"/>
    <x v="38"/>
    <x v="2242"/>
    <x v="2249"/>
    <x v="1943"/>
    <n v="40"/>
    <x v="194"/>
    <s v="E11"/>
    <s v="MZ.K-2 LT 21 ANGAMOS"/>
    <x v="2"/>
    <x v="0"/>
    <x v="24"/>
    <x v="1"/>
    <x v="301"/>
    <x v="2"/>
    <n v="4"/>
    <n v="176"/>
    <x v="0"/>
    <x v="1"/>
    <n v="4.3478260869565216E-2"/>
    <x v="28"/>
    <x v="3"/>
    <s v="OK"/>
    <x v="2"/>
    <s v="OK"/>
    <x v="0"/>
    <x v="1"/>
    <n v="0.5"/>
    <n v="0.5"/>
    <n v="0"/>
    <n v="1"/>
    <x v="0"/>
    <x v="1"/>
    <x v="0"/>
  </r>
  <r>
    <n v="20608901567"/>
    <x v="52"/>
    <x v="39"/>
    <x v="2243"/>
    <x v="2250"/>
    <x v="1944"/>
    <n v="3"/>
    <x v="86"/>
    <s v="ESTACION 18"/>
    <s v="PASAJE CANCHACANCHA AAHH. SAN ALBINO MZ.D LT.1"/>
    <x v="44"/>
    <x v="0"/>
    <x v="19"/>
    <x v="2"/>
    <x v="17"/>
    <x v="0"/>
    <n v="1"/>
    <n v="200"/>
    <x v="0"/>
    <x v="1"/>
    <n v="0.125"/>
    <x v="24"/>
    <x v="3"/>
    <s v="OK"/>
    <x v="0"/>
    <s v="OK"/>
    <x v="0"/>
    <x v="0"/>
    <n v="1"/>
    <n v="0"/>
    <n v="0"/>
    <n v="0"/>
    <x v="1"/>
    <x v="2"/>
    <x v="0"/>
  </r>
  <r>
    <n v="20608901567"/>
    <x v="52"/>
    <x v="39"/>
    <x v="2244"/>
    <x v="2251"/>
    <x v="1861"/>
    <n v="1"/>
    <x v="17"/>
    <s v="ESTACION 18"/>
    <s v="JR.LAS LAGUNAS 128 URB. LA ATARJEA"/>
    <x v="46"/>
    <x v="0"/>
    <x v="19"/>
    <x v="2"/>
    <x v="128"/>
    <x v="0"/>
    <n v="1"/>
    <n v="200"/>
    <x v="0"/>
    <x v="1"/>
    <n v="0.125"/>
    <x v="27"/>
    <x v="3"/>
    <s v="OK"/>
    <x v="7"/>
    <s v="OK"/>
    <x v="0"/>
    <x v="0"/>
    <n v="1"/>
    <n v="1"/>
    <n v="0"/>
    <n v="0"/>
    <x v="1"/>
    <x v="2"/>
    <x v="0"/>
  </r>
  <r>
    <n v="20608901567"/>
    <x v="52"/>
    <x v="39"/>
    <x v="2245"/>
    <x v="2252"/>
    <x v="1945"/>
    <n v="1"/>
    <x v="17"/>
    <s v="ESTACION 18"/>
    <s v="JR. INCA 114 DPTO. 1"/>
    <x v="13"/>
    <x v="0"/>
    <x v="19"/>
    <x v="2"/>
    <x v="128"/>
    <x v="0"/>
    <n v="1"/>
    <n v="200"/>
    <x v="0"/>
    <x v="1"/>
    <n v="0.125"/>
    <x v="29"/>
    <x v="3"/>
    <s v="OK"/>
    <x v="0"/>
    <s v="OK"/>
    <x v="0"/>
    <x v="0"/>
    <n v="1"/>
    <n v="0"/>
    <n v="0"/>
    <n v="0"/>
    <x v="1"/>
    <x v="2"/>
    <x v="0"/>
  </r>
  <r>
    <n v="20608901567"/>
    <x v="52"/>
    <x v="39"/>
    <x v="2246"/>
    <x v="2253"/>
    <x v="1946"/>
    <n v="2"/>
    <x v="336"/>
    <s v="ESTACION 18"/>
    <s v="AAHH VILLA EL ANGEL CALLE 26 MZ. M LT. 7"/>
    <x v="44"/>
    <x v="0"/>
    <x v="19"/>
    <x v="2"/>
    <x v="240"/>
    <x v="0"/>
    <n v="1"/>
    <n v="200"/>
    <x v="0"/>
    <x v="1"/>
    <n v="0.125"/>
    <x v="24"/>
    <x v="3"/>
    <s v="OK"/>
    <x v="0"/>
    <s v="OK"/>
    <x v="0"/>
    <x v="0"/>
    <n v="1"/>
    <n v="0"/>
    <n v="0"/>
    <n v="0"/>
    <x v="1"/>
    <x v="2"/>
    <x v="0"/>
  </r>
  <r>
    <s v="20600535634"/>
    <x v="6"/>
    <x v="6"/>
    <x v="2247"/>
    <x v="2254"/>
    <x v="1947"/>
    <n v="1"/>
    <x v="115"/>
    <s v="ESTACION E012/E018"/>
    <s v="JR. OLLANTA 280 LIMA"/>
    <x v="32"/>
    <x v="0"/>
    <x v="0"/>
    <x v="2"/>
    <x v="28"/>
    <x v="0"/>
    <n v="1"/>
    <n v="96"/>
    <x v="0"/>
    <x v="1"/>
    <n v="2.4390243902439025E-2"/>
    <x v="26"/>
    <x v="3"/>
    <s v="OK"/>
    <x v="6"/>
    <s v="OK"/>
    <x v="0"/>
    <x v="0"/>
    <n v="1"/>
    <n v="1"/>
    <n v="1"/>
    <n v="0"/>
    <x v="0"/>
    <x v="0"/>
    <x v="1"/>
  </r>
  <r>
    <s v="20600535634"/>
    <x v="6"/>
    <x v="6"/>
    <x v="2248"/>
    <x v="2255"/>
    <x v="1948"/>
    <n v="2"/>
    <x v="20"/>
    <s v="ESTACION E018/E016"/>
    <s v="AV ESTEBAN SALMON 487"/>
    <x v="13"/>
    <x v="0"/>
    <x v="0"/>
    <x v="2"/>
    <x v="93"/>
    <x v="0"/>
    <n v="4"/>
    <n v="176"/>
    <x v="0"/>
    <x v="1"/>
    <n v="2.4390243902439025E-2"/>
    <x v="25"/>
    <x v="3"/>
    <s v="OK"/>
    <x v="0"/>
    <s v="OK"/>
    <x v="0"/>
    <x v="0"/>
    <n v="1"/>
    <n v="0"/>
    <n v="0"/>
    <n v="0"/>
    <x v="0"/>
    <x v="0"/>
    <x v="0"/>
  </r>
  <r>
    <s v="20600535634"/>
    <x v="6"/>
    <x v="6"/>
    <x v="2249"/>
    <x v="2256"/>
    <x v="1949"/>
    <n v="2"/>
    <x v="10"/>
    <s v="ESTACION E018"/>
    <s v="MZ E1 LT 20 URB MAYORAZGO SEGUNDA ETAPA AV SAN JOSE "/>
    <x v="3"/>
    <x v="0"/>
    <x v="0"/>
    <x v="2"/>
    <x v="26"/>
    <x v="0"/>
    <n v="4"/>
    <n v="168"/>
    <x v="0"/>
    <x v="1"/>
    <n v="2.4390243902439025E-2"/>
    <x v="26"/>
    <x v="3"/>
    <s v="OK"/>
    <x v="0"/>
    <s v="OK"/>
    <x v="0"/>
    <x v="0"/>
    <n v="1"/>
    <n v="0"/>
    <n v="0"/>
    <n v="0"/>
    <x v="0"/>
    <x v="0"/>
    <x v="0"/>
  </r>
  <r>
    <s v="20600535634"/>
    <x v="6"/>
    <x v="6"/>
    <x v="2250"/>
    <x v="2257"/>
    <x v="1950"/>
    <n v="2"/>
    <x v="2"/>
    <s v="ESTACION E018"/>
    <s v="CALLE 8 DE DICIEMBRE1 46 URB JORGE CHAVEZ"/>
    <x v="32"/>
    <x v="0"/>
    <x v="0"/>
    <x v="2"/>
    <x v="240"/>
    <x v="0"/>
    <n v="4"/>
    <n v="176"/>
    <x v="0"/>
    <x v="1"/>
    <n v="2.4390243902439025E-2"/>
    <x v="31"/>
    <x v="3"/>
    <s v="OK"/>
    <x v="6"/>
    <s v="OK"/>
    <x v="0"/>
    <x v="0"/>
    <n v="1"/>
    <n v="1"/>
    <n v="0"/>
    <n v="0"/>
    <x v="0"/>
    <x v="0"/>
    <x v="0"/>
  </r>
  <r>
    <s v="20600535634"/>
    <x v="6"/>
    <x v="6"/>
    <x v="2251"/>
    <x v="2258"/>
    <x v="1951"/>
    <n v="2"/>
    <x v="10"/>
    <s v="POZO BIDDLE"/>
    <s v="HUASCAR 567"/>
    <x v="6"/>
    <x v="0"/>
    <x v="0"/>
    <x v="2"/>
    <x v="28"/>
    <x v="0"/>
    <n v="4"/>
    <n v="48"/>
    <x v="0"/>
    <x v="1"/>
    <n v="2.4390243902439025E-2"/>
    <x v="29"/>
    <x v="3"/>
    <s v="OK"/>
    <x v="2"/>
    <s v="OK"/>
    <x v="0"/>
    <x v="0"/>
    <n v="1"/>
    <n v="1"/>
    <n v="1"/>
    <n v="0"/>
    <x v="0"/>
    <x v="0"/>
    <x v="1"/>
  </r>
  <r>
    <s v="20600535634"/>
    <x v="6"/>
    <x v="6"/>
    <x v="2252"/>
    <x v="2259"/>
    <x v="1952"/>
    <n v="2"/>
    <x v="10"/>
    <s v="ESTACION E016/E012"/>
    <s v="MZ.E-4 LT.37 SECTOR 12 DE NOVIEMBRE P.ALTA"/>
    <x v="53"/>
    <x v="0"/>
    <x v="0"/>
    <x v="2"/>
    <x v="4"/>
    <x v="0"/>
    <n v="4"/>
    <n v="176"/>
    <x v="0"/>
    <x v="1"/>
    <n v="2.4390243902439025E-2"/>
    <x v="28"/>
    <x v="3"/>
    <s v="OK"/>
    <x v="0"/>
    <s v="OK"/>
    <x v="0"/>
    <x v="0"/>
    <n v="1"/>
    <n v="0"/>
    <n v="1"/>
    <n v="0"/>
    <x v="0"/>
    <x v="0"/>
    <x v="1"/>
  </r>
  <r>
    <s v="20600535634"/>
    <x v="6"/>
    <x v="6"/>
    <x v="2253"/>
    <x v="2260"/>
    <x v="1953"/>
    <n v="2"/>
    <x v="10"/>
    <s v="ESTACION E016"/>
    <s v="JS PASACHE BUENA VENTURA LT 22"/>
    <x v="77"/>
    <x v="0"/>
    <x v="0"/>
    <x v="4"/>
    <x v="4"/>
    <x v="0"/>
    <n v="4"/>
    <n v="176"/>
    <x v="0"/>
    <x v="1"/>
    <n v="2.4390243902439025E-2"/>
    <x v="23"/>
    <x v="3"/>
    <s v="OK"/>
    <x v="0"/>
    <s v="OK"/>
    <x v="0"/>
    <x v="0"/>
    <n v="1"/>
    <n v="0"/>
    <n v="1"/>
    <n v="0"/>
    <x v="0"/>
    <x v="0"/>
    <x v="1"/>
  </r>
  <r>
    <s v="20562719700"/>
    <x v="7"/>
    <x v="7"/>
    <x v="2254"/>
    <x v="2261"/>
    <x v="1954"/>
    <n v="1"/>
    <x v="93"/>
    <s v="ESTACION 10"/>
    <s v="ASOCIACION DE BRISAS DE SANTA ROSA MZ.G LT.27"/>
    <x v="313"/>
    <x v="0"/>
    <x v="0"/>
    <x v="2"/>
    <x v="407"/>
    <x v="2"/>
    <n v="1"/>
    <n v="192"/>
    <x v="0"/>
    <x v="1"/>
    <n v="5.7803468208092483E-3"/>
    <x v="24"/>
    <x v="3"/>
    <s v="OK"/>
    <x v="0"/>
    <s v="OK"/>
    <x v="0"/>
    <x v="0"/>
    <n v="1"/>
    <n v="0"/>
    <n v="0"/>
    <n v="0"/>
    <x v="0"/>
    <x v="0"/>
    <x v="0"/>
  </r>
  <r>
    <s v="20562719700"/>
    <x v="7"/>
    <x v="7"/>
    <x v="2255"/>
    <x v="2262"/>
    <x v="1955"/>
    <m/>
    <x v="4"/>
    <s v="ESTACION 06"/>
    <s v="CALLE LOS QUIPUS 223 LOS CHANCAS DE ANDAHUYLAS "/>
    <x v="94"/>
    <x v="0"/>
    <x v="0"/>
    <x v="2"/>
    <x v="218"/>
    <x v="0"/>
    <n v="4"/>
    <n v="192"/>
    <x v="0"/>
    <x v="1"/>
    <n v="5.7803468208092483E-3"/>
    <x v="25"/>
    <x v="3"/>
    <s v="OK"/>
    <x v="5"/>
    <s v="OK"/>
    <x v="0"/>
    <x v="0"/>
    <n v="1"/>
    <n v="1"/>
    <n v="0"/>
    <n v="0"/>
    <x v="0"/>
    <x v="0"/>
    <x v="0"/>
  </r>
  <r>
    <s v="20562719700"/>
    <x v="7"/>
    <x v="7"/>
    <x v="2256"/>
    <x v="2263"/>
    <x v="1956"/>
    <m/>
    <x v="4"/>
    <s v="ESTACION 06"/>
    <s v="AA.HH. SAN FRANCISCO"/>
    <x v="8"/>
    <x v="0"/>
    <x v="0"/>
    <x v="2"/>
    <x v="218"/>
    <x v="0"/>
    <n v="4"/>
    <n v="192"/>
    <x v="0"/>
    <x v="1"/>
    <n v="5.7803468208092483E-3"/>
    <x v="27"/>
    <x v="3"/>
    <s v="OK"/>
    <x v="0"/>
    <s v="OK"/>
    <x v="0"/>
    <x v="0"/>
    <n v="1"/>
    <n v="0"/>
    <n v="0"/>
    <n v="0"/>
    <x v="0"/>
    <x v="0"/>
    <x v="0"/>
  </r>
  <r>
    <s v="20562719700"/>
    <x v="7"/>
    <x v="7"/>
    <x v="2257"/>
    <x v="2264"/>
    <x v="1957"/>
    <m/>
    <x v="4"/>
    <s v="ESTACION 08"/>
    <s v="12 DE AGOSTO  MZ G LT 1    015-LIMA"/>
    <x v="314"/>
    <x v="0"/>
    <x v="0"/>
    <x v="2"/>
    <x v="31"/>
    <x v="0"/>
    <n v="4"/>
    <n v="192"/>
    <x v="0"/>
    <x v="1"/>
    <n v="5.7803468208092483E-3"/>
    <x v="24"/>
    <x v="3"/>
    <s v="OK"/>
    <x v="0"/>
    <s v="OK"/>
    <x v="0"/>
    <x v="0"/>
    <n v="1"/>
    <n v="0"/>
    <n v="0"/>
    <n v="0"/>
    <x v="0"/>
    <x v="0"/>
    <x v="0"/>
  </r>
  <r>
    <s v="20562719700"/>
    <x v="7"/>
    <x v="7"/>
    <x v="2258"/>
    <x v="2265"/>
    <x v="1958"/>
    <m/>
    <x v="4"/>
    <s v="ESTACION 08"/>
    <s v="MZ M LT 9 OLIVOS DE LA PAZ    007-CALLAO"/>
    <x v="2"/>
    <x v="0"/>
    <x v="0"/>
    <x v="2"/>
    <x v="402"/>
    <x v="0"/>
    <n v="4"/>
    <n v="192"/>
    <x v="0"/>
    <x v="1"/>
    <n v="5.7803468208092483E-3"/>
    <x v="27"/>
    <x v="3"/>
    <s v="OK"/>
    <x v="2"/>
    <s v="OK"/>
    <x v="0"/>
    <x v="0"/>
    <n v="1"/>
    <n v="1"/>
    <n v="0"/>
    <n v="0"/>
    <x v="0"/>
    <x v="0"/>
    <x v="0"/>
  </r>
  <r>
    <s v="20562719700"/>
    <x v="7"/>
    <x v="7"/>
    <x v="2259"/>
    <x v="2266"/>
    <x v="1883"/>
    <m/>
    <x v="4"/>
    <s v="ESTACION 06"/>
    <s v="AA.HH. MOTUPE 2DA ETAPA GRUPO 5 MZ.L. LT.13"/>
    <x v="15"/>
    <x v="0"/>
    <x v="0"/>
    <x v="2"/>
    <x v="495"/>
    <x v="0"/>
    <n v="4"/>
    <n v="192"/>
    <x v="0"/>
    <x v="1"/>
    <n v="5.7803468208092483E-3"/>
    <x v="24"/>
    <x v="3"/>
    <s v="OK"/>
    <x v="0"/>
    <s v="OK"/>
    <x v="0"/>
    <x v="0"/>
    <n v="1"/>
    <n v="0"/>
    <n v="0"/>
    <n v="0"/>
    <x v="0"/>
    <x v="0"/>
    <x v="0"/>
  </r>
  <r>
    <s v="20562719700"/>
    <x v="7"/>
    <x v="7"/>
    <x v="2260"/>
    <x v="2267"/>
    <x v="1959"/>
    <m/>
    <x v="4"/>
    <s v="ESTACION 08"/>
    <s v="CALLE HUANTAJALLA 135 "/>
    <x v="6"/>
    <x v="0"/>
    <x v="0"/>
    <x v="2"/>
    <x v="443"/>
    <x v="0"/>
    <n v="4"/>
    <n v="192"/>
    <x v="0"/>
    <x v="1"/>
    <n v="5.7803468208092483E-3"/>
    <x v="30"/>
    <x v="3"/>
    <s v="OK"/>
    <x v="2"/>
    <s v="OK"/>
    <x v="0"/>
    <x v="0"/>
    <n v="1"/>
    <n v="1"/>
    <n v="0"/>
    <n v="0"/>
    <x v="0"/>
    <x v="0"/>
    <x v="0"/>
  </r>
  <r>
    <s v="20562719700"/>
    <x v="7"/>
    <x v="7"/>
    <x v="2261"/>
    <x v="2268"/>
    <x v="1960"/>
    <m/>
    <x v="4"/>
    <s v="ESTACION 06"/>
    <s v="MZ.K LT.20 AA.HH. PAEZ Y PALMERA "/>
    <x v="15"/>
    <x v="0"/>
    <x v="0"/>
    <x v="2"/>
    <x v="218"/>
    <x v="0"/>
    <n v="4"/>
    <n v="192"/>
    <x v="0"/>
    <x v="1"/>
    <n v="5.7803468208092483E-3"/>
    <x v="27"/>
    <x v="3"/>
    <s v="OK"/>
    <x v="0"/>
    <s v="OK"/>
    <x v="0"/>
    <x v="0"/>
    <n v="1"/>
    <n v="0"/>
    <n v="0"/>
    <n v="0"/>
    <x v="0"/>
    <x v="0"/>
    <x v="0"/>
  </r>
  <r>
    <s v="20562719700"/>
    <x v="7"/>
    <x v="7"/>
    <x v="2262"/>
    <x v="2269"/>
    <x v="1961"/>
    <m/>
    <x v="4"/>
    <s v="ESTACION 08"/>
    <s v="LIMA TAMBO NORTE MZ.E LT.16"/>
    <x v="10"/>
    <x v="0"/>
    <x v="0"/>
    <x v="2"/>
    <x v="31"/>
    <x v="0"/>
    <n v="4"/>
    <n v="192"/>
    <x v="0"/>
    <x v="1"/>
    <n v="5.7803468208092483E-3"/>
    <x v="24"/>
    <x v="3"/>
    <s v="OK"/>
    <x v="0"/>
    <s v="OK"/>
    <x v="0"/>
    <x v="0"/>
    <n v="1"/>
    <n v="0"/>
    <n v="0"/>
    <n v="0"/>
    <x v="0"/>
    <x v="0"/>
    <x v="0"/>
  </r>
  <r>
    <s v="20562719700"/>
    <x v="7"/>
    <x v="7"/>
    <x v="2263"/>
    <x v="2270"/>
    <x v="1962"/>
    <m/>
    <x v="4"/>
    <s v="ESTACION 06"/>
    <s v="PASAJE CHIMU MZ 71 LT 34"/>
    <x v="8"/>
    <x v="0"/>
    <x v="0"/>
    <x v="2"/>
    <x v="214"/>
    <x v="0"/>
    <n v="4"/>
    <n v="192"/>
    <x v="0"/>
    <x v="1"/>
    <n v="5.7803468208092483E-3"/>
    <x v="24"/>
    <x v="3"/>
    <s v="OK"/>
    <x v="0"/>
    <s v="OK"/>
    <x v="0"/>
    <x v="0"/>
    <n v="1"/>
    <n v="0"/>
    <n v="0"/>
    <n v="0"/>
    <x v="0"/>
    <x v="0"/>
    <x v="0"/>
  </r>
  <r>
    <s v="20562719700"/>
    <x v="7"/>
    <x v="7"/>
    <x v="2264"/>
    <x v="2271"/>
    <x v="1963"/>
    <m/>
    <x v="4"/>
    <s v="ESTACION 08"/>
    <s v="ASOC. DE VIVIENDA EL MIRADOR CAROPONGO MZ A LT 12"/>
    <x v="10"/>
    <x v="0"/>
    <x v="0"/>
    <x v="2"/>
    <x v="225"/>
    <x v="0"/>
    <n v="4"/>
    <n v="192"/>
    <x v="0"/>
    <x v="1"/>
    <n v="5.7803468208092483E-3"/>
    <x v="24"/>
    <x v="3"/>
    <s v="OK"/>
    <x v="0"/>
    <s v="OK"/>
    <x v="0"/>
    <x v="0"/>
    <n v="1"/>
    <n v="0"/>
    <n v="0"/>
    <n v="0"/>
    <x v="0"/>
    <x v="0"/>
    <x v="0"/>
  </r>
  <r>
    <s v="20562719700"/>
    <x v="7"/>
    <x v="7"/>
    <x v="2265"/>
    <x v="2272"/>
    <x v="1964"/>
    <m/>
    <x v="4"/>
    <s v="ESTACION 06"/>
    <s v="MZ.3F LT.7 ASENTAMIENTO HUMANO TODOS UNIDOS "/>
    <x v="6"/>
    <x v="0"/>
    <x v="0"/>
    <x v="2"/>
    <x v="218"/>
    <x v="0"/>
    <n v="4"/>
    <n v="192"/>
    <x v="0"/>
    <x v="1"/>
    <n v="5.7803468208092483E-3"/>
    <x v="27"/>
    <x v="3"/>
    <s v="OK"/>
    <x v="2"/>
    <s v="OK"/>
    <x v="0"/>
    <x v="0"/>
    <n v="1"/>
    <n v="1"/>
    <n v="0"/>
    <n v="0"/>
    <x v="0"/>
    <x v="0"/>
    <x v="0"/>
  </r>
  <r>
    <s v="20562719700"/>
    <x v="7"/>
    <x v="7"/>
    <x v="2266"/>
    <x v="2273"/>
    <x v="1965"/>
    <m/>
    <x v="4"/>
    <s v="ESTACION 06"/>
    <s v="PEDREGAL SUR ETAPA II - MAJES - AREQUIPA"/>
    <x v="295"/>
    <x v="0"/>
    <x v="0"/>
    <x v="2"/>
    <x v="218"/>
    <x v="0"/>
    <n v="4"/>
    <n v="192"/>
    <x v="0"/>
    <x v="1"/>
    <n v="5.7803468208092483E-3"/>
    <x v="23"/>
    <x v="3"/>
    <s v="OK"/>
    <x v="0"/>
    <s v="OK"/>
    <x v="0"/>
    <x v="0"/>
    <n v="1"/>
    <n v="0"/>
    <n v="0"/>
    <n v="0"/>
    <x v="0"/>
    <x v="0"/>
    <x v="0"/>
  </r>
  <r>
    <s v="20562719700"/>
    <x v="7"/>
    <x v="7"/>
    <x v="2267"/>
    <x v="2274"/>
    <x v="1966"/>
    <m/>
    <x v="4"/>
    <s v="ESTACION 08"/>
    <s v="CALLE HUANTAJALLA 135 "/>
    <x v="6"/>
    <x v="0"/>
    <x v="0"/>
    <x v="2"/>
    <x v="223"/>
    <x v="0"/>
    <n v="4"/>
    <n v="192"/>
    <x v="0"/>
    <x v="1"/>
    <n v="5.7803468208092483E-3"/>
    <x v="31"/>
    <x v="3"/>
    <s v="OK"/>
    <x v="2"/>
    <s v="OK"/>
    <x v="0"/>
    <x v="0"/>
    <n v="1"/>
    <n v="1"/>
    <n v="0"/>
    <n v="0"/>
    <x v="0"/>
    <x v="0"/>
    <x v="0"/>
  </r>
  <r>
    <s v="20562719700"/>
    <x v="7"/>
    <x v="7"/>
    <x v="2268"/>
    <x v="2275"/>
    <x v="1967"/>
    <m/>
    <x v="4"/>
    <s v="ESTACION 08"/>
    <s v="AA.HH. MOTUPE 2DA ETAPA GRUPO 5 MZ.L. LT.13"/>
    <x v="314"/>
    <x v="0"/>
    <x v="0"/>
    <x v="2"/>
    <x v="225"/>
    <x v="0"/>
    <n v="4"/>
    <n v="192"/>
    <x v="0"/>
    <x v="1"/>
    <n v="5.7803468208092483E-3"/>
    <x v="24"/>
    <x v="3"/>
    <s v="OK"/>
    <x v="0"/>
    <s v="OK"/>
    <x v="0"/>
    <x v="0"/>
    <n v="1"/>
    <n v="0"/>
    <n v="0"/>
    <n v="0"/>
    <x v="0"/>
    <x v="0"/>
    <x v="0"/>
  </r>
  <r>
    <s v="20562719700"/>
    <x v="7"/>
    <x v="7"/>
    <x v="2269"/>
    <x v="2276"/>
    <x v="1968"/>
    <m/>
    <x v="4"/>
    <s v="ESTACION 06"/>
    <s v="A.H. MICAELA BASTIDAS MZ.L LT.08"/>
    <x v="6"/>
    <x v="0"/>
    <x v="0"/>
    <x v="2"/>
    <x v="221"/>
    <x v="0"/>
    <n v="4"/>
    <n v="192"/>
    <x v="0"/>
    <x v="1"/>
    <n v="5.7803468208092483E-3"/>
    <x v="28"/>
    <x v="3"/>
    <s v="OK"/>
    <x v="2"/>
    <s v="OK"/>
    <x v="0"/>
    <x v="0"/>
    <n v="1"/>
    <n v="1"/>
    <n v="0"/>
    <n v="0"/>
    <x v="0"/>
    <x v="0"/>
    <x v="0"/>
  </r>
  <r>
    <s v="20562719700"/>
    <x v="7"/>
    <x v="7"/>
    <x v="2270"/>
    <x v="2277"/>
    <x v="1969"/>
    <m/>
    <x v="4"/>
    <s v="ESTACION 16"/>
    <s v="    015-LIMA"/>
    <x v="4"/>
    <x v="0"/>
    <x v="0"/>
    <x v="2"/>
    <x v="661"/>
    <x v="0"/>
    <n v="4"/>
    <n v="192"/>
    <x v="0"/>
    <x v="1"/>
    <n v="5.7803468208092483E-3"/>
    <x v="23"/>
    <x v="3"/>
    <s v="OK"/>
    <x v="0"/>
    <s v="OK"/>
    <x v="0"/>
    <x v="0"/>
    <n v="1"/>
    <n v="0"/>
    <n v="0"/>
    <n v="0"/>
    <x v="0"/>
    <x v="0"/>
    <x v="0"/>
  </r>
  <r>
    <s v="20562719700"/>
    <x v="7"/>
    <x v="7"/>
    <x v="2271"/>
    <x v="2278"/>
    <x v="1970"/>
    <m/>
    <x v="4"/>
    <s v="ESTACION 26"/>
    <s v="MAMACONA ALTA   MZ A LT 12 015-LIMA"/>
    <x v="91"/>
    <x v="0"/>
    <x v="0"/>
    <x v="2"/>
    <x v="662"/>
    <x v="0"/>
    <n v="4"/>
    <n v="192"/>
    <x v="0"/>
    <x v="1"/>
    <n v="5.7803468208092483E-3"/>
    <x v="26"/>
    <x v="3"/>
    <s v="OK"/>
    <x v="0"/>
    <s v="OK"/>
    <x v="0"/>
    <x v="0"/>
    <n v="1"/>
    <n v="0"/>
    <n v="0"/>
    <n v="0"/>
    <x v="0"/>
    <x v="0"/>
    <x v="0"/>
  </r>
  <r>
    <s v="20562719700"/>
    <x v="7"/>
    <x v="7"/>
    <x v="2272"/>
    <x v="2279"/>
    <x v="1971"/>
    <m/>
    <x v="89"/>
    <s v="ESTACION 06"/>
    <s v="PSJ. LAMBAYEQUE MZ.02 LT.09 MANUEL DULANTO"/>
    <x v="6"/>
    <x v="0"/>
    <x v="0"/>
    <x v="2"/>
    <x v="221"/>
    <x v="0"/>
    <n v="4"/>
    <n v="192"/>
    <x v="0"/>
    <x v="1"/>
    <n v="5.7803468208092483E-3"/>
    <x v="25"/>
    <x v="3"/>
    <s v="OK"/>
    <x v="2"/>
    <s v="OK"/>
    <x v="0"/>
    <x v="0"/>
    <n v="1"/>
    <n v="1"/>
    <n v="0"/>
    <n v="0"/>
    <x v="0"/>
    <x v="0"/>
    <x v="0"/>
  </r>
  <r>
    <s v="20562719700"/>
    <x v="7"/>
    <x v="7"/>
    <x v="2273"/>
    <x v="2280"/>
    <x v="1972"/>
    <m/>
    <x v="59"/>
    <s v="ESTACION 06"/>
    <s v="JR. 28 DE JULIO 439"/>
    <x v="98"/>
    <x v="0"/>
    <x v="0"/>
    <x v="2"/>
    <x v="490"/>
    <x v="0"/>
    <n v="4"/>
    <n v="192"/>
    <x v="0"/>
    <x v="1"/>
    <n v="5.7803468208092483E-3"/>
    <x v="24"/>
    <x v="3"/>
    <s v="OK"/>
    <x v="0"/>
    <s v="OK"/>
    <x v="0"/>
    <x v="0"/>
    <n v="1"/>
    <n v="0"/>
    <n v="0"/>
    <n v="0"/>
    <x v="0"/>
    <x v="0"/>
    <x v="0"/>
  </r>
  <r>
    <s v="20562719700"/>
    <x v="7"/>
    <x v="7"/>
    <x v="2274"/>
    <x v="2281"/>
    <x v="1973"/>
    <m/>
    <x v="4"/>
    <s v="ESTACION 06"/>
    <s v="AV MARGINAL MZ B LT 6"/>
    <x v="315"/>
    <x v="0"/>
    <x v="0"/>
    <x v="2"/>
    <x v="217"/>
    <x v="0"/>
    <n v="4"/>
    <n v="192"/>
    <x v="0"/>
    <x v="1"/>
    <n v="5.7803468208092483E-3"/>
    <x v="31"/>
    <x v="3"/>
    <s v="OK"/>
    <x v="0"/>
    <s v="OK"/>
    <x v="0"/>
    <x v="0"/>
    <n v="1"/>
    <n v="0"/>
    <n v="0"/>
    <n v="0"/>
    <x v="0"/>
    <x v="0"/>
    <x v="0"/>
  </r>
  <r>
    <s v="20562719700"/>
    <x v="7"/>
    <x v="7"/>
    <x v="2275"/>
    <x v="2282"/>
    <x v="1974"/>
    <m/>
    <x v="4"/>
    <s v="ESTACION 06"/>
    <s v="AV. TUPAC AMARU 1453"/>
    <x v="110"/>
    <x v="0"/>
    <x v="0"/>
    <x v="2"/>
    <x v="218"/>
    <x v="0"/>
    <n v="4"/>
    <n v="192"/>
    <x v="0"/>
    <x v="1"/>
    <n v="5.7803468208092483E-3"/>
    <x v="27"/>
    <x v="3"/>
    <s v="OK"/>
    <x v="2"/>
    <s v="OK"/>
    <x v="0"/>
    <x v="0"/>
    <n v="1"/>
    <n v="1"/>
    <n v="0"/>
    <n v="0"/>
    <x v="0"/>
    <x v="0"/>
    <x v="0"/>
  </r>
  <r>
    <s v="20562719700"/>
    <x v="7"/>
    <x v="7"/>
    <x v="2276"/>
    <x v="2283"/>
    <x v="1975"/>
    <m/>
    <x v="4"/>
    <s v="ESTACION 10"/>
    <s v="CALLE HUAYNA CAPAC 150 PJ COLLIQUE"/>
    <x v="0"/>
    <x v="0"/>
    <x v="0"/>
    <x v="2"/>
    <x v="459"/>
    <x v="0"/>
    <n v="4"/>
    <n v="192"/>
    <x v="0"/>
    <x v="1"/>
    <n v="5.7803468208092483E-3"/>
    <x v="30"/>
    <x v="3"/>
    <s v="OK"/>
    <x v="0"/>
    <s v="OK"/>
    <x v="0"/>
    <x v="1"/>
    <n v="0.5"/>
    <n v="0"/>
    <n v="0"/>
    <n v="0"/>
    <x v="0"/>
    <x v="0"/>
    <x v="0"/>
  </r>
  <r>
    <s v="20562719700"/>
    <x v="7"/>
    <x v="7"/>
    <x v="2277"/>
    <x v="2284"/>
    <x v="1976"/>
    <m/>
    <x v="4"/>
    <s v="ESTACIONES 06-10-16-25-26-27"/>
    <s v="AA.HH. MOTUPE 2DA ETAPA GRUPO 5 MZ.L. LT.13"/>
    <x v="15"/>
    <x v="0"/>
    <x v="0"/>
    <x v="2"/>
    <x v="31"/>
    <x v="0"/>
    <n v="4"/>
    <n v="192"/>
    <x v="0"/>
    <x v="1"/>
    <n v="5.7803468208092483E-3"/>
    <x v="24"/>
    <x v="3"/>
    <s v="OK"/>
    <x v="0"/>
    <s v="OK"/>
    <x v="0"/>
    <x v="0"/>
    <n v="1"/>
    <n v="0"/>
    <n v="0"/>
    <n v="0"/>
    <x v="0"/>
    <x v="0"/>
    <x v="0"/>
  </r>
  <r>
    <s v="20562719700"/>
    <x v="7"/>
    <x v="7"/>
    <x v="2278"/>
    <x v="2285"/>
    <x v="1977"/>
    <m/>
    <x v="59"/>
    <s v="ESTACION 06"/>
    <s v="JIRON TRUJILLO 458 DPTO. 10"/>
    <x v="13"/>
    <x v="0"/>
    <x v="0"/>
    <x v="2"/>
    <x v="218"/>
    <x v="0"/>
    <n v="4"/>
    <n v="192"/>
    <x v="0"/>
    <x v="1"/>
    <n v="5.7803468208092483E-3"/>
    <x v="30"/>
    <x v="3"/>
    <s v="OK"/>
    <x v="0"/>
    <s v="OK"/>
    <x v="0"/>
    <x v="0"/>
    <n v="1"/>
    <n v="0"/>
    <n v="0"/>
    <n v="0"/>
    <x v="0"/>
    <x v="0"/>
    <x v="0"/>
  </r>
  <r>
    <s v="20562719700"/>
    <x v="7"/>
    <x v="7"/>
    <x v="2279"/>
    <x v="2286"/>
    <x v="1978"/>
    <m/>
    <x v="4"/>
    <s v="ESTACION 06"/>
    <s v="JR. LIMA 673"/>
    <x v="54"/>
    <x v="0"/>
    <x v="0"/>
    <x v="2"/>
    <x v="319"/>
    <x v="0"/>
    <n v="4"/>
    <n v="192"/>
    <x v="0"/>
    <x v="1"/>
    <n v="5.7803468208092483E-3"/>
    <x v="28"/>
    <x v="3"/>
    <s v="OK"/>
    <x v="0"/>
    <s v="OK"/>
    <x v="0"/>
    <x v="0"/>
    <n v="1"/>
    <n v="0"/>
    <n v="0"/>
    <n v="0"/>
    <x v="0"/>
    <x v="0"/>
    <x v="0"/>
  </r>
  <r>
    <s v="20562719700"/>
    <x v="7"/>
    <x v="7"/>
    <x v="2280"/>
    <x v="2287"/>
    <x v="1979"/>
    <m/>
    <x v="4"/>
    <s v="ESTACION PV1"/>
    <s v="PARCELA 3 MZ E LT 4"/>
    <x v="111"/>
    <x v="0"/>
    <x v="0"/>
    <x v="2"/>
    <x v="663"/>
    <x v="0"/>
    <n v="4"/>
    <n v="192"/>
    <x v="0"/>
    <x v="1"/>
    <n v="5.7803468208092483E-3"/>
    <x v="26"/>
    <x v="3"/>
    <s v="OK"/>
    <x v="0"/>
    <s v="OK"/>
    <x v="0"/>
    <x v="0"/>
    <n v="1"/>
    <n v="0"/>
    <n v="0"/>
    <n v="0"/>
    <x v="0"/>
    <x v="0"/>
    <x v="0"/>
  </r>
  <r>
    <s v="20562719700"/>
    <x v="7"/>
    <x v="7"/>
    <x v="2281"/>
    <x v="2288"/>
    <x v="1980"/>
    <m/>
    <x v="4"/>
    <s v="ESTACION PV1"/>
    <s v="LOS QUIPUS 223"/>
    <x v="233"/>
    <x v="0"/>
    <x v="0"/>
    <x v="2"/>
    <x v="664"/>
    <x v="0"/>
    <n v="4"/>
    <n v="192"/>
    <x v="0"/>
    <x v="1"/>
    <n v="5.7803468208092483E-3"/>
    <x v="31"/>
    <x v="3"/>
    <s v="OK"/>
    <x v="5"/>
    <s v="OK"/>
    <x v="0"/>
    <x v="0"/>
    <n v="1"/>
    <n v="1"/>
    <n v="0"/>
    <n v="0"/>
    <x v="0"/>
    <x v="0"/>
    <x v="0"/>
  </r>
  <r>
    <s v="20518513665"/>
    <x v="53"/>
    <x v="7"/>
    <x v="2282"/>
    <x v="2289"/>
    <x v="1981"/>
    <n v="1"/>
    <x v="4"/>
    <s v="PV1 BIS"/>
    <s v="MZ.A LT.5 A.H. REAL FE"/>
    <x v="6"/>
    <x v="0"/>
    <x v="0"/>
    <x v="2"/>
    <x v="222"/>
    <x v="0"/>
    <n v="1"/>
    <n v="192"/>
    <x v="0"/>
    <x v="0"/>
    <n v="5.7803468208092483E-3"/>
    <x v="29"/>
    <x v="3"/>
    <s v="OK"/>
    <x v="2"/>
    <s v="OK"/>
    <x v="0"/>
    <x v="0"/>
    <n v="1"/>
    <n v="1"/>
    <n v="0"/>
    <n v="0"/>
    <x v="0"/>
    <x v="0"/>
    <x v="0"/>
  </r>
  <r>
    <s v="20518513665"/>
    <x v="53"/>
    <x v="7"/>
    <x v="2283"/>
    <x v="2290"/>
    <x v="1982"/>
    <n v="1"/>
    <x v="66"/>
    <s v="ESTACIONES 06-10-16-25-26-27"/>
    <s v="CALLE HUANTAJALLA 135 "/>
    <x v="6"/>
    <x v="0"/>
    <x v="0"/>
    <x v="2"/>
    <x v="108"/>
    <x v="0"/>
    <n v="1"/>
    <n v="192"/>
    <x v="0"/>
    <x v="0"/>
    <n v="5.7803468208092483E-3"/>
    <x v="25"/>
    <x v="3"/>
    <s v="OK"/>
    <x v="2"/>
    <s v="OK"/>
    <x v="0"/>
    <x v="0"/>
    <n v="1"/>
    <n v="1"/>
    <n v="0"/>
    <n v="0"/>
    <x v="0"/>
    <x v="0"/>
    <x v="0"/>
  </r>
  <r>
    <s v="20518513665"/>
    <x v="53"/>
    <x v="7"/>
    <x v="2284"/>
    <x v="2291"/>
    <x v="1983"/>
    <n v="1"/>
    <x v="66"/>
    <s v="ESTACIONES 06-10-16-25-26-27"/>
    <s v="VARIANTE  DE HUCHUMAYO "/>
    <x v="230"/>
    <x v="0"/>
    <x v="0"/>
    <x v="2"/>
    <x v="108"/>
    <x v="0"/>
    <n v="1"/>
    <n v="192"/>
    <x v="0"/>
    <x v="0"/>
    <n v="5.7803468208092483E-3"/>
    <x v="23"/>
    <x v="3"/>
    <s v="OK"/>
    <x v="0"/>
    <s v="OK"/>
    <x v="0"/>
    <x v="0"/>
    <n v="1"/>
    <n v="0"/>
    <n v="0"/>
    <n v="0"/>
    <x v="0"/>
    <x v="0"/>
    <x v="0"/>
  </r>
  <r>
    <s v="20518513665"/>
    <x v="53"/>
    <x v="7"/>
    <x v="2285"/>
    <x v="2292"/>
    <x v="1984"/>
    <n v="1"/>
    <x v="91"/>
    <s v="ESTACION 06"/>
    <s v="CALLE HUANTAJALLA 135 "/>
    <x v="10"/>
    <x v="0"/>
    <x v="0"/>
    <x v="2"/>
    <x v="227"/>
    <x v="0"/>
    <n v="1"/>
    <n v="192"/>
    <x v="0"/>
    <x v="0"/>
    <n v="5.7803468208092483E-3"/>
    <x v="28"/>
    <x v="3"/>
    <s v="OK"/>
    <x v="0"/>
    <s v="OK"/>
    <x v="0"/>
    <x v="0"/>
    <n v="1"/>
    <n v="0"/>
    <n v="0"/>
    <n v="0"/>
    <x v="0"/>
    <x v="0"/>
    <x v="0"/>
  </r>
  <r>
    <n v="20504039120"/>
    <x v="8"/>
    <x v="8"/>
    <x v="2286"/>
    <x v="2293"/>
    <x v="1985"/>
    <n v="1"/>
    <x v="6"/>
    <s v="OFICINA DANSEY"/>
    <s v="Mz D3 LOTE B ASENTAMIENTO LAS LOMAS"/>
    <x v="54"/>
    <x v="1"/>
    <x v="0"/>
    <x v="1"/>
    <x v="665"/>
    <x v="0"/>
    <n v="1"/>
    <n v="200"/>
    <x v="0"/>
    <x v="1"/>
    <n v="2.4390243902439025E-2"/>
    <x v="23"/>
    <x v="3"/>
    <s v="OK"/>
    <x v="0"/>
    <s v="OK"/>
    <x v="0"/>
    <x v="0"/>
    <n v="1"/>
    <n v="0"/>
    <n v="0"/>
    <n v="0"/>
    <x v="0"/>
    <x v="0"/>
    <x v="0"/>
  </r>
  <r>
    <n v="20504039120"/>
    <x v="8"/>
    <x v="8"/>
    <x v="2287"/>
    <x v="2294"/>
    <x v="1986"/>
    <n v="1"/>
    <x v="6"/>
    <s v="ESTACION 08"/>
    <s v="JR FRANCISCO PIZARRO 493 BELLAVISTA"/>
    <x v="6"/>
    <x v="1"/>
    <x v="0"/>
    <x v="1"/>
    <x v="666"/>
    <x v="0"/>
    <n v="1"/>
    <n v="200"/>
    <x v="0"/>
    <x v="1"/>
    <n v="2.4390243902439025E-2"/>
    <x v="24"/>
    <x v="3"/>
    <s v="OK"/>
    <x v="2"/>
    <s v="OK"/>
    <x v="0"/>
    <x v="0"/>
    <n v="1"/>
    <n v="1"/>
    <n v="0"/>
    <n v="0"/>
    <x v="0"/>
    <x v="0"/>
    <x v="0"/>
  </r>
  <r>
    <n v="20504039120"/>
    <x v="8"/>
    <x v="8"/>
    <x v="2288"/>
    <x v="2295"/>
    <x v="1987"/>
    <n v="1"/>
    <x v="6"/>
    <s v="ESTACION 03"/>
    <s v="ESPINAR 360 DPTO 25 BELLAVISTA"/>
    <x v="6"/>
    <x v="1"/>
    <x v="0"/>
    <x v="1"/>
    <x v="667"/>
    <x v="0"/>
    <n v="1"/>
    <n v="200"/>
    <x v="0"/>
    <x v="1"/>
    <n v="2.4390243902439025E-2"/>
    <x v="31"/>
    <x v="3"/>
    <s v="OK"/>
    <x v="2"/>
    <s v="OK"/>
    <x v="0"/>
    <x v="0"/>
    <n v="1"/>
    <n v="1"/>
    <n v="0"/>
    <n v="0"/>
    <x v="0"/>
    <x v="0"/>
    <x v="0"/>
  </r>
  <r>
    <n v="20504039120"/>
    <x v="8"/>
    <x v="8"/>
    <x v="2289"/>
    <x v="2296"/>
    <x v="1988"/>
    <n v="1"/>
    <x v="6"/>
    <s v="ESTACIÓN 19"/>
    <s v="MZ F LOTE 16 AH. INTEGRACIÓN 7 DE JUNIO"/>
    <x v="15"/>
    <x v="1"/>
    <x v="0"/>
    <x v="1"/>
    <x v="667"/>
    <x v="0"/>
    <n v="1"/>
    <n v="200"/>
    <x v="0"/>
    <x v="1"/>
    <n v="2.4390243902439025E-2"/>
    <x v="31"/>
    <x v="3"/>
    <s v="OK"/>
    <x v="0"/>
    <s v="OK"/>
    <x v="0"/>
    <x v="0"/>
    <n v="1"/>
    <n v="0"/>
    <n v="0"/>
    <n v="0"/>
    <x v="0"/>
    <x v="0"/>
    <x v="0"/>
  </r>
  <r>
    <n v="20504039120"/>
    <x v="8"/>
    <x v="8"/>
    <x v="2290"/>
    <x v="2297"/>
    <x v="1989"/>
    <n v="1"/>
    <x v="6"/>
    <s v="PLANTA DOVELAS"/>
    <s v="AV ROSA NEGRA MZ A LOTE 11"/>
    <x v="316"/>
    <x v="1"/>
    <x v="0"/>
    <x v="1"/>
    <x v="668"/>
    <x v="0"/>
    <n v="1"/>
    <n v="200"/>
    <x v="0"/>
    <x v="1"/>
    <n v="2.4390243902439025E-2"/>
    <x v="31"/>
    <x v="3"/>
    <s v="OK"/>
    <x v="0"/>
    <s v="OK"/>
    <x v="0"/>
    <x v="0"/>
    <n v="1"/>
    <n v="0"/>
    <n v="0"/>
    <n v="0"/>
    <x v="0"/>
    <x v="0"/>
    <x v="0"/>
  </r>
  <r>
    <n v="20504039120"/>
    <x v="8"/>
    <x v="8"/>
    <x v="2291"/>
    <x v="2298"/>
    <x v="1990"/>
    <n v="1"/>
    <x v="6"/>
    <s v="ESTACION  02"/>
    <s v="URB. JOSE OLAYA MZ &quot;Y&quot; LT 12 AV. JOSE OLAYA"/>
    <x v="6"/>
    <x v="1"/>
    <x v="0"/>
    <x v="1"/>
    <x v="669"/>
    <x v="0"/>
    <n v="1"/>
    <n v="200"/>
    <x v="0"/>
    <x v="1"/>
    <n v="2.4390243902439025E-2"/>
    <x v="28"/>
    <x v="3"/>
    <s v="OK"/>
    <x v="2"/>
    <s v="OK"/>
    <x v="0"/>
    <x v="0"/>
    <n v="1"/>
    <n v="1"/>
    <n v="0"/>
    <n v="0"/>
    <x v="0"/>
    <x v="0"/>
    <x v="0"/>
  </r>
  <r>
    <n v="20504039120"/>
    <x v="8"/>
    <x v="8"/>
    <x v="2292"/>
    <x v="2299"/>
    <x v="1991"/>
    <n v="1"/>
    <x v="6"/>
    <s v="ESTACIÓN 04"/>
    <s v="ASENT H. ALAN GARCIA MZ. E LT. 20"/>
    <x v="6"/>
    <x v="1"/>
    <x v="0"/>
    <x v="1"/>
    <x v="501"/>
    <x v="0"/>
    <n v="1"/>
    <n v="200"/>
    <x v="0"/>
    <x v="1"/>
    <n v="2.4390243902439025E-2"/>
    <x v="26"/>
    <x v="3"/>
    <s v="OK"/>
    <x v="2"/>
    <s v="OK"/>
    <x v="0"/>
    <x v="0"/>
    <n v="1"/>
    <n v="1"/>
    <n v="0"/>
    <n v="0"/>
    <x v="0"/>
    <x v="0"/>
    <x v="0"/>
  </r>
  <r>
    <n v="20504039120"/>
    <x v="8"/>
    <x v="8"/>
    <x v="2293"/>
    <x v="2300"/>
    <x v="1992"/>
    <n v="1"/>
    <x v="6"/>
    <s v="ESTACIÓN 19"/>
    <s v="AV. RIO PERENE MZ. I LT. 19 URB LOS ANGELES DE VITARTE"/>
    <x v="1"/>
    <x v="1"/>
    <x v="0"/>
    <x v="1"/>
    <x v="670"/>
    <x v="0"/>
    <n v="1"/>
    <n v="200"/>
    <x v="0"/>
    <x v="1"/>
    <n v="2.4390243902439025E-2"/>
    <x v="26"/>
    <x v="3"/>
    <s v="OK"/>
    <x v="1"/>
    <s v="OK"/>
    <x v="0"/>
    <x v="0"/>
    <n v="1"/>
    <n v="1"/>
    <n v="0"/>
    <n v="0"/>
    <x v="0"/>
    <x v="0"/>
    <x v="0"/>
  </r>
  <r>
    <n v="20504039120"/>
    <x v="8"/>
    <x v="8"/>
    <x v="2294"/>
    <x v="2301"/>
    <x v="1895"/>
    <n v="1"/>
    <x v="6"/>
    <s v="ESTACIÓN 01"/>
    <s v="AV ARGENTINA  1879"/>
    <x v="6"/>
    <x v="1"/>
    <x v="0"/>
    <x v="1"/>
    <x v="665"/>
    <x v="0"/>
    <n v="1"/>
    <n v="200"/>
    <x v="0"/>
    <x v="1"/>
    <n v="2.4390243902439025E-2"/>
    <x v="29"/>
    <x v="3"/>
    <s v="OK"/>
    <x v="2"/>
    <s v="OK"/>
    <x v="0"/>
    <x v="0"/>
    <n v="1"/>
    <n v="1"/>
    <n v="0"/>
    <n v="0"/>
    <x v="0"/>
    <x v="0"/>
    <x v="0"/>
  </r>
  <r>
    <n v="20504039120"/>
    <x v="8"/>
    <x v="8"/>
    <x v="2295"/>
    <x v="2302"/>
    <x v="1993"/>
    <n v="1"/>
    <x v="6"/>
    <s v="ESTACIÓN 25 / 26 / 27"/>
    <s v="MZ C LOTE 6 SEÑOR DE LOS MILAGROS "/>
    <x v="243"/>
    <x v="1"/>
    <x v="0"/>
    <x v="1"/>
    <x v="671"/>
    <x v="0"/>
    <n v="1"/>
    <n v="200"/>
    <x v="0"/>
    <x v="1"/>
    <n v="2.4390243902439025E-2"/>
    <x v="26"/>
    <x v="3"/>
    <s v="OK"/>
    <x v="7"/>
    <s v="OK"/>
    <x v="0"/>
    <x v="0"/>
    <n v="1"/>
    <n v="1"/>
    <n v="0"/>
    <n v="0"/>
    <x v="0"/>
    <x v="0"/>
    <x v="0"/>
  </r>
  <r>
    <n v="20504039120"/>
    <x v="8"/>
    <x v="8"/>
    <x v="2296"/>
    <x v="2303"/>
    <x v="1994"/>
    <n v="1"/>
    <x v="6"/>
    <s v="ESTACIÓN 18"/>
    <s v="MZ H2 LOTE 5 T. AMARU"/>
    <x v="38"/>
    <x v="1"/>
    <x v="0"/>
    <x v="1"/>
    <x v="509"/>
    <x v="0"/>
    <n v="1"/>
    <n v="200"/>
    <x v="0"/>
    <x v="1"/>
    <n v="2.4390243902439025E-2"/>
    <x v="23"/>
    <x v="3"/>
    <s v="OK"/>
    <x v="0"/>
    <s v="OK"/>
    <x v="0"/>
    <x v="0"/>
    <n v="1"/>
    <n v="0"/>
    <n v="0"/>
    <n v="0"/>
    <x v="0"/>
    <x v="0"/>
    <x v="0"/>
  </r>
  <r>
    <n v="20504039120"/>
    <x v="8"/>
    <x v="8"/>
    <x v="2297"/>
    <x v="2304"/>
    <x v="1995"/>
    <n v="1"/>
    <x v="6"/>
    <s v="POZO RAMALES"/>
    <s v="CALLE 2 APV SANTA LUISA DE OQUENDO ETAPA 1 MZ.D LT.03"/>
    <x v="6"/>
    <x v="0"/>
    <x v="33"/>
    <x v="1"/>
    <x v="622"/>
    <x v="0"/>
    <n v="1"/>
    <n v="8"/>
    <x v="0"/>
    <x v="1"/>
    <n v="2.4390243902439025E-2"/>
    <x v="31"/>
    <x v="3"/>
    <s v="OK"/>
    <x v="2"/>
    <s v="OK"/>
    <x v="0"/>
    <x v="1"/>
    <n v="0.5"/>
    <n v="0.5"/>
    <n v="0"/>
    <n v="1"/>
    <x v="0"/>
    <x v="1"/>
    <x v="0"/>
  </r>
  <r>
    <n v="20504039120"/>
    <x v="8"/>
    <x v="8"/>
    <x v="2298"/>
    <x v="2305"/>
    <x v="1996"/>
    <n v="1"/>
    <x v="6"/>
    <s v="ESTACION 04"/>
    <s v="URB. SAN MARTIN DE PORRES MZ.B LT.10"/>
    <x v="17"/>
    <x v="0"/>
    <x v="0"/>
    <x v="1"/>
    <x v="672"/>
    <x v="0"/>
    <n v="1"/>
    <n v="200"/>
    <x v="0"/>
    <x v="1"/>
    <n v="2.4390243902439025E-2"/>
    <x v="27"/>
    <x v="3"/>
    <s v="OK"/>
    <x v="2"/>
    <s v="OK"/>
    <x v="0"/>
    <x v="0"/>
    <n v="1"/>
    <n v="1"/>
    <n v="0"/>
    <n v="0"/>
    <x v="0"/>
    <x v="0"/>
    <x v="0"/>
  </r>
  <r>
    <n v="20504039122"/>
    <x v="8"/>
    <x v="8"/>
    <x v="2299"/>
    <x v="2306"/>
    <x v="1997"/>
    <n v="1"/>
    <x v="6"/>
    <s v="ESTACION 11"/>
    <s v="JR. OLMOS 824"/>
    <x v="10"/>
    <x v="1"/>
    <x v="0"/>
    <x v="1"/>
    <x v="366"/>
    <x v="0"/>
    <n v="1"/>
    <n v="200"/>
    <x v="0"/>
    <x v="1"/>
    <n v="2.4390243902439025E-2"/>
    <x v="23"/>
    <x v="3"/>
    <s v="OK"/>
    <x v="0"/>
    <s v="OK"/>
    <x v="0"/>
    <x v="0"/>
    <n v="1"/>
    <n v="0"/>
    <n v="0"/>
    <n v="0"/>
    <x v="0"/>
    <x v="0"/>
    <x v="0"/>
  </r>
  <r>
    <n v="20504039123"/>
    <x v="8"/>
    <x v="8"/>
    <x v="2300"/>
    <x v="2307"/>
    <x v="1998"/>
    <n v="1"/>
    <x v="6"/>
    <s v="ESTACION 06"/>
    <s v="MZ.E LT. 06 URB. CERRO PACIFICO"/>
    <x v="49"/>
    <x v="1"/>
    <x v="0"/>
    <x v="1"/>
    <x v="673"/>
    <x v="0"/>
    <n v="1"/>
    <n v="200"/>
    <x v="0"/>
    <x v="1"/>
    <n v="2.4390243902439025E-2"/>
    <x v="26"/>
    <x v="3"/>
    <s v="OK"/>
    <x v="0"/>
    <s v="OK"/>
    <x v="0"/>
    <x v="0"/>
    <n v="1"/>
    <n v="0"/>
    <n v="0"/>
    <n v="0"/>
    <x v="0"/>
    <x v="0"/>
    <x v="0"/>
  </r>
  <r>
    <n v="20504039125"/>
    <x v="8"/>
    <x v="8"/>
    <x v="2301"/>
    <x v="2308"/>
    <x v="1999"/>
    <n v="1"/>
    <x v="6"/>
    <s v="ESTACION 01"/>
    <s v="P.J TODOS UNIDOS MZ.3C LT.1"/>
    <x v="6"/>
    <x v="1"/>
    <x v="0"/>
    <x v="1"/>
    <x v="42"/>
    <x v="0"/>
    <n v="1"/>
    <n v="200"/>
    <x v="0"/>
    <x v="1"/>
    <n v="2.4390243902439025E-2"/>
    <x v="25"/>
    <x v="3"/>
    <s v="OK"/>
    <x v="2"/>
    <s v="OK"/>
    <x v="0"/>
    <x v="0"/>
    <n v="1"/>
    <n v="1"/>
    <n v="0"/>
    <n v="0"/>
    <x v="0"/>
    <x v="0"/>
    <x v="0"/>
  </r>
  <r>
    <n v="20504039127"/>
    <x v="8"/>
    <x v="8"/>
    <x v="2302"/>
    <x v="2309"/>
    <x v="2000"/>
    <n v="1"/>
    <x v="6"/>
    <s v="ESTACION 2 - LINEA 4"/>
    <s v="Asentamiento Humano Marquez MZ.29B – Lote 13"/>
    <x v="6"/>
    <x v="1"/>
    <x v="0"/>
    <x v="1"/>
    <x v="199"/>
    <x v="0"/>
    <n v="1"/>
    <n v="200"/>
    <x v="0"/>
    <x v="1"/>
    <n v="2.4390243902439025E-2"/>
    <x v="26"/>
    <x v="3"/>
    <s v="OK"/>
    <x v="2"/>
    <s v="OK"/>
    <x v="0"/>
    <x v="0"/>
    <n v="1"/>
    <n v="1"/>
    <n v="0"/>
    <n v="0"/>
    <x v="0"/>
    <x v="0"/>
    <x v="0"/>
  </r>
  <r>
    <n v="20504039130"/>
    <x v="8"/>
    <x v="8"/>
    <x v="2303"/>
    <x v="2310"/>
    <x v="2001"/>
    <n v="1"/>
    <x v="6"/>
    <s v="PATIO BOCANEGRA"/>
    <s v="AV. EL OLIVAR 524"/>
    <x v="6"/>
    <x v="0"/>
    <x v="0"/>
    <x v="1"/>
    <x v="137"/>
    <x v="0"/>
    <n v="1"/>
    <n v="80"/>
    <x v="0"/>
    <x v="1"/>
    <n v="2.4390243902439025E-2"/>
    <x v="23"/>
    <x v="3"/>
    <s v="OK"/>
    <x v="2"/>
    <s v="OK"/>
    <x v="0"/>
    <x v="0"/>
    <n v="1"/>
    <n v="1"/>
    <n v="1"/>
    <n v="0"/>
    <x v="0"/>
    <x v="0"/>
    <x v="1"/>
  </r>
  <r>
    <n v="20602487751"/>
    <x v="54"/>
    <x v="40"/>
    <x v="2304"/>
    <x v="2311"/>
    <x v="2002"/>
    <n v="2"/>
    <x v="92"/>
    <s v="L4"/>
    <s v="Pasaje Santa Marina 108"/>
    <x v="49"/>
    <x v="0"/>
    <x v="0"/>
    <x v="4"/>
    <x v="42"/>
    <x v="0"/>
    <n v="4"/>
    <n v="200"/>
    <x v="0"/>
    <x v="1"/>
    <n v="0.1111111111111111"/>
    <x v="27"/>
    <x v="3"/>
    <s v="OK"/>
    <x v="0"/>
    <s v="OK"/>
    <x v="0"/>
    <x v="0"/>
    <n v="1"/>
    <n v="0"/>
    <n v="0"/>
    <n v="0"/>
    <x v="0"/>
    <x v="0"/>
    <x v="0"/>
  </r>
  <r>
    <n v="20602213228"/>
    <x v="9"/>
    <x v="9"/>
    <x v="2305"/>
    <x v="2312"/>
    <x v="2003"/>
    <n v="1"/>
    <x v="115"/>
    <s v="E01"/>
    <s v="CALLE 11 MZ X LT 2 ASOC VILLA DE JESUS"/>
    <x v="19"/>
    <x v="0"/>
    <x v="0"/>
    <x v="1"/>
    <x v="246"/>
    <x v="0"/>
    <n v="1"/>
    <n v="160"/>
    <x v="0"/>
    <x v="1"/>
    <n v="2.7777777777777776E-2"/>
    <x v="26"/>
    <x v="3"/>
    <s v="OK"/>
    <x v="0"/>
    <s v="OK"/>
    <x v="0"/>
    <x v="0"/>
    <n v="1"/>
    <n v="0"/>
    <n v="0"/>
    <n v="0"/>
    <x v="0"/>
    <x v="0"/>
    <x v="0"/>
  </r>
  <r>
    <n v="20602213227"/>
    <x v="9"/>
    <x v="9"/>
    <x v="2306"/>
    <x v="2313"/>
    <x v="2004"/>
    <n v="1"/>
    <x v="60"/>
    <s v=" E5 L4 - PV08"/>
    <s v="VICTOR LOPEZ 133"/>
    <x v="144"/>
    <x v="0"/>
    <x v="0"/>
    <x v="1"/>
    <x v="145"/>
    <x v="0"/>
    <n v="1"/>
    <n v="208"/>
    <x v="0"/>
    <x v="1"/>
    <n v="2.7777777777777776E-2"/>
    <x v="31"/>
    <x v="3"/>
    <s v="OK"/>
    <x v="0"/>
    <s v="OK"/>
    <x v="0"/>
    <x v="0"/>
    <n v="1"/>
    <n v="0"/>
    <n v="0"/>
    <n v="0"/>
    <x v="0"/>
    <x v="0"/>
    <x v="0"/>
  </r>
  <r>
    <n v="20602213227"/>
    <x v="9"/>
    <x v="9"/>
    <x v="2307"/>
    <x v="2314"/>
    <x v="2005"/>
    <n v="1"/>
    <x v="94"/>
    <s v="E27"/>
    <s v="MZ A PRIMA LT Q2 AAHH AMP. COSTA AZUL."/>
    <x v="169"/>
    <x v="0"/>
    <x v="0"/>
    <x v="1"/>
    <x v="674"/>
    <x v="0"/>
    <n v="1"/>
    <n v="48"/>
    <x v="0"/>
    <x v="1"/>
    <n v="2.7777777777777776E-2"/>
    <x v="26"/>
    <x v="3"/>
    <s v="OK"/>
    <x v="2"/>
    <s v="OK"/>
    <x v="0"/>
    <x v="0"/>
    <n v="1"/>
    <n v="1"/>
    <n v="0"/>
    <n v="0"/>
    <x v="0"/>
    <x v="0"/>
    <x v="0"/>
  </r>
  <r>
    <n v="20602213227"/>
    <x v="9"/>
    <x v="9"/>
    <x v="2308"/>
    <x v="2315"/>
    <x v="1860"/>
    <n v="1"/>
    <x v="93"/>
    <s v="PV08 - E27 - E13 - E-04 A PV1BIS"/>
    <s v="AV. LOS SAUCES 449"/>
    <x v="44"/>
    <x v="1"/>
    <x v="0"/>
    <x v="1"/>
    <x v="675"/>
    <x v="0"/>
    <n v="1"/>
    <n v="136"/>
    <x v="0"/>
    <x v="1"/>
    <n v="2.7777777777777776E-2"/>
    <x v="24"/>
    <x v="3"/>
    <s v="OK"/>
    <x v="0"/>
    <s v="OK"/>
    <x v="0"/>
    <x v="0"/>
    <n v="1"/>
    <n v="0"/>
    <n v="0"/>
    <n v="0"/>
    <x v="0"/>
    <x v="0"/>
    <x v="0"/>
  </r>
  <r>
    <n v="20602213227"/>
    <x v="9"/>
    <x v="9"/>
    <x v="2309"/>
    <x v="2316"/>
    <x v="2006"/>
    <n v="1"/>
    <x v="94"/>
    <s v="PV08 - E13"/>
    <s v="JR. UNION 408"/>
    <x v="129"/>
    <x v="0"/>
    <x v="0"/>
    <x v="1"/>
    <x v="676"/>
    <x v="0"/>
    <n v="1"/>
    <n v="184"/>
    <x v="0"/>
    <x v="1"/>
    <n v="2.7777777777777776E-2"/>
    <x v="31"/>
    <x v="3"/>
    <s v="OK"/>
    <x v="0"/>
    <s v="OK"/>
    <x v="0"/>
    <x v="0"/>
    <n v="1"/>
    <n v="0"/>
    <n v="0"/>
    <n v="0"/>
    <x v="0"/>
    <x v="0"/>
    <x v="0"/>
  </r>
  <r>
    <n v="20602213227"/>
    <x v="9"/>
    <x v="9"/>
    <x v="2310"/>
    <x v="2317"/>
    <x v="2007"/>
    <n v="1"/>
    <x v="94"/>
    <s v="E5 L4"/>
    <s v="ASOC.12 DE NOVIEMBRE MZ H  LT . 6"/>
    <x v="15"/>
    <x v="0"/>
    <x v="0"/>
    <x v="1"/>
    <x v="517"/>
    <x v="0"/>
    <n v="1"/>
    <n v="136"/>
    <x v="0"/>
    <x v="1"/>
    <n v="2.7777777777777776E-2"/>
    <x v="28"/>
    <x v="3"/>
    <s v="OK"/>
    <x v="0"/>
    <s v="OK"/>
    <x v="0"/>
    <x v="0"/>
    <n v="1"/>
    <n v="0"/>
    <n v="0"/>
    <n v="0"/>
    <x v="0"/>
    <x v="0"/>
    <x v="0"/>
  </r>
  <r>
    <n v="20602213227"/>
    <x v="9"/>
    <x v="9"/>
    <x v="2311"/>
    <x v="2318"/>
    <x v="2008"/>
    <n v="2"/>
    <x v="246"/>
    <s v="E-04 A PV1BIS"/>
    <s v="ASOC. PROYIY SAN JOSE MZ. D1 LT. 21"/>
    <x v="54"/>
    <x v="0"/>
    <x v="0"/>
    <x v="1"/>
    <x v="38"/>
    <x v="0"/>
    <n v="2"/>
    <n v="184"/>
    <x v="0"/>
    <x v="1"/>
    <n v="2.7777777777777776E-2"/>
    <x v="24"/>
    <x v="3"/>
    <s v="OK"/>
    <x v="0"/>
    <s v="OK"/>
    <x v="0"/>
    <x v="0"/>
    <n v="1"/>
    <n v="0"/>
    <n v="0"/>
    <n v="0"/>
    <x v="0"/>
    <x v="0"/>
    <x v="0"/>
  </r>
  <r>
    <n v="20602213227"/>
    <x v="9"/>
    <x v="9"/>
    <x v="2312"/>
    <x v="2319"/>
    <x v="2009"/>
    <n v="1"/>
    <x v="66"/>
    <s v="E-04 A PV1BIS"/>
    <s v="JR. LIBERTAD 175"/>
    <x v="13"/>
    <x v="0"/>
    <x v="0"/>
    <x v="1"/>
    <x v="547"/>
    <x v="0"/>
    <n v="1"/>
    <n v="48"/>
    <x v="0"/>
    <x v="1"/>
    <n v="2.7777777777777776E-2"/>
    <x v="24"/>
    <x v="3"/>
    <s v="OK"/>
    <x v="0"/>
    <s v="OK"/>
    <x v="0"/>
    <x v="0"/>
    <n v="1"/>
    <n v="0"/>
    <n v="0"/>
    <n v="0"/>
    <x v="0"/>
    <x v="0"/>
    <x v="0"/>
  </r>
  <r>
    <n v="20550487200"/>
    <x v="10"/>
    <x v="10"/>
    <x v="2313"/>
    <x v="2320"/>
    <x v="2010"/>
    <n v="1"/>
    <x v="17"/>
    <s v="PTSA, E12, E14, E15, E16, E17, E18, E25, E26, E27, E08, E09, E10, E11, E01, E02, E03, E06, E-04, E-19 Y FD"/>
    <s v="PSJ. LOS GORRIONES BLOCK C-13 URB. PALOMARES"/>
    <x v="13"/>
    <x v="0"/>
    <x v="0"/>
    <x v="2"/>
    <x v="39"/>
    <x v="0"/>
    <n v="1"/>
    <n v="184"/>
    <x v="0"/>
    <x v="1"/>
    <n v="5.8823529411764705E-2"/>
    <x v="28"/>
    <x v="3"/>
    <s v="OK"/>
    <x v="0"/>
    <s v="OK"/>
    <x v="0"/>
    <x v="0"/>
    <n v="1"/>
    <n v="0"/>
    <n v="0"/>
    <n v="0"/>
    <x v="0"/>
    <x v="0"/>
    <x v="0"/>
  </r>
  <r>
    <n v="20550487200"/>
    <x v="10"/>
    <x v="10"/>
    <x v="2314"/>
    <x v="2321"/>
    <x v="2011"/>
    <n v="1"/>
    <x v="17"/>
    <s v="PTSA, E12, E14, E15, E16, E17, E18, E25, E26, E27, E08, E09, E10, E11, E01, E02, E03, E06, E-04, E-19 Y FD"/>
    <s v="JR. PACHACUTEC 2089"/>
    <x v="120"/>
    <x v="0"/>
    <x v="0"/>
    <x v="2"/>
    <x v="39"/>
    <x v="0"/>
    <n v="1"/>
    <n v="184"/>
    <x v="0"/>
    <x v="1"/>
    <n v="5.8823529411764705E-2"/>
    <x v="26"/>
    <x v="3"/>
    <s v="OK"/>
    <x v="0"/>
    <s v="OK"/>
    <x v="0"/>
    <x v="0"/>
    <n v="1"/>
    <n v="0"/>
    <n v="0"/>
    <n v="0"/>
    <x v="0"/>
    <x v="0"/>
    <x v="0"/>
  </r>
  <r>
    <n v="20550487200"/>
    <x v="10"/>
    <x v="10"/>
    <x v="2315"/>
    <x v="2322"/>
    <x v="2012"/>
    <n v="1"/>
    <x v="17"/>
    <s v="PTSA, E12, E14, E15, E16, E17, E18, E25, E26, E27, E08, E09, E10, E11, E01, E02, E03, E06, E-04, E-19 Y FD"/>
    <s v="CALLE FRANCISCO BOLOGNESI 537 "/>
    <x v="4"/>
    <x v="0"/>
    <x v="0"/>
    <x v="2"/>
    <x v="39"/>
    <x v="0"/>
    <n v="1"/>
    <n v="184"/>
    <x v="0"/>
    <x v="1"/>
    <n v="5.8823529411764705E-2"/>
    <x v="30"/>
    <x v="3"/>
    <s v="OK"/>
    <x v="0"/>
    <s v="OK"/>
    <x v="0"/>
    <x v="0"/>
    <n v="1"/>
    <n v="0"/>
    <n v="0"/>
    <n v="0"/>
    <x v="0"/>
    <x v="0"/>
    <x v="0"/>
  </r>
  <r>
    <s v="20601322456"/>
    <x v="70"/>
    <x v="48"/>
    <x v="2316"/>
    <x v="2323"/>
    <x v="2013"/>
    <n v="2"/>
    <x v="66"/>
    <s v="E-8"/>
    <s v="AV.GUILLERMO BILLINGHURST 258 ZN A"/>
    <x v="53"/>
    <x v="0"/>
    <x v="0"/>
    <x v="0"/>
    <x v="677"/>
    <x v="0"/>
    <n v="4"/>
    <n v="208"/>
    <x v="0"/>
    <x v="1"/>
    <n v="0.1"/>
    <x v="31"/>
    <x v="3"/>
    <s v="OK"/>
    <x v="0"/>
    <s v="OK"/>
    <x v="0"/>
    <x v="0"/>
    <n v="1"/>
    <n v="0"/>
    <n v="0"/>
    <n v="0"/>
    <x v="0"/>
    <x v="0"/>
    <x v="0"/>
  </r>
  <r>
    <s v="20601322456"/>
    <x v="70"/>
    <x v="48"/>
    <x v="2317"/>
    <x v="2324"/>
    <x v="2014"/>
    <n v="2"/>
    <x v="243"/>
    <s v="E-3"/>
    <s v="MZ.P LT.9 A.H. TUPAC AMARU"/>
    <x v="1"/>
    <x v="0"/>
    <x v="0"/>
    <x v="0"/>
    <x v="12"/>
    <x v="0"/>
    <n v="4"/>
    <n v="208"/>
    <x v="0"/>
    <x v="1"/>
    <n v="0.1"/>
    <x v="27"/>
    <x v="3"/>
    <s v="OK"/>
    <x v="1"/>
    <s v="OK"/>
    <x v="0"/>
    <x v="0"/>
    <n v="1"/>
    <n v="1"/>
    <n v="0"/>
    <n v="0"/>
    <x v="0"/>
    <x v="0"/>
    <x v="0"/>
  </r>
  <r>
    <s v="20601322456"/>
    <x v="70"/>
    <x v="48"/>
    <x v="2318"/>
    <x v="2325"/>
    <x v="2015"/>
    <n v="2"/>
    <x v="243"/>
    <s v="E-13"/>
    <s v="SECTOR 3 GRUPO 13 MZ.H LT.22"/>
    <x v="19"/>
    <x v="0"/>
    <x v="0"/>
    <x v="0"/>
    <x v="110"/>
    <x v="0"/>
    <n v="4"/>
    <n v="208"/>
    <x v="0"/>
    <x v="1"/>
    <n v="0.1"/>
    <x v="26"/>
    <x v="3"/>
    <s v="OK"/>
    <x v="0"/>
    <s v="OK"/>
    <x v="0"/>
    <x v="0"/>
    <n v="1"/>
    <n v="0"/>
    <n v="0"/>
    <n v="0"/>
    <x v="0"/>
    <x v="0"/>
    <x v="0"/>
  </r>
  <r>
    <n v="20601536536"/>
    <x v="11"/>
    <x v="11"/>
    <x v="2319"/>
    <x v="2326"/>
    <x v="2016"/>
    <n v="1"/>
    <x v="51"/>
    <s v="ESTACION 11"/>
    <s v="JR PEDRO DAVALOS LISSON 267"/>
    <x v="45"/>
    <x v="0"/>
    <x v="0"/>
    <x v="2"/>
    <x v="242"/>
    <x v="0"/>
    <n v="1"/>
    <n v="0"/>
    <x v="0"/>
    <x v="0"/>
    <n v="0"/>
    <x v="27"/>
    <x v="3"/>
    <s v="OK"/>
    <x v="3"/>
    <s v="OK"/>
    <x v="0"/>
    <x v="0"/>
    <n v="1"/>
    <n v="1"/>
    <n v="0"/>
    <n v="0"/>
    <x v="0"/>
    <x v="0"/>
    <x v="0"/>
  </r>
  <r>
    <s v="20504138292"/>
    <x v="12"/>
    <x v="12"/>
    <x v="2320"/>
    <x v="2327"/>
    <x v="2017"/>
    <n v="2"/>
    <x v="337"/>
    <s v="PV 04"/>
    <s v="SECTOR SAN FRANCISCO DE LA CRUZ - MZ 6 LT 4 PAMPLONA ALTA"/>
    <x v="53"/>
    <x v="0"/>
    <x v="0"/>
    <x v="2"/>
    <x v="179"/>
    <x v="0"/>
    <n v="4"/>
    <n v="192"/>
    <x v="0"/>
    <x v="1"/>
    <n v="2.3809523809523808E-2"/>
    <x v="30"/>
    <x v="3"/>
    <s v="OK"/>
    <x v="0"/>
    <s v="OK"/>
    <x v="0"/>
    <x v="0"/>
    <n v="1"/>
    <n v="0"/>
    <n v="0"/>
    <n v="0"/>
    <x v="0"/>
    <x v="0"/>
    <x v="0"/>
  </r>
  <r>
    <s v="20504138292"/>
    <x v="12"/>
    <x v="12"/>
    <x v="2321"/>
    <x v="2328"/>
    <x v="2018"/>
    <n v="2"/>
    <x v="18"/>
    <s v="PV 04"/>
    <s v="AV 28 DE JULIO 2970"/>
    <x v="25"/>
    <x v="0"/>
    <x v="0"/>
    <x v="2"/>
    <x v="129"/>
    <x v="0"/>
    <n v="4"/>
    <n v="192"/>
    <x v="0"/>
    <x v="1"/>
    <n v="2.3809523809523808E-2"/>
    <x v="31"/>
    <x v="3"/>
    <s v="OK"/>
    <x v="4"/>
    <s v="OK"/>
    <x v="0"/>
    <x v="0"/>
    <n v="1"/>
    <n v="1"/>
    <n v="0"/>
    <n v="0"/>
    <x v="0"/>
    <x v="0"/>
    <x v="0"/>
  </r>
  <r>
    <s v="20504138292"/>
    <x v="12"/>
    <x v="12"/>
    <x v="2322"/>
    <x v="2329"/>
    <x v="2019"/>
    <n v="2"/>
    <x v="5"/>
    <s v="PV 04"/>
    <s v="COOP VERTIENTES LOMO DE CORVINA MZ H LT 25"/>
    <x v="19"/>
    <x v="0"/>
    <x v="0"/>
    <x v="2"/>
    <x v="129"/>
    <x v="0"/>
    <n v="4"/>
    <n v="192"/>
    <x v="0"/>
    <x v="1"/>
    <n v="2.3809523809523808E-2"/>
    <x v="28"/>
    <x v="3"/>
    <s v="OK"/>
    <x v="0"/>
    <s v="OK"/>
    <x v="0"/>
    <x v="0"/>
    <n v="1"/>
    <n v="0"/>
    <n v="0"/>
    <n v="0"/>
    <x v="0"/>
    <x v="0"/>
    <x v="0"/>
  </r>
  <r>
    <s v="20504138292"/>
    <x v="12"/>
    <x v="12"/>
    <x v="2323"/>
    <x v="2330"/>
    <x v="2020"/>
    <n v="2"/>
    <x v="67"/>
    <s v="PV 04"/>
    <s v="JR FRANCISCO INGA MZ B 9 LT 25 AAHH 10 DE OCTUBRE"/>
    <x v="15"/>
    <x v="0"/>
    <x v="0"/>
    <x v="2"/>
    <x v="129"/>
    <x v="0"/>
    <n v="4"/>
    <n v="192"/>
    <x v="0"/>
    <x v="1"/>
    <n v="2.3809523809523808E-2"/>
    <x v="23"/>
    <x v="3"/>
    <s v="OK"/>
    <x v="0"/>
    <s v="OK"/>
    <x v="0"/>
    <x v="0"/>
    <n v="1"/>
    <n v="0"/>
    <n v="0"/>
    <n v="0"/>
    <x v="0"/>
    <x v="0"/>
    <x v="0"/>
  </r>
  <r>
    <s v="20504138292"/>
    <x v="12"/>
    <x v="12"/>
    <x v="2324"/>
    <x v="2331"/>
    <x v="2021"/>
    <n v="2"/>
    <x v="338"/>
    <s v="PV 04"/>
    <s v="AAHH 15 DE NOVIEMBRE MZ H LT 9 JOSE GALVEZ"/>
    <x v="8"/>
    <x v="0"/>
    <x v="0"/>
    <x v="2"/>
    <x v="129"/>
    <x v="0"/>
    <n v="4"/>
    <n v="192"/>
    <x v="0"/>
    <x v="1"/>
    <n v="2.3809523809523808E-2"/>
    <x v="29"/>
    <x v="3"/>
    <s v="OK"/>
    <x v="0"/>
    <s v="OK"/>
    <x v="0"/>
    <x v="0"/>
    <n v="1"/>
    <n v="0"/>
    <n v="0"/>
    <n v="0"/>
    <x v="0"/>
    <x v="0"/>
    <x v="0"/>
  </r>
  <r>
    <s v="20504138292"/>
    <x v="12"/>
    <x v="12"/>
    <x v="2325"/>
    <x v="2332"/>
    <x v="2022"/>
    <n v="1"/>
    <x v="239"/>
    <s v="PV 04"/>
    <s v="CALLE ALFONSO UGARTE 1849 JOSE GALVEZ"/>
    <x v="8"/>
    <x v="0"/>
    <x v="0"/>
    <x v="2"/>
    <x v="179"/>
    <x v="0"/>
    <n v="1"/>
    <n v="192"/>
    <x v="0"/>
    <x v="1"/>
    <n v="2.3809523809523808E-2"/>
    <x v="31"/>
    <x v="3"/>
    <s v="OK"/>
    <x v="0"/>
    <s v="OK"/>
    <x v="0"/>
    <x v="0"/>
    <n v="1"/>
    <n v="0"/>
    <n v="0"/>
    <n v="0"/>
    <x v="0"/>
    <x v="0"/>
    <x v="0"/>
  </r>
  <r>
    <s v="20504138292"/>
    <x v="12"/>
    <x v="12"/>
    <x v="2326"/>
    <x v="2333"/>
    <x v="2023"/>
    <n v="1"/>
    <x v="120"/>
    <s v="PV 04"/>
    <s v="URB. CIUDAD DEL PESCADOR MZ F LT 12"/>
    <x v="17"/>
    <x v="0"/>
    <x v="0"/>
    <x v="2"/>
    <x v="179"/>
    <x v="0"/>
    <n v="1"/>
    <n v="192"/>
    <x v="0"/>
    <x v="1"/>
    <n v="2.3809523809523808E-2"/>
    <x v="26"/>
    <x v="3"/>
    <s v="OK"/>
    <x v="2"/>
    <s v="OK"/>
    <x v="0"/>
    <x v="0"/>
    <n v="1"/>
    <n v="1"/>
    <n v="0"/>
    <n v="0"/>
    <x v="0"/>
    <x v="0"/>
    <x v="0"/>
  </r>
  <r>
    <s v="20504138292"/>
    <x v="12"/>
    <x v="12"/>
    <x v="2327"/>
    <x v="2334"/>
    <x v="2024"/>
    <n v="1"/>
    <x v="339"/>
    <s v="PV 04"/>
    <s v="ASOC.SAN PEDRO MZ.T-2 LT.11"/>
    <x v="15"/>
    <x v="0"/>
    <x v="0"/>
    <x v="2"/>
    <x v="179"/>
    <x v="0"/>
    <n v="1"/>
    <n v="192"/>
    <x v="0"/>
    <x v="1"/>
    <n v="2.3809523809523808E-2"/>
    <x v="30"/>
    <x v="3"/>
    <s v="OK"/>
    <x v="0"/>
    <s v="OK"/>
    <x v="0"/>
    <x v="0"/>
    <n v="1"/>
    <n v="0"/>
    <n v="0"/>
    <n v="0"/>
    <x v="0"/>
    <x v="0"/>
    <x v="0"/>
  </r>
  <r>
    <s v="20504138292"/>
    <x v="12"/>
    <x v="12"/>
    <x v="2328"/>
    <x v="2335"/>
    <x v="2021"/>
    <n v="2"/>
    <x v="67"/>
    <s v="PV 04"/>
    <s v="AAHH GRANO DE ORO MZ O LT 9"/>
    <x v="3"/>
    <x v="0"/>
    <x v="0"/>
    <x v="2"/>
    <x v="244"/>
    <x v="0"/>
    <n v="4"/>
    <n v="192"/>
    <x v="0"/>
    <x v="1"/>
    <n v="2.3809523809523808E-2"/>
    <x v="29"/>
    <x v="3"/>
    <s v="OK"/>
    <x v="0"/>
    <s v="OK"/>
    <x v="0"/>
    <x v="0"/>
    <n v="1"/>
    <n v="0"/>
    <n v="0"/>
    <n v="0"/>
    <x v="0"/>
    <x v="0"/>
    <x v="0"/>
  </r>
  <r>
    <s v="20504138292"/>
    <x v="12"/>
    <x v="12"/>
    <x v="2329"/>
    <x v="2336"/>
    <x v="2025"/>
    <n v="2"/>
    <x v="18"/>
    <s v="PV 04"/>
    <s v="AV SAENZ PEÑA MZ D LT 2 "/>
    <x v="6"/>
    <x v="0"/>
    <x v="0"/>
    <x v="2"/>
    <x v="276"/>
    <x v="0"/>
    <n v="4"/>
    <n v="192"/>
    <x v="0"/>
    <x v="1"/>
    <n v="2.3809523809523808E-2"/>
    <x v="25"/>
    <x v="3"/>
    <s v="OK"/>
    <x v="2"/>
    <s v="OK"/>
    <x v="0"/>
    <x v="0"/>
    <n v="1"/>
    <n v="1"/>
    <n v="0"/>
    <n v="0"/>
    <x v="0"/>
    <x v="0"/>
    <x v="0"/>
  </r>
  <r>
    <s v="20504138292"/>
    <x v="12"/>
    <x v="12"/>
    <x v="2330"/>
    <x v="2337"/>
    <x v="2026"/>
    <n v="2"/>
    <x v="18"/>
    <s v="PV 04"/>
    <s v="MZ.A LT.9 ASENT.H.LOS SAUCES"/>
    <x v="8"/>
    <x v="0"/>
    <x v="0"/>
    <x v="2"/>
    <x v="280"/>
    <x v="0"/>
    <n v="4"/>
    <n v="192"/>
    <x v="0"/>
    <x v="1"/>
    <n v="2.3809523809523808E-2"/>
    <x v="23"/>
    <x v="3"/>
    <s v="OK"/>
    <x v="0"/>
    <s v="OK"/>
    <x v="0"/>
    <x v="0"/>
    <n v="1"/>
    <n v="0"/>
    <n v="0"/>
    <n v="0"/>
    <x v="0"/>
    <x v="0"/>
    <x v="0"/>
  </r>
  <r>
    <s v="20504138292"/>
    <x v="12"/>
    <x v="12"/>
    <x v="2331"/>
    <x v="2338"/>
    <x v="2027"/>
    <n v="2"/>
    <x v="18"/>
    <s v="PV 04"/>
    <s v="JR VICTOR LI CARRILLO 432 "/>
    <x v="57"/>
    <x v="0"/>
    <x v="0"/>
    <x v="2"/>
    <x v="38"/>
    <x v="0"/>
    <n v="4"/>
    <n v="192"/>
    <x v="0"/>
    <x v="1"/>
    <n v="2.3809523809523808E-2"/>
    <x v="27"/>
    <x v="3"/>
    <s v="OK"/>
    <x v="0"/>
    <s v="OK"/>
    <x v="0"/>
    <x v="0"/>
    <n v="1"/>
    <n v="0"/>
    <n v="0"/>
    <n v="0"/>
    <x v="0"/>
    <x v="0"/>
    <x v="0"/>
  </r>
  <r>
    <s v="20504138292"/>
    <x v="12"/>
    <x v="12"/>
    <x v="2332"/>
    <x v="2339"/>
    <x v="2028"/>
    <n v="2"/>
    <x v="18"/>
    <s v="PV 04"/>
    <s v="MZ 168 LT 16  GR 19 SECTOR B PJ HUASCAR"/>
    <x v="15"/>
    <x v="0"/>
    <x v="0"/>
    <x v="2"/>
    <x v="247"/>
    <x v="0"/>
    <n v="4"/>
    <n v="56"/>
    <x v="0"/>
    <x v="1"/>
    <n v="2.3809523809523808E-2"/>
    <x v="31"/>
    <x v="3"/>
    <s v="OK"/>
    <x v="0"/>
    <s v="OK"/>
    <x v="0"/>
    <x v="0"/>
    <n v="1"/>
    <n v="0"/>
    <n v="0"/>
    <n v="0"/>
    <x v="0"/>
    <x v="0"/>
    <x v="0"/>
  </r>
  <r>
    <s v="20504138292"/>
    <x v="12"/>
    <x v="12"/>
    <x v="2187"/>
    <x v="2340"/>
    <x v="2029"/>
    <n v="2"/>
    <x v="234"/>
    <s v="PV 04"/>
    <s v="CALLE MRCAL. ANDRES SANTA CRUZ 1126  P. J. HOGAR POLICIAL"/>
    <x v="8"/>
    <x v="0"/>
    <x v="32"/>
    <x v="2"/>
    <x v="105"/>
    <x v="2"/>
    <n v="4"/>
    <n v="72"/>
    <x v="0"/>
    <x v="1"/>
    <n v="2.3809523809523808E-2"/>
    <x v="30"/>
    <x v="3"/>
    <s v="OK"/>
    <x v="0"/>
    <s v="OK"/>
    <x v="0"/>
    <x v="0"/>
    <n v="1"/>
    <n v="0"/>
    <n v="0"/>
    <n v="1"/>
    <x v="0"/>
    <x v="1"/>
    <x v="0"/>
  </r>
  <r>
    <n v="20524172365"/>
    <x v="55"/>
    <x v="41"/>
    <x v="2333"/>
    <x v="2341"/>
    <x v="2030"/>
    <n v="1"/>
    <x v="7"/>
    <s v="SUMINISTRO E INSTALACIÓN DE BARANDAS DE ACERO INOXIDABLE EN LA ESTACION E17"/>
    <s v="AV. 5 DE SETIEMBRE NRO. 112-A"/>
    <x v="317"/>
    <x v="0"/>
    <x v="0"/>
    <x v="1"/>
    <x v="678"/>
    <x v="0"/>
    <n v="2"/>
    <n v="168"/>
    <x v="0"/>
    <x v="1"/>
    <n v="0.1"/>
    <x v="24"/>
    <x v="3"/>
    <s v="OK"/>
    <x v="0"/>
    <s v="OK"/>
    <x v="0"/>
    <x v="0"/>
    <n v="1"/>
    <n v="0"/>
    <n v="0"/>
    <n v="0"/>
    <x v="0"/>
    <x v="0"/>
    <x v="0"/>
  </r>
  <r>
    <n v="20524172365"/>
    <x v="55"/>
    <x v="41"/>
    <x v="2334"/>
    <x v="2342"/>
    <x v="2031"/>
    <n v="2"/>
    <x v="101"/>
    <s v="REVESTIMIENTO DE EDICULOS E-01 “PUERTO DEL CALLAO”, E-02 “BUENOS AIRES” Y E-03 “JUAN PABLO II”"/>
    <s v="UCV 18 LT.57 ZONA A HUAYCAN"/>
    <x v="1"/>
    <x v="0"/>
    <x v="0"/>
    <x v="1"/>
    <x v="201"/>
    <x v="0"/>
    <n v="4"/>
    <n v="16"/>
    <x v="0"/>
    <x v="1"/>
    <n v="0.1"/>
    <x v="28"/>
    <x v="3"/>
    <s v="OK"/>
    <x v="1"/>
    <s v="OK"/>
    <x v="0"/>
    <x v="0"/>
    <n v="1"/>
    <n v="1"/>
    <n v="0"/>
    <n v="0"/>
    <x v="0"/>
    <x v="0"/>
    <x v="0"/>
  </r>
  <r>
    <n v="20550163480"/>
    <x v="13"/>
    <x v="13"/>
    <x v="2335"/>
    <x v="2343"/>
    <x v="2032"/>
    <n v="2"/>
    <x v="19"/>
    <s v="Estacion 08, Estacion 15, estacion 11, estacion 06, Estacion 03"/>
    <s v="Calle Las Palmeras 6"/>
    <x v="1"/>
    <x v="0"/>
    <x v="0"/>
    <x v="2"/>
    <x v="656"/>
    <x v="0"/>
    <n v="4"/>
    <n v="192"/>
    <x v="0"/>
    <x v="1"/>
    <n v="5.8823529411764705E-2"/>
    <x v="23"/>
    <x v="3"/>
    <s v="OK"/>
    <x v="1"/>
    <s v="OK"/>
    <x v="0"/>
    <x v="0"/>
    <n v="1"/>
    <n v="1"/>
    <n v="0"/>
    <n v="0"/>
    <x v="0"/>
    <x v="0"/>
    <x v="0"/>
  </r>
  <r>
    <n v="20550163480"/>
    <x v="13"/>
    <x v="13"/>
    <x v="2336"/>
    <x v="2344"/>
    <x v="2033"/>
    <n v="2"/>
    <x v="340"/>
    <s v="E1, E2, E3, E4, E5, E6, E7, E8, E9, E10, E11, E12, E13, E14, E15, E16, E17, E18, E19, E20,E21, E22, E23, E24, E25,E26, E27, Pozos Patio Taller  Da Callao y Patio Taller De Santa Anita"/>
    <s v="GR UCV 233C Asent: H. Huaycan Zona Z MZ. G LT. 01"/>
    <x v="1"/>
    <x v="0"/>
    <x v="0"/>
    <x v="2"/>
    <x v="679"/>
    <x v="0"/>
    <n v="4"/>
    <n v="192"/>
    <x v="0"/>
    <x v="1"/>
    <n v="5.8823529411764705E-2"/>
    <x v="24"/>
    <x v="3"/>
    <s v="OK"/>
    <x v="1"/>
    <s v="OK"/>
    <x v="0"/>
    <x v="0"/>
    <n v="1"/>
    <n v="1"/>
    <n v="0"/>
    <n v="0"/>
    <x v="0"/>
    <x v="0"/>
    <x v="0"/>
  </r>
  <r>
    <n v="20551135137"/>
    <x v="14"/>
    <x v="14"/>
    <x v="2337"/>
    <x v="2345"/>
    <x v="2034"/>
    <n v="2"/>
    <x v="20"/>
    <s v="E03 - E04"/>
    <s v="ASENT.H.JAVIER HERAUD MZ.T LT.14"/>
    <x v="1"/>
    <x v="0"/>
    <x v="0"/>
    <x v="1"/>
    <x v="680"/>
    <x v="0"/>
    <n v="4"/>
    <n v="16"/>
    <x v="0"/>
    <x v="1"/>
    <n v="9.0909090909090912E-2"/>
    <x v="23"/>
    <x v="3"/>
    <s v="OK"/>
    <x v="1"/>
    <s v="OK"/>
    <x v="0"/>
    <x v="0"/>
    <n v="1"/>
    <n v="1"/>
    <n v="0"/>
    <n v="0"/>
    <x v="0"/>
    <x v="0"/>
    <x v="0"/>
  </r>
  <r>
    <n v="20551135137"/>
    <x v="14"/>
    <x v="14"/>
    <x v="2338"/>
    <x v="2346"/>
    <x v="2035"/>
    <n v="1"/>
    <x v="7"/>
    <s v="E03 - E04"/>
    <s v="MZ. Ñ2 LT. 5 URB. LA CAPILLA"/>
    <x v="47"/>
    <x v="0"/>
    <x v="0"/>
    <x v="1"/>
    <x v="225"/>
    <x v="0"/>
    <n v="2"/>
    <n v="240"/>
    <x v="0"/>
    <x v="1"/>
    <n v="9.0909090909090912E-2"/>
    <x v="25"/>
    <x v="3"/>
    <s v="OK"/>
    <x v="0"/>
    <s v="OK"/>
    <x v="0"/>
    <x v="0"/>
    <n v="1"/>
    <n v="0"/>
    <n v="0"/>
    <n v="0"/>
    <x v="0"/>
    <x v="0"/>
    <x v="0"/>
  </r>
  <r>
    <s v="20551610030"/>
    <x v="15"/>
    <x v="15"/>
    <x v="2339"/>
    <x v="2347"/>
    <x v="2036"/>
    <n v="1"/>
    <x v="107"/>
    <s v="ESTACION 14"/>
    <s v="AV JOSE CARLOS MARIATEGUI MZ D LT 10 - VILLA HERMOSA"/>
    <x v="1"/>
    <x v="0"/>
    <x v="0"/>
    <x v="2"/>
    <x v="288"/>
    <x v="0"/>
    <n v="1"/>
    <n v="200.5"/>
    <x v="0"/>
    <x v="1"/>
    <n v="1.2345679012345678E-2"/>
    <x v="30"/>
    <x v="3"/>
    <s v="OK"/>
    <x v="1"/>
    <s v="OK"/>
    <x v="0"/>
    <x v="0"/>
    <n v="1"/>
    <n v="1"/>
    <n v="0"/>
    <n v="0"/>
    <x v="0"/>
    <x v="0"/>
    <x v="0"/>
  </r>
  <r>
    <s v="20551610030"/>
    <x v="15"/>
    <x v="15"/>
    <x v="2340"/>
    <x v="2348"/>
    <x v="2037"/>
    <n v="1"/>
    <x v="341"/>
    <s v="ESTACION 14"/>
    <s v="JUAN BENITES 107 DPTO. 301"/>
    <x v="144"/>
    <x v="0"/>
    <x v="0"/>
    <x v="2"/>
    <x v="111"/>
    <x v="0"/>
    <n v="1"/>
    <n v="200.5"/>
    <x v="0"/>
    <x v="1"/>
    <n v="1.2345679012345678E-2"/>
    <x v="26"/>
    <x v="3"/>
    <s v="OK"/>
    <x v="0"/>
    <s v="OK"/>
    <x v="0"/>
    <x v="0"/>
    <n v="1"/>
    <n v="0"/>
    <n v="0"/>
    <n v="0"/>
    <x v="0"/>
    <x v="0"/>
    <x v="0"/>
  </r>
  <r>
    <s v="20551610030"/>
    <x v="15"/>
    <x v="15"/>
    <x v="2341"/>
    <x v="2349"/>
    <x v="2038"/>
    <n v="1"/>
    <x v="141"/>
    <s v="ESTACION 14 Y 15"/>
    <s v="CALLE CAMPANARIO"/>
    <x v="318"/>
    <x v="0"/>
    <x v="0"/>
    <x v="2"/>
    <x v="114"/>
    <x v="0"/>
    <n v="1"/>
    <n v="200.5"/>
    <x v="0"/>
    <x v="1"/>
    <n v="1.2345679012345678E-2"/>
    <x v="24"/>
    <x v="3"/>
    <s v="OK"/>
    <x v="0"/>
    <s v="OK"/>
    <x v="0"/>
    <x v="0"/>
    <n v="1"/>
    <n v="0"/>
    <n v="0"/>
    <n v="0"/>
    <x v="0"/>
    <x v="0"/>
    <x v="0"/>
  </r>
  <r>
    <s v="20551610030"/>
    <x v="15"/>
    <x v="15"/>
    <x v="2342"/>
    <x v="2350"/>
    <x v="2039"/>
    <n v="2"/>
    <x v="40"/>
    <s v="ESTACION 14"/>
    <s v="CALLE SANTO DOMINGO 256 URB. EL PARRAL"/>
    <x v="0"/>
    <x v="0"/>
    <x v="0"/>
    <x v="2"/>
    <x v="261"/>
    <x v="0"/>
    <n v="1"/>
    <n v="200.5"/>
    <x v="0"/>
    <x v="1"/>
    <n v="1.2345679012345678E-2"/>
    <x v="24"/>
    <x v="3"/>
    <s v="OK"/>
    <x v="0"/>
    <s v="OK"/>
    <x v="0"/>
    <x v="0"/>
    <n v="1"/>
    <n v="0"/>
    <n v="0"/>
    <n v="0"/>
    <x v="0"/>
    <x v="0"/>
    <x v="0"/>
  </r>
  <r>
    <s v="20551610030"/>
    <x v="15"/>
    <x v="15"/>
    <x v="2343"/>
    <x v="2351"/>
    <x v="2040"/>
    <n v="2"/>
    <x v="108"/>
    <s v="ESTACION 14"/>
    <s v="PSJ. UNION MZ 90 B1 LT 6"/>
    <x v="8"/>
    <x v="0"/>
    <x v="0"/>
    <x v="2"/>
    <x v="261"/>
    <x v="0"/>
    <n v="1"/>
    <n v="200.5"/>
    <x v="0"/>
    <x v="1"/>
    <n v="1.2345679012345678E-2"/>
    <x v="26"/>
    <x v="3"/>
    <s v="OK"/>
    <x v="0"/>
    <s v="OK"/>
    <x v="0"/>
    <x v="0"/>
    <n v="1"/>
    <n v="0"/>
    <n v="0"/>
    <n v="0"/>
    <x v="0"/>
    <x v="0"/>
    <x v="0"/>
  </r>
  <r>
    <s v="20551610030"/>
    <x v="15"/>
    <x v="15"/>
    <x v="2344"/>
    <x v="2352"/>
    <x v="2041"/>
    <n v="2"/>
    <x v="108"/>
    <s v="ESTACION 14"/>
    <s v="PSJ. UNION URB. NUEVA ESPERANZA MZ 90 B LT 3"/>
    <x v="8"/>
    <x v="0"/>
    <x v="0"/>
    <x v="2"/>
    <x v="261"/>
    <x v="0"/>
    <n v="1"/>
    <n v="200.5"/>
    <x v="0"/>
    <x v="1"/>
    <n v="1.2345679012345678E-2"/>
    <x v="28"/>
    <x v="3"/>
    <s v="OK"/>
    <x v="0"/>
    <s v="OK"/>
    <x v="0"/>
    <x v="0"/>
    <n v="1"/>
    <n v="0"/>
    <n v="0"/>
    <n v="0"/>
    <x v="0"/>
    <x v="0"/>
    <x v="0"/>
  </r>
  <r>
    <s v="20551610030"/>
    <x v="15"/>
    <x v="15"/>
    <x v="2345"/>
    <x v="2353"/>
    <x v="2042"/>
    <n v="2"/>
    <x v="40"/>
    <s v="ESTACION 14"/>
    <s v="JR PAITA 451 INT 3"/>
    <x v="13"/>
    <x v="0"/>
    <x v="0"/>
    <x v="2"/>
    <x v="258"/>
    <x v="0"/>
    <n v="1"/>
    <n v="200.5"/>
    <x v="0"/>
    <x v="1"/>
    <n v="1.2345679012345678E-2"/>
    <x v="30"/>
    <x v="3"/>
    <s v="OK"/>
    <x v="0"/>
    <s v="OK"/>
    <x v="0"/>
    <x v="0"/>
    <n v="1"/>
    <n v="0"/>
    <n v="0"/>
    <n v="0"/>
    <x v="0"/>
    <x v="0"/>
    <x v="0"/>
  </r>
  <r>
    <s v="20551610030"/>
    <x v="15"/>
    <x v="15"/>
    <x v="2346"/>
    <x v="2354"/>
    <x v="2043"/>
    <n v="2"/>
    <x v="2"/>
    <s v="ESTACION 14"/>
    <s v="JR. JORGE BASADRE 315-B"/>
    <x v="46"/>
    <x v="0"/>
    <x v="0"/>
    <x v="2"/>
    <x v="526"/>
    <x v="0"/>
    <n v="1"/>
    <n v="0"/>
    <x v="0"/>
    <x v="1"/>
    <n v="1.2345679012345678E-2"/>
    <x v="31"/>
    <x v="3"/>
    <s v="OK"/>
    <x v="7"/>
    <s v="OK"/>
    <x v="0"/>
    <x v="0"/>
    <n v="1"/>
    <n v="1"/>
    <n v="0"/>
    <n v="0"/>
    <x v="0"/>
    <x v="0"/>
    <x v="0"/>
  </r>
  <r>
    <s v="20551610030"/>
    <x v="15"/>
    <x v="15"/>
    <x v="2347"/>
    <x v="2355"/>
    <x v="2044"/>
    <n v="2"/>
    <x v="251"/>
    <s v="ESTACION 14"/>
    <s v="CALLE CARACOL 983 COOP. HUANCAYO"/>
    <x v="46"/>
    <x v="0"/>
    <x v="0"/>
    <x v="2"/>
    <x v="243"/>
    <x v="0"/>
    <n v="1"/>
    <n v="200.5"/>
    <x v="0"/>
    <x v="1"/>
    <n v="1.2345679012345678E-2"/>
    <x v="29"/>
    <x v="3"/>
    <s v="OK"/>
    <x v="7"/>
    <s v="OK"/>
    <x v="0"/>
    <x v="0"/>
    <n v="1"/>
    <n v="1"/>
    <n v="0"/>
    <n v="0"/>
    <x v="0"/>
    <x v="0"/>
    <x v="0"/>
  </r>
  <r>
    <s v="20551610030"/>
    <x v="15"/>
    <x v="15"/>
    <x v="2348"/>
    <x v="2356"/>
    <x v="2028"/>
    <n v="2"/>
    <x v="22"/>
    <s v="ESTACION 14"/>
    <s v="MZ D 2 LT 5 ASENT H VILLA HERMOZA"/>
    <x v="15"/>
    <x v="0"/>
    <x v="5"/>
    <x v="2"/>
    <x v="139"/>
    <x v="2"/>
    <n v="1"/>
    <n v="56.5"/>
    <x v="0"/>
    <x v="1"/>
    <n v="1.2345679012345678E-2"/>
    <x v="31"/>
    <x v="3"/>
    <s v="OK"/>
    <x v="0"/>
    <s v="OK"/>
    <x v="0"/>
    <x v="0"/>
    <n v="1"/>
    <n v="0"/>
    <n v="0"/>
    <n v="1"/>
    <x v="0"/>
    <x v="1"/>
    <x v="0"/>
  </r>
  <r>
    <s v="20551610030"/>
    <x v="15"/>
    <x v="15"/>
    <x v="2349"/>
    <x v="2357"/>
    <x v="2045"/>
    <n v="2"/>
    <x v="22"/>
    <s v="ESTACION 14 Y 15"/>
    <s v="JR JORGE BASADRE MZ L LT 22 MARTIRES DEL SUTEP "/>
    <x v="49"/>
    <x v="0"/>
    <x v="0"/>
    <x v="2"/>
    <x v="46"/>
    <x v="0"/>
    <n v="1"/>
    <n v="200.5"/>
    <x v="0"/>
    <x v="1"/>
    <n v="1.2345679012345678E-2"/>
    <x v="28"/>
    <x v="3"/>
    <s v="OK"/>
    <x v="0"/>
    <s v="OK"/>
    <x v="0"/>
    <x v="0"/>
    <n v="1"/>
    <n v="0"/>
    <n v="0"/>
    <n v="0"/>
    <x v="0"/>
    <x v="0"/>
    <x v="0"/>
  </r>
  <r>
    <s v="20551610030"/>
    <x v="15"/>
    <x v="15"/>
    <x v="2350"/>
    <x v="2358"/>
    <x v="2046"/>
    <n v="2"/>
    <x v="22"/>
    <s v="ESTACION 14 Y 15"/>
    <s v="AV ELIAS AGUIRRE MZ 11V LT 2 2DA ZONA TABLADA DE LURIN"/>
    <x v="8"/>
    <x v="0"/>
    <x v="0"/>
    <x v="2"/>
    <x v="46"/>
    <x v="0"/>
    <n v="1"/>
    <n v="200.5"/>
    <x v="0"/>
    <x v="1"/>
    <n v="1.2345679012345678E-2"/>
    <x v="24"/>
    <x v="3"/>
    <s v="OK"/>
    <x v="0"/>
    <s v="OK"/>
    <x v="0"/>
    <x v="0"/>
    <n v="1"/>
    <n v="0"/>
    <n v="0"/>
    <n v="0"/>
    <x v="0"/>
    <x v="0"/>
    <x v="0"/>
  </r>
  <r>
    <s v="20551610030"/>
    <x v="15"/>
    <x v="15"/>
    <x v="2351"/>
    <x v="2359"/>
    <x v="2047"/>
    <n v="2"/>
    <x v="22"/>
    <s v="ESTACION 14 Y 15"/>
    <s v="CALLE 23 ASOC HIJOS DE APURIMAC 5TA ZONA MZ U2 LT 16"/>
    <x v="1"/>
    <x v="0"/>
    <x v="0"/>
    <x v="2"/>
    <x v="46"/>
    <x v="0"/>
    <n v="1"/>
    <n v="200.5"/>
    <x v="0"/>
    <x v="1"/>
    <n v="1.2345679012345678E-2"/>
    <x v="28"/>
    <x v="3"/>
    <s v="OK"/>
    <x v="1"/>
    <s v="OK"/>
    <x v="0"/>
    <x v="0"/>
    <n v="1"/>
    <n v="1"/>
    <n v="0"/>
    <n v="0"/>
    <x v="0"/>
    <x v="0"/>
    <x v="0"/>
  </r>
  <r>
    <s v="20551610030"/>
    <x v="15"/>
    <x v="15"/>
    <x v="2352"/>
    <x v="2360"/>
    <x v="2048"/>
    <n v="2"/>
    <x v="342"/>
    <s v="ESTACION 17"/>
    <s v="CALLE VIRU MZ IE LT4 COOP.ANDAHUAYLAS"/>
    <x v="27"/>
    <x v="0"/>
    <x v="0"/>
    <x v="2"/>
    <x v="280"/>
    <x v="0"/>
    <n v="1"/>
    <n v="200.5"/>
    <x v="0"/>
    <x v="1"/>
    <n v="1.2345679012345678E-2"/>
    <x v="24"/>
    <x v="3"/>
    <s v="OK"/>
    <x v="5"/>
    <s v="OK"/>
    <x v="0"/>
    <x v="0"/>
    <n v="1"/>
    <n v="1"/>
    <n v="0"/>
    <n v="0"/>
    <x v="0"/>
    <x v="0"/>
    <x v="0"/>
  </r>
  <r>
    <s v="20551610030"/>
    <x v="15"/>
    <x v="15"/>
    <x v="2353"/>
    <x v="2361"/>
    <x v="2049"/>
    <n v="2"/>
    <x v="40"/>
    <s v="ESTACION 17 Y 18"/>
    <s v="ASENT.H. CHAVIN DE HUANTAR MZ F.LT.8"/>
    <x v="19"/>
    <x v="0"/>
    <x v="0"/>
    <x v="2"/>
    <x v="114"/>
    <x v="0"/>
    <n v="1"/>
    <n v="175"/>
    <x v="0"/>
    <x v="1"/>
    <n v="1.2345679012345678E-2"/>
    <x v="25"/>
    <x v="3"/>
    <s v="OK"/>
    <x v="0"/>
    <s v="OK"/>
    <x v="0"/>
    <x v="0"/>
    <n v="1"/>
    <n v="0"/>
    <n v="0"/>
    <n v="0"/>
    <x v="0"/>
    <x v="0"/>
    <x v="0"/>
  </r>
  <r>
    <s v="20551610030"/>
    <x v="15"/>
    <x v="15"/>
    <x v="2354"/>
    <x v="2362"/>
    <x v="2050"/>
    <n v="2"/>
    <x v="40"/>
    <s v="ESTACION 17 Y 18"/>
    <s v="MZ.D.LT.2 ASOC.AYACUCHO"/>
    <x v="15"/>
    <x v="0"/>
    <x v="0"/>
    <x v="2"/>
    <x v="114"/>
    <x v="0"/>
    <n v="1"/>
    <n v="200.5"/>
    <x v="0"/>
    <x v="1"/>
    <n v="1.2345679012345678E-2"/>
    <x v="27"/>
    <x v="3"/>
    <s v="OK"/>
    <x v="0"/>
    <s v="OK"/>
    <x v="0"/>
    <x v="0"/>
    <n v="1"/>
    <n v="0"/>
    <n v="0"/>
    <n v="0"/>
    <x v="0"/>
    <x v="0"/>
    <x v="0"/>
  </r>
  <r>
    <s v="20551610030"/>
    <x v="15"/>
    <x v="15"/>
    <x v="2355"/>
    <x v="2363"/>
    <x v="2051"/>
    <n v="2"/>
    <x v="22"/>
    <s v="ESTACION 17"/>
    <s v="MZ O LT 18 AAHH TUPAC AMARU"/>
    <x v="1"/>
    <x v="0"/>
    <x v="0"/>
    <x v="2"/>
    <x v="17"/>
    <x v="0"/>
    <n v="1"/>
    <n v="195"/>
    <x v="0"/>
    <x v="1"/>
    <n v="1.2345679012345678E-2"/>
    <x v="27"/>
    <x v="3"/>
    <s v="OK"/>
    <x v="1"/>
    <s v="OK"/>
    <x v="0"/>
    <x v="0"/>
    <n v="1"/>
    <n v="1"/>
    <n v="0"/>
    <n v="0"/>
    <x v="0"/>
    <x v="0"/>
    <x v="0"/>
  </r>
  <r>
    <s v="20551610030"/>
    <x v="15"/>
    <x v="15"/>
    <x v="2356"/>
    <x v="2364"/>
    <x v="2052"/>
    <n v="2"/>
    <x v="2"/>
    <s v="ESTACION 18"/>
    <s v="JR. 6 DE DICIEMBRE 312"/>
    <x v="78"/>
    <x v="0"/>
    <x v="0"/>
    <x v="2"/>
    <x v="247"/>
    <x v="0"/>
    <n v="1"/>
    <n v="200.5"/>
    <x v="0"/>
    <x v="1"/>
    <n v="1.2345679012345678E-2"/>
    <x v="25"/>
    <x v="3"/>
    <s v="OK"/>
    <x v="6"/>
    <s v="OK"/>
    <x v="0"/>
    <x v="0"/>
    <n v="1"/>
    <n v="1"/>
    <n v="0"/>
    <n v="0"/>
    <x v="0"/>
    <x v="0"/>
    <x v="0"/>
  </r>
  <r>
    <n v="20610192034"/>
    <x v="16"/>
    <x v="16"/>
    <x v="2357"/>
    <x v="2365"/>
    <x v="2053"/>
    <n v="2"/>
    <x v="8"/>
    <s v="ESTACION 10- ESTACION 11-PZ 16-PZ-17-PZ18-E17"/>
    <s v="MZ. B PRIMA LT 02 AH AMP VIRGEN DE FATIMA CALLE LA ENSENADA"/>
    <x v="4"/>
    <x v="0"/>
    <x v="4"/>
    <x v="2"/>
    <x v="41"/>
    <x v="2"/>
    <n v="4"/>
    <n v="84"/>
    <x v="0"/>
    <x v="1"/>
    <n v="2.6315789473684209E-2"/>
    <x v="26"/>
    <x v="3"/>
    <s v="OK"/>
    <x v="0"/>
    <s v="OK"/>
    <x v="0"/>
    <x v="0"/>
    <n v="1"/>
    <n v="0"/>
    <n v="0"/>
    <n v="1"/>
    <x v="0"/>
    <x v="1"/>
    <x v="0"/>
  </r>
  <r>
    <n v="20610192034"/>
    <x v="16"/>
    <x v="16"/>
    <x v="2358"/>
    <x v="2366"/>
    <x v="2054"/>
    <n v="2"/>
    <x v="11"/>
    <s v="ESTACION 10- ESTACION 11-PZ 16-PZ-17-PZ18-E17"/>
    <s v="ASOC. UNION ALTO PRIALE SUR MZ K LT. 4 "/>
    <x v="1"/>
    <x v="0"/>
    <x v="5"/>
    <x v="2"/>
    <x v="527"/>
    <x v="2"/>
    <n v="4"/>
    <n v="174"/>
    <x v="0"/>
    <x v="1"/>
    <n v="2.6315789473684209E-2"/>
    <x v="30"/>
    <x v="3"/>
    <s v="OK"/>
    <x v="1"/>
    <s v="OK"/>
    <x v="0"/>
    <x v="0"/>
    <n v="1"/>
    <n v="1"/>
    <n v="0"/>
    <n v="1"/>
    <x v="0"/>
    <x v="1"/>
    <x v="0"/>
  </r>
  <r>
    <s v="20603245246"/>
    <x v="56"/>
    <x v="17"/>
    <x v="2359"/>
    <x v="2367"/>
    <x v="1984"/>
    <n v="1"/>
    <x v="7"/>
    <s v="E01,E04,E05,E08,E09,E13,E18,E15,E16,E18,E19,PATIO TALLER,PLANTA DOVELAS"/>
    <s v="Calle 25 MZ E Prim Etapa Lt 18 AH Los Jasminez de Naranjal Etap 1"/>
    <x v="49"/>
    <x v="0"/>
    <x v="21"/>
    <x v="1"/>
    <x v="551"/>
    <x v="0"/>
    <n v="2"/>
    <n v="145"/>
    <x v="0"/>
    <x v="1"/>
    <n v="4.7619047619047616E-2"/>
    <x v="28"/>
    <x v="3"/>
    <s v="OK"/>
    <x v="0"/>
    <s v="OK"/>
    <x v="0"/>
    <x v="0"/>
    <n v="1"/>
    <n v="0"/>
    <n v="0"/>
    <n v="0"/>
    <x v="0"/>
    <x v="0"/>
    <x v="0"/>
  </r>
  <r>
    <s v="20603245246"/>
    <x v="56"/>
    <x v="17"/>
    <x v="2360"/>
    <x v="2368"/>
    <x v="2055"/>
    <n v="2"/>
    <x v="59"/>
    <s v="E05"/>
    <s v="Sector 1 Grupo 17 Mz. G Lt.23"/>
    <x v="19"/>
    <x v="0"/>
    <x v="21"/>
    <x v="1"/>
    <x v="90"/>
    <x v="0"/>
    <n v="1"/>
    <n v="8"/>
    <x v="0"/>
    <x v="1"/>
    <n v="4.7619047619047616E-2"/>
    <x v="31"/>
    <x v="3"/>
    <s v="OK"/>
    <x v="0"/>
    <s v="OK"/>
    <x v="0"/>
    <x v="0"/>
    <n v="1"/>
    <n v="0"/>
    <n v="0"/>
    <n v="0"/>
    <x v="0"/>
    <x v="0"/>
    <x v="0"/>
  </r>
  <r>
    <s v="20600599829"/>
    <x v="17"/>
    <x v="17"/>
    <x v="2361"/>
    <x v="2369"/>
    <x v="2056"/>
    <n v="2"/>
    <x v="11"/>
    <s v="PV-10"/>
    <s v="Av. Angamos Este 228"/>
    <x v="319"/>
    <x v="0"/>
    <x v="2"/>
    <x v="1"/>
    <x v="49"/>
    <x v="2"/>
    <n v="4"/>
    <n v="5"/>
    <x v="0"/>
    <x v="0"/>
    <n v="4.7619047619047616E-2"/>
    <x v="27"/>
    <x v="3"/>
    <s v="OK"/>
    <x v="0"/>
    <s v="OK"/>
    <x v="0"/>
    <x v="0"/>
    <n v="1"/>
    <n v="0"/>
    <n v="0"/>
    <n v="1"/>
    <x v="0"/>
    <x v="1"/>
    <x v="0"/>
  </r>
  <r>
    <n v="20601119707"/>
    <x v="57"/>
    <x v="42"/>
    <x v="2362"/>
    <x v="2370"/>
    <x v="2057"/>
    <n v="1"/>
    <x v="17"/>
    <s v="OSV-07-24-003_MASTER_PLAN_SERVICIO DE DESMONTAJE, TRANSPORTE Y MONTAJE DE MODULOS DE OFICINAS, COMEDOR Y VESTUARIOS E-04 “INSURGENTES"/>
    <s v="Psj. Santa anita Mz A Lt 25 Asent. H Santa Anita"/>
    <x v="38"/>
    <x v="0"/>
    <x v="0"/>
    <x v="2"/>
    <x v="52"/>
    <x v="0"/>
    <n v="1"/>
    <n v="176"/>
    <x v="0"/>
    <x v="1"/>
    <n v="9.0909090909090912E-2"/>
    <x v="27"/>
    <x v="3"/>
    <s v="OK"/>
    <x v="0"/>
    <s v="OK"/>
    <x v="0"/>
    <x v="0"/>
    <n v="1"/>
    <n v="0"/>
    <n v="0"/>
    <n v="0"/>
    <x v="0"/>
    <x v="0"/>
    <x v="0"/>
  </r>
  <r>
    <s v="20523802861"/>
    <x v="18"/>
    <x v="18"/>
    <x v="2363"/>
    <x v="2371"/>
    <x v="2058"/>
    <n v="2"/>
    <x v="2"/>
    <s v="E09"/>
    <s v="CALLE CHACO 2528 URB. PERU "/>
    <x v="75"/>
    <x v="0"/>
    <x v="0"/>
    <x v="1"/>
    <x v="431"/>
    <x v="0"/>
    <n v="4"/>
    <n v="216"/>
    <x v="0"/>
    <x v="1"/>
    <n v="8.9285714285714281E-3"/>
    <x v="25"/>
    <x v="3"/>
    <s v="OK"/>
    <x v="0"/>
    <s v="OK"/>
    <x v="0"/>
    <x v="0"/>
    <n v="1"/>
    <n v="0"/>
    <n v="0"/>
    <n v="0"/>
    <x v="0"/>
    <x v="0"/>
    <x v="0"/>
  </r>
  <r>
    <s v="20523802861"/>
    <x v="18"/>
    <x v="18"/>
    <x v="2364"/>
    <x v="2372"/>
    <x v="2059"/>
    <n v="2"/>
    <x v="111"/>
    <s v="E05"/>
    <s v="AV. PUNO 2768 LA LIBERTAD "/>
    <x v="0"/>
    <x v="0"/>
    <x v="6"/>
    <x v="1"/>
    <x v="140"/>
    <x v="0"/>
    <n v="4"/>
    <n v="104"/>
    <x v="0"/>
    <x v="1"/>
    <n v="8.9285714285714281E-3"/>
    <x v="26"/>
    <x v="3"/>
    <s v="OK"/>
    <x v="0"/>
    <s v="OK"/>
    <x v="0"/>
    <x v="0"/>
    <n v="1"/>
    <n v="0"/>
    <n v="0"/>
    <n v="0"/>
    <x v="0"/>
    <x v="0"/>
    <x v="0"/>
  </r>
  <r>
    <s v="20523802861"/>
    <x v="18"/>
    <x v="18"/>
    <x v="2365"/>
    <x v="2373"/>
    <x v="2060"/>
    <n v="2"/>
    <x v="11"/>
    <s v="E18"/>
    <s v="MZ. O LT. 1B EB URB. CAMPOY"/>
    <x v="76"/>
    <x v="0"/>
    <x v="6"/>
    <x v="1"/>
    <x v="106"/>
    <x v="0"/>
    <n v="4"/>
    <n v="182"/>
    <x v="0"/>
    <x v="1"/>
    <n v="8.9285714285714281E-3"/>
    <x v="27"/>
    <x v="3"/>
    <s v="OK"/>
    <x v="0"/>
    <s v="OK"/>
    <x v="0"/>
    <x v="0"/>
    <n v="1"/>
    <n v="0"/>
    <n v="0"/>
    <n v="0"/>
    <x v="0"/>
    <x v="0"/>
    <x v="0"/>
  </r>
  <r>
    <s v="20523802861"/>
    <x v="18"/>
    <x v="18"/>
    <x v="2366"/>
    <x v="2374"/>
    <x v="2061"/>
    <n v="2"/>
    <x v="11"/>
    <s v="E16"/>
    <s v="AAHH 9 DE OCTUBRE MZ N LT 5"/>
    <x v="320"/>
    <x v="0"/>
    <x v="6"/>
    <x v="1"/>
    <x v="52"/>
    <x v="0"/>
    <n v="4"/>
    <n v="216"/>
    <x v="0"/>
    <x v="1"/>
    <n v="8.9285714285714281E-3"/>
    <x v="26"/>
    <x v="3"/>
    <s v="OK"/>
    <x v="0"/>
    <s v="OK"/>
    <x v="0"/>
    <x v="0"/>
    <n v="1"/>
    <n v="0"/>
    <n v="0"/>
    <n v="0"/>
    <x v="0"/>
    <x v="0"/>
    <x v="0"/>
  </r>
  <r>
    <s v="20523802861"/>
    <x v="18"/>
    <x v="18"/>
    <x v="2367"/>
    <x v="2375"/>
    <x v="2062"/>
    <n v="2"/>
    <x v="5"/>
    <s v="E16"/>
    <s v="MZ. E7 LT 36 CMTE 09 AAHH VIRGEN DE LOURDES"/>
    <x v="72"/>
    <x v="0"/>
    <x v="6"/>
    <x v="1"/>
    <x v="271"/>
    <x v="0"/>
    <n v="4"/>
    <n v="216"/>
    <x v="0"/>
    <x v="1"/>
    <n v="8.9285714285714281E-3"/>
    <x v="26"/>
    <x v="3"/>
    <s v="OK"/>
    <x v="0"/>
    <s v="OK"/>
    <x v="0"/>
    <x v="0"/>
    <n v="1"/>
    <n v="0"/>
    <n v="0"/>
    <n v="0"/>
    <x v="0"/>
    <x v="0"/>
    <x v="0"/>
  </r>
  <r>
    <s v="20523802861"/>
    <x v="18"/>
    <x v="18"/>
    <x v="2368"/>
    <x v="2376"/>
    <x v="2063"/>
    <n v="2"/>
    <x v="199"/>
    <s v="E18"/>
    <s v="SECTOR 2 GRUPO 25 MZ F LT 10"/>
    <x v="164"/>
    <x v="0"/>
    <x v="6"/>
    <x v="1"/>
    <x v="100"/>
    <x v="0"/>
    <n v="4"/>
    <n v="160"/>
    <x v="0"/>
    <x v="1"/>
    <n v="8.9285714285714281E-3"/>
    <x v="23"/>
    <x v="3"/>
    <s v="OK"/>
    <x v="0"/>
    <s v="OK"/>
    <x v="0"/>
    <x v="0"/>
    <n v="1"/>
    <n v="0"/>
    <n v="1"/>
    <n v="0"/>
    <x v="0"/>
    <x v="0"/>
    <x v="1"/>
  </r>
  <r>
    <s v="20523802861"/>
    <x v="18"/>
    <x v="18"/>
    <x v="2369"/>
    <x v="2377"/>
    <x v="2064"/>
    <n v="2"/>
    <x v="26"/>
    <s v="E05"/>
    <s v="SECTOR 1 GRUPO 21 MZ F LOTE 07"/>
    <x v="321"/>
    <x v="0"/>
    <x v="6"/>
    <x v="1"/>
    <x v="25"/>
    <x v="0"/>
    <n v="4"/>
    <n v="216"/>
    <x v="0"/>
    <x v="1"/>
    <n v="8.9285714285714281E-3"/>
    <x v="28"/>
    <x v="3"/>
    <s v="OK"/>
    <x v="0"/>
    <s v="OK"/>
    <x v="0"/>
    <x v="0"/>
    <n v="1"/>
    <n v="0"/>
    <n v="0"/>
    <n v="0"/>
    <x v="0"/>
    <x v="0"/>
    <x v="0"/>
  </r>
  <r>
    <s v="20523802861"/>
    <x v="18"/>
    <x v="18"/>
    <x v="2370"/>
    <x v="2378"/>
    <x v="2065"/>
    <n v="2"/>
    <x v="26"/>
    <s v="E15"/>
    <s v="ASENT. H. PROGRAMA MUN DE VIV UNICA MZ S LT 7"/>
    <x v="322"/>
    <x v="0"/>
    <x v="6"/>
    <x v="1"/>
    <x v="132"/>
    <x v="0"/>
    <n v="4"/>
    <n v="96"/>
    <x v="0"/>
    <x v="1"/>
    <n v="8.9285714285714281E-3"/>
    <x v="24"/>
    <x v="3"/>
    <s v="OK"/>
    <x v="0"/>
    <s v="OK"/>
    <x v="0"/>
    <x v="0"/>
    <n v="1"/>
    <n v="0"/>
    <n v="0"/>
    <n v="0"/>
    <x v="0"/>
    <x v="0"/>
    <x v="0"/>
  </r>
  <r>
    <s v="20523802861"/>
    <x v="18"/>
    <x v="18"/>
    <x v="2371"/>
    <x v="2379"/>
    <x v="2066"/>
    <n v="2"/>
    <x v="343"/>
    <s v="E18"/>
    <s v="ASENT. H. LUIS PARDO MZ B LT 12"/>
    <x v="10"/>
    <x v="0"/>
    <x v="6"/>
    <x v="1"/>
    <x v="16"/>
    <x v="0"/>
    <n v="4"/>
    <n v="160"/>
    <x v="0"/>
    <x v="1"/>
    <n v="8.9285714285714281E-3"/>
    <x v="23"/>
    <x v="3"/>
    <s v="OK"/>
    <x v="0"/>
    <s v="OK"/>
    <x v="0"/>
    <x v="0"/>
    <n v="1"/>
    <n v="0"/>
    <n v="0"/>
    <n v="0"/>
    <x v="0"/>
    <x v="0"/>
    <x v="0"/>
  </r>
  <r>
    <s v="20523802861"/>
    <x v="18"/>
    <x v="18"/>
    <x v="2372"/>
    <x v="2380"/>
    <x v="2067"/>
    <n v="2"/>
    <x v="11"/>
    <s v="E18"/>
    <s v="SECTOR 1 GRUPO 23 MZ D LOTE 1"/>
    <x v="19"/>
    <x v="0"/>
    <x v="6"/>
    <x v="1"/>
    <x v="148"/>
    <x v="0"/>
    <n v="4"/>
    <n v="184"/>
    <x v="0"/>
    <x v="1"/>
    <n v="8.9285714285714281E-3"/>
    <x v="23"/>
    <x v="3"/>
    <s v="OK"/>
    <x v="0"/>
    <s v="OK"/>
    <x v="0"/>
    <x v="0"/>
    <n v="1"/>
    <n v="0"/>
    <n v="0"/>
    <n v="0"/>
    <x v="0"/>
    <x v="0"/>
    <x v="0"/>
  </r>
  <r>
    <s v="20523802861"/>
    <x v="18"/>
    <x v="18"/>
    <x v="2373"/>
    <x v="2381"/>
    <x v="2068"/>
    <n v="2"/>
    <x v="2"/>
    <s v="E11"/>
    <s v="JR. POMABAMBA 119"/>
    <x v="5"/>
    <x v="0"/>
    <x v="6"/>
    <x v="1"/>
    <x v="25"/>
    <x v="0"/>
    <n v="4"/>
    <n v="216"/>
    <x v="0"/>
    <x v="1"/>
    <n v="8.9285714285714281E-3"/>
    <x v="27"/>
    <x v="3"/>
    <s v="OK"/>
    <x v="3"/>
    <s v="OK"/>
    <x v="0"/>
    <x v="0"/>
    <n v="1"/>
    <n v="1"/>
    <n v="0"/>
    <n v="0"/>
    <x v="0"/>
    <x v="0"/>
    <x v="0"/>
  </r>
  <r>
    <s v="20523802861"/>
    <x v="18"/>
    <x v="18"/>
    <x v="2374"/>
    <x v="2382"/>
    <x v="2069"/>
    <n v="2"/>
    <x v="59"/>
    <s v="E18"/>
    <s v="JR. LAS GAVIOTAS MZ. A2 LT. 14 URB. SAGITARIO"/>
    <x v="14"/>
    <x v="0"/>
    <x v="6"/>
    <x v="1"/>
    <x v="114"/>
    <x v="0"/>
    <n v="4"/>
    <n v="208"/>
    <x v="0"/>
    <x v="1"/>
    <n v="8.9285714285714281E-3"/>
    <x v="30"/>
    <x v="3"/>
    <s v="OK"/>
    <x v="0"/>
    <s v="OK"/>
    <x v="0"/>
    <x v="0"/>
    <n v="1"/>
    <n v="0"/>
    <n v="0"/>
    <n v="0"/>
    <x v="0"/>
    <x v="0"/>
    <x v="0"/>
  </r>
  <r>
    <s v="20523802861"/>
    <x v="18"/>
    <x v="18"/>
    <x v="2375"/>
    <x v="2383"/>
    <x v="2070"/>
    <n v="1"/>
    <x v="60"/>
    <s v="PV11"/>
    <s v="PASO DE LOS ANDES 166 MARANGA"/>
    <x v="28"/>
    <x v="0"/>
    <x v="6"/>
    <x v="1"/>
    <x v="185"/>
    <x v="0"/>
    <n v="1"/>
    <n v="216"/>
    <x v="0"/>
    <x v="1"/>
    <n v="8.9285714285714281E-3"/>
    <x v="28"/>
    <x v="3"/>
    <s v="OK"/>
    <x v="0"/>
    <s v="OK"/>
    <x v="0"/>
    <x v="0"/>
    <n v="1"/>
    <n v="0"/>
    <n v="0"/>
    <n v="0"/>
    <x v="0"/>
    <x v="0"/>
    <x v="0"/>
  </r>
  <r>
    <s v="20523802861"/>
    <x v="18"/>
    <x v="18"/>
    <x v="2376"/>
    <x v="2384"/>
    <x v="2071"/>
    <n v="2"/>
    <x v="118"/>
    <s v="E16"/>
    <s v="ASENT H LAS FLORES MZ 85 B LT1"/>
    <x v="54"/>
    <x v="0"/>
    <x v="6"/>
    <x v="1"/>
    <x v="66"/>
    <x v="0"/>
    <n v="4"/>
    <n v="8"/>
    <x v="0"/>
    <x v="1"/>
    <n v="8.9285714285714281E-3"/>
    <x v="28"/>
    <x v="3"/>
    <s v="OK"/>
    <x v="0"/>
    <s v="OK"/>
    <x v="0"/>
    <x v="0"/>
    <n v="1"/>
    <n v="0"/>
    <n v="1"/>
    <n v="0"/>
    <x v="0"/>
    <x v="0"/>
    <x v="1"/>
  </r>
  <r>
    <s v="20523802861"/>
    <x v="18"/>
    <x v="18"/>
    <x v="2377"/>
    <x v="2385"/>
    <x v="2072"/>
    <n v="2"/>
    <x v="2"/>
    <s v="E17"/>
    <s v="PSJ. ALFONSO UGARTE 103"/>
    <x v="46"/>
    <x v="0"/>
    <x v="6"/>
    <x v="1"/>
    <x v="112"/>
    <x v="0"/>
    <n v="4"/>
    <n v="216"/>
    <x v="0"/>
    <x v="1"/>
    <n v="8.9285714285714281E-3"/>
    <x v="24"/>
    <x v="3"/>
    <s v="OK"/>
    <x v="7"/>
    <s v="OK"/>
    <x v="0"/>
    <x v="0"/>
    <n v="1"/>
    <n v="1"/>
    <n v="0"/>
    <n v="0"/>
    <x v="0"/>
    <x v="0"/>
    <x v="0"/>
  </r>
  <r>
    <n v="20451703901"/>
    <x v="19"/>
    <x v="19"/>
    <x v="2378"/>
    <x v="2386"/>
    <x v="2073"/>
    <n v="2"/>
    <x v="11"/>
    <s v="ESTACIÓN 8 - ELIO"/>
    <s v="PARQUE LA FLORIDA 106"/>
    <x v="118"/>
    <x v="0"/>
    <x v="0"/>
    <x v="1"/>
    <x v="56"/>
    <x v="0"/>
    <n v="4"/>
    <n v="200"/>
    <x v="0"/>
    <x v="1"/>
    <n v="5.4644808743169399E-3"/>
    <x v="23"/>
    <x v="3"/>
    <s v="OK"/>
    <x v="0"/>
    <s v="OK"/>
    <x v="0"/>
    <x v="0"/>
    <n v="1"/>
    <n v="0"/>
    <n v="0"/>
    <n v="0"/>
    <x v="0"/>
    <x v="0"/>
    <x v="0"/>
  </r>
  <r>
    <n v="20451703901"/>
    <x v="19"/>
    <x v="19"/>
    <x v="2379"/>
    <x v="2387"/>
    <x v="2074"/>
    <n v="1"/>
    <x v="344"/>
    <s v="ESTACIÓN 06"/>
    <s v="URB EL ASESOR2 MZ C LT26 "/>
    <x v="27"/>
    <x v="0"/>
    <x v="0"/>
    <x v="1"/>
    <x v="635"/>
    <x v="0"/>
    <n v="1"/>
    <n v="196"/>
    <x v="0"/>
    <x v="1"/>
    <n v="5.4644808743169399E-3"/>
    <x v="31"/>
    <x v="3"/>
    <s v="OK"/>
    <x v="5"/>
    <s v="OK"/>
    <x v="0"/>
    <x v="0"/>
    <n v="1"/>
    <n v="1"/>
    <n v="0"/>
    <n v="0"/>
    <x v="0"/>
    <x v="0"/>
    <x v="0"/>
  </r>
  <r>
    <n v="20451703903"/>
    <x v="19"/>
    <x v="19"/>
    <x v="2380"/>
    <x v="2388"/>
    <x v="2075"/>
    <n v="2"/>
    <x v="345"/>
    <s v="ESTACIÓN 8 - ELIO"/>
    <s v="MZ11 LT 25 LAS VEGAS "/>
    <x v="27"/>
    <x v="0"/>
    <x v="0"/>
    <x v="1"/>
    <x v="635"/>
    <x v="0"/>
    <n v="4"/>
    <n v="220"/>
    <x v="0"/>
    <x v="1"/>
    <n v="5.4644808743169399E-3"/>
    <x v="23"/>
    <x v="3"/>
    <s v="OK"/>
    <x v="5"/>
    <s v="OK"/>
    <x v="0"/>
    <x v="0"/>
    <n v="1"/>
    <n v="1"/>
    <n v="0"/>
    <n v="0"/>
    <x v="0"/>
    <x v="0"/>
    <x v="0"/>
  </r>
  <r>
    <n v="20451703901"/>
    <x v="19"/>
    <x v="19"/>
    <x v="2381"/>
    <x v="2389"/>
    <x v="2076"/>
    <n v="1"/>
    <x v="88"/>
    <s v="ESTACIÓN 06"/>
    <s v="ASOC. DE VIV. 13 DE NOVIEMBRE MZ B. LT. 21"/>
    <x v="1"/>
    <x v="0"/>
    <x v="0"/>
    <x v="1"/>
    <x v="279"/>
    <x v="0"/>
    <n v="1"/>
    <n v="200"/>
    <x v="0"/>
    <x v="1"/>
    <n v="5.4644808743169399E-3"/>
    <x v="30"/>
    <x v="3"/>
    <s v="OK"/>
    <x v="1"/>
    <s v="OK"/>
    <x v="0"/>
    <x v="0"/>
    <n v="1"/>
    <n v="1"/>
    <n v="0"/>
    <n v="0"/>
    <x v="0"/>
    <x v="0"/>
    <x v="0"/>
  </r>
  <r>
    <n v="20451703901"/>
    <x v="19"/>
    <x v="19"/>
    <x v="2382"/>
    <x v="2390"/>
    <x v="2077"/>
    <n v="2"/>
    <x v="11"/>
    <s v="ESTACIÓN 06"/>
    <s v="AH LA RIVERA MZ A LT 22"/>
    <x v="54"/>
    <x v="0"/>
    <x v="0"/>
    <x v="1"/>
    <x v="635"/>
    <x v="0"/>
    <n v="4"/>
    <n v="216"/>
    <x v="0"/>
    <x v="1"/>
    <n v="5.4644808743169399E-3"/>
    <x v="28"/>
    <x v="3"/>
    <s v="OK"/>
    <x v="0"/>
    <s v="OK"/>
    <x v="0"/>
    <x v="0"/>
    <n v="1"/>
    <n v="0"/>
    <n v="0"/>
    <n v="0"/>
    <x v="0"/>
    <x v="0"/>
    <x v="0"/>
  </r>
  <r>
    <n v="20451703901"/>
    <x v="19"/>
    <x v="19"/>
    <x v="2383"/>
    <x v="2391"/>
    <x v="2078"/>
    <n v="2"/>
    <x v="2"/>
    <s v="ESTACIÓN 06"/>
    <s v="ASENT.H. ALBERTO SECADA PSJ. VIOLETA MZ. G LT. 5"/>
    <x v="6"/>
    <x v="0"/>
    <x v="0"/>
    <x v="1"/>
    <x v="287"/>
    <x v="0"/>
    <n v="4"/>
    <n v="216"/>
    <x v="0"/>
    <x v="1"/>
    <n v="5.4644808743169399E-3"/>
    <x v="23"/>
    <x v="3"/>
    <s v="OK"/>
    <x v="2"/>
    <s v="OK"/>
    <x v="0"/>
    <x v="0"/>
    <n v="1"/>
    <n v="1"/>
    <n v="0"/>
    <n v="0"/>
    <x v="0"/>
    <x v="0"/>
    <x v="0"/>
  </r>
  <r>
    <n v="20451703903"/>
    <x v="19"/>
    <x v="19"/>
    <x v="2384"/>
    <x v="2392"/>
    <x v="2079"/>
    <n v="2"/>
    <x v="2"/>
    <s v="ESTACIÓN 8 - ELIO"/>
    <s v="UNIDAD VECINAL 3 BLOCK 3-3X"/>
    <x v="10"/>
    <x v="0"/>
    <x v="0"/>
    <x v="1"/>
    <x v="285"/>
    <x v="0"/>
    <n v="4"/>
    <n v="200"/>
    <x v="0"/>
    <x v="1"/>
    <n v="5.4644808743169399E-3"/>
    <x v="27"/>
    <x v="3"/>
    <s v="OK"/>
    <x v="0"/>
    <s v="OK"/>
    <x v="0"/>
    <x v="0"/>
    <n v="1"/>
    <n v="0"/>
    <n v="0"/>
    <n v="0"/>
    <x v="0"/>
    <x v="0"/>
    <x v="0"/>
  </r>
  <r>
    <n v="20451703903"/>
    <x v="19"/>
    <x v="19"/>
    <x v="2385"/>
    <x v="2393"/>
    <x v="1820"/>
    <n v="2"/>
    <x v="256"/>
    <s v="ESTACIÓN 8 - ELIO"/>
    <s v="MZ K-16 LT 20 AH ESMERALDA DE LOS ANDES"/>
    <x v="15"/>
    <x v="0"/>
    <x v="0"/>
    <x v="1"/>
    <x v="290"/>
    <x v="0"/>
    <n v="4"/>
    <n v="225"/>
    <x v="0"/>
    <x v="1"/>
    <n v="5.4644808743169399E-3"/>
    <x v="24"/>
    <x v="3"/>
    <s v="OK"/>
    <x v="0"/>
    <s v="OK"/>
    <x v="0"/>
    <x v="0"/>
    <n v="1"/>
    <n v="0"/>
    <n v="0"/>
    <n v="0"/>
    <x v="0"/>
    <x v="0"/>
    <x v="0"/>
  </r>
  <r>
    <n v="20451703903"/>
    <x v="19"/>
    <x v="19"/>
    <x v="2386"/>
    <x v="2394"/>
    <x v="1919"/>
    <n v="2"/>
    <x v="67"/>
    <s v="ESTACIÓN 8 - ELIO"/>
    <s v="AV SAN MARTIN MZ 19 LT22"/>
    <x v="38"/>
    <x v="0"/>
    <x v="29"/>
    <x v="1"/>
    <x v="277"/>
    <x v="2"/>
    <n v="4"/>
    <n v="200"/>
    <x v="0"/>
    <x v="1"/>
    <n v="5.4644808743169399E-3"/>
    <x v="26"/>
    <x v="3"/>
    <s v="OK"/>
    <x v="0"/>
    <s v="OK"/>
    <x v="0"/>
    <x v="0"/>
    <n v="1"/>
    <n v="0"/>
    <n v="0"/>
    <n v="1"/>
    <x v="0"/>
    <x v="1"/>
    <x v="0"/>
  </r>
  <r>
    <n v="20451703901"/>
    <x v="19"/>
    <x v="19"/>
    <x v="2387"/>
    <x v="2395"/>
    <x v="2080"/>
    <n v="2"/>
    <x v="11"/>
    <s v="ESTACIÓN 06"/>
    <s v="MZ C LT 16"/>
    <x v="19"/>
    <x v="0"/>
    <x v="29"/>
    <x v="1"/>
    <x v="278"/>
    <x v="2"/>
    <n v="4"/>
    <n v="202"/>
    <x v="0"/>
    <x v="1"/>
    <n v="5.4644808743169399E-3"/>
    <x v="28"/>
    <x v="3"/>
    <s v="OK"/>
    <x v="0"/>
    <s v="OK"/>
    <x v="0"/>
    <x v="0"/>
    <n v="1"/>
    <n v="0"/>
    <n v="0"/>
    <n v="1"/>
    <x v="0"/>
    <x v="1"/>
    <x v="0"/>
  </r>
  <r>
    <n v="20451703901"/>
    <x v="19"/>
    <x v="19"/>
    <x v="2388"/>
    <x v="2396"/>
    <x v="2081"/>
    <n v="2"/>
    <x v="18"/>
    <s v="ESTACIÓN 8 - ELIO"/>
    <s v="AH SAN PEDRO MZ C LT 02"/>
    <x v="1"/>
    <x v="0"/>
    <x v="0"/>
    <x v="1"/>
    <x v="681"/>
    <x v="0"/>
    <n v="4"/>
    <n v="229"/>
    <x v="0"/>
    <x v="1"/>
    <n v="5.4644808743169399E-3"/>
    <x v="28"/>
    <x v="3"/>
    <s v="OK"/>
    <x v="1"/>
    <s v="OK"/>
    <x v="0"/>
    <x v="0"/>
    <n v="1"/>
    <n v="1"/>
    <n v="0"/>
    <n v="0"/>
    <x v="0"/>
    <x v="0"/>
    <x v="0"/>
  </r>
  <r>
    <n v="20451703908"/>
    <x v="19"/>
    <x v="19"/>
    <x v="2389"/>
    <x v="2397"/>
    <x v="2082"/>
    <n v="2"/>
    <x v="11"/>
    <s v="ESTACIÓN 8 - ELIO"/>
    <s v="AV. LOS JAZMINES MZ. A LT. 4"/>
    <x v="49"/>
    <x v="0"/>
    <x v="0"/>
    <x v="3"/>
    <x v="56"/>
    <x v="0"/>
    <n v="4"/>
    <n v="219"/>
    <x v="0"/>
    <x v="1"/>
    <n v="5.4644808743169399E-3"/>
    <x v="31"/>
    <x v="3"/>
    <s v="OK"/>
    <x v="0"/>
    <s v="OK"/>
    <x v="0"/>
    <x v="0"/>
    <n v="1"/>
    <n v="0"/>
    <n v="0"/>
    <n v="0"/>
    <x v="0"/>
    <x v="0"/>
    <x v="0"/>
  </r>
  <r>
    <n v="20451703903"/>
    <x v="19"/>
    <x v="19"/>
    <x v="2390"/>
    <x v="2398"/>
    <x v="2083"/>
    <n v="2"/>
    <x v="2"/>
    <s v="ESTACIÓN 8 - ELIO"/>
    <s v="Av. CIRCUMVALACIÓN MZ G LT 14 A.H. CIUDAD DE LOS CONSTRUCORES MARISCAL CACERES"/>
    <x v="15"/>
    <x v="0"/>
    <x v="7"/>
    <x v="1"/>
    <x v="426"/>
    <x v="2"/>
    <n v="4"/>
    <n v="100"/>
    <x v="0"/>
    <x v="1"/>
    <n v="5.4644808743169399E-3"/>
    <x v="24"/>
    <x v="3"/>
    <s v="OK"/>
    <x v="0"/>
    <s v="OK"/>
    <x v="0"/>
    <x v="0"/>
    <n v="1"/>
    <n v="0"/>
    <n v="0"/>
    <n v="1"/>
    <x v="0"/>
    <x v="1"/>
    <x v="0"/>
  </r>
  <r>
    <n v="20451703901"/>
    <x v="19"/>
    <x v="19"/>
    <x v="2391"/>
    <x v="2399"/>
    <x v="2084"/>
    <n v="2"/>
    <x v="67"/>
    <s v="ESTACIÓN 8 - ELIO"/>
    <s v="MZ. C LT. 5 AH SEÑOR DE LOS MILAGROS DEL PARAISO"/>
    <x v="8"/>
    <x v="0"/>
    <x v="0"/>
    <x v="1"/>
    <x v="57"/>
    <x v="0"/>
    <n v="4"/>
    <n v="220"/>
    <x v="0"/>
    <x v="1"/>
    <n v="5.4644808743169399E-3"/>
    <x v="28"/>
    <x v="3"/>
    <s v="OK"/>
    <x v="0"/>
    <s v="OK"/>
    <x v="0"/>
    <x v="0"/>
    <n v="1"/>
    <n v="0"/>
    <n v="0"/>
    <n v="0"/>
    <x v="0"/>
    <x v="0"/>
    <x v="0"/>
  </r>
  <r>
    <n v="20451703903"/>
    <x v="19"/>
    <x v="19"/>
    <x v="2392"/>
    <x v="2400"/>
    <x v="2085"/>
    <n v="2"/>
    <x v="11"/>
    <s v="ESTACIÓN 8 - ELIO"/>
    <s v="CALLE LOS TULIPANES AH HIJOS DE CONSTRUCTORES MZ F1 LT 2"/>
    <x v="47"/>
    <x v="0"/>
    <x v="0"/>
    <x v="1"/>
    <x v="179"/>
    <x v="0"/>
    <n v="4"/>
    <n v="220"/>
    <x v="0"/>
    <x v="1"/>
    <n v="5.4644808743169399E-3"/>
    <x v="24"/>
    <x v="3"/>
    <s v="OK"/>
    <x v="0"/>
    <s v="OK"/>
    <x v="0"/>
    <x v="0"/>
    <n v="1"/>
    <n v="0"/>
    <n v="0"/>
    <n v="0"/>
    <x v="0"/>
    <x v="0"/>
    <x v="0"/>
  </r>
  <r>
    <n v="20451703901"/>
    <x v="19"/>
    <x v="19"/>
    <x v="2393"/>
    <x v="2401"/>
    <x v="2086"/>
    <n v="2"/>
    <x v="11"/>
    <s v="ESTACIÓN 8 - ELIO"/>
    <s v="MZ.B LT.09 ASENT.H VIRGEN DE GUADALUPE"/>
    <x v="2"/>
    <x v="0"/>
    <x v="7"/>
    <x v="1"/>
    <x v="202"/>
    <x v="2"/>
    <n v="4"/>
    <n v="100"/>
    <x v="0"/>
    <x v="1"/>
    <n v="5.4644808743169399E-3"/>
    <x v="30"/>
    <x v="3"/>
    <s v="OK"/>
    <x v="2"/>
    <s v="OK"/>
    <x v="0"/>
    <x v="0"/>
    <n v="1"/>
    <n v="1"/>
    <n v="0"/>
    <n v="1"/>
    <x v="0"/>
    <x v="1"/>
    <x v="0"/>
  </r>
  <r>
    <n v="20451703901"/>
    <x v="19"/>
    <x v="19"/>
    <x v="2394"/>
    <x v="2402"/>
    <x v="2087"/>
    <n v="2"/>
    <x v="346"/>
    <s v="ESTACIÓN 06"/>
    <s v="MZ 7 LT 2 9 DE FEBRERO"/>
    <x v="15"/>
    <x v="0"/>
    <x v="0"/>
    <x v="1"/>
    <x v="635"/>
    <x v="0"/>
    <n v="4"/>
    <n v="202"/>
    <x v="0"/>
    <x v="1"/>
    <n v="5.4644808743169399E-3"/>
    <x v="27"/>
    <x v="3"/>
    <s v="OK"/>
    <x v="0"/>
    <s v="OK"/>
    <x v="0"/>
    <x v="0"/>
    <n v="1"/>
    <n v="0"/>
    <n v="0"/>
    <n v="0"/>
    <x v="0"/>
    <x v="0"/>
    <x v="0"/>
  </r>
  <r>
    <n v="20451703903"/>
    <x v="19"/>
    <x v="19"/>
    <x v="2395"/>
    <x v="2403"/>
    <x v="2088"/>
    <n v="2"/>
    <x v="11"/>
    <s v="ESTACIÓN 8 - ELIO"/>
    <s v="CALLE JUAN VELASCO AH LEONCIO PRADO"/>
    <x v="323"/>
    <x v="0"/>
    <x v="7"/>
    <x v="1"/>
    <x v="284"/>
    <x v="2"/>
    <n v="4"/>
    <n v="100"/>
    <x v="0"/>
    <x v="1"/>
    <n v="5.4644808743169399E-3"/>
    <x v="27"/>
    <x v="3"/>
    <s v="OK"/>
    <x v="0"/>
    <s v="OK"/>
    <x v="0"/>
    <x v="0"/>
    <n v="1"/>
    <n v="0"/>
    <n v="0"/>
    <n v="1"/>
    <x v="0"/>
    <x v="1"/>
    <x v="0"/>
  </r>
  <r>
    <n v="20451703901"/>
    <x v="19"/>
    <x v="19"/>
    <x v="2396"/>
    <x v="2404"/>
    <x v="2089"/>
    <n v="2"/>
    <x v="11"/>
    <s v="ESTACIÓN 06"/>
    <s v="PSJ. LOS ROBLES BLOCK D1 DPTO. 303"/>
    <x v="4"/>
    <x v="0"/>
    <x v="5"/>
    <x v="1"/>
    <x v="528"/>
    <x v="2"/>
    <n v="4"/>
    <n v="149.5"/>
    <x v="0"/>
    <x v="1"/>
    <n v="5.4644808743169399E-3"/>
    <x v="26"/>
    <x v="3"/>
    <s v="OK"/>
    <x v="0"/>
    <s v="OK"/>
    <x v="0"/>
    <x v="0"/>
    <n v="1"/>
    <n v="0"/>
    <n v="0"/>
    <n v="1"/>
    <x v="0"/>
    <x v="1"/>
    <x v="0"/>
  </r>
  <r>
    <n v="20451703901"/>
    <x v="19"/>
    <x v="19"/>
    <x v="2397"/>
    <x v="2405"/>
    <x v="2090"/>
    <n v="2"/>
    <x v="11"/>
    <s v="ESTACIÓN 06"/>
    <s v="AV. LOS PROCERES DE LA INDEPENDENCIA S17 45 URB. MRCAL CACERES"/>
    <x v="15"/>
    <x v="0"/>
    <x v="0"/>
    <x v="1"/>
    <x v="276"/>
    <x v="0"/>
    <n v="4"/>
    <n v="216"/>
    <x v="0"/>
    <x v="1"/>
    <n v="5.4644808743169399E-3"/>
    <x v="28"/>
    <x v="3"/>
    <s v="OK"/>
    <x v="0"/>
    <s v="OK"/>
    <x v="0"/>
    <x v="0"/>
    <n v="1"/>
    <n v="0"/>
    <n v="0"/>
    <n v="0"/>
    <x v="0"/>
    <x v="0"/>
    <x v="0"/>
  </r>
  <r>
    <n v="20451703901"/>
    <x v="19"/>
    <x v="19"/>
    <x v="2398"/>
    <x v="2406"/>
    <x v="2091"/>
    <n v="2"/>
    <x v="4"/>
    <s v="ESTACIÓN 06"/>
    <s v="AH 9 DE FEBRERO MZ 22 LT 05"/>
    <x v="15"/>
    <x v="0"/>
    <x v="0"/>
    <x v="1"/>
    <x v="440"/>
    <x v="0"/>
    <n v="4"/>
    <n v="216"/>
    <x v="0"/>
    <x v="1"/>
    <n v="5.4644808743169399E-3"/>
    <x v="28"/>
    <x v="3"/>
    <s v="OK"/>
    <x v="0"/>
    <s v="OK"/>
    <x v="0"/>
    <x v="0"/>
    <n v="1"/>
    <n v="0"/>
    <n v="0"/>
    <n v="0"/>
    <x v="0"/>
    <x v="0"/>
    <x v="0"/>
  </r>
  <r>
    <n v="20451703901"/>
    <x v="19"/>
    <x v="19"/>
    <x v="2399"/>
    <x v="2407"/>
    <x v="2092"/>
    <n v="2"/>
    <x v="67"/>
    <s v="ESTACIÓN 06"/>
    <s v="CALLE 115 C.P. RINCONADA ALTA MZ. T8 LT. 16"/>
    <x v="58"/>
    <x v="0"/>
    <x v="5"/>
    <x v="1"/>
    <x v="191"/>
    <x v="2"/>
    <n v="4"/>
    <n v="142.5"/>
    <x v="0"/>
    <x v="1"/>
    <n v="5.4644808743169399E-3"/>
    <x v="26"/>
    <x v="3"/>
    <s v="OK"/>
    <x v="0"/>
    <s v="OK"/>
    <x v="0"/>
    <x v="0"/>
    <n v="1"/>
    <n v="0"/>
    <n v="0"/>
    <n v="1"/>
    <x v="0"/>
    <x v="1"/>
    <x v="0"/>
  </r>
  <r>
    <n v="20451703903"/>
    <x v="19"/>
    <x v="19"/>
    <x v="2400"/>
    <x v="2408"/>
    <x v="2093"/>
    <n v="2"/>
    <x v="2"/>
    <s v="ESTACIÓN 8 - ELIO"/>
    <s v="AV. LA PAZ 1478 INT. 3"/>
    <x v="6"/>
    <x v="0"/>
    <x v="7"/>
    <x v="1"/>
    <x v="276"/>
    <x v="2"/>
    <n v="4"/>
    <n v="100"/>
    <x v="0"/>
    <x v="1"/>
    <n v="5.4644808743169399E-3"/>
    <x v="28"/>
    <x v="3"/>
    <s v="OK"/>
    <x v="2"/>
    <s v="OK"/>
    <x v="0"/>
    <x v="0"/>
    <n v="1"/>
    <n v="1"/>
    <n v="0"/>
    <n v="1"/>
    <x v="0"/>
    <x v="1"/>
    <x v="0"/>
  </r>
  <r>
    <n v="20451703901"/>
    <x v="19"/>
    <x v="19"/>
    <x v="1526"/>
    <x v="2409"/>
    <x v="1949"/>
    <n v="2"/>
    <x v="11"/>
    <s v="ESTACIÓN 06"/>
    <s v="AH BOCANEGRA MZ A5 LT 2"/>
    <x v="6"/>
    <x v="0"/>
    <x v="0"/>
    <x v="1"/>
    <x v="440"/>
    <x v="0"/>
    <n v="4"/>
    <n v="216"/>
    <x v="0"/>
    <x v="1"/>
    <n v="5.4644808743169399E-3"/>
    <x v="26"/>
    <x v="3"/>
    <s v="OK"/>
    <x v="2"/>
    <s v="OK"/>
    <x v="0"/>
    <x v="0"/>
    <n v="1"/>
    <n v="1"/>
    <n v="0"/>
    <n v="0"/>
    <x v="0"/>
    <x v="0"/>
    <x v="0"/>
  </r>
  <r>
    <n v="20451703901"/>
    <x v="19"/>
    <x v="19"/>
    <x v="2401"/>
    <x v="2410"/>
    <x v="2094"/>
    <n v="2"/>
    <x v="8"/>
    <s v="ESTACIÓN 8 - ELIO"/>
    <s v="CALLE JOSE BALTA 225"/>
    <x v="324"/>
    <x v="0"/>
    <x v="0"/>
    <x v="1"/>
    <x v="682"/>
    <x v="0"/>
    <n v="4"/>
    <n v="220"/>
    <x v="0"/>
    <x v="1"/>
    <n v="5.4644808743169399E-3"/>
    <x v="26"/>
    <x v="3"/>
    <s v="OK"/>
    <x v="0"/>
    <s v="OK"/>
    <x v="0"/>
    <x v="0"/>
    <n v="1"/>
    <n v="0"/>
    <n v="0"/>
    <n v="0"/>
    <x v="0"/>
    <x v="0"/>
    <x v="0"/>
  </r>
  <r>
    <n v="20451703901"/>
    <x v="19"/>
    <x v="19"/>
    <x v="2402"/>
    <x v="2411"/>
    <x v="2095"/>
    <n v="2"/>
    <x v="18"/>
    <s v="ESTACIÓN 06"/>
    <s v="MZ. A-3 LT. 1 ASENT.H. CAHUIDE"/>
    <x v="44"/>
    <x v="0"/>
    <x v="0"/>
    <x v="1"/>
    <x v="531"/>
    <x v="0"/>
    <n v="4"/>
    <n v="198"/>
    <x v="0"/>
    <x v="1"/>
    <n v="5.4644808743169399E-3"/>
    <x v="23"/>
    <x v="3"/>
    <s v="OK"/>
    <x v="0"/>
    <s v="OK"/>
    <x v="0"/>
    <x v="0"/>
    <n v="1"/>
    <n v="0"/>
    <n v="0"/>
    <n v="0"/>
    <x v="0"/>
    <x v="0"/>
    <x v="0"/>
  </r>
  <r>
    <n v="20451703901"/>
    <x v="19"/>
    <x v="19"/>
    <x v="2403"/>
    <x v="2412"/>
    <x v="1849"/>
    <n v="2"/>
    <x v="67"/>
    <s v="ESTACIÓN 06"/>
    <s v="SECTOR LAS LOMAS MZ. H LT. 2 PAMPLONA ALTA"/>
    <x v="53"/>
    <x v="0"/>
    <x v="0"/>
    <x v="1"/>
    <x v="177"/>
    <x v="0"/>
    <n v="4"/>
    <n v="216"/>
    <x v="0"/>
    <x v="1"/>
    <n v="5.4644808743169399E-3"/>
    <x v="23"/>
    <x v="3"/>
    <s v="OK"/>
    <x v="0"/>
    <s v="OK"/>
    <x v="0"/>
    <x v="0"/>
    <n v="1"/>
    <n v="0"/>
    <n v="0"/>
    <n v="0"/>
    <x v="0"/>
    <x v="0"/>
    <x v="0"/>
  </r>
  <r>
    <n v="20451703903"/>
    <x v="19"/>
    <x v="19"/>
    <x v="2404"/>
    <x v="2413"/>
    <x v="2096"/>
    <n v="2"/>
    <x v="11"/>
    <s v="ESTACIÓN 8 - ELIO"/>
    <s v="AV. ARGENTINA S/N"/>
    <x v="261"/>
    <x v="0"/>
    <x v="0"/>
    <x v="1"/>
    <x v="114"/>
    <x v="0"/>
    <n v="4"/>
    <n v="220"/>
    <x v="0"/>
    <x v="1"/>
    <n v="5.4644808743169399E-3"/>
    <x v="31"/>
    <x v="3"/>
    <s v="OK"/>
    <x v="0"/>
    <s v="OK"/>
    <x v="0"/>
    <x v="0"/>
    <n v="1"/>
    <n v="0"/>
    <n v="0"/>
    <n v="0"/>
    <x v="0"/>
    <x v="0"/>
    <x v="0"/>
  </r>
  <r>
    <n v="20451703903"/>
    <x v="19"/>
    <x v="19"/>
    <x v="2405"/>
    <x v="2414"/>
    <x v="2097"/>
    <n v="2"/>
    <x v="11"/>
    <s v="ESTACIÓN 8 - ELIO"/>
    <s v="ASENT. HUMANO UNION Y PROGRESO MZ. H LT. 07 SECTOR LOS CLAVELES"/>
    <x v="325"/>
    <x v="0"/>
    <x v="7"/>
    <x v="1"/>
    <x v="681"/>
    <x v="2"/>
    <n v="4"/>
    <n v="100"/>
    <x v="0"/>
    <x v="1"/>
    <n v="5.4644808743169399E-3"/>
    <x v="25"/>
    <x v="3"/>
    <s v="OK"/>
    <x v="0"/>
    <s v="OK"/>
    <x v="0"/>
    <x v="0"/>
    <n v="1"/>
    <n v="0"/>
    <n v="0"/>
    <n v="1"/>
    <x v="0"/>
    <x v="1"/>
    <x v="0"/>
  </r>
  <r>
    <n v="20451703903"/>
    <x v="19"/>
    <x v="19"/>
    <x v="2406"/>
    <x v="2415"/>
    <x v="2098"/>
    <n v="2"/>
    <x v="18"/>
    <s v="ESTACIÓN 8 - ELIO"/>
    <s v="ASOC. SEÑOR DE LOS MILAGROS MANZANA O LOTE 48"/>
    <x v="3"/>
    <x v="0"/>
    <x v="0"/>
    <x v="1"/>
    <x v="139"/>
    <x v="0"/>
    <n v="4"/>
    <n v="210"/>
    <x v="0"/>
    <x v="1"/>
    <n v="5.4644808743169399E-3"/>
    <x v="28"/>
    <x v="3"/>
    <s v="OK"/>
    <x v="0"/>
    <s v="OK"/>
    <x v="0"/>
    <x v="0"/>
    <n v="1"/>
    <n v="0"/>
    <n v="0"/>
    <n v="0"/>
    <x v="0"/>
    <x v="0"/>
    <x v="0"/>
  </r>
  <r>
    <n v="20451703901"/>
    <x v="19"/>
    <x v="19"/>
    <x v="2407"/>
    <x v="2416"/>
    <x v="2099"/>
    <n v="2"/>
    <x v="11"/>
    <s v="ESTACIÓN 06"/>
    <s v="PROG. DE VIV. MONTE AZUL MZ C LT. 19 ETAPA II"/>
    <x v="3"/>
    <x v="0"/>
    <x v="0"/>
    <x v="1"/>
    <x v="683"/>
    <x v="0"/>
    <n v="4"/>
    <n v="205"/>
    <x v="0"/>
    <x v="1"/>
    <n v="5.4644808743169399E-3"/>
    <x v="26"/>
    <x v="3"/>
    <s v="OK"/>
    <x v="0"/>
    <s v="OK"/>
    <x v="0"/>
    <x v="0"/>
    <n v="1"/>
    <n v="0"/>
    <n v="0"/>
    <n v="0"/>
    <x v="0"/>
    <x v="0"/>
    <x v="0"/>
  </r>
  <r>
    <n v="20451703901"/>
    <x v="19"/>
    <x v="19"/>
    <x v="2408"/>
    <x v="2417"/>
    <x v="2100"/>
    <n v="2"/>
    <x v="256"/>
    <s v="ESTACIÓN 06"/>
    <s v="ASOC. DE VIV. 13 DE NOVIEMBRE MZ. C LT. 3"/>
    <x v="1"/>
    <x v="0"/>
    <x v="0"/>
    <x v="1"/>
    <x v="478"/>
    <x v="0"/>
    <n v="4"/>
    <n v="215"/>
    <x v="0"/>
    <x v="1"/>
    <n v="5.4644808743169399E-3"/>
    <x v="31"/>
    <x v="3"/>
    <s v="OK"/>
    <x v="1"/>
    <s v="OK"/>
    <x v="0"/>
    <x v="0"/>
    <n v="1"/>
    <n v="1"/>
    <n v="0"/>
    <n v="0"/>
    <x v="0"/>
    <x v="0"/>
    <x v="0"/>
  </r>
  <r>
    <n v="20451703901"/>
    <x v="19"/>
    <x v="19"/>
    <x v="2409"/>
    <x v="2418"/>
    <x v="2101"/>
    <n v="2"/>
    <x v="67"/>
    <s v="ESTACIÓN 8 - ELIO"/>
    <s v="AH AMPLIACION VILLAMOTO MZ P LT 2"/>
    <x v="2"/>
    <x v="0"/>
    <x v="0"/>
    <x v="1"/>
    <x v="440"/>
    <x v="0"/>
    <n v="4"/>
    <n v="210"/>
    <x v="0"/>
    <x v="1"/>
    <n v="5.4644808743169399E-3"/>
    <x v="27"/>
    <x v="3"/>
    <s v="OK"/>
    <x v="2"/>
    <s v="OK"/>
    <x v="0"/>
    <x v="0"/>
    <n v="1"/>
    <n v="1"/>
    <n v="0"/>
    <n v="0"/>
    <x v="0"/>
    <x v="0"/>
    <x v="0"/>
  </r>
  <r>
    <n v="20451703901"/>
    <x v="19"/>
    <x v="19"/>
    <x v="2410"/>
    <x v="2419"/>
    <x v="2102"/>
    <n v="2"/>
    <x v="347"/>
    <s v="ESTACIÓN 06"/>
    <s v="JR. MOQUEGUA"/>
    <x v="145"/>
    <x v="0"/>
    <x v="0"/>
    <x v="1"/>
    <x v="82"/>
    <x v="0"/>
    <n v="4"/>
    <n v="222"/>
    <x v="0"/>
    <x v="1"/>
    <n v="5.4644808743169399E-3"/>
    <x v="26"/>
    <x v="3"/>
    <s v="OK"/>
    <x v="0"/>
    <s v="OK"/>
    <x v="0"/>
    <x v="0"/>
    <n v="1"/>
    <n v="0"/>
    <n v="0"/>
    <n v="0"/>
    <x v="0"/>
    <x v="0"/>
    <x v="0"/>
  </r>
  <r>
    <n v="20451703901"/>
    <x v="19"/>
    <x v="19"/>
    <x v="2411"/>
    <x v="2420"/>
    <x v="2103"/>
    <n v="2"/>
    <x v="67"/>
    <s v="ESTACIÓN 8 - ELIO"/>
    <s v="MZ. QB LT.24 GRUPO RES. 1 SECTOR AGRUPACION FAMILIAS UNIDAS"/>
    <x v="19"/>
    <x v="0"/>
    <x v="7"/>
    <x v="1"/>
    <x v="19"/>
    <x v="2"/>
    <n v="4"/>
    <n v="100"/>
    <x v="0"/>
    <x v="1"/>
    <n v="5.4644808743169399E-3"/>
    <x v="25"/>
    <x v="3"/>
    <s v="OK"/>
    <x v="0"/>
    <s v="OK"/>
    <x v="0"/>
    <x v="0"/>
    <n v="1"/>
    <n v="0"/>
    <n v="0"/>
    <n v="1"/>
    <x v="0"/>
    <x v="1"/>
    <x v="0"/>
  </r>
  <r>
    <n v="20451703901"/>
    <x v="19"/>
    <x v="19"/>
    <x v="2412"/>
    <x v="2421"/>
    <x v="2104"/>
    <n v="2"/>
    <x v="11"/>
    <s v="ESTACIÓN 06"/>
    <s v="COOP LA UNION MZ C LT 12"/>
    <x v="15"/>
    <x v="0"/>
    <x v="7"/>
    <x v="1"/>
    <x v="634"/>
    <x v="2"/>
    <n v="4"/>
    <n v="98.5"/>
    <x v="0"/>
    <x v="1"/>
    <n v="5.4644808743169399E-3"/>
    <x v="23"/>
    <x v="3"/>
    <s v="OK"/>
    <x v="0"/>
    <s v="OK"/>
    <x v="0"/>
    <x v="0"/>
    <n v="1"/>
    <n v="0"/>
    <n v="0"/>
    <n v="1"/>
    <x v="0"/>
    <x v="1"/>
    <x v="0"/>
  </r>
  <r>
    <n v="20451703903"/>
    <x v="19"/>
    <x v="19"/>
    <x v="2413"/>
    <x v="2422"/>
    <x v="1922"/>
    <n v="2"/>
    <x v="11"/>
    <s v="ESTACIÓN 8 - ELIO"/>
    <s v="MZ. E LT. 15 ASENT. H. 1ERO DE JUNIO"/>
    <x v="53"/>
    <x v="0"/>
    <x v="0"/>
    <x v="1"/>
    <x v="202"/>
    <x v="0"/>
    <n v="4"/>
    <n v="220"/>
    <x v="0"/>
    <x v="1"/>
    <n v="5.4644808743169399E-3"/>
    <x v="27"/>
    <x v="3"/>
    <s v="OK"/>
    <x v="0"/>
    <s v="OK"/>
    <x v="0"/>
    <x v="0"/>
    <n v="1"/>
    <n v="0"/>
    <n v="0"/>
    <n v="0"/>
    <x v="0"/>
    <x v="0"/>
    <x v="0"/>
  </r>
  <r>
    <n v="20451703901"/>
    <x v="19"/>
    <x v="19"/>
    <x v="2414"/>
    <x v="2423"/>
    <x v="2105"/>
    <n v="2"/>
    <x v="67"/>
    <s v="ESTACIÓN 8 - ELIO"/>
    <s v="ROCA FUERTE MZ. F LT. 01"/>
    <x v="15"/>
    <x v="0"/>
    <x v="0"/>
    <x v="1"/>
    <x v="262"/>
    <x v="0"/>
    <n v="4"/>
    <n v="210"/>
    <x v="0"/>
    <x v="1"/>
    <n v="5.4644808743169399E-3"/>
    <x v="26"/>
    <x v="3"/>
    <s v="OK"/>
    <x v="0"/>
    <s v="OK"/>
    <x v="0"/>
    <x v="0"/>
    <n v="1"/>
    <n v="0"/>
    <n v="0"/>
    <n v="0"/>
    <x v="0"/>
    <x v="0"/>
    <x v="0"/>
  </r>
  <r>
    <n v="20451703901"/>
    <x v="19"/>
    <x v="19"/>
    <x v="2415"/>
    <x v="2424"/>
    <x v="2106"/>
    <n v="2"/>
    <x v="67"/>
    <s v="ESTACIÓN 06"/>
    <s v="URB. SAN JUAN BAUTISTA MZ A LT 21"/>
    <x v="0"/>
    <x v="0"/>
    <x v="0"/>
    <x v="1"/>
    <x v="275"/>
    <x v="0"/>
    <n v="4"/>
    <n v="85"/>
    <x v="0"/>
    <x v="1"/>
    <n v="5.4644808743169399E-3"/>
    <x v="23"/>
    <x v="3"/>
    <s v="OK"/>
    <x v="0"/>
    <s v="OK"/>
    <x v="0"/>
    <x v="0"/>
    <n v="1"/>
    <n v="0"/>
    <n v="0"/>
    <n v="0"/>
    <x v="0"/>
    <x v="0"/>
    <x v="0"/>
  </r>
  <r>
    <n v="20451703903"/>
    <x v="19"/>
    <x v="19"/>
    <x v="2416"/>
    <x v="2425"/>
    <x v="2107"/>
    <n v="2"/>
    <x v="67"/>
    <s v="ESTACIÓN 8 - ELIO"/>
    <s v="ASOC. PROP EL ESTABLO MZ. B LT. 01"/>
    <x v="3"/>
    <x v="0"/>
    <x v="0"/>
    <x v="1"/>
    <x v="82"/>
    <x v="0"/>
    <n v="4"/>
    <n v="205"/>
    <x v="0"/>
    <x v="1"/>
    <n v="5.4644808743169399E-3"/>
    <x v="23"/>
    <x v="3"/>
    <s v="OK"/>
    <x v="0"/>
    <s v="OK"/>
    <x v="0"/>
    <x v="0"/>
    <n v="1"/>
    <n v="0"/>
    <n v="0"/>
    <n v="0"/>
    <x v="0"/>
    <x v="0"/>
    <x v="0"/>
  </r>
  <r>
    <n v="20451703901"/>
    <x v="19"/>
    <x v="19"/>
    <x v="2417"/>
    <x v="2426"/>
    <x v="2108"/>
    <n v="1"/>
    <x v="84"/>
    <s v="ESTACIÓN 06"/>
    <s v="AV. GENERAL GARZON 972 DPTO. H"/>
    <x v="51"/>
    <x v="0"/>
    <x v="28"/>
    <x v="1"/>
    <x v="304"/>
    <x v="2"/>
    <n v="1"/>
    <n v="96"/>
    <x v="0"/>
    <x v="1"/>
    <n v="5.4644808743169399E-3"/>
    <x v="25"/>
    <x v="3"/>
    <s v="OK"/>
    <x v="0"/>
    <s v="OK"/>
    <x v="0"/>
    <x v="0"/>
    <n v="1"/>
    <n v="0"/>
    <n v="0"/>
    <n v="1"/>
    <x v="0"/>
    <x v="1"/>
    <x v="0"/>
  </r>
  <r>
    <n v="20451703901"/>
    <x v="19"/>
    <x v="19"/>
    <x v="2418"/>
    <x v="2427"/>
    <x v="2109"/>
    <n v="2"/>
    <x v="285"/>
    <s v="ESTACIÓN 06"/>
    <s v="JR. LIMA CINCO ESQUINAS"/>
    <x v="80"/>
    <x v="0"/>
    <x v="0"/>
    <x v="1"/>
    <x v="290"/>
    <x v="0"/>
    <n v="4"/>
    <n v="196"/>
    <x v="0"/>
    <x v="1"/>
    <n v="5.4644808743169399E-3"/>
    <x v="30"/>
    <x v="3"/>
    <s v="OK"/>
    <x v="0"/>
    <s v="OK"/>
    <x v="0"/>
    <x v="0"/>
    <n v="1"/>
    <n v="0"/>
    <n v="0"/>
    <n v="0"/>
    <x v="0"/>
    <x v="0"/>
    <x v="0"/>
  </r>
  <r>
    <n v="20451703901"/>
    <x v="19"/>
    <x v="19"/>
    <x v="2419"/>
    <x v="2428"/>
    <x v="2110"/>
    <n v="2"/>
    <x v="11"/>
    <s v="ESTACIÓN 06"/>
    <s v="ASOC. VIV EL PARAISO DE SANTA CLARA MZ. B LT. 17"/>
    <x v="1"/>
    <x v="0"/>
    <x v="0"/>
    <x v="1"/>
    <x v="26"/>
    <x v="0"/>
    <n v="4"/>
    <n v="216"/>
    <x v="0"/>
    <x v="1"/>
    <n v="5.4644808743169399E-3"/>
    <x v="28"/>
    <x v="3"/>
    <s v="OK"/>
    <x v="1"/>
    <s v="OK"/>
    <x v="0"/>
    <x v="0"/>
    <n v="1"/>
    <n v="1"/>
    <n v="0"/>
    <n v="0"/>
    <x v="0"/>
    <x v="0"/>
    <x v="0"/>
  </r>
  <r>
    <n v="20451703901"/>
    <x v="19"/>
    <x v="19"/>
    <x v="2420"/>
    <x v="2429"/>
    <x v="2111"/>
    <n v="2"/>
    <x v="11"/>
    <s v="ESTACIÓN 8 - ELIO"/>
    <s v="ASENT H NUEVO MILENIO MZ B"/>
    <x v="38"/>
    <x v="0"/>
    <x v="7"/>
    <x v="1"/>
    <x v="15"/>
    <x v="2"/>
    <n v="4"/>
    <n v="100"/>
    <x v="0"/>
    <x v="1"/>
    <n v="5.4644808743169399E-3"/>
    <x v="27"/>
    <x v="3"/>
    <s v="OK"/>
    <x v="0"/>
    <s v="OK"/>
    <x v="0"/>
    <x v="0"/>
    <n v="1"/>
    <n v="0"/>
    <n v="0"/>
    <n v="1"/>
    <x v="0"/>
    <x v="1"/>
    <x v="0"/>
  </r>
  <r>
    <n v="20451703901"/>
    <x v="19"/>
    <x v="19"/>
    <x v="2421"/>
    <x v="2430"/>
    <x v="2112"/>
    <n v="2"/>
    <x v="11"/>
    <s v="ESTACIÓN 06"/>
    <s v="AV. SAN MARTIN 124 COLLIQUE"/>
    <x v="0"/>
    <x v="0"/>
    <x v="0"/>
    <x v="1"/>
    <x v="531"/>
    <x v="0"/>
    <n v="4"/>
    <n v="216"/>
    <x v="0"/>
    <x v="1"/>
    <n v="5.4644808743169399E-3"/>
    <x v="24"/>
    <x v="3"/>
    <s v="OK"/>
    <x v="0"/>
    <s v="OK"/>
    <x v="0"/>
    <x v="0"/>
    <n v="1"/>
    <n v="0"/>
    <n v="0"/>
    <n v="0"/>
    <x v="0"/>
    <x v="0"/>
    <x v="0"/>
  </r>
  <r>
    <n v="20451703901"/>
    <x v="19"/>
    <x v="19"/>
    <x v="2422"/>
    <x v="2431"/>
    <x v="2113"/>
    <n v="1"/>
    <x v="124"/>
    <s v="ESTACIÓN 06"/>
    <s v="CALLE LA MALVA 195 BLOCK B2 DPTO. 507 URB. POLO HUNT"/>
    <x v="14"/>
    <x v="1"/>
    <x v="0"/>
    <x v="1"/>
    <x v="521"/>
    <x v="0"/>
    <n v="1"/>
    <n v="192"/>
    <x v="0"/>
    <x v="1"/>
    <n v="5.4644808743169399E-3"/>
    <x v="24"/>
    <x v="3"/>
    <s v="OK"/>
    <x v="0"/>
    <s v="OK"/>
    <x v="0"/>
    <x v="0"/>
    <n v="1"/>
    <n v="0"/>
    <n v="0"/>
    <n v="0"/>
    <x v="0"/>
    <x v="0"/>
    <x v="0"/>
  </r>
  <r>
    <n v="20451703901"/>
    <x v="19"/>
    <x v="19"/>
    <x v="2423"/>
    <x v="2432"/>
    <x v="2114"/>
    <n v="2"/>
    <x v="67"/>
    <s v="ESTACIÓN 06"/>
    <s v="CALLE LOS PINOS MZ F1 LT 54"/>
    <x v="58"/>
    <x v="0"/>
    <x v="0"/>
    <x v="1"/>
    <x v="531"/>
    <x v="0"/>
    <n v="4"/>
    <n v="202"/>
    <x v="0"/>
    <x v="1"/>
    <n v="5.4644808743169399E-3"/>
    <x v="29"/>
    <x v="3"/>
    <s v="OK"/>
    <x v="0"/>
    <s v="OK"/>
    <x v="0"/>
    <x v="0"/>
    <n v="1"/>
    <n v="0"/>
    <n v="0"/>
    <n v="0"/>
    <x v="0"/>
    <x v="0"/>
    <x v="0"/>
  </r>
  <r>
    <n v="20451703901"/>
    <x v="19"/>
    <x v="19"/>
    <x v="2424"/>
    <x v="2433"/>
    <x v="2115"/>
    <n v="2"/>
    <x v="67"/>
    <s v="ESTACIÓN 06"/>
    <s v="JR. CAJAMARCA S/N CENT. PARIAHUANCA"/>
    <x v="326"/>
    <x v="0"/>
    <x v="0"/>
    <x v="1"/>
    <x v="531"/>
    <x v="0"/>
    <n v="4"/>
    <n v="216"/>
    <x v="0"/>
    <x v="1"/>
    <n v="5.4644808743169399E-3"/>
    <x v="29"/>
    <x v="3"/>
    <s v="OK"/>
    <x v="0"/>
    <s v="OK"/>
    <x v="0"/>
    <x v="0"/>
    <n v="1"/>
    <n v="0"/>
    <n v="0"/>
    <n v="0"/>
    <x v="0"/>
    <x v="0"/>
    <x v="0"/>
  </r>
  <r>
    <n v="20451703901"/>
    <x v="19"/>
    <x v="19"/>
    <x v="2425"/>
    <x v="2434"/>
    <x v="2116"/>
    <n v="2"/>
    <x v="256"/>
    <s v="ESTACIÓN 8 - ELIO"/>
    <s v="JR SAN ANTONIO 391 2da zona"/>
    <x v="0"/>
    <x v="0"/>
    <x v="0"/>
    <x v="1"/>
    <x v="681"/>
    <x v="0"/>
    <n v="4"/>
    <n v="200"/>
    <x v="0"/>
    <x v="1"/>
    <n v="5.4644808743169399E-3"/>
    <x v="31"/>
    <x v="3"/>
    <s v="OK"/>
    <x v="0"/>
    <s v="OK"/>
    <x v="0"/>
    <x v="0"/>
    <n v="1"/>
    <n v="0"/>
    <n v="0"/>
    <n v="0"/>
    <x v="0"/>
    <x v="0"/>
    <x v="0"/>
  </r>
  <r>
    <n v="20451703903"/>
    <x v="19"/>
    <x v="19"/>
    <x v="2426"/>
    <x v="2435"/>
    <x v="2117"/>
    <n v="2"/>
    <x v="11"/>
    <s v="ESTACIÓN 8 - ELIO"/>
    <s v="CALLE LAS GUIRNALDAS MZ. J LT. 6 ASENT. H LOS PARQUES"/>
    <x v="327"/>
    <x v="0"/>
    <x v="0"/>
    <x v="1"/>
    <x v="139"/>
    <x v="0"/>
    <n v="4"/>
    <n v="220"/>
    <x v="0"/>
    <x v="1"/>
    <n v="5.4644808743169399E-3"/>
    <x v="24"/>
    <x v="3"/>
    <s v="OK"/>
    <x v="0"/>
    <s v="OK"/>
    <x v="0"/>
    <x v="0"/>
    <n v="1"/>
    <n v="0"/>
    <n v="0"/>
    <n v="0"/>
    <x v="0"/>
    <x v="0"/>
    <x v="0"/>
  </r>
  <r>
    <n v="20451703903"/>
    <x v="19"/>
    <x v="19"/>
    <x v="1540"/>
    <x v="2436"/>
    <x v="2118"/>
    <n v="2"/>
    <x v="67"/>
    <s v="ESTACIÓN 8 - ELIO"/>
    <s v="ASOC DE VIVIENDA LOS NISPEROS MZ P LT9"/>
    <x v="3"/>
    <x v="0"/>
    <x v="7"/>
    <x v="1"/>
    <x v="684"/>
    <x v="2"/>
    <n v="4"/>
    <n v="100"/>
    <x v="0"/>
    <x v="1"/>
    <n v="5.4644808743169399E-3"/>
    <x v="28"/>
    <x v="3"/>
    <s v="OK"/>
    <x v="0"/>
    <s v="OK"/>
    <x v="0"/>
    <x v="0"/>
    <n v="1"/>
    <n v="0"/>
    <n v="0"/>
    <n v="1"/>
    <x v="0"/>
    <x v="1"/>
    <x v="0"/>
  </r>
  <r>
    <n v="20451703901"/>
    <x v="19"/>
    <x v="19"/>
    <x v="2427"/>
    <x v="2437"/>
    <x v="2119"/>
    <n v="1"/>
    <x v="88"/>
    <s v="ESTACIÓN 8 - ELIO"/>
    <s v="ASENT. H. 23 DE OCTUBRE ETAPA II MZ. V LT. 08"/>
    <x v="15"/>
    <x v="0"/>
    <x v="22"/>
    <x v="1"/>
    <x v="393"/>
    <x v="2"/>
    <n v="1"/>
    <n v="200"/>
    <x v="0"/>
    <x v="1"/>
    <n v="5.4644808743169399E-3"/>
    <x v="24"/>
    <x v="3"/>
    <s v="OK"/>
    <x v="0"/>
    <s v="OK"/>
    <x v="0"/>
    <x v="0"/>
    <n v="1"/>
    <n v="0"/>
    <n v="0"/>
    <n v="1"/>
    <x v="0"/>
    <x v="1"/>
    <x v="0"/>
  </r>
  <r>
    <n v="20451703901"/>
    <x v="19"/>
    <x v="19"/>
    <x v="2428"/>
    <x v="2438"/>
    <x v="2120"/>
    <n v="2"/>
    <x v="11"/>
    <s v="ESTACIÓN 06"/>
    <s v="ASOC. LAS LOMAS DE AMAUTA MZ Z LT 1 "/>
    <x v="1"/>
    <x v="0"/>
    <x v="0"/>
    <x v="1"/>
    <x v="55"/>
    <x v="0"/>
    <n v="4"/>
    <n v="216"/>
    <x v="0"/>
    <x v="1"/>
    <n v="5.4644808743169399E-3"/>
    <x v="31"/>
    <x v="3"/>
    <s v="OK"/>
    <x v="1"/>
    <s v="OK"/>
    <x v="0"/>
    <x v="0"/>
    <n v="1"/>
    <n v="1"/>
    <n v="0"/>
    <n v="0"/>
    <x v="0"/>
    <x v="0"/>
    <x v="0"/>
  </r>
  <r>
    <n v="20451703901"/>
    <x v="19"/>
    <x v="19"/>
    <x v="2429"/>
    <x v="2439"/>
    <x v="2121"/>
    <n v="2"/>
    <x v="67"/>
    <s v="ESTACIÓN 06"/>
    <s v="CASERIO SANTA ELENA"/>
    <x v="18"/>
    <x v="0"/>
    <x v="0"/>
    <x v="1"/>
    <x v="276"/>
    <x v="0"/>
    <n v="4"/>
    <n v="216"/>
    <x v="0"/>
    <x v="1"/>
    <n v="5.4644808743169399E-3"/>
    <x v="23"/>
    <x v="3"/>
    <s v="OK"/>
    <x v="0"/>
    <s v="OK"/>
    <x v="0"/>
    <x v="0"/>
    <n v="1"/>
    <n v="0"/>
    <n v="0"/>
    <n v="0"/>
    <x v="0"/>
    <x v="0"/>
    <x v="0"/>
  </r>
  <r>
    <n v="20451703903"/>
    <x v="19"/>
    <x v="19"/>
    <x v="2430"/>
    <x v="2283"/>
    <x v="1975"/>
    <n v="2"/>
    <x v="4"/>
    <s v="ESTACIÓN 8 - ELIO"/>
    <s v="CALLE HUAYNA CAPAC 150 P.J. COLLIQUE "/>
    <x v="0"/>
    <x v="0"/>
    <x v="4"/>
    <x v="1"/>
    <x v="56"/>
    <x v="2"/>
    <n v="4"/>
    <n v="50"/>
    <x v="0"/>
    <x v="1"/>
    <n v="5.4644808743169399E-3"/>
    <x v="30"/>
    <x v="3"/>
    <s v="OK"/>
    <x v="0"/>
    <s v="OK"/>
    <x v="0"/>
    <x v="1"/>
    <n v="0.5"/>
    <n v="0"/>
    <n v="0"/>
    <n v="1"/>
    <x v="0"/>
    <x v="1"/>
    <x v="0"/>
  </r>
  <r>
    <n v="20451703901"/>
    <x v="19"/>
    <x v="19"/>
    <x v="2431"/>
    <x v="2440"/>
    <x v="2122"/>
    <n v="2"/>
    <x v="8"/>
    <s v="ESTACIÓN 06"/>
    <s v="MZ M LT 25 CIUDAD DE LOS CONSTRUCTORES"/>
    <x v="15"/>
    <x v="0"/>
    <x v="0"/>
    <x v="1"/>
    <x v="15"/>
    <x v="0"/>
    <n v="4"/>
    <n v="216"/>
    <x v="0"/>
    <x v="1"/>
    <n v="5.4644808743169399E-3"/>
    <x v="24"/>
    <x v="3"/>
    <s v="OK"/>
    <x v="0"/>
    <s v="OK"/>
    <x v="0"/>
    <x v="0"/>
    <n v="1"/>
    <n v="0"/>
    <n v="0"/>
    <n v="0"/>
    <x v="0"/>
    <x v="0"/>
    <x v="0"/>
  </r>
  <r>
    <n v="20451703901"/>
    <x v="19"/>
    <x v="19"/>
    <x v="2432"/>
    <x v="2441"/>
    <x v="2123"/>
    <n v="2"/>
    <x v="67"/>
    <s v="ESTACIÓN 06"/>
    <s v="AH HEROES DEL PACIFICO MZ N LT 4"/>
    <x v="38"/>
    <x v="0"/>
    <x v="0"/>
    <x v="1"/>
    <x v="416"/>
    <x v="0"/>
    <n v="4"/>
    <n v="202"/>
    <x v="0"/>
    <x v="1"/>
    <n v="5.4644808743169399E-3"/>
    <x v="28"/>
    <x v="3"/>
    <s v="OK"/>
    <x v="0"/>
    <s v="OK"/>
    <x v="0"/>
    <x v="0"/>
    <n v="1"/>
    <n v="0"/>
    <n v="0"/>
    <n v="0"/>
    <x v="0"/>
    <x v="0"/>
    <x v="0"/>
  </r>
  <r>
    <n v="20451703903"/>
    <x v="19"/>
    <x v="19"/>
    <x v="2433"/>
    <x v="2442"/>
    <x v="2124"/>
    <n v="2"/>
    <x v="11"/>
    <s v="ESTACIÓN 8 - ELIO"/>
    <s v="JR. CIENEGUILLA 583 CESAR VALLEJO"/>
    <x v="8"/>
    <x v="0"/>
    <x v="7"/>
    <x v="1"/>
    <x v="271"/>
    <x v="2"/>
    <n v="4"/>
    <n v="100"/>
    <x v="0"/>
    <x v="1"/>
    <n v="5.4644808743169399E-3"/>
    <x v="28"/>
    <x v="3"/>
    <s v="OK"/>
    <x v="0"/>
    <s v="OK"/>
    <x v="0"/>
    <x v="0"/>
    <n v="1"/>
    <n v="0"/>
    <n v="0"/>
    <n v="1"/>
    <x v="0"/>
    <x v="1"/>
    <x v="0"/>
  </r>
  <r>
    <n v="20451703901"/>
    <x v="19"/>
    <x v="19"/>
    <x v="2434"/>
    <x v="2443"/>
    <x v="2125"/>
    <n v="2"/>
    <x v="8"/>
    <s v="ESTACIÓN 06"/>
    <s v="URB CEDROS MZ E6 LT 17 "/>
    <x v="27"/>
    <x v="0"/>
    <x v="0"/>
    <x v="3"/>
    <x v="657"/>
    <x v="0"/>
    <n v="4"/>
    <n v="202"/>
    <x v="0"/>
    <x v="1"/>
    <n v="5.4644808743169399E-3"/>
    <x v="28"/>
    <x v="3"/>
    <s v="OK"/>
    <x v="5"/>
    <s v="OK"/>
    <x v="0"/>
    <x v="0"/>
    <n v="1"/>
    <n v="1"/>
    <n v="0"/>
    <n v="0"/>
    <x v="0"/>
    <x v="0"/>
    <x v="0"/>
  </r>
  <r>
    <n v="20451703903"/>
    <x v="19"/>
    <x v="19"/>
    <x v="2435"/>
    <x v="2444"/>
    <x v="2126"/>
    <n v="2"/>
    <x v="67"/>
    <s v="ESTACIÓN 8 - ELIO"/>
    <s v="ASENT. H EL PACIFICO MZ. O LT.1"/>
    <x v="179"/>
    <x v="0"/>
    <x v="29"/>
    <x v="1"/>
    <x v="285"/>
    <x v="2"/>
    <n v="4"/>
    <n v="200"/>
    <x v="0"/>
    <x v="1"/>
    <n v="5.4644808743169399E-3"/>
    <x v="24"/>
    <x v="3"/>
    <s v="OK"/>
    <x v="0"/>
    <s v="OK"/>
    <x v="0"/>
    <x v="0"/>
    <n v="1"/>
    <n v="0"/>
    <n v="0"/>
    <n v="1"/>
    <x v="0"/>
    <x v="1"/>
    <x v="0"/>
  </r>
  <r>
    <n v="20451703901"/>
    <x v="19"/>
    <x v="19"/>
    <x v="2436"/>
    <x v="2445"/>
    <x v="2127"/>
    <n v="2"/>
    <x v="11"/>
    <s v="ESTACIÓN 06"/>
    <s v="ANILLO VIAL LT 21 MZ A"/>
    <x v="15"/>
    <x v="0"/>
    <x v="0"/>
    <x v="1"/>
    <x v="259"/>
    <x v="0"/>
    <n v="4"/>
    <n v="210"/>
    <x v="0"/>
    <x v="1"/>
    <n v="5.4644808743169399E-3"/>
    <x v="27"/>
    <x v="3"/>
    <s v="OK"/>
    <x v="0"/>
    <s v="OK"/>
    <x v="0"/>
    <x v="0"/>
    <n v="1"/>
    <n v="0"/>
    <n v="0"/>
    <n v="0"/>
    <x v="0"/>
    <x v="0"/>
    <x v="0"/>
  </r>
  <r>
    <s v="20554579133"/>
    <x v="20"/>
    <x v="20"/>
    <x v="2437"/>
    <x v="2446"/>
    <x v="2128"/>
    <n v="1"/>
    <x v="125"/>
    <s v="E27,E26"/>
    <s v="MZ. G LT. 17 A.H. KENJI FUJIMORI"/>
    <x v="2"/>
    <x v="1"/>
    <x v="0"/>
    <x v="1"/>
    <x v="436"/>
    <x v="0"/>
    <n v="1"/>
    <n v="208"/>
    <x v="0"/>
    <x v="1"/>
    <n v="1.1904761904761904E-2"/>
    <x v="23"/>
    <x v="3"/>
    <s v="OK"/>
    <x v="2"/>
    <s v="OK"/>
    <x v="0"/>
    <x v="0"/>
    <n v="1"/>
    <n v="1"/>
    <n v="0"/>
    <n v="0"/>
    <x v="0"/>
    <x v="0"/>
    <x v="0"/>
  </r>
  <r>
    <s v="20554579133"/>
    <x v="20"/>
    <x v="20"/>
    <x v="2438"/>
    <x v="2447"/>
    <x v="2129"/>
    <n v="1"/>
    <x v="131"/>
    <s v="E06, E12, E19"/>
    <s v="AV. RAMON CASTILLA 1474"/>
    <x v="77"/>
    <x v="0"/>
    <x v="0"/>
    <x v="1"/>
    <x v="437"/>
    <x v="0"/>
    <n v="1"/>
    <n v="208"/>
    <x v="0"/>
    <x v="1"/>
    <n v="1.1904761904761904E-2"/>
    <x v="23"/>
    <x v="3"/>
    <s v="OK"/>
    <x v="0"/>
    <s v="OK"/>
    <x v="0"/>
    <x v="0"/>
    <n v="1"/>
    <n v="0"/>
    <n v="0"/>
    <n v="0"/>
    <x v="0"/>
    <x v="0"/>
    <x v="0"/>
  </r>
  <r>
    <s v="20554579133"/>
    <x v="20"/>
    <x v="20"/>
    <x v="2439"/>
    <x v="2448"/>
    <x v="1895"/>
    <n v="1"/>
    <x v="131"/>
    <s v="E06, E12, E19"/>
    <s v="ENRIQUE NERINE 776-780"/>
    <x v="78"/>
    <x v="0"/>
    <x v="0"/>
    <x v="1"/>
    <x v="437"/>
    <x v="0"/>
    <n v="1"/>
    <n v="208"/>
    <x v="0"/>
    <x v="1"/>
    <n v="1.1904761904761904E-2"/>
    <x v="29"/>
    <x v="3"/>
    <s v="OK"/>
    <x v="6"/>
    <s v="OK"/>
    <x v="0"/>
    <x v="0"/>
    <n v="1"/>
    <n v="1"/>
    <n v="0"/>
    <n v="0"/>
    <x v="0"/>
    <x v="0"/>
    <x v="0"/>
  </r>
  <r>
    <s v="20602677126 "/>
    <x v="58"/>
    <x v="43"/>
    <x v="2440"/>
    <x v="2449"/>
    <x v="2130"/>
    <n v="1"/>
    <x v="45"/>
    <s v="PTBN"/>
    <s v="PSJ. SECTOR 1 GRUPO 19 MZ C LT. 4 "/>
    <x v="19"/>
    <x v="0"/>
    <x v="0"/>
    <x v="0"/>
    <x v="685"/>
    <x v="0"/>
    <n v="2"/>
    <n v="200"/>
    <x v="0"/>
    <x v="1"/>
    <n v="1.8867924528301886E-2"/>
    <x v="25"/>
    <x v="3"/>
    <s v="OK"/>
    <x v="0"/>
    <s v="OK"/>
    <x v="0"/>
    <x v="0"/>
    <n v="1"/>
    <n v="0"/>
    <n v="0"/>
    <n v="0"/>
    <x v="0"/>
    <x v="0"/>
    <x v="0"/>
  </r>
  <r>
    <s v="20602677126 "/>
    <x v="58"/>
    <x v="43"/>
    <x v="2441"/>
    <x v="2450"/>
    <x v="2131"/>
    <n v="1"/>
    <x v="75"/>
    <s v="ESTACION 01"/>
    <s v="MZ. H. 18 LT. 28 URB. LOS ROSALES  MI PERU"/>
    <x v="2"/>
    <x v="0"/>
    <x v="0"/>
    <x v="0"/>
    <x v="686"/>
    <x v="0"/>
    <n v="2"/>
    <n v="200"/>
    <x v="0"/>
    <x v="1"/>
    <n v="1.8867924528301886E-2"/>
    <x v="26"/>
    <x v="3"/>
    <s v="OK"/>
    <x v="2"/>
    <s v="OK"/>
    <x v="0"/>
    <x v="0"/>
    <n v="1"/>
    <n v="1"/>
    <n v="0"/>
    <n v="0"/>
    <x v="0"/>
    <x v="0"/>
    <x v="0"/>
  </r>
  <r>
    <s v="20602677126 "/>
    <x v="58"/>
    <x v="43"/>
    <x v="2442"/>
    <x v="2451"/>
    <x v="2132"/>
    <n v="2"/>
    <x v="262"/>
    <s v="E1-E2-(TUNEL TBM S97)"/>
    <s v="MZ L LOTE 8 URB. LA MERCED"/>
    <x v="1"/>
    <x v="0"/>
    <x v="0"/>
    <x v="0"/>
    <x v="259"/>
    <x v="2"/>
    <n v="4"/>
    <n v="16"/>
    <x v="0"/>
    <x v="1"/>
    <n v="1.8867924528301886E-2"/>
    <x v="30"/>
    <x v="3"/>
    <s v="OK"/>
    <x v="1"/>
    <s v="OK"/>
    <x v="0"/>
    <x v="1"/>
    <n v="0.5"/>
    <n v="0.5"/>
    <n v="0"/>
    <n v="0"/>
    <x v="0"/>
    <x v="0"/>
    <x v="0"/>
  </r>
  <r>
    <s v="20602677126 "/>
    <x v="58"/>
    <x v="43"/>
    <x v="2443"/>
    <x v="2452"/>
    <x v="2133"/>
    <n v="2"/>
    <x v="137"/>
    <s v="E1-E2-(TUNEL TBM S97)"/>
    <s v="MZ 18 LT 12 AAHH MARQUEZ"/>
    <x v="6"/>
    <x v="0"/>
    <x v="0"/>
    <x v="0"/>
    <x v="552"/>
    <x v="2"/>
    <n v="4"/>
    <n v="16"/>
    <x v="0"/>
    <x v="1"/>
    <n v="1.8867924528301886E-2"/>
    <x v="28"/>
    <x v="3"/>
    <s v="OK"/>
    <x v="2"/>
    <s v="OK"/>
    <x v="0"/>
    <x v="0"/>
    <n v="1"/>
    <n v="1"/>
    <n v="0"/>
    <n v="0"/>
    <x v="0"/>
    <x v="0"/>
    <x v="0"/>
  </r>
  <r>
    <s v="20602677126 "/>
    <x v="58"/>
    <x v="43"/>
    <x v="2444"/>
    <x v="2453"/>
    <x v="2134"/>
    <n v="2"/>
    <x v="137"/>
    <s v="E1-E2-(TUNEL TBM S97)"/>
    <s v="AAHH VILLA BELEN MZ E LOTE 8"/>
    <x v="10"/>
    <x v="0"/>
    <x v="0"/>
    <x v="0"/>
    <x v="552"/>
    <x v="2"/>
    <n v="4"/>
    <n v="16"/>
    <x v="0"/>
    <x v="1"/>
    <n v="1.8867924528301886E-2"/>
    <x v="24"/>
    <x v="3"/>
    <s v="OK"/>
    <x v="0"/>
    <s v="OK"/>
    <x v="0"/>
    <x v="1"/>
    <n v="0.5"/>
    <n v="0"/>
    <n v="0"/>
    <n v="0"/>
    <x v="0"/>
    <x v="0"/>
    <x v="0"/>
  </r>
  <r>
    <s v="20602677126 "/>
    <x v="58"/>
    <x v="43"/>
    <x v="2445"/>
    <x v="2454"/>
    <x v="2135"/>
    <n v="2"/>
    <x v="137"/>
    <s v="ESTACION 11"/>
    <s v="ASOC. SAN MARTIN DE PORRES MZ.O.LT4"/>
    <x v="4"/>
    <x v="0"/>
    <x v="0"/>
    <x v="0"/>
    <x v="529"/>
    <x v="2"/>
    <n v="4"/>
    <n v="112"/>
    <x v="0"/>
    <x v="1"/>
    <n v="1.8867924528301886E-2"/>
    <x v="24"/>
    <x v="3"/>
    <s v="OK"/>
    <x v="0"/>
    <s v="OK"/>
    <x v="0"/>
    <x v="1"/>
    <n v="0.5"/>
    <n v="0"/>
    <n v="0"/>
    <n v="0"/>
    <x v="0"/>
    <x v="0"/>
    <x v="0"/>
  </r>
  <r>
    <s v="20602677126 "/>
    <x v="58"/>
    <x v="43"/>
    <x v="2445"/>
    <x v="2454"/>
    <x v="2135"/>
    <n v="2"/>
    <x v="137"/>
    <s v="PTBN"/>
    <s v="ASOC. SAN MARTIN DE PORRES MZ.O.LT4"/>
    <x v="4"/>
    <x v="0"/>
    <x v="0"/>
    <x v="0"/>
    <x v="681"/>
    <x v="0"/>
    <n v="4"/>
    <n v="200"/>
    <x v="0"/>
    <x v="1"/>
    <n v="1.8867924528301886E-2"/>
    <x v="24"/>
    <x v="3"/>
    <s v="OK"/>
    <x v="0"/>
    <s v="OK"/>
    <x v="0"/>
    <x v="1"/>
    <n v="0.5"/>
    <n v="0"/>
    <n v="0"/>
    <n v="0"/>
    <x v="0"/>
    <x v="0"/>
    <x v="0"/>
  </r>
  <r>
    <s v="20602677126 "/>
    <x v="58"/>
    <x v="43"/>
    <x v="2446"/>
    <x v="2455"/>
    <x v="2136"/>
    <n v="2"/>
    <x v="3"/>
    <s v="ESTACION 04"/>
    <s v="PARQUE MANUEL GUTIERREZ DE LA FUENTE URB TARAPACA MZ.Q LT.33 "/>
    <x v="6"/>
    <x v="0"/>
    <x v="0"/>
    <x v="0"/>
    <x v="123"/>
    <x v="2"/>
    <n v="4"/>
    <n v="176"/>
    <x v="0"/>
    <x v="1"/>
    <n v="1.8867924528301886E-2"/>
    <x v="30"/>
    <x v="3"/>
    <s v="OK"/>
    <x v="2"/>
    <s v="OK"/>
    <x v="0"/>
    <x v="0"/>
    <n v="1"/>
    <n v="1"/>
    <n v="0"/>
    <n v="0"/>
    <x v="0"/>
    <x v="0"/>
    <x v="0"/>
  </r>
  <r>
    <s v="20602677126 "/>
    <x v="58"/>
    <x v="43"/>
    <x v="2447"/>
    <x v="2456"/>
    <x v="2137"/>
    <n v="2"/>
    <x v="3"/>
    <s v="ESTACION 27"/>
    <s v="MZ F LT 06 AH. CERRO CANDELA "/>
    <x v="1"/>
    <x v="0"/>
    <x v="0"/>
    <x v="0"/>
    <x v="132"/>
    <x v="2"/>
    <n v="4"/>
    <n v="104"/>
    <x v="0"/>
    <x v="1"/>
    <n v="1.8867924528301886E-2"/>
    <x v="27"/>
    <x v="3"/>
    <s v="OK"/>
    <x v="1"/>
    <s v="OK"/>
    <x v="0"/>
    <x v="1"/>
    <n v="0.5"/>
    <n v="0.5"/>
    <n v="0"/>
    <n v="0"/>
    <x v="0"/>
    <x v="0"/>
    <x v="0"/>
  </r>
  <r>
    <s v="20602677126 "/>
    <x v="58"/>
    <x v="43"/>
    <x v="2448"/>
    <x v="2457"/>
    <x v="2138"/>
    <n v="2"/>
    <x v="3"/>
    <s v="ESTACION 01"/>
    <s v="PUEBLO JOVEN SARITA COLONIA MZ D LT 27"/>
    <x v="6"/>
    <x v="0"/>
    <x v="0"/>
    <x v="0"/>
    <x v="91"/>
    <x v="0"/>
    <n v="4"/>
    <n v="192"/>
    <x v="0"/>
    <x v="1"/>
    <n v="1.8867924528301886E-2"/>
    <x v="24"/>
    <x v="3"/>
    <s v="OK"/>
    <x v="2"/>
    <s v="OK"/>
    <x v="0"/>
    <x v="0"/>
    <n v="1"/>
    <n v="1"/>
    <n v="0"/>
    <n v="0"/>
    <x v="0"/>
    <x v="0"/>
    <x v="0"/>
  </r>
  <r>
    <s v="20602677126 "/>
    <x v="58"/>
    <x v="43"/>
    <x v="2442"/>
    <x v="2451"/>
    <x v="2132"/>
    <n v="2"/>
    <x v="138"/>
    <s v="ESTACION 01"/>
    <s v="MZ L LOTE 8 URB. LA MERCED"/>
    <x v="1"/>
    <x v="0"/>
    <x v="0"/>
    <x v="0"/>
    <x v="36"/>
    <x v="0"/>
    <n v="4"/>
    <n v="200"/>
    <x v="0"/>
    <x v="1"/>
    <n v="1.8867924528301886E-2"/>
    <x v="30"/>
    <x v="3"/>
    <s v="OK"/>
    <x v="1"/>
    <s v="OK"/>
    <x v="0"/>
    <x v="1"/>
    <n v="0.5"/>
    <n v="0.5"/>
    <n v="0"/>
    <n v="0"/>
    <x v="0"/>
    <x v="0"/>
    <x v="0"/>
  </r>
  <r>
    <s v="20602677126 "/>
    <x v="58"/>
    <x v="43"/>
    <x v="2447"/>
    <x v="2456"/>
    <x v="2137"/>
    <n v="2"/>
    <x v="138"/>
    <s v="ESTACION 01"/>
    <s v="MZ F LT 06 AH. CERRO CANDELA "/>
    <x v="1"/>
    <x v="0"/>
    <x v="0"/>
    <x v="0"/>
    <x v="26"/>
    <x v="0"/>
    <n v="4"/>
    <n v="200"/>
    <x v="0"/>
    <x v="1"/>
    <n v="1.8867924528301886E-2"/>
    <x v="27"/>
    <x v="3"/>
    <s v="OK"/>
    <x v="1"/>
    <s v="OK"/>
    <x v="0"/>
    <x v="1"/>
    <n v="0.5"/>
    <n v="0.5"/>
    <n v="0"/>
    <n v="0"/>
    <x v="0"/>
    <x v="0"/>
    <x v="0"/>
  </r>
  <r>
    <s v="20602677126 "/>
    <x v="58"/>
    <x v="43"/>
    <x v="2444"/>
    <x v="2453"/>
    <x v="2134"/>
    <n v="2"/>
    <x v="137"/>
    <s v="REUBICADO"/>
    <s v="AAHH VILLA BELEN MZ E LOTE 8"/>
    <x v="10"/>
    <x v="0"/>
    <x v="0"/>
    <x v="0"/>
    <x v="94"/>
    <x v="2"/>
    <n v="4"/>
    <n v="104"/>
    <x v="0"/>
    <x v="1"/>
    <n v="1.8867924528301886E-2"/>
    <x v="24"/>
    <x v="3"/>
    <s v="OK"/>
    <x v="0"/>
    <s v="OK"/>
    <x v="0"/>
    <x v="1"/>
    <n v="0.5"/>
    <n v="0"/>
    <n v="0"/>
    <n v="0"/>
    <x v="0"/>
    <x v="0"/>
    <x v="0"/>
  </r>
  <r>
    <s v="20602677126 "/>
    <x v="58"/>
    <x v="43"/>
    <x v="2449"/>
    <x v="2458"/>
    <x v="2139"/>
    <n v="1"/>
    <x v="348"/>
    <s v="ESTACION 01"/>
    <s v="AV ALMIRANTE MIGUEL GRAU 1540 DPT 1119"/>
    <x v="132"/>
    <x v="0"/>
    <x v="0"/>
    <x v="0"/>
    <x v="145"/>
    <x v="0"/>
    <n v="1"/>
    <n v="200"/>
    <x v="0"/>
    <x v="1"/>
    <n v="1.8867924528301886E-2"/>
    <x v="30"/>
    <x v="3"/>
    <s v="OK"/>
    <x v="0"/>
    <s v="OK"/>
    <x v="0"/>
    <x v="0"/>
    <n v="1"/>
    <n v="0"/>
    <n v="0"/>
    <n v="0"/>
    <x v="0"/>
    <x v="0"/>
    <x v="0"/>
  </r>
  <r>
    <n v="20482744983"/>
    <x v="21"/>
    <x v="21"/>
    <x v="2450"/>
    <x v="2459"/>
    <x v="2140"/>
    <n v="3"/>
    <x v="269"/>
    <s v="REINSERCION URBANA E14 AL E18"/>
    <s v="CALLE SANTA ANA S/N"/>
    <x v="328"/>
    <x v="0"/>
    <x v="0"/>
    <x v="1"/>
    <x v="129"/>
    <x v="0"/>
    <n v="1"/>
    <n v="240"/>
    <x v="0"/>
    <x v="1"/>
    <n v="1.1111111111111112E-2"/>
    <x v="31"/>
    <x v="3"/>
    <s v="OK"/>
    <x v="0"/>
    <s v="OK"/>
    <x v="0"/>
    <x v="0"/>
    <n v="1"/>
    <n v="0"/>
    <n v="0"/>
    <n v="0"/>
    <x v="0"/>
    <x v="0"/>
    <x v="0"/>
  </r>
  <r>
    <n v="20482744983"/>
    <x v="21"/>
    <x v="21"/>
    <x v="2451"/>
    <x v="2460"/>
    <x v="1891"/>
    <n v="2"/>
    <x v="76"/>
    <s v="ESTACION 01"/>
    <s v="URB. AEROPUERTO JR. QUILCA NRO.250"/>
    <x v="6"/>
    <x v="0"/>
    <x v="0"/>
    <x v="1"/>
    <x v="125"/>
    <x v="0"/>
    <n v="4"/>
    <n v="240"/>
    <x v="0"/>
    <x v="1"/>
    <n v="1.1111111111111112E-2"/>
    <x v="31"/>
    <x v="3"/>
    <s v="OK"/>
    <x v="2"/>
    <s v="OK"/>
    <x v="0"/>
    <x v="0"/>
    <n v="1"/>
    <n v="1"/>
    <n v="0"/>
    <n v="0"/>
    <x v="0"/>
    <x v="0"/>
    <x v="0"/>
  </r>
  <r>
    <n v="20482744983"/>
    <x v="21"/>
    <x v="21"/>
    <x v="2452"/>
    <x v="2461"/>
    <x v="2141"/>
    <n v="1"/>
    <x v="7"/>
    <s v="ESTACION 06"/>
    <s v="CALLE KIEFFER MZ. B LT. 03 ASENT. H. CIUDAD DE LA CHALACA"/>
    <x v="6"/>
    <x v="0"/>
    <x v="0"/>
    <x v="1"/>
    <x v="125"/>
    <x v="0"/>
    <n v="1"/>
    <n v="240"/>
    <x v="0"/>
    <x v="1"/>
    <n v="1.1111111111111112E-2"/>
    <x v="30"/>
    <x v="3"/>
    <s v="OK"/>
    <x v="2"/>
    <s v="OK"/>
    <x v="0"/>
    <x v="0"/>
    <n v="1"/>
    <n v="1"/>
    <n v="0"/>
    <n v="0"/>
    <x v="0"/>
    <x v="0"/>
    <x v="0"/>
  </r>
  <r>
    <n v="20482744983"/>
    <x v="21"/>
    <x v="21"/>
    <x v="2453"/>
    <x v="2462"/>
    <x v="2142"/>
    <n v="2"/>
    <x v="76"/>
    <s v="ESTACION 01"/>
    <s v="JR. PEDRO RUIZ GALLO ASENT. H. AÑO NUEVO MZ. C4 LT. 01A"/>
    <x v="0"/>
    <x v="0"/>
    <x v="0"/>
    <x v="1"/>
    <x v="125"/>
    <x v="0"/>
    <n v="4"/>
    <n v="240"/>
    <x v="0"/>
    <x v="1"/>
    <n v="1.1111111111111112E-2"/>
    <x v="31"/>
    <x v="3"/>
    <s v="OK"/>
    <x v="0"/>
    <s v="OK"/>
    <x v="0"/>
    <x v="0"/>
    <n v="1"/>
    <n v="0"/>
    <n v="0"/>
    <n v="0"/>
    <x v="0"/>
    <x v="0"/>
    <x v="0"/>
  </r>
  <r>
    <n v="20482744983"/>
    <x v="21"/>
    <x v="21"/>
    <x v="2454"/>
    <x v="2463"/>
    <x v="2143"/>
    <n v="2"/>
    <x v="77"/>
    <s v="ESTACION 01"/>
    <s v="CALLE 12 MZ C LT 6 ASOC VIV RIOS SANTA "/>
    <x v="49"/>
    <x v="0"/>
    <x v="0"/>
    <x v="1"/>
    <x v="125"/>
    <x v="0"/>
    <n v="4"/>
    <n v="240"/>
    <x v="0"/>
    <x v="1"/>
    <n v="1.1111111111111112E-2"/>
    <x v="23"/>
    <x v="3"/>
    <s v="OK"/>
    <x v="0"/>
    <s v="OK"/>
    <x v="0"/>
    <x v="0"/>
    <n v="1"/>
    <n v="0"/>
    <n v="0"/>
    <n v="0"/>
    <x v="0"/>
    <x v="0"/>
    <x v="0"/>
  </r>
  <r>
    <n v="20482744983"/>
    <x v="21"/>
    <x v="21"/>
    <x v="2455"/>
    <x v="2464"/>
    <x v="2144"/>
    <n v="2"/>
    <x v="76"/>
    <s v="ESTACION 01"/>
    <s v="ASENT.H. 3 DE MAYO CERRO EL CHOCLO MZ. E3 LT.2"/>
    <x v="3"/>
    <x v="0"/>
    <x v="0"/>
    <x v="1"/>
    <x v="431"/>
    <x v="0"/>
    <n v="4"/>
    <n v="240"/>
    <x v="0"/>
    <x v="1"/>
    <n v="1.1111111111111112E-2"/>
    <x v="24"/>
    <x v="3"/>
    <s v="OK"/>
    <x v="0"/>
    <s v="OK"/>
    <x v="0"/>
    <x v="0"/>
    <n v="1"/>
    <n v="0"/>
    <n v="0"/>
    <n v="0"/>
    <x v="0"/>
    <x v="0"/>
    <x v="0"/>
  </r>
  <r>
    <n v="20482744983"/>
    <x v="21"/>
    <x v="21"/>
    <x v="2456"/>
    <x v="2465"/>
    <x v="2145"/>
    <n v="2"/>
    <x v="76"/>
    <s v="ESTACION 01"/>
    <s v="AV. 4 ASENT. H. SAN PEDRO MZ. F LT. 03"/>
    <x v="2"/>
    <x v="0"/>
    <x v="0"/>
    <x v="1"/>
    <x v="431"/>
    <x v="0"/>
    <n v="4"/>
    <n v="240"/>
    <x v="0"/>
    <x v="1"/>
    <n v="1.1111111111111112E-2"/>
    <x v="31"/>
    <x v="3"/>
    <s v="OK"/>
    <x v="2"/>
    <s v="OK"/>
    <x v="0"/>
    <x v="0"/>
    <n v="1"/>
    <n v="1"/>
    <n v="0"/>
    <n v="0"/>
    <x v="0"/>
    <x v="0"/>
    <x v="0"/>
  </r>
  <r>
    <n v="20482744983"/>
    <x v="21"/>
    <x v="21"/>
    <x v="2457"/>
    <x v="2466"/>
    <x v="2126"/>
    <n v="2"/>
    <x v="67"/>
    <s v="ESTACION 01"/>
    <s v="ASENT H. EL AYLLU MZ C5 LT 10"/>
    <x v="0"/>
    <x v="0"/>
    <x v="0"/>
    <x v="1"/>
    <x v="239"/>
    <x v="0"/>
    <n v="4"/>
    <n v="240"/>
    <x v="0"/>
    <x v="1"/>
    <n v="1.1111111111111112E-2"/>
    <x v="24"/>
    <x v="3"/>
    <s v="OK"/>
    <x v="0"/>
    <s v="OK"/>
    <x v="0"/>
    <x v="0"/>
    <n v="1"/>
    <n v="0"/>
    <n v="0"/>
    <n v="0"/>
    <x v="0"/>
    <x v="0"/>
    <x v="0"/>
  </r>
  <r>
    <n v="20482744983"/>
    <x v="21"/>
    <x v="21"/>
    <x v="2458"/>
    <x v="2467"/>
    <x v="2146"/>
    <n v="2"/>
    <x v="229"/>
    <s v="ESTACION 06"/>
    <s v="ASENT.H. SOL NACIENTE MZ. L2 LT.18"/>
    <x v="54"/>
    <x v="0"/>
    <x v="0"/>
    <x v="1"/>
    <x v="239"/>
    <x v="0"/>
    <n v="4"/>
    <n v="240"/>
    <x v="0"/>
    <x v="1"/>
    <n v="1.1111111111111112E-2"/>
    <x v="28"/>
    <x v="3"/>
    <s v="OK"/>
    <x v="0"/>
    <s v="OK"/>
    <x v="0"/>
    <x v="0"/>
    <n v="1"/>
    <n v="0"/>
    <n v="0"/>
    <n v="0"/>
    <x v="0"/>
    <x v="0"/>
    <x v="0"/>
  </r>
  <r>
    <n v="20482744983"/>
    <x v="21"/>
    <x v="21"/>
    <x v="2459"/>
    <x v="2468"/>
    <x v="2147"/>
    <n v="2"/>
    <x v="76"/>
    <s v="REINSERCION URBANA E14 AL E18"/>
    <s v="JR. SANTA ROSA 271 PJ EL PLANETA"/>
    <x v="10"/>
    <x v="0"/>
    <x v="0"/>
    <x v="1"/>
    <x v="239"/>
    <x v="0"/>
    <n v="4"/>
    <n v="240"/>
    <x v="0"/>
    <x v="1"/>
    <n v="1.1111111111111112E-2"/>
    <x v="30"/>
    <x v="3"/>
    <s v="OK"/>
    <x v="0"/>
    <s v="OK"/>
    <x v="0"/>
    <x v="0"/>
    <n v="1"/>
    <n v="0"/>
    <n v="0"/>
    <n v="0"/>
    <x v="0"/>
    <x v="0"/>
    <x v="0"/>
  </r>
  <r>
    <n v="20482744983"/>
    <x v="21"/>
    <x v="21"/>
    <x v="2460"/>
    <x v="2215"/>
    <x v="1909"/>
    <n v="2"/>
    <x v="76"/>
    <s v="ESTACION 06"/>
    <s v="JR. HUANUCO 174"/>
    <x v="329"/>
    <x v="0"/>
    <x v="0"/>
    <x v="1"/>
    <x v="239"/>
    <x v="0"/>
    <n v="4"/>
    <n v="240"/>
    <x v="0"/>
    <x v="1"/>
    <n v="1.1111111111111112E-2"/>
    <x v="26"/>
    <x v="3"/>
    <s v="OK"/>
    <x v="0"/>
    <s v="OK"/>
    <x v="0"/>
    <x v="1"/>
    <n v="0.5"/>
    <n v="0"/>
    <n v="0"/>
    <n v="0"/>
    <x v="0"/>
    <x v="0"/>
    <x v="0"/>
  </r>
  <r>
    <n v="20482744983"/>
    <x v="21"/>
    <x v="21"/>
    <x v="2461"/>
    <x v="2469"/>
    <x v="2148"/>
    <n v="2"/>
    <x v="77"/>
    <s v="REINSERCION URBANA E14 AL E18"/>
    <s v="ASENT. H. ENRIQUE MILLA OCHOA MZ. 122 LT.1"/>
    <x v="49"/>
    <x v="0"/>
    <x v="0"/>
    <x v="1"/>
    <x v="27"/>
    <x v="0"/>
    <n v="4"/>
    <n v="240"/>
    <x v="0"/>
    <x v="1"/>
    <n v="1.1111111111111112E-2"/>
    <x v="29"/>
    <x v="3"/>
    <s v="OK"/>
    <x v="0"/>
    <s v="OK"/>
    <x v="0"/>
    <x v="0"/>
    <n v="1"/>
    <n v="0"/>
    <n v="0"/>
    <n v="0"/>
    <x v="0"/>
    <x v="0"/>
    <x v="0"/>
  </r>
  <r>
    <n v="20482744983"/>
    <x v="21"/>
    <x v="21"/>
    <x v="2462"/>
    <x v="2470"/>
    <x v="2149"/>
    <n v="2"/>
    <x v="12"/>
    <s v="REINSERCION URBANA E14 AL E18"/>
    <s v="JR. JUAN MILLER 224"/>
    <x v="6"/>
    <x v="0"/>
    <x v="0"/>
    <x v="1"/>
    <x v="27"/>
    <x v="0"/>
    <n v="4"/>
    <n v="240"/>
    <x v="0"/>
    <x v="1"/>
    <n v="1.1111111111111112E-2"/>
    <x v="25"/>
    <x v="3"/>
    <s v="OK"/>
    <x v="2"/>
    <s v="OK"/>
    <x v="0"/>
    <x v="0"/>
    <n v="1"/>
    <n v="1"/>
    <n v="0"/>
    <n v="0"/>
    <x v="0"/>
    <x v="0"/>
    <x v="0"/>
  </r>
  <r>
    <n v="20482744983"/>
    <x v="21"/>
    <x v="21"/>
    <x v="2463"/>
    <x v="2471"/>
    <x v="2150"/>
    <n v="2"/>
    <x v="270"/>
    <s v="REINSERCION URBANA E14 AL E18"/>
    <s v="AV. GERARDO PACHECO S/N C.POBLADO LLAYLLA"/>
    <x v="330"/>
    <x v="0"/>
    <x v="0"/>
    <x v="1"/>
    <x v="100"/>
    <x v="0"/>
    <n v="4"/>
    <n v="200"/>
    <x v="0"/>
    <x v="1"/>
    <n v="1.1111111111111112E-2"/>
    <x v="27"/>
    <x v="3"/>
    <s v="OK"/>
    <x v="0"/>
    <s v="OK"/>
    <x v="0"/>
    <x v="0"/>
    <n v="1"/>
    <n v="0"/>
    <n v="1"/>
    <n v="0"/>
    <x v="0"/>
    <x v="0"/>
    <x v="1"/>
  </r>
  <r>
    <n v="20482744983"/>
    <x v="21"/>
    <x v="21"/>
    <x v="2464"/>
    <x v="2472"/>
    <x v="2151"/>
    <n v="2"/>
    <x v="77"/>
    <s v="ESTACION 01"/>
    <s v="MZ R1 LT 8 ASENT H JOSE OLAYA BALANDRA"/>
    <x v="2"/>
    <x v="0"/>
    <x v="0"/>
    <x v="1"/>
    <x v="100"/>
    <x v="0"/>
    <n v="4"/>
    <n v="200"/>
    <x v="0"/>
    <x v="1"/>
    <n v="1.1111111111111112E-2"/>
    <x v="27"/>
    <x v="3"/>
    <s v="OK"/>
    <x v="2"/>
    <s v="OK"/>
    <x v="0"/>
    <x v="0"/>
    <n v="1"/>
    <n v="1"/>
    <n v="1"/>
    <n v="0"/>
    <x v="0"/>
    <x v="0"/>
    <x v="1"/>
  </r>
  <r>
    <n v="20482744983"/>
    <x v="21"/>
    <x v="21"/>
    <x v="2465"/>
    <x v="2473"/>
    <x v="2152"/>
    <n v="1"/>
    <x v="148"/>
    <s v="REINSERCION URBANA E14 AL E18"/>
    <s v="CALLE RIO MOQUEGUA 168 URB EL TREBOL"/>
    <x v="78"/>
    <x v="0"/>
    <x v="0"/>
    <x v="1"/>
    <x v="207"/>
    <x v="0"/>
    <n v="1"/>
    <n v="216"/>
    <x v="0"/>
    <x v="1"/>
    <n v="1.1111111111111112E-2"/>
    <x v="25"/>
    <x v="3"/>
    <s v="OK"/>
    <x v="6"/>
    <s v="OK"/>
    <x v="0"/>
    <x v="0"/>
    <n v="1"/>
    <n v="1"/>
    <n v="1"/>
    <n v="0"/>
    <x v="0"/>
    <x v="0"/>
    <x v="1"/>
  </r>
  <r>
    <n v="20482744983"/>
    <x v="21"/>
    <x v="21"/>
    <x v="2466"/>
    <x v="2474"/>
    <x v="2153"/>
    <n v="2"/>
    <x v="268"/>
    <s v="ESTACION 02"/>
    <s v="PROVIV SOL DE LA MOLINA MZ B LT 14"/>
    <x v="54"/>
    <x v="0"/>
    <x v="0"/>
    <x v="1"/>
    <x v="29"/>
    <x v="0"/>
    <n v="4"/>
    <n v="168"/>
    <x v="0"/>
    <x v="1"/>
    <n v="1.1111111111111112E-2"/>
    <x v="25"/>
    <x v="3"/>
    <s v="OK"/>
    <x v="0"/>
    <s v="OK"/>
    <x v="0"/>
    <x v="0"/>
    <n v="1"/>
    <n v="0"/>
    <n v="1"/>
    <n v="0"/>
    <x v="0"/>
    <x v="0"/>
    <x v="1"/>
  </r>
  <r>
    <n v="20482744983"/>
    <x v="21"/>
    <x v="21"/>
    <x v="2467"/>
    <x v="2475"/>
    <x v="2154"/>
    <n v="2"/>
    <x v="2"/>
    <s v="ESTACION 01"/>
    <s v="PSJ. SAN GERONIMO URB. ROSAS PAMPA MZ D LT 3"/>
    <x v="180"/>
    <x v="0"/>
    <x v="0"/>
    <x v="1"/>
    <x v="103"/>
    <x v="0"/>
    <n v="4"/>
    <n v="112"/>
    <x v="0"/>
    <x v="1"/>
    <n v="1.1111111111111112E-2"/>
    <x v="25"/>
    <x v="3"/>
    <s v="OK"/>
    <x v="0"/>
    <s v="OK"/>
    <x v="0"/>
    <x v="0"/>
    <n v="1"/>
    <n v="0"/>
    <n v="1"/>
    <n v="0"/>
    <x v="0"/>
    <x v="0"/>
    <x v="1"/>
  </r>
  <r>
    <n v="20482744983"/>
    <x v="21"/>
    <x v="21"/>
    <x v="2468"/>
    <x v="2476"/>
    <x v="2155"/>
    <n v="2"/>
    <x v="270"/>
    <s v="ESTACION 02"/>
    <s v="MZ.G.LT.1CASA HUERTA SECTOR B"/>
    <x v="50"/>
    <x v="0"/>
    <x v="0"/>
    <x v="1"/>
    <x v="100"/>
    <x v="0"/>
    <n v="4"/>
    <n v="200"/>
    <x v="0"/>
    <x v="1"/>
    <n v="1.1111111111111112E-2"/>
    <x v="25"/>
    <x v="3"/>
    <s v="OK"/>
    <x v="0"/>
    <s v="OK"/>
    <x v="0"/>
    <x v="0"/>
    <n v="1"/>
    <n v="0"/>
    <n v="1"/>
    <n v="0"/>
    <x v="0"/>
    <x v="0"/>
    <x v="1"/>
  </r>
  <r>
    <n v="20482744983"/>
    <x v="21"/>
    <x v="21"/>
    <x v="2469"/>
    <x v="2477"/>
    <x v="2156"/>
    <n v="2"/>
    <x v="349"/>
    <s v="REINSERCION URBANA E14 AL E18"/>
    <s v="PSJ 12 DE DICIEMBRE MZ A LT 30 ASENT H 12 DE DICIEMBRE"/>
    <x v="3"/>
    <x v="0"/>
    <x v="0"/>
    <x v="1"/>
    <x v="103"/>
    <x v="0"/>
    <n v="4"/>
    <n v="112"/>
    <x v="0"/>
    <x v="1"/>
    <n v="1.1111111111111112E-2"/>
    <x v="31"/>
    <x v="3"/>
    <s v="OK"/>
    <x v="0"/>
    <s v="OK"/>
    <x v="0"/>
    <x v="0"/>
    <n v="1"/>
    <n v="0"/>
    <n v="1"/>
    <n v="0"/>
    <x v="0"/>
    <x v="0"/>
    <x v="1"/>
  </r>
  <r>
    <n v="20482744983"/>
    <x v="21"/>
    <x v="21"/>
    <x v="2470"/>
    <x v="2478"/>
    <x v="2157"/>
    <n v="2"/>
    <x v="270"/>
    <s v="REINSERCION URBANA E14 AL E18"/>
    <s v="VITTORE CARPACCIO URB. PRADERAS DE SURCO MZ A LT 16"/>
    <x v="14"/>
    <x v="0"/>
    <x v="0"/>
    <x v="1"/>
    <x v="66"/>
    <x v="0"/>
    <n v="4"/>
    <n v="40"/>
    <x v="0"/>
    <x v="1"/>
    <n v="1.1111111111111112E-2"/>
    <x v="24"/>
    <x v="3"/>
    <s v="OK"/>
    <x v="0"/>
    <s v="OK"/>
    <x v="0"/>
    <x v="0"/>
    <n v="1"/>
    <n v="0"/>
    <n v="1"/>
    <n v="0"/>
    <x v="0"/>
    <x v="0"/>
    <x v="1"/>
  </r>
  <r>
    <n v="20101155588"/>
    <x v="22"/>
    <x v="22"/>
    <x v="2471"/>
    <x v="2479"/>
    <x v="2158"/>
    <n v="1"/>
    <x v="32"/>
    <s v="DUCTO 26"/>
    <s v="URB VILLA VITARTE MZ F LOTE 4"/>
    <x v="1"/>
    <x v="0"/>
    <x v="9"/>
    <x v="1"/>
    <x v="84"/>
    <x v="0"/>
    <n v="1"/>
    <n v="312"/>
    <x v="1"/>
    <x v="1"/>
    <n v="3.134796238244514E-3"/>
    <x v="23"/>
    <x v="3"/>
    <s v="OK"/>
    <x v="1"/>
    <s v="OK"/>
    <x v="0"/>
    <x v="0"/>
    <n v="1"/>
    <n v="1"/>
    <n v="0"/>
    <n v="0"/>
    <x v="0"/>
    <x v="0"/>
    <x v="0"/>
  </r>
  <r>
    <n v="20101155588"/>
    <x v="22"/>
    <x v="22"/>
    <x v="2472"/>
    <x v="2480"/>
    <x v="2159"/>
    <n v="1"/>
    <x v="32"/>
    <s v="PATIO TALLER SANTA ANITA"/>
    <s v="MZ V 1 LOTE 6 ANCHI ALTA "/>
    <x v="46"/>
    <x v="0"/>
    <x v="9"/>
    <x v="1"/>
    <x v="78"/>
    <x v="0"/>
    <n v="1"/>
    <n v="312"/>
    <x v="1"/>
    <x v="1"/>
    <n v="3.134796238244514E-3"/>
    <x v="27"/>
    <x v="3"/>
    <s v="OK"/>
    <x v="7"/>
    <s v="OK"/>
    <x v="0"/>
    <x v="0"/>
    <n v="1"/>
    <n v="1"/>
    <n v="0"/>
    <n v="0"/>
    <x v="0"/>
    <x v="0"/>
    <x v="0"/>
  </r>
  <r>
    <n v="20101155588"/>
    <x v="22"/>
    <x v="22"/>
    <x v="2473"/>
    <x v="2481"/>
    <x v="2160"/>
    <n v="1"/>
    <x v="32"/>
    <s v="PATIO TALLER SANTA ANITA"/>
    <s v="Av. San Martin 242"/>
    <x v="1"/>
    <x v="0"/>
    <x v="9"/>
    <x v="1"/>
    <x v="687"/>
    <x v="0"/>
    <n v="1"/>
    <n v="312"/>
    <x v="1"/>
    <x v="1"/>
    <n v="3.134796238244514E-3"/>
    <x v="30"/>
    <x v="3"/>
    <s v="OK"/>
    <x v="1"/>
    <s v="OK"/>
    <x v="0"/>
    <x v="0"/>
    <n v="1"/>
    <n v="1"/>
    <n v="0"/>
    <n v="0"/>
    <x v="0"/>
    <x v="0"/>
    <x v="0"/>
  </r>
  <r>
    <n v="20101155588"/>
    <x v="22"/>
    <x v="22"/>
    <x v="2474"/>
    <x v="2482"/>
    <x v="2161"/>
    <n v="1"/>
    <x v="32"/>
    <s v="PATIO TALLER SANTA ANITA"/>
    <s v="MZQ LT14 ASOC SANTA CRUZ"/>
    <x v="119"/>
    <x v="0"/>
    <x v="9"/>
    <x v="1"/>
    <x v="688"/>
    <x v="0"/>
    <n v="1"/>
    <n v="312"/>
    <x v="1"/>
    <x v="1"/>
    <n v="3.134796238244514E-3"/>
    <x v="27"/>
    <x v="3"/>
    <s v="OK"/>
    <x v="0"/>
    <s v="OK"/>
    <x v="0"/>
    <x v="0"/>
    <n v="1"/>
    <n v="0"/>
    <n v="0"/>
    <n v="0"/>
    <x v="0"/>
    <x v="0"/>
    <x v="0"/>
  </r>
  <r>
    <n v="20101155588"/>
    <x v="22"/>
    <x v="22"/>
    <x v="2475"/>
    <x v="2483"/>
    <x v="2162"/>
    <n v="1"/>
    <x v="32"/>
    <s v="ESTACION 11 A"/>
    <s v="AV. ARICA "/>
    <x v="5"/>
    <x v="0"/>
    <x v="9"/>
    <x v="1"/>
    <x v="689"/>
    <x v="0"/>
    <n v="1"/>
    <n v="312"/>
    <x v="1"/>
    <x v="1"/>
    <n v="3.134796238244514E-3"/>
    <x v="28"/>
    <x v="3"/>
    <s v="OK"/>
    <x v="3"/>
    <s v="OK"/>
    <x v="0"/>
    <x v="0"/>
    <n v="1"/>
    <n v="1"/>
    <n v="0"/>
    <n v="0"/>
    <x v="0"/>
    <x v="0"/>
    <x v="0"/>
  </r>
  <r>
    <n v="20101155588"/>
    <x v="22"/>
    <x v="22"/>
    <x v="2476"/>
    <x v="2484"/>
    <x v="2163"/>
    <n v="1"/>
    <x v="32"/>
    <s v="ESTACION 12 C"/>
    <s v="AAHH CERRO LA CALAVERA "/>
    <x v="44"/>
    <x v="0"/>
    <x v="9"/>
    <x v="1"/>
    <x v="690"/>
    <x v="0"/>
    <n v="1"/>
    <n v="312"/>
    <x v="1"/>
    <x v="1"/>
    <n v="3.134796238244514E-3"/>
    <x v="23"/>
    <x v="3"/>
    <s v="OK"/>
    <x v="0"/>
    <s v="OK"/>
    <x v="0"/>
    <x v="0"/>
    <n v="1"/>
    <n v="0"/>
    <n v="0"/>
    <n v="0"/>
    <x v="0"/>
    <x v="0"/>
    <x v="0"/>
  </r>
  <r>
    <n v="20101155588"/>
    <x v="22"/>
    <x v="22"/>
    <x v="2477"/>
    <x v="2485"/>
    <x v="2147"/>
    <n v="1"/>
    <x v="32"/>
    <s v="PATIO TALLER SANTA ANITA"/>
    <s v="AV. CENTRAL "/>
    <x v="49"/>
    <x v="0"/>
    <x v="9"/>
    <x v="1"/>
    <x v="608"/>
    <x v="0"/>
    <n v="1"/>
    <n v="312"/>
    <x v="1"/>
    <x v="1"/>
    <n v="3.134796238244514E-3"/>
    <x v="30"/>
    <x v="3"/>
    <s v="OK"/>
    <x v="0"/>
    <s v="OK"/>
    <x v="0"/>
    <x v="0"/>
    <n v="1"/>
    <n v="0"/>
    <n v="0"/>
    <n v="0"/>
    <x v="0"/>
    <x v="0"/>
    <x v="0"/>
  </r>
  <r>
    <n v="20101155588"/>
    <x v="22"/>
    <x v="22"/>
    <x v="2478"/>
    <x v="2486"/>
    <x v="2164"/>
    <n v="1"/>
    <x v="32"/>
    <s v="PATIO TALLER SANTA ANITA"/>
    <s v="JR. ALBARICOQUE"/>
    <x v="119"/>
    <x v="0"/>
    <x v="9"/>
    <x v="1"/>
    <x v="617"/>
    <x v="0"/>
    <n v="1"/>
    <n v="312"/>
    <x v="1"/>
    <x v="1"/>
    <n v="3.134796238244514E-3"/>
    <x v="28"/>
    <x v="3"/>
    <s v="OK"/>
    <x v="0"/>
    <s v="OK"/>
    <x v="0"/>
    <x v="0"/>
    <n v="1"/>
    <n v="0"/>
    <n v="0"/>
    <n v="0"/>
    <x v="0"/>
    <x v="0"/>
    <x v="0"/>
  </r>
  <r>
    <n v="20101155588"/>
    <x v="22"/>
    <x v="22"/>
    <x v="2479"/>
    <x v="2487"/>
    <x v="2165"/>
    <n v="1"/>
    <x v="32"/>
    <s v="PATIO TALLER SANTA ANITA"/>
    <s v="Urb. San Elias"/>
    <x v="49"/>
    <x v="0"/>
    <x v="9"/>
    <x v="1"/>
    <x v="321"/>
    <x v="0"/>
    <n v="1"/>
    <n v="312"/>
    <x v="1"/>
    <x v="1"/>
    <n v="3.134796238244514E-3"/>
    <x v="28"/>
    <x v="3"/>
    <s v="OK"/>
    <x v="0"/>
    <s v="OK"/>
    <x v="0"/>
    <x v="0"/>
    <n v="1"/>
    <n v="0"/>
    <n v="0"/>
    <n v="0"/>
    <x v="0"/>
    <x v="0"/>
    <x v="0"/>
  </r>
  <r>
    <n v="20101155588"/>
    <x v="22"/>
    <x v="22"/>
    <x v="2480"/>
    <x v="2488"/>
    <x v="2166"/>
    <n v="1"/>
    <x v="32"/>
    <s v="PATIO TALLER SANTA ANITA"/>
    <s v="Av. Parinacochas"/>
    <x v="25"/>
    <x v="0"/>
    <x v="9"/>
    <x v="1"/>
    <x v="71"/>
    <x v="0"/>
    <n v="1"/>
    <n v="312"/>
    <x v="1"/>
    <x v="1"/>
    <n v="3.134796238244514E-3"/>
    <x v="25"/>
    <x v="3"/>
    <s v="OK"/>
    <x v="4"/>
    <s v="OK"/>
    <x v="0"/>
    <x v="0"/>
    <n v="1"/>
    <n v="1"/>
    <n v="0"/>
    <n v="0"/>
    <x v="0"/>
    <x v="0"/>
    <x v="0"/>
  </r>
  <r>
    <n v="20101155588"/>
    <x v="22"/>
    <x v="22"/>
    <x v="2481"/>
    <x v="2489"/>
    <x v="2167"/>
    <n v="1"/>
    <x v="32"/>
    <s v="DESCANSERO P 18 / E 19"/>
    <s v="AV. BOLIVIA"/>
    <x v="10"/>
    <x v="0"/>
    <x v="9"/>
    <x v="1"/>
    <x v="443"/>
    <x v="0"/>
    <n v="1"/>
    <n v="312"/>
    <x v="1"/>
    <x v="1"/>
    <n v="3.134796238244514E-3"/>
    <x v="24"/>
    <x v="3"/>
    <s v="OK"/>
    <x v="0"/>
    <s v="OK"/>
    <x v="0"/>
    <x v="0"/>
    <n v="1"/>
    <n v="0"/>
    <n v="0"/>
    <n v="0"/>
    <x v="0"/>
    <x v="0"/>
    <x v="0"/>
  </r>
  <r>
    <n v="20101155588"/>
    <x v="22"/>
    <x v="22"/>
    <x v="2482"/>
    <x v="2490"/>
    <x v="2168"/>
    <n v="1"/>
    <x v="32"/>
    <s v="DESCANSERO P 19"/>
    <s v="LA COLECTORA "/>
    <x v="27"/>
    <x v="0"/>
    <x v="9"/>
    <x v="1"/>
    <x v="420"/>
    <x v="0"/>
    <n v="1"/>
    <n v="312"/>
    <x v="1"/>
    <x v="1"/>
    <n v="3.134796238244514E-3"/>
    <x v="31"/>
    <x v="3"/>
    <s v="OK"/>
    <x v="5"/>
    <s v="OK"/>
    <x v="0"/>
    <x v="0"/>
    <n v="1"/>
    <n v="1"/>
    <n v="0"/>
    <n v="0"/>
    <x v="0"/>
    <x v="0"/>
    <x v="0"/>
  </r>
  <r>
    <n v="20101155588"/>
    <x v="22"/>
    <x v="22"/>
    <x v="2483"/>
    <x v="2491"/>
    <x v="2169"/>
    <n v="1"/>
    <x v="32"/>
    <s v="PATIO TALLER SANTA ANITA"/>
    <s v="AA.HH SANTA MARIA ALTA"/>
    <x v="119"/>
    <x v="0"/>
    <x v="9"/>
    <x v="1"/>
    <x v="691"/>
    <x v="0"/>
    <n v="1"/>
    <n v="312"/>
    <x v="1"/>
    <x v="1"/>
    <n v="3.134796238244514E-3"/>
    <x v="26"/>
    <x v="3"/>
    <s v="OK"/>
    <x v="0"/>
    <s v="OK"/>
    <x v="0"/>
    <x v="0"/>
    <n v="1"/>
    <n v="0"/>
    <n v="0"/>
    <n v="0"/>
    <x v="0"/>
    <x v="0"/>
    <x v="0"/>
  </r>
  <r>
    <n v="20101155588"/>
    <x v="22"/>
    <x v="22"/>
    <x v="2484"/>
    <x v="2492"/>
    <x v="2149"/>
    <n v="1"/>
    <x v="32"/>
    <s v="PATIO TALLER SANTA ANITA"/>
    <s v="CALLE  LAS ASUCENAS MZ.H LT.14 25 DE JULIO"/>
    <x v="1"/>
    <x v="0"/>
    <x v="9"/>
    <x v="1"/>
    <x v="692"/>
    <x v="0"/>
    <n v="1"/>
    <n v="312"/>
    <x v="1"/>
    <x v="1"/>
    <n v="3.134796238244514E-3"/>
    <x v="25"/>
    <x v="3"/>
    <s v="OK"/>
    <x v="1"/>
    <s v="OK"/>
    <x v="0"/>
    <x v="0"/>
    <n v="1"/>
    <n v="1"/>
    <n v="0"/>
    <n v="0"/>
    <x v="0"/>
    <x v="0"/>
    <x v="0"/>
  </r>
  <r>
    <n v="20101155588"/>
    <x v="22"/>
    <x v="22"/>
    <x v="2485"/>
    <x v="2493"/>
    <x v="2170"/>
    <n v="1"/>
    <x v="32"/>
    <s v="PATIO TALLER SANTA ANITA"/>
    <s v="AA.HH, JAVIER HERAGUD "/>
    <x v="34"/>
    <x v="0"/>
    <x v="9"/>
    <x v="1"/>
    <x v="651"/>
    <x v="0"/>
    <n v="1"/>
    <n v="312"/>
    <x v="1"/>
    <x v="1"/>
    <n v="3.134796238244514E-3"/>
    <x v="30"/>
    <x v="3"/>
    <s v="OK"/>
    <x v="1"/>
    <s v="OK"/>
    <x v="0"/>
    <x v="0"/>
    <n v="1"/>
    <n v="1"/>
    <n v="0"/>
    <n v="0"/>
    <x v="0"/>
    <x v="0"/>
    <x v="0"/>
  </r>
  <r>
    <n v="20101155588"/>
    <x v="22"/>
    <x v="22"/>
    <x v="2486"/>
    <x v="2494"/>
    <x v="2171"/>
    <n v="1"/>
    <x v="32"/>
    <s v="PATIO TALLER SANTA ANITA"/>
    <s v="LOS ALTOS DE CIENEGUILLA MZ D LT 10"/>
    <x v="159"/>
    <x v="0"/>
    <x v="9"/>
    <x v="1"/>
    <x v="693"/>
    <x v="0"/>
    <n v="1"/>
    <n v="312"/>
    <x v="1"/>
    <x v="1"/>
    <n v="3.134796238244514E-3"/>
    <x v="29"/>
    <x v="3"/>
    <s v="OK"/>
    <x v="0"/>
    <s v="OK"/>
    <x v="0"/>
    <x v="0"/>
    <n v="1"/>
    <n v="0"/>
    <n v="0"/>
    <n v="0"/>
    <x v="0"/>
    <x v="0"/>
    <x v="0"/>
  </r>
  <r>
    <n v="20101155588"/>
    <x v="22"/>
    <x v="22"/>
    <x v="2487"/>
    <x v="2495"/>
    <x v="2172"/>
    <n v="1"/>
    <x v="32"/>
    <s v="PATIO TALLER SANTA ANITA"/>
    <s v="JR. TACNA 1020"/>
    <x v="3"/>
    <x v="0"/>
    <x v="9"/>
    <x v="1"/>
    <x v="694"/>
    <x v="0"/>
    <n v="1"/>
    <n v="312"/>
    <x v="1"/>
    <x v="1"/>
    <n v="3.134796238244514E-3"/>
    <x v="27"/>
    <x v="3"/>
    <s v="OK"/>
    <x v="0"/>
    <s v="OK"/>
    <x v="0"/>
    <x v="0"/>
    <n v="1"/>
    <n v="0"/>
    <n v="0"/>
    <n v="0"/>
    <x v="0"/>
    <x v="0"/>
    <x v="0"/>
  </r>
  <r>
    <n v="20101155588"/>
    <x v="22"/>
    <x v="22"/>
    <x v="2488"/>
    <x v="2496"/>
    <x v="2173"/>
    <n v="1"/>
    <x v="32"/>
    <s v="PATIO TALLER SANTA ANITA"/>
    <s v="ASOC. LOS PALTOS MZ1 LT20"/>
    <x v="52"/>
    <x v="0"/>
    <x v="9"/>
    <x v="1"/>
    <x v="695"/>
    <x v="0"/>
    <n v="1"/>
    <n v="312"/>
    <x v="1"/>
    <x v="1"/>
    <n v="3.134796238244514E-3"/>
    <x v="31"/>
    <x v="3"/>
    <s v="OK"/>
    <x v="0"/>
    <s v="OK"/>
    <x v="0"/>
    <x v="0"/>
    <n v="1"/>
    <n v="0"/>
    <n v="0"/>
    <n v="0"/>
    <x v="0"/>
    <x v="0"/>
    <x v="0"/>
  </r>
  <r>
    <n v="20101155588"/>
    <x v="22"/>
    <x v="22"/>
    <x v="2489"/>
    <x v="2497"/>
    <x v="2174"/>
    <n v="1"/>
    <x v="32"/>
    <s v="PATIO TALLER SANTA ANITA"/>
    <s v="JR. SAN MARTIN 420"/>
    <x v="46"/>
    <x v="1"/>
    <x v="9"/>
    <x v="1"/>
    <x v="696"/>
    <x v="0"/>
    <n v="1"/>
    <n v="312"/>
    <x v="1"/>
    <x v="1"/>
    <n v="3.134796238244514E-3"/>
    <x v="30"/>
    <x v="3"/>
    <s v="OK"/>
    <x v="7"/>
    <s v="OK"/>
    <x v="0"/>
    <x v="0"/>
    <n v="1"/>
    <n v="1"/>
    <n v="0"/>
    <n v="0"/>
    <x v="0"/>
    <x v="0"/>
    <x v="0"/>
  </r>
  <r>
    <n v="20101155588"/>
    <x v="22"/>
    <x v="22"/>
    <x v="2490"/>
    <x v="2498"/>
    <x v="2175"/>
    <n v="1"/>
    <x v="32"/>
    <s v="POZO 16"/>
    <s v=" URBN. 27 DE MARZO"/>
    <x v="15"/>
    <x v="0"/>
    <x v="9"/>
    <x v="1"/>
    <x v="697"/>
    <x v="0"/>
    <n v="1"/>
    <n v="312"/>
    <x v="1"/>
    <x v="1"/>
    <n v="3.134796238244514E-3"/>
    <x v="27"/>
    <x v="3"/>
    <s v="OK"/>
    <x v="0"/>
    <s v="OK"/>
    <x v="0"/>
    <x v="0"/>
    <n v="1"/>
    <n v="0"/>
    <n v="0"/>
    <n v="0"/>
    <x v="0"/>
    <x v="0"/>
    <x v="0"/>
  </r>
  <r>
    <n v="20101155588"/>
    <x v="22"/>
    <x v="22"/>
    <x v="2491"/>
    <x v="2499"/>
    <x v="2176"/>
    <n v="1"/>
    <x v="32"/>
    <s v="PATIO TALLER SANTA ANITA"/>
    <s v="URB. SAN PEDRO"/>
    <x v="54"/>
    <x v="0"/>
    <x v="9"/>
    <x v="1"/>
    <x v="698"/>
    <x v="0"/>
    <n v="1"/>
    <n v="312"/>
    <x v="1"/>
    <x v="1"/>
    <n v="3.134796238244514E-3"/>
    <x v="25"/>
    <x v="3"/>
    <s v="OK"/>
    <x v="0"/>
    <s v="OK"/>
    <x v="0"/>
    <x v="0"/>
    <n v="1"/>
    <n v="0"/>
    <n v="0"/>
    <n v="0"/>
    <x v="0"/>
    <x v="0"/>
    <x v="0"/>
  </r>
  <r>
    <n v="20101155588"/>
    <x v="22"/>
    <x v="22"/>
    <x v="2492"/>
    <x v="2500"/>
    <x v="2177"/>
    <n v="1"/>
    <x v="32"/>
    <s v="POZO 16.B"/>
    <s v="NIÑOS MÁRTIRES "/>
    <x v="49"/>
    <x v="0"/>
    <x v="9"/>
    <x v="1"/>
    <x v="618"/>
    <x v="0"/>
    <n v="1"/>
    <n v="312"/>
    <x v="1"/>
    <x v="1"/>
    <n v="3.134796238244514E-3"/>
    <x v="25"/>
    <x v="3"/>
    <s v="OK"/>
    <x v="0"/>
    <s v="OK"/>
    <x v="0"/>
    <x v="0"/>
    <n v="1"/>
    <n v="0"/>
    <n v="0"/>
    <n v="0"/>
    <x v="0"/>
    <x v="0"/>
    <x v="0"/>
  </r>
  <r>
    <n v="20101155588"/>
    <x v="22"/>
    <x v="22"/>
    <x v="2493"/>
    <x v="2501"/>
    <x v="2178"/>
    <n v="1"/>
    <x v="32"/>
    <s v="POZO  19  C"/>
    <s v="JR. ALBARICOQUE"/>
    <x v="119"/>
    <x v="0"/>
    <x v="9"/>
    <x v="1"/>
    <x v="699"/>
    <x v="0"/>
    <n v="1"/>
    <n v="312"/>
    <x v="1"/>
    <x v="1"/>
    <n v="3.134796238244514E-3"/>
    <x v="24"/>
    <x v="3"/>
    <s v="OK"/>
    <x v="0"/>
    <s v="OK"/>
    <x v="0"/>
    <x v="0"/>
    <n v="1"/>
    <n v="0"/>
    <n v="0"/>
    <n v="0"/>
    <x v="0"/>
    <x v="0"/>
    <x v="0"/>
  </r>
  <r>
    <n v="20101155588"/>
    <x v="22"/>
    <x v="22"/>
    <x v="2494"/>
    <x v="2502"/>
    <x v="2179"/>
    <n v="1"/>
    <x v="32"/>
    <s v="POZO 24 A"/>
    <s v="ASOC.HAYA DE LA TORRE"/>
    <x v="44"/>
    <x v="0"/>
    <x v="9"/>
    <x v="1"/>
    <x v="700"/>
    <x v="0"/>
    <n v="1"/>
    <n v="312"/>
    <x v="1"/>
    <x v="1"/>
    <n v="3.134796238244514E-3"/>
    <x v="31"/>
    <x v="3"/>
    <s v="OK"/>
    <x v="0"/>
    <s v="OK"/>
    <x v="0"/>
    <x v="0"/>
    <n v="1"/>
    <n v="0"/>
    <n v="0"/>
    <n v="0"/>
    <x v="0"/>
    <x v="0"/>
    <x v="0"/>
  </r>
  <r>
    <n v="20101155588"/>
    <x v="22"/>
    <x v="22"/>
    <x v="2495"/>
    <x v="2503"/>
    <x v="1941"/>
    <n v="1"/>
    <x v="32"/>
    <s v="POZO 25.A"/>
    <s v="AA.HH LOS PORTALES DE BASILIO"/>
    <x v="119"/>
    <x v="0"/>
    <x v="9"/>
    <x v="1"/>
    <x v="555"/>
    <x v="0"/>
    <n v="1"/>
    <n v="312"/>
    <x v="1"/>
    <x v="1"/>
    <n v="3.134796238244514E-3"/>
    <x v="28"/>
    <x v="3"/>
    <s v="OK"/>
    <x v="0"/>
    <s v="OK"/>
    <x v="0"/>
    <x v="0"/>
    <n v="1"/>
    <n v="0"/>
    <n v="0"/>
    <n v="0"/>
    <x v="0"/>
    <x v="0"/>
    <x v="0"/>
  </r>
  <r>
    <n v="20101155588"/>
    <x v="22"/>
    <x v="22"/>
    <x v="2496"/>
    <x v="2504"/>
    <x v="2180"/>
    <n v="1"/>
    <x v="32"/>
    <s v="POZO 26.A"/>
    <s v="AA.HH. VIA SAN LUIS  MZ.B LT. 16  ( SANTA CLARA "/>
    <x v="34"/>
    <x v="0"/>
    <x v="9"/>
    <x v="1"/>
    <x v="326"/>
    <x v="0"/>
    <n v="1"/>
    <n v="312"/>
    <x v="1"/>
    <x v="1"/>
    <n v="3.134796238244514E-3"/>
    <x v="25"/>
    <x v="3"/>
    <s v="OK"/>
    <x v="1"/>
    <s v="OK"/>
    <x v="0"/>
    <x v="0"/>
    <n v="1"/>
    <n v="1"/>
    <n v="0"/>
    <n v="0"/>
    <x v="0"/>
    <x v="0"/>
    <x v="0"/>
  </r>
  <r>
    <n v="20101155588"/>
    <x v="22"/>
    <x v="22"/>
    <x v="2497"/>
    <x v="2505"/>
    <x v="2181"/>
    <n v="1"/>
    <x v="32"/>
    <s v="ESTACION 10 B"/>
    <s v="ZONA 07 MZK LT 15  PAYET"/>
    <x v="44"/>
    <x v="0"/>
    <x v="9"/>
    <x v="1"/>
    <x v="701"/>
    <x v="0"/>
    <n v="1"/>
    <n v="312"/>
    <x v="1"/>
    <x v="1"/>
    <n v="3.134796238244514E-3"/>
    <x v="26"/>
    <x v="3"/>
    <s v="OK"/>
    <x v="0"/>
    <s v="OK"/>
    <x v="0"/>
    <x v="0"/>
    <n v="1"/>
    <n v="0"/>
    <n v="0"/>
    <n v="0"/>
    <x v="0"/>
    <x v="0"/>
    <x v="0"/>
  </r>
  <r>
    <n v="20101155588"/>
    <x v="22"/>
    <x v="22"/>
    <x v="2498"/>
    <x v="2506"/>
    <x v="2182"/>
    <n v="1"/>
    <x v="32"/>
    <s v="DESCANSERO P 16"/>
    <s v="RIO MAJES CDRA.37 AV. PROCERES DE LA INDEPEDENCIAS"/>
    <x v="15"/>
    <x v="0"/>
    <x v="9"/>
    <x v="1"/>
    <x v="702"/>
    <x v="0"/>
    <n v="1"/>
    <n v="312"/>
    <x v="1"/>
    <x v="1"/>
    <n v="3.134796238244514E-3"/>
    <x v="25"/>
    <x v="3"/>
    <s v="OK"/>
    <x v="0"/>
    <s v="OK"/>
    <x v="0"/>
    <x v="0"/>
    <n v="1"/>
    <n v="0"/>
    <n v="0"/>
    <n v="0"/>
    <x v="0"/>
    <x v="0"/>
    <x v="0"/>
  </r>
  <r>
    <n v="20101155588"/>
    <x v="22"/>
    <x v="22"/>
    <x v="2499"/>
    <x v="2507"/>
    <x v="2183"/>
    <n v="1"/>
    <x v="32"/>
    <s v="ESTACION 17 A"/>
    <s v="AV. SANTA ROSA S/N."/>
    <x v="27"/>
    <x v="0"/>
    <x v="9"/>
    <x v="1"/>
    <x v="703"/>
    <x v="0"/>
    <n v="1"/>
    <n v="312"/>
    <x v="1"/>
    <x v="1"/>
    <n v="3.134796238244514E-3"/>
    <x v="29"/>
    <x v="3"/>
    <s v="OK"/>
    <x v="5"/>
    <s v="OK"/>
    <x v="0"/>
    <x v="0"/>
    <n v="1"/>
    <n v="1"/>
    <n v="0"/>
    <n v="0"/>
    <x v="0"/>
    <x v="0"/>
    <x v="0"/>
  </r>
  <r>
    <n v="20101155588"/>
    <x v="22"/>
    <x v="22"/>
    <x v="2500"/>
    <x v="2508"/>
    <x v="1913"/>
    <n v="1"/>
    <x v="32"/>
    <s v="ESTACION 17 C"/>
    <s v="URB. LOS ALAMOS MZ J LT 14"/>
    <x v="325"/>
    <x v="0"/>
    <x v="9"/>
    <x v="1"/>
    <x v="704"/>
    <x v="0"/>
    <n v="1"/>
    <n v="312"/>
    <x v="1"/>
    <x v="1"/>
    <n v="3.134796238244514E-3"/>
    <x v="28"/>
    <x v="3"/>
    <s v="OK"/>
    <x v="0"/>
    <s v="OK"/>
    <x v="0"/>
    <x v="0"/>
    <n v="1"/>
    <n v="0"/>
    <n v="0"/>
    <n v="0"/>
    <x v="0"/>
    <x v="0"/>
    <x v="0"/>
  </r>
  <r>
    <n v="20101155588"/>
    <x v="22"/>
    <x v="22"/>
    <x v="2501"/>
    <x v="2509"/>
    <x v="2184"/>
    <n v="1"/>
    <x v="32"/>
    <s v="ESTACION 18.E"/>
    <s v="JR. LOS PINARES"/>
    <x v="3"/>
    <x v="0"/>
    <x v="9"/>
    <x v="1"/>
    <x v="705"/>
    <x v="0"/>
    <n v="1"/>
    <n v="312"/>
    <x v="1"/>
    <x v="1"/>
    <n v="3.134796238244514E-3"/>
    <x v="27"/>
    <x v="3"/>
    <s v="OK"/>
    <x v="0"/>
    <s v="OK"/>
    <x v="0"/>
    <x v="0"/>
    <n v="1"/>
    <n v="0"/>
    <n v="0"/>
    <n v="0"/>
    <x v="0"/>
    <x v="0"/>
    <x v="0"/>
  </r>
  <r>
    <n v="20101155588"/>
    <x v="22"/>
    <x v="22"/>
    <x v="2502"/>
    <x v="2510"/>
    <x v="2185"/>
    <n v="1"/>
    <x v="32"/>
    <s v="ESTACION 19 C"/>
    <s v="JR. JATUN COLLA 1010 URB. MANGOMARCA"/>
    <x v="76"/>
    <x v="0"/>
    <x v="9"/>
    <x v="1"/>
    <x v="706"/>
    <x v="0"/>
    <n v="1"/>
    <n v="312"/>
    <x v="1"/>
    <x v="1"/>
    <n v="3.134796238244514E-3"/>
    <x v="27"/>
    <x v="3"/>
    <s v="OK"/>
    <x v="0"/>
    <s v="OK"/>
    <x v="0"/>
    <x v="0"/>
    <n v="1"/>
    <n v="0"/>
    <n v="0"/>
    <n v="0"/>
    <x v="0"/>
    <x v="0"/>
    <x v="0"/>
  </r>
  <r>
    <n v="20101155588"/>
    <x v="22"/>
    <x v="22"/>
    <x v="2503"/>
    <x v="2511"/>
    <x v="2186"/>
    <n v="1"/>
    <x v="32"/>
    <s v="ESTACION 25 B"/>
    <s v="URB. SANTA MARIA  AV. LOS EUCALIPOS  S/N "/>
    <x v="331"/>
    <x v="0"/>
    <x v="9"/>
    <x v="1"/>
    <x v="707"/>
    <x v="0"/>
    <n v="1"/>
    <n v="312"/>
    <x v="1"/>
    <x v="1"/>
    <n v="3.134796238244514E-3"/>
    <x v="26"/>
    <x v="3"/>
    <s v="OK"/>
    <x v="0"/>
    <s v="OK"/>
    <x v="0"/>
    <x v="0"/>
    <n v="1"/>
    <n v="0"/>
    <n v="0"/>
    <n v="0"/>
    <x v="0"/>
    <x v="0"/>
    <x v="0"/>
  </r>
  <r>
    <n v="20101155588"/>
    <x v="22"/>
    <x v="22"/>
    <x v="2504"/>
    <x v="2512"/>
    <x v="1865"/>
    <n v="1"/>
    <x v="32"/>
    <s v="ESTACION 25 C"/>
    <s v="CALLE CHAVIN 277 ANDAHUAYLAS"/>
    <x v="27"/>
    <x v="0"/>
    <x v="9"/>
    <x v="1"/>
    <x v="708"/>
    <x v="0"/>
    <n v="1"/>
    <n v="312"/>
    <x v="1"/>
    <x v="1"/>
    <n v="3.134796238244514E-3"/>
    <x v="30"/>
    <x v="3"/>
    <s v="OK"/>
    <x v="5"/>
    <s v="OK"/>
    <x v="0"/>
    <x v="0"/>
    <n v="1"/>
    <n v="1"/>
    <n v="0"/>
    <n v="0"/>
    <x v="0"/>
    <x v="0"/>
    <x v="0"/>
  </r>
  <r>
    <n v="20101155588"/>
    <x v="22"/>
    <x v="22"/>
    <x v="2505"/>
    <x v="2513"/>
    <x v="2187"/>
    <n v="1"/>
    <x v="32"/>
    <s v="ESTACION 27 B"/>
    <s v="MZCALT2 P PINOCHETO"/>
    <x v="27"/>
    <x v="0"/>
    <x v="9"/>
    <x v="1"/>
    <x v="709"/>
    <x v="0"/>
    <n v="1"/>
    <n v="312"/>
    <x v="1"/>
    <x v="1"/>
    <n v="3.134796238244514E-3"/>
    <x v="31"/>
    <x v="3"/>
    <s v="OK"/>
    <x v="5"/>
    <s v="OK"/>
    <x v="0"/>
    <x v="0"/>
    <n v="1"/>
    <n v="1"/>
    <n v="0"/>
    <n v="0"/>
    <x v="0"/>
    <x v="0"/>
    <x v="0"/>
  </r>
  <r>
    <n v="20101155588"/>
    <x v="22"/>
    <x v="22"/>
    <x v="2506"/>
    <x v="2514"/>
    <x v="2188"/>
    <n v="1"/>
    <x v="32"/>
    <s v="DESCANSERO E 17 / E 19"/>
    <s v="AA.HH LAS ROCAS DE BELLAVISTA"/>
    <x v="325"/>
    <x v="0"/>
    <x v="9"/>
    <x v="1"/>
    <x v="655"/>
    <x v="0"/>
    <n v="1"/>
    <n v="312"/>
    <x v="1"/>
    <x v="1"/>
    <n v="3.134796238244514E-3"/>
    <x v="27"/>
    <x v="3"/>
    <s v="OK"/>
    <x v="0"/>
    <s v="OK"/>
    <x v="0"/>
    <x v="0"/>
    <n v="1"/>
    <n v="0"/>
    <n v="0"/>
    <n v="0"/>
    <x v="0"/>
    <x v="0"/>
    <x v="0"/>
  </r>
  <r>
    <n v="20101155588"/>
    <x v="22"/>
    <x v="22"/>
    <x v="2507"/>
    <x v="2515"/>
    <x v="2189"/>
    <n v="1"/>
    <x v="32"/>
    <s v="ESTACION 09 A"/>
    <s v="AV. BOSQUE HUANCA"/>
    <x v="46"/>
    <x v="0"/>
    <x v="9"/>
    <x v="1"/>
    <x v="710"/>
    <x v="0"/>
    <n v="1"/>
    <n v="312"/>
    <x v="1"/>
    <x v="1"/>
    <n v="3.134796238244514E-3"/>
    <x v="26"/>
    <x v="3"/>
    <s v="OK"/>
    <x v="7"/>
    <s v="OK"/>
    <x v="0"/>
    <x v="0"/>
    <n v="1"/>
    <n v="1"/>
    <n v="0"/>
    <n v="0"/>
    <x v="0"/>
    <x v="0"/>
    <x v="0"/>
  </r>
  <r>
    <n v="20101155588"/>
    <x v="22"/>
    <x v="22"/>
    <x v="2508"/>
    <x v="2516"/>
    <x v="2190"/>
    <n v="1"/>
    <x v="32"/>
    <s v="DESCANSERO"/>
    <s v="AV. LA RIEL "/>
    <x v="209"/>
    <x v="1"/>
    <x v="9"/>
    <x v="1"/>
    <x v="711"/>
    <x v="0"/>
    <n v="1"/>
    <n v="312"/>
    <x v="1"/>
    <x v="1"/>
    <n v="3.134796238244514E-3"/>
    <x v="28"/>
    <x v="3"/>
    <s v="OK"/>
    <x v="1"/>
    <s v="OK"/>
    <x v="0"/>
    <x v="0"/>
    <n v="1"/>
    <n v="1"/>
    <n v="0"/>
    <n v="0"/>
    <x v="0"/>
    <x v="0"/>
    <x v="0"/>
  </r>
  <r>
    <n v="20101155588"/>
    <x v="22"/>
    <x v="22"/>
    <x v="2509"/>
    <x v="2517"/>
    <x v="2191"/>
    <n v="1"/>
    <x v="32"/>
    <s v="DESCANSERO E 15  / P 15"/>
    <s v="AV. METROPOLITANA"/>
    <x v="27"/>
    <x v="0"/>
    <x v="9"/>
    <x v="1"/>
    <x v="266"/>
    <x v="0"/>
    <n v="1"/>
    <n v="312"/>
    <x v="1"/>
    <x v="1"/>
    <n v="3.134796238244514E-3"/>
    <x v="23"/>
    <x v="3"/>
    <s v="OK"/>
    <x v="5"/>
    <s v="OK"/>
    <x v="0"/>
    <x v="0"/>
    <n v="1"/>
    <n v="1"/>
    <n v="0"/>
    <n v="0"/>
    <x v="0"/>
    <x v="0"/>
    <x v="0"/>
  </r>
  <r>
    <n v="20101155588"/>
    <x v="22"/>
    <x v="22"/>
    <x v="2510"/>
    <x v="2518"/>
    <x v="2192"/>
    <n v="1"/>
    <x v="32"/>
    <s v="GUILLERMO DANSEY"/>
    <s v="CALLE LOS CIPRECES"/>
    <x v="119"/>
    <x v="0"/>
    <x v="9"/>
    <x v="1"/>
    <x v="298"/>
    <x v="0"/>
    <n v="1"/>
    <n v="312"/>
    <x v="1"/>
    <x v="1"/>
    <n v="3.134796238244514E-3"/>
    <x v="27"/>
    <x v="3"/>
    <s v="OK"/>
    <x v="0"/>
    <s v="OK"/>
    <x v="0"/>
    <x v="0"/>
    <n v="1"/>
    <n v="0"/>
    <n v="0"/>
    <n v="0"/>
    <x v="0"/>
    <x v="0"/>
    <x v="0"/>
  </r>
  <r>
    <n v="20101155588"/>
    <x v="22"/>
    <x v="22"/>
    <x v="2511"/>
    <x v="2519"/>
    <x v="1983"/>
    <n v="1"/>
    <x v="32"/>
    <s v="POZO 19 BISS"/>
    <s v="AAHH VALLE HERMOSO"/>
    <x v="44"/>
    <x v="1"/>
    <x v="9"/>
    <x v="1"/>
    <x v="712"/>
    <x v="0"/>
    <n v="1"/>
    <n v="312"/>
    <x v="1"/>
    <x v="1"/>
    <n v="3.134796238244514E-3"/>
    <x v="23"/>
    <x v="3"/>
    <s v="OK"/>
    <x v="0"/>
    <s v="OK"/>
    <x v="0"/>
    <x v="0"/>
    <n v="1"/>
    <n v="0"/>
    <n v="0"/>
    <n v="0"/>
    <x v="0"/>
    <x v="0"/>
    <x v="0"/>
  </r>
  <r>
    <n v="20101155588"/>
    <x v="22"/>
    <x v="22"/>
    <x v="2512"/>
    <x v="2520"/>
    <x v="2006"/>
    <n v="1"/>
    <x v="32"/>
    <s v="ESTACION 26 DUCTO"/>
    <s v="CAJA DE AGUA"/>
    <x v="15"/>
    <x v="0"/>
    <x v="9"/>
    <x v="1"/>
    <x v="713"/>
    <x v="0"/>
    <n v="1"/>
    <n v="312"/>
    <x v="1"/>
    <x v="1"/>
    <n v="3.134796238244514E-3"/>
    <x v="31"/>
    <x v="3"/>
    <s v="OK"/>
    <x v="0"/>
    <s v="OK"/>
    <x v="0"/>
    <x v="0"/>
    <n v="1"/>
    <n v="0"/>
    <n v="0"/>
    <n v="0"/>
    <x v="0"/>
    <x v="0"/>
    <x v="0"/>
  </r>
  <r>
    <n v="20101155588"/>
    <x v="22"/>
    <x v="22"/>
    <x v="2513"/>
    <x v="2521"/>
    <x v="2193"/>
    <n v="1"/>
    <x v="32"/>
    <s v="POZO 26 "/>
    <s v="URB. SANTA MARIA  AV. LOS EUCALIPOS  S/N "/>
    <x v="331"/>
    <x v="0"/>
    <x v="9"/>
    <x v="1"/>
    <x v="714"/>
    <x v="0"/>
    <n v="1"/>
    <n v="312"/>
    <x v="1"/>
    <x v="1"/>
    <n v="3.134796238244514E-3"/>
    <x v="28"/>
    <x v="3"/>
    <s v="OK"/>
    <x v="0"/>
    <s v="OK"/>
    <x v="0"/>
    <x v="0"/>
    <n v="1"/>
    <n v="0"/>
    <n v="0"/>
    <n v="0"/>
    <x v="0"/>
    <x v="0"/>
    <x v="0"/>
  </r>
  <r>
    <n v="20101155588"/>
    <x v="22"/>
    <x v="22"/>
    <x v="2514"/>
    <x v="2522"/>
    <x v="1805"/>
    <n v="1"/>
    <x v="32"/>
    <s v="DESCANSERO E12"/>
    <s v="PRO MZ Y4 LOTE 19 CALLE 32"/>
    <x v="49"/>
    <x v="0"/>
    <x v="9"/>
    <x v="1"/>
    <x v="85"/>
    <x v="0"/>
    <n v="1"/>
    <n v="312"/>
    <x v="1"/>
    <x v="1"/>
    <n v="3.134796238244514E-3"/>
    <x v="25"/>
    <x v="3"/>
    <s v="OK"/>
    <x v="0"/>
    <s v="OK"/>
    <x v="0"/>
    <x v="0"/>
    <n v="1"/>
    <n v="0"/>
    <n v="0"/>
    <n v="0"/>
    <x v="0"/>
    <x v="0"/>
    <x v="0"/>
  </r>
  <r>
    <n v="20101155588"/>
    <x v="22"/>
    <x v="22"/>
    <x v="2515"/>
    <x v="2523"/>
    <x v="2194"/>
    <n v="1"/>
    <x v="32"/>
    <s v="OFICINA OIP"/>
    <s v="MZ C LT 9 URBANIZACION MAYORAZGO ETAPA 2"/>
    <x v="3"/>
    <x v="0"/>
    <x v="9"/>
    <x v="1"/>
    <x v="425"/>
    <x v="0"/>
    <n v="1"/>
    <n v="312"/>
    <x v="1"/>
    <x v="1"/>
    <n v="3.134796238244514E-3"/>
    <x v="31"/>
    <x v="3"/>
    <s v="OK"/>
    <x v="0"/>
    <s v="OK"/>
    <x v="0"/>
    <x v="0"/>
    <n v="1"/>
    <n v="0"/>
    <n v="0"/>
    <n v="0"/>
    <x v="0"/>
    <x v="0"/>
    <x v="0"/>
  </r>
  <r>
    <n v="20101155588"/>
    <x v="22"/>
    <x v="22"/>
    <x v="2516"/>
    <x v="2524"/>
    <x v="2195"/>
    <n v="1"/>
    <x v="32"/>
    <s v="ESTACION 18"/>
    <s v="MZ D LT 1 J CENTRO POBLADO RURAL LAS HIGUERAS"/>
    <x v="4"/>
    <x v="0"/>
    <x v="9"/>
    <x v="1"/>
    <x v="425"/>
    <x v="0"/>
    <n v="1"/>
    <n v="312"/>
    <x v="1"/>
    <x v="1"/>
    <n v="3.134796238244514E-3"/>
    <x v="29"/>
    <x v="3"/>
    <s v="OK"/>
    <x v="0"/>
    <s v="OK"/>
    <x v="0"/>
    <x v="0"/>
    <n v="1"/>
    <n v="0"/>
    <n v="0"/>
    <n v="0"/>
    <x v="0"/>
    <x v="0"/>
    <x v="0"/>
  </r>
  <r>
    <n v="20101155588"/>
    <x v="22"/>
    <x v="22"/>
    <x v="2517"/>
    <x v="2525"/>
    <x v="2196"/>
    <n v="1"/>
    <x v="32"/>
    <s v="ESTACION 10"/>
    <s v="JR MARACAIRO 1785"/>
    <x v="3"/>
    <x v="0"/>
    <x v="9"/>
    <x v="1"/>
    <x v="78"/>
    <x v="0"/>
    <n v="1"/>
    <n v="312"/>
    <x v="1"/>
    <x v="1"/>
    <n v="3.134796238244514E-3"/>
    <x v="23"/>
    <x v="3"/>
    <s v="OK"/>
    <x v="0"/>
    <s v="OK"/>
    <x v="0"/>
    <x v="0"/>
    <n v="1"/>
    <n v="0"/>
    <n v="0"/>
    <n v="0"/>
    <x v="0"/>
    <x v="0"/>
    <x v="0"/>
  </r>
  <r>
    <n v="20101155588"/>
    <x v="22"/>
    <x v="22"/>
    <x v="2518"/>
    <x v="2526"/>
    <x v="2197"/>
    <n v="1"/>
    <x v="32"/>
    <s v="ESTACION 09 A"/>
    <s v="AV VENEZUELA 2601"/>
    <x v="45"/>
    <x v="0"/>
    <x v="9"/>
    <x v="1"/>
    <x v="267"/>
    <x v="0"/>
    <n v="1"/>
    <n v="312"/>
    <x v="1"/>
    <x v="1"/>
    <n v="3.134796238244514E-3"/>
    <x v="26"/>
    <x v="3"/>
    <s v="OK"/>
    <x v="3"/>
    <s v="OK"/>
    <x v="0"/>
    <x v="0"/>
    <n v="1"/>
    <n v="1"/>
    <n v="0"/>
    <n v="0"/>
    <x v="0"/>
    <x v="0"/>
    <x v="0"/>
  </r>
  <r>
    <n v="20101155588"/>
    <x v="22"/>
    <x v="22"/>
    <x v="2519"/>
    <x v="2527"/>
    <x v="2198"/>
    <n v="1"/>
    <x v="32"/>
    <s v="ESTACION 16 A"/>
    <s v="AV. AVIACION"/>
    <x v="25"/>
    <x v="0"/>
    <x v="9"/>
    <x v="1"/>
    <x v="249"/>
    <x v="0"/>
    <n v="1"/>
    <n v="312"/>
    <x v="1"/>
    <x v="1"/>
    <n v="3.134796238244514E-3"/>
    <x v="29"/>
    <x v="3"/>
    <s v="OK"/>
    <x v="4"/>
    <s v="OK"/>
    <x v="0"/>
    <x v="0"/>
    <n v="1"/>
    <n v="1"/>
    <n v="0"/>
    <n v="0"/>
    <x v="0"/>
    <x v="0"/>
    <x v="0"/>
  </r>
  <r>
    <n v="20101155588"/>
    <x v="22"/>
    <x v="22"/>
    <x v="2520"/>
    <x v="2528"/>
    <x v="2199"/>
    <n v="1"/>
    <x v="32"/>
    <s v="POZO 17 A"/>
    <s v="AV. MEXICO"/>
    <x v="25"/>
    <x v="0"/>
    <x v="9"/>
    <x v="1"/>
    <x v="272"/>
    <x v="0"/>
    <n v="1"/>
    <n v="312"/>
    <x v="1"/>
    <x v="1"/>
    <n v="3.134796238244514E-3"/>
    <x v="25"/>
    <x v="3"/>
    <s v="OK"/>
    <x v="4"/>
    <s v="OK"/>
    <x v="0"/>
    <x v="0"/>
    <n v="1"/>
    <n v="1"/>
    <n v="0"/>
    <n v="0"/>
    <x v="0"/>
    <x v="0"/>
    <x v="0"/>
  </r>
  <r>
    <n v="20101155588"/>
    <x v="22"/>
    <x v="22"/>
    <x v="2521"/>
    <x v="2529"/>
    <x v="2200"/>
    <n v="1"/>
    <x v="32"/>
    <s v="ESTACION 18 C"/>
    <s v="Av. CIRCUNVALACION"/>
    <x v="25"/>
    <x v="0"/>
    <x v="9"/>
    <x v="1"/>
    <x v="85"/>
    <x v="0"/>
    <n v="1"/>
    <n v="312"/>
    <x v="1"/>
    <x v="1"/>
    <n v="3.134796238244514E-3"/>
    <x v="24"/>
    <x v="3"/>
    <s v="OK"/>
    <x v="4"/>
    <s v="OK"/>
    <x v="0"/>
    <x v="0"/>
    <n v="1"/>
    <n v="1"/>
    <n v="0"/>
    <n v="0"/>
    <x v="0"/>
    <x v="0"/>
    <x v="0"/>
  </r>
  <r>
    <n v="20101155588"/>
    <x v="22"/>
    <x v="22"/>
    <x v="2522"/>
    <x v="2530"/>
    <x v="2201"/>
    <n v="1"/>
    <x v="32"/>
    <s v="PATIO TALLER SANTA ANITA"/>
    <s v="JIRON CESAR VALLEJO 667"/>
    <x v="0"/>
    <x v="0"/>
    <x v="9"/>
    <x v="1"/>
    <x v="307"/>
    <x v="0"/>
    <n v="1"/>
    <n v="312"/>
    <x v="1"/>
    <x v="1"/>
    <n v="3.134796238244514E-3"/>
    <x v="30"/>
    <x v="3"/>
    <s v="OK"/>
    <x v="0"/>
    <s v="OK"/>
    <x v="0"/>
    <x v="0"/>
    <n v="1"/>
    <n v="0"/>
    <n v="0"/>
    <n v="0"/>
    <x v="0"/>
    <x v="0"/>
    <x v="0"/>
  </r>
  <r>
    <n v="20101155588"/>
    <x v="22"/>
    <x v="22"/>
    <x v="2523"/>
    <x v="2531"/>
    <x v="2202"/>
    <n v="1"/>
    <x v="32"/>
    <s v="ESTACION 06 PTA2"/>
    <s v="JIRON HUANCAYO TODOS UNIDOS MZO LT4"/>
    <x v="6"/>
    <x v="0"/>
    <x v="9"/>
    <x v="1"/>
    <x v="353"/>
    <x v="0"/>
    <n v="1"/>
    <n v="312"/>
    <x v="1"/>
    <x v="1"/>
    <n v="3.134796238244514E-3"/>
    <x v="27"/>
    <x v="3"/>
    <s v="OK"/>
    <x v="2"/>
    <s v="OK"/>
    <x v="0"/>
    <x v="0"/>
    <n v="1"/>
    <n v="1"/>
    <n v="0"/>
    <n v="0"/>
    <x v="0"/>
    <x v="0"/>
    <x v="0"/>
  </r>
  <r>
    <n v="20101155588"/>
    <x v="22"/>
    <x v="22"/>
    <x v="2524"/>
    <x v="2532"/>
    <x v="2203"/>
    <n v="1"/>
    <x v="32"/>
    <s v="DESCANSERO ZONA DANSEY"/>
    <s v="AAHH PUERTO PACHACUTEC MZ G4 LT 21"/>
    <x v="2"/>
    <x v="0"/>
    <x v="9"/>
    <x v="1"/>
    <x v="87"/>
    <x v="0"/>
    <n v="1"/>
    <n v="312"/>
    <x v="1"/>
    <x v="1"/>
    <n v="3.134796238244514E-3"/>
    <x v="26"/>
    <x v="3"/>
    <s v="OK"/>
    <x v="2"/>
    <s v="OK"/>
    <x v="0"/>
    <x v="0"/>
    <n v="1"/>
    <n v="1"/>
    <n v="0"/>
    <n v="0"/>
    <x v="0"/>
    <x v="0"/>
    <x v="0"/>
  </r>
  <r>
    <n v="20101155588"/>
    <x v="22"/>
    <x v="22"/>
    <x v="2525"/>
    <x v="2533"/>
    <x v="2204"/>
    <n v="1"/>
    <x v="32"/>
    <s v="ESTACION 08 PTA2"/>
    <s v="JR ESPAÑA 643"/>
    <x v="332"/>
    <x v="0"/>
    <x v="9"/>
    <x v="1"/>
    <x v="23"/>
    <x v="0"/>
    <n v="1"/>
    <n v="312"/>
    <x v="1"/>
    <x v="1"/>
    <n v="3.134796238244514E-3"/>
    <x v="27"/>
    <x v="3"/>
    <s v="OK"/>
    <x v="0"/>
    <s v="OK"/>
    <x v="0"/>
    <x v="0"/>
    <n v="1"/>
    <n v="0"/>
    <n v="0"/>
    <n v="0"/>
    <x v="0"/>
    <x v="0"/>
    <x v="0"/>
  </r>
  <r>
    <n v="20101155588"/>
    <x v="22"/>
    <x v="22"/>
    <x v="2526"/>
    <x v="2534"/>
    <x v="2205"/>
    <n v="1"/>
    <x v="32"/>
    <s v="PATIO TALLER SANTA ANITA"/>
    <s v="AH INTEG SOLID Y PROG MZ N LT 4 LOS JAZMINES"/>
    <x v="15"/>
    <x v="0"/>
    <x v="6"/>
    <x v="1"/>
    <x v="91"/>
    <x v="0"/>
    <n v="1"/>
    <n v="312"/>
    <x v="1"/>
    <x v="1"/>
    <n v="3.134796238244514E-3"/>
    <x v="23"/>
    <x v="3"/>
    <s v="OK"/>
    <x v="0"/>
    <s v="OK"/>
    <x v="0"/>
    <x v="0"/>
    <n v="1"/>
    <n v="0"/>
    <n v="0"/>
    <n v="0"/>
    <x v="0"/>
    <x v="0"/>
    <x v="0"/>
  </r>
  <r>
    <n v="20101155588"/>
    <x v="22"/>
    <x v="22"/>
    <x v="2527"/>
    <x v="2535"/>
    <x v="2206"/>
    <n v="1"/>
    <x v="32"/>
    <s v="POZO 15"/>
    <s v="CALLE MOQUEGUA 201 URB CAJA DE AGUA"/>
    <x v="15"/>
    <x v="0"/>
    <x v="6"/>
    <x v="1"/>
    <x v="271"/>
    <x v="0"/>
    <n v="1"/>
    <n v="312"/>
    <x v="1"/>
    <x v="1"/>
    <n v="3.134796238244514E-3"/>
    <x v="28"/>
    <x v="3"/>
    <s v="OK"/>
    <x v="0"/>
    <s v="OK"/>
    <x v="0"/>
    <x v="0"/>
    <n v="1"/>
    <n v="0"/>
    <n v="0"/>
    <n v="0"/>
    <x v="0"/>
    <x v="0"/>
    <x v="0"/>
  </r>
  <r>
    <n v="20101155588"/>
    <x v="22"/>
    <x v="22"/>
    <x v="2528"/>
    <x v="2536"/>
    <x v="2207"/>
    <n v="1"/>
    <x v="32"/>
    <s v="PATIO TALLER SANTA ANITA"/>
    <s v="ASS VIVIENDA EL PARAISO MS M1 LOTE 13 SANTA CLARA"/>
    <x v="1"/>
    <x v="0"/>
    <x v="15"/>
    <x v="1"/>
    <x v="97"/>
    <x v="0"/>
    <n v="1"/>
    <n v="192"/>
    <x v="1"/>
    <x v="1"/>
    <n v="3.134796238244514E-3"/>
    <x v="27"/>
    <x v="3"/>
    <s v="OK"/>
    <x v="1"/>
    <s v="OK"/>
    <x v="0"/>
    <x v="0"/>
    <n v="1"/>
    <n v="1"/>
    <n v="0"/>
    <n v="1"/>
    <x v="0"/>
    <x v="1"/>
    <x v="0"/>
  </r>
  <r>
    <n v="20101155588"/>
    <x v="22"/>
    <x v="22"/>
    <x v="2529"/>
    <x v="2537"/>
    <x v="2208"/>
    <n v="1"/>
    <x v="32"/>
    <s v="POZO 10"/>
    <s v="AV NICOLAS DE PIEROLA"/>
    <x v="45"/>
    <x v="0"/>
    <x v="6"/>
    <x v="1"/>
    <x v="7"/>
    <x v="0"/>
    <n v="1"/>
    <n v="192"/>
    <x v="1"/>
    <x v="1"/>
    <n v="3.134796238244514E-3"/>
    <x v="24"/>
    <x v="3"/>
    <s v="OK"/>
    <x v="3"/>
    <s v="OK"/>
    <x v="0"/>
    <x v="0"/>
    <n v="1"/>
    <n v="1"/>
    <n v="0"/>
    <n v="0"/>
    <x v="0"/>
    <x v="0"/>
    <x v="0"/>
  </r>
  <r>
    <n v="20101155588"/>
    <x v="22"/>
    <x v="22"/>
    <x v="2530"/>
    <x v="2538"/>
    <x v="1916"/>
    <n v="1"/>
    <x v="32"/>
    <s v="ESTACION 11B"/>
    <s v="URB LOS JAZMINES MZ G LT 2"/>
    <x v="6"/>
    <x v="0"/>
    <x v="6"/>
    <x v="1"/>
    <x v="99"/>
    <x v="0"/>
    <n v="1"/>
    <n v="156"/>
    <x v="1"/>
    <x v="1"/>
    <n v="3.134796238244514E-3"/>
    <x v="31"/>
    <x v="3"/>
    <s v="OK"/>
    <x v="2"/>
    <s v="OK"/>
    <x v="0"/>
    <x v="0"/>
    <n v="1"/>
    <n v="1"/>
    <n v="0"/>
    <n v="0"/>
    <x v="0"/>
    <x v="0"/>
    <x v="0"/>
  </r>
  <r>
    <n v="20554431578"/>
    <x v="60"/>
    <x v="44"/>
    <x v="2531"/>
    <x v="2539"/>
    <x v="2209"/>
    <n v="2"/>
    <x v="273"/>
    <s v="TBM -19"/>
    <s v="CALLE E URB.  VILLA VITARTE MZ H LT 12"/>
    <x v="1"/>
    <x v="0"/>
    <x v="0"/>
    <x v="1"/>
    <x v="164"/>
    <x v="0"/>
    <n v="4"/>
    <n v="200"/>
    <x v="0"/>
    <x v="1"/>
    <n v="2.564102564102564E-2"/>
    <x v="27"/>
    <x v="3"/>
    <s v="OK"/>
    <x v="1"/>
    <s v="OK"/>
    <x v="0"/>
    <x v="0"/>
    <n v="1"/>
    <n v="1"/>
    <n v="0"/>
    <n v="0"/>
    <x v="0"/>
    <x v="0"/>
    <x v="0"/>
  </r>
  <r>
    <n v="20554431578"/>
    <x v="60"/>
    <x v="44"/>
    <x v="2532"/>
    <x v="2540"/>
    <x v="2210"/>
    <n v="2"/>
    <x v="273"/>
    <s v="TBM -19"/>
    <s v="CA 1 C-04 ASOC DE VDA PARC 3 DE PACHACAMAC ZONA QUINTA QUEBRADA DE MANCHAY LIMA-LIMA-PACHACAMAC"/>
    <x v="147"/>
    <x v="0"/>
    <x v="0"/>
    <x v="1"/>
    <x v="391"/>
    <x v="0"/>
    <n v="4"/>
    <n v="88"/>
    <x v="0"/>
    <x v="1"/>
    <n v="2.564102564102564E-2"/>
    <x v="25"/>
    <x v="3"/>
    <s v="OK"/>
    <x v="0"/>
    <s v="OK"/>
    <x v="0"/>
    <x v="0"/>
    <n v="1"/>
    <n v="0"/>
    <n v="0"/>
    <n v="0"/>
    <x v="0"/>
    <x v="0"/>
    <x v="0"/>
  </r>
  <r>
    <n v="20554431578"/>
    <x v="60"/>
    <x v="44"/>
    <x v="2533"/>
    <x v="2541"/>
    <x v="2211"/>
    <n v="2"/>
    <x v="273"/>
    <s v="E-5"/>
    <s v="UCV 117 LT 17 ZONA G PJ  PROYECTO ESPECIAL DE HUAYCAN"/>
    <x v="1"/>
    <x v="0"/>
    <x v="0"/>
    <x v="1"/>
    <x v="575"/>
    <x v="0"/>
    <n v="4"/>
    <n v="128"/>
    <x v="0"/>
    <x v="1"/>
    <n v="2.564102564102564E-2"/>
    <x v="24"/>
    <x v="3"/>
    <s v="OK"/>
    <x v="1"/>
    <s v="OK"/>
    <x v="0"/>
    <x v="0"/>
    <n v="1"/>
    <n v="1"/>
    <n v="0"/>
    <n v="0"/>
    <x v="0"/>
    <x v="0"/>
    <x v="0"/>
  </r>
  <r>
    <n v="20554431578"/>
    <x v="60"/>
    <x v="44"/>
    <x v="2534"/>
    <x v="2542"/>
    <x v="2212"/>
    <n v="2"/>
    <x v="273"/>
    <s v="TBM -19"/>
    <s v="CALLE ERNESTO KRUMBIECK  345 URB SANTA  CATALINA"/>
    <x v="25"/>
    <x v="0"/>
    <x v="0"/>
    <x v="1"/>
    <x v="577"/>
    <x v="0"/>
    <n v="4"/>
    <n v="128"/>
    <x v="0"/>
    <x v="1"/>
    <n v="2.564102564102564E-2"/>
    <x v="25"/>
    <x v="3"/>
    <s v="OK"/>
    <x v="4"/>
    <s v="OK"/>
    <x v="0"/>
    <x v="0"/>
    <n v="1"/>
    <n v="1"/>
    <n v="0"/>
    <n v="0"/>
    <x v="0"/>
    <x v="0"/>
    <x v="0"/>
  </r>
  <r>
    <n v="20554431578"/>
    <x v="60"/>
    <x v="44"/>
    <x v="2535"/>
    <x v="2543"/>
    <x v="2045"/>
    <n v="2"/>
    <x v="273"/>
    <s v="E-5"/>
    <s v="DEL PARQUE  URB. KAS  GARDNIAS MZ  B14  LT 46"/>
    <x v="1"/>
    <x v="0"/>
    <x v="0"/>
    <x v="1"/>
    <x v="577"/>
    <x v="0"/>
    <n v="4"/>
    <n v="120"/>
    <x v="0"/>
    <x v="1"/>
    <n v="2.564102564102564E-2"/>
    <x v="28"/>
    <x v="3"/>
    <s v="OK"/>
    <x v="1"/>
    <s v="OK"/>
    <x v="0"/>
    <x v="0"/>
    <n v="1"/>
    <n v="1"/>
    <n v="0"/>
    <n v="0"/>
    <x v="0"/>
    <x v="0"/>
    <x v="0"/>
  </r>
  <r>
    <n v="20554431578"/>
    <x v="60"/>
    <x v="44"/>
    <x v="2536"/>
    <x v="2544"/>
    <x v="2213"/>
    <n v="2"/>
    <x v="273"/>
    <s v="E-5"/>
    <s v="ZONA  K UCV  163 LOTE  35  HUAYCAN"/>
    <x v="1"/>
    <x v="0"/>
    <x v="0"/>
    <x v="1"/>
    <x v="715"/>
    <x v="0"/>
    <n v="4"/>
    <n v="120"/>
    <x v="0"/>
    <x v="1"/>
    <n v="2.564102564102564E-2"/>
    <x v="24"/>
    <x v="3"/>
    <s v="OK"/>
    <x v="1"/>
    <s v="OK"/>
    <x v="0"/>
    <x v="0"/>
    <n v="1"/>
    <n v="1"/>
    <n v="0"/>
    <n v="0"/>
    <x v="0"/>
    <x v="0"/>
    <x v="0"/>
  </r>
  <r>
    <n v="20554431578"/>
    <x v="60"/>
    <x v="44"/>
    <x v="2537"/>
    <x v="2545"/>
    <x v="2214"/>
    <n v="2"/>
    <x v="273"/>
    <s v="TBM -19"/>
    <s v="MZ.NB LT 1. AH. CASA HUERTA LA CAMPIÑA"/>
    <x v="50"/>
    <x v="0"/>
    <x v="0"/>
    <x v="1"/>
    <x v="54"/>
    <x v="0"/>
    <n v="4"/>
    <n v="120"/>
    <x v="0"/>
    <x v="1"/>
    <n v="2.564102564102564E-2"/>
    <x v="27"/>
    <x v="3"/>
    <s v="OK"/>
    <x v="0"/>
    <s v="OK"/>
    <x v="0"/>
    <x v="0"/>
    <n v="1"/>
    <n v="0"/>
    <n v="0"/>
    <n v="0"/>
    <x v="0"/>
    <x v="0"/>
    <x v="0"/>
  </r>
  <r>
    <n v="20554431578"/>
    <x v="60"/>
    <x v="44"/>
    <x v="2538"/>
    <x v="2546"/>
    <x v="2215"/>
    <n v="2"/>
    <x v="273"/>
    <s v="E-6"/>
    <s v="JR. RIO TUMBES MZ D LOTE  17 COOP. MARISCAL LUZURIAGA"/>
    <x v="333"/>
    <x v="0"/>
    <x v="0"/>
    <x v="1"/>
    <x v="563"/>
    <x v="0"/>
    <n v="4"/>
    <n v="120"/>
    <x v="0"/>
    <x v="1"/>
    <n v="2.564102564102564E-2"/>
    <x v="31"/>
    <x v="3"/>
    <s v="OK"/>
    <x v="0"/>
    <s v="OK"/>
    <x v="0"/>
    <x v="0"/>
    <n v="1"/>
    <n v="0"/>
    <n v="0"/>
    <n v="0"/>
    <x v="0"/>
    <x v="0"/>
    <x v="0"/>
  </r>
  <r>
    <n v="20554431578"/>
    <x v="60"/>
    <x v="44"/>
    <x v="2539"/>
    <x v="2547"/>
    <x v="2216"/>
    <n v="2"/>
    <x v="273"/>
    <s v="E-6"/>
    <s v="CALLE  ROSA CRUCES 178 SAN GREGORIO"/>
    <x v="1"/>
    <x v="0"/>
    <x v="0"/>
    <x v="1"/>
    <x v="716"/>
    <x v="0"/>
    <n v="4"/>
    <n v="128"/>
    <x v="0"/>
    <x v="1"/>
    <n v="2.564102564102564E-2"/>
    <x v="25"/>
    <x v="3"/>
    <s v="OK"/>
    <x v="1"/>
    <s v="OK"/>
    <x v="0"/>
    <x v="0"/>
    <n v="1"/>
    <n v="1"/>
    <n v="0"/>
    <n v="0"/>
    <x v="0"/>
    <x v="0"/>
    <x v="0"/>
  </r>
  <r>
    <n v="20554431578"/>
    <x v="60"/>
    <x v="44"/>
    <x v="2540"/>
    <x v="2548"/>
    <x v="2217"/>
    <n v="2"/>
    <x v="273"/>
    <s v="TBM -19"/>
    <s v="MZ  LL LOTE  9 COMITÉ  5 LAS ACASIAS JUAN  VELASCO ALVARADO "/>
    <x v="10"/>
    <x v="0"/>
    <x v="0"/>
    <x v="1"/>
    <x v="359"/>
    <x v="0"/>
    <n v="4"/>
    <n v="120"/>
    <x v="0"/>
    <x v="1"/>
    <n v="2.564102564102564E-2"/>
    <x v="27"/>
    <x v="3"/>
    <s v="OK"/>
    <x v="0"/>
    <s v="OK"/>
    <x v="0"/>
    <x v="0"/>
    <n v="1"/>
    <n v="0"/>
    <n v="0"/>
    <n v="0"/>
    <x v="0"/>
    <x v="0"/>
    <x v="0"/>
  </r>
  <r>
    <n v="20554431578"/>
    <x v="60"/>
    <x v="44"/>
    <x v="2541"/>
    <x v="2549"/>
    <x v="2039"/>
    <n v="2"/>
    <x v="273"/>
    <s v="TBM -19"/>
    <s v="JR. LOS DURAZNO 469 URB. CANTO GRANDE MZ C LT 16"/>
    <x v="15"/>
    <x v="0"/>
    <x v="0"/>
    <x v="1"/>
    <x v="54"/>
    <x v="0"/>
    <n v="4"/>
    <n v="112"/>
    <x v="0"/>
    <x v="1"/>
    <n v="2.564102564102564E-2"/>
    <x v="24"/>
    <x v="3"/>
    <s v="OK"/>
    <x v="0"/>
    <s v="OK"/>
    <x v="0"/>
    <x v="0"/>
    <n v="1"/>
    <n v="0"/>
    <n v="0"/>
    <n v="0"/>
    <x v="0"/>
    <x v="0"/>
    <x v="0"/>
  </r>
  <r>
    <n v="20554431578"/>
    <x v="60"/>
    <x v="44"/>
    <x v="2542"/>
    <x v="2550"/>
    <x v="2218"/>
    <n v="2"/>
    <x v="272"/>
    <s v="TBM -19"/>
    <s v="AV. REPUBLICA  DE PORTUGAK  DPTO.  301"/>
    <x v="5"/>
    <x v="0"/>
    <x v="0"/>
    <x v="1"/>
    <x v="394"/>
    <x v="0"/>
    <n v="4"/>
    <n v="152"/>
    <x v="0"/>
    <x v="1"/>
    <n v="2.564102564102564E-2"/>
    <x v="24"/>
    <x v="3"/>
    <s v="OK"/>
    <x v="3"/>
    <s v="OK"/>
    <x v="0"/>
    <x v="0"/>
    <n v="1"/>
    <n v="1"/>
    <n v="0"/>
    <n v="0"/>
    <x v="0"/>
    <x v="0"/>
    <x v="0"/>
  </r>
  <r>
    <n v="20554431578"/>
    <x v="60"/>
    <x v="44"/>
    <x v="2543"/>
    <x v="2551"/>
    <x v="2219"/>
    <n v="2"/>
    <x v="273"/>
    <s v="TBM -19"/>
    <s v="AV. RICARDO LIMACO MZ. S LT. 55 COOP. LOS CHANCAS DE LA 1ERA ETAPA"/>
    <x v="27"/>
    <x v="0"/>
    <x v="0"/>
    <x v="1"/>
    <x v="191"/>
    <x v="0"/>
    <n v="4"/>
    <n v="184"/>
    <x v="0"/>
    <x v="1"/>
    <n v="2.564102564102564E-2"/>
    <x v="24"/>
    <x v="3"/>
    <s v="OK"/>
    <x v="5"/>
    <s v="OK"/>
    <x v="0"/>
    <x v="0"/>
    <n v="1"/>
    <n v="1"/>
    <n v="0"/>
    <n v="0"/>
    <x v="0"/>
    <x v="0"/>
    <x v="0"/>
  </r>
  <r>
    <n v="20508430681"/>
    <x v="23"/>
    <x v="23"/>
    <x v="2544"/>
    <x v="2552"/>
    <x v="2220"/>
    <n v="2"/>
    <x v="15"/>
    <s v="SUMINISTRO E INSTALACION DE PANELES VITRIFICADOS EN E1, E2, E3,E10,E11, E14,E15 Y E17"/>
    <s v="MZ A LT 23 PROVIV EL MANZANAL DE COPACABANA (ASOC DE VIV LAS TORRES DE COPACABANA)"/>
    <x v="54"/>
    <x v="0"/>
    <x v="0"/>
    <x v="1"/>
    <x v="4"/>
    <x v="0"/>
    <n v="4"/>
    <n v="192"/>
    <x v="0"/>
    <x v="1"/>
    <n v="9.433962264150943E-3"/>
    <x v="25"/>
    <x v="3"/>
    <s v="OK"/>
    <x v="0"/>
    <s v="OK"/>
    <x v="0"/>
    <x v="0"/>
    <n v="1"/>
    <n v="0"/>
    <n v="1"/>
    <n v="0"/>
    <x v="0"/>
    <x v="0"/>
    <x v="1"/>
  </r>
  <r>
    <n v="20508430681"/>
    <x v="23"/>
    <x v="23"/>
    <x v="2545"/>
    <x v="2553"/>
    <x v="2221"/>
    <n v="2"/>
    <x v="15"/>
    <s v="SUMINISTRO E INSTALACION DE PANELES VITRIFICADOS EN E1, E2, E3,E10,E11, E14,E15 Y E17"/>
    <s v="CALLE AYACUCHO 500 LA DRAGA"/>
    <x v="334"/>
    <x v="0"/>
    <x v="0"/>
    <x v="1"/>
    <x v="432"/>
    <x v="0"/>
    <n v="4"/>
    <n v="192"/>
    <x v="0"/>
    <x v="1"/>
    <n v="9.433962264150943E-3"/>
    <x v="26"/>
    <x v="3"/>
    <s v="OK"/>
    <x v="0"/>
    <s v="OK"/>
    <x v="0"/>
    <x v="0"/>
    <n v="1"/>
    <n v="0"/>
    <n v="0"/>
    <n v="0"/>
    <x v="0"/>
    <x v="0"/>
    <x v="0"/>
  </r>
  <r>
    <n v="20508430681"/>
    <x v="23"/>
    <x v="23"/>
    <x v="2546"/>
    <x v="2554"/>
    <x v="2222"/>
    <n v="2"/>
    <x v="15"/>
    <s v="SUMINISTRO E INSTALACION DE PANELES VITRIFICADOS EN E1, E2, E3,E10,E11, E14,E15 Y E17"/>
    <s v="CALLE SAN MARTIN 432 JOSE GALVEZ"/>
    <x v="174"/>
    <x v="0"/>
    <x v="0"/>
    <x v="1"/>
    <x v="51"/>
    <x v="0"/>
    <n v="4"/>
    <n v="192"/>
    <x v="0"/>
    <x v="1"/>
    <n v="9.433962264150943E-3"/>
    <x v="29"/>
    <x v="3"/>
    <s v="OK"/>
    <x v="0"/>
    <s v="OK"/>
    <x v="0"/>
    <x v="0"/>
    <n v="1"/>
    <n v="0"/>
    <n v="0"/>
    <n v="0"/>
    <x v="0"/>
    <x v="0"/>
    <x v="0"/>
  </r>
  <r>
    <n v="20508430681"/>
    <x v="23"/>
    <x v="23"/>
    <x v="2547"/>
    <x v="2555"/>
    <x v="2223"/>
    <n v="2"/>
    <x v="2"/>
    <s v="SUMINISTRO E INSTALACION DE PANELES VITRIFICADOS EN E1, E2, E3,E10,E11, E14,E15 Y E17"/>
    <s v="CALLE ALFONSO UGARTE 248"/>
    <x v="335"/>
    <x v="0"/>
    <x v="0"/>
    <x v="1"/>
    <x v="14"/>
    <x v="0"/>
    <n v="4"/>
    <n v="192"/>
    <x v="0"/>
    <x v="1"/>
    <n v="9.433962264150943E-3"/>
    <x v="31"/>
    <x v="3"/>
    <s v="OK"/>
    <x v="0"/>
    <s v="OK"/>
    <x v="0"/>
    <x v="0"/>
    <n v="1"/>
    <n v="0"/>
    <n v="0"/>
    <n v="0"/>
    <x v="0"/>
    <x v="0"/>
    <x v="0"/>
  </r>
  <r>
    <n v="20508430681"/>
    <x v="23"/>
    <x v="23"/>
    <x v="2548"/>
    <x v="2556"/>
    <x v="2224"/>
    <n v="2"/>
    <x v="157"/>
    <s v="SUMINISTRO E INSTALACION DE PANELES VITRIFICADOS EN E1, E2, E3,E10,E11, E14,E15 Y E17"/>
    <s v="JR. AYACUCHO 1480"/>
    <x v="7"/>
    <x v="0"/>
    <x v="0"/>
    <x v="1"/>
    <x v="393"/>
    <x v="0"/>
    <n v="4"/>
    <n v="192"/>
    <x v="0"/>
    <x v="1"/>
    <n v="9.433962264150943E-3"/>
    <x v="31"/>
    <x v="3"/>
    <s v="OK"/>
    <x v="0"/>
    <s v="OK"/>
    <x v="0"/>
    <x v="0"/>
    <n v="1"/>
    <n v="0"/>
    <n v="0"/>
    <n v="0"/>
    <x v="0"/>
    <x v="0"/>
    <x v="0"/>
  </r>
  <r>
    <n v="20508430681"/>
    <x v="23"/>
    <x v="23"/>
    <x v="2549"/>
    <x v="2557"/>
    <x v="2225"/>
    <n v="2"/>
    <x v="15"/>
    <s v="SUMINISTRO E INSTALACION DE PANELES VITRIFICADOS EN E1, E2, E3,E10,E11, E14,E15 Y E17"/>
    <s v="JR. PUTUMAYO ASENT. H. LOS JARDINES DE MARIO DENIS MZ. B LT.14"/>
    <x v="336"/>
    <x v="0"/>
    <x v="0"/>
    <x v="1"/>
    <x v="126"/>
    <x v="0"/>
    <n v="4"/>
    <n v="192"/>
    <x v="0"/>
    <x v="1"/>
    <n v="9.433962264150943E-3"/>
    <x v="24"/>
    <x v="3"/>
    <s v="OK"/>
    <x v="0"/>
    <s v="OK"/>
    <x v="0"/>
    <x v="0"/>
    <n v="1"/>
    <n v="0"/>
    <n v="0"/>
    <n v="0"/>
    <x v="0"/>
    <x v="0"/>
    <x v="0"/>
  </r>
  <r>
    <n v="20508430681"/>
    <x v="23"/>
    <x v="23"/>
    <x v="2550"/>
    <x v="2558"/>
    <x v="2226"/>
    <n v="2"/>
    <x v="15"/>
    <s v="SUMINISTRO E INSTALACION DE PANELES VITRIFICADOS EN E1, E2, E3,E10,E11, E14,E15 Y E17"/>
    <s v="JR. LIBERTAD 1250 "/>
    <x v="129"/>
    <x v="0"/>
    <x v="0"/>
    <x v="1"/>
    <x v="126"/>
    <x v="0"/>
    <n v="4"/>
    <n v="192"/>
    <x v="0"/>
    <x v="1"/>
    <n v="9.433962264150943E-3"/>
    <x v="26"/>
    <x v="3"/>
    <s v="OK"/>
    <x v="0"/>
    <s v="OK"/>
    <x v="0"/>
    <x v="0"/>
    <n v="1"/>
    <n v="0"/>
    <n v="0"/>
    <n v="0"/>
    <x v="0"/>
    <x v="0"/>
    <x v="0"/>
  </r>
  <r>
    <n v="20508430681"/>
    <x v="23"/>
    <x v="23"/>
    <x v="2551"/>
    <x v="2559"/>
    <x v="2227"/>
    <n v="2"/>
    <x v="15"/>
    <s v="SUMINISTRO E INSTALACION DE PANELES VITRIFICADOS EN E1, E2, E3,E10,E11, E14,E15 Y E17"/>
    <s v="PSJ. SANTA CLARITA 151 ASOC. SANTA CLARITA INT.5"/>
    <x v="1"/>
    <x v="0"/>
    <x v="0"/>
    <x v="1"/>
    <x v="106"/>
    <x v="0"/>
    <n v="4"/>
    <n v="192"/>
    <x v="0"/>
    <x v="1"/>
    <n v="9.433962264150943E-3"/>
    <x v="30"/>
    <x v="3"/>
    <s v="OK"/>
    <x v="1"/>
    <s v="OK"/>
    <x v="0"/>
    <x v="0"/>
    <n v="1"/>
    <n v="1"/>
    <n v="0"/>
    <n v="0"/>
    <x v="0"/>
    <x v="0"/>
    <x v="0"/>
  </r>
  <r>
    <n v="20508430681"/>
    <x v="23"/>
    <x v="23"/>
    <x v="2552"/>
    <x v="2560"/>
    <x v="2228"/>
    <n v="1"/>
    <x v="7"/>
    <s v="SUMINISTRO E INSTALACION DE PANELES VITRIFICADOS EN E1, E2, E3,E10,E11, E14,E15 Y E17"/>
    <s v="U.V SANTA MARINA BLOK 3 DPTO 107"/>
    <x v="6"/>
    <x v="0"/>
    <x v="0"/>
    <x v="1"/>
    <x v="364"/>
    <x v="0"/>
    <n v="2"/>
    <n v="192"/>
    <x v="0"/>
    <x v="1"/>
    <n v="9.433962264150943E-3"/>
    <x v="26"/>
    <x v="3"/>
    <s v="OK"/>
    <x v="2"/>
    <s v="OK"/>
    <x v="0"/>
    <x v="0"/>
    <n v="1"/>
    <n v="1"/>
    <n v="0"/>
    <n v="0"/>
    <x v="0"/>
    <x v="0"/>
    <x v="0"/>
  </r>
  <r>
    <n v="20508430681"/>
    <x v="23"/>
    <x v="23"/>
    <x v="2553"/>
    <x v="2561"/>
    <x v="2229"/>
    <n v="2"/>
    <x v="2"/>
    <s v="SUMINISTRO E INSTALACION DE PANELES VITRIFICADOS EN E1, E2, E3,E10,E11, E14,E15 Y E17"/>
    <s v="MZ. T LT. 14 ASOC. DE. VIV. COOP. PABLO PATRON"/>
    <x v="119"/>
    <x v="0"/>
    <x v="0"/>
    <x v="1"/>
    <x v="246"/>
    <x v="0"/>
    <n v="4"/>
    <n v="192"/>
    <x v="0"/>
    <x v="1"/>
    <n v="9.433962264150943E-3"/>
    <x v="31"/>
    <x v="3"/>
    <s v="OK"/>
    <x v="0"/>
    <s v="OK"/>
    <x v="0"/>
    <x v="0"/>
    <n v="1"/>
    <n v="0"/>
    <n v="0"/>
    <n v="0"/>
    <x v="0"/>
    <x v="0"/>
    <x v="0"/>
  </r>
  <r>
    <n v="20508430681"/>
    <x v="23"/>
    <x v="23"/>
    <x v="2554"/>
    <x v="2562"/>
    <x v="2230"/>
    <n v="1"/>
    <x v="7"/>
    <s v="SUMINISTRO E INSTALACION DE PANELES VITRIFICADOS EN E1, E2, E3,E10,E11, E14,E15 Y E17"/>
    <s v="PROVIV. BAHIA BLANCA MZ. F LT. 41A"/>
    <x v="6"/>
    <x v="0"/>
    <x v="0"/>
    <x v="1"/>
    <x v="36"/>
    <x v="0"/>
    <n v="2"/>
    <n v="192"/>
    <x v="0"/>
    <x v="1"/>
    <n v="9.433962264150943E-3"/>
    <x v="23"/>
    <x v="3"/>
    <s v="OK"/>
    <x v="2"/>
    <s v="OK"/>
    <x v="0"/>
    <x v="0"/>
    <n v="1"/>
    <n v="1"/>
    <n v="0"/>
    <n v="0"/>
    <x v="0"/>
    <x v="0"/>
    <x v="0"/>
  </r>
  <r>
    <n v="20508430681"/>
    <x v="23"/>
    <x v="23"/>
    <x v="2555"/>
    <x v="2563"/>
    <x v="2231"/>
    <n v="2"/>
    <x v="15"/>
    <s v="SUMINISTRO E INSTALACION DE PANELES VITRIFICADOS EN E1, E2, E3,E10,E11, E14,E15 Y E17"/>
    <s v="CALLE 5 MZ E LT 07 A.H.SAN ANTONIO"/>
    <x v="1"/>
    <x v="0"/>
    <x v="0"/>
    <x v="1"/>
    <x v="148"/>
    <x v="0"/>
    <n v="4"/>
    <n v="192"/>
    <x v="0"/>
    <x v="1"/>
    <n v="9.433962264150943E-3"/>
    <x v="31"/>
    <x v="3"/>
    <s v="OK"/>
    <x v="1"/>
    <s v="OK"/>
    <x v="0"/>
    <x v="0"/>
    <n v="1"/>
    <n v="1"/>
    <n v="0"/>
    <n v="0"/>
    <x v="0"/>
    <x v="0"/>
    <x v="0"/>
  </r>
  <r>
    <n v="20508430681"/>
    <x v="23"/>
    <x v="23"/>
    <x v="2556"/>
    <x v="2564"/>
    <x v="2232"/>
    <n v="2"/>
    <x v="15"/>
    <s v="SUMINISTRO E INSTALACION DE PANELES VITRIFICADOS EN E1, E2, E3,E10,E11, E14,E15 Y E17"/>
    <s v="URB. LA ATARJEA 256 MZ. A LT. 06"/>
    <x v="46"/>
    <x v="0"/>
    <x v="0"/>
    <x v="1"/>
    <x v="139"/>
    <x v="0"/>
    <n v="4"/>
    <n v="192"/>
    <x v="0"/>
    <x v="1"/>
    <n v="9.433962264150943E-3"/>
    <x v="28"/>
    <x v="3"/>
    <s v="OK"/>
    <x v="7"/>
    <s v="OK"/>
    <x v="0"/>
    <x v="0"/>
    <n v="1"/>
    <n v="1"/>
    <n v="0"/>
    <n v="0"/>
    <x v="0"/>
    <x v="0"/>
    <x v="0"/>
  </r>
  <r>
    <n v="20508430681"/>
    <x v="23"/>
    <x v="23"/>
    <x v="2557"/>
    <x v="2565"/>
    <x v="2233"/>
    <n v="1"/>
    <x v="115"/>
    <s v="SUMINISTRO E INSTALACION DE PANELES VITRIFICADOS EN E1, E2, E3,E10,E11, E14,E15 Y E17"/>
    <s v="MZ. R LT. 15 PRIMERA ZONA DE BAYOBAR"/>
    <x v="15"/>
    <x v="0"/>
    <x v="0"/>
    <x v="1"/>
    <x v="361"/>
    <x v="0"/>
    <n v="2"/>
    <n v="192"/>
    <x v="0"/>
    <x v="1"/>
    <n v="9.433962264150943E-3"/>
    <x v="28"/>
    <x v="3"/>
    <s v="OK"/>
    <x v="0"/>
    <s v="OK"/>
    <x v="0"/>
    <x v="0"/>
    <n v="1"/>
    <n v="0"/>
    <n v="0"/>
    <n v="0"/>
    <x v="0"/>
    <x v="0"/>
    <x v="0"/>
  </r>
  <r>
    <n v="20508430681"/>
    <x v="23"/>
    <x v="23"/>
    <x v="2558"/>
    <x v="2566"/>
    <x v="2234"/>
    <n v="2"/>
    <x v="15"/>
    <s v="SUMINISTRO E INSTALACION DE PANELES VITRIFICADOS EN E1, E2, E3,E10,E11, E14,E15 Y E17"/>
    <s v="ASENT. H. EL BALCON DEL RIMAC MZ. M LT. 24"/>
    <x v="13"/>
    <x v="0"/>
    <x v="0"/>
    <x v="1"/>
    <x v="139"/>
    <x v="0"/>
    <n v="4"/>
    <n v="192"/>
    <x v="0"/>
    <x v="1"/>
    <n v="9.433962264150943E-3"/>
    <x v="23"/>
    <x v="3"/>
    <s v="OK"/>
    <x v="0"/>
    <s v="OK"/>
    <x v="0"/>
    <x v="0"/>
    <n v="1"/>
    <n v="0"/>
    <n v="0"/>
    <n v="0"/>
    <x v="0"/>
    <x v="0"/>
    <x v="0"/>
  </r>
  <r>
    <n v="20508430681"/>
    <x v="23"/>
    <x v="23"/>
    <x v="2559"/>
    <x v="2567"/>
    <x v="2235"/>
    <n v="2"/>
    <x v="15"/>
    <s v="SUMINISTRO E INSTALACION DE PANELES VITRIFICADOS EN E1, E2, E3,E10,E11, E14,E15 Y E17"/>
    <s v="CALLE UNION 826"/>
    <x v="256"/>
    <x v="0"/>
    <x v="0"/>
    <x v="1"/>
    <x v="4"/>
    <x v="0"/>
    <n v="4"/>
    <n v="192"/>
    <x v="0"/>
    <x v="1"/>
    <n v="9.433962264150943E-3"/>
    <x v="23"/>
    <x v="3"/>
    <s v="OK"/>
    <x v="0"/>
    <s v="OK"/>
    <x v="0"/>
    <x v="0"/>
    <n v="1"/>
    <n v="0"/>
    <n v="1"/>
    <n v="0"/>
    <x v="0"/>
    <x v="0"/>
    <x v="1"/>
  </r>
  <r>
    <n v="20508430681"/>
    <x v="23"/>
    <x v="23"/>
    <x v="2560"/>
    <x v="2568"/>
    <x v="2236"/>
    <n v="2"/>
    <x v="15"/>
    <s v="SUMINISTRO E INSTALACION DE PANELES VITRIFICADOS EN E1, E2, E3,E10,E11, E14,E15 Y E17"/>
    <s v="JR. ANDRES A. CACERES 698"/>
    <x v="54"/>
    <x v="0"/>
    <x v="0"/>
    <x v="1"/>
    <x v="471"/>
    <x v="0"/>
    <n v="4"/>
    <n v="192"/>
    <x v="0"/>
    <x v="1"/>
    <n v="9.433962264150943E-3"/>
    <x v="24"/>
    <x v="3"/>
    <s v="OK"/>
    <x v="0"/>
    <s v="OK"/>
    <x v="0"/>
    <x v="0"/>
    <n v="1"/>
    <n v="0"/>
    <n v="0"/>
    <n v="0"/>
    <x v="0"/>
    <x v="0"/>
    <x v="0"/>
  </r>
  <r>
    <n v="20508430681"/>
    <x v="23"/>
    <x v="23"/>
    <x v="2561"/>
    <x v="2569"/>
    <x v="2237"/>
    <n v="2"/>
    <x v="15"/>
    <s v="SUMINISTRO E INSTALACION DE PANELES VITRIFICADOS EN E1, E2, E3,E10,E11, E14,E15 Y E17"/>
    <s v="PROVIV. VIRGEN DEL CARMEN MZ. E LT. 14"/>
    <x v="6"/>
    <x v="0"/>
    <x v="0"/>
    <x v="1"/>
    <x v="185"/>
    <x v="0"/>
    <n v="4"/>
    <n v="192"/>
    <x v="0"/>
    <x v="1"/>
    <n v="9.433962264150943E-3"/>
    <x v="26"/>
    <x v="3"/>
    <s v="OK"/>
    <x v="2"/>
    <s v="OK"/>
    <x v="0"/>
    <x v="0"/>
    <n v="1"/>
    <n v="1"/>
    <n v="0"/>
    <n v="0"/>
    <x v="0"/>
    <x v="0"/>
    <x v="0"/>
  </r>
  <r>
    <n v="20508430681"/>
    <x v="23"/>
    <x v="23"/>
    <x v="2562"/>
    <x v="2570"/>
    <x v="2238"/>
    <n v="2"/>
    <x v="15"/>
    <s v="SUMINISTRO E INSTALACION DE PANELES VITRIFICADOS EN E1, E2, E3,E10,E11, E14,E15 Y E17"/>
    <s v="AV. MANUEL PRADO ESTE 711"/>
    <x v="54"/>
    <x v="0"/>
    <x v="0"/>
    <x v="1"/>
    <x v="106"/>
    <x v="0"/>
    <n v="4"/>
    <n v="192"/>
    <x v="0"/>
    <x v="1"/>
    <n v="9.433962264150943E-3"/>
    <x v="29"/>
    <x v="3"/>
    <s v="OK"/>
    <x v="0"/>
    <s v="OK"/>
    <x v="0"/>
    <x v="0"/>
    <n v="1"/>
    <n v="0"/>
    <n v="0"/>
    <n v="0"/>
    <x v="0"/>
    <x v="0"/>
    <x v="0"/>
  </r>
  <r>
    <n v="20508430681"/>
    <x v="23"/>
    <x v="23"/>
    <x v="2563"/>
    <x v="2571"/>
    <x v="2239"/>
    <n v="2"/>
    <x v="15"/>
    <s v="SUMINISTRO E INSTALACION DE PANELES VITRIFICADOS EN E1, E2, E3,E10,E11, E14,E15 Y E17"/>
    <s v="C.P.SANTA ROSA A 7"/>
    <x v="337"/>
    <x v="0"/>
    <x v="0"/>
    <x v="1"/>
    <x v="139"/>
    <x v="0"/>
    <n v="4"/>
    <n v="192"/>
    <x v="0"/>
    <x v="1"/>
    <n v="9.433962264150943E-3"/>
    <x v="24"/>
    <x v="3"/>
    <s v="OK"/>
    <x v="0"/>
    <s v="OK"/>
    <x v="0"/>
    <x v="0"/>
    <n v="1"/>
    <n v="0"/>
    <n v="0"/>
    <n v="0"/>
    <x v="0"/>
    <x v="0"/>
    <x v="0"/>
  </r>
  <r>
    <n v="20508430681"/>
    <x v="23"/>
    <x v="23"/>
    <x v="2564"/>
    <x v="2572"/>
    <x v="2240"/>
    <n v="2"/>
    <x v="15"/>
    <s v="SUMINISTRO E INSTALACION DE PANELES VITRIFICADOS EN E1, E2, E3,E10,E11, E14,E15 Y E17"/>
    <s v="ASENT. H. LOS ROSALES DE PRO MZ. J1 LT. 08"/>
    <x v="49"/>
    <x v="0"/>
    <x v="0"/>
    <x v="1"/>
    <x v="54"/>
    <x v="0"/>
    <n v="4"/>
    <n v="192"/>
    <x v="0"/>
    <x v="1"/>
    <n v="9.433962264150943E-3"/>
    <x v="27"/>
    <x v="3"/>
    <s v="OK"/>
    <x v="0"/>
    <s v="OK"/>
    <x v="0"/>
    <x v="0"/>
    <n v="1"/>
    <n v="0"/>
    <n v="0"/>
    <n v="0"/>
    <x v="0"/>
    <x v="0"/>
    <x v="0"/>
  </r>
  <r>
    <n v="20508430681"/>
    <x v="23"/>
    <x v="23"/>
    <x v="2565"/>
    <x v="2573"/>
    <x v="2241"/>
    <n v="2"/>
    <x v="15"/>
    <s v="SUMINISTRO E INSTALACION DE PANELES VITRIFICADOS EN E1, E2, E3,E10,E11, E14,E15 Y E17"/>
    <s v="ASENT.H. LUIS FELIPE DE LAS CASAS MZ. M1 LT.8"/>
    <x v="2"/>
    <x v="0"/>
    <x v="0"/>
    <x v="1"/>
    <x v="305"/>
    <x v="0"/>
    <n v="4"/>
    <n v="192"/>
    <x v="0"/>
    <x v="1"/>
    <n v="9.433962264150943E-3"/>
    <x v="31"/>
    <x v="3"/>
    <s v="OK"/>
    <x v="2"/>
    <s v="OK"/>
    <x v="0"/>
    <x v="0"/>
    <n v="1"/>
    <n v="1"/>
    <n v="0"/>
    <n v="0"/>
    <x v="0"/>
    <x v="0"/>
    <x v="0"/>
  </r>
  <r>
    <n v="20508430681"/>
    <x v="23"/>
    <x v="23"/>
    <x v="2566"/>
    <x v="2574"/>
    <x v="1986"/>
    <n v="2"/>
    <x v="15"/>
    <s v="SUMINISTRO E INSTALACION DE PANELES VITRIFICADOS EN E1, E2, E3,E10,E11, E14,E15 Y E17"/>
    <s v="AV. INDOAMERICANA 824 MZ. A LT. 7"/>
    <x v="44"/>
    <x v="0"/>
    <x v="0"/>
    <x v="1"/>
    <x v="179"/>
    <x v="0"/>
    <n v="4"/>
    <n v="192"/>
    <x v="0"/>
    <x v="1"/>
    <n v="9.433962264150943E-3"/>
    <x v="24"/>
    <x v="3"/>
    <s v="OK"/>
    <x v="0"/>
    <s v="OK"/>
    <x v="0"/>
    <x v="0"/>
    <n v="1"/>
    <n v="0"/>
    <n v="0"/>
    <n v="0"/>
    <x v="0"/>
    <x v="0"/>
    <x v="0"/>
  </r>
  <r>
    <n v="20508430681"/>
    <x v="23"/>
    <x v="23"/>
    <x v="2281"/>
    <x v="2575"/>
    <x v="1980"/>
    <n v="2"/>
    <x v="2"/>
    <s v="SUMINISTRO E INSTALACION DE PANELES VITRIFICADOS EN E1, E2, E3,E10,E11, E14,E15 Y E17"/>
    <s v="CALLE LOS QUIPUS 223 COOP. LOS CHANCAS DE ANDAHUAYLAS"/>
    <x v="27"/>
    <x v="0"/>
    <x v="0"/>
    <x v="1"/>
    <x v="8"/>
    <x v="0"/>
    <n v="4"/>
    <n v="192"/>
    <x v="0"/>
    <x v="1"/>
    <n v="9.433962264150943E-3"/>
    <x v="31"/>
    <x v="3"/>
    <s v="OK"/>
    <x v="5"/>
    <s v="OK"/>
    <x v="0"/>
    <x v="0"/>
    <n v="1"/>
    <n v="1"/>
    <n v="0"/>
    <n v="0"/>
    <x v="0"/>
    <x v="0"/>
    <x v="0"/>
  </r>
  <r>
    <s v="20600373863"/>
    <x v="25"/>
    <x v="24"/>
    <x v="2567"/>
    <x v="2576"/>
    <x v="2242"/>
    <n v="3"/>
    <x v="350"/>
    <s v="ESTACION 05 L4"/>
    <s v=" Gina Rios Mz U lt 06 - Pucallpa "/>
    <x v="336"/>
    <x v="0"/>
    <x v="0"/>
    <x v="1"/>
    <x v="367"/>
    <x v="0"/>
    <n v="1"/>
    <n v="286"/>
    <x v="0"/>
    <x v="1"/>
    <n v="4.9019607843137254E-3"/>
    <x v="27"/>
    <x v="3"/>
    <s v="OK"/>
    <x v="0"/>
    <s v="OK"/>
    <x v="0"/>
    <x v="0"/>
    <n v="1"/>
    <n v="0"/>
    <n v="0"/>
    <n v="0"/>
    <x v="0"/>
    <x v="0"/>
    <x v="0"/>
  </r>
  <r>
    <s v="20600373863"/>
    <x v="25"/>
    <x v="24"/>
    <x v="2568"/>
    <x v="2577"/>
    <x v="1879"/>
    <n v="3"/>
    <x v="164"/>
    <s v="ESTACION 05 L4"/>
    <s v="AV AMAUTA MZ 96 LT 17 GPO 1 SECTOR C "/>
    <x v="15"/>
    <x v="0"/>
    <x v="0"/>
    <x v="1"/>
    <x v="582"/>
    <x v="0"/>
    <n v="1"/>
    <n v="286"/>
    <x v="0"/>
    <x v="1"/>
    <n v="4.9019607843137254E-3"/>
    <x v="31"/>
    <x v="3"/>
    <s v="OK"/>
    <x v="0"/>
    <s v="OK"/>
    <x v="0"/>
    <x v="0"/>
    <n v="1"/>
    <n v="0"/>
    <n v="0"/>
    <n v="0"/>
    <x v="0"/>
    <x v="0"/>
    <x v="0"/>
  </r>
  <r>
    <s v="20600373863"/>
    <x v="25"/>
    <x v="24"/>
    <x v="2569"/>
    <x v="2578"/>
    <x v="2243"/>
    <n v="3"/>
    <x v="350"/>
    <s v="ESTACION 05 L4"/>
    <s v="COMUNIDAD NATIVA NUEVO ANDOAS S/N"/>
    <x v="338"/>
    <x v="0"/>
    <x v="0"/>
    <x v="1"/>
    <x v="717"/>
    <x v="0"/>
    <n v="1"/>
    <n v="286"/>
    <x v="0"/>
    <x v="1"/>
    <n v="4.9019607843137254E-3"/>
    <x v="23"/>
    <x v="3"/>
    <s v="OK"/>
    <x v="0"/>
    <s v="OK"/>
    <x v="0"/>
    <x v="0"/>
    <n v="1"/>
    <n v="0"/>
    <n v="0"/>
    <n v="0"/>
    <x v="0"/>
    <x v="0"/>
    <x v="0"/>
  </r>
  <r>
    <s v="20600373863"/>
    <x v="25"/>
    <x v="24"/>
    <x v="2570"/>
    <x v="2579"/>
    <x v="2244"/>
    <n v="3"/>
    <x v="350"/>
    <s v="ESTACION 06 L4"/>
    <s v="AUSTRIA 1305"/>
    <x v="10"/>
    <x v="0"/>
    <x v="0"/>
    <x v="1"/>
    <x v="718"/>
    <x v="0"/>
    <n v="1"/>
    <n v="286"/>
    <x v="0"/>
    <x v="1"/>
    <n v="4.9019607843137254E-3"/>
    <x v="30"/>
    <x v="3"/>
    <s v="OK"/>
    <x v="0"/>
    <s v="OK"/>
    <x v="0"/>
    <x v="0"/>
    <n v="1"/>
    <n v="0"/>
    <n v="0"/>
    <n v="0"/>
    <x v="0"/>
    <x v="0"/>
    <x v="0"/>
  </r>
  <r>
    <s v="20600373863"/>
    <x v="25"/>
    <x v="24"/>
    <x v="2571"/>
    <x v="2580"/>
    <x v="2245"/>
    <n v="1"/>
    <x v="299"/>
    <s v="ESTACION 05 L4"/>
    <s v="CALLE LOPEZ DE AYALA 1176 DTO 201"/>
    <x v="144"/>
    <x v="0"/>
    <x v="0"/>
    <x v="1"/>
    <x v="719"/>
    <x v="0"/>
    <n v="1"/>
    <n v="286"/>
    <x v="0"/>
    <x v="1"/>
    <n v="4.9019607843137254E-3"/>
    <x v="26"/>
    <x v="3"/>
    <s v="OK"/>
    <x v="0"/>
    <s v="OK"/>
    <x v="0"/>
    <x v="0"/>
    <n v="1"/>
    <n v="0"/>
    <n v="0"/>
    <n v="0"/>
    <x v="0"/>
    <x v="0"/>
    <x v="0"/>
  </r>
  <r>
    <s v="20600373863"/>
    <x v="25"/>
    <x v="24"/>
    <x v="2572"/>
    <x v="2581"/>
    <x v="2246"/>
    <n v="3"/>
    <x v="161"/>
    <s v="ESTACION 06 L4"/>
    <s v="CALLE LAS FLORES URB VIRGEN DEL CARMEN MZ K LOT 01"/>
    <x v="1"/>
    <x v="0"/>
    <x v="0"/>
    <x v="1"/>
    <x v="369"/>
    <x v="0"/>
    <n v="1"/>
    <n v="286"/>
    <x v="0"/>
    <x v="1"/>
    <n v="4.9019607843137254E-3"/>
    <x v="31"/>
    <x v="3"/>
    <s v="OK"/>
    <x v="1"/>
    <s v="OK"/>
    <x v="0"/>
    <x v="0"/>
    <n v="1"/>
    <n v="1"/>
    <n v="0"/>
    <n v="0"/>
    <x v="0"/>
    <x v="0"/>
    <x v="0"/>
  </r>
  <r>
    <s v="20600373863"/>
    <x v="25"/>
    <x v="24"/>
    <x v="2573"/>
    <x v="2582"/>
    <x v="2247"/>
    <n v="3"/>
    <x v="163"/>
    <s v="ESTACION 06 L4"/>
    <s v="CALLE ANTENOR ORREGO 314"/>
    <x v="339"/>
    <x v="0"/>
    <x v="0"/>
    <x v="1"/>
    <x v="536"/>
    <x v="0"/>
    <n v="1"/>
    <n v="286"/>
    <x v="0"/>
    <x v="1"/>
    <n v="4.9019607843137254E-3"/>
    <x v="27"/>
    <x v="3"/>
    <s v="OK"/>
    <x v="0"/>
    <s v="OK"/>
    <x v="0"/>
    <x v="0"/>
    <n v="1"/>
    <n v="0"/>
    <n v="0"/>
    <n v="0"/>
    <x v="0"/>
    <x v="0"/>
    <x v="0"/>
  </r>
  <r>
    <s v="20600373863"/>
    <x v="25"/>
    <x v="24"/>
    <x v="2574"/>
    <x v="2583"/>
    <x v="2248"/>
    <n v="3"/>
    <x v="351"/>
    <s v="ESTACION 06 L4"/>
    <s v="CALLE ANTARES 320 "/>
    <x v="77"/>
    <x v="0"/>
    <x v="0"/>
    <x v="5"/>
    <x v="720"/>
    <x v="0"/>
    <n v="1"/>
    <n v="286"/>
    <x v="0"/>
    <x v="1"/>
    <n v="4.9019607843137254E-3"/>
    <x v="28"/>
    <x v="3"/>
    <s v="OK"/>
    <x v="0"/>
    <s v="OK"/>
    <x v="0"/>
    <x v="0"/>
    <n v="1"/>
    <n v="0"/>
    <n v="0"/>
    <n v="0"/>
    <x v="0"/>
    <x v="0"/>
    <x v="0"/>
  </r>
  <r>
    <s v="20600373863"/>
    <x v="25"/>
    <x v="24"/>
    <x v="2575"/>
    <x v="2584"/>
    <x v="2249"/>
    <n v="3"/>
    <x v="205"/>
    <s v="ESTACION 05 L4"/>
    <s v="ANGAMOS MZ T4 LT 2 3ER SECTOR "/>
    <x v="169"/>
    <x v="0"/>
    <x v="0"/>
    <x v="1"/>
    <x v="158"/>
    <x v="0"/>
    <n v="1"/>
    <n v="286"/>
    <x v="0"/>
    <x v="1"/>
    <n v="4.9019607843137254E-3"/>
    <x v="23"/>
    <x v="3"/>
    <s v="OK"/>
    <x v="2"/>
    <s v="OK"/>
    <x v="0"/>
    <x v="0"/>
    <n v="1"/>
    <n v="1"/>
    <n v="0"/>
    <n v="0"/>
    <x v="0"/>
    <x v="0"/>
    <x v="0"/>
  </r>
  <r>
    <s v="20600373863"/>
    <x v="25"/>
    <x v="24"/>
    <x v="2576"/>
    <x v="2585"/>
    <x v="2250"/>
    <n v="1"/>
    <x v="84"/>
    <s v="ESTACION 05 L4"/>
    <s v="AV. DANIEL ALCIDES CARRION N°1330 JOSÉ GALVEZ "/>
    <x v="148"/>
    <x v="0"/>
    <x v="0"/>
    <x v="1"/>
    <x v="721"/>
    <x v="3"/>
    <n v="1"/>
    <n v="33"/>
    <x v="0"/>
    <x v="1"/>
    <n v="4.9019607843137254E-3"/>
    <x v="29"/>
    <x v="3"/>
    <s v="OK"/>
    <x v="0"/>
    <s v="OK"/>
    <x v="0"/>
    <x v="0"/>
    <n v="1"/>
    <n v="0"/>
    <n v="0"/>
    <n v="0"/>
    <x v="0"/>
    <x v="0"/>
    <x v="0"/>
  </r>
  <r>
    <s v="20600373863"/>
    <x v="25"/>
    <x v="24"/>
    <x v="2577"/>
    <x v="2586"/>
    <x v="2251"/>
    <n v="3"/>
    <x v="352"/>
    <s v="ESTACION 05 L4"/>
    <s v="AV. CENTRAL - MANZANA B LOTE 4 - SAN MARTIN DE PORRES "/>
    <x v="3"/>
    <x v="0"/>
    <x v="0"/>
    <x v="1"/>
    <x v="597"/>
    <x v="0"/>
    <n v="1"/>
    <n v="286"/>
    <x v="0"/>
    <x v="1"/>
    <n v="4.9019607843137254E-3"/>
    <x v="28"/>
    <x v="3"/>
    <s v="OK"/>
    <x v="0"/>
    <s v="OK"/>
    <x v="0"/>
    <x v="0"/>
    <n v="1"/>
    <n v="0"/>
    <n v="0"/>
    <n v="0"/>
    <x v="0"/>
    <x v="0"/>
    <x v="0"/>
  </r>
  <r>
    <s v="20600373863"/>
    <x v="25"/>
    <x v="24"/>
    <x v="2578"/>
    <x v="2587"/>
    <x v="2252"/>
    <n v="3"/>
    <x v="281"/>
    <s v="ESTACION 05 L4"/>
    <s v="JR AYACUCHO S/N"/>
    <x v="340"/>
    <x v="0"/>
    <x v="0"/>
    <x v="1"/>
    <x v="722"/>
    <x v="3"/>
    <n v="1"/>
    <n v="33"/>
    <x v="0"/>
    <x v="1"/>
    <n v="4.9019607843137254E-3"/>
    <x v="26"/>
    <x v="3"/>
    <s v="OK"/>
    <x v="0"/>
    <s v="OK"/>
    <x v="0"/>
    <x v="0"/>
    <n v="1"/>
    <n v="0"/>
    <n v="0"/>
    <n v="0"/>
    <x v="0"/>
    <x v="0"/>
    <x v="0"/>
  </r>
  <r>
    <s v="20600373863"/>
    <x v="25"/>
    <x v="24"/>
    <x v="2579"/>
    <x v="2588"/>
    <x v="2253"/>
    <n v="3"/>
    <x v="284"/>
    <s v="ESTACION 03 L4"/>
    <s v="MSJ MITIAMES 198 ,Z C2 LOT 6 TAHUANTINSUYO"/>
    <x v="44"/>
    <x v="0"/>
    <x v="0"/>
    <x v="1"/>
    <x v="723"/>
    <x v="0"/>
    <n v="1"/>
    <n v="286"/>
    <x v="0"/>
    <x v="1"/>
    <n v="4.9019607843137254E-3"/>
    <x v="26"/>
    <x v="3"/>
    <s v="OK"/>
    <x v="0"/>
    <s v="OK"/>
    <x v="0"/>
    <x v="0"/>
    <n v="1"/>
    <n v="0"/>
    <n v="0"/>
    <n v="0"/>
    <x v="0"/>
    <x v="0"/>
    <x v="0"/>
  </r>
  <r>
    <s v="20600373863"/>
    <x v="25"/>
    <x v="24"/>
    <x v="2580"/>
    <x v="2589"/>
    <x v="2254"/>
    <n v="3"/>
    <x v="161"/>
    <s v="ESTACION 06 L4"/>
    <s v="CALLE LEONCIO ZEVALLOS S/N CDR 4 BARRIO CHIRINGAL "/>
    <x v="341"/>
    <x v="0"/>
    <x v="0"/>
    <x v="1"/>
    <x v="724"/>
    <x v="0"/>
    <n v="1"/>
    <n v="286"/>
    <x v="0"/>
    <x v="1"/>
    <n v="4.9019607843137254E-3"/>
    <x v="26"/>
    <x v="3"/>
    <s v="OK"/>
    <x v="0"/>
    <s v="OK"/>
    <x v="0"/>
    <x v="0"/>
    <n v="1"/>
    <n v="0"/>
    <n v="0"/>
    <n v="0"/>
    <x v="0"/>
    <x v="0"/>
    <x v="0"/>
  </r>
  <r>
    <s v="20600373863"/>
    <x v="25"/>
    <x v="24"/>
    <x v="2581"/>
    <x v="2590"/>
    <x v="2255"/>
    <n v="3"/>
    <x v="163"/>
    <s v="ESTACION 05 L4"/>
    <s v="CALLE VENTIOCHO DE JULIO 471"/>
    <x v="217"/>
    <x v="0"/>
    <x v="0"/>
    <x v="1"/>
    <x v="605"/>
    <x v="0"/>
    <n v="1"/>
    <n v="286"/>
    <x v="0"/>
    <x v="1"/>
    <n v="4.9019607843137254E-3"/>
    <x v="24"/>
    <x v="3"/>
    <s v="OK"/>
    <x v="0"/>
    <s v="OK"/>
    <x v="0"/>
    <x v="0"/>
    <n v="1"/>
    <n v="0"/>
    <n v="0"/>
    <n v="0"/>
    <x v="0"/>
    <x v="0"/>
    <x v="0"/>
  </r>
  <r>
    <s v="20600373863"/>
    <x v="25"/>
    <x v="24"/>
    <x v="2582"/>
    <x v="2591"/>
    <x v="2256"/>
    <n v="3"/>
    <x v="161"/>
    <s v="ESTACION 05 L4"/>
    <s v="HUARANCAYO 216"/>
    <x v="10"/>
    <x v="0"/>
    <x v="0"/>
    <x v="1"/>
    <x v="520"/>
    <x v="0"/>
    <n v="1"/>
    <n v="286"/>
    <x v="0"/>
    <x v="1"/>
    <n v="4.9019607843137254E-3"/>
    <x v="23"/>
    <x v="3"/>
    <s v="OK"/>
    <x v="0"/>
    <s v="OK"/>
    <x v="0"/>
    <x v="0"/>
    <n v="1"/>
    <n v="0"/>
    <n v="0"/>
    <n v="0"/>
    <x v="0"/>
    <x v="0"/>
    <x v="0"/>
  </r>
  <r>
    <s v="20600373863"/>
    <x v="25"/>
    <x v="24"/>
    <x v="2583"/>
    <x v="2592"/>
    <x v="2257"/>
    <n v="1"/>
    <x v="165"/>
    <s v="ESTACION 05 L4"/>
    <s v="AV UNIVERSITARIA CON PROLONGACION AYACUCHO 978"/>
    <x v="28"/>
    <x v="0"/>
    <x v="0"/>
    <x v="3"/>
    <x v="252"/>
    <x v="3"/>
    <n v="1"/>
    <n v="286"/>
    <x v="0"/>
    <x v="1"/>
    <n v="4.9019607843137254E-3"/>
    <x v="28"/>
    <x v="3"/>
    <s v="OK"/>
    <x v="0"/>
    <s v="OK"/>
    <x v="0"/>
    <x v="0"/>
    <n v="1"/>
    <n v="0"/>
    <n v="0"/>
    <n v="0"/>
    <x v="0"/>
    <x v="0"/>
    <x v="0"/>
  </r>
  <r>
    <s v="20600373863"/>
    <x v="25"/>
    <x v="24"/>
    <x v="2584"/>
    <x v="2593"/>
    <x v="2258"/>
    <n v="3"/>
    <x v="172"/>
    <s v="ESTACION 05 L4"/>
    <s v="PSJ 5 AAHH CARLOS MARIANO CUESTAS VILCA - EL MIRADOR MZ 13 LOT "/>
    <x v="62"/>
    <x v="0"/>
    <x v="0"/>
    <x v="1"/>
    <x v="546"/>
    <x v="0"/>
    <n v="1"/>
    <n v="286"/>
    <x v="0"/>
    <x v="1"/>
    <n v="4.9019607843137254E-3"/>
    <x v="23"/>
    <x v="3"/>
    <s v="OK"/>
    <x v="0"/>
    <s v="OK"/>
    <x v="0"/>
    <x v="0"/>
    <n v="1"/>
    <n v="0"/>
    <n v="0"/>
    <n v="0"/>
    <x v="0"/>
    <x v="0"/>
    <x v="0"/>
  </r>
  <r>
    <s v="20600373863"/>
    <x v="25"/>
    <x v="24"/>
    <x v="2585"/>
    <x v="2594"/>
    <x v="1827"/>
    <n v="3"/>
    <x v="163"/>
    <s v="ESTACION 05 L4"/>
    <s v="CALLE LOS PALTOS AGRUPACION DE VIV. AMPLIACION LIMA Y MZ C. LT 04"/>
    <x v="58"/>
    <x v="0"/>
    <x v="0"/>
    <x v="1"/>
    <x v="725"/>
    <x v="0"/>
    <n v="1"/>
    <n v="286"/>
    <x v="0"/>
    <x v="1"/>
    <n v="4.9019607843137254E-3"/>
    <x v="26"/>
    <x v="3"/>
    <s v="OK"/>
    <x v="0"/>
    <s v="OK"/>
    <x v="0"/>
    <x v="0"/>
    <n v="1"/>
    <n v="0"/>
    <n v="0"/>
    <n v="0"/>
    <x v="0"/>
    <x v="0"/>
    <x v="0"/>
  </r>
  <r>
    <s v="20600373863"/>
    <x v="25"/>
    <x v="24"/>
    <x v="2586"/>
    <x v="2595"/>
    <x v="2259"/>
    <n v="3"/>
    <x v="175"/>
    <s v="ESTACION 06 L4"/>
    <s v="CALLE DIEGO FERRE MZ. K LT. 1"/>
    <x v="169"/>
    <x v="0"/>
    <x v="0"/>
    <x v="1"/>
    <x v="524"/>
    <x v="0"/>
    <n v="1"/>
    <n v="286"/>
    <x v="0"/>
    <x v="1"/>
    <n v="4.9019607843137254E-3"/>
    <x v="28"/>
    <x v="3"/>
    <s v="OK"/>
    <x v="2"/>
    <s v="OK"/>
    <x v="0"/>
    <x v="0"/>
    <n v="1"/>
    <n v="1"/>
    <n v="0"/>
    <n v="0"/>
    <x v="0"/>
    <x v="0"/>
    <x v="0"/>
  </r>
  <r>
    <s v="20600373863"/>
    <x v="25"/>
    <x v="24"/>
    <x v="2587"/>
    <x v="2596"/>
    <x v="2260"/>
    <n v="3"/>
    <x v="178"/>
    <s v="ESTACION 06 L4"/>
    <s v="ASENT. H. SOL DE LA JUSTICIA MZ. C LT. 8"/>
    <x v="15"/>
    <x v="0"/>
    <x v="0"/>
    <x v="1"/>
    <x v="164"/>
    <x v="0"/>
    <n v="1"/>
    <n v="286"/>
    <x v="0"/>
    <x v="1"/>
    <n v="4.9019607843137254E-3"/>
    <x v="28"/>
    <x v="3"/>
    <s v="OK"/>
    <x v="0"/>
    <s v="OK"/>
    <x v="0"/>
    <x v="0"/>
    <n v="1"/>
    <n v="0"/>
    <n v="0"/>
    <n v="0"/>
    <x v="0"/>
    <x v="0"/>
    <x v="0"/>
  </r>
  <r>
    <s v="20600373863"/>
    <x v="25"/>
    <x v="24"/>
    <x v="2588"/>
    <x v="2597"/>
    <x v="2261"/>
    <n v="3"/>
    <x v="205"/>
    <s v="ESTACION 05 L4"/>
    <s v="SECTOR 6 GRP. 6 MZ. B LT. 8"/>
    <x v="19"/>
    <x v="0"/>
    <x v="0"/>
    <x v="1"/>
    <x v="726"/>
    <x v="0"/>
    <n v="1"/>
    <n v="286"/>
    <x v="0"/>
    <x v="1"/>
    <n v="4.9019607843137254E-3"/>
    <x v="30"/>
    <x v="3"/>
    <s v="OK"/>
    <x v="0"/>
    <s v="OK"/>
    <x v="0"/>
    <x v="0"/>
    <n v="1"/>
    <n v="0"/>
    <n v="0"/>
    <n v="0"/>
    <x v="0"/>
    <x v="0"/>
    <x v="0"/>
  </r>
  <r>
    <s v="20600373863"/>
    <x v="25"/>
    <x v="24"/>
    <x v="2589"/>
    <x v="2598"/>
    <x v="2262"/>
    <n v="1"/>
    <x v="353"/>
    <s v="ESTACION 05 L4"/>
    <s v="CALLE PRECIADOS 665 DPTO. 1 URB. RES. HIGUERETA"/>
    <x v="14"/>
    <x v="1"/>
    <x v="0"/>
    <x v="1"/>
    <x v="579"/>
    <x v="0"/>
    <n v="1"/>
    <n v="286"/>
    <x v="0"/>
    <x v="1"/>
    <n v="4.9019607843137254E-3"/>
    <x v="27"/>
    <x v="3"/>
    <s v="OK"/>
    <x v="0"/>
    <s v="OK"/>
    <x v="0"/>
    <x v="0"/>
    <n v="1"/>
    <n v="0"/>
    <n v="0"/>
    <n v="0"/>
    <x v="0"/>
    <x v="0"/>
    <x v="0"/>
  </r>
  <r>
    <s v="20600373863"/>
    <x v="25"/>
    <x v="24"/>
    <x v="2590"/>
    <x v="2599"/>
    <x v="2050"/>
    <n v="3"/>
    <x v="66"/>
    <s v="ESTACION 05 L4"/>
    <s v="PSJ. SANTO DOMINGO MZ. H19 LT.18 ASENT. H. DELICIAS DE VILLA"/>
    <x v="38"/>
    <x v="0"/>
    <x v="0"/>
    <x v="1"/>
    <x v="362"/>
    <x v="0"/>
    <n v="1"/>
    <n v="286"/>
    <x v="0"/>
    <x v="1"/>
    <n v="4.9019607843137254E-3"/>
    <x v="27"/>
    <x v="3"/>
    <s v="OK"/>
    <x v="0"/>
    <s v="OK"/>
    <x v="0"/>
    <x v="0"/>
    <n v="1"/>
    <n v="0"/>
    <n v="0"/>
    <n v="0"/>
    <x v="0"/>
    <x v="0"/>
    <x v="0"/>
  </r>
  <r>
    <s v="20600373863"/>
    <x v="25"/>
    <x v="24"/>
    <x v="2591"/>
    <x v="2600"/>
    <x v="2263"/>
    <n v="3"/>
    <x v="212"/>
    <s v="ESTACION 05 L4"/>
    <s v="CALLE ELIAS AGUIRRE MZ. H LT. 08 URB. JORGE CHAVEZ I ETAPA"/>
    <x v="6"/>
    <x v="0"/>
    <x v="0"/>
    <x v="1"/>
    <x v="61"/>
    <x v="0"/>
    <n v="1"/>
    <n v="286"/>
    <x v="0"/>
    <x v="1"/>
    <n v="4.9019607843137254E-3"/>
    <x v="26"/>
    <x v="3"/>
    <s v="OK"/>
    <x v="2"/>
    <s v="OK"/>
    <x v="0"/>
    <x v="0"/>
    <n v="1"/>
    <n v="1"/>
    <n v="0"/>
    <n v="0"/>
    <x v="0"/>
    <x v="0"/>
    <x v="0"/>
  </r>
  <r>
    <s v="20600373863"/>
    <x v="25"/>
    <x v="24"/>
    <x v="2592"/>
    <x v="2601"/>
    <x v="2051"/>
    <n v="3"/>
    <x v="98"/>
    <s v="ESTACION 05 L4"/>
    <s v="SECT. 1 GRP. 12 MZ. H LT. 3"/>
    <x v="19"/>
    <x v="0"/>
    <x v="0"/>
    <x v="1"/>
    <x v="229"/>
    <x v="3"/>
    <n v="1"/>
    <n v="286"/>
    <x v="0"/>
    <x v="1"/>
    <n v="4.9019607843137254E-3"/>
    <x v="27"/>
    <x v="3"/>
    <s v="OK"/>
    <x v="0"/>
    <s v="OK"/>
    <x v="0"/>
    <x v="0"/>
    <n v="1"/>
    <n v="0"/>
    <n v="0"/>
    <n v="0"/>
    <x v="0"/>
    <x v="0"/>
    <x v="0"/>
  </r>
  <r>
    <s v="20600373863"/>
    <x v="25"/>
    <x v="24"/>
    <x v="2593"/>
    <x v="2602"/>
    <x v="2264"/>
    <n v="3"/>
    <x v="163"/>
    <s v="ESTACION 05 L4"/>
    <s v="AV. GUARDIA CHALACA 792 DPTO. 4"/>
    <x v="6"/>
    <x v="0"/>
    <x v="0"/>
    <x v="1"/>
    <x v="62"/>
    <x v="0"/>
    <n v="1"/>
    <n v="286"/>
    <x v="0"/>
    <x v="1"/>
    <n v="4.9019607843137254E-3"/>
    <x v="30"/>
    <x v="3"/>
    <s v="OK"/>
    <x v="2"/>
    <s v="OK"/>
    <x v="0"/>
    <x v="0"/>
    <n v="1"/>
    <n v="1"/>
    <n v="0"/>
    <n v="0"/>
    <x v="0"/>
    <x v="0"/>
    <x v="0"/>
  </r>
  <r>
    <s v="20600373863"/>
    <x v="25"/>
    <x v="24"/>
    <x v="2594"/>
    <x v="2603"/>
    <x v="1834"/>
    <n v="3"/>
    <x v="163"/>
    <s v="ESTACION 05 L4"/>
    <s v="AV. AVIACION 2322 DPTO. 202"/>
    <x v="144"/>
    <x v="0"/>
    <x v="0"/>
    <x v="1"/>
    <x v="62"/>
    <x v="0"/>
    <n v="1"/>
    <n v="286"/>
    <x v="0"/>
    <x v="1"/>
    <n v="4.9019607843137254E-3"/>
    <x v="24"/>
    <x v="3"/>
    <s v="OK"/>
    <x v="0"/>
    <s v="OK"/>
    <x v="0"/>
    <x v="0"/>
    <n v="1"/>
    <n v="0"/>
    <n v="0"/>
    <n v="0"/>
    <x v="0"/>
    <x v="0"/>
    <x v="0"/>
  </r>
  <r>
    <s v="20600373863"/>
    <x v="25"/>
    <x v="24"/>
    <x v="2595"/>
    <x v="2604"/>
    <x v="2265"/>
    <n v="1"/>
    <x v="354"/>
    <s v="ESTACION 05 L4"/>
    <s v="CALLE BOULEVARD DE LA LITERATURA 124 TORRES DE SAN BORJA"/>
    <x v="144"/>
    <x v="0"/>
    <x v="0"/>
    <x v="1"/>
    <x v="6"/>
    <x v="0"/>
    <n v="1"/>
    <n v="286"/>
    <x v="0"/>
    <x v="1"/>
    <n v="4.9019607843137254E-3"/>
    <x v="23"/>
    <x v="3"/>
    <s v="OK"/>
    <x v="0"/>
    <s v="OK"/>
    <x v="0"/>
    <x v="0"/>
    <n v="1"/>
    <n v="0"/>
    <n v="0"/>
    <n v="0"/>
    <x v="0"/>
    <x v="0"/>
    <x v="0"/>
  </r>
  <r>
    <s v="20600373863"/>
    <x v="25"/>
    <x v="24"/>
    <x v="2596"/>
    <x v="2605"/>
    <x v="2238"/>
    <n v="1"/>
    <x v="355"/>
    <s v="ESTACION 05 L4"/>
    <s v="AV. CABO GUTARRA 919"/>
    <x v="118"/>
    <x v="0"/>
    <x v="0"/>
    <x v="1"/>
    <x v="6"/>
    <x v="0"/>
    <n v="1"/>
    <n v="286"/>
    <x v="0"/>
    <x v="1"/>
    <n v="4.9019607843137254E-3"/>
    <x v="29"/>
    <x v="3"/>
    <s v="OK"/>
    <x v="0"/>
    <s v="OK"/>
    <x v="0"/>
    <x v="0"/>
    <n v="1"/>
    <n v="0"/>
    <n v="0"/>
    <n v="0"/>
    <x v="0"/>
    <x v="0"/>
    <x v="0"/>
  </r>
  <r>
    <s v="20600373863"/>
    <x v="25"/>
    <x v="24"/>
    <x v="2597"/>
    <x v="2606"/>
    <x v="2266"/>
    <n v="1"/>
    <x v="84"/>
    <s v="ESTACION 05 L4"/>
    <s v="JR. EUSEBIO GALVEZ 11-14 JUAN VELASCO ALVARADO"/>
    <x v="3"/>
    <x v="1"/>
    <x v="0"/>
    <x v="1"/>
    <x v="6"/>
    <x v="3"/>
    <n v="1"/>
    <n v="286"/>
    <x v="0"/>
    <x v="1"/>
    <n v="4.9019607843137254E-3"/>
    <x v="31"/>
    <x v="3"/>
    <s v="OK"/>
    <x v="0"/>
    <s v="OK"/>
    <x v="0"/>
    <x v="0"/>
    <n v="1"/>
    <n v="0"/>
    <n v="0"/>
    <n v="0"/>
    <x v="0"/>
    <x v="0"/>
    <x v="0"/>
  </r>
  <r>
    <s v="20600373863"/>
    <x v="25"/>
    <x v="24"/>
    <x v="2598"/>
    <x v="2607"/>
    <x v="2267"/>
    <n v="3"/>
    <x v="66"/>
    <s v="ESTACION 06 L4"/>
    <s v="MZ. B LOTE 13 SECTOR 6 GRUPO 7"/>
    <x v="19"/>
    <x v="0"/>
    <x v="27"/>
    <x v="3"/>
    <x v="32"/>
    <x v="2"/>
    <n v="1"/>
    <n v="33"/>
    <x v="0"/>
    <x v="1"/>
    <n v="4.9019607843137254E-3"/>
    <x v="28"/>
    <x v="3"/>
    <s v="OK"/>
    <x v="0"/>
    <s v="OK"/>
    <x v="0"/>
    <x v="0"/>
    <n v="1"/>
    <n v="0"/>
    <n v="0"/>
    <n v="1"/>
    <x v="0"/>
    <x v="1"/>
    <x v="0"/>
  </r>
  <r>
    <s v="20600373863"/>
    <x v="25"/>
    <x v="24"/>
    <x v="2599"/>
    <x v="2608"/>
    <x v="2268"/>
    <n v="3"/>
    <x v="297"/>
    <s v="ESTACION 06 L4"/>
    <s v="MZ 18 LOTE 9 - EXFUNDO MARKES - CALLAO"/>
    <x v="6"/>
    <x v="0"/>
    <x v="0"/>
    <x v="1"/>
    <x v="363"/>
    <x v="0"/>
    <n v="1"/>
    <n v="286"/>
    <x v="0"/>
    <x v="1"/>
    <n v="4.9019607843137254E-3"/>
    <x v="29"/>
    <x v="3"/>
    <s v="OK"/>
    <x v="2"/>
    <s v="OK"/>
    <x v="0"/>
    <x v="0"/>
    <n v="1"/>
    <n v="1"/>
    <n v="0"/>
    <n v="0"/>
    <x v="0"/>
    <x v="0"/>
    <x v="0"/>
  </r>
  <r>
    <s v="20600373863"/>
    <x v="25"/>
    <x v="24"/>
    <x v="2600"/>
    <x v="2609"/>
    <x v="2269"/>
    <n v="3"/>
    <x v="178"/>
    <s v="ESTACION 06 L4"/>
    <s v="AV. SANTA ROSA MZ. A LT. 05 URB. PARAISO FLORIDO"/>
    <x v="3"/>
    <x v="0"/>
    <x v="0"/>
    <x v="3"/>
    <x v="54"/>
    <x v="0"/>
    <n v="1"/>
    <n v="286"/>
    <x v="0"/>
    <x v="1"/>
    <n v="4.9019607843137254E-3"/>
    <x v="26"/>
    <x v="3"/>
    <s v="OK"/>
    <x v="0"/>
    <s v="OK"/>
    <x v="0"/>
    <x v="0"/>
    <n v="1"/>
    <n v="0"/>
    <n v="0"/>
    <n v="0"/>
    <x v="0"/>
    <x v="0"/>
    <x v="0"/>
  </r>
  <r>
    <s v="20600373863"/>
    <x v="25"/>
    <x v="24"/>
    <x v="2601"/>
    <x v="2610"/>
    <x v="2270"/>
    <n v="3"/>
    <x v="356"/>
    <s v="ESTACION 06 L4"/>
    <s v="AV. MARIANO IGNACIO PRADO 537"/>
    <x v="0"/>
    <x v="0"/>
    <x v="0"/>
    <x v="1"/>
    <x v="54"/>
    <x v="0"/>
    <n v="1"/>
    <n v="286"/>
    <x v="0"/>
    <x v="1"/>
    <n v="4.9019607843137254E-3"/>
    <x v="23"/>
    <x v="3"/>
    <s v="OK"/>
    <x v="0"/>
    <s v="OK"/>
    <x v="0"/>
    <x v="0"/>
    <n v="1"/>
    <n v="0"/>
    <n v="0"/>
    <n v="0"/>
    <x v="0"/>
    <x v="0"/>
    <x v="0"/>
  </r>
  <r>
    <s v="20600373863"/>
    <x v="25"/>
    <x v="24"/>
    <x v="2602"/>
    <x v="2611"/>
    <x v="2271"/>
    <n v="3"/>
    <x v="357"/>
    <s v="ESTACION 06 L4"/>
    <s v="AV HORACIO ZEVALLOS PJ28 DE JULIO MZ A - 2 LOTE 4"/>
    <x v="87"/>
    <x v="0"/>
    <x v="0"/>
    <x v="1"/>
    <x v="727"/>
    <x v="0"/>
    <n v="1"/>
    <n v="286"/>
    <x v="0"/>
    <x v="1"/>
    <n v="4.9019607843137254E-3"/>
    <x v="24"/>
    <x v="3"/>
    <s v="OK"/>
    <x v="0"/>
    <s v="OK"/>
    <x v="0"/>
    <x v="0"/>
    <n v="1"/>
    <n v="0"/>
    <n v="0"/>
    <n v="0"/>
    <x v="0"/>
    <x v="0"/>
    <x v="0"/>
  </r>
  <r>
    <s v="20600373863"/>
    <x v="25"/>
    <x v="24"/>
    <x v="2603"/>
    <x v="2612"/>
    <x v="2272"/>
    <n v="3"/>
    <x v="212"/>
    <s v="ESTACION 06 L4"/>
    <s v="HUIRACOCHA 378 CULTURA Y PROGRESO"/>
    <x v="156"/>
    <x v="0"/>
    <x v="0"/>
    <x v="1"/>
    <x v="285"/>
    <x v="0"/>
    <n v="1"/>
    <n v="286"/>
    <x v="0"/>
    <x v="1"/>
    <n v="4.9019607843137254E-3"/>
    <x v="27"/>
    <x v="3"/>
    <s v="OK"/>
    <x v="0"/>
    <s v="OK"/>
    <x v="0"/>
    <x v="0"/>
    <n v="1"/>
    <n v="0"/>
    <n v="0"/>
    <n v="0"/>
    <x v="0"/>
    <x v="0"/>
    <x v="0"/>
  </r>
  <r>
    <n v="20524279160"/>
    <x v="73"/>
    <x v="24"/>
    <x v="2604"/>
    <x v="2613"/>
    <x v="2087"/>
    <n v="3"/>
    <x v="358"/>
    <s v="ESTACION 06 L4"/>
    <s v="AV. UNIVERSITARIA MZ H LT12"/>
    <x v="87"/>
    <x v="0"/>
    <x v="0"/>
    <x v="1"/>
    <x v="424"/>
    <x v="0"/>
    <n v="1"/>
    <n v="286"/>
    <x v="0"/>
    <x v="0"/>
    <n v="4.9019607843137254E-3"/>
    <x v="27"/>
    <x v="3"/>
    <s v="OK"/>
    <x v="0"/>
    <s v="OK"/>
    <x v="0"/>
    <x v="0"/>
    <n v="1"/>
    <n v="0"/>
    <n v="0"/>
    <n v="0"/>
    <x v="0"/>
    <x v="0"/>
    <x v="0"/>
  </r>
  <r>
    <s v="20600373863"/>
    <x v="25"/>
    <x v="24"/>
    <x v="2605"/>
    <x v="2614"/>
    <x v="2273"/>
    <n v="1"/>
    <x v="120"/>
    <s v="ESTACION 05 L4"/>
    <s v="URB. VILLA GLORIA C-1"/>
    <x v="230"/>
    <x v="0"/>
    <x v="0"/>
    <x v="1"/>
    <x v="127"/>
    <x v="0"/>
    <n v="1"/>
    <n v="286"/>
    <x v="0"/>
    <x v="1"/>
    <n v="4.9019607843137254E-3"/>
    <x v="26"/>
    <x v="3"/>
    <s v="OK"/>
    <x v="0"/>
    <s v="OK"/>
    <x v="0"/>
    <x v="0"/>
    <n v="1"/>
    <n v="0"/>
    <n v="0"/>
    <n v="0"/>
    <x v="0"/>
    <x v="0"/>
    <x v="0"/>
  </r>
  <r>
    <s v="20600373863"/>
    <x v="25"/>
    <x v="24"/>
    <x v="2606"/>
    <x v="2615"/>
    <x v="1924"/>
    <n v="3"/>
    <x v="205"/>
    <s v="ESTACION 05 L4"/>
    <s v="CASERIO SAN MARTIN"/>
    <x v="342"/>
    <x v="0"/>
    <x v="0"/>
    <x v="1"/>
    <x v="179"/>
    <x v="0"/>
    <n v="1"/>
    <n v="286"/>
    <x v="0"/>
    <x v="1"/>
    <n v="4.9019607843137254E-3"/>
    <x v="29"/>
    <x v="3"/>
    <s v="OK"/>
    <x v="0"/>
    <s v="OK"/>
    <x v="0"/>
    <x v="0"/>
    <n v="1"/>
    <n v="0"/>
    <n v="0"/>
    <n v="0"/>
    <x v="0"/>
    <x v="0"/>
    <x v="0"/>
  </r>
  <r>
    <s v="20600373863"/>
    <x v="25"/>
    <x v="24"/>
    <x v="2607"/>
    <x v="2616"/>
    <x v="2274"/>
    <n v="1"/>
    <x v="359"/>
    <s v="ESTACION 05 L4"/>
    <s v="MZ B1 LT 8H ASOC. VIV. LA UNION PECP"/>
    <x v="2"/>
    <x v="0"/>
    <x v="0"/>
    <x v="1"/>
    <x v="283"/>
    <x v="0"/>
    <n v="1"/>
    <n v="286"/>
    <x v="0"/>
    <x v="1"/>
    <n v="4.9019607843137254E-3"/>
    <x v="28"/>
    <x v="3"/>
    <s v="OK"/>
    <x v="2"/>
    <s v="OK"/>
    <x v="0"/>
    <x v="0"/>
    <n v="1"/>
    <n v="1"/>
    <n v="0"/>
    <n v="0"/>
    <x v="0"/>
    <x v="0"/>
    <x v="0"/>
  </r>
  <r>
    <s v="20600373863"/>
    <x v="25"/>
    <x v="24"/>
    <x v="2608"/>
    <x v="2617"/>
    <x v="2275"/>
    <n v="3"/>
    <x v="179"/>
    <s v="ESTACION 05 L4"/>
    <s v="SECTOR 2 GRUPO 1 MZ O LT 01"/>
    <x v="19"/>
    <x v="0"/>
    <x v="0"/>
    <x v="1"/>
    <x v="184"/>
    <x v="0"/>
    <n v="1"/>
    <n v="286"/>
    <x v="0"/>
    <x v="1"/>
    <n v="4.9019607843137254E-3"/>
    <x v="23"/>
    <x v="3"/>
    <s v="OK"/>
    <x v="0"/>
    <s v="OK"/>
    <x v="0"/>
    <x v="0"/>
    <n v="1"/>
    <n v="0"/>
    <n v="0"/>
    <n v="0"/>
    <x v="0"/>
    <x v="0"/>
    <x v="0"/>
  </r>
  <r>
    <s v="20600373863"/>
    <x v="25"/>
    <x v="24"/>
    <x v="2609"/>
    <x v="2618"/>
    <x v="2276"/>
    <n v="3"/>
    <x v="66"/>
    <s v="ESTACION 06 L4"/>
    <s v="JR CASMA 475"/>
    <x v="8"/>
    <x v="0"/>
    <x v="0"/>
    <x v="1"/>
    <x v="25"/>
    <x v="0"/>
    <n v="1"/>
    <n v="286"/>
    <x v="0"/>
    <x v="1"/>
    <n v="4.9019607843137254E-3"/>
    <x v="29"/>
    <x v="3"/>
    <s v="OK"/>
    <x v="0"/>
    <s v="OK"/>
    <x v="0"/>
    <x v="0"/>
    <n v="1"/>
    <n v="0"/>
    <n v="0"/>
    <n v="0"/>
    <x v="0"/>
    <x v="0"/>
    <x v="0"/>
  </r>
  <r>
    <s v="20600373863"/>
    <x v="25"/>
    <x v="24"/>
    <x v="2610"/>
    <x v="2619"/>
    <x v="2277"/>
    <n v="3"/>
    <x v="178"/>
    <s v="ESTACION 03 L4"/>
    <s v="URB LA QUILLA MZ F LT 32 "/>
    <x v="6"/>
    <x v="0"/>
    <x v="0"/>
    <x v="1"/>
    <x v="93"/>
    <x v="0"/>
    <n v="1"/>
    <n v="286"/>
    <x v="0"/>
    <x v="1"/>
    <n v="4.9019607843137254E-3"/>
    <x v="23"/>
    <x v="3"/>
    <s v="OK"/>
    <x v="2"/>
    <s v="OK"/>
    <x v="0"/>
    <x v="0"/>
    <n v="1"/>
    <n v="1"/>
    <n v="0"/>
    <n v="0"/>
    <x v="0"/>
    <x v="0"/>
    <x v="0"/>
  </r>
  <r>
    <s v="20600373863"/>
    <x v="25"/>
    <x v="24"/>
    <x v="2611"/>
    <x v="2620"/>
    <x v="2278"/>
    <n v="3"/>
    <x v="215"/>
    <s v="ESTACION 06 L4"/>
    <s v="COOP UNIVERSAL MZ M3 LT3"/>
    <x v="27"/>
    <x v="0"/>
    <x v="0"/>
    <x v="1"/>
    <x v="128"/>
    <x v="0"/>
    <n v="1"/>
    <n v="286"/>
    <x v="0"/>
    <x v="1"/>
    <n v="4.9019607843137254E-3"/>
    <x v="28"/>
    <x v="3"/>
    <s v="OK"/>
    <x v="5"/>
    <s v="OK"/>
    <x v="0"/>
    <x v="0"/>
    <n v="1"/>
    <n v="1"/>
    <n v="0"/>
    <n v="0"/>
    <x v="0"/>
    <x v="0"/>
    <x v="0"/>
  </r>
  <r>
    <s v="20600373863"/>
    <x v="25"/>
    <x v="24"/>
    <x v="2612"/>
    <x v="2621"/>
    <x v="2279"/>
    <n v="2"/>
    <x v="2"/>
    <s v="ESTACION 05 L4"/>
    <s v="AV FAUCETT MZ L LT 21 URB AEROPUERTO"/>
    <x v="6"/>
    <x v="0"/>
    <x v="0"/>
    <x v="1"/>
    <x v="145"/>
    <x v="0"/>
    <n v="4"/>
    <n v="286"/>
    <x v="0"/>
    <x v="1"/>
    <n v="4.9019607843137254E-3"/>
    <x v="26"/>
    <x v="3"/>
    <s v="OK"/>
    <x v="2"/>
    <s v="OK"/>
    <x v="0"/>
    <x v="0"/>
    <n v="1"/>
    <n v="1"/>
    <n v="0"/>
    <n v="0"/>
    <x v="0"/>
    <x v="0"/>
    <x v="0"/>
  </r>
  <r>
    <s v="20600373863"/>
    <x v="25"/>
    <x v="24"/>
    <x v="2613"/>
    <x v="2622"/>
    <x v="2280"/>
    <n v="3"/>
    <x v="205"/>
    <s v="ESTACION 05 L4"/>
    <s v="ASENT H 27 DE MARZO MZ V LT 4 "/>
    <x v="15"/>
    <x v="0"/>
    <x v="0"/>
    <x v="1"/>
    <x v="203"/>
    <x v="0"/>
    <n v="1"/>
    <n v="286"/>
    <x v="0"/>
    <x v="1"/>
    <n v="4.9019607843137254E-3"/>
    <x v="24"/>
    <x v="3"/>
    <s v="OK"/>
    <x v="0"/>
    <s v="OK"/>
    <x v="0"/>
    <x v="0"/>
    <n v="1"/>
    <n v="0"/>
    <n v="0"/>
    <n v="0"/>
    <x v="0"/>
    <x v="0"/>
    <x v="0"/>
  </r>
  <r>
    <s v="20600373863"/>
    <x v="25"/>
    <x v="24"/>
    <x v="2614"/>
    <x v="2623"/>
    <x v="2281"/>
    <n v="1"/>
    <x v="278"/>
    <s v="ESTACION 06 L4"/>
    <s v="AV GENERAL GARZON 1283 DPTO 817"/>
    <x v="51"/>
    <x v="0"/>
    <x v="13"/>
    <x v="1"/>
    <x v="728"/>
    <x v="2"/>
    <n v="1"/>
    <n v="88"/>
    <x v="0"/>
    <x v="1"/>
    <n v="4.9019607843137254E-3"/>
    <x v="30"/>
    <x v="3"/>
    <s v="OK"/>
    <x v="0"/>
    <s v="OK"/>
    <x v="0"/>
    <x v="0"/>
    <n v="1"/>
    <n v="0"/>
    <n v="0"/>
    <n v="1"/>
    <x v="0"/>
    <x v="1"/>
    <x v="0"/>
  </r>
  <r>
    <n v="20392753339"/>
    <x v="71"/>
    <x v="49"/>
    <x v="2615"/>
    <x v="2624"/>
    <x v="2158"/>
    <n v="1"/>
    <x v="360"/>
    <s v="ESTACIÓN 19-TBM"/>
    <s v="MZ.C 1 LOTE 12 AA.HH HIROSHIMA "/>
    <x v="2"/>
    <x v="0"/>
    <x v="0"/>
    <x v="1"/>
    <x v="475"/>
    <x v="0"/>
    <n v="1"/>
    <n v="229"/>
    <x v="0"/>
    <x v="1"/>
    <n v="0.1"/>
    <x v="23"/>
    <x v="3"/>
    <s v="OK"/>
    <x v="2"/>
    <s v="OK"/>
    <x v="0"/>
    <x v="0"/>
    <n v="1"/>
    <n v="1"/>
    <n v="0"/>
    <n v="0"/>
    <x v="0"/>
    <x v="0"/>
    <x v="0"/>
  </r>
  <r>
    <n v="20392753339"/>
    <x v="71"/>
    <x v="49"/>
    <x v="2616"/>
    <x v="2625"/>
    <x v="2282"/>
    <n v="1"/>
    <x v="360"/>
    <s v="ESTACIÓN 19-TBM"/>
    <s v="AV. ALCIDES VIGO  MZ.Z LOTE 3 -URB. COOPIP"/>
    <x v="3"/>
    <x v="0"/>
    <x v="0"/>
    <x v="1"/>
    <x v="475"/>
    <x v="0"/>
    <n v="1"/>
    <n v="226"/>
    <x v="0"/>
    <x v="1"/>
    <n v="0.1"/>
    <x v="26"/>
    <x v="3"/>
    <s v="OK"/>
    <x v="0"/>
    <s v="OK"/>
    <x v="0"/>
    <x v="0"/>
    <n v="1"/>
    <n v="0"/>
    <n v="0"/>
    <n v="0"/>
    <x v="0"/>
    <x v="0"/>
    <x v="0"/>
  </r>
  <r>
    <n v="20392753339"/>
    <x v="71"/>
    <x v="49"/>
    <x v="2617"/>
    <x v="2626"/>
    <x v="2283"/>
    <n v="1"/>
    <x v="360"/>
    <s v="ESTACIÓN 19-TBM"/>
    <s v="MZ E LOTE14 URBANIZACIÓN NAVIDAD DE VILLA"/>
    <x v="38"/>
    <x v="0"/>
    <x v="0"/>
    <x v="1"/>
    <x v="475"/>
    <x v="0"/>
    <n v="1"/>
    <n v="229"/>
    <x v="0"/>
    <x v="1"/>
    <n v="0.1"/>
    <x v="24"/>
    <x v="3"/>
    <s v="OK"/>
    <x v="0"/>
    <s v="OK"/>
    <x v="0"/>
    <x v="0"/>
    <n v="1"/>
    <n v="0"/>
    <n v="0"/>
    <n v="0"/>
    <x v="0"/>
    <x v="0"/>
    <x v="0"/>
  </r>
  <r>
    <n v="20517941337"/>
    <x v="72"/>
    <x v="50"/>
    <x v="2618"/>
    <x v="2627"/>
    <x v="2284"/>
    <n v="1"/>
    <x v="91"/>
    <s v="DANSEY - JAVIER PRADO"/>
    <s v="CALLE TULIPANES MZ 22 LT 11 MUSA 2DA ETAPA"/>
    <x v="47"/>
    <x v="0"/>
    <x v="0"/>
    <x v="1"/>
    <x v="729"/>
    <x v="0"/>
    <n v="2"/>
    <n v="134"/>
    <x v="0"/>
    <x v="1"/>
    <n v="0.16666666666666666"/>
    <x v="28"/>
    <x v="3"/>
    <s v="OK"/>
    <x v="0"/>
    <s v="OK"/>
    <x v="0"/>
    <x v="0"/>
    <n v="1"/>
    <n v="0"/>
    <n v="0"/>
    <n v="0"/>
    <x v="0"/>
    <x v="0"/>
    <x v="0"/>
  </r>
  <r>
    <n v="20566343631"/>
    <x v="26"/>
    <x v="25"/>
    <x v="2619"/>
    <x v="2628"/>
    <x v="2285"/>
    <n v="2"/>
    <x v="302"/>
    <s v="Trazo y Replanteo para Instalaciones Electricas Túnel - Etapa 01B"/>
    <s v="Jr. Tayacaja N° 113 Urb. Jorge Chavez"/>
    <x v="78"/>
    <x v="0"/>
    <x v="0"/>
    <x v="1"/>
    <x v="113"/>
    <x v="0"/>
    <n v="4"/>
    <n v="184"/>
    <x v="0"/>
    <x v="1"/>
    <n v="5.0251256281407036E-3"/>
    <x v="23"/>
    <x v="3"/>
    <s v="OK"/>
    <x v="6"/>
    <s v="OK"/>
    <x v="0"/>
    <x v="0"/>
    <n v="1"/>
    <n v="1"/>
    <n v="0"/>
    <n v="0"/>
    <x v="0"/>
    <x v="0"/>
    <x v="0"/>
  </r>
  <r>
    <n v="20566343631"/>
    <x v="26"/>
    <x v="25"/>
    <x v="2620"/>
    <x v="2629"/>
    <x v="2286"/>
    <n v="2"/>
    <x v="302"/>
    <s v="Trazo y Replanteo para Instalaciones Electricas Túnel - Etapa 01B"/>
    <s v="Pasaje Canadá N° 164 A"/>
    <x v="46"/>
    <x v="0"/>
    <x v="0"/>
    <x v="1"/>
    <x v="91"/>
    <x v="0"/>
    <n v="4"/>
    <n v="184"/>
    <x v="0"/>
    <x v="1"/>
    <n v="5.0251256281407036E-3"/>
    <x v="23"/>
    <x v="3"/>
    <s v="OK"/>
    <x v="7"/>
    <s v="OK"/>
    <x v="0"/>
    <x v="0"/>
    <n v="1"/>
    <n v="1"/>
    <n v="0"/>
    <n v="0"/>
    <x v="0"/>
    <x v="0"/>
    <x v="0"/>
  </r>
  <r>
    <n v="20566343631"/>
    <x v="26"/>
    <x v="25"/>
    <x v="2621"/>
    <x v="2630"/>
    <x v="2287"/>
    <n v="2"/>
    <x v="302"/>
    <s v="Trazo y Replanteo para Instalaciones Electricas Túnel - Etapa 01B"/>
    <s v="Sector I Grupo 11 Mz. H Lote 03"/>
    <x v="19"/>
    <x v="0"/>
    <x v="0"/>
    <x v="1"/>
    <x v="431"/>
    <x v="0"/>
    <n v="4"/>
    <n v="184"/>
    <x v="0"/>
    <x v="1"/>
    <n v="5.0251256281407036E-3"/>
    <x v="26"/>
    <x v="3"/>
    <s v="OK"/>
    <x v="0"/>
    <s v="OK"/>
    <x v="0"/>
    <x v="0"/>
    <n v="1"/>
    <n v="0"/>
    <n v="0"/>
    <n v="0"/>
    <x v="0"/>
    <x v="0"/>
    <x v="0"/>
  </r>
  <r>
    <n v="20566343631"/>
    <x v="26"/>
    <x v="25"/>
    <x v="2622"/>
    <x v="2631"/>
    <x v="2288"/>
    <n v="2"/>
    <x v="302"/>
    <s v="Trazo y Replanteo para Instalaciones Electricas Túnel - Etapa 01B"/>
    <s v="Pasaje 01 de Mayo Urb. El Pino Mz. D Lote 06"/>
    <x v="78"/>
    <x v="0"/>
    <x v="0"/>
    <x v="1"/>
    <x v="16"/>
    <x v="0"/>
    <n v="4"/>
    <n v="184"/>
    <x v="0"/>
    <x v="1"/>
    <n v="5.0251256281407036E-3"/>
    <x v="28"/>
    <x v="3"/>
    <s v="OK"/>
    <x v="6"/>
    <s v="OK"/>
    <x v="0"/>
    <x v="0"/>
    <n v="1"/>
    <n v="1"/>
    <n v="0"/>
    <n v="0"/>
    <x v="0"/>
    <x v="0"/>
    <x v="0"/>
  </r>
  <r>
    <n v="20611000520"/>
    <x v="27"/>
    <x v="26"/>
    <x v="2623"/>
    <x v="2632"/>
    <x v="2289"/>
    <n v="1"/>
    <x v="361"/>
    <s v="ESTACION -01"/>
    <s v="AV. PISTA NUEVA MZ. J LT. 13 COOP LOS ROBLES "/>
    <x v="4"/>
    <x v="1"/>
    <x v="0"/>
    <x v="3"/>
    <x v="115"/>
    <x v="0"/>
    <n v="1"/>
    <n v="121"/>
    <x v="0"/>
    <x v="1"/>
    <n v="0.125"/>
    <x v="24"/>
    <x v="3"/>
    <s v="OK"/>
    <x v="0"/>
    <s v="OK"/>
    <x v="0"/>
    <x v="0"/>
    <n v="1"/>
    <n v="0"/>
    <n v="1"/>
    <n v="0"/>
    <x v="0"/>
    <x v="0"/>
    <x v="1"/>
  </r>
  <r>
    <n v="20555684721"/>
    <x v="28"/>
    <x v="27"/>
    <x v="2624"/>
    <x v="2633"/>
    <x v="2290"/>
    <n v="1"/>
    <x v="17"/>
    <s v="PATIO TALLER /PV/ESTACIONES/LAB"/>
    <s v="FRANCIA 735"/>
    <x v="146"/>
    <x v="0"/>
    <x v="0"/>
    <x v="2"/>
    <x v="730"/>
    <x v="0"/>
    <n v="1"/>
    <n v="200"/>
    <x v="0"/>
    <x v="1"/>
    <n v="1.4285714285714285E-2"/>
    <x v="26"/>
    <x v="3"/>
    <s v="OK"/>
    <x v="0"/>
    <s v="OK"/>
    <x v="0"/>
    <x v="0"/>
    <n v="1"/>
    <n v="0"/>
    <n v="0"/>
    <n v="0"/>
    <x v="0"/>
    <x v="0"/>
    <x v="0"/>
  </r>
  <r>
    <n v="20555684721"/>
    <x v="28"/>
    <x v="27"/>
    <x v="2625"/>
    <x v="2634"/>
    <x v="2291"/>
    <n v="1"/>
    <x v="17"/>
    <s v="PATIO TALLER /PV/ESTACIONES/LAB"/>
    <s v="Calle General Recavarren Nº 424 Dep 204"/>
    <x v="146"/>
    <x v="0"/>
    <x v="0"/>
    <x v="2"/>
    <x v="731"/>
    <x v="0"/>
    <n v="1"/>
    <n v="200"/>
    <x v="0"/>
    <x v="1"/>
    <n v="1.4285714285714285E-2"/>
    <x v="26"/>
    <x v="3"/>
    <s v="OK"/>
    <x v="0"/>
    <s v="OK"/>
    <x v="0"/>
    <x v="0"/>
    <n v="1"/>
    <n v="0"/>
    <n v="0"/>
    <n v="0"/>
    <x v="0"/>
    <x v="0"/>
    <x v="0"/>
  </r>
  <r>
    <n v="20555684721"/>
    <x v="28"/>
    <x v="27"/>
    <x v="2626"/>
    <x v="2635"/>
    <x v="2292"/>
    <n v="1"/>
    <x v="17"/>
    <s v="PATIO TALLER /PV/ESTACIONES/LAB"/>
    <s v="CALLE MORROCON CUADRA 5 CESAR VALLEJO "/>
    <x v="8"/>
    <x v="0"/>
    <x v="0"/>
    <x v="2"/>
    <x v="398"/>
    <x v="0"/>
    <n v="1"/>
    <n v="263"/>
    <x v="0"/>
    <x v="1"/>
    <n v="1.4285714285714285E-2"/>
    <x v="25"/>
    <x v="3"/>
    <s v="OK"/>
    <x v="0"/>
    <s v="OK"/>
    <x v="0"/>
    <x v="0"/>
    <n v="1"/>
    <n v="0"/>
    <n v="0"/>
    <n v="0"/>
    <x v="0"/>
    <x v="0"/>
    <x v="0"/>
  </r>
  <r>
    <n v="20555684721"/>
    <x v="28"/>
    <x v="27"/>
    <x v="2627"/>
    <x v="2636"/>
    <x v="2293"/>
    <n v="1"/>
    <x v="17"/>
    <s v="PATIO TALLER /PV/ESTACIONES/LAB"/>
    <s v="JIRON LOS AZULEJOS 460 SAN CARLOS "/>
    <x v="15"/>
    <x v="1"/>
    <x v="0"/>
    <x v="3"/>
    <x v="732"/>
    <x v="0"/>
    <n v="1"/>
    <n v="200"/>
    <x v="0"/>
    <x v="1"/>
    <n v="1.4285714285714285E-2"/>
    <x v="26"/>
    <x v="3"/>
    <s v="OK"/>
    <x v="0"/>
    <s v="OK"/>
    <x v="0"/>
    <x v="0"/>
    <n v="1"/>
    <n v="0"/>
    <n v="0"/>
    <n v="0"/>
    <x v="0"/>
    <x v="0"/>
    <x v="0"/>
  </r>
  <r>
    <n v="20555684721"/>
    <x v="28"/>
    <x v="27"/>
    <x v="2628"/>
    <x v="2637"/>
    <x v="2294"/>
    <n v="1"/>
    <x v="17"/>
    <s v="PATIO TALLER /PV/ESTACIONES/LAB"/>
    <s v="CALLE SHELL Nº225 "/>
    <x v="146"/>
    <x v="0"/>
    <x v="0"/>
    <x v="2"/>
    <x v="733"/>
    <x v="0"/>
    <n v="1"/>
    <n v="109"/>
    <x v="0"/>
    <x v="1"/>
    <n v="1.4285714285714285E-2"/>
    <x v="28"/>
    <x v="3"/>
    <s v="OK"/>
    <x v="0"/>
    <s v="OK"/>
    <x v="0"/>
    <x v="0"/>
    <n v="1"/>
    <n v="0"/>
    <n v="0"/>
    <n v="0"/>
    <x v="0"/>
    <x v="0"/>
    <x v="0"/>
  </r>
  <r>
    <n v="20555684721"/>
    <x v="28"/>
    <x v="27"/>
    <x v="2629"/>
    <x v="2638"/>
    <x v="1944"/>
    <n v="1"/>
    <x v="17"/>
    <s v="PATIO TALLER /PV/ESTACIONES/LAB"/>
    <s v="ASENTAMIENTO HUMANO CERRO VERDE, MZ. I LOTE 4 - SJM"/>
    <x v="53"/>
    <x v="0"/>
    <x v="0"/>
    <x v="2"/>
    <x v="734"/>
    <x v="0"/>
    <n v="1"/>
    <n v="200"/>
    <x v="0"/>
    <x v="1"/>
    <n v="1.4285714285714285E-2"/>
    <x v="24"/>
    <x v="3"/>
    <s v="OK"/>
    <x v="0"/>
    <s v="OK"/>
    <x v="0"/>
    <x v="0"/>
    <n v="1"/>
    <n v="0"/>
    <n v="0"/>
    <n v="0"/>
    <x v="0"/>
    <x v="0"/>
    <x v="0"/>
  </r>
  <r>
    <n v="20555684721"/>
    <x v="28"/>
    <x v="27"/>
    <x v="2630"/>
    <x v="2639"/>
    <x v="2295"/>
    <n v="1"/>
    <x v="17"/>
    <s v="PATIO TALLER /PV/ESTACIONES/LAB"/>
    <s v="CALLE MADRE SELVA 135 MZ.F LT.41 "/>
    <x v="80"/>
    <x v="0"/>
    <x v="0"/>
    <x v="2"/>
    <x v="407"/>
    <x v="0"/>
    <n v="1"/>
    <n v="252"/>
    <x v="0"/>
    <x v="1"/>
    <n v="1.4285714285714285E-2"/>
    <x v="30"/>
    <x v="3"/>
    <s v="OK"/>
    <x v="0"/>
    <s v="OK"/>
    <x v="0"/>
    <x v="0"/>
    <n v="1"/>
    <n v="0"/>
    <n v="0"/>
    <n v="0"/>
    <x v="0"/>
    <x v="0"/>
    <x v="0"/>
  </r>
  <r>
    <n v="20555684721"/>
    <x v="28"/>
    <x v="27"/>
    <x v="2631"/>
    <x v="2640"/>
    <x v="1850"/>
    <n v="1"/>
    <x v="17"/>
    <s v="PATIO TALLER /PV/ESTACIONES/LAB"/>
    <s v="URB. SESQUICENTENARIO MZ I LT 7 "/>
    <x v="6"/>
    <x v="0"/>
    <x v="0"/>
    <x v="2"/>
    <x v="123"/>
    <x v="0"/>
    <n v="1"/>
    <n v="263"/>
    <x v="0"/>
    <x v="1"/>
    <n v="1.4285714285714285E-2"/>
    <x v="26"/>
    <x v="3"/>
    <s v="OK"/>
    <x v="2"/>
    <s v="OK"/>
    <x v="0"/>
    <x v="0"/>
    <n v="1"/>
    <n v="1"/>
    <n v="0"/>
    <n v="0"/>
    <x v="0"/>
    <x v="0"/>
    <x v="0"/>
  </r>
  <r>
    <n v="20555684721"/>
    <x v="28"/>
    <x v="27"/>
    <x v="2632"/>
    <x v="2641"/>
    <x v="2296"/>
    <n v="1"/>
    <x v="17"/>
    <s v="PATIO TALLER /PV/ESTACIONES/LAB"/>
    <s v="URB. PREVI MZ.03 LT.14 "/>
    <x v="6"/>
    <x v="0"/>
    <x v="0"/>
    <x v="2"/>
    <x v="124"/>
    <x v="0"/>
    <n v="1"/>
    <n v="260"/>
    <x v="0"/>
    <x v="1"/>
    <n v="1.4285714285714285E-2"/>
    <x v="23"/>
    <x v="3"/>
    <s v="OK"/>
    <x v="2"/>
    <s v="OK"/>
    <x v="0"/>
    <x v="0"/>
    <n v="1"/>
    <n v="1"/>
    <n v="0"/>
    <n v="0"/>
    <x v="0"/>
    <x v="0"/>
    <x v="0"/>
  </r>
  <r>
    <n v="20555684721"/>
    <x v="28"/>
    <x v="27"/>
    <x v="2633"/>
    <x v="2642"/>
    <x v="2297"/>
    <n v="1"/>
    <x v="17"/>
    <s v="PATIO TALLER /PV/ESTACIONES/LAB"/>
    <s v="CALLE ANDRES AVELINO CAERES URB.JOSE CHAVEZ ETAPA 1 MZ. L LT.17"/>
    <x v="6"/>
    <x v="0"/>
    <x v="0"/>
    <x v="2"/>
    <x v="27"/>
    <x v="0"/>
    <n v="1"/>
    <n v="263"/>
    <x v="0"/>
    <x v="1"/>
    <n v="1.4285714285714285E-2"/>
    <x v="27"/>
    <x v="3"/>
    <s v="OK"/>
    <x v="2"/>
    <s v="OK"/>
    <x v="0"/>
    <x v="0"/>
    <n v="1"/>
    <n v="1"/>
    <n v="0"/>
    <n v="0"/>
    <x v="0"/>
    <x v="0"/>
    <x v="0"/>
  </r>
  <r>
    <n v="20523293533"/>
    <x v="62"/>
    <x v="45"/>
    <x v="2634"/>
    <x v="2643"/>
    <x v="1802"/>
    <n v="1"/>
    <x v="303"/>
    <s v="SANTA ANITA"/>
    <s v="SANTA ANITA"/>
    <x v="1"/>
    <x v="0"/>
    <x v="0"/>
    <x v="1"/>
    <x v="408"/>
    <x v="0"/>
    <n v="1"/>
    <n v="300"/>
    <x v="0"/>
    <x v="1"/>
    <n v="0.05"/>
    <x v="29"/>
    <x v="3"/>
    <s v="OK"/>
    <x v="1"/>
    <s v="OK"/>
    <x v="0"/>
    <x v="0"/>
    <n v="1"/>
    <n v="1"/>
    <n v="0"/>
    <n v="0"/>
    <x v="0"/>
    <x v="0"/>
    <x v="0"/>
  </r>
  <r>
    <n v="20523293533"/>
    <x v="62"/>
    <x v="45"/>
    <x v="2635"/>
    <x v="2644"/>
    <x v="2298"/>
    <n v="1"/>
    <x v="183"/>
    <s v="CALLAO"/>
    <s v="SAN JUAN DE MIRAFLORES"/>
    <x v="53"/>
    <x v="1"/>
    <x v="0"/>
    <x v="3"/>
    <x v="9"/>
    <x v="0"/>
    <n v="1"/>
    <n v="168"/>
    <x v="0"/>
    <x v="1"/>
    <n v="0.05"/>
    <x v="30"/>
    <x v="3"/>
    <s v="OK"/>
    <x v="0"/>
    <s v="OK"/>
    <x v="0"/>
    <x v="0"/>
    <n v="1"/>
    <n v="0"/>
    <n v="1"/>
    <n v="0"/>
    <x v="0"/>
    <x v="0"/>
    <x v="1"/>
  </r>
  <r>
    <s v="20603058420"/>
    <x v="74"/>
    <x v="28"/>
    <x v="2636"/>
    <x v="2645"/>
    <x v="2299"/>
    <n v="2"/>
    <x v="2"/>
    <s v="E03"/>
    <s v="UNIDAD MODELO CHALET 1E2"/>
    <x v="6"/>
    <x v="0"/>
    <x v="0"/>
    <x v="2"/>
    <x v="110"/>
    <x v="0"/>
    <n v="4"/>
    <n v="192"/>
    <x v="0"/>
    <x v="0"/>
    <n v="9.8039215686274508E-3"/>
    <x v="28"/>
    <x v="3"/>
    <s v="OK"/>
    <x v="2"/>
    <s v="OK"/>
    <x v="0"/>
    <x v="0"/>
    <n v="1"/>
    <n v="1"/>
    <n v="0"/>
    <n v="0"/>
    <x v="0"/>
    <x v="0"/>
    <x v="0"/>
  </r>
  <r>
    <s v="20601668018"/>
    <x v="29"/>
    <x v="28"/>
    <x v="2637"/>
    <x v="2646"/>
    <x v="2300"/>
    <n v="3"/>
    <x v="39"/>
    <s v="E03"/>
    <s v="AV. PERU 489. URB CAJA DE AGUA"/>
    <x v="15"/>
    <x v="0"/>
    <x v="0"/>
    <x v="2"/>
    <x v="103"/>
    <x v="0"/>
    <n v="1"/>
    <n v="90"/>
    <x v="0"/>
    <x v="0"/>
    <n v="9.8039215686274508E-3"/>
    <x v="29"/>
    <x v="3"/>
    <s v="OK"/>
    <x v="0"/>
    <s v="OK"/>
    <x v="0"/>
    <x v="0"/>
    <n v="1"/>
    <n v="0"/>
    <n v="1"/>
    <n v="0"/>
    <x v="0"/>
    <x v="0"/>
    <x v="1"/>
  </r>
  <r>
    <n v="20606079274"/>
    <x v="30"/>
    <x v="28"/>
    <x v="2638"/>
    <x v="2647"/>
    <x v="2192"/>
    <n v="2"/>
    <x v="2"/>
    <s v="E01"/>
    <s v="JR. CUZCO 515"/>
    <x v="6"/>
    <x v="0"/>
    <x v="0"/>
    <x v="2"/>
    <x v="126"/>
    <x v="0"/>
    <n v="4"/>
    <n v="192"/>
    <x v="0"/>
    <x v="0"/>
    <n v="9.8039215686274508E-3"/>
    <x v="27"/>
    <x v="3"/>
    <s v="OK"/>
    <x v="2"/>
    <s v="OK"/>
    <x v="0"/>
    <x v="0"/>
    <n v="1"/>
    <n v="1"/>
    <n v="0"/>
    <n v="0"/>
    <x v="0"/>
    <x v="0"/>
    <x v="0"/>
  </r>
  <r>
    <n v="20604863580"/>
    <x v="31"/>
    <x v="28"/>
    <x v="2639"/>
    <x v="2648"/>
    <x v="2301"/>
    <n v="3"/>
    <x v="41"/>
    <s v="E01"/>
    <s v="PROLONG. PARINACOCHAS PSJ. JUANJUI MZ. 8 LT. 15"/>
    <x v="25"/>
    <x v="0"/>
    <x v="0"/>
    <x v="2"/>
    <x v="13"/>
    <x v="0"/>
    <n v="1"/>
    <n v="130"/>
    <x v="0"/>
    <x v="0"/>
    <n v="9.8039215686274508E-3"/>
    <x v="27"/>
    <x v="3"/>
    <s v="OK"/>
    <x v="4"/>
    <s v="OK"/>
    <x v="0"/>
    <x v="0"/>
    <n v="1"/>
    <n v="1"/>
    <n v="0"/>
    <n v="0"/>
    <x v="0"/>
    <x v="0"/>
    <x v="0"/>
  </r>
  <r>
    <n v="20604863580"/>
    <x v="31"/>
    <x v="28"/>
    <x v="2640"/>
    <x v="2649"/>
    <x v="2302"/>
    <n v="3"/>
    <x v="42"/>
    <s v="E01"/>
    <s v="ASENT.H 20 DE ENERO SECTOR B MZ R LT 18"/>
    <x v="15"/>
    <x v="0"/>
    <x v="0"/>
    <x v="2"/>
    <x v="735"/>
    <x v="0"/>
    <n v="1"/>
    <n v="169"/>
    <x v="0"/>
    <x v="0"/>
    <n v="9.8039215686274508E-3"/>
    <x v="24"/>
    <x v="3"/>
    <s v="OK"/>
    <x v="0"/>
    <s v="OK"/>
    <x v="0"/>
    <x v="0"/>
    <n v="1"/>
    <n v="0"/>
    <n v="0"/>
    <n v="0"/>
    <x v="0"/>
    <x v="0"/>
    <x v="0"/>
  </r>
  <r>
    <s v="10258661350"/>
    <x v="32"/>
    <x v="28"/>
    <x v="2641"/>
    <x v="2650"/>
    <x v="2303"/>
    <n v="3"/>
    <x v="42"/>
    <s v="E03"/>
    <s v="AV. SOSA PELAEZ 1111 DPTO. 412 BLOCK 5 CHACRARIOS NORTE"/>
    <x v="10"/>
    <x v="0"/>
    <x v="0"/>
    <x v="2"/>
    <x v="269"/>
    <x v="0"/>
    <n v="1"/>
    <n v="186"/>
    <x v="0"/>
    <x v="0"/>
    <n v="9.8039215686274508E-3"/>
    <x v="25"/>
    <x v="3"/>
    <s v="OK"/>
    <x v="0"/>
    <s v="OK"/>
    <x v="0"/>
    <x v="0"/>
    <n v="1"/>
    <n v="0"/>
    <n v="0"/>
    <n v="0"/>
    <x v="0"/>
    <x v="0"/>
    <x v="0"/>
  </r>
  <r>
    <s v="10258661350"/>
    <x v="32"/>
    <x v="28"/>
    <x v="2642"/>
    <x v="2651"/>
    <x v="2304"/>
    <n v="3"/>
    <x v="42"/>
    <s v="E03"/>
    <s v="COOP. PABLO Vl KM 14 MZ Y LT 7"/>
    <x v="0"/>
    <x v="0"/>
    <x v="0"/>
    <x v="2"/>
    <x v="624"/>
    <x v="0"/>
    <n v="1"/>
    <n v="169"/>
    <x v="0"/>
    <x v="0"/>
    <n v="9.8039215686274508E-3"/>
    <x v="24"/>
    <x v="3"/>
    <s v="OK"/>
    <x v="0"/>
    <s v="OK"/>
    <x v="0"/>
    <x v="0"/>
    <n v="1"/>
    <n v="0"/>
    <n v="0"/>
    <n v="0"/>
    <x v="0"/>
    <x v="0"/>
    <x v="0"/>
  </r>
  <r>
    <n v="10443116864"/>
    <x v="33"/>
    <x v="28"/>
    <x v="2643"/>
    <x v="2652"/>
    <x v="2305"/>
    <n v="3"/>
    <x v="41"/>
    <s v="E02"/>
    <s v="CASERIO MUYUY 1 ZONA RIO AMAZONAS"/>
    <x v="193"/>
    <x v="0"/>
    <x v="0"/>
    <x v="2"/>
    <x v="441"/>
    <x v="0"/>
    <n v="1"/>
    <n v="90"/>
    <x v="0"/>
    <x v="0"/>
    <n v="9.8039215686274508E-3"/>
    <x v="23"/>
    <x v="3"/>
    <s v="OK"/>
    <x v="0"/>
    <s v="OK"/>
    <x v="0"/>
    <x v="0"/>
    <n v="1"/>
    <n v="0"/>
    <n v="0"/>
    <n v="0"/>
    <x v="0"/>
    <x v="0"/>
    <x v="0"/>
  </r>
  <r>
    <s v="20101620256"/>
    <x v="34"/>
    <x v="28"/>
    <x v="2644"/>
    <x v="2653"/>
    <x v="2299"/>
    <n v="1"/>
    <x v="103"/>
    <s v="E03"/>
    <s v="JR.DESAMPARADOS 505"/>
    <x v="343"/>
    <x v="0"/>
    <x v="0"/>
    <x v="2"/>
    <x v="547"/>
    <x v="0"/>
    <n v="1"/>
    <n v="169"/>
    <x v="0"/>
    <x v="0"/>
    <n v="9.8039215686274508E-3"/>
    <x v="28"/>
    <x v="3"/>
    <s v="OK"/>
    <x v="0"/>
    <s v="OK"/>
    <x v="0"/>
    <x v="0"/>
    <n v="1"/>
    <n v="0"/>
    <n v="0"/>
    <n v="0"/>
    <x v="0"/>
    <x v="0"/>
    <x v="0"/>
  </r>
  <r>
    <s v="20101620256"/>
    <x v="34"/>
    <x v="28"/>
    <x v="2645"/>
    <x v="2654"/>
    <x v="2306"/>
    <n v="1"/>
    <x v="106"/>
    <s v="E03"/>
    <s v="CALLA EL PARQUE MZ.G LT.4 URB. MARANGA"/>
    <x v="28"/>
    <x v="0"/>
    <x v="0"/>
    <x v="2"/>
    <x v="736"/>
    <x v="0"/>
    <n v="1"/>
    <n v="192"/>
    <x v="0"/>
    <x v="0"/>
    <n v="9.8039215686274508E-3"/>
    <x v="27"/>
    <x v="3"/>
    <s v="OK"/>
    <x v="0"/>
    <s v="OK"/>
    <x v="0"/>
    <x v="0"/>
    <n v="1"/>
    <n v="0"/>
    <n v="0"/>
    <n v="0"/>
    <x v="0"/>
    <x v="0"/>
    <x v="0"/>
  </r>
  <r>
    <s v="20101620256"/>
    <x v="34"/>
    <x v="28"/>
    <x v="2646"/>
    <x v="2655"/>
    <x v="1840"/>
    <n v="1"/>
    <x v="106"/>
    <s v="E01"/>
    <s v="ASENT.H. HORACIO ZEVALLOS MZ.D LT. 02 URB. FLOR DE AMANCAES"/>
    <x v="13"/>
    <x v="0"/>
    <x v="0"/>
    <x v="2"/>
    <x v="76"/>
    <x v="0"/>
    <n v="1"/>
    <n v="192"/>
    <x v="0"/>
    <x v="0"/>
    <n v="9.8039215686274508E-3"/>
    <x v="27"/>
    <x v="3"/>
    <s v="OK"/>
    <x v="0"/>
    <s v="OK"/>
    <x v="0"/>
    <x v="0"/>
    <n v="1"/>
    <n v="0"/>
    <n v="0"/>
    <n v="0"/>
    <x v="0"/>
    <x v="0"/>
    <x v="0"/>
  </r>
  <r>
    <s v="20101620256"/>
    <x v="34"/>
    <x v="28"/>
    <x v="2647"/>
    <x v="2656"/>
    <x v="2307"/>
    <n v="1"/>
    <x v="88"/>
    <s v="E03"/>
    <s v="LAS CORDILLERAS 1130"/>
    <x v="3"/>
    <x v="0"/>
    <x v="0"/>
    <x v="2"/>
    <x v="420"/>
    <x v="0"/>
    <n v="1"/>
    <n v="192"/>
    <x v="0"/>
    <x v="0"/>
    <n v="9.8039215686274508E-3"/>
    <x v="23"/>
    <x v="3"/>
    <s v="OK"/>
    <x v="0"/>
    <s v="OK"/>
    <x v="0"/>
    <x v="0"/>
    <n v="1"/>
    <n v="0"/>
    <n v="0"/>
    <n v="0"/>
    <x v="0"/>
    <x v="0"/>
    <x v="0"/>
  </r>
  <r>
    <n v="20606991062"/>
    <x v="35"/>
    <x v="29"/>
    <x v="2648"/>
    <x v="2657"/>
    <x v="2308"/>
    <n v="1"/>
    <x v="106"/>
    <s v="OBR-06-23-020 – INSTALACIÓN DE TERRAZOS Y PORCELANATO EN ESTACIONES E-01 “PUERTO CALLAO”, E-02 “BUENOS AIRES” Y E-03 “JUAN PABLO II”"/>
    <s v="UV SANTA MARINA S 111 "/>
    <x v="6"/>
    <x v="1"/>
    <x v="0"/>
    <x v="2"/>
    <x v="737"/>
    <x v="0"/>
    <n v="1"/>
    <n v="192"/>
    <x v="0"/>
    <x v="1"/>
    <n v="2.6315789473684209E-2"/>
    <x v="30"/>
    <x v="3"/>
    <s v="OK"/>
    <x v="2"/>
    <s v="OK"/>
    <x v="0"/>
    <x v="0"/>
    <n v="1"/>
    <n v="1"/>
    <n v="0"/>
    <n v="0"/>
    <x v="0"/>
    <x v="0"/>
    <x v="0"/>
  </r>
  <r>
    <n v="20606991062"/>
    <x v="35"/>
    <x v="29"/>
    <x v="2649"/>
    <x v="2658"/>
    <x v="2309"/>
    <n v="2"/>
    <x v="8"/>
    <s v="OBR-06-23-020 – INSTALACIÓN DE TERRAZOS Y PORCELANATO EN ESTACIONES E-01 “PUERTO CALLAO”, E-02 “BUENOS AIRES” Y E-03 “JUAN PABLO II”"/>
    <s v="JR. SALAVERRY S/N PUEBLO MARCA"/>
    <x v="344"/>
    <x v="0"/>
    <x v="0"/>
    <x v="2"/>
    <x v="738"/>
    <x v="0"/>
    <n v="1"/>
    <n v="192"/>
    <x v="0"/>
    <x v="1"/>
    <n v="2.6315789473684209E-2"/>
    <x v="29"/>
    <x v="3"/>
    <s v="OK"/>
    <x v="0"/>
    <s v="OK"/>
    <x v="0"/>
    <x v="0"/>
    <n v="1"/>
    <n v="0"/>
    <n v="0"/>
    <n v="0"/>
    <x v="0"/>
    <x v="0"/>
    <x v="0"/>
  </r>
  <r>
    <n v="20606991062"/>
    <x v="35"/>
    <x v="29"/>
    <x v="2650"/>
    <x v="2659"/>
    <x v="2310"/>
    <n v="2"/>
    <x v="11"/>
    <s v="OBR-06-23-020 – INSTALACIÓN DE TERRAZOS Y PORCELANATO EN ESTACIONES E-01 “PUERTO CALLAO”, E-02 “BUENOS AIRES” Y E-03 “JUAN PABLO II”"/>
    <s v="ASOC. LOS FICUS DE SANTA ROSA MZ C LT 3 MANCHAY"/>
    <x v="58"/>
    <x v="0"/>
    <x v="0"/>
    <x v="2"/>
    <x v="176"/>
    <x v="0"/>
    <n v="1"/>
    <n v="192"/>
    <x v="0"/>
    <x v="1"/>
    <n v="2.6315789473684209E-2"/>
    <x v="24"/>
    <x v="3"/>
    <s v="OK"/>
    <x v="0"/>
    <s v="OK"/>
    <x v="0"/>
    <x v="0"/>
    <n v="1"/>
    <n v="0"/>
    <n v="0"/>
    <n v="0"/>
    <x v="0"/>
    <x v="0"/>
    <x v="0"/>
  </r>
  <r>
    <n v="20606991062"/>
    <x v="35"/>
    <x v="29"/>
    <x v="2651"/>
    <x v="2660"/>
    <x v="2311"/>
    <n v="2"/>
    <x v="8"/>
    <s v="OBR-06-23-020 – INSTALACIÓN DE TERRAZOS Y PORCELANATO EN ESTACIONES E-01 “PUERTO CALLAO”, E-02 “BUENOS AIRES” Y E-03 “JUAN PABLO II”"/>
    <s v="AV. PETIT THOUARS 5431 INT 12"/>
    <x v="146"/>
    <x v="0"/>
    <x v="0"/>
    <x v="2"/>
    <x v="70"/>
    <x v="0"/>
    <n v="1"/>
    <n v="188"/>
    <x v="0"/>
    <x v="1"/>
    <n v="2.6315789473684209E-2"/>
    <x v="24"/>
    <x v="3"/>
    <s v="OK"/>
    <x v="0"/>
    <s v="OK"/>
    <x v="0"/>
    <x v="0"/>
    <n v="1"/>
    <n v="0"/>
    <n v="0"/>
    <n v="0"/>
    <x v="0"/>
    <x v="0"/>
    <x v="0"/>
  </r>
  <r>
    <n v="20606991062"/>
    <x v="35"/>
    <x v="29"/>
    <x v="2652"/>
    <x v="2661"/>
    <x v="2312"/>
    <n v="2"/>
    <x v="11"/>
    <s v="OBR-06-23-020 – INSTALACIÓN DE TERRAZOS Y PORCELANATO EN ESTACIONES E-01 “PUERTO CALLAO”, E-02 “BUENOS AIRES” Y E-03 “JUAN PABLO II”"/>
    <s v="AV 1 RO DE MATO 139 ASNT H 22 HECTAREAS"/>
    <x v="182"/>
    <x v="0"/>
    <x v="0"/>
    <x v="2"/>
    <x v="70"/>
    <x v="0"/>
    <n v="1"/>
    <n v="192"/>
    <x v="0"/>
    <x v="1"/>
    <n v="2.6315789473684209E-2"/>
    <x v="24"/>
    <x v="3"/>
    <s v="OK"/>
    <x v="2"/>
    <s v="OK"/>
    <x v="0"/>
    <x v="0"/>
    <n v="1"/>
    <n v="1"/>
    <n v="0"/>
    <n v="0"/>
    <x v="0"/>
    <x v="0"/>
    <x v="0"/>
  </r>
  <r>
    <n v="20606991062"/>
    <x v="35"/>
    <x v="29"/>
    <x v="2653"/>
    <x v="2662"/>
    <x v="2313"/>
    <n v="2"/>
    <x v="11"/>
    <s v="OBR-06-23-020 – INSTALACIÓN DE TERRAZOS Y PORCELANATO EN ESTACIONES E-01 “PUERTO CALLAO”, E-02 “BUENOS AIRES” Y E-03 “JUAN PABLO II”"/>
    <s v="AV CORDILLERA BLANCA MZ E 1 LT 9 URB DELICIAS DE VILLA"/>
    <x v="38"/>
    <x v="0"/>
    <x v="0"/>
    <x v="2"/>
    <x v="543"/>
    <x v="0"/>
    <n v="1"/>
    <n v="192"/>
    <x v="0"/>
    <x v="1"/>
    <n v="2.6315789473684209E-2"/>
    <x v="30"/>
    <x v="3"/>
    <s v="OK"/>
    <x v="0"/>
    <s v="OK"/>
    <x v="0"/>
    <x v="0"/>
    <n v="1"/>
    <n v="0"/>
    <n v="0"/>
    <n v="0"/>
    <x v="0"/>
    <x v="0"/>
    <x v="0"/>
  </r>
  <r>
    <n v="20606991062"/>
    <x v="35"/>
    <x v="29"/>
    <x v="2654"/>
    <x v="2663"/>
    <x v="2314"/>
    <n v="2"/>
    <x v="8"/>
    <s v="OBR-06-23-020 – INSTALACIÓN DE TERRAZOS Y PORCELANATO EN ESTACIONES E-01 “PUERTO CALLAO”, E-02 “BUENOS AIRES” Y E-03 “JUAN PABLO II”"/>
    <s v="MZ 17 LT 13 BAYOVAR"/>
    <x v="15"/>
    <x v="0"/>
    <x v="0"/>
    <x v="2"/>
    <x v="423"/>
    <x v="0"/>
    <n v="1"/>
    <n v="192"/>
    <x v="0"/>
    <x v="1"/>
    <n v="2.6315789473684209E-2"/>
    <x v="23"/>
    <x v="3"/>
    <s v="OK"/>
    <x v="0"/>
    <s v="OK"/>
    <x v="0"/>
    <x v="0"/>
    <n v="1"/>
    <n v="0"/>
    <n v="0"/>
    <n v="0"/>
    <x v="0"/>
    <x v="0"/>
    <x v="0"/>
  </r>
  <r>
    <n v="20100568617"/>
    <x v="63"/>
    <x v="46"/>
    <x v="2655"/>
    <x v="2664"/>
    <x v="2315"/>
    <n v="1"/>
    <x v="91"/>
    <s v="TRASLADO DE DOVELAS - PLANTA DOVELAS E-19"/>
    <s v="CALLE INCA GARCILASO DE LA VEGA MZ. 98 LT. 9"/>
    <x v="8"/>
    <x v="0"/>
    <x v="0"/>
    <x v="1"/>
    <x v="739"/>
    <x v="0"/>
    <n v="1"/>
    <n v="216"/>
    <x v="0"/>
    <x v="1"/>
    <n v="0.125"/>
    <x v="29"/>
    <x v="3"/>
    <s v="OK"/>
    <x v="0"/>
    <s v="OK"/>
    <x v="0"/>
    <x v="0"/>
    <n v="1"/>
    <n v="0"/>
    <n v="0"/>
    <n v="0"/>
    <x v="0"/>
    <x v="0"/>
    <x v="0"/>
  </r>
  <r>
    <n v="20100568617"/>
    <x v="63"/>
    <x v="46"/>
    <x v="2656"/>
    <x v="2665"/>
    <x v="2316"/>
    <n v="1"/>
    <x v="57"/>
    <s v="TRASLADO DE DOVELAS - PLANTA DOVELAS E-19"/>
    <s v="AV. UNIVERSITARIA 740 URB EL ROSARIO"/>
    <x v="3"/>
    <x v="0"/>
    <x v="0"/>
    <x v="1"/>
    <x v="740"/>
    <x v="0"/>
    <n v="2"/>
    <n v="208"/>
    <x v="0"/>
    <x v="1"/>
    <n v="0.125"/>
    <x v="26"/>
    <x v="3"/>
    <s v="OK"/>
    <x v="0"/>
    <s v="OK"/>
    <x v="0"/>
    <x v="0"/>
    <n v="1"/>
    <n v="0"/>
    <n v="0"/>
    <n v="0"/>
    <x v="0"/>
    <x v="0"/>
    <x v="0"/>
  </r>
  <r>
    <n v="20100568617"/>
    <x v="63"/>
    <x v="46"/>
    <x v="2657"/>
    <x v="2666"/>
    <x v="2317"/>
    <n v="1"/>
    <x v="91"/>
    <s v="TRASLADO DE DOVELAS - PLANTA DOVELAS E-19"/>
    <s v="AA.HH. PROY INT. ZAPALLAL ALTO MZ. E1 LT. 41"/>
    <x v="4"/>
    <x v="0"/>
    <x v="0"/>
    <x v="1"/>
    <x v="362"/>
    <x v="0"/>
    <n v="1"/>
    <n v="216"/>
    <x v="0"/>
    <x v="1"/>
    <n v="0.125"/>
    <x v="28"/>
    <x v="3"/>
    <s v="OK"/>
    <x v="0"/>
    <s v="OK"/>
    <x v="0"/>
    <x v="0"/>
    <n v="1"/>
    <n v="0"/>
    <n v="0"/>
    <n v="0"/>
    <x v="0"/>
    <x v="0"/>
    <x v="0"/>
  </r>
  <r>
    <n v="20557447181"/>
    <x v="64"/>
    <x v="47"/>
    <x v="2658"/>
    <x v="2667"/>
    <x v="2318"/>
    <n v="1"/>
    <x v="91"/>
    <s v="Estacion Gambeta"/>
    <s v="MZ.F LT.21 ASOC RESIDENCIAL PARIACHI I ETAPA "/>
    <x v="1"/>
    <x v="0"/>
    <x v="6"/>
    <x v="2"/>
    <x v="741"/>
    <x v="0"/>
    <n v="1"/>
    <n v="190"/>
    <x v="0"/>
    <x v="1"/>
    <n v="0.125"/>
    <x v="31"/>
    <x v="3"/>
    <s v="OK"/>
    <x v="1"/>
    <s v="OK"/>
    <x v="0"/>
    <x v="0"/>
    <n v="1"/>
    <n v="1"/>
    <n v="0"/>
    <n v="0"/>
    <x v="0"/>
    <x v="0"/>
    <x v="0"/>
  </r>
  <r>
    <n v="20557447181"/>
    <x v="64"/>
    <x v="47"/>
    <x v="2659"/>
    <x v="2668"/>
    <x v="2319"/>
    <n v="1"/>
    <x v="91"/>
    <s v="Estacion 4"/>
    <s v="ASOC. AGRUPACION FAMILIAR LOS PINOS SEGUNDA ETAPA L-19"/>
    <x v="345"/>
    <x v="0"/>
    <x v="6"/>
    <x v="2"/>
    <x v="305"/>
    <x v="0"/>
    <n v="1"/>
    <n v="208"/>
    <x v="0"/>
    <x v="1"/>
    <n v="0.125"/>
    <x v="25"/>
    <x v="3"/>
    <s v="OK"/>
    <x v="0"/>
    <s v="OK"/>
    <x v="0"/>
    <x v="0"/>
    <n v="1"/>
    <n v="0"/>
    <n v="0"/>
    <n v="0"/>
    <x v="0"/>
    <x v="0"/>
    <x v="0"/>
  </r>
  <r>
    <n v="20556570681"/>
    <x v="36"/>
    <x v="30"/>
    <x v="2660"/>
    <x v="2669"/>
    <x v="2320"/>
    <n v="1"/>
    <x v="90"/>
    <s v="SUPERESTRUCTURA DE VIA TUNEL PBM PV1BIS - E4 - Y -TRAMO 3ra VIA PARQUE MURILLO – E19"/>
    <s v="CALLE LAS VIOLETAS MZ J LOTE 11 ASOCIACION MONTERREY"/>
    <x v="27"/>
    <x v="0"/>
    <x v="0"/>
    <x v="2"/>
    <x v="139"/>
    <x v="0"/>
    <n v="1"/>
    <n v="240"/>
    <x v="0"/>
    <x v="1"/>
    <n v="4.7619047619047623E-3"/>
    <x v="29"/>
    <x v="3"/>
    <s v="OK"/>
    <x v="5"/>
    <s v="OK"/>
    <x v="0"/>
    <x v="0"/>
    <n v="1"/>
    <n v="1"/>
    <n v="0"/>
    <n v="0"/>
    <x v="0"/>
    <x v="0"/>
    <x v="0"/>
  </r>
  <r>
    <n v="20556570681"/>
    <x v="36"/>
    <x v="30"/>
    <x v="2240"/>
    <x v="2247"/>
    <x v="1941"/>
    <n v="1"/>
    <x v="362"/>
    <s v="SUPERESTRUCTURA DE VIA TUNEL PBM PV1BIS - E4 - Y -TRAMO 3ra VIA PARQUE MURILLO – E19"/>
    <s v="CALLE MISIONERO MANZINI BLOCK 3 DPTO. 104"/>
    <x v="6"/>
    <x v="1"/>
    <x v="0"/>
    <x v="2"/>
    <x v="139"/>
    <x v="0"/>
    <n v="1"/>
    <n v="240"/>
    <x v="0"/>
    <x v="1"/>
    <n v="4.7619047619047623E-3"/>
    <x v="28"/>
    <x v="3"/>
    <s v="OK"/>
    <x v="2"/>
    <s v="OK"/>
    <x v="0"/>
    <x v="2"/>
    <n v="0.33333333333333331"/>
    <n v="0.5"/>
    <n v="0"/>
    <n v="0"/>
    <x v="0"/>
    <x v="0"/>
    <x v="0"/>
  </r>
  <r>
    <n v="20556570681"/>
    <x v="36"/>
    <x v="30"/>
    <x v="2661"/>
    <x v="2670"/>
    <x v="1864"/>
    <n v="1"/>
    <x v="90"/>
    <s v="SUPERESTRUCTURA DE VIA TUNEL PBM PV1BIS - E4 - Y -TRAMO 3ra VIA PARQUE MURILLO – E19"/>
    <s v="AV. LAS TUNAS MZ X LOTE 15 - JICAMARCA ANEXO 8"/>
    <x v="60"/>
    <x v="0"/>
    <x v="0"/>
    <x v="2"/>
    <x v="139"/>
    <x v="0"/>
    <n v="1"/>
    <n v="240"/>
    <x v="0"/>
    <x v="1"/>
    <n v="4.7619047619047623E-3"/>
    <x v="30"/>
    <x v="3"/>
    <s v="OK"/>
    <x v="0"/>
    <s v="OK"/>
    <x v="0"/>
    <x v="0"/>
    <n v="1"/>
    <n v="0"/>
    <n v="0"/>
    <n v="0"/>
    <x v="0"/>
    <x v="0"/>
    <x v="0"/>
  </r>
  <r>
    <n v="20556570681"/>
    <x v="36"/>
    <x v="30"/>
    <x v="2662"/>
    <x v="2671"/>
    <x v="2321"/>
    <n v="1"/>
    <x v="120"/>
    <s v="SUPERESTRUCTURA DE VIA TUNEL PBM PV1BIS - E4 - Y -TRAMO 3ra VIA PARQUE MURILLO – E19"/>
    <s v="AV. JULIO C. TELLO 460 DPTO. 206"/>
    <x v="155"/>
    <x v="0"/>
    <x v="0"/>
    <x v="2"/>
    <x v="684"/>
    <x v="0"/>
    <n v="1"/>
    <n v="240"/>
    <x v="0"/>
    <x v="1"/>
    <n v="4.7619047619047623E-3"/>
    <x v="27"/>
    <x v="3"/>
    <s v="OK"/>
    <x v="0"/>
    <s v="OK"/>
    <x v="0"/>
    <x v="0"/>
    <n v="1"/>
    <n v="0"/>
    <n v="0"/>
    <n v="0"/>
    <x v="0"/>
    <x v="0"/>
    <x v="0"/>
  </r>
  <r>
    <n v="20556570681"/>
    <x v="36"/>
    <x v="30"/>
    <x v="2663"/>
    <x v="2672"/>
    <x v="2322"/>
    <n v="1"/>
    <x v="96"/>
    <s v="SUPERESTRUCTURA DE VIA TUNEL PBM PV1BIS - E4 - Y -TRAMO 3ra VIA PARQUE MURILLO – E19"/>
    <s v="LIMA S/N"/>
    <x v="10"/>
    <x v="0"/>
    <x v="2"/>
    <x v="2"/>
    <x v="268"/>
    <x v="2"/>
    <n v="1"/>
    <n v="8"/>
    <x v="0"/>
    <x v="1"/>
    <n v="4.7619047619047623E-3"/>
    <x v="24"/>
    <x v="3"/>
    <s v="OK"/>
    <x v="0"/>
    <s v="OK"/>
    <x v="0"/>
    <x v="0"/>
    <n v="1"/>
    <n v="0"/>
    <n v="0"/>
    <n v="1"/>
    <x v="0"/>
    <x v="1"/>
    <x v="0"/>
  </r>
  <r>
    <n v="20556570681"/>
    <x v="36"/>
    <x v="30"/>
    <x v="2664"/>
    <x v="2673"/>
    <x v="2323"/>
    <n v="1"/>
    <x v="341"/>
    <s v="SUPERESTRUCTURA DE VIA TUNEL PBM PV1BIS - E4 - Y -TRAMO 3ra VIA PARQUE MURILLO – E19"/>
    <s v="HORNACHUELOS"/>
    <x v="346"/>
    <x v="0"/>
    <x v="0"/>
    <x v="6"/>
    <x v="147"/>
    <x v="0"/>
    <n v="1"/>
    <n v="240"/>
    <x v="0"/>
    <x v="1"/>
    <n v="4.7619047619047623E-3"/>
    <x v="26"/>
    <x v="3"/>
    <s v="OK"/>
    <x v="0"/>
    <s v="OK"/>
    <x v="0"/>
    <x v="0"/>
    <n v="1"/>
    <n v="0"/>
    <n v="0"/>
    <n v="0"/>
    <x v="0"/>
    <x v="0"/>
    <x v="0"/>
  </r>
  <r>
    <n v="20556570681"/>
    <x v="36"/>
    <x v="30"/>
    <x v="2665"/>
    <x v="2674"/>
    <x v="2324"/>
    <n v="1"/>
    <x v="90"/>
    <s v="SUPERESTRUCTURA DE VIA TUNEL PBM PV1BIS - E4 - Y -TRAMO 3ra VIA PARQUE MURILLO – E19"/>
    <s v="CALLE SANTA ROSA MZ A2 LOTE 3A"/>
    <x v="50"/>
    <x v="0"/>
    <x v="0"/>
    <x v="2"/>
    <x v="55"/>
    <x v="0"/>
    <n v="1"/>
    <n v="240"/>
    <x v="0"/>
    <x v="1"/>
    <n v="4.7619047619047623E-3"/>
    <x v="31"/>
    <x v="3"/>
    <s v="OK"/>
    <x v="0"/>
    <s v="OK"/>
    <x v="0"/>
    <x v="0"/>
    <n v="1"/>
    <n v="0"/>
    <n v="0"/>
    <n v="0"/>
    <x v="0"/>
    <x v="0"/>
    <x v="0"/>
  </r>
  <r>
    <n v="20556570681"/>
    <x v="36"/>
    <x v="30"/>
    <x v="2666"/>
    <x v="2675"/>
    <x v="2325"/>
    <n v="2"/>
    <x v="363"/>
    <s v="SUPERESTRUCTURA DE VIA TUNEL PBM PV1BIS - E4 - Y -TRAMO 3ra VIA PARQUE MURILLO – E19"/>
    <s v="AV. SANTA ROSA 608"/>
    <x v="0"/>
    <x v="0"/>
    <x v="0"/>
    <x v="2"/>
    <x v="429"/>
    <x v="0"/>
    <n v="4"/>
    <n v="240"/>
    <x v="0"/>
    <x v="1"/>
    <n v="4.7619047619047623E-3"/>
    <x v="28"/>
    <x v="3"/>
    <s v="OK"/>
    <x v="0"/>
    <s v="OK"/>
    <x v="0"/>
    <x v="0"/>
    <n v="1"/>
    <n v="0"/>
    <n v="0"/>
    <n v="0"/>
    <x v="0"/>
    <x v="0"/>
    <x v="0"/>
  </r>
  <r>
    <n v="20556570681"/>
    <x v="36"/>
    <x v="30"/>
    <x v="2667"/>
    <x v="2676"/>
    <x v="2159"/>
    <n v="2"/>
    <x v="157"/>
    <s v="SUPERESTRUCTURA DE VIA TUNEL PBM PV1BIS - E4 - Y -TRAMO 3ra VIA PARQUE MURILLO – E19"/>
    <s v="JIRON LOS CHANCAS 524 DPTO. 35"/>
    <x v="25"/>
    <x v="0"/>
    <x v="0"/>
    <x v="2"/>
    <x v="429"/>
    <x v="0"/>
    <n v="4"/>
    <n v="240"/>
    <x v="0"/>
    <x v="1"/>
    <n v="4.7619047619047623E-3"/>
    <x v="27"/>
    <x v="3"/>
    <s v="OK"/>
    <x v="4"/>
    <s v="OK"/>
    <x v="0"/>
    <x v="0"/>
    <n v="1"/>
    <n v="1"/>
    <n v="0"/>
    <n v="0"/>
    <x v="0"/>
    <x v="0"/>
    <x v="0"/>
  </r>
  <r>
    <n v="20556570681"/>
    <x v="36"/>
    <x v="30"/>
    <x v="2668"/>
    <x v="2677"/>
    <x v="2326"/>
    <n v="2"/>
    <x v="364"/>
    <s v="SUPERESTRUCTURA DE VIA TUNEL PBM PV1BIS - E4 - Y -TRAMO 3ra VIA PARQUE MURILLO – E19"/>
    <s v="JR. NICOLAS DE PIEROLA 914"/>
    <x v="6"/>
    <x v="0"/>
    <x v="0"/>
    <x v="2"/>
    <x v="191"/>
    <x v="0"/>
    <n v="4"/>
    <n v="240"/>
    <x v="0"/>
    <x v="1"/>
    <n v="4.7619047619047623E-3"/>
    <x v="29"/>
    <x v="3"/>
    <s v="OK"/>
    <x v="2"/>
    <s v="OK"/>
    <x v="0"/>
    <x v="0"/>
    <n v="1"/>
    <n v="1"/>
    <n v="0"/>
    <n v="0"/>
    <x v="0"/>
    <x v="0"/>
    <x v="0"/>
  </r>
  <r>
    <n v="20556570681"/>
    <x v="36"/>
    <x v="30"/>
    <x v="2669"/>
    <x v="2678"/>
    <x v="2323"/>
    <n v="2"/>
    <x v="365"/>
    <s v="SUPERESTRUCTURA DE VIA TUNEL PBM PV1BIS - E4 - Y -TRAMO 3ra VIA PARQUE MURILLO – E19"/>
    <s v="CAMPAMENTO SAN FERNANDO BAJO NRO 24 CHOSICA"/>
    <x v="50"/>
    <x v="0"/>
    <x v="0"/>
    <x v="2"/>
    <x v="268"/>
    <x v="0"/>
    <n v="4"/>
    <n v="240"/>
    <x v="0"/>
    <x v="1"/>
    <n v="4.7619047619047623E-3"/>
    <x v="26"/>
    <x v="3"/>
    <s v="OK"/>
    <x v="0"/>
    <s v="OK"/>
    <x v="0"/>
    <x v="0"/>
    <n v="1"/>
    <n v="0"/>
    <n v="0"/>
    <n v="0"/>
    <x v="0"/>
    <x v="0"/>
    <x v="0"/>
  </r>
  <r>
    <n v="20556570681"/>
    <x v="36"/>
    <x v="30"/>
    <x v="2670"/>
    <x v="2679"/>
    <x v="2327"/>
    <n v="2"/>
    <x v="157"/>
    <s v="SUPERESTRUCTURA DE VIA TUNEL PBM PV1BIS - E4 - Y -TRAMO 3ra VIA PARQUE MURILLO – E19"/>
    <s v="ASOC. COMUNIDAD RESID.SAN AGUSTIN DE CANIN MZ A LT 13"/>
    <x v="4"/>
    <x v="0"/>
    <x v="0"/>
    <x v="2"/>
    <x v="411"/>
    <x v="0"/>
    <n v="4"/>
    <n v="240"/>
    <x v="0"/>
    <x v="1"/>
    <n v="4.7619047619047623E-3"/>
    <x v="23"/>
    <x v="3"/>
    <s v="OK"/>
    <x v="0"/>
    <s v="OK"/>
    <x v="0"/>
    <x v="0"/>
    <n v="1"/>
    <n v="0"/>
    <n v="0"/>
    <n v="0"/>
    <x v="0"/>
    <x v="0"/>
    <x v="0"/>
  </r>
  <r>
    <n v="20556570681"/>
    <x v="36"/>
    <x v="30"/>
    <x v="2671"/>
    <x v="2680"/>
    <x v="2328"/>
    <n v="2"/>
    <x v="157"/>
    <s v="SUPERESTRUCTURA DE VIA TUNEL PBM PV1BIS - E4 - Y -TRAMO 3ra VIA PARQUE MURILLO – E19"/>
    <s v="ASENT.H OLOF PALME MZ D LT 01"/>
    <x v="98"/>
    <x v="0"/>
    <x v="0"/>
    <x v="2"/>
    <x v="411"/>
    <x v="0"/>
    <n v="4"/>
    <n v="240"/>
    <x v="0"/>
    <x v="1"/>
    <n v="4.7619047619047623E-3"/>
    <x v="30"/>
    <x v="3"/>
    <s v="OK"/>
    <x v="0"/>
    <s v="OK"/>
    <x v="0"/>
    <x v="0"/>
    <n v="1"/>
    <n v="0"/>
    <n v="0"/>
    <n v="0"/>
    <x v="0"/>
    <x v="0"/>
    <x v="0"/>
  </r>
  <r>
    <n v="20556570681"/>
    <x v="36"/>
    <x v="30"/>
    <x v="2672"/>
    <x v="2681"/>
    <x v="2329"/>
    <n v="2"/>
    <x v="11"/>
    <s v="SUPERESTRUCTURA DE VIA TUNEL PBM PV1BIS - E4 - Y -TRAMO 3ra VIA PARQUE MURILLO – E19"/>
    <s v="CR ANTIGUA PANAMERICANA SUR ASENT.H JOSE OLAYA BALANDRA ZONA A MZ LT"/>
    <x v="91"/>
    <x v="0"/>
    <x v="0"/>
    <x v="2"/>
    <x v="411"/>
    <x v="0"/>
    <n v="4"/>
    <n v="240"/>
    <x v="0"/>
    <x v="1"/>
    <n v="4.7619047619047623E-3"/>
    <x v="27"/>
    <x v="3"/>
    <s v="OK"/>
    <x v="0"/>
    <s v="OK"/>
    <x v="0"/>
    <x v="0"/>
    <n v="1"/>
    <n v="0"/>
    <n v="0"/>
    <n v="0"/>
    <x v="0"/>
    <x v="0"/>
    <x v="0"/>
  </r>
  <r>
    <n v="20556570681"/>
    <x v="36"/>
    <x v="30"/>
    <x v="2673"/>
    <x v="2682"/>
    <x v="2115"/>
    <n v="2"/>
    <x v="59"/>
    <s v="SUPERESTRUCTURA DE VIA TUNEL PBM PV1BIS - E4 - Y -TRAMO 3ra VIA PARQUE MURILLO – E19"/>
    <s v="CALLE PROSPERIDAD 197 NUEVA ESPERANZA PARADERO 4"/>
    <x v="115"/>
    <x v="0"/>
    <x v="0"/>
    <x v="2"/>
    <x v="278"/>
    <x v="0"/>
    <n v="4"/>
    <n v="240"/>
    <x v="0"/>
    <x v="1"/>
    <n v="4.7619047619047623E-3"/>
    <x v="29"/>
    <x v="3"/>
    <s v="OK"/>
    <x v="0"/>
    <s v="OK"/>
    <x v="0"/>
    <x v="0"/>
    <n v="1"/>
    <n v="0"/>
    <n v="0"/>
    <n v="0"/>
    <x v="0"/>
    <x v="0"/>
    <x v="0"/>
  </r>
  <r>
    <n v="20556570681"/>
    <x v="36"/>
    <x v="30"/>
    <x v="2674"/>
    <x v="2683"/>
    <x v="2330"/>
    <n v="2"/>
    <x v="11"/>
    <s v="SUPERESTRUCTURA DE VIA TUNEL PBM PV1BIS - E4 - Y -TRAMO 3ra VIA PARQUE MURILLO – E19"/>
    <s v="ASENT.H OLAYA BALANDRA"/>
    <x v="91"/>
    <x v="0"/>
    <x v="0"/>
    <x v="2"/>
    <x v="111"/>
    <x v="0"/>
    <n v="4"/>
    <n v="240"/>
    <x v="0"/>
    <x v="1"/>
    <n v="4.7619047619047623E-3"/>
    <x v="23"/>
    <x v="3"/>
    <s v="OK"/>
    <x v="0"/>
    <s v="OK"/>
    <x v="0"/>
    <x v="0"/>
    <n v="1"/>
    <n v="0"/>
    <n v="0"/>
    <n v="0"/>
    <x v="0"/>
    <x v="0"/>
    <x v="0"/>
  </r>
  <r>
    <n v="20556570681"/>
    <x v="36"/>
    <x v="30"/>
    <x v="2675"/>
    <x v="2684"/>
    <x v="2331"/>
    <n v="2"/>
    <x v="366"/>
    <s v="SUPERESTRUCTURA DE VIA TUNEL PBM PV1BIS - E4 - Y -TRAMO 3ra VIA PARQUE MURILLO – E19"/>
    <s v="CALLE CALVINO 187 URB LA CALERA DE LA MERCED"/>
    <x v="86"/>
    <x v="0"/>
    <x v="0"/>
    <x v="2"/>
    <x v="183"/>
    <x v="0"/>
    <n v="4"/>
    <n v="240"/>
    <x v="0"/>
    <x v="1"/>
    <n v="4.7619047619047623E-3"/>
    <x v="26"/>
    <x v="3"/>
    <s v="OK"/>
    <x v="0"/>
    <s v="OK"/>
    <x v="0"/>
    <x v="0"/>
    <n v="1"/>
    <n v="0"/>
    <n v="0"/>
    <n v="0"/>
    <x v="0"/>
    <x v="0"/>
    <x v="0"/>
  </r>
  <r>
    <n v="20556570681"/>
    <x v="36"/>
    <x v="30"/>
    <x v="2676"/>
    <x v="2685"/>
    <x v="1943"/>
    <n v="2"/>
    <x v="59"/>
    <s v="SUPERESTRUCTURA DE VIA TUNEL PBM PV1BIS - E4 - Y -TRAMO 3ra VIA PARQUE MURILLO – E19"/>
    <s v="SV MZ A LT 13 AGRUP FAMI SEÑOR DE LOS MILAGROS DE BAYOBAR"/>
    <x v="15"/>
    <x v="0"/>
    <x v="0"/>
    <x v="2"/>
    <x v="15"/>
    <x v="0"/>
    <n v="4"/>
    <n v="240"/>
    <x v="0"/>
    <x v="1"/>
    <n v="4.7619047619047623E-3"/>
    <x v="28"/>
    <x v="3"/>
    <s v="OK"/>
    <x v="0"/>
    <s v="OK"/>
    <x v="0"/>
    <x v="0"/>
    <n v="1"/>
    <n v="0"/>
    <n v="0"/>
    <n v="0"/>
    <x v="0"/>
    <x v="0"/>
    <x v="0"/>
  </r>
  <r>
    <n v="20556570681"/>
    <x v="36"/>
    <x v="30"/>
    <x v="2677"/>
    <x v="2686"/>
    <x v="2332"/>
    <n v="2"/>
    <x v="157"/>
    <s v="SUPERESTRUCTURA DE VIA TUNEL PBM PV1BIS - E4 - Y -TRAMO 3ra VIA PARQUE MURILLO – E19"/>
    <s v="MZ 137 LOTE 5 GRUPO 5 UPIS HUASCAR"/>
    <x v="15"/>
    <x v="0"/>
    <x v="0"/>
    <x v="2"/>
    <x v="55"/>
    <x v="0"/>
    <n v="4"/>
    <n v="240"/>
    <x v="0"/>
    <x v="1"/>
    <n v="4.7619047619047623E-3"/>
    <x v="31"/>
    <x v="3"/>
    <s v="OK"/>
    <x v="0"/>
    <s v="OK"/>
    <x v="0"/>
    <x v="0"/>
    <n v="1"/>
    <n v="0"/>
    <n v="0"/>
    <n v="0"/>
    <x v="0"/>
    <x v="0"/>
    <x v="0"/>
  </r>
  <r>
    <n v="20556570681"/>
    <x v="36"/>
    <x v="30"/>
    <x v="2678"/>
    <x v="2687"/>
    <x v="2333"/>
    <n v="2"/>
    <x v="157"/>
    <s v="SUPERESTRUCTURA DE VIA TUNEL PBM PV1BIS - E4 - Y -TRAMO 3ra VIA PARQUE MURILLO – E19"/>
    <s v="MZ 38 B LOTE 10 3ERA ZONA BAYOVAR"/>
    <x v="15"/>
    <x v="0"/>
    <x v="0"/>
    <x v="2"/>
    <x v="40"/>
    <x v="0"/>
    <n v="4"/>
    <n v="240"/>
    <x v="0"/>
    <x v="1"/>
    <n v="4.7619047619047623E-3"/>
    <x v="23"/>
    <x v="3"/>
    <s v="OK"/>
    <x v="0"/>
    <s v="OK"/>
    <x v="0"/>
    <x v="0"/>
    <n v="1"/>
    <n v="0"/>
    <n v="0"/>
    <n v="0"/>
    <x v="0"/>
    <x v="0"/>
    <x v="0"/>
  </r>
  <r>
    <n v="20556570681"/>
    <x v="36"/>
    <x v="30"/>
    <x v="2679"/>
    <x v="2688"/>
    <x v="2334"/>
    <n v="2"/>
    <x v="157"/>
    <s v="SUPERESTRUCTURA DE VIA TUNEL PBM PV1BIS - E4 - Y -TRAMO 3ra VIA PARQUE MURILLO – E19"/>
    <s v="PASAJE MUÑA 167"/>
    <x v="10"/>
    <x v="0"/>
    <x v="0"/>
    <x v="2"/>
    <x v="40"/>
    <x v="0"/>
    <n v="4"/>
    <n v="240"/>
    <x v="0"/>
    <x v="1"/>
    <n v="4.7619047619047623E-3"/>
    <x v="27"/>
    <x v="3"/>
    <s v="OK"/>
    <x v="0"/>
    <s v="OK"/>
    <x v="0"/>
    <x v="0"/>
    <n v="1"/>
    <n v="0"/>
    <n v="0"/>
    <n v="0"/>
    <x v="0"/>
    <x v="0"/>
    <x v="0"/>
  </r>
  <r>
    <n v="20556570681"/>
    <x v="36"/>
    <x v="30"/>
    <x v="2680"/>
    <x v="2689"/>
    <x v="2042"/>
    <n v="2"/>
    <x v="11"/>
    <s v="SUPERESTRUCTURA DE VIA TUNEL PBM PV1BIS - E4 - Y -TRAMO 3ra VIA PARQUE MURILLO – E19"/>
    <s v="ASOC. POPULAR LAS LOMAS DE ANCON MZ 31 LOTE 28"/>
    <x v="62"/>
    <x v="0"/>
    <x v="0"/>
    <x v="2"/>
    <x v="40"/>
    <x v="0"/>
    <n v="4"/>
    <n v="240"/>
    <x v="0"/>
    <x v="1"/>
    <n v="4.7619047619047623E-3"/>
    <x v="30"/>
    <x v="3"/>
    <s v="OK"/>
    <x v="0"/>
    <s v="OK"/>
    <x v="0"/>
    <x v="0"/>
    <n v="1"/>
    <n v="0"/>
    <n v="0"/>
    <n v="0"/>
    <x v="0"/>
    <x v="0"/>
    <x v="0"/>
  </r>
  <r>
    <n v="20556570681"/>
    <x v="36"/>
    <x v="30"/>
    <x v="2681"/>
    <x v="2690"/>
    <x v="2335"/>
    <n v="2"/>
    <x v="11"/>
    <s v="SUPERESTRUCTURA DE VIA TUNEL PBM PV1BIS - E4 - Y -TRAMO 3ra VIA PARQUE MURILLO – E19"/>
    <s v="CENTRO POBLADO ZAPALLAL MZ B LOTE 08"/>
    <x v="4"/>
    <x v="0"/>
    <x v="0"/>
    <x v="2"/>
    <x v="40"/>
    <x v="0"/>
    <n v="4"/>
    <n v="240"/>
    <x v="0"/>
    <x v="1"/>
    <n v="4.7619047619047623E-3"/>
    <x v="23"/>
    <x v="3"/>
    <s v="OK"/>
    <x v="0"/>
    <s v="OK"/>
    <x v="0"/>
    <x v="0"/>
    <n v="1"/>
    <n v="0"/>
    <n v="0"/>
    <n v="0"/>
    <x v="0"/>
    <x v="0"/>
    <x v="0"/>
  </r>
  <r>
    <n v="20556570681"/>
    <x v="36"/>
    <x v="30"/>
    <x v="2682"/>
    <x v="2691"/>
    <x v="1895"/>
    <n v="2"/>
    <x v="367"/>
    <s v="SUPERESTRUCTURA DE VIA TUNEL PBM PV1BIS - E4 - Y -TRAMO 3ra VIA PARQUE MURILLO – E19"/>
    <s v="BARRIO 2 DE MAYO"/>
    <x v="297"/>
    <x v="0"/>
    <x v="0"/>
    <x v="2"/>
    <x v="283"/>
    <x v="0"/>
    <n v="4"/>
    <n v="240"/>
    <x v="0"/>
    <x v="1"/>
    <n v="4.7619047619047623E-3"/>
    <x v="29"/>
    <x v="3"/>
    <s v="OK"/>
    <x v="0"/>
    <s v="OK"/>
    <x v="0"/>
    <x v="0"/>
    <n v="1"/>
    <n v="0"/>
    <n v="0"/>
    <n v="0"/>
    <x v="0"/>
    <x v="0"/>
    <x v="0"/>
  </r>
  <r>
    <n v="20556570681"/>
    <x v="36"/>
    <x v="30"/>
    <x v="2683"/>
    <x v="2692"/>
    <x v="2336"/>
    <n v="2"/>
    <x v="67"/>
    <s v="SUPERESTRUCTURA DE VIA TUNEL PBM PV1BIS - E4 - Y -TRAMO 3ra VIA PARQUE MURILLO – E19"/>
    <s v="MZ F LOTE 15 "/>
    <x v="19"/>
    <x v="0"/>
    <x v="0"/>
    <x v="2"/>
    <x v="283"/>
    <x v="0"/>
    <n v="4"/>
    <n v="240"/>
    <x v="0"/>
    <x v="1"/>
    <n v="4.7619047619047623E-3"/>
    <x v="27"/>
    <x v="3"/>
    <s v="OK"/>
    <x v="0"/>
    <s v="OK"/>
    <x v="0"/>
    <x v="0"/>
    <n v="1"/>
    <n v="0"/>
    <n v="0"/>
    <n v="0"/>
    <x v="0"/>
    <x v="0"/>
    <x v="0"/>
  </r>
  <r>
    <n v="20556570681"/>
    <x v="36"/>
    <x v="30"/>
    <x v="2684"/>
    <x v="2693"/>
    <x v="2337"/>
    <n v="2"/>
    <x v="310"/>
    <s v="SUPERESTRUCTURA DE VIA TUNEL PBM PV1BIS - E4 - Y -TRAMO 3ra VIA PARQUE MURILLO – E19"/>
    <s v="SECTOR SFC MZ 16 LOTE 9 PAMPLONA ALTA "/>
    <x v="53"/>
    <x v="0"/>
    <x v="0"/>
    <x v="2"/>
    <x v="114"/>
    <x v="0"/>
    <n v="4"/>
    <n v="240"/>
    <x v="0"/>
    <x v="1"/>
    <n v="4.7619047619047623E-3"/>
    <x v="23"/>
    <x v="3"/>
    <s v="OK"/>
    <x v="0"/>
    <s v="OK"/>
    <x v="0"/>
    <x v="0"/>
    <n v="1"/>
    <n v="0"/>
    <n v="0"/>
    <n v="0"/>
    <x v="0"/>
    <x v="0"/>
    <x v="0"/>
  </r>
  <r>
    <n v="20556570681"/>
    <x v="36"/>
    <x v="30"/>
    <x v="2685"/>
    <x v="2694"/>
    <x v="2338"/>
    <n v="2"/>
    <x v="12"/>
    <s v="SUPERESTRUCTURA DE VIA TUNEL PBM PV1BIS - E4 - Y -TRAMO 3ra VIA PARQUE MURILLO – E19"/>
    <s v="PARADERO DE SANTA ANITA MZ Y LOTE 34"/>
    <x v="27"/>
    <x v="0"/>
    <x v="0"/>
    <x v="2"/>
    <x v="431"/>
    <x v="0"/>
    <n v="4"/>
    <n v="240"/>
    <x v="0"/>
    <x v="1"/>
    <n v="4.7619047619047623E-3"/>
    <x v="26"/>
    <x v="3"/>
    <s v="OK"/>
    <x v="5"/>
    <s v="OK"/>
    <x v="0"/>
    <x v="0"/>
    <n v="1"/>
    <n v="1"/>
    <n v="0"/>
    <n v="0"/>
    <x v="0"/>
    <x v="0"/>
    <x v="0"/>
  </r>
  <r>
    <n v="20556570681"/>
    <x v="36"/>
    <x v="30"/>
    <x v="2686"/>
    <x v="2695"/>
    <x v="2339"/>
    <n v="2"/>
    <x v="2"/>
    <s v="SUPERESTRUCTURA DE VIA TUNEL PBM PV1BIS - E4 - Y -TRAMO 3ra VIA PARQUE MURILLO – E19"/>
    <s v="JR. MIGUEL GRAU NRO. 589 -CALLAO-BELLAVISTA"/>
    <x v="6"/>
    <x v="0"/>
    <x v="0"/>
    <x v="2"/>
    <x v="136"/>
    <x v="0"/>
    <n v="4"/>
    <n v="240"/>
    <x v="0"/>
    <x v="1"/>
    <n v="4.7619047619047623E-3"/>
    <x v="25"/>
    <x v="3"/>
    <s v="OK"/>
    <x v="2"/>
    <s v="OK"/>
    <x v="0"/>
    <x v="0"/>
    <n v="1"/>
    <n v="1"/>
    <n v="0"/>
    <n v="0"/>
    <x v="0"/>
    <x v="0"/>
    <x v="0"/>
  </r>
  <r>
    <n v="20556570681"/>
    <x v="36"/>
    <x v="30"/>
    <x v="2687"/>
    <x v="2696"/>
    <x v="2340"/>
    <n v="2"/>
    <x v="11"/>
    <s v="SUPERESTRUCTURA DE VIA TUNEL PBM PV1BIS - E4 - Y -TRAMO 3ra VIA PARQUE MURILLO – E19"/>
    <s v="COOP. VIV. LOS CHANCAS DE ANDAHUAYLAS MZ.JB LT,32 I ETAPA"/>
    <x v="27"/>
    <x v="0"/>
    <x v="0"/>
    <x v="2"/>
    <x v="432"/>
    <x v="0"/>
    <n v="4"/>
    <n v="240"/>
    <x v="0"/>
    <x v="1"/>
    <n v="4.7619047619047623E-3"/>
    <x v="30"/>
    <x v="3"/>
    <s v="OK"/>
    <x v="5"/>
    <s v="OK"/>
    <x v="0"/>
    <x v="0"/>
    <n v="1"/>
    <n v="1"/>
    <n v="0"/>
    <n v="0"/>
    <x v="0"/>
    <x v="0"/>
    <x v="0"/>
  </r>
  <r>
    <n v="20556570681"/>
    <x v="36"/>
    <x v="30"/>
    <x v="2688"/>
    <x v="2697"/>
    <x v="2341"/>
    <n v="2"/>
    <x v="2"/>
    <s v="SUPERESTRUCTURA DE VIA TUNEL PBM PV1BIS - E4 - Y -TRAMO 3ra VIA PARQUE MURILLO – E19"/>
    <s v="JR.CAHUIDE 180-2 -CALLAO-BELLAVISTA"/>
    <x v="6"/>
    <x v="0"/>
    <x v="0"/>
    <x v="2"/>
    <x v="432"/>
    <x v="0"/>
    <n v="4"/>
    <n v="240"/>
    <x v="0"/>
    <x v="1"/>
    <n v="4.7619047619047623E-3"/>
    <x v="31"/>
    <x v="3"/>
    <s v="OK"/>
    <x v="2"/>
    <s v="OK"/>
    <x v="0"/>
    <x v="0"/>
    <n v="1"/>
    <n v="1"/>
    <n v="0"/>
    <n v="0"/>
    <x v="0"/>
    <x v="0"/>
    <x v="0"/>
  </r>
  <r>
    <n v="20556570681"/>
    <x v="36"/>
    <x v="30"/>
    <x v="2689"/>
    <x v="2698"/>
    <x v="1824"/>
    <n v="2"/>
    <x v="365"/>
    <s v="SUPERESTRUCTURA DE VIA TUNEL PBM PV1BIS - E4 - Y -TRAMO 3ra VIA PARQUE MURILLO – E19"/>
    <s v="VALLE SARON 430 CANTO GRANDE LIMA-LIMA"/>
    <x v="76"/>
    <x v="0"/>
    <x v="0"/>
    <x v="2"/>
    <x v="432"/>
    <x v="0"/>
    <n v="4"/>
    <n v="240"/>
    <x v="0"/>
    <x v="1"/>
    <n v="4.7619047619047623E-3"/>
    <x v="26"/>
    <x v="3"/>
    <s v="OK"/>
    <x v="0"/>
    <s v="OK"/>
    <x v="0"/>
    <x v="0"/>
    <n v="1"/>
    <n v="0"/>
    <n v="0"/>
    <n v="0"/>
    <x v="0"/>
    <x v="0"/>
    <x v="0"/>
  </r>
  <r>
    <n v="20556570681"/>
    <x v="36"/>
    <x v="30"/>
    <x v="2690"/>
    <x v="2699"/>
    <x v="2342"/>
    <n v="2"/>
    <x v="157"/>
    <s v="SUPERESTRUCTURA DE VIA TUNEL PBM PV1BIS - E4 - Y -TRAMO 3ra VIA PARQUE MURILLO – E19"/>
    <s v="UCV.94 LT.37 ZONA F HUAYCAN LIMA-LIMA"/>
    <x v="1"/>
    <x v="0"/>
    <x v="0"/>
    <x v="2"/>
    <x v="98"/>
    <x v="0"/>
    <n v="4"/>
    <n v="240"/>
    <x v="0"/>
    <x v="1"/>
    <n v="4.7619047619047623E-3"/>
    <x v="28"/>
    <x v="3"/>
    <s v="OK"/>
    <x v="1"/>
    <s v="OK"/>
    <x v="0"/>
    <x v="0"/>
    <n v="1"/>
    <n v="1"/>
    <n v="0"/>
    <n v="0"/>
    <x v="0"/>
    <x v="0"/>
    <x v="0"/>
  </r>
  <r>
    <n v="20556570681"/>
    <x v="36"/>
    <x v="30"/>
    <x v="2691"/>
    <x v="2700"/>
    <x v="2343"/>
    <n v="2"/>
    <x v="11"/>
    <s v="SUPERESTRUCTURA DE VIA TUNEL PBM PV1BIS - E4 - Y -TRAMO 3ra VIA PARQUE MURILLO – E19"/>
    <s v="MZ.A LT.25 AH. JULIO C. TELLO LIMA-HUAROCHIRI"/>
    <x v="213"/>
    <x v="0"/>
    <x v="0"/>
    <x v="2"/>
    <x v="105"/>
    <x v="0"/>
    <n v="4"/>
    <n v="240"/>
    <x v="0"/>
    <x v="1"/>
    <n v="4.7619047619047623E-3"/>
    <x v="31"/>
    <x v="3"/>
    <s v="OK"/>
    <x v="0"/>
    <s v="OK"/>
    <x v="0"/>
    <x v="0"/>
    <n v="1"/>
    <n v="0"/>
    <n v="0"/>
    <n v="0"/>
    <x v="0"/>
    <x v="0"/>
    <x v="0"/>
  </r>
  <r>
    <n v="20556570681"/>
    <x v="36"/>
    <x v="30"/>
    <x v="2692"/>
    <x v="2701"/>
    <x v="2344"/>
    <n v="2"/>
    <x v="11"/>
    <s v="ESTACION 03 BOCANEGRA LINEA 4"/>
    <s v="A.H. SANTA ROSA MZ 64 LT 34 - A"/>
    <x v="4"/>
    <x v="0"/>
    <x v="0"/>
    <x v="2"/>
    <x v="25"/>
    <x v="0"/>
    <n v="1"/>
    <n v="240"/>
    <x v="0"/>
    <x v="1"/>
    <n v="4.7619047619047623E-3"/>
    <x v="27"/>
    <x v="3"/>
    <s v="OK"/>
    <x v="0"/>
    <s v="OK"/>
    <x v="0"/>
    <x v="0"/>
    <n v="1"/>
    <n v="0"/>
    <n v="0"/>
    <n v="0"/>
    <x v="0"/>
    <x v="0"/>
    <x v="0"/>
  </r>
  <r>
    <n v="20556570681"/>
    <x v="36"/>
    <x v="30"/>
    <x v="2693"/>
    <x v="2702"/>
    <x v="2345"/>
    <n v="1"/>
    <x v="52"/>
    <s v="ESTACION 03 BOCANEGRA LINEA 4"/>
    <s v="AV.CARABAYLLO 820"/>
    <x v="0"/>
    <x v="1"/>
    <x v="0"/>
    <x v="2"/>
    <x v="16"/>
    <x v="0"/>
    <n v="1"/>
    <n v="240"/>
    <x v="0"/>
    <x v="1"/>
    <n v="4.7619047619047623E-3"/>
    <x v="26"/>
    <x v="3"/>
    <s v="OK"/>
    <x v="0"/>
    <s v="OK"/>
    <x v="0"/>
    <x v="0"/>
    <n v="1"/>
    <n v="0"/>
    <n v="0"/>
    <n v="0"/>
    <x v="0"/>
    <x v="0"/>
    <x v="0"/>
  </r>
  <r>
    <n v="20556570681"/>
    <x v="36"/>
    <x v="30"/>
    <x v="2694"/>
    <x v="2703"/>
    <x v="2346"/>
    <n v="2"/>
    <x v="67"/>
    <s v="ESTACION 03 BOCANEGRA LINEA 4"/>
    <s v="CASERIO SIMBILA"/>
    <x v="185"/>
    <x v="0"/>
    <x v="32"/>
    <x v="2"/>
    <x v="25"/>
    <x v="2"/>
    <n v="4"/>
    <n v="64"/>
    <x v="0"/>
    <x v="1"/>
    <n v="4.7619047619047623E-3"/>
    <x v="25"/>
    <x v="3"/>
    <s v="OK"/>
    <x v="0"/>
    <s v="OK"/>
    <x v="0"/>
    <x v="0"/>
    <n v="1"/>
    <n v="0"/>
    <n v="0"/>
    <n v="1"/>
    <x v="0"/>
    <x v="1"/>
    <x v="0"/>
  </r>
  <r>
    <n v="20556570681"/>
    <x v="36"/>
    <x v="30"/>
    <x v="2240"/>
    <x v="2247"/>
    <x v="1941"/>
    <n v="1"/>
    <x v="368"/>
    <s v="ESTACION 03 BOCANEGRA LINEA 4"/>
    <s v="CALLE MISIONEROS MANZINI BLOQUE 3 DPTO 104 SANTA ROSA"/>
    <x v="6"/>
    <x v="1"/>
    <x v="0"/>
    <x v="2"/>
    <x v="2"/>
    <x v="0"/>
    <n v="1"/>
    <n v="240"/>
    <x v="0"/>
    <x v="1"/>
    <n v="4.7619047619047623E-3"/>
    <x v="28"/>
    <x v="3"/>
    <s v="OK"/>
    <x v="2"/>
    <s v="OK"/>
    <x v="0"/>
    <x v="2"/>
    <n v="0.33333333333333331"/>
    <n v="0.5"/>
    <n v="0"/>
    <n v="0"/>
    <x v="0"/>
    <x v="0"/>
    <x v="0"/>
  </r>
  <r>
    <n v="20556570681"/>
    <x v="36"/>
    <x v="30"/>
    <x v="2695"/>
    <x v="2704"/>
    <x v="2347"/>
    <n v="2"/>
    <x v="11"/>
    <s v="ESTACION 03 BOCANEGRA LINEA 4"/>
    <s v="A.H. VIRGEN DE LA ASUNCIÓN MZ A LT.11"/>
    <x v="347"/>
    <x v="0"/>
    <x v="0"/>
    <x v="2"/>
    <x v="245"/>
    <x v="0"/>
    <n v="4"/>
    <n v="240"/>
    <x v="0"/>
    <x v="1"/>
    <n v="4.7619047619047623E-3"/>
    <x v="29"/>
    <x v="3"/>
    <s v="OK"/>
    <x v="7"/>
    <s v="OK"/>
    <x v="0"/>
    <x v="0"/>
    <n v="1"/>
    <n v="1"/>
    <n v="0"/>
    <n v="0"/>
    <x v="0"/>
    <x v="0"/>
    <x v="0"/>
  </r>
  <r>
    <n v="20556570681"/>
    <x v="36"/>
    <x v="30"/>
    <x v="2696"/>
    <x v="2705"/>
    <x v="2348"/>
    <n v="2"/>
    <x v="11"/>
    <s v="ESTACION 03 BOCANEGRA LINEA 4"/>
    <s v="UCV 94 LT 52 ZN F COM AUTOGEST DE HUAYCAN   ATE LIMA Perú"/>
    <x v="1"/>
    <x v="0"/>
    <x v="0"/>
    <x v="2"/>
    <x v="128"/>
    <x v="0"/>
    <n v="4"/>
    <n v="240"/>
    <x v="0"/>
    <x v="1"/>
    <n v="4.7619047619047623E-3"/>
    <x v="31"/>
    <x v="3"/>
    <s v="OK"/>
    <x v="1"/>
    <s v="OK"/>
    <x v="0"/>
    <x v="0"/>
    <n v="1"/>
    <n v="1"/>
    <n v="0"/>
    <n v="0"/>
    <x v="0"/>
    <x v="0"/>
    <x v="0"/>
  </r>
  <r>
    <n v="20556570681"/>
    <x v="36"/>
    <x v="30"/>
    <x v="2697"/>
    <x v="2706"/>
    <x v="2349"/>
    <n v="2"/>
    <x v="8"/>
    <s v="ESTACION 03 BOCANEGRA LINEA 4"/>
    <s v="PSJE  GORDINI, GERONIMO 142 URB NOSIGLIA"/>
    <x v="5"/>
    <x v="0"/>
    <x v="0"/>
    <x v="2"/>
    <x v="2"/>
    <x v="0"/>
    <n v="4"/>
    <n v="240"/>
    <x v="0"/>
    <x v="1"/>
    <n v="4.7619047619047623E-3"/>
    <x v="26"/>
    <x v="3"/>
    <s v="OK"/>
    <x v="3"/>
    <s v="OK"/>
    <x v="0"/>
    <x v="0"/>
    <n v="1"/>
    <n v="1"/>
    <n v="0"/>
    <n v="0"/>
    <x v="0"/>
    <x v="0"/>
    <x v="0"/>
  </r>
  <r>
    <n v="20556570681"/>
    <x v="36"/>
    <x v="30"/>
    <x v="2698"/>
    <x v="2707"/>
    <x v="2350"/>
    <n v="2"/>
    <x v="67"/>
    <s v="ESTACION 03 BOCANEGRA LINEA 4"/>
    <s v="PSJE. SIN NOMBRE A.H. LAS LOMAS DE SJM MZ C2 LT 11"/>
    <x v="53"/>
    <x v="0"/>
    <x v="0"/>
    <x v="2"/>
    <x v="239"/>
    <x v="0"/>
    <n v="4"/>
    <n v="240"/>
    <x v="0"/>
    <x v="1"/>
    <n v="4.7619047619047623E-3"/>
    <x v="27"/>
    <x v="3"/>
    <s v="OK"/>
    <x v="0"/>
    <s v="OK"/>
    <x v="0"/>
    <x v="0"/>
    <n v="1"/>
    <n v="0"/>
    <n v="0"/>
    <n v="0"/>
    <x v="0"/>
    <x v="0"/>
    <x v="0"/>
  </r>
  <r>
    <n v="20556570681"/>
    <x v="36"/>
    <x v="30"/>
    <x v="2699"/>
    <x v="2708"/>
    <x v="2351"/>
    <n v="2"/>
    <x v="2"/>
    <s v="ESTACION 03 BOCANEGRA LINEA 4"/>
    <s v="URB. RAMON CASTILLA MZ F LT 32"/>
    <x v="6"/>
    <x v="0"/>
    <x v="0"/>
    <x v="2"/>
    <x v="240"/>
    <x v="0"/>
    <n v="4"/>
    <n v="240"/>
    <x v="0"/>
    <x v="1"/>
    <n v="4.7619047619047623E-3"/>
    <x v="29"/>
    <x v="3"/>
    <s v="OK"/>
    <x v="2"/>
    <s v="OK"/>
    <x v="0"/>
    <x v="0"/>
    <n v="1"/>
    <n v="1"/>
    <n v="0"/>
    <n v="0"/>
    <x v="0"/>
    <x v="0"/>
    <x v="0"/>
  </r>
  <r>
    <n v="20556570681"/>
    <x v="36"/>
    <x v="30"/>
    <x v="2700"/>
    <x v="2709"/>
    <x v="2352"/>
    <n v="2"/>
    <x v="2"/>
    <s v="ESTACION 03 BOCANEGRA LINEA 4"/>
    <s v="URB. RAMON CASTILLA MZ F LT 32"/>
    <x v="6"/>
    <x v="0"/>
    <x v="0"/>
    <x v="2"/>
    <x v="128"/>
    <x v="0"/>
    <n v="4"/>
    <n v="240"/>
    <x v="0"/>
    <x v="1"/>
    <n v="4.7619047619047623E-3"/>
    <x v="23"/>
    <x v="3"/>
    <s v="OK"/>
    <x v="2"/>
    <s v="OK"/>
    <x v="0"/>
    <x v="0"/>
    <n v="1"/>
    <n v="1"/>
    <n v="0"/>
    <n v="0"/>
    <x v="0"/>
    <x v="0"/>
    <x v="0"/>
  </r>
  <r>
    <n v="20556570681"/>
    <x v="36"/>
    <x v="30"/>
    <x v="2701"/>
    <x v="2710"/>
    <x v="2353"/>
    <n v="2"/>
    <x v="90"/>
    <s v="ESTACION 03 BOCANEGRA LINEA 4"/>
    <s v="MZ T LT 6 ASENT. HUMANO 6 DE AGOSTO"/>
    <x v="13"/>
    <x v="0"/>
    <x v="0"/>
    <x v="2"/>
    <x v="26"/>
    <x v="0"/>
    <n v="4"/>
    <n v="240"/>
    <x v="0"/>
    <x v="1"/>
    <n v="4.7619047619047623E-3"/>
    <x v="24"/>
    <x v="3"/>
    <s v="OK"/>
    <x v="0"/>
    <s v="OK"/>
    <x v="0"/>
    <x v="0"/>
    <n v="1"/>
    <n v="0"/>
    <n v="0"/>
    <n v="0"/>
    <x v="0"/>
    <x v="0"/>
    <x v="0"/>
  </r>
  <r>
    <n v="20556570681"/>
    <x v="36"/>
    <x v="30"/>
    <x v="2702"/>
    <x v="2711"/>
    <x v="2354"/>
    <n v="2"/>
    <x v="11"/>
    <s v="ESTACION 03 BOCANEGRA LINEA 4"/>
    <s v="MZ H LT 06 EL BOSQUE"/>
    <x v="54"/>
    <x v="0"/>
    <x v="0"/>
    <x v="2"/>
    <x v="128"/>
    <x v="0"/>
    <n v="4"/>
    <n v="240"/>
    <x v="0"/>
    <x v="1"/>
    <n v="4.7619047619047623E-3"/>
    <x v="26"/>
    <x v="3"/>
    <s v="OK"/>
    <x v="0"/>
    <s v="OK"/>
    <x v="0"/>
    <x v="0"/>
    <n v="1"/>
    <n v="0"/>
    <n v="0"/>
    <n v="0"/>
    <x v="0"/>
    <x v="0"/>
    <x v="0"/>
  </r>
  <r>
    <n v="20556570681"/>
    <x v="36"/>
    <x v="30"/>
    <x v="2703"/>
    <x v="2712"/>
    <x v="2355"/>
    <n v="2"/>
    <x v="157"/>
    <s v="ESTACION 03 BOCANEGRA LINEA 4"/>
    <s v="MZ K1 L01 PASAJE HUMANO SAUL CANTORAL"/>
    <x v="15"/>
    <x v="0"/>
    <x v="0"/>
    <x v="2"/>
    <x v="136"/>
    <x v="0"/>
    <n v="4"/>
    <n v="240"/>
    <x v="0"/>
    <x v="1"/>
    <n v="4.7619047619047623E-3"/>
    <x v="23"/>
    <x v="3"/>
    <s v="OK"/>
    <x v="0"/>
    <s v="OK"/>
    <x v="0"/>
    <x v="0"/>
    <n v="1"/>
    <n v="0"/>
    <n v="0"/>
    <n v="0"/>
    <x v="0"/>
    <x v="0"/>
    <x v="0"/>
  </r>
  <r>
    <n v="20556570681"/>
    <x v="36"/>
    <x v="30"/>
    <x v="2704"/>
    <x v="2713"/>
    <x v="2356"/>
    <n v="1"/>
    <x v="317"/>
    <s v="ESTACION 03 BOCANEGRA LINEA 4"/>
    <s v="SECTOR 1 GRUPO 2 MZ B LT 12"/>
    <x v="19"/>
    <x v="0"/>
    <x v="0"/>
    <x v="2"/>
    <x v="145"/>
    <x v="0"/>
    <n v="1"/>
    <n v="240"/>
    <x v="0"/>
    <x v="1"/>
    <n v="4.7619047619047623E-3"/>
    <x v="27"/>
    <x v="3"/>
    <s v="OK"/>
    <x v="0"/>
    <s v="OK"/>
    <x v="0"/>
    <x v="0"/>
    <n v="1"/>
    <n v="0"/>
    <n v="0"/>
    <n v="0"/>
    <x v="0"/>
    <x v="0"/>
    <x v="0"/>
  </r>
  <r>
    <n v="20556570681"/>
    <x v="36"/>
    <x v="30"/>
    <x v="2705"/>
    <x v="2714"/>
    <x v="2134"/>
    <n v="2"/>
    <x v="67"/>
    <s v="ESTACION 03 BOCANEGRA LINEA 4"/>
    <s v="AA. HH. 10 DE ENERO 4TA ZONA DE COLLIQUE MZ A LT 2"/>
    <x v="0"/>
    <x v="0"/>
    <x v="0"/>
    <x v="2"/>
    <x v="27"/>
    <x v="0"/>
    <n v="4"/>
    <n v="240"/>
    <x v="0"/>
    <x v="1"/>
    <n v="4.7619047619047623E-3"/>
    <x v="24"/>
    <x v="3"/>
    <s v="OK"/>
    <x v="0"/>
    <s v="OK"/>
    <x v="0"/>
    <x v="0"/>
    <n v="1"/>
    <n v="0"/>
    <n v="0"/>
    <n v="0"/>
    <x v="0"/>
    <x v="0"/>
    <x v="0"/>
  </r>
  <r>
    <n v="20556570681"/>
    <x v="36"/>
    <x v="30"/>
    <x v="2706"/>
    <x v="2715"/>
    <x v="2357"/>
    <n v="2"/>
    <x v="369"/>
    <s v="ESTACION 03 BOCANEGRA LINEA 4"/>
    <s v="COOP VIV. VIÑA SAN FRANCISCO MZ J LT 01"/>
    <x v="27"/>
    <x v="0"/>
    <x v="0"/>
    <x v="2"/>
    <x v="27"/>
    <x v="0"/>
    <n v="4"/>
    <n v="240"/>
    <x v="0"/>
    <x v="1"/>
    <n v="4.7619047619047623E-3"/>
    <x v="26"/>
    <x v="3"/>
    <s v="OK"/>
    <x v="5"/>
    <s v="OK"/>
    <x v="0"/>
    <x v="0"/>
    <n v="1"/>
    <n v="1"/>
    <n v="0"/>
    <n v="0"/>
    <x v="0"/>
    <x v="0"/>
    <x v="0"/>
  </r>
  <r>
    <n v="20556570681"/>
    <x v="36"/>
    <x v="30"/>
    <x v="2707"/>
    <x v="2716"/>
    <x v="2358"/>
    <n v="2"/>
    <x v="11"/>
    <s v="ESTACION 03 BOCANEGRA LINEA 4"/>
    <s v="AV. LOS NOGALES 552 CONDOMINIO LOS NOGALES TORRE 4 DPTO 1007"/>
    <x v="46"/>
    <x v="0"/>
    <x v="0"/>
    <x v="2"/>
    <x v="193"/>
    <x v="0"/>
    <n v="4"/>
    <n v="240"/>
    <x v="0"/>
    <x v="1"/>
    <n v="4.7619047619047623E-3"/>
    <x v="28"/>
    <x v="3"/>
    <s v="OK"/>
    <x v="7"/>
    <s v="OK"/>
    <x v="0"/>
    <x v="0"/>
    <n v="1"/>
    <n v="1"/>
    <n v="0"/>
    <n v="0"/>
    <x v="0"/>
    <x v="0"/>
    <x v="0"/>
  </r>
  <r>
    <n v="20556570681"/>
    <x v="36"/>
    <x v="30"/>
    <x v="2708"/>
    <x v="2717"/>
    <x v="2359"/>
    <n v="2"/>
    <x v="193"/>
    <s v="ESTACION 03 BOCANEGRA LINEA 4"/>
    <s v="AV. ISABEL LA CATOLICA 924"/>
    <x v="265"/>
    <x v="0"/>
    <x v="0"/>
    <x v="2"/>
    <x v="476"/>
    <x v="0"/>
    <n v="4"/>
    <n v="240"/>
    <x v="0"/>
    <x v="1"/>
    <n v="4.7619047619047623E-3"/>
    <x v="30"/>
    <x v="3"/>
    <s v="OK"/>
    <x v="4"/>
    <s v="OK"/>
    <x v="0"/>
    <x v="0"/>
    <n v="1"/>
    <n v="1"/>
    <n v="0"/>
    <n v="0"/>
    <x v="0"/>
    <x v="0"/>
    <x v="0"/>
  </r>
  <r>
    <n v="20556570681"/>
    <x v="36"/>
    <x v="30"/>
    <x v="2709"/>
    <x v="2718"/>
    <x v="2360"/>
    <n v="2"/>
    <x v="11"/>
    <s v="ESTACION 03 BOCANEGRA LINEA 4"/>
    <m/>
    <x v="58"/>
    <x v="0"/>
    <x v="0"/>
    <x v="2"/>
    <x v="29"/>
    <x v="0"/>
    <n v="4"/>
    <n v="176"/>
    <x v="0"/>
    <x v="1"/>
    <n v="4.7619047619047623E-3"/>
    <x v="29"/>
    <x v="3"/>
    <s v="OK"/>
    <x v="0"/>
    <s v="OK"/>
    <x v="0"/>
    <x v="0"/>
    <n v="1"/>
    <n v="0"/>
    <n v="1"/>
    <n v="0"/>
    <x v="0"/>
    <x v="0"/>
    <x v="1"/>
  </r>
  <r>
    <n v="20556570681"/>
    <x v="36"/>
    <x v="30"/>
    <x v="2241"/>
    <x v="2248"/>
    <x v="1942"/>
    <n v="2"/>
    <x v="67"/>
    <s v="ESTACION 03 BOCANEGRA LINEA 4"/>
    <s v="CALLE SANTA LIGIA 290 "/>
    <x v="44"/>
    <x v="0"/>
    <x v="0"/>
    <x v="2"/>
    <x v="29"/>
    <x v="0"/>
    <n v="4"/>
    <n v="176"/>
    <x v="0"/>
    <x v="1"/>
    <n v="4.7619047619047623E-3"/>
    <x v="31"/>
    <x v="3"/>
    <s v="OK"/>
    <x v="0"/>
    <s v="OK"/>
    <x v="0"/>
    <x v="1"/>
    <n v="0.5"/>
    <n v="0"/>
    <n v="1"/>
    <n v="0"/>
    <x v="0"/>
    <x v="0"/>
    <x v="1"/>
  </r>
  <r>
    <n v="20556570681"/>
    <x v="36"/>
    <x v="30"/>
    <x v="2710"/>
    <x v="2719"/>
    <x v="2361"/>
    <n v="2"/>
    <x v="363"/>
    <s v="ESTACION 03 BOCANEGRA LINEA 4"/>
    <s v="PUERTO ARTURO"/>
    <x v="48"/>
    <x v="0"/>
    <x v="0"/>
    <x v="2"/>
    <x v="101"/>
    <x v="0"/>
    <n v="4"/>
    <n v="104"/>
    <x v="0"/>
    <x v="1"/>
    <n v="4.7619047619047623E-3"/>
    <x v="24"/>
    <x v="3"/>
    <s v="OK"/>
    <x v="0"/>
    <s v="OK"/>
    <x v="0"/>
    <x v="0"/>
    <n v="1"/>
    <n v="0"/>
    <n v="1"/>
    <n v="0"/>
    <x v="0"/>
    <x v="0"/>
    <x v="1"/>
  </r>
  <r>
    <n v="20556570681"/>
    <x v="36"/>
    <x v="30"/>
    <x v="2242"/>
    <x v="2249"/>
    <x v="1943"/>
    <n v="2"/>
    <x v="194"/>
    <s v="ESTACION 03 BOCANEGRA LINEA 4"/>
    <s v="MZ K2 LT 21 II SECTOR ANGAMOS "/>
    <x v="2"/>
    <x v="0"/>
    <x v="0"/>
    <x v="2"/>
    <x v="172"/>
    <x v="0"/>
    <n v="4"/>
    <n v="64"/>
    <x v="0"/>
    <x v="1"/>
    <n v="4.7619047619047623E-3"/>
    <x v="28"/>
    <x v="3"/>
    <s v="OK"/>
    <x v="2"/>
    <s v="OK"/>
    <x v="0"/>
    <x v="1"/>
    <n v="0.5"/>
    <n v="0.5"/>
    <n v="1"/>
    <n v="0"/>
    <x v="0"/>
    <x v="0"/>
    <x v="1"/>
  </r>
  <r>
    <n v="20556570681"/>
    <x v="36"/>
    <x v="30"/>
    <x v="2711"/>
    <x v="2720"/>
    <x v="2362"/>
    <n v="2"/>
    <x v="20"/>
    <s v="SUPERESTRUCTURA DE VIA TUNEL PBM PV1BIS - E4 - Y -TRAMO 3ra VIA PARQUE MURILLO – E19"/>
    <s v="PSJ LAS.FLORES N-13 ASOC.4DE DICIEMBRE LIMA"/>
    <x v="96"/>
    <x v="0"/>
    <x v="0"/>
    <x v="2"/>
    <x v="187"/>
    <x v="0"/>
    <n v="4"/>
    <n v="216"/>
    <x v="0"/>
    <x v="1"/>
    <n v="4.7619047619047623E-3"/>
    <x v="27"/>
    <x v="3"/>
    <s v="OK"/>
    <x v="0"/>
    <s v="OK"/>
    <x v="0"/>
    <x v="0"/>
    <n v="1"/>
    <n v="0"/>
    <n v="1"/>
    <n v="0"/>
    <x v="0"/>
    <x v="0"/>
    <x v="1"/>
  </r>
  <r>
    <s v="20297543653"/>
    <x v="37"/>
    <x v="31"/>
    <x v="2712"/>
    <x v="2721"/>
    <x v="2363"/>
    <n v="3"/>
    <x v="196"/>
    <s v="Est., Pozos, P. Taller"/>
    <s v="CALLE SAN JUAN MZ C LT 19 ESQ ALFONSO UGARTE"/>
    <x v="38"/>
    <x v="0"/>
    <x v="6"/>
    <x v="1"/>
    <x v="433"/>
    <x v="0"/>
    <n v="1"/>
    <n v="320.4666666666667"/>
    <x v="0"/>
    <x v="1"/>
    <n v="8.0000000000000002E-3"/>
    <x v="28"/>
    <x v="3"/>
    <s v="OK"/>
    <x v="0"/>
    <s v="OK"/>
    <x v="0"/>
    <x v="0"/>
    <n v="1"/>
    <n v="0"/>
    <n v="0"/>
    <n v="0"/>
    <x v="0"/>
    <x v="0"/>
    <x v="0"/>
  </r>
  <r>
    <s v="20297543653"/>
    <x v="37"/>
    <x v="31"/>
    <x v="2713"/>
    <x v="2722"/>
    <x v="2364"/>
    <n v="1"/>
    <x v="370"/>
    <s v="Est., Pozos, P. Taller"/>
    <s v="Urb. Residencial Alameda del Norte"/>
    <x v="54"/>
    <x v="0"/>
    <x v="6"/>
    <x v="1"/>
    <x v="382"/>
    <x v="0"/>
    <n v="2"/>
    <n v="240"/>
    <x v="0"/>
    <x v="1"/>
    <n v="8.0000000000000002E-3"/>
    <x v="26"/>
    <x v="3"/>
    <s v="OK"/>
    <x v="0"/>
    <s v="OK"/>
    <x v="0"/>
    <x v="0"/>
    <n v="1"/>
    <n v="0"/>
    <n v="0"/>
    <n v="0"/>
    <x v="0"/>
    <x v="0"/>
    <x v="0"/>
  </r>
  <r>
    <s v="20297543653"/>
    <x v="37"/>
    <x v="31"/>
    <x v="2714"/>
    <x v="2723"/>
    <x v="2232"/>
    <n v="3"/>
    <x v="196"/>
    <s v="Est., Pozos, P. Taller"/>
    <s v="CALLE LAS TERRAZAS MZ P LT 6 NUEVA ESPERANZA"/>
    <x v="8"/>
    <x v="0"/>
    <x v="6"/>
    <x v="1"/>
    <x v="742"/>
    <x v="0"/>
    <n v="2"/>
    <n v="312.16666666666669"/>
    <x v="0"/>
    <x v="1"/>
    <n v="8.0000000000000002E-3"/>
    <x v="28"/>
    <x v="3"/>
    <s v="OK"/>
    <x v="0"/>
    <s v="OK"/>
    <x v="0"/>
    <x v="0"/>
    <n v="1"/>
    <n v="0"/>
    <n v="0"/>
    <n v="0"/>
    <x v="0"/>
    <x v="0"/>
    <x v="0"/>
  </r>
  <r>
    <s v="20297543653"/>
    <x v="37"/>
    <x v="31"/>
    <x v="2715"/>
    <x v="2724"/>
    <x v="2365"/>
    <n v="3"/>
    <x v="196"/>
    <s v="Est., Pozos, P. Taller"/>
    <s v="AV. PACASMAYO MZ D LT 27 PRIMERA ETAPA "/>
    <x v="6"/>
    <x v="0"/>
    <x v="6"/>
    <x v="3"/>
    <x v="743"/>
    <x v="0"/>
    <n v="1"/>
    <n v="311.73333333333335"/>
    <x v="0"/>
    <x v="1"/>
    <n v="8.0000000000000002E-3"/>
    <x v="26"/>
    <x v="3"/>
    <s v="OK"/>
    <x v="2"/>
    <s v="OK"/>
    <x v="0"/>
    <x v="0"/>
    <n v="1"/>
    <n v="1"/>
    <n v="0"/>
    <n v="0"/>
    <x v="0"/>
    <x v="0"/>
    <x v="0"/>
  </r>
  <r>
    <s v="20297543653"/>
    <x v="37"/>
    <x v="31"/>
    <x v="2716"/>
    <x v="2725"/>
    <x v="2366"/>
    <n v="3"/>
    <x v="196"/>
    <s v="Est., Pozos, P. Taller"/>
    <s v="JR. NAVARRO DEL AGUILA N-205 CONDEVILLA"/>
    <x v="96"/>
    <x v="0"/>
    <x v="6"/>
    <x v="3"/>
    <x v="427"/>
    <x v="0"/>
    <n v="1"/>
    <n v="301.75"/>
    <x v="0"/>
    <x v="1"/>
    <n v="8.0000000000000002E-3"/>
    <x v="26"/>
    <x v="3"/>
    <s v="OK"/>
    <x v="0"/>
    <s v="OK"/>
    <x v="0"/>
    <x v="0"/>
    <n v="1"/>
    <n v="0"/>
    <n v="0"/>
    <n v="0"/>
    <x v="0"/>
    <x v="0"/>
    <x v="0"/>
  </r>
  <r>
    <s v="20297543653"/>
    <x v="37"/>
    <x v="31"/>
    <x v="2717"/>
    <x v="2726"/>
    <x v="2367"/>
    <n v="3"/>
    <x v="196"/>
    <s v="Est., Pozos, P. Taller"/>
    <s v="MZ A LT 31 LOS ALAMOS"/>
    <x v="6"/>
    <x v="0"/>
    <x v="6"/>
    <x v="1"/>
    <x v="361"/>
    <x v="0"/>
    <n v="1"/>
    <n v="313.16666666666663"/>
    <x v="0"/>
    <x v="1"/>
    <n v="8.0000000000000002E-3"/>
    <x v="28"/>
    <x v="3"/>
    <s v="OK"/>
    <x v="2"/>
    <s v="OK"/>
    <x v="0"/>
    <x v="0"/>
    <n v="1"/>
    <n v="1"/>
    <n v="0"/>
    <n v="0"/>
    <x v="0"/>
    <x v="0"/>
    <x v="0"/>
  </r>
  <r>
    <s v="20297543653"/>
    <x v="37"/>
    <x v="31"/>
    <x v="2718"/>
    <x v="2727"/>
    <x v="2368"/>
    <n v="3"/>
    <x v="196"/>
    <s v="Est., Pozos, P. Taller"/>
    <s v="MZ D2 LT11 VENTANILLA ALTA"/>
    <x v="2"/>
    <x v="0"/>
    <x v="6"/>
    <x v="1"/>
    <x v="744"/>
    <x v="0"/>
    <n v="1"/>
    <n v="286.43333333333334"/>
    <x v="0"/>
    <x v="1"/>
    <n v="8.0000000000000002E-3"/>
    <x v="24"/>
    <x v="3"/>
    <s v="OK"/>
    <x v="2"/>
    <s v="OK"/>
    <x v="0"/>
    <x v="0"/>
    <n v="1"/>
    <n v="1"/>
    <n v="0"/>
    <n v="0"/>
    <x v="0"/>
    <x v="0"/>
    <x v="0"/>
  </r>
  <r>
    <s v="20297543653"/>
    <x v="37"/>
    <x v="31"/>
    <x v="2719"/>
    <x v="2728"/>
    <x v="2369"/>
    <n v="3"/>
    <x v="196"/>
    <s v="Est., Pozos, P. Taller"/>
    <s v="AV. OSCAR R BENAVIDES 298 EL PROGRESO"/>
    <x v="54"/>
    <x v="0"/>
    <x v="6"/>
    <x v="1"/>
    <x v="745"/>
    <x v="0"/>
    <n v="2"/>
    <n v="323.10000000000002"/>
    <x v="0"/>
    <x v="1"/>
    <n v="8.0000000000000002E-3"/>
    <x v="30"/>
    <x v="3"/>
    <s v="OK"/>
    <x v="0"/>
    <s v="OK"/>
    <x v="0"/>
    <x v="0"/>
    <n v="1"/>
    <n v="0"/>
    <n v="0"/>
    <n v="0"/>
    <x v="0"/>
    <x v="0"/>
    <x v="0"/>
  </r>
  <r>
    <s v="20297543653"/>
    <x v="37"/>
    <x v="31"/>
    <x v="2720"/>
    <x v="2729"/>
    <x v="2370"/>
    <n v="3"/>
    <x v="196"/>
    <s v="Est., Pozos, P. Taller"/>
    <s v="ASOC. DE VIV PANCHA PAULA MZ B -4 LT27"/>
    <x v="4"/>
    <x v="0"/>
    <x v="6"/>
    <x v="1"/>
    <x v="746"/>
    <x v="0"/>
    <n v="1"/>
    <n v="315.83333333333331"/>
    <x v="0"/>
    <x v="1"/>
    <n v="8.0000000000000002E-3"/>
    <x v="30"/>
    <x v="3"/>
    <s v="OK"/>
    <x v="0"/>
    <s v="OK"/>
    <x v="0"/>
    <x v="0"/>
    <n v="1"/>
    <n v="0"/>
    <n v="0"/>
    <n v="0"/>
    <x v="0"/>
    <x v="0"/>
    <x v="0"/>
  </r>
  <r>
    <s v="20297543653"/>
    <x v="37"/>
    <x v="31"/>
    <x v="2721"/>
    <x v="2730"/>
    <x v="2371"/>
    <n v="1"/>
    <x v="198"/>
    <s v="Est., Pozos, P. Taller"/>
    <s v="CALLE LA CORUÑA 265 URB MAYORAZGO 2DA ETAPA"/>
    <x v="1"/>
    <x v="0"/>
    <x v="6"/>
    <x v="1"/>
    <x v="747"/>
    <x v="0"/>
    <n v="1"/>
    <n v="240"/>
    <x v="0"/>
    <x v="1"/>
    <n v="8.0000000000000002E-3"/>
    <x v="29"/>
    <x v="3"/>
    <s v="OK"/>
    <x v="1"/>
    <s v="OK"/>
    <x v="0"/>
    <x v="0"/>
    <n v="1"/>
    <n v="1"/>
    <n v="0"/>
    <n v="0"/>
    <x v="0"/>
    <x v="0"/>
    <x v="0"/>
  </r>
  <r>
    <s v="20297543653"/>
    <x v="37"/>
    <x v="31"/>
    <x v="2722"/>
    <x v="2731"/>
    <x v="2372"/>
    <n v="3"/>
    <x v="196"/>
    <s v="Est., Pozos, P. Taller"/>
    <s v="AV. COSTANERA 920 INT. 02"/>
    <x v="28"/>
    <x v="0"/>
    <x v="6"/>
    <x v="1"/>
    <x v="437"/>
    <x v="0"/>
    <n v="1"/>
    <n v="314.2166666666667"/>
    <x v="0"/>
    <x v="1"/>
    <n v="8.0000000000000002E-3"/>
    <x v="28"/>
    <x v="3"/>
    <s v="OK"/>
    <x v="0"/>
    <s v="OK"/>
    <x v="0"/>
    <x v="0"/>
    <n v="1"/>
    <n v="0"/>
    <n v="0"/>
    <n v="0"/>
    <x v="0"/>
    <x v="0"/>
    <x v="0"/>
  </r>
  <r>
    <s v="20297543653"/>
    <x v="37"/>
    <x v="31"/>
    <x v="2723"/>
    <x v="2732"/>
    <x v="2373"/>
    <n v="3"/>
    <x v="196"/>
    <s v="Est., Pozos, P. Taller"/>
    <s v="AV EL SOL N° 310 - URB CIUDAD Y CAMPO "/>
    <x v="13"/>
    <x v="0"/>
    <x v="6"/>
    <x v="1"/>
    <x v="30"/>
    <x v="0"/>
    <n v="1"/>
    <n v="137.25"/>
    <x v="0"/>
    <x v="1"/>
    <n v="8.0000000000000002E-3"/>
    <x v="31"/>
    <x v="3"/>
    <s v="OK"/>
    <x v="0"/>
    <s v="OK"/>
    <x v="0"/>
    <x v="0"/>
    <n v="1"/>
    <n v="0"/>
    <n v="1"/>
    <n v="0"/>
    <x v="0"/>
    <x v="0"/>
    <x v="1"/>
  </r>
  <r>
    <s v="20297543653"/>
    <x v="37"/>
    <x v="31"/>
    <x v="2724"/>
    <x v="2733"/>
    <x v="2374"/>
    <n v="1"/>
    <x v="299"/>
    <s v="Est., Pozos, P. Taller"/>
    <s v="PROLG. LOS FRESNOS 450 DPTO. 302 LAS PRADERAS "/>
    <x v="47"/>
    <x v="0"/>
    <x v="6"/>
    <x v="1"/>
    <x v="745"/>
    <x v="0"/>
    <n v="1"/>
    <n v="240"/>
    <x v="0"/>
    <x v="1"/>
    <n v="8.0000000000000002E-3"/>
    <x v="25"/>
    <x v="3"/>
    <s v="OK"/>
    <x v="0"/>
    <s v="OK"/>
    <x v="0"/>
    <x v="0"/>
    <n v="1"/>
    <n v="0"/>
    <n v="0"/>
    <n v="0"/>
    <x v="0"/>
    <x v="0"/>
    <x v="0"/>
  </r>
  <r>
    <s v="20297543653"/>
    <x v="37"/>
    <x v="31"/>
    <x v="2725"/>
    <x v="2734"/>
    <x v="2375"/>
    <n v="3"/>
    <x v="46"/>
    <s v="Est., Pozos, P. Taller"/>
    <s v="URB. SAN CARLOS MZ. Q LT. 48"/>
    <x v="15"/>
    <x v="0"/>
    <x v="6"/>
    <x v="1"/>
    <x v="748"/>
    <x v="0"/>
    <n v="1"/>
    <n v="298.41666666666669"/>
    <x v="0"/>
    <x v="1"/>
    <n v="8.0000000000000002E-3"/>
    <x v="26"/>
    <x v="3"/>
    <s v="OK"/>
    <x v="0"/>
    <s v="OK"/>
    <x v="0"/>
    <x v="0"/>
    <n v="1"/>
    <n v="0"/>
    <n v="0"/>
    <n v="0"/>
    <x v="0"/>
    <x v="0"/>
    <x v="0"/>
  </r>
  <r>
    <s v="20297543653"/>
    <x v="37"/>
    <x v="31"/>
    <x v="2726"/>
    <x v="2735"/>
    <x v="2117"/>
    <n v="3"/>
    <x v="46"/>
    <s v="Est., Pozos, P. Taller"/>
    <s v="JR LOS AMARANTOS N°611 URB. MICAELA BASTIDAS"/>
    <x v="49"/>
    <x v="0"/>
    <x v="6"/>
    <x v="1"/>
    <x v="749"/>
    <x v="0"/>
    <n v="1"/>
    <n v="293.59999999999997"/>
    <x v="0"/>
    <x v="1"/>
    <n v="8.0000000000000002E-3"/>
    <x v="24"/>
    <x v="3"/>
    <s v="OK"/>
    <x v="0"/>
    <s v="OK"/>
    <x v="0"/>
    <x v="0"/>
    <n v="1"/>
    <n v="0"/>
    <n v="0"/>
    <n v="0"/>
    <x v="0"/>
    <x v="0"/>
    <x v="0"/>
  </r>
  <r>
    <s v="20297543653"/>
    <x v="37"/>
    <x v="31"/>
    <x v="2727"/>
    <x v="2736"/>
    <x v="2376"/>
    <n v="3"/>
    <x v="196"/>
    <s v="Est., Pozos, P. Taller"/>
    <s v="A.H.  12 DE AGOSTO MZ H LOTE 40 "/>
    <x v="3"/>
    <x v="0"/>
    <x v="6"/>
    <x v="1"/>
    <x v="750"/>
    <x v="0"/>
    <n v="1"/>
    <n v="320.2"/>
    <x v="0"/>
    <x v="1"/>
    <n v="8.0000000000000002E-3"/>
    <x v="29"/>
    <x v="3"/>
    <s v="OK"/>
    <x v="0"/>
    <s v="OK"/>
    <x v="0"/>
    <x v="0"/>
    <n v="1"/>
    <n v="0"/>
    <n v="0"/>
    <n v="0"/>
    <x v="0"/>
    <x v="0"/>
    <x v="0"/>
  </r>
  <r>
    <s v="20297543653"/>
    <x v="37"/>
    <x v="31"/>
    <x v="2728"/>
    <x v="2737"/>
    <x v="2377"/>
    <n v="3"/>
    <x v="196"/>
    <s v="Est., Pozos, P. Taller"/>
    <s v="MZ W LT 4 URB. 12 DE OCTUBRE VENTANILLA"/>
    <x v="2"/>
    <x v="0"/>
    <x v="6"/>
    <x v="1"/>
    <x v="292"/>
    <x v="0"/>
    <n v="1"/>
    <n v="298.81666666666666"/>
    <x v="0"/>
    <x v="1"/>
    <n v="8.0000000000000002E-3"/>
    <x v="23"/>
    <x v="3"/>
    <s v="OK"/>
    <x v="2"/>
    <s v="OK"/>
    <x v="0"/>
    <x v="0"/>
    <n v="1"/>
    <n v="1"/>
    <n v="0"/>
    <n v="0"/>
    <x v="0"/>
    <x v="0"/>
    <x v="0"/>
  </r>
  <r>
    <s v="20297543653"/>
    <x v="37"/>
    <x v="31"/>
    <x v="2729"/>
    <x v="2738"/>
    <x v="2378"/>
    <n v="1"/>
    <x v="371"/>
    <s v="Est., Pozos, P. Taller"/>
    <s v="JR SAN MARTIN DE PORRES 259 URB SAN ANDRES"/>
    <x v="131"/>
    <x v="0"/>
    <x v="6"/>
    <x v="1"/>
    <x v="751"/>
    <x v="0"/>
    <n v="2"/>
    <n v="240"/>
    <x v="0"/>
    <x v="1"/>
    <n v="8.0000000000000002E-3"/>
    <x v="24"/>
    <x v="3"/>
    <s v="OK"/>
    <x v="0"/>
    <s v="OK"/>
    <x v="0"/>
    <x v="0"/>
    <n v="1"/>
    <n v="0"/>
    <n v="0"/>
    <n v="0"/>
    <x v="0"/>
    <x v="0"/>
    <x v="0"/>
  </r>
  <r>
    <s v="20297543653"/>
    <x v="37"/>
    <x v="31"/>
    <x v="2730"/>
    <x v="2739"/>
    <x v="2379"/>
    <n v="3"/>
    <x v="196"/>
    <s v="Est., Pozos, P. Taller"/>
    <s v="ASC LOS CLAVELES MZ O LT 3 "/>
    <x v="1"/>
    <x v="0"/>
    <x v="6"/>
    <x v="1"/>
    <x v="752"/>
    <x v="0"/>
    <n v="1"/>
    <n v="306.68333333333334"/>
    <x v="0"/>
    <x v="1"/>
    <n v="8.0000000000000002E-3"/>
    <x v="31"/>
    <x v="3"/>
    <s v="OK"/>
    <x v="1"/>
    <s v="OK"/>
    <x v="0"/>
    <x v="0"/>
    <n v="1"/>
    <n v="1"/>
    <n v="0"/>
    <n v="0"/>
    <x v="0"/>
    <x v="0"/>
    <x v="0"/>
  </r>
  <r>
    <s v="20297543653"/>
    <x v="37"/>
    <x v="31"/>
    <x v="2731"/>
    <x v="2740"/>
    <x v="2380"/>
    <n v="3"/>
    <x v="196"/>
    <s v="Est., Pozos, P. Taller"/>
    <s v="JR PACAHCUTEC MZ T-3 LT. 5 CMTE 90 4TA ZONA COLLIQUE"/>
    <x v="0"/>
    <x v="0"/>
    <x v="6"/>
    <x v="1"/>
    <x v="284"/>
    <x v="0"/>
    <n v="1"/>
    <n v="193.96666666666664"/>
    <x v="0"/>
    <x v="1"/>
    <n v="8.0000000000000002E-3"/>
    <x v="30"/>
    <x v="3"/>
    <s v="OK"/>
    <x v="0"/>
    <s v="OK"/>
    <x v="0"/>
    <x v="0"/>
    <n v="1"/>
    <n v="0"/>
    <n v="0"/>
    <n v="0"/>
    <x v="0"/>
    <x v="0"/>
    <x v="0"/>
  </r>
  <r>
    <s v="20297543653"/>
    <x v="37"/>
    <x v="31"/>
    <x v="2732"/>
    <x v="2741"/>
    <x v="2381"/>
    <n v="3"/>
    <x v="196"/>
    <s v="Est., Pozos, P. Taller"/>
    <s v="AV. JUAN ALVARADO S/N"/>
    <x v="69"/>
    <x v="0"/>
    <x v="6"/>
    <x v="1"/>
    <x v="753"/>
    <x v="0"/>
    <n v="1"/>
    <n v="291.43333333333334"/>
    <x v="0"/>
    <x v="1"/>
    <n v="8.0000000000000002E-3"/>
    <x v="26"/>
    <x v="3"/>
    <s v="OK"/>
    <x v="0"/>
    <s v="OK"/>
    <x v="0"/>
    <x v="0"/>
    <n v="1"/>
    <n v="0"/>
    <n v="0"/>
    <n v="0"/>
    <x v="0"/>
    <x v="0"/>
    <x v="0"/>
  </r>
  <r>
    <s v="20297543653"/>
    <x v="37"/>
    <x v="31"/>
    <x v="2733"/>
    <x v="2742"/>
    <x v="1902"/>
    <n v="3"/>
    <x v="196"/>
    <s v="Est., Pozos, P. Taller"/>
    <s v="MZ B1 LOTE 12A HUERTOS DE MANCHAY"/>
    <x v="348"/>
    <x v="0"/>
    <x v="6"/>
    <x v="1"/>
    <x v="48"/>
    <x v="0"/>
    <n v="1"/>
    <n v="297.66666666666669"/>
    <x v="0"/>
    <x v="1"/>
    <n v="8.0000000000000002E-3"/>
    <x v="28"/>
    <x v="3"/>
    <s v="OK"/>
    <x v="0"/>
    <s v="OK"/>
    <x v="0"/>
    <x v="0"/>
    <n v="1"/>
    <n v="0"/>
    <n v="0"/>
    <n v="0"/>
    <x v="0"/>
    <x v="0"/>
    <x v="0"/>
  </r>
  <r>
    <s v="20297543653"/>
    <x v="37"/>
    <x v="31"/>
    <x v="2734"/>
    <x v="2743"/>
    <x v="2382"/>
    <n v="3"/>
    <x v="45"/>
    <s v="Est., Pozos, P. Taller"/>
    <s v="SECTOR 3 GRUPO14 MZ C LOTE 6"/>
    <x v="321"/>
    <x v="0"/>
    <x v="6"/>
    <x v="1"/>
    <x v="754"/>
    <x v="0"/>
    <n v="2"/>
    <n v="290.14999999999998"/>
    <x v="0"/>
    <x v="1"/>
    <n v="8.0000000000000002E-3"/>
    <x v="25"/>
    <x v="3"/>
    <s v="OK"/>
    <x v="0"/>
    <s v="OK"/>
    <x v="0"/>
    <x v="0"/>
    <n v="1"/>
    <n v="0"/>
    <n v="0"/>
    <n v="0"/>
    <x v="0"/>
    <x v="0"/>
    <x v="0"/>
  </r>
  <r>
    <s v="20297543653"/>
    <x v="37"/>
    <x v="31"/>
    <x v="2735"/>
    <x v="2744"/>
    <x v="1902"/>
    <n v="3"/>
    <x v="196"/>
    <s v="Est., Pozos, P. Taller"/>
    <s v="MZ B1 LOTE 12A HUERTOS DE MANCHAY"/>
    <x v="348"/>
    <x v="0"/>
    <x v="6"/>
    <x v="1"/>
    <x v="650"/>
    <x v="0"/>
    <n v="1"/>
    <n v="296.38333333333333"/>
    <x v="0"/>
    <x v="1"/>
    <n v="8.0000000000000002E-3"/>
    <x v="28"/>
    <x v="3"/>
    <s v="OK"/>
    <x v="0"/>
    <s v="OK"/>
    <x v="0"/>
    <x v="0"/>
    <n v="1"/>
    <n v="0"/>
    <n v="0"/>
    <n v="0"/>
    <x v="0"/>
    <x v="0"/>
    <x v="0"/>
  </r>
  <r>
    <s v="20297543653"/>
    <x v="37"/>
    <x v="31"/>
    <x v="2736"/>
    <x v="2745"/>
    <x v="2383"/>
    <n v="3"/>
    <x v="196"/>
    <s v="Est., Pozos, P. Taller"/>
    <s v="SCT. VILLA SAN LUIS MZ J-7 LT. 7 PAMPLONA ALTA"/>
    <x v="53"/>
    <x v="0"/>
    <x v="6"/>
    <x v="1"/>
    <x v="437"/>
    <x v="0"/>
    <n v="1"/>
    <n v="296.54999999999995"/>
    <x v="0"/>
    <x v="1"/>
    <n v="8.0000000000000002E-3"/>
    <x v="29"/>
    <x v="3"/>
    <s v="OK"/>
    <x v="0"/>
    <s v="OK"/>
    <x v="0"/>
    <x v="0"/>
    <n v="1"/>
    <n v="0"/>
    <n v="0"/>
    <n v="0"/>
    <x v="0"/>
    <x v="0"/>
    <x v="0"/>
  </r>
  <r>
    <s v="20297543653"/>
    <x v="37"/>
    <x v="31"/>
    <x v="2737"/>
    <x v="2746"/>
    <x v="2384"/>
    <n v="3"/>
    <x v="196"/>
    <s v="Est., Pozos, P. Taller"/>
    <s v="SECTOR 10 GRUPO 2 MZ. N LT. 8 A.H. OASIS DE VILLA"/>
    <x v="19"/>
    <x v="0"/>
    <x v="6"/>
    <x v="1"/>
    <x v="755"/>
    <x v="0"/>
    <n v="1"/>
    <n v="299.16666666666669"/>
    <x v="0"/>
    <x v="1"/>
    <n v="8.0000000000000002E-3"/>
    <x v="28"/>
    <x v="3"/>
    <s v="OK"/>
    <x v="0"/>
    <s v="OK"/>
    <x v="0"/>
    <x v="0"/>
    <n v="1"/>
    <n v="0"/>
    <n v="0"/>
    <n v="0"/>
    <x v="0"/>
    <x v="0"/>
    <x v="0"/>
  </r>
  <r>
    <s v="20297543653"/>
    <x v="37"/>
    <x v="31"/>
    <x v="2738"/>
    <x v="2747"/>
    <x v="1927"/>
    <n v="3"/>
    <x v="140"/>
    <s v="Est., Pozos, P. Taller"/>
    <s v="A.H. 12 DE DICIEMBRE MZ D LT 3"/>
    <x v="2"/>
    <x v="0"/>
    <x v="6"/>
    <x v="1"/>
    <x v="286"/>
    <x v="0"/>
    <n v="1"/>
    <n v="294.45000000000005"/>
    <x v="0"/>
    <x v="1"/>
    <n v="8.0000000000000002E-3"/>
    <x v="26"/>
    <x v="3"/>
    <s v="OK"/>
    <x v="2"/>
    <s v="OK"/>
    <x v="0"/>
    <x v="0"/>
    <n v="1"/>
    <n v="1"/>
    <n v="0"/>
    <n v="0"/>
    <x v="0"/>
    <x v="0"/>
    <x v="0"/>
  </r>
  <r>
    <s v="20297543653"/>
    <x v="37"/>
    <x v="31"/>
    <x v="2739"/>
    <x v="2748"/>
    <x v="2385"/>
    <n v="3"/>
    <x v="196"/>
    <s v="Est., Pozos, P. Taller"/>
    <s v="LAS CHIRIMOYAS 171 ERMITAÑO MZ Q2 LT 23"/>
    <x v="44"/>
    <x v="0"/>
    <x v="6"/>
    <x v="1"/>
    <x v="756"/>
    <x v="0"/>
    <n v="1"/>
    <n v="306.98333333333335"/>
    <x v="0"/>
    <x v="1"/>
    <n v="8.0000000000000002E-3"/>
    <x v="31"/>
    <x v="3"/>
    <s v="OK"/>
    <x v="0"/>
    <s v="OK"/>
    <x v="0"/>
    <x v="0"/>
    <n v="1"/>
    <n v="0"/>
    <n v="0"/>
    <n v="0"/>
    <x v="0"/>
    <x v="0"/>
    <x v="0"/>
  </r>
  <r>
    <s v="20297543653"/>
    <x v="37"/>
    <x v="31"/>
    <x v="2740"/>
    <x v="2749"/>
    <x v="2386"/>
    <n v="1"/>
    <x v="370"/>
    <s v="Est., Pozos, P. Taller"/>
    <s v="CALLE MIAMI 404 DPTO 301 URB. SOL DE LA MOLINA REAL"/>
    <x v="47"/>
    <x v="0"/>
    <x v="6"/>
    <x v="1"/>
    <x v="392"/>
    <x v="0"/>
    <n v="2"/>
    <n v="240"/>
    <x v="0"/>
    <x v="1"/>
    <n v="8.0000000000000002E-3"/>
    <x v="31"/>
    <x v="3"/>
    <s v="OK"/>
    <x v="0"/>
    <s v="OK"/>
    <x v="0"/>
    <x v="0"/>
    <n v="1"/>
    <n v="0"/>
    <n v="0"/>
    <n v="0"/>
    <x v="0"/>
    <x v="0"/>
    <x v="0"/>
  </r>
  <r>
    <s v="20297543653"/>
    <x v="37"/>
    <x v="31"/>
    <x v="2741"/>
    <x v="2750"/>
    <x v="2387"/>
    <n v="3"/>
    <x v="196"/>
    <s v="Est., Pozos, P. Taller"/>
    <s v="CALLE SIMON BOLIVAR 545 URB. SAN RAFAEL"/>
    <x v="15"/>
    <x v="0"/>
    <x v="6"/>
    <x v="1"/>
    <x v="437"/>
    <x v="0"/>
    <n v="1"/>
    <n v="307.13333333333333"/>
    <x v="0"/>
    <x v="1"/>
    <n v="8.0000000000000002E-3"/>
    <x v="24"/>
    <x v="3"/>
    <s v="OK"/>
    <x v="0"/>
    <s v="OK"/>
    <x v="0"/>
    <x v="0"/>
    <n v="1"/>
    <n v="0"/>
    <n v="0"/>
    <n v="0"/>
    <x v="0"/>
    <x v="0"/>
    <x v="0"/>
  </r>
  <r>
    <s v="20297543653"/>
    <x v="37"/>
    <x v="31"/>
    <x v="2742"/>
    <x v="2751"/>
    <x v="2388"/>
    <n v="3"/>
    <x v="196"/>
    <s v="Est., Pozos, P. Taller"/>
    <s v="JR ALBERTO ABERD 674"/>
    <x v="3"/>
    <x v="0"/>
    <x v="6"/>
    <x v="1"/>
    <x v="606"/>
    <x v="0"/>
    <n v="1"/>
    <n v="303.28333333333336"/>
    <x v="0"/>
    <x v="1"/>
    <n v="8.0000000000000002E-3"/>
    <x v="25"/>
    <x v="3"/>
    <s v="OK"/>
    <x v="0"/>
    <s v="OK"/>
    <x v="0"/>
    <x v="0"/>
    <n v="1"/>
    <n v="0"/>
    <n v="0"/>
    <n v="0"/>
    <x v="0"/>
    <x v="0"/>
    <x v="0"/>
  </r>
  <r>
    <s v="20297543653"/>
    <x v="37"/>
    <x v="31"/>
    <x v="2743"/>
    <x v="2752"/>
    <x v="2389"/>
    <n v="3"/>
    <x v="196"/>
    <s v="Est., Pozos, P. Taller"/>
    <s v="AA.HH. MARIANO MELGAR MZ C LT 5"/>
    <x v="44"/>
    <x v="0"/>
    <x v="6"/>
    <x v="1"/>
    <x v="576"/>
    <x v="0"/>
    <n v="1"/>
    <n v="287.31666666666666"/>
    <x v="0"/>
    <x v="1"/>
    <n v="8.0000000000000002E-3"/>
    <x v="23"/>
    <x v="3"/>
    <s v="OK"/>
    <x v="0"/>
    <s v="OK"/>
    <x v="0"/>
    <x v="0"/>
    <n v="1"/>
    <n v="0"/>
    <n v="0"/>
    <n v="0"/>
    <x v="0"/>
    <x v="0"/>
    <x v="0"/>
  </r>
  <r>
    <s v="20297543653"/>
    <x v="37"/>
    <x v="31"/>
    <x v="2744"/>
    <x v="2753"/>
    <x v="2390"/>
    <n v="3"/>
    <x v="196"/>
    <s v="Est., Pozos, P. Taller"/>
    <s v="CALLE PRIMAVEROA MZ B LT 17 AGRUP. DE VIV. BELLAVISTA"/>
    <x v="54"/>
    <x v="0"/>
    <x v="6"/>
    <x v="1"/>
    <x v="386"/>
    <x v="0"/>
    <n v="2"/>
    <n v="289.41666666666669"/>
    <x v="0"/>
    <x v="1"/>
    <n v="8.0000000000000002E-3"/>
    <x v="28"/>
    <x v="3"/>
    <s v="OK"/>
    <x v="0"/>
    <s v="OK"/>
    <x v="0"/>
    <x v="0"/>
    <n v="1"/>
    <n v="0"/>
    <n v="0"/>
    <n v="0"/>
    <x v="0"/>
    <x v="0"/>
    <x v="0"/>
  </r>
  <r>
    <s v="20297543653"/>
    <x v="37"/>
    <x v="31"/>
    <x v="2745"/>
    <x v="2754"/>
    <x v="2391"/>
    <n v="3"/>
    <x v="196"/>
    <s v="Est., Pozos, P. Taller"/>
    <s v="PSJ MARIA PARADO DE BELLIDO120"/>
    <x v="44"/>
    <x v="0"/>
    <x v="6"/>
    <x v="1"/>
    <x v="149"/>
    <x v="0"/>
    <n v="1"/>
    <n v="313.91666666666663"/>
    <x v="0"/>
    <x v="1"/>
    <n v="8.0000000000000002E-3"/>
    <x v="27"/>
    <x v="3"/>
    <s v="OK"/>
    <x v="0"/>
    <s v="OK"/>
    <x v="0"/>
    <x v="0"/>
    <n v="1"/>
    <n v="0"/>
    <n v="0"/>
    <n v="0"/>
    <x v="0"/>
    <x v="0"/>
    <x v="0"/>
  </r>
  <r>
    <s v="20297543653"/>
    <x v="37"/>
    <x v="31"/>
    <x v="2746"/>
    <x v="2755"/>
    <x v="2392"/>
    <n v="3"/>
    <x v="45"/>
    <s v="Est., Pozos, P. Taller"/>
    <s v="MZ L LOTE 18 LOS LAURELES DE OQUENDO"/>
    <x v="6"/>
    <x v="0"/>
    <x v="6"/>
    <x v="1"/>
    <x v="757"/>
    <x v="0"/>
    <n v="2"/>
    <n v="140.10000000000002"/>
    <x v="0"/>
    <x v="1"/>
    <n v="8.0000000000000002E-3"/>
    <x v="25"/>
    <x v="3"/>
    <s v="OK"/>
    <x v="2"/>
    <s v="OK"/>
    <x v="0"/>
    <x v="0"/>
    <n v="1"/>
    <n v="1"/>
    <n v="0"/>
    <n v="0"/>
    <x v="0"/>
    <x v="0"/>
    <x v="0"/>
  </r>
  <r>
    <s v="20297543653"/>
    <x v="37"/>
    <x v="31"/>
    <x v="2747"/>
    <x v="2756"/>
    <x v="2393"/>
    <n v="3"/>
    <x v="196"/>
    <s v="Est., Pozos, P. Taller"/>
    <s v="LOS GERANEOS DE HUACHIPA MZ.A LT.14"/>
    <x v="1"/>
    <x v="0"/>
    <x v="6"/>
    <x v="1"/>
    <x v="240"/>
    <x v="0"/>
    <n v="1"/>
    <n v="295.68333333333334"/>
    <x v="0"/>
    <x v="1"/>
    <n v="8.0000000000000002E-3"/>
    <x v="24"/>
    <x v="3"/>
    <s v="OK"/>
    <x v="1"/>
    <s v="OK"/>
    <x v="0"/>
    <x v="0"/>
    <n v="1"/>
    <n v="1"/>
    <n v="0"/>
    <n v="0"/>
    <x v="0"/>
    <x v="0"/>
    <x v="0"/>
  </r>
  <r>
    <s v="20297543653"/>
    <x v="37"/>
    <x v="31"/>
    <x v="2748"/>
    <x v="2757"/>
    <x v="2394"/>
    <n v="3"/>
    <x v="196"/>
    <s v="Est., Pozos, P. Taller"/>
    <s v="Mz T3 LT11 NESTOR GAMBETA BAJA ESTE"/>
    <x v="6"/>
    <x v="0"/>
    <x v="6"/>
    <x v="1"/>
    <x v="758"/>
    <x v="0"/>
    <n v="1"/>
    <n v="313.3"/>
    <x v="0"/>
    <x v="1"/>
    <n v="8.0000000000000002E-3"/>
    <x v="29"/>
    <x v="3"/>
    <s v="OK"/>
    <x v="2"/>
    <s v="OK"/>
    <x v="0"/>
    <x v="0"/>
    <n v="1"/>
    <n v="1"/>
    <n v="0"/>
    <n v="0"/>
    <x v="0"/>
    <x v="0"/>
    <x v="0"/>
  </r>
  <r>
    <s v="20297543653"/>
    <x v="37"/>
    <x v="31"/>
    <x v="2749"/>
    <x v="2758"/>
    <x v="1946"/>
    <n v="3"/>
    <x v="196"/>
    <s v="Est., Pozos, P. Taller"/>
    <s v="MZ M LOTE 39 LOMAS DE ZAPALLAL"/>
    <x v="4"/>
    <x v="0"/>
    <x v="6"/>
    <x v="1"/>
    <x v="759"/>
    <x v="0"/>
    <n v="1"/>
    <n v="305.25"/>
    <x v="0"/>
    <x v="1"/>
    <n v="8.0000000000000002E-3"/>
    <x v="24"/>
    <x v="3"/>
    <s v="OK"/>
    <x v="0"/>
    <s v="OK"/>
    <x v="0"/>
    <x v="0"/>
    <n v="1"/>
    <n v="0"/>
    <n v="0"/>
    <n v="0"/>
    <x v="0"/>
    <x v="0"/>
    <x v="0"/>
  </r>
  <r>
    <s v="20297543653"/>
    <x v="37"/>
    <x v="31"/>
    <x v="2750"/>
    <x v="2759"/>
    <x v="2395"/>
    <n v="3"/>
    <x v="196"/>
    <s v="Est., Pozos, P. Taller"/>
    <s v="SECTOR 7 GRUPO 01 B120 D2 - VILLA EL SAL"/>
    <x v="19"/>
    <x v="0"/>
    <x v="6"/>
    <x v="1"/>
    <x v="760"/>
    <x v="0"/>
    <n v="1"/>
    <n v="279.26666666666665"/>
    <x v="0"/>
    <x v="1"/>
    <n v="8.0000000000000002E-3"/>
    <x v="25"/>
    <x v="3"/>
    <s v="OK"/>
    <x v="0"/>
    <s v="OK"/>
    <x v="0"/>
    <x v="0"/>
    <n v="1"/>
    <n v="0"/>
    <n v="0"/>
    <n v="0"/>
    <x v="0"/>
    <x v="0"/>
    <x v="0"/>
  </r>
  <r>
    <s v="20297543653"/>
    <x v="37"/>
    <x v="31"/>
    <x v="2751"/>
    <x v="2760"/>
    <x v="2396"/>
    <n v="3"/>
    <x v="196"/>
    <s v="Est., Pozos, P. Taller"/>
    <s v="PSJ. 2 MZ D LT. 02 P. J JOSE CARLOS MARIATEGUI"/>
    <x v="49"/>
    <x v="0"/>
    <x v="6"/>
    <x v="1"/>
    <x v="207"/>
    <x v="0"/>
    <n v="1"/>
    <n v="223.09999999999997"/>
    <x v="0"/>
    <x v="1"/>
    <n v="8.0000000000000002E-3"/>
    <x v="31"/>
    <x v="3"/>
    <s v="OK"/>
    <x v="0"/>
    <s v="OK"/>
    <x v="0"/>
    <x v="0"/>
    <n v="1"/>
    <n v="0"/>
    <n v="1"/>
    <n v="0"/>
    <x v="0"/>
    <x v="0"/>
    <x v="1"/>
  </r>
  <r>
    <s v="20297543653"/>
    <x v="37"/>
    <x v="31"/>
    <x v="1008"/>
    <x v="2761"/>
    <x v="2359"/>
    <n v="3"/>
    <x v="196"/>
    <s v="Est., Pozos, P. Taller"/>
    <s v="MZ B3 LT 01 ASOC. PRODUC. Y POSES AAPYP"/>
    <x v="2"/>
    <x v="0"/>
    <x v="6"/>
    <x v="1"/>
    <x v="386"/>
    <x v="0"/>
    <n v="1"/>
    <n v="302.91666666666669"/>
    <x v="0"/>
    <x v="1"/>
    <n v="8.0000000000000002E-3"/>
    <x v="30"/>
    <x v="3"/>
    <s v="OK"/>
    <x v="2"/>
    <s v="OK"/>
    <x v="0"/>
    <x v="0"/>
    <n v="1"/>
    <n v="1"/>
    <n v="0"/>
    <n v="0"/>
    <x v="0"/>
    <x v="0"/>
    <x v="0"/>
  </r>
  <r>
    <n v="20608368796"/>
    <x v="38"/>
    <x v="32"/>
    <x v="2752"/>
    <x v="2762"/>
    <x v="2397"/>
    <n v="2"/>
    <x v="48"/>
    <s v="E11"/>
    <s v="AV CANTO SOL MZ K LT 7 TERRAZAS"/>
    <x v="76"/>
    <x v="0"/>
    <x v="0"/>
    <x v="1"/>
    <x v="761"/>
    <x v="0"/>
    <n v="4"/>
    <n v="192"/>
    <x v="0"/>
    <x v="1"/>
    <n v="2.2727272727272728E-2"/>
    <x v="29"/>
    <x v="3"/>
    <s v="OK"/>
    <x v="0"/>
    <s v="OK"/>
    <x v="0"/>
    <x v="0"/>
    <n v="1"/>
    <n v="0"/>
    <n v="0"/>
    <n v="0"/>
    <x v="0"/>
    <x v="0"/>
    <x v="0"/>
  </r>
  <r>
    <n v="20608368796"/>
    <x v="38"/>
    <x v="32"/>
    <x v="2753"/>
    <x v="2763"/>
    <x v="2398"/>
    <n v="1"/>
    <x v="190"/>
    <s v="E11"/>
    <s v="AV EL PERIODISTA MZ K LT 6 LAS TERRAZAS"/>
    <x v="76"/>
    <x v="0"/>
    <x v="0"/>
    <x v="1"/>
    <x v="761"/>
    <x v="0"/>
    <n v="1"/>
    <n v="192"/>
    <x v="0"/>
    <x v="1"/>
    <n v="2.2727272727272728E-2"/>
    <x v="24"/>
    <x v="3"/>
    <s v="OK"/>
    <x v="0"/>
    <s v="OK"/>
    <x v="0"/>
    <x v="0"/>
    <n v="1"/>
    <n v="0"/>
    <n v="0"/>
    <n v="0"/>
    <x v="0"/>
    <x v="0"/>
    <x v="0"/>
  </r>
  <r>
    <n v="20608368796"/>
    <x v="38"/>
    <x v="32"/>
    <x v="2754"/>
    <x v="2764"/>
    <x v="2048"/>
    <n v="1"/>
    <x v="372"/>
    <s v="E10"/>
    <s v="AV CANTO SOL MZ K LT 7 TERRAZAS"/>
    <x v="76"/>
    <x v="0"/>
    <x v="0"/>
    <x v="1"/>
    <x v="761"/>
    <x v="0"/>
    <n v="1"/>
    <n v="192"/>
    <x v="0"/>
    <x v="1"/>
    <n v="2.2727272727272728E-2"/>
    <x v="24"/>
    <x v="3"/>
    <s v="OK"/>
    <x v="0"/>
    <s v="OK"/>
    <x v="0"/>
    <x v="0"/>
    <n v="1"/>
    <n v="0"/>
    <n v="0"/>
    <n v="0"/>
    <x v="0"/>
    <x v="0"/>
    <x v="0"/>
  </r>
  <r>
    <n v="20608368796"/>
    <x v="38"/>
    <x v="32"/>
    <x v="2755"/>
    <x v="2765"/>
    <x v="2399"/>
    <n v="2"/>
    <x v="199"/>
    <s v="E17"/>
    <s v="ASOC DE VIV CENTRO POBLADO LA MESETA MZ F LT 5 "/>
    <x v="58"/>
    <x v="0"/>
    <x v="0"/>
    <x v="1"/>
    <x v="465"/>
    <x v="0"/>
    <n v="4"/>
    <n v="192"/>
    <x v="0"/>
    <x v="1"/>
    <n v="2.2727272727272728E-2"/>
    <x v="23"/>
    <x v="3"/>
    <s v="OK"/>
    <x v="0"/>
    <s v="OK"/>
    <x v="0"/>
    <x v="0"/>
    <n v="1"/>
    <n v="0"/>
    <n v="0"/>
    <n v="0"/>
    <x v="0"/>
    <x v="0"/>
    <x v="0"/>
  </r>
  <r>
    <n v="20608368796"/>
    <x v="38"/>
    <x v="32"/>
    <x v="2756"/>
    <x v="2766"/>
    <x v="2400"/>
    <n v="2"/>
    <x v="333"/>
    <s v="E11"/>
    <s v="URB SANTA PAULA ETAPA 2 MZ C LT 9"/>
    <x v="4"/>
    <x v="0"/>
    <x v="0"/>
    <x v="1"/>
    <x v="41"/>
    <x v="0"/>
    <n v="4"/>
    <n v="192"/>
    <x v="0"/>
    <x v="1"/>
    <n v="2.2727272727272728E-2"/>
    <x v="28"/>
    <x v="3"/>
    <s v="OK"/>
    <x v="0"/>
    <s v="OK"/>
    <x v="0"/>
    <x v="0"/>
    <n v="1"/>
    <n v="0"/>
    <n v="0"/>
    <n v="0"/>
    <x v="0"/>
    <x v="0"/>
    <x v="0"/>
  </r>
  <r>
    <n v="20608368796"/>
    <x v="38"/>
    <x v="32"/>
    <x v="2757"/>
    <x v="2767"/>
    <x v="2401"/>
    <n v="2"/>
    <x v="199"/>
    <s v="E01"/>
    <s v="MZ 143 LT 16 SECTOR B HUASCAR"/>
    <x v="76"/>
    <x v="0"/>
    <x v="0"/>
    <x v="1"/>
    <x v="41"/>
    <x v="0"/>
    <n v="4"/>
    <n v="192"/>
    <x v="0"/>
    <x v="1"/>
    <n v="2.2727272727272728E-2"/>
    <x v="27"/>
    <x v="3"/>
    <s v="OK"/>
    <x v="0"/>
    <s v="OK"/>
    <x v="0"/>
    <x v="0"/>
    <n v="1"/>
    <n v="0"/>
    <n v="0"/>
    <n v="0"/>
    <x v="0"/>
    <x v="0"/>
    <x v="0"/>
  </r>
  <r>
    <n v="20608368796"/>
    <x v="38"/>
    <x v="32"/>
    <x v="2758"/>
    <x v="2768"/>
    <x v="1832"/>
    <n v="2"/>
    <x v="199"/>
    <s v="E11"/>
    <s v="MZ D LT 35 COOP HUANCARAY"/>
    <x v="76"/>
    <x v="0"/>
    <x v="0"/>
    <x v="1"/>
    <x v="41"/>
    <x v="0"/>
    <n v="4"/>
    <n v="192"/>
    <x v="0"/>
    <x v="1"/>
    <n v="2.2727272727272728E-2"/>
    <x v="27"/>
    <x v="3"/>
    <s v="OK"/>
    <x v="0"/>
    <s v="OK"/>
    <x v="0"/>
    <x v="0"/>
    <n v="1"/>
    <n v="0"/>
    <n v="0"/>
    <n v="0"/>
    <x v="0"/>
    <x v="0"/>
    <x v="0"/>
  </r>
  <r>
    <n v="20608368796"/>
    <x v="38"/>
    <x v="32"/>
    <x v="2759"/>
    <x v="2769"/>
    <x v="2402"/>
    <n v="2"/>
    <x v="49"/>
    <s v="E11"/>
    <s v="AH PROG.MUN.DE VIVI.UNICA MZ S LT 6"/>
    <x v="53"/>
    <x v="0"/>
    <x v="0"/>
    <x v="1"/>
    <x v="25"/>
    <x v="0"/>
    <n v="4"/>
    <n v="40"/>
    <x v="0"/>
    <x v="1"/>
    <n v="2.2727272727272728E-2"/>
    <x v="23"/>
    <x v="3"/>
    <s v="OK"/>
    <x v="0"/>
    <s v="OK"/>
    <x v="0"/>
    <x v="0"/>
    <n v="1"/>
    <n v="0"/>
    <n v="0"/>
    <n v="0"/>
    <x v="0"/>
    <x v="0"/>
    <x v="0"/>
  </r>
  <r>
    <n v="20608368796"/>
    <x v="38"/>
    <x v="32"/>
    <x v="2760"/>
    <x v="2770"/>
    <x v="2005"/>
    <n v="1"/>
    <x v="125"/>
    <s v="E12"/>
    <s v="AV LOS ALISOS URB PREVI NARANJAL MZ 30 LT 23"/>
    <x v="49"/>
    <x v="0"/>
    <x v="0"/>
    <x v="1"/>
    <x v="28"/>
    <x v="0"/>
    <n v="1"/>
    <n v="120"/>
    <x v="0"/>
    <x v="1"/>
    <n v="2.2727272727272728E-2"/>
    <x v="26"/>
    <x v="3"/>
    <s v="OK"/>
    <x v="0"/>
    <s v="OK"/>
    <x v="0"/>
    <x v="0"/>
    <n v="1"/>
    <n v="0"/>
    <n v="1"/>
    <n v="0"/>
    <x v="0"/>
    <x v="0"/>
    <x v="1"/>
  </r>
  <r>
    <n v="20602042201"/>
    <x v="65"/>
    <x v="33"/>
    <x v="2761"/>
    <x v="2771"/>
    <x v="2064"/>
    <n v="1"/>
    <x v="17"/>
    <s v="PV16, PV17 Y PV18"/>
    <s v="BLOCK 23 DPTO. 304 CONJ. RES.LA CRUCETA III"/>
    <x v="14"/>
    <x v="0"/>
    <x v="14"/>
    <x v="2"/>
    <x v="642"/>
    <x v="0"/>
    <n v="2"/>
    <n v="96"/>
    <x v="0"/>
    <x v="1"/>
    <n v="2.8571428571428571E-2"/>
    <x v="28"/>
    <x v="3"/>
    <s v="OK"/>
    <x v="0"/>
    <s v="OK"/>
    <x v="0"/>
    <x v="0"/>
    <n v="1"/>
    <n v="0"/>
    <n v="0"/>
    <n v="0"/>
    <x v="0"/>
    <x v="0"/>
    <x v="0"/>
  </r>
  <r>
    <n v="20553067538"/>
    <x v="39"/>
    <x v="33"/>
    <x v="2762"/>
    <x v="2772"/>
    <x v="2403"/>
    <n v="2"/>
    <x v="50"/>
    <s v="PV16, PV17 Y PV18"/>
    <s v="AV. SAN VICENTE 375 ARIAS DAVILA"/>
    <x v="349"/>
    <x v="0"/>
    <x v="14"/>
    <x v="2"/>
    <x v="440"/>
    <x v="0"/>
    <n v="2"/>
    <n v="0"/>
    <x v="0"/>
    <x v="0"/>
    <n v="2.8571428571428571E-2"/>
    <x v="26"/>
    <x v="3"/>
    <s v="OK"/>
    <x v="0"/>
    <s v="OK"/>
    <x v="0"/>
    <x v="0"/>
    <n v="1"/>
    <n v="0"/>
    <n v="0"/>
    <n v="0"/>
    <x v="0"/>
    <x v="0"/>
    <x v="0"/>
  </r>
  <r>
    <n v="20553067538"/>
    <x v="39"/>
    <x v="33"/>
    <x v="2763"/>
    <x v="2773"/>
    <x v="2404"/>
    <n v="2"/>
    <x v="50"/>
    <s v="PV16, PV17 Y PV18"/>
    <s v="JR. ANCASH 1263"/>
    <x v="98"/>
    <x v="0"/>
    <x v="14"/>
    <x v="2"/>
    <x v="440"/>
    <x v="0"/>
    <n v="2"/>
    <n v="96"/>
    <x v="0"/>
    <x v="0"/>
    <n v="2.8571428571428571E-2"/>
    <x v="29"/>
    <x v="3"/>
    <s v="OK"/>
    <x v="0"/>
    <s v="OK"/>
    <x v="0"/>
    <x v="0"/>
    <n v="1"/>
    <n v="0"/>
    <n v="0"/>
    <n v="0"/>
    <x v="0"/>
    <x v="0"/>
    <x v="0"/>
  </r>
  <r>
    <n v="20553067538"/>
    <x v="39"/>
    <x v="33"/>
    <x v="2764"/>
    <x v="2774"/>
    <x v="2405"/>
    <n v="1"/>
    <x v="17"/>
    <s v="PV16, PV17 Y PV18"/>
    <s v="MZ. A. LT. 13 ASOC. PRO VIVIENDA 200 MILLAS"/>
    <x v="6"/>
    <x v="0"/>
    <x v="14"/>
    <x v="2"/>
    <x v="742"/>
    <x v="0"/>
    <n v="2"/>
    <n v="0"/>
    <x v="0"/>
    <x v="0"/>
    <n v="2.8571428571428571E-2"/>
    <x v="26"/>
    <x v="3"/>
    <s v="OK"/>
    <x v="2"/>
    <s v="OK"/>
    <x v="0"/>
    <x v="0"/>
    <n v="1"/>
    <n v="1"/>
    <n v="0"/>
    <n v="0"/>
    <x v="0"/>
    <x v="0"/>
    <x v="0"/>
  </r>
  <r>
    <n v="20553067538"/>
    <x v="39"/>
    <x v="33"/>
    <x v="2765"/>
    <x v="2775"/>
    <x v="2406"/>
    <n v="2"/>
    <x v="50"/>
    <s v="PV16, PV17 Y PV18"/>
    <s v="PROLONG. ROSEMBER 310"/>
    <x v="142"/>
    <x v="0"/>
    <x v="14"/>
    <x v="2"/>
    <x v="286"/>
    <x v="0"/>
    <n v="2"/>
    <n v="0"/>
    <x v="0"/>
    <x v="0"/>
    <n v="2.8571428571428571E-2"/>
    <x v="27"/>
    <x v="3"/>
    <s v="OK"/>
    <x v="0"/>
    <s v="OK"/>
    <x v="0"/>
    <x v="0"/>
    <n v="1"/>
    <n v="0"/>
    <n v="0"/>
    <n v="0"/>
    <x v="0"/>
    <x v="0"/>
    <x v="0"/>
  </r>
  <r>
    <n v="20600200896"/>
    <x v="40"/>
    <x v="33"/>
    <x v="2766"/>
    <x v="2776"/>
    <x v="2407"/>
    <n v="1"/>
    <x v="17"/>
    <s v="PV16, PV17 Y PV18"/>
    <s v="JR. DOS DE MAYO 618"/>
    <x v="89"/>
    <x v="0"/>
    <x v="14"/>
    <x v="2"/>
    <x v="141"/>
    <x v="0"/>
    <n v="2"/>
    <n v="144"/>
    <x v="0"/>
    <x v="0"/>
    <n v="2.8571428571428571E-2"/>
    <x v="31"/>
    <x v="3"/>
    <s v="OK"/>
    <x v="2"/>
    <s v="OK"/>
    <x v="0"/>
    <x v="0"/>
    <n v="1"/>
    <n v="1"/>
    <n v="0"/>
    <n v="0"/>
    <x v="0"/>
    <x v="0"/>
    <x v="0"/>
  </r>
  <r>
    <n v="20600200896"/>
    <x v="40"/>
    <x v="33"/>
    <x v="2767"/>
    <x v="2777"/>
    <x v="2408"/>
    <n v="1"/>
    <x v="17"/>
    <s v="PV16, PV17 Y PV18"/>
    <s v="JR. TIAHUANACO 621 URB. ZARATE"/>
    <x v="15"/>
    <x v="0"/>
    <x v="14"/>
    <x v="2"/>
    <x v="762"/>
    <x v="0"/>
    <n v="2"/>
    <n v="96"/>
    <x v="0"/>
    <x v="0"/>
    <n v="2.8571428571428571E-2"/>
    <x v="26"/>
    <x v="3"/>
    <s v="OK"/>
    <x v="0"/>
    <s v="OK"/>
    <x v="0"/>
    <x v="0"/>
    <n v="1"/>
    <n v="0"/>
    <n v="0"/>
    <n v="0"/>
    <x v="0"/>
    <x v="0"/>
    <x v="0"/>
  </r>
  <r>
    <n v="20603304510"/>
    <x v="41"/>
    <x v="34"/>
    <x v="2768"/>
    <x v="2778"/>
    <x v="2409"/>
    <n v="1"/>
    <x v="17"/>
    <s v="E06"/>
    <s v="URBANIZACION EL ALAMO MZA. B LOTE. 22 CALLAO "/>
    <x v="6"/>
    <x v="1"/>
    <x v="6"/>
    <x v="3"/>
    <x v="144"/>
    <x v="0"/>
    <n v="1"/>
    <n v="312"/>
    <x v="0"/>
    <x v="1"/>
    <n v="5.076142131979695E-3"/>
    <x v="25"/>
    <x v="3"/>
    <s v="OK"/>
    <x v="2"/>
    <s v="OK"/>
    <x v="0"/>
    <x v="0"/>
    <n v="1"/>
    <n v="1"/>
    <n v="0"/>
    <n v="0"/>
    <x v="0"/>
    <x v="0"/>
    <x v="0"/>
  </r>
  <r>
    <n v="20603304510"/>
    <x v="41"/>
    <x v="34"/>
    <x v="2769"/>
    <x v="2779"/>
    <x v="2410"/>
    <n v="1"/>
    <x v="17"/>
    <s v="POZO PV 01"/>
    <s v="AVENIDA TUPAC AMARU MZA. M1 LOTE. 04 ESPALDA DE COMISARIA LIMA "/>
    <x v="0"/>
    <x v="0"/>
    <x v="6"/>
    <x v="3"/>
    <x v="141"/>
    <x v="0"/>
    <n v="1"/>
    <n v="312"/>
    <x v="0"/>
    <x v="1"/>
    <n v="5.076142131979695E-3"/>
    <x v="28"/>
    <x v="3"/>
    <s v="OK"/>
    <x v="0"/>
    <s v="OK"/>
    <x v="0"/>
    <x v="0"/>
    <n v="1"/>
    <n v="0"/>
    <n v="0"/>
    <n v="0"/>
    <x v="0"/>
    <x v="0"/>
    <x v="0"/>
  </r>
  <r>
    <n v="20603304510"/>
    <x v="41"/>
    <x v="34"/>
    <x v="2770"/>
    <x v="2780"/>
    <x v="2411"/>
    <n v="1"/>
    <x v="17"/>
    <s v="E06"/>
    <s v="CALLE LAS FAUNAS LT 9 LIMA"/>
    <x v="38"/>
    <x v="0"/>
    <x v="6"/>
    <x v="3"/>
    <x v="179"/>
    <x v="0"/>
    <n v="1"/>
    <n v="300"/>
    <x v="0"/>
    <x v="1"/>
    <n v="5.076142131979695E-3"/>
    <x v="27"/>
    <x v="3"/>
    <s v="OK"/>
    <x v="0"/>
    <s v="OK"/>
    <x v="0"/>
    <x v="0"/>
    <n v="1"/>
    <n v="0"/>
    <n v="0"/>
    <n v="0"/>
    <x v="0"/>
    <x v="0"/>
    <x v="0"/>
  </r>
  <r>
    <n v="20603304510"/>
    <x v="41"/>
    <x v="34"/>
    <x v="2771"/>
    <x v="2781"/>
    <x v="1918"/>
    <n v="1"/>
    <x v="17"/>
    <s v="E02"/>
    <s v="CALLE 1 ASENTAMIENTO HUMANO SARITA COLONIA 1 SEC MZA. G LOTE. 11 CALLAO "/>
    <x v="6"/>
    <x v="0"/>
    <x v="6"/>
    <x v="3"/>
    <x v="144"/>
    <x v="0"/>
    <n v="1"/>
    <n v="300"/>
    <x v="0"/>
    <x v="1"/>
    <n v="5.076142131979695E-3"/>
    <x v="28"/>
    <x v="3"/>
    <s v="OK"/>
    <x v="2"/>
    <s v="OK"/>
    <x v="0"/>
    <x v="0"/>
    <n v="1"/>
    <n v="1"/>
    <n v="0"/>
    <n v="0"/>
    <x v="0"/>
    <x v="0"/>
    <x v="0"/>
  </r>
  <r>
    <n v="20603304510"/>
    <x v="41"/>
    <x v="34"/>
    <x v="2772"/>
    <x v="2782"/>
    <x v="2412"/>
    <n v="1"/>
    <x v="17"/>
    <s v="DOVELAS"/>
    <s v="CALLE 2 ASENT.H. ANCIETA ALTA 1RA ETAPA MZ. E LT. 15 LIMA"/>
    <x v="46"/>
    <x v="0"/>
    <x v="6"/>
    <x v="1"/>
    <x v="515"/>
    <x v="0"/>
    <n v="1"/>
    <n v="216"/>
    <x v="0"/>
    <x v="1"/>
    <n v="5.076142131979695E-3"/>
    <x v="29"/>
    <x v="3"/>
    <s v="OK"/>
    <x v="7"/>
    <s v="OK"/>
    <x v="0"/>
    <x v="0"/>
    <n v="1"/>
    <n v="1"/>
    <n v="0"/>
    <n v="0"/>
    <x v="0"/>
    <x v="0"/>
    <x v="0"/>
  </r>
  <r>
    <n v="20603304510"/>
    <x v="41"/>
    <x v="34"/>
    <x v="2773"/>
    <x v="2783"/>
    <x v="2413"/>
    <n v="1"/>
    <x v="17"/>
    <s v="E06"/>
    <s v="SANTO DOMINGO SN RESIDENCIAL CARIIBE ETAPA 1 MZA. B LOTE. 15 LIMA "/>
    <x v="3"/>
    <x v="1"/>
    <x v="6"/>
    <x v="3"/>
    <x v="141"/>
    <x v="0"/>
    <n v="1"/>
    <n v="300"/>
    <x v="0"/>
    <x v="1"/>
    <n v="5.076142131979695E-3"/>
    <x v="28"/>
    <x v="3"/>
    <s v="OK"/>
    <x v="0"/>
    <s v="OK"/>
    <x v="0"/>
    <x v="0"/>
    <n v="1"/>
    <n v="0"/>
    <n v="0"/>
    <n v="0"/>
    <x v="0"/>
    <x v="0"/>
    <x v="0"/>
  </r>
  <r>
    <n v="20603304510"/>
    <x v="41"/>
    <x v="34"/>
    <x v="2774"/>
    <x v="2784"/>
    <x v="1948"/>
    <n v="1"/>
    <x v="17"/>
    <s v="E05"/>
    <s v="MZ C LT 31 URB LAS VEGONIAS II ETAPA LIMA"/>
    <x v="3"/>
    <x v="0"/>
    <x v="6"/>
    <x v="3"/>
    <x v="1"/>
    <x v="0"/>
    <n v="1"/>
    <n v="312"/>
    <x v="0"/>
    <x v="1"/>
    <n v="5.076142131979695E-3"/>
    <x v="25"/>
    <x v="3"/>
    <s v="OK"/>
    <x v="0"/>
    <s v="OK"/>
    <x v="0"/>
    <x v="0"/>
    <n v="1"/>
    <n v="0"/>
    <n v="0"/>
    <n v="0"/>
    <x v="0"/>
    <x v="0"/>
    <x v="0"/>
  </r>
  <r>
    <n v="20603304510"/>
    <x v="41"/>
    <x v="34"/>
    <x v="2775"/>
    <x v="2785"/>
    <x v="2414"/>
    <n v="1"/>
    <x v="17"/>
    <s v="E06"/>
    <s v="PASAJE SANTO TORIBIO 111 LIMA"/>
    <x v="118"/>
    <x v="0"/>
    <x v="6"/>
    <x v="1"/>
    <x v="1"/>
    <x v="0"/>
    <n v="1"/>
    <n v="312"/>
    <x v="0"/>
    <x v="1"/>
    <n v="5.076142131979695E-3"/>
    <x v="29"/>
    <x v="3"/>
    <s v="OK"/>
    <x v="0"/>
    <s v="OK"/>
    <x v="0"/>
    <x v="0"/>
    <n v="1"/>
    <n v="0"/>
    <n v="0"/>
    <n v="0"/>
    <x v="0"/>
    <x v="0"/>
    <x v="0"/>
  </r>
  <r>
    <n v="20603304510"/>
    <x v="41"/>
    <x v="34"/>
    <x v="2776"/>
    <x v="2786"/>
    <x v="2415"/>
    <n v="1"/>
    <x v="17"/>
    <s v="DOVELAS"/>
    <s v="JIRON CARLOS BONDY 781 LIMA"/>
    <x v="118"/>
    <x v="0"/>
    <x v="6"/>
    <x v="1"/>
    <x v="763"/>
    <x v="0"/>
    <n v="1"/>
    <n v="312"/>
    <x v="0"/>
    <x v="1"/>
    <n v="5.076142131979695E-3"/>
    <x v="31"/>
    <x v="3"/>
    <s v="OK"/>
    <x v="0"/>
    <s v="OK"/>
    <x v="0"/>
    <x v="0"/>
    <n v="1"/>
    <n v="0"/>
    <n v="0"/>
    <n v="0"/>
    <x v="0"/>
    <x v="0"/>
    <x v="0"/>
  </r>
  <r>
    <n v="20603304510"/>
    <x v="41"/>
    <x v="34"/>
    <x v="2777"/>
    <x v="2787"/>
    <x v="2416"/>
    <n v="1"/>
    <x v="17"/>
    <s v="POZO PV3"/>
    <s v="LOS GLADIOLAS 125 MZ. N LT. 8 EL ERMITAÑO LIMA "/>
    <x v="44"/>
    <x v="0"/>
    <x v="6"/>
    <x v="1"/>
    <x v="5"/>
    <x v="0"/>
    <n v="1"/>
    <n v="300"/>
    <x v="0"/>
    <x v="1"/>
    <n v="5.076142131979695E-3"/>
    <x v="30"/>
    <x v="3"/>
    <s v="OK"/>
    <x v="0"/>
    <s v="OK"/>
    <x v="0"/>
    <x v="0"/>
    <n v="1"/>
    <n v="0"/>
    <n v="0"/>
    <n v="0"/>
    <x v="0"/>
    <x v="0"/>
    <x v="0"/>
  </r>
  <r>
    <n v="20603304510"/>
    <x v="41"/>
    <x v="34"/>
    <x v="2778"/>
    <x v="2788"/>
    <x v="2417"/>
    <n v="1"/>
    <x v="17"/>
    <s v="PATIO TALLER BOCANEGRA"/>
    <s v="CALLE PIEDRA BLANCA MZ A LOTE 09 POSOPE ALTO LAMBAYEQUE "/>
    <x v="74"/>
    <x v="0"/>
    <x v="6"/>
    <x v="1"/>
    <x v="5"/>
    <x v="0"/>
    <n v="1"/>
    <n v="312"/>
    <x v="0"/>
    <x v="1"/>
    <n v="5.076142131979695E-3"/>
    <x v="25"/>
    <x v="3"/>
    <s v="OK"/>
    <x v="0"/>
    <s v="OK"/>
    <x v="0"/>
    <x v="0"/>
    <n v="1"/>
    <n v="0"/>
    <n v="0"/>
    <n v="0"/>
    <x v="0"/>
    <x v="0"/>
    <x v="0"/>
  </r>
  <r>
    <n v="20603304510"/>
    <x v="41"/>
    <x v="34"/>
    <x v="2779"/>
    <x v="2789"/>
    <x v="2418"/>
    <n v="1"/>
    <x v="17"/>
    <s v="E04"/>
    <s v="JR. LIMA 116 CALLAO"/>
    <x v="17"/>
    <x v="0"/>
    <x v="6"/>
    <x v="1"/>
    <x v="141"/>
    <x v="0"/>
    <n v="1"/>
    <n v="312"/>
    <x v="0"/>
    <x v="1"/>
    <n v="5.076142131979695E-3"/>
    <x v="29"/>
    <x v="3"/>
    <s v="OK"/>
    <x v="2"/>
    <s v="OK"/>
    <x v="0"/>
    <x v="0"/>
    <n v="1"/>
    <n v="1"/>
    <n v="0"/>
    <n v="0"/>
    <x v="0"/>
    <x v="0"/>
    <x v="0"/>
  </r>
  <r>
    <n v="20603304510"/>
    <x v="41"/>
    <x v="34"/>
    <x v="2780"/>
    <x v="2790"/>
    <x v="2419"/>
    <n v="1"/>
    <x v="17"/>
    <s v="POZO PV 02"/>
    <s v="JR. MANUEL RAYGADA 1098 DPTO. 46 CALLAO "/>
    <x v="6"/>
    <x v="0"/>
    <x v="6"/>
    <x v="1"/>
    <x v="5"/>
    <x v="0"/>
    <n v="1"/>
    <n v="312"/>
    <x v="0"/>
    <x v="1"/>
    <n v="5.076142131979695E-3"/>
    <x v="25"/>
    <x v="3"/>
    <s v="OK"/>
    <x v="2"/>
    <s v="OK"/>
    <x v="0"/>
    <x v="0"/>
    <n v="1"/>
    <n v="1"/>
    <n v="0"/>
    <n v="0"/>
    <x v="0"/>
    <x v="0"/>
    <x v="0"/>
  </r>
  <r>
    <n v="20603304510"/>
    <x v="41"/>
    <x v="34"/>
    <x v="2781"/>
    <x v="2791"/>
    <x v="2420"/>
    <n v="1"/>
    <x v="17"/>
    <s v="POZO PV3"/>
    <s v="JIRON AGUA SANTA 265 URB TARAPACA CALLAO"/>
    <x v="6"/>
    <x v="0"/>
    <x v="6"/>
    <x v="1"/>
    <x v="764"/>
    <x v="0"/>
    <n v="1"/>
    <n v="312"/>
    <x v="0"/>
    <x v="1"/>
    <n v="5.076142131979695E-3"/>
    <x v="25"/>
    <x v="3"/>
    <s v="OK"/>
    <x v="2"/>
    <s v="OK"/>
    <x v="0"/>
    <x v="0"/>
    <n v="1"/>
    <n v="1"/>
    <n v="0"/>
    <n v="0"/>
    <x v="0"/>
    <x v="0"/>
    <x v="0"/>
  </r>
  <r>
    <n v="20603304510"/>
    <x v="41"/>
    <x v="34"/>
    <x v="2782"/>
    <x v="2792"/>
    <x v="2421"/>
    <n v="1"/>
    <x v="17"/>
    <s v="E01"/>
    <s v="JR. PEDRO SEGUNDO 157 INT. 4 CALLAO "/>
    <x v="17"/>
    <x v="0"/>
    <x v="6"/>
    <x v="1"/>
    <x v="141"/>
    <x v="0"/>
    <n v="1"/>
    <n v="300"/>
    <x v="0"/>
    <x v="1"/>
    <n v="5.076142131979695E-3"/>
    <x v="25"/>
    <x v="3"/>
    <s v="OK"/>
    <x v="2"/>
    <s v="OK"/>
    <x v="0"/>
    <x v="0"/>
    <n v="1"/>
    <n v="1"/>
    <n v="0"/>
    <n v="0"/>
    <x v="0"/>
    <x v="0"/>
    <x v="0"/>
  </r>
  <r>
    <n v="20603304510"/>
    <x v="41"/>
    <x v="34"/>
    <x v="2783"/>
    <x v="2793"/>
    <x v="2422"/>
    <n v="1"/>
    <x v="17"/>
    <s v="E04"/>
    <s v="JR MIRANAVES 230 NRO.10 CALLAO"/>
    <x v="6"/>
    <x v="0"/>
    <x v="6"/>
    <x v="1"/>
    <x v="141"/>
    <x v="0"/>
    <n v="1"/>
    <n v="264"/>
    <x v="0"/>
    <x v="1"/>
    <n v="5.076142131979695E-3"/>
    <x v="29"/>
    <x v="3"/>
    <s v="OK"/>
    <x v="2"/>
    <s v="OK"/>
    <x v="0"/>
    <x v="0"/>
    <n v="1"/>
    <n v="1"/>
    <n v="0"/>
    <n v="0"/>
    <x v="0"/>
    <x v="0"/>
    <x v="0"/>
  </r>
  <r>
    <n v="20603304510"/>
    <x v="41"/>
    <x v="34"/>
    <x v="2784"/>
    <x v="2794"/>
    <x v="2423"/>
    <n v="1"/>
    <x v="17"/>
    <s v="E06"/>
    <s v="MZ K4 LT 14 CIUDAD DEL PESCADOR CALLAO"/>
    <x v="17"/>
    <x v="0"/>
    <x v="6"/>
    <x v="1"/>
    <x v="185"/>
    <x v="0"/>
    <n v="1"/>
    <n v="216"/>
    <x v="0"/>
    <x v="1"/>
    <n v="5.076142131979695E-3"/>
    <x v="29"/>
    <x v="3"/>
    <s v="OK"/>
    <x v="2"/>
    <s v="OK"/>
    <x v="0"/>
    <x v="0"/>
    <n v="1"/>
    <n v="1"/>
    <n v="0"/>
    <n v="0"/>
    <x v="0"/>
    <x v="0"/>
    <x v="0"/>
  </r>
  <r>
    <n v="20603304510"/>
    <x v="41"/>
    <x v="34"/>
    <x v="2785"/>
    <x v="2795"/>
    <x v="2424"/>
    <n v="1"/>
    <x v="17"/>
    <s v="E02"/>
    <s v="OLAYA 292 CALLAO "/>
    <x v="17"/>
    <x v="0"/>
    <x v="6"/>
    <x v="1"/>
    <x v="5"/>
    <x v="0"/>
    <n v="1"/>
    <n v="288"/>
    <x v="0"/>
    <x v="1"/>
    <n v="5.076142131979695E-3"/>
    <x v="30"/>
    <x v="3"/>
    <s v="OK"/>
    <x v="2"/>
    <s v="OK"/>
    <x v="0"/>
    <x v="0"/>
    <n v="1"/>
    <n v="1"/>
    <n v="0"/>
    <n v="0"/>
    <x v="0"/>
    <x v="0"/>
    <x v="0"/>
  </r>
  <r>
    <n v="20603304510"/>
    <x v="41"/>
    <x v="34"/>
    <x v="2786"/>
    <x v="2796"/>
    <x v="2198"/>
    <n v="1"/>
    <x v="17"/>
    <s v="E03"/>
    <s v="JIRON ANCASH BLACK 3F2 UNIDAD MODELO CALLAO"/>
    <x v="17"/>
    <x v="0"/>
    <x v="6"/>
    <x v="1"/>
    <x v="765"/>
    <x v="0"/>
    <n v="1"/>
    <n v="312"/>
    <x v="0"/>
    <x v="1"/>
    <n v="5.076142131979695E-3"/>
    <x v="29"/>
    <x v="3"/>
    <s v="OK"/>
    <x v="2"/>
    <s v="OK"/>
    <x v="0"/>
    <x v="0"/>
    <n v="1"/>
    <n v="1"/>
    <n v="0"/>
    <n v="0"/>
    <x v="0"/>
    <x v="0"/>
    <x v="0"/>
  </r>
  <r>
    <n v="20603304510"/>
    <x v="41"/>
    <x v="34"/>
    <x v="2787"/>
    <x v="2797"/>
    <x v="2425"/>
    <n v="1"/>
    <x v="17"/>
    <s v="POZO PV 01"/>
    <s v="JR.PABLO CHAVEZ AGUILAR 119 URB.CONDEVILLA LIMA "/>
    <x v="3"/>
    <x v="0"/>
    <x v="6"/>
    <x v="1"/>
    <x v="141"/>
    <x v="0"/>
    <n v="1"/>
    <n v="288"/>
    <x v="0"/>
    <x v="1"/>
    <n v="5.076142131979695E-3"/>
    <x v="31"/>
    <x v="3"/>
    <s v="OK"/>
    <x v="0"/>
    <s v="OK"/>
    <x v="0"/>
    <x v="0"/>
    <n v="1"/>
    <n v="0"/>
    <n v="0"/>
    <n v="0"/>
    <x v="0"/>
    <x v="0"/>
    <x v="0"/>
  </r>
  <r>
    <n v="20603304510"/>
    <x v="41"/>
    <x v="34"/>
    <x v="2788"/>
    <x v="2798"/>
    <x v="2426"/>
    <n v="1"/>
    <x v="17"/>
    <s v="E01"/>
    <s v="MZ N2 LT 23 CIUDAD DEL PESCADOR CALLAO"/>
    <x v="17"/>
    <x v="0"/>
    <x v="6"/>
    <x v="1"/>
    <x v="114"/>
    <x v="0"/>
    <n v="1"/>
    <n v="324"/>
    <x v="0"/>
    <x v="1"/>
    <n v="5.076142131979695E-3"/>
    <x v="28"/>
    <x v="3"/>
    <s v="OK"/>
    <x v="2"/>
    <s v="OK"/>
    <x v="0"/>
    <x v="0"/>
    <n v="1"/>
    <n v="1"/>
    <n v="0"/>
    <n v="0"/>
    <x v="0"/>
    <x v="0"/>
    <x v="0"/>
  </r>
  <r>
    <n v="20603304510"/>
    <x v="41"/>
    <x v="34"/>
    <x v="2789"/>
    <x v="2799"/>
    <x v="2427"/>
    <n v="1"/>
    <x v="17"/>
    <s v="E03"/>
    <s v="MZ G3 LT 8 GAMBETTA BAJA  COMITE 33 CALLAO"/>
    <x v="6"/>
    <x v="0"/>
    <x v="6"/>
    <x v="1"/>
    <x v="1"/>
    <x v="0"/>
    <n v="1"/>
    <n v="300"/>
    <x v="0"/>
    <x v="1"/>
    <n v="5.076142131979695E-3"/>
    <x v="27"/>
    <x v="3"/>
    <s v="OK"/>
    <x v="2"/>
    <s v="OK"/>
    <x v="0"/>
    <x v="0"/>
    <n v="1"/>
    <n v="1"/>
    <n v="0"/>
    <n v="0"/>
    <x v="0"/>
    <x v="0"/>
    <x v="0"/>
  </r>
  <r>
    <n v="20603304510"/>
    <x v="41"/>
    <x v="34"/>
    <x v="2790"/>
    <x v="2800"/>
    <x v="2428"/>
    <n v="1"/>
    <x v="17"/>
    <s v="E06"/>
    <s v="RES. PROVIV LOS PORTALES DE CARABAYLLO ETAPA III MZ D LT 18A LIMA"/>
    <x v="54"/>
    <x v="0"/>
    <x v="6"/>
    <x v="1"/>
    <x v="431"/>
    <x v="0"/>
    <n v="1"/>
    <n v="312"/>
    <x v="0"/>
    <x v="1"/>
    <n v="5.076142131979695E-3"/>
    <x v="28"/>
    <x v="3"/>
    <s v="OK"/>
    <x v="0"/>
    <s v="OK"/>
    <x v="0"/>
    <x v="0"/>
    <n v="1"/>
    <n v="0"/>
    <n v="0"/>
    <n v="0"/>
    <x v="0"/>
    <x v="0"/>
    <x v="0"/>
  </r>
  <r>
    <n v="20603304510"/>
    <x v="41"/>
    <x v="34"/>
    <x v="2791"/>
    <x v="2801"/>
    <x v="1796"/>
    <n v="1"/>
    <x v="17"/>
    <s v="POZO PV 01"/>
    <s v="AV. LOS ALAMOS ASENT.H. JOSE BOTTERIN MZ. G LT. 43 CALLAO "/>
    <x v="6"/>
    <x v="0"/>
    <x v="6"/>
    <x v="1"/>
    <x v="5"/>
    <x v="0"/>
    <n v="1"/>
    <n v="312"/>
    <x v="0"/>
    <x v="1"/>
    <n v="5.076142131979695E-3"/>
    <x v="26"/>
    <x v="3"/>
    <s v="OK"/>
    <x v="2"/>
    <s v="OK"/>
    <x v="0"/>
    <x v="0"/>
    <n v="1"/>
    <n v="1"/>
    <n v="0"/>
    <n v="0"/>
    <x v="0"/>
    <x v="0"/>
    <x v="0"/>
  </r>
  <r>
    <n v="20603304510"/>
    <x v="41"/>
    <x v="34"/>
    <x v="2792"/>
    <x v="2802"/>
    <x v="2364"/>
    <n v="1"/>
    <x v="17"/>
    <s v="E01"/>
    <s v="MZ.F LT.5 V URB.ANTONIA MORENO DE CACERES"/>
    <x v="2"/>
    <x v="0"/>
    <x v="6"/>
    <x v="1"/>
    <x v="5"/>
    <x v="0"/>
    <n v="1"/>
    <n v="312"/>
    <x v="0"/>
    <x v="1"/>
    <n v="5.076142131979695E-3"/>
    <x v="26"/>
    <x v="3"/>
    <s v="OK"/>
    <x v="2"/>
    <s v="OK"/>
    <x v="0"/>
    <x v="0"/>
    <n v="1"/>
    <n v="1"/>
    <n v="0"/>
    <n v="0"/>
    <x v="0"/>
    <x v="0"/>
    <x v="0"/>
  </r>
  <r>
    <n v="20603304510"/>
    <x v="41"/>
    <x v="34"/>
    <x v="2793"/>
    <x v="2803"/>
    <x v="2350"/>
    <n v="1"/>
    <x v="17"/>
    <s v="POZO PV3"/>
    <s v="PASAJE PEDRO LAVARTE 222 LIMA"/>
    <x v="49"/>
    <x v="0"/>
    <x v="6"/>
    <x v="1"/>
    <x v="1"/>
    <x v="0"/>
    <n v="1"/>
    <n v="288"/>
    <x v="0"/>
    <x v="1"/>
    <n v="5.076142131979695E-3"/>
    <x v="27"/>
    <x v="3"/>
    <s v="OK"/>
    <x v="0"/>
    <s v="OK"/>
    <x v="0"/>
    <x v="0"/>
    <n v="1"/>
    <n v="0"/>
    <n v="0"/>
    <n v="0"/>
    <x v="0"/>
    <x v="0"/>
    <x v="0"/>
  </r>
  <r>
    <n v="20603304510"/>
    <x v="41"/>
    <x v="34"/>
    <x v="2794"/>
    <x v="2804"/>
    <x v="2429"/>
    <n v="1"/>
    <x v="17"/>
    <s v="E01"/>
    <s v="MZ T4 LT 66 P.J LADERAS DE CHILLON II EXPLANADA AMPLIACION LIMA "/>
    <x v="4"/>
    <x v="0"/>
    <x v="6"/>
    <x v="1"/>
    <x v="5"/>
    <x v="0"/>
    <n v="1"/>
    <n v="300"/>
    <x v="0"/>
    <x v="1"/>
    <n v="5.076142131979695E-3"/>
    <x v="26"/>
    <x v="3"/>
    <s v="OK"/>
    <x v="0"/>
    <s v="OK"/>
    <x v="0"/>
    <x v="0"/>
    <n v="1"/>
    <n v="0"/>
    <n v="0"/>
    <n v="0"/>
    <x v="0"/>
    <x v="0"/>
    <x v="0"/>
  </r>
  <r>
    <n v="20603304510"/>
    <x v="41"/>
    <x v="34"/>
    <x v="2795"/>
    <x v="2805"/>
    <x v="2430"/>
    <n v="1"/>
    <x v="17"/>
    <s v="E01"/>
    <s v="ASENTAMIENTO HUMANO FRANCISCO BOLOGNESI MZ L LT 20 CALLAO"/>
    <x v="6"/>
    <x v="0"/>
    <x v="6"/>
    <x v="1"/>
    <x v="89"/>
    <x v="0"/>
    <n v="1"/>
    <n v="288"/>
    <x v="0"/>
    <x v="1"/>
    <n v="5.076142131979695E-3"/>
    <x v="26"/>
    <x v="3"/>
    <s v="OK"/>
    <x v="2"/>
    <s v="OK"/>
    <x v="0"/>
    <x v="0"/>
    <n v="1"/>
    <n v="1"/>
    <n v="0"/>
    <n v="0"/>
    <x v="0"/>
    <x v="0"/>
    <x v="0"/>
  </r>
  <r>
    <n v="20603304510"/>
    <x v="41"/>
    <x v="34"/>
    <x v="2796"/>
    <x v="2806"/>
    <x v="2431"/>
    <n v="1"/>
    <x v="17"/>
    <s v="POZO PV3"/>
    <s v="MZ.54 LT.28 CERRO JARDINES LIMA "/>
    <x v="44"/>
    <x v="0"/>
    <x v="6"/>
    <x v="1"/>
    <x v="441"/>
    <x v="0"/>
    <n v="1"/>
    <n v="312"/>
    <x v="0"/>
    <x v="1"/>
    <n v="5.076142131979695E-3"/>
    <x v="24"/>
    <x v="3"/>
    <s v="OK"/>
    <x v="0"/>
    <s v="OK"/>
    <x v="0"/>
    <x v="0"/>
    <n v="1"/>
    <n v="0"/>
    <n v="0"/>
    <n v="0"/>
    <x v="0"/>
    <x v="0"/>
    <x v="0"/>
  </r>
  <r>
    <n v="20603304510"/>
    <x v="41"/>
    <x v="34"/>
    <x v="2797"/>
    <x v="2807"/>
    <x v="1936"/>
    <n v="1"/>
    <x v="17"/>
    <s v="E04"/>
    <s v="ASENT.H. ANGAMOS SECTOR II MZ. J14 LT. 23 CALLAO "/>
    <x v="2"/>
    <x v="0"/>
    <x v="6"/>
    <x v="1"/>
    <x v="141"/>
    <x v="0"/>
    <n v="1"/>
    <n v="300"/>
    <x v="0"/>
    <x v="1"/>
    <n v="5.076142131979695E-3"/>
    <x v="24"/>
    <x v="3"/>
    <s v="OK"/>
    <x v="2"/>
    <s v="OK"/>
    <x v="0"/>
    <x v="0"/>
    <n v="1"/>
    <n v="1"/>
    <n v="0"/>
    <n v="0"/>
    <x v="0"/>
    <x v="0"/>
    <x v="0"/>
  </r>
  <r>
    <n v="20603304510"/>
    <x v="41"/>
    <x v="34"/>
    <x v="2798"/>
    <x v="2808"/>
    <x v="2432"/>
    <n v="1"/>
    <x v="17"/>
    <s v="E01"/>
    <s v="CALLE 2 ASENT.H. ANCIETA ALTA 1RA ETAPA MZ. E LT. 15 LIMA "/>
    <x v="46"/>
    <x v="0"/>
    <x v="6"/>
    <x v="1"/>
    <x v="5"/>
    <x v="0"/>
    <n v="1"/>
    <n v="300"/>
    <x v="0"/>
    <x v="1"/>
    <n v="5.076142131979695E-3"/>
    <x v="23"/>
    <x v="3"/>
    <s v="OK"/>
    <x v="7"/>
    <s v="OK"/>
    <x v="0"/>
    <x v="0"/>
    <n v="1"/>
    <n v="1"/>
    <n v="0"/>
    <n v="0"/>
    <x v="0"/>
    <x v="0"/>
    <x v="0"/>
  </r>
  <r>
    <n v="20603304510"/>
    <x v="41"/>
    <x v="34"/>
    <x v="2799"/>
    <x v="2809"/>
    <x v="2331"/>
    <n v="1"/>
    <x v="17"/>
    <s v="PATIO TALLER BOCANEGRA"/>
    <s v="AV. EL EMISOR MZ.S LT.11 ASENT.H. SARITA COLONIA CALLAO "/>
    <x v="6"/>
    <x v="0"/>
    <x v="6"/>
    <x v="1"/>
    <x v="395"/>
    <x v="0"/>
    <n v="1"/>
    <n v="288"/>
    <x v="0"/>
    <x v="1"/>
    <n v="5.076142131979695E-3"/>
    <x v="26"/>
    <x v="3"/>
    <s v="OK"/>
    <x v="2"/>
    <s v="OK"/>
    <x v="0"/>
    <x v="0"/>
    <n v="1"/>
    <n v="1"/>
    <n v="0"/>
    <n v="0"/>
    <x v="0"/>
    <x v="0"/>
    <x v="0"/>
  </r>
  <r>
    <n v="20603304510"/>
    <x v="41"/>
    <x v="34"/>
    <x v="2800"/>
    <x v="2810"/>
    <x v="2433"/>
    <n v="1"/>
    <x v="17"/>
    <s v="E02"/>
    <s v="PUEBLO J. EXFUNDO MARQUEZ MZ. 37 LT. 5 CALLAO "/>
    <x v="6"/>
    <x v="0"/>
    <x v="6"/>
    <x v="1"/>
    <x v="5"/>
    <x v="0"/>
    <n v="1"/>
    <n v="288"/>
    <x v="0"/>
    <x v="1"/>
    <n v="5.076142131979695E-3"/>
    <x v="26"/>
    <x v="3"/>
    <s v="OK"/>
    <x v="2"/>
    <s v="OK"/>
    <x v="0"/>
    <x v="0"/>
    <n v="1"/>
    <n v="1"/>
    <n v="0"/>
    <n v="0"/>
    <x v="0"/>
    <x v="0"/>
    <x v="0"/>
  </r>
  <r>
    <n v="20603304510"/>
    <x v="41"/>
    <x v="34"/>
    <x v="2801"/>
    <x v="2811"/>
    <x v="2307"/>
    <n v="1"/>
    <x v="17"/>
    <s v="E01"/>
    <s v="MZ V4 LT 1 PACHACUTEC SEC D GR D1 CALLAO "/>
    <x v="2"/>
    <x v="0"/>
    <x v="6"/>
    <x v="1"/>
    <x v="5"/>
    <x v="0"/>
    <n v="1"/>
    <n v="312"/>
    <x v="0"/>
    <x v="1"/>
    <n v="5.076142131979695E-3"/>
    <x v="23"/>
    <x v="3"/>
    <s v="OK"/>
    <x v="2"/>
    <s v="OK"/>
    <x v="0"/>
    <x v="0"/>
    <n v="1"/>
    <n v="1"/>
    <n v="0"/>
    <n v="0"/>
    <x v="0"/>
    <x v="0"/>
    <x v="0"/>
  </r>
  <r>
    <n v="20603304510"/>
    <x v="41"/>
    <x v="34"/>
    <x v="2802"/>
    <x v="2812"/>
    <x v="2434"/>
    <n v="1"/>
    <x v="17"/>
    <s v="E05"/>
    <s v="CH DEAN VALDIVIA ENACE MZ P4 LT 6 AREQUIPA "/>
    <x v="350"/>
    <x v="1"/>
    <x v="6"/>
    <x v="1"/>
    <x v="141"/>
    <x v="0"/>
    <n v="1"/>
    <n v="312"/>
    <x v="0"/>
    <x v="1"/>
    <n v="5.076142131979695E-3"/>
    <x v="24"/>
    <x v="3"/>
    <s v="OK"/>
    <x v="0"/>
    <s v="OK"/>
    <x v="0"/>
    <x v="0"/>
    <n v="1"/>
    <n v="0"/>
    <n v="0"/>
    <n v="0"/>
    <x v="0"/>
    <x v="0"/>
    <x v="0"/>
  </r>
  <r>
    <n v="20603304510"/>
    <x v="41"/>
    <x v="34"/>
    <x v="2803"/>
    <x v="2813"/>
    <x v="2435"/>
    <n v="1"/>
    <x v="17"/>
    <s v="PATIO TALLER BOCANEGRA"/>
    <s v="MZ. A LT. 08 ASENT. H. VICTOR RAUL HAYA DE LA TORRE CALLAO "/>
    <x v="2"/>
    <x v="0"/>
    <x v="6"/>
    <x v="1"/>
    <x v="5"/>
    <x v="0"/>
    <n v="1"/>
    <n v="240"/>
    <x v="0"/>
    <x v="1"/>
    <n v="5.076142131979695E-3"/>
    <x v="31"/>
    <x v="3"/>
    <s v="OK"/>
    <x v="2"/>
    <s v="OK"/>
    <x v="0"/>
    <x v="0"/>
    <n v="1"/>
    <n v="1"/>
    <n v="0"/>
    <n v="0"/>
    <x v="0"/>
    <x v="0"/>
    <x v="0"/>
  </r>
  <r>
    <n v="20603304510"/>
    <x v="41"/>
    <x v="34"/>
    <x v="2804"/>
    <x v="2814"/>
    <x v="2436"/>
    <n v="1"/>
    <x v="17"/>
    <s v="E06"/>
    <s v="MZ.F LT.16 URB.SERENSA LIMA "/>
    <x v="46"/>
    <x v="0"/>
    <x v="6"/>
    <x v="1"/>
    <x v="5"/>
    <x v="0"/>
    <n v="1"/>
    <n v="300"/>
    <x v="0"/>
    <x v="1"/>
    <n v="5.076142131979695E-3"/>
    <x v="30"/>
    <x v="3"/>
    <s v="OK"/>
    <x v="7"/>
    <s v="OK"/>
    <x v="0"/>
    <x v="0"/>
    <n v="1"/>
    <n v="1"/>
    <n v="0"/>
    <n v="0"/>
    <x v="0"/>
    <x v="0"/>
    <x v="0"/>
  </r>
  <r>
    <n v="20603304510"/>
    <x v="41"/>
    <x v="34"/>
    <x v="2805"/>
    <x v="2815"/>
    <x v="2437"/>
    <n v="1"/>
    <x v="17"/>
    <s v="DOVELAS"/>
    <s v="M C  L4 A.H. VIRGEN DE GUADALUPE PACHACUTEC CALLAO "/>
    <x v="2"/>
    <x v="0"/>
    <x v="6"/>
    <x v="1"/>
    <x v="141"/>
    <x v="0"/>
    <n v="1"/>
    <n v="312"/>
    <x v="0"/>
    <x v="1"/>
    <n v="5.076142131979695E-3"/>
    <x v="27"/>
    <x v="3"/>
    <s v="OK"/>
    <x v="2"/>
    <s v="OK"/>
    <x v="0"/>
    <x v="0"/>
    <n v="1"/>
    <n v="1"/>
    <n v="0"/>
    <n v="0"/>
    <x v="0"/>
    <x v="0"/>
    <x v="0"/>
  </r>
  <r>
    <n v="20603304510"/>
    <x v="41"/>
    <x v="34"/>
    <x v="2806"/>
    <x v="2816"/>
    <x v="2336"/>
    <n v="1"/>
    <x v="17"/>
    <s v="E05"/>
    <s v="JR. PUNO 1841 INT. 11 LIMA"/>
    <x v="10"/>
    <x v="0"/>
    <x v="6"/>
    <x v="1"/>
    <x v="766"/>
    <x v="0"/>
    <n v="1"/>
    <n v="288"/>
    <x v="0"/>
    <x v="1"/>
    <n v="5.076142131979695E-3"/>
    <x v="27"/>
    <x v="3"/>
    <s v="OK"/>
    <x v="0"/>
    <s v="OK"/>
    <x v="0"/>
    <x v="0"/>
    <n v="1"/>
    <n v="0"/>
    <n v="0"/>
    <n v="0"/>
    <x v="0"/>
    <x v="0"/>
    <x v="0"/>
  </r>
  <r>
    <n v="20603304510"/>
    <x v="41"/>
    <x v="34"/>
    <x v="2807"/>
    <x v="2817"/>
    <x v="2438"/>
    <n v="1"/>
    <x v="17"/>
    <s v="E01"/>
    <s v="CALLE HUASCAR 1090 CALLAO"/>
    <x v="89"/>
    <x v="0"/>
    <x v="34"/>
    <x v="1"/>
    <x v="128"/>
    <x v="2"/>
    <n v="1"/>
    <n v="168"/>
    <x v="0"/>
    <x v="1"/>
    <n v="5.076142131979695E-3"/>
    <x v="27"/>
    <x v="3"/>
    <s v="OK"/>
    <x v="2"/>
    <s v="OK"/>
    <x v="0"/>
    <x v="0"/>
    <n v="1"/>
    <n v="1"/>
    <n v="0"/>
    <n v="1"/>
    <x v="0"/>
    <x v="1"/>
    <x v="0"/>
  </r>
  <r>
    <n v="20603304510"/>
    <x v="41"/>
    <x v="34"/>
    <x v="2525"/>
    <x v="2818"/>
    <x v="2204"/>
    <n v="1"/>
    <x v="17"/>
    <s v="E06"/>
    <s v="JIRON ESPAÑA 647 CALLAO"/>
    <x v="89"/>
    <x v="0"/>
    <x v="6"/>
    <x v="1"/>
    <x v="126"/>
    <x v="0"/>
    <n v="1"/>
    <n v="300"/>
    <x v="0"/>
    <x v="1"/>
    <n v="5.076142131979695E-3"/>
    <x v="27"/>
    <x v="3"/>
    <s v="OK"/>
    <x v="2"/>
    <s v="OK"/>
    <x v="0"/>
    <x v="0"/>
    <n v="1"/>
    <n v="1"/>
    <n v="0"/>
    <n v="0"/>
    <x v="0"/>
    <x v="0"/>
    <x v="0"/>
  </r>
  <r>
    <n v="20603304510"/>
    <x v="41"/>
    <x v="34"/>
    <x v="2808"/>
    <x v="2819"/>
    <x v="2439"/>
    <n v="1"/>
    <x v="17"/>
    <s v="E05"/>
    <s v="PROLONGACIÓN JOSE GALVEZ MZ B LT 4 CALLAO"/>
    <x v="6"/>
    <x v="0"/>
    <x v="6"/>
    <x v="1"/>
    <x v="126"/>
    <x v="0"/>
    <n v="1"/>
    <n v="276"/>
    <x v="0"/>
    <x v="1"/>
    <n v="5.076142131979695E-3"/>
    <x v="28"/>
    <x v="3"/>
    <s v="OK"/>
    <x v="2"/>
    <s v="OK"/>
    <x v="0"/>
    <x v="0"/>
    <n v="1"/>
    <n v="1"/>
    <n v="0"/>
    <n v="0"/>
    <x v="0"/>
    <x v="0"/>
    <x v="0"/>
  </r>
  <r>
    <n v="20603304510"/>
    <x v="41"/>
    <x v="34"/>
    <x v="2809"/>
    <x v="2820"/>
    <x v="2440"/>
    <n v="1"/>
    <x v="17"/>
    <s v="POZO PV 01"/>
    <s v="JIRON CUZCO 3289 LIMA"/>
    <x v="3"/>
    <x v="0"/>
    <x v="6"/>
    <x v="1"/>
    <x v="126"/>
    <x v="0"/>
    <n v="1"/>
    <n v="300"/>
    <x v="0"/>
    <x v="1"/>
    <n v="5.076142131979695E-3"/>
    <x v="23"/>
    <x v="3"/>
    <s v="OK"/>
    <x v="0"/>
    <s v="OK"/>
    <x v="0"/>
    <x v="0"/>
    <n v="1"/>
    <n v="0"/>
    <n v="0"/>
    <n v="0"/>
    <x v="0"/>
    <x v="0"/>
    <x v="0"/>
  </r>
  <r>
    <n v="20603304510"/>
    <x v="41"/>
    <x v="34"/>
    <x v="2810"/>
    <x v="2821"/>
    <x v="2441"/>
    <n v="1"/>
    <x v="17"/>
    <s v="E03"/>
    <s v="SANTA MARINA SUR BLOCK 6  206"/>
    <x v="6"/>
    <x v="0"/>
    <x v="6"/>
    <x v="1"/>
    <x v="145"/>
    <x v="0"/>
    <n v="1"/>
    <n v="312"/>
    <x v="0"/>
    <x v="1"/>
    <n v="5.076142131979695E-3"/>
    <x v="27"/>
    <x v="3"/>
    <s v="OK"/>
    <x v="2"/>
    <s v="OK"/>
    <x v="0"/>
    <x v="0"/>
    <n v="1"/>
    <n v="1"/>
    <n v="0"/>
    <n v="0"/>
    <x v="0"/>
    <x v="0"/>
    <x v="0"/>
  </r>
  <r>
    <n v="20603304510"/>
    <x v="41"/>
    <x v="34"/>
    <x v="2811"/>
    <x v="2822"/>
    <x v="2442"/>
    <n v="1"/>
    <x v="17"/>
    <s v="POZO PV 02"/>
    <s v="MZ N1 LT 31 III SECTOR ANGAMOS"/>
    <x v="2"/>
    <x v="0"/>
    <x v="6"/>
    <x v="1"/>
    <x v="145"/>
    <x v="0"/>
    <n v="1"/>
    <n v="312"/>
    <x v="0"/>
    <x v="1"/>
    <n v="5.076142131979695E-3"/>
    <x v="27"/>
    <x v="3"/>
    <s v="OK"/>
    <x v="2"/>
    <s v="OK"/>
    <x v="0"/>
    <x v="0"/>
    <n v="1"/>
    <n v="1"/>
    <n v="0"/>
    <n v="0"/>
    <x v="0"/>
    <x v="0"/>
    <x v="0"/>
  </r>
  <r>
    <n v="20603304510"/>
    <x v="41"/>
    <x v="34"/>
    <x v="2812"/>
    <x v="2823"/>
    <x v="2443"/>
    <n v="1"/>
    <x v="17"/>
    <s v="E03"/>
    <s v="FULGENCIO VALDEZ 495"/>
    <x v="5"/>
    <x v="0"/>
    <x v="6"/>
    <x v="1"/>
    <x v="7"/>
    <x v="0"/>
    <n v="1"/>
    <n v="312"/>
    <x v="0"/>
    <x v="1"/>
    <n v="5.076142131979695E-3"/>
    <x v="25"/>
    <x v="3"/>
    <s v="OK"/>
    <x v="3"/>
    <s v="OK"/>
    <x v="0"/>
    <x v="0"/>
    <n v="1"/>
    <n v="1"/>
    <n v="0"/>
    <n v="0"/>
    <x v="0"/>
    <x v="0"/>
    <x v="0"/>
  </r>
  <r>
    <n v="20603304510"/>
    <x v="41"/>
    <x v="34"/>
    <x v="2297"/>
    <x v="2304"/>
    <x v="1995"/>
    <n v="1"/>
    <x v="17"/>
    <s v="PREDIO 2 PTBN"/>
    <s v="CA 2 APV SANTA LUCIA DE OQUENDO ETAPA I MZ D LT 03 CALLAO"/>
    <x v="6"/>
    <x v="0"/>
    <x v="6"/>
    <x v="1"/>
    <x v="100"/>
    <x v="0"/>
    <n v="1"/>
    <n v="276"/>
    <x v="0"/>
    <x v="1"/>
    <n v="5.076142131979695E-3"/>
    <x v="31"/>
    <x v="3"/>
    <s v="OK"/>
    <x v="2"/>
    <s v="OK"/>
    <x v="0"/>
    <x v="1"/>
    <n v="0.5"/>
    <n v="0.5"/>
    <n v="1"/>
    <n v="0"/>
    <x v="0"/>
    <x v="0"/>
    <x v="1"/>
  </r>
  <r>
    <n v="20603304510"/>
    <x v="41"/>
    <x v="34"/>
    <x v="2813"/>
    <x v="2824"/>
    <x v="2444"/>
    <n v="1"/>
    <x v="17"/>
    <s v="DESC E05"/>
    <s v="CAL ARGUEDAS JOSE MARIA MZ I3 LT 14 I-3 14"/>
    <x v="10"/>
    <x v="0"/>
    <x v="6"/>
    <x v="1"/>
    <x v="115"/>
    <x v="0"/>
    <n v="1"/>
    <n v="204"/>
    <x v="0"/>
    <x v="1"/>
    <n v="5.076142131979695E-3"/>
    <x v="25"/>
    <x v="3"/>
    <s v="OK"/>
    <x v="0"/>
    <s v="OK"/>
    <x v="0"/>
    <x v="0"/>
    <n v="1"/>
    <n v="0"/>
    <n v="1"/>
    <n v="0"/>
    <x v="0"/>
    <x v="0"/>
    <x v="1"/>
  </r>
  <r>
    <n v="20603304510"/>
    <x v="41"/>
    <x v="34"/>
    <x v="2814"/>
    <x v="2825"/>
    <x v="2445"/>
    <n v="1"/>
    <x v="17"/>
    <s v="E03"/>
    <s v="JR. FRANCISCO BOLOGNESI 454 - URB PLAYA RIMAC"/>
    <x v="6"/>
    <x v="0"/>
    <x v="6"/>
    <x v="1"/>
    <x v="481"/>
    <x v="0"/>
    <n v="1"/>
    <n v="168"/>
    <x v="0"/>
    <x v="1"/>
    <n v="5.076142131979695E-3"/>
    <x v="26"/>
    <x v="3"/>
    <s v="OK"/>
    <x v="2"/>
    <s v="OK"/>
    <x v="0"/>
    <x v="0"/>
    <n v="1"/>
    <n v="1"/>
    <n v="1"/>
    <n v="0"/>
    <x v="0"/>
    <x v="0"/>
    <x v="1"/>
  </r>
  <r>
    <n v="20603304510"/>
    <x v="41"/>
    <x v="34"/>
    <x v="2815"/>
    <x v="2826"/>
    <x v="2446"/>
    <n v="1"/>
    <x v="17"/>
    <s v="PATIO TALLER BOCANEGRA"/>
    <s v="H.H.INTEGRACION MANOS UNIDAS SCT CORAZON DE JESUS II MZ. H LT. 2 LIMA"/>
    <x v="15"/>
    <x v="0"/>
    <x v="6"/>
    <x v="1"/>
    <x v="5"/>
    <x v="0"/>
    <n v="1"/>
    <n v="312"/>
    <x v="0"/>
    <x v="1"/>
    <n v="5.076142131979695E-3"/>
    <x v="27"/>
    <x v="3"/>
    <s v="OK"/>
    <x v="0"/>
    <s v="OK"/>
    <x v="0"/>
    <x v="0"/>
    <n v="1"/>
    <n v="0"/>
    <n v="0"/>
    <n v="0"/>
    <x v="0"/>
    <x v="0"/>
    <x v="0"/>
  </r>
  <r>
    <n v="20601917590"/>
    <x v="0"/>
    <x v="0"/>
    <x v="2816"/>
    <x v="2827"/>
    <x v="2447"/>
    <n v="1"/>
    <x v="51"/>
    <s v="E1"/>
    <s v="Jr. Tahuantisuyo N°248 Coop. Andahuaylas Santa Anita "/>
    <x v="27"/>
    <x v="0"/>
    <x v="32"/>
    <x v="0"/>
    <x v="36"/>
    <x v="0"/>
    <n v="1"/>
    <n v="48"/>
    <x v="0"/>
    <x v="0"/>
    <n v="1.6666666666666666E-2"/>
    <x v="32"/>
    <x v="4"/>
    <s v="OK"/>
    <x v="5"/>
    <s v="OK"/>
    <x v="0"/>
    <x v="0"/>
    <n v="1"/>
    <n v="1"/>
    <n v="0"/>
    <n v="1"/>
    <x v="0"/>
    <x v="1"/>
    <x v="0"/>
  </r>
  <r>
    <n v="20601917590"/>
    <x v="0"/>
    <x v="0"/>
    <x v="2817"/>
    <x v="2828"/>
    <x v="2448"/>
    <n v="1"/>
    <x v="20"/>
    <s v="E2"/>
    <s v="Av. Encalada 565 Mz.GE Lt. 9 Coop. los Chancas - Santa Anita"/>
    <x v="27"/>
    <x v="0"/>
    <x v="0"/>
    <x v="0"/>
    <x v="2"/>
    <x v="0"/>
    <n v="1"/>
    <n v="184"/>
    <x v="0"/>
    <x v="0"/>
    <n v="1.6666666666666666E-2"/>
    <x v="33"/>
    <x v="4"/>
    <s v="OK"/>
    <x v="5"/>
    <s v="OK"/>
    <x v="0"/>
    <x v="0"/>
    <n v="1"/>
    <n v="1"/>
    <n v="0"/>
    <n v="0"/>
    <x v="0"/>
    <x v="0"/>
    <x v="0"/>
  </r>
  <r>
    <n v="20600111354"/>
    <x v="1"/>
    <x v="1"/>
    <x v="2818"/>
    <x v="2829"/>
    <x v="2449"/>
    <n v="2"/>
    <x v="4"/>
    <s v="PLANTA DOVELAS"/>
    <s v="CALLE FRANCISCO BOLOGNESI MZ. B LT. 21 URB. SANTA CRUZ"/>
    <x v="6"/>
    <x v="0"/>
    <x v="0"/>
    <x v="1"/>
    <x v="767"/>
    <x v="0"/>
    <n v="4"/>
    <n v="244"/>
    <x v="0"/>
    <x v="1"/>
    <n v="7.462686567164179E-3"/>
    <x v="34"/>
    <x v="4"/>
    <s v="OK"/>
    <x v="2"/>
    <s v="OK"/>
    <x v="0"/>
    <x v="0"/>
    <n v="1"/>
    <n v="1"/>
    <n v="0"/>
    <n v="0"/>
    <x v="0"/>
    <x v="0"/>
    <x v="0"/>
  </r>
  <r>
    <n v="20600111354"/>
    <x v="1"/>
    <x v="1"/>
    <x v="2819"/>
    <x v="2830"/>
    <x v="2450"/>
    <n v="1"/>
    <x v="45"/>
    <s v=" ESTACION 13/ESTACION 09/ ESTACION 12"/>
    <s v="SECTOR 17-LT 18 EL PINO"/>
    <x v="25"/>
    <x v="0"/>
    <x v="0"/>
    <x v="1"/>
    <x v="158"/>
    <x v="0"/>
    <n v="1"/>
    <n v="255.5"/>
    <x v="0"/>
    <x v="1"/>
    <n v="7.462686567164179E-3"/>
    <x v="35"/>
    <x v="4"/>
    <s v="OK"/>
    <x v="4"/>
    <s v="OK"/>
    <x v="0"/>
    <x v="0"/>
    <n v="1"/>
    <n v="1"/>
    <n v="0"/>
    <n v="0"/>
    <x v="0"/>
    <x v="0"/>
    <x v="0"/>
  </r>
  <r>
    <n v="20600111354"/>
    <x v="1"/>
    <x v="1"/>
    <x v="2820"/>
    <x v="2831"/>
    <x v="2451"/>
    <n v="2"/>
    <x v="4"/>
    <s v="ESTACION 11/ ESTACION 09"/>
    <s v="COOP LA FORTALEZA MZ. I LTE 3"/>
    <x v="53"/>
    <x v="0"/>
    <x v="0"/>
    <x v="1"/>
    <x v="768"/>
    <x v="0"/>
    <n v="4"/>
    <n v="175"/>
    <x v="0"/>
    <x v="1"/>
    <n v="7.462686567164179E-3"/>
    <x v="36"/>
    <x v="4"/>
    <s v="OK"/>
    <x v="0"/>
    <s v="OK"/>
    <x v="0"/>
    <x v="0"/>
    <n v="1"/>
    <n v="0"/>
    <n v="0"/>
    <n v="0"/>
    <x v="0"/>
    <x v="0"/>
    <x v="0"/>
  </r>
  <r>
    <n v="20600111354"/>
    <x v="1"/>
    <x v="1"/>
    <x v="2821"/>
    <x v="2832"/>
    <x v="2452"/>
    <n v="1"/>
    <x v="123"/>
    <s v="ESTACION 01 / ESTACION 2 / ESTACIÓN 12/ ESTACION 11 / ESTACION 09"/>
    <s v="CALLE HIGUERAS 175 DPTO. 207"/>
    <x v="47"/>
    <x v="0"/>
    <x v="0"/>
    <x v="11"/>
    <x v="769"/>
    <x v="0"/>
    <n v="3"/>
    <n v="216"/>
    <x v="0"/>
    <x v="1"/>
    <n v="7.462686567164179E-3"/>
    <x v="34"/>
    <x v="4"/>
    <s v="OK"/>
    <x v="0"/>
    <s v="OK"/>
    <x v="0"/>
    <x v="0"/>
    <n v="1"/>
    <n v="0"/>
    <n v="0"/>
    <n v="0"/>
    <x v="0"/>
    <x v="0"/>
    <x v="0"/>
  </r>
  <r>
    <n v="20600111354"/>
    <x v="1"/>
    <x v="1"/>
    <x v="2822"/>
    <x v="2833"/>
    <x v="2453"/>
    <n v="1"/>
    <x v="324"/>
    <s v="ESTACION 11/ ESTACION 03 RAMAL 4"/>
    <s v="JR. MAYNAS 719 INT 26 BARRIOS ALTOS"/>
    <x v="351"/>
    <x v="1"/>
    <x v="0"/>
    <x v="1"/>
    <x v="380"/>
    <x v="0"/>
    <n v="1"/>
    <n v="200"/>
    <x v="0"/>
    <x v="1"/>
    <n v="7.462686567164179E-3"/>
    <x v="37"/>
    <x v="4"/>
    <s v="OK"/>
    <x v="0"/>
    <s v="OK"/>
    <x v="0"/>
    <x v="0"/>
    <n v="1"/>
    <n v="0"/>
    <n v="0"/>
    <n v="0"/>
    <x v="0"/>
    <x v="0"/>
    <x v="0"/>
  </r>
  <r>
    <n v="20600111354"/>
    <x v="1"/>
    <x v="1"/>
    <x v="2823"/>
    <x v="2834"/>
    <x v="2454"/>
    <n v="1"/>
    <x v="62"/>
    <s v="PLANTA DOVELAS"/>
    <s v="ASENT. H. ESTRELLA DE SIMON BOLIVAR MZ M LT 19"/>
    <x v="4"/>
    <x v="0"/>
    <x v="0"/>
    <x v="1"/>
    <x v="725"/>
    <x v="0"/>
    <n v="1"/>
    <n v="84"/>
    <x v="0"/>
    <x v="1"/>
    <n v="7.462686567164179E-3"/>
    <x v="33"/>
    <x v="4"/>
    <s v="OK"/>
    <x v="0"/>
    <s v="OK"/>
    <x v="0"/>
    <x v="0"/>
    <n v="1"/>
    <n v="0"/>
    <n v="0"/>
    <n v="0"/>
    <x v="0"/>
    <x v="0"/>
    <x v="0"/>
  </r>
  <r>
    <n v="20600111354"/>
    <x v="1"/>
    <x v="1"/>
    <x v="2824"/>
    <x v="2835"/>
    <x v="2455"/>
    <n v="2"/>
    <x v="4"/>
    <s v="ESTACION 13 / ESTACION 03 RAMAL 4"/>
    <s v="PSJ. ANTONIO BAZO 190 ASENT. H. CERRO EL AGUSTINO"/>
    <x v="46"/>
    <x v="0"/>
    <x v="0"/>
    <x v="1"/>
    <x v="30"/>
    <x v="0"/>
    <n v="4"/>
    <n v="59.5"/>
    <x v="0"/>
    <x v="1"/>
    <n v="7.462686567164179E-3"/>
    <x v="32"/>
    <x v="4"/>
    <s v="OK"/>
    <x v="7"/>
    <s v="OK"/>
    <x v="0"/>
    <x v="0"/>
    <n v="1"/>
    <n v="1"/>
    <n v="1"/>
    <n v="0"/>
    <x v="0"/>
    <x v="0"/>
    <x v="1"/>
  </r>
  <r>
    <n v="20600111354"/>
    <x v="1"/>
    <x v="1"/>
    <x v="2825"/>
    <x v="2836"/>
    <x v="2456"/>
    <n v="2"/>
    <x v="2"/>
    <s v="ESTACION 03 RAMAL 4"/>
    <s v="U 16 DE AGOSTO LT 18"/>
    <x v="6"/>
    <x v="0"/>
    <x v="0"/>
    <x v="1"/>
    <x v="263"/>
    <x v="0"/>
    <n v="4"/>
    <n v="56.5"/>
    <x v="0"/>
    <x v="1"/>
    <n v="7.462686567164179E-3"/>
    <x v="38"/>
    <x v="4"/>
    <s v="OK"/>
    <x v="2"/>
    <s v="OK"/>
    <x v="0"/>
    <x v="0"/>
    <n v="1"/>
    <n v="1"/>
    <n v="1"/>
    <n v="0"/>
    <x v="0"/>
    <x v="0"/>
    <x v="1"/>
  </r>
  <r>
    <n v="20600111354"/>
    <x v="1"/>
    <x v="1"/>
    <x v="2826"/>
    <x v="2837"/>
    <x v="2457"/>
    <n v="2"/>
    <x v="4"/>
    <s v="ESTACION 13 / ESTACION 03 RAMAL 4"/>
    <s v="CALLE LAS PALMERAS MZ G1 LT 15 AH LOS OLIVOS DE PRO SECTOR C"/>
    <x v="3"/>
    <x v="0"/>
    <x v="0"/>
    <x v="1"/>
    <x v="263"/>
    <x v="0"/>
    <n v="4"/>
    <n v="58"/>
    <x v="0"/>
    <x v="1"/>
    <n v="7.462686567164179E-3"/>
    <x v="34"/>
    <x v="4"/>
    <s v="OK"/>
    <x v="0"/>
    <s v="OK"/>
    <x v="0"/>
    <x v="0"/>
    <n v="1"/>
    <n v="0"/>
    <n v="1"/>
    <n v="0"/>
    <x v="0"/>
    <x v="0"/>
    <x v="1"/>
  </r>
  <r>
    <n v="20600111354"/>
    <x v="1"/>
    <x v="1"/>
    <x v="2827"/>
    <x v="2838"/>
    <x v="2458"/>
    <n v="2"/>
    <x v="4"/>
    <s v="ESTACION 13 / ESTACION 03 RAMAL 4"/>
    <s v="JR LIQUENESES 510 DP 201 URB LAS FLORES"/>
    <x v="15"/>
    <x v="0"/>
    <x v="0"/>
    <x v="1"/>
    <x v="263"/>
    <x v="0"/>
    <n v="4"/>
    <n v="57.5"/>
    <x v="0"/>
    <x v="1"/>
    <n v="7.462686567164179E-3"/>
    <x v="36"/>
    <x v="4"/>
    <s v="OK"/>
    <x v="0"/>
    <s v="OK"/>
    <x v="0"/>
    <x v="0"/>
    <n v="1"/>
    <n v="0"/>
    <n v="1"/>
    <n v="0"/>
    <x v="0"/>
    <x v="0"/>
    <x v="1"/>
  </r>
  <r>
    <n v="20550335795"/>
    <x v="43"/>
    <x v="1"/>
    <x v="2828"/>
    <x v="2839"/>
    <x v="2459"/>
    <n v="2"/>
    <x v="4"/>
    <s v="PLANTA DOVELAS"/>
    <s v="JR. TUPAC AMARU 216"/>
    <x v="8"/>
    <x v="0"/>
    <x v="0"/>
    <x v="1"/>
    <x v="173"/>
    <x v="0"/>
    <n v="4"/>
    <n v="226"/>
    <x v="0"/>
    <x v="0"/>
    <n v="7.462686567164179E-3"/>
    <x v="37"/>
    <x v="4"/>
    <s v="OK"/>
    <x v="0"/>
    <s v="OK"/>
    <x v="0"/>
    <x v="0"/>
    <n v="1"/>
    <n v="0"/>
    <n v="0"/>
    <n v="0"/>
    <x v="0"/>
    <x v="0"/>
    <x v="0"/>
  </r>
  <r>
    <n v="20550335795"/>
    <x v="43"/>
    <x v="1"/>
    <x v="2829"/>
    <x v="2840"/>
    <x v="2460"/>
    <n v="1"/>
    <x v="113"/>
    <s v="PLANTA DOVELAS"/>
    <s v="AVENIDA JAVIER PRADO 488 DPTO. 2124 EDIFICIO TORRES ORQUIDEAS"/>
    <x v="10"/>
    <x v="0"/>
    <x v="0"/>
    <x v="1"/>
    <x v="622"/>
    <x v="0"/>
    <n v="1"/>
    <n v="208"/>
    <x v="0"/>
    <x v="0"/>
    <n v="7.462686567164179E-3"/>
    <x v="39"/>
    <x v="4"/>
    <s v="OK"/>
    <x v="0"/>
    <s v="OK"/>
    <x v="0"/>
    <x v="0"/>
    <n v="1"/>
    <n v="0"/>
    <n v="0"/>
    <n v="0"/>
    <x v="0"/>
    <x v="0"/>
    <x v="0"/>
  </r>
  <r>
    <n v="20611358386"/>
    <x v="75"/>
    <x v="1"/>
    <x v="2830"/>
    <x v="2841"/>
    <x v="2461"/>
    <n v="1"/>
    <x v="373"/>
    <s v="PLANTA DOVELAS"/>
    <s v="CALLE 16 MZ. B LT 14 ASENT H. EL FORESTAL CAMPOY"/>
    <x v="15"/>
    <x v="0"/>
    <x v="0"/>
    <x v="1"/>
    <x v="1"/>
    <x v="0"/>
    <n v="1"/>
    <n v="235"/>
    <x v="0"/>
    <x v="0"/>
    <n v="7.462686567164179E-3"/>
    <x v="35"/>
    <x v="4"/>
    <s v="OK"/>
    <x v="0"/>
    <s v="OK"/>
    <x v="0"/>
    <x v="0"/>
    <n v="1"/>
    <n v="0"/>
    <n v="0"/>
    <n v="0"/>
    <x v="0"/>
    <x v="0"/>
    <x v="0"/>
  </r>
  <r>
    <s v="20431084172"/>
    <x v="44"/>
    <x v="36"/>
    <x v="2831"/>
    <x v="2842"/>
    <x v="2462"/>
    <n v="3"/>
    <x v="91"/>
    <s v="E14, E15, E16, E17, E24, E25, E26, E27"/>
    <s v="JR.LAS BLENDAS 545 URB.INCA MANCO CAPAC "/>
    <x v="15"/>
    <x v="0"/>
    <x v="0"/>
    <x v="1"/>
    <x v="510"/>
    <x v="0"/>
    <n v="1"/>
    <n v="200"/>
    <x v="0"/>
    <x v="1"/>
    <n v="0.1"/>
    <x v="40"/>
    <x v="4"/>
    <s v="OK"/>
    <x v="0"/>
    <s v="OK"/>
    <x v="0"/>
    <x v="0"/>
    <n v="1"/>
    <n v="0"/>
    <n v="0"/>
    <n v="0"/>
    <x v="0"/>
    <x v="0"/>
    <x v="0"/>
  </r>
  <r>
    <n v="20296637697"/>
    <x v="2"/>
    <x v="2"/>
    <x v="2832"/>
    <x v="2843"/>
    <x v="2463"/>
    <n v="1"/>
    <x v="165"/>
    <s v="E-4"/>
    <s v="NICOLAS AYLLON 8510 E8-504"/>
    <x v="1"/>
    <x v="0"/>
    <x v="0"/>
    <x v="1"/>
    <x v="122"/>
    <x v="0"/>
    <n v="1"/>
    <n v="192"/>
    <x v="0"/>
    <x v="1"/>
    <n v="2.5641025641025641E-3"/>
    <x v="33"/>
    <x v="4"/>
    <s v="OK"/>
    <x v="1"/>
    <s v="OK"/>
    <x v="0"/>
    <x v="0"/>
    <n v="1"/>
    <n v="1"/>
    <n v="0"/>
    <n v="0"/>
    <x v="0"/>
    <x v="0"/>
    <x v="0"/>
  </r>
  <r>
    <n v="20296637697"/>
    <x v="2"/>
    <x v="2"/>
    <x v="2833"/>
    <x v="2844"/>
    <x v="2464"/>
    <n v="2"/>
    <x v="11"/>
    <s v="E-4"/>
    <s v="ANDROMEDA 171 SOL DE VITARTE"/>
    <x v="1"/>
    <x v="0"/>
    <x v="0"/>
    <x v="1"/>
    <x v="47"/>
    <x v="0"/>
    <n v="4"/>
    <n v="237.5"/>
    <x v="0"/>
    <x v="1"/>
    <n v="2.5641025641025641E-3"/>
    <x v="38"/>
    <x v="4"/>
    <s v="OK"/>
    <x v="1"/>
    <s v="OK"/>
    <x v="0"/>
    <x v="0"/>
    <n v="1"/>
    <n v="1"/>
    <n v="0"/>
    <n v="0"/>
    <x v="0"/>
    <x v="0"/>
    <x v="0"/>
  </r>
  <r>
    <n v="20296637697"/>
    <x v="2"/>
    <x v="2"/>
    <x v="2834"/>
    <x v="2845"/>
    <x v="2465"/>
    <n v="1"/>
    <x v="7"/>
    <s v="E-4"/>
    <s v="JR. GRAU MZ. E - LT. 6 - 3ERA ZONA DE COLLIQUE"/>
    <x v="0"/>
    <x v="0"/>
    <x v="0"/>
    <x v="1"/>
    <x v="47"/>
    <x v="0"/>
    <n v="1"/>
    <n v="192"/>
    <x v="0"/>
    <x v="1"/>
    <n v="2.5641025641025641E-3"/>
    <x v="36"/>
    <x v="4"/>
    <s v="OK"/>
    <x v="0"/>
    <s v="OK"/>
    <x v="0"/>
    <x v="0"/>
    <n v="1"/>
    <n v="0"/>
    <n v="0"/>
    <n v="0"/>
    <x v="0"/>
    <x v="0"/>
    <x v="0"/>
  </r>
  <r>
    <n v="20296637697"/>
    <x v="2"/>
    <x v="2"/>
    <x v="2835"/>
    <x v="2846"/>
    <x v="2466"/>
    <n v="2"/>
    <x v="11"/>
    <s v="E-4"/>
    <s v="JR. ANDROMEDA MZ. O LT. 28 URB. SOL DE VITARTE LIMA-LIMA-ATE"/>
    <x v="1"/>
    <x v="0"/>
    <x v="0"/>
    <x v="1"/>
    <x v="264"/>
    <x v="0"/>
    <n v="4"/>
    <n v="199"/>
    <x v="0"/>
    <x v="1"/>
    <n v="2.5641025641025641E-3"/>
    <x v="33"/>
    <x v="4"/>
    <s v="OK"/>
    <x v="1"/>
    <s v="OK"/>
    <x v="0"/>
    <x v="0"/>
    <n v="1"/>
    <n v="1"/>
    <n v="0"/>
    <n v="0"/>
    <x v="0"/>
    <x v="0"/>
    <x v="0"/>
  </r>
  <r>
    <n v="20296637697"/>
    <x v="2"/>
    <x v="2"/>
    <x v="2836"/>
    <x v="2847"/>
    <x v="2467"/>
    <n v="2"/>
    <x v="66"/>
    <s v="E-4"/>
    <s v="ASOC. CAJA DE AGUA MZ H LT 7"/>
    <x v="10"/>
    <x v="0"/>
    <x v="0"/>
    <x v="1"/>
    <x v="471"/>
    <x v="0"/>
    <n v="4"/>
    <n v="232.5"/>
    <x v="0"/>
    <x v="1"/>
    <n v="2.5641025641025641E-3"/>
    <x v="39"/>
    <x v="4"/>
    <s v="OK"/>
    <x v="0"/>
    <s v="OK"/>
    <x v="0"/>
    <x v="0"/>
    <n v="1"/>
    <n v="0"/>
    <n v="0"/>
    <n v="0"/>
    <x v="0"/>
    <x v="0"/>
    <x v="0"/>
  </r>
  <r>
    <n v="20296637697"/>
    <x v="2"/>
    <x v="2"/>
    <x v="2837"/>
    <x v="2848"/>
    <x v="2468"/>
    <n v="2"/>
    <x v="4"/>
    <s v="E-4"/>
    <s v="JUAQUIN LUNA VICTORIA 354 -  ICA"/>
    <x v="127"/>
    <x v="0"/>
    <x v="0"/>
    <x v="1"/>
    <x v="472"/>
    <x v="0"/>
    <n v="4"/>
    <n v="241"/>
    <x v="0"/>
    <x v="1"/>
    <n v="2.5641025641025641E-3"/>
    <x v="40"/>
    <x v="4"/>
    <s v="OK"/>
    <x v="0"/>
    <s v="OK"/>
    <x v="0"/>
    <x v="0"/>
    <n v="1"/>
    <n v="0"/>
    <n v="0"/>
    <n v="0"/>
    <x v="0"/>
    <x v="0"/>
    <x v="0"/>
  </r>
  <r>
    <n v="20296637697"/>
    <x v="2"/>
    <x v="2"/>
    <x v="2838"/>
    <x v="2849"/>
    <x v="2469"/>
    <n v="2"/>
    <x v="11"/>
    <s v="E-4"/>
    <s v="URB. CONSTANZO MZ. H LT. 10"/>
    <x v="6"/>
    <x v="0"/>
    <x v="7"/>
    <x v="1"/>
    <x v="48"/>
    <x v="2"/>
    <n v="4"/>
    <n v="193"/>
    <x v="0"/>
    <x v="1"/>
    <n v="2.5641025641025641E-3"/>
    <x v="39"/>
    <x v="4"/>
    <s v="OK"/>
    <x v="2"/>
    <s v="OK"/>
    <x v="0"/>
    <x v="0"/>
    <n v="1"/>
    <n v="1"/>
    <n v="0"/>
    <n v="1"/>
    <x v="0"/>
    <x v="1"/>
    <x v="0"/>
  </r>
  <r>
    <n v="20296637697"/>
    <x v="2"/>
    <x v="2"/>
    <x v="2839"/>
    <x v="2850"/>
    <x v="2470"/>
    <n v="2"/>
    <x v="11"/>
    <s v="E-4"/>
    <s v="BOSQUE MZ C LT 8 CALIFORNIA"/>
    <x v="50"/>
    <x v="0"/>
    <x v="0"/>
    <x v="1"/>
    <x v="526"/>
    <x v="0"/>
    <n v="4"/>
    <n v="213.5"/>
    <x v="0"/>
    <x v="1"/>
    <n v="2.5641025641025641E-3"/>
    <x v="40"/>
    <x v="4"/>
    <s v="OK"/>
    <x v="0"/>
    <s v="OK"/>
    <x v="0"/>
    <x v="0"/>
    <n v="1"/>
    <n v="0"/>
    <n v="0"/>
    <n v="0"/>
    <x v="0"/>
    <x v="0"/>
    <x v="0"/>
  </r>
  <r>
    <n v="20296637697"/>
    <x v="2"/>
    <x v="2"/>
    <x v="2840"/>
    <x v="2851"/>
    <x v="2471"/>
    <n v="2"/>
    <x v="4"/>
    <s v="E-4"/>
    <s v="URB. SAN JOSE N° 148 - PIURA"/>
    <x v="352"/>
    <x v="0"/>
    <x v="0"/>
    <x v="1"/>
    <x v="10"/>
    <x v="0"/>
    <n v="4"/>
    <n v="224"/>
    <x v="0"/>
    <x v="1"/>
    <n v="2.5641025641025641E-3"/>
    <x v="33"/>
    <x v="4"/>
    <s v="OK"/>
    <x v="0"/>
    <s v="OK"/>
    <x v="0"/>
    <x v="0"/>
    <n v="1"/>
    <n v="0"/>
    <n v="0"/>
    <n v="0"/>
    <x v="0"/>
    <x v="0"/>
    <x v="0"/>
  </r>
  <r>
    <n v="20296637697"/>
    <x v="2"/>
    <x v="2"/>
    <x v="2841"/>
    <x v="2852"/>
    <x v="2472"/>
    <n v="2"/>
    <x v="4"/>
    <s v="E-4"/>
    <s v="MZ Z2B LT 01"/>
    <x v="15"/>
    <x v="0"/>
    <x v="0"/>
    <x v="1"/>
    <x v="10"/>
    <x v="0"/>
    <n v="4"/>
    <n v="204.5"/>
    <x v="0"/>
    <x v="1"/>
    <n v="2.5641025641025641E-3"/>
    <x v="35"/>
    <x v="4"/>
    <s v="OK"/>
    <x v="0"/>
    <s v="OK"/>
    <x v="0"/>
    <x v="0"/>
    <n v="1"/>
    <n v="0"/>
    <n v="0"/>
    <n v="0"/>
    <x v="0"/>
    <x v="0"/>
    <x v="0"/>
  </r>
  <r>
    <n v="20296637697"/>
    <x v="2"/>
    <x v="2"/>
    <x v="2842"/>
    <x v="2853"/>
    <x v="2473"/>
    <n v="2"/>
    <x v="11"/>
    <s v="E-4"/>
    <s v="MZ A LT 5 4TA ZONA DE COLLIQUE"/>
    <x v="0"/>
    <x v="0"/>
    <x v="0"/>
    <x v="1"/>
    <x v="168"/>
    <x v="0"/>
    <n v="4"/>
    <n v="188"/>
    <x v="0"/>
    <x v="1"/>
    <n v="2.5641025641025641E-3"/>
    <x v="33"/>
    <x v="4"/>
    <s v="OK"/>
    <x v="0"/>
    <s v="OK"/>
    <x v="0"/>
    <x v="0"/>
    <n v="1"/>
    <n v="0"/>
    <n v="0"/>
    <n v="0"/>
    <x v="0"/>
    <x v="0"/>
    <x v="0"/>
  </r>
  <r>
    <n v="20296637697"/>
    <x v="2"/>
    <x v="2"/>
    <x v="2843"/>
    <x v="2854"/>
    <x v="2474"/>
    <n v="2"/>
    <x v="67"/>
    <s v="E-4"/>
    <s v="PUEBLO JOVEN ACAPULCO MZ. C LT. 19"/>
    <x v="6"/>
    <x v="0"/>
    <x v="0"/>
    <x v="1"/>
    <x v="473"/>
    <x v="0"/>
    <n v="4"/>
    <n v="199.5"/>
    <x v="0"/>
    <x v="1"/>
    <n v="2.5641025641025641E-3"/>
    <x v="40"/>
    <x v="4"/>
    <s v="OK"/>
    <x v="2"/>
    <s v="OK"/>
    <x v="0"/>
    <x v="0"/>
    <n v="1"/>
    <n v="1"/>
    <n v="0"/>
    <n v="0"/>
    <x v="0"/>
    <x v="0"/>
    <x v="0"/>
  </r>
  <r>
    <n v="20296637697"/>
    <x v="2"/>
    <x v="2"/>
    <x v="2844"/>
    <x v="2855"/>
    <x v="2475"/>
    <n v="2"/>
    <x v="5"/>
    <s v="E-4"/>
    <s v="MZ. L LT. 16 A.H. VIRGEN DE GUADALUPE SECTOR G-XV-3"/>
    <x v="2"/>
    <x v="0"/>
    <x v="0"/>
    <x v="1"/>
    <x v="182"/>
    <x v="0"/>
    <n v="4"/>
    <n v="209.5"/>
    <x v="0"/>
    <x v="1"/>
    <n v="2.5641025641025641E-3"/>
    <x v="39"/>
    <x v="4"/>
    <s v="OK"/>
    <x v="2"/>
    <s v="OK"/>
    <x v="0"/>
    <x v="0"/>
    <n v="1"/>
    <n v="1"/>
    <n v="0"/>
    <n v="0"/>
    <x v="0"/>
    <x v="0"/>
    <x v="0"/>
  </r>
  <r>
    <n v="20296637697"/>
    <x v="2"/>
    <x v="2"/>
    <x v="2845"/>
    <x v="2856"/>
    <x v="2476"/>
    <n v="2"/>
    <x v="4"/>
    <s v="E-4"/>
    <s v="ASENT. H. SANTA MARIA MZ. F3 LT. 5"/>
    <x v="15"/>
    <x v="0"/>
    <x v="0"/>
    <x v="1"/>
    <x v="19"/>
    <x v="0"/>
    <n v="4"/>
    <n v="216"/>
    <x v="0"/>
    <x v="1"/>
    <n v="2.5641025641025641E-3"/>
    <x v="34"/>
    <x v="4"/>
    <s v="OK"/>
    <x v="0"/>
    <s v="OK"/>
    <x v="0"/>
    <x v="0"/>
    <n v="1"/>
    <n v="0"/>
    <n v="0"/>
    <n v="0"/>
    <x v="0"/>
    <x v="0"/>
    <x v="0"/>
  </r>
  <r>
    <n v="20296637697"/>
    <x v="2"/>
    <x v="2"/>
    <x v="2846"/>
    <x v="2857"/>
    <x v="2477"/>
    <n v="1"/>
    <x v="96"/>
    <s v="E-4"/>
    <s v="SAM JUAN DE LA LIBERTAD MZ. R LT. 2"/>
    <x v="38"/>
    <x v="0"/>
    <x v="0"/>
    <x v="1"/>
    <x v="25"/>
    <x v="0"/>
    <n v="1"/>
    <n v="192"/>
    <x v="0"/>
    <x v="1"/>
    <n v="2.5641025641025641E-3"/>
    <x v="36"/>
    <x v="4"/>
    <s v="OK"/>
    <x v="0"/>
    <s v="OK"/>
    <x v="0"/>
    <x v="0"/>
    <n v="1"/>
    <n v="0"/>
    <n v="0"/>
    <n v="0"/>
    <x v="0"/>
    <x v="0"/>
    <x v="0"/>
  </r>
  <r>
    <n v="20296637697"/>
    <x v="2"/>
    <x v="2"/>
    <x v="2847"/>
    <x v="2858"/>
    <x v="2471"/>
    <n v="2"/>
    <x v="220"/>
    <s v="E-4"/>
    <s v="CALLE MZ. H LT. 25 AAHH NUEVA ERA ANCON ASENT. H. MZ. H LT. 28 "/>
    <x v="5"/>
    <x v="0"/>
    <x v="0"/>
    <x v="1"/>
    <x v="149"/>
    <x v="0"/>
    <n v="4"/>
    <n v="283"/>
    <x v="0"/>
    <x v="1"/>
    <n v="2.5641025641025641E-3"/>
    <x v="33"/>
    <x v="4"/>
    <s v="OK"/>
    <x v="3"/>
    <s v="OK"/>
    <x v="0"/>
    <x v="0"/>
    <n v="1"/>
    <n v="1"/>
    <n v="0"/>
    <n v="0"/>
    <x v="0"/>
    <x v="0"/>
    <x v="0"/>
  </r>
  <r>
    <n v="20296637697"/>
    <x v="2"/>
    <x v="2"/>
    <x v="2848"/>
    <x v="2859"/>
    <x v="2478"/>
    <n v="2"/>
    <x v="11"/>
    <s v="E-4"/>
    <s v="MZ E-1 LT 24 MI PERU -CALLAO-MI PERU"/>
    <x v="6"/>
    <x v="0"/>
    <x v="0"/>
    <x v="1"/>
    <x v="190"/>
    <x v="0"/>
    <n v="4"/>
    <n v="247.5"/>
    <x v="0"/>
    <x v="1"/>
    <n v="2.5641025641025641E-3"/>
    <x v="34"/>
    <x v="4"/>
    <s v="OK"/>
    <x v="2"/>
    <s v="OK"/>
    <x v="0"/>
    <x v="0"/>
    <n v="1"/>
    <n v="1"/>
    <n v="0"/>
    <n v="0"/>
    <x v="0"/>
    <x v="0"/>
    <x v="0"/>
  </r>
  <r>
    <n v="20296637697"/>
    <x v="2"/>
    <x v="2"/>
    <x v="2849"/>
    <x v="2860"/>
    <x v="2479"/>
    <n v="2"/>
    <x v="90"/>
    <s v="E-4"/>
    <s v="CASERIO EL CUELLO LAMBAYEQUE-CHICLAYO-CHONGOYAPE"/>
    <x v="303"/>
    <x v="0"/>
    <x v="0"/>
    <x v="1"/>
    <x v="239"/>
    <x v="0"/>
    <n v="4"/>
    <n v="238.5"/>
    <x v="0"/>
    <x v="1"/>
    <n v="2.5641025641025641E-3"/>
    <x v="35"/>
    <x v="4"/>
    <s v="OK"/>
    <x v="0"/>
    <s v="OK"/>
    <x v="0"/>
    <x v="0"/>
    <n v="1"/>
    <n v="0"/>
    <n v="0"/>
    <n v="0"/>
    <x v="0"/>
    <x v="0"/>
    <x v="0"/>
  </r>
  <r>
    <n v="20296637697"/>
    <x v="2"/>
    <x v="2"/>
    <x v="2850"/>
    <x v="2861"/>
    <x v="2480"/>
    <n v="2"/>
    <x v="67"/>
    <s v="E-4"/>
    <s v="CALLE JERUSALEN MZ P LT 13 B"/>
    <x v="46"/>
    <x v="0"/>
    <x v="0"/>
    <x v="1"/>
    <x v="145"/>
    <x v="0"/>
    <n v="4"/>
    <n v="185"/>
    <x v="0"/>
    <x v="1"/>
    <n v="2.5641025641025641E-3"/>
    <x v="32"/>
    <x v="4"/>
    <s v="OK"/>
    <x v="7"/>
    <s v="OK"/>
    <x v="0"/>
    <x v="0"/>
    <n v="1"/>
    <n v="1"/>
    <n v="0"/>
    <n v="0"/>
    <x v="0"/>
    <x v="0"/>
    <x v="0"/>
  </r>
  <r>
    <n v="20296637697"/>
    <x v="2"/>
    <x v="2"/>
    <x v="2851"/>
    <x v="2862"/>
    <x v="2481"/>
    <n v="1"/>
    <x v="84"/>
    <s v="E-4"/>
    <s v="PSJE APARICIO ROBLES 274 URB. LUIS GERMAN ASTETE SAN MIGUEL LIMA"/>
    <x v="353"/>
    <x v="0"/>
    <x v="0"/>
    <x v="1"/>
    <x v="145"/>
    <x v="0"/>
    <n v="1"/>
    <n v="192"/>
    <x v="0"/>
    <x v="1"/>
    <n v="2.5641025641025641E-3"/>
    <x v="40"/>
    <x v="4"/>
    <s v="OK"/>
    <x v="0"/>
    <s v="OK"/>
    <x v="0"/>
    <x v="0"/>
    <n v="1"/>
    <n v="0"/>
    <n v="0"/>
    <n v="0"/>
    <x v="0"/>
    <x v="0"/>
    <x v="0"/>
  </r>
  <r>
    <n v="20296637697"/>
    <x v="2"/>
    <x v="2"/>
    <x v="2852"/>
    <x v="2863"/>
    <x v="2482"/>
    <n v="2"/>
    <x v="8"/>
    <s v="E-4"/>
    <s v="GR EG SEC E PILOTO PACHACUTEC MZ G3 LT1"/>
    <x v="2"/>
    <x v="0"/>
    <x v="0"/>
    <x v="1"/>
    <x v="145"/>
    <x v="0"/>
    <n v="4"/>
    <n v="202.5"/>
    <x v="0"/>
    <x v="1"/>
    <n v="2.5641025641025641E-3"/>
    <x v="36"/>
    <x v="4"/>
    <s v="OK"/>
    <x v="2"/>
    <s v="OK"/>
    <x v="0"/>
    <x v="0"/>
    <n v="1"/>
    <n v="1"/>
    <n v="0"/>
    <n v="0"/>
    <x v="0"/>
    <x v="0"/>
    <x v="0"/>
  </r>
  <r>
    <n v="20296637697"/>
    <x v="2"/>
    <x v="2"/>
    <x v="2853"/>
    <x v="2864"/>
    <x v="2483"/>
    <n v="2"/>
    <x v="11"/>
    <s v="E-4"/>
    <s v="MZ. M-4 LT. 13 SECTOR A GRUPO A-2 PPN PACHACUTEC"/>
    <x v="2"/>
    <x v="0"/>
    <x v="0"/>
    <x v="1"/>
    <x v="186"/>
    <x v="0"/>
    <n v="4"/>
    <n v="88"/>
    <x v="0"/>
    <x v="1"/>
    <n v="2.5641025641025641E-3"/>
    <x v="35"/>
    <x v="4"/>
    <s v="OK"/>
    <x v="2"/>
    <s v="OK"/>
    <x v="0"/>
    <x v="0"/>
    <n v="1"/>
    <n v="1"/>
    <n v="1"/>
    <n v="0"/>
    <x v="0"/>
    <x v="0"/>
    <x v="1"/>
  </r>
  <r>
    <n v="20296637697"/>
    <x v="2"/>
    <x v="2"/>
    <x v="2854"/>
    <x v="2865"/>
    <x v="2484"/>
    <n v="2"/>
    <x v="327"/>
    <s v="E-4"/>
    <s v="JR. PARACAS 180 CAJA DE AGUA"/>
    <x v="15"/>
    <x v="0"/>
    <x v="0"/>
    <x v="1"/>
    <x v="103"/>
    <x v="0"/>
    <n v="4"/>
    <n v="125.5"/>
    <x v="0"/>
    <x v="1"/>
    <n v="2.5641025641025641E-3"/>
    <x v="39"/>
    <x v="4"/>
    <s v="OK"/>
    <x v="0"/>
    <s v="OK"/>
    <x v="0"/>
    <x v="0"/>
    <n v="1"/>
    <n v="0"/>
    <n v="1"/>
    <n v="0"/>
    <x v="0"/>
    <x v="0"/>
    <x v="1"/>
  </r>
  <r>
    <n v="20296637697"/>
    <x v="2"/>
    <x v="2"/>
    <x v="2855"/>
    <x v="2866"/>
    <x v="2485"/>
    <n v="2"/>
    <x v="4"/>
    <s v="PV08-PV10"/>
    <s v="JR. YAWAR HUACA 571 SAN COSME"/>
    <x v="25"/>
    <x v="0"/>
    <x v="1"/>
    <x v="1"/>
    <x v="193"/>
    <x v="2"/>
    <n v="4"/>
    <n v="24"/>
    <x v="0"/>
    <x v="1"/>
    <n v="2.5641025641025641E-3"/>
    <x v="33"/>
    <x v="4"/>
    <s v="OK"/>
    <x v="4"/>
    <s v="OK"/>
    <x v="0"/>
    <x v="0"/>
    <n v="1"/>
    <n v="1"/>
    <n v="0"/>
    <n v="1"/>
    <x v="0"/>
    <x v="1"/>
    <x v="0"/>
  </r>
  <r>
    <n v="20296637697"/>
    <x v="2"/>
    <x v="2"/>
    <x v="2856"/>
    <x v="2867"/>
    <x v="2486"/>
    <n v="2"/>
    <x v="194"/>
    <s v="PV08-PV10"/>
    <s v="MZ. K3 LT. 07 URB. MUSA ETAPA 5"/>
    <x v="47"/>
    <x v="0"/>
    <x v="0"/>
    <x v="1"/>
    <x v="187"/>
    <x v="0"/>
    <n v="4"/>
    <n v="215.5"/>
    <x v="0"/>
    <x v="1"/>
    <n v="2.5641025641025641E-3"/>
    <x v="39"/>
    <x v="4"/>
    <s v="OK"/>
    <x v="0"/>
    <s v="OK"/>
    <x v="0"/>
    <x v="0"/>
    <n v="1"/>
    <n v="0"/>
    <n v="1"/>
    <n v="0"/>
    <x v="0"/>
    <x v="0"/>
    <x v="1"/>
  </r>
  <r>
    <n v="20296637697"/>
    <x v="2"/>
    <x v="2"/>
    <x v="2857"/>
    <x v="2868"/>
    <x v="2487"/>
    <n v="2"/>
    <x v="4"/>
    <s v="PV08-PV10"/>
    <s v="MZ. 102 LT. 21 GRP. 2 SECTOR C HUASCAR"/>
    <x v="15"/>
    <x v="0"/>
    <x v="0"/>
    <x v="1"/>
    <x v="186"/>
    <x v="0"/>
    <n v="4"/>
    <n v="87.5"/>
    <x v="0"/>
    <x v="1"/>
    <n v="2.5641025641025641E-3"/>
    <x v="39"/>
    <x v="4"/>
    <s v="OK"/>
    <x v="0"/>
    <s v="OK"/>
    <x v="0"/>
    <x v="0"/>
    <n v="1"/>
    <n v="0"/>
    <n v="1"/>
    <n v="0"/>
    <x v="0"/>
    <x v="0"/>
    <x v="1"/>
  </r>
  <r>
    <n v="20296637697"/>
    <x v="2"/>
    <x v="2"/>
    <x v="2858"/>
    <x v="2869"/>
    <x v="2488"/>
    <n v="2"/>
    <x v="4"/>
    <s v="PV08-PV10"/>
    <s v="CA SATURNO 157 PJ. J.C.M. SECT. SANTA ROSA Y BELEN"/>
    <x v="8"/>
    <x v="0"/>
    <x v="0"/>
    <x v="1"/>
    <x v="103"/>
    <x v="0"/>
    <n v="4"/>
    <n v="73"/>
    <x v="0"/>
    <x v="1"/>
    <n v="2.5641025641025641E-3"/>
    <x v="34"/>
    <x v="4"/>
    <s v="OK"/>
    <x v="0"/>
    <s v="OK"/>
    <x v="0"/>
    <x v="0"/>
    <n v="1"/>
    <n v="0"/>
    <n v="1"/>
    <n v="0"/>
    <x v="0"/>
    <x v="0"/>
    <x v="1"/>
  </r>
  <r>
    <n v="20296637697"/>
    <x v="2"/>
    <x v="2"/>
    <x v="2859"/>
    <x v="2870"/>
    <x v="2489"/>
    <n v="2"/>
    <x v="5"/>
    <s v="PV08-PV10"/>
    <s v="MZ. 5 LT. 47 ZONA A HUAYCAN"/>
    <x v="1"/>
    <x v="0"/>
    <x v="0"/>
    <x v="1"/>
    <x v="187"/>
    <x v="0"/>
    <n v="4"/>
    <n v="158.5"/>
    <x v="0"/>
    <x v="1"/>
    <n v="2.5641025641025641E-3"/>
    <x v="37"/>
    <x v="4"/>
    <s v="OK"/>
    <x v="1"/>
    <s v="OK"/>
    <x v="0"/>
    <x v="0"/>
    <n v="1"/>
    <n v="1"/>
    <n v="1"/>
    <n v="0"/>
    <x v="0"/>
    <x v="0"/>
    <x v="1"/>
  </r>
  <r>
    <n v="20296637697"/>
    <x v="2"/>
    <x v="2"/>
    <x v="2860"/>
    <x v="2871"/>
    <x v="2490"/>
    <n v="2"/>
    <x v="4"/>
    <s v="PV08-PV10"/>
    <s v="JR. ATUSPARIA ASENT. H. SAN JUAN MZ. 14 LT. 12 A, ANCASH"/>
    <x v="212"/>
    <x v="0"/>
    <x v="0"/>
    <x v="1"/>
    <x v="476"/>
    <x v="0"/>
    <n v="4"/>
    <n v="196.5"/>
    <x v="0"/>
    <x v="1"/>
    <n v="2.5641025641025641E-3"/>
    <x v="36"/>
    <x v="4"/>
    <s v="OK"/>
    <x v="0"/>
    <s v="OK"/>
    <x v="0"/>
    <x v="0"/>
    <n v="1"/>
    <n v="0"/>
    <n v="0"/>
    <n v="0"/>
    <x v="0"/>
    <x v="0"/>
    <x v="0"/>
  </r>
  <r>
    <n v="20296637697"/>
    <x v="2"/>
    <x v="2"/>
    <x v="2861"/>
    <x v="2872"/>
    <x v="2491"/>
    <n v="2"/>
    <x v="4"/>
    <s v="PV08-PV10"/>
    <s v="ASENT. H. TIWINZA PUENTE PIEDRA MZ. F LT. 18"/>
    <x v="4"/>
    <x v="0"/>
    <x v="0"/>
    <x v="1"/>
    <x v="474"/>
    <x v="0"/>
    <n v="4"/>
    <n v="50.5"/>
    <x v="0"/>
    <x v="1"/>
    <n v="2.5641025641025641E-3"/>
    <x v="32"/>
    <x v="4"/>
    <s v="OK"/>
    <x v="0"/>
    <s v="OK"/>
    <x v="0"/>
    <x v="0"/>
    <n v="1"/>
    <n v="0"/>
    <n v="1"/>
    <n v="0"/>
    <x v="0"/>
    <x v="0"/>
    <x v="1"/>
  </r>
  <r>
    <n v="20296637697"/>
    <x v="2"/>
    <x v="2"/>
    <x v="2862"/>
    <x v="2873"/>
    <x v="2492"/>
    <n v="2"/>
    <x v="4"/>
    <s v="PV08-PV10"/>
    <s v="MZ. B LT. 8 AGRUPACION FAMILIAR LAS PRADERAS SAN HILARION"/>
    <x v="15"/>
    <x v="0"/>
    <x v="0"/>
    <x v="1"/>
    <x v="137"/>
    <x v="0"/>
    <n v="4"/>
    <n v="109"/>
    <x v="0"/>
    <x v="1"/>
    <n v="2.5641025641025641E-3"/>
    <x v="40"/>
    <x v="4"/>
    <s v="OK"/>
    <x v="0"/>
    <s v="OK"/>
    <x v="0"/>
    <x v="0"/>
    <n v="1"/>
    <n v="0"/>
    <n v="1"/>
    <n v="0"/>
    <x v="0"/>
    <x v="0"/>
    <x v="1"/>
  </r>
  <r>
    <n v="20296637697"/>
    <x v="2"/>
    <x v="2"/>
    <x v="2863"/>
    <x v="2874"/>
    <x v="2493"/>
    <n v="1"/>
    <x v="51"/>
    <s v="PV01BIS - PV01 - PV02 Y PV03"/>
    <s v="CALLE 15  MZ.U LT 12 -DPTO 302 - URB. LA CALERA DE LA MERCED - SURQUILLO"/>
    <x v="86"/>
    <x v="0"/>
    <x v="23"/>
    <x v="2"/>
    <x v="16"/>
    <x v="2"/>
    <n v="1"/>
    <n v="200"/>
    <x v="0"/>
    <x v="1"/>
    <n v="2.5641025641025641E-3"/>
    <x v="38"/>
    <x v="4"/>
    <s v="OK"/>
    <x v="0"/>
    <s v="OK"/>
    <x v="0"/>
    <x v="0"/>
    <n v="1"/>
    <n v="0"/>
    <n v="0"/>
    <n v="1"/>
    <x v="0"/>
    <x v="1"/>
    <x v="0"/>
  </r>
  <r>
    <n v="20296637697"/>
    <x v="2"/>
    <x v="2"/>
    <x v="2864"/>
    <x v="2875"/>
    <x v="2494"/>
    <n v="1"/>
    <x v="7"/>
    <s v="PV01BIS - PV01 - PV02 Y PV03"/>
    <s v="MZ E LT 14 SECTOR 2 VILLA LOS REYES "/>
    <x v="169"/>
    <x v="0"/>
    <x v="0"/>
    <x v="2"/>
    <x v="126"/>
    <x v="0"/>
    <n v="1"/>
    <n v="200"/>
    <x v="0"/>
    <x v="1"/>
    <n v="2.5641025641025641E-3"/>
    <x v="39"/>
    <x v="4"/>
    <s v="OK"/>
    <x v="2"/>
    <s v="OK"/>
    <x v="0"/>
    <x v="0"/>
    <n v="1"/>
    <n v="1"/>
    <n v="0"/>
    <n v="0"/>
    <x v="0"/>
    <x v="0"/>
    <x v="0"/>
  </r>
  <r>
    <n v="20296637697"/>
    <x v="2"/>
    <x v="2"/>
    <x v="2865"/>
    <x v="2876"/>
    <x v="2495"/>
    <n v="1"/>
    <x v="7"/>
    <s v="PV01BIS - PV01 - PV02 Y PV03"/>
    <s v="PSJ 8 MZ LT 6 1RO DE SETIEMBRE"/>
    <x v="10"/>
    <x v="0"/>
    <x v="0"/>
    <x v="2"/>
    <x v="16"/>
    <x v="0"/>
    <n v="1"/>
    <n v="152"/>
    <x v="0"/>
    <x v="1"/>
    <n v="2.5641025641025641E-3"/>
    <x v="37"/>
    <x v="4"/>
    <s v="OK"/>
    <x v="0"/>
    <s v="OK"/>
    <x v="0"/>
    <x v="0"/>
    <n v="1"/>
    <n v="0"/>
    <n v="0"/>
    <n v="0"/>
    <x v="0"/>
    <x v="0"/>
    <x v="0"/>
  </r>
  <r>
    <n v="20296637697"/>
    <x v="2"/>
    <x v="2"/>
    <x v="2866"/>
    <x v="2877"/>
    <x v="2496"/>
    <n v="1"/>
    <x v="173"/>
    <s v="PV01BIS - PV01 - PV02 Y PV03"/>
    <s v="CALLE PEZ AUSTRAL 356 - URB. SOL DE VITARTE"/>
    <x v="1"/>
    <x v="0"/>
    <x v="0"/>
    <x v="2"/>
    <x v="16"/>
    <x v="0"/>
    <n v="1"/>
    <n v="200"/>
    <x v="0"/>
    <x v="1"/>
    <n v="2.5641025641025641E-3"/>
    <x v="35"/>
    <x v="4"/>
    <s v="OK"/>
    <x v="1"/>
    <s v="OK"/>
    <x v="0"/>
    <x v="0"/>
    <n v="1"/>
    <n v="1"/>
    <n v="0"/>
    <n v="0"/>
    <x v="0"/>
    <x v="0"/>
    <x v="0"/>
  </r>
  <r>
    <n v="20296637697"/>
    <x v="2"/>
    <x v="2"/>
    <x v="2867"/>
    <x v="2878"/>
    <x v="2497"/>
    <n v="1"/>
    <x v="96"/>
    <s v="PV01BIS - PV01 - PV02 Y PV03"/>
    <s v="JR PANCHO FIERRO 3991 URB PANAMERICA NORTE"/>
    <x v="49"/>
    <x v="0"/>
    <x v="0"/>
    <x v="2"/>
    <x v="50"/>
    <x v="0"/>
    <n v="1"/>
    <n v="200"/>
    <x v="0"/>
    <x v="1"/>
    <n v="2.5641025641025641E-3"/>
    <x v="34"/>
    <x v="4"/>
    <s v="OK"/>
    <x v="0"/>
    <s v="OK"/>
    <x v="0"/>
    <x v="0"/>
    <n v="1"/>
    <n v="0"/>
    <n v="0"/>
    <n v="0"/>
    <x v="0"/>
    <x v="0"/>
    <x v="0"/>
  </r>
  <r>
    <n v="20296637697"/>
    <x v="2"/>
    <x v="2"/>
    <x v="2868"/>
    <x v="2879"/>
    <x v="2498"/>
    <n v="2"/>
    <x v="11"/>
    <s v="PV01BIS - PV01 - PV02 Y PV03"/>
    <s v="AAHH VILLA RESIDENCIAL MZ L LT 2"/>
    <x v="53"/>
    <x v="0"/>
    <x v="0"/>
    <x v="2"/>
    <x v="126"/>
    <x v="0"/>
    <n v="4"/>
    <n v="232"/>
    <x v="0"/>
    <x v="1"/>
    <n v="2.5641025641025641E-3"/>
    <x v="34"/>
    <x v="4"/>
    <s v="OK"/>
    <x v="0"/>
    <s v="OK"/>
    <x v="0"/>
    <x v="0"/>
    <n v="1"/>
    <n v="0"/>
    <n v="0"/>
    <n v="0"/>
    <x v="0"/>
    <x v="0"/>
    <x v="0"/>
  </r>
  <r>
    <n v="20296637697"/>
    <x v="2"/>
    <x v="2"/>
    <x v="2869"/>
    <x v="2880"/>
    <x v="2499"/>
    <n v="2"/>
    <x v="231"/>
    <s v="PV01BIS - PV01 - PV02 Y PV03"/>
    <s v="SECTOR JUAN PABLO MZ F J LOTE 4 -VMT"/>
    <x v="8"/>
    <x v="0"/>
    <x v="0"/>
    <x v="2"/>
    <x v="172"/>
    <x v="0"/>
    <n v="4"/>
    <n v="8"/>
    <x v="0"/>
    <x v="1"/>
    <n v="2.5641025641025641E-3"/>
    <x v="40"/>
    <x v="4"/>
    <s v="OK"/>
    <x v="0"/>
    <s v="OK"/>
    <x v="0"/>
    <x v="0"/>
    <n v="1"/>
    <n v="0"/>
    <n v="1"/>
    <n v="0"/>
    <x v="0"/>
    <x v="0"/>
    <x v="1"/>
  </r>
  <r>
    <n v="20296637697"/>
    <x v="2"/>
    <x v="2"/>
    <x v="2870"/>
    <x v="2881"/>
    <x v="2500"/>
    <n v="2"/>
    <x v="11"/>
    <s v="PV01BIS - PV01 - PV02 Y PV03"/>
    <s v="AV LORETO 279 "/>
    <x v="56"/>
    <x v="0"/>
    <x v="0"/>
    <x v="2"/>
    <x v="126"/>
    <x v="0"/>
    <n v="4"/>
    <n v="223"/>
    <x v="0"/>
    <x v="1"/>
    <n v="2.5641025641025641E-3"/>
    <x v="35"/>
    <x v="4"/>
    <s v="OK"/>
    <x v="0"/>
    <s v="OK"/>
    <x v="0"/>
    <x v="0"/>
    <n v="1"/>
    <n v="0"/>
    <n v="0"/>
    <n v="0"/>
    <x v="0"/>
    <x v="0"/>
    <x v="0"/>
  </r>
  <r>
    <n v="20296637697"/>
    <x v="2"/>
    <x v="2"/>
    <x v="2871"/>
    <x v="2882"/>
    <x v="2501"/>
    <n v="2"/>
    <x v="20"/>
    <s v="PV01BIS - PV01 - PV02 Y PV03"/>
    <s v="ASENTAMIENTO HUMANO NUEVO PROGRESO MZ. E LT. 9 3ER SECTOR - VILLA MARIA DEL TRIUNFO - LIMA"/>
    <x v="8"/>
    <x v="0"/>
    <x v="0"/>
    <x v="2"/>
    <x v="36"/>
    <x v="0"/>
    <n v="4"/>
    <n v="205"/>
    <x v="0"/>
    <x v="1"/>
    <n v="2.5641025641025641E-3"/>
    <x v="38"/>
    <x v="4"/>
    <s v="OK"/>
    <x v="0"/>
    <s v="OK"/>
    <x v="0"/>
    <x v="0"/>
    <n v="1"/>
    <n v="0"/>
    <n v="0"/>
    <n v="0"/>
    <x v="0"/>
    <x v="0"/>
    <x v="0"/>
  </r>
  <r>
    <n v="20296637697"/>
    <x v="2"/>
    <x v="2"/>
    <x v="2872"/>
    <x v="2883"/>
    <x v="2502"/>
    <n v="2"/>
    <x v="67"/>
    <s v="PV01BIS - PV01 - PV02 Y PV03"/>
    <s v="AV ARENALES S/N"/>
    <x v="354"/>
    <x v="0"/>
    <x v="0"/>
    <x v="2"/>
    <x v="149"/>
    <x v="0"/>
    <n v="4"/>
    <n v="196"/>
    <x v="0"/>
    <x v="1"/>
    <n v="2.5641025641025641E-3"/>
    <x v="39"/>
    <x v="4"/>
    <s v="OK"/>
    <x v="0"/>
    <s v="OK"/>
    <x v="0"/>
    <x v="0"/>
    <n v="1"/>
    <n v="0"/>
    <n v="0"/>
    <n v="0"/>
    <x v="0"/>
    <x v="0"/>
    <x v="0"/>
  </r>
  <r>
    <n v="20296637697"/>
    <x v="2"/>
    <x v="2"/>
    <x v="2873"/>
    <x v="2884"/>
    <x v="2503"/>
    <n v="2"/>
    <x v="11"/>
    <s v="PV01BIS - PV01 - PV02 Y PV03"/>
    <s v="ASOC PROGRAMA DE VV ANDRES AVELINO CACERES MZ G LT10"/>
    <x v="1"/>
    <x v="0"/>
    <x v="0"/>
    <x v="2"/>
    <x v="36"/>
    <x v="0"/>
    <n v="4"/>
    <n v="212"/>
    <x v="0"/>
    <x v="1"/>
    <n v="2.5641025641025641E-3"/>
    <x v="38"/>
    <x v="4"/>
    <s v="OK"/>
    <x v="1"/>
    <s v="OK"/>
    <x v="0"/>
    <x v="0"/>
    <n v="1"/>
    <n v="1"/>
    <n v="0"/>
    <n v="0"/>
    <x v="0"/>
    <x v="0"/>
    <x v="0"/>
  </r>
  <r>
    <n v="20296637697"/>
    <x v="2"/>
    <x v="2"/>
    <x v="2874"/>
    <x v="2885"/>
    <x v="2504"/>
    <n v="2"/>
    <x v="67"/>
    <s v="PV01BIS - PV01 - PV02 Y PV03"/>
    <s v="CALLE S/N 1 DE SETIEMBRE MZ.A LT.06"/>
    <x v="10"/>
    <x v="0"/>
    <x v="0"/>
    <x v="2"/>
    <x v="25"/>
    <x v="0"/>
    <n v="4"/>
    <n v="202"/>
    <x v="0"/>
    <x v="1"/>
    <n v="2.5641025641025641E-3"/>
    <x v="40"/>
    <x v="4"/>
    <s v="OK"/>
    <x v="0"/>
    <s v="OK"/>
    <x v="0"/>
    <x v="0"/>
    <n v="1"/>
    <n v="0"/>
    <n v="0"/>
    <n v="0"/>
    <x v="0"/>
    <x v="0"/>
    <x v="0"/>
  </r>
  <r>
    <n v="20296637697"/>
    <x v="2"/>
    <x v="2"/>
    <x v="2875"/>
    <x v="2886"/>
    <x v="2505"/>
    <n v="2"/>
    <x v="11"/>
    <s v="PV01BIS - PV01 - PV02 Y PV03"/>
    <s v="URB.RAMON CASTILLA MZ.F LT.13"/>
    <x v="6"/>
    <x v="0"/>
    <x v="0"/>
    <x v="2"/>
    <x v="186"/>
    <x v="0"/>
    <n v="4"/>
    <n v="84"/>
    <x v="0"/>
    <x v="1"/>
    <n v="2.5641025641025641E-3"/>
    <x v="35"/>
    <x v="4"/>
    <s v="OK"/>
    <x v="2"/>
    <s v="OK"/>
    <x v="0"/>
    <x v="0"/>
    <n v="1"/>
    <n v="1"/>
    <n v="1"/>
    <n v="0"/>
    <x v="0"/>
    <x v="0"/>
    <x v="1"/>
  </r>
  <r>
    <n v="20296637697"/>
    <x v="2"/>
    <x v="2"/>
    <x v="2876"/>
    <x v="2887"/>
    <x v="2506"/>
    <n v="2"/>
    <x v="12"/>
    <s v="PV01BIS - PV01 - PV02 Y PV03"/>
    <s v="CALLE LOS NARANJOS MZ A LT 24"/>
    <x v="159"/>
    <x v="0"/>
    <x v="0"/>
    <x v="2"/>
    <x v="25"/>
    <x v="0"/>
    <n v="4"/>
    <n v="220"/>
    <x v="0"/>
    <x v="1"/>
    <n v="2.5641025641025641E-3"/>
    <x v="36"/>
    <x v="4"/>
    <s v="OK"/>
    <x v="0"/>
    <s v="OK"/>
    <x v="0"/>
    <x v="0"/>
    <n v="1"/>
    <n v="0"/>
    <n v="0"/>
    <n v="0"/>
    <x v="0"/>
    <x v="0"/>
    <x v="0"/>
  </r>
  <r>
    <n v="20296637697"/>
    <x v="2"/>
    <x v="2"/>
    <x v="2877"/>
    <x v="2888"/>
    <x v="2507"/>
    <n v="2"/>
    <x v="67"/>
    <s v="PV01BIS - PV01 - PV02 Y PV03"/>
    <s v="SANTA MARIA ALTA HUACHIPA "/>
    <x v="50"/>
    <x v="0"/>
    <x v="0"/>
    <x v="2"/>
    <x v="38"/>
    <x v="0"/>
    <n v="4"/>
    <n v="236"/>
    <x v="0"/>
    <x v="1"/>
    <n v="2.5641025641025641E-3"/>
    <x v="35"/>
    <x v="4"/>
    <s v="OK"/>
    <x v="0"/>
    <s v="OK"/>
    <x v="0"/>
    <x v="0"/>
    <n v="1"/>
    <n v="0"/>
    <n v="0"/>
    <n v="0"/>
    <x v="0"/>
    <x v="0"/>
    <x v="0"/>
  </r>
  <r>
    <n v="20296637697"/>
    <x v="2"/>
    <x v="2"/>
    <x v="2878"/>
    <x v="2889"/>
    <x v="2508"/>
    <n v="2"/>
    <x v="11"/>
    <s v="PV01BIS - PV01 - PV02 Y PV03"/>
    <s v="CALLE 2 DE MAYO 102"/>
    <x v="226"/>
    <x v="0"/>
    <x v="0"/>
    <x v="2"/>
    <x v="36"/>
    <x v="0"/>
    <n v="4"/>
    <n v="218"/>
    <x v="0"/>
    <x v="1"/>
    <n v="2.5641025641025641E-3"/>
    <x v="39"/>
    <x v="4"/>
    <s v="OK"/>
    <x v="0"/>
    <s v="OK"/>
    <x v="0"/>
    <x v="0"/>
    <n v="1"/>
    <n v="0"/>
    <n v="0"/>
    <n v="0"/>
    <x v="0"/>
    <x v="0"/>
    <x v="0"/>
  </r>
  <r>
    <n v="20296637697"/>
    <x v="2"/>
    <x v="2"/>
    <x v="2879"/>
    <x v="2890"/>
    <x v="2509"/>
    <n v="1"/>
    <x v="90"/>
    <s v="ESTACION 05 CCM2L"/>
    <s v="CALLE JOSE OLAYA N° 22 - CHICLIN ASCOPE LA LIBERTAD"/>
    <x v="101"/>
    <x v="0"/>
    <x v="0"/>
    <x v="1"/>
    <x v="147"/>
    <x v="0"/>
    <n v="1"/>
    <n v="200.5"/>
    <x v="0"/>
    <x v="1"/>
    <n v="2.5641025641025641E-3"/>
    <x v="37"/>
    <x v="4"/>
    <s v="OK"/>
    <x v="0"/>
    <s v="OK"/>
    <x v="0"/>
    <x v="0"/>
    <n v="1"/>
    <n v="0"/>
    <n v="0"/>
    <n v="0"/>
    <x v="0"/>
    <x v="0"/>
    <x v="0"/>
  </r>
  <r>
    <n v="20296637697"/>
    <x v="2"/>
    <x v="2"/>
    <x v="2880"/>
    <x v="2891"/>
    <x v="2510"/>
    <n v="1"/>
    <x v="52"/>
    <s v="ESTACION 05 CCM2L"/>
    <s v="AV. CAMINOS DEL INCA # 2760 BLOCK A DPTO 203 SANTIAGO DE SURCO LIMA"/>
    <x v="225"/>
    <x v="0"/>
    <x v="0"/>
    <x v="1"/>
    <x v="191"/>
    <x v="0"/>
    <n v="2"/>
    <n v="200.5"/>
    <x v="0"/>
    <x v="1"/>
    <n v="2.5641025641025641E-3"/>
    <x v="32"/>
    <x v="4"/>
    <s v="OK"/>
    <x v="0"/>
    <s v="OK"/>
    <x v="0"/>
    <x v="0"/>
    <n v="1"/>
    <n v="0"/>
    <n v="0"/>
    <n v="0"/>
    <x v="0"/>
    <x v="0"/>
    <x v="0"/>
  </r>
  <r>
    <n v="20296637697"/>
    <x v="2"/>
    <x v="2"/>
    <x v="2881"/>
    <x v="2892"/>
    <x v="2511"/>
    <n v="1"/>
    <x v="120"/>
    <s v="ESTACION 05 CCM2L"/>
    <s v="JR. TUNGASUCA # 179 URB PAYET INDEPENDENCIA LIMA"/>
    <x v="44"/>
    <x v="0"/>
    <x v="0"/>
    <x v="1"/>
    <x v="191"/>
    <x v="0"/>
    <n v="2"/>
    <n v="200.5"/>
    <x v="0"/>
    <x v="1"/>
    <n v="2.5641025641025641E-3"/>
    <x v="33"/>
    <x v="4"/>
    <s v="OK"/>
    <x v="0"/>
    <s v="OK"/>
    <x v="0"/>
    <x v="0"/>
    <n v="1"/>
    <n v="0"/>
    <n v="0"/>
    <n v="0"/>
    <x v="0"/>
    <x v="0"/>
    <x v="0"/>
  </r>
  <r>
    <n v="20296637697"/>
    <x v="2"/>
    <x v="2"/>
    <x v="2882"/>
    <x v="2893"/>
    <x v="2512"/>
    <n v="2"/>
    <x v="67"/>
    <s v="ESTACION 05 CCM2L"/>
    <s v="AV. CENTRAL W3 LT 08 AA.HH. SOLIDARIDAD 3RA ETAPA"/>
    <x v="53"/>
    <x v="0"/>
    <x v="0"/>
    <x v="1"/>
    <x v="106"/>
    <x v="0"/>
    <n v="4"/>
    <n v="251"/>
    <x v="0"/>
    <x v="1"/>
    <n v="2.5641025641025641E-3"/>
    <x v="37"/>
    <x v="4"/>
    <s v="OK"/>
    <x v="0"/>
    <s v="OK"/>
    <x v="0"/>
    <x v="0"/>
    <n v="1"/>
    <n v="0"/>
    <n v="0"/>
    <n v="0"/>
    <x v="0"/>
    <x v="0"/>
    <x v="0"/>
  </r>
  <r>
    <n v="20296637697"/>
    <x v="2"/>
    <x v="2"/>
    <x v="2883"/>
    <x v="2894"/>
    <x v="2513"/>
    <n v="2"/>
    <x v="2"/>
    <s v="ESTACION 05 CCM2L"/>
    <s v="COOP VIRGEN DE LAS NIEVES MZ C LT 5 SANTA ANITA LIMA"/>
    <x v="27"/>
    <x v="0"/>
    <x v="0"/>
    <x v="1"/>
    <x v="642"/>
    <x v="0"/>
    <n v="4"/>
    <n v="208"/>
    <x v="0"/>
    <x v="1"/>
    <n v="2.5641025641025641E-3"/>
    <x v="36"/>
    <x v="4"/>
    <s v="OK"/>
    <x v="5"/>
    <s v="OK"/>
    <x v="0"/>
    <x v="0"/>
    <n v="1"/>
    <n v="1"/>
    <n v="0"/>
    <n v="0"/>
    <x v="0"/>
    <x v="0"/>
    <x v="0"/>
  </r>
  <r>
    <n v="20296637697"/>
    <x v="2"/>
    <x v="2"/>
    <x v="2884"/>
    <x v="2895"/>
    <x v="2514"/>
    <n v="2"/>
    <x v="18"/>
    <s v="ESTACION 05 CCM2L"/>
    <s v="CALLE ESPAÑA 11 CHICLIN CHICAMA ASCOPE LA LIBERTAD"/>
    <x v="101"/>
    <x v="0"/>
    <x v="0"/>
    <x v="1"/>
    <x v="171"/>
    <x v="0"/>
    <n v="4"/>
    <n v="221"/>
    <x v="0"/>
    <x v="1"/>
    <n v="2.5641025641025641E-3"/>
    <x v="36"/>
    <x v="4"/>
    <s v="OK"/>
    <x v="0"/>
    <s v="OK"/>
    <x v="0"/>
    <x v="0"/>
    <n v="1"/>
    <n v="0"/>
    <n v="0"/>
    <n v="0"/>
    <x v="0"/>
    <x v="0"/>
    <x v="0"/>
  </r>
  <r>
    <n v="20296637697"/>
    <x v="46"/>
    <x v="2"/>
    <x v="2885"/>
    <x v="2896"/>
    <x v="2515"/>
    <n v="2"/>
    <x v="76"/>
    <s v="ESTACION 05 CCM2L"/>
    <s v="COOP. DE VIV LA FLORESTA MZ B LT 5"/>
    <x v="156"/>
    <x v="0"/>
    <x v="0"/>
    <x v="1"/>
    <x v="171"/>
    <x v="0"/>
    <n v="4"/>
    <n v="200.5"/>
    <x v="0"/>
    <x v="0"/>
    <n v="2.5641025641025641E-3"/>
    <x v="34"/>
    <x v="4"/>
    <s v="OK"/>
    <x v="0"/>
    <s v="OK"/>
    <x v="0"/>
    <x v="0"/>
    <n v="1"/>
    <n v="0"/>
    <n v="0"/>
    <n v="0"/>
    <x v="0"/>
    <x v="0"/>
    <x v="0"/>
  </r>
  <r>
    <n v="20296637697"/>
    <x v="2"/>
    <x v="2"/>
    <x v="2886"/>
    <x v="2897"/>
    <x v="2516"/>
    <n v="2"/>
    <x v="67"/>
    <s v="ESTACION 05 CCM2L"/>
    <s v="MZ A LT 16  ASENT.H. FRATERNIDAD II LA ESPERANZA TRUJILLO LA LIBERTAD"/>
    <x v="218"/>
    <x v="0"/>
    <x v="0"/>
    <x v="1"/>
    <x v="21"/>
    <x v="0"/>
    <n v="4"/>
    <n v="254.5"/>
    <x v="0"/>
    <x v="1"/>
    <n v="2.5641025641025641E-3"/>
    <x v="34"/>
    <x v="4"/>
    <s v="OK"/>
    <x v="0"/>
    <s v="OK"/>
    <x v="0"/>
    <x v="0"/>
    <n v="1"/>
    <n v="0"/>
    <n v="0"/>
    <n v="0"/>
    <x v="0"/>
    <x v="0"/>
    <x v="0"/>
  </r>
  <r>
    <n v="20296637697"/>
    <x v="2"/>
    <x v="2"/>
    <x v="2887"/>
    <x v="2898"/>
    <x v="2517"/>
    <n v="2"/>
    <x v="11"/>
    <s v="ESTACION 05 CCM2L"/>
    <s v="AV. ARRIAGA 651 CHICAMA ASCOPE LA LIBERTAD"/>
    <x v="101"/>
    <x v="0"/>
    <x v="0"/>
    <x v="1"/>
    <x v="53"/>
    <x v="0"/>
    <n v="4"/>
    <n v="233.5"/>
    <x v="0"/>
    <x v="1"/>
    <n v="2.5641025641025641E-3"/>
    <x v="32"/>
    <x v="4"/>
    <s v="OK"/>
    <x v="0"/>
    <s v="OK"/>
    <x v="0"/>
    <x v="0"/>
    <n v="1"/>
    <n v="0"/>
    <n v="0"/>
    <n v="0"/>
    <x v="0"/>
    <x v="0"/>
    <x v="0"/>
  </r>
  <r>
    <n v="20296637697"/>
    <x v="2"/>
    <x v="2"/>
    <x v="2888"/>
    <x v="2899"/>
    <x v="2518"/>
    <n v="2"/>
    <x v="11"/>
    <s v="ESTACION 05 CCM2L"/>
    <s v="AA.HH. INCA WASI AMP. MZ B-02 LTE 02 VENTANILLA CALLAO"/>
    <x v="6"/>
    <x v="0"/>
    <x v="0"/>
    <x v="1"/>
    <x v="464"/>
    <x v="0"/>
    <n v="4"/>
    <n v="22.5"/>
    <x v="0"/>
    <x v="1"/>
    <n v="2.5641025641025641E-3"/>
    <x v="39"/>
    <x v="4"/>
    <s v="OK"/>
    <x v="2"/>
    <s v="OK"/>
    <x v="0"/>
    <x v="0"/>
    <n v="1"/>
    <n v="1"/>
    <n v="1"/>
    <n v="0"/>
    <x v="0"/>
    <x v="0"/>
    <x v="1"/>
  </r>
  <r>
    <n v="20296637697"/>
    <x v="2"/>
    <x v="2"/>
    <x v="2889"/>
    <x v="2900"/>
    <x v="2519"/>
    <n v="2"/>
    <x v="212"/>
    <s v="ESTACION 05 CCM2L"/>
    <s v="AV. 02 DE MAYO # 101 PLAYA RIMAC CALLAO CALLAO"/>
    <x v="6"/>
    <x v="0"/>
    <x v="0"/>
    <x v="1"/>
    <x v="464"/>
    <x v="0"/>
    <n v="4"/>
    <n v="27.5"/>
    <x v="0"/>
    <x v="1"/>
    <n v="2.5641025641025641E-3"/>
    <x v="37"/>
    <x v="4"/>
    <s v="OK"/>
    <x v="2"/>
    <s v="OK"/>
    <x v="0"/>
    <x v="0"/>
    <n v="1"/>
    <n v="1"/>
    <n v="1"/>
    <n v="0"/>
    <x v="0"/>
    <x v="0"/>
    <x v="1"/>
  </r>
  <r>
    <n v="20296637697"/>
    <x v="2"/>
    <x v="2"/>
    <x v="2890"/>
    <x v="2901"/>
    <x v="2520"/>
    <n v="2"/>
    <x v="212"/>
    <s v="ESTACION 05 CCM2L"/>
    <s v="CALLE LOS POMPOS AA.HH. ANCIETA ALTA ETAPA 2DA MZ. D2 LT. 16 EL AGUSTINO LIMA"/>
    <x v="46"/>
    <x v="0"/>
    <x v="0"/>
    <x v="1"/>
    <x v="30"/>
    <x v="0"/>
    <n v="4"/>
    <n v="40"/>
    <x v="0"/>
    <x v="1"/>
    <n v="2.5641025641025641E-3"/>
    <x v="33"/>
    <x v="4"/>
    <s v="OK"/>
    <x v="7"/>
    <s v="OK"/>
    <x v="0"/>
    <x v="0"/>
    <n v="1"/>
    <n v="1"/>
    <n v="1"/>
    <n v="0"/>
    <x v="0"/>
    <x v="0"/>
    <x v="1"/>
  </r>
  <r>
    <n v="20603315201"/>
    <x v="48"/>
    <x v="3"/>
    <x v="2891"/>
    <x v="2902"/>
    <x v="2521"/>
    <n v="3"/>
    <x v="374"/>
    <s v="1a - PTBN"/>
    <s v="Jr. pinar del rio 2947 "/>
    <x v="3"/>
    <x v="0"/>
    <x v="0"/>
    <x v="2"/>
    <x v="194"/>
    <x v="0"/>
    <n v="1"/>
    <n v="120"/>
    <x v="0"/>
    <x v="1"/>
    <n v="9.0909090909090912E-2"/>
    <x v="35"/>
    <x v="4"/>
    <s v="OK"/>
    <x v="0"/>
    <s v="OK"/>
    <x v="0"/>
    <x v="0"/>
    <n v="1"/>
    <n v="0"/>
    <n v="0"/>
    <n v="0"/>
    <x v="0"/>
    <x v="0"/>
    <x v="0"/>
  </r>
  <r>
    <n v="20601010128"/>
    <x v="4"/>
    <x v="4"/>
    <x v="2892"/>
    <x v="2903"/>
    <x v="2522"/>
    <n v="1"/>
    <x v="308"/>
    <s v="ESTACION 17 Y 18"/>
    <s v="AV. MICAELA BASTIDAS 152"/>
    <x v="127"/>
    <x v="0"/>
    <x v="0"/>
    <x v="1"/>
    <x v="196"/>
    <x v="0"/>
    <n v="2"/>
    <n v="176"/>
    <x v="0"/>
    <x v="1"/>
    <n v="2.8571428571428571E-2"/>
    <x v="39"/>
    <x v="4"/>
    <s v="OK"/>
    <x v="0"/>
    <s v="OK"/>
    <x v="0"/>
    <x v="0"/>
    <n v="1"/>
    <n v="0"/>
    <n v="0"/>
    <n v="0"/>
    <x v="0"/>
    <x v="0"/>
    <x v="0"/>
  </r>
  <r>
    <n v="20601010128"/>
    <x v="4"/>
    <x v="4"/>
    <x v="2893"/>
    <x v="2904"/>
    <x v="2523"/>
    <n v="1"/>
    <x v="84"/>
    <s v="ESTACION 17 Y 18"/>
    <s v="LAS VEGAS MZ. C LT. 1G"/>
    <x v="50"/>
    <x v="0"/>
    <x v="0"/>
    <x v="1"/>
    <x v="82"/>
    <x v="0"/>
    <n v="2"/>
    <n v="176"/>
    <x v="0"/>
    <x v="1"/>
    <n v="2.8571428571428571E-2"/>
    <x v="36"/>
    <x v="4"/>
    <s v="OK"/>
    <x v="0"/>
    <s v="OK"/>
    <x v="0"/>
    <x v="0"/>
    <n v="1"/>
    <n v="0"/>
    <n v="0"/>
    <n v="0"/>
    <x v="0"/>
    <x v="0"/>
    <x v="0"/>
  </r>
  <r>
    <n v="20609301288"/>
    <x v="5"/>
    <x v="5"/>
    <x v="2894"/>
    <x v="2905"/>
    <x v="2524"/>
    <n v="2"/>
    <x v="20"/>
    <s v="POZO VENTILACIÓN 16"/>
    <s v="MZ K LT.26 2DA ETAPA ASENT. H KUMAMOTO"/>
    <x v="2"/>
    <x v="0"/>
    <x v="0"/>
    <x v="2"/>
    <x v="222"/>
    <x v="0"/>
    <n v="4"/>
    <n v="47"/>
    <x v="0"/>
    <x v="1"/>
    <n v="9.0909090909090912E-2"/>
    <x v="35"/>
    <x v="4"/>
    <s v="OK"/>
    <x v="2"/>
    <s v="OK"/>
    <x v="0"/>
    <x v="0"/>
    <n v="1"/>
    <n v="1"/>
    <n v="0"/>
    <n v="0"/>
    <x v="0"/>
    <x v="0"/>
    <x v="0"/>
  </r>
  <r>
    <n v="20603070447"/>
    <x v="50"/>
    <x v="37"/>
    <x v="2895"/>
    <x v="2906"/>
    <x v="2525"/>
    <n v="2"/>
    <x v="83"/>
    <s v="E2-4"/>
    <s v="Mz. B Lt. 13 Pasaje Chabuca"/>
    <x v="10"/>
    <x v="0"/>
    <x v="0"/>
    <x v="2"/>
    <x v="103"/>
    <x v="0"/>
    <n v="4"/>
    <n v="96"/>
    <x v="0"/>
    <x v="1"/>
    <n v="4.7619047619047616E-2"/>
    <x v="39"/>
    <x v="4"/>
    <s v="OK"/>
    <x v="0"/>
    <s v="OK"/>
    <x v="0"/>
    <x v="0"/>
    <n v="1"/>
    <n v="0"/>
    <n v="1"/>
    <n v="0"/>
    <x v="0"/>
    <x v="0"/>
    <x v="1"/>
  </r>
  <r>
    <n v="20603639520"/>
    <x v="51"/>
    <x v="38"/>
    <x v="2896"/>
    <x v="2907"/>
    <x v="2526"/>
    <n v="3"/>
    <x v="11"/>
    <s v="E11"/>
    <s v="URB. MELCHORITA MZ. B LOTE 11"/>
    <x v="254"/>
    <x v="0"/>
    <x v="0"/>
    <x v="1"/>
    <x v="770"/>
    <x v="0"/>
    <n v="4"/>
    <n v="240"/>
    <x v="0"/>
    <x v="1"/>
    <n v="4.3478260869565216E-2"/>
    <x v="39"/>
    <x v="4"/>
    <s v="OK"/>
    <x v="0"/>
    <s v="OK"/>
    <x v="0"/>
    <x v="0"/>
    <n v="1"/>
    <n v="0"/>
    <n v="0"/>
    <n v="0"/>
    <x v="0"/>
    <x v="0"/>
    <x v="0"/>
  </r>
  <r>
    <n v="20603639520"/>
    <x v="51"/>
    <x v="38"/>
    <x v="2897"/>
    <x v="2908"/>
    <x v="2527"/>
    <n v="6"/>
    <x v="11"/>
    <s v="E11"/>
    <s v="MZ J4 LT 04 SECT 8 GRUPO RED B4 PACHACUTEC"/>
    <x v="2"/>
    <x v="0"/>
    <x v="2"/>
    <x v="1"/>
    <x v="771"/>
    <x v="2"/>
    <n v="4"/>
    <n v="8"/>
    <x v="0"/>
    <x v="1"/>
    <n v="4.3478260869565216E-2"/>
    <x v="39"/>
    <x v="4"/>
    <s v="OK"/>
    <x v="2"/>
    <s v="OK"/>
    <x v="0"/>
    <x v="1"/>
    <n v="0.5"/>
    <n v="0.5"/>
    <n v="0"/>
    <n v="1"/>
    <x v="0"/>
    <x v="1"/>
    <x v="0"/>
  </r>
  <r>
    <n v="20603639520"/>
    <x v="51"/>
    <x v="38"/>
    <x v="2898"/>
    <x v="2909"/>
    <x v="2528"/>
    <n v="9"/>
    <x v="52"/>
    <s v="E11"/>
    <s v="MONTERO ROSA 343 AÑO NUEVO"/>
    <x v="0"/>
    <x v="0"/>
    <x v="0"/>
    <x v="1"/>
    <x v="267"/>
    <x v="0"/>
    <n v="1"/>
    <n v="240"/>
    <x v="0"/>
    <x v="1"/>
    <n v="4.3478260869565216E-2"/>
    <x v="36"/>
    <x v="4"/>
    <s v="OK"/>
    <x v="0"/>
    <s v="OK"/>
    <x v="0"/>
    <x v="0"/>
    <n v="1"/>
    <n v="0"/>
    <n v="0"/>
    <n v="0"/>
    <x v="0"/>
    <x v="0"/>
    <x v="0"/>
  </r>
  <r>
    <n v="20608901567"/>
    <x v="52"/>
    <x v="39"/>
    <x v="2899"/>
    <x v="2910"/>
    <x v="2529"/>
    <n v="3"/>
    <x v="86"/>
    <s v="ESTACION 18"/>
    <s v="PASAJE CANCHACANCHA AAHH. SAN ALBINO MZ.D14 LT.1"/>
    <x v="44"/>
    <x v="0"/>
    <x v="19"/>
    <x v="2"/>
    <x v="128"/>
    <x v="0"/>
    <n v="1"/>
    <n v="200"/>
    <x v="0"/>
    <x v="1"/>
    <n v="0.125"/>
    <x v="34"/>
    <x v="4"/>
    <s v="OK"/>
    <x v="0"/>
    <s v="OK"/>
    <x v="0"/>
    <x v="0"/>
    <n v="1"/>
    <n v="0"/>
    <n v="0"/>
    <n v="0"/>
    <x v="1"/>
    <x v="2"/>
    <x v="0"/>
  </r>
  <r>
    <s v="20600535634"/>
    <x v="6"/>
    <x v="6"/>
    <x v="2900"/>
    <x v="2911"/>
    <x v="2530"/>
    <n v="2"/>
    <x v="10"/>
    <s v="ESTACION E018/E016"/>
    <s v="AA.HH TUCPAC AMARU MZ D LTE 1 ZONA 2"/>
    <x v="1"/>
    <x v="0"/>
    <x v="0"/>
    <x v="2"/>
    <x v="26"/>
    <x v="0"/>
    <n v="4"/>
    <n v="176"/>
    <x v="0"/>
    <x v="1"/>
    <n v="2.4390243902439025E-2"/>
    <x v="37"/>
    <x v="4"/>
    <s v="OK"/>
    <x v="1"/>
    <s v="OK"/>
    <x v="0"/>
    <x v="0"/>
    <n v="1"/>
    <n v="1"/>
    <n v="0"/>
    <n v="0"/>
    <x v="0"/>
    <x v="0"/>
    <x v="0"/>
  </r>
  <r>
    <s v="20600535634"/>
    <x v="6"/>
    <x v="6"/>
    <x v="2901"/>
    <x v="2912"/>
    <x v="2531"/>
    <n v="2"/>
    <x v="20"/>
    <s v="ESTACION E018"/>
    <s v="MZ M LT 8 ASENT. H. LAS CASUARINAS DE CARABAYLLO"/>
    <x v="54"/>
    <x v="0"/>
    <x v="0"/>
    <x v="2"/>
    <x v="4"/>
    <x v="0"/>
    <n v="4"/>
    <n v="8"/>
    <x v="0"/>
    <x v="1"/>
    <n v="2.4390243902439025E-2"/>
    <x v="39"/>
    <x v="4"/>
    <s v="OK"/>
    <x v="0"/>
    <s v="OK"/>
    <x v="0"/>
    <x v="0"/>
    <n v="1"/>
    <n v="0"/>
    <n v="1"/>
    <n v="0"/>
    <x v="0"/>
    <x v="0"/>
    <x v="1"/>
  </r>
  <r>
    <s v="20562719700"/>
    <x v="7"/>
    <x v="7"/>
    <x v="2902"/>
    <x v="2913"/>
    <x v="2532"/>
    <n v="1"/>
    <x v="93"/>
    <s v="ESTACION 09"/>
    <s v="JOSE GRANDA 225"/>
    <x v="3"/>
    <x v="0"/>
    <x v="0"/>
    <x v="2"/>
    <x v="8"/>
    <x v="0"/>
    <n v="2"/>
    <n v="192"/>
    <x v="0"/>
    <x v="1"/>
    <n v="5.7803468208092483E-3"/>
    <x v="40"/>
    <x v="4"/>
    <s v="OK"/>
    <x v="0"/>
    <s v="OK"/>
    <x v="0"/>
    <x v="0"/>
    <n v="1"/>
    <n v="0"/>
    <n v="0"/>
    <n v="0"/>
    <x v="0"/>
    <x v="0"/>
    <x v="0"/>
  </r>
  <r>
    <s v="20562719700"/>
    <x v="7"/>
    <x v="7"/>
    <x v="2903"/>
    <x v="2914"/>
    <x v="2533"/>
    <n v="1"/>
    <x v="88"/>
    <s v="ESTACION 10"/>
    <s v="JR. CORICANCHA 360 CESAR VALLEJOS LIMA-LIMA-VILLA MARIA DEL TRIUNFO"/>
    <x v="8"/>
    <x v="0"/>
    <x v="0"/>
    <x v="2"/>
    <x v="772"/>
    <x v="0"/>
    <n v="2"/>
    <n v="192"/>
    <x v="0"/>
    <x v="1"/>
    <n v="5.7803468208092483E-3"/>
    <x v="38"/>
    <x v="4"/>
    <s v="OK"/>
    <x v="0"/>
    <s v="OK"/>
    <x v="0"/>
    <x v="0"/>
    <n v="1"/>
    <n v="0"/>
    <n v="0"/>
    <n v="0"/>
    <x v="0"/>
    <x v="0"/>
    <x v="0"/>
  </r>
  <r>
    <s v="20562719700"/>
    <x v="7"/>
    <x v="7"/>
    <x v="2904"/>
    <x v="2915"/>
    <x v="2534"/>
    <m/>
    <x v="4"/>
    <s v="ESTACION 10"/>
    <s v="015001042-VILLA EL SALVADOR"/>
    <x v="19"/>
    <x v="0"/>
    <x v="0"/>
    <x v="2"/>
    <x v="773"/>
    <x v="0"/>
    <n v="4"/>
    <n v="192"/>
    <x v="0"/>
    <x v="1"/>
    <n v="5.7803468208092483E-3"/>
    <x v="40"/>
    <x v="4"/>
    <s v="OK"/>
    <x v="0"/>
    <s v="OK"/>
    <x v="0"/>
    <x v="0"/>
    <n v="1"/>
    <n v="0"/>
    <n v="0"/>
    <n v="0"/>
    <x v="0"/>
    <x v="0"/>
    <x v="0"/>
  </r>
  <r>
    <s v="20562719700"/>
    <x v="7"/>
    <x v="7"/>
    <x v="2905"/>
    <x v="2916"/>
    <x v="2535"/>
    <m/>
    <x v="59"/>
    <s v="ESTACION 08"/>
    <s v="BLOCK 62 DPTO. 428 U. VECINAL  MIRONES"/>
    <x v="10"/>
    <x v="0"/>
    <x v="0"/>
    <x v="2"/>
    <x v="743"/>
    <x v="0"/>
    <n v="4"/>
    <n v="192"/>
    <x v="0"/>
    <x v="1"/>
    <n v="5.7803468208092483E-3"/>
    <x v="35"/>
    <x v="4"/>
    <s v="OK"/>
    <x v="0"/>
    <s v="OK"/>
    <x v="0"/>
    <x v="0"/>
    <n v="1"/>
    <n v="0"/>
    <n v="0"/>
    <n v="0"/>
    <x v="0"/>
    <x v="0"/>
    <x v="0"/>
  </r>
  <r>
    <s v="20562719700"/>
    <x v="7"/>
    <x v="7"/>
    <x v="2906"/>
    <x v="2917"/>
    <x v="2536"/>
    <m/>
    <x v="4"/>
    <s v="ESTACION 06"/>
    <s v="CIUDADELA CHALACA MZ.R LT.6"/>
    <x v="110"/>
    <x v="0"/>
    <x v="0"/>
    <x v="2"/>
    <x v="162"/>
    <x v="0"/>
    <n v="4"/>
    <n v="192"/>
    <x v="0"/>
    <x v="1"/>
    <n v="5.7803468208092483E-3"/>
    <x v="35"/>
    <x v="4"/>
    <s v="OK"/>
    <x v="2"/>
    <s v="OK"/>
    <x v="0"/>
    <x v="0"/>
    <n v="1"/>
    <n v="1"/>
    <n v="0"/>
    <n v="0"/>
    <x v="0"/>
    <x v="0"/>
    <x v="0"/>
  </r>
  <r>
    <s v="20562719700"/>
    <x v="7"/>
    <x v="7"/>
    <x v="2907"/>
    <x v="2918"/>
    <x v="2537"/>
    <m/>
    <x v="4"/>
    <s v="ESTACION 08"/>
    <s v="CIUDADELA CHALACA MZ.R LT.6"/>
    <x v="28"/>
    <x v="0"/>
    <x v="0"/>
    <x v="2"/>
    <x v="31"/>
    <x v="0"/>
    <n v="4"/>
    <n v="192"/>
    <x v="0"/>
    <x v="1"/>
    <n v="5.7803468208092483E-3"/>
    <x v="39"/>
    <x v="4"/>
    <s v="OK"/>
    <x v="0"/>
    <s v="OK"/>
    <x v="0"/>
    <x v="0"/>
    <n v="1"/>
    <n v="0"/>
    <n v="0"/>
    <n v="0"/>
    <x v="0"/>
    <x v="0"/>
    <x v="0"/>
  </r>
  <r>
    <s v="20562719700"/>
    <x v="7"/>
    <x v="7"/>
    <x v="2908"/>
    <x v="2919"/>
    <x v="2538"/>
    <m/>
    <x v="5"/>
    <s v="PV1 BIS"/>
    <s v="    015-LIMA"/>
    <x v="27"/>
    <x v="0"/>
    <x v="0"/>
    <x v="2"/>
    <x v="774"/>
    <x v="0"/>
    <n v="4"/>
    <n v="192"/>
    <x v="0"/>
    <x v="1"/>
    <n v="5.7803468208092483E-3"/>
    <x v="39"/>
    <x v="4"/>
    <s v="OK"/>
    <x v="5"/>
    <s v="OK"/>
    <x v="0"/>
    <x v="0"/>
    <n v="1"/>
    <n v="1"/>
    <n v="0"/>
    <n v="0"/>
    <x v="0"/>
    <x v="0"/>
    <x v="0"/>
  </r>
  <r>
    <s v="20562719700"/>
    <x v="7"/>
    <x v="7"/>
    <x v="2909"/>
    <x v="2920"/>
    <x v="2539"/>
    <m/>
    <x v="89"/>
    <s v="ESTACION 06"/>
    <s v="SECTOR 2 GRUPO 19"/>
    <x v="19"/>
    <x v="0"/>
    <x v="0"/>
    <x v="2"/>
    <x v="221"/>
    <x v="0"/>
    <n v="4"/>
    <n v="192"/>
    <x v="0"/>
    <x v="1"/>
    <n v="5.7803468208092483E-3"/>
    <x v="35"/>
    <x v="4"/>
    <s v="OK"/>
    <x v="0"/>
    <s v="OK"/>
    <x v="0"/>
    <x v="0"/>
    <n v="1"/>
    <n v="0"/>
    <n v="0"/>
    <n v="0"/>
    <x v="0"/>
    <x v="0"/>
    <x v="0"/>
  </r>
  <r>
    <s v="20562719700"/>
    <x v="7"/>
    <x v="7"/>
    <x v="2910"/>
    <x v="2921"/>
    <x v="2540"/>
    <m/>
    <x v="4"/>
    <s v="ESTACION 16"/>
    <s v="FLOR DE AMANCAES MZ L LT 1 COMITÉ 07 -"/>
    <x v="13"/>
    <x v="0"/>
    <x v="0"/>
    <x v="2"/>
    <x v="497"/>
    <x v="0"/>
    <n v="4"/>
    <n v="192"/>
    <x v="0"/>
    <x v="1"/>
    <n v="5.7803468208092483E-3"/>
    <x v="38"/>
    <x v="4"/>
    <s v="OK"/>
    <x v="0"/>
    <s v="OK"/>
    <x v="0"/>
    <x v="0"/>
    <n v="1"/>
    <n v="0"/>
    <n v="0"/>
    <n v="0"/>
    <x v="0"/>
    <x v="0"/>
    <x v="0"/>
  </r>
  <r>
    <s v="20562719700"/>
    <x v="7"/>
    <x v="7"/>
    <x v="2911"/>
    <x v="2922"/>
    <x v="2541"/>
    <m/>
    <x v="4"/>
    <s v="ESTACION 08"/>
    <s v="ASC. POSESIONARIOS LOBERA LA MESETA MZ V1 LT 11"/>
    <x v="10"/>
    <x v="0"/>
    <x v="0"/>
    <x v="2"/>
    <x v="31"/>
    <x v="0"/>
    <n v="4"/>
    <n v="192"/>
    <x v="0"/>
    <x v="1"/>
    <n v="5.7803468208092483E-3"/>
    <x v="35"/>
    <x v="4"/>
    <s v="OK"/>
    <x v="0"/>
    <s v="OK"/>
    <x v="0"/>
    <x v="0"/>
    <n v="1"/>
    <n v="0"/>
    <n v="0"/>
    <n v="0"/>
    <x v="0"/>
    <x v="0"/>
    <x v="0"/>
  </r>
  <r>
    <s v="20562719700"/>
    <x v="7"/>
    <x v="7"/>
    <x v="2912"/>
    <x v="2923"/>
    <x v="2542"/>
    <m/>
    <x v="4"/>
    <s v="ESTACION 10"/>
    <s v="MZ J LT 15 SAN PEDRO    015-LIMA"/>
    <x v="0"/>
    <x v="0"/>
    <x v="0"/>
    <x v="2"/>
    <x v="774"/>
    <x v="0"/>
    <n v="4"/>
    <n v="192"/>
    <x v="0"/>
    <x v="1"/>
    <n v="5.7803468208092483E-3"/>
    <x v="39"/>
    <x v="4"/>
    <s v="OK"/>
    <x v="0"/>
    <s v="OK"/>
    <x v="0"/>
    <x v="0"/>
    <n v="1"/>
    <n v="0"/>
    <n v="0"/>
    <n v="0"/>
    <x v="0"/>
    <x v="0"/>
    <x v="0"/>
  </r>
  <r>
    <s v="20562719700"/>
    <x v="7"/>
    <x v="7"/>
    <x v="2913"/>
    <x v="2924"/>
    <x v="2543"/>
    <m/>
    <x v="89"/>
    <s v="ESTACION 10"/>
    <s v="PASAJE SANTA ROSA ZONA 1 109   015-LIMA"/>
    <x v="0"/>
    <x v="0"/>
    <x v="0"/>
    <x v="2"/>
    <x v="775"/>
    <x v="0"/>
    <n v="4"/>
    <n v="192"/>
    <x v="0"/>
    <x v="1"/>
    <n v="5.7803468208092483E-3"/>
    <x v="33"/>
    <x v="4"/>
    <s v="OK"/>
    <x v="0"/>
    <s v="OK"/>
    <x v="0"/>
    <x v="0"/>
    <n v="1"/>
    <n v="0"/>
    <n v="0"/>
    <n v="0"/>
    <x v="0"/>
    <x v="0"/>
    <x v="0"/>
  </r>
  <r>
    <s v="20562719700"/>
    <x v="7"/>
    <x v="7"/>
    <x v="2914"/>
    <x v="2925"/>
    <x v="2544"/>
    <m/>
    <x v="4"/>
    <s v="ESTACION 06"/>
    <s v="SECTOR 3 GRUPO 23"/>
    <x v="19"/>
    <x v="0"/>
    <x v="0"/>
    <x v="2"/>
    <x v="221"/>
    <x v="0"/>
    <n v="4"/>
    <n v="192"/>
    <x v="0"/>
    <x v="1"/>
    <n v="5.7803468208092483E-3"/>
    <x v="40"/>
    <x v="4"/>
    <s v="OK"/>
    <x v="0"/>
    <s v="OK"/>
    <x v="0"/>
    <x v="0"/>
    <n v="1"/>
    <n v="0"/>
    <n v="0"/>
    <n v="0"/>
    <x v="0"/>
    <x v="0"/>
    <x v="0"/>
  </r>
  <r>
    <s v="20562719700"/>
    <x v="7"/>
    <x v="7"/>
    <x v="2915"/>
    <x v="2926"/>
    <x v="2545"/>
    <m/>
    <x v="4"/>
    <s v="PV1 BIS"/>
    <s v="CIUDAD DEL PESCADOR    -"/>
    <x v="6"/>
    <x v="0"/>
    <x v="0"/>
    <x v="2"/>
    <x v="776"/>
    <x v="0"/>
    <n v="4"/>
    <n v="192"/>
    <x v="0"/>
    <x v="1"/>
    <n v="5.7803468208092483E-3"/>
    <x v="38"/>
    <x v="4"/>
    <s v="OK"/>
    <x v="2"/>
    <s v="OK"/>
    <x v="0"/>
    <x v="0"/>
    <n v="1"/>
    <n v="1"/>
    <n v="0"/>
    <n v="0"/>
    <x v="0"/>
    <x v="0"/>
    <x v="0"/>
  </r>
  <r>
    <s v="20562719700"/>
    <x v="7"/>
    <x v="7"/>
    <x v="2916"/>
    <x v="2927"/>
    <x v="2546"/>
    <m/>
    <x v="4"/>
    <s v="ESTACION 06"/>
    <s v="JIRON TRUJILLO 458 DPTO. 10"/>
    <x v="13"/>
    <x v="0"/>
    <x v="0"/>
    <x v="2"/>
    <x v="495"/>
    <x v="0"/>
    <n v="4"/>
    <n v="192"/>
    <x v="0"/>
    <x v="1"/>
    <n v="5.7803468208092483E-3"/>
    <x v="39"/>
    <x v="4"/>
    <s v="OK"/>
    <x v="0"/>
    <s v="OK"/>
    <x v="0"/>
    <x v="0"/>
    <n v="1"/>
    <n v="0"/>
    <n v="0"/>
    <n v="0"/>
    <x v="0"/>
    <x v="0"/>
    <x v="0"/>
  </r>
  <r>
    <s v="20562719700"/>
    <x v="7"/>
    <x v="7"/>
    <x v="2917"/>
    <x v="2928"/>
    <x v="2547"/>
    <m/>
    <x v="2"/>
    <s v="ESTACION 06"/>
    <s v="AV. VENEZUELA 3353"/>
    <x v="10"/>
    <x v="0"/>
    <x v="0"/>
    <x v="2"/>
    <x v="319"/>
    <x v="0"/>
    <n v="4"/>
    <n v="192"/>
    <x v="0"/>
    <x v="1"/>
    <n v="5.7803468208092483E-3"/>
    <x v="37"/>
    <x v="4"/>
    <s v="OK"/>
    <x v="0"/>
    <s v="OK"/>
    <x v="0"/>
    <x v="0"/>
    <n v="1"/>
    <n v="0"/>
    <n v="0"/>
    <n v="0"/>
    <x v="0"/>
    <x v="0"/>
    <x v="0"/>
  </r>
  <r>
    <s v="20562719700"/>
    <x v="7"/>
    <x v="7"/>
    <x v="2918"/>
    <x v="2929"/>
    <x v="2548"/>
    <m/>
    <x v="2"/>
    <s v="ESTACION PV1"/>
    <s v="UR. JUAN PABLO SEGUNDO MZ.P LT.3"/>
    <x v="6"/>
    <x v="0"/>
    <x v="0"/>
    <x v="2"/>
    <x v="362"/>
    <x v="0"/>
    <n v="4"/>
    <n v="192"/>
    <x v="0"/>
    <x v="1"/>
    <n v="5.7803468208092483E-3"/>
    <x v="33"/>
    <x v="4"/>
    <s v="OK"/>
    <x v="2"/>
    <s v="OK"/>
    <x v="0"/>
    <x v="0"/>
    <n v="1"/>
    <n v="1"/>
    <n v="0"/>
    <n v="0"/>
    <x v="0"/>
    <x v="0"/>
    <x v="0"/>
  </r>
  <r>
    <s v="20562719700"/>
    <x v="7"/>
    <x v="7"/>
    <x v="2919"/>
    <x v="2930"/>
    <x v="2549"/>
    <m/>
    <x v="2"/>
    <s v="ESTACION PV1"/>
    <s v="AV. CUSCO 296 "/>
    <x v="6"/>
    <x v="0"/>
    <x v="0"/>
    <x v="2"/>
    <x v="362"/>
    <x v="0"/>
    <n v="4"/>
    <n v="192"/>
    <x v="0"/>
    <x v="1"/>
    <n v="5.7803468208092483E-3"/>
    <x v="33"/>
    <x v="4"/>
    <s v="OK"/>
    <x v="2"/>
    <s v="OK"/>
    <x v="0"/>
    <x v="0"/>
    <n v="1"/>
    <n v="1"/>
    <n v="0"/>
    <n v="0"/>
    <x v="0"/>
    <x v="0"/>
    <x v="0"/>
  </r>
  <r>
    <s v="20562719700"/>
    <x v="7"/>
    <x v="7"/>
    <x v="2920"/>
    <x v="2931"/>
    <x v="2550"/>
    <m/>
    <x v="59"/>
    <s v="ESTACION PV1"/>
    <s v="PROLONGACION LA MAR"/>
    <x v="22"/>
    <x v="0"/>
    <x v="0"/>
    <x v="2"/>
    <x v="505"/>
    <x v="0"/>
    <n v="4"/>
    <n v="192"/>
    <x v="0"/>
    <x v="1"/>
    <n v="5.7803468208092483E-3"/>
    <x v="33"/>
    <x v="4"/>
    <s v="OK"/>
    <x v="2"/>
    <s v="OK"/>
    <x v="0"/>
    <x v="0"/>
    <n v="1"/>
    <n v="1"/>
    <n v="0"/>
    <n v="0"/>
    <x v="0"/>
    <x v="0"/>
    <x v="0"/>
  </r>
  <r>
    <s v="20562719700"/>
    <x v="7"/>
    <x v="7"/>
    <x v="2921"/>
    <x v="2932"/>
    <x v="2551"/>
    <m/>
    <x v="2"/>
    <s v="ESTACION 08"/>
    <s v="CASTILLA ALTA MZ 3 LT 5"/>
    <x v="355"/>
    <x v="0"/>
    <x v="0"/>
    <x v="2"/>
    <x v="777"/>
    <x v="0"/>
    <n v="4"/>
    <n v="192"/>
    <x v="0"/>
    <x v="1"/>
    <n v="5.7803468208092483E-3"/>
    <x v="33"/>
    <x v="4"/>
    <s v="OK"/>
    <x v="0"/>
    <s v="OK"/>
    <x v="0"/>
    <x v="0"/>
    <n v="1"/>
    <n v="0"/>
    <n v="0"/>
    <n v="0"/>
    <x v="0"/>
    <x v="0"/>
    <x v="0"/>
  </r>
  <r>
    <s v="20518513665"/>
    <x v="53"/>
    <x v="7"/>
    <x v="2922"/>
    <x v="2933"/>
    <x v="2552"/>
    <n v="1"/>
    <x v="66"/>
    <s v="ESTACION 10"/>
    <s v="URB. ALAMEDA DE ÑAÑA 3RA  ETAPA MZ. F LT. 13"/>
    <x v="15"/>
    <x v="0"/>
    <x v="0"/>
    <x v="2"/>
    <x v="512"/>
    <x v="0"/>
    <n v="1"/>
    <n v="192"/>
    <x v="0"/>
    <x v="0"/>
    <n v="5.7803468208092483E-3"/>
    <x v="40"/>
    <x v="4"/>
    <s v="OK"/>
    <x v="0"/>
    <s v="OK"/>
    <x v="0"/>
    <x v="1"/>
    <n v="0.5"/>
    <n v="0"/>
    <n v="0"/>
    <n v="0"/>
    <x v="0"/>
    <x v="0"/>
    <x v="0"/>
  </r>
  <r>
    <n v="20504039120"/>
    <x v="8"/>
    <x v="8"/>
    <x v="2923"/>
    <x v="2934"/>
    <x v="2553"/>
    <n v="1"/>
    <x v="6"/>
    <s v="OFICINA DANSEY"/>
    <s v="AV MARIA  PRADO DE BELLIDO MZ. 03 LT 113"/>
    <x v="0"/>
    <x v="0"/>
    <x v="0"/>
    <x v="1"/>
    <x v="667"/>
    <x v="0"/>
    <n v="1"/>
    <n v="200"/>
    <x v="0"/>
    <x v="1"/>
    <n v="2.4390243902439025E-2"/>
    <x v="37"/>
    <x v="4"/>
    <s v="OK"/>
    <x v="0"/>
    <s v="OK"/>
    <x v="0"/>
    <x v="0"/>
    <n v="1"/>
    <n v="0"/>
    <n v="0"/>
    <n v="0"/>
    <x v="0"/>
    <x v="0"/>
    <x v="0"/>
  </r>
  <r>
    <n v="20504039120"/>
    <x v="8"/>
    <x v="8"/>
    <x v="2924"/>
    <x v="2935"/>
    <x v="2554"/>
    <n v="1"/>
    <x v="6"/>
    <s v="ESTACION 16"/>
    <s v="INCA YUPANQUI 329 TAHUANTINSUYO"/>
    <x v="44"/>
    <x v="1"/>
    <x v="0"/>
    <x v="1"/>
    <x v="778"/>
    <x v="0"/>
    <n v="1"/>
    <n v="200"/>
    <x v="0"/>
    <x v="1"/>
    <n v="2.4390243902439025E-2"/>
    <x v="32"/>
    <x v="4"/>
    <s v="OK"/>
    <x v="0"/>
    <s v="OK"/>
    <x v="0"/>
    <x v="0"/>
    <n v="1"/>
    <n v="0"/>
    <n v="0"/>
    <n v="0"/>
    <x v="0"/>
    <x v="0"/>
    <x v="0"/>
  </r>
  <r>
    <n v="20504039120"/>
    <x v="8"/>
    <x v="8"/>
    <x v="2925"/>
    <x v="2936"/>
    <x v="2555"/>
    <n v="1"/>
    <x v="6"/>
    <s v="ESTACION 09"/>
    <s v="AV 12 DE OCTUBRE 245"/>
    <x v="316"/>
    <x v="1"/>
    <x v="0"/>
    <x v="1"/>
    <x v="779"/>
    <x v="0"/>
    <n v="1"/>
    <n v="200"/>
    <x v="0"/>
    <x v="1"/>
    <n v="2.4390243902439025E-2"/>
    <x v="38"/>
    <x v="4"/>
    <s v="OK"/>
    <x v="0"/>
    <s v="OK"/>
    <x v="0"/>
    <x v="0"/>
    <n v="1"/>
    <n v="0"/>
    <n v="0"/>
    <n v="0"/>
    <x v="0"/>
    <x v="0"/>
    <x v="0"/>
  </r>
  <r>
    <n v="20504039120"/>
    <x v="8"/>
    <x v="8"/>
    <x v="2926"/>
    <x v="2937"/>
    <x v="2556"/>
    <n v="1"/>
    <x v="6"/>
    <s v="ESTACIÓN 17"/>
    <s v="RES. PARIACHI MZ T LT 54 SERA. ETAPA"/>
    <x v="1"/>
    <x v="1"/>
    <x v="0"/>
    <x v="1"/>
    <x v="780"/>
    <x v="0"/>
    <n v="1"/>
    <n v="200"/>
    <x v="0"/>
    <x v="1"/>
    <n v="2.4390243902439025E-2"/>
    <x v="39"/>
    <x v="4"/>
    <s v="OK"/>
    <x v="1"/>
    <s v="OK"/>
    <x v="0"/>
    <x v="0"/>
    <n v="1"/>
    <n v="1"/>
    <n v="0"/>
    <n v="0"/>
    <x v="0"/>
    <x v="0"/>
    <x v="0"/>
  </r>
  <r>
    <n v="20504039120"/>
    <x v="8"/>
    <x v="8"/>
    <x v="2927"/>
    <x v="2938"/>
    <x v="2557"/>
    <n v="1"/>
    <x v="6"/>
    <s v="PLANTA DOVELAS"/>
    <s v="JR AYACUCHO 3635"/>
    <x v="316"/>
    <x v="1"/>
    <x v="0"/>
    <x v="1"/>
    <x v="666"/>
    <x v="0"/>
    <n v="1"/>
    <n v="200"/>
    <x v="0"/>
    <x v="1"/>
    <n v="2.4390243902439025E-2"/>
    <x v="37"/>
    <x v="4"/>
    <s v="OK"/>
    <x v="0"/>
    <s v="OK"/>
    <x v="0"/>
    <x v="0"/>
    <n v="1"/>
    <n v="0"/>
    <n v="0"/>
    <n v="0"/>
    <x v="0"/>
    <x v="0"/>
    <x v="0"/>
  </r>
  <r>
    <n v="20504039120"/>
    <x v="8"/>
    <x v="8"/>
    <x v="2928"/>
    <x v="2939"/>
    <x v="2558"/>
    <n v="1"/>
    <x v="6"/>
    <s v="PATIO TALLER SANTA ANITA"/>
    <s v="UCV 136 LOTE 14 HUAYCAN ZONA I"/>
    <x v="356"/>
    <x v="1"/>
    <x v="0"/>
    <x v="1"/>
    <x v="781"/>
    <x v="0"/>
    <n v="1"/>
    <n v="200"/>
    <x v="0"/>
    <x v="1"/>
    <n v="2.4390243902439025E-2"/>
    <x v="38"/>
    <x v="4"/>
    <s v="OK"/>
    <x v="1"/>
    <s v="OK"/>
    <x v="0"/>
    <x v="0"/>
    <n v="1"/>
    <n v="1"/>
    <n v="0"/>
    <n v="0"/>
    <x v="0"/>
    <x v="0"/>
    <x v="0"/>
  </r>
  <r>
    <n v="20504039120"/>
    <x v="8"/>
    <x v="8"/>
    <x v="2929"/>
    <x v="2940"/>
    <x v="2559"/>
    <n v="1"/>
    <x v="6"/>
    <s v="ESTACION 19"/>
    <s v="PASAJE VICTOR FAJARDO MZ.F LOTE 08 - 189"/>
    <x v="46"/>
    <x v="0"/>
    <x v="0"/>
    <x v="1"/>
    <x v="467"/>
    <x v="0"/>
    <n v="1"/>
    <n v="200"/>
    <x v="0"/>
    <x v="1"/>
    <n v="2.4390243902439025E-2"/>
    <x v="39"/>
    <x v="4"/>
    <s v="OK"/>
    <x v="7"/>
    <s v="OK"/>
    <x v="0"/>
    <x v="0"/>
    <n v="1"/>
    <n v="1"/>
    <n v="0"/>
    <n v="0"/>
    <x v="0"/>
    <x v="0"/>
    <x v="0"/>
  </r>
  <r>
    <n v="20504039120"/>
    <x v="8"/>
    <x v="8"/>
    <x v="2930"/>
    <x v="2941"/>
    <x v="2560"/>
    <n v="1"/>
    <x v="6"/>
    <s v="ESTACION 11"/>
    <s v="AV. 28 DE JULIO MZ.H2 LT.5 TUPAC AMARU DE VILLA"/>
    <x v="38"/>
    <x v="0"/>
    <x v="0"/>
    <x v="1"/>
    <x v="782"/>
    <x v="0"/>
    <n v="1"/>
    <n v="200"/>
    <x v="0"/>
    <x v="1"/>
    <n v="2.4390243902439025E-2"/>
    <x v="33"/>
    <x v="4"/>
    <s v="OK"/>
    <x v="0"/>
    <s v="OK"/>
    <x v="0"/>
    <x v="0"/>
    <n v="1"/>
    <n v="0"/>
    <n v="0"/>
    <n v="0"/>
    <x v="0"/>
    <x v="0"/>
    <x v="0"/>
  </r>
  <r>
    <n v="20504039130"/>
    <x v="8"/>
    <x v="8"/>
    <x v="2931"/>
    <x v="2942"/>
    <x v="2561"/>
    <n v="1"/>
    <x v="6"/>
    <s v="PATIO BOCANEGRA"/>
    <s v="MZ. A LT. 08 ASENT. H. RAMON CASTILLA "/>
    <x v="6"/>
    <x v="1"/>
    <x v="0"/>
    <x v="1"/>
    <x v="684"/>
    <x v="0"/>
    <n v="1"/>
    <n v="200"/>
    <x v="0"/>
    <x v="1"/>
    <n v="2.4390243902439025E-2"/>
    <x v="35"/>
    <x v="4"/>
    <s v="OK"/>
    <x v="2"/>
    <s v="OK"/>
    <x v="0"/>
    <x v="0"/>
    <n v="1"/>
    <n v="1"/>
    <n v="0"/>
    <n v="0"/>
    <x v="0"/>
    <x v="0"/>
    <x v="0"/>
  </r>
  <r>
    <n v="20504039130"/>
    <x v="8"/>
    <x v="8"/>
    <x v="2932"/>
    <x v="2943"/>
    <x v="2562"/>
    <n v="1"/>
    <x v="6"/>
    <s v="POZO 01"/>
    <s v="JR. CAHUIDE 1774 URB. ALTA MAR"/>
    <x v="89"/>
    <x v="1"/>
    <x v="0"/>
    <x v="1"/>
    <x v="183"/>
    <x v="0"/>
    <n v="1"/>
    <n v="200"/>
    <x v="0"/>
    <x v="1"/>
    <n v="2.4390243902439025E-2"/>
    <x v="37"/>
    <x v="4"/>
    <s v="OK"/>
    <x v="2"/>
    <s v="OK"/>
    <x v="0"/>
    <x v="0"/>
    <n v="1"/>
    <n v="1"/>
    <n v="0"/>
    <n v="0"/>
    <x v="0"/>
    <x v="0"/>
    <x v="0"/>
  </r>
  <r>
    <n v="20504039130"/>
    <x v="8"/>
    <x v="8"/>
    <x v="2933"/>
    <x v="2944"/>
    <x v="2563"/>
    <n v="1"/>
    <x v="6"/>
    <s v="ESTACION 05 LINEA 4"/>
    <s v="JULIO CESAR TELLO 1187"/>
    <x v="182"/>
    <x v="1"/>
    <x v="0"/>
    <x v="1"/>
    <x v="0"/>
    <x v="0"/>
    <n v="1"/>
    <n v="200"/>
    <x v="0"/>
    <x v="1"/>
    <n v="2.4390243902439025E-2"/>
    <x v="39"/>
    <x v="4"/>
    <s v="OK"/>
    <x v="2"/>
    <s v="OK"/>
    <x v="0"/>
    <x v="0"/>
    <n v="1"/>
    <n v="1"/>
    <n v="0"/>
    <n v="0"/>
    <x v="0"/>
    <x v="0"/>
    <x v="0"/>
  </r>
  <r>
    <n v="20602487751"/>
    <x v="54"/>
    <x v="40"/>
    <x v="2934"/>
    <x v="2945"/>
    <x v="2564"/>
    <n v="1"/>
    <x v="7"/>
    <s v="L4"/>
    <s v="Calle Los Nardos Mz H Lt 07"/>
    <x v="4"/>
    <x v="0"/>
    <x v="0"/>
    <x v="1"/>
    <x v="783"/>
    <x v="0"/>
    <n v="1"/>
    <n v="200"/>
    <x v="0"/>
    <x v="1"/>
    <n v="0.1111111111111111"/>
    <x v="35"/>
    <x v="4"/>
    <s v="OK"/>
    <x v="0"/>
    <s v="OK"/>
    <x v="0"/>
    <x v="0"/>
    <n v="1"/>
    <n v="0"/>
    <n v="0"/>
    <n v="0"/>
    <x v="0"/>
    <x v="0"/>
    <x v="0"/>
  </r>
  <r>
    <n v="20602487751"/>
    <x v="54"/>
    <x v="40"/>
    <x v="2935"/>
    <x v="2946"/>
    <x v="2565"/>
    <n v="2"/>
    <x v="92"/>
    <s v="L4"/>
    <s v="AAHH Jesus Oropesa Chonta Mz K Lt 4"/>
    <x v="4"/>
    <x v="0"/>
    <x v="0"/>
    <x v="1"/>
    <x v="42"/>
    <x v="0"/>
    <n v="4"/>
    <n v="200"/>
    <x v="0"/>
    <x v="1"/>
    <n v="0.1111111111111111"/>
    <x v="38"/>
    <x v="4"/>
    <s v="OK"/>
    <x v="0"/>
    <s v="OK"/>
    <x v="0"/>
    <x v="0"/>
    <n v="1"/>
    <n v="0"/>
    <n v="0"/>
    <n v="0"/>
    <x v="0"/>
    <x v="0"/>
    <x v="0"/>
  </r>
  <r>
    <n v="20602213227"/>
    <x v="9"/>
    <x v="9"/>
    <x v="2936"/>
    <x v="2947"/>
    <x v="2566"/>
    <n v="1"/>
    <x v="88"/>
    <s v="E5 L4"/>
    <s v="LOS CEDROS Y LOS ALGARROBOS MZ. L-1, LOTE 1-A, TORRE L, DPTO. 501"/>
    <x v="19"/>
    <x v="0"/>
    <x v="0"/>
    <x v="1"/>
    <x v="251"/>
    <x v="0"/>
    <n v="1"/>
    <n v="112"/>
    <x v="0"/>
    <x v="1"/>
    <n v="2.7777777777777776E-2"/>
    <x v="40"/>
    <x v="4"/>
    <s v="OK"/>
    <x v="0"/>
    <s v="OK"/>
    <x v="0"/>
    <x v="0"/>
    <n v="1"/>
    <n v="0"/>
    <n v="0"/>
    <n v="0"/>
    <x v="0"/>
    <x v="0"/>
    <x v="0"/>
  </r>
  <r>
    <n v="20602213227"/>
    <x v="9"/>
    <x v="9"/>
    <x v="2937"/>
    <x v="2948"/>
    <x v="2567"/>
    <n v="1"/>
    <x v="94"/>
    <s v="E01 - PV08 - E13"/>
    <s v="Pasaje Miguel Grau Mz. P Lote 9 Lampa de Oro"/>
    <x v="3"/>
    <x v="0"/>
    <x v="0"/>
    <x v="1"/>
    <x v="517"/>
    <x v="0"/>
    <n v="1"/>
    <n v="40"/>
    <x v="0"/>
    <x v="1"/>
    <n v="2.7777777777777776E-2"/>
    <x v="32"/>
    <x v="4"/>
    <s v="OK"/>
    <x v="0"/>
    <s v="OK"/>
    <x v="0"/>
    <x v="0"/>
    <n v="1"/>
    <n v="0"/>
    <n v="0"/>
    <n v="0"/>
    <x v="0"/>
    <x v="0"/>
    <x v="0"/>
  </r>
  <r>
    <n v="20602213227"/>
    <x v="9"/>
    <x v="9"/>
    <x v="2938"/>
    <x v="2949"/>
    <x v="2568"/>
    <n v="1"/>
    <x v="375"/>
    <s v="PV08"/>
    <s v="AV. FAUCETT 297 DPTO B URB MARANGA"/>
    <x v="28"/>
    <x v="0"/>
    <x v="0"/>
    <x v="1"/>
    <x v="579"/>
    <x v="0"/>
    <n v="1"/>
    <n v="40"/>
    <x v="0"/>
    <x v="1"/>
    <n v="2.7777777777777776E-2"/>
    <x v="39"/>
    <x v="4"/>
    <s v="OK"/>
    <x v="0"/>
    <s v="OK"/>
    <x v="0"/>
    <x v="0"/>
    <n v="1"/>
    <n v="0"/>
    <n v="0"/>
    <n v="0"/>
    <x v="0"/>
    <x v="0"/>
    <x v="0"/>
  </r>
  <r>
    <s v="20601322456"/>
    <x v="70"/>
    <x v="48"/>
    <x v="2939"/>
    <x v="2950"/>
    <x v="2569"/>
    <n v="2"/>
    <x v="66"/>
    <s v="E-19"/>
    <s v="URB, ANTUNEZ DE MAYOLO MZ.E LT.6"/>
    <x v="212"/>
    <x v="0"/>
    <x v="0"/>
    <x v="0"/>
    <x v="784"/>
    <x v="0"/>
    <n v="4"/>
    <n v="208"/>
    <x v="0"/>
    <x v="1"/>
    <n v="0.1"/>
    <x v="40"/>
    <x v="4"/>
    <s v="OK"/>
    <x v="0"/>
    <s v="OK"/>
    <x v="0"/>
    <x v="0"/>
    <n v="1"/>
    <n v="0"/>
    <n v="0"/>
    <n v="0"/>
    <x v="0"/>
    <x v="0"/>
    <x v="0"/>
  </r>
  <r>
    <s v="20601322456"/>
    <x v="70"/>
    <x v="48"/>
    <x v="2922"/>
    <x v="2933"/>
    <x v="2570"/>
    <n v="2"/>
    <x v="66"/>
    <s v="E-3"/>
    <s v="A.H.S.S.JUAN PABLO II MZ. L-6 LT.09"/>
    <x v="15"/>
    <x v="0"/>
    <x v="0"/>
    <x v="0"/>
    <x v="741"/>
    <x v="0"/>
    <n v="4"/>
    <n v="208"/>
    <x v="0"/>
    <x v="1"/>
    <n v="0.1"/>
    <x v="40"/>
    <x v="4"/>
    <s v="OK"/>
    <x v="0"/>
    <s v="OK"/>
    <x v="0"/>
    <x v="1"/>
    <n v="0.5"/>
    <n v="0"/>
    <n v="0"/>
    <n v="0"/>
    <x v="0"/>
    <x v="0"/>
    <x v="0"/>
  </r>
  <r>
    <n v="20601536536"/>
    <x v="11"/>
    <x v="11"/>
    <x v="2940"/>
    <x v="2951"/>
    <x v="2571"/>
    <m/>
    <x v="15"/>
    <s v="ESTACION 11 / ESTACION 15"/>
    <s v="URB. PACHACAMAC BARRIO 4 SECTOR II MZ. Z LT 18"/>
    <x v="19"/>
    <x v="0"/>
    <x v="0"/>
    <x v="2"/>
    <x v="242"/>
    <x v="0"/>
    <n v="1"/>
    <n v="120"/>
    <x v="0"/>
    <x v="0"/>
    <n v="0"/>
    <x v="39"/>
    <x v="4"/>
    <s v="OK"/>
    <x v="0"/>
    <s v="OK"/>
    <x v="0"/>
    <x v="0"/>
    <n v="1"/>
    <n v="0"/>
    <n v="0"/>
    <n v="0"/>
    <x v="0"/>
    <x v="0"/>
    <x v="0"/>
  </r>
  <r>
    <s v="20504138292"/>
    <x v="12"/>
    <x v="12"/>
    <x v="2941"/>
    <x v="2952"/>
    <x v="2572"/>
    <n v="2"/>
    <x v="2"/>
    <s v="PV 04"/>
    <s v="URB. CIUDAD DEL PESCADOR MZ H1 LT 31"/>
    <x v="17"/>
    <x v="0"/>
    <x v="0"/>
    <x v="2"/>
    <x v="46"/>
    <x v="0"/>
    <n v="4"/>
    <n v="192"/>
    <x v="0"/>
    <x v="1"/>
    <n v="2.3809523809523808E-2"/>
    <x v="39"/>
    <x v="4"/>
    <s v="OK"/>
    <x v="2"/>
    <s v="OK"/>
    <x v="0"/>
    <x v="0"/>
    <n v="1"/>
    <n v="1"/>
    <n v="0"/>
    <n v="0"/>
    <x v="0"/>
    <x v="0"/>
    <x v="0"/>
  </r>
  <r>
    <s v="20504138292"/>
    <x v="12"/>
    <x v="12"/>
    <x v="2942"/>
    <x v="2953"/>
    <x v="2573"/>
    <n v="2"/>
    <x v="109"/>
    <s v="PV 04"/>
    <s v="SAN FRANCISCO DE LA CRUZ Mz  6 Lt 4 PAMPLONA ALTA"/>
    <x v="53"/>
    <x v="0"/>
    <x v="0"/>
    <x v="2"/>
    <x v="153"/>
    <x v="0"/>
    <n v="4"/>
    <n v="192"/>
    <x v="0"/>
    <x v="1"/>
    <n v="2.3809523809523808E-2"/>
    <x v="35"/>
    <x v="4"/>
    <s v="OK"/>
    <x v="0"/>
    <s v="OK"/>
    <x v="0"/>
    <x v="0"/>
    <n v="1"/>
    <n v="0"/>
    <n v="0"/>
    <n v="0"/>
    <x v="0"/>
    <x v="0"/>
    <x v="0"/>
  </r>
  <r>
    <s v="20504138292"/>
    <x v="12"/>
    <x v="12"/>
    <x v="2943"/>
    <x v="2954"/>
    <x v="2574"/>
    <n v="2"/>
    <x v="11"/>
    <s v="PV 04"/>
    <s v="MZ A 4 LOTE 4 ATENT. HUM. LOS JARDINES DE LA RINCONADA PAMPLONA ALTA"/>
    <x v="53"/>
    <x v="0"/>
    <x v="0"/>
    <x v="2"/>
    <x v="21"/>
    <x v="0"/>
    <n v="4"/>
    <n v="72"/>
    <x v="0"/>
    <x v="1"/>
    <n v="2.3809523809523808E-2"/>
    <x v="39"/>
    <x v="4"/>
    <s v="OK"/>
    <x v="0"/>
    <s v="OK"/>
    <x v="0"/>
    <x v="0"/>
    <n v="1"/>
    <n v="0"/>
    <n v="0"/>
    <n v="0"/>
    <x v="0"/>
    <x v="0"/>
    <x v="0"/>
  </r>
  <r>
    <s v="20504138292"/>
    <x v="12"/>
    <x v="12"/>
    <x v="2944"/>
    <x v="2955"/>
    <x v="2575"/>
    <n v="2"/>
    <x v="113"/>
    <s v="PV 04"/>
    <s v="MZ 178 LT 1 HUASCAR"/>
    <x v="15"/>
    <x v="0"/>
    <x v="0"/>
    <x v="2"/>
    <x v="21"/>
    <x v="0"/>
    <n v="4"/>
    <n v="72"/>
    <x v="0"/>
    <x v="1"/>
    <n v="2.3809523809523808E-2"/>
    <x v="36"/>
    <x v="4"/>
    <s v="OK"/>
    <x v="0"/>
    <s v="OK"/>
    <x v="0"/>
    <x v="0"/>
    <n v="1"/>
    <n v="0"/>
    <n v="0"/>
    <n v="0"/>
    <x v="0"/>
    <x v="0"/>
    <x v="0"/>
  </r>
  <r>
    <s v="20504138292"/>
    <x v="12"/>
    <x v="12"/>
    <x v="2945"/>
    <x v="2956"/>
    <x v="2576"/>
    <n v="2"/>
    <x v="88"/>
    <s v="PV 04"/>
    <s v="CASERIO FLORIDA"/>
    <x v="357"/>
    <x v="0"/>
    <x v="0"/>
    <x v="2"/>
    <x v="476"/>
    <x v="0"/>
    <n v="4"/>
    <n v="8.5"/>
    <x v="0"/>
    <x v="1"/>
    <n v="2.3809523809523808E-2"/>
    <x v="36"/>
    <x v="4"/>
    <s v="OK"/>
    <x v="0"/>
    <s v="OK"/>
    <x v="0"/>
    <x v="0"/>
    <n v="1"/>
    <n v="0"/>
    <n v="0"/>
    <n v="0"/>
    <x v="0"/>
    <x v="0"/>
    <x v="0"/>
  </r>
  <r>
    <n v="20524172365"/>
    <x v="55"/>
    <x v="41"/>
    <x v="2946"/>
    <x v="2957"/>
    <x v="2577"/>
    <n v="1"/>
    <x v="61"/>
    <s v="SUMINISTRO E INSTALACIÓN DE BARANDAS DE ACERO INOXIDABLE EN LA ESTACION E17"/>
    <s v="AV. SEPARADORA INDUSTRIAL MZ. C LOTE 21 URB. PACHACAMAC"/>
    <x v="19"/>
    <x v="1"/>
    <x v="0"/>
    <x v="3"/>
    <x v="416"/>
    <x v="0"/>
    <n v="1"/>
    <n v="168"/>
    <x v="0"/>
    <x v="1"/>
    <n v="0.1"/>
    <x v="33"/>
    <x v="4"/>
    <s v="OK"/>
    <x v="0"/>
    <s v="OK"/>
    <x v="0"/>
    <x v="0"/>
    <n v="1"/>
    <n v="0"/>
    <n v="0"/>
    <n v="0"/>
    <x v="0"/>
    <x v="0"/>
    <x v="0"/>
  </r>
  <r>
    <n v="20524172365"/>
    <x v="55"/>
    <x v="41"/>
    <x v="2947"/>
    <x v="2958"/>
    <x v="2578"/>
    <n v="2"/>
    <x v="3"/>
    <s v="REVESTIMIENTO DE EDICULOS E-01 “PUERTO DEL CALLAO”, E-02 “BUENOS AIRES” Y E-03 “JUAN PABLO II”"/>
    <s v="JR. CAHUIDE 137"/>
    <x v="89"/>
    <x v="0"/>
    <x v="0"/>
    <x v="1"/>
    <x v="172"/>
    <x v="0"/>
    <n v="4"/>
    <n v="48"/>
    <x v="0"/>
    <x v="1"/>
    <n v="0.1"/>
    <x v="40"/>
    <x v="4"/>
    <s v="OK"/>
    <x v="2"/>
    <s v="OK"/>
    <x v="0"/>
    <x v="0"/>
    <n v="1"/>
    <n v="1"/>
    <n v="1"/>
    <n v="0"/>
    <x v="0"/>
    <x v="0"/>
    <x v="1"/>
  </r>
  <r>
    <n v="20550163480"/>
    <x v="13"/>
    <x v="13"/>
    <x v="2948"/>
    <x v="2959"/>
    <x v="2579"/>
    <n v="1"/>
    <x v="376"/>
    <s v="E1, E2, E3, E4, E5, E6, E7, E8, E9, E10, E11, E12, E13, E14, E15, E16, E17, E18, E19, E20,E21, E22, E23, E24, E25,E26, E27, Pozos Patio Taller  Da Callao y Patio Taller De Santa Anita"/>
    <s v="Avenida Constructores 482"/>
    <x v="47"/>
    <x v="0"/>
    <x v="0"/>
    <x v="11"/>
    <x v="785"/>
    <x v="0"/>
    <n v="1"/>
    <n v="192"/>
    <x v="0"/>
    <x v="1"/>
    <n v="5.8823529411764705E-2"/>
    <x v="39"/>
    <x v="4"/>
    <s v="OK"/>
    <x v="0"/>
    <s v="OK"/>
    <x v="0"/>
    <x v="0"/>
    <n v="1"/>
    <n v="0"/>
    <n v="0"/>
    <n v="0"/>
    <x v="0"/>
    <x v="0"/>
    <x v="0"/>
  </r>
  <r>
    <n v="20551135137"/>
    <x v="14"/>
    <x v="14"/>
    <x v="2949"/>
    <x v="2960"/>
    <x v="2580"/>
    <n v="2"/>
    <x v="103"/>
    <s v="E03 - E04"/>
    <s v="AV. JORGE CHAVEZ MZ. F LT 27 - TABLADA DE LURIN"/>
    <x v="8"/>
    <x v="0"/>
    <x v="0"/>
    <x v="3"/>
    <x v="423"/>
    <x v="0"/>
    <n v="4"/>
    <n v="24"/>
    <x v="0"/>
    <x v="1"/>
    <n v="9.0909090909090912E-2"/>
    <x v="36"/>
    <x v="4"/>
    <s v="OK"/>
    <x v="0"/>
    <s v="OK"/>
    <x v="0"/>
    <x v="0"/>
    <n v="1"/>
    <n v="0"/>
    <n v="0"/>
    <n v="0"/>
    <x v="0"/>
    <x v="0"/>
    <x v="0"/>
  </r>
  <r>
    <s v="20551610030"/>
    <x v="15"/>
    <x v="15"/>
    <x v="2950"/>
    <x v="2961"/>
    <x v="2581"/>
    <n v="2"/>
    <x v="40"/>
    <s v="ESTACION 14"/>
    <s v="MZ. 105 LT.19 GRUPO 14 SECTOR B URB. MONITOR HUASCAR"/>
    <x v="15"/>
    <x v="0"/>
    <x v="0"/>
    <x v="2"/>
    <x v="261"/>
    <x v="0"/>
    <n v="1"/>
    <n v="178"/>
    <x v="0"/>
    <x v="1"/>
    <n v="1.2345679012345678E-2"/>
    <x v="35"/>
    <x v="4"/>
    <s v="OK"/>
    <x v="0"/>
    <s v="OK"/>
    <x v="0"/>
    <x v="0"/>
    <n v="1"/>
    <n v="0"/>
    <n v="0"/>
    <n v="0"/>
    <x v="0"/>
    <x v="0"/>
    <x v="0"/>
  </r>
  <r>
    <s v="20551610030"/>
    <x v="15"/>
    <x v="15"/>
    <x v="2951"/>
    <x v="2962"/>
    <x v="2582"/>
    <n v="2"/>
    <x v="8"/>
    <s v="ESTACION 14"/>
    <s v="AMPLC. BUENOS AIRES MZ. O LT.10"/>
    <x v="8"/>
    <x v="0"/>
    <x v="0"/>
    <x v="2"/>
    <x v="134"/>
    <x v="0"/>
    <n v="1"/>
    <n v="200.5"/>
    <x v="0"/>
    <x v="1"/>
    <n v="1.2345679012345678E-2"/>
    <x v="37"/>
    <x v="4"/>
    <s v="OK"/>
    <x v="0"/>
    <s v="OK"/>
    <x v="0"/>
    <x v="0"/>
    <n v="1"/>
    <n v="0"/>
    <n v="0"/>
    <n v="0"/>
    <x v="0"/>
    <x v="0"/>
    <x v="0"/>
  </r>
  <r>
    <s v="20551610030"/>
    <x v="15"/>
    <x v="15"/>
    <x v="2952"/>
    <x v="2963"/>
    <x v="2583"/>
    <n v="2"/>
    <x v="8"/>
    <s v="ESTACION 15"/>
    <s v="AV JAVIER PRADO MZ K LT 3 INT U15 ASOCIACION VIV CASCADAS DE JAVIER PRADO"/>
    <x v="1"/>
    <x v="0"/>
    <x v="0"/>
    <x v="4"/>
    <x v="262"/>
    <x v="0"/>
    <n v="1"/>
    <n v="200.5"/>
    <x v="0"/>
    <x v="1"/>
    <n v="1.2345679012345678E-2"/>
    <x v="40"/>
    <x v="4"/>
    <s v="OK"/>
    <x v="1"/>
    <s v="OK"/>
    <x v="0"/>
    <x v="0"/>
    <n v="1"/>
    <n v="1"/>
    <n v="0"/>
    <n v="0"/>
    <x v="0"/>
    <x v="0"/>
    <x v="0"/>
  </r>
  <r>
    <s v="20551610030"/>
    <x v="15"/>
    <x v="15"/>
    <x v="2953"/>
    <x v="2964"/>
    <x v="2584"/>
    <n v="2"/>
    <x v="22"/>
    <s v="ESTACION 14 Y 15"/>
    <s v="CALLE 12 MZ F1 LT28 PISO 2 DPTO. B ASOC. SAN FRANCISCO DE CAYRAN ETAPA 2"/>
    <x v="3"/>
    <x v="0"/>
    <x v="0"/>
    <x v="2"/>
    <x v="152"/>
    <x v="0"/>
    <n v="1"/>
    <n v="195"/>
    <x v="0"/>
    <x v="1"/>
    <n v="1.2345679012345678E-2"/>
    <x v="33"/>
    <x v="4"/>
    <s v="OK"/>
    <x v="0"/>
    <s v="OK"/>
    <x v="0"/>
    <x v="0"/>
    <n v="1"/>
    <n v="0"/>
    <n v="0"/>
    <n v="0"/>
    <x v="0"/>
    <x v="0"/>
    <x v="0"/>
  </r>
  <r>
    <s v="20551610030"/>
    <x v="15"/>
    <x v="15"/>
    <x v="2954"/>
    <x v="2965"/>
    <x v="2584"/>
    <n v="2"/>
    <x v="377"/>
    <s v="ESTACION 17"/>
    <s v="JR.HUAROCONDO MZ A LT 1 TAHUANTINSUYO"/>
    <x v="44"/>
    <x v="0"/>
    <x v="0"/>
    <x v="2"/>
    <x v="16"/>
    <x v="0"/>
    <n v="1"/>
    <n v="200.5"/>
    <x v="0"/>
    <x v="1"/>
    <n v="1.2345679012345678E-2"/>
    <x v="33"/>
    <x v="4"/>
    <s v="OK"/>
    <x v="0"/>
    <s v="OK"/>
    <x v="0"/>
    <x v="0"/>
    <n v="1"/>
    <n v="0"/>
    <n v="0"/>
    <n v="0"/>
    <x v="0"/>
    <x v="0"/>
    <x v="0"/>
  </r>
  <r>
    <s v="20551610030"/>
    <x v="15"/>
    <x v="15"/>
    <x v="2955"/>
    <x v="2966"/>
    <x v="2585"/>
    <n v="2"/>
    <x v="22"/>
    <s v="ESTACION 17"/>
    <s v="PARCELA I DEL A.H 23 DE OCT II ETP MZ. S LT. 03"/>
    <x v="15"/>
    <x v="0"/>
    <x v="0"/>
    <x v="2"/>
    <x v="51"/>
    <x v="0"/>
    <n v="1"/>
    <n v="200.5"/>
    <x v="0"/>
    <x v="1"/>
    <n v="1.2345679012345678E-2"/>
    <x v="39"/>
    <x v="4"/>
    <s v="OK"/>
    <x v="0"/>
    <s v="OK"/>
    <x v="0"/>
    <x v="0"/>
    <n v="1"/>
    <n v="0"/>
    <n v="0"/>
    <n v="0"/>
    <x v="0"/>
    <x v="0"/>
    <x v="0"/>
  </r>
  <r>
    <n v="20610192034"/>
    <x v="16"/>
    <x v="16"/>
    <x v="2956"/>
    <x v="2967"/>
    <x v="2538"/>
    <n v="1"/>
    <x v="338"/>
    <s v="ESTACION 10- ESTACION 11-PZ 16-PZ-17-PZ18-E17"/>
    <s v="SECTOR LEONCIO PRADO PAMPLONA ALTA MZ. Z10 LT. 15"/>
    <x v="53"/>
    <x v="0"/>
    <x v="0"/>
    <x v="2"/>
    <x v="41"/>
    <x v="0"/>
    <n v="1"/>
    <n v="208"/>
    <x v="0"/>
    <x v="1"/>
    <n v="2.6315789473684209E-2"/>
    <x v="39"/>
    <x v="4"/>
    <s v="OK"/>
    <x v="0"/>
    <s v="OK"/>
    <x v="0"/>
    <x v="0"/>
    <n v="1"/>
    <n v="0"/>
    <n v="0"/>
    <n v="0"/>
    <x v="0"/>
    <x v="0"/>
    <x v="0"/>
  </r>
  <r>
    <s v="20603245246"/>
    <x v="56"/>
    <x v="17"/>
    <x v="2957"/>
    <x v="2968"/>
    <x v="2586"/>
    <n v="2"/>
    <x v="378"/>
    <s v="E05"/>
    <s v="San Pedro 215 San Miguel"/>
    <x v="8"/>
    <x v="0"/>
    <x v="21"/>
    <x v="1"/>
    <x v="531"/>
    <x v="0"/>
    <n v="1"/>
    <n v="8"/>
    <x v="0"/>
    <x v="1"/>
    <n v="4.7619047619047616E-2"/>
    <x v="39"/>
    <x v="4"/>
    <s v="OK"/>
    <x v="0"/>
    <s v="OK"/>
    <x v="0"/>
    <x v="0"/>
    <n v="1"/>
    <n v="0"/>
    <n v="0"/>
    <n v="0"/>
    <x v="0"/>
    <x v="0"/>
    <x v="0"/>
  </r>
  <r>
    <n v="20601119707"/>
    <x v="57"/>
    <x v="42"/>
    <x v="2958"/>
    <x v="2969"/>
    <x v="2587"/>
    <n v="1"/>
    <x v="17"/>
    <s v="OSV-07-24-003_MASTER_PLAN_SERVICIO DE DESMONTAJE, TRANSPORTE Y MONTAJE DE MODULOS DE OFICINAS, COMEDOR Y VESTUARIOS E-04 “INSURGENTES"/>
    <s v="Sector Villa cucuya Sub Lote 3 Mz J Lt 4"/>
    <x v="358"/>
    <x v="0"/>
    <x v="0"/>
    <x v="2"/>
    <x v="52"/>
    <x v="0"/>
    <n v="1"/>
    <n v="176"/>
    <x v="0"/>
    <x v="1"/>
    <n v="9.0909090909090912E-2"/>
    <x v="32"/>
    <x v="4"/>
    <s v="OK"/>
    <x v="0"/>
    <s v="OK"/>
    <x v="0"/>
    <x v="0"/>
    <n v="1"/>
    <n v="0"/>
    <n v="0"/>
    <n v="0"/>
    <x v="0"/>
    <x v="0"/>
    <x v="0"/>
  </r>
  <r>
    <s v="20523802861"/>
    <x v="18"/>
    <x v="18"/>
    <x v="2959"/>
    <x v="2970"/>
    <x v="2588"/>
    <n v="2"/>
    <x v="67"/>
    <s v="E16"/>
    <s v="CPM. CARMEN ALTO MZ. 55 LT. 5"/>
    <x v="359"/>
    <x v="0"/>
    <x v="6"/>
    <x v="1"/>
    <x v="240"/>
    <x v="0"/>
    <n v="4"/>
    <n v="56"/>
    <x v="0"/>
    <x v="1"/>
    <n v="8.9285714285714281E-3"/>
    <x v="39"/>
    <x v="4"/>
    <s v="OK"/>
    <x v="0"/>
    <s v="OK"/>
    <x v="0"/>
    <x v="0"/>
    <n v="1"/>
    <n v="0"/>
    <n v="0"/>
    <n v="0"/>
    <x v="0"/>
    <x v="0"/>
    <x v="0"/>
  </r>
  <r>
    <s v="20523802861"/>
    <x v="18"/>
    <x v="18"/>
    <x v="2960"/>
    <x v="2971"/>
    <x v="2589"/>
    <n v="2"/>
    <x v="11"/>
    <s v="E18"/>
    <s v="MZ C LT 13 ASENT H RAFAEL BELAURDE DIEZ CANSECO "/>
    <x v="54"/>
    <x v="0"/>
    <x v="6"/>
    <x v="1"/>
    <x v="26"/>
    <x v="0"/>
    <n v="4"/>
    <n v="152"/>
    <x v="0"/>
    <x v="1"/>
    <n v="8.9285714285714281E-3"/>
    <x v="35"/>
    <x v="4"/>
    <s v="OK"/>
    <x v="0"/>
    <s v="OK"/>
    <x v="0"/>
    <x v="0"/>
    <n v="1"/>
    <n v="0"/>
    <n v="0"/>
    <n v="0"/>
    <x v="0"/>
    <x v="0"/>
    <x v="0"/>
  </r>
  <r>
    <s v="20523802861"/>
    <x v="18"/>
    <x v="18"/>
    <x v="2961"/>
    <x v="2972"/>
    <x v="2590"/>
    <n v="2"/>
    <x v="26"/>
    <s v="E17"/>
    <s v="AV DEL RIO 347"/>
    <x v="118"/>
    <x v="0"/>
    <x v="6"/>
    <x v="1"/>
    <x v="132"/>
    <x v="0"/>
    <n v="4"/>
    <n v="96"/>
    <x v="0"/>
    <x v="1"/>
    <n v="8.9285714285714281E-3"/>
    <x v="32"/>
    <x v="4"/>
    <s v="OK"/>
    <x v="0"/>
    <s v="OK"/>
    <x v="0"/>
    <x v="0"/>
    <n v="1"/>
    <n v="0"/>
    <n v="0"/>
    <n v="0"/>
    <x v="0"/>
    <x v="0"/>
    <x v="0"/>
  </r>
  <r>
    <s v="20523802861"/>
    <x v="18"/>
    <x v="18"/>
    <x v="2962"/>
    <x v="2973"/>
    <x v="2591"/>
    <n v="2"/>
    <x v="199"/>
    <s v="E16"/>
    <s v="CASERIO CAYAC "/>
    <x v="360"/>
    <x v="0"/>
    <x v="6"/>
    <x v="1"/>
    <x v="203"/>
    <x v="0"/>
    <n v="4"/>
    <n v="112"/>
    <x v="0"/>
    <x v="1"/>
    <n v="8.9285714285714281E-3"/>
    <x v="37"/>
    <x v="4"/>
    <s v="OK"/>
    <x v="0"/>
    <s v="OK"/>
    <x v="0"/>
    <x v="0"/>
    <n v="1"/>
    <n v="0"/>
    <n v="0"/>
    <n v="0"/>
    <x v="0"/>
    <x v="0"/>
    <x v="0"/>
  </r>
  <r>
    <s v="20523802861"/>
    <x v="18"/>
    <x v="18"/>
    <x v="2963"/>
    <x v="2974"/>
    <x v="2592"/>
    <n v="2"/>
    <x v="114"/>
    <s v="E17"/>
    <s v="AV. ROSA DE AMERICA 128"/>
    <x v="0"/>
    <x v="0"/>
    <x v="6"/>
    <x v="1"/>
    <x v="270"/>
    <x v="0"/>
    <n v="4"/>
    <n v="104"/>
    <x v="0"/>
    <x v="1"/>
    <n v="8.9285714285714281E-3"/>
    <x v="33"/>
    <x v="4"/>
    <s v="OK"/>
    <x v="0"/>
    <s v="OK"/>
    <x v="0"/>
    <x v="0"/>
    <n v="1"/>
    <n v="0"/>
    <n v="0"/>
    <n v="0"/>
    <x v="0"/>
    <x v="0"/>
    <x v="0"/>
  </r>
  <r>
    <s v="20523802861"/>
    <x v="18"/>
    <x v="18"/>
    <x v="2964"/>
    <x v="2975"/>
    <x v="2593"/>
    <n v="2"/>
    <x v="11"/>
    <s v="E16"/>
    <s v="JR. ANDRES  A CACERES  383 MZ 57  LT 12 PROGRESO"/>
    <x v="54"/>
    <x v="0"/>
    <x v="29"/>
    <x v="1"/>
    <x v="140"/>
    <x v="2"/>
    <n v="4"/>
    <n v="104"/>
    <x v="0"/>
    <x v="1"/>
    <n v="8.9285714285714281E-3"/>
    <x v="35"/>
    <x v="4"/>
    <s v="OK"/>
    <x v="0"/>
    <s v="OK"/>
    <x v="0"/>
    <x v="0"/>
    <n v="1"/>
    <n v="0"/>
    <n v="0"/>
    <n v="1"/>
    <x v="0"/>
    <x v="1"/>
    <x v="0"/>
  </r>
  <r>
    <s v="20523802861"/>
    <x v="18"/>
    <x v="18"/>
    <x v="2965"/>
    <x v="2976"/>
    <x v="2594"/>
    <n v="2"/>
    <x v="2"/>
    <s v="E17"/>
    <s v="Asent. Humano Proyectos Especiales Mz 67 Lt. 7"/>
    <x v="15"/>
    <x v="0"/>
    <x v="29"/>
    <x v="1"/>
    <x v="176"/>
    <x v="2"/>
    <n v="4"/>
    <n v="216"/>
    <x v="0"/>
    <x v="1"/>
    <n v="8.9285714285714281E-3"/>
    <x v="35"/>
    <x v="4"/>
    <s v="OK"/>
    <x v="0"/>
    <s v="OK"/>
    <x v="0"/>
    <x v="0"/>
    <n v="1"/>
    <n v="0"/>
    <n v="0"/>
    <n v="1"/>
    <x v="0"/>
    <x v="1"/>
    <x v="0"/>
  </r>
  <r>
    <n v="20451703901"/>
    <x v="19"/>
    <x v="19"/>
    <x v="2966"/>
    <x v="2977"/>
    <x v="2595"/>
    <n v="2"/>
    <x v="67"/>
    <s v="ESTACIÓN 06"/>
    <s v="5TA. AVENIDA MZ. M LT. 06 STA. MARIA HUACHIPA"/>
    <x v="15"/>
    <x v="0"/>
    <x v="0"/>
    <x v="1"/>
    <x v="531"/>
    <x v="0"/>
    <n v="4"/>
    <n v="212.5"/>
    <x v="0"/>
    <x v="1"/>
    <n v="5.4644808743169399E-3"/>
    <x v="35"/>
    <x v="4"/>
    <s v="OK"/>
    <x v="0"/>
    <s v="OK"/>
    <x v="0"/>
    <x v="0"/>
    <n v="1"/>
    <n v="0"/>
    <n v="0"/>
    <n v="0"/>
    <x v="0"/>
    <x v="0"/>
    <x v="0"/>
  </r>
  <r>
    <n v="20451703903"/>
    <x v="19"/>
    <x v="19"/>
    <x v="2967"/>
    <x v="2978"/>
    <x v="2596"/>
    <n v="2"/>
    <x v="4"/>
    <s v="ESTACIÓN 8 - ELIO"/>
    <s v="MZ.K LOTE 5 ASOC LOS PINOS"/>
    <x v="4"/>
    <x v="0"/>
    <x v="0"/>
    <x v="1"/>
    <x v="533"/>
    <x v="0"/>
    <n v="4"/>
    <n v="210"/>
    <x v="0"/>
    <x v="1"/>
    <n v="5.4644808743169399E-3"/>
    <x v="39"/>
    <x v="4"/>
    <s v="OK"/>
    <x v="0"/>
    <s v="OK"/>
    <x v="0"/>
    <x v="0"/>
    <n v="1"/>
    <n v="0"/>
    <n v="0"/>
    <n v="0"/>
    <x v="0"/>
    <x v="0"/>
    <x v="0"/>
  </r>
  <r>
    <n v="20451703901"/>
    <x v="19"/>
    <x v="19"/>
    <x v="2968"/>
    <x v="2979"/>
    <x v="2597"/>
    <n v="2"/>
    <x v="67"/>
    <s v="ESTACIÓN 8 - ELIO"/>
    <s v="JR. SAN ANTONIO MZ. R LT. 8 MILAGRO DE JESUS"/>
    <x v="0"/>
    <x v="0"/>
    <x v="7"/>
    <x v="1"/>
    <x v="278"/>
    <x v="2"/>
    <n v="4"/>
    <n v="100"/>
    <x v="0"/>
    <x v="1"/>
    <n v="5.4644808743169399E-3"/>
    <x v="39"/>
    <x v="4"/>
    <s v="OK"/>
    <x v="0"/>
    <s v="OK"/>
    <x v="0"/>
    <x v="0"/>
    <n v="1"/>
    <n v="0"/>
    <n v="0"/>
    <n v="1"/>
    <x v="0"/>
    <x v="1"/>
    <x v="0"/>
  </r>
  <r>
    <n v="20451703901"/>
    <x v="19"/>
    <x v="19"/>
    <x v="2969"/>
    <x v="2980"/>
    <x v="2598"/>
    <n v="2"/>
    <x v="2"/>
    <s v="ESTACIÓN 8 - ELIO"/>
    <s v="JORGE CHAVEZ 1777"/>
    <x v="5"/>
    <x v="0"/>
    <x v="0"/>
    <x v="1"/>
    <x v="663"/>
    <x v="0"/>
    <n v="4"/>
    <n v="220"/>
    <x v="0"/>
    <x v="1"/>
    <n v="5.4644808743169399E-3"/>
    <x v="32"/>
    <x v="4"/>
    <s v="OK"/>
    <x v="3"/>
    <s v="OK"/>
    <x v="0"/>
    <x v="0"/>
    <n v="1"/>
    <n v="1"/>
    <n v="0"/>
    <n v="0"/>
    <x v="0"/>
    <x v="0"/>
    <x v="0"/>
  </r>
  <r>
    <n v="20451703901"/>
    <x v="19"/>
    <x v="19"/>
    <x v="2970"/>
    <x v="2981"/>
    <x v="2599"/>
    <n v="2"/>
    <x v="11"/>
    <s v="ESTACIÓN 06"/>
    <s v="M AL 14 ASOC. CANTA GALLO SECTOR TERCER NIVEL"/>
    <x v="13"/>
    <x v="0"/>
    <x v="0"/>
    <x v="1"/>
    <x v="683"/>
    <x v="0"/>
    <n v="4"/>
    <n v="216"/>
    <x v="0"/>
    <x v="1"/>
    <n v="5.4644808743169399E-3"/>
    <x v="37"/>
    <x v="4"/>
    <s v="OK"/>
    <x v="0"/>
    <s v="OK"/>
    <x v="0"/>
    <x v="0"/>
    <n v="1"/>
    <n v="0"/>
    <n v="0"/>
    <n v="0"/>
    <x v="0"/>
    <x v="0"/>
    <x v="0"/>
  </r>
  <r>
    <n v="20451703903"/>
    <x v="19"/>
    <x v="19"/>
    <x v="2971"/>
    <x v="2982"/>
    <x v="2600"/>
    <n v="2"/>
    <x v="67"/>
    <s v="ESTACIÓN 8 - ELIO"/>
    <s v="GR A-2 MZ G1 LT 04 SECTOR A PROYECTO NUEVO PACHACUTEC"/>
    <x v="2"/>
    <x v="0"/>
    <x v="7"/>
    <x v="1"/>
    <x v="139"/>
    <x v="2"/>
    <n v="4"/>
    <n v="100"/>
    <x v="0"/>
    <x v="1"/>
    <n v="5.4644808743169399E-3"/>
    <x v="40"/>
    <x v="4"/>
    <s v="OK"/>
    <x v="2"/>
    <s v="OK"/>
    <x v="0"/>
    <x v="0"/>
    <n v="1"/>
    <n v="1"/>
    <n v="0"/>
    <n v="1"/>
    <x v="0"/>
    <x v="1"/>
    <x v="0"/>
  </r>
  <r>
    <n v="20451703901"/>
    <x v="19"/>
    <x v="19"/>
    <x v="2972"/>
    <x v="2983"/>
    <x v="2601"/>
    <n v="2"/>
    <x v="59"/>
    <s v="ESTACIÓN 06"/>
    <s v="AH HUAYCAN UCB 162B LT 27"/>
    <x v="1"/>
    <x v="0"/>
    <x v="0"/>
    <x v="1"/>
    <x v="531"/>
    <x v="0"/>
    <n v="4"/>
    <n v="216"/>
    <x v="0"/>
    <x v="1"/>
    <n v="5.4644808743169399E-3"/>
    <x v="40"/>
    <x v="4"/>
    <s v="OK"/>
    <x v="1"/>
    <s v="OK"/>
    <x v="0"/>
    <x v="0"/>
    <n v="1"/>
    <n v="1"/>
    <n v="0"/>
    <n v="0"/>
    <x v="0"/>
    <x v="0"/>
    <x v="0"/>
  </r>
  <r>
    <n v="20451703901"/>
    <x v="19"/>
    <x v="19"/>
    <x v="2973"/>
    <x v="2984"/>
    <x v="2602"/>
    <n v="2"/>
    <x v="11"/>
    <s v="ESTACIÓN 8 - ELIO"/>
    <s v="MZ. H. LT. 13 ASENT. H. LADERAS DE CHILLON"/>
    <x v="4"/>
    <x v="0"/>
    <x v="0"/>
    <x v="1"/>
    <x v="19"/>
    <x v="0"/>
    <n v="4"/>
    <n v="210"/>
    <x v="0"/>
    <x v="1"/>
    <n v="5.4644808743169399E-3"/>
    <x v="38"/>
    <x v="4"/>
    <s v="OK"/>
    <x v="0"/>
    <s v="OK"/>
    <x v="0"/>
    <x v="0"/>
    <n v="1"/>
    <n v="0"/>
    <n v="0"/>
    <n v="0"/>
    <x v="0"/>
    <x v="0"/>
    <x v="0"/>
  </r>
  <r>
    <n v="20451703901"/>
    <x v="19"/>
    <x v="19"/>
    <x v="2974"/>
    <x v="2985"/>
    <x v="2603"/>
    <n v="2"/>
    <x v="11"/>
    <s v="ESTACIÓN 06"/>
    <s v="AV. CANTO GRANDE MZ 29 LT 34 A. H. ARRIBA PERU"/>
    <x v="2"/>
    <x v="0"/>
    <x v="7"/>
    <x v="1"/>
    <x v="15"/>
    <x v="2"/>
    <n v="4"/>
    <n v="98.5"/>
    <x v="0"/>
    <x v="1"/>
    <n v="5.4644808743169399E-3"/>
    <x v="39"/>
    <x v="4"/>
    <s v="OK"/>
    <x v="2"/>
    <s v="OK"/>
    <x v="0"/>
    <x v="0"/>
    <n v="1"/>
    <n v="1"/>
    <n v="0"/>
    <n v="1"/>
    <x v="0"/>
    <x v="1"/>
    <x v="0"/>
  </r>
  <r>
    <n v="20451703901"/>
    <x v="19"/>
    <x v="19"/>
    <x v="2975"/>
    <x v="2986"/>
    <x v="2604"/>
    <n v="2"/>
    <x v="11"/>
    <s v="ESTACIÓN 06"/>
    <s v="MZ Ñ LT 12"/>
    <x v="50"/>
    <x v="0"/>
    <x v="0"/>
    <x v="1"/>
    <x v="54"/>
    <x v="0"/>
    <n v="4"/>
    <n v="216"/>
    <x v="0"/>
    <x v="1"/>
    <n v="5.4644808743169399E-3"/>
    <x v="35"/>
    <x v="4"/>
    <s v="OK"/>
    <x v="0"/>
    <s v="OK"/>
    <x v="0"/>
    <x v="0"/>
    <n v="1"/>
    <n v="0"/>
    <n v="0"/>
    <n v="0"/>
    <x v="0"/>
    <x v="0"/>
    <x v="0"/>
  </r>
  <r>
    <n v="20451703903"/>
    <x v="19"/>
    <x v="19"/>
    <x v="2976"/>
    <x v="2987"/>
    <x v="2605"/>
    <n v="2"/>
    <x v="4"/>
    <s v="ESTACIÓN 8 - ELIO"/>
    <s v="AH. BAHIA BLANCA MZ. 15 LT 1"/>
    <x v="62"/>
    <x v="0"/>
    <x v="7"/>
    <x v="1"/>
    <x v="684"/>
    <x v="2"/>
    <n v="4"/>
    <n v="100"/>
    <x v="0"/>
    <x v="1"/>
    <n v="5.4644808743169399E-3"/>
    <x v="38"/>
    <x v="4"/>
    <s v="OK"/>
    <x v="0"/>
    <s v="OK"/>
    <x v="0"/>
    <x v="0"/>
    <n v="1"/>
    <n v="0"/>
    <n v="0"/>
    <n v="1"/>
    <x v="0"/>
    <x v="1"/>
    <x v="0"/>
  </r>
  <r>
    <n v="20451703903"/>
    <x v="19"/>
    <x v="19"/>
    <x v="2977"/>
    <x v="2988"/>
    <x v="2606"/>
    <n v="2"/>
    <x v="2"/>
    <s v="ESTACIÓN 8 - ELIO"/>
    <s v="CALLE AZCONA 1538"/>
    <x v="5"/>
    <x v="0"/>
    <x v="0"/>
    <x v="1"/>
    <x v="283"/>
    <x v="0"/>
    <n v="4"/>
    <n v="220"/>
    <x v="0"/>
    <x v="1"/>
    <n v="5.4644808743169399E-3"/>
    <x v="36"/>
    <x v="4"/>
    <s v="OK"/>
    <x v="3"/>
    <s v="OK"/>
    <x v="0"/>
    <x v="0"/>
    <n v="1"/>
    <n v="1"/>
    <n v="0"/>
    <n v="0"/>
    <x v="0"/>
    <x v="0"/>
    <x v="0"/>
  </r>
  <r>
    <s v="20602677126 "/>
    <x v="58"/>
    <x v="43"/>
    <x v="2978"/>
    <x v="2989"/>
    <x v="2607"/>
    <n v="1"/>
    <x v="45"/>
    <s v="ESTACION 01"/>
    <s v="CONDOMINIO CIUDAD NUEVA &quot;L&quot; - 308"/>
    <x v="6"/>
    <x v="0"/>
    <x v="0"/>
    <x v="12"/>
    <x v="549"/>
    <x v="0"/>
    <n v="2"/>
    <n v="200"/>
    <x v="0"/>
    <x v="1"/>
    <n v="1.8867924528301886E-2"/>
    <x v="40"/>
    <x v="4"/>
    <s v="OK"/>
    <x v="2"/>
    <s v="OK"/>
    <x v="0"/>
    <x v="0"/>
    <n v="1"/>
    <n v="1"/>
    <n v="0"/>
    <n v="0"/>
    <x v="0"/>
    <x v="0"/>
    <x v="0"/>
  </r>
  <r>
    <s v="20602677126 "/>
    <x v="58"/>
    <x v="43"/>
    <x v="2979"/>
    <x v="2990"/>
    <x v="2608"/>
    <n v="2"/>
    <x v="137"/>
    <s v="ESTACION 01"/>
    <s v="MZ. G LT. 10 P JOVEN NESTOR GAMBETTA BAJA OESTE"/>
    <x v="6"/>
    <x v="0"/>
    <x v="0"/>
    <x v="0"/>
    <x v="550"/>
    <x v="0"/>
    <n v="4"/>
    <n v="200"/>
    <x v="0"/>
    <x v="1"/>
    <n v="1.8867924528301886E-2"/>
    <x v="36"/>
    <x v="4"/>
    <s v="OK"/>
    <x v="2"/>
    <s v="OK"/>
    <x v="0"/>
    <x v="0"/>
    <n v="1"/>
    <n v="1"/>
    <n v="0"/>
    <n v="0"/>
    <x v="0"/>
    <x v="0"/>
    <x v="0"/>
  </r>
  <r>
    <s v="20602677126 "/>
    <x v="58"/>
    <x v="43"/>
    <x v="2980"/>
    <x v="2991"/>
    <x v="2609"/>
    <n v="1"/>
    <x v="90"/>
    <s v="ESTACION 01"/>
    <s v="JR. MATEO AGUILAR NRO. 174 MIRONES BAJO"/>
    <x v="10"/>
    <x v="0"/>
    <x v="0"/>
    <x v="0"/>
    <x v="549"/>
    <x v="0"/>
    <n v="2"/>
    <n v="200"/>
    <x v="0"/>
    <x v="1"/>
    <n v="1.8867924528301886E-2"/>
    <x v="39"/>
    <x v="4"/>
    <s v="OK"/>
    <x v="0"/>
    <s v="OK"/>
    <x v="0"/>
    <x v="0"/>
    <n v="1"/>
    <n v="0"/>
    <n v="0"/>
    <n v="0"/>
    <x v="0"/>
    <x v="0"/>
    <x v="0"/>
  </r>
  <r>
    <s v="20602677126 "/>
    <x v="58"/>
    <x v="43"/>
    <x v="2981"/>
    <x v="2992"/>
    <x v="2610"/>
    <n v="2"/>
    <x v="3"/>
    <s v="E1-E2-(TUNEL TBM S97)"/>
    <s v="URB.CONSTANZA MZ.F LT.20 -CALLAO-CALLAO"/>
    <x v="6"/>
    <x v="0"/>
    <x v="0"/>
    <x v="0"/>
    <x v="546"/>
    <x v="2"/>
    <n v="4"/>
    <n v="208"/>
    <x v="0"/>
    <x v="1"/>
    <n v="1.8867924528301886E-2"/>
    <x v="38"/>
    <x v="4"/>
    <s v="OK"/>
    <x v="2"/>
    <s v="OK"/>
    <x v="0"/>
    <x v="1"/>
    <n v="0.5"/>
    <n v="0.5"/>
    <n v="0"/>
    <n v="0"/>
    <x v="0"/>
    <x v="0"/>
    <x v="0"/>
  </r>
  <r>
    <s v="20602677126 "/>
    <x v="58"/>
    <x v="43"/>
    <x v="2982"/>
    <x v="2993"/>
    <x v="2611"/>
    <n v="2"/>
    <x v="3"/>
    <s v="TUNEL TBM S97 -E1"/>
    <s v="JR LAZARETO 887 2DO PISO LETRA A"/>
    <x v="6"/>
    <x v="0"/>
    <x v="0"/>
    <x v="0"/>
    <x v="110"/>
    <x v="2"/>
    <n v="4"/>
    <n v="72"/>
    <x v="0"/>
    <x v="1"/>
    <n v="1.8867924528301886E-2"/>
    <x v="38"/>
    <x v="4"/>
    <s v="OK"/>
    <x v="2"/>
    <s v="OK"/>
    <x v="0"/>
    <x v="1"/>
    <n v="0.5"/>
    <n v="0.5"/>
    <n v="0"/>
    <n v="0"/>
    <x v="0"/>
    <x v="0"/>
    <x v="0"/>
  </r>
  <r>
    <s v="20602677126 "/>
    <x v="58"/>
    <x v="43"/>
    <x v="2982"/>
    <x v="2993"/>
    <x v="2611"/>
    <n v="2"/>
    <x v="3"/>
    <s v="PTBN"/>
    <s v="JR LAZARETO 887 2DO PISO LETRA A"/>
    <x v="6"/>
    <x v="0"/>
    <x v="0"/>
    <x v="0"/>
    <x v="0"/>
    <x v="0"/>
    <n v="4"/>
    <n v="200"/>
    <x v="0"/>
    <x v="1"/>
    <n v="1.8867924528301886E-2"/>
    <x v="38"/>
    <x v="4"/>
    <s v="OK"/>
    <x v="2"/>
    <s v="OK"/>
    <x v="0"/>
    <x v="1"/>
    <n v="0.5"/>
    <n v="0.5"/>
    <n v="0"/>
    <n v="0"/>
    <x v="0"/>
    <x v="0"/>
    <x v="0"/>
  </r>
  <r>
    <s v="20602677126 "/>
    <x v="58"/>
    <x v="43"/>
    <x v="2983"/>
    <x v="2994"/>
    <x v="2612"/>
    <n v="1"/>
    <x v="106"/>
    <s v="PTBN"/>
    <s v="JR ARICA 280 DPTO B"/>
    <x v="146"/>
    <x v="0"/>
    <x v="0"/>
    <x v="0"/>
    <x v="145"/>
    <x v="0"/>
    <n v="1"/>
    <n v="200"/>
    <x v="0"/>
    <x v="1"/>
    <n v="1.8867924528301886E-2"/>
    <x v="36"/>
    <x v="4"/>
    <s v="OK"/>
    <x v="0"/>
    <s v="OK"/>
    <x v="0"/>
    <x v="0"/>
    <n v="1"/>
    <n v="0"/>
    <n v="0"/>
    <n v="0"/>
    <x v="0"/>
    <x v="0"/>
    <x v="0"/>
  </r>
  <r>
    <n v="20482744983"/>
    <x v="21"/>
    <x v="21"/>
    <x v="2984"/>
    <x v="2995"/>
    <x v="2613"/>
    <n v="1"/>
    <x v="153"/>
    <s v="REINSERCION URBANA E14 AL E18"/>
    <s v="ALAMEDA DON ALFONSO MZ. Q1 LT.01 URB. HUERTOS DE VILLA"/>
    <x v="38"/>
    <x v="0"/>
    <x v="0"/>
    <x v="6"/>
    <x v="554"/>
    <x v="0"/>
    <n v="2"/>
    <n v="240"/>
    <x v="0"/>
    <x v="1"/>
    <n v="1.1111111111111112E-2"/>
    <x v="38"/>
    <x v="4"/>
    <s v="OK"/>
    <x v="0"/>
    <s v="OK"/>
    <x v="0"/>
    <x v="0"/>
    <n v="1"/>
    <n v="0"/>
    <n v="0"/>
    <n v="0"/>
    <x v="0"/>
    <x v="0"/>
    <x v="0"/>
  </r>
  <r>
    <n v="20482744983"/>
    <x v="21"/>
    <x v="21"/>
    <x v="2985"/>
    <x v="2996"/>
    <x v="2614"/>
    <n v="2"/>
    <x v="76"/>
    <s v="ESTACION 01"/>
    <s v="AV. CANTO BELLO ASENT. H. SAN FERNANDO MZ K LT 03"/>
    <x v="15"/>
    <x v="0"/>
    <x v="0"/>
    <x v="1"/>
    <x v="125"/>
    <x v="0"/>
    <n v="4"/>
    <n v="240"/>
    <x v="0"/>
    <x v="1"/>
    <n v="1.1111111111111112E-2"/>
    <x v="39"/>
    <x v="4"/>
    <s v="OK"/>
    <x v="0"/>
    <s v="OK"/>
    <x v="0"/>
    <x v="0"/>
    <n v="1"/>
    <n v="0"/>
    <n v="0"/>
    <n v="0"/>
    <x v="0"/>
    <x v="0"/>
    <x v="0"/>
  </r>
  <r>
    <n v="20482744983"/>
    <x v="21"/>
    <x v="21"/>
    <x v="2986"/>
    <x v="2997"/>
    <x v="2615"/>
    <n v="2"/>
    <x v="270"/>
    <s v="ESTACION 01"/>
    <s v="MZ D LT 12 COM. CAMPESINA LA VIZCACHERA"/>
    <x v="15"/>
    <x v="0"/>
    <x v="0"/>
    <x v="1"/>
    <x v="431"/>
    <x v="0"/>
    <n v="4"/>
    <n v="240"/>
    <x v="0"/>
    <x v="1"/>
    <n v="1.1111111111111112E-2"/>
    <x v="40"/>
    <x v="4"/>
    <s v="OK"/>
    <x v="0"/>
    <s v="OK"/>
    <x v="0"/>
    <x v="0"/>
    <n v="1"/>
    <n v="0"/>
    <n v="0"/>
    <n v="0"/>
    <x v="0"/>
    <x v="0"/>
    <x v="0"/>
  </r>
  <r>
    <n v="20482744983"/>
    <x v="21"/>
    <x v="21"/>
    <x v="2987"/>
    <x v="2998"/>
    <x v="2453"/>
    <n v="2"/>
    <x v="11"/>
    <s v="ESTACION 06"/>
    <s v="UCV 157 LT 01 ZONA K HUAYCAN"/>
    <x v="1"/>
    <x v="0"/>
    <x v="0"/>
    <x v="1"/>
    <x v="148"/>
    <x v="0"/>
    <n v="4"/>
    <n v="240"/>
    <x v="0"/>
    <x v="1"/>
    <n v="1.1111111111111112E-2"/>
    <x v="37"/>
    <x v="4"/>
    <s v="OK"/>
    <x v="1"/>
    <s v="OK"/>
    <x v="0"/>
    <x v="0"/>
    <n v="1"/>
    <n v="1"/>
    <n v="0"/>
    <n v="0"/>
    <x v="0"/>
    <x v="0"/>
    <x v="0"/>
  </r>
  <r>
    <n v="20482744983"/>
    <x v="21"/>
    <x v="21"/>
    <x v="2988"/>
    <x v="2999"/>
    <x v="2616"/>
    <n v="1"/>
    <x v="7"/>
    <s v="REINSERCION URBANA E14 AL E18"/>
    <s v="JR ADOLFO JACOBO 1552 CCOP AMA KELLA"/>
    <x v="3"/>
    <x v="0"/>
    <x v="0"/>
    <x v="1"/>
    <x v="146"/>
    <x v="0"/>
    <n v="1"/>
    <n v="240"/>
    <x v="0"/>
    <x v="1"/>
    <n v="1.1111111111111112E-2"/>
    <x v="37"/>
    <x v="4"/>
    <s v="OK"/>
    <x v="0"/>
    <s v="OK"/>
    <x v="0"/>
    <x v="0"/>
    <n v="1"/>
    <n v="0"/>
    <n v="1"/>
    <n v="0"/>
    <x v="0"/>
    <x v="0"/>
    <x v="1"/>
  </r>
  <r>
    <n v="20482744983"/>
    <x v="21"/>
    <x v="21"/>
    <x v="2989"/>
    <x v="3000"/>
    <x v="2617"/>
    <n v="1"/>
    <x v="7"/>
    <s v="ESTACION 02"/>
    <s v="JR. ARIES 843 DPTO 1 URB MERCURIO BAJO"/>
    <x v="49"/>
    <x v="0"/>
    <x v="0"/>
    <x v="1"/>
    <x v="4"/>
    <x v="0"/>
    <n v="1"/>
    <n v="224"/>
    <x v="0"/>
    <x v="1"/>
    <n v="1.1111111111111112E-2"/>
    <x v="34"/>
    <x v="4"/>
    <s v="OK"/>
    <x v="0"/>
    <s v="OK"/>
    <x v="0"/>
    <x v="0"/>
    <n v="1"/>
    <n v="0"/>
    <n v="1"/>
    <n v="0"/>
    <x v="0"/>
    <x v="0"/>
    <x v="1"/>
  </r>
  <r>
    <n v="20482744983"/>
    <x v="21"/>
    <x v="21"/>
    <x v="2990"/>
    <x v="3001"/>
    <x v="2618"/>
    <n v="2"/>
    <x v="67"/>
    <s v="ESTACION 06"/>
    <s v="CALLE LOS ALAMOS MX E-2 LT 28 JOSE BOTTERIN"/>
    <x v="6"/>
    <x v="0"/>
    <x v="0"/>
    <x v="1"/>
    <x v="100"/>
    <x v="0"/>
    <n v="4"/>
    <n v="200"/>
    <x v="0"/>
    <x v="1"/>
    <n v="1.1111111111111112E-2"/>
    <x v="37"/>
    <x v="4"/>
    <s v="OK"/>
    <x v="2"/>
    <s v="OK"/>
    <x v="0"/>
    <x v="0"/>
    <n v="1"/>
    <n v="1"/>
    <n v="1"/>
    <n v="0"/>
    <x v="0"/>
    <x v="0"/>
    <x v="1"/>
  </r>
  <r>
    <n v="20482744983"/>
    <x v="21"/>
    <x v="21"/>
    <x v="2991"/>
    <x v="3002"/>
    <x v="2619"/>
    <n v="1"/>
    <x v="141"/>
    <s v="ESTACION 01"/>
    <s v="CALLE LA HONRADEZ 743 URB. PRO"/>
    <x v="49"/>
    <x v="0"/>
    <x v="0"/>
    <x v="1"/>
    <x v="37"/>
    <x v="0"/>
    <n v="1"/>
    <n v="152"/>
    <x v="0"/>
    <x v="1"/>
    <n v="1.1111111111111112E-2"/>
    <x v="37"/>
    <x v="4"/>
    <s v="OK"/>
    <x v="0"/>
    <s v="OK"/>
    <x v="0"/>
    <x v="0"/>
    <n v="1"/>
    <n v="0"/>
    <n v="1"/>
    <n v="0"/>
    <x v="0"/>
    <x v="0"/>
    <x v="1"/>
  </r>
  <r>
    <n v="20482744983"/>
    <x v="21"/>
    <x v="21"/>
    <x v="2992"/>
    <x v="3003"/>
    <x v="2620"/>
    <n v="2"/>
    <x v="31"/>
    <s v="REINSERCION URBANA E14 AL E18"/>
    <s v="MZ J LT 48B PJ REPUBLICA FEDERAL ALEMANA"/>
    <x v="53"/>
    <x v="0"/>
    <x v="0"/>
    <x v="1"/>
    <x v="103"/>
    <x v="0"/>
    <n v="4"/>
    <n v="112"/>
    <x v="0"/>
    <x v="1"/>
    <n v="1.1111111111111112E-2"/>
    <x v="36"/>
    <x v="4"/>
    <s v="OK"/>
    <x v="0"/>
    <s v="OK"/>
    <x v="0"/>
    <x v="1"/>
    <n v="0.5"/>
    <n v="0"/>
    <n v="1"/>
    <n v="0"/>
    <x v="0"/>
    <x v="0"/>
    <x v="1"/>
  </r>
  <r>
    <n v="20482744983"/>
    <x v="21"/>
    <x v="21"/>
    <x v="2993"/>
    <x v="3004"/>
    <x v="2621"/>
    <n v="2"/>
    <x v="270"/>
    <s v="REINSERCION URBANA E14 AL E18"/>
    <s v="JR. AREQUIPA 461 PJ JOSE C. MARIATEGUI SECTOR VALLECITO ALTO"/>
    <x v="8"/>
    <x v="0"/>
    <x v="0"/>
    <x v="1"/>
    <x v="100"/>
    <x v="0"/>
    <n v="4"/>
    <n v="200"/>
    <x v="0"/>
    <x v="1"/>
    <n v="1.1111111111111112E-2"/>
    <x v="37"/>
    <x v="4"/>
    <s v="OK"/>
    <x v="0"/>
    <s v="OK"/>
    <x v="0"/>
    <x v="0"/>
    <n v="1"/>
    <n v="0"/>
    <n v="1"/>
    <n v="0"/>
    <x v="0"/>
    <x v="0"/>
    <x v="1"/>
  </r>
  <r>
    <n v="20482744983"/>
    <x v="21"/>
    <x v="21"/>
    <x v="2994"/>
    <x v="3005"/>
    <x v="2622"/>
    <n v="2"/>
    <x v="268"/>
    <s v="REINSERCION URBANA E14 AL E18"/>
    <s v="ASOC. MIRAFLORES SOCABAYA MZ C LT 04"/>
    <x v="361"/>
    <x v="0"/>
    <x v="0"/>
    <x v="1"/>
    <x v="786"/>
    <x v="0"/>
    <n v="4"/>
    <n v="0"/>
    <x v="0"/>
    <x v="1"/>
    <n v="1.1111111111111112E-2"/>
    <x v="35"/>
    <x v="4"/>
    <s v="OK"/>
    <x v="0"/>
    <s v="OK"/>
    <x v="0"/>
    <x v="0"/>
    <n v="1"/>
    <n v="0"/>
    <n v="0"/>
    <n v="0"/>
    <x v="0"/>
    <x v="0"/>
    <x v="0"/>
  </r>
  <r>
    <n v="20482744983"/>
    <x v="21"/>
    <x v="21"/>
    <x v="2995"/>
    <x v="3006"/>
    <x v="2623"/>
    <n v="2"/>
    <x v="67"/>
    <s v="ESTACION 02"/>
    <s v="GARCIA CALDERON 885-18"/>
    <x v="6"/>
    <x v="0"/>
    <x v="0"/>
    <x v="1"/>
    <x v="787"/>
    <x v="0"/>
    <n v="4"/>
    <n v="24"/>
    <x v="0"/>
    <x v="1"/>
    <n v="1.1111111111111112E-2"/>
    <x v="40"/>
    <x v="4"/>
    <s v="OK"/>
    <x v="2"/>
    <s v="OK"/>
    <x v="0"/>
    <x v="0"/>
    <n v="1"/>
    <n v="1"/>
    <n v="1"/>
    <n v="0"/>
    <x v="0"/>
    <x v="0"/>
    <x v="1"/>
  </r>
  <r>
    <n v="20101155588"/>
    <x v="22"/>
    <x v="22"/>
    <x v="2996"/>
    <x v="3007"/>
    <x v="2624"/>
    <n v="1"/>
    <x v="379"/>
    <s v="PATIO TALLER SANTA ANITA"/>
    <s v="CALLE TENIENTE CORONEL FRANCISCO MERINO MZ L LOTE 8 URB LAS HIEDRA DE SURCO"/>
    <x v="77"/>
    <x v="0"/>
    <x v="9"/>
    <x v="1"/>
    <x v="76"/>
    <x v="0"/>
    <n v="1"/>
    <n v="312"/>
    <x v="1"/>
    <x v="1"/>
    <n v="3.134796238244514E-3"/>
    <x v="38"/>
    <x v="4"/>
    <s v="OK"/>
    <x v="0"/>
    <s v="OK"/>
    <x v="0"/>
    <x v="0"/>
    <n v="1"/>
    <n v="0"/>
    <n v="0"/>
    <n v="0"/>
    <x v="0"/>
    <x v="0"/>
    <x v="0"/>
  </r>
  <r>
    <n v="20101155588"/>
    <x v="22"/>
    <x v="22"/>
    <x v="2997"/>
    <x v="3008"/>
    <x v="2625"/>
    <n v="1"/>
    <x v="84"/>
    <s v="PATIO TALLER SANTA ANITA"/>
    <s v="COOP. DE VIVIENDA DE HUANCAYO 2 ETAPA MZ.D LT.2 "/>
    <x v="46"/>
    <x v="0"/>
    <x v="9"/>
    <x v="1"/>
    <x v="788"/>
    <x v="0"/>
    <n v="1"/>
    <n v="312"/>
    <x v="1"/>
    <x v="1"/>
    <n v="3.134796238244514E-3"/>
    <x v="40"/>
    <x v="4"/>
    <s v="OK"/>
    <x v="7"/>
    <s v="OK"/>
    <x v="0"/>
    <x v="0"/>
    <n v="1"/>
    <n v="1"/>
    <n v="0"/>
    <n v="0"/>
    <x v="0"/>
    <x v="0"/>
    <x v="0"/>
  </r>
  <r>
    <n v="20101155588"/>
    <x v="22"/>
    <x v="22"/>
    <x v="2998"/>
    <x v="3009"/>
    <x v="2626"/>
    <n v="1"/>
    <x v="32"/>
    <s v="ESTACION 18"/>
    <s v="JIRON JUAQUIN TORRICO 1137"/>
    <x v="53"/>
    <x v="0"/>
    <x v="9"/>
    <x v="1"/>
    <x v="789"/>
    <x v="0"/>
    <n v="1"/>
    <n v="312"/>
    <x v="1"/>
    <x v="1"/>
    <n v="3.134796238244514E-3"/>
    <x v="35"/>
    <x v="4"/>
    <s v="OK"/>
    <x v="0"/>
    <s v="OK"/>
    <x v="0"/>
    <x v="0"/>
    <n v="1"/>
    <n v="0"/>
    <n v="0"/>
    <n v="0"/>
    <x v="0"/>
    <x v="0"/>
    <x v="0"/>
  </r>
  <r>
    <n v="20101155588"/>
    <x v="22"/>
    <x v="22"/>
    <x v="2999"/>
    <x v="3010"/>
    <x v="2627"/>
    <n v="1"/>
    <x v="32"/>
    <s v="ESTACION 27"/>
    <s v="MZ A LT 10 ASOC NIÑO JESUS 1 ETAPA SANTA CLARA"/>
    <x v="1"/>
    <x v="0"/>
    <x v="9"/>
    <x v="1"/>
    <x v="417"/>
    <x v="0"/>
    <n v="1"/>
    <n v="312"/>
    <x v="1"/>
    <x v="1"/>
    <n v="3.134796238244514E-3"/>
    <x v="40"/>
    <x v="4"/>
    <s v="OK"/>
    <x v="1"/>
    <s v="OK"/>
    <x v="0"/>
    <x v="0"/>
    <n v="1"/>
    <n v="1"/>
    <n v="0"/>
    <n v="0"/>
    <x v="0"/>
    <x v="0"/>
    <x v="0"/>
  </r>
  <r>
    <n v="20101155588"/>
    <x v="22"/>
    <x v="22"/>
    <x v="3000"/>
    <x v="3011"/>
    <x v="2628"/>
    <n v="1"/>
    <x v="32"/>
    <s v="PATIO TALLER SANTA ANITA"/>
    <s v="AA.VV SAN ROQUE "/>
    <x v="362"/>
    <x v="1"/>
    <x v="9"/>
    <x v="1"/>
    <x v="591"/>
    <x v="0"/>
    <n v="1"/>
    <n v="312"/>
    <x v="1"/>
    <x v="1"/>
    <n v="3.134796238244514E-3"/>
    <x v="33"/>
    <x v="4"/>
    <s v="OK"/>
    <x v="0"/>
    <s v="OK"/>
    <x v="0"/>
    <x v="0"/>
    <n v="1"/>
    <n v="0"/>
    <n v="0"/>
    <n v="0"/>
    <x v="0"/>
    <x v="0"/>
    <x v="0"/>
  </r>
  <r>
    <n v="20101155588"/>
    <x v="22"/>
    <x v="22"/>
    <x v="3001"/>
    <x v="3012"/>
    <x v="2629"/>
    <n v="1"/>
    <x v="32"/>
    <s v="PATIO TALLER SANTA ANITA"/>
    <s v="Av. La Cultura"/>
    <x v="27"/>
    <x v="1"/>
    <x v="9"/>
    <x v="1"/>
    <x v="252"/>
    <x v="0"/>
    <n v="1"/>
    <n v="312"/>
    <x v="1"/>
    <x v="1"/>
    <n v="3.134796238244514E-3"/>
    <x v="40"/>
    <x v="4"/>
    <s v="OK"/>
    <x v="5"/>
    <s v="OK"/>
    <x v="0"/>
    <x v="0"/>
    <n v="1"/>
    <n v="1"/>
    <n v="0"/>
    <n v="0"/>
    <x v="0"/>
    <x v="0"/>
    <x v="0"/>
  </r>
  <r>
    <n v="20101155588"/>
    <x v="22"/>
    <x v="22"/>
    <x v="3002"/>
    <x v="3013"/>
    <x v="2630"/>
    <n v="1"/>
    <x v="32"/>
    <s v="PATIO TALLER SANTA ANITA"/>
    <s v="CALLE LAS PONCIANAS 248"/>
    <x v="119"/>
    <x v="0"/>
    <x v="9"/>
    <x v="1"/>
    <x v="790"/>
    <x v="0"/>
    <n v="1"/>
    <n v="312"/>
    <x v="1"/>
    <x v="1"/>
    <n v="3.134796238244514E-3"/>
    <x v="40"/>
    <x v="4"/>
    <s v="OK"/>
    <x v="0"/>
    <s v="OK"/>
    <x v="0"/>
    <x v="0"/>
    <n v="1"/>
    <n v="0"/>
    <n v="0"/>
    <n v="0"/>
    <x v="0"/>
    <x v="0"/>
    <x v="0"/>
  </r>
  <r>
    <n v="20101155588"/>
    <x v="22"/>
    <x v="22"/>
    <x v="3003"/>
    <x v="3014"/>
    <x v="2631"/>
    <n v="1"/>
    <x v="32"/>
    <s v=" ESTACION 14 A"/>
    <s v="CAJA DE AGUA"/>
    <x v="15"/>
    <x v="0"/>
    <x v="9"/>
    <x v="1"/>
    <x v="782"/>
    <x v="0"/>
    <n v="1"/>
    <n v="312"/>
    <x v="1"/>
    <x v="1"/>
    <n v="3.134796238244514E-3"/>
    <x v="35"/>
    <x v="4"/>
    <s v="OK"/>
    <x v="0"/>
    <s v="OK"/>
    <x v="0"/>
    <x v="0"/>
    <n v="1"/>
    <n v="0"/>
    <n v="0"/>
    <n v="0"/>
    <x v="0"/>
    <x v="0"/>
    <x v="0"/>
  </r>
  <r>
    <n v="20101155588"/>
    <x v="22"/>
    <x v="22"/>
    <x v="3004"/>
    <x v="3015"/>
    <x v="2632"/>
    <n v="1"/>
    <x v="32"/>
    <s v="OIP"/>
    <s v="AV. SANTA MARÍA"/>
    <x v="15"/>
    <x v="1"/>
    <x v="9"/>
    <x v="1"/>
    <x v="791"/>
    <x v="0"/>
    <n v="1"/>
    <n v="312"/>
    <x v="1"/>
    <x v="1"/>
    <n v="3.134796238244514E-3"/>
    <x v="36"/>
    <x v="4"/>
    <s v="OK"/>
    <x v="0"/>
    <s v="OK"/>
    <x v="0"/>
    <x v="0"/>
    <n v="1"/>
    <n v="0"/>
    <n v="0"/>
    <n v="0"/>
    <x v="0"/>
    <x v="0"/>
    <x v="0"/>
  </r>
  <r>
    <n v="20101155588"/>
    <x v="22"/>
    <x v="22"/>
    <x v="3005"/>
    <x v="3016"/>
    <x v="2590"/>
    <n v="1"/>
    <x v="32"/>
    <s v="POZO 16"/>
    <s v="CALLE AYMARAS"/>
    <x v="27"/>
    <x v="0"/>
    <x v="9"/>
    <x v="1"/>
    <x v="699"/>
    <x v="0"/>
    <n v="1"/>
    <n v="312"/>
    <x v="1"/>
    <x v="1"/>
    <n v="3.134796238244514E-3"/>
    <x v="32"/>
    <x v="4"/>
    <s v="OK"/>
    <x v="5"/>
    <s v="OK"/>
    <x v="0"/>
    <x v="0"/>
    <n v="1"/>
    <n v="1"/>
    <n v="0"/>
    <n v="0"/>
    <x v="0"/>
    <x v="0"/>
    <x v="0"/>
  </r>
  <r>
    <n v="20101155588"/>
    <x v="22"/>
    <x v="22"/>
    <x v="3006"/>
    <x v="3017"/>
    <x v="2633"/>
    <n v="1"/>
    <x v="32"/>
    <s v="DESCANSERO ESTACION 17"/>
    <s v="URB. SANTA MARIA  AV. LOS EUCALIPOS  S/N "/>
    <x v="331"/>
    <x v="0"/>
    <x v="9"/>
    <x v="1"/>
    <x v="702"/>
    <x v="0"/>
    <n v="1"/>
    <n v="312"/>
    <x v="1"/>
    <x v="1"/>
    <n v="3.134796238244514E-3"/>
    <x v="40"/>
    <x v="4"/>
    <s v="OK"/>
    <x v="0"/>
    <s v="OK"/>
    <x v="0"/>
    <x v="0"/>
    <n v="1"/>
    <n v="0"/>
    <n v="0"/>
    <n v="0"/>
    <x v="0"/>
    <x v="0"/>
    <x v="0"/>
  </r>
  <r>
    <n v="20101155588"/>
    <x v="22"/>
    <x v="22"/>
    <x v="3007"/>
    <x v="3018"/>
    <x v="2634"/>
    <n v="1"/>
    <x v="32"/>
    <s v="POZO 17,A"/>
    <s v="AV NICLOAS AYLLON 740"/>
    <x v="158"/>
    <x v="0"/>
    <x v="9"/>
    <x v="1"/>
    <x v="792"/>
    <x v="0"/>
    <n v="1"/>
    <n v="312"/>
    <x v="1"/>
    <x v="1"/>
    <n v="3.134796238244514E-3"/>
    <x v="32"/>
    <x v="4"/>
    <s v="OK"/>
    <x v="3"/>
    <s v="OK"/>
    <x v="0"/>
    <x v="0"/>
    <n v="1"/>
    <n v="1"/>
    <n v="0"/>
    <n v="0"/>
    <x v="0"/>
    <x v="0"/>
    <x v="0"/>
  </r>
  <r>
    <n v="20101155588"/>
    <x v="22"/>
    <x v="22"/>
    <x v="3008"/>
    <x v="3019"/>
    <x v="2635"/>
    <n v="1"/>
    <x v="32"/>
    <s v="ESTACION 16 C"/>
    <s v="AV. METROPOLIANA"/>
    <x v="27"/>
    <x v="0"/>
    <x v="9"/>
    <x v="1"/>
    <x v="793"/>
    <x v="0"/>
    <n v="1"/>
    <n v="312"/>
    <x v="1"/>
    <x v="1"/>
    <n v="3.134796238244514E-3"/>
    <x v="37"/>
    <x v="4"/>
    <s v="OK"/>
    <x v="5"/>
    <s v="OK"/>
    <x v="0"/>
    <x v="0"/>
    <n v="1"/>
    <n v="1"/>
    <n v="0"/>
    <n v="0"/>
    <x v="0"/>
    <x v="0"/>
    <x v="0"/>
  </r>
  <r>
    <n v="20101155588"/>
    <x v="22"/>
    <x v="22"/>
    <x v="3009"/>
    <x v="3020"/>
    <x v="2636"/>
    <n v="1"/>
    <x v="32"/>
    <s v="ESTACION 15 A"/>
    <s v="PASAJE CHURIN 687 SANTOYO ( ESTACION EL ANGEL)"/>
    <x v="46"/>
    <x v="0"/>
    <x v="9"/>
    <x v="1"/>
    <x v="794"/>
    <x v="0"/>
    <n v="1"/>
    <n v="312"/>
    <x v="1"/>
    <x v="1"/>
    <n v="3.134796238244514E-3"/>
    <x v="36"/>
    <x v="4"/>
    <s v="OK"/>
    <x v="7"/>
    <s v="OK"/>
    <x v="0"/>
    <x v="0"/>
    <n v="1"/>
    <n v="1"/>
    <n v="0"/>
    <n v="0"/>
    <x v="0"/>
    <x v="0"/>
    <x v="0"/>
  </r>
  <r>
    <n v="20101155588"/>
    <x v="22"/>
    <x v="22"/>
    <x v="3010"/>
    <x v="3021"/>
    <x v="2637"/>
    <n v="1"/>
    <x v="32"/>
    <s v="ESTACION 14 C"/>
    <s v="MZ.42 A2 LT. 08 3era   ZONA BAYOBAR"/>
    <x v="15"/>
    <x v="0"/>
    <x v="9"/>
    <x v="1"/>
    <x v="795"/>
    <x v="0"/>
    <n v="1"/>
    <n v="312"/>
    <x v="1"/>
    <x v="1"/>
    <n v="3.134796238244514E-3"/>
    <x v="32"/>
    <x v="4"/>
    <s v="OK"/>
    <x v="0"/>
    <s v="OK"/>
    <x v="0"/>
    <x v="0"/>
    <n v="1"/>
    <n v="0"/>
    <n v="0"/>
    <n v="0"/>
    <x v="0"/>
    <x v="0"/>
    <x v="0"/>
  </r>
  <r>
    <n v="20101155588"/>
    <x v="22"/>
    <x v="22"/>
    <x v="3011"/>
    <x v="3022"/>
    <x v="2612"/>
    <n v="1"/>
    <x v="32"/>
    <s v="ESTACION 18.A"/>
    <s v="CA. MIGUEL GRAU 157 "/>
    <x v="46"/>
    <x v="0"/>
    <x v="9"/>
    <x v="1"/>
    <x v="796"/>
    <x v="0"/>
    <n v="1"/>
    <n v="312"/>
    <x v="1"/>
    <x v="1"/>
    <n v="3.134796238244514E-3"/>
    <x v="36"/>
    <x v="4"/>
    <s v="OK"/>
    <x v="7"/>
    <s v="OK"/>
    <x v="0"/>
    <x v="0"/>
    <n v="1"/>
    <n v="1"/>
    <n v="0"/>
    <n v="0"/>
    <x v="0"/>
    <x v="0"/>
    <x v="0"/>
  </r>
  <r>
    <n v="20101155588"/>
    <x v="22"/>
    <x v="22"/>
    <x v="3012"/>
    <x v="3023"/>
    <x v="2625"/>
    <n v="1"/>
    <x v="32"/>
    <s v="ESTACION 19.A"/>
    <s v="MZ. N15 LT. 40 ASOC. VIV, CASABLANCA"/>
    <x v="15"/>
    <x v="0"/>
    <x v="9"/>
    <x v="1"/>
    <x v="797"/>
    <x v="0"/>
    <n v="1"/>
    <n v="312"/>
    <x v="1"/>
    <x v="1"/>
    <n v="3.134796238244514E-3"/>
    <x v="40"/>
    <x v="4"/>
    <s v="OK"/>
    <x v="0"/>
    <s v="OK"/>
    <x v="0"/>
    <x v="0"/>
    <n v="1"/>
    <n v="0"/>
    <n v="0"/>
    <n v="0"/>
    <x v="0"/>
    <x v="0"/>
    <x v="0"/>
  </r>
  <r>
    <n v="20101155588"/>
    <x v="22"/>
    <x v="22"/>
    <x v="3013"/>
    <x v="3024"/>
    <x v="2638"/>
    <n v="1"/>
    <x v="32"/>
    <s v="POZO 18"/>
    <s v="Av. Santa rosa n°406"/>
    <x v="27"/>
    <x v="0"/>
    <x v="9"/>
    <x v="1"/>
    <x v="798"/>
    <x v="0"/>
    <n v="1"/>
    <n v="312"/>
    <x v="1"/>
    <x v="1"/>
    <n v="3.134796238244514E-3"/>
    <x v="39"/>
    <x v="4"/>
    <s v="OK"/>
    <x v="5"/>
    <s v="OK"/>
    <x v="0"/>
    <x v="0"/>
    <n v="1"/>
    <n v="1"/>
    <n v="0"/>
    <n v="0"/>
    <x v="0"/>
    <x v="0"/>
    <x v="0"/>
  </r>
  <r>
    <n v="20101155588"/>
    <x v="22"/>
    <x v="22"/>
    <x v="3014"/>
    <x v="3025"/>
    <x v="2639"/>
    <n v="1"/>
    <x v="32"/>
    <s v="ESTACION 26 SALIDA SUR"/>
    <s v="AV NICLOAS AYLLON 310"/>
    <x v="158"/>
    <x v="0"/>
    <x v="9"/>
    <x v="1"/>
    <x v="799"/>
    <x v="0"/>
    <n v="1"/>
    <n v="312"/>
    <x v="1"/>
    <x v="1"/>
    <n v="3.134796238244514E-3"/>
    <x v="33"/>
    <x v="4"/>
    <s v="OK"/>
    <x v="3"/>
    <s v="OK"/>
    <x v="0"/>
    <x v="0"/>
    <n v="1"/>
    <n v="1"/>
    <n v="0"/>
    <n v="0"/>
    <x v="0"/>
    <x v="0"/>
    <x v="0"/>
  </r>
  <r>
    <n v="20101155588"/>
    <x v="22"/>
    <x v="22"/>
    <x v="3015"/>
    <x v="3026"/>
    <x v="2640"/>
    <n v="1"/>
    <x v="32"/>
    <s v="ESTACION 27 A"/>
    <s v="UCV LOTE 25 ZONA L - HUAYCAN "/>
    <x v="34"/>
    <x v="0"/>
    <x v="9"/>
    <x v="1"/>
    <x v="345"/>
    <x v="0"/>
    <n v="1"/>
    <n v="312"/>
    <x v="1"/>
    <x v="1"/>
    <n v="3.134796238244514E-3"/>
    <x v="35"/>
    <x v="4"/>
    <s v="OK"/>
    <x v="1"/>
    <s v="OK"/>
    <x v="0"/>
    <x v="0"/>
    <n v="1"/>
    <n v="1"/>
    <n v="0"/>
    <n v="0"/>
    <x v="0"/>
    <x v="0"/>
    <x v="0"/>
  </r>
  <r>
    <n v="20101155588"/>
    <x v="22"/>
    <x v="22"/>
    <x v="3016"/>
    <x v="3027"/>
    <x v="2641"/>
    <n v="1"/>
    <x v="32"/>
    <s v="ESTACION 27 B"/>
    <s v="UCV - 129 LOTE 43 ZONA H - HUAYCAN"/>
    <x v="363"/>
    <x v="0"/>
    <x v="9"/>
    <x v="1"/>
    <x v="800"/>
    <x v="0"/>
    <n v="1"/>
    <n v="312"/>
    <x v="1"/>
    <x v="1"/>
    <n v="3.134796238244514E-3"/>
    <x v="36"/>
    <x v="4"/>
    <s v="OK"/>
    <x v="1"/>
    <s v="OK"/>
    <x v="0"/>
    <x v="0"/>
    <n v="1"/>
    <n v="1"/>
    <n v="0"/>
    <n v="0"/>
    <x v="0"/>
    <x v="0"/>
    <x v="0"/>
  </r>
  <r>
    <n v="20101155588"/>
    <x v="22"/>
    <x v="22"/>
    <x v="3017"/>
    <x v="3028"/>
    <x v="2642"/>
    <n v="1"/>
    <x v="32"/>
    <s v="OIP"/>
    <s v="MZL LOTE7 VALLE GRANDE "/>
    <x v="15"/>
    <x v="0"/>
    <x v="9"/>
    <x v="1"/>
    <x v="801"/>
    <x v="0"/>
    <n v="1"/>
    <n v="312"/>
    <x v="1"/>
    <x v="1"/>
    <n v="3.134796238244514E-3"/>
    <x v="35"/>
    <x v="4"/>
    <s v="OK"/>
    <x v="0"/>
    <s v="OK"/>
    <x v="0"/>
    <x v="0"/>
    <n v="1"/>
    <n v="0"/>
    <n v="0"/>
    <n v="0"/>
    <x v="0"/>
    <x v="0"/>
    <x v="0"/>
  </r>
  <r>
    <n v="20101155588"/>
    <x v="22"/>
    <x v="22"/>
    <x v="3018"/>
    <x v="3029"/>
    <x v="2643"/>
    <n v="1"/>
    <x v="32"/>
    <s v="DESCANSERO"/>
    <s v="CALLE ATENAS"/>
    <x v="49"/>
    <x v="0"/>
    <x v="9"/>
    <x v="1"/>
    <x v="618"/>
    <x v="0"/>
    <n v="1"/>
    <n v="312"/>
    <x v="1"/>
    <x v="1"/>
    <n v="3.134796238244514E-3"/>
    <x v="40"/>
    <x v="4"/>
    <s v="OK"/>
    <x v="0"/>
    <s v="OK"/>
    <x v="0"/>
    <x v="0"/>
    <n v="1"/>
    <n v="0"/>
    <n v="0"/>
    <n v="0"/>
    <x v="0"/>
    <x v="0"/>
    <x v="0"/>
  </r>
  <r>
    <n v="20101155588"/>
    <x v="22"/>
    <x v="22"/>
    <x v="3019"/>
    <x v="3030"/>
    <x v="2644"/>
    <n v="1"/>
    <x v="32"/>
    <s v="ESTACION 16 F"/>
    <s v="AV NICLOAS AYLLON 1020"/>
    <x v="158"/>
    <x v="0"/>
    <x v="9"/>
    <x v="1"/>
    <x v="802"/>
    <x v="0"/>
    <n v="1"/>
    <n v="312"/>
    <x v="1"/>
    <x v="1"/>
    <n v="3.134796238244514E-3"/>
    <x v="38"/>
    <x v="4"/>
    <s v="OK"/>
    <x v="3"/>
    <s v="OK"/>
    <x v="0"/>
    <x v="0"/>
    <n v="1"/>
    <n v="1"/>
    <n v="0"/>
    <n v="0"/>
    <x v="0"/>
    <x v="0"/>
    <x v="0"/>
  </r>
  <r>
    <n v="20101155588"/>
    <x v="22"/>
    <x v="22"/>
    <x v="3020"/>
    <x v="3031"/>
    <x v="2645"/>
    <n v="1"/>
    <x v="32"/>
    <s v="PATIO TALLER SANTA ANITA"/>
    <s v="AAHH SOL Y PROGRESO "/>
    <x v="250"/>
    <x v="0"/>
    <x v="9"/>
    <x v="1"/>
    <x v="641"/>
    <x v="0"/>
    <n v="1"/>
    <n v="312"/>
    <x v="1"/>
    <x v="1"/>
    <n v="3.134796238244514E-3"/>
    <x v="37"/>
    <x v="4"/>
    <s v="OK"/>
    <x v="0"/>
    <s v="OK"/>
    <x v="0"/>
    <x v="0"/>
    <n v="1"/>
    <n v="0"/>
    <n v="0"/>
    <n v="0"/>
    <x v="0"/>
    <x v="0"/>
    <x v="0"/>
  </r>
  <r>
    <n v="20101155588"/>
    <x v="22"/>
    <x v="22"/>
    <x v="3021"/>
    <x v="3032"/>
    <x v="2646"/>
    <n v="1"/>
    <x v="32"/>
    <s v="ESTACION 10"/>
    <s v="JR TRUJILLO NUMERO 813 DPTO 106A"/>
    <x v="13"/>
    <x v="0"/>
    <x v="9"/>
    <x v="1"/>
    <x v="77"/>
    <x v="0"/>
    <n v="1"/>
    <n v="312"/>
    <x v="1"/>
    <x v="1"/>
    <n v="3.134796238244514E-3"/>
    <x v="39"/>
    <x v="4"/>
    <s v="OK"/>
    <x v="0"/>
    <s v="OK"/>
    <x v="0"/>
    <x v="0"/>
    <n v="1"/>
    <n v="0"/>
    <n v="0"/>
    <n v="0"/>
    <x v="0"/>
    <x v="0"/>
    <x v="0"/>
  </r>
  <r>
    <n v="20101155588"/>
    <x v="22"/>
    <x v="22"/>
    <x v="3022"/>
    <x v="3033"/>
    <x v="2647"/>
    <n v="1"/>
    <x v="32"/>
    <s v="POZO 18"/>
    <s v="MZ A15 LT 40 LOS PORTALES DE SANTA ANITA"/>
    <x v="27"/>
    <x v="0"/>
    <x v="9"/>
    <x v="1"/>
    <x v="78"/>
    <x v="0"/>
    <n v="1"/>
    <n v="312"/>
    <x v="1"/>
    <x v="1"/>
    <n v="3.134796238244514E-3"/>
    <x v="40"/>
    <x v="4"/>
    <s v="OK"/>
    <x v="5"/>
    <s v="OK"/>
    <x v="0"/>
    <x v="0"/>
    <n v="1"/>
    <n v="1"/>
    <n v="0"/>
    <n v="0"/>
    <x v="0"/>
    <x v="0"/>
    <x v="0"/>
  </r>
  <r>
    <n v="20101155588"/>
    <x v="22"/>
    <x v="22"/>
    <x v="3023"/>
    <x v="3034"/>
    <x v="2648"/>
    <n v="1"/>
    <x v="32"/>
    <s v="ESTACION 12"/>
    <s v="ASO.DE VIV.SANTA ISABEL DE HUARAZ"/>
    <x v="4"/>
    <x v="0"/>
    <x v="11"/>
    <x v="1"/>
    <x v="78"/>
    <x v="0"/>
    <n v="1"/>
    <n v="240"/>
    <x v="1"/>
    <x v="1"/>
    <n v="3.134796238244514E-3"/>
    <x v="32"/>
    <x v="4"/>
    <s v="OK"/>
    <x v="0"/>
    <s v="OK"/>
    <x v="0"/>
    <x v="0"/>
    <n v="1"/>
    <n v="0"/>
    <n v="0"/>
    <n v="1"/>
    <x v="0"/>
    <x v="1"/>
    <x v="0"/>
  </r>
  <r>
    <n v="20101155588"/>
    <x v="22"/>
    <x v="22"/>
    <x v="3024"/>
    <x v="3035"/>
    <x v="2649"/>
    <n v="1"/>
    <x v="32"/>
    <s v="PATIO TALLER SANTA ANITA"/>
    <s v="AV LOS ALGARROBOS MZ.Z LT.12 URB HUMAMARCA"/>
    <x v="53"/>
    <x v="0"/>
    <x v="9"/>
    <x v="1"/>
    <x v="244"/>
    <x v="0"/>
    <n v="1"/>
    <n v="312"/>
    <x v="1"/>
    <x v="1"/>
    <n v="3.134796238244514E-3"/>
    <x v="37"/>
    <x v="4"/>
    <s v="OK"/>
    <x v="0"/>
    <s v="OK"/>
    <x v="0"/>
    <x v="0"/>
    <n v="1"/>
    <n v="0"/>
    <n v="0"/>
    <n v="0"/>
    <x v="0"/>
    <x v="0"/>
    <x v="0"/>
  </r>
  <r>
    <n v="20101155588"/>
    <x v="22"/>
    <x v="22"/>
    <x v="3025"/>
    <x v="3036"/>
    <x v="2650"/>
    <n v="1"/>
    <x v="32"/>
    <s v="ESTACION 11B"/>
    <s v="MZG 1 LT 1 PASAJE AREQUIPA URB SAN JUAN MASIAS"/>
    <x v="6"/>
    <x v="0"/>
    <x v="9"/>
    <x v="1"/>
    <x v="82"/>
    <x v="0"/>
    <n v="1"/>
    <n v="312"/>
    <x v="1"/>
    <x v="1"/>
    <n v="3.134796238244514E-3"/>
    <x v="40"/>
    <x v="4"/>
    <s v="OK"/>
    <x v="2"/>
    <s v="OK"/>
    <x v="0"/>
    <x v="0"/>
    <n v="1"/>
    <n v="1"/>
    <n v="0"/>
    <n v="0"/>
    <x v="0"/>
    <x v="0"/>
    <x v="0"/>
  </r>
  <r>
    <n v="20101155588"/>
    <x v="22"/>
    <x v="22"/>
    <x v="3026"/>
    <x v="3037"/>
    <x v="2651"/>
    <n v="1"/>
    <x v="32"/>
    <s v="ESTACION 11 B"/>
    <s v="Calle 25 de diciembre"/>
    <x v="44"/>
    <x v="0"/>
    <x v="9"/>
    <x v="1"/>
    <x v="85"/>
    <x v="0"/>
    <n v="1"/>
    <n v="312"/>
    <x v="1"/>
    <x v="1"/>
    <n v="3.134796238244514E-3"/>
    <x v="35"/>
    <x v="4"/>
    <s v="OK"/>
    <x v="0"/>
    <s v="OK"/>
    <x v="0"/>
    <x v="0"/>
    <n v="1"/>
    <n v="0"/>
    <n v="0"/>
    <n v="0"/>
    <x v="0"/>
    <x v="0"/>
    <x v="0"/>
  </r>
  <r>
    <n v="20101155588"/>
    <x v="22"/>
    <x v="22"/>
    <x v="3027"/>
    <x v="3038"/>
    <x v="2652"/>
    <n v="1"/>
    <x v="32"/>
    <s v="PATIO TALLER SANTA ANITA"/>
    <s v="UNIVERSIDAD CESAR VALLEJO 22 LOT 10 ZONA A "/>
    <x v="1"/>
    <x v="0"/>
    <x v="9"/>
    <x v="1"/>
    <x v="788"/>
    <x v="0"/>
    <n v="1"/>
    <n v="312"/>
    <x v="1"/>
    <x v="1"/>
    <n v="3.134796238244514E-3"/>
    <x v="36"/>
    <x v="4"/>
    <s v="OK"/>
    <x v="1"/>
    <s v="OK"/>
    <x v="0"/>
    <x v="0"/>
    <n v="1"/>
    <n v="1"/>
    <n v="0"/>
    <n v="0"/>
    <x v="0"/>
    <x v="0"/>
    <x v="0"/>
  </r>
  <r>
    <n v="20554431578"/>
    <x v="60"/>
    <x v="44"/>
    <x v="3028"/>
    <x v="3039"/>
    <x v="2653"/>
    <n v="2"/>
    <x v="273"/>
    <s v="TBM -19"/>
    <s v="JR 27 DE ABRIL MZ J LT 17 URB 27 DE ABRIL LIMA-LIMA-ATE"/>
    <x v="1"/>
    <x v="0"/>
    <x v="0"/>
    <x v="1"/>
    <x v="391"/>
    <x v="0"/>
    <n v="4"/>
    <n v="136"/>
    <x v="0"/>
    <x v="1"/>
    <n v="2.564102564102564E-2"/>
    <x v="35"/>
    <x v="4"/>
    <s v="OK"/>
    <x v="1"/>
    <s v="OK"/>
    <x v="0"/>
    <x v="0"/>
    <n v="1"/>
    <n v="1"/>
    <n v="0"/>
    <n v="0"/>
    <x v="0"/>
    <x v="0"/>
    <x v="0"/>
  </r>
  <r>
    <n v="20554431578"/>
    <x v="60"/>
    <x v="44"/>
    <x v="3029"/>
    <x v="3040"/>
    <x v="2654"/>
    <n v="2"/>
    <x v="273"/>
    <s v="TBM -19"/>
    <s v="MZ L LOTE 5 UBR UPIS CORAZON DE JESUS"/>
    <x v="147"/>
    <x v="0"/>
    <x v="0"/>
    <x v="1"/>
    <x v="803"/>
    <x v="0"/>
    <n v="4"/>
    <n v="128"/>
    <x v="0"/>
    <x v="1"/>
    <n v="2.564102564102564E-2"/>
    <x v="35"/>
    <x v="4"/>
    <s v="OK"/>
    <x v="0"/>
    <s v="OK"/>
    <x v="0"/>
    <x v="0"/>
    <n v="1"/>
    <n v="0"/>
    <n v="0"/>
    <n v="0"/>
    <x v="0"/>
    <x v="0"/>
    <x v="0"/>
  </r>
  <r>
    <n v="20554431578"/>
    <x v="60"/>
    <x v="44"/>
    <x v="3030"/>
    <x v="3041"/>
    <x v="2655"/>
    <n v="2"/>
    <x v="273"/>
    <s v="TBM -19"/>
    <s v="ASOC.FORTALEZA DE VITARTE"/>
    <x v="1"/>
    <x v="0"/>
    <x v="0"/>
    <x v="1"/>
    <x v="407"/>
    <x v="0"/>
    <n v="4"/>
    <n v="120"/>
    <x v="0"/>
    <x v="1"/>
    <n v="2.564102564102564E-2"/>
    <x v="37"/>
    <x v="4"/>
    <s v="OK"/>
    <x v="1"/>
    <s v="OK"/>
    <x v="0"/>
    <x v="0"/>
    <n v="1"/>
    <n v="1"/>
    <n v="0"/>
    <n v="0"/>
    <x v="0"/>
    <x v="0"/>
    <x v="0"/>
  </r>
  <r>
    <n v="20554431578"/>
    <x v="60"/>
    <x v="44"/>
    <x v="3031"/>
    <x v="3042"/>
    <x v="2656"/>
    <n v="2"/>
    <x v="273"/>
    <s v="E-5"/>
    <s v="MZ  A LOTE  55 CP  LAS CUMBRES DE COLLANAC"/>
    <x v="159"/>
    <x v="0"/>
    <x v="0"/>
    <x v="1"/>
    <x v="372"/>
    <x v="0"/>
    <n v="4"/>
    <n v="128"/>
    <x v="0"/>
    <x v="1"/>
    <n v="2.564102564102564E-2"/>
    <x v="36"/>
    <x v="4"/>
    <s v="OK"/>
    <x v="0"/>
    <s v="OK"/>
    <x v="0"/>
    <x v="0"/>
    <n v="1"/>
    <n v="0"/>
    <n v="0"/>
    <n v="0"/>
    <x v="0"/>
    <x v="0"/>
    <x v="0"/>
  </r>
  <r>
    <n v="20554431578"/>
    <x v="60"/>
    <x v="44"/>
    <x v="3032"/>
    <x v="3043"/>
    <x v="2503"/>
    <n v="1"/>
    <x v="308"/>
    <s v="TBM -19"/>
    <s v="COOPERATIVA LAS PALMERAS MZ B LT 12"/>
    <x v="1"/>
    <x v="0"/>
    <x v="0"/>
    <x v="1"/>
    <x v="386"/>
    <x v="0"/>
    <n v="1"/>
    <n v="200"/>
    <x v="0"/>
    <x v="1"/>
    <n v="2.564102564102564E-2"/>
    <x v="38"/>
    <x v="4"/>
    <s v="OK"/>
    <x v="1"/>
    <s v="OK"/>
    <x v="0"/>
    <x v="0"/>
    <n v="1"/>
    <n v="1"/>
    <n v="0"/>
    <n v="0"/>
    <x v="0"/>
    <x v="0"/>
    <x v="0"/>
  </r>
  <r>
    <n v="20554431578"/>
    <x v="60"/>
    <x v="44"/>
    <x v="3033"/>
    <x v="3044"/>
    <x v="2657"/>
    <n v="2"/>
    <x v="273"/>
    <s v="E-6"/>
    <s v="JR. LOS DURAZNO 469 URB. CANTO GRANDE MZ C LT 16"/>
    <x v="15"/>
    <x v="0"/>
    <x v="0"/>
    <x v="1"/>
    <x v="79"/>
    <x v="0"/>
    <n v="4"/>
    <n v="136"/>
    <x v="0"/>
    <x v="1"/>
    <n v="2.564102564102564E-2"/>
    <x v="34"/>
    <x v="4"/>
    <s v="OK"/>
    <x v="0"/>
    <s v="OK"/>
    <x v="0"/>
    <x v="0"/>
    <n v="1"/>
    <n v="0"/>
    <n v="0"/>
    <n v="0"/>
    <x v="0"/>
    <x v="0"/>
    <x v="0"/>
  </r>
  <r>
    <n v="20554431578"/>
    <x v="60"/>
    <x v="44"/>
    <x v="3034"/>
    <x v="3045"/>
    <x v="2658"/>
    <n v="2"/>
    <x v="275"/>
    <s v="TBM -19"/>
    <s v="Psj. Nueva Esperanza 009 Cacachaqui"/>
    <x v="15"/>
    <x v="0"/>
    <x v="0"/>
    <x v="1"/>
    <x v="804"/>
    <x v="0"/>
    <n v="4"/>
    <n v="160"/>
    <x v="0"/>
    <x v="1"/>
    <n v="2.564102564102564E-2"/>
    <x v="39"/>
    <x v="4"/>
    <s v="OK"/>
    <x v="0"/>
    <s v="OK"/>
    <x v="0"/>
    <x v="0"/>
    <n v="1"/>
    <n v="0"/>
    <n v="0"/>
    <n v="0"/>
    <x v="0"/>
    <x v="0"/>
    <x v="0"/>
  </r>
  <r>
    <n v="20508430681"/>
    <x v="23"/>
    <x v="23"/>
    <x v="3035"/>
    <x v="3046"/>
    <x v="2659"/>
    <n v="2"/>
    <x v="15"/>
    <s v="SUMINISTRO E INSTALACION DE PANELES VITRIFICADOS EN E1, E2, E3,E10,E11, E14,E15 Y E17"/>
    <s v="PSJ. 1 MZ.A LT.02 ASENT.H LAS LOMAS DEL PARAISO"/>
    <x v="2"/>
    <x v="0"/>
    <x v="0"/>
    <x v="1"/>
    <x v="201"/>
    <x v="0"/>
    <n v="4"/>
    <n v="192"/>
    <x v="0"/>
    <x v="1"/>
    <n v="9.433962264150943E-3"/>
    <x v="36"/>
    <x v="4"/>
    <s v="OK"/>
    <x v="2"/>
    <s v="OK"/>
    <x v="0"/>
    <x v="0"/>
    <n v="1"/>
    <n v="1"/>
    <n v="0"/>
    <n v="0"/>
    <x v="0"/>
    <x v="0"/>
    <x v="0"/>
  </r>
  <r>
    <n v="20508430681"/>
    <x v="23"/>
    <x v="23"/>
    <x v="3036"/>
    <x v="3047"/>
    <x v="2660"/>
    <n v="2"/>
    <x v="15"/>
    <s v="SUMINISTRO E INSTALACION DE PANELES VITRIFICADOS EN E1, E2, E3,E10,E11, E14,E15 Y E17"/>
    <s v="A.H. 18 DE OCTUBRE MZ. D LT 02"/>
    <x v="2"/>
    <x v="0"/>
    <x v="0"/>
    <x v="1"/>
    <x v="364"/>
    <x v="0"/>
    <n v="4"/>
    <n v="192"/>
    <x v="0"/>
    <x v="1"/>
    <n v="9.433962264150943E-3"/>
    <x v="36"/>
    <x v="4"/>
    <s v="OK"/>
    <x v="2"/>
    <s v="OK"/>
    <x v="0"/>
    <x v="0"/>
    <n v="1"/>
    <n v="1"/>
    <n v="0"/>
    <n v="0"/>
    <x v="0"/>
    <x v="0"/>
    <x v="0"/>
  </r>
  <r>
    <n v="20508430681"/>
    <x v="23"/>
    <x v="23"/>
    <x v="3037"/>
    <x v="3048"/>
    <x v="2661"/>
    <n v="2"/>
    <x v="2"/>
    <s v="SUMINISTRO E INSTALACION DE PANELES VITRIFICADOS EN E1, E2, E3,E10,E11, E14,E15 Y E17"/>
    <s v="UNIDAD MODELO Y-207"/>
    <x v="6"/>
    <x v="0"/>
    <x v="0"/>
    <x v="1"/>
    <x v="435"/>
    <x v="0"/>
    <n v="4"/>
    <n v="192"/>
    <x v="0"/>
    <x v="1"/>
    <n v="9.433962264150943E-3"/>
    <x v="38"/>
    <x v="4"/>
    <s v="OK"/>
    <x v="2"/>
    <s v="OK"/>
    <x v="0"/>
    <x v="0"/>
    <n v="1"/>
    <n v="1"/>
    <n v="0"/>
    <n v="0"/>
    <x v="0"/>
    <x v="0"/>
    <x v="0"/>
  </r>
  <r>
    <n v="20508430681"/>
    <x v="23"/>
    <x v="23"/>
    <x v="3038"/>
    <x v="3049"/>
    <x v="2662"/>
    <n v="2"/>
    <x v="2"/>
    <s v="SUMINISTRO E INSTALACION DE PANELES VITRIFICADOS EN E1, E2, E3,E10,E11, E14,E15 Y E17"/>
    <s v="PROLONG. HUMBOLDT 1064"/>
    <x v="25"/>
    <x v="0"/>
    <x v="0"/>
    <x v="1"/>
    <x v="111"/>
    <x v="0"/>
    <n v="4"/>
    <n v="192"/>
    <x v="0"/>
    <x v="1"/>
    <n v="9.433962264150943E-3"/>
    <x v="36"/>
    <x v="4"/>
    <s v="OK"/>
    <x v="4"/>
    <s v="OK"/>
    <x v="0"/>
    <x v="0"/>
    <n v="1"/>
    <n v="1"/>
    <n v="0"/>
    <n v="0"/>
    <x v="0"/>
    <x v="0"/>
    <x v="0"/>
  </r>
  <r>
    <s v="20600373863"/>
    <x v="25"/>
    <x v="24"/>
    <x v="3039"/>
    <x v="3050"/>
    <x v="2663"/>
    <n v="3"/>
    <x v="163"/>
    <s v="ESTACION 06 L4"/>
    <s v="ASOCIACION ACUSHINKOL MZ A LOT 24 CANTA GALLO"/>
    <x v="13"/>
    <x v="0"/>
    <x v="0"/>
    <x v="1"/>
    <x v="367"/>
    <x v="0"/>
    <n v="1"/>
    <n v="286"/>
    <x v="0"/>
    <x v="1"/>
    <n v="4.9019607843137254E-3"/>
    <x v="39"/>
    <x v="4"/>
    <s v="OK"/>
    <x v="0"/>
    <s v="OK"/>
    <x v="0"/>
    <x v="0"/>
    <n v="1"/>
    <n v="0"/>
    <n v="0"/>
    <n v="0"/>
    <x v="0"/>
    <x v="0"/>
    <x v="0"/>
  </r>
  <r>
    <s v="20603966695"/>
    <x v="24"/>
    <x v="24"/>
    <x v="3040"/>
    <x v="3051"/>
    <x v="2664"/>
    <n v="3"/>
    <x v="34"/>
    <s v="ESTACION 06 L4"/>
    <s v="CALLE LAS PETUNIAS MZ. K. LT. 1 C ASENT H. VIRGEN DE FATIMA "/>
    <x v="156"/>
    <x v="0"/>
    <x v="0"/>
    <x v="1"/>
    <x v="387"/>
    <x v="0"/>
    <n v="1"/>
    <n v="286"/>
    <x v="0"/>
    <x v="0"/>
    <n v="4.9019607843137254E-3"/>
    <x v="33"/>
    <x v="4"/>
    <s v="OK"/>
    <x v="0"/>
    <s v="OK"/>
    <x v="0"/>
    <x v="0"/>
    <n v="1"/>
    <n v="0"/>
    <n v="0"/>
    <n v="0"/>
    <x v="0"/>
    <x v="0"/>
    <x v="0"/>
  </r>
  <r>
    <s v="20600373863"/>
    <x v="25"/>
    <x v="24"/>
    <x v="3041"/>
    <x v="3052"/>
    <x v="2665"/>
    <n v="2"/>
    <x v="2"/>
    <s v="ESTACION 02 L4"/>
    <s v="URB. ELMER FAUCETT MZ. C LT. 32"/>
    <x v="6"/>
    <x v="0"/>
    <x v="12"/>
    <x v="1"/>
    <x v="102"/>
    <x v="2"/>
    <n v="4"/>
    <n v="176"/>
    <x v="0"/>
    <x v="1"/>
    <n v="4.9019607843137254E-3"/>
    <x v="40"/>
    <x v="4"/>
    <s v="OK"/>
    <x v="2"/>
    <s v="OK"/>
    <x v="0"/>
    <x v="0"/>
    <n v="1"/>
    <n v="1"/>
    <n v="0"/>
    <n v="1"/>
    <x v="0"/>
    <x v="1"/>
    <x v="0"/>
  </r>
  <r>
    <s v="20600373863"/>
    <x v="25"/>
    <x v="24"/>
    <x v="3042"/>
    <x v="3053"/>
    <x v="2666"/>
    <n v="3"/>
    <x v="215"/>
    <s v="ESTACION 06 L4"/>
    <s v="ASENT.HUMANO INMACULADA CONCEPCION MZ L -LT-12"/>
    <x v="1"/>
    <x v="0"/>
    <x v="0"/>
    <x v="1"/>
    <x v="689"/>
    <x v="0"/>
    <n v="1"/>
    <n v="286"/>
    <x v="0"/>
    <x v="1"/>
    <n v="4.9019607843137254E-3"/>
    <x v="36"/>
    <x v="4"/>
    <s v="OK"/>
    <x v="1"/>
    <s v="OK"/>
    <x v="0"/>
    <x v="0"/>
    <n v="1"/>
    <n v="1"/>
    <n v="0"/>
    <n v="0"/>
    <x v="0"/>
    <x v="0"/>
    <x v="0"/>
  </r>
  <r>
    <s v="20600373863"/>
    <x v="25"/>
    <x v="24"/>
    <x v="3043"/>
    <x v="3054"/>
    <x v="2667"/>
    <n v="3"/>
    <x v="380"/>
    <s v="ESTACION 05 L4"/>
    <s v="URB.BELCO ETAPA 2 MZ "/>
    <x v="364"/>
    <x v="0"/>
    <x v="0"/>
    <x v="1"/>
    <x v="360"/>
    <x v="0"/>
    <n v="1"/>
    <n v="286"/>
    <x v="0"/>
    <x v="1"/>
    <n v="4.9019607843137254E-3"/>
    <x v="35"/>
    <x v="4"/>
    <s v="OK"/>
    <x v="0"/>
    <s v="OK"/>
    <x v="0"/>
    <x v="0"/>
    <n v="1"/>
    <n v="0"/>
    <n v="0"/>
    <n v="0"/>
    <x v="0"/>
    <x v="0"/>
    <x v="0"/>
  </r>
  <r>
    <s v="20600373863"/>
    <x v="25"/>
    <x v="24"/>
    <x v="3044"/>
    <x v="3055"/>
    <x v="2668"/>
    <n v="3"/>
    <x v="159"/>
    <s v="ESTACION 06 L4"/>
    <s v="AMADEO REPETTO O-27"/>
    <x v="104"/>
    <x v="0"/>
    <x v="0"/>
    <x v="1"/>
    <x v="805"/>
    <x v="0"/>
    <n v="1"/>
    <n v="286"/>
    <x v="0"/>
    <x v="1"/>
    <n v="4.9019607843137254E-3"/>
    <x v="37"/>
    <x v="4"/>
    <s v="OK"/>
    <x v="0"/>
    <s v="OK"/>
    <x v="0"/>
    <x v="0"/>
    <n v="1"/>
    <n v="0"/>
    <n v="0"/>
    <n v="0"/>
    <x v="0"/>
    <x v="0"/>
    <x v="0"/>
  </r>
  <r>
    <s v="20600373863"/>
    <x v="25"/>
    <x v="24"/>
    <x v="3045"/>
    <x v="3056"/>
    <x v="2669"/>
    <n v="2"/>
    <x v="2"/>
    <s v="ESTACION 06 L4"/>
    <s v="URB. AEROPUERTO MZ. J LT 30 COMITÉ 10"/>
    <x v="6"/>
    <x v="0"/>
    <x v="0"/>
    <x v="1"/>
    <x v="806"/>
    <x v="0"/>
    <n v="4"/>
    <n v="286"/>
    <x v="0"/>
    <x v="1"/>
    <n v="4.9019607843137254E-3"/>
    <x v="35"/>
    <x v="4"/>
    <s v="OK"/>
    <x v="2"/>
    <s v="OK"/>
    <x v="0"/>
    <x v="0"/>
    <n v="1"/>
    <n v="1"/>
    <n v="0"/>
    <n v="0"/>
    <x v="0"/>
    <x v="0"/>
    <x v="0"/>
  </r>
  <r>
    <s v="20600373863"/>
    <x v="25"/>
    <x v="24"/>
    <x v="3046"/>
    <x v="3057"/>
    <x v="2670"/>
    <n v="3"/>
    <x v="212"/>
    <s v="ESTACION 06 L4"/>
    <s v="TABIO COLOMBIA"/>
    <x v="365"/>
    <x v="0"/>
    <x v="0"/>
    <x v="5"/>
    <x v="424"/>
    <x v="0"/>
    <n v="3"/>
    <n v="286"/>
    <x v="0"/>
    <x v="1"/>
    <n v="4.9019607843137254E-3"/>
    <x v="38"/>
    <x v="4"/>
    <s v="OK"/>
    <x v="0"/>
    <s v="OK"/>
    <x v="0"/>
    <x v="0"/>
    <n v="1"/>
    <n v="0"/>
    <n v="0"/>
    <n v="0"/>
    <x v="0"/>
    <x v="0"/>
    <x v="0"/>
  </r>
  <r>
    <s v="20600373863"/>
    <x v="25"/>
    <x v="24"/>
    <x v="3047"/>
    <x v="3058"/>
    <x v="2669"/>
    <n v="2"/>
    <x v="2"/>
    <s v="ESTACION 06 L4"/>
    <s v="MZ J LT. 30 URB. AEROPUERTO"/>
    <x v="6"/>
    <x v="0"/>
    <x v="0"/>
    <x v="1"/>
    <x v="199"/>
    <x v="0"/>
    <n v="4"/>
    <n v="286"/>
    <x v="0"/>
    <x v="1"/>
    <n v="4.9019607843137254E-3"/>
    <x v="35"/>
    <x v="4"/>
    <s v="OK"/>
    <x v="2"/>
    <s v="OK"/>
    <x v="0"/>
    <x v="0"/>
    <n v="1"/>
    <n v="1"/>
    <n v="0"/>
    <n v="0"/>
    <x v="0"/>
    <x v="0"/>
    <x v="0"/>
  </r>
  <r>
    <s v="20601214831"/>
    <x v="61"/>
    <x v="24"/>
    <x v="3048"/>
    <x v="3059"/>
    <x v="2671"/>
    <n v="3"/>
    <x v="66"/>
    <s v="ESTACION 06 L4"/>
    <s v="CAL 27 NRO 165 INT 4 AV LA PAZ "/>
    <x v="28"/>
    <x v="0"/>
    <x v="27"/>
    <x v="1"/>
    <x v="728"/>
    <x v="2"/>
    <n v="1"/>
    <n v="33"/>
    <x v="0"/>
    <x v="0"/>
    <n v="4.9019607843137254E-3"/>
    <x v="37"/>
    <x v="4"/>
    <s v="OK"/>
    <x v="0"/>
    <s v="OK"/>
    <x v="0"/>
    <x v="0"/>
    <n v="1"/>
    <n v="0"/>
    <n v="0"/>
    <n v="1"/>
    <x v="0"/>
    <x v="1"/>
    <x v="0"/>
  </r>
  <r>
    <n v="20517941337"/>
    <x v="72"/>
    <x v="50"/>
    <x v="3049"/>
    <x v="3060"/>
    <x v="2672"/>
    <n v="1"/>
    <x v="91"/>
    <s v="DANSEY - NORTE "/>
    <s v="URB PUERTAS DE PRO MZ B4 LOTE 12"/>
    <x v="49"/>
    <x v="0"/>
    <x v="0"/>
    <x v="1"/>
    <x v="807"/>
    <x v="0"/>
    <n v="2"/>
    <n v="130"/>
    <x v="0"/>
    <x v="1"/>
    <n v="0.16666666666666666"/>
    <x v="36"/>
    <x v="4"/>
    <s v="OK"/>
    <x v="0"/>
    <s v="OK"/>
    <x v="0"/>
    <x v="0"/>
    <n v="1"/>
    <n v="0"/>
    <n v="0"/>
    <n v="0"/>
    <x v="0"/>
    <x v="0"/>
    <x v="0"/>
  </r>
  <r>
    <n v="20566343631"/>
    <x v="26"/>
    <x v="25"/>
    <x v="3050"/>
    <x v="3061"/>
    <x v="2673"/>
    <n v="1"/>
    <x v="381"/>
    <s v="Trazo y Replanteo para Instalaciones Electricas Túnel - Etapa 01B"/>
    <s v="Ciudad del Pescador Mz. V-4 Lt. 19"/>
    <x v="17"/>
    <x v="0"/>
    <x v="0"/>
    <x v="1"/>
    <x v="106"/>
    <x v="0"/>
    <n v="1"/>
    <n v="184"/>
    <x v="0"/>
    <x v="1"/>
    <n v="5.0251256281407036E-3"/>
    <x v="33"/>
    <x v="4"/>
    <s v="OK"/>
    <x v="2"/>
    <s v="OK"/>
    <x v="0"/>
    <x v="0"/>
    <n v="1"/>
    <n v="1"/>
    <n v="0"/>
    <n v="0"/>
    <x v="0"/>
    <x v="0"/>
    <x v="0"/>
  </r>
  <r>
    <n v="20523293533"/>
    <x v="62"/>
    <x v="45"/>
    <x v="3051"/>
    <x v="3062"/>
    <x v="2674"/>
    <n v="1"/>
    <x v="303"/>
    <s v="CALLAO"/>
    <s v="CALLAO"/>
    <x v="6"/>
    <x v="0"/>
    <x v="0"/>
    <x v="1"/>
    <x v="408"/>
    <x v="0"/>
    <n v="1"/>
    <n v="336"/>
    <x v="0"/>
    <x v="1"/>
    <n v="0.05"/>
    <x v="35"/>
    <x v="4"/>
    <s v="OK"/>
    <x v="2"/>
    <s v="OK"/>
    <x v="0"/>
    <x v="0"/>
    <n v="1"/>
    <n v="1"/>
    <n v="0"/>
    <n v="0"/>
    <x v="0"/>
    <x v="0"/>
    <x v="0"/>
  </r>
  <r>
    <n v="20523293533"/>
    <x v="62"/>
    <x v="45"/>
    <x v="3052"/>
    <x v="3063"/>
    <x v="2467"/>
    <n v="1"/>
    <x v="303"/>
    <s v="AGUSTINO"/>
    <s v="AGUSTINO"/>
    <x v="3"/>
    <x v="0"/>
    <x v="0"/>
    <x v="1"/>
    <x v="408"/>
    <x v="0"/>
    <n v="1"/>
    <n v="336"/>
    <x v="0"/>
    <x v="1"/>
    <n v="0.05"/>
    <x v="39"/>
    <x v="4"/>
    <s v="OK"/>
    <x v="0"/>
    <s v="OK"/>
    <x v="0"/>
    <x v="0"/>
    <n v="1"/>
    <n v="0"/>
    <n v="0"/>
    <n v="0"/>
    <x v="0"/>
    <x v="0"/>
    <x v="0"/>
  </r>
  <r>
    <n v="20523293533"/>
    <x v="62"/>
    <x v="45"/>
    <x v="3053"/>
    <x v="3064"/>
    <x v="2675"/>
    <n v="1"/>
    <x v="303"/>
    <s v="CALLAO-AGUSTINO"/>
    <s v="LA VICTORIA"/>
    <x v="25"/>
    <x v="0"/>
    <x v="0"/>
    <x v="1"/>
    <x v="23"/>
    <x v="0"/>
    <n v="1"/>
    <n v="0"/>
    <x v="0"/>
    <x v="1"/>
    <n v="0.05"/>
    <x v="37"/>
    <x v="4"/>
    <s v="OK"/>
    <x v="4"/>
    <s v="OK"/>
    <x v="0"/>
    <x v="0"/>
    <n v="1"/>
    <n v="1"/>
    <n v="0"/>
    <n v="0"/>
    <x v="0"/>
    <x v="0"/>
    <x v="0"/>
  </r>
  <r>
    <n v="20523293533"/>
    <x v="62"/>
    <x v="45"/>
    <x v="3054"/>
    <x v="3065"/>
    <x v="2676"/>
    <n v="1"/>
    <x v="183"/>
    <s v="CALLAO"/>
    <s v="CALLAO"/>
    <x v="49"/>
    <x v="1"/>
    <x v="0"/>
    <x v="3"/>
    <x v="808"/>
    <x v="0"/>
    <n v="1"/>
    <n v="192"/>
    <x v="0"/>
    <x v="1"/>
    <n v="0.05"/>
    <x v="33"/>
    <x v="4"/>
    <s v="OK"/>
    <x v="0"/>
    <s v="OK"/>
    <x v="0"/>
    <x v="0"/>
    <n v="1"/>
    <n v="0"/>
    <n v="0"/>
    <n v="0"/>
    <x v="0"/>
    <x v="0"/>
    <x v="0"/>
  </r>
  <r>
    <n v="20606079274"/>
    <x v="30"/>
    <x v="28"/>
    <x v="2981"/>
    <x v="2992"/>
    <x v="2610"/>
    <n v="2"/>
    <x v="2"/>
    <s v="E02"/>
    <s v="URB. CONSTANZO MZ. F LT. 20"/>
    <x v="6"/>
    <x v="0"/>
    <x v="0"/>
    <x v="2"/>
    <x v="762"/>
    <x v="0"/>
    <n v="4"/>
    <n v="192"/>
    <x v="0"/>
    <x v="0"/>
    <n v="9.8039215686274508E-3"/>
    <x v="38"/>
    <x v="4"/>
    <s v="OK"/>
    <x v="2"/>
    <s v="OK"/>
    <x v="0"/>
    <x v="1"/>
    <n v="0.5"/>
    <n v="0.5"/>
    <n v="0"/>
    <n v="0"/>
    <x v="0"/>
    <x v="0"/>
    <x v="0"/>
  </r>
  <r>
    <n v="20606991062"/>
    <x v="35"/>
    <x v="29"/>
    <x v="3055"/>
    <x v="3066"/>
    <x v="2677"/>
    <n v="2"/>
    <x v="11"/>
    <s v="OBR-06-23-020 – INSTALACIÓN DE TERRAZOS Y PORCELANATO EN ESTACIONES E-01 “PUERTO CALLAO”, E-02 “BUENOS AIRES” Y E-03 “JUAN PABLO II”"/>
    <s v="AV. LIBERTA MZ L LT 5 A.H UNION PROGRESO"/>
    <x v="6"/>
    <x v="0"/>
    <x v="0"/>
    <x v="2"/>
    <x v="242"/>
    <x v="0"/>
    <n v="1"/>
    <n v="192"/>
    <x v="0"/>
    <x v="1"/>
    <n v="2.6315789473684209E-2"/>
    <x v="39"/>
    <x v="4"/>
    <s v="OK"/>
    <x v="2"/>
    <s v="OK"/>
    <x v="0"/>
    <x v="0"/>
    <n v="1"/>
    <n v="1"/>
    <n v="0"/>
    <n v="0"/>
    <x v="0"/>
    <x v="0"/>
    <x v="0"/>
  </r>
  <r>
    <n v="20606991062"/>
    <x v="35"/>
    <x v="29"/>
    <x v="3056"/>
    <x v="3067"/>
    <x v="2678"/>
    <n v="2"/>
    <x v="11"/>
    <s v="OBR-06-23-020 – INSTALACIÓN DE TERRAZOS Y PORCELANATO EN ESTACIONES E-01 “PUERTO CALLAO”, E-02 “BUENOS AIRES” Y E-03 “JUAN PABLO II”"/>
    <s v="SECT. E GR. E-3 MZ. N LT. 08 PACHACUTEC"/>
    <x v="2"/>
    <x v="0"/>
    <x v="0"/>
    <x v="2"/>
    <x v="424"/>
    <x v="0"/>
    <n v="1"/>
    <n v="192"/>
    <x v="0"/>
    <x v="1"/>
    <n v="2.6315789473684209E-2"/>
    <x v="39"/>
    <x v="4"/>
    <s v="OK"/>
    <x v="2"/>
    <s v="OK"/>
    <x v="0"/>
    <x v="0"/>
    <n v="1"/>
    <n v="1"/>
    <n v="0"/>
    <n v="0"/>
    <x v="0"/>
    <x v="0"/>
    <x v="0"/>
  </r>
  <r>
    <n v="20606991062"/>
    <x v="35"/>
    <x v="29"/>
    <x v="3057"/>
    <x v="3068"/>
    <x v="2679"/>
    <n v="2"/>
    <x v="11"/>
    <s v="OBR-06-23-020 – INSTALACIÓN DE TERRAZOS Y PORCELANATO EN ESTACIONES E-01 “PUERTO CALLAO”, E-02 “BUENOS AIRES” Y E-03 “JUAN PABLO II”"/>
    <s v="CALLE LOS TITANES MZ N 2 LT 4 LA CAMPIÑA"/>
    <x v="38"/>
    <x v="0"/>
    <x v="0"/>
    <x v="2"/>
    <x v="70"/>
    <x v="0"/>
    <n v="1"/>
    <n v="192"/>
    <x v="0"/>
    <x v="1"/>
    <n v="2.6315789473684209E-2"/>
    <x v="40"/>
    <x v="4"/>
    <s v="OK"/>
    <x v="0"/>
    <s v="OK"/>
    <x v="0"/>
    <x v="0"/>
    <n v="1"/>
    <n v="0"/>
    <n v="0"/>
    <n v="0"/>
    <x v="0"/>
    <x v="0"/>
    <x v="0"/>
  </r>
  <r>
    <n v="20557447181"/>
    <x v="64"/>
    <x v="47"/>
    <x v="3058"/>
    <x v="3069"/>
    <x v="2680"/>
    <n v="1"/>
    <x v="91"/>
    <s v="Estacion 4"/>
    <s v="ASOC. LOS PINOS DE ATE MZ F LOTE 3"/>
    <x v="1"/>
    <x v="0"/>
    <x v="6"/>
    <x v="2"/>
    <x v="281"/>
    <x v="0"/>
    <n v="1"/>
    <n v="190"/>
    <x v="0"/>
    <x v="1"/>
    <n v="0.125"/>
    <x v="39"/>
    <x v="4"/>
    <s v="OK"/>
    <x v="1"/>
    <s v="OK"/>
    <x v="0"/>
    <x v="0"/>
    <n v="1"/>
    <n v="1"/>
    <n v="0"/>
    <n v="0"/>
    <x v="0"/>
    <x v="0"/>
    <x v="0"/>
  </r>
  <r>
    <n v="20556570681"/>
    <x v="36"/>
    <x v="30"/>
    <x v="3059"/>
    <x v="3070"/>
    <x v="2681"/>
    <n v="1"/>
    <x v="106"/>
    <s v="SUPERESTRUCTURA DE VIA TUNEL PBM PV1BIS - E4 - Y -TRAMO 3ra VIA PARQUE MURILLO – E19"/>
    <s v="AV. ALAMEDA RIVA AGÜERO 210 URB. LOS PRECURSORES"/>
    <x v="14"/>
    <x v="0"/>
    <x v="0"/>
    <x v="2"/>
    <x v="139"/>
    <x v="0"/>
    <n v="1"/>
    <n v="240"/>
    <x v="0"/>
    <x v="1"/>
    <n v="4.7619047619047623E-3"/>
    <x v="34"/>
    <x v="4"/>
    <s v="OK"/>
    <x v="0"/>
    <s v="OK"/>
    <x v="0"/>
    <x v="0"/>
    <n v="1"/>
    <n v="0"/>
    <n v="0"/>
    <n v="0"/>
    <x v="0"/>
    <x v="0"/>
    <x v="0"/>
  </r>
  <r>
    <n v="20556570681"/>
    <x v="36"/>
    <x v="30"/>
    <x v="3060"/>
    <x v="3071"/>
    <x v="2682"/>
    <n v="2"/>
    <x v="157"/>
    <s v="SUPERESTRUCTURA DE VIA TUNEL PBM PV1BIS - E4 - Y -TRAMO 3ra VIA PARQUE MURILLO – E19"/>
    <s v="AV CANADA 2069 DPTO 26 URB LIMA TAMBO NORTE"/>
    <x v="78"/>
    <x v="0"/>
    <x v="0"/>
    <x v="2"/>
    <x v="268"/>
    <x v="0"/>
    <n v="4"/>
    <n v="240"/>
    <x v="0"/>
    <x v="1"/>
    <n v="4.7619047619047623E-3"/>
    <x v="39"/>
    <x v="4"/>
    <s v="OK"/>
    <x v="6"/>
    <s v="OK"/>
    <x v="0"/>
    <x v="0"/>
    <n v="1"/>
    <n v="1"/>
    <n v="0"/>
    <n v="0"/>
    <x v="0"/>
    <x v="0"/>
    <x v="0"/>
  </r>
  <r>
    <n v="20556570681"/>
    <x v="36"/>
    <x v="30"/>
    <x v="3061"/>
    <x v="3072"/>
    <x v="2683"/>
    <n v="2"/>
    <x v="67"/>
    <s v="SUPERESTRUCTURA DE VIA TUNEL PBM PV1BIS - E4 - Y -TRAMO 3ra VIA PARQUE MURILLO – E19"/>
    <s v="ANEXO CARPAPATA S/N"/>
    <x v="154"/>
    <x v="0"/>
    <x v="0"/>
    <x v="2"/>
    <x v="430"/>
    <x v="0"/>
    <n v="4"/>
    <n v="240"/>
    <x v="0"/>
    <x v="1"/>
    <n v="4.7619047619047623E-3"/>
    <x v="36"/>
    <x v="4"/>
    <s v="OK"/>
    <x v="0"/>
    <s v="OK"/>
    <x v="0"/>
    <x v="0"/>
    <n v="1"/>
    <n v="0"/>
    <n v="0"/>
    <n v="0"/>
    <x v="0"/>
    <x v="0"/>
    <x v="0"/>
  </r>
  <r>
    <n v="20556570681"/>
    <x v="36"/>
    <x v="30"/>
    <x v="3062"/>
    <x v="3073"/>
    <x v="2684"/>
    <n v="2"/>
    <x v="2"/>
    <s v="SUPERESTRUCTURA DE VIA TUNEL PBM PV1BIS - E4 - Y -TRAMO 3ra VIA PARQUE MURILLO – E19"/>
    <s v="MZ A2 LOTE 8 CIUDAD DEL PESCADOR"/>
    <x v="6"/>
    <x v="0"/>
    <x v="0"/>
    <x v="2"/>
    <x v="112"/>
    <x v="0"/>
    <n v="4"/>
    <n v="240"/>
    <x v="0"/>
    <x v="1"/>
    <n v="4.7619047619047623E-3"/>
    <x v="36"/>
    <x v="4"/>
    <s v="OK"/>
    <x v="2"/>
    <s v="OK"/>
    <x v="0"/>
    <x v="0"/>
    <n v="1"/>
    <n v="1"/>
    <n v="0"/>
    <n v="0"/>
    <x v="0"/>
    <x v="0"/>
    <x v="0"/>
  </r>
  <r>
    <n v="20556570681"/>
    <x v="36"/>
    <x v="30"/>
    <x v="3063"/>
    <x v="3074"/>
    <x v="2685"/>
    <n v="2"/>
    <x v="67"/>
    <s v="SUPERESTRUCTURA DE VIA TUNEL PBM PV1BIS - E4 - Y -TRAMO 3ra VIA PARQUE MURILLO – E19"/>
    <s v="AV. JOSE BERNARDO ALCEDO S22"/>
    <x v="8"/>
    <x v="0"/>
    <x v="0"/>
    <x v="2"/>
    <x v="55"/>
    <x v="0"/>
    <n v="4"/>
    <n v="240"/>
    <x v="0"/>
    <x v="1"/>
    <n v="4.7619047619047623E-3"/>
    <x v="33"/>
    <x v="4"/>
    <s v="OK"/>
    <x v="0"/>
    <s v="OK"/>
    <x v="0"/>
    <x v="0"/>
    <n v="1"/>
    <n v="0"/>
    <n v="0"/>
    <n v="0"/>
    <x v="0"/>
    <x v="0"/>
    <x v="0"/>
  </r>
  <r>
    <n v="20556570681"/>
    <x v="36"/>
    <x v="30"/>
    <x v="3064"/>
    <x v="3075"/>
    <x v="2686"/>
    <n v="2"/>
    <x v="10"/>
    <s v="SUPERESTRUCTURA DE VIA TUNEL PBM PV1BIS - E4 - Y -TRAMO 3ra VIA PARQUE MURILLO – E19"/>
    <s v="CALLE 28 DE JULIO 818 SAN GABRIEL"/>
    <x v="8"/>
    <x v="1"/>
    <x v="0"/>
    <x v="2"/>
    <x v="280"/>
    <x v="0"/>
    <n v="4"/>
    <n v="240"/>
    <x v="0"/>
    <x v="1"/>
    <n v="4.7619047619047623E-3"/>
    <x v="32"/>
    <x v="4"/>
    <s v="OK"/>
    <x v="0"/>
    <s v="OK"/>
    <x v="0"/>
    <x v="0"/>
    <n v="1"/>
    <n v="0"/>
    <n v="0"/>
    <n v="0"/>
    <x v="0"/>
    <x v="0"/>
    <x v="0"/>
  </r>
  <r>
    <n v="20556570681"/>
    <x v="36"/>
    <x v="30"/>
    <x v="3065"/>
    <x v="3076"/>
    <x v="2687"/>
    <n v="2"/>
    <x v="11"/>
    <s v="SUPERESTRUCTURA DE VIA TUNEL PBM PV1BIS - E4 - Y -TRAMO 3ra VIA PARQUE MURILLO – E19"/>
    <s v="CALLE 1 LOTE 21 A.H. JUAN VELASCO ALVARADO"/>
    <x v="8"/>
    <x v="0"/>
    <x v="0"/>
    <x v="2"/>
    <x v="40"/>
    <x v="0"/>
    <n v="4"/>
    <n v="240"/>
    <x v="0"/>
    <x v="1"/>
    <n v="4.7619047619047623E-3"/>
    <x v="40"/>
    <x v="4"/>
    <s v="OK"/>
    <x v="0"/>
    <s v="OK"/>
    <x v="0"/>
    <x v="0"/>
    <n v="1"/>
    <n v="0"/>
    <n v="0"/>
    <n v="0"/>
    <x v="0"/>
    <x v="0"/>
    <x v="0"/>
  </r>
  <r>
    <n v="20556570681"/>
    <x v="36"/>
    <x v="30"/>
    <x v="3066"/>
    <x v="3077"/>
    <x v="2688"/>
    <n v="2"/>
    <x v="11"/>
    <s v="SUPERESTRUCTURA DE VIA TUNEL PBM PV1BIS - E4 - Y -TRAMO 3ra VIA PARQUE MURILLO – E19"/>
    <s v="CALLE LIMA 154"/>
    <x v="4"/>
    <x v="0"/>
    <x v="0"/>
    <x v="2"/>
    <x v="283"/>
    <x v="0"/>
    <n v="4"/>
    <n v="240"/>
    <x v="0"/>
    <x v="1"/>
    <n v="4.7619047619047623E-3"/>
    <x v="39"/>
    <x v="4"/>
    <s v="OK"/>
    <x v="0"/>
    <s v="OK"/>
    <x v="0"/>
    <x v="0"/>
    <n v="1"/>
    <n v="0"/>
    <n v="0"/>
    <n v="0"/>
    <x v="0"/>
    <x v="0"/>
    <x v="0"/>
  </r>
  <r>
    <n v="20556570681"/>
    <x v="36"/>
    <x v="30"/>
    <x v="3067"/>
    <x v="3078"/>
    <x v="2689"/>
    <n v="2"/>
    <x v="11"/>
    <s v="SUPERESTRUCTURA DE VIA TUNEL PBM PV1BIS - E4 - Y -TRAMO 3ra VIA PARQUE MURILLO – E19"/>
    <s v="MZ H LOTE 25 LOS PORTALES DEL NORTE"/>
    <x v="49"/>
    <x v="0"/>
    <x v="0"/>
    <x v="2"/>
    <x v="125"/>
    <x v="0"/>
    <n v="4"/>
    <n v="240"/>
    <x v="0"/>
    <x v="1"/>
    <n v="4.7619047619047623E-3"/>
    <x v="40"/>
    <x v="4"/>
    <s v="OK"/>
    <x v="0"/>
    <s v="OK"/>
    <x v="0"/>
    <x v="0"/>
    <n v="1"/>
    <n v="0"/>
    <n v="0"/>
    <n v="0"/>
    <x v="0"/>
    <x v="0"/>
    <x v="0"/>
  </r>
  <r>
    <n v="20556570681"/>
    <x v="36"/>
    <x v="30"/>
    <x v="3068"/>
    <x v="3079"/>
    <x v="2690"/>
    <n v="2"/>
    <x v="11"/>
    <s v="SUPERESTRUCTURA DE VIA TUNEL PBM PV1BIS - E4 - Y -TRAMO 3ra VIA PARQUE MURILLO – E19"/>
    <s v="MZ K LOTE 8 ASOC. POPULAR SANTA ROSA"/>
    <x v="6"/>
    <x v="0"/>
    <x v="0"/>
    <x v="2"/>
    <x v="114"/>
    <x v="0"/>
    <n v="4"/>
    <n v="240"/>
    <x v="0"/>
    <x v="1"/>
    <n v="4.7619047619047623E-3"/>
    <x v="37"/>
    <x v="4"/>
    <s v="OK"/>
    <x v="2"/>
    <s v="OK"/>
    <x v="0"/>
    <x v="0"/>
    <n v="1"/>
    <n v="1"/>
    <n v="0"/>
    <n v="0"/>
    <x v="0"/>
    <x v="0"/>
    <x v="0"/>
  </r>
  <r>
    <n v="20556570681"/>
    <x v="36"/>
    <x v="30"/>
    <x v="3069"/>
    <x v="3080"/>
    <x v="2691"/>
    <n v="2"/>
    <x v="20"/>
    <s v="SUPERESTRUCTURA DE VIA TUNEL PBM PV1BIS - E4 - Y -TRAMO 3ra VIA PARQUE MURILLO – E19"/>
    <s v="LOS PULPOS MZ G LOTE 10"/>
    <x v="91"/>
    <x v="0"/>
    <x v="0"/>
    <x v="2"/>
    <x v="193"/>
    <x v="0"/>
    <n v="4"/>
    <n v="240"/>
    <x v="0"/>
    <x v="1"/>
    <n v="4.7619047619047623E-3"/>
    <x v="39"/>
    <x v="4"/>
    <s v="OK"/>
    <x v="0"/>
    <s v="OK"/>
    <x v="0"/>
    <x v="0"/>
    <n v="1"/>
    <n v="0"/>
    <n v="0"/>
    <n v="0"/>
    <x v="0"/>
    <x v="0"/>
    <x v="0"/>
  </r>
  <r>
    <n v="20556570681"/>
    <x v="36"/>
    <x v="30"/>
    <x v="3070"/>
    <x v="3081"/>
    <x v="2692"/>
    <n v="2"/>
    <x v="67"/>
    <s v="ESTACION 03 BOCANEGRA LINEA 4"/>
    <s v="CALLE PEVAS 1419"/>
    <x v="23"/>
    <x v="0"/>
    <x v="0"/>
    <x v="2"/>
    <x v="239"/>
    <x v="0"/>
    <n v="4"/>
    <n v="240"/>
    <x v="0"/>
    <x v="1"/>
    <n v="4.7619047619047623E-3"/>
    <x v="33"/>
    <x v="4"/>
    <s v="OK"/>
    <x v="0"/>
    <s v="OK"/>
    <x v="0"/>
    <x v="0"/>
    <n v="1"/>
    <n v="0"/>
    <n v="0"/>
    <n v="0"/>
    <x v="0"/>
    <x v="0"/>
    <x v="0"/>
  </r>
  <r>
    <n v="20556570681"/>
    <x v="36"/>
    <x v="30"/>
    <x v="3071"/>
    <x v="3082"/>
    <x v="2693"/>
    <n v="2"/>
    <x v="67"/>
    <s v="ESTACION 03 BOCANEGRA LINEA 4"/>
    <s v="COOP VIERGEN DE LAS NIEVES MZ A2 LT 02"/>
    <x v="27"/>
    <x v="0"/>
    <x v="0"/>
    <x v="2"/>
    <x v="432"/>
    <x v="0"/>
    <n v="4"/>
    <n v="240"/>
    <x v="0"/>
    <x v="1"/>
    <n v="4.7619047619047623E-3"/>
    <x v="35"/>
    <x v="4"/>
    <s v="OK"/>
    <x v="5"/>
    <s v="OK"/>
    <x v="0"/>
    <x v="0"/>
    <n v="1"/>
    <n v="1"/>
    <n v="0"/>
    <n v="0"/>
    <x v="0"/>
    <x v="0"/>
    <x v="0"/>
  </r>
  <r>
    <n v="20556570681"/>
    <x v="36"/>
    <x v="30"/>
    <x v="3072"/>
    <x v="3083"/>
    <x v="2694"/>
    <n v="2"/>
    <x v="11"/>
    <s v="ESTACION 03 BOCANEGRA LINEA 4"/>
    <m/>
    <x v="4"/>
    <x v="0"/>
    <x v="0"/>
    <x v="2"/>
    <x v="476"/>
    <x v="0"/>
    <n v="4"/>
    <n v="240"/>
    <x v="0"/>
    <x v="1"/>
    <n v="4.7619047619047623E-3"/>
    <x v="32"/>
    <x v="4"/>
    <s v="OK"/>
    <x v="0"/>
    <s v="OK"/>
    <x v="0"/>
    <x v="0"/>
    <n v="1"/>
    <n v="0"/>
    <n v="0"/>
    <n v="0"/>
    <x v="0"/>
    <x v="0"/>
    <x v="0"/>
  </r>
  <r>
    <n v="20556570681"/>
    <x v="36"/>
    <x v="30"/>
    <x v="2897"/>
    <x v="2908"/>
    <x v="2527"/>
    <n v="2"/>
    <x v="11"/>
    <s v="ESTACION 03 BOCANEGRA LINEA 4"/>
    <s v="MZ K LT 22 YENY BUMACHAR PACHACUTEC"/>
    <x v="2"/>
    <x v="0"/>
    <x v="0"/>
    <x v="2"/>
    <x v="204"/>
    <x v="0"/>
    <n v="4"/>
    <n v="200"/>
    <x v="0"/>
    <x v="1"/>
    <n v="4.7619047619047623E-3"/>
    <x v="39"/>
    <x v="4"/>
    <s v="OK"/>
    <x v="2"/>
    <s v="OK"/>
    <x v="0"/>
    <x v="1"/>
    <n v="0.5"/>
    <n v="0.5"/>
    <n v="1"/>
    <n v="0"/>
    <x v="0"/>
    <x v="0"/>
    <x v="1"/>
  </r>
  <r>
    <n v="20556570681"/>
    <x v="36"/>
    <x v="30"/>
    <x v="3073"/>
    <x v="3084"/>
    <x v="2695"/>
    <n v="2"/>
    <x v="11"/>
    <s v="ESTACION 03 BOCANEGRA LINEA 4"/>
    <s v="ASOC. LOS ARTESANOS MZ F LT 30 ATE"/>
    <x v="1"/>
    <x v="0"/>
    <x v="0"/>
    <x v="2"/>
    <x v="204"/>
    <x v="0"/>
    <n v="4"/>
    <n v="200"/>
    <x v="0"/>
    <x v="1"/>
    <n v="4.7619047619047623E-3"/>
    <x v="39"/>
    <x v="4"/>
    <s v="OK"/>
    <x v="1"/>
    <s v="OK"/>
    <x v="0"/>
    <x v="1"/>
    <n v="0.5"/>
    <n v="0.5"/>
    <n v="1"/>
    <n v="0"/>
    <x v="0"/>
    <x v="0"/>
    <x v="1"/>
  </r>
  <r>
    <n v="20556570681"/>
    <x v="36"/>
    <x v="30"/>
    <x v="3074"/>
    <x v="3085"/>
    <x v="2461"/>
    <n v="2"/>
    <x v="67"/>
    <s v="ESTACION 03 BOCANEGRA LINEA 4"/>
    <s v="SANTA ROSA MZ 7 LT 1"/>
    <x v="76"/>
    <x v="0"/>
    <x v="0"/>
    <x v="2"/>
    <x v="29"/>
    <x v="0"/>
    <n v="4"/>
    <n v="176"/>
    <x v="0"/>
    <x v="1"/>
    <n v="4.7619047619047623E-3"/>
    <x v="35"/>
    <x v="4"/>
    <s v="OK"/>
    <x v="0"/>
    <s v="OK"/>
    <x v="0"/>
    <x v="1"/>
    <n v="0.5"/>
    <n v="0"/>
    <n v="1"/>
    <n v="0"/>
    <x v="0"/>
    <x v="0"/>
    <x v="1"/>
  </r>
  <r>
    <n v="20556570681"/>
    <x v="36"/>
    <x v="30"/>
    <x v="3075"/>
    <x v="3086"/>
    <x v="2696"/>
    <n v="2"/>
    <x v="11"/>
    <s v="ESTACION 03 BOCANEGRA LINEA 4"/>
    <s v="MZ F LT 13 COMITÉ 4 VISTA ALEGRE DE VILLA"/>
    <x v="38"/>
    <x v="0"/>
    <x v="0"/>
    <x v="2"/>
    <x v="28"/>
    <x v="0"/>
    <n v="4"/>
    <n v="168"/>
    <x v="0"/>
    <x v="1"/>
    <n v="4.7619047619047623E-3"/>
    <x v="40"/>
    <x v="4"/>
    <s v="OK"/>
    <x v="0"/>
    <s v="OK"/>
    <x v="0"/>
    <x v="0"/>
    <n v="1"/>
    <n v="0"/>
    <n v="1"/>
    <n v="0"/>
    <x v="0"/>
    <x v="0"/>
    <x v="1"/>
  </r>
  <r>
    <n v="20556570681"/>
    <x v="36"/>
    <x v="30"/>
    <x v="3076"/>
    <x v="3087"/>
    <x v="2697"/>
    <n v="2"/>
    <x v="67"/>
    <s v="SUPERESTRUCTURA DE VIA TUNEL PBM PV1BIS - E4 - Y -TRAMO 3ra VIA PARQUE MURILLO – E19"/>
    <s v="ASOC. LA ALBORADA PARTE ALTA MZ. H2 LT. 5 LIMA"/>
    <x v="4"/>
    <x v="0"/>
    <x v="0"/>
    <x v="2"/>
    <x v="100"/>
    <x v="0"/>
    <n v="4"/>
    <n v="208"/>
    <x v="0"/>
    <x v="1"/>
    <n v="4.7619047619047623E-3"/>
    <x v="33"/>
    <x v="4"/>
    <s v="OK"/>
    <x v="0"/>
    <s v="OK"/>
    <x v="0"/>
    <x v="0"/>
    <n v="1"/>
    <n v="0"/>
    <n v="1"/>
    <n v="0"/>
    <x v="0"/>
    <x v="0"/>
    <x v="1"/>
  </r>
  <r>
    <n v="20556570681"/>
    <x v="36"/>
    <x v="30"/>
    <x v="3077"/>
    <x v="3088"/>
    <x v="2698"/>
    <n v="2"/>
    <x v="20"/>
    <s v="SUPERESTRUCTURA DE VIA TUNEL PBM PV1BIS - E4 - Y -TRAMO 3ra VIA PARQUE MURILLO – E19"/>
    <s v="JR HUANTA 1052 INT 11 LIMA"/>
    <x v="10"/>
    <x v="0"/>
    <x v="0"/>
    <x v="2"/>
    <x v="187"/>
    <x v="0"/>
    <n v="4"/>
    <n v="216"/>
    <x v="0"/>
    <x v="1"/>
    <n v="4.7619047619047623E-3"/>
    <x v="33"/>
    <x v="4"/>
    <s v="OK"/>
    <x v="0"/>
    <s v="OK"/>
    <x v="0"/>
    <x v="0"/>
    <n v="1"/>
    <n v="0"/>
    <n v="1"/>
    <n v="0"/>
    <x v="0"/>
    <x v="0"/>
    <x v="1"/>
  </r>
  <r>
    <n v="20556570681"/>
    <x v="36"/>
    <x v="30"/>
    <x v="3078"/>
    <x v="3089"/>
    <x v="2699"/>
    <n v="2"/>
    <x v="11"/>
    <s v="SUPERESTRUCTURA DE VIA TUNEL PBM PV1BIS - E4 - Y -TRAMO 3ra VIA PARQUE MURILLO – E19"/>
    <s v="CALLE 17 DE MAYO MZ.M LT.8 LIMA"/>
    <x v="8"/>
    <x v="0"/>
    <x v="0"/>
    <x v="2"/>
    <x v="187"/>
    <x v="0"/>
    <n v="4"/>
    <n v="216"/>
    <x v="0"/>
    <x v="1"/>
    <n v="4.7619047619047623E-3"/>
    <x v="33"/>
    <x v="4"/>
    <s v="OK"/>
    <x v="0"/>
    <s v="OK"/>
    <x v="0"/>
    <x v="0"/>
    <n v="1"/>
    <n v="0"/>
    <n v="1"/>
    <n v="0"/>
    <x v="0"/>
    <x v="0"/>
    <x v="1"/>
  </r>
  <r>
    <n v="20556570681"/>
    <x v="36"/>
    <x v="30"/>
    <x v="3079"/>
    <x v="3090"/>
    <x v="2700"/>
    <n v="2"/>
    <x v="20"/>
    <s v="SUPERESTRUCTURA DE VIA TUNEL PBM PV1BIS - E4 - Y -TRAMO 3ra VIA PARQUE MURILLO – E19"/>
    <s v="AVENIDA SAN ANTONIO MZA. H LOTE. 2 LIMA"/>
    <x v="1"/>
    <x v="0"/>
    <x v="0"/>
    <x v="13"/>
    <x v="128"/>
    <x v="0"/>
    <n v="4"/>
    <n v="240"/>
    <x v="0"/>
    <x v="1"/>
    <n v="4.7619047619047623E-3"/>
    <x v="37"/>
    <x v="4"/>
    <s v="OK"/>
    <x v="1"/>
    <s v="OK"/>
    <x v="0"/>
    <x v="0"/>
    <n v="1"/>
    <n v="1"/>
    <n v="0"/>
    <n v="0"/>
    <x v="0"/>
    <x v="0"/>
    <x v="0"/>
  </r>
  <r>
    <s v="20297543653"/>
    <x v="37"/>
    <x v="31"/>
    <x v="3080"/>
    <x v="3091"/>
    <x v="2701"/>
    <n v="3"/>
    <x v="196"/>
    <s v="Est., Pozos, P. Taller"/>
    <s v="JR. CUZCO 3863"/>
    <x v="3"/>
    <x v="0"/>
    <x v="6"/>
    <x v="1"/>
    <x v="123"/>
    <x v="0"/>
    <n v="1"/>
    <n v="317.98333333333335"/>
    <x v="0"/>
    <x v="1"/>
    <n v="8.0000000000000002E-3"/>
    <x v="40"/>
    <x v="4"/>
    <s v="OK"/>
    <x v="0"/>
    <s v="OK"/>
    <x v="0"/>
    <x v="0"/>
    <n v="1"/>
    <n v="0"/>
    <n v="0"/>
    <n v="0"/>
    <x v="0"/>
    <x v="0"/>
    <x v="0"/>
  </r>
  <r>
    <s v="20297543653"/>
    <x v="37"/>
    <x v="31"/>
    <x v="3081"/>
    <x v="3092"/>
    <x v="2702"/>
    <n v="3"/>
    <x v="196"/>
    <s v="Est., Pozos, P. Taller"/>
    <s v="CALLE J. MORALES 474 ZONA B"/>
    <x v="53"/>
    <x v="0"/>
    <x v="6"/>
    <x v="1"/>
    <x v="47"/>
    <x v="0"/>
    <n v="2"/>
    <n v="298.09999999999997"/>
    <x v="0"/>
    <x v="1"/>
    <n v="8.0000000000000002E-3"/>
    <x v="36"/>
    <x v="4"/>
    <s v="OK"/>
    <x v="0"/>
    <s v="OK"/>
    <x v="0"/>
    <x v="0"/>
    <n v="1"/>
    <n v="0"/>
    <n v="0"/>
    <n v="0"/>
    <x v="0"/>
    <x v="0"/>
    <x v="0"/>
  </r>
  <r>
    <s v="20297543653"/>
    <x v="37"/>
    <x v="31"/>
    <x v="3082"/>
    <x v="3093"/>
    <x v="2703"/>
    <n v="3"/>
    <x v="196"/>
    <s v="Est., Pozos, P. Taller"/>
    <s v="AV SAN FERNANDO MZ J LT 3 ALT PARADERP CANTO GRANDE"/>
    <x v="15"/>
    <x v="0"/>
    <x v="6"/>
    <x v="1"/>
    <x v="809"/>
    <x v="0"/>
    <n v="2"/>
    <n v="304.79999999999995"/>
    <x v="0"/>
    <x v="1"/>
    <n v="8.0000000000000002E-3"/>
    <x v="38"/>
    <x v="4"/>
    <s v="OK"/>
    <x v="0"/>
    <s v="OK"/>
    <x v="0"/>
    <x v="0"/>
    <n v="1"/>
    <n v="0"/>
    <n v="0"/>
    <n v="0"/>
    <x v="0"/>
    <x v="0"/>
    <x v="0"/>
  </r>
  <r>
    <s v="20297543653"/>
    <x v="37"/>
    <x v="31"/>
    <x v="3083"/>
    <x v="3094"/>
    <x v="2704"/>
    <n v="3"/>
    <x v="196"/>
    <s v="Est., Pozos, P. Taller"/>
    <s v="JR LOS SAUCES MZ 4F LT 04 KM 19 1/2 "/>
    <x v="54"/>
    <x v="0"/>
    <x v="6"/>
    <x v="1"/>
    <x v="437"/>
    <x v="0"/>
    <n v="1"/>
    <n v="105.46666666666667"/>
    <x v="0"/>
    <x v="1"/>
    <n v="8.0000000000000002E-3"/>
    <x v="39"/>
    <x v="4"/>
    <s v="OK"/>
    <x v="0"/>
    <s v="OK"/>
    <x v="0"/>
    <x v="0"/>
    <n v="1"/>
    <n v="0"/>
    <n v="0"/>
    <n v="0"/>
    <x v="0"/>
    <x v="0"/>
    <x v="0"/>
  </r>
  <r>
    <s v="20297543653"/>
    <x v="37"/>
    <x v="31"/>
    <x v="3084"/>
    <x v="3095"/>
    <x v="2705"/>
    <n v="3"/>
    <x v="196"/>
    <s v="Est., Pozos, P. Taller"/>
    <s v="JR. APURIMAC 241 A.H. MARGINAL SANTA ROSA"/>
    <x v="4"/>
    <x v="0"/>
    <x v="6"/>
    <x v="1"/>
    <x v="531"/>
    <x v="0"/>
    <n v="1"/>
    <n v="245.2"/>
    <x v="0"/>
    <x v="1"/>
    <n v="8.0000000000000002E-3"/>
    <x v="34"/>
    <x v="4"/>
    <s v="OK"/>
    <x v="0"/>
    <s v="OK"/>
    <x v="0"/>
    <x v="0"/>
    <n v="1"/>
    <n v="0"/>
    <n v="0"/>
    <n v="0"/>
    <x v="0"/>
    <x v="0"/>
    <x v="0"/>
  </r>
  <r>
    <s v="20297543653"/>
    <x v="37"/>
    <x v="31"/>
    <x v="3085"/>
    <x v="3096"/>
    <x v="2706"/>
    <n v="3"/>
    <x v="196"/>
    <s v="Est., Pozos, P. Taller"/>
    <s v="Jr. Ganimedes 243"/>
    <x v="15"/>
    <x v="0"/>
    <x v="6"/>
    <x v="1"/>
    <x v="758"/>
    <x v="0"/>
    <n v="1"/>
    <n v="304.90000000000003"/>
    <x v="0"/>
    <x v="1"/>
    <n v="8.0000000000000002E-3"/>
    <x v="35"/>
    <x v="4"/>
    <s v="OK"/>
    <x v="0"/>
    <s v="OK"/>
    <x v="0"/>
    <x v="0"/>
    <n v="1"/>
    <n v="0"/>
    <n v="0"/>
    <n v="0"/>
    <x v="0"/>
    <x v="0"/>
    <x v="0"/>
  </r>
  <r>
    <s v="20297543653"/>
    <x v="37"/>
    <x v="31"/>
    <x v="3086"/>
    <x v="3097"/>
    <x v="2707"/>
    <n v="3"/>
    <x v="196"/>
    <s v="Est., Pozos, P. Taller"/>
    <s v="MZ. E LT.10 A.H. 15 DE MAYO"/>
    <x v="44"/>
    <x v="0"/>
    <x v="6"/>
    <x v="1"/>
    <x v="149"/>
    <x v="0"/>
    <n v="1"/>
    <n v="240"/>
    <x v="0"/>
    <x v="1"/>
    <n v="8.0000000000000002E-3"/>
    <x v="32"/>
    <x v="4"/>
    <s v="OK"/>
    <x v="0"/>
    <s v="OK"/>
    <x v="0"/>
    <x v="0"/>
    <n v="1"/>
    <n v="0"/>
    <n v="0"/>
    <n v="0"/>
    <x v="0"/>
    <x v="0"/>
    <x v="0"/>
  </r>
  <r>
    <s v="20297543653"/>
    <x v="37"/>
    <x v="31"/>
    <x v="3087"/>
    <x v="3098"/>
    <x v="2708"/>
    <n v="3"/>
    <x v="196"/>
    <s v="Est., Pozos, P. Taller"/>
    <s v="ASENT. H. SAN LORENZO MZ A LT 13"/>
    <x v="77"/>
    <x v="0"/>
    <x v="6"/>
    <x v="1"/>
    <x v="366"/>
    <x v="0"/>
    <n v="1"/>
    <n v="325.2833333333333"/>
    <x v="0"/>
    <x v="1"/>
    <n v="8.0000000000000002E-3"/>
    <x v="35"/>
    <x v="4"/>
    <s v="OK"/>
    <x v="0"/>
    <s v="OK"/>
    <x v="0"/>
    <x v="0"/>
    <n v="1"/>
    <n v="0"/>
    <n v="0"/>
    <n v="0"/>
    <x v="0"/>
    <x v="0"/>
    <x v="0"/>
  </r>
  <r>
    <s v="20297543653"/>
    <x v="37"/>
    <x v="31"/>
    <x v="3088"/>
    <x v="3099"/>
    <x v="2709"/>
    <n v="3"/>
    <x v="196"/>
    <s v="Est., Pozos, P. Taller"/>
    <s v="AV. GRAL GARZON 755 DPTO 35 "/>
    <x v="51"/>
    <x v="0"/>
    <x v="6"/>
    <x v="1"/>
    <x v="476"/>
    <x v="0"/>
    <n v="1"/>
    <n v="331.15000000000003"/>
    <x v="0"/>
    <x v="1"/>
    <n v="8.0000000000000002E-3"/>
    <x v="35"/>
    <x v="4"/>
    <s v="OK"/>
    <x v="0"/>
    <s v="OK"/>
    <x v="0"/>
    <x v="0"/>
    <n v="1"/>
    <n v="0"/>
    <n v="0"/>
    <n v="0"/>
    <x v="0"/>
    <x v="0"/>
    <x v="0"/>
  </r>
  <r>
    <s v="20297543653"/>
    <x v="37"/>
    <x v="31"/>
    <x v="3089"/>
    <x v="3100"/>
    <x v="2710"/>
    <n v="3"/>
    <x v="196"/>
    <s v="Est., Pozos, P. Taller"/>
    <s v="LOS ANGELES 131 SANTA LUZMILA ETAPA 1"/>
    <x v="0"/>
    <x v="0"/>
    <x v="6"/>
    <x v="1"/>
    <x v="520"/>
    <x v="0"/>
    <n v="1"/>
    <n v="293.01666666666665"/>
    <x v="0"/>
    <x v="1"/>
    <n v="8.0000000000000002E-3"/>
    <x v="33"/>
    <x v="4"/>
    <s v="OK"/>
    <x v="0"/>
    <s v="OK"/>
    <x v="0"/>
    <x v="0"/>
    <n v="1"/>
    <n v="0"/>
    <n v="0"/>
    <n v="0"/>
    <x v="0"/>
    <x v="0"/>
    <x v="0"/>
  </r>
  <r>
    <s v="20297543653"/>
    <x v="37"/>
    <x v="31"/>
    <x v="3090"/>
    <x v="3101"/>
    <x v="2711"/>
    <n v="3"/>
    <x v="196"/>
    <s v="Est., Pozos, P. Taller"/>
    <s v="MZ B 64 LT 4D LOMAS ALTA (JICAMARCA)"/>
    <x v="60"/>
    <x v="0"/>
    <x v="6"/>
    <x v="1"/>
    <x v="776"/>
    <x v="0"/>
    <n v="2"/>
    <n v="302.36666666666667"/>
    <x v="0"/>
    <x v="1"/>
    <n v="8.0000000000000002E-3"/>
    <x v="32"/>
    <x v="4"/>
    <s v="OK"/>
    <x v="0"/>
    <s v="OK"/>
    <x v="0"/>
    <x v="0"/>
    <n v="1"/>
    <n v="0"/>
    <n v="0"/>
    <n v="0"/>
    <x v="0"/>
    <x v="0"/>
    <x v="0"/>
  </r>
  <r>
    <s v="20297543653"/>
    <x v="37"/>
    <x v="31"/>
    <x v="3091"/>
    <x v="3102"/>
    <x v="2708"/>
    <n v="3"/>
    <x v="196"/>
    <s v="Est., Pozos, P. Taller"/>
    <s v="MZ B LT 11 GRUPO 23 A SECTOR 3"/>
    <x v="19"/>
    <x v="0"/>
    <x v="6"/>
    <x v="1"/>
    <x v="229"/>
    <x v="0"/>
    <n v="1"/>
    <n v="298.31666666666666"/>
    <x v="0"/>
    <x v="1"/>
    <n v="8.0000000000000002E-3"/>
    <x v="35"/>
    <x v="4"/>
    <s v="OK"/>
    <x v="0"/>
    <s v="OK"/>
    <x v="0"/>
    <x v="0"/>
    <n v="1"/>
    <n v="0"/>
    <n v="0"/>
    <n v="0"/>
    <x v="0"/>
    <x v="0"/>
    <x v="0"/>
  </r>
  <r>
    <s v="20297543653"/>
    <x v="37"/>
    <x v="31"/>
    <x v="3092"/>
    <x v="3103"/>
    <x v="2712"/>
    <n v="3"/>
    <x v="196"/>
    <s v="Est., Pozos, P. Taller"/>
    <s v="PROG. D VIVIENDA MARBELLA FUNDO VALLE CHILLON MZ B LT 17"/>
    <x v="54"/>
    <x v="0"/>
    <x v="6"/>
    <x v="1"/>
    <x v="810"/>
    <x v="0"/>
    <n v="1"/>
    <n v="308.98333333333335"/>
    <x v="0"/>
    <x v="1"/>
    <n v="8.0000000000000002E-3"/>
    <x v="36"/>
    <x v="4"/>
    <s v="OK"/>
    <x v="0"/>
    <s v="OK"/>
    <x v="0"/>
    <x v="0"/>
    <n v="1"/>
    <n v="0"/>
    <n v="0"/>
    <n v="0"/>
    <x v="0"/>
    <x v="0"/>
    <x v="0"/>
  </r>
  <r>
    <s v="20297543653"/>
    <x v="37"/>
    <x v="31"/>
    <x v="3093"/>
    <x v="3104"/>
    <x v="2682"/>
    <n v="3"/>
    <x v="196"/>
    <s v="Est., Pozos, P. Taller"/>
    <s v="JR LARCO HERRERA 258"/>
    <x v="0"/>
    <x v="0"/>
    <x v="6"/>
    <x v="1"/>
    <x v="811"/>
    <x v="0"/>
    <n v="1"/>
    <n v="275.23333333333335"/>
    <x v="0"/>
    <x v="1"/>
    <n v="8.0000000000000002E-3"/>
    <x v="39"/>
    <x v="4"/>
    <s v="OK"/>
    <x v="0"/>
    <s v="OK"/>
    <x v="0"/>
    <x v="0"/>
    <n v="1"/>
    <n v="0"/>
    <n v="0"/>
    <n v="0"/>
    <x v="0"/>
    <x v="0"/>
    <x v="0"/>
  </r>
  <r>
    <s v="20297543653"/>
    <x v="37"/>
    <x v="31"/>
    <x v="3094"/>
    <x v="3105"/>
    <x v="2713"/>
    <n v="3"/>
    <x v="196"/>
    <s v="Est., Pozos, P. Taller"/>
    <s v="JR. AREQUIPA 161 COOP. LA CALICHERA MZ. N LT 4"/>
    <x v="0"/>
    <x v="0"/>
    <x v="6"/>
    <x v="1"/>
    <x v="812"/>
    <x v="0"/>
    <n v="1"/>
    <n v="267.46666666666664"/>
    <x v="0"/>
    <x v="1"/>
    <n v="8.0000000000000002E-3"/>
    <x v="37"/>
    <x v="4"/>
    <s v="OK"/>
    <x v="0"/>
    <s v="OK"/>
    <x v="0"/>
    <x v="0"/>
    <n v="1"/>
    <n v="0"/>
    <n v="0"/>
    <n v="0"/>
    <x v="0"/>
    <x v="0"/>
    <x v="0"/>
  </r>
  <r>
    <s v="20297543653"/>
    <x v="37"/>
    <x v="31"/>
    <x v="3095"/>
    <x v="3106"/>
    <x v="2714"/>
    <n v="3"/>
    <x v="196"/>
    <s v="Est., Pozos, P. Taller"/>
    <s v="COOP UNAMARCA MZ A LT 17 - S.J.M.- LIMA"/>
    <x v="53"/>
    <x v="0"/>
    <x v="6"/>
    <x v="1"/>
    <x v="534"/>
    <x v="0"/>
    <n v="2"/>
    <n v="303.68333333333334"/>
    <x v="0"/>
    <x v="1"/>
    <n v="8.0000000000000002E-3"/>
    <x v="33"/>
    <x v="4"/>
    <s v="OK"/>
    <x v="0"/>
    <s v="OK"/>
    <x v="0"/>
    <x v="0"/>
    <n v="1"/>
    <n v="0"/>
    <n v="0"/>
    <n v="0"/>
    <x v="0"/>
    <x v="0"/>
    <x v="0"/>
  </r>
  <r>
    <s v="20297543653"/>
    <x v="37"/>
    <x v="31"/>
    <x v="3096"/>
    <x v="3107"/>
    <x v="2715"/>
    <n v="3"/>
    <x v="196"/>
    <s v="Est., Pozos, P. Taller"/>
    <s v="MZ 122H LT 08 AH SAN CARLOS VILLA POETA JOSE GALVEZ PARCELA B"/>
    <x v="8"/>
    <x v="0"/>
    <x v="6"/>
    <x v="1"/>
    <x v="810"/>
    <x v="0"/>
    <n v="1"/>
    <n v="307.43333333333334"/>
    <x v="0"/>
    <x v="1"/>
    <n v="8.0000000000000002E-3"/>
    <x v="39"/>
    <x v="4"/>
    <s v="OK"/>
    <x v="0"/>
    <s v="OK"/>
    <x v="0"/>
    <x v="0"/>
    <n v="1"/>
    <n v="0"/>
    <n v="0"/>
    <n v="0"/>
    <x v="0"/>
    <x v="0"/>
    <x v="0"/>
  </r>
  <r>
    <s v="20297543653"/>
    <x v="37"/>
    <x v="31"/>
    <x v="3097"/>
    <x v="3108"/>
    <x v="2716"/>
    <n v="3"/>
    <x v="196"/>
    <s v="Est., Pozos, P. Taller"/>
    <s v="CRUZ DE MOTUPE MZA. I LT. 22"/>
    <x v="4"/>
    <x v="0"/>
    <x v="6"/>
    <x v="1"/>
    <x v="437"/>
    <x v="0"/>
    <n v="1"/>
    <n v="307.26666666666665"/>
    <x v="0"/>
    <x v="1"/>
    <n v="8.0000000000000002E-3"/>
    <x v="36"/>
    <x v="4"/>
    <s v="OK"/>
    <x v="0"/>
    <s v="OK"/>
    <x v="0"/>
    <x v="0"/>
    <n v="1"/>
    <n v="0"/>
    <n v="0"/>
    <n v="0"/>
    <x v="0"/>
    <x v="0"/>
    <x v="0"/>
  </r>
  <r>
    <s v="20297543653"/>
    <x v="37"/>
    <x v="31"/>
    <x v="3098"/>
    <x v="3109"/>
    <x v="2717"/>
    <n v="3"/>
    <x v="196"/>
    <s v="Est., Pozos, P. Taller"/>
    <s v="ASENT. H. LA PAZ ETAPA 2 MZ . U5 LT.  1"/>
    <x v="2"/>
    <x v="0"/>
    <x v="6"/>
    <x v="1"/>
    <x v="437"/>
    <x v="0"/>
    <n v="1"/>
    <n v="293.58333333333337"/>
    <x v="0"/>
    <x v="1"/>
    <n v="8.0000000000000002E-3"/>
    <x v="33"/>
    <x v="4"/>
    <s v="OK"/>
    <x v="2"/>
    <s v="OK"/>
    <x v="0"/>
    <x v="0"/>
    <n v="1"/>
    <n v="1"/>
    <n v="0"/>
    <n v="0"/>
    <x v="0"/>
    <x v="0"/>
    <x v="0"/>
  </r>
  <r>
    <s v="20297543653"/>
    <x v="37"/>
    <x v="31"/>
    <x v="3099"/>
    <x v="3110"/>
    <x v="2718"/>
    <n v="3"/>
    <x v="196"/>
    <s v="Est., Pozos, P. Taller"/>
    <s v="JOSE BOTERIN MZ J2 LT 8 CALLE MADRE SELVA"/>
    <x v="6"/>
    <x v="0"/>
    <x v="6"/>
    <x v="1"/>
    <x v="813"/>
    <x v="0"/>
    <n v="1"/>
    <n v="296.3"/>
    <x v="0"/>
    <x v="1"/>
    <n v="8.0000000000000002E-3"/>
    <x v="36"/>
    <x v="4"/>
    <s v="OK"/>
    <x v="2"/>
    <s v="OK"/>
    <x v="0"/>
    <x v="0"/>
    <n v="1"/>
    <n v="1"/>
    <n v="0"/>
    <n v="0"/>
    <x v="0"/>
    <x v="0"/>
    <x v="0"/>
  </r>
  <r>
    <s v="20297543653"/>
    <x v="37"/>
    <x v="31"/>
    <x v="3100"/>
    <x v="3111"/>
    <x v="2719"/>
    <n v="1"/>
    <x v="84"/>
    <s v="Est., Pozos, P. Taller"/>
    <s v="MZ N12 LT 1 D VIRGEN DEL SOCORRO - LA LIBERTAD "/>
    <x v="131"/>
    <x v="0"/>
    <x v="6"/>
    <x v="1"/>
    <x v="426"/>
    <x v="0"/>
    <n v="1"/>
    <n v="240"/>
    <x v="0"/>
    <x v="1"/>
    <n v="8.0000000000000002E-3"/>
    <x v="33"/>
    <x v="4"/>
    <s v="OK"/>
    <x v="0"/>
    <s v="OK"/>
    <x v="0"/>
    <x v="0"/>
    <n v="1"/>
    <n v="0"/>
    <n v="0"/>
    <n v="0"/>
    <x v="0"/>
    <x v="0"/>
    <x v="0"/>
  </r>
  <r>
    <s v="20297543653"/>
    <x v="37"/>
    <x v="31"/>
    <x v="3101"/>
    <x v="3112"/>
    <x v="2720"/>
    <n v="3"/>
    <x v="196"/>
    <s v="Est., Pozos, P. Taller"/>
    <s v="JR CAJAMARCA 3831 "/>
    <x v="3"/>
    <x v="0"/>
    <x v="6"/>
    <x v="1"/>
    <x v="461"/>
    <x v="0"/>
    <n v="1"/>
    <n v="308.5"/>
    <x v="0"/>
    <x v="1"/>
    <n v="8.0000000000000002E-3"/>
    <x v="40"/>
    <x v="4"/>
    <s v="OK"/>
    <x v="0"/>
    <s v="OK"/>
    <x v="0"/>
    <x v="0"/>
    <n v="1"/>
    <n v="0"/>
    <n v="0"/>
    <n v="0"/>
    <x v="0"/>
    <x v="0"/>
    <x v="0"/>
  </r>
  <r>
    <s v="20297543653"/>
    <x v="37"/>
    <x v="31"/>
    <x v="3102"/>
    <x v="3113"/>
    <x v="2721"/>
    <n v="3"/>
    <x v="196"/>
    <s v="Est., Pozos, P. Taller"/>
    <s v="AV CIRO ALEGRIA 166 4TA ZONA COLLIQUE"/>
    <x v="0"/>
    <x v="0"/>
    <x v="6"/>
    <x v="1"/>
    <x v="218"/>
    <x v="0"/>
    <n v="1"/>
    <n v="306.5333333333333"/>
    <x v="0"/>
    <x v="1"/>
    <n v="8.0000000000000002E-3"/>
    <x v="35"/>
    <x v="4"/>
    <s v="OK"/>
    <x v="0"/>
    <s v="OK"/>
    <x v="0"/>
    <x v="0"/>
    <n v="1"/>
    <n v="0"/>
    <n v="0"/>
    <n v="0"/>
    <x v="0"/>
    <x v="0"/>
    <x v="0"/>
  </r>
  <r>
    <s v="20297543653"/>
    <x v="37"/>
    <x v="31"/>
    <x v="3103"/>
    <x v="3114"/>
    <x v="2722"/>
    <n v="3"/>
    <x v="196"/>
    <s v="Est., Pozos, P. Taller"/>
    <s v="CALLE LOS TULIPANES MZ M3 LT 14 PJ JULIO CESAR TELLO"/>
    <x v="91"/>
    <x v="0"/>
    <x v="6"/>
    <x v="1"/>
    <x v="137"/>
    <x v="0"/>
    <n v="1"/>
    <n v="269.61666666666667"/>
    <x v="0"/>
    <x v="1"/>
    <n v="8.0000000000000002E-3"/>
    <x v="40"/>
    <x v="4"/>
    <s v="OK"/>
    <x v="0"/>
    <s v="OK"/>
    <x v="0"/>
    <x v="0"/>
    <n v="1"/>
    <n v="0"/>
    <n v="1"/>
    <n v="0"/>
    <x v="0"/>
    <x v="0"/>
    <x v="1"/>
  </r>
  <r>
    <s v="20297543653"/>
    <x v="37"/>
    <x v="31"/>
    <x v="3104"/>
    <x v="3115"/>
    <x v="2723"/>
    <n v="3"/>
    <x v="196"/>
    <s v="Est., Pozos, P. Taller"/>
    <s v="CALLE LOS EUCALIPTOS MZ J LT 36 ASOC. VILLA MARIA"/>
    <x v="54"/>
    <x v="0"/>
    <x v="6"/>
    <x v="1"/>
    <x v="427"/>
    <x v="0"/>
    <n v="1"/>
    <n v="307.33333333333331"/>
    <x v="0"/>
    <x v="1"/>
    <n v="8.0000000000000002E-3"/>
    <x v="40"/>
    <x v="4"/>
    <s v="OK"/>
    <x v="0"/>
    <s v="OK"/>
    <x v="0"/>
    <x v="0"/>
    <n v="1"/>
    <n v="0"/>
    <n v="0"/>
    <n v="0"/>
    <x v="0"/>
    <x v="0"/>
    <x v="0"/>
  </r>
  <r>
    <s v="20297543653"/>
    <x v="37"/>
    <x v="31"/>
    <x v="3105"/>
    <x v="3116"/>
    <x v="2529"/>
    <n v="1"/>
    <x v="331"/>
    <s v="Est., Pozos, P. Taller"/>
    <s v="AV. DEL PARQUE SUR No. 630, DPTO. 503 - "/>
    <x v="77"/>
    <x v="0"/>
    <x v="6"/>
    <x v="1"/>
    <x v="814"/>
    <x v="0"/>
    <n v="2"/>
    <n v="240"/>
    <x v="0"/>
    <x v="1"/>
    <n v="8.0000000000000002E-3"/>
    <x v="34"/>
    <x v="4"/>
    <s v="OK"/>
    <x v="0"/>
    <s v="OK"/>
    <x v="0"/>
    <x v="0"/>
    <n v="1"/>
    <n v="0"/>
    <n v="0"/>
    <n v="0"/>
    <x v="0"/>
    <x v="0"/>
    <x v="0"/>
  </r>
  <r>
    <n v="20608368796"/>
    <x v="38"/>
    <x v="32"/>
    <x v="3106"/>
    <x v="3117"/>
    <x v="2724"/>
    <n v="2"/>
    <x v="199"/>
    <s v="E11"/>
    <s v="AV EL PERIODISTA MZ K LT 9 LAS TERRAZAS"/>
    <x v="76"/>
    <x v="0"/>
    <x v="0"/>
    <x v="1"/>
    <x v="761"/>
    <x v="0"/>
    <n v="4"/>
    <n v="192"/>
    <x v="0"/>
    <x v="1"/>
    <n v="2.2727272727272728E-2"/>
    <x v="33"/>
    <x v="4"/>
    <s v="OK"/>
    <x v="0"/>
    <s v="OK"/>
    <x v="0"/>
    <x v="0"/>
    <n v="1"/>
    <n v="0"/>
    <n v="0"/>
    <n v="0"/>
    <x v="0"/>
    <x v="0"/>
    <x v="0"/>
  </r>
  <r>
    <n v="20608368796"/>
    <x v="38"/>
    <x v="32"/>
    <x v="3107"/>
    <x v="3118"/>
    <x v="2725"/>
    <n v="2"/>
    <x v="48"/>
    <s v="E17"/>
    <s v="ASOC VIV LOS ALPES DE SANTA ANITA MZ A LT 3"/>
    <x v="27"/>
    <x v="0"/>
    <x v="0"/>
    <x v="3"/>
    <x v="761"/>
    <x v="0"/>
    <n v="4"/>
    <n v="192"/>
    <x v="0"/>
    <x v="1"/>
    <n v="2.2727272727272728E-2"/>
    <x v="39"/>
    <x v="4"/>
    <s v="OK"/>
    <x v="5"/>
    <s v="OK"/>
    <x v="0"/>
    <x v="0"/>
    <n v="1"/>
    <n v="1"/>
    <n v="0"/>
    <n v="0"/>
    <x v="0"/>
    <x v="0"/>
    <x v="0"/>
  </r>
  <r>
    <n v="20608368796"/>
    <x v="38"/>
    <x v="32"/>
    <x v="3108"/>
    <x v="3119"/>
    <x v="2726"/>
    <n v="2"/>
    <x v="2"/>
    <s v="E10"/>
    <s v="MZ H LT2 CIUDAD DE LOS CONSTRUCTORES"/>
    <x v="15"/>
    <x v="0"/>
    <x v="0"/>
    <x v="1"/>
    <x v="431"/>
    <x v="0"/>
    <n v="4"/>
    <n v="64"/>
    <x v="0"/>
    <x v="1"/>
    <n v="2.2727272727272728E-2"/>
    <x v="35"/>
    <x v="4"/>
    <s v="OK"/>
    <x v="0"/>
    <s v="OK"/>
    <x v="0"/>
    <x v="0"/>
    <n v="1"/>
    <n v="0"/>
    <n v="0"/>
    <n v="0"/>
    <x v="0"/>
    <x v="0"/>
    <x v="0"/>
  </r>
  <r>
    <n v="20553067538"/>
    <x v="39"/>
    <x v="33"/>
    <x v="3109"/>
    <x v="3120"/>
    <x v="2545"/>
    <n v="2"/>
    <x v="50"/>
    <s v="PV16, PV17 Y PV18"/>
    <s v="ASENT. H. LOS CEDROS ETAPA II MZ. E2. LT.19"/>
    <x v="2"/>
    <x v="0"/>
    <x v="14"/>
    <x v="2"/>
    <x v="742"/>
    <x v="0"/>
    <n v="2"/>
    <n v="0"/>
    <x v="0"/>
    <x v="0"/>
    <n v="2.8571428571428571E-2"/>
    <x v="38"/>
    <x v="4"/>
    <s v="OK"/>
    <x v="2"/>
    <s v="OK"/>
    <x v="0"/>
    <x v="0"/>
    <n v="1"/>
    <n v="1"/>
    <n v="0"/>
    <n v="0"/>
    <x v="0"/>
    <x v="0"/>
    <x v="0"/>
  </r>
  <r>
    <n v="20553067538"/>
    <x v="39"/>
    <x v="33"/>
    <x v="3110"/>
    <x v="3121"/>
    <x v="2727"/>
    <n v="1"/>
    <x v="17"/>
    <s v="E-14 Y E-15"/>
    <s v="ASOC. DE VIV. LOS CLAVELES MZ. M LT. 02"/>
    <x v="91"/>
    <x v="0"/>
    <x v="14"/>
    <x v="2"/>
    <x v="99"/>
    <x v="0"/>
    <n v="2"/>
    <n v="96"/>
    <x v="0"/>
    <x v="0"/>
    <n v="2.8571428571428571E-2"/>
    <x v="35"/>
    <x v="4"/>
    <s v="OK"/>
    <x v="0"/>
    <s v="OK"/>
    <x v="0"/>
    <x v="0"/>
    <n v="1"/>
    <n v="0"/>
    <n v="0"/>
    <n v="0"/>
    <x v="0"/>
    <x v="0"/>
    <x v="0"/>
  </r>
  <r>
    <n v="20553067538"/>
    <x v="39"/>
    <x v="33"/>
    <x v="3111"/>
    <x v="3122"/>
    <x v="2728"/>
    <n v="2"/>
    <x v="50"/>
    <s v="E-14 Y E-15"/>
    <s v="PSJ, SILVA 508 URB. AMA KELLA"/>
    <x v="3"/>
    <x v="0"/>
    <x v="14"/>
    <x v="2"/>
    <x v="479"/>
    <x v="0"/>
    <n v="2"/>
    <n v="0"/>
    <x v="0"/>
    <x v="0"/>
    <n v="2.8571428571428571E-2"/>
    <x v="37"/>
    <x v="4"/>
    <s v="OK"/>
    <x v="0"/>
    <s v="OK"/>
    <x v="0"/>
    <x v="0"/>
    <n v="1"/>
    <n v="0"/>
    <n v="0"/>
    <n v="0"/>
    <x v="0"/>
    <x v="0"/>
    <x v="0"/>
  </r>
  <r>
    <n v="20553067541"/>
    <x v="39"/>
    <x v="33"/>
    <x v="2992"/>
    <x v="3003"/>
    <x v="2620"/>
    <n v="2"/>
    <x v="50"/>
    <s v="E-14 Y E-15"/>
    <s v="MZ J LT 48B PJ REPUBLICA FEDERAL ALEMANA"/>
    <x v="53"/>
    <x v="0"/>
    <x v="14"/>
    <x v="2"/>
    <x v="479"/>
    <x v="0"/>
    <n v="2"/>
    <n v="0"/>
    <x v="0"/>
    <x v="0"/>
    <n v="2.8571428571428571E-2"/>
    <x v="36"/>
    <x v="4"/>
    <s v="OK"/>
    <x v="0"/>
    <s v="OK"/>
    <x v="0"/>
    <x v="1"/>
    <n v="0.5"/>
    <n v="0"/>
    <n v="0"/>
    <n v="0"/>
    <x v="0"/>
    <x v="0"/>
    <x v="0"/>
  </r>
  <r>
    <n v="20600200896"/>
    <x v="40"/>
    <x v="33"/>
    <x v="3112"/>
    <x v="3123"/>
    <x v="2729"/>
    <n v="1"/>
    <x v="17"/>
    <s v="PV16, PV17 Y PV18"/>
    <s v="A.P.V COMPRADORES DE TERRENOS CAMPOY MZ. P-1 LT. 05"/>
    <x v="15"/>
    <x v="0"/>
    <x v="14"/>
    <x v="2"/>
    <x v="141"/>
    <x v="0"/>
    <n v="2"/>
    <n v="0"/>
    <x v="0"/>
    <x v="0"/>
    <n v="2.8571428571428571E-2"/>
    <x v="39"/>
    <x v="4"/>
    <s v="OK"/>
    <x v="0"/>
    <s v="OK"/>
    <x v="0"/>
    <x v="0"/>
    <n v="1"/>
    <n v="0"/>
    <n v="0"/>
    <n v="0"/>
    <x v="0"/>
    <x v="0"/>
    <x v="0"/>
  </r>
  <r>
    <n v="20603304510"/>
    <x v="41"/>
    <x v="34"/>
    <x v="3113"/>
    <x v="3124"/>
    <x v="2730"/>
    <n v="1"/>
    <x v="17"/>
    <s v="E01"/>
    <s v="PARCELA TJ 05 24 SAN LORENZO PIURA "/>
    <x v="12"/>
    <x v="0"/>
    <x v="15"/>
    <x v="1"/>
    <x v="5"/>
    <x v="2"/>
    <n v="1"/>
    <n v="72"/>
    <x v="0"/>
    <x v="1"/>
    <n v="5.076142131979695E-3"/>
    <x v="39"/>
    <x v="4"/>
    <s v="OK"/>
    <x v="0"/>
    <s v="OK"/>
    <x v="0"/>
    <x v="0"/>
    <n v="1"/>
    <n v="0"/>
    <n v="0"/>
    <n v="1"/>
    <x v="0"/>
    <x v="1"/>
    <x v="0"/>
  </r>
  <r>
    <n v="20603304510"/>
    <x v="41"/>
    <x v="34"/>
    <x v="3114"/>
    <x v="3125"/>
    <x v="2731"/>
    <n v="1"/>
    <x v="17"/>
    <s v="E05"/>
    <s v="AAHH TIWINZA MZ Y LT 11 CALLAO"/>
    <x v="6"/>
    <x v="0"/>
    <x v="6"/>
    <x v="1"/>
    <x v="142"/>
    <x v="0"/>
    <n v="1"/>
    <n v="300"/>
    <x v="0"/>
    <x v="1"/>
    <n v="5.076142131979695E-3"/>
    <x v="36"/>
    <x v="4"/>
    <s v="OK"/>
    <x v="2"/>
    <s v="OK"/>
    <x v="0"/>
    <x v="0"/>
    <n v="1"/>
    <n v="1"/>
    <n v="0"/>
    <n v="0"/>
    <x v="0"/>
    <x v="0"/>
    <x v="0"/>
  </r>
  <r>
    <n v="20603304510"/>
    <x v="41"/>
    <x v="34"/>
    <x v="3115"/>
    <x v="3126"/>
    <x v="2732"/>
    <n v="1"/>
    <x v="17"/>
    <s v="E04"/>
    <s v="JIRON SEBASTIAN LORENTE MZ L LT 15 LIMA"/>
    <x v="10"/>
    <x v="0"/>
    <x v="6"/>
    <x v="1"/>
    <x v="764"/>
    <x v="0"/>
    <n v="1"/>
    <n v="312"/>
    <x v="0"/>
    <x v="1"/>
    <n v="5.076142131979695E-3"/>
    <x v="37"/>
    <x v="4"/>
    <s v="OK"/>
    <x v="0"/>
    <s v="OK"/>
    <x v="0"/>
    <x v="0"/>
    <n v="1"/>
    <n v="0"/>
    <n v="0"/>
    <n v="0"/>
    <x v="0"/>
    <x v="0"/>
    <x v="0"/>
  </r>
  <r>
    <n v="20603304510"/>
    <x v="41"/>
    <x v="34"/>
    <x v="3116"/>
    <x v="3127"/>
    <x v="2733"/>
    <n v="1"/>
    <x v="17"/>
    <s v="E01"/>
    <s v="AV. SALAVERRY 888 DPTO. 307 LIMA"/>
    <x v="51"/>
    <x v="0"/>
    <x v="6"/>
    <x v="1"/>
    <x v="617"/>
    <x v="0"/>
    <n v="1"/>
    <n v="312"/>
    <x v="0"/>
    <x v="1"/>
    <n v="5.076142131979695E-3"/>
    <x v="40"/>
    <x v="4"/>
    <s v="OK"/>
    <x v="0"/>
    <s v="OK"/>
    <x v="0"/>
    <x v="0"/>
    <n v="1"/>
    <n v="0"/>
    <n v="0"/>
    <n v="0"/>
    <x v="0"/>
    <x v="0"/>
    <x v="0"/>
  </r>
  <r>
    <n v="20603304510"/>
    <x v="41"/>
    <x v="34"/>
    <x v="3117"/>
    <x v="3128"/>
    <x v="2734"/>
    <n v="1"/>
    <x v="17"/>
    <s v="E01"/>
    <s v="MZ.A LT.24 ASENT.H.NUEVA AMERICA PACHACUTEC CALLAO "/>
    <x v="2"/>
    <x v="0"/>
    <x v="6"/>
    <x v="1"/>
    <x v="5"/>
    <x v="0"/>
    <n v="1"/>
    <n v="300"/>
    <x v="0"/>
    <x v="1"/>
    <n v="5.076142131979695E-3"/>
    <x v="38"/>
    <x v="4"/>
    <s v="OK"/>
    <x v="2"/>
    <s v="OK"/>
    <x v="0"/>
    <x v="0"/>
    <n v="1"/>
    <n v="1"/>
    <n v="0"/>
    <n v="0"/>
    <x v="0"/>
    <x v="0"/>
    <x v="0"/>
  </r>
  <r>
    <n v="20603304510"/>
    <x v="41"/>
    <x v="34"/>
    <x v="3118"/>
    <x v="3129"/>
    <x v="2735"/>
    <n v="1"/>
    <x v="17"/>
    <s v="PREDIO 2 PTBN"/>
    <s v="JR. EZEQUIEL O.PEÑARANDA 1885"/>
    <x v="10"/>
    <x v="0"/>
    <x v="6"/>
    <x v="1"/>
    <x v="5"/>
    <x v="0"/>
    <n v="1"/>
    <n v="276"/>
    <x v="0"/>
    <x v="1"/>
    <n v="5.076142131979695E-3"/>
    <x v="32"/>
    <x v="4"/>
    <s v="OK"/>
    <x v="0"/>
    <s v="OK"/>
    <x v="0"/>
    <x v="0"/>
    <n v="1"/>
    <n v="0"/>
    <n v="0"/>
    <n v="0"/>
    <x v="0"/>
    <x v="0"/>
    <x v="0"/>
  </r>
  <r>
    <n v="20603304510"/>
    <x v="41"/>
    <x v="34"/>
    <x v="3119"/>
    <x v="3130"/>
    <x v="2736"/>
    <n v="1"/>
    <x v="17"/>
    <s v="E06"/>
    <s v="JIRON ARICA 145 2DA ZONA DE COLLIQUE LIMA"/>
    <x v="0"/>
    <x v="0"/>
    <x v="6"/>
    <x v="1"/>
    <x v="764"/>
    <x v="0"/>
    <n v="1"/>
    <n v="312"/>
    <x v="0"/>
    <x v="1"/>
    <n v="5.076142131979695E-3"/>
    <x v="34"/>
    <x v="4"/>
    <s v="OK"/>
    <x v="0"/>
    <s v="OK"/>
    <x v="0"/>
    <x v="0"/>
    <n v="1"/>
    <n v="0"/>
    <n v="0"/>
    <n v="0"/>
    <x v="0"/>
    <x v="0"/>
    <x v="0"/>
  </r>
  <r>
    <n v="20603304510"/>
    <x v="41"/>
    <x v="34"/>
    <x v="3120"/>
    <x v="3131"/>
    <x v="2737"/>
    <n v="1"/>
    <x v="17"/>
    <s v="POZO PV 02"/>
    <s v="CALLE LAS FRESAS 132 ERMITAÑO LIMA "/>
    <x v="44"/>
    <x v="0"/>
    <x v="6"/>
    <x v="1"/>
    <x v="5"/>
    <x v="0"/>
    <n v="1"/>
    <n v="300"/>
    <x v="0"/>
    <x v="1"/>
    <n v="5.076142131979695E-3"/>
    <x v="32"/>
    <x v="4"/>
    <s v="OK"/>
    <x v="0"/>
    <s v="OK"/>
    <x v="0"/>
    <x v="0"/>
    <n v="1"/>
    <n v="0"/>
    <n v="0"/>
    <n v="0"/>
    <x v="0"/>
    <x v="0"/>
    <x v="0"/>
  </r>
  <r>
    <n v="20603304510"/>
    <x v="41"/>
    <x v="34"/>
    <x v="3121"/>
    <x v="3132"/>
    <x v="2738"/>
    <n v="1"/>
    <x v="17"/>
    <s v="E02"/>
    <s v="AV. DEL BIERZO CASA HUERTA VIRGEN DE LAS MERC MZ. A LT. 04 CALLAO"/>
    <x v="2"/>
    <x v="0"/>
    <x v="6"/>
    <x v="1"/>
    <x v="169"/>
    <x v="0"/>
    <n v="1"/>
    <n v="312"/>
    <x v="0"/>
    <x v="1"/>
    <n v="5.076142131979695E-3"/>
    <x v="39"/>
    <x v="4"/>
    <s v="OK"/>
    <x v="2"/>
    <s v="OK"/>
    <x v="0"/>
    <x v="0"/>
    <n v="1"/>
    <n v="1"/>
    <n v="0"/>
    <n v="0"/>
    <x v="0"/>
    <x v="0"/>
    <x v="0"/>
  </r>
  <r>
    <n v="20603304510"/>
    <x v="41"/>
    <x v="34"/>
    <x v="3122"/>
    <x v="3133"/>
    <x v="2739"/>
    <n v="1"/>
    <x v="17"/>
    <s v="E05"/>
    <s v="AVENIDA JAMAICA S/N PASAJE K MZ U LT 27 LIMA"/>
    <x v="0"/>
    <x v="0"/>
    <x v="6"/>
    <x v="1"/>
    <x v="1"/>
    <x v="0"/>
    <n v="1"/>
    <n v="300"/>
    <x v="0"/>
    <x v="1"/>
    <n v="5.076142131979695E-3"/>
    <x v="39"/>
    <x v="4"/>
    <s v="OK"/>
    <x v="0"/>
    <s v="OK"/>
    <x v="0"/>
    <x v="0"/>
    <n v="1"/>
    <n v="0"/>
    <n v="0"/>
    <n v="0"/>
    <x v="0"/>
    <x v="0"/>
    <x v="0"/>
  </r>
  <r>
    <n v="20603304510"/>
    <x v="41"/>
    <x v="34"/>
    <x v="3123"/>
    <x v="3134"/>
    <x v="2740"/>
    <n v="1"/>
    <x v="17"/>
    <s v="E03"/>
    <s v="ASOC. MILLARD FULLER MZ. J LT. 01 TACNA "/>
    <x v="366"/>
    <x v="0"/>
    <x v="6"/>
    <x v="1"/>
    <x v="141"/>
    <x v="0"/>
    <n v="1"/>
    <n v="312"/>
    <x v="0"/>
    <x v="1"/>
    <n v="5.076142131979695E-3"/>
    <x v="37"/>
    <x v="4"/>
    <s v="OK"/>
    <x v="0"/>
    <s v="OK"/>
    <x v="0"/>
    <x v="0"/>
    <n v="1"/>
    <n v="0"/>
    <n v="0"/>
    <n v="0"/>
    <x v="0"/>
    <x v="0"/>
    <x v="0"/>
  </r>
  <r>
    <n v="20603304510"/>
    <x v="41"/>
    <x v="34"/>
    <x v="3124"/>
    <x v="3135"/>
    <x v="2741"/>
    <n v="1"/>
    <x v="17"/>
    <s v="POZO PV 01"/>
    <s v="AV. 1ERO DE MAYO 1399 URB REYNOSO CALLAO "/>
    <x v="63"/>
    <x v="0"/>
    <x v="6"/>
    <x v="1"/>
    <x v="141"/>
    <x v="0"/>
    <n v="1"/>
    <n v="312"/>
    <x v="0"/>
    <x v="1"/>
    <n v="5.076142131979695E-3"/>
    <x v="39"/>
    <x v="4"/>
    <s v="OK"/>
    <x v="2"/>
    <s v="OK"/>
    <x v="0"/>
    <x v="0"/>
    <n v="1"/>
    <n v="1"/>
    <n v="0"/>
    <n v="0"/>
    <x v="0"/>
    <x v="0"/>
    <x v="0"/>
  </r>
  <r>
    <n v="20603304510"/>
    <x v="41"/>
    <x v="34"/>
    <x v="3125"/>
    <x v="3136"/>
    <x v="2742"/>
    <n v="1"/>
    <x v="17"/>
    <s v="E01"/>
    <s v="M P PRIMA  L 14 AH. AMPLIACION LOS HIJOS DEL ALMIRANTE GRAU II ETAPA "/>
    <x v="2"/>
    <x v="0"/>
    <x v="6"/>
    <x v="1"/>
    <x v="5"/>
    <x v="0"/>
    <n v="1"/>
    <n v="312"/>
    <x v="0"/>
    <x v="1"/>
    <n v="5.076142131979695E-3"/>
    <x v="33"/>
    <x v="4"/>
    <s v="OK"/>
    <x v="2"/>
    <s v="OK"/>
    <x v="0"/>
    <x v="0"/>
    <n v="1"/>
    <n v="1"/>
    <n v="0"/>
    <n v="0"/>
    <x v="0"/>
    <x v="0"/>
    <x v="0"/>
  </r>
  <r>
    <n v="20603304510"/>
    <x v="41"/>
    <x v="34"/>
    <x v="3126"/>
    <x v="3137"/>
    <x v="2447"/>
    <n v="1"/>
    <x v="17"/>
    <s v="PATIO TALLER BOCANEGRA"/>
    <s v="CALLE X14 ASENT.H. 13 DE NOVIEMBRE MZ. H13 LT. B8 CALLAO "/>
    <x v="36"/>
    <x v="0"/>
    <x v="6"/>
    <x v="1"/>
    <x v="5"/>
    <x v="0"/>
    <n v="1"/>
    <n v="300"/>
    <x v="0"/>
    <x v="1"/>
    <n v="5.076142131979695E-3"/>
    <x v="32"/>
    <x v="4"/>
    <s v="OK"/>
    <x v="2"/>
    <s v="OK"/>
    <x v="0"/>
    <x v="0"/>
    <n v="1"/>
    <n v="1"/>
    <n v="0"/>
    <n v="0"/>
    <x v="0"/>
    <x v="0"/>
    <x v="0"/>
  </r>
  <r>
    <n v="20603304510"/>
    <x v="41"/>
    <x v="34"/>
    <x v="3127"/>
    <x v="3138"/>
    <x v="2743"/>
    <n v="1"/>
    <x v="17"/>
    <s v="E01"/>
    <s v="URB EL ALAMO MZ J LT 36 CALLAO "/>
    <x v="6"/>
    <x v="0"/>
    <x v="6"/>
    <x v="1"/>
    <x v="5"/>
    <x v="0"/>
    <n v="1"/>
    <n v="300"/>
    <x v="0"/>
    <x v="1"/>
    <n v="5.076142131979695E-3"/>
    <x v="36"/>
    <x v="4"/>
    <s v="OK"/>
    <x v="2"/>
    <s v="OK"/>
    <x v="0"/>
    <x v="0"/>
    <n v="1"/>
    <n v="1"/>
    <n v="0"/>
    <n v="0"/>
    <x v="0"/>
    <x v="0"/>
    <x v="0"/>
  </r>
  <r>
    <n v="20603304510"/>
    <x v="41"/>
    <x v="34"/>
    <x v="3128"/>
    <x v="3139"/>
    <x v="2744"/>
    <n v="1"/>
    <x v="17"/>
    <s v="POZO PV3"/>
    <s v="MZ G-13 LT 16 SECTOR 5 POLIGONO 4 BOCANEGRA CALLAO"/>
    <x v="6"/>
    <x v="0"/>
    <x v="6"/>
    <x v="1"/>
    <x v="144"/>
    <x v="0"/>
    <n v="1"/>
    <n v="312"/>
    <x v="0"/>
    <x v="1"/>
    <n v="5.076142131979695E-3"/>
    <x v="39"/>
    <x v="4"/>
    <s v="OK"/>
    <x v="2"/>
    <s v="OK"/>
    <x v="0"/>
    <x v="0"/>
    <n v="1"/>
    <n v="1"/>
    <n v="0"/>
    <n v="0"/>
    <x v="0"/>
    <x v="0"/>
    <x v="0"/>
  </r>
  <r>
    <n v="20603304510"/>
    <x v="41"/>
    <x v="34"/>
    <x v="3129"/>
    <x v="3140"/>
    <x v="2745"/>
    <n v="1"/>
    <x v="17"/>
    <s v="DOVELAS"/>
    <s v="COOP. VIV. ALBINO HERRERA 1ERA ETAPA MZ. A LT. 22 CALLAO "/>
    <x v="6"/>
    <x v="0"/>
    <x v="6"/>
    <x v="1"/>
    <x v="5"/>
    <x v="0"/>
    <n v="1"/>
    <n v="300"/>
    <x v="0"/>
    <x v="1"/>
    <n v="5.076142131979695E-3"/>
    <x v="36"/>
    <x v="4"/>
    <s v="OK"/>
    <x v="2"/>
    <s v="OK"/>
    <x v="0"/>
    <x v="0"/>
    <n v="1"/>
    <n v="1"/>
    <n v="0"/>
    <n v="0"/>
    <x v="0"/>
    <x v="0"/>
    <x v="0"/>
  </r>
  <r>
    <n v="20603304510"/>
    <x v="41"/>
    <x v="34"/>
    <x v="3130"/>
    <x v="3141"/>
    <x v="2746"/>
    <n v="1"/>
    <x v="17"/>
    <s v="DOVELAS"/>
    <s v="UNIDAD VECINAL SANTA MARINA NORTE BLOCK H 301 CALLAO"/>
    <x v="6"/>
    <x v="0"/>
    <x v="6"/>
    <x v="1"/>
    <x v="283"/>
    <x v="0"/>
    <n v="1"/>
    <n v="312"/>
    <x v="0"/>
    <x v="1"/>
    <n v="5.076142131979695E-3"/>
    <x v="34"/>
    <x v="4"/>
    <s v="OK"/>
    <x v="2"/>
    <s v="OK"/>
    <x v="0"/>
    <x v="0"/>
    <n v="1"/>
    <n v="1"/>
    <n v="0"/>
    <n v="0"/>
    <x v="0"/>
    <x v="0"/>
    <x v="0"/>
  </r>
  <r>
    <n v="20603304510"/>
    <x v="41"/>
    <x v="34"/>
    <x v="3131"/>
    <x v="3142"/>
    <x v="2747"/>
    <n v="1"/>
    <x v="17"/>
    <s v="E01"/>
    <s v="MZ.A LT.17 URB.COOPEMAR CALLAO "/>
    <x v="2"/>
    <x v="0"/>
    <x v="6"/>
    <x v="1"/>
    <x v="5"/>
    <x v="0"/>
    <n v="1"/>
    <n v="312"/>
    <x v="0"/>
    <x v="1"/>
    <n v="5.076142131979695E-3"/>
    <x v="32"/>
    <x v="4"/>
    <s v="OK"/>
    <x v="2"/>
    <s v="OK"/>
    <x v="0"/>
    <x v="0"/>
    <n v="1"/>
    <n v="1"/>
    <n v="0"/>
    <n v="0"/>
    <x v="0"/>
    <x v="0"/>
    <x v="0"/>
  </r>
  <r>
    <n v="20603304510"/>
    <x v="41"/>
    <x v="34"/>
    <x v="3132"/>
    <x v="3143"/>
    <x v="2748"/>
    <n v="1"/>
    <x v="17"/>
    <s v="E01"/>
    <s v="AVENIDA REPUBLICA DE PANAMA 365 CALLAO"/>
    <x v="6"/>
    <x v="0"/>
    <x v="6"/>
    <x v="1"/>
    <x v="429"/>
    <x v="0"/>
    <n v="1"/>
    <n v="276"/>
    <x v="0"/>
    <x v="1"/>
    <n v="5.076142131979695E-3"/>
    <x v="40"/>
    <x v="4"/>
    <s v="OK"/>
    <x v="2"/>
    <s v="OK"/>
    <x v="0"/>
    <x v="0"/>
    <n v="1"/>
    <n v="1"/>
    <n v="0"/>
    <n v="0"/>
    <x v="0"/>
    <x v="0"/>
    <x v="0"/>
  </r>
  <r>
    <n v="20603304510"/>
    <x v="41"/>
    <x v="34"/>
    <x v="3133"/>
    <x v="3144"/>
    <x v="2749"/>
    <n v="1"/>
    <x v="17"/>
    <s v="E01"/>
    <s v="CALLE I NRO. 203 URB LOS PILARES CALLAO "/>
    <x v="6"/>
    <x v="0"/>
    <x v="6"/>
    <x v="1"/>
    <x v="141"/>
    <x v="0"/>
    <n v="1"/>
    <n v="312"/>
    <x v="0"/>
    <x v="1"/>
    <n v="5.076142131979695E-3"/>
    <x v="33"/>
    <x v="4"/>
    <s v="OK"/>
    <x v="2"/>
    <s v="OK"/>
    <x v="0"/>
    <x v="0"/>
    <n v="1"/>
    <n v="1"/>
    <n v="0"/>
    <n v="0"/>
    <x v="0"/>
    <x v="0"/>
    <x v="0"/>
  </r>
  <r>
    <n v="20603304510"/>
    <x v="41"/>
    <x v="34"/>
    <x v="3134"/>
    <x v="3145"/>
    <x v="2750"/>
    <n v="1"/>
    <x v="17"/>
    <s v="E05"/>
    <s v="UNIDAD VIGIL BLOCK I 208 CALLAO"/>
    <x v="17"/>
    <x v="0"/>
    <x v="6"/>
    <x v="1"/>
    <x v="141"/>
    <x v="0"/>
    <n v="1"/>
    <n v="312"/>
    <x v="0"/>
    <x v="1"/>
    <n v="5.076142131979695E-3"/>
    <x v="32"/>
    <x v="4"/>
    <s v="OK"/>
    <x v="2"/>
    <s v="OK"/>
    <x v="0"/>
    <x v="0"/>
    <n v="1"/>
    <n v="1"/>
    <n v="0"/>
    <n v="0"/>
    <x v="0"/>
    <x v="0"/>
    <x v="0"/>
  </r>
  <r>
    <n v="20603304510"/>
    <x v="41"/>
    <x v="34"/>
    <x v="3135"/>
    <x v="3146"/>
    <x v="2751"/>
    <n v="1"/>
    <x v="17"/>
    <s v="E04"/>
    <s v="CALLE URANO 125 URB RESID. AEROPUERTO CALLAO"/>
    <x v="6"/>
    <x v="0"/>
    <x v="6"/>
    <x v="1"/>
    <x v="141"/>
    <x v="0"/>
    <n v="1"/>
    <n v="312"/>
    <x v="0"/>
    <x v="1"/>
    <n v="5.076142131979695E-3"/>
    <x v="35"/>
    <x v="4"/>
    <s v="OK"/>
    <x v="2"/>
    <s v="OK"/>
    <x v="0"/>
    <x v="0"/>
    <n v="1"/>
    <n v="1"/>
    <n v="0"/>
    <n v="0"/>
    <x v="0"/>
    <x v="0"/>
    <x v="0"/>
  </r>
  <r>
    <n v="20603304510"/>
    <x v="41"/>
    <x v="34"/>
    <x v="3136"/>
    <x v="3147"/>
    <x v="2752"/>
    <n v="1"/>
    <x v="17"/>
    <s v="POZO PV 02"/>
    <s v="ASENT.H.ANGAMOS MZ.E 8 LT.12 I SECTOR CALLAO "/>
    <x v="2"/>
    <x v="0"/>
    <x v="6"/>
    <x v="1"/>
    <x v="141"/>
    <x v="0"/>
    <n v="1"/>
    <n v="312"/>
    <x v="0"/>
    <x v="1"/>
    <n v="5.076142131979695E-3"/>
    <x v="35"/>
    <x v="4"/>
    <s v="OK"/>
    <x v="2"/>
    <s v="OK"/>
    <x v="0"/>
    <x v="0"/>
    <n v="1"/>
    <n v="1"/>
    <n v="0"/>
    <n v="0"/>
    <x v="0"/>
    <x v="0"/>
    <x v="0"/>
  </r>
  <r>
    <n v="20603304510"/>
    <x v="41"/>
    <x v="34"/>
    <x v="3137"/>
    <x v="3148"/>
    <x v="2753"/>
    <n v="1"/>
    <x v="17"/>
    <s v="E06"/>
    <s v="BARRIO FRIGORIRICO LETRA C 66 CALLAO"/>
    <x v="6"/>
    <x v="0"/>
    <x v="6"/>
    <x v="1"/>
    <x v="142"/>
    <x v="0"/>
    <n v="1"/>
    <n v="300"/>
    <x v="0"/>
    <x v="1"/>
    <n v="5.076142131979695E-3"/>
    <x v="33"/>
    <x v="4"/>
    <s v="OK"/>
    <x v="2"/>
    <s v="OK"/>
    <x v="0"/>
    <x v="0"/>
    <n v="1"/>
    <n v="1"/>
    <n v="0"/>
    <n v="0"/>
    <x v="0"/>
    <x v="0"/>
    <x v="0"/>
  </r>
  <r>
    <n v="20603304510"/>
    <x v="41"/>
    <x v="34"/>
    <x v="3138"/>
    <x v="3149"/>
    <x v="2754"/>
    <n v="1"/>
    <x v="17"/>
    <s v="E02"/>
    <s v="AVENIDA AEROPUERTO MZ K LT 42 DULANTO CALLAO"/>
    <x v="6"/>
    <x v="0"/>
    <x v="6"/>
    <x v="1"/>
    <x v="1"/>
    <x v="0"/>
    <n v="1"/>
    <n v="300"/>
    <x v="0"/>
    <x v="1"/>
    <n v="5.076142131979695E-3"/>
    <x v="39"/>
    <x v="4"/>
    <s v="OK"/>
    <x v="2"/>
    <s v="OK"/>
    <x v="0"/>
    <x v="0"/>
    <n v="1"/>
    <n v="1"/>
    <n v="0"/>
    <n v="0"/>
    <x v="0"/>
    <x v="0"/>
    <x v="0"/>
  </r>
  <r>
    <n v="20603304510"/>
    <x v="41"/>
    <x v="34"/>
    <x v="3139"/>
    <x v="3150"/>
    <x v="2755"/>
    <n v="1"/>
    <x v="17"/>
    <s v="E01"/>
    <s v="AV. CALLAO ASENT.H. SARITA COLONIA II SEC. MZ. E LT. 21 CALLAO "/>
    <x v="6"/>
    <x v="0"/>
    <x v="6"/>
    <x v="1"/>
    <x v="395"/>
    <x v="0"/>
    <n v="1"/>
    <n v="156"/>
    <x v="0"/>
    <x v="1"/>
    <n v="5.076142131979695E-3"/>
    <x v="39"/>
    <x v="4"/>
    <s v="OK"/>
    <x v="2"/>
    <s v="OK"/>
    <x v="0"/>
    <x v="0"/>
    <n v="1"/>
    <n v="1"/>
    <n v="0"/>
    <n v="0"/>
    <x v="0"/>
    <x v="0"/>
    <x v="0"/>
  </r>
  <r>
    <n v="20603304510"/>
    <x v="41"/>
    <x v="34"/>
    <x v="3140"/>
    <x v="3151"/>
    <x v="2653"/>
    <n v="1"/>
    <x v="17"/>
    <s v="E01"/>
    <s v="JIRON TUMBRES 424 CALLAO"/>
    <x v="89"/>
    <x v="0"/>
    <x v="6"/>
    <x v="1"/>
    <x v="1"/>
    <x v="0"/>
    <n v="1"/>
    <n v="300"/>
    <x v="0"/>
    <x v="1"/>
    <n v="5.076142131979695E-3"/>
    <x v="35"/>
    <x v="4"/>
    <s v="OK"/>
    <x v="2"/>
    <s v="OK"/>
    <x v="0"/>
    <x v="0"/>
    <n v="1"/>
    <n v="1"/>
    <n v="0"/>
    <n v="0"/>
    <x v="0"/>
    <x v="0"/>
    <x v="0"/>
  </r>
  <r>
    <n v="20603304510"/>
    <x v="41"/>
    <x v="34"/>
    <x v="3141"/>
    <x v="3152"/>
    <x v="2665"/>
    <n v="1"/>
    <x v="17"/>
    <s v="E04"/>
    <s v="JR MONTEVIDEO 248 LA PERLA BAJA CALLAO"/>
    <x v="89"/>
    <x v="0"/>
    <x v="6"/>
    <x v="1"/>
    <x v="141"/>
    <x v="0"/>
    <n v="1"/>
    <n v="300"/>
    <x v="0"/>
    <x v="1"/>
    <n v="5.076142131979695E-3"/>
    <x v="40"/>
    <x v="4"/>
    <s v="OK"/>
    <x v="2"/>
    <s v="OK"/>
    <x v="0"/>
    <x v="0"/>
    <n v="1"/>
    <n v="1"/>
    <n v="0"/>
    <n v="0"/>
    <x v="0"/>
    <x v="0"/>
    <x v="0"/>
  </r>
  <r>
    <n v="20603304510"/>
    <x v="41"/>
    <x v="34"/>
    <x v="3142"/>
    <x v="3153"/>
    <x v="2756"/>
    <n v="1"/>
    <x v="17"/>
    <s v="POZO PV 02"/>
    <s v="UNIDAD VIGIL BLOCK F 205 CALLAO"/>
    <x v="17"/>
    <x v="0"/>
    <x v="6"/>
    <x v="1"/>
    <x v="179"/>
    <x v="0"/>
    <n v="1"/>
    <n v="312"/>
    <x v="0"/>
    <x v="1"/>
    <n v="5.076142131979695E-3"/>
    <x v="37"/>
    <x v="4"/>
    <s v="OK"/>
    <x v="2"/>
    <s v="OK"/>
    <x v="0"/>
    <x v="0"/>
    <n v="1"/>
    <n v="1"/>
    <n v="0"/>
    <n v="0"/>
    <x v="0"/>
    <x v="0"/>
    <x v="0"/>
  </r>
  <r>
    <n v="20603304510"/>
    <x v="41"/>
    <x v="34"/>
    <x v="3143"/>
    <x v="3154"/>
    <x v="2757"/>
    <n v="1"/>
    <x v="17"/>
    <s v="E03"/>
    <s v="NESTTOR GAMBETA ALTA MZ C LT 13 CALLAO - CALLAO"/>
    <x v="6"/>
    <x v="0"/>
    <x v="6"/>
    <x v="1"/>
    <x v="142"/>
    <x v="0"/>
    <n v="1"/>
    <n v="288"/>
    <x v="0"/>
    <x v="1"/>
    <n v="5.076142131979695E-3"/>
    <x v="33"/>
    <x v="4"/>
    <s v="OK"/>
    <x v="2"/>
    <s v="OK"/>
    <x v="0"/>
    <x v="0"/>
    <n v="1"/>
    <n v="1"/>
    <n v="0"/>
    <n v="0"/>
    <x v="0"/>
    <x v="0"/>
    <x v="0"/>
  </r>
  <r>
    <n v="20603304510"/>
    <x v="41"/>
    <x v="34"/>
    <x v="3144"/>
    <x v="3155"/>
    <x v="2758"/>
    <n v="1"/>
    <x v="17"/>
    <s v="POZO PV 02"/>
    <s v="AVENIDA CERRO DE PASCO 145 ALTAMAR CALLAO"/>
    <x v="89"/>
    <x v="0"/>
    <x v="6"/>
    <x v="1"/>
    <x v="431"/>
    <x v="0"/>
    <n v="1"/>
    <n v="252"/>
    <x v="0"/>
    <x v="1"/>
    <n v="5.076142131979695E-3"/>
    <x v="38"/>
    <x v="4"/>
    <s v="OK"/>
    <x v="2"/>
    <s v="OK"/>
    <x v="0"/>
    <x v="0"/>
    <n v="1"/>
    <n v="1"/>
    <n v="0"/>
    <n v="0"/>
    <x v="0"/>
    <x v="0"/>
    <x v="0"/>
  </r>
  <r>
    <n v="20603304510"/>
    <x v="41"/>
    <x v="34"/>
    <x v="3145"/>
    <x v="3156"/>
    <x v="2759"/>
    <n v="1"/>
    <x v="17"/>
    <s v="POZO PV 01"/>
    <s v="NESTOR GAMBETTA BAJA MZ L LOTE 10 CALLAO"/>
    <x v="6"/>
    <x v="0"/>
    <x v="6"/>
    <x v="1"/>
    <x v="16"/>
    <x v="0"/>
    <n v="1"/>
    <n v="312"/>
    <x v="0"/>
    <x v="1"/>
    <n v="5.076142131979695E-3"/>
    <x v="34"/>
    <x v="4"/>
    <s v="OK"/>
    <x v="2"/>
    <s v="OK"/>
    <x v="0"/>
    <x v="0"/>
    <n v="1"/>
    <n v="1"/>
    <n v="0"/>
    <n v="0"/>
    <x v="0"/>
    <x v="0"/>
    <x v="0"/>
  </r>
  <r>
    <n v="20603304510"/>
    <x v="41"/>
    <x v="34"/>
    <x v="3146"/>
    <x v="3157"/>
    <x v="2760"/>
    <n v="1"/>
    <x v="17"/>
    <s v="E03"/>
    <s v="JIRON CARACAS 2674 LIMA"/>
    <x v="51"/>
    <x v="0"/>
    <x v="25"/>
    <x v="1"/>
    <x v="18"/>
    <x v="2"/>
    <n v="1"/>
    <n v="120"/>
    <x v="0"/>
    <x v="1"/>
    <n v="5.076142131979695E-3"/>
    <x v="32"/>
    <x v="4"/>
    <s v="OK"/>
    <x v="0"/>
    <s v="OK"/>
    <x v="0"/>
    <x v="0"/>
    <n v="1"/>
    <n v="0"/>
    <n v="0"/>
    <n v="1"/>
    <x v="0"/>
    <x v="1"/>
    <x v="0"/>
  </r>
  <r>
    <n v="20603304510"/>
    <x v="41"/>
    <x v="34"/>
    <x v="3147"/>
    <x v="3158"/>
    <x v="2761"/>
    <n v="1"/>
    <x v="17"/>
    <s v="E03"/>
    <s v="URB PALOMARES BLOCK S4 LIMA"/>
    <x v="13"/>
    <x v="0"/>
    <x v="6"/>
    <x v="1"/>
    <x v="18"/>
    <x v="0"/>
    <n v="1"/>
    <n v="312"/>
    <x v="0"/>
    <x v="1"/>
    <n v="5.076142131979695E-3"/>
    <x v="38"/>
    <x v="4"/>
    <s v="OK"/>
    <x v="0"/>
    <s v="OK"/>
    <x v="0"/>
    <x v="0"/>
    <n v="1"/>
    <n v="0"/>
    <n v="0"/>
    <n v="0"/>
    <x v="0"/>
    <x v="0"/>
    <x v="0"/>
  </r>
  <r>
    <n v="20603304510"/>
    <x v="41"/>
    <x v="34"/>
    <x v="3148"/>
    <x v="3159"/>
    <x v="2762"/>
    <n v="1"/>
    <x v="17"/>
    <s v="E03"/>
    <s v="MANUEL RAYGADA 1158 CALLAO"/>
    <x v="6"/>
    <x v="0"/>
    <x v="6"/>
    <x v="1"/>
    <x v="148"/>
    <x v="0"/>
    <n v="1"/>
    <n v="312"/>
    <x v="0"/>
    <x v="1"/>
    <n v="5.076142131979695E-3"/>
    <x v="38"/>
    <x v="4"/>
    <s v="OK"/>
    <x v="2"/>
    <s v="OK"/>
    <x v="0"/>
    <x v="0"/>
    <n v="1"/>
    <n v="1"/>
    <n v="0"/>
    <n v="0"/>
    <x v="0"/>
    <x v="0"/>
    <x v="0"/>
  </r>
  <r>
    <n v="20603304510"/>
    <x v="41"/>
    <x v="34"/>
    <x v="3149"/>
    <x v="3160"/>
    <x v="2763"/>
    <n v="1"/>
    <x v="17"/>
    <s v="POZO PV3"/>
    <s v="CALLE 5 URB LOS JAZMINES ETAPA II MZ E LT 03 CALLAO"/>
    <x v="6"/>
    <x v="0"/>
    <x v="6"/>
    <x v="1"/>
    <x v="128"/>
    <x v="0"/>
    <n v="1"/>
    <n v="312"/>
    <x v="0"/>
    <x v="1"/>
    <n v="5.076142131979695E-3"/>
    <x v="36"/>
    <x v="4"/>
    <s v="OK"/>
    <x v="2"/>
    <s v="OK"/>
    <x v="0"/>
    <x v="0"/>
    <n v="1"/>
    <n v="1"/>
    <n v="0"/>
    <n v="0"/>
    <x v="0"/>
    <x v="0"/>
    <x v="0"/>
  </r>
  <r>
    <n v="20603304510"/>
    <x v="41"/>
    <x v="34"/>
    <x v="3150"/>
    <x v="3161"/>
    <x v="2764"/>
    <n v="1"/>
    <x v="17"/>
    <s v="E03"/>
    <s v="AVENIDA MALECON RIMAC 1920 LIMA"/>
    <x v="3"/>
    <x v="0"/>
    <x v="6"/>
    <x v="1"/>
    <x v="126"/>
    <x v="0"/>
    <n v="1"/>
    <n v="288"/>
    <x v="0"/>
    <x v="1"/>
    <n v="5.076142131979695E-3"/>
    <x v="39"/>
    <x v="4"/>
    <s v="OK"/>
    <x v="0"/>
    <s v="OK"/>
    <x v="0"/>
    <x v="0"/>
    <n v="1"/>
    <n v="0"/>
    <n v="0"/>
    <n v="0"/>
    <x v="0"/>
    <x v="0"/>
    <x v="0"/>
  </r>
  <r>
    <n v="20603304510"/>
    <x v="41"/>
    <x v="34"/>
    <x v="3151"/>
    <x v="3162"/>
    <x v="2765"/>
    <n v="1"/>
    <x v="17"/>
    <s v="E03"/>
    <s v="URB SANTA MARINA NORTE BLOCK V 103"/>
    <x v="6"/>
    <x v="0"/>
    <x v="6"/>
    <x v="1"/>
    <x v="97"/>
    <x v="0"/>
    <n v="1"/>
    <n v="276"/>
    <x v="0"/>
    <x v="1"/>
    <n v="5.076142131979695E-3"/>
    <x v="33"/>
    <x v="4"/>
    <s v="OK"/>
    <x v="2"/>
    <s v="OK"/>
    <x v="0"/>
    <x v="0"/>
    <n v="1"/>
    <n v="1"/>
    <n v="0"/>
    <n v="0"/>
    <x v="0"/>
    <x v="0"/>
    <x v="0"/>
  </r>
  <r>
    <n v="20603304510"/>
    <x v="41"/>
    <x v="34"/>
    <x v="3152"/>
    <x v="3163"/>
    <x v="2766"/>
    <n v="1"/>
    <x v="17"/>
    <s v="E01"/>
    <s v="JIRON MATEO SILVA 2750 MIRONES BAJO"/>
    <x v="10"/>
    <x v="0"/>
    <x v="6"/>
    <x v="1"/>
    <x v="99"/>
    <x v="0"/>
    <n v="1"/>
    <n v="312"/>
    <x v="0"/>
    <x v="1"/>
    <n v="5.076142131979695E-3"/>
    <x v="34"/>
    <x v="4"/>
    <s v="OK"/>
    <x v="0"/>
    <s v="OK"/>
    <x v="0"/>
    <x v="0"/>
    <n v="1"/>
    <n v="0"/>
    <n v="0"/>
    <n v="0"/>
    <x v="0"/>
    <x v="0"/>
    <x v="0"/>
  </r>
  <r>
    <n v="20603304510"/>
    <x v="41"/>
    <x v="34"/>
    <x v="3153"/>
    <x v="3164"/>
    <x v="2673"/>
    <n v="1"/>
    <x v="17"/>
    <s v="E01"/>
    <s v="COOP. ESTIBADORES MZ. J LT. 03 LIMA"/>
    <x v="3"/>
    <x v="0"/>
    <x v="6"/>
    <x v="1"/>
    <x v="146"/>
    <x v="0"/>
    <n v="1"/>
    <n v="312"/>
    <x v="0"/>
    <x v="1"/>
    <n v="5.076142131979695E-3"/>
    <x v="33"/>
    <x v="4"/>
    <s v="OK"/>
    <x v="0"/>
    <s v="OK"/>
    <x v="0"/>
    <x v="0"/>
    <n v="1"/>
    <n v="0"/>
    <n v="1"/>
    <n v="0"/>
    <x v="0"/>
    <x v="0"/>
    <x v="1"/>
  </r>
  <r>
    <n v="20603304510"/>
    <x v="41"/>
    <x v="34"/>
    <x v="3154"/>
    <x v="3165"/>
    <x v="2767"/>
    <n v="1"/>
    <x v="17"/>
    <s v="P06"/>
    <s v="AVENIDA LA MARINA 4532 PPJJ RAMON CASTILLA MZ G LT 02 CALLAO"/>
    <x v="89"/>
    <x v="0"/>
    <x v="6"/>
    <x v="1"/>
    <x v="207"/>
    <x v="0"/>
    <n v="1"/>
    <n v="288"/>
    <x v="0"/>
    <x v="1"/>
    <n v="5.076142131979695E-3"/>
    <x v="36"/>
    <x v="4"/>
    <s v="OK"/>
    <x v="2"/>
    <s v="OK"/>
    <x v="0"/>
    <x v="0"/>
    <n v="1"/>
    <n v="1"/>
    <n v="1"/>
    <n v="0"/>
    <x v="0"/>
    <x v="0"/>
    <x v="1"/>
  </r>
  <r>
    <n v="20603304510"/>
    <x v="41"/>
    <x v="34"/>
    <x v="3155"/>
    <x v="3166"/>
    <x v="2768"/>
    <n v="1"/>
    <x v="17"/>
    <s v="E06"/>
    <s v="MZ G LT 20 AAHH VILLA EMILIA CALLAO"/>
    <x v="36"/>
    <x v="0"/>
    <x v="6"/>
    <x v="1"/>
    <x v="100"/>
    <x v="0"/>
    <n v="1"/>
    <n v="276"/>
    <x v="0"/>
    <x v="1"/>
    <n v="5.076142131979695E-3"/>
    <x v="32"/>
    <x v="4"/>
    <s v="OK"/>
    <x v="2"/>
    <s v="OK"/>
    <x v="0"/>
    <x v="0"/>
    <n v="1"/>
    <n v="1"/>
    <n v="1"/>
    <n v="0"/>
    <x v="0"/>
    <x v="0"/>
    <x v="1"/>
  </r>
  <r>
    <n v="20603304510"/>
    <x v="41"/>
    <x v="34"/>
    <x v="3156"/>
    <x v="3167"/>
    <x v="2769"/>
    <n v="1"/>
    <x v="17"/>
    <s v="E03 P5"/>
    <s v="AV. PACASMAYO MZ J LOTE 4"/>
    <x v="3"/>
    <x v="0"/>
    <x v="6"/>
    <x v="3"/>
    <x v="28"/>
    <x v="0"/>
    <n v="1"/>
    <n v="228"/>
    <x v="0"/>
    <x v="1"/>
    <n v="5.076142131979695E-3"/>
    <x v="35"/>
    <x v="4"/>
    <s v="OK"/>
    <x v="0"/>
    <s v="OK"/>
    <x v="0"/>
    <x v="0"/>
    <n v="1"/>
    <n v="0"/>
    <n v="1"/>
    <n v="0"/>
    <x v="0"/>
    <x v="0"/>
    <x v="1"/>
  </r>
  <r>
    <n v="20603304510"/>
    <x v="41"/>
    <x v="34"/>
    <x v="3157"/>
    <x v="3168"/>
    <x v="2770"/>
    <n v="1"/>
    <x v="17"/>
    <s v="E04"/>
    <s v="CALLE JOSE CARLOS MARIATEGUI URB. RESIDENCIAL AEROPUERTO MZ F LT 26"/>
    <x v="6"/>
    <x v="0"/>
    <x v="6"/>
    <x v="1"/>
    <x v="115"/>
    <x v="0"/>
    <n v="1"/>
    <n v="192"/>
    <x v="0"/>
    <x v="1"/>
    <n v="5.076142131979695E-3"/>
    <x v="36"/>
    <x v="4"/>
    <s v="OK"/>
    <x v="2"/>
    <s v="OK"/>
    <x v="0"/>
    <x v="0"/>
    <n v="1"/>
    <n v="1"/>
    <n v="1"/>
    <n v="0"/>
    <x v="0"/>
    <x v="0"/>
    <x v="1"/>
  </r>
  <r>
    <n v="20601917590"/>
    <x v="0"/>
    <x v="0"/>
    <x v="3158"/>
    <x v="3169"/>
    <x v="2771"/>
    <n v="1"/>
    <x v="382"/>
    <s v="E2"/>
    <s v="Jr. Juan Jose Mostaje  N°128 Urb. Santa Catalina - La Victoria "/>
    <x v="25"/>
    <x v="0"/>
    <x v="0"/>
    <x v="0"/>
    <x v="185"/>
    <x v="0"/>
    <n v="1"/>
    <n v="200"/>
    <x v="0"/>
    <x v="0"/>
    <n v="1.6666666666666666E-2"/>
    <x v="41"/>
    <x v="5"/>
    <s v="OK"/>
    <x v="4"/>
    <s v="OK"/>
    <x v="0"/>
    <x v="0"/>
    <n v="1"/>
    <n v="1"/>
    <n v="0"/>
    <n v="0"/>
    <x v="0"/>
    <x v="0"/>
    <x v="0"/>
  </r>
  <r>
    <m/>
    <x v="76"/>
    <x v="11"/>
    <x v="3159"/>
    <x v="3170"/>
    <x v="2772"/>
    <m/>
    <x v="383"/>
    <m/>
    <m/>
    <x v="225"/>
    <x v="2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n v="2055163079"/>
    <x v="42"/>
    <x v="35"/>
    <x v="3160"/>
    <x v="3171"/>
    <x v="2773"/>
    <n v="1"/>
    <x v="57"/>
    <s v="ESTACIONES Y PATIO TALLER"/>
    <s v="CALLE MANUEL FUENTES A. 915 URB. CHACARILLA DE SANTA CRUZ"/>
    <x v="143"/>
    <x v="0"/>
    <x v="0"/>
    <x v="1"/>
    <x v="815"/>
    <x v="0"/>
    <n v="2"/>
    <n v="1"/>
    <x v="0"/>
    <x v="1"/>
    <n v="0.125"/>
    <x v="43"/>
    <x v="5"/>
    <s v="OK"/>
    <x v="0"/>
    <s v="OK"/>
    <x v="0"/>
    <x v="0"/>
    <n v="1"/>
    <n v="0"/>
    <n v="0"/>
    <n v="0"/>
    <x v="0"/>
    <x v="0"/>
    <x v="0"/>
  </r>
  <r>
    <s v="20431084172"/>
    <x v="44"/>
    <x v="36"/>
    <x v="3161"/>
    <x v="3172"/>
    <x v="2774"/>
    <n v="3"/>
    <x v="20"/>
    <s v="ESTACION AVIACION NAVAL  - CALLAO"/>
    <s v=" ASENT.H.JOSE CARLOS MARIATEGUI P3-10"/>
    <x v="15"/>
    <x v="0"/>
    <x v="0"/>
    <x v="1"/>
    <x v="654"/>
    <x v="0"/>
    <n v="1"/>
    <n v="200"/>
    <x v="0"/>
    <x v="1"/>
    <n v="0.1"/>
    <x v="44"/>
    <x v="5"/>
    <s v="OK"/>
    <x v="0"/>
    <s v="OK"/>
    <x v="0"/>
    <x v="0"/>
    <n v="1"/>
    <n v="0"/>
    <n v="0"/>
    <n v="0"/>
    <x v="0"/>
    <x v="0"/>
    <x v="0"/>
  </r>
  <r>
    <s v="20431084172"/>
    <x v="44"/>
    <x v="36"/>
    <x v="3162"/>
    <x v="3173"/>
    <x v="2775"/>
    <n v="3"/>
    <x v="63"/>
    <s v="E-08, E-09, OVALO 200 MILLAS "/>
    <s v=" UCV 104 LT. 49 ZONA G ASENT.H. HUAYCAN"/>
    <x v="1"/>
    <x v="0"/>
    <x v="0"/>
    <x v="1"/>
    <x v="816"/>
    <x v="0"/>
    <n v="2"/>
    <n v="200"/>
    <x v="0"/>
    <x v="1"/>
    <n v="0.1"/>
    <x v="41"/>
    <x v="5"/>
    <s v="OK"/>
    <x v="1"/>
    <s v="OK"/>
    <x v="0"/>
    <x v="0"/>
    <n v="1"/>
    <n v="1"/>
    <n v="0"/>
    <n v="0"/>
    <x v="0"/>
    <x v="0"/>
    <x v="0"/>
  </r>
  <r>
    <n v="20296637697"/>
    <x v="2"/>
    <x v="2"/>
    <x v="3163"/>
    <x v="3174"/>
    <x v="2776"/>
    <n v="2"/>
    <x v="143"/>
    <s v="E-4"/>
    <s v="AV.PRIMAVERA 312"/>
    <x v="327"/>
    <x v="0"/>
    <x v="0"/>
    <x v="1"/>
    <x v="144"/>
    <x v="0"/>
    <n v="4"/>
    <n v="5"/>
    <x v="0"/>
    <x v="1"/>
    <n v="2.5641025641025641E-3"/>
    <x v="45"/>
    <x v="5"/>
    <s v="OK"/>
    <x v="0"/>
    <s v="OK"/>
    <x v="0"/>
    <x v="0"/>
    <n v="1"/>
    <n v="0"/>
    <n v="0"/>
    <n v="0"/>
    <x v="0"/>
    <x v="0"/>
    <x v="0"/>
  </r>
  <r>
    <n v="20296637697"/>
    <x v="2"/>
    <x v="2"/>
    <x v="3164"/>
    <x v="3175"/>
    <x v="2777"/>
    <n v="2"/>
    <x v="11"/>
    <s v="E-4"/>
    <s v="PSJ. ANCASH AAHH. SANTA ROSA MZ. 94-A LT27"/>
    <x v="4"/>
    <x v="0"/>
    <x v="0"/>
    <x v="1"/>
    <x v="14"/>
    <x v="0"/>
    <n v="4"/>
    <n v="198"/>
    <x v="0"/>
    <x v="1"/>
    <n v="2.5641025641025641E-3"/>
    <x v="41"/>
    <x v="5"/>
    <s v="OK"/>
    <x v="0"/>
    <s v="OK"/>
    <x v="0"/>
    <x v="0"/>
    <n v="1"/>
    <n v="0"/>
    <n v="0"/>
    <n v="0"/>
    <x v="0"/>
    <x v="0"/>
    <x v="0"/>
  </r>
  <r>
    <n v="20296637697"/>
    <x v="2"/>
    <x v="2"/>
    <x v="3165"/>
    <x v="3176"/>
    <x v="2778"/>
    <n v="1"/>
    <x v="51"/>
    <s v="E-4"/>
    <s v="CALLE RIO ELISA MZ. J LT. 9-C DPTO 1 URB. LAS PRADERAS"/>
    <x v="47"/>
    <x v="0"/>
    <x v="0"/>
    <x v="1"/>
    <x v="201"/>
    <x v="0"/>
    <n v="1"/>
    <n v="192"/>
    <x v="0"/>
    <x v="1"/>
    <n v="2.5641025641025641E-3"/>
    <x v="46"/>
    <x v="5"/>
    <s v="OK"/>
    <x v="0"/>
    <s v="OK"/>
    <x v="0"/>
    <x v="0"/>
    <n v="1"/>
    <n v="0"/>
    <n v="0"/>
    <n v="0"/>
    <x v="0"/>
    <x v="0"/>
    <x v="0"/>
  </r>
  <r>
    <n v="20296637697"/>
    <x v="2"/>
    <x v="2"/>
    <x v="3166"/>
    <x v="3177"/>
    <x v="2779"/>
    <n v="2"/>
    <x v="2"/>
    <s v="PV08-PV10"/>
    <s v="AV. J. OLAYA 419 P. JOVEN SAN GABRIEL SECTOR VALLECITO ALTO"/>
    <x v="8"/>
    <x v="0"/>
    <x v="0"/>
    <x v="1"/>
    <x v="172"/>
    <x v="0"/>
    <n v="4"/>
    <n v="8"/>
    <x v="0"/>
    <x v="1"/>
    <n v="2.5641025641025641E-3"/>
    <x v="45"/>
    <x v="5"/>
    <s v="OK"/>
    <x v="0"/>
    <s v="OK"/>
    <x v="0"/>
    <x v="0"/>
    <n v="1"/>
    <n v="0"/>
    <n v="1"/>
    <n v="0"/>
    <x v="0"/>
    <x v="0"/>
    <x v="1"/>
  </r>
  <r>
    <n v="20296637697"/>
    <x v="2"/>
    <x v="2"/>
    <x v="3167"/>
    <x v="3178"/>
    <x v="2780"/>
    <n v="2"/>
    <x v="4"/>
    <s v="PV08-PV10"/>
    <s v="MZ. G-3 LT. 7 LOS ROSALES KM. 39"/>
    <x v="62"/>
    <x v="0"/>
    <x v="0"/>
    <x v="1"/>
    <x v="193"/>
    <x v="0"/>
    <n v="4"/>
    <n v="199.5"/>
    <x v="0"/>
    <x v="1"/>
    <n v="2.5641025641025641E-3"/>
    <x v="47"/>
    <x v="5"/>
    <s v="OK"/>
    <x v="0"/>
    <s v="OK"/>
    <x v="0"/>
    <x v="0"/>
    <n v="1"/>
    <n v="0"/>
    <n v="0"/>
    <n v="0"/>
    <x v="0"/>
    <x v="0"/>
    <x v="0"/>
  </r>
  <r>
    <n v="20296637697"/>
    <x v="2"/>
    <x v="2"/>
    <x v="3168"/>
    <x v="3179"/>
    <x v="2781"/>
    <n v="2"/>
    <x v="3"/>
    <s v="PV08-PV10"/>
    <s v="UNIDAD VECINAL 3 BLOCK 5A2 CERCADO"/>
    <x v="10"/>
    <x v="0"/>
    <x v="0"/>
    <x v="1"/>
    <x v="187"/>
    <x v="0"/>
    <n v="4"/>
    <n v="136"/>
    <x v="0"/>
    <x v="1"/>
    <n v="2.5641025641025641E-3"/>
    <x v="48"/>
    <x v="5"/>
    <s v="OK"/>
    <x v="0"/>
    <s v="OK"/>
    <x v="0"/>
    <x v="0"/>
    <n v="1"/>
    <n v="0"/>
    <n v="1"/>
    <n v="0"/>
    <x v="0"/>
    <x v="0"/>
    <x v="1"/>
  </r>
  <r>
    <n v="20296637697"/>
    <x v="2"/>
    <x v="2"/>
    <x v="3169"/>
    <x v="3180"/>
    <x v="2782"/>
    <n v="1"/>
    <x v="384"/>
    <s v="PV01BIS - PV01 - PV02 Y PV03"/>
    <s v="CALLE TERESA GONZALES DE FANNING 253 URB CARLOS CUETO FERNANDINI"/>
    <x v="49"/>
    <x v="0"/>
    <x v="0"/>
    <x v="2"/>
    <x v="126"/>
    <x v="0"/>
    <n v="1"/>
    <n v="200"/>
    <x v="0"/>
    <x v="1"/>
    <n v="2.5641025641025641E-3"/>
    <x v="49"/>
    <x v="5"/>
    <s v="OK"/>
    <x v="0"/>
    <s v="OK"/>
    <x v="0"/>
    <x v="0"/>
    <n v="1"/>
    <n v="0"/>
    <n v="0"/>
    <n v="0"/>
    <x v="0"/>
    <x v="0"/>
    <x v="0"/>
  </r>
  <r>
    <n v="20296637697"/>
    <x v="2"/>
    <x v="2"/>
    <x v="3170"/>
    <x v="3181"/>
    <x v="2783"/>
    <n v="1"/>
    <x v="385"/>
    <s v="ESTACION 05 CCM2L"/>
    <s v="MZ F LT 7 URB. LOS ROSALES PIURA PIURA"/>
    <x v="7"/>
    <x v="0"/>
    <x v="0"/>
    <x v="1"/>
    <x v="128"/>
    <x v="0"/>
    <n v="4"/>
    <n v="200.5"/>
    <x v="0"/>
    <x v="1"/>
    <n v="2.5641025641025641E-3"/>
    <x v="50"/>
    <x v="5"/>
    <s v="OK"/>
    <x v="0"/>
    <s v="OK"/>
    <x v="0"/>
    <x v="0"/>
    <n v="1"/>
    <n v="0"/>
    <n v="0"/>
    <n v="0"/>
    <x v="0"/>
    <x v="0"/>
    <x v="0"/>
  </r>
  <r>
    <s v="20600535634"/>
    <x v="6"/>
    <x v="6"/>
    <x v="3171"/>
    <x v="3182"/>
    <x v="2784"/>
    <n v="2"/>
    <x v="20"/>
    <s v="POZO BIDDLE"/>
    <s v="JR.HUASCAR 573"/>
    <x v="6"/>
    <x v="0"/>
    <x v="0"/>
    <x v="2"/>
    <x v="103"/>
    <x v="0"/>
    <n v="4"/>
    <n v="80"/>
    <x v="0"/>
    <x v="1"/>
    <n v="2.4390243902439025E-2"/>
    <x v="41"/>
    <x v="5"/>
    <s v="OK"/>
    <x v="2"/>
    <s v="OK"/>
    <x v="0"/>
    <x v="0"/>
    <n v="1"/>
    <n v="1"/>
    <n v="1"/>
    <n v="0"/>
    <x v="0"/>
    <x v="0"/>
    <x v="1"/>
  </r>
  <r>
    <m/>
    <x v="76"/>
    <x v="11"/>
    <x v="3159"/>
    <x v="3170"/>
    <x v="2772"/>
    <m/>
    <x v="383"/>
    <m/>
    <m/>
    <x v="225"/>
    <x v="2"/>
    <x v="0"/>
    <x v="14"/>
    <x v="439"/>
    <x v="1"/>
    <m/>
    <n v="0"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s v="20562719700"/>
    <x v="7"/>
    <x v="7"/>
    <x v="3172"/>
    <x v="3183"/>
    <x v="2785"/>
    <m/>
    <x v="4"/>
    <s v="ESTACION 06"/>
    <s v="AV. VILLA MILITAR  2001"/>
    <x v="155"/>
    <x v="0"/>
    <x v="0"/>
    <x v="2"/>
    <x v="162"/>
    <x v="0"/>
    <n v="4"/>
    <n v="192"/>
    <x v="0"/>
    <x v="1"/>
    <n v="5.7803468208092483E-3"/>
    <x v="48"/>
    <x v="5"/>
    <s v="OK"/>
    <x v="0"/>
    <s v="OK"/>
    <x v="0"/>
    <x v="0"/>
    <n v="1"/>
    <n v="0"/>
    <n v="0"/>
    <n v="0"/>
    <x v="0"/>
    <x v="0"/>
    <x v="0"/>
  </r>
  <r>
    <s v="20562719700"/>
    <x v="7"/>
    <x v="7"/>
    <x v="3173"/>
    <x v="3184"/>
    <x v="2786"/>
    <m/>
    <x v="4"/>
    <s v="PV1 BIS"/>
    <s v="JR ABRAHAM VALDELOMAR 201    015-LIMA"/>
    <x v="8"/>
    <x v="0"/>
    <x v="0"/>
    <x v="2"/>
    <x v="817"/>
    <x v="0"/>
    <n v="4"/>
    <n v="192"/>
    <x v="0"/>
    <x v="1"/>
    <n v="5.7803468208092483E-3"/>
    <x v="47"/>
    <x v="5"/>
    <s v="OK"/>
    <x v="0"/>
    <s v="OK"/>
    <x v="0"/>
    <x v="0"/>
    <n v="1"/>
    <n v="0"/>
    <n v="0"/>
    <n v="0"/>
    <x v="0"/>
    <x v="0"/>
    <x v="0"/>
  </r>
  <r>
    <n v="20504039120"/>
    <x v="8"/>
    <x v="8"/>
    <x v="3174"/>
    <x v="3185"/>
    <x v="2787"/>
    <n v="1"/>
    <x v="6"/>
    <s v="ESTACIÓN 14"/>
    <s v="CALLE MARIA PARADO DE BELLIDO 336PJ HUASCAR"/>
    <x v="27"/>
    <x v="1"/>
    <x v="0"/>
    <x v="1"/>
    <x v="217"/>
    <x v="0"/>
    <n v="1"/>
    <n v="200"/>
    <x v="0"/>
    <x v="1"/>
    <n v="2.4390243902439025E-2"/>
    <x v="41"/>
    <x v="5"/>
    <s v="OK"/>
    <x v="5"/>
    <s v="OK"/>
    <x v="0"/>
    <x v="0"/>
    <n v="1"/>
    <n v="1"/>
    <n v="0"/>
    <n v="0"/>
    <x v="0"/>
    <x v="0"/>
    <x v="0"/>
  </r>
  <r>
    <s v="20504138292"/>
    <x v="12"/>
    <x v="12"/>
    <x v="3175"/>
    <x v="3186"/>
    <x v="2788"/>
    <n v="1"/>
    <x v="317"/>
    <s v="PV 04"/>
    <s v="FRANCISCO GUTIERREZ 634"/>
    <x v="10"/>
    <x v="0"/>
    <x v="0"/>
    <x v="2"/>
    <x v="177"/>
    <x v="0"/>
    <n v="1"/>
    <n v="192"/>
    <x v="0"/>
    <x v="1"/>
    <n v="2.3809523809523808E-2"/>
    <x v="48"/>
    <x v="5"/>
    <s v="OK"/>
    <x v="0"/>
    <s v="OK"/>
    <x v="0"/>
    <x v="0"/>
    <n v="1"/>
    <n v="0"/>
    <n v="0"/>
    <n v="0"/>
    <x v="0"/>
    <x v="0"/>
    <x v="0"/>
  </r>
  <r>
    <s v="20504138292"/>
    <x v="12"/>
    <x v="12"/>
    <x v="3176"/>
    <x v="3187"/>
    <x v="2789"/>
    <n v="2"/>
    <x v="18"/>
    <s v="PV 04"/>
    <s v="PASAJE CHAVIN MZ 5 LT 9 ANUNEZ DE MAYOLO"/>
    <x v="53"/>
    <x v="0"/>
    <x v="0"/>
    <x v="2"/>
    <x v="818"/>
    <x v="0"/>
    <n v="4"/>
    <n v="192"/>
    <x v="0"/>
    <x v="1"/>
    <n v="2.3809523809523808E-2"/>
    <x v="41"/>
    <x v="5"/>
    <s v="OK"/>
    <x v="0"/>
    <s v="OK"/>
    <x v="0"/>
    <x v="0"/>
    <n v="1"/>
    <n v="0"/>
    <n v="0"/>
    <n v="0"/>
    <x v="0"/>
    <x v="0"/>
    <x v="0"/>
  </r>
  <r>
    <s v="20504138292"/>
    <x v="12"/>
    <x v="12"/>
    <x v="3177"/>
    <x v="3188"/>
    <x v="2790"/>
    <n v="2"/>
    <x v="67"/>
    <s v="PV 04"/>
    <s v="AAHH SAN MARTIN MZ 182 LT 37"/>
    <x v="367"/>
    <x v="0"/>
    <x v="0"/>
    <x v="2"/>
    <x v="246"/>
    <x v="0"/>
    <n v="4"/>
    <n v="192"/>
    <x v="0"/>
    <x v="1"/>
    <n v="2.3809523809523808E-2"/>
    <x v="44"/>
    <x v="5"/>
    <s v="OK"/>
    <x v="0"/>
    <s v="OK"/>
    <x v="0"/>
    <x v="0"/>
    <n v="1"/>
    <n v="0"/>
    <n v="0"/>
    <n v="0"/>
    <x v="0"/>
    <x v="0"/>
    <x v="0"/>
  </r>
  <r>
    <s v="20504138292"/>
    <x v="12"/>
    <x v="12"/>
    <x v="3178"/>
    <x v="3189"/>
    <x v="2791"/>
    <n v="1"/>
    <x v="386"/>
    <s v="PV 04"/>
    <s v="CIUDAD  DEL PESCADOR MZ. B4 LT 27"/>
    <x v="17"/>
    <x v="0"/>
    <x v="0"/>
    <x v="2"/>
    <x v="50"/>
    <x v="0"/>
    <n v="1"/>
    <n v="192"/>
    <x v="0"/>
    <x v="1"/>
    <n v="2.3809523809523808E-2"/>
    <x v="43"/>
    <x v="5"/>
    <s v="OK"/>
    <x v="2"/>
    <s v="OK"/>
    <x v="0"/>
    <x v="0"/>
    <n v="1"/>
    <n v="1"/>
    <n v="0"/>
    <n v="0"/>
    <x v="0"/>
    <x v="0"/>
    <x v="0"/>
  </r>
  <r>
    <s v="20551610030"/>
    <x v="15"/>
    <x v="15"/>
    <x v="3179"/>
    <x v="3190"/>
    <x v="2792"/>
    <n v="2"/>
    <x v="22"/>
    <s v="ESTACION 17 Y 18"/>
    <s v="PSJ. 3 ASENT.H. DIOS AMOR MZ. E LT.03"/>
    <x v="0"/>
    <x v="0"/>
    <x v="0"/>
    <x v="2"/>
    <x v="113"/>
    <x v="0"/>
    <n v="1"/>
    <n v="200.5"/>
    <x v="0"/>
    <x v="1"/>
    <n v="1.2345679012345678E-2"/>
    <x v="49"/>
    <x v="5"/>
    <s v="OK"/>
    <x v="0"/>
    <s v="OK"/>
    <x v="0"/>
    <x v="0"/>
    <n v="1"/>
    <n v="0"/>
    <n v="0"/>
    <n v="0"/>
    <x v="0"/>
    <x v="0"/>
    <x v="0"/>
  </r>
  <r>
    <n v="20610192034"/>
    <x v="16"/>
    <x v="16"/>
    <x v="3180"/>
    <x v="3191"/>
    <x v="2772"/>
    <m/>
    <x v="11"/>
    <s v="ESTACION 10- ESTACION 11-PZ 16-PZ-17-PZ18-E17"/>
    <s v="LA AGRUPACION FAMILIAR STA. ROSA DE STA. MARIA MZ. F4 LT. 10"/>
    <x v="15"/>
    <x v="0"/>
    <x v="4"/>
    <x v="2"/>
    <x v="819"/>
    <x v="2"/>
    <n v="4"/>
    <n v="84"/>
    <x v="0"/>
    <x v="1"/>
    <n v="2.6315789473684209E-2"/>
    <x v="42"/>
    <x v="5"/>
    <s v="OK"/>
    <x v="0"/>
    <s v="OK"/>
    <x v="0"/>
    <x v="0"/>
    <n v="1"/>
    <n v="0"/>
    <n v="0"/>
    <n v="1"/>
    <x v="0"/>
    <x v="1"/>
    <x v="0"/>
  </r>
  <r>
    <n v="20610192034"/>
    <x v="16"/>
    <x v="16"/>
    <x v="3181"/>
    <x v="3192"/>
    <x v="2772"/>
    <m/>
    <x v="387"/>
    <s v="ESTACION 10- ESTACION 11-PZ 16-PZ-17-PZ18-E17"/>
    <s v="CONDEVILLA SEÑOR Y VALDIVIESO, JR. PEDRO SILVA 147"/>
    <x v="3"/>
    <x v="1"/>
    <x v="0"/>
    <x v="2"/>
    <x v="1"/>
    <x v="0"/>
    <n v="1"/>
    <n v="208"/>
    <x v="0"/>
    <x v="1"/>
    <n v="2.6315789473684209E-2"/>
    <x v="42"/>
    <x v="5"/>
    <s v="OK"/>
    <x v="0"/>
    <s v="OK"/>
    <x v="0"/>
    <x v="0"/>
    <n v="1"/>
    <n v="0"/>
    <n v="0"/>
    <n v="0"/>
    <x v="0"/>
    <x v="0"/>
    <x v="0"/>
  </r>
  <r>
    <n v="20610192034"/>
    <x v="16"/>
    <x v="16"/>
    <x v="1025"/>
    <x v="3193"/>
    <x v="2772"/>
    <m/>
    <x v="141"/>
    <s v="ESTACION 10- ESTACION 11-PZ 16-PZ-17-PZ18-E17"/>
    <s v="MZ. A LT. 18 COOP. HUANCAYO"/>
    <x v="347"/>
    <x v="0"/>
    <x v="33"/>
    <x v="2"/>
    <x v="16"/>
    <x v="0"/>
    <n v="4"/>
    <n v="16"/>
    <x v="0"/>
    <x v="1"/>
    <n v="2.6315789473684209E-2"/>
    <x v="42"/>
    <x v="5"/>
    <s v="OK"/>
    <x v="7"/>
    <s v="OK"/>
    <x v="0"/>
    <x v="0"/>
    <n v="1"/>
    <n v="1"/>
    <n v="0"/>
    <n v="1"/>
    <x v="0"/>
    <x v="1"/>
    <x v="0"/>
  </r>
  <r>
    <n v="20610192034"/>
    <x v="16"/>
    <x v="16"/>
    <x v="3182"/>
    <x v="3194"/>
    <x v="2772"/>
    <m/>
    <x v="18"/>
    <s v="ESTACION 10- ESTACION 11-PZ 16-PZ-17-PZ18-E17"/>
    <s v="RINCONADA MZ. T LT. 7 CONSTRUCTORES"/>
    <x v="15"/>
    <x v="0"/>
    <x v="29"/>
    <x v="2"/>
    <x v="18"/>
    <x v="2"/>
    <n v="4"/>
    <n v="208"/>
    <x v="0"/>
    <x v="1"/>
    <n v="2.6315789473684209E-2"/>
    <x v="42"/>
    <x v="5"/>
    <s v="OK"/>
    <x v="0"/>
    <s v="OK"/>
    <x v="0"/>
    <x v="0"/>
    <n v="1"/>
    <n v="0"/>
    <n v="0"/>
    <n v="1"/>
    <x v="0"/>
    <x v="1"/>
    <x v="0"/>
  </r>
  <r>
    <n v="20610192034"/>
    <x v="16"/>
    <x v="16"/>
    <x v="3183"/>
    <x v="3195"/>
    <x v="2772"/>
    <m/>
    <x v="18"/>
    <s v="ESTACION 10- ESTACION 11-PZ 16-PZ-17-PZ18-E17"/>
    <s v="JR. PILCOMAYO 719 DPTO 302"/>
    <x v="5"/>
    <x v="0"/>
    <x v="4"/>
    <x v="2"/>
    <x v="18"/>
    <x v="2"/>
    <n v="4"/>
    <n v="84"/>
    <x v="0"/>
    <x v="1"/>
    <n v="2.6315789473684209E-2"/>
    <x v="42"/>
    <x v="5"/>
    <s v="OK"/>
    <x v="3"/>
    <s v="OK"/>
    <x v="0"/>
    <x v="0"/>
    <n v="1"/>
    <n v="1"/>
    <n v="0"/>
    <n v="1"/>
    <x v="0"/>
    <x v="1"/>
    <x v="0"/>
  </r>
  <r>
    <n v="20610192034"/>
    <x v="16"/>
    <x v="16"/>
    <x v="3184"/>
    <x v="3196"/>
    <x v="2772"/>
    <m/>
    <x v="11"/>
    <s v="ESTACION 10- ESTACION 11-PZ 16-PZ-17-PZ18-E17"/>
    <s v="JR. LEONCIO PRADO 134 PARADERO 10 URB. JOSE GALVEZ"/>
    <x v="8"/>
    <x v="0"/>
    <x v="29"/>
    <x v="2"/>
    <x v="50"/>
    <x v="2"/>
    <n v="4"/>
    <n v="208"/>
    <x v="0"/>
    <x v="1"/>
    <n v="2.6315789473684209E-2"/>
    <x v="42"/>
    <x v="5"/>
    <s v="OK"/>
    <x v="0"/>
    <s v="OK"/>
    <x v="0"/>
    <x v="0"/>
    <n v="1"/>
    <n v="0"/>
    <n v="0"/>
    <n v="1"/>
    <x v="0"/>
    <x v="1"/>
    <x v="0"/>
  </r>
  <r>
    <n v="20610192034"/>
    <x v="16"/>
    <x v="16"/>
    <x v="3185"/>
    <x v="3197"/>
    <x v="2772"/>
    <m/>
    <x v="2"/>
    <s v="ESTACION 10- ESTACION 11-PZ 16-PZ-17-PZ18-E17"/>
    <s v="10 DE OCTUBRE MZ A6 LT. 21 B ALT. DEL PEDRO 5 WIESE"/>
    <x v="15"/>
    <x v="0"/>
    <x v="0"/>
    <x v="2"/>
    <x v="17"/>
    <x v="0"/>
    <n v="4"/>
    <n v="96"/>
    <x v="0"/>
    <x v="1"/>
    <n v="2.6315789473684209E-2"/>
    <x v="42"/>
    <x v="5"/>
    <s v="OK"/>
    <x v="0"/>
    <s v="OK"/>
    <x v="0"/>
    <x v="0"/>
    <n v="1"/>
    <n v="0"/>
    <n v="0"/>
    <n v="0"/>
    <x v="0"/>
    <x v="0"/>
    <x v="0"/>
  </r>
  <r>
    <n v="20610192034"/>
    <x v="16"/>
    <x v="16"/>
    <x v="3186"/>
    <x v="3198"/>
    <x v="2772"/>
    <m/>
    <x v="388"/>
    <s v="ESTACION 10- ESTACION 11-PZ 16-PZ-17-PZ18-E17"/>
    <s v="MZ. M LT. 09 DEL SECTOR NUEVO PROGRESO DE HUAROCHIRI ANEXO 3"/>
    <x v="8"/>
    <x v="0"/>
    <x v="0"/>
    <x v="2"/>
    <x v="50"/>
    <x v="0"/>
    <n v="4"/>
    <n v="120"/>
    <x v="0"/>
    <x v="1"/>
    <n v="2.6315789473684209E-2"/>
    <x v="42"/>
    <x v="5"/>
    <s v="OK"/>
    <x v="0"/>
    <s v="OK"/>
    <x v="0"/>
    <x v="0"/>
    <n v="1"/>
    <n v="0"/>
    <n v="0"/>
    <n v="0"/>
    <x v="0"/>
    <x v="0"/>
    <x v="0"/>
  </r>
  <r>
    <n v="20610192034"/>
    <x v="16"/>
    <x v="16"/>
    <x v="3187"/>
    <x v="3199"/>
    <x v="2772"/>
    <m/>
    <x v="96"/>
    <s v="ESTACION 10- ESTACION 11-PZ 16-PZ-17-PZ18-E17"/>
    <s v="PSJE. FLOR DE MARIA MZ. M. LT. 9 PAMPLONA ALTA"/>
    <x v="53"/>
    <x v="0"/>
    <x v="18"/>
    <x v="2"/>
    <x v="140"/>
    <x v="2"/>
    <n v="1"/>
    <n v="174"/>
    <x v="0"/>
    <x v="1"/>
    <n v="2.6315789473684209E-2"/>
    <x v="42"/>
    <x v="5"/>
    <s v="OK"/>
    <x v="0"/>
    <s v="OK"/>
    <x v="0"/>
    <x v="0"/>
    <n v="1"/>
    <n v="0"/>
    <n v="0"/>
    <n v="1"/>
    <x v="0"/>
    <x v="1"/>
    <x v="0"/>
  </r>
  <r>
    <n v="20610192034"/>
    <x v="16"/>
    <x v="16"/>
    <x v="3188"/>
    <x v="3200"/>
    <x v="2772"/>
    <m/>
    <x v="190"/>
    <s v="ESTACION 10- ESTACION 11-PZ 16-PZ-17-PZ18-E17"/>
    <s v="PROLONG. HUASCAR 137 URB. LEONCIO PRADO"/>
    <x v="89"/>
    <x v="0"/>
    <x v="0"/>
    <x v="2"/>
    <x v="820"/>
    <x v="0"/>
    <n v="1"/>
    <n v="208"/>
    <x v="0"/>
    <x v="1"/>
    <n v="2.6315789473684209E-2"/>
    <x v="42"/>
    <x v="5"/>
    <s v="OK"/>
    <x v="2"/>
    <s v="OK"/>
    <x v="0"/>
    <x v="0"/>
    <n v="1"/>
    <n v="1"/>
    <n v="0"/>
    <n v="0"/>
    <x v="0"/>
    <x v="0"/>
    <x v="0"/>
  </r>
  <r>
    <n v="20610192034"/>
    <x v="16"/>
    <x v="16"/>
    <x v="3189"/>
    <x v="3201"/>
    <x v="2772"/>
    <m/>
    <x v="338"/>
    <s v="ESTACION 10- ESTACION 11-PZ 16-PZ-17-PZ18-E17"/>
    <s v="AV. PERU CMTE. 30 MZ. E-2 LT. 19 T.A. DE VILLA"/>
    <x v="38"/>
    <x v="0"/>
    <x v="33"/>
    <x v="2"/>
    <x v="183"/>
    <x v="2"/>
    <n v="4"/>
    <n v="16"/>
    <x v="0"/>
    <x v="1"/>
    <n v="2.6315789473684209E-2"/>
    <x v="42"/>
    <x v="5"/>
    <s v="OK"/>
    <x v="0"/>
    <s v="OK"/>
    <x v="0"/>
    <x v="0"/>
    <n v="1"/>
    <n v="0"/>
    <n v="0"/>
    <n v="1"/>
    <x v="0"/>
    <x v="1"/>
    <x v="0"/>
  </r>
  <r>
    <n v="20610192034"/>
    <x v="16"/>
    <x v="16"/>
    <x v="3190"/>
    <x v="3202"/>
    <x v="2772"/>
    <m/>
    <x v="23"/>
    <s v="ESTACION 10- ESTACION 11-PZ 16-PZ-17-PZ18-E17"/>
    <s v="Mz. F LT.55 SOL DE CALIFORNIA"/>
    <x v="10"/>
    <x v="0"/>
    <x v="0"/>
    <x v="2"/>
    <x v="1"/>
    <x v="0"/>
    <n v="1"/>
    <n v="208"/>
    <x v="0"/>
    <x v="1"/>
    <n v="2.6315789473684209E-2"/>
    <x v="42"/>
    <x v="5"/>
    <s v="OK"/>
    <x v="0"/>
    <s v="OK"/>
    <x v="0"/>
    <x v="0"/>
    <n v="1"/>
    <n v="0"/>
    <n v="0"/>
    <n v="0"/>
    <x v="0"/>
    <x v="0"/>
    <x v="0"/>
  </r>
  <r>
    <n v="20610192034"/>
    <x v="16"/>
    <x v="16"/>
    <x v="3191"/>
    <x v="3203"/>
    <x v="2772"/>
    <m/>
    <x v="23"/>
    <s v="ESTACION 10- ESTACION 11-PZ 16-PZ-17-PZ18-E17"/>
    <s v="ASOC LA ESTRELLA MZ K LT.1 "/>
    <x v="49"/>
    <x v="0"/>
    <x v="0"/>
    <x v="2"/>
    <x v="1"/>
    <x v="0"/>
    <n v="1"/>
    <n v="208"/>
    <x v="0"/>
    <x v="1"/>
    <n v="2.6315789473684209E-2"/>
    <x v="42"/>
    <x v="5"/>
    <s v="OK"/>
    <x v="0"/>
    <s v="OK"/>
    <x v="0"/>
    <x v="0"/>
    <n v="1"/>
    <n v="0"/>
    <n v="0"/>
    <n v="0"/>
    <x v="0"/>
    <x v="0"/>
    <x v="0"/>
  </r>
  <r>
    <n v="20610192034"/>
    <x v="16"/>
    <x v="16"/>
    <x v="3192"/>
    <x v="3204"/>
    <x v="2772"/>
    <m/>
    <x v="142"/>
    <s v="ESTACION 10- ESTACION 11-PZ 16-PZ-17-PZ18-E17"/>
    <s v="PASAJE ALTO PERU 147 AH. 7 DE OCTUBRE"/>
    <x v="347"/>
    <x v="0"/>
    <x v="33"/>
    <x v="2"/>
    <x v="431"/>
    <x v="2"/>
    <n v="4"/>
    <n v="16"/>
    <x v="0"/>
    <x v="1"/>
    <n v="2.6315789473684209E-2"/>
    <x v="42"/>
    <x v="5"/>
    <s v="OK"/>
    <x v="7"/>
    <s v="OK"/>
    <x v="0"/>
    <x v="0"/>
    <n v="1"/>
    <n v="1"/>
    <n v="0"/>
    <n v="1"/>
    <x v="0"/>
    <x v="1"/>
    <x v="0"/>
  </r>
  <r>
    <n v="20610192034"/>
    <x v="16"/>
    <x v="16"/>
    <x v="3193"/>
    <x v="3205"/>
    <x v="2772"/>
    <m/>
    <x v="11"/>
    <s v="ESTACION 10- ESTACION 11-PZ 16-PZ-17-PZ18-E17"/>
    <s v="CALLE VICHAYAL CDRA 6 ASENT. H. 9 DE OCTUBRE MZ F LT. 4"/>
    <x v="175"/>
    <x v="0"/>
    <x v="29"/>
    <x v="2"/>
    <x v="125"/>
    <x v="2"/>
    <n v="4"/>
    <n v="208"/>
    <x v="0"/>
    <x v="1"/>
    <n v="2.6315789473684209E-2"/>
    <x v="42"/>
    <x v="5"/>
    <s v="OK"/>
    <x v="0"/>
    <s v="OK"/>
    <x v="0"/>
    <x v="0"/>
    <n v="1"/>
    <n v="0"/>
    <n v="0"/>
    <n v="1"/>
    <x v="0"/>
    <x v="1"/>
    <x v="0"/>
  </r>
  <r>
    <n v="20610192034"/>
    <x v="16"/>
    <x v="16"/>
    <x v="3194"/>
    <x v="3206"/>
    <x v="2772"/>
    <m/>
    <x v="11"/>
    <s v="ESTACION 10- ESTACION 11-PZ 16-PZ-17-PZ18-E17"/>
    <s v="ASOC DE VIV. LAS PALMERAS MZ B LT 1"/>
    <x v="4"/>
    <x v="0"/>
    <x v="5"/>
    <x v="2"/>
    <x v="125"/>
    <x v="2"/>
    <n v="4"/>
    <n v="174"/>
    <x v="0"/>
    <x v="1"/>
    <n v="2.6315789473684209E-2"/>
    <x v="42"/>
    <x v="5"/>
    <s v="OK"/>
    <x v="0"/>
    <s v="OK"/>
    <x v="0"/>
    <x v="0"/>
    <n v="1"/>
    <n v="0"/>
    <n v="0"/>
    <n v="1"/>
    <x v="0"/>
    <x v="1"/>
    <x v="0"/>
  </r>
  <r>
    <n v="20610192034"/>
    <x v="16"/>
    <x v="16"/>
    <x v="3195"/>
    <x v="3207"/>
    <x v="2772"/>
    <m/>
    <x v="18"/>
    <s v="ESTACION 10- ESTACION 11-PZ 16-PZ-17-PZ18-E17"/>
    <s v="AV. ZARUMILLA 1930 MZ.173 LT 3A"/>
    <x v="8"/>
    <x v="0"/>
    <x v="5"/>
    <x v="2"/>
    <x v="195"/>
    <x v="2"/>
    <n v="4"/>
    <n v="174"/>
    <x v="0"/>
    <x v="1"/>
    <n v="2.6315789473684209E-2"/>
    <x v="42"/>
    <x v="5"/>
    <s v="OK"/>
    <x v="0"/>
    <s v="OK"/>
    <x v="0"/>
    <x v="0"/>
    <n v="1"/>
    <n v="0"/>
    <n v="0"/>
    <n v="1"/>
    <x v="0"/>
    <x v="1"/>
    <x v="0"/>
  </r>
  <r>
    <n v="20610192034"/>
    <x v="16"/>
    <x v="16"/>
    <x v="3196"/>
    <x v="3208"/>
    <x v="2772"/>
    <m/>
    <x v="67"/>
    <s v="ESTACION 10- ESTACION 11-PZ 16-PZ-17-PZ18-E17"/>
    <s v="CALLE LAS GARDENIAS MZ K6N LT 06 A.H V.M.T SECTOR ARENAL ALTO"/>
    <x v="8"/>
    <x v="0"/>
    <x v="5"/>
    <x v="2"/>
    <x v="114"/>
    <x v="2"/>
    <n v="4"/>
    <n v="174"/>
    <x v="0"/>
    <x v="1"/>
    <n v="2.6315789473684209E-2"/>
    <x v="42"/>
    <x v="5"/>
    <s v="OK"/>
    <x v="0"/>
    <s v="OK"/>
    <x v="0"/>
    <x v="0"/>
    <n v="1"/>
    <n v="0"/>
    <n v="0"/>
    <n v="1"/>
    <x v="0"/>
    <x v="1"/>
    <x v="0"/>
  </r>
  <r>
    <m/>
    <x v="76"/>
    <x v="11"/>
    <x v="3159"/>
    <x v="3170"/>
    <x v="2772"/>
    <m/>
    <x v="383"/>
    <s v="ESTACION 10- ESTACION 11-PZ 16-PZ-17-PZ18"/>
    <m/>
    <x v="225"/>
    <x v="2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s v="20603245246"/>
    <x v="56"/>
    <x v="17"/>
    <x v="3197"/>
    <x v="3209"/>
    <x v="2793"/>
    <n v="1"/>
    <x v="372"/>
    <s v="E02"/>
    <s v="Calle Las Fresas No 501 Dpto. 201 Urb. Los Jazmines"/>
    <x v="146"/>
    <x v="0"/>
    <x v="21"/>
    <x v="1"/>
    <x v="821"/>
    <x v="0"/>
    <n v="2"/>
    <n v="8"/>
    <x v="0"/>
    <x v="1"/>
    <n v="4.7619047619047616E-2"/>
    <x v="51"/>
    <x v="5"/>
    <s v="OK"/>
    <x v="0"/>
    <s v="OK"/>
    <x v="0"/>
    <x v="0"/>
    <n v="1"/>
    <n v="0"/>
    <n v="0"/>
    <n v="0"/>
    <x v="0"/>
    <x v="0"/>
    <x v="0"/>
  </r>
  <r>
    <s v="20600599829"/>
    <x v="17"/>
    <x v="17"/>
    <x v="3198"/>
    <x v="3210"/>
    <x v="2794"/>
    <n v="2"/>
    <x v="110"/>
    <s v="ESTACIÓN 01"/>
    <s v="CALLE CLEMENTE PALMA 219 URB. POPULAR CONDEVILLA DEL SEÑOR"/>
    <x v="3"/>
    <x v="0"/>
    <x v="5"/>
    <x v="1"/>
    <x v="16"/>
    <x v="2"/>
    <n v="4"/>
    <n v="162"/>
    <x v="0"/>
    <x v="0"/>
    <n v="4.7619047619047616E-2"/>
    <x v="47"/>
    <x v="5"/>
    <s v="OK"/>
    <x v="0"/>
    <s v="OK"/>
    <x v="0"/>
    <x v="0"/>
    <n v="1"/>
    <n v="0"/>
    <n v="0"/>
    <n v="1"/>
    <x v="0"/>
    <x v="1"/>
    <x v="0"/>
  </r>
  <r>
    <s v="20600599829"/>
    <x v="17"/>
    <x v="17"/>
    <x v="3199"/>
    <x v="3211"/>
    <x v="2795"/>
    <n v="2"/>
    <x v="24"/>
    <s v="PV-10"/>
    <s v="Jr. Colon 719 - Piso 2 Int 9"/>
    <x v="110"/>
    <x v="0"/>
    <x v="2"/>
    <x v="1"/>
    <x v="49"/>
    <x v="2"/>
    <n v="4"/>
    <n v="4"/>
    <x v="0"/>
    <x v="0"/>
    <n v="4.7619047619047616E-2"/>
    <x v="48"/>
    <x v="5"/>
    <s v="OK"/>
    <x v="2"/>
    <s v="OK"/>
    <x v="0"/>
    <x v="0"/>
    <n v="1"/>
    <n v="1"/>
    <n v="0"/>
    <n v="1"/>
    <x v="0"/>
    <x v="1"/>
    <x v="0"/>
  </r>
  <r>
    <n v="20601119707"/>
    <x v="57"/>
    <x v="42"/>
    <x v="3200"/>
    <x v="3212"/>
    <x v="2796"/>
    <n v="1"/>
    <x v="17"/>
    <s v="OSV-07-24-003_MASTER_PLAN_SERVICIO DE DESMONTAJE, TRANSPORTE Y MONTAJE DE MODULOS DE OFICINAS, COMEDOR Y VESTUARIOS E-04 “INSURGENTES"/>
    <s v="Calle josé maria morellos 272 urb maranga"/>
    <x v="28"/>
    <x v="0"/>
    <x v="0"/>
    <x v="2"/>
    <x v="432"/>
    <x v="0"/>
    <n v="1"/>
    <n v="176"/>
    <x v="0"/>
    <x v="1"/>
    <n v="9.0909090909090912E-2"/>
    <x v="46"/>
    <x v="5"/>
    <s v="OK"/>
    <x v="0"/>
    <s v="OK"/>
    <x v="0"/>
    <x v="0"/>
    <n v="1"/>
    <n v="0"/>
    <n v="0"/>
    <n v="0"/>
    <x v="0"/>
    <x v="0"/>
    <x v="0"/>
  </r>
  <r>
    <n v="20451703901"/>
    <x v="19"/>
    <x v="19"/>
    <x v="3201"/>
    <x v="3213"/>
    <x v="2797"/>
    <n v="2"/>
    <x v="2"/>
    <s v="ESTACIÓN 06"/>
    <s v="JR. BEATITA 181"/>
    <x v="0"/>
    <x v="0"/>
    <x v="0"/>
    <x v="1"/>
    <x v="57"/>
    <x v="0"/>
    <n v="4"/>
    <n v="212.5"/>
    <x v="0"/>
    <x v="1"/>
    <n v="5.4644808743169399E-3"/>
    <x v="41"/>
    <x v="5"/>
    <s v="OK"/>
    <x v="0"/>
    <s v="OK"/>
    <x v="0"/>
    <x v="0"/>
    <n v="1"/>
    <n v="0"/>
    <n v="0"/>
    <n v="0"/>
    <x v="0"/>
    <x v="0"/>
    <x v="0"/>
  </r>
  <r>
    <n v="20451703901"/>
    <x v="19"/>
    <x v="19"/>
    <x v="3202"/>
    <x v="3214"/>
    <x v="2798"/>
    <n v="2"/>
    <x v="8"/>
    <s v="ESTACIÓN 8 - ELIO"/>
    <s v="JR. GERVACIO SANTILLANA S/N"/>
    <x v="299"/>
    <x v="0"/>
    <x v="7"/>
    <x v="1"/>
    <x v="182"/>
    <x v="2"/>
    <n v="4"/>
    <n v="100"/>
    <x v="0"/>
    <x v="1"/>
    <n v="5.4644808743169399E-3"/>
    <x v="43"/>
    <x v="5"/>
    <s v="OK"/>
    <x v="0"/>
    <s v="OK"/>
    <x v="0"/>
    <x v="0"/>
    <n v="1"/>
    <n v="0"/>
    <n v="0"/>
    <n v="1"/>
    <x v="0"/>
    <x v="1"/>
    <x v="0"/>
  </r>
  <r>
    <n v="20451703903"/>
    <x v="19"/>
    <x v="19"/>
    <x v="3203"/>
    <x v="3215"/>
    <x v="2799"/>
    <n v="2"/>
    <x v="4"/>
    <s v="ESTACIÓN 8 - ELIO"/>
    <s v="CALLE BERNAL 570"/>
    <x v="17"/>
    <x v="0"/>
    <x v="4"/>
    <x v="1"/>
    <x v="56"/>
    <x v="2"/>
    <n v="4"/>
    <n v="50"/>
    <x v="0"/>
    <x v="1"/>
    <n v="5.4644808743169399E-3"/>
    <x v="41"/>
    <x v="5"/>
    <s v="OK"/>
    <x v="2"/>
    <s v="OK"/>
    <x v="0"/>
    <x v="0"/>
    <n v="1"/>
    <n v="1"/>
    <n v="0"/>
    <n v="1"/>
    <x v="0"/>
    <x v="1"/>
    <x v="0"/>
  </r>
  <r>
    <n v="20451703903"/>
    <x v="19"/>
    <x v="19"/>
    <x v="3204"/>
    <x v="3216"/>
    <x v="2800"/>
    <n v="2"/>
    <x v="2"/>
    <s v="ESTACIÓN 8 - ELIO"/>
    <s v="JR TENIENTE ARISTIDES DEL CARPIO MUÑOZ 1934 DPTO 204"/>
    <x v="10"/>
    <x v="0"/>
    <x v="7"/>
    <x v="1"/>
    <x v="283"/>
    <x v="2"/>
    <n v="4"/>
    <n v="100"/>
    <x v="0"/>
    <x v="1"/>
    <n v="5.4644808743169399E-3"/>
    <x v="41"/>
    <x v="5"/>
    <s v="OK"/>
    <x v="0"/>
    <s v="OK"/>
    <x v="0"/>
    <x v="0"/>
    <n v="1"/>
    <n v="0"/>
    <n v="0"/>
    <n v="1"/>
    <x v="0"/>
    <x v="1"/>
    <x v="0"/>
  </r>
  <r>
    <n v="20451703901"/>
    <x v="19"/>
    <x v="19"/>
    <x v="3205"/>
    <x v="3217"/>
    <x v="2801"/>
    <n v="2"/>
    <x v="11"/>
    <s v="ESTACIÓN 06"/>
    <s v="ASENT. H. LAMPA DE ORO MZ. V LT. 5"/>
    <x v="3"/>
    <x v="0"/>
    <x v="7"/>
    <x v="1"/>
    <x v="822"/>
    <x v="2"/>
    <n v="4"/>
    <n v="98"/>
    <x v="0"/>
    <x v="1"/>
    <n v="5.4644808743169399E-3"/>
    <x v="48"/>
    <x v="5"/>
    <s v="OK"/>
    <x v="0"/>
    <s v="OK"/>
    <x v="0"/>
    <x v="0"/>
    <n v="1"/>
    <n v="0"/>
    <n v="0"/>
    <n v="1"/>
    <x v="0"/>
    <x v="1"/>
    <x v="0"/>
  </r>
  <r>
    <n v="20451703903"/>
    <x v="19"/>
    <x v="19"/>
    <x v="3206"/>
    <x v="3218"/>
    <x v="2802"/>
    <n v="2"/>
    <x v="67"/>
    <s v="ESTACIÓN 8 - ELIO"/>
    <s v="CALLE ALFONSO UGARTE 380 MZ. B LT. 3A"/>
    <x v="15"/>
    <x v="0"/>
    <x v="29"/>
    <x v="1"/>
    <x v="823"/>
    <x v="2"/>
    <n v="4"/>
    <n v="200"/>
    <x v="0"/>
    <x v="1"/>
    <n v="5.4644808743169399E-3"/>
    <x v="45"/>
    <x v="5"/>
    <s v="OK"/>
    <x v="0"/>
    <s v="OK"/>
    <x v="0"/>
    <x v="0"/>
    <n v="1"/>
    <n v="0"/>
    <n v="0"/>
    <n v="1"/>
    <x v="0"/>
    <x v="1"/>
    <x v="0"/>
  </r>
  <r>
    <n v="20482744983"/>
    <x v="21"/>
    <x v="21"/>
    <x v="3207"/>
    <x v="3219"/>
    <x v="2803"/>
    <n v="2"/>
    <x v="2"/>
    <s v="ESTACION 06"/>
    <s v="MANUEL C. DULANTO MZ Q LT. 22"/>
    <x v="6"/>
    <x v="0"/>
    <x v="0"/>
    <x v="1"/>
    <x v="148"/>
    <x v="0"/>
    <n v="4"/>
    <n v="240"/>
    <x v="0"/>
    <x v="1"/>
    <n v="1.1111111111111112E-2"/>
    <x v="47"/>
    <x v="5"/>
    <s v="OK"/>
    <x v="2"/>
    <s v="OK"/>
    <x v="0"/>
    <x v="0"/>
    <n v="1"/>
    <n v="1"/>
    <n v="0"/>
    <n v="0"/>
    <x v="0"/>
    <x v="0"/>
    <x v="0"/>
  </r>
  <r>
    <n v="20482744983"/>
    <x v="21"/>
    <x v="21"/>
    <x v="3208"/>
    <x v="3220"/>
    <x v="2804"/>
    <n v="2"/>
    <x v="11"/>
    <s v="ESTACION 06"/>
    <s v="ASENT.H. HORACIO ZEBALLOS GAMEZ GRUPO K MZ. B LT. 7"/>
    <x v="1"/>
    <x v="0"/>
    <x v="0"/>
    <x v="1"/>
    <x v="148"/>
    <x v="0"/>
    <n v="4"/>
    <n v="240"/>
    <x v="0"/>
    <x v="1"/>
    <n v="1.1111111111111112E-2"/>
    <x v="41"/>
    <x v="5"/>
    <s v="OK"/>
    <x v="1"/>
    <s v="OK"/>
    <x v="0"/>
    <x v="0"/>
    <n v="1"/>
    <n v="1"/>
    <n v="0"/>
    <n v="0"/>
    <x v="0"/>
    <x v="0"/>
    <x v="0"/>
  </r>
  <r>
    <n v="20482744983"/>
    <x v="21"/>
    <x v="21"/>
    <x v="3209"/>
    <x v="3221"/>
    <x v="2805"/>
    <n v="2"/>
    <x v="268"/>
    <s v="ESTACION 01"/>
    <s v="SECTOR 8 GP 2 MZ F LT 11"/>
    <x v="19"/>
    <x v="0"/>
    <x v="0"/>
    <x v="1"/>
    <x v="29"/>
    <x v="0"/>
    <n v="4"/>
    <n v="168"/>
    <x v="0"/>
    <x v="1"/>
    <n v="1.1111111111111112E-2"/>
    <x v="45"/>
    <x v="5"/>
    <s v="OK"/>
    <x v="0"/>
    <s v="OK"/>
    <x v="0"/>
    <x v="0"/>
    <n v="1"/>
    <n v="0"/>
    <n v="1"/>
    <n v="0"/>
    <x v="0"/>
    <x v="0"/>
    <x v="1"/>
  </r>
  <r>
    <n v="20482744983"/>
    <x v="21"/>
    <x v="21"/>
    <x v="3210"/>
    <x v="3222"/>
    <x v="2806"/>
    <n v="1"/>
    <x v="7"/>
    <s v="ESTACION 01"/>
    <s v="URB. SIETE DE JUNIO MZ J LT 12"/>
    <x v="118"/>
    <x v="0"/>
    <x v="0"/>
    <x v="1"/>
    <x v="4"/>
    <x v="0"/>
    <n v="1"/>
    <n v="224"/>
    <x v="0"/>
    <x v="1"/>
    <n v="1.1111111111111112E-2"/>
    <x v="49"/>
    <x v="5"/>
    <s v="OK"/>
    <x v="0"/>
    <s v="OK"/>
    <x v="0"/>
    <x v="0"/>
    <n v="1"/>
    <n v="0"/>
    <n v="1"/>
    <n v="0"/>
    <x v="0"/>
    <x v="0"/>
    <x v="1"/>
  </r>
  <r>
    <n v="20101155588"/>
    <x v="22"/>
    <x v="22"/>
    <x v="3211"/>
    <x v="3223"/>
    <x v="2807"/>
    <n v="1"/>
    <x v="32"/>
    <s v="ESTACION 14"/>
    <s v="Jr. Chancay"/>
    <x v="10"/>
    <x v="0"/>
    <x v="9"/>
    <x v="1"/>
    <x v="732"/>
    <x v="0"/>
    <n v="1"/>
    <n v="312"/>
    <x v="1"/>
    <x v="1"/>
    <n v="3.134796238244514E-3"/>
    <x v="44"/>
    <x v="5"/>
    <s v="OK"/>
    <x v="0"/>
    <s v="OK"/>
    <x v="0"/>
    <x v="0"/>
    <n v="1"/>
    <n v="0"/>
    <n v="0"/>
    <n v="0"/>
    <x v="0"/>
    <x v="0"/>
    <x v="0"/>
  </r>
  <r>
    <n v="20101155588"/>
    <x v="22"/>
    <x v="22"/>
    <x v="3212"/>
    <x v="3224"/>
    <x v="2808"/>
    <n v="1"/>
    <x v="32"/>
    <s v="ESTACION 19 E"/>
    <s v="Jr. Tumbes 190 int. 18B"/>
    <x v="368"/>
    <x v="0"/>
    <x v="9"/>
    <x v="1"/>
    <x v="788"/>
    <x v="0"/>
    <n v="1"/>
    <n v="312"/>
    <x v="1"/>
    <x v="1"/>
    <n v="3.134796238244514E-3"/>
    <x v="50"/>
    <x v="5"/>
    <s v="OK"/>
    <x v="0"/>
    <s v="OK"/>
    <x v="0"/>
    <x v="0"/>
    <n v="1"/>
    <n v="0"/>
    <n v="0"/>
    <n v="0"/>
    <x v="0"/>
    <x v="0"/>
    <x v="0"/>
  </r>
  <r>
    <n v="20101155588"/>
    <x v="22"/>
    <x v="22"/>
    <x v="3213"/>
    <x v="3225"/>
    <x v="2809"/>
    <n v="1"/>
    <x v="32"/>
    <s v="PATIO TALLER SANTA ANITA"/>
    <s v="Av. Los Algarrobos"/>
    <x v="27"/>
    <x v="0"/>
    <x v="9"/>
    <x v="1"/>
    <x v="325"/>
    <x v="0"/>
    <n v="1"/>
    <n v="312"/>
    <x v="1"/>
    <x v="1"/>
    <n v="3.134796238244514E-3"/>
    <x v="43"/>
    <x v="5"/>
    <s v="OK"/>
    <x v="5"/>
    <s v="OK"/>
    <x v="0"/>
    <x v="0"/>
    <n v="1"/>
    <n v="1"/>
    <n v="0"/>
    <n v="0"/>
    <x v="0"/>
    <x v="0"/>
    <x v="0"/>
  </r>
  <r>
    <n v="20101155588"/>
    <x v="22"/>
    <x v="22"/>
    <x v="3214"/>
    <x v="3226"/>
    <x v="2810"/>
    <n v="1"/>
    <x v="32"/>
    <s v="PATIO TALLER SANTA ANITA"/>
    <s v="JR. SAN MARTIN 630"/>
    <x v="46"/>
    <x v="0"/>
    <x v="9"/>
    <x v="1"/>
    <x v="824"/>
    <x v="0"/>
    <n v="1"/>
    <n v="312"/>
    <x v="1"/>
    <x v="1"/>
    <n v="3.134796238244514E-3"/>
    <x v="47"/>
    <x v="5"/>
    <s v="OK"/>
    <x v="7"/>
    <s v="OK"/>
    <x v="0"/>
    <x v="0"/>
    <n v="1"/>
    <n v="1"/>
    <n v="0"/>
    <n v="0"/>
    <x v="0"/>
    <x v="0"/>
    <x v="0"/>
  </r>
  <r>
    <n v="20101155588"/>
    <x v="22"/>
    <x v="22"/>
    <x v="3215"/>
    <x v="3227"/>
    <x v="2811"/>
    <n v="1"/>
    <x v="32"/>
    <s v="POZO 15"/>
    <s v="AV. L MZ-B1-Lt-40-8  QUINTA ETAPA SANTO DOMINGO - CARABAYLLO"/>
    <x v="54"/>
    <x v="0"/>
    <x v="9"/>
    <x v="1"/>
    <x v="825"/>
    <x v="0"/>
    <n v="1"/>
    <n v="312"/>
    <x v="1"/>
    <x v="1"/>
    <n v="3.134796238244514E-3"/>
    <x v="49"/>
    <x v="5"/>
    <s v="OK"/>
    <x v="0"/>
    <s v="OK"/>
    <x v="0"/>
    <x v="0"/>
    <n v="1"/>
    <n v="0"/>
    <n v="0"/>
    <n v="0"/>
    <x v="0"/>
    <x v="0"/>
    <x v="0"/>
  </r>
  <r>
    <n v="20101155588"/>
    <x v="22"/>
    <x v="22"/>
    <x v="3216"/>
    <x v="3228"/>
    <x v="2812"/>
    <n v="1"/>
    <x v="32"/>
    <s v="POZO 17, B"/>
    <s v="PSJ CIELO AZUL"/>
    <x v="44"/>
    <x v="0"/>
    <x v="9"/>
    <x v="1"/>
    <x v="699"/>
    <x v="0"/>
    <n v="1"/>
    <n v="312"/>
    <x v="1"/>
    <x v="1"/>
    <n v="3.134796238244514E-3"/>
    <x v="41"/>
    <x v="5"/>
    <s v="OK"/>
    <x v="0"/>
    <s v="OK"/>
    <x v="0"/>
    <x v="0"/>
    <n v="1"/>
    <n v="0"/>
    <n v="0"/>
    <n v="0"/>
    <x v="0"/>
    <x v="0"/>
    <x v="0"/>
  </r>
  <r>
    <n v="20101155588"/>
    <x v="22"/>
    <x v="22"/>
    <x v="3217"/>
    <x v="3229"/>
    <x v="2813"/>
    <n v="1"/>
    <x v="32"/>
    <s v="POZO 19 B"/>
    <s v="PARAGE PURUCHUCA MZ A LT 23B "/>
    <x v="1"/>
    <x v="0"/>
    <x v="9"/>
    <x v="1"/>
    <x v="826"/>
    <x v="0"/>
    <n v="1"/>
    <n v="312"/>
    <x v="1"/>
    <x v="1"/>
    <n v="3.134796238244514E-3"/>
    <x v="47"/>
    <x v="5"/>
    <s v="OK"/>
    <x v="1"/>
    <s v="OK"/>
    <x v="0"/>
    <x v="0"/>
    <n v="1"/>
    <n v="1"/>
    <n v="0"/>
    <n v="0"/>
    <x v="0"/>
    <x v="0"/>
    <x v="0"/>
  </r>
  <r>
    <n v="20101155588"/>
    <x v="22"/>
    <x v="22"/>
    <x v="3218"/>
    <x v="3230"/>
    <x v="2814"/>
    <n v="1"/>
    <x v="32"/>
    <s v="POZO 19 B"/>
    <s v="Sector Valle Grupo Jasmines  mz.tq5 Lt. 06  ( Jicamarca Anexo 22 )"/>
    <x v="369"/>
    <x v="0"/>
    <x v="9"/>
    <x v="1"/>
    <x v="568"/>
    <x v="0"/>
    <n v="1"/>
    <n v="312"/>
    <x v="1"/>
    <x v="1"/>
    <n v="3.134796238244514E-3"/>
    <x v="41"/>
    <x v="5"/>
    <s v="OK"/>
    <x v="0"/>
    <s v="OK"/>
    <x v="0"/>
    <x v="0"/>
    <n v="1"/>
    <n v="0"/>
    <n v="0"/>
    <n v="0"/>
    <x v="0"/>
    <x v="0"/>
    <x v="0"/>
  </r>
  <r>
    <n v="20101155588"/>
    <x v="22"/>
    <x v="22"/>
    <x v="3219"/>
    <x v="3231"/>
    <x v="2815"/>
    <n v="1"/>
    <x v="32"/>
    <s v="POZO 18 B"/>
    <s v="AGUSTIN DE JAUREGUI 457 DPT 04 CDRA 19 MEXICO"/>
    <x v="25"/>
    <x v="0"/>
    <x v="9"/>
    <x v="1"/>
    <x v="827"/>
    <x v="0"/>
    <n v="1"/>
    <n v="312"/>
    <x v="1"/>
    <x v="1"/>
    <n v="3.134796238244514E-3"/>
    <x v="45"/>
    <x v="5"/>
    <s v="OK"/>
    <x v="4"/>
    <s v="OK"/>
    <x v="0"/>
    <x v="0"/>
    <n v="1"/>
    <n v="1"/>
    <n v="0"/>
    <n v="0"/>
    <x v="0"/>
    <x v="0"/>
    <x v="0"/>
  </r>
  <r>
    <n v="20101155588"/>
    <x v="22"/>
    <x v="22"/>
    <x v="3220"/>
    <x v="3232"/>
    <x v="2816"/>
    <n v="1"/>
    <x v="32"/>
    <s v="POZO 09"/>
    <s v="AV 16 DE ENERO"/>
    <x v="119"/>
    <x v="0"/>
    <x v="9"/>
    <x v="1"/>
    <x v="551"/>
    <x v="0"/>
    <n v="1"/>
    <n v="312"/>
    <x v="1"/>
    <x v="1"/>
    <n v="3.134796238244514E-3"/>
    <x v="49"/>
    <x v="5"/>
    <s v="OK"/>
    <x v="0"/>
    <s v="OK"/>
    <x v="0"/>
    <x v="0"/>
    <n v="1"/>
    <n v="0"/>
    <n v="0"/>
    <n v="0"/>
    <x v="0"/>
    <x v="0"/>
    <x v="0"/>
  </r>
  <r>
    <n v="20101155588"/>
    <x v="22"/>
    <x v="22"/>
    <x v="3221"/>
    <x v="3233"/>
    <x v="2817"/>
    <n v="1"/>
    <x v="32"/>
    <s v="ESTACION 10.A"/>
    <s v="AA.HH LAS ROCAS DE BELLAVISTA"/>
    <x v="325"/>
    <x v="0"/>
    <x v="9"/>
    <x v="1"/>
    <x v="828"/>
    <x v="0"/>
    <n v="1"/>
    <n v="312"/>
    <x v="1"/>
    <x v="1"/>
    <n v="3.134796238244514E-3"/>
    <x v="44"/>
    <x v="5"/>
    <s v="OK"/>
    <x v="0"/>
    <s v="OK"/>
    <x v="0"/>
    <x v="0"/>
    <n v="1"/>
    <n v="0"/>
    <n v="0"/>
    <n v="0"/>
    <x v="0"/>
    <x v="0"/>
    <x v="0"/>
  </r>
  <r>
    <n v="20101155588"/>
    <x v="22"/>
    <x v="22"/>
    <x v="3222"/>
    <x v="3234"/>
    <x v="2818"/>
    <n v="1"/>
    <x v="32"/>
    <s v="ESTACION 17 A"/>
    <s v="AA.HH. 1 DE MAYO MZ.H  LT. 04"/>
    <x v="15"/>
    <x v="0"/>
    <x v="9"/>
    <x v="1"/>
    <x v="829"/>
    <x v="0"/>
    <n v="1"/>
    <n v="312"/>
    <x v="1"/>
    <x v="1"/>
    <n v="3.134796238244514E-3"/>
    <x v="41"/>
    <x v="5"/>
    <s v="OK"/>
    <x v="0"/>
    <s v="OK"/>
    <x v="0"/>
    <x v="0"/>
    <n v="1"/>
    <n v="0"/>
    <n v="0"/>
    <n v="0"/>
    <x v="0"/>
    <x v="0"/>
    <x v="0"/>
  </r>
  <r>
    <n v="20101155588"/>
    <x v="22"/>
    <x v="22"/>
    <x v="3223"/>
    <x v="3235"/>
    <x v="2804"/>
    <n v="1"/>
    <x v="32"/>
    <s v="ESTACION 19 B"/>
    <s v="C. DE LA REPUBLICA"/>
    <x v="19"/>
    <x v="0"/>
    <x v="9"/>
    <x v="1"/>
    <x v="830"/>
    <x v="0"/>
    <n v="1"/>
    <n v="312"/>
    <x v="1"/>
    <x v="1"/>
    <n v="3.134796238244514E-3"/>
    <x v="41"/>
    <x v="5"/>
    <s v="OK"/>
    <x v="0"/>
    <s v="OK"/>
    <x v="0"/>
    <x v="0"/>
    <n v="1"/>
    <n v="0"/>
    <n v="0"/>
    <n v="0"/>
    <x v="0"/>
    <x v="0"/>
    <x v="0"/>
  </r>
  <r>
    <n v="20101155588"/>
    <x v="22"/>
    <x v="22"/>
    <x v="3224"/>
    <x v="3236"/>
    <x v="2819"/>
    <n v="1"/>
    <x v="32"/>
    <s v="ESTACION 19 C"/>
    <s v="MZ G1 LT 08 AMPLIACION Q 26 SECTOR PERUANOS UNIDOS"/>
    <x v="76"/>
    <x v="0"/>
    <x v="9"/>
    <x v="1"/>
    <x v="831"/>
    <x v="0"/>
    <n v="1"/>
    <n v="312"/>
    <x v="1"/>
    <x v="1"/>
    <n v="3.134796238244514E-3"/>
    <x v="44"/>
    <x v="5"/>
    <s v="OK"/>
    <x v="0"/>
    <s v="OK"/>
    <x v="0"/>
    <x v="0"/>
    <n v="1"/>
    <n v="0"/>
    <n v="0"/>
    <n v="0"/>
    <x v="0"/>
    <x v="0"/>
    <x v="0"/>
  </r>
  <r>
    <n v="20101155588"/>
    <x v="22"/>
    <x v="22"/>
    <x v="3225"/>
    <x v="3237"/>
    <x v="2820"/>
    <n v="1"/>
    <x v="32"/>
    <s v="ESTACION 19 D"/>
    <s v="JR. 26 DE MAYO "/>
    <x v="1"/>
    <x v="0"/>
    <x v="9"/>
    <x v="1"/>
    <x v="832"/>
    <x v="0"/>
    <n v="1"/>
    <n v="312"/>
    <x v="1"/>
    <x v="1"/>
    <n v="3.134796238244514E-3"/>
    <x v="52"/>
    <x v="5"/>
    <s v="OK"/>
    <x v="1"/>
    <s v="OK"/>
    <x v="0"/>
    <x v="0"/>
    <n v="1"/>
    <n v="1"/>
    <n v="0"/>
    <n v="0"/>
    <x v="0"/>
    <x v="0"/>
    <x v="0"/>
  </r>
  <r>
    <n v="20101155588"/>
    <x v="22"/>
    <x v="22"/>
    <x v="3226"/>
    <x v="3238"/>
    <x v="2821"/>
    <n v="1"/>
    <x v="32"/>
    <s v="ESTACION 25 A"/>
    <s v="URB. SANTA MARIA  AV. LOS EUCALIPOS  S/N "/>
    <x v="331"/>
    <x v="0"/>
    <x v="9"/>
    <x v="1"/>
    <x v="788"/>
    <x v="0"/>
    <n v="1"/>
    <n v="312"/>
    <x v="1"/>
    <x v="1"/>
    <n v="3.134796238244514E-3"/>
    <x v="48"/>
    <x v="5"/>
    <s v="OK"/>
    <x v="0"/>
    <s v="OK"/>
    <x v="0"/>
    <x v="0"/>
    <n v="1"/>
    <n v="0"/>
    <n v="0"/>
    <n v="0"/>
    <x v="0"/>
    <x v="0"/>
    <x v="0"/>
  </r>
  <r>
    <n v="20101155588"/>
    <x v="22"/>
    <x v="22"/>
    <x v="3227"/>
    <x v="3239"/>
    <x v="2822"/>
    <n v="1"/>
    <x v="32"/>
    <s v="ESTACION 26. B"/>
    <s v="STA ISABEL 248"/>
    <x v="3"/>
    <x v="0"/>
    <x v="9"/>
    <x v="1"/>
    <x v="833"/>
    <x v="0"/>
    <n v="1"/>
    <n v="312"/>
    <x v="1"/>
    <x v="1"/>
    <n v="3.134796238244514E-3"/>
    <x v="47"/>
    <x v="5"/>
    <s v="OK"/>
    <x v="0"/>
    <s v="OK"/>
    <x v="0"/>
    <x v="0"/>
    <n v="1"/>
    <n v="0"/>
    <n v="0"/>
    <n v="0"/>
    <x v="0"/>
    <x v="0"/>
    <x v="0"/>
  </r>
  <r>
    <n v="20101155588"/>
    <x v="22"/>
    <x v="22"/>
    <x v="3228"/>
    <x v="3240"/>
    <x v="2823"/>
    <n v="1"/>
    <x v="32"/>
    <s v="PATIO TALLER SANTA ANITA"/>
    <s v="URB. SAN ANTONIO DE CARAPONGO"/>
    <x v="119"/>
    <x v="0"/>
    <x v="9"/>
    <x v="1"/>
    <x v="696"/>
    <x v="0"/>
    <n v="1"/>
    <n v="312"/>
    <x v="1"/>
    <x v="1"/>
    <n v="3.134796238244514E-3"/>
    <x v="45"/>
    <x v="5"/>
    <s v="OK"/>
    <x v="0"/>
    <s v="OK"/>
    <x v="0"/>
    <x v="0"/>
    <n v="1"/>
    <n v="0"/>
    <n v="0"/>
    <n v="0"/>
    <x v="0"/>
    <x v="0"/>
    <x v="0"/>
  </r>
  <r>
    <n v="20101155588"/>
    <x v="22"/>
    <x v="22"/>
    <x v="3229"/>
    <x v="3241"/>
    <x v="2824"/>
    <n v="1"/>
    <x v="32"/>
    <s v="ESTACION 18 ISLA"/>
    <s v="SALAMANCA UROS 148"/>
    <x v="1"/>
    <x v="0"/>
    <x v="6"/>
    <x v="1"/>
    <x v="98"/>
    <x v="0"/>
    <n v="1"/>
    <n v="180"/>
    <x v="1"/>
    <x v="1"/>
    <n v="3.134796238244514E-3"/>
    <x v="42"/>
    <x v="5"/>
    <s v="OK"/>
    <x v="1"/>
    <s v="OK"/>
    <x v="0"/>
    <x v="0"/>
    <n v="1"/>
    <n v="1"/>
    <n v="0"/>
    <n v="0"/>
    <x v="0"/>
    <x v="0"/>
    <x v="0"/>
  </r>
  <r>
    <n v="20554431578"/>
    <x v="60"/>
    <x v="44"/>
    <x v="3230"/>
    <x v="3242"/>
    <x v="2825"/>
    <n v="2"/>
    <x v="389"/>
    <s v="E 04 03"/>
    <s v="Calle 104 MZ J LT 6 P QUEBRADA NUEVO HORIZONTE "/>
    <x v="19"/>
    <x v="0"/>
    <x v="0"/>
    <x v="1"/>
    <x v="834"/>
    <x v="0"/>
    <n v="4"/>
    <n v="136"/>
    <x v="0"/>
    <x v="1"/>
    <n v="2.564102564102564E-2"/>
    <x v="45"/>
    <x v="5"/>
    <s v="OK"/>
    <x v="0"/>
    <s v="OK"/>
    <x v="0"/>
    <x v="0"/>
    <n v="1"/>
    <n v="0"/>
    <n v="0"/>
    <n v="0"/>
    <x v="0"/>
    <x v="0"/>
    <x v="0"/>
  </r>
  <r>
    <n v="20554431578"/>
    <x v="60"/>
    <x v="44"/>
    <x v="3231"/>
    <x v="3243"/>
    <x v="2826"/>
    <n v="2"/>
    <x v="164"/>
    <s v="TBM -19"/>
    <s v="URB. ALEJANDRO ALVAREZ  MZ G LT 5A"/>
    <x v="1"/>
    <x v="0"/>
    <x v="0"/>
    <x v="1"/>
    <x v="835"/>
    <x v="0"/>
    <n v="4"/>
    <n v="168"/>
    <x v="0"/>
    <x v="1"/>
    <n v="2.564102564102564E-2"/>
    <x v="47"/>
    <x v="5"/>
    <s v="OK"/>
    <x v="1"/>
    <s v="OK"/>
    <x v="0"/>
    <x v="0"/>
    <n v="1"/>
    <n v="1"/>
    <n v="0"/>
    <n v="0"/>
    <x v="0"/>
    <x v="0"/>
    <x v="0"/>
  </r>
  <r>
    <n v="20554431578"/>
    <x v="60"/>
    <x v="44"/>
    <x v="3232"/>
    <x v="3244"/>
    <x v="2827"/>
    <n v="1"/>
    <x v="308"/>
    <s v="TBM -19"/>
    <s v="MZ 0 LT 8P JOVEN SAN ALBINO"/>
    <x v="44"/>
    <x v="0"/>
    <x v="0"/>
    <x v="1"/>
    <x v="836"/>
    <x v="0"/>
    <n v="1"/>
    <n v="200"/>
    <x v="0"/>
    <x v="1"/>
    <n v="2.564102564102564E-2"/>
    <x v="43"/>
    <x v="5"/>
    <s v="OK"/>
    <x v="0"/>
    <s v="OK"/>
    <x v="0"/>
    <x v="0"/>
    <n v="1"/>
    <n v="0"/>
    <n v="0"/>
    <n v="0"/>
    <x v="0"/>
    <x v="0"/>
    <x v="0"/>
  </r>
  <r>
    <s v="20600373863"/>
    <x v="25"/>
    <x v="24"/>
    <x v="3233"/>
    <x v="3245"/>
    <x v="2828"/>
    <n v="3"/>
    <x v="390"/>
    <s v="ESTACION 06 L4"/>
    <s v="FRANCISCO DE ZELA 1869"/>
    <x v="247"/>
    <x v="0"/>
    <x v="0"/>
    <x v="1"/>
    <x v="837"/>
    <x v="0"/>
    <n v="1"/>
    <n v="286"/>
    <x v="0"/>
    <x v="1"/>
    <n v="4.9019607843137254E-3"/>
    <x v="44"/>
    <x v="5"/>
    <s v="OK"/>
    <x v="0"/>
    <s v="OK"/>
    <x v="0"/>
    <x v="0"/>
    <n v="1"/>
    <n v="0"/>
    <n v="0"/>
    <n v="0"/>
    <x v="0"/>
    <x v="0"/>
    <x v="0"/>
  </r>
  <r>
    <s v="20600373863"/>
    <x v="25"/>
    <x v="24"/>
    <x v="3234"/>
    <x v="3246"/>
    <x v="2829"/>
    <n v="3"/>
    <x v="159"/>
    <s v="ESTACION 05 L4"/>
    <s v="URB SAN PEDRO MZ F LOT 26"/>
    <x v="268"/>
    <x v="0"/>
    <x v="0"/>
    <x v="1"/>
    <x v="299"/>
    <x v="3"/>
    <n v="1"/>
    <n v="33"/>
    <x v="0"/>
    <x v="1"/>
    <n v="4.9019607843137254E-3"/>
    <x v="45"/>
    <x v="5"/>
    <s v="OK"/>
    <x v="0"/>
    <s v="OK"/>
    <x v="0"/>
    <x v="0"/>
    <n v="1"/>
    <n v="0"/>
    <n v="0"/>
    <n v="0"/>
    <x v="0"/>
    <x v="0"/>
    <x v="0"/>
  </r>
  <r>
    <s v="20600373863"/>
    <x v="25"/>
    <x v="24"/>
    <x v="3235"/>
    <x v="3247"/>
    <x v="2830"/>
    <n v="1"/>
    <x v="88"/>
    <s v="ESTACION 05 L4"/>
    <s v="CALLE ANTYARES 320"/>
    <x v="77"/>
    <x v="0"/>
    <x v="0"/>
    <x v="8"/>
    <x v="838"/>
    <x v="0"/>
    <n v="3"/>
    <n v="286"/>
    <x v="0"/>
    <x v="1"/>
    <n v="4.9019607843137254E-3"/>
    <x v="41"/>
    <x v="5"/>
    <s v="OK"/>
    <x v="0"/>
    <s v="OK"/>
    <x v="0"/>
    <x v="0"/>
    <n v="1"/>
    <n v="0"/>
    <n v="0"/>
    <n v="0"/>
    <x v="0"/>
    <x v="0"/>
    <x v="0"/>
  </r>
  <r>
    <s v="20600373863"/>
    <x v="25"/>
    <x v="24"/>
    <x v="3236"/>
    <x v="3248"/>
    <x v="2831"/>
    <n v="3"/>
    <x v="173"/>
    <s v="ESTACION 03 L4"/>
    <s v="JR CALLAO 622 DPTO 48 URB. PERU"/>
    <x v="3"/>
    <x v="0"/>
    <x v="0"/>
    <x v="1"/>
    <x v="83"/>
    <x v="0"/>
    <n v="1"/>
    <n v="286"/>
    <x v="0"/>
    <x v="1"/>
    <n v="4.9019607843137254E-3"/>
    <x v="46"/>
    <x v="5"/>
    <s v="OK"/>
    <x v="0"/>
    <s v="OK"/>
    <x v="0"/>
    <x v="0"/>
    <n v="1"/>
    <n v="0"/>
    <n v="0"/>
    <n v="0"/>
    <x v="0"/>
    <x v="0"/>
    <x v="0"/>
  </r>
  <r>
    <s v="20600373863"/>
    <x v="25"/>
    <x v="24"/>
    <x v="3237"/>
    <x v="3249"/>
    <x v="2832"/>
    <n v="3"/>
    <x v="212"/>
    <s v="ESTACION 06 L4"/>
    <s v="AV BERTELLO 380 EDIFICIO BS"/>
    <x v="6"/>
    <x v="0"/>
    <x v="0"/>
    <x v="1"/>
    <x v="244"/>
    <x v="0"/>
    <n v="1"/>
    <n v="286"/>
    <x v="0"/>
    <x v="1"/>
    <n v="4.9019607843137254E-3"/>
    <x v="43"/>
    <x v="5"/>
    <s v="OK"/>
    <x v="2"/>
    <s v="OK"/>
    <x v="0"/>
    <x v="0"/>
    <n v="1"/>
    <n v="1"/>
    <n v="0"/>
    <n v="0"/>
    <x v="0"/>
    <x v="0"/>
    <x v="0"/>
  </r>
  <r>
    <s v="20601214831"/>
    <x v="61"/>
    <x v="24"/>
    <x v="3238"/>
    <x v="3250"/>
    <x v="2833"/>
    <n v="3"/>
    <x v="380"/>
    <s v="ESTACION 06 L4"/>
    <s v="ASENT H NUEVO CHULLIYACHI MZ 0 LT 8"/>
    <x v="370"/>
    <x v="0"/>
    <x v="27"/>
    <x v="1"/>
    <x v="105"/>
    <x v="2"/>
    <n v="1"/>
    <n v="33"/>
    <x v="0"/>
    <x v="0"/>
    <n v="4.9019607843137254E-3"/>
    <x v="41"/>
    <x v="5"/>
    <s v="OK"/>
    <x v="0"/>
    <s v="OK"/>
    <x v="0"/>
    <x v="0"/>
    <n v="1"/>
    <n v="0"/>
    <n v="0"/>
    <n v="1"/>
    <x v="0"/>
    <x v="1"/>
    <x v="0"/>
  </r>
  <r>
    <m/>
    <x v="76"/>
    <x v="11"/>
    <x v="3159"/>
    <x v="3170"/>
    <x v="2772"/>
    <m/>
    <x v="383"/>
    <m/>
    <m/>
    <x v="225"/>
    <x v="2"/>
    <x v="0"/>
    <x v="14"/>
    <x v="439"/>
    <x v="1"/>
    <m/>
    <n v="33"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n v="20392753339"/>
    <x v="71"/>
    <x v="49"/>
    <x v="3239"/>
    <x v="3251"/>
    <x v="2834"/>
    <n v="1"/>
    <x v="301"/>
    <s v="ESTACIÓN 19-TBM"/>
    <s v="AV. SANTO CRISTO MZ. A LOTE 27"/>
    <x v="258"/>
    <x v="0"/>
    <x v="0"/>
    <x v="1"/>
    <x v="475"/>
    <x v="0"/>
    <n v="1"/>
    <n v="229"/>
    <x v="0"/>
    <x v="1"/>
    <n v="0.1"/>
    <x v="49"/>
    <x v="5"/>
    <s v="OK"/>
    <x v="0"/>
    <s v="OK"/>
    <x v="0"/>
    <x v="0"/>
    <n v="1"/>
    <n v="0"/>
    <n v="0"/>
    <n v="0"/>
    <x v="0"/>
    <x v="0"/>
    <x v="0"/>
  </r>
  <r>
    <n v="20392753339"/>
    <x v="71"/>
    <x v="49"/>
    <x v="3240"/>
    <x v="3252"/>
    <x v="2835"/>
    <n v="1"/>
    <x v="391"/>
    <s v="ESTACIÓN 19-TBM"/>
    <s v="AV. ANTONIO RAYMONDI 212 URBANIZACIÓN LOS ANTARES"/>
    <x v="3"/>
    <x v="0"/>
    <x v="0"/>
    <x v="1"/>
    <x v="475"/>
    <x v="0"/>
    <n v="1"/>
    <n v="226"/>
    <x v="0"/>
    <x v="1"/>
    <n v="0.1"/>
    <x v="51"/>
    <x v="5"/>
    <s v="OK"/>
    <x v="0"/>
    <s v="OK"/>
    <x v="0"/>
    <x v="0"/>
    <n v="1"/>
    <n v="0"/>
    <n v="0"/>
    <n v="0"/>
    <x v="0"/>
    <x v="0"/>
    <x v="0"/>
  </r>
  <r>
    <n v="20392753339"/>
    <x v="71"/>
    <x v="49"/>
    <x v="3241"/>
    <x v="3253"/>
    <x v="2836"/>
    <n v="1"/>
    <x v="301"/>
    <s v="ESTACIÓN 19-TBM"/>
    <s v="JR.LAS TULIPANAS URB.LA MOLINA"/>
    <x v="47"/>
    <x v="0"/>
    <x v="0"/>
    <x v="1"/>
    <x v="475"/>
    <x v="0"/>
    <n v="1"/>
    <n v="226"/>
    <x v="0"/>
    <x v="1"/>
    <n v="0.1"/>
    <x v="53"/>
    <x v="5"/>
    <s v="OK"/>
    <x v="0"/>
    <s v="OK"/>
    <x v="0"/>
    <x v="0"/>
    <n v="1"/>
    <n v="0"/>
    <n v="0"/>
    <n v="0"/>
    <x v="0"/>
    <x v="0"/>
    <x v="0"/>
  </r>
  <r>
    <n v="20392753339"/>
    <x v="71"/>
    <x v="49"/>
    <x v="3242"/>
    <x v="3254"/>
    <x v="2837"/>
    <n v="1"/>
    <x v="391"/>
    <s v="ESTACIÓN 19-TBM"/>
    <s v="URB.PREBI MZ.19 LOTE 15-CALLAO"/>
    <x v="6"/>
    <x v="0"/>
    <x v="0"/>
    <x v="1"/>
    <x v="475"/>
    <x v="0"/>
    <n v="1"/>
    <n v="226"/>
    <x v="0"/>
    <x v="1"/>
    <n v="0.1"/>
    <x v="51"/>
    <x v="5"/>
    <s v="OK"/>
    <x v="2"/>
    <s v="OK"/>
    <x v="0"/>
    <x v="0"/>
    <n v="1"/>
    <n v="1"/>
    <n v="0"/>
    <n v="0"/>
    <x v="0"/>
    <x v="0"/>
    <x v="0"/>
  </r>
  <r>
    <n v="20392753339"/>
    <x v="71"/>
    <x v="49"/>
    <x v="3243"/>
    <x v="3255"/>
    <x v="2838"/>
    <n v="1"/>
    <x v="391"/>
    <s v="ESTACIÓN 19-TBM"/>
    <s v="AV. UNIVERSITARIA Nª1657"/>
    <x v="118"/>
    <x v="0"/>
    <x v="0"/>
    <x v="1"/>
    <x v="475"/>
    <x v="0"/>
    <n v="1"/>
    <n v="229"/>
    <x v="0"/>
    <x v="1"/>
    <n v="0.1"/>
    <x v="52"/>
    <x v="5"/>
    <s v="OK"/>
    <x v="0"/>
    <s v="OK"/>
    <x v="0"/>
    <x v="0"/>
    <n v="1"/>
    <n v="0"/>
    <n v="0"/>
    <n v="0"/>
    <x v="0"/>
    <x v="0"/>
    <x v="0"/>
  </r>
  <r>
    <n v="20517941337"/>
    <x v="72"/>
    <x v="50"/>
    <x v="3244"/>
    <x v="3256"/>
    <x v="2839"/>
    <n v="1"/>
    <x v="91"/>
    <s v="DANSEY - MIRAFLORES"/>
    <s v="MZ J LT 2 - B NIEVEIRA"/>
    <x v="15"/>
    <x v="0"/>
    <x v="0"/>
    <x v="1"/>
    <x v="729"/>
    <x v="0"/>
    <n v="2"/>
    <n v="135"/>
    <x v="0"/>
    <x v="1"/>
    <n v="0.16666666666666666"/>
    <x v="41"/>
    <x v="5"/>
    <s v="OK"/>
    <x v="0"/>
    <s v="OK"/>
    <x v="0"/>
    <x v="0"/>
    <n v="1"/>
    <n v="0"/>
    <n v="0"/>
    <n v="0"/>
    <x v="0"/>
    <x v="0"/>
    <x v="0"/>
  </r>
  <r>
    <n v="20517941337"/>
    <x v="72"/>
    <x v="50"/>
    <x v="3245"/>
    <x v="3257"/>
    <x v="2840"/>
    <n v="1"/>
    <x v="91"/>
    <s v="PATIO TALLER - ATOCONGO"/>
    <s v="BLOCK 24 N503 RESIDENCIAL LA CRUCETA III"/>
    <x v="14"/>
    <x v="0"/>
    <x v="0"/>
    <x v="1"/>
    <x v="839"/>
    <x v="0"/>
    <n v="2"/>
    <n v="125"/>
    <x v="0"/>
    <x v="1"/>
    <n v="0.16666666666666666"/>
    <x v="48"/>
    <x v="5"/>
    <s v="OK"/>
    <x v="0"/>
    <s v="OK"/>
    <x v="0"/>
    <x v="0"/>
    <n v="1"/>
    <n v="0"/>
    <n v="0"/>
    <n v="0"/>
    <x v="0"/>
    <x v="0"/>
    <x v="0"/>
  </r>
  <r>
    <n v="20517941337"/>
    <x v="72"/>
    <x v="50"/>
    <x v="3246"/>
    <x v="3258"/>
    <x v="2841"/>
    <n v="1"/>
    <x v="91"/>
    <s v="PATIO TALLER - LA MOLINA"/>
    <s v="COOP. MUSA ETAPA 5 MZ P LT 1"/>
    <x v="47"/>
    <x v="0"/>
    <x v="0"/>
    <x v="1"/>
    <x v="840"/>
    <x v="0"/>
    <n v="1"/>
    <n v="132"/>
    <x v="0"/>
    <x v="1"/>
    <n v="0.16666666666666666"/>
    <x v="44"/>
    <x v="5"/>
    <s v="OK"/>
    <x v="0"/>
    <s v="OK"/>
    <x v="0"/>
    <x v="0"/>
    <n v="1"/>
    <n v="0"/>
    <n v="0"/>
    <n v="0"/>
    <x v="0"/>
    <x v="0"/>
    <x v="0"/>
  </r>
  <r>
    <s v="20603058420"/>
    <x v="74"/>
    <x v="28"/>
    <x v="3247"/>
    <x v="3259"/>
    <x v="2842"/>
    <n v="2"/>
    <x v="2"/>
    <s v="E03"/>
    <s v="VICTOR FAJARDO 954 INT. 3"/>
    <x v="17"/>
    <x v="0"/>
    <x v="0"/>
    <x v="2"/>
    <x v="678"/>
    <x v="0"/>
    <n v="4"/>
    <n v="62"/>
    <x v="0"/>
    <x v="0"/>
    <n v="9.8039215686274508E-3"/>
    <x v="45"/>
    <x v="5"/>
    <s v="OK"/>
    <x v="2"/>
    <s v="OK"/>
    <x v="0"/>
    <x v="0"/>
    <n v="1"/>
    <n v="1"/>
    <n v="0"/>
    <n v="0"/>
    <x v="0"/>
    <x v="0"/>
    <x v="0"/>
  </r>
  <r>
    <n v="10443116864"/>
    <x v="33"/>
    <x v="28"/>
    <x v="3248"/>
    <x v="3260"/>
    <x v="2843"/>
    <n v="3"/>
    <x v="41"/>
    <s v="E02"/>
    <s v="MZ. F2 LT. 6A PISO 1 PJ. SAN HILARION INT B ETAPA II"/>
    <x v="15"/>
    <x v="0"/>
    <x v="0"/>
    <x v="2"/>
    <x v="283"/>
    <x v="0"/>
    <n v="1"/>
    <n v="166"/>
    <x v="0"/>
    <x v="0"/>
    <n v="9.8039215686274508E-3"/>
    <x v="41"/>
    <x v="5"/>
    <s v="OK"/>
    <x v="0"/>
    <s v="OK"/>
    <x v="0"/>
    <x v="0"/>
    <n v="1"/>
    <n v="0"/>
    <n v="0"/>
    <n v="0"/>
    <x v="0"/>
    <x v="0"/>
    <x v="0"/>
  </r>
  <r>
    <n v="20100568617"/>
    <x v="63"/>
    <x v="46"/>
    <x v="3249"/>
    <x v="3261"/>
    <x v="2844"/>
    <n v="1"/>
    <x v="91"/>
    <s v="TRASLADO DE DOVELAS - PLANTA DOVELAS E-19"/>
    <s v="JR. WASHINGTON 136 INT.9-12"/>
    <x v="6"/>
    <x v="0"/>
    <x v="0"/>
    <x v="1"/>
    <x v="24"/>
    <x v="0"/>
    <n v="1"/>
    <n v="200"/>
    <x v="0"/>
    <x v="1"/>
    <n v="0.125"/>
    <x v="41"/>
    <x v="5"/>
    <s v="OK"/>
    <x v="2"/>
    <s v="OK"/>
    <x v="0"/>
    <x v="0"/>
    <n v="1"/>
    <n v="1"/>
    <n v="0"/>
    <n v="0"/>
    <x v="0"/>
    <x v="0"/>
    <x v="0"/>
  </r>
  <r>
    <n v="20556570681"/>
    <x v="36"/>
    <x v="30"/>
    <x v="3250"/>
    <x v="3262"/>
    <x v="2845"/>
    <n v="2"/>
    <x v="4"/>
    <s v="ESTACION 03 BOCANEGRA LINEA 4"/>
    <s v="CALLE 57 ASENT.H. SECTOR VIRGEN DEL CARMEN MZ. M "/>
    <x v="58"/>
    <x v="0"/>
    <x v="0"/>
    <x v="2"/>
    <x v="245"/>
    <x v="0"/>
    <n v="1"/>
    <n v="240"/>
    <x v="0"/>
    <x v="1"/>
    <n v="4.7619047619047623E-3"/>
    <x v="47"/>
    <x v="5"/>
    <s v="OK"/>
    <x v="0"/>
    <s v="OK"/>
    <x v="0"/>
    <x v="0"/>
    <n v="1"/>
    <n v="0"/>
    <n v="0"/>
    <n v="0"/>
    <x v="0"/>
    <x v="0"/>
    <x v="0"/>
  </r>
  <r>
    <n v="20556570681"/>
    <x v="36"/>
    <x v="30"/>
    <x v="3251"/>
    <x v="3263"/>
    <x v="2846"/>
    <n v="2"/>
    <x v="246"/>
    <s v="ESTACION 03 BOCANEGRA LINEA 4"/>
    <s v="AV. ABANCAY 1176 DPTO. 706"/>
    <x v="10"/>
    <x v="0"/>
    <x v="0"/>
    <x v="2"/>
    <x v="25"/>
    <x v="0"/>
    <n v="4"/>
    <n v="240"/>
    <x v="0"/>
    <x v="1"/>
    <n v="4.7619047619047623E-3"/>
    <x v="45"/>
    <x v="5"/>
    <s v="OK"/>
    <x v="0"/>
    <s v="OK"/>
    <x v="0"/>
    <x v="0"/>
    <n v="1"/>
    <n v="0"/>
    <n v="0"/>
    <n v="0"/>
    <x v="0"/>
    <x v="0"/>
    <x v="0"/>
  </r>
  <r>
    <n v="20556570681"/>
    <x v="36"/>
    <x v="30"/>
    <x v="3252"/>
    <x v="3264"/>
    <x v="2847"/>
    <n v="2"/>
    <x v="2"/>
    <s v="ESTACION 03 BOCANEGRA LINEA 4"/>
    <s v="LORETO 817 - B"/>
    <x v="6"/>
    <x v="0"/>
    <x v="0"/>
    <x v="2"/>
    <x v="126"/>
    <x v="0"/>
    <n v="4"/>
    <n v="240"/>
    <x v="0"/>
    <x v="1"/>
    <n v="4.7619047619047623E-3"/>
    <x v="48"/>
    <x v="5"/>
    <s v="OK"/>
    <x v="2"/>
    <s v="OK"/>
    <x v="0"/>
    <x v="0"/>
    <n v="1"/>
    <n v="1"/>
    <n v="0"/>
    <n v="0"/>
    <x v="0"/>
    <x v="0"/>
    <x v="0"/>
  </r>
  <r>
    <n v="20608368796"/>
    <x v="38"/>
    <x v="32"/>
    <x v="3253"/>
    <x v="3265"/>
    <x v="2848"/>
    <n v="2"/>
    <x v="2"/>
    <s v="E01"/>
    <s v="ANEXO OTOPONGO S/N LIMA BARRANCA "/>
    <x v="371"/>
    <x v="0"/>
    <x v="0"/>
    <x v="1"/>
    <x v="361"/>
    <x v="0"/>
    <n v="4"/>
    <n v="192"/>
    <x v="0"/>
    <x v="1"/>
    <n v="2.2727272727272728E-2"/>
    <x v="54"/>
    <x v="5"/>
    <s v="OK"/>
    <x v="0"/>
    <s v="OK"/>
    <x v="0"/>
    <x v="0"/>
    <n v="1"/>
    <n v="0"/>
    <n v="0"/>
    <n v="0"/>
    <x v="0"/>
    <x v="0"/>
    <x v="0"/>
  </r>
  <r>
    <n v="20603304510"/>
    <x v="41"/>
    <x v="34"/>
    <x v="3254"/>
    <x v="3266"/>
    <x v="2849"/>
    <n v="1"/>
    <x v="17"/>
    <s v="POZO PV 02"/>
    <s v="CALLE MIGUEL GRAU 120 PIURA "/>
    <x v="372"/>
    <x v="0"/>
    <x v="6"/>
    <x v="1"/>
    <x v="5"/>
    <x v="0"/>
    <n v="1"/>
    <n v="312"/>
    <x v="0"/>
    <x v="1"/>
    <n v="5.076142131979695E-3"/>
    <x v="44"/>
    <x v="5"/>
    <s v="OK"/>
    <x v="0"/>
    <s v="OK"/>
    <x v="0"/>
    <x v="0"/>
    <n v="1"/>
    <n v="0"/>
    <n v="0"/>
    <n v="0"/>
    <x v="0"/>
    <x v="0"/>
    <x v="0"/>
  </r>
  <r>
    <n v="20603304510"/>
    <x v="41"/>
    <x v="34"/>
    <x v="3255"/>
    <x v="3267"/>
    <x v="2850"/>
    <n v="1"/>
    <x v="17"/>
    <s v="E06"/>
    <s v="JIRON LARCO HERRERA 179 LIMA"/>
    <x v="0"/>
    <x v="0"/>
    <x v="6"/>
    <x v="1"/>
    <x v="1"/>
    <x v="0"/>
    <n v="1"/>
    <n v="312"/>
    <x v="0"/>
    <x v="1"/>
    <n v="5.076142131979695E-3"/>
    <x v="43"/>
    <x v="5"/>
    <s v="OK"/>
    <x v="0"/>
    <s v="OK"/>
    <x v="0"/>
    <x v="0"/>
    <n v="1"/>
    <n v="0"/>
    <n v="0"/>
    <n v="0"/>
    <x v="0"/>
    <x v="0"/>
    <x v="0"/>
  </r>
  <r>
    <n v="20603304510"/>
    <x v="41"/>
    <x v="34"/>
    <x v="3256"/>
    <x v="3268"/>
    <x v="2823"/>
    <n v="1"/>
    <x v="17"/>
    <s v="PATIO TALLER BOCANEGRA"/>
    <s v="LAS ORQUIDIAS 291 URB STA.ISABEL LIMA "/>
    <x v="54"/>
    <x v="0"/>
    <x v="6"/>
    <x v="1"/>
    <x v="5"/>
    <x v="0"/>
    <n v="1"/>
    <n v="276"/>
    <x v="0"/>
    <x v="1"/>
    <n v="5.076142131979695E-3"/>
    <x v="45"/>
    <x v="5"/>
    <s v="OK"/>
    <x v="0"/>
    <s v="OK"/>
    <x v="0"/>
    <x v="0"/>
    <n v="1"/>
    <n v="0"/>
    <n v="0"/>
    <n v="0"/>
    <x v="0"/>
    <x v="0"/>
    <x v="0"/>
  </r>
  <r>
    <n v="20603304510"/>
    <x v="41"/>
    <x v="34"/>
    <x v="3257"/>
    <x v="3269"/>
    <x v="2851"/>
    <n v="1"/>
    <x v="17"/>
    <s v="E04"/>
    <s v="JR. MONTEVIDEO 270 INT. 105 CALLAO "/>
    <x v="89"/>
    <x v="0"/>
    <x v="6"/>
    <x v="1"/>
    <x v="144"/>
    <x v="0"/>
    <n v="1"/>
    <n v="312"/>
    <x v="0"/>
    <x v="1"/>
    <n v="5.076142131979695E-3"/>
    <x v="44"/>
    <x v="5"/>
    <s v="OK"/>
    <x v="2"/>
    <s v="OK"/>
    <x v="0"/>
    <x v="0"/>
    <n v="1"/>
    <n v="1"/>
    <n v="0"/>
    <n v="0"/>
    <x v="0"/>
    <x v="0"/>
    <x v="0"/>
  </r>
  <r>
    <n v="20603304510"/>
    <x v="41"/>
    <x v="34"/>
    <x v="3258"/>
    <x v="3270"/>
    <x v="2852"/>
    <n v="1"/>
    <x v="17"/>
    <s v="E03"/>
    <s v="CALLE JOSE OLAYA MZ 2U LTE 14 DULANTO CALLAO"/>
    <x v="6"/>
    <x v="0"/>
    <x v="6"/>
    <x v="1"/>
    <x v="660"/>
    <x v="0"/>
    <n v="1"/>
    <n v="312"/>
    <x v="0"/>
    <x v="1"/>
    <n v="5.076142131979695E-3"/>
    <x v="48"/>
    <x v="5"/>
    <s v="OK"/>
    <x v="2"/>
    <s v="OK"/>
    <x v="0"/>
    <x v="0"/>
    <n v="1"/>
    <n v="1"/>
    <n v="0"/>
    <n v="0"/>
    <x v="0"/>
    <x v="0"/>
    <x v="0"/>
  </r>
  <r>
    <n v="20603304510"/>
    <x v="41"/>
    <x v="34"/>
    <x v="3259"/>
    <x v="3271"/>
    <x v="2853"/>
    <n v="1"/>
    <x v="17"/>
    <s v="E06"/>
    <s v="AVENIDA MANANTIALES 156 SERENSA LIMA"/>
    <x v="46"/>
    <x v="0"/>
    <x v="6"/>
    <x v="1"/>
    <x v="762"/>
    <x v="0"/>
    <n v="1"/>
    <n v="300"/>
    <x v="0"/>
    <x v="1"/>
    <n v="5.076142131979695E-3"/>
    <x v="41"/>
    <x v="5"/>
    <s v="OK"/>
    <x v="7"/>
    <s v="OK"/>
    <x v="0"/>
    <x v="0"/>
    <n v="1"/>
    <n v="1"/>
    <n v="0"/>
    <n v="0"/>
    <x v="0"/>
    <x v="0"/>
    <x v="0"/>
  </r>
  <r>
    <n v="20603304510"/>
    <x v="41"/>
    <x v="34"/>
    <x v="3260"/>
    <x v="3272"/>
    <x v="2854"/>
    <n v="1"/>
    <x v="17"/>
    <s v="PATIO TALLER BOCANEGRA"/>
    <s v="CALLE EL CARMEN 299 2DO PISO URB 28 DE JULIO LIMA"/>
    <x v="3"/>
    <x v="0"/>
    <x v="6"/>
    <x v="1"/>
    <x v="1"/>
    <x v="0"/>
    <n v="1"/>
    <n v="288"/>
    <x v="0"/>
    <x v="1"/>
    <n v="5.076142131979695E-3"/>
    <x v="41"/>
    <x v="5"/>
    <s v="OK"/>
    <x v="0"/>
    <s v="OK"/>
    <x v="0"/>
    <x v="0"/>
    <n v="1"/>
    <n v="0"/>
    <n v="0"/>
    <n v="0"/>
    <x v="0"/>
    <x v="0"/>
    <x v="0"/>
  </r>
  <r>
    <n v="20603304510"/>
    <x v="41"/>
    <x v="34"/>
    <x v="3261"/>
    <x v="3273"/>
    <x v="2855"/>
    <n v="1"/>
    <x v="17"/>
    <s v="POZO PV 02"/>
    <s v="MZ. B LT. 12 ALAMEDA STA. ROSA CALLAO "/>
    <x v="6"/>
    <x v="0"/>
    <x v="6"/>
    <x v="1"/>
    <x v="141"/>
    <x v="0"/>
    <n v="1"/>
    <n v="300"/>
    <x v="0"/>
    <x v="1"/>
    <n v="5.076142131979695E-3"/>
    <x v="41"/>
    <x v="5"/>
    <s v="OK"/>
    <x v="2"/>
    <s v="OK"/>
    <x v="0"/>
    <x v="0"/>
    <n v="1"/>
    <n v="1"/>
    <n v="0"/>
    <n v="0"/>
    <x v="0"/>
    <x v="0"/>
    <x v="0"/>
  </r>
  <r>
    <n v="20603304510"/>
    <x v="41"/>
    <x v="34"/>
    <x v="3262"/>
    <x v="3274"/>
    <x v="2856"/>
    <n v="1"/>
    <x v="17"/>
    <s v="DOVELAS"/>
    <s v="JIRON AUGUSTO DURAND 2792 LIMA"/>
    <x v="78"/>
    <x v="0"/>
    <x v="6"/>
    <x v="1"/>
    <x v="1"/>
    <x v="0"/>
    <n v="1"/>
    <n v="300"/>
    <x v="0"/>
    <x v="1"/>
    <n v="5.076142131979695E-3"/>
    <x v="45"/>
    <x v="5"/>
    <s v="OK"/>
    <x v="6"/>
    <s v="OK"/>
    <x v="0"/>
    <x v="0"/>
    <n v="1"/>
    <n v="1"/>
    <n v="0"/>
    <n v="0"/>
    <x v="0"/>
    <x v="0"/>
    <x v="0"/>
  </r>
  <r>
    <n v="20603304510"/>
    <x v="41"/>
    <x v="34"/>
    <x v="3263"/>
    <x v="3275"/>
    <x v="2857"/>
    <n v="1"/>
    <x v="17"/>
    <s v="E01"/>
    <s v="JR. IQUIQUE 175 URB TARAPACA CALLAO "/>
    <x v="6"/>
    <x v="0"/>
    <x v="6"/>
    <x v="1"/>
    <x v="141"/>
    <x v="0"/>
    <n v="1"/>
    <n v="312"/>
    <x v="0"/>
    <x v="1"/>
    <n v="5.076142131979695E-3"/>
    <x v="41"/>
    <x v="5"/>
    <s v="OK"/>
    <x v="2"/>
    <s v="OK"/>
    <x v="0"/>
    <x v="0"/>
    <n v="1"/>
    <n v="1"/>
    <n v="0"/>
    <n v="0"/>
    <x v="0"/>
    <x v="0"/>
    <x v="0"/>
  </r>
  <r>
    <n v="20603304510"/>
    <x v="41"/>
    <x v="34"/>
    <x v="3264"/>
    <x v="3276"/>
    <x v="2858"/>
    <n v="1"/>
    <x v="17"/>
    <s v="POZO PV 01"/>
    <s v="CL.VALENCIA 206 MZ.R LT.2 URB.LA MACARENA CALLAO "/>
    <x v="89"/>
    <x v="0"/>
    <x v="6"/>
    <x v="1"/>
    <x v="141"/>
    <x v="0"/>
    <n v="1"/>
    <n v="312"/>
    <x v="0"/>
    <x v="1"/>
    <n v="5.076142131979695E-3"/>
    <x v="46"/>
    <x v="5"/>
    <s v="OK"/>
    <x v="2"/>
    <s v="OK"/>
    <x v="0"/>
    <x v="0"/>
    <n v="1"/>
    <n v="1"/>
    <n v="0"/>
    <n v="0"/>
    <x v="0"/>
    <x v="0"/>
    <x v="0"/>
  </r>
  <r>
    <n v="20603304510"/>
    <x v="41"/>
    <x v="34"/>
    <x v="3265"/>
    <x v="3277"/>
    <x v="2859"/>
    <n v="1"/>
    <x v="17"/>
    <s v="E03"/>
    <s v="JIRON CUZCO 865 CALLAO"/>
    <x v="6"/>
    <x v="0"/>
    <x v="6"/>
    <x v="1"/>
    <x v="431"/>
    <x v="0"/>
    <n v="1"/>
    <n v="312"/>
    <x v="0"/>
    <x v="1"/>
    <n v="5.076142131979695E-3"/>
    <x v="41"/>
    <x v="5"/>
    <s v="OK"/>
    <x v="2"/>
    <s v="OK"/>
    <x v="0"/>
    <x v="0"/>
    <n v="1"/>
    <n v="1"/>
    <n v="0"/>
    <n v="0"/>
    <x v="0"/>
    <x v="0"/>
    <x v="0"/>
  </r>
  <r>
    <n v="20603304510"/>
    <x v="41"/>
    <x v="34"/>
    <x v="3266"/>
    <x v="3278"/>
    <x v="2860"/>
    <n v="1"/>
    <x v="17"/>
    <s v="POZO PV 02"/>
    <s v="BARRIO FRIGORIFICO LETRA F NRO. 80 CALLAO "/>
    <x v="6"/>
    <x v="0"/>
    <x v="6"/>
    <x v="1"/>
    <x v="354"/>
    <x v="0"/>
    <n v="1"/>
    <n v="252"/>
    <x v="0"/>
    <x v="1"/>
    <n v="5.076142131979695E-3"/>
    <x v="52"/>
    <x v="5"/>
    <s v="OK"/>
    <x v="2"/>
    <s v="OK"/>
    <x v="0"/>
    <x v="0"/>
    <n v="1"/>
    <n v="1"/>
    <n v="0"/>
    <n v="0"/>
    <x v="0"/>
    <x v="0"/>
    <x v="0"/>
  </r>
  <r>
    <n v="20603304510"/>
    <x v="41"/>
    <x v="34"/>
    <x v="3267"/>
    <x v="3279"/>
    <x v="2861"/>
    <n v="1"/>
    <x v="17"/>
    <s v="E03"/>
    <s v="JR. LAS TURQUESAS 508 ASOC. INCA MANCO CAPAC LIMA"/>
    <x v="15"/>
    <x v="0"/>
    <x v="6"/>
    <x v="1"/>
    <x v="16"/>
    <x v="0"/>
    <n v="1"/>
    <n v="312"/>
    <x v="0"/>
    <x v="1"/>
    <n v="5.076142131979695E-3"/>
    <x v="44"/>
    <x v="5"/>
    <s v="OK"/>
    <x v="0"/>
    <s v="OK"/>
    <x v="0"/>
    <x v="0"/>
    <n v="1"/>
    <n v="0"/>
    <n v="0"/>
    <n v="0"/>
    <x v="0"/>
    <x v="0"/>
    <x v="0"/>
  </r>
  <r>
    <n v="20603304510"/>
    <x v="41"/>
    <x v="34"/>
    <x v="3268"/>
    <x v="3280"/>
    <x v="2862"/>
    <n v="1"/>
    <x v="17"/>
    <s v="E05"/>
    <s v="AVENIDA GARCILAZO DE LA VEGA 344 LIMA"/>
    <x v="10"/>
    <x v="0"/>
    <x v="6"/>
    <x v="1"/>
    <x v="16"/>
    <x v="0"/>
    <n v="1"/>
    <n v="288"/>
    <x v="0"/>
    <x v="1"/>
    <n v="5.076142131979695E-3"/>
    <x v="45"/>
    <x v="5"/>
    <s v="OK"/>
    <x v="0"/>
    <s v="OK"/>
    <x v="0"/>
    <x v="0"/>
    <n v="1"/>
    <n v="0"/>
    <n v="0"/>
    <n v="0"/>
    <x v="0"/>
    <x v="0"/>
    <x v="0"/>
  </r>
  <r>
    <n v="20603304510"/>
    <x v="41"/>
    <x v="34"/>
    <x v="3269"/>
    <x v="3281"/>
    <x v="2863"/>
    <n v="1"/>
    <x v="17"/>
    <s v="E03"/>
    <s v="AVENIDA INSURGENTES COMUNAL 1 DPTO 16 CIUDAD DEL PESCADOR"/>
    <x v="17"/>
    <x v="0"/>
    <x v="6"/>
    <x v="1"/>
    <x v="51"/>
    <x v="0"/>
    <n v="1"/>
    <n v="312"/>
    <x v="0"/>
    <x v="1"/>
    <n v="5.076142131979695E-3"/>
    <x v="45"/>
    <x v="5"/>
    <s v="OK"/>
    <x v="2"/>
    <s v="OK"/>
    <x v="0"/>
    <x v="0"/>
    <n v="1"/>
    <n v="1"/>
    <n v="0"/>
    <n v="0"/>
    <x v="0"/>
    <x v="0"/>
    <x v="0"/>
  </r>
  <r>
    <n v="20603304510"/>
    <x v="41"/>
    <x v="34"/>
    <x v="3270"/>
    <x v="3282"/>
    <x v="2864"/>
    <n v="1"/>
    <x v="17"/>
    <s v="P06"/>
    <s v="JR MATEO SILVA 2750"/>
    <x v="10"/>
    <x v="0"/>
    <x v="6"/>
    <x v="1"/>
    <x v="464"/>
    <x v="0"/>
    <n v="1"/>
    <n v="108"/>
    <x v="0"/>
    <x v="1"/>
    <n v="5.076142131979695E-3"/>
    <x v="45"/>
    <x v="5"/>
    <s v="OK"/>
    <x v="0"/>
    <s v="OK"/>
    <x v="0"/>
    <x v="0"/>
    <n v="1"/>
    <n v="0"/>
    <n v="1"/>
    <n v="0"/>
    <x v="0"/>
    <x v="0"/>
    <x v="1"/>
  </r>
  <r>
    <n v="20603304510"/>
    <x v="41"/>
    <x v="34"/>
    <x v="3271"/>
    <x v="3283"/>
    <x v="2865"/>
    <n v="1"/>
    <x v="17"/>
    <s v="DESC PATIO TALLER BOCA NEGRA"/>
    <s v="MZ B LT 3 HIJOS DE GRAU"/>
    <x v="2"/>
    <x v="0"/>
    <x v="6"/>
    <x v="1"/>
    <x v="357"/>
    <x v="0"/>
    <n v="1"/>
    <n v="108"/>
    <x v="0"/>
    <x v="1"/>
    <n v="5.076142131979695E-3"/>
    <x v="41"/>
    <x v="5"/>
    <s v="OK"/>
    <x v="2"/>
    <s v="OK"/>
    <x v="0"/>
    <x v="0"/>
    <n v="1"/>
    <n v="1"/>
    <n v="1"/>
    <n v="0"/>
    <x v="0"/>
    <x v="0"/>
    <x v="1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m/>
    <x v="76"/>
    <x v="11"/>
    <x v="3159"/>
    <x v="3170"/>
    <x v="2772"/>
    <m/>
    <x v="383"/>
    <m/>
    <m/>
    <x v="225"/>
    <x v="3"/>
    <x v="0"/>
    <x v="14"/>
    <x v="439"/>
    <x v="1"/>
    <m/>
    <m/>
    <x v="0"/>
    <x v="1"/>
    <n v="0"/>
    <x v="42"/>
    <x v="5"/>
    <s v="Corregir"/>
    <x v="0"/>
    <s v="Corregir"/>
    <x v="1"/>
    <x v="3"/>
    <n v="0"/>
    <n v="0"/>
    <n v="0"/>
    <n v="0"/>
    <x v="0"/>
    <x v="0"/>
    <x v="0"/>
  </r>
  <r>
    <n v="2055163079"/>
    <x v="42"/>
    <x v="35"/>
    <x v="3272"/>
    <x v="3284"/>
    <x v="2866"/>
    <n v="3"/>
    <x v="58"/>
    <s v="ESTACIONES Y PATIO TALLER"/>
    <s v="MZ. 35 LT.7 P.J. CESAR VALLEJO"/>
    <x v="8"/>
    <x v="0"/>
    <x v="0"/>
    <x v="1"/>
    <x v="296"/>
    <x v="0"/>
    <n v="2"/>
    <n v="20"/>
    <x v="0"/>
    <x v="1"/>
    <n v="0.125"/>
    <x v="31"/>
    <x v="3"/>
    <s v="OK"/>
    <x v="0"/>
    <s v="OK"/>
    <x v="0"/>
    <x v="0"/>
    <n v="1"/>
    <n v="0"/>
    <n v="0"/>
    <n v="0"/>
    <x v="0"/>
    <x v="0"/>
    <x v="0"/>
  </r>
  <r>
    <n v="20550335795"/>
    <x v="43"/>
    <x v="1"/>
    <x v="3273"/>
    <x v="3285"/>
    <x v="1310"/>
    <n v="1"/>
    <x v="113"/>
    <s v="PLANTA DOVELAS"/>
    <s v="ASENT.H. ALFONSO UGARTE MZ. Q LT. 02 LIMA-LIMA-PUENTE PIEDRA"/>
    <x v="4"/>
    <x v="0"/>
    <x v="0"/>
    <x v="1"/>
    <x v="841"/>
    <x v="0"/>
    <n v="1"/>
    <n v="208"/>
    <x v="0"/>
    <x v="0"/>
    <n v="7.462686567164179E-3"/>
    <x v="20"/>
    <x v="2"/>
    <s v="OK"/>
    <x v="0"/>
    <s v="OK"/>
    <x v="0"/>
    <x v="0"/>
    <n v="1"/>
    <n v="0"/>
    <n v="0"/>
    <n v="0"/>
    <x v="0"/>
    <x v="0"/>
    <x v="0"/>
  </r>
  <r>
    <n v="20296637697"/>
    <x v="2"/>
    <x v="2"/>
    <x v="3274"/>
    <x v="3286"/>
    <x v="2867"/>
    <n v="1"/>
    <x v="392"/>
    <s v="PV01BIS - PV01 - PV02 Y PV03"/>
    <s v="MZ. M LOTE 2 CARLOS MANUEL COX"/>
    <x v="62"/>
    <x v="1"/>
    <x v="22"/>
    <x v="2"/>
    <x v="475"/>
    <x v="2"/>
    <n v="1"/>
    <n v="200"/>
    <x v="0"/>
    <x v="1"/>
    <n v="2.5641025641025641E-3"/>
    <x v="12"/>
    <x v="1"/>
    <s v="OK"/>
    <x v="0"/>
    <s v="OK"/>
    <x v="0"/>
    <x v="0"/>
    <n v="1"/>
    <n v="0"/>
    <n v="0"/>
    <n v="1"/>
    <x v="0"/>
    <x v="1"/>
    <x v="0"/>
  </r>
  <r>
    <n v="20296637697"/>
    <x v="2"/>
    <x v="2"/>
    <x v="3275"/>
    <x v="3287"/>
    <x v="2868"/>
    <n v="1"/>
    <x v="61"/>
    <s v="PV01BIS - PV01 - PV02 Y PV03"/>
    <s v="JR.SAN JOSE MZ C LOTE 18"/>
    <x v="4"/>
    <x v="0"/>
    <x v="0"/>
    <x v="2"/>
    <x v="105"/>
    <x v="0"/>
    <n v="1"/>
    <n v="200"/>
    <x v="0"/>
    <x v="1"/>
    <n v="2.5641025641025641E-3"/>
    <x v="39"/>
    <x v="4"/>
    <s v="OK"/>
    <x v="0"/>
    <s v="OK"/>
    <x v="0"/>
    <x v="0"/>
    <n v="1"/>
    <n v="0"/>
    <n v="0"/>
    <n v="0"/>
    <x v="0"/>
    <x v="0"/>
    <x v="0"/>
  </r>
  <r>
    <n v="20296637697"/>
    <x v="2"/>
    <x v="2"/>
    <x v="3276"/>
    <x v="3288"/>
    <x v="2869"/>
    <n v="1"/>
    <x v="66"/>
    <s v="PV01BIS - PV01 - PV02 Y PV03"/>
    <s v="JR .ALFONSO UGARTE 219"/>
    <x v="6"/>
    <x v="0"/>
    <x v="0"/>
    <x v="2"/>
    <x v="0"/>
    <x v="0"/>
    <n v="1"/>
    <n v="242"/>
    <x v="0"/>
    <x v="1"/>
    <n v="2.5641025641025641E-3"/>
    <x v="18"/>
    <x v="2"/>
    <s v="OK"/>
    <x v="2"/>
    <s v="OK"/>
    <x v="0"/>
    <x v="0"/>
    <n v="1"/>
    <n v="1"/>
    <n v="0"/>
    <n v="0"/>
    <x v="0"/>
    <x v="0"/>
    <x v="0"/>
  </r>
  <r>
    <n v="20296637697"/>
    <x v="2"/>
    <x v="2"/>
    <x v="3277"/>
    <x v="3289"/>
    <x v="2870"/>
    <n v="1"/>
    <x v="66"/>
    <s v="PV01BIS - PV01 - PV02 Y PV03"/>
    <s v="AAHH JORGE CHAVEZ - CALLE 20 DE ENERO 175 - AEROPUERTO"/>
    <x v="23"/>
    <x v="0"/>
    <x v="0"/>
    <x v="2"/>
    <x v="2"/>
    <x v="0"/>
    <n v="1"/>
    <n v="227"/>
    <x v="0"/>
    <x v="1"/>
    <n v="2.5641025641025641E-3"/>
    <x v="27"/>
    <x v="3"/>
    <s v="OK"/>
    <x v="0"/>
    <s v="OK"/>
    <x v="0"/>
    <x v="0"/>
    <n v="1"/>
    <n v="0"/>
    <n v="0"/>
    <n v="0"/>
    <x v="0"/>
    <x v="0"/>
    <x v="0"/>
  </r>
  <r>
    <n v="20296637697"/>
    <x v="2"/>
    <x v="2"/>
    <x v="3278"/>
    <x v="3290"/>
    <x v="2871"/>
    <n v="1"/>
    <x v="393"/>
    <s v="PV01BIS - PV01 - PV02 Y PV03"/>
    <s v="AV. TUPAC AMURU 294 - CARABAILLO"/>
    <x v="54"/>
    <x v="0"/>
    <x v="0"/>
    <x v="2"/>
    <x v="475"/>
    <x v="0"/>
    <n v="1"/>
    <n v="200"/>
    <x v="0"/>
    <x v="1"/>
    <n v="2.5641025641025641E-3"/>
    <x v="31"/>
    <x v="3"/>
    <s v="OK"/>
    <x v="0"/>
    <s v="OK"/>
    <x v="0"/>
    <x v="0"/>
    <n v="1"/>
    <n v="0"/>
    <n v="0"/>
    <n v="0"/>
    <x v="0"/>
    <x v="0"/>
    <x v="0"/>
  </r>
  <r>
    <n v="20296637697"/>
    <x v="2"/>
    <x v="2"/>
    <x v="3279"/>
    <x v="3291"/>
    <x v="2872"/>
    <n v="1"/>
    <x v="394"/>
    <s v="PV01BIS - PV01 - PV02 Y PV03"/>
    <s v="AV.MARIANO CORNEJO 715"/>
    <x v="118"/>
    <x v="1"/>
    <x v="0"/>
    <x v="2"/>
    <x v="201"/>
    <x v="0"/>
    <n v="1"/>
    <n v="200"/>
    <x v="0"/>
    <x v="1"/>
    <n v="2.5641025641025641E-3"/>
    <x v="16"/>
    <x v="2"/>
    <s v="OK"/>
    <x v="0"/>
    <s v="OK"/>
    <x v="0"/>
    <x v="0"/>
    <n v="1"/>
    <n v="0"/>
    <n v="0"/>
    <n v="0"/>
    <x v="0"/>
    <x v="0"/>
    <x v="0"/>
  </r>
  <r>
    <n v="20296637697"/>
    <x v="2"/>
    <x v="2"/>
    <x v="3280"/>
    <x v="3292"/>
    <x v="2873"/>
    <n v="2"/>
    <x v="395"/>
    <s v="PV01BIS - PV01 - PV02 Y PV03"/>
    <s v="CASERIO HUANTAR - DISTRITO SAN NICOLAS"/>
    <x v="373"/>
    <x v="0"/>
    <x v="0"/>
    <x v="2"/>
    <x v="38"/>
    <x v="0"/>
    <n v="4"/>
    <n v="216"/>
    <x v="0"/>
    <x v="1"/>
    <n v="2.5641025641025641E-3"/>
    <x v="24"/>
    <x v="3"/>
    <s v="OK"/>
    <x v="0"/>
    <s v="OK"/>
    <x v="0"/>
    <x v="0"/>
    <n v="1"/>
    <n v="0"/>
    <n v="0"/>
    <n v="0"/>
    <x v="0"/>
    <x v="0"/>
    <x v="0"/>
  </r>
  <r>
    <n v="20296637697"/>
    <x v="2"/>
    <x v="2"/>
    <x v="3281"/>
    <x v="3293"/>
    <x v="2874"/>
    <n v="2"/>
    <x v="2"/>
    <s v="PV01BIS - PV01 - PV02 Y PV03"/>
    <s v="CALLAO"/>
    <x v="6"/>
    <x v="0"/>
    <x v="0"/>
    <x v="2"/>
    <x v="432"/>
    <x v="0"/>
    <n v="4"/>
    <n v="197"/>
    <x v="0"/>
    <x v="1"/>
    <n v="2.5641025641025641E-3"/>
    <x v="10"/>
    <x v="1"/>
    <s v="OK"/>
    <x v="2"/>
    <s v="OK"/>
    <x v="0"/>
    <x v="0"/>
    <n v="1"/>
    <n v="1"/>
    <n v="0"/>
    <n v="0"/>
    <x v="0"/>
    <x v="0"/>
    <x v="0"/>
  </r>
  <r>
    <n v="20296637697"/>
    <x v="2"/>
    <x v="2"/>
    <x v="3282"/>
    <x v="3294"/>
    <x v="2875"/>
    <n v="2"/>
    <x v="12"/>
    <s v="PV01BIS - PV01 - PV02 Y PV03"/>
    <s v="CAS.SAN ANTONIO"/>
    <x v="374"/>
    <x v="0"/>
    <x v="0"/>
    <x v="2"/>
    <x v="115"/>
    <x v="0"/>
    <n v="4"/>
    <n v="87"/>
    <x v="0"/>
    <x v="1"/>
    <n v="2.5641025641025641E-3"/>
    <x v="19"/>
    <x v="2"/>
    <s v="OK"/>
    <x v="0"/>
    <s v="OK"/>
    <x v="0"/>
    <x v="0"/>
    <n v="1"/>
    <n v="0"/>
    <n v="1"/>
    <n v="0"/>
    <x v="0"/>
    <x v="0"/>
    <x v="1"/>
  </r>
  <r>
    <n v="20296637697"/>
    <x v="2"/>
    <x v="2"/>
    <x v="3283"/>
    <x v="3295"/>
    <x v="2537"/>
    <n v="2"/>
    <x v="11"/>
    <s v="PV01BIS - PV01 - PV02 Y PV03"/>
    <s v="JR. SAN GABINO MZ.A LT.6 SAN GABINO"/>
    <x v="14"/>
    <x v="0"/>
    <x v="0"/>
    <x v="2"/>
    <x v="103"/>
    <x v="0"/>
    <n v="4"/>
    <n v="59"/>
    <x v="0"/>
    <x v="1"/>
    <n v="2.5641025641025641E-3"/>
    <x v="39"/>
    <x v="4"/>
    <s v="OK"/>
    <x v="0"/>
    <s v="OK"/>
    <x v="0"/>
    <x v="0"/>
    <n v="1"/>
    <n v="0"/>
    <n v="1"/>
    <n v="0"/>
    <x v="0"/>
    <x v="0"/>
    <x v="1"/>
  </r>
  <r>
    <n v="20296637697"/>
    <x v="2"/>
    <x v="2"/>
    <x v="3284"/>
    <x v="3296"/>
    <x v="1512"/>
    <n v="2"/>
    <x v="59"/>
    <s v="PV01BIS - PV01 - PV02 Y PV03"/>
    <s v="JR. PASEO DE LOS EUCALIPTOS N° 8 - ATE"/>
    <x v="1"/>
    <x v="0"/>
    <x v="0"/>
    <x v="2"/>
    <x v="0"/>
    <x v="0"/>
    <n v="4"/>
    <n v="199"/>
    <x v="0"/>
    <x v="1"/>
    <n v="2.5641025641025641E-3"/>
    <x v="14"/>
    <x v="2"/>
    <s v="OK"/>
    <x v="1"/>
    <s v="OK"/>
    <x v="0"/>
    <x v="0"/>
    <n v="1"/>
    <n v="1"/>
    <n v="0"/>
    <n v="0"/>
    <x v="0"/>
    <x v="0"/>
    <x v="0"/>
  </r>
  <r>
    <n v="20296637697"/>
    <x v="2"/>
    <x v="2"/>
    <x v="3285"/>
    <x v="3297"/>
    <x v="2876"/>
    <n v="2"/>
    <x v="2"/>
    <s v="PV01BIS - PV01 - PV02 Y PV03"/>
    <s v="JR. PAZ SOLDAN 435 "/>
    <x v="6"/>
    <x v="0"/>
    <x v="0"/>
    <x v="2"/>
    <x v="105"/>
    <x v="0"/>
    <n v="4"/>
    <n v="205"/>
    <x v="0"/>
    <x v="1"/>
    <n v="2.5641025641025641E-3"/>
    <x v="9"/>
    <x v="1"/>
    <s v="OK"/>
    <x v="2"/>
    <s v="OK"/>
    <x v="0"/>
    <x v="0"/>
    <n v="1"/>
    <n v="1"/>
    <n v="0"/>
    <n v="0"/>
    <x v="0"/>
    <x v="0"/>
    <x v="0"/>
  </r>
  <r>
    <n v="20296637697"/>
    <x v="2"/>
    <x v="2"/>
    <x v="3286"/>
    <x v="3298"/>
    <x v="2172"/>
    <n v="2"/>
    <x v="212"/>
    <s v="PV01BIS - PV01 - PV02 Y PV03"/>
    <s v="AHH LADERAS DE VILLA - MZ.W - LOTE 5"/>
    <x v="53"/>
    <x v="0"/>
    <x v="0"/>
    <x v="2"/>
    <x v="36"/>
    <x v="0"/>
    <n v="4"/>
    <n v="237"/>
    <x v="0"/>
    <x v="1"/>
    <n v="2.5641025641025641E-3"/>
    <x v="27"/>
    <x v="3"/>
    <s v="OK"/>
    <x v="0"/>
    <s v="OK"/>
    <x v="0"/>
    <x v="0"/>
    <n v="1"/>
    <n v="0"/>
    <n v="0"/>
    <n v="0"/>
    <x v="0"/>
    <x v="0"/>
    <x v="0"/>
  </r>
  <r>
    <n v="20296637697"/>
    <x v="2"/>
    <x v="2"/>
    <x v="3287"/>
    <x v="3299"/>
    <x v="2877"/>
    <n v="2"/>
    <x v="396"/>
    <s v="PV01BIS - PV01 - PV02 Y PV03"/>
    <s v="ST.6 MZ M LOTE 13A"/>
    <x v="164"/>
    <x v="0"/>
    <x v="0"/>
    <x v="2"/>
    <x v="145"/>
    <x v="0"/>
    <n v="4"/>
    <n v="208"/>
    <x v="0"/>
    <x v="1"/>
    <n v="2.5641025641025641E-3"/>
    <x v="21"/>
    <x v="2"/>
    <s v="OK"/>
    <x v="0"/>
    <s v="OK"/>
    <x v="0"/>
    <x v="0"/>
    <n v="1"/>
    <n v="0"/>
    <n v="0"/>
    <n v="0"/>
    <x v="0"/>
    <x v="0"/>
    <x v="0"/>
  </r>
  <r>
    <n v="20603639520"/>
    <x v="51"/>
    <x v="38"/>
    <x v="3288"/>
    <x v="3300"/>
    <x v="1650"/>
    <n v="12"/>
    <x v="67"/>
    <s v="E11"/>
    <s v="CALLE PRINCIPAL 692 CASERIO LA LEGUA"/>
    <x v="185"/>
    <x v="0"/>
    <x v="0"/>
    <x v="1"/>
    <x v="208"/>
    <x v="0"/>
    <n v="4"/>
    <n v="240"/>
    <x v="0"/>
    <x v="1"/>
    <n v="4.3478260869565216E-2"/>
    <x v="17"/>
    <x v="2"/>
    <s v="OK"/>
    <x v="0"/>
    <s v="OK"/>
    <x v="0"/>
    <x v="0"/>
    <n v="1"/>
    <n v="0"/>
    <n v="0"/>
    <n v="0"/>
    <x v="0"/>
    <x v="0"/>
    <x v="0"/>
  </r>
  <r>
    <s v="20603639520"/>
    <x v="51"/>
    <x v="38"/>
    <x v="3289"/>
    <x v="3301"/>
    <x v="1616"/>
    <n v="17"/>
    <x v="2"/>
    <s v="E11"/>
    <s v="JR SUCCHA 155"/>
    <x v="5"/>
    <x v="0"/>
    <x v="2"/>
    <x v="1"/>
    <x v="609"/>
    <x v="2"/>
    <n v="4"/>
    <n v="8"/>
    <x v="0"/>
    <x v="1"/>
    <n v="4.3478260869565216E-2"/>
    <x v="15"/>
    <x v="2"/>
    <s v="OK"/>
    <x v="3"/>
    <s v="OK"/>
    <x v="0"/>
    <x v="0"/>
    <n v="1"/>
    <n v="1"/>
    <n v="0"/>
    <n v="1"/>
    <x v="0"/>
    <x v="1"/>
    <x v="0"/>
  </r>
  <r>
    <n v="20603639520"/>
    <x v="51"/>
    <x v="38"/>
    <x v="3074"/>
    <x v="3085"/>
    <x v="2461"/>
    <n v="27"/>
    <x v="67"/>
    <s v="E11"/>
    <s v="PP JJ SANTA ROSITA MZ 7 LT 1"/>
    <x v="375"/>
    <x v="0"/>
    <x v="32"/>
    <x v="1"/>
    <x v="362"/>
    <x v="2"/>
    <n v="4"/>
    <n v="64"/>
    <x v="0"/>
    <x v="1"/>
    <n v="4.3478260869565216E-2"/>
    <x v="35"/>
    <x v="4"/>
    <s v="OK"/>
    <x v="0"/>
    <s v="OK"/>
    <x v="0"/>
    <x v="1"/>
    <n v="0.5"/>
    <n v="0"/>
    <n v="0"/>
    <n v="1"/>
    <x v="0"/>
    <x v="1"/>
    <x v="0"/>
  </r>
  <r>
    <n v="20603639520"/>
    <x v="51"/>
    <x v="38"/>
    <x v="3290"/>
    <x v="3302"/>
    <x v="2878"/>
    <n v="29"/>
    <x v="11"/>
    <s v="E11"/>
    <s v="CALLE CIRO ALEGRIA S/N MZ E LT10"/>
    <x v="53"/>
    <x v="0"/>
    <x v="0"/>
    <x v="1"/>
    <x v="610"/>
    <x v="0"/>
    <n v="4"/>
    <n v="240"/>
    <x v="0"/>
    <x v="1"/>
    <n v="4.3478260869565216E-2"/>
    <x v="11"/>
    <x v="1"/>
    <s v="OK"/>
    <x v="0"/>
    <s v="OK"/>
    <x v="0"/>
    <x v="0"/>
    <n v="1"/>
    <n v="0"/>
    <n v="0"/>
    <n v="0"/>
    <x v="0"/>
    <x v="0"/>
    <x v="0"/>
  </r>
  <r>
    <n v="20603639520"/>
    <x v="51"/>
    <x v="38"/>
    <x v="3073"/>
    <x v="3084"/>
    <x v="2695"/>
    <n v="42"/>
    <x v="11"/>
    <s v="E11"/>
    <s v="ASOC LOS ARTESANO DEL PARQUE INDUSTRIAL MZ F LT 20"/>
    <x v="1"/>
    <x v="0"/>
    <x v="2"/>
    <x v="1"/>
    <x v="121"/>
    <x v="2"/>
    <n v="4"/>
    <n v="8"/>
    <x v="0"/>
    <x v="1"/>
    <n v="4.3478260869565216E-2"/>
    <x v="39"/>
    <x v="4"/>
    <s v="OK"/>
    <x v="1"/>
    <s v="OK"/>
    <x v="0"/>
    <x v="1"/>
    <n v="0.5"/>
    <n v="0.5"/>
    <n v="0"/>
    <n v="1"/>
    <x v="0"/>
    <x v="1"/>
    <x v="0"/>
  </r>
  <r>
    <n v="20603639520"/>
    <x v="51"/>
    <x v="38"/>
    <x v="2709"/>
    <x v="3303"/>
    <x v="2360"/>
    <n v="44"/>
    <x v="11"/>
    <s v="E11"/>
    <s v="AV. VICTOR MALASQUEZ A3 06A C.P.R.H. DE MANCHAY SECT LOS EUCALIPTOS"/>
    <x v="58"/>
    <x v="0"/>
    <x v="2"/>
    <x v="1"/>
    <x v="842"/>
    <x v="2"/>
    <n v="4"/>
    <n v="8"/>
    <x v="0"/>
    <x v="1"/>
    <n v="4.3478260869565216E-2"/>
    <x v="29"/>
    <x v="3"/>
    <s v="OK"/>
    <x v="0"/>
    <s v="OK"/>
    <x v="0"/>
    <x v="0"/>
    <n v="1"/>
    <n v="0"/>
    <n v="0"/>
    <n v="1"/>
    <x v="0"/>
    <x v="1"/>
    <x v="0"/>
  </r>
  <r>
    <s v="20601322456"/>
    <x v="70"/>
    <x v="48"/>
    <x v="3291"/>
    <x v="3304"/>
    <x v="2879"/>
    <n v="2"/>
    <x v="243"/>
    <s v="E-6"/>
    <s v="ASENT.H. MCAL. RAMON CASTILLA MZ. Q 2 LT. 7 COMITÉ 28"/>
    <x v="6"/>
    <x v="0"/>
    <x v="0"/>
    <x v="0"/>
    <x v="633"/>
    <x v="0"/>
    <n v="4"/>
    <n v="208"/>
    <x v="0"/>
    <x v="1"/>
    <n v="0.1"/>
    <x v="23"/>
    <x v="3"/>
    <s v="OK"/>
    <x v="2"/>
    <s v="OK"/>
    <x v="0"/>
    <x v="0"/>
    <n v="1"/>
    <n v="1"/>
    <n v="0"/>
    <n v="0"/>
    <x v="0"/>
    <x v="0"/>
    <x v="0"/>
  </r>
  <r>
    <s v="20601322456"/>
    <x v="70"/>
    <x v="48"/>
    <x v="3292"/>
    <x v="3305"/>
    <x v="2880"/>
    <n v="2"/>
    <x v="243"/>
    <s v="E-19"/>
    <s v="ASENT. H. LADERAS DE VILLA MZ. LT. 25"/>
    <x v="53"/>
    <x v="0"/>
    <x v="0"/>
    <x v="0"/>
    <x v="164"/>
    <x v="0"/>
    <n v="4"/>
    <n v="208"/>
    <x v="0"/>
    <x v="1"/>
    <n v="0.1"/>
    <x v="33"/>
    <x v="4"/>
    <s v="OK"/>
    <x v="0"/>
    <s v="OK"/>
    <x v="0"/>
    <x v="0"/>
    <n v="1"/>
    <n v="0"/>
    <n v="0"/>
    <n v="0"/>
    <x v="0"/>
    <x v="0"/>
    <x v="0"/>
  </r>
  <r>
    <s v="20601322456"/>
    <x v="70"/>
    <x v="48"/>
    <x v="3293"/>
    <x v="3306"/>
    <x v="2881"/>
    <n v="2"/>
    <x v="243"/>
    <s v="E-8"/>
    <s v="CARRETERA CIENEGUILLA MZ.G LT.9 ASENT.H. PAUL POBLET LIND"/>
    <x v="58"/>
    <x v="0"/>
    <x v="0"/>
    <x v="0"/>
    <x v="843"/>
    <x v="0"/>
    <n v="4"/>
    <n v="208"/>
    <x v="0"/>
    <x v="1"/>
    <n v="0.1"/>
    <x v="17"/>
    <x v="2"/>
    <s v="OK"/>
    <x v="0"/>
    <s v="OK"/>
    <x v="0"/>
    <x v="0"/>
    <n v="1"/>
    <n v="0"/>
    <n v="0"/>
    <n v="0"/>
    <x v="0"/>
    <x v="0"/>
    <x v="0"/>
  </r>
  <r>
    <n v="20610192034"/>
    <x v="16"/>
    <x v="16"/>
    <x v="3294"/>
    <x v="3307"/>
    <x v="2882"/>
    <m/>
    <x v="11"/>
    <s v="ESTACION 10- ESTACION 11-PZ 16-PZ-17-PZ18-E17"/>
    <s v="ASOC. C.P. DE BUENA VISTA MZ. D. LT. 02"/>
    <x v="1"/>
    <x v="0"/>
    <x v="4"/>
    <x v="2"/>
    <x v="819"/>
    <x v="2"/>
    <n v="4"/>
    <n v="84"/>
    <x v="0"/>
    <x v="1"/>
    <n v="2.6315789473684209E-2"/>
    <x v="55"/>
    <x v="6"/>
    <s v="OK"/>
    <x v="1"/>
    <s v="OK"/>
    <x v="0"/>
    <x v="0"/>
    <n v="1"/>
    <n v="1"/>
    <n v="0"/>
    <n v="1"/>
    <x v="0"/>
    <x v="1"/>
    <x v="0"/>
  </r>
  <r>
    <s v="20603245246"/>
    <x v="56"/>
    <x v="17"/>
    <x v="3295"/>
    <x v="3308"/>
    <x v="2883"/>
    <n v="1"/>
    <x v="57"/>
    <s v="E01, E02, E03, E13"/>
    <s v="Av. Las Gaviotas Mz 8  Lt 1-D"/>
    <x v="38"/>
    <x v="0"/>
    <x v="21"/>
    <x v="1"/>
    <x v="821"/>
    <x v="0"/>
    <n v="2"/>
    <n v="19"/>
    <x v="0"/>
    <x v="1"/>
    <n v="4.7619047619047616E-2"/>
    <x v="17"/>
    <x v="2"/>
    <s v="OK"/>
    <x v="0"/>
    <s v="OK"/>
    <x v="0"/>
    <x v="0"/>
    <n v="1"/>
    <n v="0"/>
    <n v="0"/>
    <n v="0"/>
    <x v="0"/>
    <x v="0"/>
    <x v="0"/>
  </r>
  <r>
    <s v="20523802861"/>
    <x v="18"/>
    <x v="18"/>
    <x v="3296"/>
    <x v="3309"/>
    <x v="2884"/>
    <n v="2"/>
    <x v="397"/>
    <s v="E05"/>
    <s v="AV. ALFONSO UGARTE 201 INT. 03 URB. SANTA CLARA "/>
    <x v="34"/>
    <x v="0"/>
    <x v="6"/>
    <x v="4"/>
    <x v="671"/>
    <x v="0"/>
    <n v="4"/>
    <n v="104"/>
    <x v="0"/>
    <x v="1"/>
    <n v="8.9285714285714281E-3"/>
    <x v="14"/>
    <x v="2"/>
    <s v="OK"/>
    <x v="1"/>
    <s v="OK"/>
    <x v="0"/>
    <x v="0"/>
    <n v="1"/>
    <n v="1"/>
    <n v="0"/>
    <n v="0"/>
    <x v="0"/>
    <x v="0"/>
    <x v="0"/>
  </r>
  <r>
    <s v="20523802861"/>
    <x v="18"/>
    <x v="18"/>
    <x v="3297"/>
    <x v="3310"/>
    <x v="596"/>
    <n v="2"/>
    <x v="112"/>
    <s v="E15"/>
    <s v="CALLE EDUARDO CORREA 197 - URB. SANTA LUZMILA"/>
    <x v="95"/>
    <x v="0"/>
    <x v="6"/>
    <x v="1"/>
    <x v="756"/>
    <x v="0"/>
    <n v="4"/>
    <n v="104"/>
    <x v="0"/>
    <x v="1"/>
    <n v="8.9285714285714281E-3"/>
    <x v="13"/>
    <x v="1"/>
    <s v="OK"/>
    <x v="0"/>
    <s v="OK"/>
    <x v="0"/>
    <x v="0"/>
    <n v="1"/>
    <n v="0"/>
    <n v="0"/>
    <n v="0"/>
    <x v="0"/>
    <x v="0"/>
    <x v="0"/>
  </r>
  <r>
    <s v="20523802861"/>
    <x v="18"/>
    <x v="18"/>
    <x v="3298"/>
    <x v="3311"/>
    <x v="2885"/>
    <n v="2"/>
    <x v="26"/>
    <s v="E17"/>
    <s v="MZ 12 LT 43 ZONA 5  "/>
    <x v="10"/>
    <x v="0"/>
    <x v="6"/>
    <x v="1"/>
    <x v="228"/>
    <x v="0"/>
    <n v="4"/>
    <n v="128"/>
    <x v="0"/>
    <x v="1"/>
    <n v="8.9285714285714281E-3"/>
    <x v="14"/>
    <x v="2"/>
    <s v="OK"/>
    <x v="0"/>
    <s v="OK"/>
    <x v="0"/>
    <x v="0"/>
    <n v="1"/>
    <n v="0"/>
    <n v="0"/>
    <n v="0"/>
    <x v="0"/>
    <x v="0"/>
    <x v="0"/>
  </r>
  <r>
    <s v="20523802861"/>
    <x v="18"/>
    <x v="18"/>
    <x v="3299"/>
    <x v="3312"/>
    <x v="739"/>
    <n v="2"/>
    <x v="26"/>
    <s v="E17"/>
    <s v="PSJ. IRAY 535 CONDE DE LA VEGA BAJA "/>
    <x v="10"/>
    <x v="0"/>
    <x v="6"/>
    <x v="1"/>
    <x v="133"/>
    <x v="0"/>
    <n v="4"/>
    <n v="112"/>
    <x v="0"/>
    <x v="1"/>
    <n v="8.9285714285714281E-3"/>
    <x v="12"/>
    <x v="1"/>
    <s v="OK"/>
    <x v="0"/>
    <s v="OK"/>
    <x v="0"/>
    <x v="0"/>
    <n v="1"/>
    <n v="0"/>
    <n v="0"/>
    <n v="0"/>
    <x v="0"/>
    <x v="0"/>
    <x v="0"/>
  </r>
  <r>
    <s v="20523802861"/>
    <x v="18"/>
    <x v="18"/>
    <x v="3300"/>
    <x v="3313"/>
    <x v="2886"/>
    <n v="2"/>
    <x v="114"/>
    <s v="E14"/>
    <s v="Mz. 57 Lote 17 PORTALES. 3A"/>
    <x v="3"/>
    <x v="0"/>
    <x v="6"/>
    <x v="1"/>
    <x v="110"/>
    <x v="0"/>
    <n v="4"/>
    <n v="216"/>
    <x v="0"/>
    <x v="1"/>
    <n v="8.9285714285714281E-3"/>
    <x v="27"/>
    <x v="3"/>
    <s v="OK"/>
    <x v="0"/>
    <s v="OK"/>
    <x v="0"/>
    <x v="0"/>
    <n v="1"/>
    <n v="0"/>
    <n v="0"/>
    <n v="0"/>
    <x v="0"/>
    <x v="0"/>
    <x v="0"/>
  </r>
  <r>
    <s v="20523802861"/>
    <x v="18"/>
    <x v="18"/>
    <x v="3301"/>
    <x v="3314"/>
    <x v="2887"/>
    <n v="2"/>
    <x v="26"/>
    <s v="E15"/>
    <s v="AV. INDOAMERICA 657 - URB. TAHUANTISUYO PRIMERA ZONA DE TAHUANTISUYO"/>
    <x v="44"/>
    <x v="1"/>
    <x v="6"/>
    <x v="4"/>
    <x v="756"/>
    <x v="0"/>
    <n v="4"/>
    <n v="128"/>
    <x v="0"/>
    <x v="1"/>
    <n v="8.9285714285714281E-3"/>
    <x v="11"/>
    <x v="1"/>
    <s v="OK"/>
    <x v="0"/>
    <s v="OK"/>
    <x v="0"/>
    <x v="0"/>
    <n v="1"/>
    <n v="0"/>
    <n v="0"/>
    <n v="0"/>
    <x v="0"/>
    <x v="0"/>
    <x v="0"/>
  </r>
  <r>
    <s v="20523802861"/>
    <x v="18"/>
    <x v="18"/>
    <x v="3302"/>
    <x v="3315"/>
    <x v="2888"/>
    <n v="2"/>
    <x v="111"/>
    <s v="E15"/>
    <s v="Calle f MZ B lote 14-A  barrio 2 sector 1 Urb: PACHACAMAC"/>
    <x v="19"/>
    <x v="0"/>
    <x v="6"/>
    <x v="1"/>
    <x v="41"/>
    <x v="0"/>
    <n v="4"/>
    <n v="216"/>
    <x v="0"/>
    <x v="1"/>
    <n v="8.9285714285714281E-3"/>
    <x v="21"/>
    <x v="2"/>
    <s v="OK"/>
    <x v="0"/>
    <s v="OK"/>
    <x v="0"/>
    <x v="0"/>
    <n v="1"/>
    <n v="0"/>
    <n v="0"/>
    <n v="0"/>
    <x v="0"/>
    <x v="0"/>
    <x v="0"/>
  </r>
  <r>
    <s v="20523802861"/>
    <x v="18"/>
    <x v="18"/>
    <x v="3303"/>
    <x v="3316"/>
    <x v="1479"/>
    <n v="2"/>
    <x v="26"/>
    <s v="E17"/>
    <s v="AV. DEL TRABAJO 223 PJ. PRIMERO DE MAYO"/>
    <x v="10"/>
    <x v="0"/>
    <x v="6"/>
    <x v="1"/>
    <x v="407"/>
    <x v="0"/>
    <n v="4"/>
    <n v="112"/>
    <x v="0"/>
    <x v="1"/>
    <n v="8.9285714285714281E-3"/>
    <x v="17"/>
    <x v="2"/>
    <s v="OK"/>
    <x v="0"/>
    <s v="OK"/>
    <x v="0"/>
    <x v="0"/>
    <n v="1"/>
    <n v="0"/>
    <n v="0"/>
    <n v="0"/>
    <x v="0"/>
    <x v="0"/>
    <x v="0"/>
  </r>
  <r>
    <s v="20523802861"/>
    <x v="18"/>
    <x v="18"/>
    <x v="3304"/>
    <x v="3317"/>
    <x v="2889"/>
    <n v="2"/>
    <x v="112"/>
    <s v="E17"/>
    <s v="UCV 171 LT 03 AH HUAYCAN ZONA M"/>
    <x v="34"/>
    <x v="0"/>
    <x v="6"/>
    <x v="1"/>
    <x v="165"/>
    <x v="0"/>
    <n v="4"/>
    <n v="104"/>
    <x v="0"/>
    <x v="1"/>
    <n v="8.9285714285714281E-3"/>
    <x v="19"/>
    <x v="2"/>
    <s v="OK"/>
    <x v="1"/>
    <s v="OK"/>
    <x v="0"/>
    <x v="0"/>
    <n v="1"/>
    <n v="1"/>
    <n v="0"/>
    <n v="0"/>
    <x v="0"/>
    <x v="0"/>
    <x v="0"/>
  </r>
  <r>
    <s v="20523802861"/>
    <x v="18"/>
    <x v="18"/>
    <x v="3305"/>
    <x v="3318"/>
    <x v="2890"/>
    <n v="2"/>
    <x v="114"/>
    <s v="E14"/>
    <s v="Mz D Lote19 Coop. Vivienda Alipio Ponce"/>
    <x v="53"/>
    <x v="0"/>
    <x v="6"/>
    <x v="1"/>
    <x v="122"/>
    <x v="0"/>
    <n v="4"/>
    <n v="216"/>
    <x v="0"/>
    <x v="1"/>
    <n v="8.9285714285714281E-3"/>
    <x v="14"/>
    <x v="2"/>
    <s v="OK"/>
    <x v="0"/>
    <s v="OK"/>
    <x v="0"/>
    <x v="0"/>
    <n v="1"/>
    <n v="0"/>
    <n v="0"/>
    <n v="0"/>
    <x v="0"/>
    <x v="0"/>
    <x v="0"/>
  </r>
  <r>
    <s v="20523802861"/>
    <x v="18"/>
    <x v="18"/>
    <x v="3306"/>
    <x v="3319"/>
    <x v="2891"/>
    <n v="2"/>
    <x v="114"/>
    <s v="E15"/>
    <s v="Asent. H. El parais de Belen Payer Mz a Lote 4"/>
    <x v="19"/>
    <x v="0"/>
    <x v="6"/>
    <x v="1"/>
    <x v="440"/>
    <x v="0"/>
    <n v="4"/>
    <n v="216"/>
    <x v="0"/>
    <x v="1"/>
    <n v="8.9285714285714281E-3"/>
    <x v="15"/>
    <x v="2"/>
    <s v="OK"/>
    <x v="0"/>
    <s v="OK"/>
    <x v="0"/>
    <x v="0"/>
    <n v="1"/>
    <n v="0"/>
    <n v="0"/>
    <n v="0"/>
    <x v="0"/>
    <x v="0"/>
    <x v="0"/>
  </r>
  <r>
    <s v="20523802861"/>
    <x v="18"/>
    <x v="18"/>
    <x v="3307"/>
    <x v="3320"/>
    <x v="2892"/>
    <n v="2"/>
    <x v="199"/>
    <s v="E17"/>
    <s v="JR. ENRIQUE PALACIOS Nª332"/>
    <x v="8"/>
    <x v="0"/>
    <x v="6"/>
    <x v="1"/>
    <x v="11"/>
    <x v="0"/>
    <n v="4"/>
    <n v="216"/>
    <x v="0"/>
    <x v="1"/>
    <n v="8.9285714285714281E-3"/>
    <x v="36"/>
    <x v="4"/>
    <s v="OK"/>
    <x v="0"/>
    <s v="OK"/>
    <x v="0"/>
    <x v="0"/>
    <n v="1"/>
    <n v="0"/>
    <n v="0"/>
    <n v="0"/>
    <x v="0"/>
    <x v="0"/>
    <x v="0"/>
  </r>
  <r>
    <s v="20523802861"/>
    <x v="18"/>
    <x v="18"/>
    <x v="3308"/>
    <x v="3321"/>
    <x v="2893"/>
    <n v="2"/>
    <x v="398"/>
    <s v="E05"/>
    <s v="MZ N LT 1 PSJE ROSA Y CALLE ROSARIO-SANTA EULALIA"/>
    <x v="60"/>
    <x v="0"/>
    <x v="6"/>
    <x v="1"/>
    <x v="671"/>
    <x v="0"/>
    <n v="4"/>
    <n v="104"/>
    <x v="0"/>
    <x v="1"/>
    <n v="8.9285714285714281E-3"/>
    <x v="7"/>
    <x v="1"/>
    <s v="OK"/>
    <x v="0"/>
    <s v="OK"/>
    <x v="0"/>
    <x v="0"/>
    <n v="1"/>
    <n v="0"/>
    <n v="0"/>
    <n v="0"/>
    <x v="0"/>
    <x v="0"/>
    <x v="0"/>
  </r>
  <r>
    <s v="20523802861"/>
    <x v="18"/>
    <x v="18"/>
    <x v="3309"/>
    <x v="3322"/>
    <x v="2894"/>
    <n v="1"/>
    <x v="116"/>
    <s v="E16"/>
    <s v="URBANIZACION CULTURA MODERNA MZ A25 LT 17. "/>
    <x v="27"/>
    <x v="0"/>
    <x v="6"/>
    <x v="1"/>
    <x v="822"/>
    <x v="0"/>
    <n v="1"/>
    <n v="216"/>
    <x v="0"/>
    <x v="1"/>
    <n v="8.9285714285714281E-3"/>
    <x v="2"/>
    <x v="0"/>
    <s v="OK"/>
    <x v="5"/>
    <s v="OK"/>
    <x v="0"/>
    <x v="0"/>
    <n v="1"/>
    <n v="1"/>
    <n v="0"/>
    <n v="0"/>
    <x v="0"/>
    <x v="0"/>
    <x v="0"/>
  </r>
  <r>
    <s v="20523802861"/>
    <x v="18"/>
    <x v="18"/>
    <x v="3310"/>
    <x v="3323"/>
    <x v="2895"/>
    <n v="2"/>
    <x v="111"/>
    <s v="E14"/>
    <s v="Asoc de viv las lomas de amauta vitarte MZ.B'LT.8"/>
    <x v="0"/>
    <x v="0"/>
    <x v="6"/>
    <x v="1"/>
    <x v="110"/>
    <x v="0"/>
    <n v="4"/>
    <n v="120"/>
    <x v="0"/>
    <x v="1"/>
    <n v="8.9285714285714281E-3"/>
    <x v="3"/>
    <x v="0"/>
    <s v="OK"/>
    <x v="0"/>
    <s v="OK"/>
    <x v="0"/>
    <x v="0"/>
    <n v="1"/>
    <n v="0"/>
    <n v="0"/>
    <n v="0"/>
    <x v="0"/>
    <x v="0"/>
    <x v="0"/>
  </r>
  <r>
    <s v="20523802861"/>
    <x v="18"/>
    <x v="18"/>
    <x v="3311"/>
    <x v="3324"/>
    <x v="2896"/>
    <n v="2"/>
    <x v="114"/>
    <s v="E15"/>
    <s v="Jr. 24 de agosto 163 km 11 La Libertad"/>
    <x v="0"/>
    <x v="0"/>
    <x v="6"/>
    <x v="1"/>
    <x v="422"/>
    <x v="0"/>
    <n v="4"/>
    <n v="216"/>
    <x v="0"/>
    <x v="1"/>
    <n v="8.9285714285714281E-3"/>
    <x v="16"/>
    <x v="2"/>
    <s v="OK"/>
    <x v="0"/>
    <s v="OK"/>
    <x v="0"/>
    <x v="0"/>
    <n v="1"/>
    <n v="0"/>
    <n v="0"/>
    <n v="0"/>
    <x v="0"/>
    <x v="0"/>
    <x v="0"/>
  </r>
  <r>
    <s v="20523802861"/>
    <x v="18"/>
    <x v="18"/>
    <x v="3312"/>
    <x v="3325"/>
    <x v="2897"/>
    <n v="1"/>
    <x v="341"/>
    <s v="E15"/>
    <s v="JR. ANTARES 546 URB. VENTURA ROSSI "/>
    <x v="13"/>
    <x v="0"/>
    <x v="6"/>
    <x v="1"/>
    <x v="844"/>
    <x v="0"/>
    <n v="1"/>
    <n v="208"/>
    <x v="0"/>
    <x v="1"/>
    <n v="8.9285714285714281E-3"/>
    <x v="24"/>
    <x v="3"/>
    <s v="OK"/>
    <x v="0"/>
    <s v="OK"/>
    <x v="0"/>
    <x v="0"/>
    <n v="1"/>
    <n v="0"/>
    <n v="0"/>
    <n v="0"/>
    <x v="0"/>
    <x v="0"/>
    <x v="0"/>
  </r>
  <r>
    <s v="20523802861"/>
    <x v="18"/>
    <x v="18"/>
    <x v="3313"/>
    <x v="3326"/>
    <x v="2898"/>
    <n v="2"/>
    <x v="399"/>
    <s v="E14"/>
    <s v="San Juan de Miraflores, America, calle unión"/>
    <x v="53"/>
    <x v="0"/>
    <x v="6"/>
    <x v="1"/>
    <x v="530"/>
    <x v="0"/>
    <n v="4"/>
    <n v="128"/>
    <x v="0"/>
    <x v="1"/>
    <n v="8.9285714285714281E-3"/>
    <x v="20"/>
    <x v="2"/>
    <s v="OK"/>
    <x v="0"/>
    <s v="OK"/>
    <x v="0"/>
    <x v="0"/>
    <n v="1"/>
    <n v="0"/>
    <n v="0"/>
    <n v="0"/>
    <x v="0"/>
    <x v="0"/>
    <x v="0"/>
  </r>
  <r>
    <s v="20523802861"/>
    <x v="18"/>
    <x v="18"/>
    <x v="3314"/>
    <x v="3327"/>
    <x v="2899"/>
    <n v="2"/>
    <x v="92"/>
    <s v="E14"/>
    <s v="UCV 217 CLT 11 HUAYCAN"/>
    <x v="34"/>
    <x v="0"/>
    <x v="6"/>
    <x v="1"/>
    <x v="671"/>
    <x v="0"/>
    <n v="4"/>
    <n v="128"/>
    <x v="0"/>
    <x v="1"/>
    <n v="8.9285714285714281E-3"/>
    <x v="7"/>
    <x v="1"/>
    <s v="OK"/>
    <x v="1"/>
    <s v="OK"/>
    <x v="0"/>
    <x v="0"/>
    <n v="1"/>
    <n v="1"/>
    <n v="0"/>
    <n v="0"/>
    <x v="0"/>
    <x v="0"/>
    <x v="0"/>
  </r>
  <r>
    <s v="20523802861"/>
    <x v="18"/>
    <x v="18"/>
    <x v="3315"/>
    <x v="3328"/>
    <x v="1623"/>
    <n v="1"/>
    <x v="113"/>
    <s v="E15"/>
    <s v="Urb villa los Ávalos MZ c lot 4"/>
    <x v="44"/>
    <x v="1"/>
    <x v="6"/>
    <x v="1"/>
    <x v="678"/>
    <x v="0"/>
    <n v="1"/>
    <n v="216"/>
    <x v="0"/>
    <x v="1"/>
    <n v="8.9285714285714281E-3"/>
    <x v="19"/>
    <x v="2"/>
    <s v="OK"/>
    <x v="0"/>
    <s v="OK"/>
    <x v="0"/>
    <x v="0"/>
    <n v="1"/>
    <n v="0"/>
    <n v="0"/>
    <n v="0"/>
    <x v="0"/>
    <x v="0"/>
    <x v="0"/>
  </r>
  <r>
    <s v="20523802861"/>
    <x v="18"/>
    <x v="18"/>
    <x v="3316"/>
    <x v="3329"/>
    <x v="456"/>
    <n v="1"/>
    <x v="113"/>
    <s v="E05"/>
    <s v="JR. TAHUANTINSUYO 558"/>
    <x v="0"/>
    <x v="0"/>
    <x v="6"/>
    <x v="1"/>
    <x v="845"/>
    <x v="0"/>
    <n v="1"/>
    <n v="216"/>
    <x v="0"/>
    <x v="1"/>
    <n v="8.9285714285714281E-3"/>
    <x v="8"/>
    <x v="1"/>
    <s v="OK"/>
    <x v="0"/>
    <s v="OK"/>
    <x v="0"/>
    <x v="0"/>
    <n v="1"/>
    <n v="0"/>
    <n v="0"/>
    <n v="0"/>
    <x v="0"/>
    <x v="0"/>
    <x v="0"/>
  </r>
  <r>
    <s v="20523802861"/>
    <x v="18"/>
    <x v="18"/>
    <x v="3317"/>
    <x v="3330"/>
    <x v="400"/>
    <n v="2"/>
    <x v="92"/>
    <s v="E05"/>
    <s v="JR. LIBERTAD 351"/>
    <x v="13"/>
    <x v="0"/>
    <x v="6"/>
    <x v="1"/>
    <x v="671"/>
    <x v="0"/>
    <n v="4"/>
    <n v="104"/>
    <x v="0"/>
    <x v="1"/>
    <n v="8.9285714285714281E-3"/>
    <x v="8"/>
    <x v="1"/>
    <s v="OK"/>
    <x v="0"/>
    <s v="OK"/>
    <x v="0"/>
    <x v="0"/>
    <n v="1"/>
    <n v="0"/>
    <n v="0"/>
    <n v="0"/>
    <x v="0"/>
    <x v="0"/>
    <x v="0"/>
  </r>
  <r>
    <s v="20523802861"/>
    <x v="18"/>
    <x v="18"/>
    <x v="3318"/>
    <x v="3331"/>
    <x v="2900"/>
    <n v="2"/>
    <x v="400"/>
    <s v="E14"/>
    <s v="CALLE J AAHH HORACIO ZEVALLOS GRUPO C MZ H LT.13"/>
    <x v="34"/>
    <x v="0"/>
    <x v="6"/>
    <x v="1"/>
    <x v="164"/>
    <x v="0"/>
    <n v="4"/>
    <n v="104"/>
    <x v="0"/>
    <x v="1"/>
    <n v="8.9285714285714281E-3"/>
    <x v="17"/>
    <x v="2"/>
    <s v="OK"/>
    <x v="1"/>
    <s v="OK"/>
    <x v="0"/>
    <x v="0"/>
    <n v="1"/>
    <n v="1"/>
    <n v="0"/>
    <n v="0"/>
    <x v="0"/>
    <x v="0"/>
    <x v="0"/>
  </r>
  <r>
    <s v="20523802861"/>
    <x v="18"/>
    <x v="18"/>
    <x v="3319"/>
    <x v="3332"/>
    <x v="2901"/>
    <n v="1"/>
    <x v="113"/>
    <s v="E17"/>
    <s v="Av. San Pedro de Carabayllo 685 Urb. Santa Isabel"/>
    <x v="54"/>
    <x v="0"/>
    <x v="6"/>
    <x v="1"/>
    <x v="554"/>
    <x v="0"/>
    <n v="1"/>
    <n v="216"/>
    <x v="0"/>
    <x v="1"/>
    <n v="8.9285714285714281E-3"/>
    <x v="14"/>
    <x v="2"/>
    <s v="OK"/>
    <x v="0"/>
    <s v="OK"/>
    <x v="0"/>
    <x v="0"/>
    <n v="1"/>
    <n v="0"/>
    <n v="0"/>
    <n v="0"/>
    <x v="0"/>
    <x v="0"/>
    <x v="0"/>
  </r>
  <r>
    <s v="20523802861"/>
    <x v="18"/>
    <x v="18"/>
    <x v="3320"/>
    <x v="3333"/>
    <x v="2902"/>
    <n v="2"/>
    <x v="26"/>
    <s v="E14"/>
    <s v="JESUS MORALES 832 ZONA A"/>
    <x v="53"/>
    <x v="0"/>
    <x v="6"/>
    <x v="1"/>
    <x v="846"/>
    <x v="0"/>
    <n v="4"/>
    <n v="128"/>
    <x v="0"/>
    <x v="1"/>
    <n v="8.9285714285714281E-3"/>
    <x v="3"/>
    <x v="0"/>
    <s v="OK"/>
    <x v="0"/>
    <s v="OK"/>
    <x v="0"/>
    <x v="0"/>
    <n v="1"/>
    <n v="0"/>
    <n v="0"/>
    <n v="0"/>
    <x v="0"/>
    <x v="0"/>
    <x v="0"/>
  </r>
  <r>
    <s v="20523802861"/>
    <x v="18"/>
    <x v="18"/>
    <x v="3321"/>
    <x v="3334"/>
    <x v="2903"/>
    <n v="2"/>
    <x v="26"/>
    <s v="E05"/>
    <s v="AAHH. NUEVO AMANECER MZ R2 LT6"/>
    <x v="15"/>
    <x v="0"/>
    <x v="6"/>
    <x v="1"/>
    <x v="847"/>
    <x v="0"/>
    <n v="4"/>
    <n v="120"/>
    <x v="0"/>
    <x v="1"/>
    <n v="8.9285714285714281E-3"/>
    <x v="12"/>
    <x v="1"/>
    <s v="OK"/>
    <x v="0"/>
    <s v="OK"/>
    <x v="0"/>
    <x v="0"/>
    <n v="1"/>
    <n v="0"/>
    <n v="0"/>
    <n v="0"/>
    <x v="0"/>
    <x v="0"/>
    <x v="0"/>
  </r>
  <r>
    <s v="20523802861"/>
    <x v="18"/>
    <x v="18"/>
    <x v="3322"/>
    <x v="3335"/>
    <x v="2904"/>
    <n v="2"/>
    <x v="401"/>
    <s v="E17"/>
    <s v="ASENT. H. CERRO CANDELA MZ. R LT. 6"/>
    <x v="34"/>
    <x v="0"/>
    <x v="6"/>
    <x v="1"/>
    <x v="530"/>
    <x v="0"/>
    <n v="4"/>
    <n v="120"/>
    <x v="0"/>
    <x v="1"/>
    <n v="8.9285714285714281E-3"/>
    <x v="13"/>
    <x v="1"/>
    <s v="OK"/>
    <x v="1"/>
    <s v="OK"/>
    <x v="0"/>
    <x v="0"/>
    <n v="1"/>
    <n v="1"/>
    <n v="0"/>
    <n v="0"/>
    <x v="0"/>
    <x v="0"/>
    <x v="0"/>
  </r>
  <r>
    <n v="20451703901"/>
    <x v="19"/>
    <x v="19"/>
    <x v="3323"/>
    <x v="3336"/>
    <x v="2905"/>
    <n v="1"/>
    <x v="96"/>
    <s v="ESTACIÓN 06"/>
    <s v="ASOC. DE VIV. LAS PRADERAS ANEXO 8 MZ. G1 LT. 28"/>
    <x v="95"/>
    <x v="0"/>
    <x v="0"/>
    <x v="1"/>
    <x v="229"/>
    <x v="0"/>
    <n v="1"/>
    <n v="200"/>
    <x v="0"/>
    <x v="1"/>
    <n v="5.4644808743169399E-3"/>
    <x v="18"/>
    <x v="2"/>
    <s v="OK"/>
    <x v="0"/>
    <s v="OK"/>
    <x v="0"/>
    <x v="0"/>
    <n v="1"/>
    <n v="0"/>
    <n v="0"/>
    <n v="0"/>
    <x v="0"/>
    <x v="0"/>
    <x v="0"/>
  </r>
  <r>
    <n v="20451703903"/>
    <x v="19"/>
    <x v="19"/>
    <x v="3324"/>
    <x v="3337"/>
    <x v="2906"/>
    <n v="2"/>
    <x v="8"/>
    <s v="ESTACIÓN 8 - ELIO"/>
    <s v="CALLE CONSQUISTADORES MZ L"/>
    <x v="53"/>
    <x v="0"/>
    <x v="7"/>
    <x v="1"/>
    <x v="610"/>
    <x v="2"/>
    <n v="4"/>
    <n v="100"/>
    <x v="0"/>
    <x v="1"/>
    <n v="5.4644808743169399E-3"/>
    <x v="8"/>
    <x v="1"/>
    <s v="OK"/>
    <x v="0"/>
    <s v="OK"/>
    <x v="0"/>
    <x v="0"/>
    <n v="1"/>
    <n v="0"/>
    <n v="0"/>
    <n v="1"/>
    <x v="0"/>
    <x v="1"/>
    <x v="0"/>
  </r>
  <r>
    <n v="20451703901"/>
    <x v="19"/>
    <x v="19"/>
    <x v="3325"/>
    <x v="3338"/>
    <x v="2907"/>
    <n v="2"/>
    <x v="8"/>
    <s v="ESTACIÓN 06"/>
    <s v="ASENT. H. CONSTRUCTORES"/>
    <x v="15"/>
    <x v="0"/>
    <x v="0"/>
    <x v="1"/>
    <x v="848"/>
    <x v="0"/>
    <n v="4"/>
    <n v="216"/>
    <x v="0"/>
    <x v="1"/>
    <n v="5.4644808743169399E-3"/>
    <x v="8"/>
    <x v="1"/>
    <s v="OK"/>
    <x v="0"/>
    <s v="OK"/>
    <x v="0"/>
    <x v="0"/>
    <n v="1"/>
    <n v="0"/>
    <n v="0"/>
    <n v="0"/>
    <x v="0"/>
    <x v="0"/>
    <x v="0"/>
  </r>
  <r>
    <n v="20451703903"/>
    <x v="19"/>
    <x v="19"/>
    <x v="3326"/>
    <x v="3339"/>
    <x v="2908"/>
    <n v="2"/>
    <x v="11"/>
    <s v="ESTACIÓN 8 - ELIO"/>
    <s v="CALLE CERRO DE PASCO 0009"/>
    <x v="376"/>
    <x v="0"/>
    <x v="7"/>
    <x v="1"/>
    <x v="279"/>
    <x v="2"/>
    <n v="4"/>
    <n v="100"/>
    <x v="0"/>
    <x v="1"/>
    <n v="5.4644808743169399E-3"/>
    <x v="27"/>
    <x v="3"/>
    <s v="OK"/>
    <x v="0"/>
    <s v="OK"/>
    <x v="0"/>
    <x v="0"/>
    <n v="1"/>
    <n v="0"/>
    <n v="0"/>
    <n v="1"/>
    <x v="0"/>
    <x v="1"/>
    <x v="0"/>
  </r>
  <r>
    <n v="20451703901"/>
    <x v="19"/>
    <x v="19"/>
    <x v="3327"/>
    <x v="3340"/>
    <x v="2909"/>
    <n v="2"/>
    <x v="11"/>
    <s v="ESTACIÓN 06"/>
    <s v="MZ K L 45 P. J. EL PACIFICO"/>
    <x v="49"/>
    <x v="0"/>
    <x v="0"/>
    <x v="1"/>
    <x v="46"/>
    <x v="0"/>
    <n v="4"/>
    <n v="216"/>
    <x v="0"/>
    <x v="1"/>
    <n v="5.4644808743169399E-3"/>
    <x v="39"/>
    <x v="4"/>
    <s v="OK"/>
    <x v="0"/>
    <s v="OK"/>
    <x v="0"/>
    <x v="0"/>
    <n v="1"/>
    <n v="0"/>
    <n v="0"/>
    <n v="0"/>
    <x v="0"/>
    <x v="0"/>
    <x v="0"/>
  </r>
  <r>
    <n v="20451703901"/>
    <x v="19"/>
    <x v="19"/>
    <x v="3328"/>
    <x v="3341"/>
    <x v="2910"/>
    <n v="2"/>
    <x v="11"/>
    <s v="ESTACIÓN 06"/>
    <s v="AV. PRINCIPAL ASENT. CERRO PACIFICO LOS LADRILLEROS MZ K LT 45"/>
    <x v="49"/>
    <x v="0"/>
    <x v="0"/>
    <x v="1"/>
    <x v="610"/>
    <x v="0"/>
    <n v="4"/>
    <n v="216"/>
    <x v="0"/>
    <x v="1"/>
    <n v="5.4644808743169399E-3"/>
    <x v="25"/>
    <x v="3"/>
    <s v="OK"/>
    <x v="0"/>
    <s v="OK"/>
    <x v="0"/>
    <x v="0"/>
    <n v="1"/>
    <n v="0"/>
    <n v="0"/>
    <n v="0"/>
    <x v="0"/>
    <x v="0"/>
    <x v="0"/>
  </r>
  <r>
    <n v="20451703901"/>
    <x v="19"/>
    <x v="19"/>
    <x v="3329"/>
    <x v="3342"/>
    <x v="2911"/>
    <n v="2"/>
    <x v="8"/>
    <s v="ESTACIÓN 06"/>
    <s v="ASENT. H. UPIS LAS MERCEDES GRUPO 3 MZ. C1 LT. 14"/>
    <x v="58"/>
    <x v="0"/>
    <x v="0"/>
    <x v="1"/>
    <x v="610"/>
    <x v="0"/>
    <n v="4"/>
    <n v="174"/>
    <x v="0"/>
    <x v="1"/>
    <n v="5.4644808743169399E-3"/>
    <x v="12"/>
    <x v="1"/>
    <s v="OK"/>
    <x v="0"/>
    <s v="OK"/>
    <x v="0"/>
    <x v="0"/>
    <n v="1"/>
    <n v="0"/>
    <n v="0"/>
    <n v="0"/>
    <x v="0"/>
    <x v="0"/>
    <x v="0"/>
  </r>
  <r>
    <n v="20451703901"/>
    <x v="19"/>
    <x v="19"/>
    <x v="3330"/>
    <x v="3343"/>
    <x v="2912"/>
    <n v="2"/>
    <x v="18"/>
    <s v="ESTACIÓN 06"/>
    <s v="CALLE PORTADA DEL SOL 264 COOP CHANCAS DE ANDAHUAYLAS"/>
    <x v="27"/>
    <x v="0"/>
    <x v="5"/>
    <x v="1"/>
    <x v="610"/>
    <x v="2"/>
    <n v="4"/>
    <n v="142.5"/>
    <x v="0"/>
    <x v="1"/>
    <n v="5.4644808743169399E-3"/>
    <x v="39"/>
    <x v="4"/>
    <s v="OK"/>
    <x v="5"/>
    <s v="OK"/>
    <x v="0"/>
    <x v="0"/>
    <n v="1"/>
    <n v="1"/>
    <n v="0"/>
    <n v="1"/>
    <x v="0"/>
    <x v="1"/>
    <x v="0"/>
  </r>
  <r>
    <n v="20566343631"/>
    <x v="26"/>
    <x v="25"/>
    <x v="3331"/>
    <x v="3344"/>
    <x v="1483"/>
    <n v="1"/>
    <x v="88"/>
    <s v="Trazo y Replanteo para Instalaciones Electricas Túnel - Etapa 01B"/>
    <s v="Asoc. El Rosal Mz B5 Lt13"/>
    <x v="1"/>
    <x v="0"/>
    <x v="0"/>
    <x v="1"/>
    <x v="849"/>
    <x v="0"/>
    <n v="1"/>
    <n v="184"/>
    <x v="0"/>
    <x v="1"/>
    <n v="5.0251256281407036E-3"/>
    <x v="17"/>
    <x v="2"/>
    <s v="OK"/>
    <x v="1"/>
    <s v="OK"/>
    <x v="0"/>
    <x v="0"/>
    <n v="1"/>
    <n v="1"/>
    <n v="0"/>
    <n v="0"/>
    <x v="0"/>
    <x v="0"/>
    <x v="0"/>
  </r>
  <r>
    <n v="20566343631"/>
    <x v="26"/>
    <x v="25"/>
    <x v="3332"/>
    <x v="3345"/>
    <x v="2913"/>
    <n v="1"/>
    <x v="402"/>
    <s v="Trazo y Replanteo para Instalaciones Electricas Túnel - Etapa 01B"/>
    <s v="Calle 9 de diciembre 127 Urb. Chacra Cerro"/>
    <x v="0"/>
    <x v="0"/>
    <x v="0"/>
    <x v="1"/>
    <x v="850"/>
    <x v="0"/>
    <n v="1"/>
    <n v="184"/>
    <x v="0"/>
    <x v="1"/>
    <n v="5.0251256281407036E-3"/>
    <x v="21"/>
    <x v="2"/>
    <s v="OK"/>
    <x v="0"/>
    <s v="OK"/>
    <x v="0"/>
    <x v="0"/>
    <n v="1"/>
    <n v="0"/>
    <n v="0"/>
    <n v="0"/>
    <x v="0"/>
    <x v="0"/>
    <x v="0"/>
  </r>
  <r>
    <n v="20566343631"/>
    <x v="26"/>
    <x v="25"/>
    <x v="3333"/>
    <x v="3346"/>
    <x v="2914"/>
    <n v="2"/>
    <x v="345"/>
    <s v="Trazo y Replanteo para Instalaciones Electricas Túnel - Etapa 01B"/>
    <s v="Agrp. Vecinal Nueva Mayoria Proyecto Mz. E Lote 1"/>
    <x v="15"/>
    <x v="0"/>
    <x v="0"/>
    <x v="1"/>
    <x v="851"/>
    <x v="0"/>
    <n v="4"/>
    <n v="184"/>
    <x v="0"/>
    <x v="1"/>
    <n v="5.0251256281407036E-3"/>
    <x v="19"/>
    <x v="2"/>
    <s v="OK"/>
    <x v="0"/>
    <s v="OK"/>
    <x v="0"/>
    <x v="0"/>
    <n v="1"/>
    <n v="0"/>
    <n v="0"/>
    <n v="0"/>
    <x v="0"/>
    <x v="0"/>
    <x v="0"/>
  </r>
  <r>
    <n v="20566343631"/>
    <x v="26"/>
    <x v="25"/>
    <x v="3334"/>
    <x v="3347"/>
    <x v="2915"/>
    <n v="1"/>
    <x v="205"/>
    <s v="Trazo y Replanteo para Instalaciones Electricas Túnel - Etapa 01B"/>
    <s v="Pasaje Canadá N° 164 A"/>
    <x v="46"/>
    <x v="0"/>
    <x v="8"/>
    <x v="1"/>
    <x v="852"/>
    <x v="2"/>
    <n v="1"/>
    <n v="184"/>
    <x v="0"/>
    <x v="1"/>
    <n v="5.0251256281407036E-3"/>
    <x v="12"/>
    <x v="1"/>
    <s v="OK"/>
    <x v="7"/>
    <s v="OK"/>
    <x v="0"/>
    <x v="0"/>
    <n v="1"/>
    <n v="1"/>
    <n v="0"/>
    <n v="1"/>
    <x v="0"/>
    <x v="1"/>
    <x v="0"/>
  </r>
  <r>
    <n v="20566343631"/>
    <x v="26"/>
    <x v="25"/>
    <x v="3335"/>
    <x v="3348"/>
    <x v="2916"/>
    <n v="2"/>
    <x v="37"/>
    <s v="Trazo y Replanteo para Instalaciones Electricas Túnel - Etapa 01B"/>
    <s v="Mz. E Sub Lote 4D Urb. Villa Vitarte"/>
    <x v="1"/>
    <x v="0"/>
    <x v="0"/>
    <x v="1"/>
    <x v="853"/>
    <x v="0"/>
    <n v="4"/>
    <n v="184"/>
    <x v="0"/>
    <x v="1"/>
    <n v="5.0251256281407036E-3"/>
    <x v="23"/>
    <x v="3"/>
    <s v="OK"/>
    <x v="1"/>
    <s v="OK"/>
    <x v="0"/>
    <x v="0"/>
    <n v="1"/>
    <n v="1"/>
    <n v="0"/>
    <n v="0"/>
    <x v="0"/>
    <x v="0"/>
    <x v="0"/>
  </r>
  <r>
    <n v="20566343631"/>
    <x v="26"/>
    <x v="25"/>
    <x v="3336"/>
    <x v="3349"/>
    <x v="651"/>
    <n v="1"/>
    <x v="88"/>
    <s v="Trazo y Replanteo para Instalaciones Electricas Túnel - Etapa 01B"/>
    <s v="Calle Las Ñustas N° 960"/>
    <x v="25"/>
    <x v="0"/>
    <x v="0"/>
    <x v="1"/>
    <x v="840"/>
    <x v="0"/>
    <n v="1"/>
    <n v="184"/>
    <x v="0"/>
    <x v="1"/>
    <n v="5.0251256281407036E-3"/>
    <x v="11"/>
    <x v="1"/>
    <s v="OK"/>
    <x v="4"/>
    <s v="OK"/>
    <x v="0"/>
    <x v="0"/>
    <n v="1"/>
    <n v="1"/>
    <n v="0"/>
    <n v="0"/>
    <x v="0"/>
    <x v="0"/>
    <x v="0"/>
  </r>
  <r>
    <n v="20566343631"/>
    <x v="26"/>
    <x v="25"/>
    <x v="3337"/>
    <x v="3350"/>
    <x v="2917"/>
    <n v="1"/>
    <x v="88"/>
    <s v="Trazo y Replanteo para Instalaciones Electricas Túnel - Etapa 01B"/>
    <s v="Calle 31 AA.HH. Las Laderas de Chillon"/>
    <x v="4"/>
    <x v="1"/>
    <x v="0"/>
    <x v="1"/>
    <x v="840"/>
    <x v="0"/>
    <n v="1"/>
    <n v="184"/>
    <x v="0"/>
    <x v="1"/>
    <n v="5.0251256281407036E-3"/>
    <x v="16"/>
    <x v="2"/>
    <s v="OK"/>
    <x v="0"/>
    <s v="OK"/>
    <x v="0"/>
    <x v="0"/>
    <n v="1"/>
    <n v="0"/>
    <n v="0"/>
    <n v="0"/>
    <x v="0"/>
    <x v="0"/>
    <x v="0"/>
  </r>
  <r>
    <n v="20566343631"/>
    <x v="26"/>
    <x v="25"/>
    <x v="3338"/>
    <x v="3351"/>
    <x v="2918"/>
    <n v="1"/>
    <x v="141"/>
    <s v="Trazo y Replanteo para Instalaciones Electricas Túnel - Etapa 01B"/>
    <s v="Pachacutec K1-13"/>
    <x v="377"/>
    <x v="0"/>
    <x v="0"/>
    <x v="1"/>
    <x v="854"/>
    <x v="0"/>
    <n v="1"/>
    <n v="184"/>
    <x v="0"/>
    <x v="1"/>
    <n v="5.0251256281407036E-3"/>
    <x v="20"/>
    <x v="2"/>
    <s v="OK"/>
    <x v="0"/>
    <s v="OK"/>
    <x v="0"/>
    <x v="0"/>
    <n v="1"/>
    <n v="0"/>
    <n v="0"/>
    <n v="0"/>
    <x v="0"/>
    <x v="0"/>
    <x v="0"/>
  </r>
  <r>
    <n v="20566343631"/>
    <x v="26"/>
    <x v="25"/>
    <x v="3339"/>
    <x v="3352"/>
    <x v="2919"/>
    <n v="2"/>
    <x v="345"/>
    <s v="Trazo y Replanteo para Instalaciones Electricas Túnel - Etapa 01B"/>
    <s v="AA.HH. Alto El Molino Mz. H02 Lote 23"/>
    <x v="79"/>
    <x v="0"/>
    <x v="0"/>
    <x v="1"/>
    <x v="832"/>
    <x v="0"/>
    <n v="4"/>
    <n v="184"/>
    <x v="0"/>
    <x v="1"/>
    <n v="5.0251256281407036E-3"/>
    <x v="39"/>
    <x v="4"/>
    <s v="OK"/>
    <x v="0"/>
    <s v="OK"/>
    <x v="0"/>
    <x v="0"/>
    <n v="1"/>
    <n v="0"/>
    <n v="0"/>
    <n v="0"/>
    <x v="0"/>
    <x v="0"/>
    <x v="0"/>
  </r>
  <r>
    <n v="20566343631"/>
    <x v="26"/>
    <x v="25"/>
    <x v="3340"/>
    <x v="3353"/>
    <x v="2920"/>
    <n v="2"/>
    <x v="345"/>
    <s v="Trazo y Replanteo para Instalaciones Electricas Túnel - Etapa 01B"/>
    <s v="AA.HH. Limatambo Norte Mz. C Lote 5"/>
    <x v="78"/>
    <x v="0"/>
    <x v="1"/>
    <x v="3"/>
    <x v="832"/>
    <x v="2"/>
    <n v="4"/>
    <n v="60"/>
    <x v="0"/>
    <x v="1"/>
    <n v="5.0251256281407036E-3"/>
    <x v="20"/>
    <x v="2"/>
    <s v="OK"/>
    <x v="6"/>
    <s v="OK"/>
    <x v="0"/>
    <x v="0"/>
    <n v="1"/>
    <n v="1"/>
    <n v="0"/>
    <n v="1"/>
    <x v="0"/>
    <x v="1"/>
    <x v="0"/>
  </r>
  <r>
    <n v="20566343631"/>
    <x v="26"/>
    <x v="25"/>
    <x v="3341"/>
    <x v="3354"/>
    <x v="2921"/>
    <n v="2"/>
    <x v="345"/>
    <s v="Trazo y Replanteo para Instalaciones Electricas Túnel - Etapa 01B"/>
    <s v="Caserio Salitre Mz. B Lote 1"/>
    <x v="269"/>
    <x v="0"/>
    <x v="2"/>
    <x v="1"/>
    <x v="832"/>
    <x v="2"/>
    <n v="4"/>
    <n v="0"/>
    <x v="0"/>
    <x v="1"/>
    <n v="5.0251256281407036E-3"/>
    <x v="20"/>
    <x v="2"/>
    <s v="OK"/>
    <x v="0"/>
    <s v="OK"/>
    <x v="0"/>
    <x v="0"/>
    <n v="1"/>
    <n v="0"/>
    <n v="0"/>
    <n v="1"/>
    <x v="0"/>
    <x v="1"/>
    <x v="0"/>
  </r>
  <r>
    <n v="20566343631"/>
    <x v="26"/>
    <x v="25"/>
    <x v="3342"/>
    <x v="3355"/>
    <x v="2922"/>
    <n v="2"/>
    <x v="36"/>
    <s v="Trazo y Replanteo para Instalaciones Electricas Túnel - Etapa 01B"/>
    <s v="Calle Las Esmeraldas de Manchay Sect. Pedregal Mz. X06"/>
    <x v="58"/>
    <x v="0"/>
    <x v="0"/>
    <x v="1"/>
    <x v="855"/>
    <x v="0"/>
    <n v="4"/>
    <n v="184"/>
    <x v="0"/>
    <x v="1"/>
    <n v="5.0251256281407036E-3"/>
    <x v="20"/>
    <x v="2"/>
    <s v="OK"/>
    <x v="0"/>
    <s v="OK"/>
    <x v="0"/>
    <x v="0"/>
    <n v="1"/>
    <n v="0"/>
    <n v="0"/>
    <n v="0"/>
    <x v="0"/>
    <x v="0"/>
    <x v="0"/>
  </r>
  <r>
    <n v="20566343631"/>
    <x v="26"/>
    <x v="25"/>
    <x v="3343"/>
    <x v="3356"/>
    <x v="1262"/>
    <n v="1"/>
    <x v="403"/>
    <s v="Trazo y Replanteo para Instalaciones Electricas Túnel - Etapa 01B"/>
    <s v="Av. Alcides Carrión Lote 86 A Edificio 10"/>
    <x v="1"/>
    <x v="1"/>
    <x v="0"/>
    <x v="1"/>
    <x v="220"/>
    <x v="0"/>
    <n v="1"/>
    <n v="184"/>
    <x v="0"/>
    <x v="1"/>
    <n v="5.0251256281407036E-3"/>
    <x v="22"/>
    <x v="2"/>
    <s v="OK"/>
    <x v="1"/>
    <s v="OK"/>
    <x v="0"/>
    <x v="0"/>
    <n v="1"/>
    <n v="1"/>
    <n v="0"/>
    <n v="0"/>
    <x v="0"/>
    <x v="0"/>
    <x v="0"/>
  </r>
  <r>
    <n v="20566343631"/>
    <x v="26"/>
    <x v="25"/>
    <x v="3344"/>
    <x v="3357"/>
    <x v="1337"/>
    <n v="1"/>
    <x v="52"/>
    <s v="Trazo y Replanteo para Instalaciones Electricas Túnel - Etapa 01B"/>
    <s v="Calle Carlos Herrera N° 250 Urb. El Planeta"/>
    <x v="10"/>
    <x v="1"/>
    <x v="0"/>
    <x v="1"/>
    <x v="220"/>
    <x v="0"/>
    <n v="1"/>
    <n v="184"/>
    <x v="0"/>
    <x v="1"/>
    <n v="5.0251256281407036E-3"/>
    <x v="15"/>
    <x v="2"/>
    <s v="OK"/>
    <x v="0"/>
    <s v="OK"/>
    <x v="0"/>
    <x v="0"/>
    <n v="1"/>
    <n v="0"/>
    <n v="0"/>
    <n v="0"/>
    <x v="0"/>
    <x v="0"/>
    <x v="0"/>
  </r>
  <r>
    <n v="20566343631"/>
    <x v="26"/>
    <x v="25"/>
    <x v="3345"/>
    <x v="3358"/>
    <x v="1329"/>
    <n v="2"/>
    <x v="37"/>
    <s v="Trazo y Replanteo para Instalaciones Electricas Túnel - Etapa 01B"/>
    <s v="Mz. B Lote 18 Asoc. Pro Viv. Viques"/>
    <x v="1"/>
    <x v="0"/>
    <x v="0"/>
    <x v="1"/>
    <x v="233"/>
    <x v="0"/>
    <n v="4"/>
    <n v="184"/>
    <x v="0"/>
    <x v="1"/>
    <n v="5.0251256281407036E-3"/>
    <x v="17"/>
    <x v="2"/>
    <s v="OK"/>
    <x v="1"/>
    <s v="OK"/>
    <x v="0"/>
    <x v="0"/>
    <n v="1"/>
    <n v="1"/>
    <n v="0"/>
    <n v="0"/>
    <x v="0"/>
    <x v="0"/>
    <x v="0"/>
  </r>
  <r>
    <n v="20566343631"/>
    <x v="26"/>
    <x v="25"/>
    <x v="3346"/>
    <x v="3359"/>
    <x v="2923"/>
    <n v="1"/>
    <x v="404"/>
    <s v="Trazo y Replanteo para Instalaciones Electricas Túnel - Etapa 01B"/>
    <s v="Cooperativa Pablo Patron 20"/>
    <x v="50"/>
    <x v="0"/>
    <x v="0"/>
    <x v="1"/>
    <x v="1"/>
    <x v="0"/>
    <n v="1"/>
    <n v="184"/>
    <x v="0"/>
    <x v="1"/>
    <n v="5.0251256281407036E-3"/>
    <x v="6"/>
    <x v="1"/>
    <s v="OK"/>
    <x v="0"/>
    <s v="OK"/>
    <x v="0"/>
    <x v="0"/>
    <n v="1"/>
    <n v="0"/>
    <n v="0"/>
    <n v="0"/>
    <x v="0"/>
    <x v="0"/>
    <x v="0"/>
  </r>
  <r>
    <n v="20566343631"/>
    <x v="26"/>
    <x v="25"/>
    <x v="3347"/>
    <x v="3360"/>
    <x v="2924"/>
    <n v="1"/>
    <x v="233"/>
    <s v="Trazo y Replanteo para Instalaciones Electricas Túnel - Etapa 01B"/>
    <s v="Jr. Asunción N° 301 Urb. El Parral"/>
    <x v="0"/>
    <x v="0"/>
    <x v="0"/>
    <x v="1"/>
    <x v="219"/>
    <x v="0"/>
    <n v="1"/>
    <n v="184"/>
    <x v="0"/>
    <x v="1"/>
    <n v="5.0251256281407036E-3"/>
    <x v="24"/>
    <x v="3"/>
    <s v="OK"/>
    <x v="0"/>
    <s v="OK"/>
    <x v="0"/>
    <x v="0"/>
    <n v="1"/>
    <n v="0"/>
    <n v="0"/>
    <n v="0"/>
    <x v="0"/>
    <x v="0"/>
    <x v="0"/>
  </r>
  <r>
    <n v="20566343631"/>
    <x v="26"/>
    <x v="25"/>
    <x v="3348"/>
    <x v="3361"/>
    <x v="2925"/>
    <n v="1"/>
    <x v="405"/>
    <s v="Trazo y Replanteo para Instalaciones Electricas Túnel - Etapa 01B"/>
    <s v="Av. Tupac Amaru N° 852 Urb. Jose Carlos Mariategui"/>
    <x v="15"/>
    <x v="0"/>
    <x v="0"/>
    <x v="1"/>
    <x v="219"/>
    <x v="0"/>
    <n v="1"/>
    <n v="184"/>
    <x v="0"/>
    <x v="1"/>
    <n v="5.0251256281407036E-3"/>
    <x v="8"/>
    <x v="1"/>
    <s v="OK"/>
    <x v="0"/>
    <s v="OK"/>
    <x v="0"/>
    <x v="0"/>
    <n v="1"/>
    <n v="0"/>
    <n v="0"/>
    <n v="0"/>
    <x v="0"/>
    <x v="0"/>
    <x v="0"/>
  </r>
  <r>
    <n v="20566343631"/>
    <x v="26"/>
    <x v="25"/>
    <x v="3349"/>
    <x v="3362"/>
    <x v="2047"/>
    <n v="1"/>
    <x v="205"/>
    <s v="Trazo y Replanteo para Instalaciones Electricas Túnel - Etapa 01B"/>
    <s v="Mz. N Lote 14 Grupo V AA.HH. Cruz de Motupe"/>
    <x v="15"/>
    <x v="0"/>
    <x v="0"/>
    <x v="1"/>
    <x v="856"/>
    <x v="0"/>
    <n v="1"/>
    <n v="184"/>
    <x v="0"/>
    <x v="1"/>
    <n v="5.0251256281407036E-3"/>
    <x v="28"/>
    <x v="3"/>
    <s v="OK"/>
    <x v="0"/>
    <s v="OK"/>
    <x v="0"/>
    <x v="0"/>
    <n v="1"/>
    <n v="0"/>
    <n v="0"/>
    <n v="0"/>
    <x v="0"/>
    <x v="0"/>
    <x v="0"/>
  </r>
  <r>
    <n v="20566343631"/>
    <x v="26"/>
    <x v="25"/>
    <x v="3350"/>
    <x v="3363"/>
    <x v="2926"/>
    <n v="1"/>
    <x v="205"/>
    <s v="Trazo y Replanteo para Instalaciones Electricas Túnel - Etapa 01B"/>
    <s v="Av. Tupac Amaru N° 321 Urb. Jose Carlos Mariategui"/>
    <x v="8"/>
    <x v="0"/>
    <x v="0"/>
    <x v="1"/>
    <x v="119"/>
    <x v="0"/>
    <n v="1"/>
    <n v="184"/>
    <x v="0"/>
    <x v="1"/>
    <n v="5.0251256281407036E-3"/>
    <x v="39"/>
    <x v="4"/>
    <s v="OK"/>
    <x v="0"/>
    <s v="OK"/>
    <x v="0"/>
    <x v="0"/>
    <n v="1"/>
    <n v="0"/>
    <n v="0"/>
    <n v="0"/>
    <x v="0"/>
    <x v="0"/>
    <x v="0"/>
  </r>
  <r>
    <n v="20566343631"/>
    <x v="26"/>
    <x v="25"/>
    <x v="3351"/>
    <x v="3364"/>
    <x v="2927"/>
    <n v="2"/>
    <x v="37"/>
    <s v="Trazo y Replanteo para Instalaciones Electricas Túnel - Etapa 01B"/>
    <s v="Mz. N Lote 14 AA.HH. Tupac Amaru"/>
    <x v="1"/>
    <x v="0"/>
    <x v="0"/>
    <x v="1"/>
    <x v="120"/>
    <x v="0"/>
    <n v="4"/>
    <n v="184"/>
    <x v="0"/>
    <x v="1"/>
    <n v="5.0251256281407036E-3"/>
    <x v="13"/>
    <x v="1"/>
    <s v="OK"/>
    <x v="1"/>
    <s v="OK"/>
    <x v="0"/>
    <x v="0"/>
    <n v="1"/>
    <n v="1"/>
    <n v="0"/>
    <n v="0"/>
    <x v="0"/>
    <x v="0"/>
    <x v="0"/>
  </r>
  <r>
    <n v="20566343631"/>
    <x v="26"/>
    <x v="25"/>
    <x v="3352"/>
    <x v="3365"/>
    <x v="2928"/>
    <n v="2"/>
    <x v="345"/>
    <s v="Trazo y Replanteo para Instalaciones Electricas Túnel - Etapa 01B"/>
    <s v="Jr. Raymundo Carcamo N° 970 Urb. Santa Catalina"/>
    <x v="25"/>
    <x v="0"/>
    <x v="0"/>
    <x v="1"/>
    <x v="857"/>
    <x v="0"/>
    <n v="4"/>
    <n v="184"/>
    <x v="0"/>
    <x v="1"/>
    <n v="5.0251256281407036E-3"/>
    <x v="39"/>
    <x v="4"/>
    <s v="OK"/>
    <x v="4"/>
    <s v="OK"/>
    <x v="0"/>
    <x v="0"/>
    <n v="1"/>
    <n v="1"/>
    <n v="0"/>
    <n v="0"/>
    <x v="0"/>
    <x v="0"/>
    <x v="0"/>
  </r>
  <r>
    <n v="20566343631"/>
    <x v="26"/>
    <x v="25"/>
    <x v="3353"/>
    <x v="3366"/>
    <x v="2929"/>
    <n v="2"/>
    <x v="36"/>
    <s v="Trazo y Replanteo para Instalaciones Electricas Túnel - Etapa 01B"/>
    <s v="Calle Berlin N° 270"/>
    <x v="146"/>
    <x v="0"/>
    <x v="0"/>
    <x v="1"/>
    <x v="857"/>
    <x v="0"/>
    <n v="4"/>
    <n v="184"/>
    <x v="0"/>
    <x v="1"/>
    <n v="5.0251256281407036E-3"/>
    <x v="8"/>
    <x v="1"/>
    <s v="OK"/>
    <x v="0"/>
    <s v="OK"/>
    <x v="0"/>
    <x v="0"/>
    <n v="1"/>
    <n v="0"/>
    <n v="0"/>
    <n v="0"/>
    <x v="0"/>
    <x v="0"/>
    <x v="0"/>
  </r>
  <r>
    <n v="20566343631"/>
    <x v="26"/>
    <x v="25"/>
    <x v="3354"/>
    <x v="3367"/>
    <x v="1581"/>
    <n v="2"/>
    <x v="37"/>
    <s v="Trazo y Replanteo para Instalaciones Electricas Túnel - Etapa 01B"/>
    <s v="Mz. E Lote 4 Asoc. Villa Vitarte"/>
    <x v="1"/>
    <x v="0"/>
    <x v="0"/>
    <x v="1"/>
    <x v="858"/>
    <x v="0"/>
    <n v="4"/>
    <n v="184"/>
    <x v="0"/>
    <x v="1"/>
    <n v="5.0251256281407036E-3"/>
    <x v="21"/>
    <x v="2"/>
    <s v="OK"/>
    <x v="1"/>
    <s v="OK"/>
    <x v="0"/>
    <x v="0"/>
    <n v="1"/>
    <n v="1"/>
    <n v="0"/>
    <n v="0"/>
    <x v="0"/>
    <x v="0"/>
    <x v="0"/>
  </r>
  <r>
    <n v="20566343631"/>
    <x v="26"/>
    <x v="25"/>
    <x v="3355"/>
    <x v="3368"/>
    <x v="432"/>
    <n v="2"/>
    <x v="36"/>
    <s v="Trazo y Replanteo para Instalaciones Electricas Túnel - Etapa 01B"/>
    <s v="Caserio Salitre S/N"/>
    <x v="269"/>
    <x v="0"/>
    <x v="0"/>
    <x v="1"/>
    <x v="858"/>
    <x v="0"/>
    <n v="4"/>
    <n v="184"/>
    <x v="0"/>
    <x v="1"/>
    <n v="5.0251256281407036E-3"/>
    <x v="6"/>
    <x v="1"/>
    <s v="OK"/>
    <x v="0"/>
    <s v="OK"/>
    <x v="0"/>
    <x v="0"/>
    <n v="1"/>
    <n v="0"/>
    <n v="0"/>
    <n v="0"/>
    <x v="0"/>
    <x v="0"/>
    <x v="0"/>
  </r>
  <r>
    <n v="20566343631"/>
    <x v="26"/>
    <x v="25"/>
    <x v="3356"/>
    <x v="3369"/>
    <x v="2930"/>
    <n v="1"/>
    <x v="90"/>
    <s v="Trazo y Replanteo para Instalaciones Electricas Túnel - Etapa 01B"/>
    <s v="MZ. G LT 5 COMITÉ 57 RAUL PORRAS BARRENECHEA"/>
    <x v="54"/>
    <x v="0"/>
    <x v="0"/>
    <x v="1"/>
    <x v="858"/>
    <x v="0"/>
    <n v="1"/>
    <n v="184"/>
    <x v="0"/>
    <x v="1"/>
    <n v="5.0251256281407036E-3"/>
    <x v="37"/>
    <x v="4"/>
    <s v="OK"/>
    <x v="0"/>
    <s v="OK"/>
    <x v="0"/>
    <x v="0"/>
    <n v="1"/>
    <n v="0"/>
    <n v="0"/>
    <n v="0"/>
    <x v="0"/>
    <x v="0"/>
    <x v="0"/>
  </r>
  <r>
    <n v="20566343631"/>
    <x v="26"/>
    <x v="25"/>
    <x v="3357"/>
    <x v="3370"/>
    <x v="2931"/>
    <n v="1"/>
    <x v="69"/>
    <s v="Trazo y Replanteo para Instalaciones Electricas Túnel - Etapa 01B"/>
    <s v="Estrella 390 Vitarte"/>
    <x v="34"/>
    <x v="0"/>
    <x v="0"/>
    <x v="1"/>
    <x v="858"/>
    <x v="0"/>
    <n v="1"/>
    <n v="184"/>
    <x v="0"/>
    <x v="1"/>
    <n v="5.0251256281407036E-3"/>
    <x v="15"/>
    <x v="2"/>
    <s v="OK"/>
    <x v="1"/>
    <s v="OK"/>
    <x v="0"/>
    <x v="0"/>
    <n v="1"/>
    <n v="1"/>
    <n v="0"/>
    <n v="0"/>
    <x v="0"/>
    <x v="0"/>
    <x v="0"/>
  </r>
  <r>
    <n v="20566343631"/>
    <x v="26"/>
    <x v="25"/>
    <x v="3358"/>
    <x v="3371"/>
    <x v="2932"/>
    <n v="1"/>
    <x v="61"/>
    <s v="Trazo y Replanteo para Instalaciones Electricas Túnel - Etapa 01B"/>
    <s v="Av. Elmer Faucett 132 Urb. Reynoso"/>
    <x v="63"/>
    <x v="0"/>
    <x v="0"/>
    <x v="1"/>
    <x v="259"/>
    <x v="0"/>
    <n v="1"/>
    <n v="184"/>
    <x v="0"/>
    <x v="1"/>
    <n v="5.0251256281407036E-3"/>
    <x v="35"/>
    <x v="4"/>
    <s v="OK"/>
    <x v="2"/>
    <s v="OK"/>
    <x v="0"/>
    <x v="0"/>
    <n v="1"/>
    <n v="1"/>
    <n v="0"/>
    <n v="0"/>
    <x v="0"/>
    <x v="0"/>
    <x v="0"/>
  </r>
  <r>
    <n v="20566343631"/>
    <x v="26"/>
    <x v="25"/>
    <x v="3359"/>
    <x v="3372"/>
    <x v="2933"/>
    <n v="1"/>
    <x v="381"/>
    <s v="Trazo y Replanteo para Instalaciones Electricas Túnel - Etapa 01B"/>
    <s v="Jr. Salcedo 306"/>
    <x v="80"/>
    <x v="0"/>
    <x v="0"/>
    <x v="1"/>
    <x v="859"/>
    <x v="0"/>
    <n v="1"/>
    <n v="184"/>
    <x v="0"/>
    <x v="1"/>
    <n v="5.0251256281407036E-3"/>
    <x v="14"/>
    <x v="2"/>
    <s v="OK"/>
    <x v="0"/>
    <s v="OK"/>
    <x v="0"/>
    <x v="0"/>
    <n v="1"/>
    <n v="0"/>
    <n v="0"/>
    <n v="0"/>
    <x v="0"/>
    <x v="0"/>
    <x v="0"/>
  </r>
  <r>
    <n v="20566343631"/>
    <x v="26"/>
    <x v="25"/>
    <x v="3360"/>
    <x v="3373"/>
    <x v="2934"/>
    <n v="1"/>
    <x v="406"/>
    <s v="Trazo y Replanteo para Instalaciones Electricas Túnel - Etapa 01B"/>
    <s v="Jr. Antofagasta 2026"/>
    <x v="270"/>
    <x v="0"/>
    <x v="0"/>
    <x v="1"/>
    <x v="259"/>
    <x v="0"/>
    <n v="1"/>
    <n v="184"/>
    <x v="0"/>
    <x v="1"/>
    <n v="5.0251256281407036E-3"/>
    <x v="23"/>
    <x v="3"/>
    <s v="OK"/>
    <x v="0"/>
    <s v="OK"/>
    <x v="0"/>
    <x v="0"/>
    <n v="1"/>
    <n v="0"/>
    <n v="0"/>
    <n v="0"/>
    <x v="0"/>
    <x v="0"/>
    <x v="0"/>
  </r>
  <r>
    <n v="20566343631"/>
    <x v="26"/>
    <x v="25"/>
    <x v="3361"/>
    <x v="3374"/>
    <x v="2935"/>
    <n v="2"/>
    <x v="36"/>
    <s v="Trazo y Replanteo para Instalaciones Electricas Túnel - Etapa 01B"/>
    <s v="Jr. Puerto Rico 650"/>
    <x v="270"/>
    <x v="0"/>
    <x v="0"/>
    <x v="1"/>
    <x v="859"/>
    <x v="0"/>
    <n v="4"/>
    <n v="184"/>
    <x v="0"/>
    <x v="1"/>
    <n v="5.0251256281407036E-3"/>
    <x v="13"/>
    <x v="1"/>
    <s v="OK"/>
    <x v="0"/>
    <s v="OK"/>
    <x v="0"/>
    <x v="0"/>
    <n v="1"/>
    <n v="0"/>
    <n v="0"/>
    <n v="0"/>
    <x v="0"/>
    <x v="0"/>
    <x v="0"/>
  </r>
  <r>
    <n v="20566343631"/>
    <x v="26"/>
    <x v="25"/>
    <x v="3362"/>
    <x v="3375"/>
    <x v="301"/>
    <n v="2"/>
    <x v="345"/>
    <s v="Trazo y Replanteo para Instalaciones Electricas Túnel - Etapa 01B"/>
    <s v="Asoc. De Viv Chillon  MZ. O LT 34"/>
    <x v="4"/>
    <x v="0"/>
    <x v="0"/>
    <x v="1"/>
    <x v="426"/>
    <x v="0"/>
    <n v="4"/>
    <n v="184"/>
    <x v="0"/>
    <x v="1"/>
    <n v="5.0251256281407036E-3"/>
    <x v="12"/>
    <x v="1"/>
    <s v="OK"/>
    <x v="0"/>
    <s v="OK"/>
    <x v="0"/>
    <x v="0"/>
    <n v="1"/>
    <n v="0"/>
    <n v="0"/>
    <n v="0"/>
    <x v="0"/>
    <x v="0"/>
    <x v="0"/>
  </r>
  <r>
    <n v="20566343631"/>
    <x v="26"/>
    <x v="25"/>
    <x v="3363"/>
    <x v="3376"/>
    <x v="1345"/>
    <n v="2"/>
    <x v="407"/>
    <s v="Trazo y Replanteo para Instalaciones Electricas Túnel - Etapa 01B"/>
    <s v="Parque El Carmen N° 1227"/>
    <x v="118"/>
    <x v="0"/>
    <x v="0"/>
    <x v="1"/>
    <x v="531"/>
    <x v="0"/>
    <n v="4"/>
    <n v="184"/>
    <x v="0"/>
    <x v="1"/>
    <n v="5.0251256281407036E-3"/>
    <x v="19"/>
    <x v="2"/>
    <s v="OK"/>
    <x v="0"/>
    <s v="OK"/>
    <x v="0"/>
    <x v="0"/>
    <n v="1"/>
    <n v="0"/>
    <n v="0"/>
    <n v="0"/>
    <x v="0"/>
    <x v="0"/>
    <x v="0"/>
  </r>
  <r>
    <n v="20566343631"/>
    <x v="26"/>
    <x v="25"/>
    <x v="3364"/>
    <x v="3377"/>
    <x v="2936"/>
    <n v="2"/>
    <x v="302"/>
    <s v="Trazo y Replanteo para Instalaciones Electricas Túnel - Etapa 01B"/>
    <s v="Sector 1 Grupo 18 Mz. M 14"/>
    <x v="19"/>
    <x v="0"/>
    <x v="0"/>
    <x v="1"/>
    <x v="130"/>
    <x v="0"/>
    <n v="4"/>
    <n v="184"/>
    <x v="0"/>
    <x v="1"/>
    <n v="5.0251256281407036E-3"/>
    <x v="25"/>
    <x v="3"/>
    <s v="OK"/>
    <x v="0"/>
    <s v="OK"/>
    <x v="0"/>
    <x v="0"/>
    <n v="1"/>
    <n v="0"/>
    <n v="0"/>
    <n v="0"/>
    <x v="0"/>
    <x v="0"/>
    <x v="0"/>
  </r>
  <r>
    <n v="20566343631"/>
    <x v="26"/>
    <x v="25"/>
    <x v="3365"/>
    <x v="3378"/>
    <x v="2937"/>
    <n v="2"/>
    <x v="36"/>
    <s v="Trazo y Replanteo para Instalaciones Electricas Túnel - Etapa 01B"/>
    <s v="MZ. G LT 5 COMITÉ 57 RAUL PORRAS BARRENECHEA"/>
    <x v="54"/>
    <x v="0"/>
    <x v="0"/>
    <x v="1"/>
    <x v="130"/>
    <x v="0"/>
    <n v="4"/>
    <n v="184"/>
    <x v="0"/>
    <x v="1"/>
    <n v="5.0251256281407036E-3"/>
    <x v="8"/>
    <x v="1"/>
    <s v="OK"/>
    <x v="0"/>
    <s v="OK"/>
    <x v="0"/>
    <x v="0"/>
    <n v="1"/>
    <n v="0"/>
    <n v="0"/>
    <n v="0"/>
    <x v="0"/>
    <x v="0"/>
    <x v="0"/>
  </r>
  <r>
    <n v="20566343631"/>
    <x v="26"/>
    <x v="25"/>
    <x v="3366"/>
    <x v="3379"/>
    <x v="2938"/>
    <n v="2"/>
    <x v="37"/>
    <s v="Trazo y Replanteo para Instalaciones Electricas Túnel - Etapa 01B"/>
    <s v="Jr. Tayacaja N° 113 Urb. Jorge Chavez"/>
    <x v="78"/>
    <x v="0"/>
    <x v="0"/>
    <x v="1"/>
    <x v="130"/>
    <x v="0"/>
    <n v="4"/>
    <n v="184"/>
    <x v="0"/>
    <x v="1"/>
    <n v="5.0251256281407036E-3"/>
    <x v="1"/>
    <x v="0"/>
    <s v="OK"/>
    <x v="6"/>
    <s v="OK"/>
    <x v="0"/>
    <x v="0"/>
    <n v="1"/>
    <n v="1"/>
    <n v="0"/>
    <n v="0"/>
    <x v="0"/>
    <x v="0"/>
    <x v="0"/>
  </r>
  <r>
    <n v="20566343631"/>
    <x v="26"/>
    <x v="25"/>
    <x v="3367"/>
    <x v="3380"/>
    <x v="2939"/>
    <n v="2"/>
    <x v="37"/>
    <s v="Trazo y Replanteo para Instalaciones Electricas Túnel - Etapa 01B"/>
    <s v="Mz. E Lote 05 Agrup. Centenario"/>
    <x v="6"/>
    <x v="1"/>
    <x v="0"/>
    <x v="1"/>
    <x v="626"/>
    <x v="0"/>
    <n v="4"/>
    <n v="184"/>
    <x v="0"/>
    <x v="1"/>
    <n v="5.0251256281407036E-3"/>
    <x v="3"/>
    <x v="0"/>
    <s v="OK"/>
    <x v="2"/>
    <s v="OK"/>
    <x v="0"/>
    <x v="0"/>
    <n v="1"/>
    <n v="1"/>
    <n v="0"/>
    <n v="0"/>
    <x v="0"/>
    <x v="0"/>
    <x v="0"/>
  </r>
  <r>
    <n v="20566343631"/>
    <x v="26"/>
    <x v="25"/>
    <x v="3368"/>
    <x v="3381"/>
    <x v="2940"/>
    <n v="2"/>
    <x v="36"/>
    <s v="Trazo y Replanteo para Instalaciones Electricas Túnel - Etapa 01B"/>
    <s v="Caserio Lisboa"/>
    <x v="378"/>
    <x v="0"/>
    <x v="13"/>
    <x v="1"/>
    <x v="626"/>
    <x v="2"/>
    <n v="4"/>
    <n v="52"/>
    <x v="0"/>
    <x v="1"/>
    <n v="5.0251256281407036E-3"/>
    <x v="7"/>
    <x v="1"/>
    <s v="OK"/>
    <x v="0"/>
    <s v="OK"/>
    <x v="0"/>
    <x v="0"/>
    <n v="1"/>
    <n v="0"/>
    <n v="0"/>
    <n v="1"/>
    <x v="0"/>
    <x v="1"/>
    <x v="0"/>
  </r>
  <r>
    <n v="20566343631"/>
    <x v="26"/>
    <x v="25"/>
    <x v="3369"/>
    <x v="3382"/>
    <x v="2941"/>
    <n v="2"/>
    <x v="36"/>
    <s v="Trazo y Replanteo para Instalaciones Electricas Túnel - Etapa 01B"/>
    <s v="Av. San Luis Zona Pamplona Alta Mz. H-7 Lote 5"/>
    <x v="53"/>
    <x v="0"/>
    <x v="0"/>
    <x v="1"/>
    <x v="63"/>
    <x v="0"/>
    <n v="4"/>
    <n v="184"/>
    <x v="0"/>
    <x v="1"/>
    <n v="5.0251256281407036E-3"/>
    <x v="9"/>
    <x v="1"/>
    <s v="OK"/>
    <x v="0"/>
    <s v="OK"/>
    <x v="0"/>
    <x v="0"/>
    <n v="1"/>
    <n v="0"/>
    <n v="0"/>
    <n v="0"/>
    <x v="0"/>
    <x v="0"/>
    <x v="0"/>
  </r>
  <r>
    <n v="20566343631"/>
    <x v="26"/>
    <x v="25"/>
    <x v="3370"/>
    <x v="3383"/>
    <x v="2942"/>
    <n v="2"/>
    <x v="302"/>
    <s v="Trazo y Replanteo para Instalaciones Electricas Túnel - Etapa 01B"/>
    <s v="Calle 24 N° 356 Urb. Carabayllo"/>
    <x v="0"/>
    <x v="0"/>
    <x v="0"/>
    <x v="1"/>
    <x v="63"/>
    <x v="0"/>
    <n v="4"/>
    <n v="184"/>
    <x v="0"/>
    <x v="1"/>
    <n v="5.0251256281407036E-3"/>
    <x v="33"/>
    <x v="4"/>
    <s v="OK"/>
    <x v="0"/>
    <s v="OK"/>
    <x v="0"/>
    <x v="0"/>
    <n v="1"/>
    <n v="0"/>
    <n v="0"/>
    <n v="0"/>
    <x v="0"/>
    <x v="0"/>
    <x v="0"/>
  </r>
  <r>
    <n v="20566343631"/>
    <x v="26"/>
    <x v="25"/>
    <x v="3371"/>
    <x v="3384"/>
    <x v="2470"/>
    <n v="2"/>
    <x v="36"/>
    <s v="Trazo y Replanteo para Instalaciones Electricas Túnel - Etapa 01B"/>
    <s v="Asent. H. 10 de Octubre Mz. C-1 Lote 32"/>
    <x v="15"/>
    <x v="0"/>
    <x v="0"/>
    <x v="1"/>
    <x v="63"/>
    <x v="0"/>
    <n v="4"/>
    <n v="184"/>
    <x v="0"/>
    <x v="1"/>
    <n v="5.0251256281407036E-3"/>
    <x v="40"/>
    <x v="4"/>
    <s v="OK"/>
    <x v="0"/>
    <s v="OK"/>
    <x v="0"/>
    <x v="0"/>
    <n v="1"/>
    <n v="0"/>
    <n v="0"/>
    <n v="0"/>
    <x v="0"/>
    <x v="0"/>
    <x v="0"/>
  </r>
  <r>
    <n v="20566343631"/>
    <x v="26"/>
    <x v="25"/>
    <x v="3372"/>
    <x v="3385"/>
    <x v="2943"/>
    <n v="1"/>
    <x v="88"/>
    <s v="Trazo y Replanteo para Instalaciones Electricas Túnel - Etapa 01B"/>
    <s v="Calle Los Nardos N° 293 Urb. Entel Peru"/>
    <x v="53"/>
    <x v="0"/>
    <x v="0"/>
    <x v="1"/>
    <x v="110"/>
    <x v="0"/>
    <n v="1"/>
    <n v="184"/>
    <x v="0"/>
    <x v="1"/>
    <n v="5.0251256281407036E-3"/>
    <x v="16"/>
    <x v="2"/>
    <s v="OK"/>
    <x v="0"/>
    <s v="OK"/>
    <x v="0"/>
    <x v="0"/>
    <n v="1"/>
    <n v="0"/>
    <n v="0"/>
    <n v="0"/>
    <x v="0"/>
    <x v="0"/>
    <x v="0"/>
  </r>
  <r>
    <n v="20566343631"/>
    <x v="26"/>
    <x v="25"/>
    <x v="3373"/>
    <x v="3386"/>
    <x v="2944"/>
    <n v="1"/>
    <x v="61"/>
    <s v="Trazo y Replanteo para Instalaciones Electricas Túnel - Etapa 01B"/>
    <s v="Calle 19 Coop. Coopemar Mz. I Lote 9"/>
    <x v="2"/>
    <x v="0"/>
    <x v="0"/>
    <x v="1"/>
    <x v="110"/>
    <x v="0"/>
    <n v="1"/>
    <n v="184"/>
    <x v="0"/>
    <x v="1"/>
    <n v="5.0251256281407036E-3"/>
    <x v="19"/>
    <x v="2"/>
    <s v="OK"/>
    <x v="2"/>
    <s v="OK"/>
    <x v="0"/>
    <x v="0"/>
    <n v="1"/>
    <n v="1"/>
    <n v="0"/>
    <n v="0"/>
    <x v="0"/>
    <x v="0"/>
    <x v="0"/>
  </r>
  <r>
    <n v="20566343631"/>
    <x v="26"/>
    <x v="25"/>
    <x v="3374"/>
    <x v="3387"/>
    <x v="2945"/>
    <n v="2"/>
    <x v="37"/>
    <s v="Trazo y Replanteo para Instalaciones Electricas Túnel - Etapa 01B"/>
    <s v="El Carmen Mz. F Lote 2"/>
    <x v="6"/>
    <x v="0"/>
    <x v="0"/>
    <x v="1"/>
    <x v="554"/>
    <x v="0"/>
    <n v="4"/>
    <n v="184"/>
    <x v="0"/>
    <x v="1"/>
    <n v="5.0251256281407036E-3"/>
    <x v="11"/>
    <x v="1"/>
    <s v="OK"/>
    <x v="2"/>
    <s v="OK"/>
    <x v="0"/>
    <x v="0"/>
    <n v="1"/>
    <n v="1"/>
    <n v="0"/>
    <n v="0"/>
    <x v="0"/>
    <x v="0"/>
    <x v="0"/>
  </r>
  <r>
    <n v="20566343631"/>
    <x v="26"/>
    <x v="25"/>
    <x v="3375"/>
    <x v="3388"/>
    <x v="2946"/>
    <n v="1"/>
    <x v="408"/>
    <s v="Trazo y Replanteo para Instalaciones Electricas Túnel - Etapa 01B"/>
    <s v="Calle Pablo Arguedas Sector Las Orquideas Mz. F Lote 21"/>
    <x v="379"/>
    <x v="0"/>
    <x v="0"/>
    <x v="1"/>
    <x v="416"/>
    <x v="0"/>
    <n v="1"/>
    <n v="184"/>
    <x v="0"/>
    <x v="1"/>
    <n v="5.0251256281407036E-3"/>
    <x v="9"/>
    <x v="1"/>
    <s v="OK"/>
    <x v="0"/>
    <s v="OK"/>
    <x v="0"/>
    <x v="0"/>
    <n v="1"/>
    <n v="0"/>
    <n v="0"/>
    <n v="0"/>
    <x v="0"/>
    <x v="0"/>
    <x v="0"/>
  </r>
  <r>
    <n v="20566343631"/>
    <x v="26"/>
    <x v="25"/>
    <x v="3376"/>
    <x v="3389"/>
    <x v="2947"/>
    <n v="2"/>
    <x v="36"/>
    <s v="Trazo y Replanteo para Instalaciones Electricas Túnel - Etapa 01B"/>
    <s v="Calle Los Libertadores S/N"/>
    <x v="354"/>
    <x v="0"/>
    <x v="0"/>
    <x v="1"/>
    <x v="416"/>
    <x v="0"/>
    <n v="4"/>
    <n v="184"/>
    <x v="0"/>
    <x v="1"/>
    <n v="5.0251256281407036E-3"/>
    <x v="13"/>
    <x v="1"/>
    <s v="OK"/>
    <x v="0"/>
    <s v="OK"/>
    <x v="0"/>
    <x v="0"/>
    <n v="1"/>
    <n v="0"/>
    <n v="0"/>
    <n v="0"/>
    <x v="0"/>
    <x v="0"/>
    <x v="0"/>
  </r>
  <r>
    <n v="20566343631"/>
    <x v="26"/>
    <x v="25"/>
    <x v="3377"/>
    <x v="3390"/>
    <x v="2948"/>
    <n v="2"/>
    <x v="36"/>
    <s v="Trazo y Replanteo para Instalaciones Electricas Túnel - Etapa 01B"/>
    <s v="Av. Peru N° 3593"/>
    <x v="270"/>
    <x v="0"/>
    <x v="35"/>
    <x v="1"/>
    <x v="122"/>
    <x v="2"/>
    <n v="4"/>
    <n v="32"/>
    <x v="0"/>
    <x v="1"/>
    <n v="5.0251256281407036E-3"/>
    <x v="33"/>
    <x v="4"/>
    <s v="OK"/>
    <x v="0"/>
    <s v="OK"/>
    <x v="0"/>
    <x v="0"/>
    <n v="1"/>
    <n v="0"/>
    <n v="0"/>
    <n v="1"/>
    <x v="0"/>
    <x v="1"/>
    <x v="0"/>
  </r>
  <r>
    <n v="20566343631"/>
    <x v="26"/>
    <x v="25"/>
    <x v="3378"/>
    <x v="3391"/>
    <x v="2949"/>
    <n v="2"/>
    <x v="36"/>
    <s v="Trazo y Replanteo para Instalaciones Electricas Túnel - Etapa 01B"/>
    <s v="Pasaje Los Ficus Mz. E Lote 3 Santisima Cruz"/>
    <x v="44"/>
    <x v="0"/>
    <x v="0"/>
    <x v="1"/>
    <x v="122"/>
    <x v="0"/>
    <n v="4"/>
    <n v="184"/>
    <x v="0"/>
    <x v="1"/>
    <n v="5.0251256281407036E-3"/>
    <x v="11"/>
    <x v="1"/>
    <s v="OK"/>
    <x v="0"/>
    <s v="OK"/>
    <x v="0"/>
    <x v="0"/>
    <n v="1"/>
    <n v="0"/>
    <n v="0"/>
    <n v="0"/>
    <x v="0"/>
    <x v="0"/>
    <x v="0"/>
  </r>
  <r>
    <n v="20566343631"/>
    <x v="26"/>
    <x v="25"/>
    <x v="3379"/>
    <x v="3392"/>
    <x v="2950"/>
    <n v="2"/>
    <x v="302"/>
    <s v="Trazo y Replanteo para Instalaciones Electricas Túnel - Etapa 01B"/>
    <s v="Av. Carlos Izaguirre Mz. B Lote 15 Urb.  Kama"/>
    <x v="270"/>
    <x v="0"/>
    <x v="0"/>
    <x v="1"/>
    <x v="422"/>
    <x v="0"/>
    <n v="4"/>
    <n v="184"/>
    <x v="0"/>
    <x v="1"/>
    <n v="5.0251256281407036E-3"/>
    <x v="39"/>
    <x v="4"/>
    <s v="OK"/>
    <x v="0"/>
    <s v="OK"/>
    <x v="0"/>
    <x v="0"/>
    <n v="1"/>
    <n v="0"/>
    <n v="0"/>
    <n v="0"/>
    <x v="0"/>
    <x v="0"/>
    <x v="0"/>
  </r>
  <r>
    <n v="20566343631"/>
    <x v="26"/>
    <x v="25"/>
    <x v="3380"/>
    <x v="3393"/>
    <x v="2951"/>
    <n v="2"/>
    <x v="302"/>
    <s v="Trazo y Replanteo para Instalaciones Electricas Túnel - Etapa 01B"/>
    <s v="Sector I Grupo 11 Mz. H Lote 03"/>
    <x v="19"/>
    <x v="0"/>
    <x v="0"/>
    <x v="1"/>
    <x v="422"/>
    <x v="0"/>
    <n v="4"/>
    <n v="184"/>
    <x v="0"/>
    <x v="1"/>
    <n v="5.0251256281407036E-3"/>
    <x v="31"/>
    <x v="3"/>
    <s v="OK"/>
    <x v="0"/>
    <s v="OK"/>
    <x v="0"/>
    <x v="0"/>
    <n v="1"/>
    <n v="0"/>
    <n v="0"/>
    <n v="0"/>
    <x v="0"/>
    <x v="0"/>
    <x v="0"/>
  </r>
  <r>
    <n v="20566343631"/>
    <x v="26"/>
    <x v="25"/>
    <x v="3381"/>
    <x v="3394"/>
    <x v="2952"/>
    <n v="2"/>
    <x v="36"/>
    <s v="Trazo y Replanteo para Instalaciones Electricas Túnel - Etapa 01B"/>
    <s v="Pasaje Raul Porras Barrenechea Mz. N° 113 Lote 08"/>
    <x v="54"/>
    <x v="0"/>
    <x v="0"/>
    <x v="1"/>
    <x v="422"/>
    <x v="0"/>
    <n v="4"/>
    <n v="184"/>
    <x v="0"/>
    <x v="1"/>
    <n v="5.0251256281407036E-3"/>
    <x v="8"/>
    <x v="1"/>
    <s v="OK"/>
    <x v="0"/>
    <s v="OK"/>
    <x v="0"/>
    <x v="0"/>
    <n v="1"/>
    <n v="0"/>
    <n v="0"/>
    <n v="0"/>
    <x v="0"/>
    <x v="0"/>
    <x v="0"/>
  </r>
  <r>
    <n v="20566343631"/>
    <x v="26"/>
    <x v="25"/>
    <x v="3382"/>
    <x v="3395"/>
    <x v="464"/>
    <n v="1"/>
    <x v="61"/>
    <s v="Trazo y Replanteo para Instalaciones Electricas Túnel - Etapa 01B"/>
    <s v="Av. Tupac Amaru Urb. San Juan I Lote 15"/>
    <x v="100"/>
    <x v="0"/>
    <x v="0"/>
    <x v="1"/>
    <x v="242"/>
    <x v="0"/>
    <n v="1"/>
    <n v="184"/>
    <x v="0"/>
    <x v="1"/>
    <n v="5.0251256281407036E-3"/>
    <x v="12"/>
    <x v="1"/>
    <s v="OK"/>
    <x v="0"/>
    <s v="OK"/>
    <x v="0"/>
    <x v="0"/>
    <n v="1"/>
    <n v="0"/>
    <n v="0"/>
    <n v="0"/>
    <x v="0"/>
    <x v="0"/>
    <x v="0"/>
  </r>
  <r>
    <n v="20566343631"/>
    <x v="26"/>
    <x v="25"/>
    <x v="3383"/>
    <x v="3396"/>
    <x v="2953"/>
    <n v="2"/>
    <x v="37"/>
    <s v="Trazo y Replanteo para Instalaciones Electricas Túnel - Etapa 01B"/>
    <s v="Jr. Zarumilla N° 199"/>
    <x v="17"/>
    <x v="0"/>
    <x v="0"/>
    <x v="1"/>
    <x v="264"/>
    <x v="0"/>
    <n v="4"/>
    <n v="184"/>
    <x v="0"/>
    <x v="1"/>
    <n v="5.0251256281407036E-3"/>
    <x v="12"/>
    <x v="1"/>
    <s v="OK"/>
    <x v="2"/>
    <s v="OK"/>
    <x v="0"/>
    <x v="0"/>
    <n v="1"/>
    <n v="1"/>
    <n v="0"/>
    <n v="0"/>
    <x v="0"/>
    <x v="0"/>
    <x v="0"/>
  </r>
  <r>
    <n v="20566343631"/>
    <x v="26"/>
    <x v="25"/>
    <x v="3384"/>
    <x v="3397"/>
    <x v="2954"/>
    <n v="2"/>
    <x v="302"/>
    <s v="Trazo y Replanteo para Instalaciones Electricas Túnel - Etapa 01B"/>
    <s v="Pueblo Joven Santa Cruz de Comas Mz. N Lote 2-A"/>
    <x v="0"/>
    <x v="0"/>
    <x v="20"/>
    <x v="1"/>
    <x v="742"/>
    <x v="2"/>
    <n v="4"/>
    <n v="156"/>
    <x v="0"/>
    <x v="1"/>
    <n v="5.0251256281407036E-3"/>
    <x v="18"/>
    <x v="2"/>
    <s v="OK"/>
    <x v="0"/>
    <s v="OK"/>
    <x v="0"/>
    <x v="0"/>
    <n v="1"/>
    <n v="0"/>
    <n v="0"/>
    <n v="1"/>
    <x v="0"/>
    <x v="1"/>
    <x v="0"/>
  </r>
  <r>
    <n v="20566343631"/>
    <x v="26"/>
    <x v="25"/>
    <x v="3385"/>
    <x v="3398"/>
    <x v="1140"/>
    <n v="2"/>
    <x v="302"/>
    <s v="Trazo y Replanteo para Instalaciones Electricas Túnel - Etapa 01B"/>
    <s v="Calle Irlanda N° 131 Urb. Los Portales de Javier Prado"/>
    <x v="34"/>
    <x v="0"/>
    <x v="0"/>
    <x v="1"/>
    <x v="742"/>
    <x v="0"/>
    <n v="4"/>
    <n v="184"/>
    <x v="0"/>
    <x v="1"/>
    <n v="5.0251256281407036E-3"/>
    <x v="21"/>
    <x v="2"/>
    <s v="OK"/>
    <x v="1"/>
    <s v="OK"/>
    <x v="0"/>
    <x v="0"/>
    <n v="1"/>
    <n v="1"/>
    <n v="0"/>
    <n v="0"/>
    <x v="0"/>
    <x v="0"/>
    <x v="0"/>
  </r>
  <r>
    <n v="20566343631"/>
    <x v="26"/>
    <x v="25"/>
    <x v="3386"/>
    <x v="3399"/>
    <x v="2955"/>
    <n v="2"/>
    <x v="37"/>
    <s v="Trazo y Replanteo para Instalaciones Electricas Túnel - Etapa 01B"/>
    <s v="Agrupacion Centenario Mz. G LT 8"/>
    <x v="6"/>
    <x v="0"/>
    <x v="0"/>
    <x v="1"/>
    <x v="393"/>
    <x v="0"/>
    <n v="4"/>
    <n v="184"/>
    <x v="0"/>
    <x v="1"/>
    <n v="5.0251256281407036E-3"/>
    <x v="22"/>
    <x v="2"/>
    <s v="OK"/>
    <x v="2"/>
    <s v="OK"/>
    <x v="0"/>
    <x v="0"/>
    <n v="1"/>
    <n v="1"/>
    <n v="0"/>
    <n v="0"/>
    <x v="0"/>
    <x v="0"/>
    <x v="0"/>
  </r>
  <r>
    <n v="20566343631"/>
    <x v="26"/>
    <x v="25"/>
    <x v="3387"/>
    <x v="3400"/>
    <x v="2955"/>
    <n v="2"/>
    <x v="37"/>
    <s v="Trazo y Replanteo para Instalaciones Electricas Túnel - Etapa 01B"/>
    <s v="Calle Cuarta 341 Urb. Chacaritas"/>
    <x v="6"/>
    <x v="0"/>
    <x v="0"/>
    <x v="1"/>
    <x v="265"/>
    <x v="0"/>
    <n v="4"/>
    <n v="184"/>
    <x v="0"/>
    <x v="1"/>
    <n v="5.0251256281407036E-3"/>
    <x v="22"/>
    <x v="2"/>
    <s v="OK"/>
    <x v="2"/>
    <s v="OK"/>
    <x v="0"/>
    <x v="0"/>
    <n v="1"/>
    <n v="1"/>
    <n v="0"/>
    <n v="0"/>
    <x v="0"/>
    <x v="0"/>
    <x v="0"/>
  </r>
  <r>
    <n v="20566343631"/>
    <x v="26"/>
    <x v="25"/>
    <x v="3388"/>
    <x v="3401"/>
    <x v="2955"/>
    <n v="2"/>
    <x v="36"/>
    <s v="Trazo y Replanteo para Instalaciones Electricas Túnel - Etapa 01B"/>
    <s v="Asent. H. Señor de los Milagros Mz. A-09"/>
    <x v="380"/>
    <x v="0"/>
    <x v="0"/>
    <x v="1"/>
    <x v="48"/>
    <x v="0"/>
    <n v="4"/>
    <n v="184"/>
    <x v="0"/>
    <x v="1"/>
    <n v="5.0251256281407036E-3"/>
    <x v="22"/>
    <x v="2"/>
    <s v="OK"/>
    <x v="0"/>
    <s v="OK"/>
    <x v="0"/>
    <x v="0"/>
    <n v="1"/>
    <n v="0"/>
    <n v="0"/>
    <n v="0"/>
    <x v="0"/>
    <x v="0"/>
    <x v="0"/>
  </r>
  <r>
    <n v="20566343631"/>
    <x v="26"/>
    <x v="25"/>
    <x v="3389"/>
    <x v="3402"/>
    <x v="2955"/>
    <n v="2"/>
    <x v="302"/>
    <s v="Trazo y Replanteo para Instalaciones Electricas Túnel - Etapa 01B"/>
    <s v="Mz. V LT. 15 ASENT. H. HIJOS DE PERALES II"/>
    <x v="27"/>
    <x v="0"/>
    <x v="0"/>
    <x v="1"/>
    <x v="48"/>
    <x v="0"/>
    <n v="4"/>
    <n v="184"/>
    <x v="0"/>
    <x v="1"/>
    <n v="5.0251256281407036E-3"/>
    <x v="22"/>
    <x v="2"/>
    <s v="OK"/>
    <x v="5"/>
    <s v="OK"/>
    <x v="0"/>
    <x v="0"/>
    <n v="1"/>
    <n v="1"/>
    <n v="0"/>
    <n v="0"/>
    <x v="0"/>
    <x v="0"/>
    <x v="0"/>
  </r>
  <r>
    <n v="20566343631"/>
    <x v="26"/>
    <x v="25"/>
    <x v="3390"/>
    <x v="3403"/>
    <x v="2956"/>
    <n v="1"/>
    <x v="409"/>
    <s v="Trazo y Replanteo para Instalaciones Electricas Túnel - Etapa 01B"/>
    <s v="PSJ C MZ B LT 19 ASENT. H. JUAN PABLO II"/>
    <x v="6"/>
    <x v="0"/>
    <x v="0"/>
    <x v="1"/>
    <x v="526"/>
    <x v="0"/>
    <n v="1"/>
    <n v="184"/>
    <x v="0"/>
    <x v="1"/>
    <n v="5.0251256281407036E-3"/>
    <x v="22"/>
    <x v="2"/>
    <s v="OK"/>
    <x v="2"/>
    <s v="OK"/>
    <x v="0"/>
    <x v="0"/>
    <n v="1"/>
    <n v="1"/>
    <n v="0"/>
    <n v="0"/>
    <x v="0"/>
    <x v="0"/>
    <x v="0"/>
  </r>
  <r>
    <n v="20566343631"/>
    <x v="26"/>
    <x v="25"/>
    <x v="3391"/>
    <x v="3404"/>
    <x v="2955"/>
    <n v="2"/>
    <x v="36"/>
    <s v="Trazo y Replanteo para Instalaciones Electricas Túnel - Etapa 01B"/>
    <s v="Caserio Salitre S/N"/>
    <x v="269"/>
    <x v="0"/>
    <x v="0"/>
    <x v="1"/>
    <x v="205"/>
    <x v="0"/>
    <n v="4"/>
    <n v="184"/>
    <x v="0"/>
    <x v="1"/>
    <n v="5.0251256281407036E-3"/>
    <x v="22"/>
    <x v="2"/>
    <s v="OK"/>
    <x v="0"/>
    <s v="OK"/>
    <x v="0"/>
    <x v="0"/>
    <n v="1"/>
    <n v="0"/>
    <n v="0"/>
    <n v="0"/>
    <x v="0"/>
    <x v="0"/>
    <x v="0"/>
  </r>
  <r>
    <n v="20566343631"/>
    <x v="26"/>
    <x v="25"/>
    <x v="3392"/>
    <x v="3405"/>
    <x v="2957"/>
    <n v="1"/>
    <x v="139"/>
    <s v="Trazo y Replanteo para Instalaciones Electricas Túnel - Etapa 01B"/>
    <s v="Jr. Pedro Unanue 172 4To Piso Urb. Antares"/>
    <x v="270"/>
    <x v="0"/>
    <x v="0"/>
    <x v="1"/>
    <x v="611"/>
    <x v="0"/>
    <n v="1"/>
    <n v="184"/>
    <x v="0"/>
    <x v="1"/>
    <n v="5.0251256281407036E-3"/>
    <x v="18"/>
    <x v="2"/>
    <s v="OK"/>
    <x v="0"/>
    <s v="OK"/>
    <x v="0"/>
    <x v="0"/>
    <n v="1"/>
    <n v="0"/>
    <n v="0"/>
    <n v="0"/>
    <x v="0"/>
    <x v="0"/>
    <x v="0"/>
  </r>
  <r>
    <n v="20566343631"/>
    <x v="26"/>
    <x v="25"/>
    <x v="3393"/>
    <x v="3406"/>
    <x v="2955"/>
    <n v="2"/>
    <x v="37"/>
    <s v="Trazo y Replanteo para Instalaciones Electricas Túnel - Etapa 01B"/>
    <s v="Av. Zarumilla 500 - La Perla"/>
    <x v="6"/>
    <x v="0"/>
    <x v="24"/>
    <x v="1"/>
    <x v="10"/>
    <x v="2"/>
    <n v="4"/>
    <n v="132"/>
    <x v="0"/>
    <x v="1"/>
    <n v="5.0251256281407036E-3"/>
    <x v="22"/>
    <x v="2"/>
    <s v="OK"/>
    <x v="2"/>
    <s v="OK"/>
    <x v="0"/>
    <x v="0"/>
    <n v="1"/>
    <n v="1"/>
    <n v="0"/>
    <n v="1"/>
    <x v="0"/>
    <x v="1"/>
    <x v="0"/>
  </r>
  <r>
    <n v="20566343631"/>
    <x v="26"/>
    <x v="25"/>
    <x v="3394"/>
    <x v="3407"/>
    <x v="2955"/>
    <n v="1"/>
    <x v="61"/>
    <s v="Trazo y Replanteo para Instalaciones Electricas Túnel - Etapa 01B"/>
    <s v="Av. Ferrocarril Mz. 38A LT 10"/>
    <x v="8"/>
    <x v="0"/>
    <x v="0"/>
    <x v="1"/>
    <x v="309"/>
    <x v="0"/>
    <n v="1"/>
    <n v="184"/>
    <x v="0"/>
    <x v="1"/>
    <n v="5.0251256281407036E-3"/>
    <x v="22"/>
    <x v="2"/>
    <s v="OK"/>
    <x v="0"/>
    <s v="OK"/>
    <x v="0"/>
    <x v="0"/>
    <n v="1"/>
    <n v="0"/>
    <n v="0"/>
    <n v="0"/>
    <x v="0"/>
    <x v="0"/>
    <x v="0"/>
  </r>
  <r>
    <n v="20566343631"/>
    <x v="26"/>
    <x v="25"/>
    <x v="3395"/>
    <x v="3408"/>
    <x v="2955"/>
    <n v="2"/>
    <x v="36"/>
    <s v="Trazo y Replanteo para Instalaciones Electricas Túnel - Etapa 01B"/>
    <s v="Mz. J Lote 03 Comité 57 Raul Porras Barrenechea"/>
    <x v="54"/>
    <x v="0"/>
    <x v="0"/>
    <x v="1"/>
    <x v="771"/>
    <x v="0"/>
    <n v="4"/>
    <n v="184"/>
    <x v="0"/>
    <x v="1"/>
    <n v="5.0251256281407036E-3"/>
    <x v="22"/>
    <x v="2"/>
    <s v="OK"/>
    <x v="0"/>
    <s v="OK"/>
    <x v="0"/>
    <x v="0"/>
    <n v="1"/>
    <n v="0"/>
    <n v="0"/>
    <n v="0"/>
    <x v="0"/>
    <x v="0"/>
    <x v="0"/>
  </r>
  <r>
    <n v="20566343631"/>
    <x v="26"/>
    <x v="25"/>
    <x v="3396"/>
    <x v="3409"/>
    <x v="2955"/>
    <n v="2"/>
    <x v="302"/>
    <s v="Trazo y Replanteo para Instalaciones Electricas Túnel - Etapa 01B"/>
    <s v="Jr. Gonzales Prada 345"/>
    <x v="0"/>
    <x v="0"/>
    <x v="0"/>
    <x v="1"/>
    <x v="771"/>
    <x v="0"/>
    <n v="4"/>
    <n v="184"/>
    <x v="0"/>
    <x v="1"/>
    <n v="5.0251256281407036E-3"/>
    <x v="22"/>
    <x v="2"/>
    <s v="OK"/>
    <x v="0"/>
    <s v="OK"/>
    <x v="0"/>
    <x v="0"/>
    <n v="1"/>
    <n v="0"/>
    <n v="0"/>
    <n v="0"/>
    <x v="0"/>
    <x v="0"/>
    <x v="0"/>
  </r>
  <r>
    <n v="20566343631"/>
    <x v="26"/>
    <x v="25"/>
    <x v="3397"/>
    <x v="3410"/>
    <x v="2958"/>
    <n v="1"/>
    <x v="69"/>
    <s v="Trazo y Replanteo para Instalaciones Electricas Túnel - Etapa 01B"/>
    <s v="Mz. B Lote 03 Asoc. Virgen del Rosario"/>
    <x v="3"/>
    <x v="0"/>
    <x v="0"/>
    <x v="1"/>
    <x v="56"/>
    <x v="0"/>
    <n v="1"/>
    <n v="184"/>
    <x v="0"/>
    <x v="1"/>
    <n v="5.0251256281407036E-3"/>
    <x v="11"/>
    <x v="1"/>
    <s v="OK"/>
    <x v="0"/>
    <s v="OK"/>
    <x v="0"/>
    <x v="0"/>
    <n v="1"/>
    <n v="0"/>
    <n v="0"/>
    <n v="0"/>
    <x v="0"/>
    <x v="0"/>
    <x v="0"/>
  </r>
  <r>
    <n v="20566343631"/>
    <x v="26"/>
    <x v="25"/>
    <x v="3398"/>
    <x v="3411"/>
    <x v="2955"/>
    <n v="1"/>
    <x v="61"/>
    <s v="Trazo y Replanteo para Instalaciones Electricas Túnel - Etapa 01B"/>
    <s v="Av. El Sol N° 397 Block H Dpto. 202"/>
    <x v="6"/>
    <x v="0"/>
    <x v="0"/>
    <x v="1"/>
    <x v="56"/>
    <x v="0"/>
    <n v="1"/>
    <n v="184"/>
    <x v="0"/>
    <x v="1"/>
    <n v="5.0251256281407036E-3"/>
    <x v="22"/>
    <x v="2"/>
    <s v="OK"/>
    <x v="2"/>
    <s v="OK"/>
    <x v="0"/>
    <x v="0"/>
    <n v="1"/>
    <n v="1"/>
    <n v="0"/>
    <n v="0"/>
    <x v="0"/>
    <x v="0"/>
    <x v="0"/>
  </r>
  <r>
    <n v="20566343631"/>
    <x v="26"/>
    <x v="25"/>
    <x v="3399"/>
    <x v="3412"/>
    <x v="2959"/>
    <n v="2"/>
    <x v="37"/>
    <s v="Trazo y Replanteo para Instalaciones Electricas Túnel - Etapa 01B"/>
    <s v="Jr. Hipolito Unanue N° 1024"/>
    <x v="25"/>
    <x v="0"/>
    <x v="0"/>
    <x v="1"/>
    <x v="76"/>
    <x v="0"/>
    <n v="4"/>
    <n v="184"/>
    <x v="0"/>
    <x v="1"/>
    <n v="5.0251256281407036E-3"/>
    <x v="31"/>
    <x v="3"/>
    <s v="OK"/>
    <x v="4"/>
    <s v="OK"/>
    <x v="0"/>
    <x v="0"/>
    <n v="1"/>
    <n v="1"/>
    <n v="0"/>
    <n v="0"/>
    <x v="0"/>
    <x v="0"/>
    <x v="0"/>
  </r>
  <r>
    <n v="20566343631"/>
    <x v="26"/>
    <x v="25"/>
    <x v="3400"/>
    <x v="3413"/>
    <x v="1152"/>
    <n v="2"/>
    <x v="36"/>
    <s v="Trazo y Replanteo para Instalaciones Electricas Túnel - Etapa 01B"/>
    <s v="Jr. Guisse N° 294 Interior B"/>
    <x v="6"/>
    <x v="0"/>
    <x v="0"/>
    <x v="1"/>
    <x v="76"/>
    <x v="0"/>
    <n v="4"/>
    <n v="184"/>
    <x v="0"/>
    <x v="1"/>
    <n v="5.0251256281407036E-3"/>
    <x v="17"/>
    <x v="2"/>
    <s v="OK"/>
    <x v="2"/>
    <s v="OK"/>
    <x v="0"/>
    <x v="0"/>
    <n v="1"/>
    <n v="1"/>
    <n v="0"/>
    <n v="0"/>
    <x v="0"/>
    <x v="0"/>
    <x v="0"/>
  </r>
  <r>
    <n v="20566343631"/>
    <x v="26"/>
    <x v="25"/>
    <x v="3401"/>
    <x v="3414"/>
    <x v="1270"/>
    <n v="2"/>
    <x v="302"/>
    <s v="Trazo y Replanteo para Instalaciones Electricas Túnel - Etapa 01B"/>
    <s v="Psj. 68 Mz. V Lote 5 Asent. H. 06 de Agosto"/>
    <x v="157"/>
    <x v="0"/>
    <x v="0"/>
    <x v="1"/>
    <x v="76"/>
    <x v="0"/>
    <n v="4"/>
    <n v="184"/>
    <x v="0"/>
    <x v="1"/>
    <n v="5.0251256281407036E-3"/>
    <x v="22"/>
    <x v="2"/>
    <s v="OK"/>
    <x v="0"/>
    <s v="OK"/>
    <x v="0"/>
    <x v="0"/>
    <n v="1"/>
    <n v="0"/>
    <n v="0"/>
    <n v="0"/>
    <x v="0"/>
    <x v="0"/>
    <x v="0"/>
  </r>
  <r>
    <n v="20566343631"/>
    <x v="26"/>
    <x v="25"/>
    <x v="3402"/>
    <x v="3415"/>
    <x v="1204"/>
    <n v="1"/>
    <x v="69"/>
    <s v="Trazo y Replanteo para Instalaciones Electricas Túnel - Etapa 01B"/>
    <s v="Zona S UCV 214 Lt. 2 Asent. H. Huaycan"/>
    <x v="34"/>
    <x v="0"/>
    <x v="0"/>
    <x v="1"/>
    <x v="413"/>
    <x v="0"/>
    <n v="1"/>
    <n v="184"/>
    <x v="0"/>
    <x v="1"/>
    <n v="5.0251256281407036E-3"/>
    <x v="16"/>
    <x v="2"/>
    <s v="OK"/>
    <x v="1"/>
    <s v="OK"/>
    <x v="0"/>
    <x v="0"/>
    <n v="1"/>
    <n v="1"/>
    <n v="0"/>
    <n v="0"/>
    <x v="0"/>
    <x v="0"/>
    <x v="0"/>
  </r>
  <r>
    <n v="20566343631"/>
    <x v="26"/>
    <x v="25"/>
    <x v="3403"/>
    <x v="3416"/>
    <x v="2960"/>
    <n v="2"/>
    <x v="36"/>
    <s v="Trazo y Replanteo para Instalaciones Electricas Túnel - Etapa 01B"/>
    <s v="AAHH. Cerro El Pino 560A"/>
    <x v="25"/>
    <x v="0"/>
    <x v="0"/>
    <x v="1"/>
    <x v="261"/>
    <x v="0"/>
    <n v="4"/>
    <n v="184"/>
    <x v="0"/>
    <x v="1"/>
    <n v="5.0251256281407036E-3"/>
    <x v="8"/>
    <x v="1"/>
    <s v="OK"/>
    <x v="4"/>
    <s v="OK"/>
    <x v="0"/>
    <x v="0"/>
    <n v="1"/>
    <n v="1"/>
    <n v="0"/>
    <n v="0"/>
    <x v="0"/>
    <x v="0"/>
    <x v="0"/>
  </r>
  <r>
    <n v="20566343631"/>
    <x v="26"/>
    <x v="25"/>
    <x v="3404"/>
    <x v="3417"/>
    <x v="2961"/>
    <n v="1"/>
    <x v="410"/>
    <s v="Trazo y Replanteo para Instalaciones Electricas Túnel - Etapa 01B"/>
    <s v="Coop. de Viv Las Flores Jr. Las Crucinelas N° 560"/>
    <x v="15"/>
    <x v="0"/>
    <x v="0"/>
    <x v="1"/>
    <x v="104"/>
    <x v="0"/>
    <n v="1"/>
    <n v="184"/>
    <x v="0"/>
    <x v="1"/>
    <n v="5.0251256281407036E-3"/>
    <x v="24"/>
    <x v="3"/>
    <s v="OK"/>
    <x v="0"/>
    <s v="OK"/>
    <x v="0"/>
    <x v="0"/>
    <n v="1"/>
    <n v="0"/>
    <n v="0"/>
    <n v="0"/>
    <x v="0"/>
    <x v="0"/>
    <x v="0"/>
  </r>
  <r>
    <n v="20566343631"/>
    <x v="26"/>
    <x v="25"/>
    <x v="3405"/>
    <x v="3418"/>
    <x v="2337"/>
    <n v="2"/>
    <x v="36"/>
    <s v="Trazo y Replanteo para Instalaciones Electricas Túnel - Etapa 01B"/>
    <s v="C.P. La Meseta Ampliación Mz. S Lote 5"/>
    <x v="58"/>
    <x v="0"/>
    <x v="0"/>
    <x v="1"/>
    <x v="82"/>
    <x v="0"/>
    <n v="4"/>
    <n v="184"/>
    <x v="0"/>
    <x v="1"/>
    <n v="5.0251256281407036E-3"/>
    <x v="23"/>
    <x v="3"/>
    <s v="OK"/>
    <x v="0"/>
    <s v="OK"/>
    <x v="0"/>
    <x v="0"/>
    <n v="1"/>
    <n v="0"/>
    <n v="0"/>
    <n v="0"/>
    <x v="0"/>
    <x v="0"/>
    <x v="0"/>
  </r>
  <r>
    <n v="20566343631"/>
    <x v="26"/>
    <x v="25"/>
    <x v="3406"/>
    <x v="3419"/>
    <x v="2962"/>
    <n v="2"/>
    <x v="302"/>
    <s v="Trazo y Replanteo para Instalaciones Electricas Túnel - Etapa 01B"/>
    <s v="Caserio Pueblo Nuevo de Talandracas Mz. A Lote 69"/>
    <x v="381"/>
    <x v="0"/>
    <x v="0"/>
    <x v="1"/>
    <x v="81"/>
    <x v="0"/>
    <n v="4"/>
    <n v="184"/>
    <x v="0"/>
    <x v="1"/>
    <n v="5.0251256281407036E-3"/>
    <x v="8"/>
    <x v="1"/>
    <s v="OK"/>
    <x v="0"/>
    <s v="OK"/>
    <x v="0"/>
    <x v="0"/>
    <n v="1"/>
    <n v="0"/>
    <n v="0"/>
    <n v="0"/>
    <x v="0"/>
    <x v="0"/>
    <x v="0"/>
  </r>
  <r>
    <n v="20566343631"/>
    <x v="26"/>
    <x v="25"/>
    <x v="3407"/>
    <x v="3420"/>
    <x v="2963"/>
    <n v="2"/>
    <x v="302"/>
    <s v="Trazo y Replanteo para Instalaciones Electricas Túnel - Etapa 01B"/>
    <s v="Mz. F Lote 01 Asent. H 23 de Octubre"/>
    <x v="15"/>
    <x v="0"/>
    <x v="0"/>
    <x v="1"/>
    <x v="81"/>
    <x v="0"/>
    <n v="4"/>
    <n v="184"/>
    <x v="0"/>
    <x v="1"/>
    <n v="5.0251256281407036E-3"/>
    <x v="37"/>
    <x v="4"/>
    <s v="OK"/>
    <x v="0"/>
    <s v="OK"/>
    <x v="0"/>
    <x v="0"/>
    <n v="1"/>
    <n v="0"/>
    <n v="0"/>
    <n v="0"/>
    <x v="0"/>
    <x v="0"/>
    <x v="0"/>
  </r>
  <r>
    <n v="20566343631"/>
    <x v="26"/>
    <x v="25"/>
    <x v="3408"/>
    <x v="3421"/>
    <x v="2964"/>
    <n v="2"/>
    <x v="36"/>
    <s v="Trazo y Replanteo para Instalaciones Electricas Túnel - Etapa 01B"/>
    <s v="Pasaje San Juan de Di Mz. H Lote 04 Cruz Blanca"/>
    <x v="149"/>
    <x v="0"/>
    <x v="0"/>
    <x v="1"/>
    <x v="80"/>
    <x v="0"/>
    <n v="4"/>
    <n v="184"/>
    <x v="0"/>
    <x v="1"/>
    <n v="5.0251256281407036E-3"/>
    <x v="12"/>
    <x v="1"/>
    <s v="OK"/>
    <x v="0"/>
    <s v="OK"/>
    <x v="0"/>
    <x v="0"/>
    <n v="1"/>
    <n v="0"/>
    <n v="0"/>
    <n v="0"/>
    <x v="0"/>
    <x v="0"/>
    <x v="0"/>
  </r>
  <r>
    <n v="20566343631"/>
    <x v="26"/>
    <x v="25"/>
    <x v="3409"/>
    <x v="3422"/>
    <x v="1772"/>
    <n v="2"/>
    <x v="36"/>
    <s v="Trazo y Replanteo para Instalaciones Electricas Túnel - Etapa 01B"/>
    <s v="Asent. H Tupac Amaru Mz. G Lote 9"/>
    <x v="34"/>
    <x v="0"/>
    <x v="0"/>
    <x v="1"/>
    <x v="80"/>
    <x v="0"/>
    <n v="4"/>
    <n v="184"/>
    <x v="0"/>
    <x v="1"/>
    <n v="5.0251256281407036E-3"/>
    <x v="17"/>
    <x v="2"/>
    <s v="OK"/>
    <x v="1"/>
    <s v="OK"/>
    <x v="0"/>
    <x v="0"/>
    <n v="1"/>
    <n v="1"/>
    <n v="0"/>
    <n v="0"/>
    <x v="0"/>
    <x v="0"/>
    <x v="0"/>
  </r>
  <r>
    <n v="20566343631"/>
    <x v="26"/>
    <x v="25"/>
    <x v="3410"/>
    <x v="3423"/>
    <x v="2965"/>
    <n v="2"/>
    <x v="36"/>
    <s v="Trazo y Replanteo para Instalaciones Electricas Túnel - Etapa 01B"/>
    <s v="Alva Maurtua Mz. G Lote 15"/>
    <x v="149"/>
    <x v="0"/>
    <x v="0"/>
    <x v="1"/>
    <x v="80"/>
    <x v="0"/>
    <n v="4"/>
    <n v="184"/>
    <x v="0"/>
    <x v="1"/>
    <n v="5.0251256281407036E-3"/>
    <x v="13"/>
    <x v="1"/>
    <s v="OK"/>
    <x v="0"/>
    <s v="OK"/>
    <x v="0"/>
    <x v="0"/>
    <n v="1"/>
    <n v="0"/>
    <n v="0"/>
    <n v="0"/>
    <x v="0"/>
    <x v="0"/>
    <x v="0"/>
  </r>
  <r>
    <n v="20566343631"/>
    <x v="26"/>
    <x v="25"/>
    <x v="3411"/>
    <x v="3424"/>
    <x v="2966"/>
    <n v="1"/>
    <x v="139"/>
    <s v="Trazo y Replanteo para Instalaciones Electricas Túnel - Etapa 01B"/>
    <s v="Los Faisanes Mz. G Lote 16 Edif A Dpto 103"/>
    <x v="38"/>
    <x v="0"/>
    <x v="0"/>
    <x v="1"/>
    <x v="141"/>
    <x v="0"/>
    <n v="1"/>
    <n v="184"/>
    <x v="0"/>
    <x v="1"/>
    <n v="5.0251256281407036E-3"/>
    <x v="23"/>
    <x v="3"/>
    <s v="OK"/>
    <x v="0"/>
    <s v="OK"/>
    <x v="0"/>
    <x v="0"/>
    <n v="1"/>
    <n v="0"/>
    <n v="0"/>
    <n v="0"/>
    <x v="0"/>
    <x v="0"/>
    <x v="0"/>
  </r>
  <r>
    <n v="20566343631"/>
    <x v="26"/>
    <x v="25"/>
    <x v="3412"/>
    <x v="3425"/>
    <x v="2967"/>
    <n v="2"/>
    <x v="37"/>
    <s v="Trazo y Replanteo para Instalaciones Electricas Túnel - Etapa 01B"/>
    <s v="Jr. Ayacucho N° 626"/>
    <x v="6"/>
    <x v="0"/>
    <x v="0"/>
    <x v="1"/>
    <x v="141"/>
    <x v="0"/>
    <n v="4"/>
    <n v="184"/>
    <x v="0"/>
    <x v="1"/>
    <n v="5.0251256281407036E-3"/>
    <x v="29"/>
    <x v="3"/>
    <s v="OK"/>
    <x v="2"/>
    <s v="OK"/>
    <x v="0"/>
    <x v="0"/>
    <n v="1"/>
    <n v="1"/>
    <n v="0"/>
    <n v="0"/>
    <x v="0"/>
    <x v="0"/>
    <x v="0"/>
  </r>
  <r>
    <n v="20566343631"/>
    <x v="26"/>
    <x v="25"/>
    <x v="3413"/>
    <x v="3426"/>
    <x v="2968"/>
    <n v="1"/>
    <x v="61"/>
    <s v="Trazo y Replanteo para Instalaciones Electricas Túnel - Etapa 01B"/>
    <s v="Asent. H Lotizacion Angamos I y II"/>
    <x v="2"/>
    <x v="0"/>
    <x v="0"/>
    <x v="1"/>
    <x v="262"/>
    <x v="0"/>
    <n v="1"/>
    <n v="184"/>
    <x v="0"/>
    <x v="1"/>
    <n v="5.0251256281407036E-3"/>
    <x v="22"/>
    <x v="2"/>
    <s v="OK"/>
    <x v="2"/>
    <s v="OK"/>
    <x v="0"/>
    <x v="0"/>
    <n v="1"/>
    <n v="1"/>
    <n v="0"/>
    <n v="0"/>
    <x v="0"/>
    <x v="0"/>
    <x v="0"/>
  </r>
  <r>
    <n v="20566343631"/>
    <x v="26"/>
    <x v="25"/>
    <x v="3414"/>
    <x v="3427"/>
    <x v="2969"/>
    <n v="2"/>
    <x v="302"/>
    <s v="Trazo y Replanteo para Instalaciones Electricas Túnel - Etapa 01B"/>
    <s v="Av. Central N° 601"/>
    <x v="34"/>
    <x v="0"/>
    <x v="0"/>
    <x v="1"/>
    <x v="23"/>
    <x v="0"/>
    <n v="4"/>
    <n v="184"/>
    <x v="0"/>
    <x v="1"/>
    <n v="5.0251256281407036E-3"/>
    <x v="11"/>
    <x v="1"/>
    <s v="OK"/>
    <x v="1"/>
    <s v="OK"/>
    <x v="0"/>
    <x v="0"/>
    <n v="1"/>
    <n v="1"/>
    <n v="0"/>
    <n v="0"/>
    <x v="0"/>
    <x v="0"/>
    <x v="0"/>
  </r>
  <r>
    <n v="20566343631"/>
    <x v="26"/>
    <x v="25"/>
    <x v="3415"/>
    <x v="3428"/>
    <x v="1227"/>
    <n v="2"/>
    <x v="302"/>
    <s v="Trazo y Replanteo para Instalaciones Electricas Túnel - Etapa 01B"/>
    <s v="Av. San Martin de Porres Este Asent. H. Almte Miguel Grau Mz. C Lote 03"/>
    <x v="15"/>
    <x v="0"/>
    <x v="0"/>
    <x v="1"/>
    <x v="23"/>
    <x v="0"/>
    <n v="4"/>
    <n v="184"/>
    <x v="0"/>
    <x v="1"/>
    <n v="5.0251256281407036E-3"/>
    <x v="14"/>
    <x v="2"/>
    <s v="OK"/>
    <x v="0"/>
    <s v="OK"/>
    <x v="0"/>
    <x v="0"/>
    <n v="1"/>
    <n v="0"/>
    <n v="0"/>
    <n v="0"/>
    <x v="0"/>
    <x v="0"/>
    <x v="0"/>
  </r>
  <r>
    <n v="20566343631"/>
    <x v="26"/>
    <x v="25"/>
    <x v="3416"/>
    <x v="3429"/>
    <x v="2970"/>
    <n v="2"/>
    <x v="302"/>
    <s v="Trazo y Replanteo para Instalaciones Electricas Túnel - Etapa 01B"/>
    <s v="Asoc. Sol de Paraíso Mz. B Lt. 11"/>
    <x v="34"/>
    <x v="0"/>
    <x v="0"/>
    <x v="1"/>
    <x v="127"/>
    <x v="0"/>
    <n v="4"/>
    <n v="184"/>
    <x v="0"/>
    <x v="1"/>
    <n v="5.0251256281407036E-3"/>
    <x v="11"/>
    <x v="1"/>
    <s v="OK"/>
    <x v="1"/>
    <s v="OK"/>
    <x v="0"/>
    <x v="0"/>
    <n v="1"/>
    <n v="1"/>
    <n v="0"/>
    <n v="0"/>
    <x v="0"/>
    <x v="0"/>
    <x v="0"/>
  </r>
  <r>
    <n v="20566343631"/>
    <x v="26"/>
    <x v="25"/>
    <x v="3417"/>
    <x v="3430"/>
    <x v="2971"/>
    <n v="2"/>
    <x v="302"/>
    <s v="Trazo y Replanteo para Instalaciones Electricas Túnel - Etapa 01B"/>
    <s v="Calle Los Libertadores Mz. P Lt 3"/>
    <x v="354"/>
    <x v="0"/>
    <x v="0"/>
    <x v="1"/>
    <x v="127"/>
    <x v="0"/>
    <n v="4"/>
    <n v="184"/>
    <x v="0"/>
    <x v="1"/>
    <n v="5.0251256281407036E-3"/>
    <x v="12"/>
    <x v="1"/>
    <s v="OK"/>
    <x v="0"/>
    <s v="OK"/>
    <x v="0"/>
    <x v="0"/>
    <n v="1"/>
    <n v="0"/>
    <n v="0"/>
    <n v="0"/>
    <x v="0"/>
    <x v="0"/>
    <x v="0"/>
  </r>
  <r>
    <n v="20566343631"/>
    <x v="26"/>
    <x v="25"/>
    <x v="3418"/>
    <x v="3431"/>
    <x v="2972"/>
    <n v="2"/>
    <x v="37"/>
    <s v="Trazo y Replanteo para Instalaciones Electricas Túnel - Etapa 01B"/>
    <s v="Jr. Chavin Coop. Los Chancas de Andahuaylas Etapa 1 Mz. R Lt. 37"/>
    <x v="27"/>
    <x v="0"/>
    <x v="0"/>
    <x v="1"/>
    <x v="127"/>
    <x v="0"/>
    <n v="4"/>
    <n v="184"/>
    <x v="0"/>
    <x v="1"/>
    <n v="5.0251256281407036E-3"/>
    <x v="7"/>
    <x v="1"/>
    <s v="OK"/>
    <x v="5"/>
    <s v="OK"/>
    <x v="0"/>
    <x v="0"/>
    <n v="1"/>
    <n v="1"/>
    <n v="0"/>
    <n v="0"/>
    <x v="0"/>
    <x v="0"/>
    <x v="0"/>
  </r>
  <r>
    <n v="20566343631"/>
    <x v="26"/>
    <x v="25"/>
    <x v="3419"/>
    <x v="3432"/>
    <x v="2973"/>
    <n v="2"/>
    <x v="37"/>
    <s v="Trazo y Replanteo para Instalaciones Electricas Túnel - Etapa 01B"/>
    <s v="Cl. 51 Mz. M2 Lt. 23 Ciudad del Pescador"/>
    <x v="17"/>
    <x v="0"/>
    <x v="0"/>
    <x v="1"/>
    <x v="820"/>
    <x v="0"/>
    <n v="4"/>
    <n v="184"/>
    <x v="0"/>
    <x v="1"/>
    <n v="5.0251256281407036E-3"/>
    <x v="6"/>
    <x v="1"/>
    <s v="OK"/>
    <x v="2"/>
    <s v="OK"/>
    <x v="0"/>
    <x v="0"/>
    <n v="1"/>
    <n v="1"/>
    <n v="0"/>
    <n v="0"/>
    <x v="0"/>
    <x v="0"/>
    <x v="0"/>
  </r>
  <r>
    <n v="20566343631"/>
    <x v="26"/>
    <x v="25"/>
    <x v="3420"/>
    <x v="3433"/>
    <x v="2974"/>
    <n v="2"/>
    <x v="36"/>
    <s v="Trazo y Replanteo para Instalaciones Electricas Túnel - Etapa 01B"/>
    <s v="Mz. F Lt. 10 Asent. H Ampl 10 Octubre Señor de los Milagros"/>
    <x v="15"/>
    <x v="0"/>
    <x v="0"/>
    <x v="1"/>
    <x v="89"/>
    <x v="0"/>
    <n v="4"/>
    <n v="184"/>
    <x v="0"/>
    <x v="1"/>
    <n v="5.0251256281407036E-3"/>
    <x v="11"/>
    <x v="1"/>
    <s v="OK"/>
    <x v="0"/>
    <s v="OK"/>
    <x v="0"/>
    <x v="0"/>
    <n v="1"/>
    <n v="0"/>
    <n v="0"/>
    <n v="0"/>
    <x v="0"/>
    <x v="0"/>
    <x v="0"/>
  </r>
  <r>
    <n v="20566343631"/>
    <x v="26"/>
    <x v="25"/>
    <x v="3421"/>
    <x v="3434"/>
    <x v="2975"/>
    <n v="2"/>
    <x v="302"/>
    <s v="Trazo y Replanteo para Instalaciones Electricas Túnel - Etapa 01B"/>
    <s v="Urb. Santa Claudia Mz. L Lt. 3"/>
    <x v="79"/>
    <x v="0"/>
    <x v="0"/>
    <x v="1"/>
    <x v="181"/>
    <x v="0"/>
    <n v="4"/>
    <n v="184"/>
    <x v="0"/>
    <x v="1"/>
    <n v="5.0251256281407036E-3"/>
    <x v="30"/>
    <x v="3"/>
    <s v="OK"/>
    <x v="0"/>
    <s v="OK"/>
    <x v="0"/>
    <x v="0"/>
    <n v="1"/>
    <n v="0"/>
    <n v="0"/>
    <n v="0"/>
    <x v="0"/>
    <x v="0"/>
    <x v="0"/>
  </r>
  <r>
    <n v="20566343631"/>
    <x v="26"/>
    <x v="25"/>
    <x v="3422"/>
    <x v="3435"/>
    <x v="2976"/>
    <n v="2"/>
    <x v="36"/>
    <s v="Trazo y Replanteo para Instalaciones Electricas Túnel - Etapa 01B"/>
    <s v="Urb. Las Begonias 120-24"/>
    <x v="149"/>
    <x v="0"/>
    <x v="0"/>
    <x v="1"/>
    <x v="684"/>
    <x v="0"/>
    <n v="4"/>
    <n v="184"/>
    <x v="0"/>
    <x v="1"/>
    <n v="5.0251256281407036E-3"/>
    <x v="20"/>
    <x v="2"/>
    <s v="OK"/>
    <x v="0"/>
    <s v="OK"/>
    <x v="0"/>
    <x v="0"/>
    <n v="1"/>
    <n v="0"/>
    <n v="0"/>
    <n v="0"/>
    <x v="0"/>
    <x v="0"/>
    <x v="0"/>
  </r>
  <r>
    <n v="20566343631"/>
    <x v="26"/>
    <x v="25"/>
    <x v="3423"/>
    <x v="3436"/>
    <x v="2977"/>
    <n v="2"/>
    <x v="36"/>
    <s v="Trazo y Replanteo para Instalaciones Electricas Túnel - Etapa 01B"/>
    <s v="Localidad Bretaña"/>
    <x v="382"/>
    <x v="0"/>
    <x v="0"/>
    <x v="1"/>
    <x v="684"/>
    <x v="0"/>
    <n v="4"/>
    <n v="184"/>
    <x v="0"/>
    <x v="1"/>
    <n v="5.0251256281407036E-3"/>
    <x v="19"/>
    <x v="2"/>
    <s v="OK"/>
    <x v="0"/>
    <s v="OK"/>
    <x v="0"/>
    <x v="0"/>
    <n v="1"/>
    <n v="0"/>
    <n v="0"/>
    <n v="0"/>
    <x v="0"/>
    <x v="0"/>
    <x v="0"/>
  </r>
  <r>
    <n v="20566343631"/>
    <x v="26"/>
    <x v="25"/>
    <x v="3424"/>
    <x v="3437"/>
    <x v="2978"/>
    <n v="2"/>
    <x v="36"/>
    <s v="Trazo y Replanteo para Instalaciones Electricas Túnel - Etapa 01B"/>
    <s v="Agrp. Fam. Los Pinos de Carabayllo Mz. F Lt. 05"/>
    <x v="54"/>
    <x v="0"/>
    <x v="0"/>
    <x v="1"/>
    <x v="684"/>
    <x v="0"/>
    <n v="4"/>
    <n v="184"/>
    <x v="0"/>
    <x v="1"/>
    <n v="5.0251256281407036E-3"/>
    <x v="6"/>
    <x v="1"/>
    <s v="OK"/>
    <x v="0"/>
    <s v="OK"/>
    <x v="0"/>
    <x v="0"/>
    <n v="1"/>
    <n v="0"/>
    <n v="0"/>
    <n v="0"/>
    <x v="0"/>
    <x v="0"/>
    <x v="0"/>
  </r>
  <r>
    <n v="20566343631"/>
    <x v="26"/>
    <x v="25"/>
    <x v="3425"/>
    <x v="3438"/>
    <x v="2979"/>
    <n v="2"/>
    <x v="36"/>
    <s v="Trazo y Replanteo para Instalaciones Electricas Túnel - Etapa 01B"/>
    <s v="Asoc. Maria Parado de Bellido"/>
    <x v="34"/>
    <x v="0"/>
    <x v="0"/>
    <x v="1"/>
    <x v="288"/>
    <x v="0"/>
    <n v="4"/>
    <n v="184"/>
    <x v="0"/>
    <x v="1"/>
    <n v="5.0251256281407036E-3"/>
    <x v="8"/>
    <x v="1"/>
    <s v="OK"/>
    <x v="1"/>
    <s v="OK"/>
    <x v="0"/>
    <x v="0"/>
    <n v="1"/>
    <n v="1"/>
    <n v="0"/>
    <n v="0"/>
    <x v="0"/>
    <x v="0"/>
    <x v="0"/>
  </r>
  <r>
    <n v="20566343631"/>
    <x v="26"/>
    <x v="25"/>
    <x v="3426"/>
    <x v="3439"/>
    <x v="2980"/>
    <n v="2"/>
    <x v="36"/>
    <s v="Trazo y Replanteo para Instalaciones Electricas Túnel - Etapa 01B"/>
    <s v="Av. Mariategui Mz. 115A Lt. 18 Asent. H. Huascar"/>
    <x v="15"/>
    <x v="0"/>
    <x v="0"/>
    <x v="1"/>
    <x v="288"/>
    <x v="0"/>
    <n v="4"/>
    <n v="184"/>
    <x v="0"/>
    <x v="1"/>
    <n v="5.0251256281407036E-3"/>
    <x v="29"/>
    <x v="3"/>
    <s v="OK"/>
    <x v="0"/>
    <s v="OK"/>
    <x v="0"/>
    <x v="0"/>
    <n v="1"/>
    <n v="0"/>
    <n v="0"/>
    <n v="0"/>
    <x v="0"/>
    <x v="0"/>
    <x v="0"/>
  </r>
  <r>
    <n v="20566343631"/>
    <x v="26"/>
    <x v="25"/>
    <x v="3427"/>
    <x v="3440"/>
    <x v="2981"/>
    <n v="2"/>
    <x v="36"/>
    <s v="Trazo y Replanteo para Instalaciones Electricas Túnel - Etapa 01B"/>
    <s v="A. H. R. Mi Peru MZ. D-15 LT 01"/>
    <x v="36"/>
    <x v="0"/>
    <x v="0"/>
    <x v="1"/>
    <x v="288"/>
    <x v="0"/>
    <n v="4"/>
    <n v="184"/>
    <x v="0"/>
    <x v="1"/>
    <n v="5.0251256281407036E-3"/>
    <x v="23"/>
    <x v="3"/>
    <s v="OK"/>
    <x v="2"/>
    <s v="OK"/>
    <x v="0"/>
    <x v="0"/>
    <n v="1"/>
    <n v="1"/>
    <n v="0"/>
    <n v="0"/>
    <x v="0"/>
    <x v="0"/>
    <x v="0"/>
  </r>
  <r>
    <n v="20566343631"/>
    <x v="26"/>
    <x v="25"/>
    <x v="3428"/>
    <x v="3441"/>
    <x v="2982"/>
    <n v="2"/>
    <x v="36"/>
    <s v="Trazo y Replanteo para Instalaciones Electricas Túnel - Etapa 01B"/>
    <s v="Av. Militar 2237"/>
    <x v="155"/>
    <x v="0"/>
    <x v="0"/>
    <x v="3"/>
    <x v="288"/>
    <x v="0"/>
    <n v="4"/>
    <n v="184"/>
    <x v="0"/>
    <x v="1"/>
    <n v="5.0251256281407036E-3"/>
    <x v="25"/>
    <x v="3"/>
    <s v="OK"/>
    <x v="0"/>
    <s v="OK"/>
    <x v="0"/>
    <x v="0"/>
    <n v="1"/>
    <n v="0"/>
    <n v="0"/>
    <n v="0"/>
    <x v="0"/>
    <x v="0"/>
    <x v="0"/>
  </r>
  <r>
    <n v="20566343631"/>
    <x v="26"/>
    <x v="25"/>
    <x v="3429"/>
    <x v="3442"/>
    <x v="2983"/>
    <n v="2"/>
    <x v="36"/>
    <s v="Trazo y Replanteo para Instalaciones Electricas Túnel - Etapa 01B"/>
    <s v="Calle Santa Lucia 206"/>
    <x v="383"/>
    <x v="0"/>
    <x v="0"/>
    <x v="1"/>
    <x v="288"/>
    <x v="0"/>
    <n v="4"/>
    <n v="184"/>
    <x v="0"/>
    <x v="1"/>
    <n v="5.0251256281407036E-3"/>
    <x v="3"/>
    <x v="0"/>
    <s v="OK"/>
    <x v="0"/>
    <s v="OK"/>
    <x v="0"/>
    <x v="0"/>
    <n v="1"/>
    <n v="0"/>
    <n v="0"/>
    <n v="0"/>
    <x v="0"/>
    <x v="0"/>
    <x v="0"/>
  </r>
  <r>
    <n v="20566343631"/>
    <x v="26"/>
    <x v="25"/>
    <x v="3430"/>
    <x v="3443"/>
    <x v="2984"/>
    <n v="2"/>
    <x v="36"/>
    <s v="Trazo y Replanteo para Instalaciones Electricas Túnel - Etapa 01B"/>
    <s v="Av. Tupac Amaru 291"/>
    <x v="23"/>
    <x v="0"/>
    <x v="0"/>
    <x v="1"/>
    <x v="276"/>
    <x v="0"/>
    <n v="4"/>
    <n v="184"/>
    <x v="0"/>
    <x v="1"/>
    <n v="5.0251256281407036E-3"/>
    <x v="10"/>
    <x v="1"/>
    <s v="OK"/>
    <x v="0"/>
    <s v="OK"/>
    <x v="0"/>
    <x v="0"/>
    <n v="1"/>
    <n v="0"/>
    <n v="0"/>
    <n v="0"/>
    <x v="0"/>
    <x v="0"/>
    <x v="0"/>
  </r>
  <r>
    <n v="20566343631"/>
    <x v="26"/>
    <x v="25"/>
    <x v="3431"/>
    <x v="3444"/>
    <x v="2985"/>
    <n v="2"/>
    <x v="36"/>
    <s v="Trazo y Replanteo para Instalaciones Electricas Túnel - Etapa 01B"/>
    <s v="Calle Rio Manu 170 Asent. H. Villa Hermosa Mz. E Lt. 16"/>
    <x v="46"/>
    <x v="0"/>
    <x v="0"/>
    <x v="1"/>
    <x v="276"/>
    <x v="0"/>
    <n v="4"/>
    <n v="184"/>
    <x v="0"/>
    <x v="1"/>
    <n v="5.0251256281407036E-3"/>
    <x v="15"/>
    <x v="2"/>
    <s v="OK"/>
    <x v="7"/>
    <s v="OK"/>
    <x v="0"/>
    <x v="0"/>
    <n v="1"/>
    <n v="1"/>
    <n v="0"/>
    <n v="0"/>
    <x v="0"/>
    <x v="0"/>
    <x v="0"/>
  </r>
  <r>
    <n v="20566343631"/>
    <x v="26"/>
    <x v="25"/>
    <x v="3432"/>
    <x v="3445"/>
    <x v="1372"/>
    <n v="2"/>
    <x v="36"/>
    <s v="Trazo y Replanteo para Instalaciones Electricas Túnel - Etapa 01B"/>
    <s v="Jr. Francisco Vidal Laos N° 337 Urb. La Viña"/>
    <x v="78"/>
    <x v="0"/>
    <x v="0"/>
    <x v="1"/>
    <x v="276"/>
    <x v="0"/>
    <n v="4"/>
    <n v="184"/>
    <x v="0"/>
    <x v="1"/>
    <n v="5.0251256281407036E-3"/>
    <x v="16"/>
    <x v="2"/>
    <s v="OK"/>
    <x v="6"/>
    <s v="OK"/>
    <x v="0"/>
    <x v="0"/>
    <n v="1"/>
    <n v="1"/>
    <n v="0"/>
    <n v="0"/>
    <x v="0"/>
    <x v="0"/>
    <x v="0"/>
  </r>
  <r>
    <n v="20566343631"/>
    <x v="26"/>
    <x v="25"/>
    <x v="3433"/>
    <x v="3446"/>
    <x v="2986"/>
    <n v="2"/>
    <x v="302"/>
    <s v="Trazo y Replanteo para Instalaciones Electricas Túnel - Etapa 01B"/>
    <s v="Calle Boulevar Los Aloes Mz. W Lt. 20A Urb. Los Jardines de San Juan"/>
    <x v="15"/>
    <x v="0"/>
    <x v="0"/>
    <x v="1"/>
    <x v="46"/>
    <x v="0"/>
    <n v="4"/>
    <n v="184"/>
    <x v="0"/>
    <x v="1"/>
    <n v="5.0251256281407036E-3"/>
    <x v="9"/>
    <x v="1"/>
    <s v="OK"/>
    <x v="0"/>
    <s v="OK"/>
    <x v="0"/>
    <x v="0"/>
    <n v="1"/>
    <n v="0"/>
    <n v="0"/>
    <n v="0"/>
    <x v="0"/>
    <x v="0"/>
    <x v="0"/>
  </r>
  <r>
    <n v="20566343631"/>
    <x v="26"/>
    <x v="25"/>
    <x v="3434"/>
    <x v="3447"/>
    <x v="2987"/>
    <n v="2"/>
    <x v="302"/>
    <s v="Trazo y Replanteo para Instalaciones Electricas Túnel - Etapa 01B"/>
    <s v="Caserio de reventasca S/N"/>
    <x v="384"/>
    <x v="0"/>
    <x v="12"/>
    <x v="1"/>
    <x v="46"/>
    <x v="2"/>
    <n v="4"/>
    <n v="112"/>
    <x v="0"/>
    <x v="1"/>
    <n v="5.0251256281407036E-3"/>
    <x v="16"/>
    <x v="2"/>
    <s v="OK"/>
    <x v="0"/>
    <s v="OK"/>
    <x v="0"/>
    <x v="0"/>
    <n v="1"/>
    <n v="0"/>
    <n v="0"/>
    <n v="1"/>
    <x v="0"/>
    <x v="1"/>
    <x v="0"/>
  </r>
  <r>
    <n v="20566343631"/>
    <x v="26"/>
    <x v="25"/>
    <x v="3435"/>
    <x v="3448"/>
    <x v="2988"/>
    <n v="2"/>
    <x v="36"/>
    <s v="Trazo y Replanteo para Instalaciones Electricas Túnel - Etapa 01B"/>
    <s v="Mz. B-05 Lt. 06 A.h. Puerto Pachacutec"/>
    <x v="2"/>
    <x v="0"/>
    <x v="35"/>
    <x v="1"/>
    <x v="154"/>
    <x v="2"/>
    <n v="4"/>
    <n v="32"/>
    <x v="0"/>
    <x v="1"/>
    <n v="5.0251256281407036E-3"/>
    <x v="20"/>
    <x v="2"/>
    <s v="OK"/>
    <x v="2"/>
    <s v="OK"/>
    <x v="0"/>
    <x v="0"/>
    <n v="1"/>
    <n v="1"/>
    <n v="0"/>
    <n v="1"/>
    <x v="0"/>
    <x v="1"/>
    <x v="0"/>
  </r>
  <r>
    <n v="20566343631"/>
    <x v="26"/>
    <x v="25"/>
    <x v="3436"/>
    <x v="3449"/>
    <x v="2989"/>
    <n v="2"/>
    <x v="36"/>
    <s v="Trazo y Replanteo para Instalaciones Electricas Túnel - Etapa 01B"/>
    <s v="Av. Alfredo Palacios 505 Dpto. 5 Urb. Primavera"/>
    <x v="6"/>
    <x v="0"/>
    <x v="0"/>
    <x v="1"/>
    <x v="154"/>
    <x v="0"/>
    <n v="4"/>
    <n v="184"/>
    <x v="0"/>
    <x v="1"/>
    <n v="5.0251256281407036E-3"/>
    <x v="10"/>
    <x v="1"/>
    <s v="OK"/>
    <x v="2"/>
    <s v="OK"/>
    <x v="0"/>
    <x v="0"/>
    <n v="1"/>
    <n v="1"/>
    <n v="0"/>
    <n v="0"/>
    <x v="0"/>
    <x v="0"/>
    <x v="0"/>
  </r>
  <r>
    <n v="20566343631"/>
    <x v="26"/>
    <x v="25"/>
    <x v="3437"/>
    <x v="3450"/>
    <x v="2990"/>
    <n v="2"/>
    <x v="36"/>
    <s v="Trazo y Replanteo para Instalaciones Electricas Túnel - Etapa 01B"/>
    <s v="Av. Francisco Feley 130"/>
    <x v="385"/>
    <x v="0"/>
    <x v="0"/>
    <x v="1"/>
    <x v="154"/>
    <x v="0"/>
    <n v="4"/>
    <n v="184"/>
    <x v="0"/>
    <x v="1"/>
    <n v="5.0251256281407036E-3"/>
    <x v="13"/>
    <x v="1"/>
    <s v="OK"/>
    <x v="0"/>
    <s v="OK"/>
    <x v="0"/>
    <x v="0"/>
    <n v="1"/>
    <n v="0"/>
    <n v="0"/>
    <n v="0"/>
    <x v="0"/>
    <x v="0"/>
    <x v="0"/>
  </r>
  <r>
    <n v="20566343631"/>
    <x v="26"/>
    <x v="25"/>
    <x v="3438"/>
    <x v="3451"/>
    <x v="2436"/>
    <n v="2"/>
    <x v="37"/>
    <s v="Trazo y Replanteo para Instalaciones Electricas Túnel - Etapa 01B"/>
    <s v="Calle Victor Fajardo 1035"/>
    <x v="17"/>
    <x v="0"/>
    <x v="0"/>
    <x v="1"/>
    <x v="479"/>
    <x v="0"/>
    <n v="4"/>
    <n v="184"/>
    <x v="0"/>
    <x v="1"/>
    <n v="5.0251256281407036E-3"/>
    <x v="30"/>
    <x v="3"/>
    <s v="OK"/>
    <x v="2"/>
    <s v="OK"/>
    <x v="0"/>
    <x v="0"/>
    <n v="1"/>
    <n v="1"/>
    <n v="0"/>
    <n v="0"/>
    <x v="0"/>
    <x v="0"/>
    <x v="0"/>
  </r>
  <r>
    <n v="20566343631"/>
    <x v="26"/>
    <x v="25"/>
    <x v="3439"/>
    <x v="3452"/>
    <x v="1122"/>
    <n v="2"/>
    <x v="37"/>
    <s v="Trazo y Replanteo para Instalaciones Electricas Túnel - Etapa 01B"/>
    <s v="Sta. Luzmila Etapa 2 Mz. Q-4 Lote 48"/>
    <x v="0"/>
    <x v="0"/>
    <x v="0"/>
    <x v="1"/>
    <x v="479"/>
    <x v="0"/>
    <n v="4"/>
    <n v="184"/>
    <x v="0"/>
    <x v="1"/>
    <n v="5.0251256281407036E-3"/>
    <x v="19"/>
    <x v="2"/>
    <s v="OK"/>
    <x v="0"/>
    <s v="OK"/>
    <x v="0"/>
    <x v="0"/>
    <n v="1"/>
    <n v="0"/>
    <n v="0"/>
    <n v="0"/>
    <x v="0"/>
    <x v="0"/>
    <x v="0"/>
  </r>
  <r>
    <n v="20566343631"/>
    <x v="26"/>
    <x v="25"/>
    <x v="3440"/>
    <x v="3453"/>
    <x v="2991"/>
    <n v="2"/>
    <x v="302"/>
    <s v="Trazo y Replanteo para Instalaciones Electricas Túnel - Etapa 01B"/>
    <s v="Calle María Parado de Bellido 291"/>
    <x v="46"/>
    <x v="0"/>
    <x v="0"/>
    <x v="1"/>
    <x v="437"/>
    <x v="0"/>
    <n v="4"/>
    <n v="184"/>
    <x v="0"/>
    <x v="1"/>
    <n v="5.0251256281407036E-3"/>
    <x v="43"/>
    <x v="5"/>
    <s v="OK"/>
    <x v="7"/>
    <s v="OK"/>
    <x v="0"/>
    <x v="0"/>
    <n v="1"/>
    <n v="1"/>
    <n v="0"/>
    <n v="0"/>
    <x v="0"/>
    <x v="0"/>
    <x v="0"/>
  </r>
  <r>
    <n v="20566343631"/>
    <x v="26"/>
    <x v="25"/>
    <x v="3441"/>
    <x v="3454"/>
    <x v="2992"/>
    <n v="2"/>
    <x v="36"/>
    <s v="Trazo y Replanteo para Instalaciones Electricas Túnel - Etapa 01B"/>
    <s v="Calle Los Jazmines APV Sol de Santa Anita Mz. R Lote 15"/>
    <x v="27"/>
    <x v="0"/>
    <x v="0"/>
    <x v="1"/>
    <x v="437"/>
    <x v="0"/>
    <n v="4"/>
    <n v="184"/>
    <x v="0"/>
    <x v="1"/>
    <n v="5.0251256281407036E-3"/>
    <x v="26"/>
    <x v="3"/>
    <s v="OK"/>
    <x v="5"/>
    <s v="OK"/>
    <x v="0"/>
    <x v="0"/>
    <n v="1"/>
    <n v="1"/>
    <n v="0"/>
    <n v="0"/>
    <x v="0"/>
    <x v="0"/>
    <x v="0"/>
  </r>
  <r>
    <n v="20566343631"/>
    <x v="26"/>
    <x v="25"/>
    <x v="3442"/>
    <x v="3455"/>
    <x v="2993"/>
    <n v="2"/>
    <x v="36"/>
    <s v="Trazo y Replanteo para Instalaciones Electricas Túnel - Etapa 01B"/>
    <s v="Mz. E1 Lote 02 S.H.A"/>
    <x v="15"/>
    <x v="0"/>
    <x v="0"/>
    <x v="1"/>
    <x v="111"/>
    <x v="0"/>
    <n v="4"/>
    <n v="184"/>
    <x v="0"/>
    <x v="1"/>
    <n v="5.0251256281407036E-3"/>
    <x v="4"/>
    <x v="0"/>
    <s v="OK"/>
    <x v="0"/>
    <s v="OK"/>
    <x v="0"/>
    <x v="0"/>
    <n v="1"/>
    <n v="0"/>
    <n v="0"/>
    <n v="0"/>
    <x v="0"/>
    <x v="0"/>
    <x v="0"/>
  </r>
  <r>
    <n v="20566343631"/>
    <x v="26"/>
    <x v="25"/>
    <x v="3443"/>
    <x v="3456"/>
    <x v="1797"/>
    <n v="2"/>
    <x v="37"/>
    <s v="Trazo y Replanteo para Instalaciones Electricas Túnel - Etapa 01B"/>
    <s v="Av. 28 de Julio N° 2970 Int. 13 San Pablo"/>
    <x v="25"/>
    <x v="0"/>
    <x v="0"/>
    <x v="1"/>
    <x v="111"/>
    <x v="0"/>
    <n v="4"/>
    <n v="184"/>
    <x v="0"/>
    <x v="1"/>
    <n v="5.0251256281407036E-3"/>
    <x v="26"/>
    <x v="3"/>
    <s v="OK"/>
    <x v="4"/>
    <s v="OK"/>
    <x v="0"/>
    <x v="0"/>
    <n v="1"/>
    <n v="1"/>
    <n v="0"/>
    <n v="0"/>
    <x v="0"/>
    <x v="0"/>
    <x v="0"/>
  </r>
  <r>
    <n v="20566343631"/>
    <x v="26"/>
    <x v="25"/>
    <x v="3444"/>
    <x v="3457"/>
    <x v="1463"/>
    <n v="2"/>
    <x v="36"/>
    <s v="Trazo y Replanteo para Instalaciones Electricas Túnel - Etapa 01B"/>
    <s v="Mz. M Lote 13 Sector"/>
    <x v="34"/>
    <x v="0"/>
    <x v="0"/>
    <x v="1"/>
    <x v="860"/>
    <x v="0"/>
    <n v="4"/>
    <n v="184"/>
    <x v="0"/>
    <x v="1"/>
    <n v="5.0251256281407036E-3"/>
    <x v="14"/>
    <x v="2"/>
    <s v="OK"/>
    <x v="1"/>
    <s v="OK"/>
    <x v="0"/>
    <x v="0"/>
    <n v="1"/>
    <n v="1"/>
    <n v="0"/>
    <n v="0"/>
    <x v="0"/>
    <x v="0"/>
    <x v="0"/>
  </r>
  <r>
    <n v="20566343631"/>
    <x v="26"/>
    <x v="25"/>
    <x v="3445"/>
    <x v="3458"/>
    <x v="1240"/>
    <n v="2"/>
    <x v="302"/>
    <s v="Trazo y Replanteo para Instalaciones Electricas Túnel - Etapa 01B"/>
    <s v="AA.HH. Mariscal Caceres Mz.8 Lote 5"/>
    <x v="15"/>
    <x v="0"/>
    <x v="0"/>
    <x v="1"/>
    <x v="135"/>
    <x v="0"/>
    <n v="4"/>
    <n v="184"/>
    <x v="0"/>
    <x v="1"/>
    <n v="5.0251256281407036E-3"/>
    <x v="20"/>
    <x v="2"/>
    <s v="OK"/>
    <x v="0"/>
    <s v="OK"/>
    <x v="0"/>
    <x v="0"/>
    <n v="1"/>
    <n v="0"/>
    <n v="0"/>
    <n v="0"/>
    <x v="0"/>
    <x v="0"/>
    <x v="0"/>
  </r>
  <r>
    <n v="20566343631"/>
    <x v="26"/>
    <x v="25"/>
    <x v="3446"/>
    <x v="3459"/>
    <x v="2994"/>
    <n v="2"/>
    <x v="36"/>
    <s v="Trazo y Replanteo para Instalaciones Electricas Túnel - Etapa 01B"/>
    <s v="Mz. C Lote 01 AA.HH. 12 de Agosto Garagay"/>
    <x v="3"/>
    <x v="0"/>
    <x v="0"/>
    <x v="1"/>
    <x v="15"/>
    <x v="0"/>
    <n v="4"/>
    <n v="184"/>
    <x v="0"/>
    <x v="1"/>
    <n v="5.0251256281407036E-3"/>
    <x v="7"/>
    <x v="1"/>
    <s v="OK"/>
    <x v="0"/>
    <s v="OK"/>
    <x v="0"/>
    <x v="0"/>
    <n v="1"/>
    <n v="0"/>
    <n v="0"/>
    <n v="0"/>
    <x v="0"/>
    <x v="0"/>
    <x v="0"/>
  </r>
  <r>
    <n v="20566343631"/>
    <x v="26"/>
    <x v="25"/>
    <x v="3447"/>
    <x v="3460"/>
    <x v="2995"/>
    <n v="2"/>
    <x v="36"/>
    <s v="Trazo y Replanteo para Instalaciones Electricas Túnel - Etapa 01B"/>
    <s v="Caserio Cruz del Siglo S/N"/>
    <x v="269"/>
    <x v="0"/>
    <x v="0"/>
    <x v="1"/>
    <x v="147"/>
    <x v="0"/>
    <n v="4"/>
    <n v="184"/>
    <x v="0"/>
    <x v="1"/>
    <n v="5.0251256281407036E-3"/>
    <x v="7"/>
    <x v="1"/>
    <s v="OK"/>
    <x v="0"/>
    <s v="OK"/>
    <x v="0"/>
    <x v="0"/>
    <n v="1"/>
    <n v="0"/>
    <n v="0"/>
    <n v="0"/>
    <x v="0"/>
    <x v="0"/>
    <x v="0"/>
  </r>
  <r>
    <n v="20566343631"/>
    <x v="26"/>
    <x v="25"/>
    <x v="3448"/>
    <x v="3461"/>
    <x v="386"/>
    <n v="1"/>
    <x v="88"/>
    <s v="Trazo y Replanteo para Instalaciones Electricas Túnel - Etapa 01B"/>
    <s v="Los Cardos 144 Urb. Los Recaudadores"/>
    <x v="34"/>
    <x v="0"/>
    <x v="16"/>
    <x v="1"/>
    <x v="111"/>
    <x v="2"/>
    <n v="1"/>
    <n v="24"/>
    <x v="0"/>
    <x v="1"/>
    <n v="5.0251256281407036E-3"/>
    <x v="12"/>
    <x v="1"/>
    <s v="OK"/>
    <x v="1"/>
    <s v="OK"/>
    <x v="0"/>
    <x v="0"/>
    <n v="1"/>
    <n v="1"/>
    <n v="0"/>
    <n v="1"/>
    <x v="0"/>
    <x v="1"/>
    <x v="0"/>
  </r>
  <r>
    <n v="20566343631"/>
    <x v="26"/>
    <x v="25"/>
    <x v="3449"/>
    <x v="3462"/>
    <x v="2935"/>
    <n v="2"/>
    <x v="36"/>
    <s v="Trazo y Replanteo para Instalaciones Electricas Túnel - Etapa 01B"/>
    <s v="Jr. Asunción N° 301 Urb. El Parral"/>
    <x v="0"/>
    <x v="0"/>
    <x v="0"/>
    <x v="1"/>
    <x v="106"/>
    <x v="0"/>
    <n v="4"/>
    <n v="184"/>
    <x v="0"/>
    <x v="1"/>
    <n v="5.0251256281407036E-3"/>
    <x v="13"/>
    <x v="1"/>
    <s v="OK"/>
    <x v="0"/>
    <s v="OK"/>
    <x v="0"/>
    <x v="0"/>
    <n v="1"/>
    <n v="0"/>
    <n v="0"/>
    <n v="0"/>
    <x v="0"/>
    <x v="0"/>
    <x v="0"/>
  </r>
  <r>
    <n v="20566343631"/>
    <x v="26"/>
    <x v="25"/>
    <x v="3450"/>
    <x v="3463"/>
    <x v="2996"/>
    <n v="2"/>
    <x v="37"/>
    <s v="Trazo y Replanteo para Instalaciones Electricas Túnel - Etapa 01B"/>
    <s v="Mz. N Lote 14 Grupo V AA.HH. Cruz de Motupe"/>
    <x v="15"/>
    <x v="0"/>
    <x v="0"/>
    <x v="1"/>
    <x v="861"/>
    <x v="0"/>
    <n v="4"/>
    <n v="184"/>
    <x v="0"/>
    <x v="1"/>
    <n v="5.0251256281407036E-3"/>
    <x v="18"/>
    <x v="2"/>
    <s v="OK"/>
    <x v="0"/>
    <s v="OK"/>
    <x v="0"/>
    <x v="0"/>
    <n v="1"/>
    <n v="0"/>
    <n v="0"/>
    <n v="0"/>
    <x v="0"/>
    <x v="0"/>
    <x v="0"/>
  </r>
  <r>
    <n v="20566343631"/>
    <x v="26"/>
    <x v="25"/>
    <x v="3451"/>
    <x v="3464"/>
    <x v="2997"/>
    <n v="2"/>
    <x v="37"/>
    <s v="Trazo y Replanteo para Instalaciones Electricas Túnel - Etapa 01B"/>
    <s v="Mz. N Lote 14 AA.HH. Tupac Amaru"/>
    <x v="1"/>
    <x v="0"/>
    <x v="0"/>
    <x v="1"/>
    <x v="861"/>
    <x v="0"/>
    <n v="4"/>
    <n v="184"/>
    <x v="0"/>
    <x v="1"/>
    <n v="5.0251256281407036E-3"/>
    <x v="1"/>
    <x v="0"/>
    <s v="OK"/>
    <x v="1"/>
    <s v="OK"/>
    <x v="0"/>
    <x v="0"/>
    <n v="1"/>
    <n v="1"/>
    <n v="0"/>
    <n v="0"/>
    <x v="0"/>
    <x v="0"/>
    <x v="0"/>
  </r>
  <r>
    <n v="20566343631"/>
    <x v="26"/>
    <x v="25"/>
    <x v="3452"/>
    <x v="3465"/>
    <x v="2998"/>
    <n v="2"/>
    <x v="37"/>
    <s v="Trazo y Replanteo para Instalaciones Electricas Túnel - Etapa 01B"/>
    <s v="Jr. Raymundo Carcamo N° 970 Urb. Santa Catalina"/>
    <x v="25"/>
    <x v="0"/>
    <x v="0"/>
    <x v="1"/>
    <x v="861"/>
    <x v="0"/>
    <n v="4"/>
    <n v="184"/>
    <x v="0"/>
    <x v="1"/>
    <n v="5.0251256281407036E-3"/>
    <x v="25"/>
    <x v="3"/>
    <s v="OK"/>
    <x v="4"/>
    <s v="OK"/>
    <x v="0"/>
    <x v="0"/>
    <n v="1"/>
    <n v="1"/>
    <n v="0"/>
    <n v="0"/>
    <x v="0"/>
    <x v="0"/>
    <x v="0"/>
  </r>
  <r>
    <n v="20566343631"/>
    <x v="26"/>
    <x v="25"/>
    <x v="3453"/>
    <x v="3466"/>
    <x v="2999"/>
    <n v="2"/>
    <x v="37"/>
    <s v="Trazo y Replanteo para Instalaciones Electricas Túnel - Etapa 01B"/>
    <s v="Calle Berlin N° 270"/>
    <x v="146"/>
    <x v="0"/>
    <x v="0"/>
    <x v="1"/>
    <x v="861"/>
    <x v="0"/>
    <n v="4"/>
    <n v="184"/>
    <x v="0"/>
    <x v="1"/>
    <n v="5.0251256281407036E-3"/>
    <x v="4"/>
    <x v="0"/>
    <s v="OK"/>
    <x v="0"/>
    <s v="OK"/>
    <x v="0"/>
    <x v="0"/>
    <n v="1"/>
    <n v="0"/>
    <n v="0"/>
    <n v="0"/>
    <x v="0"/>
    <x v="0"/>
    <x v="0"/>
  </r>
  <r>
    <n v="20566343631"/>
    <x v="26"/>
    <x v="25"/>
    <x v="3454"/>
    <x v="3467"/>
    <x v="3000"/>
    <n v="2"/>
    <x v="36"/>
    <s v="Trazo y Replanteo para Instalaciones Electricas Túnel - Etapa 01B"/>
    <s v="Av. Elmer Faucett 132 Urb. Reynoso"/>
    <x v="63"/>
    <x v="0"/>
    <x v="0"/>
    <x v="1"/>
    <x v="861"/>
    <x v="0"/>
    <n v="4"/>
    <n v="184"/>
    <x v="0"/>
    <x v="1"/>
    <n v="5.0251256281407036E-3"/>
    <x v="11"/>
    <x v="1"/>
    <s v="OK"/>
    <x v="2"/>
    <s v="OK"/>
    <x v="0"/>
    <x v="0"/>
    <n v="1"/>
    <n v="1"/>
    <n v="0"/>
    <n v="0"/>
    <x v="0"/>
    <x v="0"/>
    <x v="0"/>
  </r>
  <r>
    <n v="20566343631"/>
    <x v="26"/>
    <x v="25"/>
    <x v="3455"/>
    <x v="3468"/>
    <x v="3001"/>
    <n v="2"/>
    <x v="302"/>
    <s v="Trazo y Replanteo para Instalaciones Electricas Túnel - Etapa 01B"/>
    <s v="Calle Chavin Coop. Andahuaylas Mz. O LT 04"/>
    <x v="27"/>
    <x v="0"/>
    <x v="0"/>
    <x v="1"/>
    <x v="861"/>
    <x v="0"/>
    <n v="4"/>
    <n v="184"/>
    <x v="0"/>
    <x v="1"/>
    <n v="5.0251256281407036E-3"/>
    <x v="12"/>
    <x v="1"/>
    <s v="OK"/>
    <x v="5"/>
    <s v="OK"/>
    <x v="0"/>
    <x v="0"/>
    <n v="1"/>
    <n v="1"/>
    <n v="0"/>
    <n v="0"/>
    <x v="0"/>
    <x v="0"/>
    <x v="0"/>
  </r>
  <r>
    <n v="20566343631"/>
    <x v="26"/>
    <x v="25"/>
    <x v="3456"/>
    <x v="3469"/>
    <x v="3002"/>
    <n v="2"/>
    <x v="36"/>
    <s v="Trazo y Replanteo para Instalaciones Electricas Túnel - Etapa 01B"/>
    <s v="MZ. G LT 5 COMITÉ 57 RAUL PORRAS BARRENECHEA"/>
    <x v="54"/>
    <x v="0"/>
    <x v="0"/>
    <x v="1"/>
    <x v="283"/>
    <x v="0"/>
    <n v="4"/>
    <n v="184"/>
    <x v="0"/>
    <x v="1"/>
    <n v="5.0251256281407036E-3"/>
    <x v="18"/>
    <x v="2"/>
    <s v="OK"/>
    <x v="0"/>
    <s v="OK"/>
    <x v="0"/>
    <x v="0"/>
    <n v="1"/>
    <n v="0"/>
    <n v="0"/>
    <n v="0"/>
    <x v="0"/>
    <x v="0"/>
    <x v="0"/>
  </r>
  <r>
    <n v="20566343631"/>
    <x v="26"/>
    <x v="25"/>
    <x v="3457"/>
    <x v="3470"/>
    <x v="3003"/>
    <n v="2"/>
    <x v="302"/>
    <s v="Trazo y Replanteo para Instalaciones Electricas Túnel - Etapa 01B"/>
    <s v="Pasaje Los Conquistadores N° 225 3era Zona Pueblo Joven 07 de Octubre"/>
    <x v="46"/>
    <x v="0"/>
    <x v="0"/>
    <x v="1"/>
    <x v="283"/>
    <x v="0"/>
    <n v="4"/>
    <n v="184"/>
    <x v="0"/>
    <x v="1"/>
    <n v="5.0251256281407036E-3"/>
    <x v="23"/>
    <x v="3"/>
    <s v="OK"/>
    <x v="7"/>
    <s v="OK"/>
    <x v="0"/>
    <x v="0"/>
    <n v="1"/>
    <n v="1"/>
    <n v="0"/>
    <n v="0"/>
    <x v="0"/>
    <x v="0"/>
    <x v="0"/>
  </r>
  <r>
    <n v="20566343631"/>
    <x v="26"/>
    <x v="25"/>
    <x v="3458"/>
    <x v="3471"/>
    <x v="3004"/>
    <n v="2"/>
    <x v="36"/>
    <s v="Trazo y Replanteo para Instalaciones Electricas Túnel - Etapa 01B"/>
    <s v="Jr. Micaela Bastidas AA.HH. Tupac Amaru II Mz. A Lote 3"/>
    <x v="0"/>
    <x v="0"/>
    <x v="0"/>
    <x v="1"/>
    <x v="283"/>
    <x v="0"/>
    <n v="4"/>
    <n v="184"/>
    <x v="0"/>
    <x v="1"/>
    <n v="5.0251256281407036E-3"/>
    <x v="8"/>
    <x v="1"/>
    <s v="OK"/>
    <x v="0"/>
    <s v="OK"/>
    <x v="0"/>
    <x v="0"/>
    <n v="1"/>
    <n v="0"/>
    <n v="0"/>
    <n v="0"/>
    <x v="0"/>
    <x v="0"/>
    <x v="0"/>
  </r>
  <r>
    <n v="20566343631"/>
    <x v="26"/>
    <x v="25"/>
    <x v="3459"/>
    <x v="3472"/>
    <x v="403"/>
    <n v="2"/>
    <x v="36"/>
    <s v="Trazo y Replanteo para Instalaciones Electricas Túnel - Etapa 01B"/>
    <s v="MZ. G LT 5 COMITÉ 57 RAUL PORRAS BARRENECHEA"/>
    <x v="54"/>
    <x v="0"/>
    <x v="0"/>
    <x v="1"/>
    <x v="764"/>
    <x v="0"/>
    <n v="4"/>
    <n v="184"/>
    <x v="0"/>
    <x v="1"/>
    <n v="5.0251256281407036E-3"/>
    <x v="9"/>
    <x v="1"/>
    <s v="OK"/>
    <x v="0"/>
    <s v="OK"/>
    <x v="0"/>
    <x v="0"/>
    <n v="1"/>
    <n v="0"/>
    <n v="0"/>
    <n v="0"/>
    <x v="0"/>
    <x v="0"/>
    <x v="0"/>
  </r>
  <r>
    <n v="20566343631"/>
    <x v="26"/>
    <x v="25"/>
    <x v="3460"/>
    <x v="3473"/>
    <x v="3005"/>
    <n v="2"/>
    <x v="302"/>
    <s v="Trazo y Replanteo para Instalaciones Electricas Túnel - Etapa 01B"/>
    <s v="Mz. 47 Lote 07 AA.HH. Proyectos Especiales"/>
    <x v="15"/>
    <x v="0"/>
    <x v="20"/>
    <x v="1"/>
    <x v="16"/>
    <x v="2"/>
    <n v="4"/>
    <n v="156"/>
    <x v="0"/>
    <x v="1"/>
    <n v="5.0251256281407036E-3"/>
    <x v="19"/>
    <x v="2"/>
    <s v="OK"/>
    <x v="0"/>
    <s v="OK"/>
    <x v="0"/>
    <x v="0"/>
    <n v="1"/>
    <n v="0"/>
    <n v="0"/>
    <n v="1"/>
    <x v="0"/>
    <x v="1"/>
    <x v="0"/>
  </r>
  <r>
    <n v="20566343631"/>
    <x v="26"/>
    <x v="25"/>
    <x v="3461"/>
    <x v="3474"/>
    <x v="3006"/>
    <n v="2"/>
    <x v="37"/>
    <s v="Trazo y Replanteo para Instalaciones Electricas Túnel - Etapa 01B"/>
    <s v="Av. Antonio Bazo N° 591 Interior 4"/>
    <x v="25"/>
    <x v="0"/>
    <x v="0"/>
    <x v="1"/>
    <x v="36"/>
    <x v="0"/>
    <n v="4"/>
    <n v="184"/>
    <x v="0"/>
    <x v="1"/>
    <n v="5.0251256281407036E-3"/>
    <x v="41"/>
    <x v="5"/>
    <s v="OK"/>
    <x v="4"/>
    <s v="OK"/>
    <x v="0"/>
    <x v="0"/>
    <n v="1"/>
    <n v="1"/>
    <n v="0"/>
    <n v="0"/>
    <x v="0"/>
    <x v="0"/>
    <x v="0"/>
  </r>
  <r>
    <n v="20566343631"/>
    <x v="26"/>
    <x v="25"/>
    <x v="3462"/>
    <x v="3475"/>
    <x v="2876"/>
    <n v="2"/>
    <x v="37"/>
    <s v="Trazo y Replanteo para Instalaciones Electricas Túnel - Etapa 01B"/>
    <s v="Jr. Colon N° 890 Urb. Cercado"/>
    <x v="6"/>
    <x v="0"/>
    <x v="0"/>
    <x v="1"/>
    <x v="50"/>
    <x v="0"/>
    <n v="4"/>
    <n v="184"/>
    <x v="0"/>
    <x v="1"/>
    <n v="5.0251256281407036E-3"/>
    <x v="9"/>
    <x v="1"/>
    <s v="OK"/>
    <x v="2"/>
    <s v="OK"/>
    <x v="0"/>
    <x v="0"/>
    <n v="1"/>
    <n v="1"/>
    <n v="0"/>
    <n v="0"/>
    <x v="0"/>
    <x v="0"/>
    <x v="0"/>
  </r>
  <r>
    <n v="20566343631"/>
    <x v="26"/>
    <x v="25"/>
    <x v="3463"/>
    <x v="3476"/>
    <x v="3007"/>
    <n v="2"/>
    <x v="37"/>
    <s v="Trazo y Replanteo para Instalaciones Electricas Túnel - Etapa 01B"/>
    <s v="Jr. Antonio Miro Quesada N° 430"/>
    <x v="6"/>
    <x v="0"/>
    <x v="0"/>
    <x v="1"/>
    <x v="38"/>
    <x v="0"/>
    <n v="4"/>
    <n v="184"/>
    <x v="0"/>
    <x v="1"/>
    <n v="5.0251256281407036E-3"/>
    <x v="24"/>
    <x v="3"/>
    <s v="OK"/>
    <x v="2"/>
    <s v="OK"/>
    <x v="0"/>
    <x v="0"/>
    <n v="1"/>
    <n v="1"/>
    <n v="0"/>
    <n v="0"/>
    <x v="0"/>
    <x v="0"/>
    <x v="0"/>
  </r>
  <r>
    <n v="20566343631"/>
    <x v="26"/>
    <x v="25"/>
    <x v="3464"/>
    <x v="3477"/>
    <x v="3008"/>
    <n v="2"/>
    <x v="37"/>
    <s v="Trazo y Replanteo para Instalaciones Electricas Túnel - Etapa 01B"/>
    <s v="AA.HH. Las Esteras de Ancon Mz. J Lote 2"/>
    <x v="62"/>
    <x v="0"/>
    <x v="0"/>
    <x v="1"/>
    <x v="38"/>
    <x v="0"/>
    <n v="4"/>
    <n v="184"/>
    <x v="0"/>
    <x v="1"/>
    <n v="5.0251256281407036E-3"/>
    <x v="38"/>
    <x v="4"/>
    <s v="OK"/>
    <x v="0"/>
    <s v="OK"/>
    <x v="0"/>
    <x v="0"/>
    <n v="1"/>
    <n v="0"/>
    <n v="0"/>
    <n v="0"/>
    <x v="0"/>
    <x v="0"/>
    <x v="0"/>
  </r>
  <r>
    <n v="20566343631"/>
    <x v="26"/>
    <x v="25"/>
    <x v="3465"/>
    <x v="3478"/>
    <x v="3009"/>
    <n v="1"/>
    <x v="69"/>
    <s v="Trazo y Replanteo para Instalaciones Electricas Túnel - Etapa 01B"/>
    <s v="Mz. F4 Lote 11 Urb. Ciudad del Pescador"/>
    <x v="6"/>
    <x v="0"/>
    <x v="28"/>
    <x v="1"/>
    <x v="2"/>
    <x v="2"/>
    <n v="1"/>
    <n v="88"/>
    <x v="0"/>
    <x v="1"/>
    <n v="5.0251256281407036E-3"/>
    <x v="24"/>
    <x v="3"/>
    <s v="OK"/>
    <x v="2"/>
    <s v="OK"/>
    <x v="0"/>
    <x v="0"/>
    <n v="1"/>
    <n v="1"/>
    <n v="0"/>
    <n v="1"/>
    <x v="0"/>
    <x v="1"/>
    <x v="0"/>
  </r>
  <r>
    <n v="20566343631"/>
    <x v="26"/>
    <x v="25"/>
    <x v="3466"/>
    <x v="3479"/>
    <x v="500"/>
    <n v="1"/>
    <x v="61"/>
    <s v="Trazo y Replanteo para Instalaciones Electricas Túnel - Etapa 01B"/>
    <s v="Mz. A - 11 Lote 8"/>
    <x v="36"/>
    <x v="0"/>
    <x v="0"/>
    <x v="1"/>
    <x v="2"/>
    <x v="0"/>
    <n v="1"/>
    <n v="184"/>
    <x v="0"/>
    <x v="1"/>
    <n v="5.0251256281407036E-3"/>
    <x v="12"/>
    <x v="1"/>
    <s v="OK"/>
    <x v="2"/>
    <s v="OK"/>
    <x v="0"/>
    <x v="0"/>
    <n v="1"/>
    <n v="1"/>
    <n v="0"/>
    <n v="0"/>
    <x v="0"/>
    <x v="0"/>
    <x v="0"/>
  </r>
  <r>
    <n v="20566343631"/>
    <x v="26"/>
    <x v="25"/>
    <x v="3467"/>
    <x v="3480"/>
    <x v="3010"/>
    <n v="1"/>
    <x v="69"/>
    <s v="Trazo y Replanteo para Instalaciones Electricas Túnel - Etapa 01B"/>
    <s v="Av. San Borja Norte N° 459 Dpto. 603"/>
    <x v="144"/>
    <x v="0"/>
    <x v="0"/>
    <x v="1"/>
    <x v="38"/>
    <x v="0"/>
    <n v="1"/>
    <n v="184"/>
    <x v="0"/>
    <x v="1"/>
    <n v="5.0251256281407036E-3"/>
    <x v="22"/>
    <x v="2"/>
    <s v="OK"/>
    <x v="0"/>
    <s v="OK"/>
    <x v="0"/>
    <x v="0"/>
    <n v="1"/>
    <n v="0"/>
    <n v="0"/>
    <n v="0"/>
    <x v="0"/>
    <x v="0"/>
    <x v="0"/>
  </r>
  <r>
    <n v="20566343631"/>
    <x v="26"/>
    <x v="25"/>
    <x v="3468"/>
    <x v="3481"/>
    <x v="2549"/>
    <n v="1"/>
    <x v="88"/>
    <s v="Trazo y Replanteo para Instalaciones Electricas Túnel - Etapa 01B"/>
    <s v="AA.HH. Francisco Tudela Mz. I Lote 13"/>
    <x v="2"/>
    <x v="0"/>
    <x v="0"/>
    <x v="1"/>
    <x v="38"/>
    <x v="0"/>
    <n v="1"/>
    <n v="184"/>
    <x v="0"/>
    <x v="1"/>
    <n v="5.0251256281407036E-3"/>
    <x v="33"/>
    <x v="4"/>
    <s v="OK"/>
    <x v="2"/>
    <s v="OK"/>
    <x v="0"/>
    <x v="0"/>
    <n v="1"/>
    <n v="1"/>
    <n v="0"/>
    <n v="0"/>
    <x v="0"/>
    <x v="0"/>
    <x v="0"/>
  </r>
  <r>
    <n v="20566343631"/>
    <x v="26"/>
    <x v="25"/>
    <x v="3469"/>
    <x v="3482"/>
    <x v="1898"/>
    <n v="1"/>
    <x v="411"/>
    <s v="Trazo y Replanteo para Instalaciones Electricas Túnel - Etapa 01B"/>
    <s v="Av. Universitaria Sur N° 1965 Block B Dpto. 605"/>
    <x v="118"/>
    <x v="0"/>
    <x v="0"/>
    <x v="1"/>
    <x v="126"/>
    <x v="0"/>
    <n v="1"/>
    <n v="184"/>
    <x v="0"/>
    <x v="1"/>
    <n v="5.0251256281407036E-3"/>
    <x v="31"/>
    <x v="3"/>
    <s v="OK"/>
    <x v="0"/>
    <s v="OK"/>
    <x v="0"/>
    <x v="0"/>
    <n v="1"/>
    <n v="0"/>
    <n v="0"/>
    <n v="0"/>
    <x v="0"/>
    <x v="0"/>
    <x v="0"/>
  </r>
  <r>
    <n v="20566343631"/>
    <x v="26"/>
    <x v="25"/>
    <x v="3470"/>
    <x v="3483"/>
    <x v="457"/>
    <n v="1"/>
    <x v="412"/>
    <s v="Trazo y Replanteo para Instalaciones Electricas Túnel - Etapa 01B"/>
    <s v="Urb. Los Cedros del Naranjal Mz. D Lote 49"/>
    <x v="3"/>
    <x v="0"/>
    <x v="0"/>
    <x v="1"/>
    <x v="126"/>
    <x v="0"/>
    <n v="1"/>
    <n v="184"/>
    <x v="0"/>
    <x v="1"/>
    <n v="5.0251256281407036E-3"/>
    <x v="11"/>
    <x v="1"/>
    <s v="OK"/>
    <x v="0"/>
    <s v="OK"/>
    <x v="0"/>
    <x v="0"/>
    <n v="1"/>
    <n v="0"/>
    <n v="0"/>
    <n v="0"/>
    <x v="0"/>
    <x v="0"/>
    <x v="0"/>
  </r>
  <r>
    <n v="20566343631"/>
    <x v="26"/>
    <x v="25"/>
    <x v="3471"/>
    <x v="3484"/>
    <x v="3011"/>
    <n v="2"/>
    <x v="302"/>
    <s v="Trazo y Replanteo para Instalaciones Electricas Túnel - Etapa 01B"/>
    <s v="Mz. G6 Lote 18 Sector V Urb. Bocanegra"/>
    <x v="6"/>
    <x v="0"/>
    <x v="0"/>
    <x v="1"/>
    <x v="192"/>
    <x v="0"/>
    <n v="4"/>
    <n v="184"/>
    <x v="0"/>
    <x v="1"/>
    <n v="5.0251256281407036E-3"/>
    <x v="21"/>
    <x v="2"/>
    <s v="OK"/>
    <x v="2"/>
    <s v="OK"/>
    <x v="0"/>
    <x v="0"/>
    <n v="1"/>
    <n v="1"/>
    <n v="0"/>
    <n v="0"/>
    <x v="0"/>
    <x v="0"/>
    <x v="0"/>
  </r>
  <r>
    <n v="20566343631"/>
    <x v="26"/>
    <x v="25"/>
    <x v="3472"/>
    <x v="3485"/>
    <x v="1964"/>
    <n v="2"/>
    <x v="302"/>
    <s v="Trazo y Replanteo para Instalaciones Electricas Túnel - Etapa 01B"/>
    <s v="Mz. J Lote 32 Cmte 5 AA.HH. Nuevo Peru"/>
    <x v="15"/>
    <x v="0"/>
    <x v="0"/>
    <x v="1"/>
    <x v="49"/>
    <x v="0"/>
    <n v="7"/>
    <n v="184"/>
    <x v="0"/>
    <x v="1"/>
    <n v="5.0251256281407036E-3"/>
    <x v="27"/>
    <x v="3"/>
    <s v="OK"/>
    <x v="0"/>
    <s v="OK"/>
    <x v="0"/>
    <x v="0"/>
    <n v="1"/>
    <n v="0"/>
    <n v="0"/>
    <n v="0"/>
    <x v="0"/>
    <x v="0"/>
    <x v="0"/>
  </r>
  <r>
    <n v="20566343631"/>
    <x v="26"/>
    <x v="25"/>
    <x v="3473"/>
    <x v="3486"/>
    <x v="3012"/>
    <n v="2"/>
    <x v="36"/>
    <s v="Trazo y Replanteo para Instalaciones Electricas Túnel - Etapa 01B"/>
    <s v="Mz. E Lote 4 Asoc. Villa Vitarte"/>
    <x v="1"/>
    <x v="0"/>
    <x v="0"/>
    <x v="1"/>
    <x v="105"/>
    <x v="0"/>
    <n v="4"/>
    <n v="184"/>
    <x v="0"/>
    <x v="1"/>
    <n v="5.0251256281407036E-3"/>
    <x v="23"/>
    <x v="3"/>
    <s v="OK"/>
    <x v="1"/>
    <s v="OK"/>
    <x v="0"/>
    <x v="0"/>
    <n v="1"/>
    <n v="1"/>
    <n v="0"/>
    <n v="0"/>
    <x v="0"/>
    <x v="0"/>
    <x v="0"/>
  </r>
  <r>
    <n v="20566343631"/>
    <x v="26"/>
    <x v="25"/>
    <x v="3474"/>
    <x v="3487"/>
    <x v="3013"/>
    <n v="2"/>
    <x v="36"/>
    <s v="Trazo y Replanteo para Instalaciones Electricas Túnel - Etapa 01B"/>
    <s v="Calle La Minka Mz. E Lote 46 In. 2"/>
    <x v="1"/>
    <x v="0"/>
    <x v="0"/>
    <x v="1"/>
    <x v="105"/>
    <x v="0"/>
    <n v="4"/>
    <n v="184"/>
    <x v="0"/>
    <x v="1"/>
    <n v="5.0251256281407036E-3"/>
    <x v="16"/>
    <x v="2"/>
    <s v="OK"/>
    <x v="1"/>
    <s v="OK"/>
    <x v="0"/>
    <x v="0"/>
    <n v="1"/>
    <n v="1"/>
    <n v="0"/>
    <n v="0"/>
    <x v="0"/>
    <x v="0"/>
    <x v="0"/>
  </r>
  <r>
    <n v="20566343631"/>
    <x v="26"/>
    <x v="25"/>
    <x v="3475"/>
    <x v="3488"/>
    <x v="453"/>
    <n v="2"/>
    <x v="37"/>
    <s v="Trazo y Replanteo para Instalaciones Electricas Túnel - Etapa 01B"/>
    <s v="Asoc. Textil Vitarte Mz. C Lote 5"/>
    <x v="1"/>
    <x v="0"/>
    <x v="0"/>
    <x v="1"/>
    <x v="105"/>
    <x v="0"/>
    <n v="4"/>
    <n v="184"/>
    <x v="0"/>
    <x v="1"/>
    <n v="5.0251256281407036E-3"/>
    <x v="11"/>
    <x v="1"/>
    <s v="OK"/>
    <x v="1"/>
    <s v="OK"/>
    <x v="0"/>
    <x v="0"/>
    <n v="1"/>
    <n v="1"/>
    <n v="0"/>
    <n v="0"/>
    <x v="0"/>
    <x v="0"/>
    <x v="0"/>
  </r>
  <r>
    <n v="20566343631"/>
    <x v="26"/>
    <x v="25"/>
    <x v="3476"/>
    <x v="3489"/>
    <x v="3014"/>
    <n v="2"/>
    <x v="302"/>
    <s v="Trazo y Replanteo para Instalaciones Electricas Túnel - Etapa 01B"/>
    <s v="Av. Bauzate y Meza N° 2079 Dpto. 01"/>
    <x v="25"/>
    <x v="0"/>
    <x v="0"/>
    <x v="1"/>
    <x v="105"/>
    <x v="0"/>
    <n v="4"/>
    <n v="184"/>
    <x v="0"/>
    <x v="1"/>
    <n v="5.0251256281407036E-3"/>
    <x v="30"/>
    <x v="3"/>
    <s v="OK"/>
    <x v="4"/>
    <s v="OK"/>
    <x v="0"/>
    <x v="0"/>
    <n v="1"/>
    <n v="1"/>
    <n v="0"/>
    <n v="0"/>
    <x v="0"/>
    <x v="0"/>
    <x v="0"/>
  </r>
  <r>
    <n v="20566343631"/>
    <x v="26"/>
    <x v="25"/>
    <x v="3477"/>
    <x v="3490"/>
    <x v="3015"/>
    <n v="2"/>
    <x v="36"/>
    <s v="Trazo y Replanteo para Instalaciones Electricas Túnel - Etapa 01B"/>
    <s v="Bulevar las Hebeas 1199 Int-170"/>
    <x v="15"/>
    <x v="0"/>
    <x v="0"/>
    <x v="1"/>
    <x v="105"/>
    <x v="0"/>
    <n v="4"/>
    <n v="184"/>
    <x v="0"/>
    <x v="1"/>
    <n v="5.0251256281407036E-3"/>
    <x v="6"/>
    <x v="1"/>
    <s v="OK"/>
    <x v="0"/>
    <s v="OK"/>
    <x v="0"/>
    <x v="0"/>
    <n v="1"/>
    <n v="0"/>
    <n v="0"/>
    <n v="0"/>
    <x v="0"/>
    <x v="0"/>
    <x v="0"/>
  </r>
  <r>
    <n v="20566343631"/>
    <x v="26"/>
    <x v="25"/>
    <x v="3478"/>
    <x v="3491"/>
    <x v="3016"/>
    <n v="2"/>
    <x v="36"/>
    <s v="Trazo y Replanteo para Instalaciones Electricas Túnel - Etapa 01B"/>
    <s v="Pasaje Las Dalias Asent. H. Virgen del Pilar Mz. J Lote 15"/>
    <x v="4"/>
    <x v="0"/>
    <x v="0"/>
    <x v="1"/>
    <x v="27"/>
    <x v="0"/>
    <n v="4"/>
    <n v="184"/>
    <x v="0"/>
    <x v="1"/>
    <n v="5.0251256281407036E-3"/>
    <x v="26"/>
    <x v="3"/>
    <s v="OK"/>
    <x v="0"/>
    <s v="OK"/>
    <x v="0"/>
    <x v="0"/>
    <n v="1"/>
    <n v="0"/>
    <n v="0"/>
    <n v="0"/>
    <x v="0"/>
    <x v="0"/>
    <x v="0"/>
  </r>
  <r>
    <n v="20566343631"/>
    <x v="26"/>
    <x v="25"/>
    <x v="3341"/>
    <x v="3492"/>
    <x v="2921"/>
    <n v="1"/>
    <x v="90"/>
    <s v="Trazo y Replanteo para Instalaciones Electricas Túnel - Etapa 01B"/>
    <s v="Caserio Salitre Mz. B Lote 1"/>
    <x v="269"/>
    <x v="0"/>
    <x v="0"/>
    <x v="1"/>
    <x v="4"/>
    <x v="0"/>
    <n v="1"/>
    <n v="184"/>
    <x v="0"/>
    <x v="1"/>
    <n v="5.0251256281407036E-3"/>
    <x v="20"/>
    <x v="2"/>
    <s v="OK"/>
    <x v="0"/>
    <s v="OK"/>
    <x v="0"/>
    <x v="0"/>
    <n v="1"/>
    <n v="0"/>
    <n v="1"/>
    <n v="0"/>
    <x v="0"/>
    <x v="0"/>
    <x v="1"/>
  </r>
  <r>
    <n v="20566343631"/>
    <x v="26"/>
    <x v="25"/>
    <x v="3479"/>
    <x v="3493"/>
    <x v="3017"/>
    <n v="2"/>
    <x v="36"/>
    <s v="Trazo y Replanteo para Instalaciones Electricas Túnel - Etapa 01B"/>
    <s v="Av. María Elena Moyano Sector 6 Grupo 2A ASENT. H. RIO JORDAN"/>
    <x v="19"/>
    <x v="0"/>
    <x v="0"/>
    <x v="1"/>
    <x v="4"/>
    <x v="0"/>
    <n v="4"/>
    <n v="184"/>
    <x v="0"/>
    <x v="1"/>
    <n v="5.0251256281407036E-3"/>
    <x v="26"/>
    <x v="3"/>
    <s v="OK"/>
    <x v="0"/>
    <s v="OK"/>
    <x v="0"/>
    <x v="0"/>
    <n v="1"/>
    <n v="0"/>
    <n v="1"/>
    <n v="0"/>
    <x v="0"/>
    <x v="0"/>
    <x v="1"/>
  </r>
  <r>
    <n v="20566343631"/>
    <x v="26"/>
    <x v="25"/>
    <x v="3480"/>
    <x v="3494"/>
    <x v="3018"/>
    <n v="2"/>
    <x v="36"/>
    <s v="Trazo y Replanteo para Instalaciones Electricas Túnel - Etapa 01B"/>
    <s v="UCV 2 Lote 20 Zona A Asent. H. Huaycan"/>
    <x v="34"/>
    <x v="0"/>
    <x v="0"/>
    <x v="1"/>
    <x v="4"/>
    <x v="0"/>
    <n v="4"/>
    <n v="184"/>
    <x v="0"/>
    <x v="1"/>
    <n v="5.0251256281407036E-3"/>
    <x v="12"/>
    <x v="1"/>
    <s v="OK"/>
    <x v="1"/>
    <s v="OK"/>
    <x v="0"/>
    <x v="0"/>
    <n v="1"/>
    <n v="1"/>
    <n v="1"/>
    <n v="0"/>
    <x v="0"/>
    <x v="0"/>
    <x v="1"/>
  </r>
  <r>
    <n v="20566343631"/>
    <x v="26"/>
    <x v="25"/>
    <x v="3481"/>
    <x v="3495"/>
    <x v="1907"/>
    <n v="2"/>
    <x v="37"/>
    <s v="Trazo y Replanteo para Instalaciones Electricas Túnel - Etapa 01B"/>
    <s v="C.P. Villa Huasapampa"/>
    <x v="43"/>
    <x v="0"/>
    <x v="0"/>
    <x v="1"/>
    <x v="4"/>
    <x v="0"/>
    <n v="4"/>
    <n v="184"/>
    <x v="0"/>
    <x v="1"/>
    <n v="5.0251256281407036E-3"/>
    <x v="31"/>
    <x v="3"/>
    <s v="OK"/>
    <x v="0"/>
    <s v="OK"/>
    <x v="0"/>
    <x v="0"/>
    <n v="1"/>
    <n v="0"/>
    <n v="1"/>
    <n v="0"/>
    <x v="0"/>
    <x v="0"/>
    <x v="1"/>
  </r>
  <r>
    <n v="20566343631"/>
    <x v="26"/>
    <x v="25"/>
    <x v="3482"/>
    <x v="3496"/>
    <x v="3019"/>
    <n v="2"/>
    <x v="36"/>
    <s v="Trazo y Replanteo para Instalaciones Electricas Túnel - Etapa 01B"/>
    <s v="Av. Las Gaviotas N° 880 Mz. T1 Lote 13D Urb. La Campiña"/>
    <x v="38"/>
    <x v="0"/>
    <x v="0"/>
    <x v="3"/>
    <x v="4"/>
    <x v="0"/>
    <n v="4"/>
    <n v="184"/>
    <x v="0"/>
    <x v="1"/>
    <n v="5.0251256281407036E-3"/>
    <x v="20"/>
    <x v="2"/>
    <s v="OK"/>
    <x v="0"/>
    <s v="OK"/>
    <x v="0"/>
    <x v="0"/>
    <n v="1"/>
    <n v="0"/>
    <n v="1"/>
    <n v="0"/>
    <x v="0"/>
    <x v="0"/>
    <x v="1"/>
  </r>
  <r>
    <n v="20566343631"/>
    <x v="26"/>
    <x v="25"/>
    <x v="3483"/>
    <x v="3497"/>
    <x v="3020"/>
    <n v="2"/>
    <x v="36"/>
    <s v="Trazo y Replanteo para Instalaciones Electricas Túnel - Etapa 01B"/>
    <s v="Sector 1 Grupo 23 Mz. E Lote 23"/>
    <x v="19"/>
    <x v="0"/>
    <x v="0"/>
    <x v="1"/>
    <x v="4"/>
    <x v="0"/>
    <n v="4"/>
    <n v="184"/>
    <x v="0"/>
    <x v="1"/>
    <n v="5.0251256281407036E-3"/>
    <x v="21"/>
    <x v="2"/>
    <s v="OK"/>
    <x v="0"/>
    <s v="OK"/>
    <x v="0"/>
    <x v="0"/>
    <n v="1"/>
    <n v="0"/>
    <n v="1"/>
    <n v="0"/>
    <x v="0"/>
    <x v="0"/>
    <x v="1"/>
  </r>
  <r>
    <n v="20566343631"/>
    <x v="26"/>
    <x v="25"/>
    <x v="3484"/>
    <x v="3498"/>
    <x v="3021"/>
    <n v="2"/>
    <x v="36"/>
    <s v="Trazo y Replanteo para Instalaciones Electricas Túnel - Etapa 01B"/>
    <s v="Horacio Zevallos Mz. N-13 Lote 5"/>
    <x v="15"/>
    <x v="0"/>
    <x v="0"/>
    <x v="1"/>
    <x v="4"/>
    <x v="0"/>
    <n v="4"/>
    <n v="184"/>
    <x v="0"/>
    <x v="1"/>
    <n v="5.0251256281407036E-3"/>
    <x v="28"/>
    <x v="3"/>
    <s v="OK"/>
    <x v="0"/>
    <s v="OK"/>
    <x v="0"/>
    <x v="0"/>
    <n v="1"/>
    <n v="0"/>
    <n v="1"/>
    <n v="0"/>
    <x v="0"/>
    <x v="0"/>
    <x v="1"/>
  </r>
  <r>
    <n v="20566343631"/>
    <x v="26"/>
    <x v="25"/>
    <x v="3485"/>
    <x v="3499"/>
    <x v="3022"/>
    <n v="2"/>
    <x v="36"/>
    <s v="Trazo y Replanteo para Instalaciones Electricas Túnel - Etapa 01B"/>
    <s v="Jr. Felipe Herrera N° 3970 Piso 2 Condevilla del Señor"/>
    <x v="3"/>
    <x v="0"/>
    <x v="0"/>
    <x v="1"/>
    <x v="4"/>
    <x v="0"/>
    <n v="4"/>
    <n v="184"/>
    <x v="0"/>
    <x v="1"/>
    <n v="5.0251256281407036E-3"/>
    <x v="26"/>
    <x v="3"/>
    <s v="OK"/>
    <x v="0"/>
    <s v="OK"/>
    <x v="0"/>
    <x v="0"/>
    <n v="1"/>
    <n v="0"/>
    <n v="1"/>
    <n v="0"/>
    <x v="0"/>
    <x v="0"/>
    <x v="1"/>
  </r>
  <r>
    <n v="20566343631"/>
    <x v="26"/>
    <x v="25"/>
    <x v="3486"/>
    <x v="3500"/>
    <x v="3023"/>
    <n v="2"/>
    <x v="36"/>
    <s v="Trazo y Replanteo para Instalaciones Electricas Túnel - Etapa 01B"/>
    <s v="Calle Javier Eraud N° 269 Micaela Bastidas"/>
    <x v="23"/>
    <x v="0"/>
    <x v="0"/>
    <x v="1"/>
    <x v="4"/>
    <x v="0"/>
    <n v="4"/>
    <n v="184"/>
    <x v="0"/>
    <x v="1"/>
    <n v="5.0251256281407036E-3"/>
    <x v="28"/>
    <x v="3"/>
    <s v="OK"/>
    <x v="0"/>
    <s v="OK"/>
    <x v="0"/>
    <x v="0"/>
    <n v="1"/>
    <n v="0"/>
    <n v="1"/>
    <n v="0"/>
    <x v="0"/>
    <x v="0"/>
    <x v="1"/>
  </r>
  <r>
    <n v="20566343631"/>
    <x v="26"/>
    <x v="25"/>
    <x v="3487"/>
    <x v="3501"/>
    <x v="3024"/>
    <n v="2"/>
    <x v="36"/>
    <s v="Trazo y Replanteo para Instalaciones Electricas Túnel - Etapa 01B"/>
    <s v="Calle Independencia 290"/>
    <x v="383"/>
    <x v="0"/>
    <x v="0"/>
    <x v="1"/>
    <x v="4"/>
    <x v="0"/>
    <n v="4"/>
    <n v="184"/>
    <x v="0"/>
    <x v="1"/>
    <n v="5.0251256281407036E-3"/>
    <x v="2"/>
    <x v="0"/>
    <s v="OK"/>
    <x v="0"/>
    <s v="OK"/>
    <x v="0"/>
    <x v="0"/>
    <n v="1"/>
    <n v="0"/>
    <n v="1"/>
    <n v="0"/>
    <x v="0"/>
    <x v="0"/>
    <x v="1"/>
  </r>
  <r>
    <n v="20566343631"/>
    <x v="26"/>
    <x v="25"/>
    <x v="3488"/>
    <x v="3502"/>
    <x v="467"/>
    <n v="2"/>
    <x v="302"/>
    <s v="Trazo y Replanteo para Instalaciones Electricas Túnel - Etapa 01B"/>
    <s v="Calle Felipe Santiago Crespo N° 501"/>
    <x v="78"/>
    <x v="0"/>
    <x v="0"/>
    <x v="1"/>
    <x v="207"/>
    <x v="0"/>
    <n v="4"/>
    <n v="176"/>
    <x v="0"/>
    <x v="1"/>
    <n v="5.0251256281407036E-3"/>
    <x v="8"/>
    <x v="1"/>
    <s v="OK"/>
    <x v="6"/>
    <s v="OK"/>
    <x v="0"/>
    <x v="0"/>
    <n v="1"/>
    <n v="1"/>
    <n v="1"/>
    <n v="0"/>
    <x v="0"/>
    <x v="0"/>
    <x v="1"/>
  </r>
  <r>
    <n v="20566343631"/>
    <x v="26"/>
    <x v="25"/>
    <x v="3489"/>
    <x v="3503"/>
    <x v="3025"/>
    <n v="2"/>
    <x v="302"/>
    <s v="Trazo y Replanteo para Instalaciones Electricas Túnel - Etapa 01B"/>
    <s v="Jr. Arica 591"/>
    <x v="6"/>
    <x v="0"/>
    <x v="27"/>
    <x v="1"/>
    <x v="207"/>
    <x v="2"/>
    <n v="4"/>
    <n v="8"/>
    <x v="0"/>
    <x v="1"/>
    <n v="5.0251256281407036E-3"/>
    <x v="33"/>
    <x v="4"/>
    <s v="OK"/>
    <x v="2"/>
    <s v="OK"/>
    <x v="0"/>
    <x v="1"/>
    <n v="0.5"/>
    <n v="0.5"/>
    <n v="1"/>
    <n v="1"/>
    <x v="0"/>
    <x v="1"/>
    <x v="1"/>
  </r>
  <r>
    <n v="20566343631"/>
    <x v="26"/>
    <x v="25"/>
    <x v="3490"/>
    <x v="3504"/>
    <x v="3026"/>
    <n v="2"/>
    <x v="302"/>
    <s v="Trazo y Replanteo para Instalaciones Electricas Túnel - Etapa 01B"/>
    <s v="Ampliación 10 de Octubre Señor de los Milagros Mz. F Lote 11"/>
    <x v="15"/>
    <x v="0"/>
    <x v="0"/>
    <x v="1"/>
    <x v="207"/>
    <x v="0"/>
    <n v="4"/>
    <n v="176"/>
    <x v="0"/>
    <x v="1"/>
    <n v="5.0251256281407036E-3"/>
    <x v="19"/>
    <x v="2"/>
    <s v="OK"/>
    <x v="0"/>
    <s v="OK"/>
    <x v="0"/>
    <x v="0"/>
    <n v="1"/>
    <n v="0"/>
    <n v="1"/>
    <n v="0"/>
    <x v="0"/>
    <x v="0"/>
    <x v="1"/>
  </r>
  <r>
    <n v="20566343631"/>
    <x v="26"/>
    <x v="25"/>
    <x v="3491"/>
    <x v="3505"/>
    <x v="3027"/>
    <n v="2"/>
    <x v="37"/>
    <s v="Trazo y Replanteo para Instalaciones Electricas Túnel - Etapa 01B"/>
    <s v="Calle General Varela N° 1462"/>
    <x v="5"/>
    <x v="0"/>
    <x v="0"/>
    <x v="1"/>
    <x v="187"/>
    <x v="0"/>
    <n v="4"/>
    <n v="168"/>
    <x v="0"/>
    <x v="1"/>
    <n v="5.0251256281407036E-3"/>
    <x v="28"/>
    <x v="3"/>
    <s v="OK"/>
    <x v="3"/>
    <s v="OK"/>
    <x v="0"/>
    <x v="0"/>
    <n v="1"/>
    <n v="1"/>
    <n v="1"/>
    <n v="0"/>
    <x v="0"/>
    <x v="0"/>
    <x v="1"/>
  </r>
  <r>
    <n v="20566343631"/>
    <x v="26"/>
    <x v="25"/>
    <x v="3492"/>
    <x v="3506"/>
    <x v="1572"/>
    <n v="2"/>
    <x v="302"/>
    <s v="Trazo y Replanteo para Instalaciones Electricas Túnel - Etapa 01B"/>
    <s v="Asent. H. Año Nuevo Sector 11 de Julio Mz. C8 Lote 1"/>
    <x v="0"/>
    <x v="0"/>
    <x v="0"/>
    <x v="1"/>
    <x v="28"/>
    <x v="0"/>
    <n v="4"/>
    <n v="132"/>
    <x v="0"/>
    <x v="1"/>
    <n v="5.0251256281407036E-3"/>
    <x v="19"/>
    <x v="2"/>
    <s v="OK"/>
    <x v="0"/>
    <s v="OK"/>
    <x v="0"/>
    <x v="0"/>
    <n v="1"/>
    <n v="0"/>
    <n v="1"/>
    <n v="0"/>
    <x v="0"/>
    <x v="0"/>
    <x v="1"/>
  </r>
  <r>
    <n v="20566343631"/>
    <x v="26"/>
    <x v="25"/>
    <x v="3493"/>
    <x v="3507"/>
    <x v="3028"/>
    <n v="2"/>
    <x v="36"/>
    <s v="Trazo y Replanteo para Instalaciones Electricas Túnel - Etapa 01B"/>
    <s v="Km. 38 Carretera Central Mz. A Lote 8 Santa Eulalia"/>
    <x v="213"/>
    <x v="0"/>
    <x v="0"/>
    <x v="1"/>
    <x v="28"/>
    <x v="0"/>
    <n v="4"/>
    <n v="132"/>
    <x v="0"/>
    <x v="1"/>
    <n v="5.0251256281407036E-3"/>
    <x v="14"/>
    <x v="2"/>
    <s v="OK"/>
    <x v="0"/>
    <s v="OK"/>
    <x v="0"/>
    <x v="0"/>
    <n v="1"/>
    <n v="0"/>
    <n v="1"/>
    <n v="0"/>
    <x v="0"/>
    <x v="0"/>
    <x v="1"/>
  </r>
  <r>
    <n v="20566343631"/>
    <x v="26"/>
    <x v="25"/>
    <x v="3494"/>
    <x v="3508"/>
    <x v="3029"/>
    <n v="2"/>
    <x v="302"/>
    <s v="Trazo y Replanteo para Instalaciones Electricas Túnel - Etapa 01B"/>
    <s v="Asent. H. Virgen de las Mercedes Mz. H Lote 7"/>
    <x v="8"/>
    <x v="0"/>
    <x v="0"/>
    <x v="1"/>
    <x v="115"/>
    <x v="0"/>
    <n v="4"/>
    <n v="116"/>
    <x v="0"/>
    <x v="1"/>
    <n v="5.0251256281407036E-3"/>
    <x v="15"/>
    <x v="2"/>
    <s v="OK"/>
    <x v="0"/>
    <s v="OK"/>
    <x v="0"/>
    <x v="0"/>
    <n v="1"/>
    <n v="0"/>
    <n v="1"/>
    <n v="0"/>
    <x v="0"/>
    <x v="0"/>
    <x v="1"/>
  </r>
  <r>
    <n v="20566343631"/>
    <x v="26"/>
    <x v="25"/>
    <x v="3495"/>
    <x v="3509"/>
    <x v="3030"/>
    <n v="2"/>
    <x v="36"/>
    <s v="Trazo y Replanteo para Instalaciones Electricas Túnel - Etapa 01B"/>
    <s v="Sector III Grupo 25 Mz. D Lote 10"/>
    <x v="19"/>
    <x v="0"/>
    <x v="12"/>
    <x v="1"/>
    <x v="186"/>
    <x v="2"/>
    <n v="4"/>
    <n v="108"/>
    <x v="0"/>
    <x v="1"/>
    <n v="5.0251256281407036E-3"/>
    <x v="18"/>
    <x v="2"/>
    <s v="OK"/>
    <x v="0"/>
    <s v="OK"/>
    <x v="0"/>
    <x v="0"/>
    <n v="1"/>
    <n v="0"/>
    <n v="1"/>
    <n v="1"/>
    <x v="0"/>
    <x v="1"/>
    <x v="1"/>
  </r>
  <r>
    <n v="20566343631"/>
    <x v="26"/>
    <x v="25"/>
    <x v="3496"/>
    <x v="3510"/>
    <x v="3031"/>
    <n v="1"/>
    <x v="406"/>
    <s v="Trazo y Replanteo para Instalaciones Electricas Túnel - Etapa 01B"/>
    <s v="Sector 3 Grupo 25 Mz. D Lote 10"/>
    <x v="19"/>
    <x v="0"/>
    <x v="0"/>
    <x v="1"/>
    <x v="103"/>
    <x v="0"/>
    <n v="1"/>
    <n v="96"/>
    <x v="0"/>
    <x v="1"/>
    <n v="5.0251256281407036E-3"/>
    <x v="15"/>
    <x v="2"/>
    <s v="OK"/>
    <x v="0"/>
    <s v="OK"/>
    <x v="0"/>
    <x v="0"/>
    <n v="1"/>
    <n v="0"/>
    <n v="1"/>
    <n v="0"/>
    <x v="0"/>
    <x v="0"/>
    <x v="1"/>
  </r>
  <r>
    <n v="20566343631"/>
    <x v="26"/>
    <x v="25"/>
    <x v="3497"/>
    <x v="3511"/>
    <x v="3032"/>
    <n v="2"/>
    <x v="36"/>
    <s v="Trazo y Replanteo para Instalaciones Electricas Túnel - Etapa 01B"/>
    <s v="U. Vecinal Cruz de Yerbateros Bock F11"/>
    <x v="78"/>
    <x v="0"/>
    <x v="0"/>
    <x v="1"/>
    <x v="101"/>
    <x v="0"/>
    <n v="4"/>
    <n v="80"/>
    <x v="0"/>
    <x v="1"/>
    <n v="5.0251256281407036E-3"/>
    <x v="23"/>
    <x v="3"/>
    <s v="OK"/>
    <x v="6"/>
    <s v="OK"/>
    <x v="0"/>
    <x v="0"/>
    <n v="1"/>
    <n v="1"/>
    <n v="1"/>
    <n v="0"/>
    <x v="0"/>
    <x v="0"/>
    <x v="1"/>
  </r>
  <r>
    <n v="20566343631"/>
    <x v="26"/>
    <x v="25"/>
    <x v="3498"/>
    <x v="3512"/>
    <x v="3033"/>
    <n v="2"/>
    <x v="302"/>
    <s v="Trazo y Replanteo para Instalaciones Electricas Túnel - Etapa 01B"/>
    <s v="Calle Isla Santa Cruz Mz. C-1 Lote 42 Urb. Los Cedros"/>
    <x v="38"/>
    <x v="0"/>
    <x v="0"/>
    <x v="1"/>
    <x v="101"/>
    <x v="0"/>
    <n v="4"/>
    <n v="80"/>
    <x v="0"/>
    <x v="1"/>
    <n v="5.0251256281407036E-3"/>
    <x v="37"/>
    <x v="4"/>
    <s v="OK"/>
    <x v="0"/>
    <s v="OK"/>
    <x v="0"/>
    <x v="0"/>
    <n v="1"/>
    <n v="0"/>
    <n v="1"/>
    <n v="0"/>
    <x v="0"/>
    <x v="0"/>
    <x v="1"/>
  </r>
  <r>
    <n v="20566343631"/>
    <x v="26"/>
    <x v="25"/>
    <x v="3499"/>
    <x v="3513"/>
    <x v="3034"/>
    <n v="1"/>
    <x v="406"/>
    <s v="Trazo y Replanteo para Instalaciones Electricas Túnel - Etapa 01B"/>
    <s v="Av. 4 Urb. San Antonio de Carapongo Etapa 1 Mz. Y1 Lote 17"/>
    <x v="50"/>
    <x v="0"/>
    <x v="0"/>
    <x v="1"/>
    <x v="172"/>
    <x v="0"/>
    <n v="1"/>
    <n v="52"/>
    <x v="0"/>
    <x v="1"/>
    <n v="5.0251256281407036E-3"/>
    <x v="18"/>
    <x v="2"/>
    <s v="OK"/>
    <x v="0"/>
    <s v="OK"/>
    <x v="0"/>
    <x v="0"/>
    <n v="1"/>
    <n v="0"/>
    <n v="1"/>
    <n v="0"/>
    <x v="0"/>
    <x v="0"/>
    <x v="1"/>
  </r>
  <r>
    <n v="20566343631"/>
    <x v="26"/>
    <x v="25"/>
    <x v="3500"/>
    <x v="3514"/>
    <x v="3035"/>
    <n v="2"/>
    <x v="36"/>
    <s v="Trazo y Replanteo para Instalaciones Electricas Túnel - Etapa 01B"/>
    <s v="Av. Peru N° 3593"/>
    <x v="270"/>
    <x v="0"/>
    <x v="0"/>
    <x v="1"/>
    <x v="66"/>
    <x v="0"/>
    <n v="4"/>
    <n v="36"/>
    <x v="0"/>
    <x v="1"/>
    <n v="5.0251256281407036E-3"/>
    <x v="13"/>
    <x v="1"/>
    <s v="OK"/>
    <x v="0"/>
    <s v="OK"/>
    <x v="0"/>
    <x v="0"/>
    <n v="1"/>
    <n v="0"/>
    <n v="1"/>
    <n v="0"/>
    <x v="0"/>
    <x v="0"/>
    <x v="1"/>
  </r>
  <r>
    <n v="20566343631"/>
    <x v="26"/>
    <x v="25"/>
    <x v="3501"/>
    <x v="3515"/>
    <x v="3036"/>
    <n v="2"/>
    <x v="302"/>
    <s v="Trazo y Replanteo para Instalaciones Electricas Túnel - Etapa 01B"/>
    <s v="Asent. H. Los Cipreses Mz. A Lote 16"/>
    <x v="15"/>
    <x v="0"/>
    <x v="0"/>
    <x v="1"/>
    <x v="66"/>
    <x v="0"/>
    <n v="4"/>
    <n v="36"/>
    <x v="0"/>
    <x v="1"/>
    <n v="5.0251256281407036E-3"/>
    <x v="22"/>
    <x v="2"/>
    <s v="OK"/>
    <x v="0"/>
    <s v="OK"/>
    <x v="0"/>
    <x v="0"/>
    <n v="1"/>
    <n v="0"/>
    <n v="1"/>
    <n v="0"/>
    <x v="0"/>
    <x v="0"/>
    <x v="1"/>
  </r>
  <r>
    <n v="20566343631"/>
    <x v="26"/>
    <x v="25"/>
    <x v="3502"/>
    <x v="3516"/>
    <x v="3037"/>
    <n v="2"/>
    <x v="36"/>
    <s v="Trazo y Replanteo para Instalaciones Electricas Túnel - Etapa 01B"/>
    <s v="Urb. Juan XXIII 165"/>
    <x v="125"/>
    <x v="0"/>
    <x v="0"/>
    <x v="1"/>
    <x v="66"/>
    <x v="0"/>
    <n v="4"/>
    <n v="36"/>
    <x v="0"/>
    <x v="1"/>
    <n v="5.0251256281407036E-3"/>
    <x v="30"/>
    <x v="3"/>
    <s v="OK"/>
    <x v="0"/>
    <s v="OK"/>
    <x v="0"/>
    <x v="0"/>
    <n v="1"/>
    <n v="0"/>
    <n v="1"/>
    <n v="0"/>
    <x v="0"/>
    <x v="0"/>
    <x v="1"/>
  </r>
  <r>
    <n v="20566343631"/>
    <x v="26"/>
    <x v="25"/>
    <x v="3489"/>
    <x v="3503"/>
    <x v="3025"/>
    <n v="2"/>
    <x v="302"/>
    <s v="Trazo y Replanteo para Instalaciones Electricas Túnel - Etapa 01B"/>
    <s v="Jr. Arica 591"/>
    <x v="6"/>
    <x v="0"/>
    <x v="0"/>
    <x v="1"/>
    <x v="66"/>
    <x v="0"/>
    <n v="4"/>
    <n v="36"/>
    <x v="0"/>
    <x v="1"/>
    <n v="5.0251256281407036E-3"/>
    <x v="33"/>
    <x v="4"/>
    <s v="OK"/>
    <x v="2"/>
    <s v="OK"/>
    <x v="0"/>
    <x v="1"/>
    <n v="0.5"/>
    <n v="0.5"/>
    <n v="1"/>
    <n v="0"/>
    <x v="0"/>
    <x v="0"/>
    <x v="1"/>
  </r>
  <r>
    <n v="20566343631"/>
    <x v="26"/>
    <x v="25"/>
    <x v="3503"/>
    <x v="3517"/>
    <x v="3038"/>
    <n v="2"/>
    <x v="36"/>
    <s v="Trazo y Replanteo para Instalaciones Electricas Túnel - Etapa 01B"/>
    <s v="Av. La Marina N° 136"/>
    <x v="296"/>
    <x v="0"/>
    <x v="0"/>
    <x v="1"/>
    <x v="474"/>
    <x v="0"/>
    <n v="4"/>
    <n v="8"/>
    <x v="0"/>
    <x v="1"/>
    <n v="5.0251256281407036E-3"/>
    <x v="37"/>
    <x v="4"/>
    <s v="OK"/>
    <x v="0"/>
    <s v="OK"/>
    <x v="0"/>
    <x v="0"/>
    <n v="1"/>
    <n v="0"/>
    <n v="1"/>
    <n v="0"/>
    <x v="0"/>
    <x v="0"/>
    <x v="1"/>
  </r>
  <r>
    <n v="20100568617"/>
    <x v="63"/>
    <x v="46"/>
    <x v="3504"/>
    <x v="3518"/>
    <x v="3039"/>
    <n v="1"/>
    <x v="413"/>
    <s v="TRASLADO DE DOVELAS - PLANTA DOVELAS E-19"/>
    <s v="AV. 02 DE OCTUBRE MZ. I1 LT. 12 A.H. LOS OLIVOS"/>
    <x v="49"/>
    <x v="0"/>
    <x v="0"/>
    <x v="1"/>
    <x v="862"/>
    <x v="0"/>
    <n v="1"/>
    <n v="128"/>
    <x v="0"/>
    <x v="1"/>
    <n v="0.125"/>
    <x v="37"/>
    <x v="4"/>
    <s v="OK"/>
    <x v="0"/>
    <s v="OK"/>
    <x v="0"/>
    <x v="0"/>
    <n v="1"/>
    <n v="0"/>
    <n v="0"/>
    <n v="0"/>
    <x v="0"/>
    <x v="0"/>
    <x v="0"/>
  </r>
  <r>
    <n v="20100568617"/>
    <x v="63"/>
    <x v="46"/>
    <x v="3505"/>
    <x v="3519"/>
    <x v="3040"/>
    <n v="1"/>
    <x v="413"/>
    <s v="TRASLADO DE DOVELAS - PLANTA DOVELAS E-19"/>
    <s v="OTROS EL MIRADOR Manz. K15 Lote. 9 AH.  CARLOS MARIANO"/>
    <x v="62"/>
    <x v="0"/>
    <x v="0"/>
    <x v="1"/>
    <x v="734"/>
    <x v="0"/>
    <n v="2"/>
    <n v="136"/>
    <x v="0"/>
    <x v="1"/>
    <n v="0.125"/>
    <x v="39"/>
    <x v="4"/>
    <s v="OK"/>
    <x v="0"/>
    <s v="OK"/>
    <x v="0"/>
    <x v="0"/>
    <n v="1"/>
    <n v="0"/>
    <n v="0"/>
    <n v="0"/>
    <x v="0"/>
    <x v="0"/>
    <x v="0"/>
  </r>
  <r>
    <n v="20100568617"/>
    <x v="63"/>
    <x v="46"/>
    <x v="3506"/>
    <x v="3520"/>
    <x v="1772"/>
    <n v="1"/>
    <x v="413"/>
    <s v="TRASLADO DE DOVELAS - PLANTA DOVELAS E-19"/>
    <s v="OTROS VIVIENDA NVO AMANECER DE ZARATE Manz. A Lote. 05"/>
    <x v="15"/>
    <x v="0"/>
    <x v="0"/>
    <x v="1"/>
    <x v="862"/>
    <x v="0"/>
    <n v="1"/>
    <n v="88"/>
    <x v="0"/>
    <x v="1"/>
    <n v="0.125"/>
    <x v="17"/>
    <x v="2"/>
    <s v="OK"/>
    <x v="0"/>
    <s v="OK"/>
    <x v="0"/>
    <x v="0"/>
    <n v="1"/>
    <n v="0"/>
    <n v="0"/>
    <n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1" cacheId="51" applyNumberFormats="0" applyBorderFormats="0" applyFontFormats="0" applyPatternFormats="0" applyAlignmentFormats="0" applyWidthHeightFormats="1" dataCaption="Valores" grandTotalCaption="Total" updatedVersion="8" minRefreshableVersion="3" itemPrintTitles="1" createdVersion="6" indent="0" outline="1" outlineData="1" multipleFieldFilters="0" rowHeaderCaption="Zona de Influencia">
  <location ref="C6:F15" firstHeaderRow="1" firstDataRow="2" firstDataCol="1" rowPageCount="1" colPageCount="1"/>
  <pivotFields count="3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 sortType="ascending">
      <items count="16">
        <item m="1" x="9"/>
        <item m="1" x="6"/>
        <item m="1" x="14"/>
        <item m="1" x="13"/>
        <item m="1" x="4"/>
        <item m="1" x="5"/>
        <item m="1" x="12"/>
        <item m="1" x="11"/>
        <item m="1" x="8"/>
        <item m="1" x="7"/>
        <item m="1" x="10"/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axis="axisRow" showAll="0">
      <items count="10">
        <item x="1"/>
        <item x="3"/>
        <item x="2"/>
        <item x="7"/>
        <item x="4"/>
        <item h="1" x="0"/>
        <item x="6"/>
        <item x="5"/>
        <item h="1" m="1" x="8"/>
        <item t="default"/>
      </items>
    </pivotField>
    <pivotField showAll="0"/>
    <pivotField showAll="0"/>
    <pivotField showAll="0"/>
    <pivotField numFmtId="43" showAll="0"/>
    <pivotField dataField="1" numFmtId="43" showAll="0"/>
    <pivotField numFmtId="43" showAll="0"/>
    <pivotField showAll="0"/>
    <pivotField axis="axisPage" showAll="0">
      <items count="4">
        <item x="0"/>
        <item x="1"/>
        <item m="1" x="2"/>
        <item t="default"/>
      </items>
    </pivotField>
    <pivotField showAll="0"/>
    <pivotField showAll="0"/>
    <pivotField dragToRow="0" dragToCol="0" dragToPage="0" showAll="0" defaultSubtotal="0"/>
  </pivotFields>
  <rowFields count="1">
    <field x="24"/>
  </rowFields>
  <rowItems count="8">
    <i>
      <x/>
    </i>
    <i>
      <x v="1"/>
    </i>
    <i>
      <x v="2"/>
    </i>
    <i>
      <x v="3"/>
    </i>
    <i>
      <x v="4"/>
    </i>
    <i>
      <x v="6"/>
    </i>
    <i>
      <x v="7"/>
    </i>
    <i t="grand">
      <x/>
    </i>
  </rowItems>
  <colFields count="1">
    <field x="11"/>
  </colFields>
  <colItems count="3">
    <i>
      <x v="11"/>
    </i>
    <i>
      <x v="12"/>
    </i>
    <i t="grand">
      <x/>
    </i>
  </colItems>
  <pageFields count="1">
    <pageField fld="32" item="0" hier="-1"/>
  </pageFields>
  <dataFields count="1">
    <dataField name="Sum of Trabajdores Unicos Zona Influencia" fld="29" baseField="0" baseItem="0" numFmtId="166"/>
  </dataFields>
  <formats count="27">
    <format dxfId="83">
      <pivotArea outline="0" collapsedLevelsAreSubtotals="1" fieldPosition="0"/>
    </format>
    <format dxfId="82">
      <pivotArea dataOnly="0" labelOnly="1" grandCol="1" outline="0" fieldPosition="0"/>
    </format>
    <format dxfId="81">
      <pivotArea field="24" type="button" dataOnly="0" labelOnly="1" outline="0" axis="axisRow" fieldPosition="0"/>
    </format>
    <format dxfId="80">
      <pivotArea dataOnly="0" labelOnly="1" grandCol="1" outline="0" fieldPosition="0"/>
    </format>
    <format dxfId="79">
      <pivotArea dataOnly="0" labelOnly="1" fieldPosition="0">
        <references count="1">
          <reference field="24" count="0"/>
        </references>
      </pivotArea>
    </format>
    <format dxfId="78">
      <pivotArea dataOnly="0" labelOnly="1" grandRow="1" outline="0" fieldPosition="0"/>
    </format>
    <format dxfId="77">
      <pivotArea type="all" dataOnly="0" outline="0" fieldPosition="0"/>
    </format>
    <format dxfId="76">
      <pivotArea outline="0" collapsedLevelsAreSubtotals="1" fieldPosition="0"/>
    </format>
    <format dxfId="75">
      <pivotArea type="origin" dataOnly="0" labelOnly="1" outline="0" fieldPosition="0"/>
    </format>
    <format dxfId="74">
      <pivotArea field="11" type="button" dataOnly="0" labelOnly="1" outline="0" axis="axisCol" fieldPosition="0"/>
    </format>
    <format dxfId="73">
      <pivotArea type="topRight" dataOnly="0" labelOnly="1" outline="0" fieldPosition="0"/>
    </format>
    <format dxfId="72">
      <pivotArea field="24" type="button" dataOnly="0" labelOnly="1" outline="0" axis="axisRow" fieldPosition="0"/>
    </format>
    <format dxfId="71">
      <pivotArea dataOnly="0" labelOnly="1" fieldPosition="0">
        <references count="1">
          <reference field="24" count="0"/>
        </references>
      </pivotArea>
    </format>
    <format dxfId="70">
      <pivotArea dataOnly="0" labelOnly="1" grandRow="1" outline="0" fieldPosition="0"/>
    </format>
    <format dxfId="69">
      <pivotArea dataOnly="0" labelOnly="1" fieldPosition="0">
        <references count="1">
          <reference field="11" count="2">
            <x v="11"/>
            <x v="12"/>
          </reference>
        </references>
      </pivotArea>
    </format>
    <format dxfId="68">
      <pivotArea dataOnly="0" labelOnly="1" grandCol="1" outline="0" fieldPosition="0"/>
    </format>
    <format dxfId="67">
      <pivotArea outline="0" collapsedLevelsAreSubtotals="1" fieldPosition="0"/>
    </format>
    <format dxfId="66">
      <pivotArea type="all" dataOnly="0" outline="0" fieldPosition="0"/>
    </format>
    <format dxfId="65">
      <pivotArea outline="0" collapsedLevelsAreSubtotals="1" fieldPosition="0"/>
    </format>
    <format dxfId="64">
      <pivotArea type="origin" dataOnly="0" labelOnly="1" outline="0" fieldPosition="0"/>
    </format>
    <format dxfId="63">
      <pivotArea field="11" type="button" dataOnly="0" labelOnly="1" outline="0" axis="axisCol" fieldPosition="0"/>
    </format>
    <format dxfId="62">
      <pivotArea type="topRight" dataOnly="0" labelOnly="1" outline="0" fieldPosition="0"/>
    </format>
    <format dxfId="61">
      <pivotArea field="24" type="button" dataOnly="0" labelOnly="1" outline="0" axis="axisRow" fieldPosition="0"/>
    </format>
    <format dxfId="60">
      <pivotArea dataOnly="0" labelOnly="1" fieldPosition="0">
        <references count="1">
          <reference field="24" count="0"/>
        </references>
      </pivotArea>
    </format>
    <format dxfId="59">
      <pivotArea dataOnly="0" labelOnly="1" grandRow="1" outline="0" fieldPosition="0"/>
    </format>
    <format dxfId="58">
      <pivotArea dataOnly="0" labelOnly="1" fieldPosition="0">
        <references count="1">
          <reference field="11" count="2">
            <x v="11"/>
            <x v="12"/>
          </reference>
        </references>
      </pivotArea>
    </format>
    <format dxfId="57">
      <pivotArea dataOnly="0" labelOnly="1" grandCol="1" outline="0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19AFC6-79E6-472E-AC5C-FBADB652A9B8}" name="PivotTable3" cacheId="51" applyNumberFormats="0" applyBorderFormats="0" applyFontFormats="0" applyPatternFormats="0" applyAlignmentFormats="0" applyWidthHeightFormats="1" dataCaption="Valores" grandTotalCaption="Total" updatedVersion="8" minRefreshableVersion="3" itemPrintTitles="1" createdVersion="6" indent="0" compact="0" compactData="0" gridDropZones="1" multipleFieldFilters="0" rowHeaderCaption="Zona de Influencia">
  <location ref="U6:AD10" firstHeaderRow="2" firstDataRow="2" firstDataCol="9" rowPageCount="1" colPageCount="1"/>
  <pivotFields count="36">
    <pivotField compact="0" outline="0" showAll="0"/>
    <pivotField compact="0" outline="0" showAll="0"/>
    <pivotField compact="0" outline="0" showAll="0"/>
    <pivotField axis="axisRow" compact="0" outline="0" showAll="0" defaultSubtotal="0">
      <items count="6549">
        <item m="1" x="6302"/>
        <item m="1" x="6331"/>
        <item m="1" x="6241"/>
        <item m="1" x="5887"/>
        <item m="1" x="5731"/>
        <item m="1" x="5987"/>
        <item m="1" x="5836"/>
        <item m="1" x="6183"/>
        <item m="1" x="6060"/>
        <item m="1" x="6381"/>
        <item m="1" x="5909"/>
        <item m="1" x="6498"/>
        <item m="1" x="6436"/>
        <item m="1" x="6199"/>
        <item m="1" x="6255"/>
        <item m="1" x="6154"/>
        <item m="1" x="6429"/>
        <item m="1" x="6538"/>
        <item m="1" x="6410"/>
        <item m="1" x="6443"/>
        <item m="1" x="6404"/>
        <item m="1" x="6159"/>
        <item m="1" x="5944"/>
        <item m="1" x="5957"/>
        <item m="1" x="6533"/>
        <item m="1" x="6017"/>
        <item m="1" x="6185"/>
        <item m="1" x="5747"/>
        <item m="1" x="5749"/>
        <item m="1" x="5797"/>
        <item m="1" x="5997"/>
        <item m="1" x="6276"/>
        <item m="1" x="5815"/>
        <item m="1" x="5817"/>
        <item m="1" x="6534"/>
        <item m="1" x="6091"/>
        <item m="1" x="6105"/>
        <item m="1" x="5477"/>
        <item m="1" x="6005"/>
        <item m="1" x="6297"/>
        <item m="1" x="6218"/>
        <item m="1" x="6245"/>
        <item m="1" x="6348"/>
        <item m="1" x="6028"/>
        <item m="1" x="6515"/>
        <item m="1" x="5924"/>
        <item m="1" x="6315"/>
        <item m="1" x="6038"/>
        <item m="1" x="5727"/>
        <item m="1" x="5908"/>
        <item m="1" x="6120"/>
        <item m="1" x="6454"/>
        <item m="1" x="6040"/>
        <item m="1" x="6077"/>
        <item m="1" x="6358"/>
        <item m="1" x="6070"/>
        <item m="1" x="5476"/>
        <item m="1" x="6422"/>
        <item m="1" x="5760"/>
        <item m="1" x="6208"/>
        <item m="1" x="6479"/>
        <item m="1" x="5701"/>
        <item m="1" x="6318"/>
        <item m="1" x="6435"/>
        <item m="1" x="6468"/>
        <item m="1" x="6198"/>
        <item m="1" x="5832"/>
        <item m="1" x="6230"/>
        <item m="1" x="6303"/>
        <item m="1" x="6165"/>
        <item m="1" x="6427"/>
        <item m="1" x="6464"/>
        <item m="1" x="6099"/>
        <item m="1" x="6434"/>
        <item m="1" x="3797"/>
        <item m="1" x="5978"/>
        <item m="1" x="4955"/>
        <item m="1" x="4948"/>
        <item m="1" x="4043"/>
        <item m="1" x="6076"/>
        <item x="3030"/>
        <item x="3009"/>
        <item m="1" x="4597"/>
        <item x="2742"/>
        <item x="3241"/>
        <item m="1" x="6490"/>
        <item m="1" x="5560"/>
        <item m="1" x="6289"/>
        <item m="1" x="5288"/>
        <item x="3063"/>
        <item m="1" x="3877"/>
        <item m="1" x="5823"/>
        <item m="1" x="4068"/>
        <item m="1" x="4065"/>
        <item x="3085"/>
        <item m="1" x="4951"/>
        <item m="1" x="4950"/>
        <item m="1" x="5615"/>
        <item m="1" x="5269"/>
        <item m="1" x="5712"/>
        <item m="1" x="5899"/>
        <item m="1" x="5916"/>
        <item m="1" x="5992"/>
        <item m="1" x="4949"/>
        <item m="1" x="5273"/>
        <item x="2461"/>
        <item m="1" x="5469"/>
        <item m="1" x="4958"/>
        <item m="1" x="5996"/>
        <item m="1" x="5820"/>
        <item m="1" x="6164"/>
        <item m="1" x="4424"/>
        <item x="2721"/>
        <item x="3015"/>
        <item m="1" x="4954"/>
        <item m="1" x="5802"/>
        <item m="1" x="5778"/>
        <item m="1" x="5272"/>
        <item x="2724"/>
        <item x="2734"/>
        <item m="1" x="4937"/>
        <item m="1" x="6224"/>
        <item x="2499"/>
        <item x="3010"/>
        <item x="2727"/>
        <item m="1" x="6162"/>
        <item m="1" x="6546"/>
        <item m="1" x="5920"/>
        <item m="1" x="4371"/>
        <item m="1" x="5612"/>
        <item m="1" x="5504"/>
        <item m="1" x="4927"/>
        <item m="1" x="6020"/>
        <item x="3095"/>
        <item m="1" x="3779"/>
        <item m="1" x="4936"/>
        <item m="1" x="4934"/>
        <item x="3016"/>
        <item m="1" x="5301"/>
        <item m="1" x="5498"/>
        <item x="3161"/>
        <item m="1" x="4939"/>
        <item x="3224"/>
        <item m="1" x="4953"/>
        <item m="1" x="6155"/>
        <item x="3082"/>
        <item m="1" x="6277"/>
        <item m="1" x="5544"/>
        <item m="1" x="4926"/>
        <item m="1" x="5287"/>
        <item m="1" x="6485"/>
        <item x="3090"/>
        <item x="2730"/>
        <item x="3217"/>
        <item x="2229"/>
        <item m="1" x="4931"/>
        <item m="1" x="5581"/>
        <item m="1" x="5341"/>
        <item m="1" x="3795"/>
        <item m="1" x="5692"/>
        <item m="1" x="5599"/>
        <item m="1" x="6317"/>
        <item m="1" x="4909"/>
        <item x="2320"/>
        <item m="1" x="5561"/>
        <item m="1" x="5499"/>
        <item m="1" x="5734"/>
        <item m="1" x="6269"/>
        <item m="1" x="6371"/>
        <item x="2459"/>
        <item m="1" x="6497"/>
        <item x="2492"/>
        <item m="1" x="5814"/>
        <item m="1" x="5061"/>
        <item x="2489"/>
        <item x="2723"/>
        <item x="2289"/>
        <item m="1" x="5489"/>
        <item x="2927"/>
        <item m="1" x="4857"/>
        <item m="1" x="6352"/>
        <item m="1" x="5792"/>
        <item m="1" x="5410"/>
        <item m="1" x="4914"/>
        <item m="1" x="5289"/>
        <item x="2731"/>
        <item m="1" x="4957"/>
        <item m="1" x="6380"/>
        <item x="3213"/>
        <item x="3007"/>
        <item x="3013"/>
        <item m="1" x="5296"/>
        <item m="1" x="5895"/>
        <item m="1" x="5719"/>
        <item m="1" x="6147"/>
        <item m="1" x="6408"/>
        <item m="1" x="5888"/>
        <item m="1" x="4066"/>
        <item m="1" x="6385"/>
        <item x="2979"/>
        <item x="3223"/>
        <item x="2122"/>
        <item m="1" x="6339"/>
        <item m="1" x="4946"/>
        <item m="1" x="5424"/>
        <item m="1" x="6156"/>
        <item x="2746"/>
        <item m="1" x="4945"/>
        <item m="1" x="4915"/>
        <item m="1" x="6411"/>
        <item m="1" x="5368"/>
        <item m="1" x="4952"/>
        <item m="1" x="6133"/>
        <item x="2485"/>
        <item m="1" x="6389"/>
        <item m="1" x="4962"/>
        <item x="2967"/>
        <item x="3226"/>
        <item m="1" x="6066"/>
        <item x="2750"/>
        <item m="1" x="6008"/>
        <item m="1" x="4063"/>
        <item m="1" x="4064"/>
        <item x="2988"/>
        <item m="1" x="5541"/>
        <item m="1" x="6377"/>
        <item m="1" x="6001"/>
        <item x="3215"/>
        <item m="1" x="6256"/>
        <item x="3061"/>
        <item m="1" x="5930"/>
        <item x="3017"/>
        <item m="1" x="6323"/>
        <item x="2719"/>
        <item m="1" x="3714"/>
        <item m="1" x="5683"/>
        <item m="1" x="6397"/>
        <item m="1" x="5748"/>
        <item m="1" x="5568"/>
        <item m="1" x="5572"/>
        <item m="1" x="5275"/>
        <item m="1" x="5306"/>
        <item m="1" x="3780"/>
        <item m="1" x="5377"/>
        <item x="2680"/>
        <item x="2945"/>
        <item m="1" x="4959"/>
        <item m="1" x="6437"/>
        <item m="1" x="6332"/>
        <item m="1" x="5551"/>
        <item m="1" x="6100"/>
        <item x="3014"/>
        <item m="1" x="6293"/>
        <item x="2981"/>
        <item m="1" x="5818"/>
        <item m="1" x="4965"/>
        <item m="1" x="5964"/>
        <item m="1" x="6413"/>
        <item m="1" x="6035"/>
        <item m="1" x="5363"/>
        <item m="1" x="3600"/>
        <item m="1" x="5512"/>
        <item m="1" x="5990"/>
        <item m="1" x="5138"/>
        <item m="1" x="6205"/>
        <item m="1" x="6325"/>
        <item m="1" x="5510"/>
        <item m="1" x="4956"/>
        <item m="1" x="5955"/>
        <item x="2748"/>
        <item m="1" x="3909"/>
        <item m="1" x="6236"/>
        <item m="1" x="6368"/>
        <item x="2720"/>
        <item m="1" x="5754"/>
        <item m="1" x="5798"/>
        <item x="2288"/>
        <item m="1" x="5120"/>
        <item m="1" x="6125"/>
        <item m="1" x="6306"/>
        <item m="1" x="5810"/>
        <item m="1" x="5537"/>
        <item m="1" x="6260"/>
        <item m="1" x="5785"/>
        <item m="1" x="5732"/>
        <item x="2831"/>
        <item m="1" x="6087"/>
        <item m="1" x="6527"/>
        <item m="1" x="6513"/>
        <item m="1" x="6345"/>
        <item m="1" x="6418"/>
        <item m="1" x="6167"/>
        <item x="2894"/>
        <item m="1" x="4947"/>
        <item x="2315"/>
        <item m="1" x="6190"/>
        <item m="1" x="6015"/>
        <item m="1" x="6341"/>
        <item m="1" x="5703"/>
        <item m="1" x="6067"/>
        <item m="1" x="5787"/>
        <item m="1" x="6294"/>
        <item m="1" x="5806"/>
        <item m="1" x="6113"/>
        <item m="1" x="5781"/>
        <item m="1" x="6184"/>
        <item m="1" x="6250"/>
        <item m="1" x="5883"/>
        <item m="1" x="6204"/>
        <item m="1" x="6268"/>
        <item m="1" x="6109"/>
        <item m="1" x="6401"/>
        <item m="1" x="6516"/>
        <item m="1" x="6173"/>
        <item m="1" x="6096"/>
        <item m="1" x="6242"/>
        <item m="1" x="6462"/>
        <item m="1" x="6466"/>
        <item m="1" x="4227"/>
        <item x="3220"/>
        <item x="3221"/>
        <item m="1" x="5538"/>
        <item m="1" x="4938"/>
        <item m="1" x="3778"/>
        <item m="1" x="6238"/>
        <item m="1" x="5556"/>
        <item m="1" x="5869"/>
        <item m="1" x="4923"/>
        <item m="1" x="4917"/>
        <item m="1" x="3586"/>
        <item m="1" x="5695"/>
        <item m="1" x="5144"/>
        <item m="1" x="4922"/>
        <item x="2124"/>
        <item m="1" x="4916"/>
        <item x="2503"/>
        <item m="1" x="4924"/>
        <item m="1" x="6386"/>
        <item m="1" x="4899"/>
        <item m="1" x="5526"/>
        <item m="1" x="4925"/>
        <item x="2645"/>
        <item m="1" x="5559"/>
        <item m="1" x="5545"/>
        <item x="2510"/>
        <item m="1" x="6121"/>
        <item m="1" x="4905"/>
        <item m="1" x="4918"/>
        <item m="1" x="4913"/>
        <item m="1" x="3587"/>
        <item x="2325"/>
        <item m="1" x="4495"/>
        <item m="1" x="4903"/>
        <item x="2488"/>
        <item m="1" x="5076"/>
        <item m="1" x="5723"/>
        <item m="1" x="5210"/>
        <item m="1" x="3886"/>
        <item x="2667"/>
        <item x="2506"/>
        <item m="1" x="4376"/>
        <item m="1" x="6203"/>
        <item m="1" x="6420"/>
        <item m="1" x="4541"/>
        <item m="1" x="6376"/>
        <item m="1" x="4901"/>
        <item m="1" x="5659"/>
        <item m="1" x="4057"/>
        <item m="1" x="6307"/>
        <item x="2128"/>
        <item m="1" x="4902"/>
        <item m="1" x="6334"/>
        <item x="2513"/>
        <item m="1" x="6476"/>
        <item x="2512"/>
        <item x="2508"/>
        <item x="2737"/>
        <item m="1" x="5770"/>
        <item m="1" x="4900"/>
        <item x="2504"/>
        <item m="1" x="6366"/>
        <item m="1" x="4895"/>
        <item m="1" x="6216"/>
        <item m="1" x="4890"/>
        <item m="1" x="4051"/>
        <item m="1" x="6098"/>
        <item m="1" x="6169"/>
        <item m="1" x="5580"/>
        <item x="2505"/>
        <item m="1" x="5680"/>
        <item m="1" x="4898"/>
        <item m="1" x="5509"/>
        <item m="1" x="6214"/>
        <item m="1" x="6299"/>
        <item m="1" x="6148"/>
        <item m="1" x="5761"/>
        <item m="1" x="5539"/>
        <item x="2735"/>
        <item x="2507"/>
        <item m="1" x="6460"/>
        <item x="2501"/>
        <item m="1" x="6457"/>
        <item m="1" x="6207"/>
        <item m="1" x="4670"/>
        <item m="1" x="4522"/>
        <item m="1" x="5877"/>
        <item m="1" x="5928"/>
        <item m="1" x="5745"/>
        <item m="1" x="5907"/>
        <item m="1" x="5938"/>
        <item m="1" x="3681"/>
        <item m="1" x="6021"/>
        <item m="1" x="5274"/>
        <item x="2713"/>
        <item x="2494"/>
        <item m="1" x="5837"/>
        <item x="2636"/>
        <item x="2677"/>
        <item m="1" x="6441"/>
        <item m="1" x="6426"/>
        <item m="1" x="3876"/>
        <item m="1" x="6050"/>
        <item m="1" x="5939"/>
        <item m="1" x="5623"/>
        <item m="1" x="5983"/>
        <item m="1" x="6045"/>
        <item m="1" x="6253"/>
        <item m="1" x="5570"/>
        <item m="1" x="6014"/>
        <item m="1" x="6529"/>
        <item m="1" x="6445"/>
        <item m="1" x="3513"/>
        <item x="2314"/>
        <item m="1" x="4854"/>
        <item m="1" x="5697"/>
        <item x="2414"/>
        <item m="1" x="5962"/>
        <item m="1" x="5238"/>
        <item m="1" x="6051"/>
        <item x="2511"/>
        <item x="2313"/>
        <item x="2296"/>
        <item m="1" x="6057"/>
        <item m="1" x="5922"/>
        <item m="1" x="4873"/>
        <item m="1" x="5529"/>
        <item x="2483"/>
        <item m="1" x="5034"/>
        <item x="2732"/>
        <item m="1" x="6143"/>
        <item m="1" x="6197"/>
        <item m="1" x="5857"/>
        <item m="1" x="5788"/>
        <item m="1" x="5880"/>
        <item m="1" x="4050"/>
        <item m="1" x="5671"/>
        <item m="1" x="6176"/>
        <item m="1" x="6023"/>
        <item x="2728"/>
        <item m="1" x="5549"/>
        <item x="2335"/>
        <item m="1" x="4183"/>
        <item x="2500"/>
        <item m="1" x="5546"/>
        <item x="2670"/>
        <item m="1" x="5369"/>
        <item m="1" x="4893"/>
        <item m="1" x="5767"/>
        <item m="1" x="5976"/>
        <item x="2123"/>
        <item m="1" x="4868"/>
        <item m="1" x="6496"/>
        <item m="1" x="6329"/>
        <item m="1" x="6423"/>
        <item m="1" x="5130"/>
        <item x="2502"/>
        <item m="1" x="6396"/>
        <item x="2718"/>
        <item x="3012"/>
        <item m="1" x="5854"/>
        <item m="1" x="4825"/>
        <item m="1" x="4498"/>
        <item x="2726"/>
        <item m="1" x="5776"/>
        <item m="1" x="4041"/>
        <item x="2470"/>
        <item x="2481"/>
        <item m="1" x="5718"/>
        <item m="1" x="5969"/>
        <item m="1" x="4039"/>
        <item m="1" x="6158"/>
        <item m="1" x="3680"/>
        <item x="2291"/>
        <item m="1" x="5794"/>
        <item m="1" x="6024"/>
        <item m="1" x="4361"/>
        <item m="1" x="5584"/>
        <item m="1" x="6084"/>
        <item m="1" x="5129"/>
        <item m="1" x="5654"/>
        <item m="1" x="4494"/>
        <item m="1" x="6543"/>
        <item m="1" x="5614"/>
        <item x="2287"/>
        <item m="1" x="5912"/>
        <item m="1" x="5942"/>
        <item x="2729"/>
        <item m="1" x="5598"/>
        <item m="1" x="4222"/>
        <item x="2474"/>
        <item m="1" x="6508"/>
        <item x="2121"/>
        <item m="1" x="5291"/>
        <item m="1" x="5710"/>
        <item m="1" x="6354"/>
        <item m="1" x="6461"/>
        <item m="1" x="6228"/>
        <item m="1" x="3585"/>
        <item m="1" x="5834"/>
        <item m="1" x="6473"/>
        <item m="1" x="4863"/>
        <item m="1" x="6221"/>
        <item m="1" x="5215"/>
        <item x="2749"/>
        <item m="1" x="6350"/>
        <item m="1" x="5929"/>
        <item m="1" x="5775"/>
        <item m="1" x="3692"/>
        <item m="1" x="5733"/>
        <item m="1" x="6540"/>
        <item m="1" x="4865"/>
        <item x="1628"/>
        <item m="1" x="5505"/>
        <item m="1" x="4864"/>
        <item m="1" x="6431"/>
        <item x="2509"/>
        <item x="2396"/>
        <item m="1" x="6193"/>
        <item m="1" x="5739"/>
        <item m="1" x="4867"/>
        <item m="1" x="6012"/>
        <item m="1" x="4016"/>
        <item m="1" x="6124"/>
        <item x="1995"/>
        <item x="2225"/>
        <item m="1" x="4878"/>
        <item m="1" x="6018"/>
        <item x="2725"/>
        <item m="1" x="6347"/>
        <item m="1" x="6532"/>
        <item m="1" x="4980"/>
        <item m="1" x="4872"/>
        <item m="1" x="6312"/>
        <item m="1" x="6144"/>
        <item m="1" x="4774"/>
        <item m="1" x="6080"/>
        <item x="1907"/>
        <item m="1" x="4022"/>
        <item m="1" x="4663"/>
        <item m="1" x="5809"/>
        <item m="1" x="4664"/>
        <item m="1" x="5898"/>
        <item m="1" x="6309"/>
        <item m="1" x="4560"/>
        <item x="2497"/>
        <item m="1" x="6126"/>
        <item m="1" x="3872"/>
        <item m="1" x="4076"/>
        <item x="3002"/>
        <item m="1" x="5799"/>
        <item m="1" x="5536"/>
        <item x="3312"/>
        <item m="1" x="6181"/>
        <item m="1" x="4855"/>
        <item m="1" x="5953"/>
        <item m="1" x="5271"/>
        <item m="1" x="5866"/>
        <item x="1993"/>
        <item m="1" x="6119"/>
        <item m="1" x="4235"/>
        <item m="1" x="4856"/>
        <item x="1551"/>
        <item m="1" x="4858"/>
        <item m="1" x="5893"/>
        <item m="1" x="5858"/>
        <item m="1" x="5500"/>
        <item m="1" x="6019"/>
        <item x="2292"/>
        <item m="1" x="5307"/>
        <item m="1" x="6194"/>
        <item m="1" x="6425"/>
        <item m="1" x="4669"/>
        <item m="1" x="6217"/>
        <item m="1" x="5610"/>
        <item m="1" x="4851"/>
        <item x="1577"/>
        <item m="1" x="4849"/>
        <item m="1" x="4891"/>
        <item x="1819"/>
        <item x="2336"/>
        <item m="1" x="3552"/>
        <item m="1" x="6200"/>
        <item m="1" x="5660"/>
        <item m="1" x="4874"/>
        <item m="1" x="5485"/>
        <item x="2013"/>
        <item m="1" x="4203"/>
        <item m="1" x="5340"/>
        <item m="1" x="3871"/>
        <item m="1" x="5443"/>
        <item m="1" x="3885"/>
        <item m="1" x="6210"/>
        <item m="1" x="6177"/>
        <item m="1" x="3996"/>
        <item m="1" x="5968"/>
        <item m="1" x="6042"/>
        <item m="1" x="6512"/>
        <item m="1" x="6382"/>
        <item m="1" x="5902"/>
        <item m="1" x="4846"/>
        <item m="1" x="6054"/>
        <item m="1" x="5943"/>
        <item x="1432"/>
        <item m="1" x="6535"/>
        <item m="1" x="5028"/>
        <item m="1" x="4216"/>
        <item m="1" x="6524"/>
        <item x="2232"/>
        <item x="2018"/>
        <item m="1" x="6117"/>
        <item m="1" x="5473"/>
        <item m="1" x="5728"/>
        <item m="1" x="5057"/>
        <item m="1" x="5981"/>
        <item x="1537"/>
        <item x="1565"/>
        <item m="1" x="3691"/>
        <item m="1" x="5756"/>
        <item m="1" x="5365"/>
        <item m="1" x="6537"/>
        <item x="1821"/>
        <item m="1" x="6379"/>
        <item m="1" x="5952"/>
        <item m="1" x="6545"/>
        <item m="1" x="5891"/>
        <item m="1" x="5579"/>
        <item x="2496"/>
        <item m="1" x="6116"/>
        <item m="1" x="5769"/>
        <item m="1" x="3551"/>
        <item m="1" x="6407"/>
        <item m="1" x="5293"/>
        <item m="1" x="6548"/>
        <item x="2743"/>
        <item m="1" x="6316"/>
        <item m="1" x="5904"/>
        <item m="1" x="5467"/>
        <item m="1" x="5833"/>
        <item m="1" x="5735"/>
        <item x="1845"/>
        <item m="1" x="6016"/>
        <item m="1" x="6346"/>
        <item x="1655"/>
        <item m="1" x="5582"/>
        <item m="1" x="6519"/>
        <item m="1" x="5650"/>
        <item m="1" x="5479"/>
        <item m="1" x="4964"/>
        <item m="1" x="6127"/>
        <item m="1" x="6374"/>
        <item m="1" x="6530"/>
        <item m="1" x="5988"/>
        <item m="1" x="5248"/>
        <item m="1" x="6101"/>
        <item m="1" x="6136"/>
        <item m="1" x="4839"/>
        <item m="1" x="6448"/>
        <item m="1" x="5860"/>
        <item m="1" x="5242"/>
        <item m="1" x="6547"/>
        <item m="1" x="6405"/>
        <item m="1" x="6469"/>
        <item m="1" x="5216"/>
        <item x="1999"/>
        <item m="1" x="5190"/>
        <item x="3295"/>
        <item x="1647"/>
        <item m="1" x="6160"/>
        <item m="1" x="5707"/>
        <item m="1" x="5601"/>
        <item m="1" x="5743"/>
        <item m="1" x="5484"/>
        <item m="1" x="5791"/>
        <item m="1" x="6335"/>
        <item m="1" x="6112"/>
        <item m="1" x="3730"/>
        <item m="1" x="4077"/>
        <item x="1292"/>
        <item m="1" x="4841"/>
        <item m="1" x="4006"/>
        <item m="1" x="5946"/>
        <item m="1" x="3775"/>
        <item m="1" x="4153"/>
        <item m="1" x="6336"/>
        <item x="1634"/>
        <item m="1" x="4328"/>
        <item m="1" x="6231"/>
        <item m="1" x="3999"/>
        <item x="2003"/>
        <item m="1" x="4837"/>
        <item m="1" x="4844"/>
        <item m="1" x="6179"/>
        <item m="1" x="5116"/>
        <item x="2493"/>
        <item m="1" x="5885"/>
        <item m="1" x="4842"/>
        <item x="1291"/>
        <item x="3308"/>
        <item m="1" x="4666"/>
        <item m="1" x="5297"/>
        <item m="1" x="6234"/>
        <item m="1" x="5466"/>
        <item x="1081"/>
        <item m="1" x="6472"/>
        <item m="1" x="5994"/>
        <item x="2495"/>
        <item m="1" x="6122"/>
        <item m="1" x="5626"/>
        <item m="1" x="5900"/>
        <item m="1" x="6531"/>
        <item x="1276"/>
        <item m="1" x="6419"/>
        <item m="1" x="6409"/>
        <item x="1915"/>
        <item m="1" x="5871"/>
        <item m="1" x="6261"/>
        <item m="1" x="5666"/>
        <item m="1" x="5175"/>
        <item x="3006"/>
        <item x="2290"/>
        <item m="1" x="4369"/>
        <item m="1" x="5578"/>
        <item m="1" x="5975"/>
        <item m="1" x="5503"/>
        <item m="1" x="5783"/>
        <item x="1849"/>
        <item m="1" x="5630"/>
        <item m="1" x="5367"/>
        <item m="1" x="4836"/>
        <item m="1" x="5468"/>
        <item m="1" x="3553"/>
        <item x="2286"/>
        <item m="1" x="5915"/>
        <item m="1" x="6541"/>
        <item x="2005"/>
        <item m="1" x="6428"/>
        <item x="1652"/>
        <item m="1" x="3556"/>
        <item m="1" x="6433"/>
        <item m="1" x="5425"/>
        <item x="1986"/>
        <item m="1" x="5993"/>
        <item m="1" x="6470"/>
        <item m="1" x="4339"/>
        <item m="1" x="6047"/>
        <item m="1" x="6402"/>
        <item m="1" x="5169"/>
        <item m="1" x="5270"/>
        <item m="1" x="5522"/>
        <item x="1654"/>
        <item m="1" x="5910"/>
        <item m="1" x="5600"/>
        <item m="1" x="4850"/>
        <item m="1" x="6141"/>
        <item x="1656"/>
        <item m="1" x="4493"/>
        <item m="1" x="6494"/>
        <item m="1" x="6239"/>
        <item m="1" x="6069"/>
        <item x="1574"/>
        <item x="1605"/>
        <item m="1" x="5831"/>
        <item m="1" x="4308"/>
        <item m="1" x="4425"/>
        <item m="1" x="5004"/>
        <item m="1" x="5786"/>
        <item m="1" x="6022"/>
        <item m="1" x="6195"/>
        <item x="2498"/>
        <item m="1" x="3762"/>
        <item m="1" x="5609"/>
        <item m="1" x="5784"/>
        <item m="1" x="4835"/>
        <item m="1" x="5941"/>
        <item x="1980"/>
        <item m="1" x="5894"/>
        <item m="1" x="6229"/>
        <item m="1" x="5055"/>
        <item m="1" x="5283"/>
        <item x="1646"/>
        <item m="1" x="5838"/>
        <item m="1" x="4834"/>
        <item m="1" x="4832"/>
        <item m="1" x="6128"/>
        <item m="1" x="5693"/>
        <item x="1211"/>
        <item m="1" x="5565"/>
        <item m="1" x="5972"/>
        <item m="1" x="5047"/>
        <item x="2012"/>
        <item x="1604"/>
        <item m="1" x="6152"/>
        <item m="1" x="6153"/>
        <item m="1" x="4020"/>
        <item m="1" x="6088"/>
        <item m="1" x="6149"/>
        <item m="1" x="6432"/>
        <item m="1" x="6330"/>
        <item m="1" x="5729"/>
        <item m="1" x="5738"/>
        <item m="1" x="6232"/>
        <item m="1" x="6314"/>
        <item x="1138"/>
        <item m="1" x="3854"/>
        <item m="1" x="5971"/>
        <item m="1" x="6290"/>
        <item m="1" x="6246"/>
        <item m="1" x="5724"/>
        <item m="1" x="5209"/>
        <item m="1" x="5673"/>
        <item m="1" x="3572"/>
        <item m="1" x="5017"/>
        <item m="1" x="6094"/>
        <item m="1" x="6489"/>
        <item m="1" x="6525"/>
        <item m="1" x="5777"/>
        <item m="1" x="6252"/>
        <item m="1" x="4830"/>
        <item m="1" x="3873"/>
        <item x="1648"/>
        <item m="1" x="6455"/>
        <item m="1" x="4201"/>
        <item x="1870"/>
        <item m="1" x="6064"/>
        <item x="2236"/>
        <item m="1" x="5029"/>
        <item m="1" x="4827"/>
        <item m="1" x="6243"/>
        <item m="1" x="5003"/>
        <item m="1" x="5592"/>
        <item m="1" x="4652"/>
        <item m="1" x="6090"/>
        <item m="1" x="6521"/>
        <item m="1" x="5828"/>
        <item m="1" x="5646"/>
        <item x="2007"/>
        <item m="1" x="5951"/>
        <item m="1" x="5813"/>
        <item m="1" x="6073"/>
        <item m="1" x="4234"/>
        <item m="1" x="4381"/>
        <item x="1140"/>
        <item m="1" x="6439"/>
        <item x="1820"/>
        <item m="1" x="5575"/>
        <item m="1" x="6206"/>
        <item m="1" x="5862"/>
        <item m="1" x="6093"/>
        <item m="1" x="4829"/>
        <item m="1" x="6212"/>
        <item m="1" x="6174"/>
        <item m="1" x="5681"/>
        <item x="2014"/>
        <item x="1435"/>
        <item m="1" x="6013"/>
        <item m="1" x="5704"/>
        <item m="1" x="4559"/>
        <item m="1" x="5123"/>
        <item m="1" x="6440"/>
        <item m="1" x="5852"/>
        <item x="1903"/>
        <item x="1649"/>
        <item m="1" x="3760"/>
        <item m="1" x="5746"/>
        <item x="1643"/>
        <item m="1" x="3903"/>
        <item m="1" x="6201"/>
        <item m="1" x="4814"/>
        <item m="1" x="6262"/>
        <item x="1653"/>
        <item m="1" x="5740"/>
        <item m="1" x="4018"/>
        <item m="1" x="6061"/>
        <item m="1" x="5995"/>
        <item x="1898"/>
        <item m="1" x="6129"/>
        <item m="1" x="5628"/>
        <item m="1" x="6416"/>
        <item m="1" x="5919"/>
        <item m="1" x="4822"/>
        <item m="1" x="5627"/>
        <item m="1" x="5682"/>
        <item m="1" x="5573"/>
        <item x="1872"/>
        <item m="1" x="5702"/>
        <item m="1" x="6263"/>
        <item m="1" x="6370"/>
        <item x="1622"/>
        <item m="1" x="5844"/>
        <item m="1" x="4816"/>
        <item m="1" x="5956"/>
        <item m="1" x="6356"/>
        <item m="1" x="4029"/>
        <item x="2002"/>
        <item x="2011"/>
        <item m="1" x="5741"/>
        <item m="1" x="4011"/>
        <item m="1" x="5698"/>
        <item m="1" x="5878"/>
        <item m="1" x="6272"/>
        <item m="1" x="6115"/>
        <item m="1" x="5892"/>
        <item m="1" x="4812"/>
        <item m="1" x="6055"/>
        <item m="1" x="4809"/>
        <item m="1" x="5808"/>
        <item m="1" x="3874"/>
        <item m="1" x="3675"/>
        <item m="1" x="6186"/>
        <item m="1" x="6505"/>
        <item m="1" x="4074"/>
        <item m="1" x="6046"/>
        <item m="1" x="6058"/>
        <item m="1" x="5629"/>
        <item m="1" x="5465"/>
        <item m="1" x="6326"/>
        <item m="1" x="6363"/>
        <item m="1" x="6266"/>
        <item m="1" x="5589"/>
        <item m="1" x="6220"/>
        <item m="1" x="4646"/>
        <item m="1" x="5979"/>
        <item m="1" x="5771"/>
        <item m="1" x="5606"/>
        <item m="1" x="6284"/>
        <item m="1" x="5290"/>
        <item m="1" x="6074"/>
        <item m="1" x="5736"/>
        <item m="1" x="4307"/>
        <item x="1507"/>
        <item m="1" x="3557"/>
        <item m="1" x="6337"/>
        <item m="1" x="5415"/>
        <item m="1" x="6351"/>
        <item m="1" x="4802"/>
        <item m="1" x="5625"/>
        <item m="1" x="5932"/>
        <item m="1" x="4309"/>
        <item m="1" x="6511"/>
        <item m="1" x="5903"/>
        <item m="1" x="5934"/>
        <item m="1" x="6081"/>
        <item m="1" x="5574"/>
        <item m="1" x="4565"/>
        <item m="1" x="6187"/>
        <item x="1869"/>
        <item m="1" x="5725"/>
        <item m="1" x="4233"/>
        <item m="1" x="6108"/>
        <item m="1" x="6175"/>
        <item m="1" x="6123"/>
        <item m="1" x="4803"/>
        <item m="1" x="5461"/>
        <item x="1822"/>
        <item m="1" x="6310"/>
        <item m="1" x="6349"/>
        <item m="1" x="4800"/>
        <item m="1" x="3875"/>
        <item m="1" x="5376"/>
        <item m="1" x="6415"/>
        <item m="1" x="4826"/>
        <item m="1" x="5970"/>
        <item m="1" x="5125"/>
        <item m="1" x="6361"/>
        <item m="1" x="5825"/>
        <item m="1" x="6522"/>
        <item m="1" x="4796"/>
        <item m="1" x="3520"/>
        <item m="1" x="6048"/>
        <item m="1" x="6041"/>
        <item m="1" x="4804"/>
        <item m="1" x="5963"/>
        <item x="1436"/>
        <item m="1" x="6412"/>
        <item m="1" x="6249"/>
        <item m="1" x="5759"/>
        <item m="1" x="6086"/>
        <item m="1" x="4595"/>
        <item x="1197"/>
        <item m="1" x="6279"/>
        <item m="1" x="3859"/>
        <item m="1" x="6486"/>
        <item m="1" x="6390"/>
        <item x="1511"/>
        <item m="1" x="5636"/>
        <item x="538"/>
        <item m="1" x="5861"/>
        <item m="1" x="5921"/>
        <item m="1" x="6514"/>
        <item m="1" x="6477"/>
        <item m="1" x="4807"/>
        <item m="1" x="4017"/>
        <item m="1" x="5126"/>
        <item m="1" x="6414"/>
        <item m="1" x="5819"/>
        <item m="1" x="4344"/>
        <item m="1" x="5082"/>
        <item m="1" x="5303"/>
        <item m="1" x="5540"/>
        <item m="1" x="5804"/>
        <item x="1561"/>
        <item x="1859"/>
        <item m="1" x="3742"/>
        <item m="1" x="5453"/>
        <item m="1" x="5122"/>
        <item m="1" x="6130"/>
        <item m="1" x="5298"/>
        <item x="1637"/>
        <item m="1" x="5774"/>
        <item m="1" x="5687"/>
        <item m="1" x="6452"/>
        <item m="1" x="5901"/>
        <item x="1851"/>
        <item m="1" x="5191"/>
        <item m="1" x="3554"/>
        <item m="1" x="5452"/>
        <item m="1" x="5696"/>
        <item m="1" x="5795"/>
        <item x="1645"/>
        <item m="1" x="5454"/>
        <item x="1629"/>
        <item m="1" x="5867"/>
        <item m="1" x="6357"/>
        <item m="1" x="4788"/>
        <item m="1" x="4785"/>
        <item m="1" x="4453"/>
        <item x="1987"/>
        <item m="1" x="6079"/>
        <item m="1" x="5811"/>
        <item m="1" x="3677"/>
        <item m="1" x="6542"/>
        <item x="1910"/>
        <item x="880"/>
        <item m="1" x="4995"/>
        <item m="1" x="5547"/>
        <item m="1" x="5458"/>
        <item m="1" x="5299"/>
        <item m="1" x="5534"/>
        <item m="1" x="5416"/>
        <item m="1" x="5803"/>
        <item m="1" x="5548"/>
        <item x="954"/>
        <item m="1" x="5911"/>
        <item m="1" x="6235"/>
        <item m="1" x="5876"/>
        <item m="1" x="6166"/>
        <item m="1" x="3555"/>
        <item m="1" x="5459"/>
        <item m="1" x="6071"/>
        <item x="707"/>
        <item m="1" x="5203"/>
        <item m="1" x="6171"/>
        <item m="1" x="4795"/>
        <item x="2009"/>
        <item m="1" x="4097"/>
        <item m="1" x="5502"/>
        <item m="1" x="5605"/>
        <item x="442"/>
        <item m="1" x="5889"/>
        <item m="1" x="3963"/>
        <item m="1" x="5201"/>
        <item m="1" x="6483"/>
        <item x="489"/>
        <item m="1" x="6000"/>
        <item m="1" x="6011"/>
        <item m="1" x="6353"/>
        <item x="486"/>
        <item m="1" x="5165"/>
        <item m="1" x="5119"/>
        <item m="1" x="5564"/>
        <item m="1" x="5237"/>
        <item m="1" x="3867"/>
        <item m="1" x="5124"/>
        <item m="1" x="4778"/>
        <item x="2643"/>
        <item m="1" x="6453"/>
        <item m="1" x="6137"/>
        <item m="1" x="5460"/>
        <item m="1" x="5595"/>
        <item m="1" x="5202"/>
        <item m="1" x="5949"/>
        <item m="1" x="6227"/>
        <item m="1" x="4394"/>
        <item m="1" x="3863"/>
        <item m="1" x="4636"/>
        <item m="1" x="5694"/>
        <item m="1" x="5824"/>
        <item m="1" x="6324"/>
        <item m="1" x="5918"/>
        <item x="488"/>
        <item m="1" x="5464"/>
        <item m="1" x="5744"/>
        <item x="1639"/>
        <item m="1" x="3965"/>
        <item m="1" x="5566"/>
        <item m="1" x="5848"/>
        <item m="1" x="5714"/>
        <item m="1" x="3655"/>
        <item m="1" x="4776"/>
        <item m="1" x="5840"/>
        <item m="1" x="6257"/>
        <item m="1" x="5843"/>
        <item m="1" x="6343"/>
        <item m="1" x="5780"/>
        <item m="1" x="5567"/>
        <item m="1" x="6135"/>
        <item x="1603"/>
        <item m="1" x="5588"/>
        <item m="1" x="6465"/>
        <item m="1" x="5159"/>
        <item m="1" x="5633"/>
        <item m="1" x="4777"/>
        <item m="1" x="6078"/>
        <item x="884"/>
        <item m="1" x="5897"/>
        <item m="1" x="5462"/>
        <item m="1" x="6488"/>
        <item x="3321"/>
        <item m="1" x="5620"/>
        <item m="1" x="5826"/>
        <item x="616"/>
        <item x="575"/>
        <item m="1" x="5917"/>
        <item m="1" x="6010"/>
        <item m="1" x="3964"/>
        <item m="1" x="5591"/>
        <item x="2640"/>
        <item m="1" x="6500"/>
        <item m="1" x="5966"/>
        <item m="1" x="3671"/>
        <item m="1" x="5635"/>
        <item x="3290"/>
        <item m="1" x="6375"/>
        <item m="1" x="5699"/>
        <item m="1" x="6240"/>
        <item x="477"/>
        <item m="1" x="5865"/>
        <item m="1" x="6134"/>
        <item m="1" x="6283"/>
        <item m="1" x="6059"/>
        <item m="1" x="5715"/>
        <item m="1" x="6383"/>
        <item m="1" x="6062"/>
        <item m="1" x="6273"/>
        <item m="1" x="6056"/>
        <item m="1" x="6478"/>
        <item m="1" x="5285"/>
        <item m="1" x="4437"/>
        <item m="1" x="5494"/>
        <item m="1" x="5863"/>
        <item m="1" x="4689"/>
        <item m="1" x="5373"/>
        <item x="1844"/>
        <item m="1" x="6518"/>
        <item m="1" x="4789"/>
        <item m="1" x="4723"/>
        <item m="1" x="5658"/>
        <item m="1" x="5801"/>
        <item m="1" x="5816"/>
        <item m="1" x="6145"/>
        <item m="1" x="5931"/>
        <item m="1" x="5737"/>
        <item m="1" x="5685"/>
        <item m="1" x="4090"/>
        <item m="1" x="5472"/>
        <item m="1" x="5634"/>
        <item m="1" x="5643"/>
        <item m="1" x="5583"/>
        <item m="1" x="4713"/>
        <item x="728"/>
        <item m="1" x="5493"/>
        <item m="1" x="6202"/>
        <item x="881"/>
        <item m="1" x="5864"/>
        <item x="677"/>
        <item m="1" x="5645"/>
        <item x="45"/>
        <item m="1" x="5856"/>
        <item m="1" x="4801"/>
        <item x="721"/>
        <item m="1" x="6225"/>
        <item m="1" x="3883"/>
        <item m="1" x="5796"/>
        <item m="1" x="3637"/>
        <item m="1" x="4704"/>
        <item m="1" x="4759"/>
        <item m="1" x="6365"/>
        <item m="1" x="5881"/>
        <item m="1" x="4613"/>
        <item m="1" x="5711"/>
        <item m="1" x="4594"/>
        <item m="1" x="6089"/>
        <item x="1894"/>
        <item m="1" x="5879"/>
        <item m="1" x="5647"/>
        <item m="1" x="5631"/>
        <item x="1618"/>
        <item m="1" x="5845"/>
        <item m="1" x="5550"/>
        <item m="1" x="4840"/>
        <item m="1" x="4751"/>
        <item m="1" x="4831"/>
        <item m="1" x="4706"/>
        <item x="2644"/>
        <item m="1" x="5033"/>
        <item m="1" x="6364"/>
        <item x="719"/>
        <item m="1" x="5722"/>
        <item m="1" x="6063"/>
        <item m="1" x="5772"/>
        <item m="1" x="4745"/>
        <item m="1" x="5577"/>
        <item m="1" x="5998"/>
        <item m="1" x="5401"/>
        <item m="1" x="6319"/>
        <item m="1" x="6438"/>
        <item m="1" x="6421"/>
        <item x="917"/>
        <item m="1" x="5596"/>
        <item m="1" x="6282"/>
        <item m="1" x="5700"/>
        <item m="1" x="6002"/>
        <item m="1" x="5302"/>
        <item m="1" x="5936"/>
        <item m="1" x="5765"/>
        <item m="1" x="4101"/>
        <item m="1" x="6475"/>
        <item m="1" x="5292"/>
        <item x="716"/>
        <item m="1" x="6528"/>
        <item m="1" x="6304"/>
        <item m="1" x="5859"/>
        <item m="1" x="6406"/>
        <item m="1" x="4635"/>
        <item m="1" x="4592"/>
        <item m="1" x="5948"/>
        <item m="1" x="6275"/>
        <item m="1" x="5593"/>
        <item m="1" x="6501"/>
        <item m="1" x="6372"/>
        <item m="1" x="6446"/>
        <item m="1" x="4766"/>
        <item m="1" x="4710"/>
        <item m="1" x="6311"/>
        <item m="1" x="6392"/>
        <item m="1" x="5958"/>
        <item m="1" x="6398"/>
        <item m="1" x="5959"/>
        <item x="487"/>
        <item x="3316"/>
        <item m="1" x="5317"/>
        <item m="1" x="5884"/>
        <item x="703"/>
        <item m="1" x="5515"/>
        <item m="1" x="4078"/>
        <item m="1" x="4404"/>
        <item m="1" x="4714"/>
        <item m="1" x="5982"/>
        <item m="1" x="5075"/>
        <item m="1" x="6026"/>
        <item m="1" x="5846"/>
        <item m="1" x="5501"/>
        <item m="1" x="3950"/>
        <item m="1" x="5372"/>
        <item m="1" x="3997"/>
        <item m="1" x="4767"/>
        <item m="1" x="6388"/>
        <item x="1650"/>
        <item x="1016"/>
        <item m="1" x="6172"/>
        <item m="1" x="5145"/>
        <item m="1" x="3519"/>
        <item m="1" x="6270"/>
        <item m="1" x="5689"/>
        <item m="1" x="5870"/>
        <item m="1" x="5083"/>
        <item m="1" x="4236"/>
        <item m="1" x="5950"/>
        <item m="1" x="5674"/>
        <item m="1" x="5686"/>
        <item x="722"/>
        <item m="1" x="5954"/>
        <item m="1" x="4728"/>
        <item m="1" x="6031"/>
        <item m="1" x="6373"/>
        <item m="1" x="5619"/>
        <item m="1" x="5001"/>
        <item m="1" x="5211"/>
        <item m="1" x="5652"/>
        <item m="1" x="5265"/>
        <item m="1" x="4285"/>
        <item m="1" x="6003"/>
        <item x="615"/>
        <item m="1" x="6251"/>
        <item m="1" x="5141"/>
        <item m="1" x="6103"/>
        <item m="1" x="4305"/>
        <item m="1" x="5773"/>
        <item m="1" x="4103"/>
        <item m="1" x="5030"/>
        <item m="1" x="4742"/>
        <item m="1" x="6085"/>
        <item m="1" x="5768"/>
        <item m="1" x="5127"/>
        <item m="1" x="5717"/>
        <item m="1" x="5655"/>
        <item m="1" x="6188"/>
        <item m="1" x="6150"/>
        <item m="1" x="4698"/>
        <item m="1" x="5463"/>
        <item m="1" x="6083"/>
        <item m="1" x="6138"/>
        <item m="1" x="5457"/>
        <item x="482"/>
        <item m="1" x="3870"/>
        <item x="44"/>
        <item m="1" x="5829"/>
        <item m="1" x="6285"/>
        <item m="1" x="5679"/>
        <item m="1" x="5896"/>
        <item m="1" x="6482"/>
        <item m="1" x="6082"/>
        <item m="1" x="5456"/>
        <item x="731"/>
        <item m="1" x="6178"/>
        <item m="1" x="5491"/>
        <item m="1" x="5286"/>
        <item m="1" x="4075"/>
        <item m="1" x="6036"/>
        <item m="1" x="4263"/>
        <item m="1" x="5835"/>
        <item m="1" x="5960"/>
        <item x="1989"/>
        <item x="916"/>
        <item m="1" x="4481"/>
        <item m="1" x="5160"/>
        <item x="3317"/>
        <item x="732"/>
        <item m="1" x="5557"/>
        <item x="50"/>
        <item m="1" x="6340"/>
        <item m="1" x="6492"/>
        <item m="1" x="5590"/>
        <item m="1" x="6009"/>
        <item m="1" x="6539"/>
        <item m="1" x="5342"/>
        <item m="1" x="3521"/>
        <item m="1" x="3544"/>
        <item x="459"/>
        <item m="1" x="5378"/>
        <item m="1" x="4593"/>
        <item m="1" x="6456"/>
        <item m="1" x="6484"/>
        <item m="1" x="6140"/>
        <item x="650"/>
        <item x="714"/>
        <item m="1" x="6029"/>
        <item m="1" x="4765"/>
        <item m="1" x="4815"/>
        <item m="1" x="5882"/>
        <item m="1" x="5675"/>
        <item x="88"/>
        <item m="1" x="5617"/>
        <item m="1" x="4709"/>
        <item m="1" x="5812"/>
        <item x="1824"/>
        <item m="1" x="6393"/>
        <item x="953"/>
        <item m="1" x="5406"/>
        <item m="1" x="6536"/>
        <item m="1" x="6192"/>
        <item x="718"/>
        <item m="1" x="5563"/>
        <item m="1" x="3517"/>
        <item m="1" x="6395"/>
        <item m="1" x="3522"/>
        <item m="1" x="5656"/>
        <item m="1" x="6168"/>
        <item m="1" x="5490"/>
        <item m="1" x="5616"/>
        <item m="1" x="5294"/>
        <item m="1" x="6006"/>
        <item m="1" x="3666"/>
        <item x="73"/>
        <item m="1" x="6291"/>
        <item m="1" x="6104"/>
        <item m="1" x="4758"/>
        <item m="1" x="4757"/>
        <item x="1017"/>
        <item m="1" x="4282"/>
        <item x="600"/>
        <item x="3314"/>
        <item m="1" x="6327"/>
        <item m="1" x="6157"/>
        <item m="1" x="5906"/>
        <item m="1" x="3855"/>
        <item m="1" x="6163"/>
        <item m="1" x="6355"/>
        <item m="1" x="5542"/>
        <item m="1" x="5925"/>
        <item m="1" x="5613"/>
        <item m="1" x="5973"/>
        <item m="1" x="4721"/>
        <item m="1" x="5409"/>
        <item m="1" x="6442"/>
        <item m="1" x="5678"/>
        <item m="1" x="5940"/>
        <item m="1" x="4719"/>
        <item m="1" x="3518"/>
        <item x="72"/>
        <item m="1" x="6025"/>
        <item m="1" x="5327"/>
        <item x="1280"/>
        <item m="1" x="5850"/>
        <item m="1" x="6043"/>
        <item x="484"/>
        <item m="1" x="4772"/>
        <item m="1" x="6450"/>
        <item m="1" x="5448"/>
        <item m="1" x="5868"/>
        <item m="1" x="5644"/>
        <item m="1" x="4073"/>
        <item m="1" x="6400"/>
        <item m="1" x="5821"/>
        <item m="1" x="5690"/>
        <item m="1" x="5873"/>
        <item m="1" x="6544"/>
        <item m="1" x="4264"/>
        <item m="1" x="5886"/>
        <item x="702"/>
        <item m="1" x="5128"/>
        <item m="1" x="5890"/>
        <item x="1888"/>
        <item m="1" x="3523"/>
        <item m="1" x="4474"/>
        <item m="1" x="5569"/>
        <item m="1" x="4976"/>
        <item m="1" x="6292"/>
        <item m="1" x="5597"/>
        <item m="1" x="5555"/>
        <item m="1" x="6459"/>
        <item m="1" x="5594"/>
        <item x="882"/>
        <item m="1" x="6180"/>
        <item m="1" x="6362"/>
        <item m="1" x="6295"/>
        <item m="1" x="6338"/>
        <item m="1" x="5677"/>
        <item m="1" x="4296"/>
        <item m="1" x="5793"/>
        <item m="1" x="5706"/>
        <item m="1" x="5842"/>
        <item x="717"/>
        <item m="1" x="5688"/>
        <item m="1" x="5002"/>
        <item m="1" x="5753"/>
        <item m="1" x="6151"/>
        <item m="1" x="5684"/>
        <item m="1" x="6474"/>
        <item m="1" x="5874"/>
        <item m="1" x="5805"/>
        <item m="1" x="6509"/>
        <item m="1" x="4724"/>
        <item m="1" x="4265"/>
        <item m="1" x="4303"/>
        <item m="1" x="6308"/>
        <item m="1" x="5585"/>
        <item m="1" x="6367"/>
        <item m="1" x="6333"/>
        <item m="1" x="6030"/>
        <item m="1" x="6161"/>
        <item m="1" x="6107"/>
        <item m="1" x="5657"/>
        <item m="1" x="5470"/>
        <item m="1" x="5853"/>
        <item m="1" x="6259"/>
        <item m="1" x="4738"/>
        <item x="614"/>
        <item m="1" x="5926"/>
        <item m="1" x="4460"/>
        <item m="1" x="6387"/>
        <item m="1" x="5533"/>
        <item m="1" x="4731"/>
        <item m="1" x="6480"/>
        <item m="1" x="5408"/>
        <item x="483"/>
        <item m="1" x="5282"/>
        <item m="1" x="5933"/>
        <item m="1" x="4727"/>
        <item m="1" x="5455"/>
        <item m="1" x="4605"/>
        <item m="1" x="4707"/>
        <item x="725"/>
        <item m="1" x="6321"/>
        <item m="1" x="4764"/>
        <item x="720"/>
        <item m="1" x="6360"/>
        <item m="1" x="6032"/>
        <item m="1" x="5937"/>
        <item m="1" x="5639"/>
        <item m="1" x="5604"/>
        <item x="90"/>
        <item m="1" x="6394"/>
        <item m="1" x="6209"/>
        <item m="1" x="4754"/>
        <item m="1" x="5757"/>
        <item m="1" x="4255"/>
        <item x="1013"/>
        <item m="1" x="5407"/>
        <item m="1" x="3801"/>
        <item m="1" x="5705"/>
        <item m="1" x="6503"/>
        <item x="926"/>
        <item m="1" x="5611"/>
        <item m="1" x="3891"/>
        <item m="1" x="6254"/>
        <item m="1" x="5913"/>
        <item m="1" x="5672"/>
        <item m="1" x="6102"/>
        <item m="1" x="6281"/>
        <item m="1" x="5607"/>
        <item m="1" x="6463"/>
        <item m="1" x="5851"/>
        <item m="1" x="5763"/>
        <item m="1" x="6300"/>
        <item x="375"/>
        <item x="460"/>
        <item m="1" x="5716"/>
        <item m="1" x="5800"/>
        <item m="1" x="6301"/>
        <item m="1" x="5985"/>
        <item m="1" x="6288"/>
        <item m="1" x="6114"/>
        <item m="1" x="5642"/>
        <item m="1" x="6033"/>
        <item m="1" x="4752"/>
        <item m="1" x="4733"/>
        <item m="1" x="5708"/>
        <item m="1" x="6305"/>
        <item m="1" x="6517"/>
        <item m="1" x="5571"/>
        <item m="1" x="5855"/>
        <item m="1" x="6222"/>
        <item m="1" x="5849"/>
        <item m="1" x="4712"/>
        <item x="715"/>
        <item m="1" x="6504"/>
        <item x="967"/>
        <item m="1" x="6320"/>
        <item m="1" x="5789"/>
        <item m="1" x="3866"/>
        <item m="1" x="4482"/>
        <item m="1" x="4722"/>
        <item m="1" x="4753"/>
        <item m="1" x="6481"/>
        <item m="1" x="6132"/>
        <item x="648"/>
        <item m="1" x="4739"/>
        <item m="1" x="5790"/>
        <item x="376"/>
        <item m="1" x="5986"/>
        <item m="1" x="6215"/>
        <item m="1" x="6068"/>
        <item m="1" x="5608"/>
        <item m="1" x="5839"/>
        <item m="1" x="5750"/>
        <item m="1" x="5168"/>
        <item m="1" x="4763"/>
        <item x="723"/>
        <item m="1" x="6072"/>
        <item m="1" x="5755"/>
        <item m="1" x="5641"/>
        <item x="727"/>
        <item x="730"/>
        <item m="1" x="6211"/>
        <item m="1" x="4720"/>
        <item m="1" x="6223"/>
        <item m="1" x="6095"/>
        <item m="1" x="4715"/>
        <item m="1" x="6271"/>
        <item m="1" x="6075"/>
        <item m="1" x="5709"/>
        <item x="27"/>
        <item m="1" x="4743"/>
        <item m="1" x="4395"/>
        <item x="461"/>
        <item m="1" x="5779"/>
        <item m="1" x="6118"/>
        <item x="930"/>
        <item m="1" x="4079"/>
        <item m="1" x="5558"/>
        <item m="1" x="6506"/>
        <item x="706"/>
        <item m="1" x="6139"/>
        <item m="1" x="6526"/>
        <item m="1" x="4717"/>
        <item m="1" x="5241"/>
        <item x="473"/>
        <item m="1" x="3800"/>
        <item x="696"/>
        <item m="1" x="5195"/>
        <item x="632"/>
        <item m="1" x="5905"/>
        <item m="1" x="5258"/>
        <item m="1" x="5492"/>
        <item m="1" x="6447"/>
        <item m="1" x="3928"/>
        <item m="1" x="5726"/>
        <item m="1" x="5576"/>
        <item m="1" x="5653"/>
        <item m="1" x="5402"/>
        <item m="1" x="6264"/>
        <item x="662"/>
        <item m="1" x="6444"/>
        <item m="1" x="6092"/>
        <item m="1" x="5847"/>
        <item m="1" x="4972"/>
        <item m="1" x="6097"/>
        <item m="1" x="5649"/>
        <item m="1" x="4484"/>
        <item m="1" x="6258"/>
        <item m="1" x="6111"/>
        <item m="1" x="6044"/>
        <item m="1" x="3688"/>
        <item m="1" x="5495"/>
        <item m="1" x="4761"/>
        <item x="925"/>
        <item m="1" x="4726"/>
        <item m="1" x="6458"/>
        <item m="1" x="5967"/>
        <item m="1" x="5935"/>
        <item x="946"/>
        <item x="193"/>
        <item m="1" x="5562"/>
        <item m="1" x="6502"/>
        <item m="1" x="6039"/>
        <item m="1" x="5059"/>
        <item m="1" x="5651"/>
        <item m="1" x="6369"/>
        <item m="1" x="5375"/>
        <item m="1" x="4244"/>
        <item m="1" x="5267"/>
        <item m="1" x="6065"/>
        <item m="1" x="5980"/>
        <item m="1" x="4266"/>
        <item m="1" x="6487"/>
        <item m="1" x="5758"/>
        <item m="1" x="5268"/>
        <item m="1" x="5989"/>
        <item m="1" x="5266"/>
        <item m="1" x="6182"/>
        <item m="1" x="3669"/>
        <item m="1" x="3516"/>
        <item m="1" x="5764"/>
        <item m="1" x="4483"/>
        <item m="1" x="4238"/>
        <item m="1" x="6328"/>
        <item x="458"/>
        <item m="1" x="5471"/>
        <item m="1" x="6219"/>
        <item m="1" x="4756"/>
        <item m="1" x="3914"/>
        <item m="1" x="5999"/>
        <item m="1" x="5586"/>
        <item m="1" x="4978"/>
        <item m="1" x="5822"/>
        <item m="1" x="5872"/>
        <item m="1" x="4702"/>
        <item m="1" x="3798"/>
        <item m="1" x="6523"/>
        <item x="17"/>
        <item m="1" x="5603"/>
        <item m="1" x="5648"/>
        <item m="1" x="4705"/>
        <item m="1" x="5587"/>
        <item m="1" x="6344"/>
        <item m="1" x="6146"/>
        <item m="1" x="6244"/>
        <item m="1" x="6189"/>
        <item m="1" x="5310"/>
        <item m="1" x="6359"/>
        <item m="1" x="4977"/>
        <item m="1" x="5751"/>
        <item m="1" x="6226"/>
        <item m="1" x="5284"/>
        <item m="1" x="6106"/>
        <item m="1" x="6342"/>
        <item m="1" x="5965"/>
        <item m="1" x="6247"/>
        <item m="1" x="5914"/>
        <item m="1" x="5143"/>
        <item m="1" x="6424"/>
        <item m="1" x="4232"/>
        <item m="1" x="6296"/>
        <item m="1" x="6322"/>
        <item x="2294"/>
        <item m="1" x="5827"/>
        <item x="708"/>
        <item m="1" x="5532"/>
        <item x="2231"/>
        <item x="2233"/>
        <item x="2487"/>
        <item m="1" x="5875"/>
        <item x="2671"/>
        <item m="1" x="5508"/>
        <item m="1" x="4882"/>
        <item m="1" x="6191"/>
        <item x="2626"/>
        <item m="1" x="6471"/>
        <item x="2321"/>
        <item m="1" x="6449"/>
        <item m="1" x="5977"/>
        <item x="3300"/>
        <item m="1" x="5927"/>
        <item m="1" x="4226"/>
        <item m="1" x="6110"/>
        <item m="1" x="6267"/>
        <item m="1" x="5721"/>
        <item m="1" x="5366"/>
        <item x="1555"/>
        <item x="2923"/>
        <item x="3174"/>
        <item x="2928"/>
        <item x="2925"/>
        <item x="2924"/>
        <item x="2930"/>
        <item x="2926"/>
        <item x="2297"/>
        <item x="2298"/>
        <item x="2295"/>
        <item x="2437"/>
        <item x="1430"/>
        <item x="1564"/>
        <item x="1391"/>
        <item x="1559"/>
        <item x="1392"/>
        <item x="1563"/>
        <item x="1560"/>
        <item x="1567"/>
        <item x="1556"/>
        <item x="627"/>
        <item x="1558"/>
        <item x="1557"/>
        <item x="619"/>
        <item x="618"/>
        <item x="625"/>
        <item x="635"/>
        <item x="631"/>
        <item x="609"/>
        <item x="443"/>
        <item x="1562"/>
        <item x="630"/>
        <item x="478"/>
        <item x="620"/>
        <item x="444"/>
        <item x="611"/>
        <item x="623"/>
        <item x="479"/>
        <item x="612"/>
        <item x="628"/>
        <item x="633"/>
        <item x="629"/>
        <item x="626"/>
        <item x="621"/>
        <item x="624"/>
        <item x="622"/>
        <item x="613"/>
        <item x="610"/>
        <item x="634"/>
        <item x="617"/>
        <item x="2929"/>
        <item m="1" x="6142"/>
        <item m="1" x="5961"/>
        <item m="1" x="6049"/>
        <item m="1" x="6499"/>
        <item m="1" x="5991"/>
        <item m="1" x="5602"/>
        <item m="1" x="6491"/>
        <item m="1" x="4346"/>
        <item m="1" x="5161"/>
        <item m="1" x="6391"/>
        <item m="1" x="4237"/>
        <item m="1" x="4278"/>
        <item x="3251"/>
        <item m="1" x="3683"/>
        <item m="1" x="4403"/>
        <item m="1" x="5192"/>
        <item m="1" x="5496"/>
        <item m="1" x="4107"/>
        <item m="1" x="6430"/>
        <item m="1" x="5497"/>
        <item m="1" x="5193"/>
        <item m="1" x="5194"/>
        <item m="1" x="3813"/>
        <item m="1" x="3823"/>
        <item m="1" x="3822"/>
        <item m="1" x="5328"/>
        <item m="1" x="5329"/>
        <item m="1" x="5742"/>
        <item m="1" x="4110"/>
        <item m="1" x="4003"/>
        <item m="1" x="3803"/>
        <item m="1" x="4156"/>
        <item m="1" x="5206"/>
        <item m="1" x="5330"/>
        <item m="1" x="5331"/>
        <item m="1" x="4206"/>
        <item x="1393"/>
        <item x="2299"/>
        <item m="1" x="3512"/>
        <item m="1" x="4497"/>
        <item m="1" x="6278"/>
        <item m="1" x="6213"/>
        <item x="2114"/>
        <item m="1" x="6053"/>
        <item m="1" x="6233"/>
        <item m="1" x="5766"/>
        <item m="1" x="5147"/>
        <item m="1" x="5513"/>
        <item x="2468"/>
        <item x="1434"/>
        <item m="1" x="5516"/>
        <item m="1" x="4773"/>
        <item m="1" x="4697"/>
        <item m="1" x="6313"/>
        <item m="1" x="5841"/>
        <item m="1" x="6403"/>
        <item m="1" x="6196"/>
        <item m="1" x="4334"/>
        <item m="1" x="3749"/>
        <item m="1" x="5229"/>
        <item m="1" x="5062"/>
        <item m="1" x="4439"/>
        <item m="1" x="3752"/>
        <item m="1" x="6417"/>
        <item m="1" x="5691"/>
        <item x="3297"/>
        <item m="1" x="4250"/>
        <item m="1" x="4468"/>
        <item m="1" x="4620"/>
        <item m="1" x="5437"/>
        <item m="1" x="5523"/>
        <item m="1" x="6131"/>
        <item m="1" x="4679"/>
        <item m="1" x="5438"/>
        <item x="3304"/>
        <item m="1" x="5244"/>
        <item m="1" x="6384"/>
        <item m="1" x="4405"/>
        <item m="1" x="4648"/>
        <item m="1" x="5521"/>
        <item m="1" x="5524"/>
        <item x="3318"/>
        <item m="1" x="4573"/>
        <item m="1" x="5441"/>
        <item m="1" x="5442"/>
        <item m="1" x="6007"/>
        <item m="1" x="6237"/>
        <item m="1" x="6451"/>
        <item m="1" x="5782"/>
        <item m="1" x="5984"/>
        <item m="1" x="4667"/>
        <item m="1" x="5446"/>
        <item m="1" x="4790"/>
        <item m="1" x="4845"/>
        <item m="1" x="4881"/>
        <item m="1" x="5947"/>
        <item m="1" x="5530"/>
        <item m="1" x="4015"/>
        <item m="1" x="3832"/>
        <item m="1" x="3830"/>
        <item x="700"/>
        <item m="1" x="5449"/>
        <item x="2479"/>
        <item m="1" x="4775"/>
        <item m="1" x="5450"/>
        <item m="1" x="5637"/>
        <item m="1" x="4732"/>
        <item m="1" x="5945"/>
        <item m="1" x="5807"/>
        <item m="1" x="5638"/>
        <item m="1" x="6495"/>
        <item m="1" x="5451"/>
        <item m="1" x="4749"/>
        <item m="1" x="5974"/>
        <item x="701"/>
        <item x="2480"/>
        <item x="87"/>
        <item m="1" x="4838"/>
        <item x="704"/>
        <item m="1" x="4791"/>
        <item x="705"/>
        <item x="1641"/>
        <item m="1" x="5640"/>
        <item m="1" x="6034"/>
        <item x="1696"/>
        <item x="1701"/>
        <item x="3036"/>
        <item x="2552"/>
        <item x="801"/>
        <item x="1714"/>
        <item m="1" x="6265"/>
        <item m="1" x="5720"/>
        <item m="1" x="6399"/>
        <item m="1" x="5474"/>
        <item m="1" x="6507"/>
        <item m="1" x="6004"/>
        <item m="1" x="6287"/>
        <item m="1" x="4744"/>
        <item m="1" x="4781"/>
        <item m="1" x="5730"/>
        <item m="1" x="5478"/>
        <item x="1984"/>
        <item x="3087"/>
        <item x="2739"/>
        <item x="2744"/>
        <item m="1" x="4608"/>
        <item x="1008"/>
        <item m="1" x="5370"/>
        <item m="1" x="5374"/>
        <item m="1" x="3624"/>
        <item x="2946"/>
        <item m="1" x="4746"/>
        <item m="1" x="5000"/>
        <item m="1" x="5661"/>
        <item m="1" x="5170"/>
        <item m="1" x="5171"/>
        <item m="1" x="5172"/>
        <item m="1" x="5311"/>
        <item m="1" x="3694"/>
        <item m="1" x="3687"/>
        <item m="1" x="5487"/>
        <item m="1" x="4624"/>
        <item m="1" x="4673"/>
        <item m="1" x="4961"/>
        <item m="1" x="5662"/>
        <item m="1" x="5312"/>
        <item m="1" x="5018"/>
        <item m="1" x="6027"/>
        <item m="1" x="5019"/>
        <item m="1" x="4525"/>
        <item m="1" x="5313"/>
        <item m="1" x="3689"/>
        <item m="1" x="5020"/>
        <item m="1" x="4819"/>
        <item m="1" x="5663"/>
        <item m="1" x="5486"/>
        <item m="1" x="5314"/>
        <item m="1" x="3693"/>
        <item m="1" x="5315"/>
        <item m="1" x="3953"/>
        <item m="1" x="5403"/>
        <item m="1" x="5488"/>
        <item m="1" x="5404"/>
        <item m="1" x="5405"/>
        <item m="1" x="5316"/>
        <item m="1" x="5318"/>
        <item m="1" x="3690"/>
        <item m="1" x="5664"/>
        <item m="1" x="5319"/>
        <item m="1" x="5665"/>
        <item m="1" x="3695"/>
        <item m="1" x="5326"/>
        <item m="1" x="5300"/>
        <item m="1" x="4879"/>
        <item m="1" x="5506"/>
        <item m="1" x="4438"/>
        <item m="1" x="4782"/>
        <item m="1" x="5038"/>
        <item m="1" x="5507"/>
        <item m="1" x="4847"/>
        <item m="1" x="5923"/>
        <item m="1" x="6298"/>
        <item m="1" x="6170"/>
        <item m="1" x="6274"/>
        <item m="1" x="6493"/>
        <item m="1" x="5713"/>
        <item m="1" x="6378"/>
        <item m="1" x="5752"/>
        <item m="1" x="5762"/>
        <item m="1" x="6248"/>
        <item m="1" x="6052"/>
        <item m="1" x="6286"/>
        <item m="1" x="6510"/>
        <item m="1" x="6520"/>
        <item m="1" x="6467"/>
        <item m="1" x="5618"/>
        <item m="1" x="6037"/>
        <item m="1" x="6280"/>
        <item m="1" x="5830"/>
        <item m="1" x="5428"/>
        <item m="1" x="5429"/>
        <item x="2333"/>
        <item m="1" x="5217"/>
        <item m="1" x="5667"/>
        <item m="1" x="5518"/>
        <item m="1" x="4330"/>
        <item m="1" x="4331"/>
        <item m="1" x="5632"/>
        <item m="1" x="5227"/>
        <item m="1" x="5060"/>
        <item m="1" x="4486"/>
        <item m="1" x="5228"/>
        <item m="1" x="4461"/>
        <item m="1" x="5520"/>
        <item m="1" x="5621"/>
        <item m="1" x="5624"/>
        <item m="1" x="5622"/>
        <item x="1470"/>
        <item m="1" x="5668"/>
        <item x="533"/>
        <item m="1" x="5669"/>
        <item m="1" x="5670"/>
        <item m="1" x="5184"/>
        <item m="1" x="5077"/>
        <item m="1" x="4290"/>
        <item m="1" x="5345"/>
        <item m="1" x="5078"/>
        <item m="1" x="5079"/>
        <item m="1" x="4467"/>
        <item m="1" x="4466"/>
        <item m="1" x="4699"/>
        <item m="1" x="4093"/>
        <item m="1" x="4092"/>
        <item m="1" x="4337"/>
        <item m="1" x="4336"/>
        <item m="1" x="5350"/>
        <item m="1" x="5247"/>
        <item m="1" x="5081"/>
        <item x="1566"/>
        <item m="1" x="4124"/>
        <item x="636"/>
        <item x="637"/>
        <item x="74"/>
        <item x="638"/>
        <item x="75"/>
        <item x="639"/>
        <item x="76"/>
        <item x="640"/>
        <item x="3324"/>
        <item m="1" x="5086"/>
        <item m="1" x="5087"/>
        <item x="3328"/>
        <item m="1" x="3782"/>
        <item m="1" x="5088"/>
        <item x="3325"/>
        <item m="1" x="4393"/>
        <item m="1" x="5089"/>
        <item x="3326"/>
        <item m="1" x="4083"/>
        <item m="1" x="5103"/>
        <item m="1" x="5527"/>
        <item m="1" x="5444"/>
        <item m="1" x="4586"/>
        <item m="1" x="5249"/>
        <item x="1971"/>
        <item m="1" x="5104"/>
        <item m="1" x="5445"/>
        <item m="1" x="5105"/>
        <item m="1" x="5250"/>
        <item m="1" x="5528"/>
        <item m="1" x="4114"/>
        <item m="1" x="4629"/>
        <item m="1" x="3799"/>
        <item m="1" x="5360"/>
        <item m="1" x="5254"/>
        <item m="1" x="5040"/>
        <item m="1" x="5255"/>
        <item x="1723"/>
        <item m="1" x="4342"/>
        <item x="1702"/>
        <item x="2557"/>
        <item x="808"/>
        <item x="145"/>
        <item m="1" x="5676"/>
        <item x="1893"/>
        <item x="2712"/>
        <item x="2717"/>
        <item x="1009"/>
        <item x="3091"/>
        <item x="1996"/>
        <item m="1" x="4817"/>
        <item x="2015"/>
        <item x="2017"/>
        <item m="1" x="5427"/>
        <item x="641"/>
        <item m="1" x="5032"/>
        <item m="1" x="5035"/>
        <item x="2537"/>
        <item m="1" x="5320"/>
        <item m="1" x="5042"/>
        <item m="1" x="5431"/>
        <item m="1" x="4162"/>
        <item m="1" x="5041"/>
        <item m="1" x="5511"/>
        <item m="1" x="5218"/>
        <item m="1" x="5219"/>
        <item m="1" x="4190"/>
        <item m="1" x="5043"/>
        <item m="1" x="5514"/>
        <item m="1" x="5044"/>
        <item m="1" x="5220"/>
        <item x="1141"/>
        <item x="293"/>
        <item m="1" x="4966"/>
        <item m="1" x="5434"/>
        <item m="1" x="5344"/>
        <item m="1" x="5072"/>
        <item m="1" x="5435"/>
        <item x="3298"/>
        <item m="1" x="5436"/>
        <item m="1" x="5074"/>
        <item m="1" x="4658"/>
        <item m="1" x="5240"/>
        <item m="1" x="4970"/>
        <item m="1" x="4691"/>
        <item m="1" x="5439"/>
        <item m="1" x="5440"/>
        <item m="1" x="4616"/>
        <item m="1" x="4251"/>
        <item x="2759"/>
        <item m="1" x="5525"/>
        <item m="1" x="3601"/>
        <item m="1" x="3558"/>
        <item m="1" x="3559"/>
        <item m="1" x="3602"/>
        <item m="1" x="3560"/>
        <item m="1" x="3588"/>
        <item m="1" x="3561"/>
        <item m="1" x="3524"/>
        <item m="1" x="3534"/>
        <item m="1" x="4455"/>
        <item m="1" x="3531"/>
        <item m="1" x="3537"/>
        <item m="1" x="3525"/>
        <item m="1" x="3530"/>
        <item m="1" x="3603"/>
        <item m="1" x="3573"/>
        <item m="1" x="4979"/>
        <item m="1" x="4410"/>
        <item m="1" x="3594"/>
        <item m="1" x="3918"/>
        <item m="1" x="3604"/>
        <item m="1" x="3595"/>
        <item m="1" x="3598"/>
        <item m="1" x="4940"/>
        <item m="1" x="3583"/>
        <item m="1" x="4906"/>
        <item m="1" x="5379"/>
        <item m="1" x="5380"/>
        <item m="1" x="5381"/>
        <item m="1" x="5382"/>
        <item m="1" x="5482"/>
        <item m="1" x="5383"/>
        <item m="1" x="5384"/>
        <item m="1" x="5385"/>
        <item m="1" x="5483"/>
        <item m="1" x="5386"/>
        <item m="1" x="5480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481"/>
        <item m="1" x="5397"/>
        <item m="1" x="5398"/>
        <item m="1" x="5399"/>
        <item x="200"/>
        <item m="1" x="5400"/>
        <item x="1778"/>
        <item m="1" x="5362"/>
        <item m="1" x="4601"/>
        <item m="1" x="5535"/>
        <item m="1" x="5475"/>
        <item x="2601"/>
        <item m="1" x="3658"/>
        <item m="1" x="3659"/>
        <item m="1" x="4935"/>
        <item m="1" x="4853"/>
        <item m="1" x="5131"/>
        <item m="1" x="5132"/>
        <item m="1" x="5133"/>
        <item m="1" x="5134"/>
        <item m="1" x="5135"/>
        <item m="1" x="5136"/>
        <item m="1" x="5137"/>
        <item x="3092"/>
        <item x="1012"/>
        <item m="1" x="5139"/>
        <item m="1" x="5140"/>
        <item x="3096"/>
        <item m="1" x="4886"/>
        <item m="1" x="5417"/>
        <item m="1" x="5418"/>
        <item m="1" x="5419"/>
        <item m="1" x="5420"/>
        <item m="1" x="5421"/>
        <item m="1" x="5422"/>
        <item x="2430"/>
        <item m="1" x="5423"/>
        <item m="1" x="5426"/>
        <item m="1" x="5519"/>
        <item m="1" x="5531"/>
        <item m="1" x="4021"/>
        <item m="1" x="4019"/>
        <item m="1" x="4023"/>
        <item m="1" x="3927"/>
        <item m="1" x="3924"/>
        <item m="1" x="3926"/>
        <item m="1" x="3923"/>
        <item m="1" x="3925"/>
        <item m="1" x="4353"/>
        <item m="1" x="5517"/>
        <item m="1" x="4880"/>
        <item x="2564"/>
        <item x="1715"/>
        <item m="1" x="4599"/>
        <item x="2565"/>
        <item x="813"/>
        <item x="1695"/>
        <item x="968"/>
        <item x="2659"/>
        <item x="3159"/>
        <item m="1" x="5364"/>
        <item m="1" x="3727"/>
        <item m="1" x="3724"/>
        <item m="1" x="5543"/>
        <item m="1" x="3819"/>
        <item m="1" x="5411"/>
        <item m="1" x="4280"/>
        <item m="1" x="5412"/>
        <item m="1" x="5413"/>
        <item m="1" x="5414"/>
        <item m="1" x="4677"/>
        <item m="1" x="4326"/>
        <item m="1" x="4002"/>
        <item m="1" x="4639"/>
        <item m="1" x="5037"/>
        <item m="1" x="5148"/>
        <item m="1" x="5149"/>
        <item m="1" x="5150"/>
        <item m="1" x="5151"/>
        <item m="1" x="5352"/>
        <item m="1" x="5353"/>
        <item m="1" x="5355"/>
        <item m="1" x="3892"/>
        <item m="1" x="4848"/>
        <item m="1" x="4943"/>
        <item m="1" x="5552"/>
        <item m="1" x="5553"/>
        <item m="1" x="5554"/>
        <item m="1" x="5146"/>
        <item m="1" x="4986"/>
        <item m="1" x="3639"/>
        <item x="1945"/>
        <item m="1" x="3729"/>
        <item x="1306"/>
        <item m="1" x="3704"/>
        <item x="2293"/>
        <item x="447"/>
        <item m="1" x="3725"/>
        <item m="1" x="3726"/>
        <item m="1" x="5036"/>
        <item m="1" x="4810"/>
        <item m="1" x="3732"/>
        <item m="1" x="5039"/>
        <item m="1" x="5430"/>
        <item m="1" x="5221"/>
        <item m="1" x="5432"/>
        <item m="1" x="5045"/>
        <item m="1" x="5046"/>
        <item m="1" x="5048"/>
        <item m="1" x="5049"/>
        <item m="1" x="5050"/>
        <item m="1" x="5433"/>
        <item x="2991"/>
        <item m="1" x="5051"/>
        <item x="2948"/>
        <item m="1" x="5232"/>
        <item x="568"/>
        <item m="1" x="5351"/>
        <item m="1" x="5361"/>
        <item m="1" x="5447"/>
        <item m="1" x="5113"/>
        <item m="1" x="3968"/>
        <item m="1" x="5256"/>
        <item m="1" x="5257"/>
        <item m="1" x="4024"/>
        <item m="1" x="5259"/>
        <item m="1" x="5260"/>
        <item m="1" x="5261"/>
        <item m="1" x="4053"/>
        <item x="1983"/>
        <item m="1" x="4056"/>
        <item x="2010"/>
        <item x="1213"/>
        <item m="1" x="3751"/>
        <item m="1" x="3739"/>
        <item m="1" x="3743"/>
        <item m="1" x="4676"/>
        <item m="1" x="3750"/>
        <item m="1" x="4487"/>
        <item m="1" x="3740"/>
        <item m="1" x="4678"/>
        <item m="1" x="5063"/>
        <item m="1" x="4121"/>
        <item m="1" x="4987"/>
        <item x="673"/>
        <item x="18"/>
        <item x="2184"/>
        <item x="2876"/>
        <item x="1220"/>
        <item m="1" x="4508"/>
        <item x="2852"/>
        <item x="2878"/>
        <item m="1" x="4672"/>
        <item m="1" x="4512"/>
        <item x="2197"/>
        <item m="1" x="4988"/>
        <item m="1" x="3944"/>
        <item m="1" x="4100"/>
        <item x="2181"/>
        <item m="1" x="5152"/>
        <item m="1" x="5153"/>
        <item m="1" x="4989"/>
        <item m="1" x="4480"/>
        <item x="1217"/>
        <item m="1" x="5154"/>
        <item x="2877"/>
        <item x="2160"/>
        <item x="1222"/>
        <item m="1" x="5305"/>
        <item m="1" x="4990"/>
        <item m="1" x="4208"/>
        <item m="1" x="5212"/>
        <item m="1" x="4783"/>
        <item m="1" x="5213"/>
        <item x="2021"/>
        <item m="1" x="5346"/>
        <item m="1" x="5347"/>
        <item m="1" x="5348"/>
        <item m="1" x="5349"/>
        <item m="1" x="4291"/>
        <item x="642"/>
        <item m="1" x="5142"/>
        <item m="1" x="4725"/>
        <item m="1" x="4974"/>
        <item x="1104"/>
        <item x="1026"/>
        <item m="1" x="5309"/>
        <item m="1" x="4843"/>
        <item m="1" x="3682"/>
        <item m="1" x="5166"/>
        <item m="1" x="4433"/>
        <item x="988"/>
        <item x="2707"/>
        <item m="1" x="4534"/>
        <item m="1" x="4400"/>
        <item x="2708"/>
        <item m="1" x="5021"/>
        <item m="1" x="5321"/>
        <item m="1" x="5173"/>
        <item m="1" x="4546"/>
        <item m="1" x="4660"/>
        <item m="1" x="4930"/>
        <item m="1" x="5322"/>
        <item m="1" x="3696"/>
        <item m="1" x="4630"/>
        <item m="1" x="4799"/>
        <item m="1" x="5022"/>
        <item m="1" x="4668"/>
        <item m="1" x="5174"/>
        <item m="1" x="4762"/>
        <item m="1" x="4545"/>
        <item m="1" x="5176"/>
        <item m="1" x="5189"/>
        <item m="1" x="5177"/>
        <item m="1" x="5178"/>
        <item m="1" x="5179"/>
        <item m="1" x="5180"/>
        <item m="1" x="5181"/>
        <item m="1" x="4402"/>
        <item m="1" x="3700"/>
        <item m="1" x="5182"/>
        <item m="1" x="3699"/>
        <item m="1" x="5183"/>
        <item m="1" x="5185"/>
        <item m="1" x="3698"/>
        <item m="1" x="5323"/>
        <item m="1" x="5324"/>
        <item m="1" x="5186"/>
        <item m="1" x="3697"/>
        <item m="1" x="5187"/>
        <item m="1" x="5188"/>
        <item m="1" x="3510"/>
        <item m="1" x="5325"/>
        <item m="1" x="4458"/>
        <item m="1" x="5197"/>
        <item m="1" x="5198"/>
        <item m="1" x="5199"/>
        <item m="1" x="5200"/>
        <item m="1" x="5204"/>
        <item m="1" x="5205"/>
        <item m="1" x="4204"/>
        <item x="1384"/>
        <item x="1570"/>
        <item m="1" x="5338"/>
        <item m="1" x="5339"/>
        <item x="3291"/>
        <item x="3292"/>
        <item x="1411"/>
        <item x="3197"/>
        <item x="2359"/>
        <item x="529"/>
        <item m="1" x="5234"/>
        <item m="1" x="5235"/>
        <item m="1" x="5236"/>
        <item m="1" x="4406"/>
        <item m="1" x="4419"/>
        <item m="1" x="5343"/>
        <item m="1" x="4463"/>
        <item m="1" x="5239"/>
        <item m="1" x="3988"/>
        <item m="1" x="5243"/>
        <item m="1" x="4365"/>
        <item m="1" x="5246"/>
        <item m="1" x="5092"/>
        <item m="1" x="4653"/>
        <item m="1" x="5106"/>
        <item m="1" x="4656"/>
        <item m="1" x="5107"/>
        <item m="1" x="5251"/>
        <item m="1" x="5252"/>
        <item m="1" x="5108"/>
        <item m="1" x="5109"/>
        <item m="1" x="4589"/>
        <item m="1" x="4588"/>
        <item m="1" x="4685"/>
        <item m="1" x="4770"/>
        <item m="1" x="5253"/>
        <item m="1" x="5110"/>
        <item x="1491"/>
        <item m="1" x="4654"/>
        <item m="1" x="4665"/>
        <item m="1" x="4675"/>
        <item m="1" x="4587"/>
        <item x="2984"/>
        <item m="1" x="4734"/>
        <item x="810"/>
        <item x="1716"/>
        <item x="812"/>
        <item x="1719"/>
        <item x="1720"/>
        <item x="815"/>
        <item x="817"/>
        <item x="796"/>
        <item x="806"/>
        <item x="3037"/>
        <item x="807"/>
        <item x="811"/>
        <item m="1" x="5114"/>
        <item x="794"/>
        <item x="1780"/>
        <item m="1" x="4302"/>
        <item m="1" x="4422"/>
        <item x="854"/>
        <item x="855"/>
        <item x="1841"/>
        <item x="1991"/>
        <item x="2000"/>
        <item x="2001"/>
        <item m="1" x="4377"/>
        <item x="3100"/>
        <item m="1" x="4859"/>
        <item m="1" x="4875"/>
        <item m="1" x="4876"/>
        <item m="1" x="4896"/>
        <item m="1" x="4818"/>
        <item m="1" x="4798"/>
        <item m="1" x="5304"/>
        <item m="1" x="5162"/>
        <item m="1" x="5163"/>
        <item m="1" x="5308"/>
        <item m="1" x="5164"/>
        <item m="1" x="3824"/>
        <item m="1" x="3804"/>
        <item m="1" x="3954"/>
        <item m="1" x="5207"/>
        <item m="1" x="5332"/>
        <item m="1" x="5333"/>
        <item m="1" x="5334"/>
        <item m="1" x="5335"/>
        <item m="1" x="5336"/>
        <item m="1" x="5337"/>
        <item m="1" x="5208"/>
        <item m="1" x="5052"/>
        <item m="1" x="5222"/>
        <item m="1" x="5223"/>
        <item m="1" x="5053"/>
        <item m="1" x="5224"/>
        <item m="1" x="5054"/>
        <item m="1" x="5056"/>
        <item m="1" x="5058"/>
        <item x="490"/>
        <item x="1437"/>
        <item x="1438"/>
        <item x="492"/>
        <item x="1439"/>
        <item m="1" x="3754"/>
        <item m="1" x="5233"/>
        <item x="1517"/>
        <item m="1" x="4173"/>
        <item m="1" x="4680"/>
        <item m="1" x="3773"/>
        <item x="2423"/>
        <item x="2386"/>
        <item m="1" x="5354"/>
        <item m="1" x="5356"/>
        <item m="1" x="4161"/>
        <item m="1" x="5357"/>
        <item m="1" x="5358"/>
        <item m="1" x="5359"/>
        <item x="3243"/>
        <item x="3240"/>
        <item x="2617"/>
        <item x="3239"/>
        <item x="2616"/>
        <item x="2615"/>
        <item m="1" x="5117"/>
        <item m="1" x="4883"/>
        <item m="1" x="4852"/>
        <item m="1" x="4306"/>
        <item m="1" x="3912"/>
        <item m="1" x="3911"/>
        <item m="1" x="4450"/>
        <item m="1" x="4451"/>
        <item x="2752"/>
        <item x="2753"/>
        <item x="3106"/>
        <item x="3107"/>
        <item x="2754"/>
        <item x="2019"/>
        <item x="1018"/>
        <item x="2020"/>
        <item x="1025"/>
        <item x="3253"/>
        <item x="2755"/>
        <item x="2040"/>
        <item m="1" x="5371"/>
        <item x="274"/>
        <item x="1347"/>
        <item x="1107"/>
        <item x="1108"/>
        <item x="1110"/>
        <item x="1383"/>
        <item x="1109"/>
        <item m="1" x="4975"/>
        <item m="1" x="4718"/>
        <item m="1" x="4981"/>
        <item m="1" x="4983"/>
        <item m="1" x="3613"/>
        <item m="1" x="4523"/>
        <item x="1233"/>
        <item m="1" x="5155"/>
        <item m="1" x="5156"/>
        <item x="1221"/>
        <item m="1" x="4529"/>
        <item x="2183"/>
        <item m="1" x="4991"/>
        <item m="1" x="4992"/>
        <item m="1" x="4513"/>
        <item x="336"/>
        <item x="2870"/>
        <item x="1176"/>
        <item x="2868"/>
        <item m="1" x="5157"/>
        <item m="1" x="4623"/>
        <item m="1" x="4524"/>
        <item x="1186"/>
        <item x="2198"/>
        <item m="1" x="4627"/>
        <item m="1" x="4505"/>
        <item m="1" x="4870"/>
        <item x="342"/>
        <item x="1235"/>
        <item m="1" x="4993"/>
        <item m="1" x="4354"/>
        <item m="1" x="4994"/>
        <item m="1" x="4252"/>
        <item m="1" x="4061"/>
        <item m="1" x="4270"/>
        <item m="1" x="5158"/>
        <item x="2872"/>
        <item m="1" x="3644"/>
        <item x="3068"/>
        <item m="1" x="5005"/>
        <item m="1" x="4279"/>
        <item x="1300"/>
        <item m="1" x="5007"/>
        <item m="1" x="3685"/>
        <item m="1" x="5008"/>
        <item m="1" x="4929"/>
        <item m="1" x="4877"/>
        <item m="1" x="5010"/>
        <item m="1" x="4281"/>
        <item m="1" x="4811"/>
        <item m="1" x="4696"/>
        <item m="1" x="4004"/>
        <item m="1" x="5214"/>
        <item m="1" x="4046"/>
        <item m="1" x="5226"/>
        <item x="2949"/>
        <item m="1" x="3744"/>
        <item m="1" x="5230"/>
        <item m="1" x="5231"/>
        <item m="1" x="3745"/>
        <item m="1" x="5064"/>
        <item m="1" x="5065"/>
        <item m="1" x="5066"/>
        <item m="1" x="5067"/>
        <item x="530"/>
        <item x="531"/>
        <item m="1" x="4571"/>
        <item m="1" x="4465"/>
        <item x="544"/>
        <item m="1" x="4364"/>
        <item m="1" x="5245"/>
        <item x="1568"/>
        <item m="1" x="5084"/>
        <item x="1569"/>
        <item x="77"/>
        <item x="643"/>
        <item m="1" x="3771"/>
        <item m="1" x="4368"/>
        <item x="2978"/>
        <item x="1573"/>
        <item x="2440"/>
        <item x="2982"/>
        <item m="1" x="5262"/>
        <item m="1" x="5263"/>
        <item m="1" x="4300"/>
        <item m="1" x="4299"/>
        <item m="1" x="5264"/>
        <item x="3242"/>
        <item m="1" x="5118"/>
        <item m="1" x="4475"/>
        <item m="1" x="4603"/>
        <item m="1" x="4492"/>
        <item x="192"/>
        <item x="3247"/>
        <item m="1" x="4026"/>
        <item m="1" x="4448"/>
        <item x="942"/>
        <item x="1861"/>
        <item x="1862"/>
        <item m="1" x="5295"/>
        <item m="1" x="4794"/>
        <item m="1" x="4828"/>
        <item m="1" x="4866"/>
        <item m="1" x="4787"/>
        <item m="1" x="4805"/>
        <item x="2740"/>
        <item m="1" x="4806"/>
        <item m="1" x="4797"/>
        <item m="1" x="5276"/>
        <item m="1" x="5277"/>
        <item m="1" x="5278"/>
        <item m="1" x="5279"/>
        <item m="1" x="5280"/>
        <item m="1" x="5281"/>
        <item m="1" x="5167"/>
        <item m="1" x="5011"/>
        <item x="1522"/>
        <item m="1" x="5012"/>
        <item m="1" x="5013"/>
        <item m="1" x="5024"/>
        <item m="1" x="5025"/>
        <item m="1" x="5023"/>
        <item m="1" x="3703"/>
        <item m="1" x="4708"/>
        <item m="1" x="4833"/>
        <item m="1" x="5026"/>
        <item m="1" x="5027"/>
        <item m="1" x="3969"/>
        <item m="1" x="4887"/>
        <item m="1" x="5196"/>
        <item m="1" x="4688"/>
        <item x="469"/>
        <item x="1415"/>
        <item x="1413"/>
        <item x="48"/>
        <item x="1414"/>
        <item m="1" x="4257"/>
        <item m="1" x="4286"/>
        <item m="1" x="4258"/>
        <item m="1" x="4287"/>
        <item m="1" x="5225"/>
        <item m="1" x="4973"/>
        <item m="1" x="3645"/>
        <item x="2136"/>
        <item m="1" x="4999"/>
        <item m="1" x="4151"/>
        <item m="1" x="3947"/>
        <item m="1" x="3660"/>
        <item m="1" x="4040"/>
        <item m="1" x="5006"/>
        <item x="1299"/>
        <item m="1" x="4398"/>
        <item m="1" x="4612"/>
        <item x="1916"/>
        <item m="1" x="4322"/>
        <item m="1" x="4538"/>
        <item m="1" x="5009"/>
        <item m="1" x="3915"/>
        <item x="2243"/>
        <item x="2899"/>
        <item m="1" x="3702"/>
        <item x="1305"/>
        <item x="2244"/>
        <item m="1" x="4444"/>
        <item x="2245"/>
        <item x="2316"/>
        <item m="1" x="3731"/>
        <item m="1" x="3733"/>
        <item m="1" x="3736"/>
        <item m="1" x="4163"/>
        <item m="1" x="4164"/>
        <item m="1" x="4618"/>
        <item x="521"/>
        <item m="1" x="4213"/>
        <item m="1" x="4214"/>
        <item m="1" x="4112"/>
        <item m="1" x="5068"/>
        <item m="1" x="4113"/>
        <item m="1" x="4115"/>
        <item x="526"/>
        <item m="1" x="4684"/>
        <item m="1" x="4165"/>
        <item m="1" x="4682"/>
        <item m="1" x="4659"/>
        <item x="2358"/>
        <item m="1" x="4166"/>
        <item m="1" x="4116"/>
        <item x="1469"/>
        <item m="1" x="4488"/>
        <item m="1" x="4091"/>
        <item x="2957"/>
        <item m="1" x="4569"/>
        <item m="1" x="5071"/>
        <item m="1" x="4248"/>
        <item m="1" x="4392"/>
        <item m="1" x="4967"/>
        <item m="1" x="5073"/>
        <item m="1" x="4968"/>
        <item x="2961"/>
        <item m="1" x="4969"/>
        <item x="2965"/>
        <item x="3305"/>
        <item m="1" x="4572"/>
        <item x="3306"/>
        <item m="1" x="4971"/>
        <item x="3310"/>
        <item x="3311"/>
        <item m="1" x="4335"/>
        <item m="1" x="4692"/>
        <item m="1" x="4693"/>
        <item m="1" x="5080"/>
        <item x="644"/>
        <item m="1" x="4577"/>
        <item m="1" x="4175"/>
        <item m="1" x="4094"/>
        <item x="1571"/>
        <item m="1" x="4338"/>
        <item m="1" x="4642"/>
        <item m="1" x="5085"/>
        <item m="1" x="4578"/>
        <item m="1" x="5111"/>
        <item m="1" x="5112"/>
        <item x="3252"/>
        <item m="1" x="4212"/>
        <item x="2455"/>
        <item x="2456"/>
        <item x="791"/>
        <item m="1" x="5115"/>
        <item x="1709"/>
        <item m="1" x="4695"/>
        <item x="1801"/>
        <item m="1" x="3856"/>
        <item m="1" x="4647"/>
        <item m="1" x="3860"/>
        <item m="1" x="4686"/>
        <item m="1" x="3857"/>
        <item m="1" x="3868"/>
        <item m="1" x="3869"/>
        <item m="1" x="3878"/>
        <item x="2756"/>
        <item x="2022"/>
        <item x="2757"/>
        <item x="1019"/>
        <item x="2758"/>
        <item x="2023"/>
        <item x="2024"/>
        <item x="2025"/>
        <item x="1020"/>
        <item m="1" x="4224"/>
        <item x="1021"/>
        <item x="2026"/>
        <item m="1" x="4496"/>
        <item x="2095"/>
        <item x="3160"/>
        <item x="258"/>
        <item x="1079"/>
        <item x="259"/>
        <item x="1080"/>
        <item x="3272"/>
        <item m="1" x="4982"/>
        <item m="1" x="4907"/>
        <item m="1" x="4808"/>
        <item m="1" x="4984"/>
        <item m="1" x="4869"/>
        <item m="1" x="4985"/>
        <item m="1" x="4548"/>
        <item m="1" x="4317"/>
        <item m="1" x="3630"/>
        <item m="1" x="4996"/>
        <item m="1" x="4530"/>
        <item m="1" x="4997"/>
        <item m="1" x="3631"/>
        <item m="1" x="3634"/>
        <item m="1" x="4998"/>
        <item m="1" x="3623"/>
        <item m="1" x="4563"/>
        <item m="1" x="4564"/>
        <item x="2367"/>
        <item m="1" x="4362"/>
        <item m="1" x="5069"/>
        <item m="1" x="4626"/>
        <item m="1" x="5070"/>
        <item m="1" x="4897"/>
        <item m="1" x="4920"/>
        <item m="1" x="4768"/>
        <item m="1" x="3753"/>
        <item m="1" x="4575"/>
        <item m="1" x="4295"/>
        <item m="1" x="4408"/>
        <item m="1" x="4420"/>
        <item m="1" x="4582"/>
        <item m="1" x="4579"/>
        <item m="1" x="4580"/>
        <item m="1" x="5093"/>
        <item m="1" x="5094"/>
        <item m="1" x="5095"/>
        <item m="1" x="5096"/>
        <item m="1" x="4585"/>
        <item x="1850"/>
        <item m="1" x="4583"/>
        <item m="1" x="5097"/>
        <item m="1" x="5098"/>
        <item x="332"/>
        <item m="1" x="5099"/>
        <item m="1" x="4581"/>
        <item m="1" x="4614"/>
        <item m="1" x="5100"/>
        <item m="1" x="5101"/>
        <item m="1" x="5102"/>
        <item m="1" x="4584"/>
        <item x="1781"/>
        <item x="1782"/>
        <item x="858"/>
        <item x="2625"/>
        <item x="1823"/>
        <item m="1" x="4632"/>
        <item x="920"/>
        <item m="1" x="5121"/>
        <item x="921"/>
        <item x="951"/>
        <item m="1" x="4476"/>
        <item m="1" x="4604"/>
        <item m="1" x="3930"/>
        <item x="1846"/>
        <item x="944"/>
        <item x="955"/>
        <item x="1892"/>
        <item x="966"/>
        <item x="3058"/>
        <item x="205"/>
        <item x="2714"/>
        <item m="1" x="4786"/>
        <item m="1" x="4884"/>
        <item m="1" x="4607"/>
        <item x="1011"/>
        <item m="1" x="4904"/>
        <item m="1" x="4928"/>
        <item m="1" x="4779"/>
        <item m="1" x="4894"/>
        <item m="1" x="4885"/>
        <item x="1416"/>
        <item x="2940"/>
        <item x="468"/>
        <item x="1417"/>
        <item m="1" x="4625"/>
        <item x="665"/>
        <item m="1" x="5031"/>
        <item m="1" x="4644"/>
        <item x="2319"/>
        <item x="1418"/>
        <item x="1440"/>
        <item x="496"/>
        <item x="497"/>
        <item m="1" x="5014"/>
        <item m="1" x="5015"/>
        <item m="1" x="5016"/>
        <item m="1" x="5090"/>
        <item m="1" x="5091"/>
        <item x="2096"/>
        <item m="1" x="4310"/>
        <item m="1" x="4427"/>
        <item m="1" x="3529"/>
        <item m="1" x="4499"/>
        <item m="1" x="4780"/>
        <item m="1" x="3976"/>
        <item m="1" x="4428"/>
        <item m="1" x="3574"/>
        <item m="1" x="4135"/>
        <item m="1" x="4503"/>
        <item m="1" x="4500"/>
        <item m="1" x="4501"/>
        <item m="1" x="3575"/>
        <item m="1" x="4502"/>
        <item x="1023"/>
        <item m="1" x="3607"/>
        <item m="1" x="3608"/>
        <item m="1" x="4504"/>
        <item m="1" x="4908"/>
        <item m="1" x="4760"/>
        <item m="1" x="3943"/>
        <item x="1218"/>
        <item x="1198"/>
        <item m="1" x="3625"/>
        <item m="1" x="3632"/>
        <item m="1" x="3626"/>
        <item m="1" x="3627"/>
        <item m="1" x="3638"/>
        <item m="1" x="3650"/>
        <item x="389"/>
        <item m="1" x="3684"/>
        <item m="1" x="4543"/>
        <item x="1946"/>
        <item m="1" x="4106"/>
        <item x="30"/>
        <item m="1" x="4640"/>
        <item x="2300"/>
        <item x="2939"/>
        <item x="3293"/>
        <item m="1" x="4941"/>
        <item m="1" x="4621"/>
        <item m="1" x="4611"/>
        <item m="1" x="3734"/>
        <item m="1" x="4225"/>
        <item m="1" x="4314"/>
        <item m="1" x="3955"/>
        <item m="1" x="4485"/>
        <item m="1" x="4820"/>
        <item x="1444"/>
        <item x="1445"/>
        <item x="2951"/>
        <item x="2346"/>
        <item x="528"/>
        <item x="57"/>
        <item m="1" x="4919"/>
        <item m="1" x="4860"/>
        <item m="1" x="4641"/>
        <item m="1" x="4249"/>
        <item m="1" x="3767"/>
        <item x="645"/>
        <item x="646"/>
        <item x="647"/>
        <item x="1506"/>
        <item x="2403"/>
        <item x="594"/>
        <item x="579"/>
        <item x="1549"/>
        <item m="1" x="4932"/>
        <item m="1" x="3772"/>
        <item m="1" x="4942"/>
        <item x="2995"/>
        <item x="1545"/>
        <item x="570"/>
        <item m="1" x="4674"/>
        <item x="1508"/>
        <item m="1" x="4340"/>
        <item x="2390"/>
        <item x="1514"/>
        <item x="2395"/>
        <item m="1" x="4047"/>
        <item m="1" x="4171"/>
        <item m="1" x="4294"/>
        <item m="1" x="4082"/>
        <item m="1" x="4729"/>
        <item x="599"/>
        <item m="1" x="4014"/>
        <item x="1550"/>
        <item x="1553"/>
        <item m="1" x="4070"/>
        <item m="1" x="4921"/>
        <item x="68"/>
        <item m="1" x="4217"/>
        <item m="1" x="4231"/>
        <item m="1" x="3781"/>
        <item m="1" x="3776"/>
        <item m="1" x="4769"/>
        <item x="2976"/>
        <item m="1" x="4048"/>
        <item m="1" x="4174"/>
        <item x="2378"/>
        <item m="1" x="4123"/>
        <item x="1596"/>
        <item m="1" x="4963"/>
        <item m="1" x="4823"/>
        <item m="1" x="4960"/>
        <item m="1" x="4910"/>
        <item m="1" x="4861"/>
        <item m="1" x="4862"/>
        <item m="1" x="4933"/>
        <item m="1" x="4747"/>
        <item m="1" x="3826"/>
        <item x="1630"/>
        <item x="693"/>
        <item x="2473"/>
        <item m="1" x="4700"/>
        <item m="1" x="4694"/>
        <item x="85"/>
        <item m="1" x="4590"/>
        <item m="1" x="4911"/>
        <item m="1" x="4622"/>
        <item x="1633"/>
        <item m="1" x="4730"/>
        <item m="1" x="4944"/>
        <item x="2475"/>
        <item x="2476"/>
        <item x="694"/>
        <item m="1" x="4711"/>
        <item x="695"/>
        <item m="1" x="4701"/>
        <item x="2477"/>
        <item m="1" x="4748"/>
        <item x="697"/>
        <item m="1" x="4735"/>
        <item x="86"/>
        <item m="1" x="4736"/>
        <item x="2478"/>
        <item x="1635"/>
        <item x="1636"/>
        <item x="698"/>
        <item x="699"/>
        <item m="1" x="4888"/>
        <item m="1" x="4771"/>
        <item x="2482"/>
        <item m="1" x="4469"/>
        <item x="1638"/>
        <item x="678"/>
        <item m="1" x="4443"/>
        <item m="1" x="4341"/>
        <item m="1" x="4813"/>
        <item x="709"/>
        <item x="2490"/>
        <item x="2491"/>
        <item x="3003"/>
        <item x="710"/>
        <item x="711"/>
        <item m="1" x="4824"/>
        <item m="1" x="4703"/>
        <item x="712"/>
        <item m="1" x="4737"/>
        <item x="1640"/>
        <item m="1" x="4591"/>
        <item x="89"/>
        <item x="713"/>
        <item x="1642"/>
        <item m="1" x="3962"/>
        <item x="1644"/>
        <item m="1" x="4750"/>
        <item m="1" x="4889"/>
        <item x="724"/>
        <item x="1651"/>
        <item m="1" x="4912"/>
        <item m="1" x="4784"/>
        <item x="729"/>
        <item m="1" x="4892"/>
        <item m="1" x="4470"/>
        <item x="2518"/>
        <item x="737"/>
        <item x="1659"/>
        <item x="104"/>
        <item m="1" x="4297"/>
        <item x="738"/>
        <item x="105"/>
        <item x="739"/>
        <item m="1" x="4421"/>
        <item m="1" x="4471"/>
        <item x="106"/>
        <item m="1" x="4472"/>
        <item x="2520"/>
        <item x="2521"/>
        <item x="785"/>
        <item x="2547"/>
        <item x="152"/>
        <item x="2548"/>
        <item x="2560"/>
        <item m="1" x="3827"/>
        <item m="1" x="4473"/>
        <item m="1" x="4423"/>
        <item m="1" x="4489"/>
        <item m="1" x="4445"/>
        <item m="1" x="4446"/>
        <item m="1" x="4645"/>
        <item m="1" x="4409"/>
        <item m="1" x="3861"/>
        <item m="1" x="3864"/>
        <item m="1" x="4649"/>
        <item m="1" x="4740"/>
        <item m="1" x="4631"/>
        <item m="1" x="4347"/>
        <item m="1" x="4178"/>
        <item x="1874"/>
        <item x="1875"/>
        <item x="1877"/>
        <item x="2648"/>
        <item x="959"/>
        <item x="1881"/>
        <item m="1" x="4792"/>
        <item x="3057"/>
        <item x="1882"/>
        <item x="1883"/>
        <item x="2651"/>
        <item m="1" x="4716"/>
        <item x="1884"/>
        <item x="1885"/>
        <item x="961"/>
        <item m="1" x="4755"/>
        <item x="2652"/>
        <item x="1886"/>
        <item x="1887"/>
        <item x="2653"/>
        <item x="963"/>
        <item x="1889"/>
        <item x="1890"/>
        <item x="2654"/>
        <item m="1" x="4741"/>
        <item x="1891"/>
        <item m="1" x="4793"/>
        <item x="964"/>
        <item m="1" x="4606"/>
        <item m="1" x="4348"/>
        <item m="1" x="4609"/>
        <item m="1" x="4349"/>
        <item m="1" x="4610"/>
        <item x="2762"/>
        <item x="2763"/>
        <item x="2042"/>
        <item m="1" x="4662"/>
        <item x="1027"/>
        <item x="1028"/>
        <item m="1" x="4683"/>
        <item x="2764"/>
        <item x="2043"/>
        <item x="2044"/>
        <item m="1" x="3993"/>
        <item m="1" x="3994"/>
        <item m="1" x="3995"/>
        <item m="1" x="4038"/>
        <item m="1" x="3998"/>
        <item m="1" x="3948"/>
        <item m="1" x="4200"/>
        <item m="1" x="3949"/>
        <item m="1" x="4000"/>
        <item m="1" x="4154"/>
        <item x="3409"/>
        <item x="3493"/>
        <item x="3410"/>
        <item m="1" x="3710"/>
        <item m="1" x="3715"/>
        <item m="1" x="4357"/>
        <item m="1" x="3711"/>
        <item m="1" x="3713"/>
        <item m="1" x="3712"/>
        <item x="2733"/>
        <item m="1" x="4821"/>
        <item m="1" x="4871"/>
        <item x="267"/>
        <item m="1" x="3511"/>
        <item x="377"/>
        <item m="1" x="4617"/>
        <item x="2239"/>
        <item x="1930"/>
        <item m="1" x="4202"/>
        <item x="984"/>
        <item x="1298"/>
        <item m="1" x="4254"/>
        <item m="1" x="4552"/>
        <item m="1" x="4553"/>
        <item m="1" x="4554"/>
        <item m="1" x="4555"/>
        <item m="1" x="4550"/>
        <item m="1" x="4549"/>
        <item m="1" x="4556"/>
        <item m="1" x="4551"/>
        <item m="1" x="3709"/>
        <item m="1" x="3706"/>
        <item m="1" x="4435"/>
        <item m="1" x="4558"/>
        <item m="1" x="4637"/>
        <item m="1" x="4638"/>
        <item m="1" x="4561"/>
        <item m="1" x="4655"/>
        <item m="1" x="4562"/>
        <item m="1" x="3707"/>
        <item m="1" x="4557"/>
        <item x="2301"/>
        <item m="1" x="4681"/>
        <item x="1431"/>
        <item m="1" x="4089"/>
        <item x="1441"/>
        <item x="494"/>
        <item x="495"/>
        <item x="1443"/>
        <item x="2342"/>
        <item x="1448"/>
        <item x="2343"/>
        <item x="2950"/>
        <item x="502"/>
        <item x="503"/>
        <item x="2344"/>
        <item x="504"/>
        <item x="2345"/>
        <item x="1449"/>
        <item x="1450"/>
        <item x="1451"/>
        <item x="1452"/>
        <item x="1453"/>
        <item x="505"/>
        <item x="506"/>
        <item x="53"/>
        <item m="1" x="4687"/>
        <item m="1" x="3747"/>
        <item m="1" x="4122"/>
        <item m="1" x="4440"/>
        <item x="3294"/>
        <item x="3180"/>
        <item m="1" x="4570"/>
        <item m="1" x="4650"/>
        <item m="1" x="4464"/>
        <item m="1" x="4574"/>
        <item x="649"/>
        <item x="573"/>
        <item x="1520"/>
        <item x="69"/>
        <item x="1524"/>
        <item x="1547"/>
        <item m="1" x="4172"/>
        <item m="1" x="3769"/>
        <item m="1" x="4576"/>
        <item m="1" x="4661"/>
        <item m="1" x="4657"/>
        <item m="1" x="4619"/>
        <item m="1" x="4615"/>
        <item x="148"/>
        <item x="1705"/>
        <item m="1" x="4378"/>
        <item m="1" x="4196"/>
        <item m="1" x="4370"/>
        <item m="1" x="4413"/>
        <item x="2874"/>
        <item x="337"/>
        <item x="1183"/>
        <item m="1" x="4318"/>
        <item x="1226"/>
        <item m="1" x="4316"/>
        <item x="2177"/>
        <item x="317"/>
        <item m="1" x="4430"/>
        <item m="1" x="4514"/>
        <item m="1" x="4319"/>
        <item m="1" x="4509"/>
        <item m="1" x="4651"/>
        <item x="1149"/>
        <item x="1142"/>
        <item x="2834"/>
        <item x="11"/>
        <item m="1" x="4456"/>
        <item m="1" x="4526"/>
        <item x="2135"/>
        <item m="1" x="4186"/>
        <item x="2162"/>
        <item m="1" x="4515"/>
        <item m="1" x="4516"/>
        <item m="1" x="4517"/>
        <item x="1144"/>
        <item m="1" x="4411"/>
        <item m="1" x="4628"/>
        <item m="1" x="4518"/>
        <item m="1" x="4506"/>
        <item x="2169"/>
        <item x="298"/>
        <item x="2133"/>
        <item x="2837"/>
        <item x="299"/>
        <item x="2125"/>
        <item m="1" x="4507"/>
        <item x="1145"/>
        <item x="296"/>
        <item x="2129"/>
        <item m="1" x="3920"/>
        <item x="297"/>
        <item m="1" x="4138"/>
        <item m="1" x="4519"/>
        <item x="2839"/>
        <item x="2130"/>
        <item m="1" x="4185"/>
        <item m="1" x="4510"/>
        <item m="1" x="4520"/>
        <item m="1" x="4137"/>
        <item m="1" x="4187"/>
        <item m="1" x="4643"/>
        <item x="2126"/>
        <item x="1146"/>
        <item x="1147"/>
        <item m="1" x="3940"/>
        <item x="2841"/>
        <item x="2127"/>
        <item x="1148"/>
        <item x="2131"/>
        <item m="1" x="4035"/>
        <item m="1" x="4521"/>
        <item x="1143"/>
        <item m="1" x="4230"/>
        <item m="1" x="4671"/>
        <item m="1" x="4690"/>
        <item m="1" x="4366"/>
        <item m="1" x="4598"/>
        <item m="1" x="4596"/>
        <item m="1" x="3835"/>
        <item m="1" x="3838"/>
        <item m="1" x="3841"/>
        <item m="1" x="3840"/>
        <item m="1" x="3836"/>
        <item m="1" x="3839"/>
        <item x="3331"/>
        <item x="3332"/>
        <item x="3333"/>
        <item x="3471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5"/>
        <item x="3376"/>
        <item x="3377"/>
        <item x="3379"/>
        <item x="3380"/>
        <item x="3381"/>
        <item x="3382"/>
        <item x="3496"/>
        <item x="3383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9"/>
        <item x="3400"/>
        <item x="3401"/>
        <item x="3402"/>
        <item x="3403"/>
        <item x="3489"/>
        <item x="3404"/>
        <item x="3405"/>
        <item x="3406"/>
        <item x="3407"/>
        <item x="3408"/>
        <item x="2624"/>
        <item x="2627"/>
        <item x="886"/>
        <item x="887"/>
        <item x="888"/>
        <item x="2628"/>
        <item x="2629"/>
        <item x="1825"/>
        <item x="889"/>
        <item x="890"/>
        <item x="891"/>
        <item x="892"/>
        <item x="163"/>
        <item x="893"/>
        <item x="1826"/>
        <item x="894"/>
        <item x="895"/>
        <item x="164"/>
        <item x="165"/>
        <item x="166"/>
        <item x="167"/>
        <item x="896"/>
        <item x="168"/>
        <item x="169"/>
        <item x="897"/>
        <item x="1827"/>
        <item x="898"/>
        <item x="901"/>
        <item x="900"/>
        <item x="903"/>
        <item x="899"/>
        <item x="170"/>
        <item x="902"/>
        <item x="2630"/>
        <item x="935"/>
        <item x="936"/>
        <item m="1" x="4477"/>
        <item x="941"/>
        <item m="1" x="3972"/>
        <item x="1856"/>
        <item x="1858"/>
        <item x="2639"/>
        <item x="933"/>
        <item x="2655"/>
        <item x="2656"/>
        <item x="965"/>
        <item x="2657"/>
        <item x="3249"/>
        <item m="1" x="3643"/>
        <item m="1" x="4253"/>
        <item m="1" x="3802"/>
        <item m="1" x="3817"/>
        <item m="1" x="3816"/>
        <item m="1" x="4108"/>
        <item m="1" x="3821"/>
        <item m="1" x="3812"/>
        <item m="1" x="4109"/>
        <item x="1679"/>
        <item x="3028"/>
        <item x="2531"/>
        <item x="3029"/>
        <item x="2532"/>
        <item x="2533"/>
        <item x="2538"/>
        <item x="1680"/>
        <item x="1681"/>
        <item x="3230"/>
        <item x="1683"/>
        <item x="2534"/>
        <item x="783"/>
        <item x="3231"/>
        <item x="3032"/>
        <item x="3031"/>
        <item x="1684"/>
        <item x="1682"/>
        <item x="2535"/>
        <item x="3034"/>
        <item x="1685"/>
        <item x="1686"/>
        <item x="2536"/>
        <item x="3232"/>
        <item x="2541"/>
        <item x="1687"/>
        <item x="1688"/>
        <item x="2540"/>
        <item x="1678"/>
        <item x="784"/>
        <item x="2539"/>
        <item x="3033"/>
        <item x="2542"/>
        <item m="1" x="3532"/>
        <item x="49"/>
        <item m="1" x="3533"/>
        <item x="472"/>
        <item m="1" x="4284"/>
        <item m="1" x="3550"/>
        <item m="1" x="3956"/>
        <item m="1" x="4633"/>
        <item m="1" x="4634"/>
        <item m="1" x="4459"/>
        <item m="1" x="3957"/>
        <item x="474"/>
        <item x="1847"/>
        <item m="1" x="4157"/>
        <item m="1" x="3576"/>
        <item m="1" x="4134"/>
        <item m="1" x="4005"/>
        <item m="1" x="3562"/>
        <item x="1429"/>
        <item x="1423"/>
        <item m="1" x="4044"/>
        <item x="2638"/>
        <item m="1" x="4042"/>
        <item x="2332"/>
        <item x="2187"/>
        <item x="2328"/>
        <item m="1" x="4358"/>
        <item x="3275"/>
        <item x="2942"/>
        <item x="2944"/>
        <item x="3175"/>
        <item x="3178"/>
        <item m="1" x="4102"/>
        <item m="1" x="3635"/>
        <item x="38"/>
        <item x="2302"/>
        <item x="657"/>
        <item x="485"/>
        <item x="493"/>
        <item x="1442"/>
        <item x="498"/>
        <item x="507"/>
        <item x="2952"/>
        <item m="1" x="4168"/>
        <item x="1475"/>
        <item m="1" x="4117"/>
        <item m="1" x="4169"/>
        <item m="1" x="4170"/>
        <item x="2362"/>
        <item m="1" x="3757"/>
        <item x="1474"/>
        <item m="1" x="4442"/>
        <item m="1" x="4176"/>
        <item x="78"/>
        <item m="1" x="4292"/>
        <item x="79"/>
        <item x="814"/>
        <item m="1" x="4600"/>
        <item x="3398"/>
        <item x="3411"/>
        <item x="3412"/>
        <item x="3413"/>
        <item x="3414"/>
        <item x="3415"/>
        <item x="906"/>
        <item x="904"/>
        <item x="171"/>
        <item x="1829"/>
        <item x="172"/>
        <item x="905"/>
        <item x="1828"/>
        <item x="2631"/>
        <item x="173"/>
        <item m="1" x="4491"/>
        <item m="1" x="4221"/>
        <item x="945"/>
        <item x="918"/>
        <item x="181"/>
        <item m="1" x="4449"/>
        <item m="1" x="3929"/>
        <item x="184"/>
        <item x="185"/>
        <item x="927"/>
        <item x="928"/>
        <item x="1854"/>
        <item x="1857"/>
        <item x="1852"/>
        <item m="1" x="3932"/>
        <item x="351"/>
        <item x="1022"/>
        <item x="2027"/>
        <item x="2028"/>
        <item x="2029"/>
        <item x="1029"/>
        <item x="2049"/>
        <item x="2766"/>
        <item x="1030"/>
        <item x="2050"/>
        <item x="2867"/>
        <item x="331"/>
        <item x="2865"/>
        <item x="2846"/>
        <item x="309"/>
        <item x="2864"/>
        <item x="2250"/>
        <item x="2186"/>
        <item x="2873"/>
        <item x="2850"/>
        <item x="2193"/>
        <item x="2356"/>
        <item x="2200"/>
        <item x="1244"/>
        <item x="2180"/>
        <item x="2192"/>
        <item x="1229"/>
        <item x="1228"/>
        <item x="2185"/>
        <item x="2366"/>
        <item x="2190"/>
        <item x="2179"/>
        <item x="2194"/>
        <item x="1499"/>
        <item x="3169"/>
        <item x="294"/>
        <item x="2832"/>
        <item x="295"/>
        <item x="12"/>
        <item x="2132"/>
        <item x="2833"/>
        <item x="2840"/>
        <item x="2835"/>
        <item x="1150"/>
        <item x="2836"/>
        <item x="322"/>
        <item x="300"/>
        <item x="23"/>
        <item x="1151"/>
        <item x="2842"/>
        <item x="13"/>
        <item x="2838"/>
        <item x="2134"/>
        <item m="1" x="4188"/>
        <item x="1154"/>
        <item x="2142"/>
        <item x="14"/>
        <item x="2137"/>
        <item x="3163"/>
        <item x="2138"/>
        <item x="1152"/>
        <item x="586"/>
        <item m="1" x="4032"/>
        <item x="2140"/>
        <item x="1153"/>
        <item x="2139"/>
        <item x="2141"/>
        <item x="1155"/>
        <item m="1" x="4350"/>
        <item x="2144"/>
        <item x="2143"/>
        <item x="301"/>
        <item x="1156"/>
        <item m="1" x="4193"/>
        <item x="1157"/>
        <item m="1" x="3615"/>
        <item x="2145"/>
        <item m="1" x="4267"/>
        <item x="302"/>
        <item m="1" x="4085"/>
        <item m="1" x="4142"/>
        <item m="1" x="4141"/>
        <item m="1" x="4144"/>
        <item m="1" x="4098"/>
        <item m="1" x="4189"/>
        <item m="1" x="4139"/>
        <item m="1" x="4192"/>
        <item m="1" x="4143"/>
        <item m="1" x="4191"/>
        <item m="1" x="4140"/>
        <item m="1" x="4351"/>
        <item m="1" x="4527"/>
        <item m="1" x="4511"/>
        <item m="1" x="4528"/>
        <item x="2226"/>
        <item x="361"/>
        <item x="1479"/>
        <item x="1270"/>
        <item x="362"/>
        <item x="363"/>
        <item x="1271"/>
        <item x="1272"/>
        <item x="25"/>
        <item m="1" x="4037"/>
        <item m="1" x="4532"/>
        <item m="1" x="4414"/>
        <item m="1" x="4531"/>
        <item m="1" x="3849"/>
        <item m="1" x="3921"/>
        <item x="2234"/>
        <item x="1293"/>
        <item x="378"/>
        <item x="2235"/>
        <item m="1" x="4533"/>
        <item m="1" x="4540"/>
        <item x="2896"/>
        <item x="2692"/>
        <item x="2660"/>
        <item x="2897"/>
        <item x="982"/>
        <item m="1" x="4001"/>
        <item x="2706"/>
        <item x="993"/>
        <item m="1" x="4382"/>
        <item m="1" x="4080"/>
        <item x="1958"/>
        <item m="1" x="4431"/>
        <item m="1" x="4239"/>
        <item m="1" x="4240"/>
        <item x="3288"/>
        <item m="1" x="3951"/>
        <item x="2693"/>
        <item x="1297"/>
        <item x="1931"/>
        <item x="3289"/>
        <item x="1933"/>
        <item m="1" x="4432"/>
        <item m="1" x="4535"/>
        <item m="1" x="4396"/>
        <item x="1934"/>
        <item m="1" x="4028"/>
        <item m="1" x="4383"/>
        <item x="2240"/>
        <item x="2666"/>
        <item x="3071"/>
        <item x="2695"/>
        <item x="2696"/>
        <item x="2697"/>
        <item m="1" x="4081"/>
        <item x="1899"/>
        <item m="1" x="3686"/>
        <item x="985"/>
        <item m="1" x="4415"/>
        <item x="1974"/>
        <item m="1" x="4397"/>
        <item m="1" x="4542"/>
        <item x="3074"/>
        <item x="1911"/>
        <item m="1" x="4537"/>
        <item x="1901"/>
        <item x="972"/>
        <item x="3059"/>
        <item m="1" x="4399"/>
        <item x="1938"/>
        <item m="1" x="4536"/>
        <item m="1" x="4228"/>
        <item m="1" x="4384"/>
        <item m="1" x="4241"/>
        <item x="1902"/>
        <item x="1940"/>
        <item x="1282"/>
        <item m="1" x="4385"/>
        <item x="1942"/>
        <item x="1943"/>
        <item x="1952"/>
        <item m="1" x="4386"/>
        <item x="1301"/>
        <item m="1" x="3952"/>
        <item x="1904"/>
        <item m="1" x="4401"/>
        <item x="1964"/>
        <item x="1302"/>
        <item x="2242"/>
        <item x="390"/>
        <item x="1917"/>
        <item m="1" x="4387"/>
        <item x="3073"/>
        <item m="1" x="4013"/>
        <item m="1" x="4155"/>
        <item x="2704"/>
        <item m="1" x="4544"/>
        <item x="1959"/>
        <item x="1923"/>
        <item m="1" x="4434"/>
        <item x="2661"/>
        <item x="2701"/>
        <item x="2709"/>
        <item m="1" x="4416"/>
        <item x="973"/>
        <item x="1303"/>
        <item m="1" x="4539"/>
        <item x="2663"/>
        <item m="1" x="4417"/>
        <item x="1955"/>
        <item m="1" x="3818"/>
        <item m="1" x="4436"/>
        <item m="1" x="3820"/>
        <item m="1" x="4325"/>
        <item m="1" x="4205"/>
        <item m="1" x="4418"/>
        <item x="1486"/>
        <item m="1" x="4160"/>
        <item m="1" x="4566"/>
        <item m="1" x="4159"/>
        <item m="1" x="4568"/>
        <item m="1" x="4363"/>
        <item m="1" x="4567"/>
        <item m="1" x="4332"/>
        <item m="1" x="4333"/>
        <item x="602"/>
        <item m="1" x="4462"/>
        <item m="1" x="3746"/>
        <item m="1" x="3777"/>
        <item x="1728"/>
        <item x="1729"/>
        <item x="1730"/>
        <item x="1731"/>
        <item x="818"/>
        <item x="3039"/>
        <item x="819"/>
        <item x="2567"/>
        <item x="820"/>
        <item x="2568"/>
        <item x="1732"/>
        <item x="821"/>
        <item x="1733"/>
        <item x="2569"/>
        <item x="1734"/>
        <item x="2570"/>
        <item x="1735"/>
        <item x="1736"/>
        <item x="1737"/>
        <item x="1738"/>
        <item x="1739"/>
        <item x="1740"/>
        <item x="2571"/>
        <item x="2572"/>
        <item x="822"/>
        <item x="2573"/>
        <item x="3233"/>
        <item x="1741"/>
        <item x="2574"/>
        <item x="823"/>
        <item x="824"/>
        <item x="2575"/>
        <item x="1742"/>
        <item x="1743"/>
        <item x="1744"/>
        <item x="825"/>
        <item x="826"/>
        <item x="827"/>
        <item x="828"/>
        <item x="1745"/>
        <item x="1746"/>
        <item x="1747"/>
        <item x="1748"/>
        <item x="1749"/>
        <item x="2576"/>
        <item x="1750"/>
        <item x="1751"/>
        <item x="2577"/>
        <item x="1752"/>
        <item x="3234"/>
        <item x="1753"/>
        <item x="1754"/>
        <item x="1755"/>
        <item x="1756"/>
        <item x="829"/>
        <item x="830"/>
        <item x="2578"/>
        <item x="1757"/>
        <item x="1758"/>
        <item x="1759"/>
        <item x="1760"/>
        <item x="831"/>
        <item x="1761"/>
        <item x="832"/>
        <item x="2579"/>
        <item x="2580"/>
        <item x="833"/>
        <item x="3235"/>
        <item x="1762"/>
        <item x="2581"/>
        <item x="1763"/>
        <item x="834"/>
        <item x="1764"/>
        <item x="2582"/>
        <item x="835"/>
        <item x="836"/>
        <item x="2583"/>
        <item x="837"/>
        <item x="1765"/>
        <item x="2584"/>
        <item x="1766"/>
        <item x="838"/>
        <item x="153"/>
        <item x="154"/>
        <item x="1767"/>
        <item x="2585"/>
        <item x="1768"/>
        <item x="2586"/>
        <item x="1769"/>
        <item x="839"/>
        <item x="1770"/>
        <item x="840"/>
        <item x="2587"/>
        <item x="841"/>
        <item x="842"/>
        <item x="843"/>
        <item x="1771"/>
        <item x="1772"/>
        <item x="844"/>
        <item x="3040"/>
        <item x="2588"/>
        <item x="2589"/>
        <item x="845"/>
        <item x="2590"/>
        <item x="846"/>
        <item x="1773"/>
        <item x="1774"/>
        <item x="847"/>
        <item x="1775"/>
        <item x="2591"/>
        <item x="667"/>
        <item x="848"/>
        <item x="2592"/>
        <item x="2593"/>
        <item x="2594"/>
        <item x="1776"/>
        <item x="849"/>
        <item x="850"/>
        <item x="2595"/>
        <item x="2596"/>
        <item x="2597"/>
        <item x="851"/>
        <item x="3041"/>
        <item x="2598"/>
        <item x="1777"/>
        <item x="2599"/>
        <item x="2600"/>
        <item x="852"/>
        <item x="2602"/>
        <item x="3042"/>
        <item x="853"/>
        <item x="1779"/>
        <item x="3236"/>
        <item x="3043"/>
        <item x="3044"/>
        <item x="856"/>
        <item x="857"/>
        <item x="3045"/>
        <item x="155"/>
        <item x="1783"/>
        <item x="1784"/>
        <item x="859"/>
        <item x="860"/>
        <item x="2603"/>
        <item x="861"/>
        <item x="1785"/>
        <item x="862"/>
        <item x="863"/>
        <item x="3237"/>
        <item x="1786"/>
        <item x="156"/>
        <item x="3046"/>
        <item x="3047"/>
        <item x="864"/>
        <item x="865"/>
        <item x="3244"/>
        <item x="2618"/>
        <item x="3245"/>
        <item x="3246"/>
        <item x="3049"/>
        <item x="1803"/>
        <item m="1" x="4262"/>
        <item m="1" x="4343"/>
        <item m="1" x="4345"/>
        <item m="1" x="3853"/>
        <item m="1" x="4602"/>
        <item m="1" x="3852"/>
        <item m="1" x="3850"/>
        <item x="3055"/>
        <item x="1876"/>
        <item x="957"/>
        <item x="958"/>
        <item x="1878"/>
        <item x="1879"/>
        <item x="2649"/>
        <item x="3056"/>
        <item x="960"/>
        <item x="1880"/>
        <item x="2650"/>
        <item x="198"/>
        <item x="962"/>
        <item x="199"/>
        <item m="1" x="4547"/>
        <item x="1007"/>
        <item x="1982"/>
        <item m="1" x="4452"/>
        <item x="1990"/>
        <item x="1992"/>
        <item x="1997"/>
        <item x="2008"/>
        <item x="2715"/>
        <item x="2716"/>
        <item m="1" x="4055"/>
        <item x="2738"/>
        <item x="3080"/>
        <item x="3081"/>
        <item x="3084"/>
        <item x="3089"/>
        <item x="3094"/>
        <item x="3099"/>
        <item x="3101"/>
        <item x="3102"/>
        <item x="3104"/>
        <item x="3105"/>
        <item m="1" x="4312"/>
        <item x="303"/>
        <item x="2843"/>
        <item m="1" x="4034"/>
        <item x="1158"/>
        <item x="1159"/>
        <item m="1" x="3621"/>
        <item x="1160"/>
        <item x="2146"/>
        <item x="1161"/>
        <item m="1" x="4313"/>
        <item m="1" x="4457"/>
        <item m="1" x="4412"/>
        <item x="1162"/>
        <item x="2147"/>
        <item x="2148"/>
        <item x="1163"/>
        <item m="1" x="3941"/>
        <item m="1" x="4060"/>
        <item x="1164"/>
        <item x="1166"/>
        <item x="2149"/>
        <item x="1165"/>
        <item x="304"/>
        <item x="2150"/>
        <item m="1" x="3985"/>
        <item x="305"/>
        <item m="1" x="4195"/>
        <item m="1" x="4149"/>
        <item m="1" x="4145"/>
        <item m="1" x="4146"/>
        <item m="1" x="4099"/>
        <item m="1" x="4194"/>
        <item m="1" x="4147"/>
        <item m="1" x="4148"/>
        <item x="1168"/>
        <item x="2844"/>
        <item x="2152"/>
        <item x="2154"/>
        <item x="15"/>
        <item x="1167"/>
        <item m="1" x="3616"/>
        <item x="3164"/>
        <item x="2178"/>
        <item x="2871"/>
        <item x="1230"/>
        <item x="1232"/>
        <item x="1294"/>
        <item x="380"/>
        <item m="1" x="4321"/>
        <item m="1" x="4274"/>
        <item m="1" x="4275"/>
        <item m="1" x="4276"/>
        <item m="1" x="4277"/>
        <item x="2238"/>
        <item x="3250"/>
        <item x="2898"/>
        <item x="3064"/>
        <item x="3077"/>
        <item x="3078"/>
        <item x="325"/>
        <item m="1" x="3916"/>
        <item x="2241"/>
        <item x="1962"/>
        <item x="39"/>
        <item x="2931"/>
        <item m="1" x="4359"/>
        <item m="1" x="4067"/>
        <item m="1" x="4088"/>
        <item x="1420"/>
        <item x="1421"/>
        <item m="1" x="4209"/>
        <item x="2322"/>
        <item x="2323"/>
        <item x="2324"/>
        <item x="470"/>
        <item m="1" x="3735"/>
        <item x="1422"/>
        <item x="2326"/>
        <item x="471"/>
        <item m="1" x="4360"/>
        <item x="2327"/>
        <item x="2347"/>
        <item x="2348"/>
        <item x="2339"/>
        <item x="508"/>
        <item x="2349"/>
        <item x="2350"/>
        <item x="54"/>
        <item x="509"/>
        <item x="1455"/>
        <item x="510"/>
        <item x="2351"/>
        <item x="511"/>
        <item x="512"/>
        <item x="1472"/>
        <item m="1" x="4119"/>
        <item m="1" x="4288"/>
        <item m="1" x="4289"/>
        <item m="1" x="4260"/>
        <item m="1" x="4261"/>
        <item m="1" x="4367"/>
        <item m="1" x="4293"/>
        <item x="2612"/>
        <item x="1597"/>
        <item x="2450"/>
        <item x="2556"/>
        <item x="2566"/>
        <item x="1700"/>
        <item x="2558"/>
        <item x="1727"/>
        <item m="1" x="3966"/>
        <item m="1" x="4298"/>
        <item m="1" x="3967"/>
        <item m="1" x="4301"/>
        <item m="1" x="4052"/>
        <item x="2604"/>
        <item x="2605"/>
        <item x="2606"/>
        <item x="1787"/>
        <item x="3416"/>
        <item x="3417"/>
        <item x="3418"/>
        <item x="3419"/>
        <item x="3420"/>
        <item x="3421"/>
        <item x="1707"/>
        <item x="3482"/>
        <item x="3422"/>
        <item x="3423"/>
        <item x="3424"/>
        <item x="3425"/>
        <item x="3426"/>
        <item x="3427"/>
        <item x="3428"/>
        <item x="3429"/>
        <item x="3430"/>
        <item x="3431"/>
        <item x="3433"/>
        <item x="3434"/>
        <item x="2281"/>
        <item x="3435"/>
        <item x="3436"/>
        <item x="3437"/>
        <item x="177"/>
        <item x="176"/>
        <item x="174"/>
        <item x="907"/>
        <item x="2632"/>
        <item x="908"/>
        <item x="175"/>
        <item m="1" x="3858"/>
        <item m="1" x="4490"/>
        <item m="1" x="4447"/>
        <item x="1897"/>
        <item x="971"/>
        <item x="1900"/>
        <item x="2662"/>
        <item x="2045"/>
        <item x="2765"/>
        <item x="2048"/>
        <item m="1" x="4426"/>
        <item x="1071"/>
        <item x="1064"/>
        <item x="252"/>
        <item m="1" x="4478"/>
        <item x="1066"/>
        <item m="1" x="4132"/>
        <item m="1" x="4479"/>
        <item x="234"/>
        <item x="254"/>
        <item x="5"/>
        <item m="1" x="4454"/>
        <item x="2093"/>
        <item m="1" x="3977"/>
        <item m="1" x="3935"/>
        <item m="1" x="3545"/>
        <item m="1" x="3596"/>
        <item m="1" x="3577"/>
        <item m="1" x="3546"/>
        <item m="1" x="3547"/>
        <item m="1" x="3578"/>
        <item m="1" x="3579"/>
        <item m="1" x="3548"/>
        <item m="1" x="3605"/>
        <item m="1" x="3580"/>
        <item m="1" x="3978"/>
        <item m="1" x="3549"/>
        <item m="1" x="4429"/>
        <item m="1" x="4031"/>
        <item m="1" x="3979"/>
        <item m="1" x="4136"/>
        <item m="1" x="3581"/>
        <item m="1" x="3597"/>
        <item m="1" x="3640"/>
        <item m="1" x="3641"/>
        <item m="1" x="3642"/>
        <item m="1" x="4320"/>
        <item m="1" x="4355"/>
        <item x="36"/>
        <item x="569"/>
        <item x="439"/>
        <item x="282"/>
        <item x="2431"/>
        <item x="795"/>
        <item x="997"/>
        <item x="1052"/>
        <item x="3113"/>
        <item x="3124"/>
        <item x="2785"/>
        <item x="2782"/>
        <item x="213"/>
        <item x="2057"/>
        <item x="2787"/>
        <item x="214"/>
        <item x="2803"/>
        <item x="3261"/>
        <item x="2069"/>
        <item x="3136"/>
        <item x="2061"/>
        <item x="2778"/>
        <item x="3264"/>
        <item x="1038"/>
        <item x="2805"/>
        <item x="2801"/>
        <item x="2794"/>
        <item x="222"/>
        <item x="1041"/>
        <item x="3129"/>
        <item x="2059"/>
        <item x="3296"/>
        <item x="1483"/>
        <item x="545"/>
        <item x="3299"/>
        <item x="548"/>
        <item m="1" x="4259"/>
        <item m="1" x="4407"/>
        <item x="3301"/>
        <item x="3302"/>
        <item x="552"/>
        <item x="3303"/>
        <item x="1249"/>
        <item x="3307"/>
        <item x="558"/>
        <item x="3309"/>
        <item m="1" x="4215"/>
        <item x="560"/>
        <item m="1" x="4441"/>
        <item m="1" x="4118"/>
        <item x="1498"/>
        <item x="3313"/>
        <item x="3315"/>
        <item x="566"/>
        <item x="3319"/>
        <item x="3320"/>
        <item x="3322"/>
        <item x="2963"/>
        <item x="572"/>
        <item x="2392"/>
        <item x="1956"/>
        <item x="2397"/>
        <item x="581"/>
        <item x="1967"/>
        <item x="593"/>
        <item m="1" x="4049"/>
        <item x="2429"/>
        <item x="1546"/>
        <item x="71"/>
        <item x="2917"/>
        <item x="2609"/>
        <item x="1575"/>
        <item x="1576"/>
        <item x="1578"/>
        <item x="1579"/>
        <item x="1580"/>
        <item x="2441"/>
        <item x="2442"/>
        <item x="1581"/>
        <item x="1582"/>
        <item x="1583"/>
        <item x="2980"/>
        <item x="1584"/>
        <item x="1585"/>
        <item x="663"/>
        <item x="1586"/>
        <item x="1587"/>
        <item x="2443"/>
        <item x="2444"/>
        <item x="1588"/>
        <item x="1589"/>
        <item x="664"/>
        <item x="2445"/>
        <item x="1590"/>
        <item x="1591"/>
        <item x="1592"/>
        <item x="2446"/>
        <item x="1593"/>
        <item x="2447"/>
        <item x="1838"/>
        <item x="1839"/>
        <item x="3051"/>
        <item x="3052"/>
        <item x="1833"/>
        <item x="1834"/>
        <item x="915"/>
        <item x="3054"/>
        <item x="1837"/>
        <item x="1842"/>
        <item x="3053"/>
        <item x="1868"/>
        <item x="922"/>
        <item m="1" x="3973"/>
        <item m="1" x="4025"/>
        <item x="937"/>
        <item m="1" x="4027"/>
        <item x="934"/>
        <item x="191"/>
        <item m="1" x="3879"/>
        <item x="947"/>
        <item x="1866"/>
        <item x="195"/>
        <item x="948"/>
        <item x="1864"/>
        <item x="190"/>
        <item m="1" x="3971"/>
        <item x="1853"/>
        <item x="943"/>
        <item x="194"/>
        <item x="196"/>
        <item x="2941"/>
        <item x="3116"/>
        <item x="3263"/>
        <item x="2797"/>
        <item x="227"/>
        <item x="2062"/>
        <item x="3133"/>
        <item x="223"/>
        <item x="2802"/>
        <item x="1054"/>
        <item x="2058"/>
        <item x="3123"/>
        <item x="3257"/>
        <item x="221"/>
        <item x="1046"/>
        <item x="1049"/>
        <item x="220"/>
        <item x="224"/>
        <item x="1036"/>
        <item x="3266"/>
        <item x="2786"/>
        <item x="2795"/>
        <item x="3132"/>
        <item x="2996"/>
        <item x="2997"/>
        <item x="2998"/>
        <item x="688"/>
        <item x="2471"/>
        <item x="689"/>
        <item x="690"/>
        <item x="2999"/>
        <item x="82"/>
        <item x="83"/>
        <item x="2472"/>
        <item x="691"/>
        <item x="692"/>
        <item x="1631"/>
        <item x="84"/>
        <item x="1632"/>
        <item x="3000"/>
        <item x="3001"/>
        <item x="3211"/>
        <item x="2484"/>
        <item x="3212"/>
        <item x="2486"/>
        <item x="3214"/>
        <item x="3004"/>
        <item x="3005"/>
        <item x="3008"/>
        <item x="3216"/>
        <item x="3218"/>
        <item x="3219"/>
        <item x="3222"/>
        <item x="3011"/>
        <item x="3225"/>
        <item x="726"/>
        <item x="3227"/>
        <item x="3018"/>
        <item x="3019"/>
        <item x="3228"/>
        <item x="3020"/>
        <item x="1657"/>
        <item x="2514"/>
        <item x="91"/>
        <item x="733"/>
        <item x="2515"/>
        <item x="2516"/>
        <item x="1658"/>
        <item x="92"/>
        <item x="734"/>
        <item x="3021"/>
        <item x="93"/>
        <item x="3022"/>
        <item x="94"/>
        <item x="2517"/>
        <item x="3023"/>
        <item x="95"/>
        <item x="96"/>
        <item x="97"/>
        <item x="98"/>
        <item x="3025"/>
        <item x="99"/>
        <item x="100"/>
        <item x="101"/>
        <item x="735"/>
        <item x="102"/>
        <item x="736"/>
        <item x="103"/>
        <item x="3026"/>
        <item x="2519"/>
        <item x="3027"/>
        <item x="740"/>
        <item x="741"/>
        <item x="742"/>
        <item x="743"/>
        <item x="744"/>
        <item x="2522"/>
        <item x="1660"/>
        <item x="107"/>
        <item x="108"/>
        <item x="109"/>
        <item x="110"/>
        <item x="2523"/>
        <item x="745"/>
        <item x="2524"/>
        <item x="111"/>
        <item x="1661"/>
        <item x="112"/>
        <item x="113"/>
        <item x="746"/>
        <item x="747"/>
        <item x="748"/>
        <item x="749"/>
        <item x="2525"/>
        <item x="750"/>
        <item x="751"/>
        <item x="752"/>
        <item x="1662"/>
        <item x="114"/>
        <item x="115"/>
        <item x="116"/>
        <item m="1" x="4311"/>
        <item m="1" x="4182"/>
        <item x="1068"/>
        <item m="1" x="3508"/>
        <item x="244"/>
        <item m="1" x="3933"/>
        <item x="247"/>
        <item x="1077"/>
        <item m="1" x="4084"/>
        <item x="232"/>
        <item x="249"/>
        <item m="1" x="3974"/>
        <item m="1" x="3934"/>
        <item x="2094"/>
        <item x="3162"/>
        <item x="2151"/>
        <item m="1" x="3986"/>
        <item x="306"/>
        <item m="1" x="3939"/>
        <item x="2153"/>
        <item x="2845"/>
        <item m="1" x="4059"/>
        <item x="307"/>
        <item x="308"/>
        <item m="1" x="4086"/>
        <item x="2851"/>
        <item x="2879"/>
        <item m="1" x="3987"/>
        <item x="2880"/>
        <item m="1" x="3989"/>
        <item m="1" x="3990"/>
        <item m="1" x="3942"/>
        <item m="1" x="4036"/>
        <item x="2881"/>
        <item x="1240"/>
        <item m="1" x="4352"/>
        <item m="1" x="4315"/>
        <item m="1" x="4268"/>
        <item m="1" x="4269"/>
        <item m="1" x="4087"/>
        <item x="1212"/>
        <item x="335"/>
        <item x="554"/>
        <item m="1" x="3945"/>
        <item x="1227"/>
        <item m="1" x="4150"/>
        <item m="1" x="4062"/>
        <item x="19"/>
        <item m="1" x="3946"/>
        <item m="1" x="4197"/>
        <item x="2176"/>
        <item x="28"/>
        <item x="373"/>
        <item m="1" x="3661"/>
        <item x="991"/>
        <item m="1" x="4375"/>
        <item m="1" x="4323"/>
        <item m="1" x="4380"/>
        <item m="1" x="4324"/>
        <item m="1" x="3808"/>
        <item m="1" x="3809"/>
        <item m="1" x="3807"/>
        <item m="1" x="3806"/>
        <item x="1320"/>
        <item x="1321"/>
        <item x="1322"/>
        <item x="1323"/>
        <item x="1324"/>
        <item x="1325"/>
        <item x="2903"/>
        <item x="1326"/>
        <item x="403"/>
        <item x="1327"/>
        <item x="404"/>
        <item x="2254"/>
        <item x="1328"/>
        <item x="1329"/>
        <item x="1330"/>
        <item x="2904"/>
        <item x="1331"/>
        <item x="1332"/>
        <item x="2905"/>
        <item x="2255"/>
        <item x="3172"/>
        <item x="1333"/>
        <item x="405"/>
        <item x="406"/>
        <item x="407"/>
        <item x="1334"/>
        <item x="1335"/>
        <item x="1336"/>
        <item x="1337"/>
        <item x="2906"/>
        <item x="2256"/>
        <item x="408"/>
        <item x="409"/>
        <item x="3173"/>
        <item x="410"/>
        <item x="2257"/>
        <item x="2258"/>
        <item x="2907"/>
        <item x="411"/>
        <item x="1338"/>
        <item x="412"/>
        <item x="1339"/>
        <item x="1340"/>
        <item x="413"/>
        <item x="1341"/>
        <item x="414"/>
        <item x="415"/>
        <item x="416"/>
        <item x="417"/>
        <item x="1342"/>
        <item x="2259"/>
        <item x="2260"/>
        <item x="1343"/>
        <item x="1344"/>
        <item x="1345"/>
        <item x="2261"/>
        <item x="418"/>
        <item x="419"/>
        <item x="420"/>
        <item x="1346"/>
        <item x="421"/>
        <item x="2262"/>
        <item x="2263"/>
        <item x="2264"/>
        <item x="2265"/>
        <item x="2266"/>
        <item x="2267"/>
        <item x="1348"/>
        <item x="1349"/>
        <item x="1350"/>
        <item x="1351"/>
        <item x="1352"/>
        <item x="2268"/>
        <item x="1353"/>
        <item x="1354"/>
        <item x="1355"/>
        <item x="1356"/>
        <item x="422"/>
        <item x="1357"/>
        <item x="1358"/>
        <item x="2269"/>
        <item x="2270"/>
        <item x="1359"/>
        <item x="1360"/>
        <item x="2908"/>
        <item x="1361"/>
        <item x="1362"/>
        <item x="2271"/>
        <item x="423"/>
        <item x="1363"/>
        <item x="1364"/>
        <item x="2272"/>
        <item x="1365"/>
        <item x="2273"/>
        <item x="2274"/>
        <item x="425"/>
        <item x="426"/>
        <item x="427"/>
        <item x="35"/>
        <item x="2909"/>
        <item x="1366"/>
        <item x="428"/>
        <item x="2910"/>
        <item x="2275"/>
        <item x="1367"/>
        <item x="1368"/>
        <item x="1369"/>
        <item x="1370"/>
        <item x="429"/>
        <item x="430"/>
        <item x="431"/>
        <item x="1371"/>
        <item x="2276"/>
        <item x="2911"/>
        <item x="432"/>
        <item x="2912"/>
        <item x="2913"/>
        <item x="2914"/>
        <item x="2915"/>
        <item x="2277"/>
        <item x="2278"/>
        <item x="1372"/>
        <item x="1373"/>
        <item x="1374"/>
        <item x="1375"/>
        <item x="1376"/>
        <item x="2916"/>
        <item x="2279"/>
        <item x="1377"/>
        <item x="1378"/>
        <item x="2918"/>
        <item x="2919"/>
        <item x="433"/>
        <item x="434"/>
        <item x="1379"/>
        <item x="435"/>
        <item x="1380"/>
        <item x="436"/>
        <item x="1381"/>
        <item x="1382"/>
        <item x="37"/>
        <item x="2920"/>
        <item x="2921"/>
        <item x="437"/>
        <item x="1385"/>
        <item x="438"/>
        <item x="2280"/>
        <item x="1386"/>
        <item x="2282"/>
        <item x="1387"/>
        <item x="1388"/>
        <item x="1389"/>
        <item x="440"/>
        <item x="1390"/>
        <item x="2922"/>
        <item x="441"/>
        <item x="2283"/>
        <item x="2284"/>
        <item x="2285"/>
        <item x="2932"/>
        <item x="462"/>
        <item x="463"/>
        <item x="464"/>
        <item x="465"/>
        <item x="46"/>
        <item x="47"/>
        <item m="1" x="4327"/>
        <item m="1" x="4283"/>
        <item m="1" x="4158"/>
        <item m="1" x="4210"/>
        <item m="1" x="4211"/>
        <item x="1425"/>
        <item m="1" x="4329"/>
        <item m="1" x="4256"/>
        <item x="680"/>
        <item m="1" x="4007"/>
        <item m="1" x="4008"/>
        <item x="480"/>
        <item m="1" x="3737"/>
        <item m="1" x="4111"/>
        <item m="1" x="3738"/>
        <item m="1" x="3958"/>
        <item x="1433"/>
        <item x="1456"/>
        <item x="1457"/>
        <item x="1458"/>
        <item x="2340"/>
        <item m="1" x="3741"/>
        <item x="3188"/>
        <item m="1" x="4242"/>
        <item m="1" x="4243"/>
        <item x="1623"/>
        <item m="1" x="4245"/>
        <item m="1" x="4388"/>
        <item m="1" x="4246"/>
        <item m="1" x="4247"/>
        <item m="1" x="3755"/>
        <item m="1" x="4389"/>
        <item m="1" x="4390"/>
        <item m="1" x="4391"/>
        <item m="1" x="3759"/>
        <item x="543"/>
        <item x="546"/>
        <item m="1" x="3761"/>
        <item x="2377"/>
        <item x="2370"/>
        <item x="553"/>
        <item x="2438"/>
        <item x="2439"/>
        <item x="1598"/>
        <item x="753"/>
        <item x="117"/>
        <item x="754"/>
        <item x="118"/>
        <item x="2543"/>
        <item x="1690"/>
        <item m="1" x="4125"/>
        <item m="1" x="3833"/>
        <item x="1691"/>
        <item x="800"/>
        <item x="1718"/>
        <item x="1704"/>
        <item x="3038"/>
        <item x="789"/>
        <item x="792"/>
        <item m="1" x="3846"/>
        <item m="1" x="3847"/>
        <item m="1" x="3848"/>
        <item m="1" x="3845"/>
        <item x="1788"/>
        <item x="866"/>
        <item x="157"/>
        <item x="3474"/>
        <item x="3438"/>
        <item x="3439"/>
        <item x="3440"/>
        <item x="3441"/>
        <item x="3442"/>
        <item x="3500"/>
        <item x="3444"/>
        <item x="3445"/>
        <item x="3446"/>
        <item x="3447"/>
        <item x="1804"/>
        <item x="1805"/>
        <item x="1806"/>
        <item x="3448"/>
        <item x="1807"/>
        <item x="878"/>
        <item x="1808"/>
        <item x="1831"/>
        <item x="1832"/>
        <item x="1830"/>
        <item x="910"/>
        <item x="909"/>
        <item m="1" x="3913"/>
        <item x="1895"/>
        <item x="2664"/>
        <item x="1905"/>
        <item x="2668"/>
        <item x="3060"/>
        <item x="2669"/>
        <item x="974"/>
        <item x="2672"/>
        <item x="1906"/>
        <item x="2673"/>
        <item x="2674"/>
        <item x="1908"/>
        <item x="1909"/>
        <item x="2675"/>
        <item x="2676"/>
        <item x="1977"/>
        <item x="3083"/>
        <item m="1" x="4054"/>
        <item x="2722"/>
        <item x="1988"/>
        <item x="2736"/>
        <item x="2004"/>
        <item x="2741"/>
        <item x="1015"/>
        <item m="1" x="4223"/>
        <item x="3097"/>
        <item x="3098"/>
        <item x="2030"/>
        <item x="2031"/>
        <item x="207"/>
        <item x="2032"/>
        <item x="2039"/>
        <item x="3111"/>
        <item x="2046"/>
        <item m="1" x="4379"/>
        <item x="3112"/>
        <item x="1031"/>
        <item x="1039"/>
        <item x="2780"/>
        <item x="2804"/>
        <item x="216"/>
        <item x="1051"/>
        <item x="2777"/>
        <item x="3118"/>
        <item x="2066"/>
        <item x="2065"/>
        <item x="217"/>
        <item x="2815"/>
        <item x="1035"/>
        <item x="3139"/>
        <item x="3131"/>
        <item x="2063"/>
        <item x="2799"/>
        <item x="3254"/>
        <item x="3117"/>
        <item x="3126"/>
        <item x="1040"/>
        <item x="3120"/>
        <item x="1045"/>
        <item x="2055"/>
        <item x="2796"/>
        <item x="2800"/>
        <item x="2067"/>
        <item x="2798"/>
        <item x="1047"/>
        <item x="2772"/>
        <item x="3127"/>
        <item x="2792"/>
        <item x="2073"/>
        <item x="3125"/>
        <item x="2060"/>
        <item x="1048"/>
        <item x="2791"/>
        <item x="3256"/>
        <item x="65"/>
        <item x="67"/>
        <item x="70"/>
        <item m="1" x="3931"/>
        <item x="188"/>
        <item x="197"/>
        <item m="1" x="3528"/>
        <item m="1" x="3569"/>
        <item m="1" x="3628"/>
        <item m="1" x="4271"/>
        <item m="1" x="4104"/>
        <item m="1" x="4272"/>
        <item m="1" x="4273"/>
        <item m="1" x="4105"/>
        <item x="571"/>
        <item x="1509"/>
        <item m="1" x="3768"/>
        <item x="576"/>
        <item x="577"/>
        <item x="578"/>
        <item x="580"/>
        <item m="1" x="3770"/>
        <item x="583"/>
        <item x="584"/>
        <item x="587"/>
        <item x="588"/>
        <item x="3327"/>
        <item x="589"/>
        <item x="1532"/>
        <item x="592"/>
        <item x="595"/>
        <item x="596"/>
        <item x="597"/>
        <item x="1510"/>
        <item x="2383"/>
        <item x="603"/>
        <item x="1544"/>
        <item x="604"/>
        <item x="605"/>
        <item x="606"/>
        <item x="607"/>
        <item x="608"/>
        <item m="1" x="3783"/>
        <item m="1" x="3784"/>
        <item m="1" x="3785"/>
        <item m="1" x="4304"/>
        <item m="1" x="4126"/>
        <item x="923"/>
        <item m="1" x="3970"/>
        <item m="1" x="3881"/>
        <item x="931"/>
        <item x="932"/>
        <item x="939"/>
        <item x="950"/>
        <item x="952"/>
        <item x="1873"/>
        <item x="956"/>
        <item x="949"/>
        <item m="1" x="3567"/>
        <item m="1" x="3568"/>
        <item m="1" x="3582"/>
        <item m="1" x="3584"/>
        <item x="1848"/>
        <item m="1" x="4152"/>
        <item x="1505"/>
        <item x="2385"/>
        <item x="1512"/>
        <item x="1513"/>
        <item x="1515"/>
        <item x="1518"/>
        <item x="1519"/>
        <item m="1" x="4012"/>
        <item x="1521"/>
        <item m="1" x="3774"/>
        <item x="1523"/>
        <item x="1527"/>
        <item x="1528"/>
        <item x="1529"/>
        <item x="1530"/>
        <item x="1531"/>
        <item x="1533"/>
        <item x="1534"/>
        <item x="1535"/>
        <item m="1" x="4218"/>
        <item x="1536"/>
        <item x="1538"/>
        <item x="1539"/>
        <item x="2079"/>
        <item x="1540"/>
        <item x="1542"/>
        <item x="1548"/>
        <item x="2435"/>
        <item x="1552"/>
        <item x="1554"/>
        <item m="1" x="3786"/>
        <item m="1" x="3787"/>
        <item m="1" x="3788"/>
        <item x="1855"/>
        <item x="1860"/>
        <item x="1863"/>
        <item x="1867"/>
        <item m="1" x="3884"/>
        <item m="1" x="3591"/>
        <item m="1" x="3592"/>
        <item m="1" x="3593"/>
        <item m="1" x="3599"/>
        <item m="1" x="4356"/>
        <item m="1" x="4199"/>
        <item m="1" x="4198"/>
        <item x="2374"/>
        <item x="2379"/>
        <item x="2380"/>
        <item x="2363"/>
        <item x="2381"/>
        <item x="2382"/>
        <item x="2384"/>
        <item x="2387"/>
        <item x="2388"/>
        <item x="2389"/>
        <item x="2391"/>
        <item x="2223"/>
        <item x="2393"/>
        <item x="2394"/>
        <item x="2398"/>
        <item x="2399"/>
        <item x="2400"/>
        <item x="2402"/>
        <item x="2405"/>
        <item x="2406"/>
        <item x="2407"/>
        <item x="2408"/>
        <item x="2410"/>
        <item x="2411"/>
        <item x="2412"/>
        <item x="2413"/>
        <item x="2415"/>
        <item x="2416"/>
        <item x="2417"/>
        <item x="2418"/>
        <item x="2420"/>
        <item x="2421"/>
        <item x="2424"/>
        <item x="2425"/>
        <item x="2426"/>
        <item x="2427"/>
        <item x="2428"/>
        <item x="2432"/>
        <item x="2434"/>
        <item x="2436"/>
        <item m="1" x="3791"/>
        <item m="1" x="3792"/>
        <item m="1" x="3793"/>
        <item m="1" x="3794"/>
        <item m="1" x="4220"/>
        <item x="2641"/>
        <item x="2642"/>
        <item x="2646"/>
        <item x="2647"/>
        <item m="1" x="3606"/>
        <item m="1" x="4372"/>
        <item m="1" x="4373"/>
        <item m="1" x="4374"/>
        <item x="2966"/>
        <item x="2969"/>
        <item x="2970"/>
        <item x="2971"/>
        <item x="2972"/>
        <item x="2973"/>
        <item x="2974"/>
        <item x="2975"/>
        <item x="3201"/>
        <item x="3202"/>
        <item x="3203"/>
        <item x="3205"/>
        <item x="3206"/>
        <item m="1" x="3796"/>
        <item x="3323"/>
        <item x="3329"/>
        <item x="3330"/>
        <item m="1" x="3917"/>
        <item m="1" x="3507"/>
        <item x="16"/>
        <item m="1" x="3612"/>
        <item x="347"/>
        <item x="348"/>
        <item m="1" x="3636"/>
        <item m="1" x="3922"/>
        <item x="3190"/>
        <item x="66"/>
        <item x="756"/>
        <item x="119"/>
        <item x="120"/>
        <item x="761"/>
        <item x="151"/>
        <item x="158"/>
        <item x="159"/>
        <item x="160"/>
        <item x="161"/>
        <item x="178"/>
        <item m="1" x="3851"/>
        <item m="1" x="4095"/>
        <item x="215"/>
        <item x="218"/>
        <item x="219"/>
        <item x="225"/>
        <item x="226"/>
        <item x="245"/>
        <item x="237"/>
        <item m="1" x="4096"/>
        <item x="251"/>
        <item x="310"/>
        <item x="311"/>
        <item x="312"/>
        <item x="313"/>
        <item x="314"/>
        <item x="1243"/>
        <item x="345"/>
        <item x="346"/>
        <item m="1" x="3629"/>
        <item x="374"/>
        <item x="1057"/>
        <item x="424"/>
        <item x="466"/>
        <item x="350"/>
        <item x="475"/>
        <item x="476"/>
        <item m="1" x="3959"/>
        <item m="1" x="3960"/>
        <item m="1" x="3961"/>
        <item x="499"/>
        <item x="515"/>
        <item x="500"/>
        <item x="3191"/>
        <item x="3192"/>
        <item x="3194"/>
        <item x="3195"/>
        <item x="532"/>
        <item x="534"/>
        <item x="536"/>
        <item x="547"/>
        <item x="549"/>
        <item x="551"/>
        <item x="555"/>
        <item x="564"/>
        <item m="1" x="4120"/>
        <item x="590"/>
        <item x="651"/>
        <item x="652"/>
        <item x="653"/>
        <item x="676"/>
        <item x="755"/>
        <item x="757"/>
        <item x="758"/>
        <item x="759"/>
        <item x="760"/>
        <item x="762"/>
        <item x="805"/>
        <item x="786"/>
        <item x="816"/>
        <item x="799"/>
        <item x="867"/>
        <item x="868"/>
        <item x="869"/>
        <item x="870"/>
        <item x="3480"/>
        <item m="1" x="4127"/>
        <item x="938"/>
        <item m="1" x="3882"/>
        <item m="1" x="4128"/>
        <item m="1" x="4129"/>
        <item m="1" x="4130"/>
        <item m="1" x="4131"/>
        <item x="969"/>
        <item x="975"/>
        <item x="976"/>
        <item x="977"/>
        <item x="978"/>
        <item x="979"/>
        <item x="1032"/>
        <item x="2051"/>
        <item x="2071"/>
        <item x="1037"/>
        <item x="2075"/>
        <item x="1042"/>
        <item x="1043"/>
        <item x="1044"/>
        <item x="1050"/>
        <item x="1053"/>
        <item m="1" x="3975"/>
        <item x="1062"/>
        <item x="1078"/>
        <item m="1" x="4133"/>
        <item m="1" x="3983"/>
        <item m="1" x="3617"/>
        <item m="1" x="3618"/>
        <item x="1169"/>
        <item m="1" x="3984"/>
        <item x="1170"/>
        <item x="1171"/>
        <item m="1" x="3619"/>
        <item x="1241"/>
        <item x="1242"/>
        <item x="1245"/>
        <item x="1246"/>
        <item x="1248"/>
        <item x="2204"/>
        <item x="1250"/>
        <item x="1251"/>
        <item x="1252"/>
        <item x="1253"/>
        <item x="1307"/>
        <item x="1424"/>
        <item x="1426"/>
        <item m="1" x="4009"/>
        <item m="1" x="4010"/>
        <item x="1454"/>
        <item x="1459"/>
        <item x="1460"/>
        <item x="1461"/>
        <item x="1462"/>
        <item x="3193"/>
        <item x="1473"/>
        <item m="1" x="4167"/>
        <item x="1476"/>
        <item x="1477"/>
        <item x="1478"/>
        <item x="1481"/>
        <item x="1501"/>
        <item x="1525"/>
        <item x="1601"/>
        <item x="1602"/>
        <item x="1606"/>
        <item x="1607"/>
        <item x="1663"/>
        <item x="1664"/>
        <item x="1694"/>
        <item x="1699"/>
        <item x="1721"/>
        <item x="1698"/>
        <item x="1726"/>
        <item x="1725"/>
        <item x="1789"/>
        <item m="1" x="4177"/>
        <item x="1790"/>
        <item x="1791"/>
        <item x="1809"/>
        <item x="1810"/>
        <item x="1811"/>
        <item x="1812"/>
        <item x="1813"/>
        <item x="1814"/>
        <item x="1815"/>
        <item x="1816"/>
        <item x="3495"/>
        <item x="1817"/>
        <item x="1836"/>
        <item m="1" x="4179"/>
        <item x="1865"/>
        <item m="1" x="4180"/>
        <item m="1" x="4181"/>
        <item x="1896"/>
        <item x="1912"/>
        <item x="1913"/>
        <item x="1914"/>
        <item x="1918"/>
        <item x="1919"/>
        <item x="1920"/>
        <item x="1921"/>
        <item x="1922"/>
        <item x="1979"/>
        <item x="2033"/>
        <item x="2056"/>
        <item x="2064"/>
        <item x="2068"/>
        <item x="2070"/>
        <item x="2072"/>
        <item x="2074"/>
        <item x="2089"/>
        <item m="1" x="4184"/>
        <item m="1" x="4033"/>
        <item x="2155"/>
        <item x="2156"/>
        <item m="1" x="3620"/>
        <item x="2201"/>
        <item x="2202"/>
        <item x="2203"/>
        <item x="2205"/>
        <item x="2206"/>
        <item x="2207"/>
        <item x="2694"/>
        <item m="1" x="4207"/>
        <item x="2329"/>
        <item x="2330"/>
        <item m="1" x="4045"/>
        <item x="2338"/>
        <item x="2341"/>
        <item x="2352"/>
        <item x="2353"/>
        <item x="2354"/>
        <item x="3196"/>
        <item x="2360"/>
        <item x="2361"/>
        <item x="2369"/>
        <item m="1" x="3764"/>
        <item x="2375"/>
        <item x="2404"/>
        <item x="2433"/>
        <item x="2448"/>
        <item x="2451"/>
        <item x="2452"/>
        <item x="2453"/>
        <item x="2454"/>
        <item m="1" x="4219"/>
        <item x="2526"/>
        <item x="2527"/>
        <item x="2563"/>
        <item x="2551"/>
        <item x="2561"/>
        <item x="2562"/>
        <item x="2553"/>
        <item x="2607"/>
        <item x="2608"/>
        <item x="2619"/>
        <item x="2620"/>
        <item x="3476"/>
        <item x="2621"/>
        <item x="2623"/>
        <item x="2634"/>
        <item x="2665"/>
        <item x="2678"/>
        <item x="2679"/>
        <item x="2681"/>
        <item x="2682"/>
        <item x="2683"/>
        <item x="2684"/>
        <item x="2685"/>
        <item x="2767"/>
        <item x="3122"/>
        <item x="2775"/>
        <item x="2776"/>
        <item x="2779"/>
        <item x="3128"/>
        <item x="2781"/>
        <item x="2783"/>
        <item x="2784"/>
        <item x="2788"/>
        <item x="2789"/>
        <item x="2790"/>
        <item x="2793"/>
        <item x="2806"/>
        <item x="2830"/>
        <item x="2847"/>
        <item x="2882"/>
        <item x="1247"/>
        <item m="1" x="3701"/>
        <item m="1" x="4229"/>
        <item m="1" x="4069"/>
        <item x="2953"/>
        <item m="1" x="3765"/>
        <item m="1" x="3766"/>
        <item x="2977"/>
        <item m="1" x="4071"/>
        <item x="2985"/>
        <item x="2986"/>
        <item x="2987"/>
        <item x="3024"/>
        <item x="3050"/>
        <item x="3062"/>
        <item x="3065"/>
        <item x="3066"/>
        <item x="3067"/>
        <item x="3108"/>
        <item x="3109"/>
        <item x="2992"/>
        <item x="3114"/>
        <item x="3115"/>
        <item x="3119"/>
        <item x="3121"/>
        <item x="3130"/>
        <item x="3134"/>
        <item x="3135"/>
        <item x="3137"/>
        <item x="3138"/>
        <item x="3140"/>
        <item x="3141"/>
        <item x="3142"/>
        <item x="3143"/>
        <item x="3144"/>
        <item x="236"/>
        <item x="3204"/>
        <item x="3177"/>
        <item x="3176"/>
        <item x="3179"/>
        <item x="3199"/>
        <item x="3207"/>
        <item x="3208"/>
        <item x="3248"/>
        <item m="1" x="4072"/>
        <item x="3255"/>
        <item x="3258"/>
        <item x="3259"/>
        <item x="3260"/>
        <item x="3262"/>
        <item x="3265"/>
        <item x="1963"/>
        <item x="3181"/>
        <item x="3449"/>
        <item x="3450"/>
        <item x="3479"/>
        <item x="3451"/>
        <item x="3452"/>
        <item x="3453"/>
        <item x="3473"/>
        <item x="3454"/>
        <item x="3455"/>
        <item x="3456"/>
        <item x="3484"/>
        <item x="3457"/>
        <item x="3458"/>
        <item x="3459"/>
        <item x="2"/>
        <item x="1"/>
        <item x="6"/>
        <item m="1" x="3919"/>
        <item x="22"/>
        <item x="29"/>
        <item x="40"/>
        <item x="52"/>
        <item x="55"/>
        <item x="56"/>
        <item x="61"/>
        <item m="1" x="3758"/>
        <item x="62"/>
        <item x="121"/>
        <item x="122"/>
        <item x="123"/>
        <item x="124"/>
        <item x="125"/>
        <item x="126"/>
        <item x="127"/>
        <item x="128"/>
        <item x="149"/>
        <item x="162"/>
        <item x="990"/>
        <item x="208"/>
        <item x="211"/>
        <item x="228"/>
        <item m="1" x="3509"/>
        <item x="246"/>
        <item x="257"/>
        <item x="242"/>
        <item x="238"/>
        <item x="250"/>
        <item x="1073"/>
        <item x="235"/>
        <item x="240"/>
        <item m="1" x="3936"/>
        <item m="1" x="3937"/>
        <item m="1" x="3938"/>
        <item x="316"/>
        <item x="315"/>
        <item x="352"/>
        <item x="370"/>
        <item x="391"/>
        <item x="392"/>
        <item x="394"/>
        <item x="395"/>
        <item x="467"/>
        <item x="513"/>
        <item x="514"/>
        <item x="522"/>
        <item x="523"/>
        <item x="524"/>
        <item x="525"/>
        <item x="527"/>
        <item x="3186"/>
        <item x="563"/>
        <item x="539"/>
        <item x="559"/>
        <item x="654"/>
        <item x="655"/>
        <item x="656"/>
        <item x="574"/>
        <item x="585"/>
        <item x="591"/>
        <item x="1594"/>
        <item x="669"/>
        <item x="763"/>
        <item x="764"/>
        <item x="765"/>
        <item x="766"/>
        <item x="767"/>
        <item x="768"/>
        <item x="790"/>
        <item x="1706"/>
        <item x="804"/>
        <item x="787"/>
        <item x="797"/>
        <item x="871"/>
        <item x="872"/>
        <item x="3346"/>
        <item x="3397"/>
        <item x="879"/>
        <item x="3462"/>
        <item x="3466"/>
        <item x="3468"/>
        <item x="3470"/>
        <item x="911"/>
        <item x="970"/>
        <item x="983"/>
        <item x="986"/>
        <item x="987"/>
        <item x="989"/>
        <item x="1014"/>
        <item x="1056"/>
        <item x="1058"/>
        <item x="1072"/>
        <item x="1069"/>
        <item x="1070"/>
        <item x="1074"/>
        <item x="1063"/>
        <item m="1" x="3980"/>
        <item m="1" x="3981"/>
        <item m="1" x="3982"/>
        <item x="1175"/>
        <item x="1172"/>
        <item x="1173"/>
        <item x="1174"/>
        <item x="1254"/>
        <item x="1255"/>
        <item x="1288"/>
        <item m="1" x="3633"/>
        <item m="1" x="3646"/>
        <item m="1" x="3991"/>
        <item m="1" x="3992"/>
        <item m="1" x="3647"/>
        <item x="1304"/>
        <item x="1309"/>
        <item x="1310"/>
        <item x="1311"/>
        <item x="1312"/>
        <item m="1" x="3810"/>
        <item m="1" x="3811"/>
        <item x="1427"/>
        <item x="1595"/>
        <item x="1465"/>
        <item x="1466"/>
        <item x="1467"/>
        <item x="1468"/>
        <item x="3184"/>
        <item x="3187"/>
        <item x="1482"/>
        <item x="1504"/>
        <item x="1488"/>
        <item x="1492"/>
        <item x="1503"/>
        <item x="1502"/>
        <item x="1484"/>
        <item x="1516"/>
        <item x="1526"/>
        <item x="1541"/>
        <item x="1543"/>
        <item x="1608"/>
        <item x="1610"/>
        <item x="1665"/>
        <item x="1666"/>
        <item x="1667"/>
        <item x="1668"/>
        <item x="1669"/>
        <item x="1670"/>
        <item x="1671"/>
        <item x="1724"/>
        <item x="1692"/>
        <item x="1712"/>
        <item x="1713"/>
        <item x="1697"/>
        <item x="1792"/>
        <item x="1793"/>
        <item x="1818"/>
        <item x="3460"/>
        <item x="3465"/>
        <item x="3467"/>
        <item m="1" x="3862"/>
        <item x="1929"/>
        <item x="1932"/>
        <item x="1935"/>
        <item x="1936"/>
        <item x="1937"/>
        <item x="1939"/>
        <item x="1941"/>
        <item x="1944"/>
        <item x="1947"/>
        <item x="1948"/>
        <item x="1978"/>
        <item x="1994"/>
        <item x="2016"/>
        <item x="2034"/>
        <item x="2035"/>
        <item x="2041"/>
        <item x="2076"/>
        <item x="2077"/>
        <item x="2078"/>
        <item x="2080"/>
        <item x="255"/>
        <item m="1" x="4030"/>
        <item x="2210"/>
        <item x="2211"/>
        <item x="2212"/>
        <item x="2213"/>
        <item x="2214"/>
        <item x="2215"/>
        <item m="1" x="3651"/>
        <item m="1" x="3652"/>
        <item x="2246"/>
        <item x="2249"/>
        <item x="2331"/>
        <item x="2355"/>
        <item x="2956"/>
        <item x="2357"/>
        <item x="3183"/>
        <item x="2371"/>
        <item x="2372"/>
        <item x="2373"/>
        <item x="2364"/>
        <item x="2959"/>
        <item x="2401"/>
        <item x="2409"/>
        <item x="2419"/>
        <item x="2422"/>
        <item x="2457"/>
        <item x="2458"/>
        <item x="2555"/>
        <item x="2554"/>
        <item x="2549"/>
        <item x="2550"/>
        <item x="2610"/>
        <item x="2611"/>
        <item x="2622"/>
        <item x="3463"/>
        <item x="3469"/>
        <item m="1" x="3865"/>
        <item x="2698"/>
        <item x="2699"/>
        <item x="2700"/>
        <item x="2702"/>
        <item x="2745"/>
        <item x="2747"/>
        <item x="2761"/>
        <item x="2807"/>
        <item x="3150"/>
        <item x="2808"/>
        <item x="2809"/>
        <item x="2817"/>
        <item x="2816"/>
        <item m="1" x="4058"/>
        <item x="2849"/>
        <item x="2848"/>
        <item x="2883"/>
        <item x="2900"/>
        <item x="2954"/>
        <item x="3182"/>
        <item x="2960"/>
        <item x="2964"/>
        <item x="2968"/>
        <item x="3464"/>
        <item x="3070"/>
        <item x="3086"/>
        <item x="3145"/>
        <item x="3146"/>
        <item x="3147"/>
        <item x="3148"/>
        <item x="3149"/>
        <item x="3158"/>
        <item x="3198"/>
        <item x="3461"/>
        <item x="3267"/>
        <item x="3268"/>
        <item x="3185"/>
        <item x="3189"/>
        <item x="0"/>
        <item x="239"/>
        <item x="241"/>
        <item x="1067"/>
        <item x="1076"/>
        <item x="2091"/>
        <item x="2092"/>
        <item x="2097"/>
        <item x="2098"/>
        <item x="1082"/>
        <item x="2099"/>
        <item x="2818"/>
        <item x="260"/>
        <item x="2100"/>
        <item x="1083"/>
        <item x="2819"/>
        <item x="261"/>
        <item x="2101"/>
        <item x="2102"/>
        <item x="262"/>
        <item x="1084"/>
        <item x="1085"/>
        <item x="1086"/>
        <item x="1087"/>
        <item x="1088"/>
        <item x="1089"/>
        <item x="1090"/>
        <item x="2103"/>
        <item x="2820"/>
        <item x="2104"/>
        <item x="2105"/>
        <item x="2106"/>
        <item x="263"/>
        <item x="2821"/>
        <item x="2107"/>
        <item x="264"/>
        <item x="2108"/>
        <item x="1091"/>
        <item x="1092"/>
        <item x="1093"/>
        <item x="1094"/>
        <item x="1095"/>
        <item x="1096"/>
        <item x="1097"/>
        <item x="1098"/>
        <item x="2822"/>
        <item x="1099"/>
        <item x="265"/>
        <item x="1100"/>
        <item x="1101"/>
        <item x="266"/>
        <item x="2823"/>
        <item x="268"/>
        <item x="269"/>
        <item x="1102"/>
        <item x="2109"/>
        <item x="270"/>
        <item x="7"/>
        <item x="1103"/>
        <item x="271"/>
        <item x="2110"/>
        <item x="1105"/>
        <item x="1106"/>
        <item x="2111"/>
        <item x="272"/>
        <item x="273"/>
        <item x="1111"/>
        <item x="275"/>
        <item x="276"/>
        <item x="1112"/>
        <item x="1113"/>
        <item x="277"/>
        <item x="278"/>
        <item x="1114"/>
        <item x="1115"/>
        <item x="1116"/>
        <item x="1117"/>
        <item x="279"/>
        <item x="1118"/>
        <item x="1119"/>
        <item x="1120"/>
        <item x="280"/>
        <item x="1121"/>
        <item x="8"/>
        <item x="9"/>
        <item x="2112"/>
        <item x="1122"/>
        <item x="281"/>
        <item x="1127"/>
        <item x="1128"/>
        <item x="2828"/>
        <item x="1129"/>
        <item x="1130"/>
        <item x="284"/>
        <item x="285"/>
        <item x="1131"/>
        <item x="286"/>
        <item x="2113"/>
        <item x="2829"/>
        <item x="1132"/>
        <item x="1133"/>
        <item x="287"/>
        <item x="1134"/>
        <item x="3273"/>
        <item x="2115"/>
        <item x="288"/>
        <item x="2116"/>
        <item x="289"/>
        <item x="290"/>
        <item x="1135"/>
        <item x="2117"/>
        <item x="2118"/>
        <item x="291"/>
        <item x="2119"/>
        <item x="292"/>
        <item x="1136"/>
        <item x="2120"/>
        <item x="1139"/>
        <item m="1" x="3514"/>
        <item m="1" x="3563"/>
        <item m="1" x="3589"/>
        <item m="1" x="3590"/>
        <item m="1" x="3564"/>
        <item m="1" x="3565"/>
        <item m="1" x="3526"/>
        <item m="1" x="3527"/>
        <item m="1" x="3566"/>
        <item m="1" x="3535"/>
        <item m="1" x="3536"/>
        <item m="1" x="3538"/>
        <item m="1" x="3539"/>
        <item m="1" x="3570"/>
        <item m="1" x="3540"/>
        <item m="1" x="3541"/>
        <item m="1" x="3515"/>
        <item m="1" x="3571"/>
        <item m="1" x="3542"/>
        <item m="1" x="3543"/>
        <item m="1" x="3609"/>
        <item m="1" x="3610"/>
        <item m="1" x="3611"/>
        <item x="2157"/>
        <item x="1177"/>
        <item x="318"/>
        <item x="2158"/>
        <item x="1178"/>
        <item x="1179"/>
        <item x="1180"/>
        <item m="1" x="3622"/>
        <item x="3165"/>
        <item x="2159"/>
        <item x="1181"/>
        <item x="319"/>
        <item x="1182"/>
        <item x="2161"/>
        <item x="320"/>
        <item x="1184"/>
        <item x="1185"/>
        <item x="1187"/>
        <item x="323"/>
        <item x="1190"/>
        <item x="2163"/>
        <item x="1191"/>
        <item x="324"/>
        <item x="1192"/>
        <item x="1193"/>
        <item x="1194"/>
        <item x="2855"/>
        <item x="3167"/>
        <item x="2860"/>
        <item x="1236"/>
        <item x="1237"/>
        <item x="1238"/>
        <item x="1239"/>
        <item x="344"/>
        <item x="2199"/>
        <item x="21"/>
        <item x="3170"/>
        <item x="2216"/>
        <item x="2217"/>
        <item x="2884"/>
        <item x="353"/>
        <item x="1257"/>
        <item x="1258"/>
        <item x="2219"/>
        <item x="1259"/>
        <item x="355"/>
        <item x="356"/>
        <item x="2886"/>
        <item x="357"/>
        <item x="358"/>
        <item x="24"/>
        <item x="1260"/>
        <item x="2887"/>
        <item x="1261"/>
        <item x="1209"/>
        <item x="3274"/>
        <item x="2863"/>
        <item x="1210"/>
        <item x="1219"/>
        <item x="3280"/>
        <item m="1" x="3614"/>
        <item x="2182"/>
        <item x="1223"/>
        <item x="338"/>
        <item x="3281"/>
        <item x="1224"/>
        <item x="1225"/>
        <item x="1214"/>
        <item x="339"/>
        <item x="1231"/>
        <item x="2195"/>
        <item x="2196"/>
        <item x="3276"/>
        <item x="3284"/>
        <item x="2866"/>
        <item x="3285"/>
        <item x="20"/>
        <item x="3286"/>
        <item x="341"/>
        <item x="3277"/>
        <item x="3287"/>
        <item x="3278"/>
        <item x="1234"/>
        <item x="340"/>
        <item x="343"/>
        <item x="3279"/>
        <item m="1" x="3656"/>
        <item m="1" x="3654"/>
        <item m="1" x="3657"/>
        <item x="379"/>
        <item m="1" x="3664"/>
        <item m="1" x="3662"/>
        <item m="1" x="3663"/>
        <item m="1" x="3673"/>
        <item m="1" x="3665"/>
        <item m="1" x="3678"/>
        <item m="1" x="3679"/>
        <item m="1" x="3667"/>
        <item m="1" x="3668"/>
        <item m="1" x="3674"/>
        <item m="1" x="3676"/>
        <item m="1" x="3670"/>
        <item m="1" x="3672"/>
        <item x="2248"/>
        <item x="1313"/>
        <item x="396"/>
        <item x="1314"/>
        <item x="397"/>
        <item x="398"/>
        <item m="1" x="3708"/>
        <item m="1" x="3705"/>
        <item x="445"/>
        <item x="2933"/>
        <item x="1394"/>
        <item x="2934"/>
        <item x="1395"/>
        <item x="2304"/>
        <item x="2935"/>
        <item x="1396"/>
        <item x="446"/>
        <item x="448"/>
        <item x="2317"/>
        <item x="2318"/>
        <item x="1412"/>
        <item m="1" x="3728"/>
        <item x="1428"/>
        <item x="2943"/>
        <item x="2334"/>
        <item x="481"/>
        <item x="1446"/>
        <item x="501"/>
        <item x="1447"/>
        <item x="516"/>
        <item x="517"/>
        <item x="1463"/>
        <item x="518"/>
        <item x="2955"/>
        <item x="1464"/>
        <item m="1" x="3748"/>
        <item m="1" x="3756"/>
        <item x="1471"/>
        <item x="58"/>
        <item x="535"/>
        <item x="59"/>
        <item x="540"/>
        <item x="2962"/>
        <item x="1485"/>
        <item x="556"/>
        <item x="557"/>
        <item x="1496"/>
        <item x="1497"/>
        <item x="561"/>
        <item x="63"/>
        <item x="1500"/>
        <item m="1" x="3763"/>
        <item x="567"/>
        <item x="658"/>
        <item x="1572"/>
        <item x="659"/>
        <item x="660"/>
        <item x="661"/>
        <item x="582"/>
        <item x="3075"/>
        <item x="598"/>
        <item x="601"/>
        <item x="666"/>
        <item x="2449"/>
        <item x="2983"/>
        <item m="1" x="3805"/>
        <item m="1" x="3814"/>
        <item m="1" x="3815"/>
        <item x="1599"/>
        <item x="1600"/>
        <item x="668"/>
        <item x="670"/>
        <item x="1609"/>
        <item x="671"/>
        <item x="1611"/>
        <item x="672"/>
        <item x="1612"/>
        <item m="1" x="3825"/>
        <item x="1613"/>
        <item x="2462"/>
        <item m="1" x="3829"/>
        <item m="1" x="3831"/>
        <item m="1" x="3828"/>
        <item x="769"/>
        <item x="1672"/>
        <item x="770"/>
        <item x="2528"/>
        <item x="129"/>
        <item x="1673"/>
        <item x="1674"/>
        <item x="130"/>
        <item x="131"/>
        <item x="2529"/>
        <item x="132"/>
        <item x="3229"/>
        <item x="133"/>
        <item x="134"/>
        <item x="135"/>
        <item x="771"/>
        <item x="772"/>
        <item x="136"/>
        <item x="137"/>
        <item x="773"/>
        <item x="138"/>
        <item x="2530"/>
        <item x="1675"/>
        <item x="1676"/>
        <item x="774"/>
        <item x="775"/>
        <item x="139"/>
        <item x="776"/>
        <item x="1689"/>
        <item x="3035"/>
        <item x="2545"/>
        <item x="1693"/>
        <item x="2546"/>
        <item x="788"/>
        <item x="793"/>
        <item x="798"/>
        <item x="1708"/>
        <item x="802"/>
        <item x="1710"/>
        <item x="150"/>
        <item x="1717"/>
        <item x="1722"/>
        <item m="1" x="3837"/>
        <item m="1" x="3834"/>
        <item x="1794"/>
        <item x="1795"/>
        <item x="873"/>
        <item x="2613"/>
        <item x="874"/>
        <item x="875"/>
        <item x="876"/>
        <item x="3238"/>
        <item x="877"/>
        <item x="1796"/>
        <item x="1802"/>
        <item x="3472"/>
        <item x="3475"/>
        <item x="3477"/>
        <item x="912"/>
        <item x="2633"/>
        <item x="913"/>
        <item x="914"/>
        <item x="179"/>
        <item x="180"/>
        <item x="919"/>
        <item x="183"/>
        <item x="924"/>
        <item x="186"/>
        <item x="187"/>
        <item x="929"/>
        <item x="189"/>
        <item x="940"/>
        <item m="1" x="3880"/>
        <item x="3504"/>
        <item x="2658"/>
        <item x="1924"/>
        <item x="1925"/>
        <item x="201"/>
        <item x="2686"/>
        <item x="202"/>
        <item x="2687"/>
        <item x="2688"/>
        <item x="1926"/>
        <item x="1927"/>
        <item x="2689"/>
        <item x="1928"/>
        <item x="2690"/>
        <item x="2691"/>
        <item x="3069"/>
        <item x="980"/>
        <item x="981"/>
        <item x="2703"/>
        <item x="1949"/>
        <item x="992"/>
        <item x="1950"/>
        <item x="1951"/>
        <item x="2705"/>
        <item x="1953"/>
        <item x="1954"/>
        <item x="1957"/>
        <item x="1960"/>
        <item x="1961"/>
        <item x="1965"/>
        <item x="3072"/>
        <item x="1966"/>
        <item x="3088"/>
        <item x="2036"/>
        <item x="1024"/>
        <item x="2037"/>
        <item x="2038"/>
        <item x="209"/>
        <item x="3110"/>
        <item x="1033"/>
        <item x="2810"/>
        <item x="2081"/>
        <item x="2811"/>
        <item x="3151"/>
        <item x="2082"/>
        <item x="3269"/>
        <item x="2812"/>
        <item x="3152"/>
        <item x="2084"/>
        <item x="229"/>
        <item x="26"/>
        <item x="364"/>
        <item x="365"/>
        <item x="366"/>
        <item x="367"/>
        <item x="368"/>
        <item x="369"/>
        <item x="1273"/>
        <item x="1274"/>
        <item x="1275"/>
        <item x="1277"/>
        <item x="1278"/>
        <item x="1279"/>
        <item x="1281"/>
        <item x="1283"/>
        <item x="1284"/>
        <item x="1285"/>
        <item x="1286"/>
        <item x="1287"/>
        <item x="1289"/>
        <item x="1290"/>
        <item x="2227"/>
        <item x="2228"/>
        <item x="2230"/>
        <item x="2892"/>
        <item x="2893"/>
        <item x="2902"/>
        <item m="1" x="3648"/>
        <item m="1" x="3649"/>
        <item m="1" x="3653"/>
        <item m="1" x="3716"/>
        <item m="1" x="3717"/>
        <item m="1" x="3718"/>
        <item m="1" x="3719"/>
        <item m="1" x="3720"/>
        <item m="1" x="3721"/>
        <item m="1" x="3722"/>
        <item m="1" x="3723"/>
        <item x="452"/>
        <item x="1405"/>
        <item x="456"/>
        <item x="1400"/>
        <item x="1401"/>
        <item x="1402"/>
        <item x="1403"/>
        <item x="1404"/>
        <item x="1406"/>
        <item x="2305"/>
        <item x="2307"/>
        <item x="2308"/>
        <item x="2309"/>
        <item x="2310"/>
        <item x="2936"/>
        <item x="2937"/>
        <item x="537"/>
        <item x="2958"/>
        <item m="1" x="3789"/>
        <item m="1" x="3790"/>
        <item m="1" x="3842"/>
        <item m="1" x="3843"/>
        <item m="1" x="3844"/>
        <item m="1" x="3887"/>
        <item m="1" x="3888"/>
        <item m="1" x="3889"/>
        <item m="1" x="3890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4"/>
        <item m="1" x="3905"/>
        <item m="1" x="3906"/>
        <item m="1" x="3907"/>
        <item m="1" x="3908"/>
        <item m="1" x="3910"/>
        <item x="2088"/>
        <item x="233"/>
        <item x="1065"/>
        <item x="2090"/>
        <item x="3"/>
        <item x="4"/>
        <item x="243"/>
        <item x="1075"/>
        <item x="248"/>
        <item x="253"/>
        <item x="256"/>
        <item x="1123"/>
        <item x="1124"/>
        <item x="1125"/>
        <item x="10"/>
        <item x="1126"/>
        <item x="2824"/>
        <item x="2825"/>
        <item x="2826"/>
        <item x="2827"/>
        <item x="283"/>
        <item x="1137"/>
        <item x="321"/>
        <item x="2853"/>
        <item x="2854"/>
        <item x="1188"/>
        <item x="1189"/>
        <item x="2164"/>
        <item x="2856"/>
        <item x="2165"/>
        <item x="1195"/>
        <item x="1196"/>
        <item x="2166"/>
        <item x="2857"/>
        <item x="2858"/>
        <item x="2167"/>
        <item x="2168"/>
        <item x="3166"/>
        <item x="2170"/>
        <item x="2171"/>
        <item x="1199"/>
        <item x="326"/>
        <item x="1200"/>
        <item x="1201"/>
        <item x="2859"/>
        <item x="2172"/>
        <item x="327"/>
        <item x="1202"/>
        <item x="1203"/>
        <item x="328"/>
        <item x="1204"/>
        <item x="329"/>
        <item x="2173"/>
        <item x="2861"/>
        <item x="2174"/>
        <item x="2862"/>
        <item x="2175"/>
        <item x="3168"/>
        <item x="1205"/>
        <item x="330"/>
        <item x="1206"/>
        <item x="1207"/>
        <item x="1208"/>
        <item x="1215"/>
        <item x="1216"/>
        <item x="333"/>
        <item x="2869"/>
        <item x="334"/>
        <item x="2875"/>
        <item x="3282"/>
        <item x="2188"/>
        <item x="2189"/>
        <item x="2191"/>
        <item x="3283"/>
        <item x="2208"/>
        <item x="2209"/>
        <item x="349"/>
        <item x="2218"/>
        <item x="1256"/>
        <item x="2885"/>
        <item x="354"/>
        <item x="359"/>
        <item x="2220"/>
        <item x="360"/>
        <item x="1262"/>
        <item x="2221"/>
        <item x="2222"/>
        <item x="1263"/>
        <item x="2224"/>
        <item x="1264"/>
        <item x="1265"/>
        <item x="1266"/>
        <item x="2888"/>
        <item x="2889"/>
        <item x="2890"/>
        <item x="1267"/>
        <item x="1268"/>
        <item x="1269"/>
        <item x="2891"/>
        <item x="371"/>
        <item x="372"/>
        <item x="381"/>
        <item x="1295"/>
        <item x="382"/>
        <item x="383"/>
        <item x="2237"/>
        <item x="2895"/>
        <item x="384"/>
        <item x="385"/>
        <item x="386"/>
        <item x="1296"/>
        <item x="387"/>
        <item x="388"/>
        <item x="393"/>
        <item x="1308"/>
        <item x="2247"/>
        <item x="3171"/>
        <item x="31"/>
        <item x="2251"/>
        <item x="2901"/>
        <item x="1315"/>
        <item x="399"/>
        <item x="2252"/>
        <item x="1316"/>
        <item x="32"/>
        <item x="2253"/>
        <item x="400"/>
        <item x="401"/>
        <item x="1317"/>
        <item x="402"/>
        <item x="33"/>
        <item x="1318"/>
        <item x="1319"/>
        <item x="34"/>
        <item x="41"/>
        <item x="2303"/>
        <item x="449"/>
        <item x="1397"/>
        <item x="450"/>
        <item x="451"/>
        <item x="1398"/>
        <item x="42"/>
        <item x="2306"/>
        <item x="1399"/>
        <item x="453"/>
        <item x="454"/>
        <item x="455"/>
        <item x="2311"/>
        <item x="2312"/>
        <item x="457"/>
        <item x="43"/>
        <item x="2938"/>
        <item x="1407"/>
        <item x="1408"/>
        <item x="1409"/>
        <item x="1410"/>
        <item x="1419"/>
        <item x="2947"/>
        <item x="491"/>
        <item x="2337"/>
        <item x="51"/>
        <item x="519"/>
        <item x="520"/>
        <item x="3200"/>
        <item x="1480"/>
        <item x="541"/>
        <item x="542"/>
        <item x="2365"/>
        <item x="550"/>
        <item x="2368"/>
        <item x="60"/>
        <item x="1487"/>
        <item x="1489"/>
        <item x="1490"/>
        <item x="1493"/>
        <item x="1494"/>
        <item x="1495"/>
        <item x="562"/>
        <item x="565"/>
        <item x="2376"/>
        <item x="64"/>
        <item x="80"/>
        <item x="2460"/>
        <item x="81"/>
        <item x="674"/>
        <item x="675"/>
        <item x="1614"/>
        <item x="1615"/>
        <item x="1616"/>
        <item x="2989"/>
        <item x="1617"/>
        <item x="2463"/>
        <item x="679"/>
        <item x="1619"/>
        <item x="681"/>
        <item x="2464"/>
        <item x="3209"/>
        <item x="1620"/>
        <item x="682"/>
        <item x="2465"/>
        <item x="683"/>
        <item x="3210"/>
        <item x="1621"/>
        <item x="2466"/>
        <item x="2990"/>
        <item x="1624"/>
        <item x="1625"/>
        <item x="684"/>
        <item x="1626"/>
        <item x="685"/>
        <item x="2467"/>
        <item x="686"/>
        <item x="1627"/>
        <item x="2469"/>
        <item x="2993"/>
        <item x="2994"/>
        <item x="687"/>
        <item x="777"/>
        <item x="140"/>
        <item x="141"/>
        <item x="778"/>
        <item x="779"/>
        <item x="142"/>
        <item x="143"/>
        <item x="780"/>
        <item x="1677"/>
        <item x="781"/>
        <item x="782"/>
        <item x="2544"/>
        <item x="1703"/>
        <item x="144"/>
        <item x="146"/>
        <item x="803"/>
        <item x="147"/>
        <item x="1711"/>
        <item x="2559"/>
        <item x="809"/>
        <item x="3048"/>
        <item x="2614"/>
        <item x="1797"/>
        <item x="1798"/>
        <item x="1799"/>
        <item x="1800"/>
        <item x="3374"/>
        <item x="3378"/>
        <item x="3384"/>
        <item x="3385"/>
        <item x="3432"/>
        <item x="3443"/>
        <item x="3478"/>
        <item x="3481"/>
        <item x="3483"/>
        <item x="3485"/>
        <item x="3486"/>
        <item x="3487"/>
        <item x="3488"/>
        <item x="3490"/>
        <item x="3491"/>
        <item x="3492"/>
        <item x="3494"/>
        <item x="3497"/>
        <item x="3498"/>
        <item x="3499"/>
        <item x="3501"/>
        <item x="3502"/>
        <item x="3503"/>
        <item x="883"/>
        <item x="885"/>
        <item x="1835"/>
        <item x="2635"/>
        <item x="1840"/>
        <item x="1843"/>
        <item x="2637"/>
        <item x="182"/>
        <item x="1871"/>
        <item x="3505"/>
        <item x="3506"/>
        <item x="994"/>
        <item x="995"/>
        <item x="996"/>
        <item x="998"/>
        <item x="1968"/>
        <item x="1969"/>
        <item x="999"/>
        <item x="1970"/>
        <item x="2710"/>
        <item x="1000"/>
        <item x="1001"/>
        <item x="1002"/>
        <item x="1003"/>
        <item x="2711"/>
        <item x="203"/>
        <item x="3076"/>
        <item x="1972"/>
        <item x="1004"/>
        <item x="204"/>
        <item x="1973"/>
        <item x="1005"/>
        <item x="1975"/>
        <item x="3079"/>
        <item x="1976"/>
        <item x="1006"/>
        <item x="1981"/>
        <item x="1985"/>
        <item x="1010"/>
        <item x="1998"/>
        <item x="3093"/>
        <item x="2006"/>
        <item x="206"/>
        <item x="2751"/>
        <item x="3103"/>
        <item x="2760"/>
        <item x="2047"/>
        <item x="210"/>
        <item x="2768"/>
        <item x="2769"/>
        <item x="2052"/>
        <item x="212"/>
        <item x="2770"/>
        <item x="2771"/>
        <item x="1034"/>
        <item x="2773"/>
        <item x="2774"/>
        <item x="2053"/>
        <item x="2054"/>
        <item x="1055"/>
        <item x="1059"/>
        <item x="2083"/>
        <item x="230"/>
        <item x="3153"/>
        <item x="231"/>
        <item x="1060"/>
        <item x="3154"/>
        <item x="3155"/>
        <item x="2085"/>
        <item x="3156"/>
        <item x="2813"/>
        <item x="3157"/>
        <item x="2814"/>
        <item x="2086"/>
        <item x="1061"/>
        <item x="3270"/>
        <item x="2087"/>
        <item x="3271"/>
      </items>
    </pivotField>
    <pivotField axis="axisRow" compact="0" outline="0" showAll="0" sortType="ascending" defaultSubtotal="0">
      <items count="8000">
        <item m="1" x="7846"/>
        <item x="1418"/>
        <item m="1" x="6534"/>
        <item m="1" x="7640"/>
        <item x="2233"/>
        <item x="3207"/>
        <item m="1" x="5758"/>
        <item m="1" x="5375"/>
        <item m="1" x="6013"/>
        <item m="1" x="3910"/>
        <item m="1" x="5391"/>
        <item x="2298"/>
        <item m="1" x="5154"/>
        <item x="3202"/>
        <item m="1" x="6648"/>
        <item x="647"/>
        <item x="2297"/>
        <item m="1" x="5122"/>
        <item m="1" x="4569"/>
        <item m="1" x="5128"/>
        <item m="1" x="5928"/>
        <item m="1" x="7471"/>
        <item m="1" x="5185"/>
        <item m="1" x="4562"/>
        <item m="1" x="7434"/>
        <item m="1" x="6559"/>
        <item x="3205"/>
        <item m="1" x="5159"/>
        <item m="1" x="3739"/>
        <item x="3203"/>
        <item m="1" x="5121"/>
        <item m="1" x="7606"/>
        <item m="1" x="6077"/>
        <item x="1334"/>
        <item m="1" x="7501"/>
        <item m="1" x="5100"/>
        <item x="451"/>
        <item m="1" x="7436"/>
        <item x="3204"/>
        <item m="1" x="6379"/>
        <item m="1" x="7683"/>
        <item m="1" x="4617"/>
        <item m="1" x="6489"/>
        <item x="1402"/>
        <item m="1" x="5131"/>
        <item m="1" x="5984"/>
        <item m="1" x="7629"/>
        <item x="2232"/>
        <item m="1" x="7626"/>
        <item m="1" x="7545"/>
        <item x="648"/>
        <item m="1" x="6669"/>
        <item m="1" x="5718"/>
        <item m="1" x="6683"/>
        <item m="1" x="4725"/>
        <item m="1" x="5135"/>
        <item m="1" x="6558"/>
        <item m="1" x="6535"/>
        <item m="1" x="7508"/>
        <item m="1" x="4584"/>
        <item m="1" x="5163"/>
        <item m="1" x="7881"/>
        <item m="1" x="5986"/>
        <item m="1" x="4724"/>
        <item m="1" x="4183"/>
        <item m="1" x="7572"/>
        <item x="3208"/>
        <item m="1" x="5027"/>
        <item m="1" x="6561"/>
        <item m="1" x="7749"/>
        <item x="1210"/>
        <item m="1" x="7764"/>
        <item x="2161"/>
        <item m="1" x="6450"/>
        <item m="1" x="6030"/>
        <item m="1" x="3849"/>
        <item m="1" x="5354"/>
        <item x="1066"/>
        <item x="206"/>
        <item m="1" x="6333"/>
        <item m="1" x="6463"/>
        <item m="1" x="7320"/>
        <item m="1" x="3884"/>
        <item m="1" x="6994"/>
        <item x="1043"/>
        <item x="1678"/>
        <item x="1684"/>
        <item x="2804"/>
        <item m="1" x="6822"/>
        <item m="1" x="4437"/>
        <item m="1" x="4491"/>
        <item m="1" x="4082"/>
        <item m="1" x="7692"/>
        <item m="1" x="3839"/>
        <item m="1" x="7706"/>
        <item m="1" x="4434"/>
        <item x="2861"/>
        <item m="1" x="5829"/>
        <item m="1" x="6819"/>
        <item x="3397"/>
        <item x="2915"/>
        <item m="1" x="6160"/>
        <item x="1934"/>
        <item m="1" x="7429"/>
        <item x="1511"/>
        <item x="435"/>
        <item m="1" x="6218"/>
        <item x="2386"/>
        <item m="1" x="4790"/>
        <item m="1" x="3613"/>
        <item x="2588"/>
        <item m="1" x="6671"/>
        <item m="1" x="5494"/>
        <item m="1" x="5493"/>
        <item m="1" x="3647"/>
        <item x="1267"/>
        <item m="1" x="5401"/>
        <item m="1" x="5492"/>
        <item m="1" x="5667"/>
        <item m="1" x="4613"/>
        <item x="452"/>
        <item m="1" x="7094"/>
        <item x="365"/>
        <item m="1" x="5561"/>
        <item x="704"/>
        <item x="3091"/>
        <item x="670"/>
        <item m="1" x="7121"/>
        <item x="331"/>
        <item x="3127"/>
        <item m="1" x="5108"/>
        <item m="1" x="3980"/>
        <item m="1" x="3602"/>
        <item m="1" x="7836"/>
        <item x="2977"/>
        <item m="1" x="3688"/>
        <item m="1" x="5922"/>
        <item m="1" x="4921"/>
        <item x="180"/>
        <item m="1" x="5202"/>
        <item x="1750"/>
        <item m="1" x="7854"/>
        <item m="1" x="6027"/>
        <item m="1" x="7949"/>
        <item m="1" x="4863"/>
        <item m="1" x="6647"/>
        <item m="1" x="4879"/>
        <item m="1" x="6284"/>
        <item m="1" x="4878"/>
        <item x="1870"/>
        <item x="2780"/>
        <item x="2783"/>
        <item m="1" x="4669"/>
        <item m="1" x="7018"/>
        <item m="1" x="5203"/>
        <item m="1" x="4867"/>
        <item x="1887"/>
        <item x="3010"/>
        <item m="1" x="5198"/>
        <item m="1" x="4467"/>
        <item m="1" x="6424"/>
        <item x="1768"/>
        <item m="1" x="4714"/>
        <item m="1" x="7184"/>
        <item x="633"/>
        <item m="1" x="5274"/>
        <item x="1570"/>
        <item m="1" x="7191"/>
        <item x="515"/>
        <item m="1" x="4162"/>
        <item x="1247"/>
        <item m="1" x="6219"/>
        <item m="1" x="7378"/>
        <item m="1" x="7722"/>
        <item m="1" x="7614"/>
        <item x="453"/>
        <item m="1" x="6657"/>
        <item m="1" x="7030"/>
        <item x="2068"/>
        <item x="3016"/>
        <item m="1" x="4678"/>
        <item x="994"/>
        <item x="2721"/>
        <item m="1" x="5529"/>
        <item x="3360"/>
        <item m="1" x="5491"/>
        <item m="1" x="4150"/>
        <item m="1" x="4098"/>
        <item m="1" x="4577"/>
        <item m="1" x="3928"/>
        <item m="1" x="4586"/>
        <item x="1793"/>
        <item m="1" x="4429"/>
        <item x="1805"/>
        <item x="2866"/>
        <item x="1608"/>
        <item x="1631"/>
        <item m="1" x="5189"/>
        <item m="1" x="3804"/>
        <item x="789"/>
        <item m="1" x="5983"/>
        <item m="1" x="3534"/>
        <item m="1" x="7855"/>
        <item m="1" x="7932"/>
        <item x="1618"/>
        <item x="1615"/>
        <item m="1" x="4904"/>
        <item x="1335"/>
        <item m="1" x="6703"/>
        <item x="3401"/>
        <item x="1324"/>
        <item m="1" x="5051"/>
        <item m="1" x="7695"/>
        <item m="1" x="6604"/>
        <item x="1512"/>
        <item x="3379"/>
        <item m="1" x="5851"/>
        <item m="1" x="4791"/>
        <item x="3046"/>
        <item x="2552"/>
        <item x="2907"/>
        <item m="1" x="4334"/>
        <item x="1612"/>
        <item m="1" x="5666"/>
        <item x="877"/>
        <item m="1" x="7865"/>
        <item x="370"/>
        <item x="1982"/>
        <item m="1" x="7284"/>
        <item m="1" x="3624"/>
        <item m="1" x="5142"/>
        <item m="1" x="4047"/>
        <item m="1" x="3540"/>
        <item x="725"/>
        <item x="1685"/>
        <item x="113"/>
        <item m="1" x="7789"/>
        <item x="1213"/>
        <item m="1" x="6612"/>
        <item x="2879"/>
        <item m="1" x="6519"/>
        <item m="1" x="4905"/>
        <item m="1" x="6090"/>
        <item x="540"/>
        <item m="1" x="6826"/>
        <item m="1" x="4054"/>
        <item m="1" x="3877"/>
        <item m="1" x="6920"/>
        <item m="1" x="5402"/>
        <item m="1" x="7084"/>
        <item m="1" x="6377"/>
        <item m="1" x="3937"/>
        <item x="2054"/>
        <item x="1853"/>
        <item m="1" x="7944"/>
        <item m="1" x="4770"/>
        <item x="346"/>
        <item x="1246"/>
        <item x="1616"/>
        <item m="1" x="6852"/>
        <item m="1" x="5006"/>
        <item m="1" x="6870"/>
        <item m="1" x="6867"/>
        <item m="1" x="3621"/>
        <item m="1" x="4212"/>
        <item m="1" x="6645"/>
        <item m="1" x="6805"/>
        <item m="1" x="7520"/>
        <item m="1" x="3637"/>
        <item x="1292"/>
        <item m="1" x="5665"/>
        <item m="1" x="5710"/>
        <item m="1" x="6325"/>
        <item m="1" x="4188"/>
        <item x="2937"/>
        <item x="1644"/>
        <item x="1067"/>
        <item m="1" x="5429"/>
        <item x="893"/>
        <item x="172"/>
        <item x="377"/>
        <item m="1" x="7928"/>
        <item x="1449"/>
        <item m="1" x="7148"/>
        <item x="128"/>
        <item x="2184"/>
        <item m="1" x="5744"/>
        <item m="1" x="5227"/>
        <item m="1" x="7852"/>
        <item m="1" x="6620"/>
        <item m="1" x="4061"/>
        <item x="3039"/>
        <item m="1" x="6451"/>
        <item m="1" x="6058"/>
        <item m="1" x="6527"/>
        <item m="1" x="7705"/>
        <item x="2156"/>
        <item x="890"/>
        <item m="1" x="4007"/>
        <item x="916"/>
        <item x="1466"/>
        <item x="1831"/>
        <item m="1" x="6849"/>
        <item x="1930"/>
        <item m="1" x="6402"/>
        <item m="1" x="4519"/>
        <item x="1626"/>
        <item x="1403"/>
        <item x="2245"/>
        <item x="3463"/>
        <item m="1" x="6277"/>
        <item x="2130"/>
        <item x="2842"/>
        <item m="1" x="6810"/>
        <item m="1" x="6554"/>
        <item m="1" x="6569"/>
        <item m="1" x="5888"/>
        <item x="1036"/>
        <item x="1880"/>
        <item x="2539"/>
        <item x="1755"/>
        <item x="3429"/>
        <item m="1" x="4618"/>
        <item x="2038"/>
        <item m="1" x="7462"/>
        <item x="687"/>
        <item m="1" x="6882"/>
        <item x="3019"/>
        <item x="1336"/>
        <item m="1" x="4640"/>
        <item x="189"/>
        <item m="1" x="5228"/>
        <item x="875"/>
        <item x="1085"/>
        <item x="1697"/>
        <item x="762"/>
        <item x="611"/>
        <item x="324"/>
        <item m="1" x="7806"/>
        <item m="1" x="5819"/>
        <item m="1" x="6807"/>
        <item m="1" x="4683"/>
        <item x="2701"/>
        <item x="3451"/>
        <item x="2857"/>
        <item m="1" x="4807"/>
        <item x="1119"/>
        <item m="1" x="6168"/>
        <item x="3015"/>
        <item x="2169"/>
        <item m="1" x="7007"/>
        <item m="1" x="7473"/>
        <item m="1" x="7078"/>
        <item x="193"/>
        <item x="1866"/>
        <item x="521"/>
        <item m="1" x="4775"/>
        <item m="1" x="5649"/>
        <item x="2143"/>
        <item x="226"/>
        <item x="1873"/>
        <item x="2792"/>
        <item m="1" x="6802"/>
        <item x="1902"/>
        <item x="2916"/>
        <item m="1" x="4960"/>
        <item x="1065"/>
        <item m="1" x="3738"/>
        <item x="50"/>
        <item x="1593"/>
        <item x="1419"/>
        <item x="974"/>
        <item m="1" x="4152"/>
        <item m="1" x="4109"/>
        <item x="2669"/>
        <item m="1" x="6779"/>
        <item x="1698"/>
        <item x="2483"/>
        <item x="3212"/>
        <item m="1" x="4886"/>
        <item x="3433"/>
        <item m="1" x="6985"/>
        <item m="1" x="7394"/>
        <item m="1" x="7395"/>
        <item m="1" x="5889"/>
        <item m="1" x="5069"/>
        <item m="1" x="7160"/>
        <item m="1" x="3684"/>
        <item x="1627"/>
        <item m="1" x="6416"/>
        <item m="1" x="5363"/>
        <item m="1" x="5788"/>
        <item x="2246"/>
        <item m="1" x="6757"/>
        <item m="1" x="4920"/>
        <item m="1" x="7256"/>
        <item x="830"/>
        <item m="1" x="5509"/>
        <item m="1" x="5384"/>
        <item x="2989"/>
        <item m="1" x="4476"/>
        <item m="1" x="4403"/>
        <item m="1" x="6601"/>
        <item m="1" x="4213"/>
        <item x="984"/>
        <item x="1294"/>
        <item m="1" x="6300"/>
        <item m="1" x="7926"/>
        <item m="1" x="6627"/>
        <item m="1" x="4255"/>
        <item m="1" x="5693"/>
        <item m="1" x="6595"/>
        <item m="1" x="4823"/>
        <item m="1" x="5035"/>
        <item m="1" x="6461"/>
        <item x="1932"/>
        <item x="2387"/>
        <item x="2388"/>
        <item m="1" x="6108"/>
        <item x="1467"/>
        <item x="2553"/>
        <item x="733"/>
        <item m="1" x="6693"/>
        <item m="1" x="7146"/>
        <item m="1" x="4493"/>
        <item m="1" x="4059"/>
        <item m="1" x="7868"/>
        <item m="1" x="6043"/>
        <item x="2030"/>
        <item x="231"/>
        <item m="1" x="7132"/>
        <item m="1" x="7171"/>
        <item m="1" x="6062"/>
        <item m="1" x="7300"/>
        <item x="3491"/>
        <item x="3286"/>
        <item m="1" x="7615"/>
        <item m="1" x="6887"/>
        <item x="2146"/>
        <item m="1" x="3762"/>
        <item x="2874"/>
        <item m="1" x="5915"/>
        <item m="1" x="5072"/>
        <item m="1" x="6862"/>
        <item x="1472"/>
        <item x="2224"/>
        <item m="1" x="5847"/>
        <item m="1" x="5844"/>
        <item m="1" x="4623"/>
        <item x="3175"/>
        <item m="1" x="6748"/>
        <item m="1" x="5537"/>
        <item m="1" x="6162"/>
        <item m="1" x="5575"/>
        <item m="1" x="5823"/>
        <item m="1" x="7423"/>
        <item x="3483"/>
        <item m="1" x="7069"/>
        <item m="1" x="7295"/>
        <item x="1983"/>
        <item x="1984"/>
        <item x="2616"/>
        <item m="1" x="5843"/>
        <item x="464"/>
        <item x="1699"/>
        <item x="2114"/>
        <item x="3309"/>
        <item m="1" x="4616"/>
        <item m="1" x="6044"/>
        <item x="134"/>
        <item m="1" x="3771"/>
        <item x="904"/>
        <item m="1" x="7851"/>
        <item m="1" x="6286"/>
        <item m="1" x="6204"/>
        <item x="1854"/>
        <item m="1" x="4841"/>
        <item x="898"/>
        <item m="1" x="5684"/>
        <item m="1" x="6262"/>
        <item x="3352"/>
        <item x="2502"/>
        <item m="1" x="7122"/>
        <item m="1" x="5059"/>
        <item m="1" x="5056"/>
        <item m="1" x="4500"/>
        <item m="1" x="4439"/>
        <item x="3363"/>
        <item x="1194"/>
        <item m="1" x="7780"/>
        <item m="1" x="3793"/>
        <item m="1" x="5801"/>
        <item x="971"/>
        <item m="1" x="7877"/>
        <item m="1" x="6629"/>
        <item m="1" x="6308"/>
        <item x="2150"/>
        <item x="1486"/>
        <item x="1897"/>
        <item m="1" x="7648"/>
        <item x="2832"/>
        <item m="1" x="5787"/>
        <item x="3052"/>
        <item m="1" x="5013"/>
        <item x="669"/>
        <item m="1" x="4952"/>
        <item x="3092"/>
        <item m="1" x="4182"/>
        <item x="2908"/>
        <item x="3350"/>
        <item m="1" x="4941"/>
        <item x="2967"/>
        <item x="2262"/>
        <item m="1" x="4404"/>
        <item m="1" x="4076"/>
        <item x="1985"/>
        <item x="3158"/>
        <item x="3262"/>
        <item x="997"/>
        <item m="1" x="6126"/>
        <item m="1" x="5229"/>
        <item m="1" x="6651"/>
        <item x="2354"/>
        <item m="1" x="5877"/>
        <item x="921"/>
        <item x="3066"/>
        <item x="724"/>
        <item m="1" x="7645"/>
        <item x="1819"/>
        <item m="1" x="6580"/>
        <item m="1" x="5939"/>
        <item m="1" x="4994"/>
        <item m="1" x="5861"/>
        <item x="3093"/>
        <item x="3427"/>
        <item x="1255"/>
        <item m="1" x="3617"/>
        <item x="1986"/>
        <item x="3036"/>
        <item x="1131"/>
        <item m="1" x="4171"/>
        <item x="2212"/>
        <item m="1" x="4237"/>
        <item x="541"/>
        <item m="1" x="5971"/>
        <item m="1" x="5523"/>
        <item m="1" x="7189"/>
        <item m="1" x="6682"/>
        <item m="1" x="5193"/>
        <item x="985"/>
        <item m="1" x="4104"/>
        <item m="1" x="4336"/>
        <item x="1780"/>
        <item x="2517"/>
        <item m="1" x="3952"/>
        <item m="1" x="6187"/>
        <item x="1757"/>
        <item x="3040"/>
        <item m="1" x="5572"/>
        <item x="3000"/>
        <item x="119"/>
        <item m="1" x="4067"/>
        <item x="3191"/>
        <item m="1" x="5600"/>
        <item m="1" x="5664"/>
        <item m="1" x="4636"/>
        <item x="720"/>
        <item x="835"/>
        <item m="1" x="7372"/>
        <item m="1" x="5102"/>
        <item m="1" x="7401"/>
        <item x="3201"/>
        <item x="1628"/>
        <item x="885"/>
        <item x="3443"/>
        <item m="1" x="5890"/>
        <item x="2371"/>
        <item m="1" x="4258"/>
        <item m="1" x="5143"/>
        <item m="1" x="7334"/>
        <item x="3055"/>
        <item m="1" x="7718"/>
        <item m="1" x="5891"/>
        <item m="1" x="5948"/>
        <item x="2171"/>
        <item x="467"/>
        <item m="1" x="4409"/>
        <item m="1" x="7151"/>
        <item m="1" x="7152"/>
        <item m="1" x="7153"/>
        <item m="1" x="4610"/>
        <item m="1" x="6963"/>
        <item m="1" x="6123"/>
        <item m="1" x="7784"/>
        <item x="2862"/>
        <item x="2644"/>
        <item m="1" x="5798"/>
        <item x="614"/>
        <item x="839"/>
        <item x="353"/>
        <item m="1" x="4018"/>
        <item m="1" x="6487"/>
        <item x="572"/>
        <item x="2389"/>
        <item m="1" x="3676"/>
        <item m="1" x="5885"/>
        <item m="1" x="7763"/>
        <item x="3336"/>
        <item m="1" x="6452"/>
        <item m="1" x="4925"/>
        <item x="2341"/>
        <item m="1" x="6688"/>
        <item x="233"/>
        <item x="730"/>
        <item x="1311"/>
        <item x="59"/>
        <item x="1987"/>
        <item x="3183"/>
        <item x="2289"/>
        <item x="686"/>
        <item m="1" x="4832"/>
        <item x="1700"/>
        <item x="2831"/>
        <item m="1" x="4968"/>
        <item m="1" x="7716"/>
        <item m="1" x="3601"/>
        <item m="1" x="4833"/>
        <item m="1" x="4761"/>
        <item m="1" x="5081"/>
        <item m="1" x="5624"/>
        <item m="1" x="5103"/>
        <item x="3253"/>
        <item x="2805"/>
        <item x="1804"/>
        <item m="1" x="7828"/>
        <item m="1" x="6560"/>
        <item m="1" x="7598"/>
        <item m="1" x="4375"/>
        <item m="1" x="7048"/>
        <item m="1" x="7058"/>
        <item x="1175"/>
        <item m="1" x="4899"/>
        <item x="2554"/>
        <item m="1" x="3808"/>
        <item m="1" x="4628"/>
        <item m="1" x="6453"/>
        <item x="715"/>
        <item m="1" x="3772"/>
        <item x="1748"/>
        <item x="1513"/>
        <item m="1" x="5734"/>
        <item m="1" x="7786"/>
        <item m="1" x="6873"/>
        <item x="873"/>
        <item m="1" x="3590"/>
        <item x="1004"/>
        <item m="1" x="4158"/>
        <item m="1" x="5613"/>
        <item x="2664"/>
        <item m="1" x="5512"/>
        <item m="1" x="3678"/>
        <item x="2909"/>
        <item m="1" x="7665"/>
        <item x="3430"/>
        <item x="3389"/>
        <item x="1514"/>
        <item m="1" x="7884"/>
        <item x="996"/>
        <item x="2185"/>
        <item x="698"/>
        <item m="1" x="7047"/>
        <item x="2095"/>
        <item x="1968"/>
        <item x="542"/>
        <item m="1" x="5992"/>
        <item m="1" x="6171"/>
        <item x="1701"/>
        <item m="1" x="7591"/>
        <item m="1" x="7691"/>
        <item x="1214"/>
        <item m="1" x="6713"/>
        <item m="1" x="4874"/>
        <item m="1" x="3903"/>
        <item m="1" x="6812"/>
        <item m="1" x="7215"/>
        <item m="1" x="7362"/>
        <item m="1" x="5275"/>
        <item x="1515"/>
        <item x="573"/>
        <item m="1" x="5807"/>
        <item m="1" x="7574"/>
        <item x="2844"/>
        <item m="1" x="4124"/>
        <item x="624"/>
        <item x="3094"/>
        <item x="1220"/>
        <item m="1" x="5562"/>
        <item m="1" x="5369"/>
        <item m="1" x="6520"/>
        <item x="1215"/>
        <item m="1" x="5892"/>
        <item x="1257"/>
        <item m="1" x="4629"/>
        <item m="1" x="5614"/>
        <item m="1" x="6253"/>
        <item m="1" x="3992"/>
        <item m="1" x="4545"/>
        <item x="2357"/>
        <item x="2722"/>
        <item m="1" x="4792"/>
        <item m="1" x="7657"/>
        <item x="1840"/>
        <item m="1" x="4469"/>
        <item x="2978"/>
        <item x="1579"/>
        <item x="3493"/>
        <item x="2135"/>
        <item x="212"/>
        <item m="1" x="6344"/>
        <item x="42"/>
        <item x="2624"/>
        <item m="1" x="6597"/>
        <item m="1" x="6804"/>
        <item m="1" x="7254"/>
        <item x="1487"/>
        <item m="1" x="4808"/>
        <item x="2338"/>
        <item m="1" x="7384"/>
        <item x="2113"/>
        <item x="1337"/>
        <item x="369"/>
        <item x="2390"/>
        <item m="1" x="5129"/>
        <item m="1" x="5230"/>
        <item m="1" x="5689"/>
        <item x="2590"/>
        <item x="66"/>
        <item x="1564"/>
        <item x="574"/>
        <item x="3194"/>
        <item m="1" x="6658"/>
        <item x="1024"/>
        <item x="790"/>
        <item m="1" x="6761"/>
        <item x="2163"/>
        <item m="1" x="7549"/>
        <item m="1" x="7992"/>
        <item x="1766"/>
        <item m="1" x="5276"/>
        <item m="1" x="7669"/>
        <item x="3358"/>
        <item x="1641"/>
        <item x="2653"/>
        <item m="1" x="5277"/>
        <item m="1" x="5231"/>
        <item m="1" x="6909"/>
        <item x="3123"/>
        <item x="1516"/>
        <item m="1" x="6127"/>
        <item x="754"/>
        <item m="1" x="7093"/>
        <item m="1" x="7038"/>
        <item m="1" x="6486"/>
        <item m="1" x="4017"/>
        <item m="1" x="5679"/>
        <item x="2216"/>
        <item m="1" x="5743"/>
        <item x="1632"/>
        <item x="1095"/>
        <item x="3462"/>
        <item m="1" x="7021"/>
        <item m="1" x="5278"/>
        <item m="1" x="6608"/>
        <item x="3079"/>
        <item m="1" x="6684"/>
        <item m="1" x="3865"/>
        <item x="54"/>
        <item m="1" x="3791"/>
        <item x="2841"/>
        <item m="1" x="4435"/>
        <item m="1" x="4278"/>
        <item m="1" x="7831"/>
        <item m="1" x="7383"/>
        <item x="3095"/>
        <item x="271"/>
        <item x="3275"/>
        <item m="1" x="4371"/>
        <item m="1" x="7584"/>
        <item x="381"/>
        <item m="1" x="7414"/>
        <item x="2312"/>
        <item x="1488"/>
        <item m="1" x="5500"/>
        <item m="1" x="7223"/>
        <item m="1" x="7585"/>
        <item x="3447"/>
        <item m="1" x="7216"/>
        <item m="1" x="4340"/>
        <item m="1" x="7967"/>
        <item m="1" x="4646"/>
        <item x="3494"/>
        <item m="1" x="7914"/>
        <item x="1251"/>
        <item m="1" x="5786"/>
        <item m="1" x="3620"/>
        <item x="1392"/>
        <item m="1" x="7830"/>
        <item m="1" x="6454"/>
        <item x="3161"/>
        <item m="1" x="7995"/>
        <item m="1" x="5524"/>
        <item m="1" x="5957"/>
        <item m="1" x="5077"/>
        <item x="2075"/>
        <item m="1" x="6989"/>
        <item m="1" x="4036"/>
        <item x="396"/>
        <item x="41"/>
        <item x="1285"/>
        <item m="1" x="6199"/>
        <item m="1" x="5694"/>
        <item x="1625"/>
        <item m="1" x="5349"/>
        <item m="1" x="7904"/>
        <item x="333"/>
        <item x="575"/>
        <item m="1" x="6002"/>
        <item m="1" x="5457"/>
        <item m="1" x="7867"/>
        <item m="1" x="4134"/>
        <item m="1" x="5532"/>
        <item m="1" x="5846"/>
        <item x="389"/>
        <item m="1" x="7816"/>
        <item m="1" x="5869"/>
        <item m="1" x="5695"/>
        <item m="1" x="6470"/>
        <item x="360"/>
        <item m="1" x="5696"/>
        <item x="1313"/>
        <item x="2609"/>
        <item x="1759"/>
        <item x="2535"/>
        <item x="791"/>
        <item x="1702"/>
        <item m="1" x="4100"/>
        <item m="1" x="5965"/>
        <item x="2797"/>
        <item m="1" x="6806"/>
        <item m="1" x="5320"/>
        <item m="1" x="7925"/>
        <item x="3355"/>
        <item x="2510"/>
        <item x="1124"/>
        <item x="2391"/>
        <item m="1" x="4572"/>
        <item m="1" x="7710"/>
        <item m="1" x="7920"/>
        <item x="2723"/>
        <item x="2186"/>
        <item m="1" x="6464"/>
        <item m="1" x="3580"/>
        <item x="1823"/>
        <item m="1" x="4598"/>
        <item x="2251"/>
        <item m="1" x="7013"/>
        <item x="403"/>
        <item m="1" x="4021"/>
        <item x="1635"/>
        <item x="2128"/>
        <item m="1" x="5321"/>
        <item m="1" x="5134"/>
        <item x="2645"/>
        <item m="1" x="6507"/>
        <item m="1" x="5691"/>
        <item x="208"/>
        <item m="1" x="7889"/>
        <item x="1480"/>
        <item x="3495"/>
        <item x="792"/>
        <item x="3464"/>
        <item x="519"/>
        <item x="3226"/>
        <item m="1" x="7751"/>
        <item m="1" x="4208"/>
        <item x="1160"/>
        <item x="3238"/>
        <item x="2807"/>
        <item m="1" x="5933"/>
        <item m="1" x="3627"/>
        <item x="2449"/>
        <item m="1" x="7415"/>
        <item m="1" x="7424"/>
        <item m="1" x="5886"/>
        <item m="1" x="5741"/>
        <item m="1" x="6417"/>
        <item m="1" x="5802"/>
        <item m="1" x="4266"/>
        <item m="1" x="4451"/>
        <item x="708"/>
        <item x="406"/>
        <item x="407"/>
        <item m="1" x="4989"/>
        <item x="1926"/>
        <item m="1" x="5344"/>
        <item m="1" x="3667"/>
        <item m="1" x="5376"/>
        <item m="1" x="6727"/>
        <item x="520"/>
        <item m="1" x="5876"/>
        <item x="3213"/>
        <item m="1" x="7398"/>
        <item x="2518"/>
        <item x="1580"/>
        <item x="2597"/>
        <item x="1581"/>
        <item m="1" x="5124"/>
        <item m="1" x="7869"/>
        <item x="2646"/>
        <item x="1956"/>
        <item m="1" x="6900"/>
        <item m="1" x="4249"/>
        <item m="1" x="6024"/>
        <item m="1" x="6495"/>
        <item x="228"/>
        <item m="1" x="4141"/>
        <item m="1" x="4647"/>
        <item m="1" x="6780"/>
        <item m="1" x="5090"/>
        <item m="1" x="7773"/>
        <item x="398"/>
        <item m="1" x="7774"/>
        <item x="312"/>
        <item x="314"/>
        <item m="1" x="6906"/>
        <item x="399"/>
        <item m="1" x="6372"/>
        <item x="2258"/>
        <item m="1" x="4283"/>
        <item m="1" x="7552"/>
        <item x="1123"/>
        <item m="1" x="5279"/>
        <item x="2392"/>
        <item m="1" x="5087"/>
        <item x="631"/>
        <item m="1" x="5776"/>
        <item x="2790"/>
        <item x="408"/>
        <item x="438"/>
        <item x="2345"/>
        <item m="1" x="7580"/>
        <item m="1" x="7602"/>
        <item m="1" x="3970"/>
        <item m="1" x="6829"/>
        <item m="1" x="4468"/>
        <item x="1597"/>
        <item m="1" x="5173"/>
        <item m="1" x="5587"/>
        <item x="2867"/>
        <item m="1" x="3604"/>
        <item m="1" x="7333"/>
        <item x="1517"/>
        <item x="576"/>
        <item m="1" x="4065"/>
        <item x="3014"/>
        <item m="1" x="6220"/>
        <item x="2393"/>
        <item m="1" x="4273"/>
        <item m="1" x="3700"/>
        <item m="1" x="3567"/>
        <item x="2164"/>
        <item m="1" x="4066"/>
        <item x="1841"/>
        <item m="1" x="5590"/>
        <item m="1" x="4328"/>
        <item x="52"/>
        <item x="25"/>
        <item x="2814"/>
        <item x="1975"/>
        <item x="1636"/>
        <item m="1" x="4083"/>
        <item x="3373"/>
        <item x="1573"/>
        <item x="318"/>
        <item m="1" x="5410"/>
        <item m="1" x="3561"/>
        <item x="2960"/>
        <item m="1" x="5204"/>
        <item m="1" x="5411"/>
        <item m="1" x="5504"/>
        <item m="1" x="5542"/>
        <item m="1" x="3812"/>
        <item m="1" x="6074"/>
        <item x="2901"/>
        <item x="3149"/>
        <item x="1451"/>
        <item m="1" x="7911"/>
        <item m="1" x="4301"/>
        <item x="2936"/>
        <item m="1" x="4472"/>
        <item x="1899"/>
        <item x="1582"/>
        <item m="1" x="4280"/>
        <item m="1" x="4868"/>
        <item m="1" x="6847"/>
        <item m="1" x="4809"/>
        <item x="3441"/>
        <item m="1" x="5909"/>
        <item x="692"/>
        <item m="1" x="6734"/>
        <item m="1" x="5791"/>
        <item x="1132"/>
        <item x="949"/>
        <item m="1" x="4975"/>
        <item x="901"/>
        <item x="1518"/>
        <item x="3096"/>
        <item m="1" x="6328"/>
        <item x="1519"/>
        <item x="2724"/>
        <item m="1" x="4482"/>
        <item m="1" x="4839"/>
        <item m="1" x="4842"/>
        <item m="1" x="3961"/>
        <item x="1923"/>
        <item m="1" x="5205"/>
        <item m="1" x="6921"/>
        <item m="1" x="7001"/>
        <item m="1" x="4648"/>
        <item m="1" x="7939"/>
        <item x="3062"/>
        <item m="1" x="7936"/>
        <item m="1" x="6085"/>
        <item m="1" x="6776"/>
        <item m="1" x="4184"/>
        <item m="1" x="4174"/>
        <item m="1" x="4164"/>
        <item m="1" x="6634"/>
        <item m="1" x="3726"/>
        <item x="636"/>
        <item x="1963"/>
        <item x="3511"/>
        <item x="1338"/>
        <item x="2372"/>
        <item m="1" x="5763"/>
        <item x="510"/>
        <item x="1339"/>
        <item x="938"/>
        <item m="1" x="7652"/>
        <item m="1" x="7755"/>
        <item m="1" x="7981"/>
        <item m="1" x="3533"/>
        <item x="2493"/>
        <item m="1" x="6221"/>
        <item x="2394"/>
        <item m="1" x="5663"/>
        <item m="1" x="5644"/>
        <item m="1" x="7109"/>
        <item m="1" x="5929"/>
        <item x="1382"/>
        <item m="1" x="4624"/>
        <item m="1" x="4619"/>
        <item x="1858"/>
        <item m="1" x="6250"/>
        <item m="1" x="6526"/>
        <item m="1" x="3783"/>
        <item m="1" x="4595"/>
        <item x="217"/>
        <item m="1" x="6922"/>
        <item m="1" x="7902"/>
        <item m="1" x="6166"/>
        <item m="1" x="4022"/>
        <item m="1" x="4396"/>
        <item m="1" x="4583"/>
        <item x="1988"/>
        <item x="933"/>
        <item m="1" x="7199"/>
        <item m="1" x="6551"/>
        <item m="1" x="3673"/>
        <item m="1" x="4128"/>
        <item m="1" x="4978"/>
        <item m="1" x="7224"/>
        <item m="1" x="6455"/>
        <item x="334"/>
        <item x="3398"/>
        <item m="1" x="5180"/>
        <item m="1" x="5179"/>
        <item m="1" x="6338"/>
        <item x="1340"/>
        <item x="1341"/>
        <item x="1847"/>
        <item x="356"/>
        <item x="3130"/>
        <item m="1" x="7658"/>
        <item x="1629"/>
        <item m="1" x="4367"/>
        <item x="714"/>
        <item m="1" x="4771"/>
        <item m="1" x="7169"/>
        <item m="1" x="6544"/>
        <item x="2725"/>
        <item m="1" x="6506"/>
        <item m="1" x="3784"/>
        <item x="2726"/>
        <item m="1" x="7887"/>
        <item m="1" x="5711"/>
        <item x="1583"/>
        <item x="2619"/>
        <item x="1478"/>
        <item m="1" x="5232"/>
        <item m="1" x="6353"/>
        <item m="1" x="7130"/>
        <item m="1" x="7438"/>
        <item x="1609"/>
        <item x="1669"/>
        <item m="1" x="4630"/>
        <item m="1" x="4172"/>
        <item m="1" x="5455"/>
        <item x="181"/>
        <item x="509"/>
        <item x="2962"/>
        <item m="1" x="6982"/>
        <item x="741"/>
        <item x="1648"/>
        <item x="2890"/>
        <item m="1" x="5434"/>
        <item x="2172"/>
        <item m="1" x="3800"/>
        <item m="1" x="6496"/>
        <item m="1" x="4432"/>
        <item m="1" x="6850"/>
        <item x="156"/>
        <item x="857"/>
        <item x="2880"/>
        <item m="1" x="5721"/>
        <item m="1" x="4869"/>
        <item x="1789"/>
        <item m="1" x="4026"/>
        <item x="2395"/>
        <item m="1" x="7364"/>
        <item x="322"/>
        <item m="1" x="4973"/>
        <item x="756"/>
        <item x="202"/>
        <item m="1" x="6295"/>
        <item m="1" x="3633"/>
        <item x="1148"/>
        <item x="3044"/>
        <item m="1" x="6448"/>
        <item x="2654"/>
        <item x="76"/>
        <item m="1" x="3550"/>
        <item m="1" x="7632"/>
        <item m="1" x="4064"/>
        <item x="2975"/>
        <item m="1" x="4881"/>
        <item x="2461"/>
        <item m="1" x="4395"/>
        <item x="276"/>
        <item x="623"/>
        <item x="3263"/>
        <item m="1" x="5199"/>
        <item x="2396"/>
        <item x="1989"/>
        <item x="1661"/>
        <item m="1" x="3822"/>
        <item m="1" x="5931"/>
        <item m="1" x="3878"/>
        <item x="3069"/>
        <item x="3068"/>
        <item x="1262"/>
        <item m="1" x="6941"/>
        <item x="3337"/>
        <item x="2917"/>
        <item m="1" x="4397"/>
        <item x="264"/>
        <item x="2051"/>
        <item m="1" x="6222"/>
        <item x="2397"/>
        <item m="1" x="6396"/>
        <item m="1" x="5859"/>
        <item m="1" x="6579"/>
        <item x="16"/>
        <item x="2904"/>
        <item x="920"/>
        <item m="1" x="7965"/>
        <item m="1" x="6118"/>
        <item x="2131"/>
        <item x="269"/>
        <item x="3300"/>
        <item x="2263"/>
        <item m="1" x="5563"/>
        <item m="1" x="6786"/>
        <item x="1965"/>
        <item x="1796"/>
        <item x="543"/>
        <item m="1" x="4599"/>
        <item m="1" x="4793"/>
        <item m="1" x="4311"/>
        <item m="1" x="5550"/>
        <item x="1180"/>
        <item m="1" x="6858"/>
        <item m="1" x="3646"/>
        <item m="1" x="6916"/>
        <item x="1643"/>
        <item x="1010"/>
        <item x="2342"/>
        <item m="1" x="5975"/>
        <item m="1" x="4181"/>
        <item x="296"/>
        <item x="544"/>
        <item m="1" x="7373"/>
        <item m="1" x="7533"/>
        <item m="1" x="6060"/>
        <item x="1055"/>
        <item m="1" x="4102"/>
        <item x="213"/>
        <item m="1" x="7046"/>
        <item x="2698"/>
        <item m="1" x="5808"/>
        <item m="1" x="5515"/>
        <item m="1" x="4023"/>
        <item m="1" x="7040"/>
        <item x="1317"/>
        <item x="2875"/>
        <item x="1703"/>
        <item m="1" x="5094"/>
        <item x="3165"/>
        <item m="1" x="6668"/>
        <item x="1888"/>
        <item x="3513"/>
        <item m="1" x="6113"/>
        <item m="1" x="7709"/>
        <item m="1" x="7356"/>
        <item x="2540"/>
        <item m="1" x="4763"/>
        <item x="3344"/>
        <item x="2541"/>
        <item m="1" x="4733"/>
        <item m="1" x="7644"/>
        <item m="1" x="4585"/>
        <item m="1" x="5722"/>
        <item m="1" x="5280"/>
        <item x="470"/>
        <item x="2039"/>
        <item m="1" x="6326"/>
        <item m="1" x="7961"/>
        <item m="1" x="3837"/>
        <item m="1" x="3982"/>
        <item m="1" x="7997"/>
        <item m="1" x="5830"/>
        <item m="1" x="5233"/>
        <item m="1" x="3630"/>
        <item x="1319"/>
        <item x="1283"/>
        <item m="1" x="4177"/>
        <item x="1850"/>
        <item x="1889"/>
        <item m="1" x="4656"/>
        <item m="1" x="3819"/>
        <item m="1" x="3942"/>
        <item m="1" x="4153"/>
        <item m="1" x="6773"/>
        <item m="1" x="7567"/>
        <item m="1" x="5993"/>
        <item x="2490"/>
        <item m="1" x="4559"/>
        <item m="1" x="6045"/>
        <item m="1" x="7720"/>
        <item x="1164"/>
        <item m="1" x="4876"/>
        <item x="652"/>
        <item x="1935"/>
        <item x="350"/>
        <item m="1" x="5445"/>
        <item m="1" x="4286"/>
        <item x="1874"/>
        <item m="1" x="5579"/>
        <item x="2335"/>
        <item x="1704"/>
        <item m="1" x="4035"/>
        <item x="357"/>
        <item x="2499"/>
        <item m="1" x="6179"/>
        <item m="1" x="4926"/>
        <item m="1" x="4755"/>
        <item m="1" x="6491"/>
        <item m="1" x="4726"/>
        <item m="1" x="7675"/>
        <item m="1" x="7895"/>
        <item x="3199"/>
        <item m="1" x="7724"/>
        <item x="761"/>
        <item m="1" x="6438"/>
        <item m="1" x="6437"/>
        <item x="3159"/>
        <item x="201"/>
        <item x="3357"/>
        <item x="847"/>
        <item x="2471"/>
        <item x="2221"/>
        <item x="3061"/>
        <item x="646"/>
        <item m="1" x="4549"/>
        <item x="1199"/>
        <item m="1" x="5004"/>
        <item m="1" x="7808"/>
        <item x="793"/>
        <item x="3140"/>
        <item m="1" x="6754"/>
        <item x="311"/>
        <item x="1200"/>
        <item m="1" x="3781"/>
        <item x="383"/>
        <item x="699"/>
        <item x="868"/>
        <item x="1005"/>
        <item m="1" x="5426"/>
        <item m="1" x="7807"/>
        <item m="1" x="5513"/>
        <item x="1917"/>
        <item m="1" x="6923"/>
        <item x="2702"/>
        <item m="1" x="4810"/>
        <item x="223"/>
        <item m="1" x="7053"/>
        <item m="1" x="7133"/>
        <item m="1" x="4197"/>
        <item m="1" x="7028"/>
        <item x="1181"/>
        <item m="1" x="6988"/>
        <item m="1" x="5979"/>
        <item m="1" x="3931"/>
        <item m="1" x="6686"/>
        <item m="1" x="6563"/>
        <item m="1" x="3805"/>
        <item m="1" x="7244"/>
        <item m="1" x="3911"/>
        <item x="179"/>
        <item m="1" x="7309"/>
        <item x="912"/>
        <item m="1" x="6837"/>
        <item m="1" x="4376"/>
        <item x="894"/>
        <item m="1" x="4145"/>
        <item m="1" x="4020"/>
        <item m="1" x="7277"/>
        <item m="1" x="6913"/>
        <item m="1" x="7613"/>
        <item x="660"/>
        <item m="1" x="4444"/>
        <item x="2686"/>
        <item x="2450"/>
        <item m="1" x="6864"/>
        <item x="2659"/>
        <item m="1" x="7479"/>
        <item m="1" x="3926"/>
        <item m="1" x="4251"/>
        <item m="1" x="6094"/>
        <item x="2513"/>
        <item x="3143"/>
        <item x="2466"/>
        <item x="2313"/>
        <item x="2455"/>
        <item x="409"/>
        <item m="1" x="4461"/>
        <item x="3458"/>
        <item m="1" x="6656"/>
        <item m="1" x="7022"/>
        <item m="1" x="6521"/>
        <item x="1301"/>
        <item m="1" x="7187"/>
        <item x="2860"/>
        <item m="1" x="4272"/>
        <item x="2820"/>
        <item x="410"/>
        <item m="1" x="7402"/>
        <item m="1" x="6584"/>
        <item m="1" x="4087"/>
        <item x="2660"/>
        <item m="1" x="4201"/>
        <item m="1" x="5206"/>
        <item m="1" x="5799"/>
        <item x="681"/>
        <item m="1" x="6739"/>
        <item x="3385"/>
        <item m="1" x="5458"/>
        <item x="2373"/>
        <item m="1" x="6566"/>
        <item m="1" x="4728"/>
        <item x="1325"/>
        <item x="1821"/>
        <item x="97"/>
        <item m="1" x="4620"/>
        <item x="577"/>
        <item x="117"/>
        <item x="3041"/>
        <item m="1" x="6260"/>
        <item m="1" x="4851"/>
        <item m="1" x="6747"/>
        <item x="2778"/>
        <item x="1584"/>
        <item x="3097"/>
        <item m="1" x="5868"/>
        <item m="1" x="4699"/>
        <item x="454"/>
        <item x="2398"/>
        <item m="1" x="3859"/>
        <item m="1" x="5586"/>
        <item m="1" x="4501"/>
        <item x="2970"/>
        <item m="1" x="6545"/>
        <item x="517"/>
        <item m="1" x="7118"/>
        <item m="1" x="5582"/>
        <item x="2665"/>
        <item m="1" x="3888"/>
        <item m="1" x="4229"/>
        <item x="3426"/>
        <item m="1" x="5519"/>
        <item m="1" x="5281"/>
        <item x="203"/>
        <item x="2966"/>
        <item m="1" x="7814"/>
        <item x="1287"/>
        <item m="1" x="7732"/>
        <item x="3417"/>
        <item x="1936"/>
        <item m="1" x="7791"/>
        <item m="1" x="7792"/>
        <item x="1437"/>
        <item m="1" x="4592"/>
        <item x="3184"/>
        <item m="1" x="6932"/>
        <item x="466"/>
        <item m="1" x="5727"/>
        <item x="2700"/>
        <item m="1" x="4852"/>
        <item m="1" x="6019"/>
        <item m="1" x="4368"/>
        <item m="1" x="6031"/>
        <item m="1" x="7172"/>
        <item x="2727"/>
        <item m="1" x="4864"/>
        <item m="1" x="6375"/>
        <item m="1" x="6021"/>
        <item m="1" x="6278"/>
        <item x="2399"/>
        <item x="2628"/>
        <item m="1" x="4222"/>
        <item x="545"/>
        <item m="1" x="4884"/>
        <item m="1" x="6999"/>
        <item m="1" x="5809"/>
        <item m="1" x="7494"/>
        <item m="1" x="7150"/>
        <item m="1" x="6564"/>
        <item m="1" x="4111"/>
        <item m="1" x="6476"/>
        <item x="234"/>
        <item m="1" x="6789"/>
        <item m="1" x="6694"/>
        <item m="1" x="6466"/>
        <item m="1" x="6796"/>
        <item x="1990"/>
        <item m="1" x="6752"/>
        <item m="1" x="6678"/>
        <item x="2061"/>
        <item m="1" x="3656"/>
        <item x="1585"/>
        <item m="1" x="5893"/>
        <item m="1" x="5588"/>
        <item m="1" x="5894"/>
        <item m="1" x="7929"/>
        <item x="705"/>
        <item x="3388"/>
        <item m="1" x="7985"/>
        <item x="3151"/>
        <item m="1" x="4377"/>
        <item x="2475"/>
        <item m="1" x="6210"/>
        <item x="2971"/>
        <item m="1" x="4006"/>
        <item m="1" x="6618"/>
        <item m="1" x="4013"/>
        <item x="2703"/>
        <item x="378"/>
        <item m="1" x="5697"/>
        <item x="1520"/>
        <item m="1" x="4657"/>
        <item m="1" x="7916"/>
        <item m="1" x="3918"/>
        <item x="2294"/>
        <item x="1937"/>
        <item m="1" x="3898"/>
        <item m="1" x="6611"/>
        <item m="1" x="4159"/>
        <item x="235"/>
        <item m="1" x="7819"/>
        <item x="88"/>
        <item m="1" x="5393"/>
        <item m="1" x="6387"/>
        <item x="3197"/>
        <item m="1" x="7878"/>
        <item m="1" x="6288"/>
        <item x="1914"/>
        <item m="1" x="6630"/>
        <item m="1" x="6343"/>
        <item x="642"/>
        <item x="2717"/>
        <item x="1991"/>
        <item x="195"/>
        <item m="1" x="5514"/>
        <item x="3003"/>
        <item x="3465"/>
        <item m="1" x="3521"/>
        <item x="2943"/>
        <item x="772"/>
        <item x="1428"/>
        <item x="2728"/>
        <item x="1130"/>
        <item x="578"/>
        <item x="765"/>
        <item m="1" x="7131"/>
        <item x="3223"/>
        <item m="1" x="4927"/>
        <item m="1" x="4157"/>
        <item x="539"/>
        <item x="3301"/>
        <item x="3269"/>
        <item x="1890"/>
        <item x="1891"/>
        <item x="2334"/>
        <item m="1" x="5589"/>
        <item m="1" x="3635"/>
        <item m="1" x="4264"/>
        <item m="1" x="5914"/>
        <item x="3252"/>
        <item m="1" x="5686"/>
        <item m="1" x="4148"/>
        <item m="1" x="7491"/>
        <item m="1" x="5234"/>
        <item m="1" x="5282"/>
        <item x="319"/>
        <item m="1" x="7530"/>
        <item x="1660"/>
        <item x="411"/>
        <item x="2457"/>
        <item m="1" x="7467"/>
        <item m="1" x="6623"/>
        <item x="968"/>
        <item x="3515"/>
        <item m="1" x="6063"/>
        <item m="1" x="7621"/>
        <item m="1" x="4019"/>
        <item x="2173"/>
        <item x="1938"/>
        <item m="1" x="6953"/>
        <item x="1417"/>
        <item m="1" x="7745"/>
        <item x="1011"/>
        <item m="1" x="7704"/>
        <item m="1" x="5181"/>
        <item x="2868"/>
        <item m="1" x="6723"/>
        <item m="1" x="6919"/>
        <item m="1" x="3721"/>
        <item m="1" x="5712"/>
        <item x="546"/>
        <item x="1468"/>
        <item x="3310"/>
        <item x="760"/>
        <item x="379"/>
        <item m="1" x="5235"/>
        <item x="3051"/>
        <item x="1117"/>
        <item m="1" x="7463"/>
        <item m="1" x="3833"/>
        <item m="1" x="4764"/>
        <item x="262"/>
        <item m="1" x="5283"/>
        <item x="1012"/>
        <item m="1" x="7557"/>
        <item m="1" x="7476"/>
        <item x="950"/>
        <item m="1" x="7760"/>
        <item x="2546"/>
        <item m="1" x="7672"/>
        <item m="1" x="4051"/>
        <item m="1" x="3922"/>
        <item m="1" x="4320"/>
        <item m="1" x="4263"/>
        <item m="1" x="7000"/>
        <item m="1" x="4090"/>
        <item x="2935"/>
        <item x="1489"/>
        <item x="547"/>
        <item x="579"/>
        <item m="1" x="4002"/>
        <item m="1" x="6311"/>
        <item m="1" x="6479"/>
        <item x="889"/>
        <item m="1" x="5534"/>
        <item m="1" x="5104"/>
        <item m="1" x="5157"/>
        <item x="906"/>
        <item x="1254"/>
        <item m="1" x="6485"/>
        <item m="1" x="4016"/>
        <item m="1" x="6924"/>
        <item m="1" x="5236"/>
        <item m="1" x="6233"/>
        <item m="1" x="5785"/>
        <item x="2599"/>
        <item m="1" x="4442"/>
        <item m="1" x="5793"/>
        <item m="1" x="4811"/>
        <item m="1" x="4794"/>
        <item m="1" x="5736"/>
        <item x="690"/>
        <item m="1" x="4277"/>
        <item x="3434"/>
        <item m="1" x="5698"/>
        <item m="1" x="6956"/>
        <item m="1" x="4412"/>
        <item m="1" x="3593"/>
        <item x="635"/>
        <item m="1" x="4589"/>
        <item x="2898"/>
        <item m="1" x="7641"/>
        <item m="1" x="7168"/>
        <item m="1" x="5803"/>
        <item m="1" x="5165"/>
        <item m="1" x="4971"/>
        <item x="402"/>
        <item m="1" x="5662"/>
        <item m="1" x="5919"/>
        <item x="2474"/>
        <item x="261"/>
        <item x="952"/>
        <item x="1240"/>
        <item m="1" x="4992"/>
        <item x="1859"/>
        <item x="2264"/>
        <item m="1" x="4870"/>
        <item m="1" x="5895"/>
        <item m="1" x="6301"/>
        <item x="3311"/>
        <item m="1" x="6007"/>
        <item m="1" x="7566"/>
        <item m="1" x="3606"/>
        <item x="2839"/>
        <item x="3258"/>
        <item x="2165"/>
        <item x="744"/>
        <item m="1" x="7660"/>
        <item m="1" x="4737"/>
        <item x="2772"/>
        <item m="1" x="4456"/>
        <item x="1173"/>
        <item m="1" x="5141"/>
        <item m="1" x="6091"/>
        <item x="2157"/>
        <item x="2952"/>
        <item m="1" x="6764"/>
        <item x="3237"/>
        <item m="1" x="4838"/>
        <item x="2301"/>
        <item m="1" x="4611"/>
        <item m="1" x="5466"/>
        <item m="1" x="4225"/>
        <item x="1006"/>
        <item x="1456"/>
        <item x="3272"/>
        <item m="1" x="4713"/>
        <item x="794"/>
        <item m="1" x="6282"/>
        <item m="1" x="3977"/>
        <item x="533"/>
        <item m="1" x="6979"/>
        <item m="1" x="6449"/>
        <item x="2897"/>
        <item m="1" x="3704"/>
        <item m="1" x="6715"/>
        <item m="1" x="3544"/>
        <item m="1" x="7857"/>
        <item m="1" x="3758"/>
        <item m="1" x="3748"/>
        <item x="1797"/>
        <item x="1735"/>
        <item m="1" x="7940"/>
        <item m="1" x="3571"/>
        <item x="3478"/>
        <item x="610"/>
        <item m="1" x="4315"/>
        <item m="1" x="4385"/>
        <item x="1326"/>
        <item x="1705"/>
        <item x="3224"/>
        <item m="1" x="5284"/>
        <item m="1" x="6478"/>
        <item m="1" x="4011"/>
        <item x="182"/>
        <item m="1" x="5878"/>
        <item m="1" x="6503"/>
        <item x="3475"/>
        <item m="1" x="6589"/>
        <item x="1133"/>
        <item x="2666"/>
        <item x="3098"/>
        <item m="1" x="5775"/>
        <item x="3060"/>
        <item x="1521"/>
        <item m="1" x="6083"/>
        <item x="1327"/>
        <item m="1" x="3825"/>
        <item m="1" x="4986"/>
        <item m="1" x="5794"/>
        <item x="2626"/>
        <item m="1" x="6471"/>
        <item m="1" x="3947"/>
        <item m="1" x="4621"/>
        <item x="118"/>
        <item x="1393"/>
        <item m="1" x="6861"/>
        <item m="1" x="6722"/>
        <item m="1" x="3531"/>
        <item x="2910"/>
        <item x="2096"/>
        <item x="1686"/>
        <item m="1" x="4246"/>
        <item x="522"/>
        <item m="1" x="4953"/>
        <item m="1" x="5824"/>
        <item x="392"/>
        <item x="2529"/>
        <item m="1" x="4393"/>
        <item x="870"/>
        <item m="1" x="4554"/>
        <item x="3419"/>
        <item m="1" x="7882"/>
        <item m="1" x="4541"/>
        <item x="1116"/>
        <item m="1" x="4840"/>
        <item m="1" x="6097"/>
        <item x="3013"/>
        <item m="1" x="4776"/>
        <item x="2265"/>
        <item x="2918"/>
        <item m="1" x="3699"/>
        <item m="1" x="5394"/>
        <item m="1" x="3724"/>
        <item m="1" x="6232"/>
        <item x="2536"/>
        <item x="1201"/>
        <item x="1605"/>
        <item m="1" x="6150"/>
        <item m="1" x="6546"/>
        <item x="2374"/>
        <item m="1" x="7451"/>
        <item m="1" x="4329"/>
        <item x="1522"/>
        <item m="1" x="5991"/>
        <item x="2235"/>
        <item x="675"/>
        <item x="221"/>
        <item m="1" x="4631"/>
        <item x="3209"/>
        <item m="1" x="5609"/>
        <item m="1" x="4727"/>
        <item m="1" x="5237"/>
        <item m="1" x="5207"/>
        <item x="2594"/>
        <item x="1740"/>
        <item x="1435"/>
        <item x="2149"/>
        <item x="2940"/>
        <item x="2293"/>
        <item m="1" x="7534"/>
        <item m="1" x="7208"/>
        <item m="1" x="7225"/>
        <item m="1" x="7746"/>
        <item m="1" x="6355"/>
        <item m="1" x="5854"/>
        <item m="1" x="6267"/>
        <item x="2071"/>
        <item x="1523"/>
        <item x="100"/>
        <item x="3452"/>
        <item x="1586"/>
        <item x="1706"/>
        <item m="1" x="4323"/>
        <item m="1" x="7452"/>
        <item m="1" x="4192"/>
        <item x="2938"/>
        <item m="1" x="3695"/>
        <item m="1" x="3542"/>
        <item m="1" x="3957"/>
        <item m="1" x="7352"/>
        <item m="1" x="6547"/>
        <item m="1" x="5490"/>
        <item m="1" x="7919"/>
        <item m="1" x="7599"/>
        <item m="1" x="7488"/>
        <item m="1" x="6725"/>
        <item m="1" x="7636"/>
        <item x="825"/>
        <item m="1" x="6323"/>
        <item x="3466"/>
        <item x="780"/>
        <item x="469"/>
        <item m="1" x="6530"/>
        <item x="3519"/>
        <item x="1903"/>
        <item m="1" x="4077"/>
        <item m="1" x="7209"/>
        <item m="1" x="7659"/>
        <item m="1" x="6635"/>
        <item x="3077"/>
        <item m="1" x="4357"/>
        <item x="548"/>
        <item m="1" x="7986"/>
        <item x="1013"/>
        <item m="1" x="3535"/>
        <item x="412"/>
        <item x="326"/>
        <item m="1" x="5987"/>
        <item m="1" x="3991"/>
        <item x="2881"/>
        <item x="1104"/>
        <item m="1" x="7506"/>
        <item m="1" x="5591"/>
        <item x="2104"/>
        <item m="1" x="7564"/>
        <item m="1" x="7275"/>
        <item m="1" x="6312"/>
        <item x="1929"/>
        <item x="1707"/>
        <item m="1" x="4220"/>
        <item x="2231"/>
        <item x="2869"/>
        <item m="1" x="7711"/>
        <item m="1" x="7680"/>
        <item m="1" x="3921"/>
        <item x="2451"/>
        <item m="1" x="5155"/>
        <item x="183"/>
        <item m="1" x="5896"/>
        <item m="1" x="6855"/>
        <item m="1" x="5976"/>
        <item m="1" x="4355"/>
        <item m="1" x="6836"/>
        <item x="2934"/>
        <item m="1" x="7290"/>
        <item m="1" x="5024"/>
        <item x="1708"/>
        <item x="1842"/>
        <item m="1" x="3752"/>
        <item x="2691"/>
        <item m="1" x="7443"/>
        <item m="1" x="4961"/>
        <item x="1103"/>
        <item m="1" x="7894"/>
        <item m="1" x="6581"/>
        <item x="627"/>
        <item x="2601"/>
        <item m="1" x="5156"/>
        <item x="2055"/>
        <item m="1" x="6846"/>
        <item x="2912"/>
        <item x="580"/>
        <item m="1" x="7910"/>
        <item x="1342"/>
        <item m="1" x="5460"/>
        <item x="706"/>
        <item x="1030"/>
        <item x="413"/>
        <item m="1" x="4185"/>
        <item x="3008"/>
        <item m="1" x="4156"/>
        <item m="1" x="5564"/>
        <item x="2815"/>
        <item m="1" x="6818"/>
        <item m="1" x="7833"/>
        <item m="1" x="3532"/>
        <item m="1" x="7579"/>
        <item x="2400"/>
        <item m="1" x="6792"/>
        <item m="1" x="6793"/>
        <item m="1" x="4682"/>
        <item m="1" x="4658"/>
        <item x="1269"/>
        <item m="1" x="7117"/>
        <item x="1754"/>
        <item x="1656"/>
        <item x="872"/>
        <item x="3312"/>
        <item x="1898"/>
        <item m="1" x="3887"/>
        <item m="1" x="4715"/>
        <item m="1" x="3879"/>
        <item x="40"/>
        <item m="1" x="4711"/>
        <item m="1" x="5285"/>
        <item m="1" x="7593"/>
        <item x="653"/>
        <item x="859"/>
        <item x="679"/>
        <item m="1" x="5421"/>
        <item m="1" x="5068"/>
        <item m="1" x="7813"/>
        <item m="1" x="5194"/>
        <item m="1" x="7677"/>
        <item m="1" x="7727"/>
        <item x="2468"/>
        <item x="2882"/>
        <item x="77"/>
        <item x="414"/>
        <item x="275"/>
        <item m="1" x="4679"/>
        <item m="1" x="6772"/>
        <item x="2174"/>
        <item x="2902"/>
        <item x="1575"/>
        <item m="1" x="7180"/>
        <item x="387"/>
        <item m="1" x="7559"/>
        <item m="1" x="7924"/>
        <item x="1687"/>
        <item x="2999"/>
        <item m="1" x="6065"/>
        <item m="1" x="5945"/>
        <item x="1134"/>
        <item x="2241"/>
        <item m="1" x="5723"/>
        <item m="1" x="4735"/>
        <item x="363"/>
        <item x="1595"/>
        <item m="1" x="5370"/>
        <item x="3154"/>
        <item m="1" x="6207"/>
        <item m="1" x="3995"/>
        <item x="2883"/>
        <item x="1910"/>
        <item m="1" x="5501"/>
        <item m="1" x="3586"/>
        <item m="1" x="4178"/>
        <item m="1" x="6149"/>
        <item x="1182"/>
        <item m="1" x="4003"/>
        <item x="986"/>
        <item m="1" x="5533"/>
        <item x="1328"/>
        <item m="1" x="5001"/>
        <item x="3496"/>
        <item m="1" x="4378"/>
        <item x="3278"/>
        <item x="549"/>
        <item x="1060"/>
        <item x="1064"/>
        <item m="1" x="5057"/>
        <item m="1" x="5005"/>
        <item m="1" x="4985"/>
        <item x="473"/>
        <item m="1" x="7447"/>
        <item m="1" x="5661"/>
        <item x="2894"/>
        <item m="1" x="3883"/>
        <item x="2506"/>
        <item x="382"/>
        <item x="3520"/>
        <item m="1" x="5007"/>
        <item x="397"/>
        <item m="1" x="6441"/>
        <item m="1" x="6422"/>
        <item m="1" x="5543"/>
        <item x="484"/>
        <item m="1" x="4843"/>
        <item x="2729"/>
        <item x="1343"/>
        <item m="1" x="4169"/>
        <item x="67"/>
        <item x="2787"/>
        <item x="3245"/>
        <item m="1" x="4034"/>
        <item m="1" x="3643"/>
        <item x="0"/>
        <item x="2329"/>
        <item m="1" x="5749"/>
        <item x="1394"/>
        <item m="1" x="7793"/>
        <item x="1642"/>
        <item x="3241"/>
        <item m="1" x="7838"/>
        <item m="1" x="7154"/>
        <item m="1" x="4590"/>
        <item x="784"/>
        <item m="1" x="4670"/>
        <item x="2230"/>
        <item m="1" x="7081"/>
        <item x="2401"/>
        <item m="1" x="3990"/>
        <item m="1" x="5489"/>
        <item m="1" x="7900"/>
        <item m="1" x="7103"/>
        <item x="1443"/>
        <item x="2496"/>
        <item x="2333"/>
        <item x="2851"/>
        <item m="1" x="5724"/>
        <item x="3242"/>
        <item x="494"/>
        <item m="1" x="5064"/>
        <item x="2913"/>
        <item m="1" x="5989"/>
        <item x="335"/>
        <item m="1" x="7126"/>
        <item m="1" x="7547"/>
        <item m="1" x="5997"/>
        <item m="1" x="4043"/>
        <item m="1" x="3935"/>
        <item m="1" x="5083"/>
        <item x="1696"/>
        <item x="1843"/>
        <item m="1" x="5348"/>
        <item x="222"/>
        <item x="293"/>
        <item x="3200"/>
        <item m="1" x="3674"/>
        <item m="1" x="3744"/>
        <item x="2129"/>
        <item m="1" x="5677"/>
        <item x="78"/>
        <item x="649"/>
        <item x="1288"/>
        <item x="2260"/>
        <item m="1" x="4765"/>
        <item m="1" x="7195"/>
        <item m="1" x="7915"/>
        <item m="1" x="6587"/>
        <item m="1" x="7492"/>
        <item m="1" x="5559"/>
        <item m="1" x="5947"/>
        <item m="1" x="6570"/>
        <item x="750"/>
        <item x="1587"/>
        <item m="1" x="6208"/>
        <item m="1" x="7293"/>
        <item m="1" x="4542"/>
        <item m="1" x="3545"/>
        <item m="1" x="7305"/>
        <item m="1" x="6121"/>
        <item m="1" x="7671"/>
        <item x="902"/>
        <item m="1" x="7075"/>
        <item x="1833"/>
        <item x="1464"/>
        <item x="1763"/>
        <item m="1" x="3753"/>
        <item m="1" x="3821"/>
        <item m="1" x="3815"/>
        <item m="1" x="3551"/>
        <item m="1" x="7111"/>
        <item m="1" x="4915"/>
        <item x="2402"/>
        <item m="1" x="6315"/>
        <item m="1" x="4777"/>
        <item m="1" x="6152"/>
        <item x="2958"/>
        <item x="2697"/>
        <item m="1" x="7518"/>
        <item x="2310"/>
        <item x="922"/>
        <item m="1" x="5870"/>
        <item m="1" x="5699"/>
        <item x="2730"/>
        <item m="1" x="6066"/>
        <item m="1" x="6128"/>
        <item m="1" x="4659"/>
        <item x="2979"/>
        <item m="1" x="6940"/>
        <item m="1" x="6209"/>
        <item m="1" x="3856"/>
        <item m="1" x="3831"/>
        <item m="1" x="3844"/>
        <item x="2213"/>
        <item m="1" x="6186"/>
        <item x="3230"/>
        <item m="1" x="7011"/>
        <item x="964"/>
        <item m="1" x="6666"/>
        <item m="1" x="7049"/>
        <item x="641"/>
        <item m="1" x="5700"/>
        <item x="1436"/>
        <item m="1" x="6966"/>
        <item m="1" x="7381"/>
        <item m="1" x="4622"/>
        <item x="550"/>
        <item m="1" x="5488"/>
        <item m="1" x="4140"/>
        <item x="2903"/>
        <item x="1875"/>
        <item m="1" x="3899"/>
        <item x="2679"/>
        <item x="2362"/>
        <item m="1" x="4752"/>
        <item m="1" x="7788"/>
        <item m="1" x="7540"/>
        <item x="2884"/>
        <item m="1" x="3728"/>
        <item m="1" x="5858"/>
        <item m="1" x="7408"/>
        <item x="2403"/>
        <item m="1" x="6268"/>
        <item x="2980"/>
        <item m="1" x="4458"/>
        <item m="1" x="7689"/>
        <item m="1" x="6004"/>
        <item x="1221"/>
        <item m="1" x="4632"/>
        <item x="3313"/>
        <item m="1" x="4649"/>
        <item m="1" x="7917"/>
        <item m="1" x="7998"/>
        <item m="1" x="6067"/>
        <item m="1" x="7513"/>
        <item x="210"/>
        <item m="1" x="5190"/>
        <item x="15"/>
        <item m="1" x="6023"/>
        <item m="1" x="6022"/>
        <item x="850"/>
        <item x="285"/>
        <item x="963"/>
        <item x="2404"/>
        <item x="3067"/>
        <item m="1" x="3663"/>
        <item x="1089"/>
        <item m="1" x="3575"/>
        <item m="1" x="3631"/>
        <item m="1" x="3579"/>
        <item m="1" x="3829"/>
        <item m="1" x="7582"/>
        <item m="1" x="3826"/>
        <item m="1" x="4473"/>
        <item m="1" x="6983"/>
        <item x="266"/>
        <item x="2503"/>
        <item m="1" x="5208"/>
        <item m="1" x="3742"/>
        <item m="1" x="5322"/>
        <item m="1" x="5784"/>
        <item m="1" x="7052"/>
        <item m="1" x="6234"/>
        <item m="1" x="3845"/>
        <item x="2244"/>
        <item x="309"/>
        <item m="1" x="5042"/>
        <item m="1" x="6159"/>
        <item x="3486"/>
        <item x="2680"/>
        <item x="1183"/>
        <item m="1" x="5551"/>
        <item x="1302"/>
        <item m="1" x="6056"/>
        <item m="1" x="4167"/>
        <item x="2151"/>
        <item m="1" x="3963"/>
        <item m="1" x="4778"/>
        <item x="1673"/>
        <item x="1344"/>
        <item m="1" x="6573"/>
        <item x="2336"/>
        <item m="1" x="7837"/>
        <item x="2476"/>
        <item x="2643"/>
        <item m="1" x="7262"/>
        <item x="3247"/>
        <item x="752"/>
        <item m="1" x="5286"/>
        <item m="1" x="5119"/>
        <item x="2458"/>
        <item m="1" x="7798"/>
        <item x="764"/>
        <item m="1" x="6591"/>
        <item m="1" x="6531"/>
        <item x="1881"/>
        <item m="1" x="6473"/>
        <item m="1" x="5577"/>
        <item m="1" x="4441"/>
        <item m="1" x="4837"/>
        <item x="1610"/>
        <item m="1" x="6456"/>
        <item m="1" x="7493"/>
        <item x="3004"/>
        <item m="1" x="7306"/>
        <item m="1" x="6541"/>
        <item m="1" x="6751"/>
        <item x="1622"/>
        <item m="1" x="5558"/>
        <item m="1" x="6109"/>
        <item m="1" x="5167"/>
        <item m="1" x="7003"/>
        <item m="1" x="7609"/>
        <item m="1" x="4706"/>
        <item m="1" x="4689"/>
        <item x="2576"/>
        <item x="2036"/>
        <item m="1" x="5552"/>
        <item m="1" x="7880"/>
        <item m="1" x="4633"/>
        <item m="1" x="6816"/>
        <item m="1" x="7543"/>
        <item x="2217"/>
        <item m="1" x="5062"/>
        <item x="2375"/>
        <item m="1" x="6567"/>
        <item x="551"/>
        <item m="1" x="6388"/>
        <item x="2661"/>
        <item x="415"/>
        <item m="1" x="7114"/>
        <item x="1345"/>
        <item m="1" x="5338"/>
        <item m="1" x="5774"/>
        <item m="1" x="4137"/>
        <item x="795"/>
        <item x="3047"/>
        <item m="1" x="3968"/>
        <item x="2954"/>
        <item x="1689"/>
        <item m="1" x="7139"/>
        <item x="622"/>
        <item m="1" x="6585"/>
        <item m="1" x="5764"/>
        <item x="1068"/>
        <item x="939"/>
        <item x="1222"/>
        <item m="1" x="7873"/>
        <item x="417"/>
        <item m="1" x="3632"/>
        <item x="2175"/>
        <item x="1645"/>
        <item x="1860"/>
        <item x="863"/>
        <item m="1" x="7542"/>
        <item x="1216"/>
        <item x="552"/>
        <item x="68"/>
        <item x="56"/>
        <item m="1" x="7843"/>
        <item x="1145"/>
        <item m="1" x="4844"/>
        <item m="1" x="5419"/>
        <item x="1876"/>
        <item m="1" x="6289"/>
        <item x="2885"/>
        <item x="2876"/>
        <item x="418"/>
        <item x="419"/>
        <item m="1" x="5162"/>
        <item m="1" x="6119"/>
        <item x="1484"/>
        <item m="1" x="7650"/>
        <item x="1202"/>
        <item m="1" x="6099"/>
        <item m="1" x="3767"/>
        <item m="1" x="3547"/>
        <item m="1" x="5487"/>
        <item x="1524"/>
        <item m="1" x="5383"/>
        <item m="1" x="6180"/>
        <item x="2995"/>
        <item x="1346"/>
        <item x="796"/>
        <item m="1" x="6689"/>
        <item m="1" x="6054"/>
        <item x="3129"/>
        <item x="2972"/>
        <item m="1" x="6598"/>
        <item x="2324"/>
        <item m="1" x="6129"/>
        <item m="1" x="6316"/>
        <item x="1961"/>
        <item m="1" x="6421"/>
        <item m="1" x="6215"/>
        <item m="1" x="4052"/>
        <item m="1" x="4445"/>
        <item m="1" x="6440"/>
        <item x="940"/>
        <item m="1" x="6296"/>
        <item x="1939"/>
        <item m="1" x="7207"/>
        <item x="2176"/>
        <item x="3177"/>
        <item x="1598"/>
        <item m="1" x="4760"/>
        <item x="2266"/>
        <item m="1" x="4381"/>
        <item m="1" x="4040"/>
        <item m="1" x="6767"/>
        <item m="1" x="5366"/>
        <item m="1" x="3683"/>
        <item x="879"/>
        <item m="1" x="6480"/>
        <item m="1" x="5994"/>
        <item m="1" x="3814"/>
        <item m="1" x="5926"/>
        <item m="1" x="4754"/>
        <item x="613"/>
        <item m="1" x="7217"/>
        <item x="3461"/>
        <item m="1" x="4850"/>
        <item m="1" x="7661"/>
        <item m="1" x="4072"/>
        <item m="1" x="7416"/>
        <item m="1" x="7417"/>
        <item x="460"/>
        <item x="2994"/>
        <item m="1" x="6740"/>
        <item x="2605"/>
        <item m="1" x="6334"/>
        <item x="90"/>
        <item m="1" x="3801"/>
        <item x="821"/>
        <item x="2532"/>
        <item x="236"/>
        <item m="1" x="5065"/>
        <item m="1" x="4407"/>
        <item x="1037"/>
        <item x="777"/>
        <item m="1" x="4436"/>
        <item m="1" x="5680"/>
        <item m="1" x="7504"/>
        <item m="1" x="3648"/>
        <item m="1" x="6194"/>
        <item x="3126"/>
        <item x="1594"/>
        <item x="998"/>
        <item x="2950"/>
        <item m="1" x="5738"/>
        <item x="2058"/>
        <item x="1139"/>
        <item x="364"/>
        <item m="1" x="4738"/>
        <item x="3032"/>
        <item m="1" x="3538"/>
        <item x="797"/>
        <item x="1271"/>
        <item x="2859"/>
        <item x="2501"/>
        <item x="1954"/>
        <item m="1" x="5940"/>
        <item x="1399"/>
        <item x="1783"/>
        <item x="299"/>
        <item x="2140"/>
        <item x="1223"/>
        <item m="1" x="6617"/>
        <item x="2177"/>
        <item m="1" x="7503"/>
        <item m="1" x="7166"/>
        <item m="1" x="5101"/>
        <item x="905"/>
        <item m="1" x="7242"/>
        <item m="1" x="4053"/>
        <item m="1" x="7263"/>
        <item m="1" x="6721"/>
        <item m="1" x="4138"/>
        <item m="1" x="6622"/>
        <item x="1571"/>
        <item x="3249"/>
        <item m="1" x="7736"/>
        <item m="1" x="4374"/>
        <item x="2696"/>
        <item m="1" x="5238"/>
        <item m="1" x="6575"/>
        <item x="2405"/>
        <item x="1662"/>
        <item m="1" x="5707"/>
        <item m="1" x="7990"/>
        <item m="1" x="6442"/>
        <item x="3099"/>
        <item m="1" x="5605"/>
        <item x="776"/>
        <item m="1" x="5172"/>
        <item m="1" x="4690"/>
        <item m="1" x="5160"/>
        <item m="1" x="5161"/>
        <item m="1" x="5831"/>
        <item x="834"/>
        <item m="1" x="4779"/>
        <item x="1"/>
        <item m="1" x="4131"/>
        <item m="1" x="6785"/>
        <item m="1" x="5387"/>
        <item m="1" x="6646"/>
        <item m="1" x="4602"/>
        <item x="2145"/>
        <item m="1" x="4942"/>
        <item x="112"/>
        <item x="742"/>
        <item x="2968"/>
        <item m="1" x="3559"/>
        <item x="3292"/>
        <item m="1" x="3589"/>
        <item x="2308"/>
        <item m="1" x="3692"/>
        <item x="1709"/>
        <item x="2187"/>
        <item m="1" x="4923"/>
        <item m="1" x="4913"/>
        <item m="1" x="6835"/>
        <item m="1" x="7701"/>
        <item m="1" x="6112"/>
        <item x="2848"/>
        <item x="848"/>
        <item m="1" x="6322"/>
        <item m="1" x="4650"/>
        <item m="1" x="4453"/>
        <item x="3188"/>
        <item x="1574"/>
        <item m="1" x="4009"/>
        <item m="1" x="7570"/>
        <item m="1" x="7319"/>
        <item m="1" x="6037"/>
        <item m="1" x="4684"/>
        <item x="887"/>
        <item m="1" x="7234"/>
        <item m="1" x="6827"/>
        <item m="1" x="7283"/>
        <item m="1" x="5683"/>
        <item m="1" x="6335"/>
        <item x="1029"/>
        <item m="1" x="4462"/>
        <item m="1" x="7159"/>
        <item x="3259"/>
        <item x="1882"/>
        <item m="1" x="3569"/>
        <item x="915"/>
        <item m="1" x="7987"/>
        <item m="1" x="7164"/>
        <item m="1" x="5607"/>
        <item x="1710"/>
        <item m="1" x="7269"/>
        <item x="178"/>
        <item m="1" x="4692"/>
        <item m="1" x="5544"/>
        <item x="2406"/>
        <item x="3514"/>
        <item m="1" x="7525"/>
        <item x="1525"/>
        <item x="2846"/>
        <item x="1310"/>
        <item x="394"/>
        <item m="1" x="7210"/>
        <item x="2830"/>
        <item m="1" x="6529"/>
        <item m="1" x="7237"/>
        <item x="908"/>
        <item m="1" x="5818"/>
        <item m="1" x="6362"/>
        <item m="1" x="7823"/>
        <item x="923"/>
        <item m="1" x="6759"/>
        <item m="1" x="7252"/>
        <item x="169"/>
        <item m="1" x="6101"/>
        <item m="1" x="5973"/>
        <item m="1" x="7912"/>
        <item x="92"/>
        <item m="1" x="6898"/>
        <item x="2105"/>
        <item x="3382"/>
        <item x="581"/>
        <item x="934"/>
        <item m="1" x="4027"/>
        <item x="2731"/>
        <item m="1" x="6879"/>
        <item x="2102"/>
        <item x="1154"/>
        <item m="1" x="7951"/>
        <item x="3509"/>
        <item m="1" x="7361"/>
        <item m="1" x="5810"/>
        <item m="1" x="7594"/>
        <item m="1" x="7693"/>
        <item x="924"/>
        <item m="1" x="4411"/>
        <item m="1" x="6340"/>
        <item x="1412"/>
        <item m="1" x="5075"/>
        <item x="2296"/>
        <item x="798"/>
        <item m="1" x="4259"/>
        <item x="1386"/>
        <item m="1" x="4421"/>
        <item x="2267"/>
        <item x="1347"/>
        <item x="27"/>
        <item m="1" x="4499"/>
        <item x="2811"/>
        <item x="2073"/>
        <item m="1" x="6821"/>
        <item m="1" x="5071"/>
        <item x="2500"/>
        <item x="1747"/>
        <item m="1" x="7583"/>
        <item m="1" x="3595"/>
        <item x="779"/>
        <item m="1" x="7713"/>
        <item x="2236"/>
        <item m="1" x="3861"/>
        <item x="1767"/>
        <item m="1" x="3657"/>
        <item x="643"/>
        <item m="1" x="6202"/>
        <item m="1" x="4496"/>
        <item x="162"/>
        <item m="1" x="6972"/>
        <item x="582"/>
        <item m="1" x="3824"/>
        <item x="3444"/>
        <item x="1453"/>
        <item x="31"/>
        <item m="1" x="6613"/>
        <item m="1" x="4591"/>
        <item m="1" x="6165"/>
        <item x="3410"/>
        <item m="1" x="6242"/>
        <item m="1" x="6961"/>
        <item x="1682"/>
        <item m="1" x="5713"/>
        <item x="2689"/>
        <item x="2542"/>
        <item m="1" x="6497"/>
        <item x="2"/>
        <item m="1" x="5642"/>
        <item m="1" x="4207"/>
        <item m="1" x="7963"/>
        <item x="2648"/>
        <item x="501"/>
        <item x="2603"/>
        <item m="1" x="5287"/>
        <item m="1" x="4918"/>
        <item x="281"/>
        <item x="1992"/>
        <item x="3383"/>
        <item x="1431"/>
        <item m="1" x="3717"/>
        <item x="799"/>
        <item x="800"/>
        <item m="1" x="7142"/>
        <item m="1" x="4734"/>
        <item x="1784"/>
        <item m="1" x="4959"/>
        <item m="1" x="6283"/>
        <item x="3187"/>
        <item m="1" x="6640"/>
        <item x="3100"/>
        <item m="1" x="3842"/>
        <item m="1" x="6298"/>
        <item x="3182"/>
        <item m="1" x="6571"/>
        <item x="1184"/>
        <item m="1" x="7635"/>
        <item m="1" x="4642"/>
        <item x="2973"/>
        <item m="1" x="7663"/>
        <item x="583"/>
        <item m="1" x="7386"/>
        <item x="1624"/>
        <item m="1" x="5239"/>
        <item m="1" x="5615"/>
        <item x="2188"/>
        <item m="1" x="7980"/>
        <item m="1" x="7162"/>
        <item m="1" x="4425"/>
        <item m="1" x="5044"/>
        <item m="1" x="4660"/>
        <item x="3353"/>
        <item x="1384"/>
        <item m="1" x="4744"/>
        <item x="1263"/>
        <item x="1100"/>
        <item m="1" x="6872"/>
        <item x="1919"/>
        <item m="1" x="6042"/>
        <item m="1" x="7630"/>
        <item x="3469"/>
        <item m="1" x="5288"/>
        <item m="1" x="4795"/>
        <item x="1630"/>
        <item x="925"/>
        <item m="1" x="5765"/>
        <item x="2223"/>
        <item m="1" x="4398"/>
        <item m="1" x="5897"/>
        <item x="2365"/>
        <item m="1" x="5497"/>
        <item m="1" x="4907"/>
        <item m="1" x="7804"/>
        <item m="1" x="7642"/>
        <item m="1" x="7270"/>
        <item m="1" x="6211"/>
        <item x="2255"/>
        <item m="1" x="7068"/>
        <item x="1825"/>
        <item m="1" x="3838"/>
        <item m="1" x="7489"/>
        <item m="1" x="4687"/>
        <item m="1" x="5982"/>
        <item x="3210"/>
        <item x="3472"/>
        <item m="1" x="5240"/>
        <item x="3156"/>
        <item x="2237"/>
        <item m="1" x="6934"/>
        <item m="1" x="5209"/>
        <item x="570"/>
        <item m="1" x="5289"/>
        <item m="1" x="7742"/>
        <item x="1670"/>
        <item m="1" x="5692"/>
        <item x="1993"/>
        <item m="1" x="5839"/>
        <item m="1" x="5164"/>
        <item x="511"/>
        <item x="2526"/>
        <item m="1" x="6592"/>
        <item m="1" x="6059"/>
        <item m="1" x="5000"/>
        <item x="3048"/>
        <item x="237"/>
        <item m="1" x="5290"/>
        <item m="1" x="3835"/>
        <item m="1" x="6072"/>
        <item x="1526"/>
        <item x="1169"/>
        <item x="2847"/>
        <item x="1297"/>
        <item x="2242"/>
        <item x="2366"/>
        <item m="1" x="3712"/>
        <item m="1" x="6659"/>
        <item x="1795"/>
        <item x="1348"/>
        <item m="1" x="5364"/>
        <item x="801"/>
        <item m="1" x="7206"/>
        <item x="3454"/>
        <item m="1" x="7096"/>
        <item m="1" x="5241"/>
        <item x="2637"/>
        <item x="926"/>
        <item m="1" x="4885"/>
        <item x="265"/>
        <item x="2069"/>
        <item x="300"/>
        <item x="1400"/>
        <item m="1" x="5371"/>
        <item m="1" x="4505"/>
        <item x="102"/>
        <item x="2944"/>
        <item m="1" x="6609"/>
        <item m="1" x="3823"/>
        <item x="1022"/>
        <item m="1" x="5742"/>
        <item x="336"/>
        <item m="1" x="3727"/>
        <item m="1" x="4651"/>
        <item m="1" x="3880"/>
        <item m="1" x="4596"/>
        <item x="1329"/>
        <item x="1527"/>
        <item x="2407"/>
        <item x="2132"/>
        <item m="1" x="5430"/>
        <item m="1" x="3664"/>
        <item x="2905"/>
        <item x="2929"/>
        <item m="1" x="6061"/>
        <item m="1" x="6429"/>
        <item x="1918"/>
        <item x="3251"/>
        <item x="1276"/>
        <item x="3144"/>
        <item x="366"/>
        <item x="2981"/>
        <item x="727"/>
        <item x="2033"/>
        <item m="1" x="5811"/>
        <item m="1" x="4039"/>
        <item m="1" x="6939"/>
        <item x="909"/>
        <item x="891"/>
        <item x="2634"/>
        <item m="1" x="7127"/>
        <item m="1" x="5323"/>
        <item m="1" x="7350"/>
        <item m="1" x="6070"/>
        <item m="1" x="6259"/>
        <item x="2247"/>
        <item x="2555"/>
        <item m="1" x="7978"/>
        <item m="1" x="4143"/>
        <item m="1" x="4333"/>
        <item m="1" x="4424"/>
        <item x="44"/>
        <item x="1069"/>
        <item x="1655"/>
        <item x="2456"/>
        <item m="1" x="4343"/>
        <item m="1" x="5034"/>
        <item m="1" x="5052"/>
        <item m="1" x="5049"/>
        <item m="1" x="6894"/>
        <item m="1" x="4661"/>
        <item m="1" x="6317"/>
        <item x="2306"/>
        <item x="2072"/>
        <item m="1" x="6552"/>
        <item m="1" x="4240"/>
        <item m="1" x="5060"/>
        <item x="2556"/>
        <item x="482"/>
        <item x="2579"/>
        <item m="1" x="5745"/>
        <item m="1" x="6781"/>
        <item x="2675"/>
        <item m="1" x="5565"/>
        <item x="238"/>
        <item m="1" x="5949"/>
        <item m="1" x="7100"/>
        <item m="1" x="4571"/>
        <item m="1" x="5210"/>
        <item x="941"/>
        <item x="2111"/>
        <item x="1387"/>
        <item m="1" x="3827"/>
        <item m="1" x="6026"/>
        <item m="1" x="4528"/>
        <item m="1" x="6330"/>
        <item x="3359"/>
        <item x="126"/>
        <item m="1" x="6068"/>
        <item x="3027"/>
        <item m="1" x="3954"/>
        <item m="1" x="4796"/>
        <item m="1" x="5028"/>
        <item m="1" x="5747"/>
        <item m="1" x="5242"/>
        <item m="1" x="5766"/>
        <item m="1" x="5291"/>
        <item m="1" x="7116"/>
        <item m="1" x="4302"/>
        <item x="1777"/>
        <item x="2786"/>
        <item x="1454"/>
        <item x="1459"/>
        <item m="1" x="5751"/>
        <item m="1" x="7226"/>
        <item m="1" x="4060"/>
        <item m="1" x="4487"/>
        <item x="2470"/>
        <item m="1" x="4492"/>
        <item m="1" x="7218"/>
        <item m="1" x="4615"/>
        <item m="1" x="6981"/>
        <item m="1" x="7888"/>
        <item m="1" x="7197"/>
        <item x="3412"/>
        <item m="1" x="6290"/>
        <item m="1" x="5871"/>
        <item m="1" x="4144"/>
        <item m="1" x="4824"/>
        <item m="1" x="7425"/>
        <item m="1" x="7418"/>
        <item m="1" x="7419"/>
        <item x="1349"/>
        <item x="837"/>
        <item x="1149"/>
        <item x="2982"/>
        <item m="1" x="4671"/>
        <item x="1121"/>
        <item m="1" x="7015"/>
        <item m="1" x="4825"/>
        <item m="1" x="7051"/>
        <item x="1994"/>
        <item m="1" x="3951"/>
        <item m="1" x="3965"/>
        <item x="2671"/>
        <item m="1" x="3668"/>
        <item m="1" x="6632"/>
        <item m="1" x="5191"/>
        <item x="1568"/>
        <item x="2268"/>
        <item m="1" x="7251"/>
        <item m="1" x="5660"/>
        <item m="1" x="4911"/>
        <item x="2447"/>
        <item x="786"/>
        <item x="787"/>
        <item x="3243"/>
        <item x="3043"/>
        <item m="1" x="5404"/>
        <item x="538"/>
        <item m="1" x="6899"/>
        <item m="1" x="4547"/>
        <item m="1" x="4928"/>
        <item m="1" x="4209"/>
        <item m="1" x="7301"/>
        <item m="1" x="4695"/>
        <item m="1" x="7324"/>
        <item m="1" x="7074"/>
        <item m="1" x="4712"/>
        <item m="1" x="7337"/>
        <item m="1" x="3669"/>
        <item x="1885"/>
        <item x="218"/>
        <item m="1" x="4337"/>
        <item m="1" x="4423"/>
        <item x="3474"/>
        <item m="1" x="7185"/>
        <item x="678"/>
        <item x="2681"/>
        <item x="2683"/>
        <item m="1" x="7430"/>
        <item x="2117"/>
        <item x="145"/>
        <item m="1" x="4216"/>
        <item x="3075"/>
        <item m="1" x="4030"/>
        <item m="1" x="3939"/>
        <item x="892"/>
        <item m="1" x="4187"/>
        <item m="1" x="7964"/>
        <item m="1" x="5797"/>
        <item x="3101"/>
        <item m="1" x="6371"/>
        <item x="1528"/>
        <item x="498"/>
        <item m="1" x="6706"/>
        <item x="1915"/>
        <item m="1" x="5566"/>
        <item x="1033"/>
        <item m="1" x="4721"/>
        <item x="2170"/>
        <item m="1" x="7794"/>
        <item x="2222"/>
        <item m="1" x="6374"/>
        <item m="1" x="7562"/>
        <item m="1" x="4908"/>
        <item m="1" x="4079"/>
        <item m="1" x="5578"/>
        <item m="1" x="5757"/>
        <item m="1" x="3536"/>
        <item m="1" x="6305"/>
        <item x="1679"/>
        <item m="1" x="5598"/>
        <item m="1" x="7357"/>
        <item m="1" x="4772"/>
        <item x="273"/>
        <item m="1" x="4603"/>
        <item x="224"/>
        <item x="485"/>
        <item x="3180"/>
        <item x="1778"/>
        <item m="1" x="5450"/>
        <item x="184"/>
        <item m="1" x="6356"/>
        <item m="1" x="3716"/>
        <item x="337"/>
        <item x="2347"/>
        <item x="1270"/>
        <item m="1" x="4238"/>
        <item m="1" x="3706"/>
        <item m="1" x="5701"/>
        <item x="1741"/>
        <item x="2610"/>
        <item m="1" x="4875"/>
        <item x="2462"/>
        <item x="871"/>
        <item x="3255"/>
        <item m="1" x="5882"/>
        <item x="1265"/>
        <item m="1" x="6148"/>
        <item x="1529"/>
        <item m="1" x="5066"/>
        <item m="1" x="3863"/>
        <item m="1" x="5531"/>
        <item x="1179"/>
        <item m="1" x="6660"/>
        <item x="3082"/>
        <item m="1" x="6190"/>
        <item x="2704"/>
        <item x="2618"/>
        <item m="1" x="4284"/>
        <item m="1" x="4408"/>
        <item m="1" x="4338"/>
        <item m="1" x="5324"/>
        <item m="1" x="5567"/>
        <item m="1" x="4234"/>
        <item m="1" x="4996"/>
        <item x="1801"/>
        <item x="3518"/>
        <item x="2408"/>
        <item m="1" x="5078"/>
        <item m="1" x="5433"/>
        <item x="2178"/>
        <item m="1" x="7758"/>
        <item m="1" x="5479"/>
        <item m="1" x="6053"/>
        <item m="1" x="3686"/>
        <item m="1" x="7947"/>
        <item m="1" x="6716"/>
        <item m="1" x="5107"/>
        <item x="1106"/>
        <item m="1" x="7477"/>
        <item x="1647"/>
        <item x="3064"/>
        <item m="1" x="4780"/>
        <item x="3460"/>
        <item x="2482"/>
        <item m="1" x="6991"/>
        <item x="3487"/>
        <item x="1314"/>
        <item x="584"/>
        <item x="3484"/>
        <item m="1" x="6314"/>
        <item x="3005"/>
        <item m="1" x="3640"/>
        <item x="106"/>
        <item m="1" x="4431"/>
        <item x="2688"/>
        <item x="987"/>
        <item x="420"/>
        <item x="1995"/>
        <item x="3222"/>
        <item x="2818"/>
        <item x="2533"/>
        <item x="1203"/>
        <item x="1530"/>
        <item m="1" x="6993"/>
        <item m="1" x="4834"/>
        <item m="1" x="6291"/>
        <item x="3220"/>
        <item x="1483"/>
        <item m="1" x="6400"/>
        <item x="2998"/>
        <item m="1" x="6997"/>
        <item m="1" x="4797"/>
        <item m="1" x="7517"/>
        <item x="1925"/>
        <item x="2693"/>
        <item x="338"/>
        <item m="1" x="6553"/>
        <item x="2705"/>
        <item x="3234"/>
        <item m="1" x="3999"/>
        <item m="1" x="3983"/>
        <item x="51"/>
        <item x="3002"/>
        <item x="514"/>
        <item m="1" x="6512"/>
        <item m="1" x="4929"/>
        <item x="3421"/>
        <item x="2514"/>
        <item m="1" x="5211"/>
        <item x="297"/>
        <item m="1" x="5186"/>
        <item m="1" x="6275"/>
        <item m="1" x="7811"/>
        <item m="1" x="4680"/>
        <item x="2706"/>
        <item m="1" x="7050"/>
        <item m="1" x="3677"/>
        <item m="1" x="4048"/>
        <item m="1" x="3885"/>
        <item x="2692"/>
        <item x="2376"/>
        <item m="1" x="4509"/>
        <item x="1940"/>
        <item x="1664"/>
        <item m="1" x="5836"/>
        <item x="2899"/>
        <item m="1" x="7346"/>
        <item x="2914"/>
        <item m="1" x="6824"/>
        <item m="1" x="5910"/>
        <item x="2136"/>
        <item m="1" x="6391"/>
        <item m="1" x="4781"/>
        <item m="1" x="4248"/>
        <item x="130"/>
        <item m="1" x="5925"/>
        <item m="1" x="6758"/>
        <item x="2330"/>
        <item x="1806"/>
        <item m="1" x="4105"/>
        <item x="170"/>
        <item m="1" x="4106"/>
        <item m="1" x="7200"/>
        <item m="1" x="7137"/>
        <item x="3392"/>
        <item x="826"/>
        <item m="1" x="7077"/>
        <item x="1904"/>
        <item m="1" x="7729"/>
        <item m="1" x="5773"/>
        <item x="1308"/>
        <item m="1" x="4291"/>
        <item x="286"/>
        <item x="625"/>
        <item m="1" x="7328"/>
        <item m="1" x="4693"/>
        <item x="168"/>
        <item m="1" x="7245"/>
        <item x="2993"/>
        <item m="1" x="3858"/>
        <item m="1" x="4517"/>
        <item m="1" x="4438"/>
        <item m="1" x="4440"/>
        <item x="858"/>
        <item m="1" x="3897"/>
        <item m="1" x="7233"/>
        <item m="1" x="6445"/>
        <item m="1" x="5176"/>
        <item m="1" x="7841"/>
        <item x="3387"/>
        <item m="1" x="4392"/>
        <item x="3516"/>
        <item m="1" x="3950"/>
        <item m="1" x="5898"/>
        <item m="1" x="6246"/>
        <item x="1098"/>
        <item m="1" x="5485"/>
        <item m="1" x="7809"/>
        <item m="1" x="4582"/>
        <item m="1" x="4046"/>
        <item m="1" x="5243"/>
        <item x="2469"/>
        <item m="1" x="6468"/>
        <item m="1" x="7617"/>
        <item m="1" x="4782"/>
        <item x="822"/>
        <item x="2409"/>
        <item x="3490"/>
        <item m="1" x="5244"/>
        <item x="2826"/>
        <item x="1159"/>
        <item m="1" x="7039"/>
        <item x="763"/>
        <item x="2953"/>
        <item x="527"/>
        <item m="1" x="4449"/>
        <item x="305"/>
        <item m="1" x="6653"/>
        <item m="1" x="5783"/>
        <item x="2189"/>
        <item m="1" x="5804"/>
        <item x="2607"/>
        <item m="1" x="4662"/>
        <item x="1578"/>
        <item m="1" x="6144"/>
        <item x="852"/>
        <item m="1" x="4540"/>
        <item m="1" x="3881"/>
        <item m="1" x="6193"/>
        <item m="1" x="6247"/>
        <item x="1941"/>
        <item m="1" x="4625"/>
        <item m="1" x="5676"/>
        <item m="1" x="5023"/>
        <item m="1" x="6428"/>
        <item x="529"/>
        <item x="1153"/>
        <item m="1" x="6538"/>
        <item m="1" x="3608"/>
        <item m="1" x="5481"/>
        <item m="1" x="7555"/>
        <item x="1096"/>
        <item m="1" x="7655"/>
        <item x="21"/>
        <item x="2225"/>
        <item m="1" x="6726"/>
        <item m="1" x="4479"/>
        <item m="1" x="7770"/>
        <item x="617"/>
        <item x="421"/>
        <item m="1" x="5346"/>
        <item m="1" x="5825"/>
        <item x="1003"/>
        <item m="1" x="6380"/>
        <item x="2385"/>
        <item x="3248"/>
        <item m="1" x="5397"/>
        <item m="1" x="3896"/>
        <item m="1" x="3809"/>
        <item m="1" x="3522"/>
        <item m="1" x="5715"/>
        <item m="1" x="5549"/>
        <item m="1" x="4783"/>
        <item x="953"/>
        <item x="2911"/>
        <item x="2498"/>
        <item x="347"/>
        <item m="1" x="5037"/>
        <item x="3246"/>
        <item m="1" x="6650"/>
        <item m="1" x="3785"/>
        <item m="1" x="6709"/>
        <item x="2314"/>
        <item x="1056"/>
        <item m="1" x="6967"/>
        <item m="1" x="5916"/>
        <item x="3314"/>
        <item x="1045"/>
        <item m="1" x="6980"/>
        <item m="1" x="4406"/>
        <item m="1" x="3786"/>
        <item x="10"/>
        <item x="1039"/>
        <item x="1877"/>
        <item x="3150"/>
        <item m="1" x="5887"/>
        <item m="1" x="7596"/>
        <item m="1" x="3599"/>
        <item x="3176"/>
        <item m="1" x="6130"/>
        <item m="1" x="5981"/>
        <item x="935"/>
        <item m="1" x="3582"/>
        <item x="1920"/>
        <item x="661"/>
        <item m="1" x="6791"/>
        <item x="352"/>
        <item m="1" x="7595"/>
        <item x="1303"/>
        <item x="2715"/>
        <item x="2947"/>
        <item x="2621"/>
        <item x="3497"/>
        <item m="1" x="5950"/>
        <item x="2166"/>
        <item m="1" x="6768"/>
        <item m="1" x="7497"/>
        <item x="1996"/>
        <item m="1" x="5152"/>
        <item m="1" x="6536"/>
        <item x="1997"/>
        <item m="1" x="7442"/>
        <item x="2210"/>
        <item x="2484"/>
        <item m="1" x="7098"/>
        <item m="1" x="4290"/>
        <item x="3042"/>
        <item m="1" x="4663"/>
        <item x="422"/>
        <item m="1" x="4310"/>
        <item x="942"/>
        <item m="1" x="5687"/>
        <item x="1652"/>
        <item x="1135"/>
        <item m="1" x="6385"/>
        <item m="1" x="3989"/>
        <item m="1" x="7374"/>
        <item x="3117"/>
        <item m="1" x="4391"/>
        <item x="1473"/>
        <item x="1942"/>
        <item x="1070"/>
        <item x="1711"/>
        <item x="2557"/>
        <item x="2558"/>
        <item m="1" x="3756"/>
        <item x="1413"/>
        <item x="111"/>
        <item x="1845"/>
        <item m="1" x="5471"/>
        <item x="2410"/>
        <item m="1" x="6839"/>
        <item x="3171"/>
        <item m="1" x="4556"/>
        <item x="259"/>
        <item x="2647"/>
        <item x="1667"/>
        <item x="1712"/>
        <item x="3023"/>
        <item x="918"/>
        <item x="1588"/>
        <item m="1" x="3782"/>
        <item x="388"/>
        <item m="1" x="7101"/>
        <item m="1" x="6142"/>
        <item m="1" x="4930"/>
        <item x="1059"/>
        <item m="1" x="6971"/>
        <item m="1" x="6970"/>
        <item m="1" x="7747"/>
        <item x="1976"/>
        <item m="1" x="7231"/>
        <item m="1" x="6533"/>
        <item m="1" x="7219"/>
        <item x="1034"/>
        <item m="1" x="6690"/>
        <item x="81"/>
        <item m="1" x="5017"/>
        <item m="1" x="7790"/>
        <item m="1" x="5972"/>
        <item m="1" x="5360"/>
        <item x="3206"/>
        <item m="1" x="4565"/>
        <item m="1" x="7556"/>
        <item x="2352"/>
        <item x="209"/>
        <item x="771"/>
        <item m="1" x="5409"/>
        <item m="1" x="6840"/>
        <item x="1785"/>
        <item x="129"/>
        <item x="390"/>
        <item m="1" x="4883"/>
        <item x="298"/>
        <item x="1268"/>
        <item x="155"/>
        <item x="3169"/>
        <item x="1905"/>
        <item x="1350"/>
        <item m="1" x="6011"/>
        <item x="988"/>
        <item x="2056"/>
        <item x="2115"/>
        <item m="1" x="7061"/>
        <item x="164"/>
        <item x="486"/>
        <item m="1" x="6687"/>
        <item x="1531"/>
        <item m="1" x="7465"/>
        <item m="1" x="4739"/>
        <item m="1" x="4722"/>
        <item x="3366"/>
        <item m="1" x="6910"/>
        <item x="2768"/>
        <item x="1603"/>
        <item m="1" x="4853"/>
        <item m="1" x="7743"/>
        <item x="1185"/>
        <item m="1" x="5553"/>
        <item x="2339"/>
        <item m="1" x="6446"/>
        <item x="2250"/>
        <item x="856"/>
        <item m="1" x="4600"/>
        <item x="1849"/>
        <item m="1" x="6778"/>
        <item m="1" x="6087"/>
        <item x="3407"/>
        <item x="1927"/>
        <item x="2585"/>
        <item x="2712"/>
        <item m="1" x="5183"/>
        <item x="37"/>
        <item m="1" x="5339"/>
        <item x="886"/>
        <item m="1" x="7080"/>
        <item m="1" x="6711"/>
        <item m="1" x="7625"/>
        <item m="1" x="4979"/>
        <item m="1" x="7950"/>
        <item m="1" x="5606"/>
        <item x="2827"/>
        <item m="1" x="4773"/>
        <item m="1" x="5641"/>
        <item m="1" x="6251"/>
        <item x="2886"/>
        <item m="1" x="5782"/>
        <item m="1" x="7481"/>
        <item m="1" x="7785"/>
        <item x="932"/>
        <item m="1" x="7847"/>
        <item m="1" x="4430"/>
        <item x="65"/>
        <item m="1" x="5899"/>
        <item m="1" x="3787"/>
        <item x="2377"/>
        <item x="2887"/>
        <item m="1" x="7507"/>
        <item m="1" x="5292"/>
        <item m="1" x="6555"/>
        <item x="3102"/>
        <item m="1" x="3693"/>
        <item m="1" x="6820"/>
        <item x="737"/>
        <item m="1" x="5070"/>
        <item x="2677"/>
        <item m="1" x="6578"/>
        <item x="702"/>
        <item m="1" x="7685"/>
        <item m="1" x="5382"/>
        <item m="1" x="5381"/>
        <item m="1" x="5380"/>
        <item m="1" x="6131"/>
        <item x="55"/>
        <item x="3393"/>
        <item x="174"/>
        <item m="1" x="7313"/>
        <item m="1" x="4008"/>
        <item m="1" x="7359"/>
        <item m="1" x="7341"/>
        <item x="1273"/>
        <item m="1" x="4339"/>
        <item m="1" x="4637"/>
        <item m="1" x="4638"/>
        <item x="3315"/>
        <item x="351"/>
        <item x="3431"/>
        <item m="1" x="7962"/>
        <item m="1" x="6341"/>
        <item m="1" x="5616"/>
        <item x="362"/>
        <item m="1" x="4390"/>
        <item x="2732"/>
        <item x="423"/>
        <item m="1" x="4567"/>
        <item m="1" x="7433"/>
        <item m="1" x="3636"/>
        <item m="1" x="4891"/>
        <item m="1" x="7544"/>
        <item x="385"/>
        <item m="1" x="4122"/>
        <item x="1404"/>
        <item m="1" x="5594"/>
        <item m="1" x="4488"/>
        <item x="3512"/>
        <item m="1" x="7731"/>
        <item m="1" x="4856"/>
        <item m="1" x="6161"/>
        <item x="1224"/>
        <item x="1248"/>
        <item m="1" x="6457"/>
        <item x="2269"/>
        <item x="323"/>
        <item m="1" x="7856"/>
        <item m="1" x="4110"/>
        <item x="3133"/>
        <item m="1" x="5828"/>
        <item m="1" x="7610"/>
        <item x="1225"/>
        <item x="1102"/>
        <item m="1" x="4587"/>
        <item m="1" x="5865"/>
        <item m="1" x="5951"/>
        <item m="1" x="7738"/>
        <item x="2259"/>
        <item x="1320"/>
        <item x="1803"/>
        <item x="3185"/>
        <item x="2733"/>
        <item x="960"/>
        <item x="28"/>
        <item x="320"/>
        <item x="1638"/>
        <item m="1" x="4507"/>
        <item m="1" x="4563"/>
        <item m="1" x="4313"/>
        <item m="1" x="6596"/>
        <item m="1" x="4256"/>
        <item m="1" x="3895"/>
        <item x="766"/>
        <item x="2931"/>
        <item m="1" x="7835"/>
        <item m="1" x="7407"/>
        <item x="2515"/>
        <item m="1" x="6237"/>
        <item x="2817"/>
        <item x="672"/>
        <item x="2411"/>
        <item m="1" x="5737"/>
        <item m="1" x="4233"/>
        <item x="1861"/>
        <item x="1892"/>
        <item x="1893"/>
        <item m="1" x="7155"/>
        <item x="2630"/>
        <item x="1405"/>
        <item x="2052"/>
        <item m="1" x="7248"/>
        <item m="1" x="4981"/>
        <item x="2378"/>
        <item x="2412"/>
        <item m="1" x="6866"/>
        <item m="1" x="4210"/>
        <item x="2734"/>
        <item x="146"/>
        <item x="1690"/>
        <item m="1" x="7145"/>
        <item m="1" x="7589"/>
        <item m="1" x="3552"/>
        <item x="2320"/>
        <item x="2270"/>
        <item m="1" x="5545"/>
        <item m="1" x="3719"/>
        <item m="1" x="4351"/>
        <item x="239"/>
        <item x="1122"/>
        <item x="1186"/>
        <item m="1" x="7016"/>
        <item m="1" x="3929"/>
        <item m="1" x="7397"/>
        <item x="1477"/>
        <item x="1476"/>
        <item m="1" x="7396"/>
        <item x="700"/>
        <item x="802"/>
        <item m="1" x="5422"/>
        <item x="1532"/>
        <item m="1" x="3906"/>
        <item m="1" x="6132"/>
        <item m="1" x="7686"/>
        <item m="1" x="3811"/>
        <item m="1" x="3843"/>
        <item m="1" x="7190"/>
        <item m="1" x="7795"/>
        <item x="2983"/>
        <item x="301"/>
        <item x="2850"/>
        <item x="445"/>
        <item x="1071"/>
        <item x="1461"/>
        <item x="783"/>
        <item x="2307"/>
        <item x="2773"/>
        <item m="1" x="4086"/>
        <item x="1388"/>
        <item x="1008"/>
        <item x="2699"/>
        <item x="3261"/>
        <item m="1" x="6537"/>
        <item x="1998"/>
        <item m="1" x="4871"/>
        <item m="1" x="6955"/>
        <item x="553"/>
        <item x="2271"/>
        <item x="2137"/>
        <item x="75"/>
        <item x="1979"/>
        <item m="1" x="5412"/>
        <item m="1" x="4250"/>
        <item x="3376"/>
        <item m="1" x="4455"/>
        <item m="1" x="7092"/>
        <item m="1" x="5438"/>
        <item m="1" x="7874"/>
        <item x="3163"/>
        <item x="3282"/>
        <item m="1" x="4289"/>
        <item m="1" x="4460"/>
        <item m="1" x="4756"/>
        <item x="1639"/>
        <item x="2694"/>
        <item x="3265"/>
        <item x="2256"/>
        <item m="1" x="6500"/>
        <item m="1" x="4580"/>
        <item m="1" x="5883"/>
        <item x="3399"/>
        <item m="1" x="7369"/>
        <item m="1" x="4579"/>
        <item x="306"/>
        <item m="1" x="4652"/>
        <item m="1" x="4345"/>
        <item m="1" x="5672"/>
        <item m="1" x="7620"/>
        <item m="1" x="3925"/>
        <item x="1162"/>
        <item x="2152"/>
        <item m="1" x="7204"/>
        <item m="1" x="7227"/>
        <item x="2302"/>
        <item m="1" x="6111"/>
        <item m="1" x="7179"/>
        <item x="995"/>
        <item x="3072"/>
        <item x="2272"/>
        <item x="735"/>
        <item x="60"/>
        <item x="2240"/>
        <item m="1" x="7979"/>
        <item m="1" x="4672"/>
        <item x="972"/>
        <item m="1" x="6700"/>
        <item m="1" x="3913"/>
        <item m="1" x="3984"/>
        <item x="2720"/>
        <item x="1187"/>
        <item m="1" x="5554"/>
        <item m="1" x="5852"/>
        <item x="1490"/>
        <item m="1" x="6188"/>
        <item x="2315"/>
        <item m="1" x="3568"/>
        <item m="1" x="3607"/>
        <item x="1491"/>
        <item m="1" x="5538"/>
        <item m="1" x="6833"/>
        <item x="1293"/>
        <item m="1" x="3523"/>
        <item x="3264"/>
        <item m="1" x="7444"/>
        <item m="1" x="4719"/>
        <item m="1" x="5596"/>
        <item x="2273"/>
        <item m="1" x="7532"/>
        <item m="1" x="4260"/>
        <item m="1" x="7377"/>
        <item x="1101"/>
        <item m="1" x="6572"/>
        <item m="1" x="7569"/>
        <item m="1" x="5245"/>
        <item m="1" x="5246"/>
        <item x="659"/>
        <item m="1" x="4664"/>
        <item m="1" x="7892"/>
        <item m="1" x="6098"/>
        <item x="225"/>
        <item m="1" x="6269"/>
        <item m="1" x="3948"/>
        <item x="2413"/>
        <item m="1" x="6841"/>
        <item m="1" x="5091"/>
        <item m="1" x="7014"/>
        <item m="1" x="5088"/>
        <item m="1" x="3722"/>
        <item m="1" x="3628"/>
        <item x="216"/>
        <item x="1862"/>
        <item m="1" x="7186"/>
        <item x="384"/>
        <item m="1" x="5930"/>
        <item m="1" x="7380"/>
        <item x="3071"/>
        <item x="449"/>
        <item x="1533"/>
        <item x="3338"/>
        <item m="1" x="7805"/>
        <item m="1" x="4931"/>
        <item m="1" x="3558"/>
        <item m="1" x="4166"/>
        <item m="1" x="6763"/>
        <item x="3024"/>
        <item m="1" x="7113"/>
        <item x="2649"/>
        <item m="1" x="5379"/>
        <item x="1072"/>
        <item x="2735"/>
        <item x="279"/>
        <item m="1" x="3979"/>
        <item m="1" x="7960"/>
        <item m="1" x="7106"/>
        <item m="1" x="6196"/>
        <item m="1" x="6249"/>
        <item m="1" x="6324"/>
        <item x="1813"/>
        <item m="1" x="6384"/>
        <item x="2274"/>
        <item x="722"/>
        <item x="503"/>
        <item m="1" x="4294"/>
        <item m="1" x="4748"/>
        <item x="185"/>
        <item x="954"/>
        <item x="2477"/>
        <item m="1" x="7954"/>
        <item m="1" x="3560"/>
        <item m="1" x="5293"/>
        <item x="2190"/>
        <item x="1420"/>
        <item m="1" x="5435"/>
        <item x="3085"/>
        <item m="1" x="5753"/>
        <item x="3422"/>
        <item x="2714"/>
        <item x="1758"/>
        <item m="1" x="5862"/>
        <item x="204"/>
        <item m="1" x="5138"/>
        <item x="3074"/>
        <item m="1" x="6636"/>
        <item m="1" x="6041"/>
        <item x="1087"/>
        <item x="1713"/>
        <item x="554"/>
        <item m="1" x="6765"/>
        <item x="1226"/>
        <item x="1227"/>
        <item x="2191"/>
        <item m="1" x="4354"/>
        <item m="1" x="6524"/>
        <item m="1" x="3527"/>
        <item m="1" x="6151"/>
        <item x="1606"/>
        <item m="1" x="4612"/>
        <item m="1" x="5463"/>
        <item x="3172"/>
        <item m="1" x="6414"/>
        <item m="1" x="6413"/>
        <item x="287"/>
        <item m="1" x="5378"/>
        <item m="1" x="6133"/>
        <item m="1" x="4349"/>
        <item x="1916"/>
        <item m="1" x="6389"/>
        <item x="1025"/>
        <item x="585"/>
        <item m="1" x="4161"/>
        <item m="1" x="6637"/>
        <item m="1" x="7803"/>
        <item m="1" x="3723"/>
        <item m="1" x="6398"/>
        <item x="2774"/>
        <item x="116"/>
        <item m="1" x="4708"/>
        <item x="2695"/>
        <item m="1" x="7482"/>
        <item m="1" x="4413"/>
        <item m="1" x="5350"/>
        <item m="1" x="3750"/>
        <item x="69"/>
        <item m="1" x="6409"/>
        <item x="1695"/>
        <item x="186"/>
        <item m="1" x="7165"/>
        <item x="3400"/>
        <item m="1" x="6367"/>
        <item m="1" x="5423"/>
        <item m="1" x="4954"/>
        <item x="2622"/>
        <item x="1688"/>
        <item m="1" x="6206"/>
        <item x="199"/>
        <item x="38"/>
        <item m="1" x="4307"/>
        <item x="507"/>
        <item m="1" x="3670"/>
        <item m="1" x="7376"/>
        <item m="1" x="3852"/>
        <item x="479"/>
        <item x="2854"/>
        <item x="1014"/>
        <item m="1" x="4749"/>
        <item m="1" x="6181"/>
        <item m="1" x="7228"/>
        <item x="1663"/>
        <item m="1" x="5688"/>
        <item x="2120"/>
        <item m="1" x="7817"/>
        <item m="1" x="5345"/>
        <item x="2776"/>
        <item x="3362"/>
        <item x="2032"/>
        <item m="1" x="6493"/>
        <item x="2775"/>
        <item x="943"/>
        <item x="513"/>
        <item x="1258"/>
        <item m="1" x="6046"/>
        <item x="1171"/>
        <item x="339"/>
        <item x="1794"/>
        <item x="1298"/>
        <item m="1" x="7818"/>
        <item m="1" x="7757"/>
        <item x="721"/>
        <item m="1" x="6863"/>
        <item x="840"/>
        <item x="2596"/>
        <item m="1" x="7205"/>
        <item x="142"/>
        <item x="1351"/>
        <item m="1" x="6675"/>
        <item x="1256"/>
        <item x="2537"/>
        <item m="1" x="3754"/>
        <item m="1" x="3959"/>
        <item x="2785"/>
        <item m="1" x="7182"/>
        <item x="1304"/>
        <item x="3302"/>
        <item m="1" x="3855"/>
        <item m="1" x="5573"/>
        <item x="2192"/>
        <item x="1352"/>
        <item m="1" x="5855"/>
        <item x="1406"/>
        <item m="1" x="5105"/>
        <item m="1" x="6120"/>
        <item m="1" x="5144"/>
        <item m="1" x="7255"/>
        <item x="803"/>
        <item m="1" x="6266"/>
        <item m="1" x="6342"/>
        <item m="1" x="7236"/>
        <item x="58"/>
        <item m="1" x="7009"/>
        <item m="1" x="7541"/>
        <item m="1" x="7666"/>
        <item m="1" x="7294"/>
        <item m="1" x="7314"/>
        <item x="2655"/>
        <item x="2446"/>
        <item m="1" x="4877"/>
        <item x="3437"/>
        <item x="3316"/>
        <item m="1" x="6626"/>
        <item m="1" x="7403"/>
        <item m="1" x="5702"/>
        <item x="1737"/>
        <item x="45"/>
        <item m="1" x="6586"/>
        <item m="1" x="7933"/>
        <item m="1" x="6614"/>
        <item m="1" x="3848"/>
        <item x="897"/>
        <item m="1" x="5761"/>
        <item m="1" x="6729"/>
        <item x="468"/>
        <item m="1" x="6562"/>
        <item m="1" x="6010"/>
        <item x="965"/>
        <item x="124"/>
        <item m="1" x="6172"/>
        <item x="1863"/>
        <item m="1" x="5789"/>
        <item m="1" x="4386"/>
        <item m="1" x="3944"/>
        <item x="1492"/>
        <item m="1" x="6492"/>
        <item m="1" x="6238"/>
        <item m="1" x="3766"/>
        <item m="1" x="3769"/>
        <item m="1" x="4062"/>
        <item m="1" x="4129"/>
        <item x="327"/>
        <item m="1" x="6697"/>
        <item m="1" x="6952"/>
        <item m="1" x="7554"/>
        <item m="1" x="3828"/>
        <item x="3026"/>
        <item m="1" x="7778"/>
        <item m="1" x="7325"/>
        <item m="1" x="7071"/>
        <item x="896"/>
        <item x="2037"/>
        <item m="1" x="6600"/>
        <item x="907"/>
        <item m="1" x="7064"/>
        <item m="1" x="7272"/>
        <item m="1" x="7258"/>
        <item m="1" x="5659"/>
        <item m="1" x="3930"/>
        <item x="91"/>
        <item x="1799"/>
        <item m="1" x="3891"/>
        <item x="166"/>
        <item m="1" x="7976"/>
        <item m="1" x="7276"/>
        <item x="903"/>
        <item m="1" x="7600"/>
        <item m="1" x="6035"/>
        <item m="1" x="7241"/>
        <item m="1" x="4696"/>
        <item m="1" x="6158"/>
        <item x="147"/>
        <item m="1" x="7825"/>
        <item m="1" x="3729"/>
        <item x="2888"/>
        <item x="2193"/>
        <item m="1" x="4753"/>
        <item x="1607"/>
        <item x="717"/>
        <item x="1714"/>
        <item m="1" x="5436"/>
        <item x="96"/>
        <item x="927"/>
        <item x="2559"/>
        <item x="710"/>
        <item m="1" x="5812"/>
        <item m="1" x="7682"/>
        <item m="1" x="5560"/>
        <item x="1050"/>
        <item x="1172"/>
        <item m="1" x="5835"/>
        <item m="1" x="6631"/>
        <item m="1" x="4697"/>
        <item m="1" x="5026"/>
        <item m="1" x="5025"/>
        <item m="1" x="7558"/>
        <item x="1906"/>
        <item m="1" x="6938"/>
        <item m="1" x="6482"/>
        <item x="895"/>
        <item m="1" x="5145"/>
        <item x="173"/>
        <item x="2641"/>
        <item m="1" x="7299"/>
        <item m="1" x="6643"/>
        <item m="1" x="6784"/>
        <item x="215"/>
        <item m="1" x="7045"/>
        <item x="910"/>
        <item m="1" x="5168"/>
        <item m="1" x="7340"/>
        <item m="1" x="6702"/>
        <item m="1" x="5752"/>
        <item x="1838"/>
        <item m="1" x="7073"/>
        <item x="1832"/>
        <item m="1" x="7698"/>
        <item x="167"/>
        <item m="1" x="5146"/>
        <item m="1" x="7323"/>
        <item m="1" x="4521"/>
        <item x="3053"/>
        <item m="1" x="4295"/>
        <item m="1" x="7296"/>
        <item x="3190"/>
        <item x="899"/>
        <item m="1" x="7250"/>
        <item m="1" x="7289"/>
        <item m="1" x="3651"/>
        <item x="2346"/>
        <item x="2770"/>
        <item x="1836"/>
        <item x="888"/>
        <item m="1" x="7297"/>
        <item x="1828"/>
        <item m="1" x="5399"/>
        <item m="1" x="6134"/>
        <item m="1" x="7285"/>
        <item m="1" x="7273"/>
        <item m="1" x="5147"/>
        <item x="171"/>
        <item m="1" x="4010"/>
        <item m="1" x="7278"/>
        <item m="1" x="7249"/>
        <item x="2633"/>
        <item m="1" x="7271"/>
        <item x="176"/>
        <item m="1" x="7266"/>
        <item m="1" x="3875"/>
        <item m="1" x="6949"/>
        <item m="1" x="3687"/>
        <item m="1" x="7317"/>
        <item m="1" x="7316"/>
        <item m="1" x="4702"/>
        <item x="2638"/>
        <item m="1" x="6481"/>
        <item m="1" x="7308"/>
        <item m="1" x="7322"/>
        <item m="1" x="7339"/>
        <item m="1" x="7335"/>
        <item m="1" x="4681"/>
        <item x="2253"/>
        <item m="1" x="4314"/>
        <item m="1" x="7741"/>
        <item m="1" x="4784"/>
        <item m="1" x="7810"/>
        <item x="961"/>
        <item x="555"/>
        <item m="1" x="4673"/>
        <item x="1999"/>
        <item x="2615"/>
        <item m="1" x="3851"/>
        <item m="1" x="4269"/>
        <item x="317"/>
        <item m="1" x="4798"/>
        <item m="1" x="3894"/>
        <item m="1" x="6543"/>
        <item m="1" x="7292"/>
        <item m="1" x="7332"/>
        <item x="1837"/>
        <item m="1" x="7779"/>
        <item m="1" x="7267"/>
        <item m="1" x="7311"/>
        <item x="900"/>
        <item m="1" x="7072"/>
        <item m="1" x="4202"/>
        <item m="1" x="4189"/>
        <item x="2813"/>
        <item m="1" x="6809"/>
        <item m="1" x="4594"/>
        <item m="1" x="5114"/>
        <item m="1" x="3798"/>
        <item x="2495"/>
        <item m="1" x="6760"/>
        <item x="3063"/>
        <item m="1" x="4316"/>
        <item m="1" x="5669"/>
        <item x="586"/>
        <item m="1" x="4700"/>
        <item m="1" x="5920"/>
        <item x="1481"/>
        <item x="718"/>
        <item m="1" x="3862"/>
        <item m="1" x="7005"/>
        <item m="1" x="7238"/>
        <item m="1" x="7553"/>
        <item m="1" x="6034"/>
        <item x="2414"/>
        <item x="2560"/>
        <item x="83"/>
        <item m="1" x="7495"/>
        <item m="1" x="7502"/>
        <item m="1" x="7930"/>
        <item x="1589"/>
        <item m="1" x="4799"/>
        <item m="1" x="4774"/>
        <item m="1" x="5820"/>
        <item m="1" x="6799"/>
        <item m="1" x="6147"/>
        <item m="1" x="6354"/>
        <item x="1397"/>
        <item m="1" x="6610"/>
        <item x="2687"/>
        <item x="2512"/>
        <item m="1" x="5294"/>
        <item m="1" x="4176"/>
        <item m="1" x="7941"/>
        <item x="3256"/>
        <item m="1" x="6728"/>
        <item m="1" x="7753"/>
        <item m="1" x="3993"/>
        <item m="1" x="6376"/>
        <item x="308"/>
        <item x="838"/>
        <item m="1" x="4653"/>
        <item x="731"/>
        <item m="1" x="7355"/>
        <item m="1" x="4674"/>
        <item m="1" x="6842"/>
        <item m="1" x="5247"/>
        <item m="1" x="5096"/>
        <item x="442"/>
        <item x="2505"/>
        <item x="3405"/>
        <item x="2997"/>
        <item m="1" x="6744"/>
        <item x="676"/>
        <item m="1" x="7282"/>
        <item x="477"/>
        <item x="758"/>
        <item m="1" x="6057"/>
        <item x="2606"/>
        <item x="2855"/>
        <item x="3442"/>
        <item m="1" x="5295"/>
        <item m="1" x="7721"/>
        <item x="1321"/>
        <item x="3317"/>
        <item x="3119"/>
        <item m="1" x="4071"/>
        <item x="2976"/>
        <item m="1" x="4031"/>
        <item m="1" x="3591"/>
        <item m="1" x="3570"/>
        <item x="2834"/>
        <item m="1" x="5658"/>
        <item x="1752"/>
        <item m="1" x="5472"/>
        <item x="3037"/>
        <item m="1" x="3694"/>
        <item m="1" x="5568"/>
        <item m="1" x="5022"/>
        <item m="1" x="6214"/>
        <item x="2668"/>
        <item m="1" x="5117"/>
        <item m="1" x="5841"/>
        <item m="1" x="7193"/>
        <item m="1" x="4094"/>
        <item m="1" x="7211"/>
        <item m="1" x="6408"/>
        <item x="1330"/>
        <item m="1" x="4081"/>
        <item m="1" x="5602"/>
        <item m="1" x="6918"/>
        <item m="1" x="5670"/>
        <item m="1" x="3720"/>
        <item m="1" x="4997"/>
        <item m="1" x="7247"/>
        <item x="2000"/>
        <item m="1" x="5911"/>
        <item m="1" x="4845"/>
        <item m="1" x="7112"/>
        <item x="2891"/>
        <item x="2545"/>
        <item m="1" x="6084"/>
        <item m="1" x="7260"/>
        <item x="474"/>
        <item x="3418"/>
        <item m="1" x="7330"/>
        <item x="3103"/>
        <item x="105"/>
        <item m="1" x="6000"/>
        <item x="587"/>
        <item m="1" x="6942"/>
        <item x="2464"/>
        <item x="3142"/>
        <item x="1534"/>
        <item m="1" x="5446"/>
        <item x="2481"/>
        <item m="1" x="6704"/>
        <item x="2218"/>
        <item m="1" x="6223"/>
        <item m="1" x="3857"/>
        <item m="1" x="5470"/>
        <item m="1" x="4597"/>
        <item x="2812"/>
        <item x="880"/>
        <item x="1738"/>
        <item m="1" x="4955"/>
        <item m="1" x="7170"/>
        <item m="1" x="4196"/>
        <item x="3087"/>
        <item x="975"/>
        <item x="3070"/>
        <item m="1" x="4135"/>
        <item m="1" x="4318"/>
        <item m="1" x="5900"/>
        <item m="1" x="7307"/>
        <item x="2248"/>
        <item m="1" x="5856"/>
        <item x="1395"/>
        <item m="1" x="7261"/>
        <item m="1" x="5248"/>
        <item m="1" x="7994"/>
        <item m="1" x="7955"/>
        <item x="3435"/>
        <item m="1" x="3802"/>
        <item m="1" x="6197"/>
        <item x="313"/>
        <item m="1" x="5169"/>
        <item m="1" x="3549"/>
        <item x="2538"/>
        <item x="588"/>
        <item x="955"/>
        <item x="1458"/>
        <item x="1252"/>
        <item x="295"/>
        <item m="1" x="5597"/>
        <item x="1260"/>
        <item x="3160"/>
        <item x="1353"/>
        <item m="1" x="7772"/>
        <item m="1" x="7587"/>
        <item m="1" x="7597"/>
        <item m="1" x="5200"/>
        <item m="1" x="6198"/>
        <item m="1" x="6434"/>
        <item x="292"/>
        <item x="1658"/>
        <item m="1" x="7229"/>
        <item m="1" x="4639"/>
        <item x="2343"/>
        <item x="1601"/>
        <item m="1" x="5800"/>
        <item m="1" x="6856"/>
        <item m="1" x="4536"/>
        <item m="1" x="7842"/>
        <item x="2070"/>
        <item m="1" x="4943"/>
        <item m="1" x="7338"/>
        <item x="23"/>
        <item m="1" x="4570"/>
        <item m="1" x="7796"/>
        <item m="1" x="6405"/>
        <item x="2990"/>
        <item m="1" x="4694"/>
        <item m="1" x="4063"/>
        <item m="1" x="7177"/>
        <item m="1" x="6373"/>
        <item x="1433"/>
        <item x="928"/>
        <item m="1" x="5599"/>
        <item m="1" x="7522"/>
        <item m="1" x="7124"/>
        <item x="2097"/>
        <item m="1" x="3732"/>
        <item m="1" x="4327"/>
        <item m="1" x="5449"/>
        <item m="1" x="6261"/>
        <item x="861"/>
        <item x="2226"/>
        <item x="2895"/>
        <item x="3025"/>
        <item m="1" x="7607"/>
        <item x="2736"/>
        <item x="1851"/>
        <item x="1296"/>
        <item x="376"/>
        <item m="1" x="6252"/>
        <item m="1" x="6540"/>
        <item x="1469"/>
        <item m="1" x="4099"/>
        <item x="736"/>
        <item m="1" x="3718"/>
        <item m="1" x="7737"/>
        <item m="1" x="7056"/>
        <item x="1354"/>
        <item m="1" x="7363"/>
        <item m="1" x="6458"/>
        <item x="1416"/>
        <item m="1" x="5867"/>
        <item x="294"/>
        <item m="1" x="6701"/>
        <item m="1" x="7983"/>
        <item m="1" x="3978"/>
        <item m="1" x="5959"/>
        <item x="3"/>
        <item x="2042"/>
        <item m="1" x="4826"/>
        <item x="1809"/>
        <item x="3467"/>
        <item x="302"/>
        <item x="1309"/>
        <item x="982"/>
        <item m="1" x="6292"/>
        <item m="1" x="4317"/>
        <item x="2602"/>
        <item m="1" x="5874"/>
        <item m="1" x="4533"/>
        <item x="2561"/>
        <item m="1" x="4379"/>
        <item m="1" x="7662"/>
        <item x="3135"/>
        <item m="1" x="6733"/>
        <item x="1083"/>
        <item m="1" x="3794"/>
        <item m="1" x="4966"/>
        <item m="1" x="6718"/>
        <item x="160"/>
        <item m="1" x="3745"/>
        <item m="1" x="4056"/>
        <item x="3173"/>
        <item m="1" x="4366"/>
        <item x="1943"/>
        <item x="1166"/>
        <item m="1" x="6469"/>
        <item m="1" x="5813"/>
        <item x="989"/>
        <item x="990"/>
        <item x="2415"/>
        <item m="1" x="4101"/>
        <item m="1" x="5881"/>
        <item x="2340"/>
        <item x="2194"/>
        <item x="3021"/>
        <item m="1" x="7110"/>
        <item x="108"/>
        <item m="1" x="5456"/>
        <item m="1" x="4427"/>
        <item x="103"/>
        <item x="2358"/>
        <item m="1" x="6845"/>
        <item m="1" x="6102"/>
        <item m="1" x="6498"/>
        <item m="1" x="6605"/>
        <item m="1" x="6606"/>
        <item m="1" x="5924"/>
        <item x="1058"/>
        <item m="1" x="6868"/>
        <item m="1" x="5395"/>
        <item m="1" x="6055"/>
        <item m="1" x="5356"/>
        <item m="1" x="4242"/>
        <item x="283"/>
        <item m="1" x="6893"/>
        <item m="1" x="5781"/>
        <item m="1" x="4275"/>
        <item x="1535"/>
        <item x="12"/>
        <item m="1" x="4068"/>
        <item x="2001"/>
        <item m="1" x="4893"/>
        <item x="260"/>
        <item m="1" x="7485"/>
        <item m="1" x="5610"/>
        <item x="1980"/>
        <item x="3162"/>
        <item m="1" x="4524"/>
        <item x="1217"/>
        <item x="2858"/>
        <item m="1" x="3912"/>
        <item x="1944"/>
        <item m="1" x="4880"/>
        <item m="1" x="7107"/>
        <item x="2049"/>
        <item x="1493"/>
        <item m="1" x="3927"/>
        <item x="3370"/>
        <item m="1" x="5508"/>
        <item x="2809"/>
        <item x="956"/>
        <item m="1" x="5511"/>
        <item x="3229"/>
        <item x="2636"/>
        <item m="1" x="7006"/>
        <item m="1" x="5249"/>
        <item m="1" x="7890"/>
        <item x="3009"/>
        <item x="154"/>
        <item m="1" x="5640"/>
        <item m="1" x="7628"/>
        <item x="2762"/>
        <item x="634"/>
        <item m="1" x="4544"/>
        <item m="1" x="4515"/>
        <item x="2562"/>
        <item x="2416"/>
        <item x="528"/>
        <item m="1" x="5729"/>
        <item m="1" x="7138"/>
        <item m="1" x="4074"/>
        <item x="734"/>
        <item x="1084"/>
        <item x="2592"/>
        <item x="2417"/>
        <item x="944"/>
        <item m="1" x="7315"/>
        <item x="913"/>
        <item m="1" x="7253"/>
        <item m="1" x="7274"/>
        <item m="1" x="6241"/>
        <item m="1" x="6185"/>
        <item x="917"/>
        <item m="1" x="6008"/>
        <item m="1" x="7070"/>
        <item m="1" x="6914"/>
        <item x="911"/>
        <item m="1" x="4701"/>
        <item m="1" x="7065"/>
        <item m="1" x="7348"/>
        <item m="1" x="7291"/>
        <item m="1" x="7257"/>
        <item m="1" x="3603"/>
        <item x="2418"/>
        <item x="3367"/>
        <item x="3348"/>
        <item m="1" x="6224"/>
        <item x="2563"/>
        <item x="3318"/>
        <item x="3438"/>
        <item x="1204"/>
        <item x="843"/>
        <item x="1195"/>
        <item x="3266"/>
        <item x="3065"/>
        <item x="3293"/>
        <item x="2824"/>
        <item x="3404"/>
        <item x="3368"/>
        <item x="1802"/>
        <item m="1" x="7399"/>
        <item x="496"/>
        <item m="1" x="7392"/>
        <item m="1" x="5454"/>
        <item x="2662"/>
        <item x="966"/>
        <item x="4"/>
        <item x="3274"/>
        <item x="2325"/>
        <item x="3059"/>
        <item m="1" x="5917"/>
        <item m="1" x="7310"/>
        <item x="3319"/>
        <item x="2564"/>
        <item x="125"/>
        <item x="1355"/>
        <item m="1" x="5386"/>
        <item m="1" x="7181"/>
        <item x="2845"/>
        <item m="1" x="7345"/>
        <item m="1" x="5780"/>
        <item m="1" x="4575"/>
        <item m="1" x="4470"/>
        <item m="1" x="7733"/>
        <item x="1462"/>
        <item m="1" x="3685"/>
        <item x="5"/>
        <item x="1536"/>
        <item m="1" x="6163"/>
        <item x="845"/>
        <item x="853"/>
        <item x="3276"/>
        <item m="1" x="6710"/>
        <item x="1666"/>
        <item m="1" x="3524"/>
        <item m="1" x="6331"/>
        <item m="1" x="5158"/>
        <item x="2002"/>
        <item m="1" x="7469"/>
        <item x="1073"/>
        <item x="1933"/>
        <item x="2798"/>
        <item m="1" x="4800"/>
        <item x="3502"/>
        <item m="1" x="6795"/>
        <item x="671"/>
        <item x="2821"/>
        <item m="1" x="3735"/>
        <item x="688"/>
        <item m="1" x="7907"/>
        <item x="2108"/>
        <item m="1" x="4601"/>
        <item x="2587"/>
        <item m="1" x="4130"/>
        <item m="1" x="5730"/>
        <item m="1" x="3645"/>
        <item m="1" x="7505"/>
        <item x="487"/>
        <item x="1972"/>
        <item m="1" x="5617"/>
        <item m="1" x="7678"/>
        <item m="1" x="6135"/>
        <item x="1205"/>
        <item m="1" x="5639"/>
        <item m="1" x="5437"/>
        <item x="2419"/>
        <item m="1" x="6255"/>
        <item m="1" x="5365"/>
        <item m="1" x="5960"/>
        <item m="1" x="6005"/>
        <item m="1" x="5325"/>
        <item x="2737"/>
        <item x="1165"/>
        <item m="1" x="5678"/>
        <item x="1798"/>
        <item x="74"/>
        <item m="1" x="7861"/>
        <item m="1" x="5569"/>
        <item x="716"/>
        <item m="1" x="4626"/>
        <item m="1" x="4766"/>
        <item m="1" x="3902"/>
        <item x="2835"/>
        <item m="1" x="4410"/>
        <item x="2420"/>
        <item m="1" x="6590"/>
        <item x="1253"/>
        <item x="1241"/>
        <item x="1967"/>
        <item m="1" x="7694"/>
        <item x="1674"/>
        <item m="1" x="7899"/>
        <item x="534"/>
        <item x="240"/>
        <item x="455"/>
        <item x="332"/>
        <item m="1" x="4900"/>
        <item m="1" x="5296"/>
        <item m="1" x="7232"/>
        <item m="1" x="6201"/>
        <item x="914"/>
        <item x="2326"/>
        <item m="1" x="6616"/>
        <item x="2238"/>
        <item m="1" x="7115"/>
        <item x="629"/>
        <item m="1" x="6513"/>
        <item m="1" x="3901"/>
        <item m="1" x="4168"/>
        <item m="1" x="5054"/>
        <item m="1" x="6240"/>
        <item x="3257"/>
        <item x="620"/>
        <item m="1" x="4944"/>
        <item m="1" x="7303"/>
        <item m="1" x="5362"/>
        <item x="2209"/>
        <item m="1" x="5153"/>
        <item x="375"/>
        <item m="1" x="6033"/>
        <item m="1" x="6435"/>
        <item x="1015"/>
        <item x="2047"/>
        <item x="2504"/>
        <item x="354"/>
        <item m="1" x="6890"/>
        <item x="1977"/>
        <item m="1" x="3873"/>
        <item m="1" x="6195"/>
        <item m="1" x="6016"/>
        <item m="1" x="5540"/>
        <item x="348"/>
        <item x="143"/>
        <item m="1" x="5643"/>
        <item m="1" x="3731"/>
        <item x="2454"/>
        <item x="589"/>
        <item m="1" x="6661"/>
        <item x="3195"/>
        <item x="2040"/>
        <item x="3339"/>
        <item m="1" x="5767"/>
        <item x="2738"/>
        <item m="1" x="4898"/>
        <item x="667"/>
        <item m="1" x="7536"/>
        <item x="3320"/>
        <item x="241"/>
        <item m="1" x="5148"/>
        <item m="1" x="5149"/>
        <item x="655"/>
        <item m="1" x="3708"/>
        <item x="1228"/>
        <item m="1" x="7024"/>
        <item x="2565"/>
        <item x="1383"/>
        <item x="1463"/>
        <item m="1" x="4827"/>
        <item m="1" x="5188"/>
        <item m="1" x="6015"/>
        <item m="1" x="5111"/>
        <item x="506"/>
        <item m="1" x="3612"/>
        <item m="1" x="6811"/>
        <item m="1" x="7201"/>
        <item x="788"/>
        <item m="1" x="7351"/>
        <item x="1537"/>
        <item x="1229"/>
        <item x="472"/>
        <item x="1848"/>
        <item x="2421"/>
        <item x="2650"/>
        <item m="1" x="7974"/>
        <item m="1" x="6510"/>
        <item x="1007"/>
        <item x="2840"/>
        <item x="1074"/>
        <item m="1" x="7033"/>
        <item x="3128"/>
        <item x="2487"/>
        <item x="804"/>
        <item m="1" x="5980"/>
        <item m="1" x="6339"/>
        <item m="1" x="3870"/>
        <item m="1" x="7468"/>
        <item x="2739"/>
        <item m="1" x="7516"/>
        <item x="2740"/>
        <item x="2422"/>
        <item x="1063"/>
        <item m="1" x="7422"/>
        <item x="3166"/>
        <item x="2423"/>
        <item x="24"/>
        <item m="1" x="6167"/>
        <item x="2629"/>
        <item m="1" x="6674"/>
        <item m="1" x="3572"/>
        <item m="1" x="5901"/>
        <item x="2003"/>
        <item m="1" x="6775"/>
        <item m="1" x="6177"/>
        <item m="1" x="6917"/>
        <item m="1" x="4535"/>
        <item x="3280"/>
        <item m="1" x="6239"/>
        <item m="1" x="3605"/>
        <item m="1" x="3553"/>
        <item m="1" x="5495"/>
        <item x="3304"/>
        <item m="1" x="6828"/>
        <item m="1" x="4581"/>
        <item x="3030"/>
        <item x="1356"/>
        <item m="1" x="6975"/>
        <item m="1" x="6297"/>
        <item m="1" x="7134"/>
        <item m="1" x="7156"/>
        <item m="1" x="7279"/>
        <item m="1" x="4348"/>
        <item m="1" x="6720"/>
        <item x="1470"/>
        <item x="531"/>
        <item x="2577"/>
        <item m="1" x="4282"/>
        <item m="1" x="3872"/>
        <item x="767"/>
        <item x="3104"/>
        <item m="1" x="7700"/>
        <item m="1" x="6032"/>
        <item m="1" x="5657"/>
        <item x="1623"/>
        <item m="1" x="4665"/>
        <item m="1" x="5525"/>
        <item x="1259"/>
        <item m="1" x="6265"/>
        <item x="133"/>
        <item x="677"/>
        <item x="3415"/>
        <item x="1118"/>
        <item m="1" x="6254"/>
        <item m="1" x="4758"/>
        <item m="1" x="6327"/>
        <item x="2543"/>
        <item m="1" x="4372"/>
        <item m="1" x="5178"/>
        <item m="1" x="5048"/>
        <item x="1764"/>
        <item m="1" x="4193"/>
        <item m="1" x="5297"/>
        <item x="1878"/>
        <item m="1" x="6998"/>
        <item m="1" x="7860"/>
        <item x="85"/>
        <item x="2103"/>
        <item m="1" x="4801"/>
        <item x="823"/>
        <item x="828"/>
        <item m="1" x="7906"/>
        <item m="1" x="5020"/>
        <item m="1" x="5250"/>
        <item m="1" x="4373"/>
        <item m="1" x="4538"/>
        <item x="3356"/>
        <item m="1" x="5921"/>
        <item m="1" x="3746"/>
        <item m="1" x="5863"/>
        <item m="1" x="4344"/>
        <item m="1" x="5880"/>
        <item x="682"/>
        <item m="1" x="7901"/>
        <item m="1" x="7750"/>
        <item x="2741"/>
        <item m="1" x="5177"/>
        <item x="3054"/>
        <item x="1907"/>
        <item m="1" x="6859"/>
        <item m="1" x="6122"/>
        <item m="1" x="6676"/>
        <item m="1" x="7188"/>
        <item m="1" x="7524"/>
        <item x="2586"/>
        <item x="268"/>
        <item m="1" x="3960"/>
        <item m="1" x="5420"/>
        <item m="1" x="7192"/>
        <item x="242"/>
        <item x="1097"/>
        <item x="805"/>
        <item x="307"/>
        <item m="1" x="4112"/>
        <item m="1" x="6006"/>
        <item x="556"/>
        <item x="806"/>
        <item m="1" x="4165"/>
        <item x="1048"/>
        <item m="1" x="6075"/>
        <item x="1075"/>
        <item x="664"/>
        <item m="1" x="6948"/>
        <item x="2112"/>
        <item x="2991"/>
        <item m="1" x="5759"/>
        <item m="1" x="4551"/>
        <item x="493"/>
        <item m="1" x="6944"/>
        <item m="1" x="4199"/>
        <item m="1" x="7829"/>
        <item m="1" x="4634"/>
        <item m="1" x="7391"/>
        <item x="1596"/>
        <item x="2984"/>
        <item x="2870"/>
        <item x="1076"/>
        <item m="1" x="6853"/>
        <item m="1" x="5385"/>
        <item x="2004"/>
        <item x="3375"/>
        <item x="1715"/>
        <item m="1" x="7175"/>
        <item m="1" x="7519"/>
        <item m="1" x="7302"/>
        <item m="1" x="5012"/>
        <item x="3492"/>
        <item x="3354"/>
        <item x="2424"/>
        <item x="2275"/>
        <item x="325"/>
        <item m="1" x="3907"/>
        <item x="393"/>
        <item m="1" x="4532"/>
        <item m="1" x="7761"/>
        <item x="2046"/>
        <item m="1" x="4977"/>
        <item m="1" x="3566"/>
        <item m="1" x="7832"/>
        <item x="508"/>
        <item m="1" x="5611"/>
        <item m="1" x="5212"/>
        <item m="1" x="5213"/>
        <item m="1" x="4257"/>
        <item m="1" x="5451"/>
        <item x="1396"/>
        <item m="1" x="6851"/>
        <item x="1494"/>
        <item m="1" x="4136"/>
        <item m="1" x="7893"/>
        <item x="386"/>
        <item m="1" x="6320"/>
        <item x="874"/>
        <item m="1" x="4014"/>
        <item x="1127"/>
        <item m="1" x="3816"/>
        <item m="1" x="7612"/>
        <item x="1659"/>
        <item x="1143"/>
        <item x="1945"/>
        <item x="3321"/>
        <item x="2682"/>
        <item x="2652"/>
        <item m="1" x="4215"/>
        <item m="1" x="6088"/>
        <item x="1077"/>
        <item m="1" x="7623"/>
        <item x="2083"/>
        <item m="1" x="4894"/>
        <item m="1" x="4459"/>
        <item x="991"/>
        <item m="1" x="4892"/>
        <item m="1" x="3597"/>
        <item x="3192"/>
        <item x="3294"/>
        <item m="1" x="6831"/>
        <item m="1" x="6943"/>
        <item m="1" x="5790"/>
        <item x="1427"/>
        <item m="1" x="4417"/>
        <item x="232"/>
        <item m="1" x="7008"/>
        <item m="1" x="7474"/>
        <item x="3168"/>
        <item m="1" x="4717"/>
        <item x="1176"/>
        <item m="1" x="4963"/>
        <item x="1657"/>
        <item x="1971"/>
        <item m="1" x="4118"/>
        <item x="1966"/>
        <item x="205"/>
        <item m="1" x="6047"/>
        <item x="18"/>
        <item m="1" x="6154"/>
        <item x="1357"/>
        <item x="2195"/>
        <item m="1" x="7037"/>
        <item x="2566"/>
        <item m="1" x="4614"/>
        <item m="1" x="6399"/>
        <item m="1" x="5935"/>
        <item m="1" x="3795"/>
        <item x="9"/>
        <item m="1" x="4718"/>
        <item m="1" x="4731"/>
        <item m="1" x="7948"/>
        <item m="1" x="4785"/>
        <item m="1" x="7966"/>
        <item m="1" x="5486"/>
        <item x="2119"/>
        <item m="1" x="4384"/>
        <item x="200"/>
        <item m="1" x="7639"/>
        <item m="1" x="3806"/>
        <item m="1" x="7365"/>
        <item x="1016"/>
        <item m="1" x="7551"/>
        <item x="3045"/>
        <item m="1" x="6415"/>
        <item x="3193"/>
        <item m="1" x="6069"/>
        <item x="1617"/>
        <item m="1" x="5612"/>
        <item m="1" x="5413"/>
        <item m="1" x="3924"/>
        <item m="1" x="7849"/>
        <item m="1" x="3638"/>
        <item m="1" x="3763"/>
        <item m="1" x="6110"/>
        <item m="1" x="5110"/>
        <item m="1" x="4236"/>
        <item m="1" x="7768"/>
        <item m="1" x="7099"/>
        <item m="1" x="6392"/>
        <item m="1" x="6393"/>
        <item x="2337"/>
        <item x="416"/>
        <item m="1" x="5625"/>
        <item x="1772"/>
        <item x="3273"/>
        <item m="1" x="6705"/>
        <item m="1" x="7735"/>
        <item x="1908"/>
        <item x="557"/>
        <item x="1822"/>
        <item m="1" x="4956"/>
        <item x="1590"/>
        <item m="1" x="6285"/>
        <item m="1" x="7102"/>
        <item x="2126"/>
        <item m="1" x="5570"/>
        <item m="1" x="6670"/>
        <item m="1" x="6382"/>
        <item m="1" x="3933"/>
        <item m="1" x="7728"/>
        <item m="1" x="5735"/>
        <item x="3488"/>
        <item m="1" x="5484"/>
        <item m="1" x="5115"/>
        <item m="1" x="5113"/>
        <item m="1" x="7996"/>
        <item m="1" x="6038"/>
        <item m="1" x="3874"/>
        <item m="1" x="7603"/>
        <item x="1827"/>
        <item m="1" x="7347"/>
        <item m="1" x="5170"/>
        <item m="1" x="7239"/>
        <item m="1" x="5593"/>
        <item x="3439"/>
        <item x="196"/>
        <item m="1" x="6176"/>
        <item m="1" x="5703"/>
        <item m="1" x="5853"/>
        <item x="2088"/>
        <item x="1286"/>
        <item m="1" x="7643"/>
        <item m="1" x="6662"/>
        <item x="280"/>
        <item m="1" x="6369"/>
        <item x="2124"/>
        <item m="1" x="3679"/>
        <item x="1947"/>
        <item m="1" x="5298"/>
        <item x="3006"/>
        <item m="1" x="7977"/>
        <item m="1" x="4685"/>
        <item m="1" x="7875"/>
        <item m="1" x="5299"/>
        <item x="2211"/>
        <item m="1" x="3749"/>
        <item m="1" x="4812"/>
        <item x="3137"/>
        <item m="1" x="4786"/>
        <item m="1" x="3846"/>
        <item x="3403"/>
        <item m="1" x="3962"/>
        <item m="1" x="3964"/>
        <item m="1" x="4787"/>
        <item x="3371"/>
        <item m="1" x="6366"/>
        <item m="1" x="7426"/>
        <item x="1716"/>
        <item m="1" x="3810"/>
        <item x="2985"/>
        <item m="1" x="5326"/>
        <item m="1" x="7167"/>
        <item m="1" x="5033"/>
        <item m="1" x="7848"/>
        <item x="243"/>
        <item m="1" x="7298"/>
        <item m="1" x="6153"/>
        <item m="1" x="7387"/>
        <item m="1" x="7041"/>
        <item x="2060"/>
        <item x="3396"/>
        <item m="1" x="4643"/>
        <item m="1" x="7618"/>
        <item x="2349"/>
        <item m="1" x="7445"/>
        <item m="1" x="5970"/>
        <item m="1" x="7535"/>
        <item m="1" x="6672"/>
        <item m="1" x="4000"/>
        <item m="1" x="7466"/>
        <item m="1" x="7969"/>
        <item m="1" x="5340"/>
        <item x="3148"/>
        <item m="1" x="3904"/>
        <item m="1" x="3938"/>
        <item m="1" x="7576"/>
        <item x="1358"/>
        <item m="1" x="6958"/>
        <item m="1" x="6996"/>
        <item m="1" x="5539"/>
        <item m="1" x="4750"/>
        <item x="2524"/>
        <item x="2930"/>
        <item x="1680"/>
        <item m="1" x="4218"/>
        <item m="1" x="5739"/>
        <item m="1" x="7087"/>
        <item x="590"/>
        <item m="1" x="6048"/>
        <item m="1" x="5300"/>
        <item m="1" x="6086"/>
        <item m="1" x="6644"/>
        <item m="1" x="6755"/>
        <item m="1" x="5058"/>
        <item x="1282"/>
        <item m="1" x="7754"/>
        <item x="1948"/>
        <item m="1" x="4654"/>
        <item m="1" x="5507"/>
        <item m="1" x="4363"/>
        <item x="1957"/>
        <item x="277"/>
        <item x="1211"/>
        <item x="654"/>
        <item x="3178"/>
        <item x="148"/>
        <item x="2065"/>
        <item m="1" x="5952"/>
        <item m="1" x="4578"/>
        <item m="1" x="6104"/>
        <item x="571"/>
        <item m="1" x="5464"/>
        <item m="1" x="4566"/>
        <item x="1949"/>
        <item x="1717"/>
        <item x="219"/>
        <item x="127"/>
        <item m="1" x="5725"/>
        <item m="1" x="6960"/>
        <item m="1" x="5964"/>
        <item m="1" x="5358"/>
        <item m="1" x="3594"/>
        <item m="1" x="3528"/>
        <item x="2084"/>
        <item m="1" x="6515"/>
        <item x="244"/>
        <item x="456"/>
        <item x="2425"/>
        <item m="1" x="4802"/>
        <item m="1" x="5251"/>
        <item m="1" x="6169"/>
        <item m="1" x="3997"/>
        <item x="2742"/>
        <item x="2956"/>
        <item x="123"/>
        <item m="1" x="7898"/>
        <item m="1" x="6082"/>
        <item m="1" x="4484"/>
        <item m="1" x="4740"/>
        <item m="1" x="7668"/>
        <item x="395"/>
        <item x="1398"/>
        <item m="1" x="4828"/>
        <item x="2593"/>
        <item m="1" x="4813"/>
        <item x="973"/>
        <item m="1" x="4221"/>
        <item m="1" x="3949"/>
        <item x="2781"/>
        <item m="1" x="3973"/>
        <item x="558"/>
        <item x="1839"/>
        <item x="3134"/>
        <item x="372"/>
        <item x="480"/>
        <item x="1495"/>
        <item m="1" x="6679"/>
        <item m="1" x="4732"/>
        <item m="1" x="7379"/>
        <item m="1" x="3972"/>
        <item m="1" x="4593"/>
        <item x="2527"/>
        <item x="2799"/>
        <item m="1" x="7633"/>
        <item m="1" x="3967"/>
        <item x="2871"/>
        <item x="1496"/>
        <item x="1815"/>
        <item m="1" x="4443"/>
        <item m="1" x="4365"/>
        <item x="621"/>
        <item x="3086"/>
        <item x="110"/>
        <item x="3147"/>
        <item m="1" x="6746"/>
        <item x="2167"/>
        <item x="1078"/>
        <item x="1921"/>
        <item x="404"/>
        <item x="3449"/>
        <item x="1136"/>
        <item m="1" x="3836"/>
        <item m="1" x="4358"/>
        <item m="1" x="7560"/>
        <item m="1" x="3529"/>
        <item x="3489"/>
        <item m="1" x="5252"/>
        <item x="2426"/>
        <item m="1" x="7611"/>
        <item m="1" x="5629"/>
        <item m="1" x="4999"/>
        <item m="1" x="3564"/>
        <item x="2791"/>
        <item x="1230"/>
        <item x="833"/>
        <item m="1" x="4206"/>
        <item m="1" x="6178"/>
        <item x="2743"/>
        <item m="1" x="7723"/>
        <item x="3232"/>
        <item m="1" x="7449"/>
        <item x="1120"/>
        <item x="1447"/>
        <item x="2168"/>
        <item m="1" x="5716"/>
        <item x="559"/>
        <item x="321"/>
        <item m="1" x="5414"/>
        <item m="1" x="7054"/>
        <item m="1" x="5125"/>
        <item m="1" x="7575"/>
        <item x="782"/>
        <item m="1" x="6258"/>
        <item m="1" x="4890"/>
        <item m="1" x="7968"/>
        <item x="2179"/>
        <item x="770"/>
        <item x="121"/>
        <item m="1" x="6079"/>
        <item m="1" x="4037"/>
        <item m="1" x="4416"/>
        <item m="1" x="6293"/>
        <item m="1" x="3892"/>
        <item m="1" x="7059"/>
        <item x="1407"/>
        <item x="1128"/>
        <item m="1" x="5174"/>
        <item m="1" x="5253"/>
        <item x="1359"/>
        <item m="1" x="7514"/>
        <item x="1144"/>
        <item x="2796"/>
        <item x="2767"/>
        <item m="1" x="7726"/>
        <item m="1" x="6865"/>
        <item m="1" x="7055"/>
        <item x="2933"/>
        <item m="1" x="7128"/>
        <item x="1360"/>
        <item x="1249"/>
        <item m="1" x="7487"/>
        <item x="2005"/>
        <item x="270"/>
        <item m="1" x="4139"/>
        <item x="1538"/>
        <item x="808"/>
        <item x="2427"/>
        <item m="1" x="5187"/>
        <item m="1" x="6655"/>
        <item m="1" x="7360"/>
        <item x="104"/>
        <item m="1" x="6419"/>
        <item m="1" x="4160"/>
        <item x="2744"/>
        <item x="2196"/>
        <item x="807"/>
        <item x="1718"/>
        <item x="2567"/>
        <item m="1" x="4803"/>
        <item m="1" x="6969"/>
        <item m="1" x="4882"/>
        <item x="2996"/>
        <item m="1" x="7896"/>
        <item m="1" x="6465"/>
        <item x="3022"/>
        <item m="1" x="6663"/>
        <item x="1331"/>
        <item m="1" x="6319"/>
        <item m="1" x="5768"/>
        <item x="3380"/>
        <item m="1" x="4226"/>
        <item m="1" x="7956"/>
        <item x="865"/>
        <item m="1" x="7413"/>
        <item m="1" x="7676"/>
        <item x="2006"/>
        <item m="1" x="4485"/>
        <item x="560"/>
        <item m="1" x="6548"/>
        <item x="1277"/>
        <item m="1" x="5814"/>
        <item x="841"/>
        <item m="1" x="7090"/>
        <item m="1" x="5595"/>
        <item x="3413"/>
        <item m="1" x="6895"/>
        <item x="1465"/>
        <item x="2764"/>
        <item x="316"/>
        <item x="1305"/>
        <item m="1" x="7321"/>
        <item x="2684"/>
        <item m="1" x="6762"/>
        <item m="1" x="7740"/>
        <item m="1" x="5427"/>
        <item m="1" x="6593"/>
        <item m="1" x="5301"/>
        <item m="1" x="6925"/>
        <item m="1" x="5254"/>
        <item m="1" x="6877"/>
        <item x="2534"/>
        <item x="2026"/>
        <item m="1" x="5674"/>
        <item x="2379"/>
        <item x="3254"/>
        <item m="1" x="6423"/>
        <item m="1" x="6777"/>
        <item x="561"/>
        <item m="1" x="5465"/>
        <item m="1" x="3629"/>
        <item m="1" x="4901"/>
        <item m="1" x="7748"/>
        <item m="1" x="5150"/>
        <item x="2963"/>
        <item m="1" x="3780"/>
        <item x="380"/>
        <item x="1824"/>
        <item m="1" x="7331"/>
        <item m="1" x="5452"/>
        <item m="1" x="7970"/>
        <item m="1" x="7801"/>
        <item x="1040"/>
        <item m="1" x="3672"/>
        <item m="1" x="4089"/>
        <item m="1" x="5584"/>
        <item m="1" x="5583"/>
        <item x="245"/>
        <item x="1909"/>
        <item m="1" x="6946"/>
        <item x="979"/>
        <item x="93"/>
        <item x="246"/>
        <item x="424"/>
        <item x="2089"/>
        <item m="1" x="6926"/>
        <item m="1" x="6477"/>
        <item x="945"/>
        <item m="1" x="4028"/>
        <item m="1" x="5130"/>
        <item x="1140"/>
        <item m="1" x="4418"/>
        <item m="1" x="6583"/>
        <item m="1" x="5405"/>
        <item m="1" x="6302"/>
        <item x="2955"/>
        <item m="1" x="7604"/>
        <item x="1079"/>
        <item x="1001"/>
        <item m="1" x="4475"/>
        <item m="1" x="7067"/>
        <item x="694"/>
        <item x="1408"/>
        <item x="1361"/>
        <item x="591"/>
        <item m="1" x="7464"/>
        <item m="1" x="3934"/>
        <item m="1" x="7883"/>
        <item x="3505"/>
        <item m="1" x="5756"/>
        <item x="739"/>
        <item m="1" x="7946"/>
        <item m="1" x="7212"/>
        <item m="1" x="6790"/>
        <item m="1" x="4001"/>
        <item m="1" x="3981"/>
        <item m="1" x="6049"/>
        <item m="1" x="5255"/>
        <item m="1" x="7017"/>
        <item m="1" x="7971"/>
        <item x="592"/>
        <item m="1" x="5656"/>
        <item m="1" x="5655"/>
        <item x="461"/>
        <item x="1362"/>
        <item m="1" x="6504"/>
        <item x="1672"/>
        <item x="1776"/>
        <item x="1442"/>
        <item m="1" x="6698"/>
        <item m="1" x="6313"/>
        <item m="1" x="4529"/>
        <item m="1" x="4205"/>
        <item m="1" x="4675"/>
        <item m="1" x="3974"/>
        <item x="1970"/>
        <item x="1044"/>
        <item x="2066"/>
        <item m="1" x="6896"/>
        <item x="2459"/>
        <item x="1497"/>
        <item m="1" x="5256"/>
        <item m="1" x="7918"/>
        <item m="1" x="6905"/>
        <item x="3322"/>
        <item x="1026"/>
        <item m="1" x="7390"/>
        <item x="2094"/>
        <item x="3323"/>
        <item m="1" x="3581"/>
        <item x="2276"/>
        <item m="1" x="5626"/>
        <item x="1770"/>
        <item m="1" x="6803"/>
        <item x="980"/>
        <item x="3307"/>
        <item m="1" x="4070"/>
        <item m="1" x="7043"/>
        <item m="1" x="5197"/>
        <item m="1" x="5257"/>
        <item m="1" x="4984"/>
        <item x="3372"/>
        <item x="161"/>
        <item m="1" x="7393"/>
        <item x="2766"/>
        <item x="1196"/>
        <item x="1539"/>
        <item m="1" x="7486"/>
        <item x="3186"/>
        <item m="1" x="6649"/>
        <item m="1" x="6093"/>
        <item m="1" x="6125"/>
        <item m="1" x="4471"/>
        <item m="1" x="6263"/>
        <item x="1111"/>
        <item x="1363"/>
        <item m="1" x="6401"/>
        <item m="1" x="5879"/>
        <item m="1" x="6309"/>
        <item x="2197"/>
        <item x="1231"/>
        <item m="1" x="6143"/>
        <item m="1" x="7601"/>
        <item x="1962"/>
        <item m="1" x="4698"/>
        <item m="1" x="6105"/>
        <item m="1" x="4539"/>
        <item m="1" x="6012"/>
        <item m="1" x="6957"/>
        <item m="1" x="5351"/>
        <item m="1" x="6965"/>
        <item m="1" x="4033"/>
        <item x="14"/>
        <item x="3381"/>
        <item m="1" x="4804"/>
        <item m="1" x="7287"/>
        <item x="746"/>
        <item m="1" x="6832"/>
        <item m="1" x="7120"/>
        <item m="1" x="7031"/>
        <item m="1" x="4974"/>
        <item x="53"/>
        <item x="1046"/>
        <item m="1" x="4084"/>
        <item m="1" x="7667"/>
        <item m="1" x="6774"/>
        <item x="1602"/>
        <item m="1" x="6511"/>
        <item m="1" x="7183"/>
        <item x="1835"/>
        <item x="1719"/>
        <item x="1913"/>
        <item x="1157"/>
        <item m="1" x="3916"/>
        <item m="1" x="6155"/>
        <item m="1" x="4909"/>
        <item m="1" x="6843"/>
        <item m="1" x="7922"/>
        <item m="1" x="4932"/>
        <item m="1" x="6742"/>
        <item m="1" x="7420"/>
        <item m="1" x="7368"/>
        <item m="1" x="4402"/>
        <item x="2428"/>
        <item x="1232"/>
        <item x="3416"/>
        <item m="1" x="5769"/>
        <item m="1" x="4814"/>
        <item x="198"/>
        <item m="1" x="4605"/>
        <item m="1" x="6213"/>
        <item m="1" x="6844"/>
        <item x="2823"/>
        <item x="3395"/>
        <item m="1" x="6170"/>
        <item x="1017"/>
        <item x="2608"/>
        <item x="1540"/>
        <item m="1" x="5192"/>
        <item x="977"/>
        <item x="2198"/>
        <item m="1" x="4896"/>
        <item x="929"/>
        <item x="1053"/>
        <item m="1" x="5953"/>
        <item m="1" x="5002"/>
        <item x="3459"/>
        <item x="3456"/>
        <item m="1" x="7220"/>
        <item x="2429"/>
        <item x="3485"/>
        <item m="1" x="5872"/>
        <item x="2380"/>
        <item m="1" x="3869"/>
        <item x="2800"/>
        <item m="1" x="5628"/>
        <item m="1" x="5302"/>
        <item m="1" x="5988"/>
        <item x="488"/>
        <item x="2299"/>
        <item x="11"/>
        <item m="1" x="7719"/>
        <item m="1" x="6984"/>
        <item x="536"/>
        <item m="1" x="5462"/>
        <item x="2316"/>
        <item x="1691"/>
        <item x="1692"/>
        <item m="1" x="7571"/>
        <item x="247"/>
        <item x="2125"/>
        <item m="1" x="7144"/>
        <item x="2568"/>
        <item m="1" x="7756"/>
        <item m="1" x="6347"/>
        <item m="1" x="7280"/>
        <item x="2007"/>
        <item m="1" x="7762"/>
        <item m="1" x="4133"/>
        <item x="2323"/>
        <item m="1" x="4730"/>
        <item m="1" x="5106"/>
        <item m="1" x="7577"/>
        <item x="2215"/>
        <item m="1" x="4032"/>
        <item x="2199"/>
        <item m="1" x="5902"/>
        <item x="3365"/>
        <item m="1" x="4247"/>
        <item m="1" x="5086"/>
        <item m="1" x="5099"/>
        <item m="1" x="5557"/>
        <item x="462"/>
        <item m="1" x="7512"/>
        <item x="747"/>
        <item m="1" x="6106"/>
        <item x="2158"/>
        <item x="2277"/>
        <item x="2077"/>
        <item x="2076"/>
        <item x="2082"/>
        <item m="1" x="6888"/>
        <item m="1" x="4041"/>
        <item m="1" x="4422"/>
        <item x="1093"/>
        <item m="1" x="5857"/>
        <item m="1" x="3592"/>
        <item x="2008"/>
        <item m="1" x="5731"/>
        <item x="1315"/>
        <item m="1" x="5424"/>
        <item m="1" x="4962"/>
        <item x="328"/>
        <item x="1421"/>
        <item x="1422"/>
        <item x="1299"/>
        <item x="2430"/>
        <item m="1" x="4933"/>
        <item m="1" x="3946"/>
        <item x="1206"/>
        <item m="1" x="7105"/>
        <item x="3131"/>
        <item m="1" x="6652"/>
        <item m="1" x="3747"/>
        <item m="1" x="4350"/>
        <item x="640"/>
        <item x="1364"/>
        <item x="2327"/>
        <item m="1" x="3578"/>
        <item x="2658"/>
        <item x="163"/>
        <item x="1633"/>
        <item m="1" x="4394"/>
        <item x="593"/>
        <item m="1" x="4015"/>
        <item m="1" x="6484"/>
        <item m="1" x="6927"/>
        <item x="1113"/>
        <item x="1389"/>
        <item m="1" x="5116"/>
        <item m="1" x="7136"/>
        <item m="1" x="6017"/>
        <item m="1" x="7147"/>
        <item x="842"/>
        <item m="1" x="7681"/>
        <item m="1" x="5974"/>
        <item m="1" x="4815"/>
        <item x="1745"/>
        <item x="446"/>
        <item m="1" x="4543"/>
        <item x="1498"/>
        <item x="2986"/>
        <item x="190"/>
        <item x="2745"/>
        <item m="1" x="5327"/>
        <item x="1720"/>
        <item x="680"/>
        <item x="709"/>
        <item m="1" x="3565"/>
        <item m="1" x="6753"/>
        <item m="1" x="4514"/>
        <item m="1" x="4525"/>
        <item x="1569"/>
        <item m="1" x="5453"/>
        <item m="1" x="4982"/>
        <item x="2507"/>
        <item m="1" x="5654"/>
        <item m="1" x="5258"/>
        <item m="1" x="5259"/>
        <item x="3340"/>
        <item x="3341"/>
        <item x="3214"/>
        <item x="3347"/>
        <item x="2489"/>
        <item x="732"/>
        <item x="194"/>
        <item x="703"/>
        <item m="1" x="6406"/>
        <item x="1233"/>
        <item m="1" x="6501"/>
        <item x="1365"/>
        <item m="1" x="5779"/>
        <item m="1" x="7561"/>
        <item x="497"/>
        <item m="1" x="6175"/>
        <item m="1" x="4945"/>
        <item m="1" x="5443"/>
        <item m="1" x="5530"/>
        <item m="1" x="5832"/>
        <item x="2863"/>
        <item x="2919"/>
        <item m="1" x="6695"/>
        <item x="1950"/>
        <item m="1" x="5815"/>
        <item x="2932"/>
        <item x="2519"/>
        <item m="1" x="3588"/>
        <item x="248"/>
        <item m="1" x="5467"/>
        <item m="1" x="6738"/>
        <item m="1" x="3987"/>
        <item m="1" x="3840"/>
        <item m="1" x="3548"/>
        <item m="1" x="7781"/>
        <item m="1" x="6459"/>
        <item x="2467"/>
        <item m="1" x="5653"/>
        <item m="1" x="6599"/>
        <item x="3432"/>
        <item m="1" x="7863"/>
        <item x="651"/>
        <item m="1" x="5978"/>
        <item m="1" x="6475"/>
        <item m="1" x="6928"/>
        <item x="1721"/>
        <item m="1" x="5608"/>
        <item m="1" x="4080"/>
        <item m="1" x="6100"/>
        <item x="691"/>
        <item x="2864"/>
        <item x="3498"/>
        <item x="1541"/>
        <item m="1" x="5860"/>
        <item x="2328"/>
        <item x="743"/>
        <item m="1" x="7173"/>
        <item m="1" x="5941"/>
        <item m="1" x="6878"/>
        <item x="1242"/>
        <item x="374"/>
        <item x="1499"/>
        <item m="1" x="3882"/>
        <item x="197"/>
        <item m="1" x="5133"/>
        <item m="1" x="7797"/>
        <item m="1" x="4805"/>
        <item m="1" x="4190"/>
        <item m="1" x="3696"/>
        <item m="1" x="5850"/>
        <item x="2494"/>
        <item m="1" x="7478"/>
        <item x="2331"/>
        <item m="1" x="6276"/>
        <item x="3081"/>
        <item m="1" x="5328"/>
        <item m="1" x="6351"/>
        <item m="1" x="6680"/>
        <item x="2509"/>
        <item m="1" x="4200"/>
        <item m="1" x="4448"/>
        <item m="1" x="4055"/>
        <item x="2200"/>
        <item m="1" x="4044"/>
        <item x="1450"/>
        <item m="1" x="6248"/>
        <item m="1" x="4486"/>
        <item m="1" x="4239"/>
        <item x="2431"/>
        <item x="809"/>
        <item m="1" x="4676"/>
        <item x="149"/>
        <item m="1" x="3709"/>
        <item x="436"/>
        <item x="1771"/>
        <item x="94"/>
        <item x="47"/>
        <item x="3345"/>
        <item m="1" x="3860"/>
        <item x="1366"/>
        <item m="1" x="6602"/>
        <item x="3295"/>
        <item m="1" x="4113"/>
        <item x="594"/>
        <item x="854"/>
        <item x="689"/>
        <item x="2085"/>
        <item m="1" x="7975"/>
        <item x="1500"/>
        <item x="448"/>
        <item x="1367"/>
        <item m="1" x="6692"/>
        <item x="3394"/>
        <item m="1" x="3988"/>
        <item m="1" x="5018"/>
        <item x="535"/>
        <item m="1" x="4126"/>
        <item m="1" x="6915"/>
        <item x="2110"/>
        <item m="1" x="6987"/>
        <item m="1" x="6797"/>
        <item m="1" x="6574"/>
        <item x="1155"/>
        <item m="1" x="7999"/>
        <item x="3225"/>
        <item m="1" x="6418"/>
        <item m="1" x="5448"/>
        <item m="1" x="6857"/>
        <item x="1479"/>
        <item m="1" x="4557"/>
        <item x="2098"/>
        <item m="1" x="6654"/>
        <item m="1" x="4846"/>
        <item m="1" x="6854"/>
        <item x="1829"/>
        <item m="1" x="7972"/>
        <item x="683"/>
        <item x="3038"/>
        <item m="1" x="4924"/>
        <item x="1018"/>
        <item x="2090"/>
        <item m="1" x="5673"/>
        <item x="2208"/>
        <item m="1" x="4510"/>
        <item x="1430"/>
        <item m="1" x="4516"/>
        <item m="1" x="6522"/>
        <item x="1049"/>
        <item x="1457"/>
        <item x="2031"/>
        <item m="1" x="4265"/>
        <item m="1" x="7840"/>
        <item m="1" x="7656"/>
        <item m="1" x="4203"/>
        <item x="1245"/>
        <item m="1" x="4428"/>
        <item m="1" x="3871"/>
        <item m="1" x="7412"/>
        <item m="1" x="5171"/>
        <item x="2640"/>
        <item x="79"/>
        <item x="2278"/>
        <item x="1112"/>
        <item x="1114"/>
        <item x="2062"/>
        <item m="1" x="4835"/>
        <item m="1" x="6370"/>
        <item m="1" x="4042"/>
        <item m="1" x="7446"/>
        <item m="1" x="4389"/>
        <item x="1177"/>
        <item x="3420"/>
        <item m="1" x="4910"/>
        <item m="1" x="5770"/>
        <item m="1" x="7344"/>
        <item x="2964"/>
        <item m="1" x="5842"/>
        <item x="1038"/>
        <item x="1042"/>
        <item m="1" x="6978"/>
        <item m="1" x="4957"/>
        <item m="1" x="5754"/>
        <item x="1542"/>
        <item m="1" x="3953"/>
        <item x="2127"/>
        <item x="3499"/>
        <item m="1" x="6216"/>
        <item m="1" x="6299"/>
        <item x="595"/>
        <item x="2528"/>
        <item x="1275"/>
        <item m="1" x="5942"/>
        <item m="1" x="5374"/>
        <item x="810"/>
        <item x="1444"/>
        <item m="1" x="4912"/>
        <item x="2148"/>
        <item m="1" x="6667"/>
        <item m="1" x="7509"/>
        <item m="1" x="7221"/>
        <item x="2064"/>
        <item m="1" x="6968"/>
        <item m="1" x="6641"/>
        <item m="1" x="3596"/>
        <item m="1" x="4274"/>
        <item x="1109"/>
        <item x="2480"/>
        <item x="2853"/>
        <item m="1" x="7063"/>
        <item m="1" x="7982"/>
        <item x="443"/>
        <item m="1" x="4988"/>
        <item m="1" x="4958"/>
        <item m="1" x="7203"/>
        <item x="1126"/>
        <item x="1234"/>
        <item x="1137"/>
        <item m="1" x="7959"/>
        <item x="2133"/>
        <item x="2604"/>
        <item m="1" x="4641"/>
        <item m="1" x="6462"/>
        <item x="2746"/>
        <item x="122"/>
        <item m="1" x="4075"/>
        <item x="2779"/>
        <item x="2491"/>
        <item m="1" x="7903"/>
        <item m="1" x="5704"/>
        <item m="1" x="3675"/>
        <item m="1" x="4446"/>
        <item x="1646"/>
        <item m="1" x="4414"/>
        <item x="3118"/>
        <item x="1946"/>
        <item m="1" x="4531"/>
        <item x="562"/>
        <item x="1807"/>
        <item x="1150"/>
        <item m="1" x="5482"/>
        <item m="1" x="7526"/>
        <item x="1791"/>
        <item x="3500"/>
        <item x="3270"/>
        <item x="1243"/>
        <item m="1" x="4964"/>
        <item x="425"/>
        <item m="1" x="4560"/>
        <item m="1" x="3525"/>
        <item x="1773"/>
        <item x="2109"/>
        <item x="1368"/>
        <item m="1" x="5061"/>
        <item x="3408"/>
        <item x="3369"/>
        <item x="3378"/>
        <item x="2544"/>
        <item x="439"/>
        <item x="405"/>
        <item m="1" x="4847"/>
        <item m="1" x="4902"/>
        <item x="1000"/>
        <item x="781"/>
        <item x="1188"/>
        <item x="1900"/>
        <item x="1883"/>
        <item x="249"/>
        <item x="1779"/>
        <item x="358"/>
        <item x="2946"/>
        <item x="832"/>
        <item m="1" x="3574"/>
        <item m="1" x="6883"/>
        <item m="1" x="6490"/>
        <item x="139"/>
        <item m="1" x="5003"/>
        <item x="639"/>
        <item x="2600"/>
        <item x="831"/>
        <item x="211"/>
        <item m="1" x="3662"/>
        <item x="2719"/>
        <item m="1" x="5112"/>
        <item m="1" x="4214"/>
        <item x="1591"/>
        <item m="1" x="5962"/>
        <item x="2747"/>
        <item m="1" x="5109"/>
        <item x="2748"/>
        <item m="1" x="6348"/>
        <item x="250"/>
        <item m="1" x="5303"/>
        <item m="1" x="3583"/>
        <item x="1244"/>
        <item x="1099"/>
        <item m="1" x="4553"/>
        <item m="1" x="7129"/>
        <item x="2591"/>
        <item x="2201"/>
        <item x="1621"/>
        <item x="3283"/>
        <item m="1" x="3658"/>
        <item m="1" x="3890"/>
        <item x="401"/>
        <item x="32"/>
        <item x="3424"/>
        <item m="1" x="4494"/>
        <item x="3090"/>
        <item m="1" x="4457"/>
        <item m="1" x="3778"/>
        <item m="1" x="4967"/>
        <item m="1" x="4502"/>
        <item m="1" x="3969"/>
        <item m="1" x="4012"/>
        <item m="1" x="7637"/>
        <item m="1" x="4235"/>
        <item m="1" x="3702"/>
        <item x="1614"/>
        <item m="1" x="5585"/>
        <item m="1" x="7815"/>
        <item m="1" x="6383"/>
        <item x="1543"/>
        <item x="2432"/>
        <item m="1" x="5516"/>
        <item m="1" x="5720"/>
        <item x="3308"/>
        <item m="1" x="4243"/>
        <item x="1284"/>
        <item m="1" x="4969"/>
        <item x="1969"/>
        <item x="1306"/>
        <item m="1" x="4309"/>
        <item m="1" x="4513"/>
        <item m="1" x="7771"/>
        <item x="1054"/>
        <item m="1" x="4707"/>
        <item x="1760"/>
        <item x="2433"/>
        <item x="2305"/>
        <item m="1" x="7537"/>
        <item m="1" x="4078"/>
        <item m="1" x="7431"/>
        <item m="1" x="6039"/>
        <item x="2009"/>
        <item x="3105"/>
        <item m="1" x="7945"/>
        <item x="3088"/>
        <item m="1" x="3799"/>
        <item x="2749"/>
        <item m="1" x="6673"/>
        <item m="1" x="4574"/>
        <item x="3106"/>
        <item x="1867"/>
        <item x="1868"/>
        <item m="1" x="4987"/>
        <item m="1" x="5938"/>
        <item x="3324"/>
        <item x="1115"/>
        <item x="274"/>
        <item x="3377"/>
        <item x="87"/>
        <item m="1" x="4508"/>
        <item m="1" x="6443"/>
        <item m="1" x="4497"/>
        <item m="1" x="4399"/>
        <item x="3164"/>
        <item m="1" x="5652"/>
        <item m="1" x="6588"/>
        <item x="3250"/>
        <item m="1" x="7592"/>
        <item m="1" x="4558"/>
        <item x="1561"/>
        <item x="1565"/>
        <item x="263"/>
        <item m="1" x="7765"/>
        <item x="1151"/>
        <item x="2750"/>
        <item m="1" x="7498"/>
        <item x="2806"/>
        <item m="1" x="6395"/>
        <item x="2492"/>
        <item x="656"/>
        <item x="844"/>
        <item m="1" x="5944"/>
        <item x="2578"/>
        <item m="1" x="5845"/>
        <item x="3287"/>
        <item m="1" x="7913"/>
        <item m="1" x="4387"/>
        <item x="811"/>
        <item m="1" x="7674"/>
        <item m="1" x="6071"/>
        <item x="2751"/>
        <item x="2290"/>
        <item m="1" x="5546"/>
        <item m="1" x="6447"/>
        <item m="1" x="6321"/>
        <item x="2434"/>
        <item x="1786"/>
        <item x="596"/>
        <item m="1" x="3943"/>
        <item m="1" x="5046"/>
        <item m="1" x="6217"/>
        <item x="1577"/>
        <item m="1" x="7766"/>
        <item m="1" x="7198"/>
        <item x="2810"/>
        <item x="1409"/>
        <item x="457"/>
        <item m="1" x="7734"/>
        <item x="2906"/>
        <item m="1" x="6874"/>
        <item m="1" x="3554"/>
        <item x="2511"/>
        <item m="1" x="4716"/>
        <item m="1" x="5043"/>
        <item m="1" x="4751"/>
        <item m="1" x="4757"/>
        <item m="1" x="4743"/>
        <item m="1" x="4759"/>
        <item x="2074"/>
        <item x="755"/>
        <item x="499"/>
        <item x="1651"/>
        <item x="2144"/>
        <item x="2249"/>
        <item m="1" x="4934"/>
        <item x="288"/>
        <item x="8"/>
        <item x="2435"/>
        <item m="1" x="5498"/>
        <item x="2093"/>
        <item m="1" x="3598"/>
        <item x="437"/>
        <item x="851"/>
        <item m="1" x="5428"/>
        <item m="1" x="7141"/>
        <item m="1" x="6078"/>
        <item x="3035"/>
        <item x="26"/>
        <item m="1" x="5137"/>
        <item x="310"/>
        <item m="1" x="6357"/>
        <item x="2893"/>
        <item m="1" x="7230"/>
        <item m="1" x="7025"/>
        <item x="2808"/>
        <item x="29"/>
        <item x="3342"/>
        <item m="1" x="5260"/>
        <item m="1" x="5261"/>
        <item x="1218"/>
        <item m="1" x="5262"/>
        <item m="1" x="3886"/>
        <item x="2364"/>
        <item m="1" x="6719"/>
        <item x="3211"/>
        <item m="1" x="5717"/>
        <item m="1" x="3817"/>
        <item m="1" x="7687"/>
        <item m="1" x="3609"/>
        <item x="946"/>
        <item x="1572"/>
        <item m="1" x="5468"/>
        <item x="597"/>
        <item m="1" x="5618"/>
        <item m="1" x="6992"/>
        <item m="1" x="5848"/>
        <item m="1" x="6425"/>
        <item m="1" x="3955"/>
        <item x="3411"/>
        <item x="3453"/>
        <item m="1" x="6815"/>
        <item x="349"/>
        <item m="1" x="4303"/>
        <item m="1" x="4829"/>
        <item m="1" x="6052"/>
        <item m="1" x="3659"/>
        <item m="1" x="6712"/>
        <item m="1" x="5304"/>
        <item x="1620"/>
        <item x="1266"/>
        <item m="1" x="4151"/>
        <item m="1" x="6107"/>
        <item m="1" x="5431"/>
        <item m="1" x="4420"/>
        <item m="1" x="3971"/>
        <item m="1" x="7822"/>
        <item x="969"/>
        <item x="2381"/>
        <item x="1544"/>
        <item x="2547"/>
        <item m="1" x="6516"/>
        <item x="1912"/>
        <item x="2291"/>
        <item x="1438"/>
        <item x="1028"/>
        <item x="391"/>
        <item x="1951"/>
        <item x="220"/>
        <item m="1" x="4857"/>
        <item m="1" x="4362"/>
        <item x="2516"/>
        <item x="2099"/>
        <item m="1" x="5574"/>
        <item x="2257"/>
        <item x="1125"/>
        <item x="367"/>
        <item m="1" x="5690"/>
        <item m="1" x="3634"/>
        <item m="1" x="4858"/>
        <item m="1" x="6794"/>
        <item m="1" x="6307"/>
        <item m="1" x="7076"/>
        <item m="1" x="5305"/>
        <item x="1501"/>
        <item m="1" x="5541"/>
        <item m="1" x="5306"/>
        <item m="1" x="6986"/>
        <item m="1" x="5709"/>
        <item m="1" x="5021"/>
        <item x="3076"/>
        <item m="1" x="5943"/>
        <item m="1" x="5740"/>
        <item x="3011"/>
        <item m="1" x="5535"/>
        <item m="1" x="5996"/>
        <item x="1318"/>
        <item x="2162"/>
        <item x="1278"/>
        <item m="1" x="7864"/>
        <item x="598"/>
        <item m="1" x="6114"/>
        <item m="1" x="4816"/>
        <item x="489"/>
        <item x="1105"/>
        <item m="1" x="4119"/>
        <item m="1" x="6664"/>
        <item x="1922"/>
        <item m="1" x="4426"/>
        <item m="1" x="5651"/>
        <item x="1502"/>
        <item x="3402"/>
        <item m="1" x="7036"/>
        <item m="1" x="4520"/>
        <item m="1" x="4919"/>
        <item x="1973"/>
        <item m="1" x="5650"/>
        <item m="1" x="5778"/>
        <item m="1" x="5648"/>
        <item x="2521"/>
        <item x="2674"/>
        <item m="1" x="4604"/>
        <item m="1" x="4548"/>
        <item x="1161"/>
        <item m="1" x="6092"/>
        <item m="1" x="5398"/>
        <item m="1" x="6349"/>
        <item m="1" x="3755"/>
        <item x="1178"/>
        <item x="84"/>
        <item x="1563"/>
        <item m="1" x="6502"/>
        <item x="373"/>
        <item m="1" x="4154"/>
        <item x="3084"/>
        <item m="1" x="4720"/>
        <item m="1" x="3555"/>
        <item m="1" x="6995"/>
        <item m="1" x="5748"/>
        <item x="1640"/>
        <item m="1" x="6174"/>
        <item m="1" x="4914"/>
        <item x="2825"/>
        <item x="1826"/>
        <item m="1" x="4321"/>
        <item x="483"/>
        <item m="1" x="3820"/>
        <item m="1" x="5367"/>
        <item m="1" x="5647"/>
        <item x="2657"/>
        <item x="1051"/>
        <item x="2828"/>
        <item m="1" x="6294"/>
        <item m="1" x="4245"/>
        <item m="1" x="6935"/>
        <item m="1" x="5201"/>
        <item x="526"/>
        <item m="1" x="4530"/>
        <item m="1" x="6212"/>
        <item m="1" x="4180"/>
        <item m="1" x="6270"/>
        <item m="1" x="7496"/>
        <item x="1545"/>
        <item x="2086"/>
        <item m="1" x="6136"/>
        <item m="1" x="6884"/>
        <item x="2583"/>
        <item m="1" x="5547"/>
        <item x="3361"/>
        <item x="1369"/>
        <item m="1" x="7382"/>
        <item m="1" x="7385"/>
        <item x="1749"/>
        <item m="1" x="5031"/>
        <item m="1" x="6025"/>
        <item x="2763"/>
        <item m="1" x="5388"/>
        <item x="22"/>
        <item x="2752"/>
        <item x="340"/>
        <item x="2360"/>
        <item x="599"/>
        <item x="600"/>
        <item x="1434"/>
        <item m="1" x="4097"/>
        <item m="1" x="4935"/>
        <item x="3480"/>
        <item m="1" x="5903"/>
        <item x="1762"/>
        <item m="1" x="4477"/>
        <item x="463"/>
        <item x="2321"/>
        <item x="1613"/>
        <item x="2279"/>
        <item m="1" x="6823"/>
        <item m="1" x="4859"/>
        <item x="1129"/>
        <item x="2782"/>
        <item m="1" x="6732"/>
        <item x="2569"/>
        <item m="1" x="4854"/>
        <item m="1" x="7538"/>
        <item m="1" x="7714"/>
        <item x="48"/>
        <item x="1852"/>
        <item m="1" x="5646"/>
        <item m="1" x="7034"/>
        <item m="1" x="4045"/>
        <item m="1" x="5619"/>
        <item m="1" x="3945"/>
        <item x="2010"/>
        <item m="1" x="6205"/>
        <item x="1894"/>
        <item m="1" x="5620"/>
        <item m="1" x="6145"/>
        <item x="632"/>
        <item x="2207"/>
        <item m="1" x="6549"/>
        <item x="2707"/>
        <item x="13"/>
        <item m="1" x="7035"/>
        <item x="2620"/>
        <item x="1452"/>
        <item m="1" x="6911"/>
        <item x="701"/>
        <item x="2044"/>
        <item m="1" x="3714"/>
        <item x="3007"/>
        <item m="1" x="5904"/>
        <item m="1" x="6523"/>
        <item m="1" x="5444"/>
        <item x="1981"/>
        <item x="2676"/>
        <item m="1" x="7411"/>
        <item x="1546"/>
        <item x="1264"/>
        <item m="1" x="5728"/>
        <item x="2713"/>
        <item x="1138"/>
        <item m="1" x="6787"/>
        <item x="2595"/>
        <item m="1" x="6976"/>
        <item x="61"/>
        <item x="1547"/>
        <item x="3481"/>
        <item x="2708"/>
        <item x="3306"/>
        <item x="2219"/>
        <item x="3244"/>
        <item x="3174"/>
        <item m="1" x="5918"/>
        <item x="3325"/>
        <item m="1" x="6337"/>
        <item m="1" x="7993"/>
        <item m="1" x="4606"/>
        <item m="1" x="3626"/>
        <item m="1" x="4107"/>
        <item m="1" x="6137"/>
        <item m="1" x="6509"/>
        <item x="2987"/>
        <item x="1503"/>
        <item m="1" x="4742"/>
        <item m="1" x="6138"/>
        <item x="1548"/>
        <item x="1864"/>
        <item x="2228"/>
        <item m="1" x="6156"/>
        <item x="1671"/>
        <item m="1" x="4906"/>
        <item m="1" x="6838"/>
        <item x="1811"/>
        <item m="1" x="6518"/>
        <item m="1" x="3577"/>
        <item x="2254"/>
        <item x="150"/>
        <item x="6"/>
        <item x="601"/>
        <item x="602"/>
        <item m="1" x="7578"/>
        <item m="1" x="3541"/>
        <item x="1090"/>
        <item x="98"/>
        <item m="1" x="6439"/>
        <item x="1370"/>
        <item m="1" x="7440"/>
        <item x="673"/>
        <item x="2589"/>
        <item m="1" x="6229"/>
        <item x="2011"/>
        <item m="1" x="4091"/>
        <item x="2300"/>
        <item x="175"/>
        <item m="1" x="3830"/>
        <item x="3080"/>
        <item m="1" x="5502"/>
        <item x="1792"/>
        <item m="1" x="3847"/>
        <item m="1" x="4518"/>
        <item x="1163"/>
        <item m="1" x="5263"/>
        <item x="481"/>
        <item m="1" x="4147"/>
        <item m="1" x="7097"/>
        <item m="1" x="6089"/>
        <item m="1" x="3587"/>
        <item x="3414"/>
        <item m="1" x="4998"/>
        <item m="1" x="7876"/>
        <item m="1" x="3705"/>
        <item m="1" x="5415"/>
        <item x="603"/>
        <item m="1" x="7448"/>
        <item x="1219"/>
        <item m="1" x="5008"/>
        <item m="1" x="7437"/>
        <item m="1" x="6908"/>
        <item m="1" x="7086"/>
        <item x="2570"/>
        <item m="1" x="5675"/>
        <item x="3138"/>
        <item m="1" x="6264"/>
        <item m="1" x="6550"/>
        <item m="1" x="6040"/>
        <item x="1549"/>
        <item m="1" x="7664"/>
        <item m="1" x="6336"/>
        <item x="2050"/>
        <item m="1" x="4512"/>
        <item m="1" x="6191"/>
        <item m="1" x="7062"/>
        <item m="1" x="3792"/>
        <item m="1" x="5990"/>
        <item m="1" x="5621"/>
        <item x="1207"/>
        <item x="1027"/>
        <item x="2012"/>
        <item m="1" x="5132"/>
        <item m="1" x="7329"/>
        <item x="2370"/>
        <item m="1" x="6051"/>
        <item m="1" x="4688"/>
        <item m="1" x="6788"/>
        <item m="1" x="4447"/>
        <item x="2865"/>
        <item m="1" x="4537"/>
        <item x="2948"/>
        <item m="1" x="3761"/>
        <item m="1" x="5795"/>
        <item x="2625"/>
        <item m="1" x="5777"/>
        <item m="1" x="6936"/>
        <item m="1" x="4173"/>
        <item m="1" x="7470"/>
        <item x="1744"/>
        <item x="1895"/>
        <item x="644"/>
        <item x="3343"/>
        <item m="1" x="7752"/>
        <item m="1" x="4762"/>
        <item m="1" x="6358"/>
        <item m="1" x="6410"/>
        <item x="191"/>
        <item m="1" x="7499"/>
        <item m="1" x="3751"/>
        <item m="1" x="4186"/>
        <item x="1322"/>
        <item x="2013"/>
        <item x="1810"/>
        <item m="1" x="4191"/>
        <item m="1" x="7984"/>
        <item m="1" x="3770"/>
        <item m="1" x="6287"/>
        <item m="1" x="4546"/>
        <item m="1" x="7821"/>
        <item x="86"/>
        <item m="1" x="6432"/>
        <item m="1" x="5264"/>
        <item m="1" x="3660"/>
        <item m="1" x="3958"/>
        <item x="2822"/>
        <item m="1" x="7389"/>
        <item m="1" x="7161"/>
        <item m="1" x="4127"/>
        <item x="2121"/>
        <item x="951"/>
        <item m="1" x="4872"/>
        <item x="140"/>
        <item x="400"/>
        <item x="1316"/>
        <item x="812"/>
        <item m="1" x="6880"/>
        <item x="1455"/>
        <item x="492"/>
        <item x="2359"/>
        <item x="2028"/>
        <item m="1" x="4887"/>
        <item m="1" x="3650"/>
        <item m="1" x="5392"/>
        <item m="1" x="6346"/>
        <item m="1" x="5265"/>
        <item m="1" x="5214"/>
        <item m="1" x="5359"/>
        <item m="1" x="6814"/>
        <item m="1" x="7744"/>
        <item m="1" x="4897"/>
        <item m="1" x="5329"/>
        <item m="1" x="7108"/>
        <item m="1" x="5954"/>
        <item m="1" x="6271"/>
        <item x="999"/>
        <item m="1" x="6427"/>
        <item x="2753"/>
        <item m="1" x="5390"/>
        <item m="1" x="6869"/>
        <item m="1" x="4271"/>
        <item m="1" x="5958"/>
        <item m="1" x="7885"/>
        <item x="3107"/>
        <item m="1" x="7020"/>
        <item x="1504"/>
        <item m="1" x="3876"/>
        <item x="1746"/>
        <item m="1" x="6525"/>
        <item x="3017"/>
        <item x="251"/>
        <item x="1576"/>
        <item x="1439"/>
        <item x="3506"/>
        <item m="1" x="5645"/>
        <item m="1" x="4946"/>
        <item m="1" x="5837"/>
        <item x="2460"/>
        <item m="1" x="5866"/>
        <item m="1" x="6394"/>
        <item m="1" x="4836"/>
        <item m="1" x="3796"/>
        <item x="2548"/>
        <item x="3124"/>
        <item m="1" x="6731"/>
        <item m="1" x="5833"/>
        <item m="1" x="5555"/>
        <item m="1" x="3689"/>
        <item x="1423"/>
        <item m="1" x="7235"/>
        <item m="1" x="4703"/>
        <item m="1" x="6318"/>
        <item x="2448"/>
        <item m="1" x="5905"/>
        <item m="1" x="7528"/>
        <item m="1" x="6615"/>
        <item x="3501"/>
        <item m="1" x="5906"/>
        <item m="1" x="4244"/>
        <item m="1" x="7581"/>
        <item x="1235"/>
        <item x="2627"/>
        <item m="1" x="7858"/>
        <item m="1" x="5406"/>
        <item m="1" x="5266"/>
        <item m="1" x="4747"/>
        <item x="1197"/>
        <item x="1505"/>
        <item m="1" x="7010"/>
        <item m="1" x="6860"/>
        <item m="1" x="4655"/>
        <item m="1" x="5267"/>
        <item x="2465"/>
        <item m="1" x="5732"/>
        <item m="1" x="3707"/>
        <item x="2202"/>
        <item m="1" x="7923"/>
        <item x="630"/>
        <item x="930"/>
        <item m="1" x="4465"/>
        <item x="3326"/>
        <item x="2261"/>
        <item x="465"/>
        <item m="1" x="4635"/>
        <item x="2709"/>
        <item m="1" x="4480"/>
        <item x="774"/>
        <item x="563"/>
        <item x="371"/>
        <item m="1" x="6350"/>
        <item m="1" x="7988"/>
        <item x="2508"/>
        <item m="1" x="6696"/>
        <item x="19"/>
        <item m="1" x="4976"/>
        <item x="1236"/>
        <item x="62"/>
        <item m="1" x="5966"/>
        <item m="1" x="7697"/>
        <item m="1" x="3680"/>
        <item m="1" x="3779"/>
        <item m="1" x="6556"/>
        <item x="2220"/>
        <item x="1460"/>
        <item x="2203"/>
        <item x="2280"/>
        <item m="1" x="5548"/>
        <item m="1" x="4454"/>
        <item m="1" x="6691"/>
        <item x="2281"/>
        <item x="315"/>
        <item m="1" x="7135"/>
        <item x="2243"/>
        <item x="137"/>
        <item x="813"/>
        <item x="658"/>
        <item x="471"/>
        <item m="1" x="6766"/>
        <item m="1" x="5330"/>
        <item x="2351"/>
        <item m="1" x="6897"/>
        <item m="1" x="6303"/>
        <item m="1" x="5946"/>
        <item m="1" x="4704"/>
        <item m="1" x="7246"/>
        <item m="1" x="7515"/>
        <item m="1" x="6743"/>
        <item m="1" x="6431"/>
        <item x="1911"/>
        <item x="978"/>
        <item m="1" x="7095"/>
        <item x="2843"/>
        <item x="2436"/>
        <item m="1" x="5998"/>
        <item m="1" x="5969"/>
        <item x="2045"/>
        <item x="2355"/>
        <item x="1080"/>
        <item m="1" x="4198"/>
        <item m="1" x="5805"/>
        <item x="1414"/>
        <item m="1" x="5638"/>
        <item m="1" x="7673"/>
        <item m="1" x="3864"/>
        <item m="1" x="4359"/>
        <item x="70"/>
        <item m="1" x="6577"/>
        <item x="282"/>
        <item x="1955"/>
        <item x="1158"/>
        <item x="151"/>
        <item x="769"/>
        <item x="1788"/>
        <item m="1" x="4228"/>
        <item x="2580"/>
        <item x="604"/>
        <item m="1" x="7119"/>
        <item m="1" x="5496"/>
        <item m="1" x="3543"/>
        <item x="2053"/>
        <item m="1" x="6332"/>
        <item m="1" x="4058"/>
        <item x="2453"/>
        <item m="1" x="5526"/>
        <item m="1" x="7455"/>
        <item x="2530"/>
        <item x="626"/>
        <item m="1" x="6050"/>
        <item x="1550"/>
        <item x="120"/>
        <item x="3078"/>
        <item m="1" x="6411"/>
        <item m="1" x="5268"/>
        <item x="329"/>
        <item m="1" x="5139"/>
        <item m="1" x="4346"/>
        <item x="637"/>
        <item m="1" x="4096"/>
        <item x="427"/>
        <item x="428"/>
        <item x="3470"/>
        <item m="1" x="5331"/>
        <item m="1" x="5668"/>
        <item x="429"/>
        <item x="35"/>
        <item x="2920"/>
        <item x="1475"/>
        <item x="2229"/>
        <item m="1" x="4464"/>
        <item m="1" x="4936"/>
        <item m="1" x="6352"/>
        <item m="1" x="6306"/>
        <item m="1" x="7370"/>
        <item x="1722"/>
        <item x="1390"/>
        <item x="1871"/>
        <item x="2754"/>
        <item x="1371"/>
        <item m="1" x="4324"/>
        <item x="3228"/>
        <item m="1" x="7104"/>
        <item x="2959"/>
        <item m="1" x="5407"/>
        <item x="814"/>
        <item m="1" x="5416"/>
        <item m="1" x="5074"/>
        <item m="1" x="7546"/>
        <item m="1" x="4335"/>
        <item m="1" x="6359"/>
        <item m="1" x="3713"/>
        <item x="430"/>
        <item x="3517"/>
        <item m="1" x="5826"/>
        <item x="753"/>
        <item m="1" x="5014"/>
        <item x="46"/>
        <item m="1" x="3734"/>
        <item m="1" x="6420"/>
        <item x="1426"/>
        <item m="1" x="6404"/>
        <item m="1" x="6539"/>
        <item x="1290"/>
        <item x="707"/>
        <item x="815"/>
        <item x="2014"/>
        <item m="1" x="5816"/>
        <item x="1884"/>
        <item m="1" x="6095"/>
        <item m="1" x="5055"/>
        <item x="860"/>
        <item m="1" x="4211"/>
        <item x="345"/>
        <item x="1031"/>
        <item m="1" x="4304"/>
        <item m="1" x="7388"/>
        <item x="1592"/>
        <item x="1142"/>
        <item m="1" x="4347"/>
        <item x="2716"/>
        <item x="605"/>
        <item m="1" x="7358"/>
        <item m="1" x="4380"/>
        <item m="1" x="6973"/>
        <item x="1562"/>
        <item x="1637"/>
        <item m="1" x="4332"/>
        <item m="1" x="7066"/>
        <item m="1" x="7240"/>
        <item m="1" x="7304"/>
        <item m="1" x="7268"/>
        <item m="1" x="7259"/>
        <item m="1" x="6947"/>
        <item m="1" x="7012"/>
        <item x="1440"/>
        <item x="2015"/>
        <item m="1" x="6001"/>
        <item m="1" x="5705"/>
        <item x="564"/>
        <item m="1" x="7511"/>
        <item m="1" x="6881"/>
        <item m="1" x="5506"/>
        <item x="252"/>
        <item m="1" x="4073"/>
        <item m="1" x="3573"/>
        <item m="1" x="7631"/>
        <item x="3267"/>
        <item m="1" x="4450"/>
        <item m="1" x="6912"/>
        <item m="1" x="4483"/>
        <item x="726"/>
        <item x="253"/>
        <item m="1" x="4474"/>
        <item m="1" x="4293"/>
        <item m="1" x="6116"/>
        <item x="490"/>
        <item x="3288"/>
        <item m="1" x="7826"/>
        <item m="1" x="5269"/>
        <item x="1279"/>
        <item m="1" x="7872"/>
        <item x="2472"/>
        <item x="2656"/>
        <item x="426"/>
        <item x="63"/>
        <item x="1506"/>
        <item x="3057"/>
        <item m="1" x="6483"/>
        <item m="1" x="6173"/>
        <item m="1" x="3652"/>
        <item m="1" x="6310"/>
        <item x="2473"/>
        <item m="1" x="4506"/>
        <item m="1" x="4526"/>
        <item x="3198"/>
        <item m="1" x="3893"/>
        <item m="1" x="5050"/>
        <item m="1" x="3854"/>
        <item m="1" x="7827"/>
        <item m="1" x="7472"/>
        <item m="1" x="5082"/>
        <item m="1" x="3681"/>
        <item x="2690"/>
        <item x="1978"/>
        <item x="30"/>
        <item m="1" x="6189"/>
        <item x="3296"/>
        <item m="1" x="7839"/>
        <item m="1" x="5038"/>
        <item x="2631"/>
        <item x="606"/>
        <item m="1" x="7409"/>
        <item m="1" x="3690"/>
        <item x="303"/>
        <item m="1" x="3661"/>
        <item m="1" x="7725"/>
        <item m="1" x="7091"/>
        <item m="1" x="6750"/>
        <item x="3409"/>
        <item m="1" x="4262"/>
        <item x="3125"/>
        <item x="2951"/>
        <item x="785"/>
        <item m="1" x="5873"/>
        <item x="565"/>
        <item m="1" x="4285"/>
        <item m="1" x="5417"/>
        <item m="1" x="3615"/>
        <item m="1" x="5907"/>
        <item m="1" x="7178"/>
        <item m="1" x="6304"/>
        <item x="2584"/>
        <item m="1" x="3832"/>
        <item x="1756"/>
        <item m="1" x="5400"/>
        <item m="1" x="7935"/>
        <item m="1" x="5095"/>
        <item m="1" x="4155"/>
        <item x="2755"/>
        <item m="1" x="6164"/>
        <item x="1141"/>
        <item x="1734"/>
        <item m="1" x="7707"/>
        <item x="668"/>
        <item m="1" x="3966"/>
        <item m="1" x="5483"/>
        <item m="1" x="3788"/>
        <item x="2118"/>
        <item m="1" x="7651"/>
        <item x="1081"/>
        <item m="1" x="5120"/>
        <item m="1" x="5184"/>
        <item x="1879"/>
        <item m="1" x="6568"/>
        <item x="2382"/>
        <item m="1" x="4481"/>
        <item m="1" x="4741"/>
        <item m="1" x="3853"/>
        <item m="1" x="6619"/>
        <item x="2317"/>
        <item x="2286"/>
        <item x="2204"/>
        <item m="1" x="6141"/>
        <item m="1" x="6226"/>
        <item x="530"/>
        <item m="1" x="7450"/>
        <item x="2833"/>
        <item x="816"/>
        <item x="666"/>
        <item x="685"/>
        <item x="152"/>
        <item x="2663"/>
        <item m="1" x="4038"/>
        <item x="2992"/>
        <item m="1" x="5015"/>
        <item m="1" x="4489"/>
        <item x="2139"/>
        <item m="1" x="5671"/>
        <item x="1432"/>
        <item m="1" x="4085"/>
        <item x="2206"/>
        <item x="2877"/>
        <item x="1009"/>
        <item m="1" x="5442"/>
        <item m="1" x="3777"/>
        <item x="2239"/>
        <item m="1" x="3665"/>
        <item x="1761"/>
        <item x="109"/>
        <item x="3384"/>
        <item m="1" x="6243"/>
        <item m="1" x="5215"/>
        <item m="1" x="6499"/>
        <item m="1" x="5927"/>
        <item x="1429"/>
        <item x="214"/>
        <item m="1" x="7044"/>
        <item m="1" x="4049"/>
        <item m="1" x="3576"/>
        <item x="1742"/>
        <item m="1" x="5604"/>
        <item x="3297"/>
        <item m="1" x="3697"/>
        <item x="1855"/>
        <item x="1856"/>
        <item x="1743"/>
        <item m="1" x="3619"/>
        <item x="368"/>
        <item x="39"/>
        <item x="2142"/>
        <item m="1" x="4194"/>
        <item m="1" x="3868"/>
        <item x="3406"/>
        <item m="1" x="6115"/>
        <item m="1" x="7453"/>
        <item x="101"/>
        <item x="876"/>
        <item m="1" x="5307"/>
        <item m="1" x="7432"/>
        <item x="2921"/>
        <item x="2367"/>
        <item m="1" x="4564"/>
        <item m="1" x="5441"/>
        <item x="2816"/>
        <item m="1" x="4644"/>
        <item x="2802"/>
        <item m="1" x="4937"/>
        <item x="3327"/>
        <item m="1" x="6368"/>
        <item x="869"/>
        <item m="1" x="5517"/>
        <item m="1" x="5913"/>
        <item m="1" x="7027"/>
        <item x="1964"/>
        <item x="2678"/>
        <item m="1" x="6576"/>
        <item m="1" x="5347"/>
        <item m="1" x="7605"/>
        <item m="1" x="4983"/>
        <item m="1" x="7989"/>
        <item m="1" x="4103"/>
        <item m="1" x="5216"/>
        <item m="1" x="5937"/>
        <item m="1" x="6203"/>
        <item m="1" x="4252"/>
        <item m="1" x="7921"/>
        <item m="1" x="5085"/>
        <item x="64"/>
        <item x="36"/>
        <item m="1" x="7029"/>
        <item x="2437"/>
        <item m="1" x="4292"/>
        <item x="773"/>
        <item m="1" x="7439"/>
        <item m="1" x="5361"/>
        <item m="1" x="4947"/>
        <item m="1" x="6426"/>
        <item m="1" x="6272"/>
        <item x="2282"/>
        <item m="1" x="4495"/>
        <item x="3328"/>
        <item m="1" x="3956"/>
        <item x="2942"/>
        <item x="2485"/>
        <item m="1" x="7862"/>
        <item m="1" x="5527"/>
        <item x="1668"/>
        <item m="1" x="4217"/>
        <item x="1649"/>
        <item x="1812"/>
        <item x="304"/>
        <item m="1" x="4903"/>
        <item x="566"/>
        <item m="1" x="4527"/>
        <item x="1846"/>
        <item x="883"/>
        <item m="1" x="5478"/>
        <item x="1665"/>
        <item m="1" x="7866"/>
        <item m="1" x="5032"/>
        <item m="1" x="6876"/>
        <item m="1" x="5308"/>
        <item x="1291"/>
        <item x="2234"/>
        <item m="1" x="4004"/>
        <item x="2016"/>
        <item x="159"/>
        <item m="1" x="4254"/>
        <item m="1" x="4938"/>
        <item m="1" x="6665"/>
        <item x="1928"/>
        <item m="1" x="7739"/>
        <item m="1" x="7775"/>
        <item m="1" x="4360"/>
        <item m="1" x="5357"/>
        <item m="1" x="6892"/>
        <item m="1" x="6345"/>
        <item x="3271"/>
        <item m="1" x="4767"/>
        <item m="1" x="5884"/>
        <item m="1" x="6699"/>
        <item x="1372"/>
        <item m="1" x="5217"/>
        <item m="1" x="7891"/>
        <item x="207"/>
        <item x="1208"/>
        <item m="1" x="4279"/>
        <item x="1448"/>
        <item x="1002"/>
        <item x="1820"/>
        <item m="1" x="4312"/>
        <item m="1" x="4231"/>
        <item x="254"/>
        <item m="1" x="6707"/>
        <item x="1510"/>
        <item x="2205"/>
        <item m="1" x="4860"/>
        <item m="1" x="7590"/>
        <item m="1" x="5875"/>
        <item m="1" x="6735"/>
        <item x="1410"/>
        <item m="1" x="3737"/>
        <item m="1" x="6782"/>
        <item x="2670"/>
        <item x="936"/>
        <item x="947"/>
        <item m="1" x="3671"/>
        <item x="1373"/>
        <item x="2159"/>
        <item x="71"/>
        <item m="1" x="4463"/>
        <item x="957"/>
        <item m="1" x="5353"/>
        <item x="141"/>
        <item m="1" x="5140"/>
        <item x="1374"/>
        <item m="1" x="6945"/>
        <item m="1" x="5637"/>
        <item x="1272"/>
        <item m="1" x="5726"/>
        <item m="1" x="6146"/>
        <item x="1375"/>
        <item m="1" x="5520"/>
        <item x="3329"/>
        <item x="1818"/>
        <item x="2063"/>
        <item m="1" x="6885"/>
        <item m="1" x="6871"/>
        <item x="458"/>
        <item x="983"/>
        <item m="1" x="6929"/>
        <item m="1" x="4005"/>
        <item m="1" x="4088"/>
        <item x="2034"/>
        <item m="1" x="5341"/>
        <item m="1" x="5936"/>
        <item m="1" x="7957"/>
        <item x="3231"/>
        <item x="1086"/>
        <item x="2852"/>
        <item x="2856"/>
        <item x="1170"/>
        <item m="1" x="5477"/>
        <item m="1" x="7879"/>
        <item m="1" x="7456"/>
        <item m="1" x="3649"/>
        <item m="1" x="6505"/>
        <item m="1" x="6834"/>
        <item m="1" x="7019"/>
        <item m="1" x="6360"/>
        <item m="1" x="7859"/>
        <item x="2368"/>
        <item m="1" x="6628"/>
        <item x="2041"/>
        <item x="1681"/>
        <item x="1445"/>
        <item x="2035"/>
        <item x="728"/>
        <item m="1" x="6714"/>
        <item m="1" x="5010"/>
        <item m="1" x="5175"/>
        <item x="431"/>
        <item m="1" x="5067"/>
        <item m="1" x="6386"/>
        <item m="1" x="3919"/>
        <item m="1" x="4029"/>
        <item x="3285"/>
        <item m="1" x="5476"/>
        <item x="1675"/>
        <item x="1019"/>
        <item m="1" x="6951"/>
        <item x="2087"/>
        <item m="1" x="4677"/>
        <item x="2571"/>
        <item m="1" x="7421"/>
        <item x="1952"/>
        <item x="3482"/>
        <item x="2838"/>
        <item x="3050"/>
        <item m="1" x="6582"/>
        <item m="1" x="7776"/>
        <item x="2769"/>
        <item x="255"/>
        <item x="827"/>
        <item x="2710"/>
        <item m="1" x="6182"/>
        <item m="1" x="5528"/>
        <item m="1" x="5706"/>
        <item x="2134"/>
        <item m="1" x="3644"/>
        <item x="20"/>
        <item m="1" x="4817"/>
        <item m="1" x="6472"/>
        <item m="1" x="5571"/>
        <item x="2081"/>
        <item m="1" x="3985"/>
        <item x="2017"/>
        <item m="1" x="3986"/>
        <item m="1" x="7952"/>
        <item m="1" x="5469"/>
        <item x="1094"/>
        <item x="1446"/>
        <item x="2941"/>
        <item x="2303"/>
        <item x="3235"/>
        <item x="432"/>
        <item m="1" x="6076"/>
        <item x="1924"/>
        <item x="1604"/>
        <item m="1" x="5270"/>
        <item m="1" x="5080"/>
        <item m="1" x="7845"/>
        <item x="3034"/>
        <item m="1" x="6273"/>
        <item x="1237"/>
        <item m="1" x="4267"/>
        <item m="1" x="4895"/>
        <item x="523"/>
        <item m="1" x="4383"/>
        <item x="846"/>
        <item x="738"/>
        <item m="1" x="4195"/>
        <item m="1" x="7002"/>
        <item x="1723"/>
        <item m="1" x="6677"/>
        <item x="433"/>
        <item x="2438"/>
        <item m="1" x="5093"/>
        <item m="1" x="6621"/>
        <item x="33"/>
        <item m="1" x="7653"/>
        <item m="1" x="5166"/>
        <item x="778"/>
        <item x="958"/>
        <item m="1" x="7934"/>
        <item x="2439"/>
        <item m="1" x="4523"/>
        <item m="1" x="4972"/>
        <item m="1" x="7083"/>
        <item x="3455"/>
        <item x="80"/>
        <item m="1" x="4990"/>
        <item x="2214"/>
        <item m="1" x="6808"/>
        <item m="1" x="4230"/>
        <item m="1" x="5136"/>
        <item x="2961"/>
        <item m="1" x="5355"/>
        <item m="1" x="3616"/>
        <item m="1" x="7366"/>
        <item m="1" x="6741"/>
        <item m="1" x="6139"/>
        <item x="2632"/>
        <item m="1" x="3711"/>
        <item m="1" x="4865"/>
        <item m="1" x="7174"/>
        <item x="829"/>
        <item x="3215"/>
        <item x="1482"/>
        <item m="1" x="5622"/>
        <item x="1551"/>
        <item x="256"/>
        <item m="1" x="5045"/>
        <item x="3391"/>
        <item m="1" x="4142"/>
        <item m="1" x="5592"/>
        <item x="444"/>
        <item m="1" x="4452"/>
        <item m="1" x="4888"/>
        <item x="3281"/>
        <item m="1" x="4818"/>
        <item x="3141"/>
        <item m="1" x="7812"/>
        <item m="1" x="4830"/>
        <item x="1958"/>
        <item m="1" x="6508"/>
        <item m="1" x="7484"/>
        <item x="1775"/>
        <item x="2106"/>
        <item m="1" x="7824"/>
        <item m="1" x="5796"/>
        <item m="1" x="7327"/>
        <item x="1174"/>
        <item m="1" x="5985"/>
        <item m="1" x="5079"/>
        <item x="89"/>
        <item x="3167"/>
        <item x="2486"/>
        <item m="1" x="3789"/>
        <item x="537"/>
        <item x="1424"/>
        <item m="1" x="6817"/>
        <item m="1" x="6200"/>
        <item m="1" x="5092"/>
        <item m="1" x="6236"/>
        <item x="1289"/>
        <item x="1280"/>
        <item m="1" x="6183"/>
        <item x="1092"/>
        <item m="1" x="6933"/>
        <item x="992"/>
        <item m="1" x="6245"/>
        <item m="1" x="3757"/>
        <item m="1" x="7769"/>
        <item x="2018"/>
        <item m="1" x="3941"/>
        <item m="1" x="3920"/>
        <item m="1" x="4024"/>
        <item m="1" x="3917"/>
        <item x="931"/>
        <item x="440"/>
        <item x="1507"/>
        <item m="1" x="4253"/>
        <item x="1146"/>
        <item x="1653"/>
        <item x="1376"/>
        <item x="3108"/>
        <item x="2292"/>
        <item x="2598"/>
        <item x="2945"/>
        <item x="1152"/>
        <item x="2048"/>
        <item x="3303"/>
        <item x="2718"/>
        <item m="1" x="7480"/>
        <item x="3298"/>
        <item m="1" x="6433"/>
        <item m="1" x="7406"/>
        <item x="2252"/>
        <item m="1" x="5309"/>
        <item m="1" x="4806"/>
        <item m="1" x="7844"/>
        <item m="1" x="4736"/>
        <item m="1" x="4745"/>
        <item m="1" x="4746"/>
        <item x="1650"/>
        <item x="3146"/>
        <item m="1" x="6736"/>
        <item x="695"/>
        <item m="1" x="7853"/>
        <item m="1" x="6964"/>
        <item x="99"/>
        <item x="2283"/>
        <item m="1" x="6783"/>
        <item m="1" x="6889"/>
        <item x="3277"/>
        <item x="2939"/>
        <item x="2019"/>
        <item x="330"/>
        <item x="723"/>
        <item x="478"/>
        <item x="2122"/>
        <item x="3330"/>
        <item m="1" x="5218"/>
        <item m="1" x="3889"/>
        <item m="1" x="4415"/>
        <item x="976"/>
        <item m="1" x="5932"/>
        <item m="1" x="7483"/>
        <item m="1" x="7958"/>
        <item x="1047"/>
        <item x="3132"/>
        <item x="82"/>
        <item m="1" x="4352"/>
        <item m="1" x="7608"/>
        <item x="3139"/>
        <item x="1736"/>
        <item m="1" x="4861"/>
        <item m="1" x="5576"/>
        <item m="1" x="6907"/>
        <item x="2488"/>
        <item x="2922"/>
        <item m="1" x="4478"/>
        <item m="1" x="4419"/>
        <item x="3227"/>
        <item x="1323"/>
        <item m="1" x="5389"/>
        <item x="229"/>
        <item m="1" x="3701"/>
        <item x="1091"/>
        <item m="1" x="5834"/>
        <item m="1" x="4550"/>
        <item x="2227"/>
        <item m="1" x="5342"/>
        <item m="1" x="4219"/>
        <item x="1110"/>
        <item x="2059"/>
        <item x="2440"/>
        <item m="1" x="5838"/>
        <item x="612"/>
        <item x="2180"/>
        <item x="476"/>
        <item m="1" x="7850"/>
        <item x="505"/>
        <item x="817"/>
        <item m="1" x="7942"/>
        <item x="3457"/>
        <item m="1" x="3562"/>
        <item x="289"/>
        <item m="1" x="4388"/>
        <item m="1" x="7435"/>
        <item x="2549"/>
        <item m="1" x="7586"/>
        <item m="1" x="7670"/>
        <item m="1" x="5040"/>
        <item m="1" x="5041"/>
        <item m="1" x="5030"/>
        <item x="712"/>
        <item m="1" x="3867"/>
        <item m="1" x="3975"/>
        <item x="2795"/>
        <item m="1" x="6801"/>
        <item m="1" x="4666"/>
        <item m="1" x="6378"/>
        <item x="1724"/>
        <item m="1" x="4204"/>
        <item x="1401"/>
        <item x="257"/>
        <item m="1" x="6257"/>
        <item m="1" x="4848"/>
        <item m="1" x="5636"/>
        <item x="3083"/>
        <item m="1" x="4511"/>
        <item x="1552"/>
        <item x="3331"/>
        <item m="1" x="4326"/>
        <item m="1" x="5352"/>
        <item m="1" x="6962"/>
        <item m="1" x="7461"/>
        <item x="3012"/>
        <item x="3145"/>
        <item x="1189"/>
        <item x="3089"/>
        <item x="2080"/>
        <item m="1" x="4498"/>
        <item m="1" x="3698"/>
        <item x="628"/>
        <item x="355"/>
        <item m="1" x="3807"/>
        <item x="3440"/>
        <item m="1" x="5425"/>
        <item m="1" x="5822"/>
        <item x="1739"/>
        <item m="1" x="7647"/>
        <item x="2872"/>
        <item x="227"/>
        <item m="1" x="5310"/>
        <item m="1" x="4356"/>
        <item x="1676"/>
        <item m="1" x="7565"/>
        <item m="1" x="6800"/>
        <item x="2969"/>
        <item m="1" x="6557"/>
        <item x="2363"/>
        <item x="919"/>
        <item m="1" x="5505"/>
        <item m="1" x="3765"/>
        <item x="3503"/>
        <item x="2138"/>
        <item x="3216"/>
        <item m="1" x="4261"/>
        <item x="3029"/>
        <item m="1" x="4108"/>
        <item m="1" x="4050"/>
        <item x="1600"/>
        <item m="1" x="6532"/>
        <item x="3289"/>
        <item m="1" x="5271"/>
        <item m="1" x="6930"/>
        <item x="1088"/>
        <item m="1" x="4223"/>
        <item x="1725"/>
        <item m="1" x="4361"/>
        <item m="1" x="7931"/>
        <item m="1" x="6225"/>
        <item m="1" x="4120"/>
        <item m="1" x="6140"/>
        <item m="1" x="4299"/>
        <item x="2794"/>
        <item m="1" x="4917"/>
        <item m="1" x="5635"/>
        <item m="1" x="6977"/>
        <item m="1" x="3623"/>
        <item x="1307"/>
        <item x="2756"/>
        <item m="1" x="5806"/>
        <item x="3450"/>
        <item m="1" x="7527"/>
        <item m="1" x="7634"/>
        <item x="7"/>
        <item x="2497"/>
        <item x="1726"/>
        <item x="818"/>
        <item x="1787"/>
        <item x="3189"/>
        <item m="1" x="6624"/>
        <item m="1" x="7820"/>
        <item m="1" x="5219"/>
        <item m="1" x="5036"/>
        <item x="567"/>
        <item x="1553"/>
        <item m="1" x="6009"/>
        <item x="2889"/>
        <item m="1" x="7194"/>
        <item x="1727"/>
        <item x="2613"/>
        <item m="1" x="6494"/>
        <item m="1" x="5311"/>
        <item m="1" x="4170"/>
        <item x="57"/>
        <item x="749"/>
        <item m="1" x="5011"/>
        <item x="729"/>
        <item x="3136"/>
        <item m="1" x="6886"/>
        <item x="504"/>
        <item m="1" x="6708"/>
        <item x="3279"/>
        <item x="2020"/>
        <item m="1" x="7548"/>
        <item m="1" x="6825"/>
        <item m="1" x="3741"/>
        <item x="2043"/>
        <item m="1" x="4331"/>
        <item m="1" x="5840"/>
        <item m="1" x="5220"/>
        <item m="1" x="5312"/>
        <item m="1" x="5221"/>
        <item m="1" x="5151"/>
        <item m="1" x="3923"/>
        <item m="1" x="7404"/>
        <item m="1" x="4608"/>
        <item m="1" x="5864"/>
        <item m="1" x="6685"/>
        <item m="1" x="3866"/>
        <item x="3058"/>
        <item x="3056"/>
        <item m="1" x="5089"/>
        <item m="1" x="3610"/>
        <item x="1300"/>
        <item x="1896"/>
        <item x="1808"/>
        <item m="1" x="5313"/>
        <item x="3299"/>
        <item m="1" x="5076"/>
        <item m="1" x="7213"/>
        <item m="1" x="3546"/>
        <item m="1" x="6230"/>
        <item m="1" x="3803"/>
        <item m="1" x="3563"/>
        <item m="1" x="6444"/>
        <item m="1" x="6231"/>
        <item m="1" x="3797"/>
        <item x="849"/>
        <item m="1" x="4667"/>
        <item m="1" x="7454"/>
        <item x="1508"/>
        <item x="2551"/>
        <item m="1" x="3775"/>
        <item x="2067"/>
        <item x="607"/>
        <item x="2123"/>
        <item m="1" x="5222"/>
        <item x="3290"/>
        <item x="2836"/>
        <item x="3028"/>
        <item x="434"/>
        <item x="2923"/>
        <item x="2924"/>
        <item m="1" x="5685"/>
        <item m="1" x="7870"/>
        <item x="3351"/>
        <item m="1" x="3666"/>
        <item x="2757"/>
        <item m="1" x="4305"/>
        <item m="1" x="7937"/>
        <item m="1" x="5503"/>
        <item x="3386"/>
        <item x="1281"/>
        <item x="2572"/>
        <item m="1" x="4433"/>
        <item x="2849"/>
        <item x="2356"/>
        <item m="1" x="5999"/>
        <item m="1" x="7400"/>
        <item x="568"/>
        <item m="1" x="6096"/>
        <item m="1" x="6228"/>
        <item m="1" x="4522"/>
        <item m="1" x="7163"/>
        <item x="959"/>
        <item m="1" x="3526"/>
        <item m="1" x="7679"/>
        <item m="1" x="7624"/>
        <item x="1599"/>
        <item x="674"/>
        <item m="1" x="4405"/>
        <item m="1" x="5223"/>
        <item m="1" x="5536"/>
        <item x="1800"/>
        <item m="1" x="6467"/>
        <item x="1693"/>
        <item m="1" x="3908"/>
        <item m="1" x="3994"/>
        <item x="2611"/>
        <item m="1" x="7353"/>
        <item m="1" x="3764"/>
        <item x="2525"/>
        <item x="2181"/>
        <item x="993"/>
        <item m="1" x="3730"/>
        <item x="693"/>
        <item x="1769"/>
        <item x="1238"/>
        <item x="341"/>
        <item m="1" x="7523"/>
        <item m="1" x="4729"/>
        <item m="1" x="7490"/>
        <item x="525"/>
        <item x="1312"/>
        <item x="2353"/>
        <item x="2350"/>
        <item x="3157"/>
        <item x="3445"/>
        <item x="740"/>
        <item x="1198"/>
        <item m="1" x="6724"/>
        <item m="1" x="4300"/>
        <item m="1" x="5314"/>
        <item m="1" x="7158"/>
        <item m="1" x="3715"/>
        <item m="1" x="5418"/>
        <item m="1" x="7717"/>
        <item x="342"/>
        <item m="1" x="7622"/>
        <item x="3332"/>
        <item x="2573"/>
        <item x="1694"/>
        <item x="3109"/>
        <item m="1" x="6397"/>
        <item x="114"/>
        <item m="1" x="3539"/>
        <item m="1" x="7458"/>
        <item m="1" x="7649"/>
        <item m="1" x="4288"/>
        <item x="115"/>
        <item m="1" x="6029"/>
        <item x="2925"/>
        <item m="1" x="4819"/>
        <item x="3346"/>
        <item x="2531"/>
        <item x="72"/>
        <item x="2873"/>
        <item m="1" x="6901"/>
        <item x="1020"/>
        <item m="1" x="4889"/>
        <item x="290"/>
        <item x="2957"/>
        <item m="1" x="4319"/>
        <item x="569"/>
        <item x="2116"/>
        <item m="1" x="5601"/>
        <item m="1" x="3710"/>
        <item x="475"/>
        <item x="49"/>
        <item m="1" x="5447"/>
        <item x="1683"/>
        <item x="2332"/>
        <item m="1" x="5849"/>
        <item m="1" x="6625"/>
        <item x="2441"/>
        <item m="1" x="4686"/>
        <item m="1" x="5955"/>
        <item m="1" x="4353"/>
        <item x="1753"/>
        <item x="1167"/>
        <item x="3333"/>
        <item x="713"/>
        <item m="1" x="5708"/>
        <item m="1" x="4849"/>
        <item m="1" x="6436"/>
        <item x="1021"/>
        <item x="1250"/>
        <item x="2091"/>
        <item m="1" x="3813"/>
        <item x="1554"/>
        <item x="1032"/>
        <item m="1" x="7834"/>
        <item x="878"/>
        <item m="1" x="7563"/>
        <item m="1" x="3584"/>
        <item m="1" x="5714"/>
        <item x="2287"/>
        <item m="1" x="7428"/>
        <item x="1555"/>
        <item x="3448"/>
        <item m="1" x="7375"/>
        <item x="1107"/>
        <item x="1728"/>
        <item m="1" x="7767"/>
        <item m="1" x="6124"/>
        <item x="2318"/>
        <item m="1" x="6365"/>
        <item m="1" x="7690"/>
        <item m="1" x="3537"/>
        <item m="1" x="5396"/>
        <item x="1156"/>
        <item m="1" x="7953"/>
        <item x="1611"/>
        <item m="1" x="7441"/>
        <item x="3217"/>
        <item x="3236"/>
        <item m="1" x="5623"/>
        <item x="2926"/>
        <item x="2878"/>
        <item x="2612"/>
        <item m="1" x="7343"/>
        <item m="1" x="3996"/>
        <item m="1" x="5475"/>
        <item x="3181"/>
        <item m="1" x="7787"/>
        <item x="502"/>
        <item x="657"/>
        <item x="3110"/>
        <item x="2079"/>
        <item m="1" x="4691"/>
        <item m="1" x="5719"/>
        <item x="2771"/>
        <item m="1" x="6407"/>
        <item x="2078"/>
        <item x="3221"/>
        <item m="1" x="5182"/>
        <item x="1485"/>
        <item m="1" x="6990"/>
        <item x="3334"/>
        <item x="1729"/>
        <item x="1730"/>
        <item m="1" x="5634"/>
        <item m="1" x="7703"/>
        <item m="1" x="6737"/>
        <item m="1" x="5977"/>
        <item m="1" x="5332"/>
        <item m="1" x="5995"/>
        <item m="1" x="7176"/>
        <item m="1" x="7354"/>
        <item m="1" x="6603"/>
        <item m="1" x="7730"/>
        <item x="3305"/>
        <item m="1" x="5343"/>
        <item x="757"/>
        <item m="1" x="6488"/>
        <item m="1" x="4116"/>
        <item x="187"/>
        <item m="1" x="3654"/>
        <item m="1" x="7759"/>
        <item m="1" x="6381"/>
        <item m="1" x="3932"/>
        <item m="1" x="3639"/>
        <item x="2442"/>
        <item x="1057"/>
        <item x="3031"/>
        <item x="138"/>
        <item x="495"/>
        <item x="3049"/>
        <item m="1" x="5923"/>
        <item m="1" x="5474"/>
        <item x="2311"/>
        <item x="2107"/>
        <item x="3122"/>
        <item m="1" x="4125"/>
        <item m="1" x="6235"/>
        <item x="775"/>
        <item x="645"/>
        <item m="1" x="7457"/>
        <item m="1" x="7460"/>
        <item m="1" x="6018"/>
        <item m="1" x="5963"/>
        <item m="1" x="4709"/>
        <item m="1" x="5581"/>
        <item m="1" x="4820"/>
        <item x="3425"/>
        <item m="1" x="7802"/>
        <item x="1556"/>
        <item m="1" x="5039"/>
        <item m="1" x="6514"/>
        <item m="1" x="4995"/>
        <item m="1" x="3725"/>
        <item m="1" x="4939"/>
        <item m="1" x="3850"/>
        <item m="1" x="7573"/>
        <item m="1" x="5368"/>
        <item m="1" x="7196"/>
        <item x="1654"/>
        <item x="3153"/>
        <item x="2284"/>
        <item m="1" x="7089"/>
        <item x="3284"/>
        <item x="278"/>
        <item m="1" x="7143"/>
        <item x="2685"/>
        <item m="1" x="6256"/>
        <item m="1" x="7708"/>
        <item x="2285"/>
        <item m="1" x="4330"/>
        <item m="1" x="5196"/>
        <item x="2789"/>
        <item m="1" x="6798"/>
        <item x="1816"/>
        <item x="2673"/>
        <item x="3155"/>
        <item m="1" x="3905"/>
        <item x="3218"/>
        <item m="1" x="7886"/>
        <item x="1886"/>
        <item x="3446"/>
        <item x="2029"/>
        <item m="1" x="3760"/>
        <item x="267"/>
        <item m="1" x="7288"/>
        <item m="1" x="7405"/>
        <item x="3121"/>
        <item m="1" x="4561"/>
        <item m="1" x="4025"/>
        <item m="1" x="6931"/>
        <item m="1" x="5440"/>
        <item m="1" x="7157"/>
        <item m="1" x="4276"/>
        <item m="1" x="3776"/>
        <item m="1" x="4948"/>
        <item x="3001"/>
        <item m="1" x="6244"/>
        <item m="1" x="6280"/>
        <item m="1" x="4270"/>
        <item m="1" x="5499"/>
        <item m="1" x="6412"/>
        <item m="1" x="3915"/>
        <item m="1" x="7588"/>
        <item x="748"/>
        <item x="751"/>
        <item m="1" x="5760"/>
        <item x="2369"/>
        <item x="3120"/>
        <item x="95"/>
        <item m="1" x="7782"/>
        <item m="1" x="7777"/>
        <item x="1731"/>
        <item x="361"/>
        <item x="3479"/>
        <item m="1" x="4341"/>
        <item x="2092"/>
        <item x="2021"/>
        <item x="970"/>
        <item m="1" x="6950"/>
        <item m="1" x="6830"/>
        <item m="1" x="6460"/>
        <item x="1212"/>
        <item x="518"/>
        <item m="1" x="6430"/>
        <item m="1" x="7079"/>
        <item x="516"/>
        <item x="2581"/>
        <item m="1" x="5792"/>
        <item m="1" x="4092"/>
        <item m="1" x="5580"/>
        <item x="2348"/>
        <item m="1" x="7800"/>
        <item m="1" x="5272"/>
        <item m="1" x="6081"/>
        <item x="1209"/>
        <item x="2522"/>
        <item m="1" x="5224"/>
        <item m="1" x="7702"/>
        <item m="1" x="4573"/>
        <item x="2022"/>
        <item x="1872"/>
        <item m="1" x="6184"/>
        <item m="1" x="7023"/>
        <item m="1" x="3600"/>
        <item x="1474"/>
        <item m="1" x="6959"/>
        <item m="1" x="4723"/>
        <item x="284"/>
        <item m="1" x="3790"/>
        <item x="2100"/>
        <item m="1" x="5459"/>
        <item x="3349"/>
        <item x="3073"/>
        <item x="1147"/>
        <item x="948"/>
        <item x="3335"/>
        <item m="1" x="7032"/>
        <item m="1" x="6717"/>
        <item m="1" x="5908"/>
        <item x="3476"/>
        <item x="1557"/>
        <item m="1" x="5315"/>
        <item m="1" x="5333"/>
        <item m="1" x="7715"/>
        <item m="1" x="5956"/>
        <item m="1" x="3976"/>
        <item x="2837"/>
        <item x="157"/>
        <item x="3233"/>
        <item m="1" x="5377"/>
        <item x="1190"/>
        <item m="1" x="7140"/>
        <item m="1" x="5556"/>
        <item m="1" x="3655"/>
        <item m="1" x="5063"/>
        <item x="1108"/>
        <item m="1" x="4241"/>
        <item x="532"/>
        <item x="1035"/>
        <item x="2478"/>
        <item m="1" x="3834"/>
        <item m="1" x="6117"/>
        <item m="1" x="6891"/>
        <item m="1" x="5316"/>
        <item x="2582"/>
        <item x="2523"/>
        <item m="1" x="3691"/>
        <item x="230"/>
        <item m="1" x="7619"/>
        <item x="2758"/>
        <item m="1" x="4788"/>
        <item m="1" x="7938"/>
        <item m="1" x="3641"/>
        <item m="1" x="7410"/>
        <item x="1041"/>
        <item m="1" x="4281"/>
        <item x="2141"/>
        <item x="3111"/>
        <item x="2759"/>
        <item x="1619"/>
        <item m="1" x="4175"/>
        <item m="1" x="4873"/>
        <item x="2322"/>
        <item m="1" x="7568"/>
        <item x="1332"/>
        <item x="1333"/>
        <item m="1" x="4069"/>
        <item m="1" x="4093"/>
        <item m="1" x="4768"/>
        <item m="1" x="6902"/>
        <item m="1" x="5009"/>
        <item m="1" x="3774"/>
        <item x="2443"/>
        <item m="1" x="7616"/>
        <item m="1" x="4149"/>
        <item x="3504"/>
        <item x="3507"/>
        <item m="1" x="7654"/>
        <item m="1" x="4117"/>
        <item m="1" x="7897"/>
        <item x="512"/>
        <item x="1377"/>
        <item x="2444"/>
        <item x="967"/>
        <item x="2672"/>
        <item x="1567"/>
        <item m="1" x="4401"/>
        <item m="1" x="4552"/>
        <item x="1191"/>
        <item m="1" x="6642"/>
        <item x="3112"/>
        <item x="1558"/>
        <item x="3510"/>
        <item m="1" x="5750"/>
        <item m="1" x="4179"/>
        <item m="1" x="4342"/>
        <item x="2101"/>
        <item x="2319"/>
        <item m="1" x="4991"/>
        <item m="1" x="3611"/>
        <item x="2896"/>
        <item x="3219"/>
        <item m="1" x="3998"/>
        <item x="1295"/>
        <item x="2574"/>
        <item m="1" x="6565"/>
        <item m="1" x="4114"/>
        <item m="1" x="3740"/>
        <item m="1" x="5317"/>
        <item m="1" x="7699"/>
        <item x="855"/>
        <item x="2760"/>
        <item m="1" x="5682"/>
        <item m="1" x="7908"/>
        <item x="618"/>
        <item m="1" x="4588"/>
        <item m="1" x="4949"/>
        <item m="1" x="3653"/>
        <item m="1" x="7521"/>
        <item m="1" x="5912"/>
        <item m="1" x="4568"/>
        <item x="1814"/>
        <item m="1" x="3773"/>
        <item x="3240"/>
        <item x="491"/>
        <item x="615"/>
        <item m="1" x="7909"/>
        <item m="1" x="4400"/>
        <item m="1" x="5016"/>
        <item m="1" x="5817"/>
        <item m="1" x="5746"/>
        <item x="107"/>
        <item x="608"/>
        <item x="2154"/>
        <item x="2023"/>
        <item m="1" x="3556"/>
        <item m="1" x="4866"/>
        <item x="866"/>
        <item m="1" x="5318"/>
        <item m="1" x="5633"/>
        <item x="819"/>
        <item x="1168"/>
        <item m="1" x="5627"/>
        <item x="1869"/>
        <item m="1" x="3759"/>
        <item m="1" x="4325"/>
        <item m="1" x="7627"/>
        <item x="272"/>
        <item x="2024"/>
        <item x="937"/>
        <item x="2550"/>
        <item x="1378"/>
        <item m="1" x="3530"/>
        <item x="135"/>
        <item x="2445"/>
        <item x="2974"/>
        <item m="1" x="6528"/>
        <item x="3020"/>
        <item m="1" x="4609"/>
        <item x="1385"/>
        <item m="1" x="4306"/>
        <item m="1" x="6192"/>
        <item m="1" x="4115"/>
        <item x="864"/>
        <item m="1" x="6903"/>
        <item m="1" x="4146"/>
        <item x="745"/>
        <item x="2288"/>
        <item x="2575"/>
        <item x="459"/>
        <item m="1" x="3940"/>
        <item m="1" x="5827"/>
        <item x="1379"/>
        <item m="1" x="6745"/>
        <item m="1" x="5408"/>
        <item m="1" x="7973"/>
        <item x="3113"/>
        <item m="1" x="4940"/>
        <item x="2784"/>
        <item x="1023"/>
        <item m="1" x="7475"/>
        <item m="1" x="7510"/>
        <item m="1" x="3914"/>
        <item x="3374"/>
        <item x="881"/>
        <item m="1" x="3733"/>
        <item x="144"/>
        <item m="1" x="4287"/>
        <item x="1865"/>
        <item m="1" x="5762"/>
        <item x="441"/>
        <item m="1" x="7531"/>
        <item m="1" x="5373"/>
        <item x="2383"/>
        <item x="1844"/>
        <item m="1" x="7459"/>
        <item m="1" x="3642"/>
        <item m="1" x="4503"/>
        <item x="1052"/>
        <item x="43"/>
        <item m="1" x="3622"/>
        <item x="2711"/>
        <item x="2155"/>
        <item x="2182"/>
        <item m="1" x="7026"/>
        <item x="1415"/>
        <item x="1192"/>
        <item x="2463"/>
        <item x="3018"/>
        <item m="1" x="4769"/>
        <item m="1" x="5480"/>
        <item m="1" x="7312"/>
        <item m="1" x="7265"/>
        <item x="662"/>
        <item m="1" x="6364"/>
        <item m="1" x="7342"/>
        <item x="177"/>
        <item m="1" x="7326"/>
        <item m="1" x="7286"/>
        <item m="1" x="5047"/>
        <item m="1" x="5123"/>
        <item m="1" x="4607"/>
        <item m="1" x="5019"/>
        <item m="1" x="4821"/>
        <item m="1" x="6028"/>
        <item m="1" x="6390"/>
        <item x="2892"/>
        <item x="2793"/>
        <item x="192"/>
        <item x="2788"/>
        <item m="1" x="6813"/>
        <item m="1" x="5029"/>
        <item x="2452"/>
        <item m="1" x="6542"/>
        <item x="1380"/>
        <item x="1559"/>
        <item x="2819"/>
        <item m="1" x="4123"/>
        <item x="2160"/>
        <item x="359"/>
        <item x="3196"/>
        <item x="1062"/>
        <item m="1" x="4298"/>
        <item x="1781"/>
        <item x="3471"/>
        <item x="500"/>
        <item m="1" x="7927"/>
        <item m="1" x="4095"/>
        <item m="1" x="3557"/>
        <item m="1" x="5334"/>
        <item x="447"/>
        <item m="1" x="5273"/>
        <item m="1" x="5195"/>
        <item m="1" x="5755"/>
        <item m="1" x="4555"/>
        <item m="1" x="5372"/>
        <item m="1" x="4789"/>
        <item x="1959"/>
        <item m="1" x="4369"/>
        <item m="1" x="7060"/>
        <item x="153"/>
        <item m="1" x="6633"/>
        <item m="1" x="5053"/>
        <item x="3260"/>
        <item m="1" x="7696"/>
        <item x="1193"/>
        <item m="1" x="7684"/>
        <item m="1" x="7149"/>
        <item m="1" x="5518"/>
        <item m="1" x="5097"/>
        <item m="1" x="6329"/>
        <item m="1" x="4057"/>
        <item m="1" x="6274"/>
        <item x="862"/>
        <item m="1" x="6954"/>
        <item x="2183"/>
        <item m="1" x="4466"/>
        <item x="3114"/>
        <item m="1" x="6073"/>
        <item m="1" x="6974"/>
        <item m="1" x="7088"/>
        <item x="1560"/>
        <item x="1471"/>
        <item m="1" x="6875"/>
        <item x="638"/>
        <item x="1261"/>
        <item m="1" x="6361"/>
        <item x="343"/>
        <item m="1" x="6014"/>
        <item m="1" x="3909"/>
        <item x="619"/>
        <item x="2147"/>
        <item m="1" x="5632"/>
        <item x="2965"/>
        <item m="1" x="4576"/>
        <item m="1" x="5439"/>
        <item m="1" x="4855"/>
        <item m="1" x="6474"/>
        <item m="1" x="7529"/>
        <item x="663"/>
        <item m="1" x="5510"/>
        <item x="2520"/>
        <item m="1" x="5403"/>
        <item x="1774"/>
        <item m="1" x="6279"/>
        <item m="1" x="3768"/>
        <item x="3477"/>
        <item x="2344"/>
        <item x="1441"/>
        <item x="2479"/>
        <item x="3152"/>
        <item m="1" x="6730"/>
        <item x="1901"/>
        <item m="1" x="4710"/>
        <item m="1" x="6749"/>
        <item x="2384"/>
        <item x="3115"/>
        <item x="3116"/>
        <item x="684"/>
        <item x="650"/>
        <item x="2761"/>
        <item x="609"/>
        <item m="1" x="6638"/>
        <item m="1" x="5335"/>
        <item x="1857"/>
        <item x="711"/>
        <item m="1" x="3900"/>
        <item m="1" x="5432"/>
        <item x="1931"/>
        <item x="768"/>
        <item m="1" x="5098"/>
        <item x="2803"/>
        <item m="1" x="4504"/>
        <item m="1" x="6681"/>
        <item m="1" x="3743"/>
        <item m="1" x="4224"/>
        <item m="1" x="4268"/>
        <item x="2777"/>
        <item x="3390"/>
        <item x="882"/>
        <item m="1" x="4227"/>
        <item m="1" x="4308"/>
        <item m="1" x="3841"/>
        <item x="258"/>
        <item m="1" x="6064"/>
        <item x="1411"/>
        <item x="1634"/>
        <item x="1381"/>
        <item x="2949"/>
        <item m="1" x="6080"/>
        <item m="1" x="6403"/>
        <item x="73"/>
        <item m="1" x="4922"/>
        <item m="1" x="3625"/>
        <item x="2361"/>
        <item m="1" x="7688"/>
        <item m="1" x="7004"/>
        <item x="1830"/>
        <item m="1" x="7202"/>
        <item m="1" x="6103"/>
        <item m="1" x="7243"/>
        <item m="1" x="6848"/>
        <item m="1" x="7349"/>
        <item m="1" x="7318"/>
        <item x="2635"/>
        <item x="1834"/>
        <item x="2639"/>
        <item m="1" x="5461"/>
        <item x="981"/>
        <item m="1" x="7371"/>
        <item m="1" x="5118"/>
        <item x="3364"/>
        <item m="1" x="3682"/>
        <item m="1" x="3703"/>
        <item x="1790"/>
        <item m="1" x="4980"/>
        <item m="1" x="7712"/>
        <item x="1239"/>
        <item m="1" x="4132"/>
        <item x="1425"/>
        <item m="1" x="4950"/>
        <item m="1" x="6227"/>
        <item m="1" x="5772"/>
        <item x="2309"/>
        <item m="1" x="5968"/>
        <item x="759"/>
        <item m="1" x="5733"/>
        <item m="1" x="5967"/>
        <item m="1" x="4705"/>
        <item x="1274"/>
        <item m="1" x="7539"/>
        <item m="1" x="5681"/>
        <item m="1" x="3618"/>
        <item x="616"/>
        <item m="1" x="5073"/>
        <item m="1" x="6756"/>
        <item x="524"/>
        <item x="3423"/>
        <item x="3468"/>
        <item x="884"/>
        <item m="1" x="4490"/>
        <item m="1" x="5631"/>
        <item x="2651"/>
        <item m="1" x="4322"/>
        <item x="2617"/>
        <item m="1" x="4121"/>
        <item m="1" x="7123"/>
        <item m="1" x="7082"/>
        <item m="1" x="7042"/>
        <item x="1082"/>
        <item x="696"/>
        <item x="1061"/>
        <item m="1" x="3936"/>
        <item m="1" x="7264"/>
        <item m="1" x="6607"/>
        <item m="1" x="7057"/>
        <item x="820"/>
        <item x="344"/>
        <item m="1" x="3736"/>
        <item m="1" x="5961"/>
        <item x="2642"/>
        <item m="1" x="6036"/>
        <item m="1" x="6937"/>
        <item m="1" x="5522"/>
        <item m="1" x="6363"/>
        <item m="1" x="7336"/>
        <item x="165"/>
        <item x="136"/>
        <item x="291"/>
        <item m="1" x="5084"/>
        <item x="2027"/>
        <item m="1" x="4965"/>
        <item x="3033"/>
        <item m="1" x="5771"/>
        <item m="1" x="6904"/>
        <item m="1" x="4364"/>
        <item x="1960"/>
        <item m="1" x="7646"/>
        <item m="1" x="7638"/>
        <item x="1953"/>
        <item x="719"/>
        <item x="836"/>
        <item x="2153"/>
        <item x="3436"/>
        <item m="1" x="6771"/>
        <item m="1" x="4297"/>
        <item x="1765"/>
        <item x="1566"/>
        <item m="1" x="6770"/>
        <item m="1" x="5521"/>
        <item m="1" x="7905"/>
        <item x="1732"/>
        <item m="1" x="5126"/>
        <item m="1" x="7281"/>
        <item m="1" x="6003"/>
        <item m="1" x="7367"/>
        <item m="1" x="6020"/>
        <item x="2614"/>
        <item m="1" x="7871"/>
        <item m="1" x="7427"/>
        <item m="1" x="6639"/>
        <item m="1" x="5336"/>
        <item x="131"/>
        <item x="132"/>
        <item x="34"/>
        <item m="1" x="4970"/>
        <item m="1" x="7214"/>
        <item x="3428"/>
        <item m="1" x="7991"/>
        <item m="1" x="4831"/>
        <item x="2025"/>
        <item x="2927"/>
        <item m="1" x="7500"/>
        <item m="1" x="4916"/>
        <item m="1" x="6594"/>
        <item x="2304"/>
        <item x="2829"/>
        <item m="1" x="5934"/>
        <item x="2295"/>
        <item m="1" x="7550"/>
        <item m="1" x="7222"/>
        <item x="962"/>
        <item x="2928"/>
        <item m="1" x="4645"/>
        <item m="1" x="4370"/>
        <item m="1" x="4296"/>
        <item x="2765"/>
        <item m="1" x="6281"/>
        <item m="1" x="7943"/>
        <item x="3239"/>
        <item m="1" x="4627"/>
        <item x="1974"/>
        <item x="2623"/>
        <item x="1782"/>
        <item m="1" x="5319"/>
        <item x="188"/>
        <item m="1" x="4862"/>
        <item m="1" x="7783"/>
        <item x="17"/>
        <item x="2988"/>
        <item x="2900"/>
        <item x="2057"/>
        <item m="1" x="7125"/>
        <item m="1" x="4993"/>
        <item m="1" x="5821"/>
        <item m="1" x="3585"/>
        <item x="1817"/>
        <item x="3179"/>
        <item m="1" x="7085"/>
        <item x="3508"/>
        <item x="1509"/>
        <item x="1733"/>
        <item m="1" x="5225"/>
        <item m="1" x="5337"/>
        <item x="2801"/>
        <item m="1" x="4232"/>
        <item x="1391"/>
        <item m="1" x="4534"/>
        <item m="1" x="7799"/>
        <item x="158"/>
        <item x="1677"/>
        <item x="2667"/>
        <item m="1" x="5127"/>
        <item x="1751"/>
        <item m="1" x="5473"/>
        <item m="1" x="5603"/>
        <item m="1" x="4382"/>
        <item x="3291"/>
        <item m="1" x="5226"/>
        <item m="1" x="6769"/>
        <item x="450"/>
        <item m="1" x="3818"/>
        <item m="1" x="3614"/>
        <item m="1" x="4668"/>
        <item m="1" x="6157"/>
        <item m="1" x="6517"/>
        <item x="3268"/>
        <item m="1" x="4951"/>
        <item x="3473"/>
        <item x="824"/>
        <item m="1" x="4822"/>
        <item x="665"/>
        <item x="697"/>
        <item x="867"/>
        <item m="1" x="5630"/>
        <item m="1" x="4163"/>
        <item x="3170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 defaultSubtotal="0">
      <items count="15">
        <item m="1" x="9"/>
        <item m="1" x="6"/>
        <item m="1" x="14"/>
        <item m="1" x="13"/>
        <item m="1" x="4"/>
        <item m="1" x="5"/>
        <item m="1" x="12"/>
        <item m="1" x="11"/>
        <item m="1" x="8"/>
        <item m="1" x="7"/>
        <item m="1" x="10"/>
        <item x="1"/>
        <item x="0"/>
        <item x="2"/>
        <item x="3"/>
      </items>
    </pivotField>
    <pivotField axis="axisRow" compact="0" outline="0" multipleItemSelectionAllowed="1" showAll="0" defaultSubtotal="0">
      <items count="522">
        <item x="6"/>
        <item x="9"/>
        <item m="1" x="371"/>
        <item m="1" x="489"/>
        <item m="1" x="515"/>
        <item m="1" x="517"/>
        <item m="1" x="516"/>
        <item m="1" x="471"/>
        <item m="1" x="448"/>
        <item m="1" x="470"/>
        <item m="1" x="505"/>
        <item m="1" x="473"/>
        <item m="1" x="509"/>
        <item m="1" x="519"/>
        <item m="1" x="391"/>
        <item m="1" x="496"/>
        <item m="1" x="520"/>
        <item m="1" x="510"/>
        <item m="1" x="511"/>
        <item m="1" x="452"/>
        <item m="1" x="512"/>
        <item m="1" x="421"/>
        <item m="1" x="518"/>
        <item m="1" x="467"/>
        <item m="1" x="513"/>
        <item m="1" x="474"/>
        <item m="1" x="521"/>
        <item m="1" x="514"/>
        <item m="1" x="87"/>
        <item m="1" x="125"/>
        <item m="1" x="469"/>
        <item x="0"/>
        <item m="1" x="494"/>
        <item m="1" x="495"/>
        <item m="1" x="497"/>
        <item m="1" x="498"/>
        <item m="1" x="132"/>
        <item m="1" x="387"/>
        <item m="1" x="499"/>
        <item m="1" x="500"/>
        <item m="1" x="455"/>
        <item m="1" x="130"/>
        <item m="1" x="501"/>
        <item m="1" x="131"/>
        <item m="1" x="127"/>
        <item m="1" x="502"/>
        <item m="1" x="121"/>
        <item m="1" x="373"/>
        <item m="1" x="439"/>
        <item m="1" x="503"/>
        <item m="1" x="454"/>
        <item m="1" x="443"/>
        <item m="1" x="504"/>
        <item m="1" x="506"/>
        <item m="1" x="86"/>
        <item m="1" x="122"/>
        <item m="1" x="445"/>
        <item m="1" x="475"/>
        <item m="1" x="507"/>
        <item m="1" x="476"/>
        <item m="1" x="109"/>
        <item m="1" x="133"/>
        <item m="1" x="508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354"/>
        <item m="1" x="468"/>
        <item m="1" x="372"/>
        <item x="14"/>
        <item m="1" x="449"/>
        <item m="1" x="388"/>
        <item m="1" x="88"/>
        <item m="1" x="472"/>
        <item m="1" x="106"/>
        <item m="1" x="488"/>
        <item m="1" x="487"/>
        <item m="1" x="409"/>
        <item m="1" x="482"/>
        <item m="1" x="123"/>
        <item m="1" x="85"/>
        <item m="1" x="486"/>
        <item m="1" x="376"/>
        <item m="1" x="382"/>
        <item m="1" x="456"/>
        <item m="1" x="397"/>
        <item m="1" x="386"/>
        <item m="1" x="491"/>
        <item m="1" x="492"/>
        <item m="1" x="493"/>
        <item m="1" x="89"/>
        <item m="1" x="477"/>
        <item m="1" x="104"/>
        <item m="1" x="483"/>
        <item m="1" x="484"/>
        <item m="1" x="485"/>
        <item m="1" x="375"/>
        <item m="1" x="490"/>
        <item m="1" x="378"/>
        <item m="1" x="110"/>
        <item m="1" x="398"/>
        <item m="1" x="385"/>
        <item m="1" x="481"/>
        <item m="1" x="377"/>
        <item m="1" x="337"/>
        <item m="1" x="327"/>
        <item m="1" x="331"/>
        <item m="1" x="338"/>
        <item m="1" x="339"/>
        <item m="1" x="328"/>
        <item m="1" x="329"/>
        <item m="1" x="330"/>
        <item m="1" x="332"/>
        <item m="1" x="333"/>
        <item m="1" x="334"/>
        <item m="1" x="335"/>
        <item m="1" x="336"/>
        <item m="1" x="343"/>
        <item m="1" x="124"/>
        <item m="1" x="344"/>
        <item m="1" x="345"/>
        <item m="1" x="346"/>
        <item m="1" x="347"/>
        <item m="1" x="340"/>
        <item m="1" x="348"/>
        <item m="1" x="342"/>
        <item m="1" x="341"/>
        <item m="1" x="326"/>
        <item m="1" x="380"/>
        <item m="1" x="381"/>
        <item m="1" x="136"/>
        <item m="1" x="383"/>
        <item m="1" x="384"/>
        <item m="1" x="349"/>
        <item m="1" x="350"/>
        <item m="1" x="351"/>
        <item m="1" x="352"/>
        <item m="1" x="295"/>
        <item m="1" x="353"/>
        <item m="1" x="355"/>
        <item m="1" x="356"/>
        <item m="1" x="357"/>
        <item m="1" x="358"/>
        <item m="1" x="359"/>
        <item m="1" x="360"/>
        <item m="1" x="361"/>
        <item m="1" x="364"/>
        <item m="1" x="362"/>
        <item m="1" x="416"/>
        <item m="1" x="478"/>
        <item m="1" x="363"/>
        <item m="1" x="365"/>
        <item m="1" x="366"/>
        <item m="1" x="408"/>
        <item m="1" x="367"/>
        <item m="1" x="368"/>
        <item m="1" x="369"/>
        <item m="1" x="370"/>
        <item m="1" x="479"/>
        <item m="1" x="374"/>
        <item m="1" x="480"/>
        <item m="1" x="379"/>
        <item m="1" x="451"/>
        <item m="1" x="453"/>
        <item m="1" x="389"/>
        <item m="1" x="390"/>
        <item m="1" x="392"/>
        <item m="1" x="393"/>
        <item m="1" x="394"/>
        <item m="1" x="395"/>
        <item m="1" x="396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10"/>
        <item m="1" x="411"/>
        <item m="1" x="412"/>
        <item m="1" x="413"/>
        <item m="1" x="414"/>
        <item m="1" x="415"/>
        <item m="1" x="417"/>
        <item m="1" x="418"/>
        <item m="1" x="419"/>
        <item m="1" x="420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40"/>
        <item m="1" x="441"/>
        <item m="1" x="442"/>
        <item m="1" x="444"/>
        <item m="1" x="446"/>
        <item m="1" x="447"/>
        <item m="1" x="450"/>
        <item m="1" x="298"/>
        <item m="1" x="297"/>
        <item m="1" x="311"/>
        <item m="1" x="299"/>
        <item m="1" x="304"/>
        <item m="1" x="312"/>
        <item m="1" x="313"/>
        <item m="1" x="84"/>
        <item m="1" x="306"/>
        <item m="1" x="319"/>
        <item m="1" x="318"/>
        <item m="1" x="315"/>
        <item m="1" x="322"/>
        <item m="1" x="317"/>
        <item m="1" x="309"/>
        <item m="1" x="323"/>
        <item m="1" x="307"/>
        <item m="1" x="324"/>
        <item m="1" x="321"/>
        <item m="1" x="314"/>
        <item m="1" x="301"/>
        <item m="1" x="320"/>
        <item m="1" x="305"/>
        <item m="1" x="325"/>
        <item m="1" x="300"/>
        <item m="1" x="302"/>
        <item m="1" x="303"/>
        <item m="1" x="308"/>
        <item m="1" x="310"/>
        <item m="1" x="316"/>
        <item m="1" x="271"/>
        <item m="1" x="279"/>
        <item m="1" x="291"/>
        <item m="1" x="275"/>
        <item m="1" x="282"/>
        <item m="1" x="277"/>
        <item m="1" x="278"/>
        <item m="1" x="281"/>
        <item m="1" x="283"/>
        <item m="1" x="107"/>
        <item m="1" x="274"/>
        <item m="1" x="288"/>
        <item m="1" x="296"/>
        <item m="1" x="294"/>
        <item m="1" x="285"/>
        <item m="1" x="284"/>
        <item m="1" x="273"/>
        <item m="1" x="286"/>
        <item m="1" x="276"/>
        <item m="1" x="280"/>
        <item m="1" x="272"/>
        <item m="1" x="217"/>
        <item m="1" x="290"/>
        <item m="1" x="292"/>
        <item m="1" x="212"/>
        <item m="1" x="287"/>
        <item m="1" x="293"/>
        <item m="1" x="103"/>
        <item x="30"/>
        <item m="1" x="213"/>
        <item m="1" x="289"/>
        <item m="1" x="255"/>
        <item m="1" x="252"/>
        <item m="1" x="258"/>
        <item m="1" x="222"/>
        <item m="1" x="219"/>
        <item m="1" x="254"/>
        <item m="1" x="233"/>
        <item m="1" x="235"/>
        <item m="1" x="263"/>
        <item m="1" x="261"/>
        <item m="1" x="257"/>
        <item m="1" x="260"/>
        <item m="1" x="256"/>
        <item m="1" x="264"/>
        <item m="1" x="268"/>
        <item m="1" x="267"/>
        <item m="1" x="262"/>
        <item m="1" x="251"/>
        <item m="1" x="253"/>
        <item m="1" x="230"/>
        <item m="1" x="266"/>
        <item m="1" x="265"/>
        <item m="1" x="259"/>
        <item m="1" x="248"/>
        <item m="1" x="105"/>
        <item m="1" x="220"/>
        <item m="1" x="270"/>
        <item m="1" x="128"/>
        <item m="1" x="269"/>
        <item m="1" x="225"/>
        <item m="1" x="223"/>
        <item m="1" x="226"/>
        <item m="1" x="224"/>
        <item m="1" x="214"/>
        <item m="1" x="231"/>
        <item m="1" x="227"/>
        <item m="1" x="244"/>
        <item m="1" x="245"/>
        <item m="1" x="240"/>
        <item m="1" x="241"/>
        <item m="1" x="246"/>
        <item m="1" x="232"/>
        <item m="1" x="236"/>
        <item m="1" x="234"/>
        <item m="1" x="108"/>
        <item m="1" x="229"/>
        <item m="1" x="238"/>
        <item m="1" x="247"/>
        <item m="1" x="218"/>
        <item m="1" x="249"/>
        <item m="1" x="242"/>
        <item m="1" x="175"/>
        <item m="1" x="243"/>
        <item m="1" x="250"/>
        <item m="1" x="239"/>
        <item m="1" x="228"/>
        <item m="1" x="237"/>
        <item m="1" x="194"/>
        <item m="1" x="202"/>
        <item m="1" x="199"/>
        <item m="1" x="198"/>
        <item m="1" x="205"/>
        <item m="1" x="191"/>
        <item m="1" x="196"/>
        <item m="1" x="209"/>
        <item m="1" x="193"/>
        <item m="1" x="174"/>
        <item m="1" x="200"/>
        <item m="1" x="185"/>
        <item m="1" x="187"/>
        <item m="1" x="186"/>
        <item m="1" x="129"/>
        <item m="1" x="192"/>
        <item m="1" x="210"/>
        <item m="1" x="201"/>
        <item m="1" x="208"/>
        <item m="1" x="189"/>
        <item m="1" x="203"/>
        <item m="1" x="216"/>
        <item m="1" x="188"/>
        <item m="1" x="204"/>
        <item m="1" x="195"/>
        <item m="1" x="211"/>
        <item m="1" x="197"/>
        <item m="1" x="221"/>
        <item m="1" x="206"/>
        <item m="1" x="215"/>
        <item m="1" x="71"/>
        <item m="1" x="176"/>
        <item m="1" x="190"/>
        <item m="1" x="207"/>
        <item m="1" x="159"/>
        <item m="1" x="165"/>
        <item m="1" x="161"/>
        <item m="1" x="172"/>
        <item m="1" x="166"/>
        <item m="1" x="171"/>
        <item m="1" x="160"/>
        <item m="1" x="170"/>
        <item m="1" x="162"/>
        <item m="1" x="180"/>
        <item m="1" x="181"/>
        <item m="1" x="177"/>
        <item m="1" x="164"/>
        <item m="1" x="173"/>
        <item m="1" x="102"/>
        <item m="1" x="42"/>
        <item m="1" x="182"/>
        <item m="1" x="158"/>
        <item m="1" x="184"/>
        <item m="1" x="168"/>
        <item m="1" x="163"/>
        <item m="1" x="169"/>
        <item m="1" x="126"/>
        <item m="1" x="178"/>
        <item m="1" x="179"/>
        <item m="1" x="154"/>
        <item m="1" x="183"/>
        <item m="1" x="167"/>
        <item m="1" x="150"/>
        <item m="1" x="115"/>
        <item m="1" x="137"/>
        <item m="1" x="138"/>
        <item m="1" x="98"/>
        <item m="1" x="72"/>
        <item m="1" x="74"/>
        <item m="1" x="139"/>
        <item m="1" x="140"/>
        <item m="1" x="116"/>
        <item m="1" x="141"/>
        <item m="1" x="142"/>
        <item m="1" x="99"/>
        <item m="1" x="143"/>
        <item m="1" x="144"/>
        <item m="1" x="145"/>
        <item m="1" x="134"/>
        <item m="1" x="73"/>
        <item m="1" x="146"/>
        <item m="1" x="147"/>
        <item m="1" x="148"/>
        <item m="1" x="70"/>
        <item m="1" x="149"/>
        <item m="1" x="120"/>
        <item m="1" x="151"/>
        <item m="1" x="152"/>
        <item m="1" x="117"/>
        <item m="1" x="153"/>
        <item m="1" x="155"/>
        <item m="1" x="156"/>
        <item m="1" x="135"/>
        <item m="1" x="157"/>
        <item m="1" x="76"/>
        <item m="1" x="77"/>
        <item m="1" x="78"/>
        <item m="1" x="79"/>
        <item m="1" x="68"/>
        <item m="1" x="57"/>
        <item m="1" x="80"/>
        <item m="1" x="81"/>
        <item m="1" x="82"/>
        <item m="1" x="83"/>
        <item m="1" x="90"/>
        <item m="1" x="91"/>
        <item m="1" x="92"/>
        <item m="1" x="93"/>
        <item m="1" x="94"/>
        <item m="1" x="95"/>
        <item m="1" x="41"/>
        <item m="1" x="96"/>
        <item m="1" x="97"/>
        <item x="28"/>
        <item m="1" x="66"/>
        <item m="1" x="67"/>
        <item m="1" x="75"/>
        <item m="1" x="100"/>
        <item m="1" x="101"/>
        <item m="1" x="69"/>
        <item m="1" x="111"/>
        <item m="1" x="112"/>
        <item m="1" x="113"/>
        <item m="1" x="114"/>
        <item m="1" x="118"/>
        <item m="1" x="119"/>
        <item m="1" x="36"/>
        <item m="1" x="37"/>
        <item m="1" x="39"/>
        <item m="1" x="38"/>
        <item m="1" x="40"/>
        <item m="1" x="45"/>
        <item m="1" x="48"/>
        <item m="1" x="43"/>
        <item m="1" x="46"/>
        <item m="1" x="47"/>
        <item m="1" x="49"/>
        <item m="1" x="44"/>
        <item m="1" x="52"/>
        <item m="1" x="53"/>
        <item m="1" x="50"/>
        <item m="1" x="51"/>
        <item m="1" x="55"/>
        <item m="1" x="54"/>
        <item m="1" x="56"/>
        <item m="1" x="59"/>
        <item m="1" x="62"/>
        <item m="1" x="60"/>
        <item m="1" x="61"/>
        <item m="1" x="63"/>
        <item m="1" x="64"/>
        <item m="1" x="65"/>
        <item x="8"/>
        <item m="1" x="58"/>
        <item x="32"/>
        <item x="15"/>
        <item x="16"/>
        <item x="10"/>
        <item x="22"/>
        <item x="2"/>
        <item x="7"/>
        <item x="1"/>
        <item x="13"/>
        <item x="5"/>
        <item x="23"/>
        <item x="27"/>
        <item x="17"/>
        <item x="18"/>
        <item x="24"/>
        <item x="19"/>
        <item x="33"/>
        <item x="4"/>
        <item x="20"/>
        <item x="3"/>
        <item x="29"/>
        <item x="21"/>
        <item x="12"/>
        <item x="11"/>
        <item x="25"/>
        <item x="26"/>
        <item x="35"/>
        <item x="31"/>
        <item x="34"/>
      </items>
    </pivotField>
    <pivotField compact="0" outline="0" showAll="0"/>
    <pivotField name="Fecha de Inicio" axis="axisRow" compact="0" outline="0" showAll="0" defaultSubtotal="0">
      <items count="1441">
        <item x="412"/>
        <item x="841"/>
        <item x="571"/>
        <item x="669"/>
        <item m="1" x="1123"/>
        <item m="1" x="1125"/>
        <item m="1" x="1092"/>
        <item m="1" x="1113"/>
        <item m="1" x="1249"/>
        <item m="1" x="1099"/>
        <item m="1" x="1122"/>
        <item m="1" x="1084"/>
        <item m="1" x="1111"/>
        <item m="1" x="1093"/>
        <item m="1" x="1399"/>
        <item m="1" x="1114"/>
        <item x="816"/>
        <item m="1" x="1339"/>
        <item m="1" x="1101"/>
        <item m="1" x="1138"/>
        <item m="1" x="1139"/>
        <item m="1" x="1134"/>
        <item m="1" x="1087"/>
        <item m="1" x="1086"/>
        <item m="1" x="1090"/>
        <item m="1" x="1112"/>
        <item m="1" x="1100"/>
        <item m="1" x="1344"/>
        <item m="1" x="1433"/>
        <item m="1" x="1106"/>
        <item x="694"/>
        <item m="1" x="1321"/>
        <item m="1" x="1089"/>
        <item x="488"/>
        <item m="1" x="1270"/>
        <item m="1" x="1115"/>
        <item m="1" x="965"/>
        <item m="1" x="967"/>
        <item m="1" x="942"/>
        <item m="1" x="1342"/>
        <item m="1" x="1107"/>
        <item x="785"/>
        <item m="1" x="1151"/>
        <item m="1" x="1091"/>
        <item x="654"/>
        <item m="1" x="1088"/>
        <item x="613"/>
        <item x="850"/>
        <item m="1" x="1105"/>
        <item m="1" x="955"/>
        <item m="1" x="1097"/>
        <item x="256"/>
        <item x="209"/>
        <item x="614"/>
        <item m="1" x="1400"/>
        <item m="1" x="1431"/>
        <item x="483"/>
        <item m="1" x="953"/>
        <item x="615"/>
        <item m="1" x="952"/>
        <item x="398"/>
        <item x="814"/>
        <item x="498"/>
        <item x="809"/>
        <item x="732"/>
        <item m="1" x="1257"/>
        <item x="754"/>
        <item x="489"/>
        <item m="1" x="1135"/>
        <item m="1" x="1094"/>
        <item m="1" x="1033"/>
        <item x="492"/>
        <item x="224"/>
        <item x="729"/>
        <item m="1" x="1340"/>
        <item m="1" x="1239"/>
        <item m="1" x="1014"/>
        <item m="1" x="1237"/>
        <item x="815"/>
        <item m="1" x="963"/>
        <item m="1" x="1275"/>
        <item m="1" x="1081"/>
        <item x="772"/>
        <item x="250"/>
        <item x="503"/>
        <item m="1" x="1401"/>
        <item x="745"/>
        <item x="522"/>
        <item x="400"/>
        <item m="1" x="1195"/>
        <item x="558"/>
        <item x="688"/>
        <item m="1" x="1403"/>
        <item m="1" x="1277"/>
        <item x="695"/>
        <item x="796"/>
        <item x="570"/>
        <item m="1" x="1119"/>
        <item x="555"/>
        <item x="568"/>
        <item x="561"/>
        <item m="1" x="1406"/>
        <item m="1" x="1108"/>
        <item x="788"/>
        <item x="512"/>
        <item x="740"/>
        <item x="798"/>
        <item x="510"/>
        <item m="1" x="1341"/>
        <item x="734"/>
        <item x="800"/>
        <item x="698"/>
        <item m="1" x="1133"/>
        <item m="1" x="904"/>
        <item m="1" x="1371"/>
        <item m="1" x="929"/>
        <item x="401"/>
        <item x="637"/>
        <item m="1" x="968"/>
        <item m="1" x="1224"/>
        <item x="331"/>
        <item m="1" x="1410"/>
        <item m="1" x="1271"/>
        <item x="829"/>
        <item m="1" x="1253"/>
        <item x="826"/>
        <item x="215"/>
        <item m="1" x="1262"/>
        <item x="795"/>
        <item x="711"/>
        <item m="1" x="1265"/>
        <item m="1" x="991"/>
        <item x="775"/>
        <item x="482"/>
        <item x="493"/>
        <item x="757"/>
        <item x="752"/>
        <item x="556"/>
        <item x="773"/>
        <item m="1" x="1015"/>
        <item m="1" x="933"/>
        <item m="1" x="988"/>
        <item m="1" x="1013"/>
        <item x="797"/>
        <item x="326"/>
        <item m="1" x="1064"/>
        <item x="496"/>
        <item m="1" x="1430"/>
        <item m="1" x="1036"/>
        <item x="491"/>
        <item x="402"/>
        <item x="497"/>
        <item x="776"/>
        <item x="499"/>
        <item x="210"/>
        <item x="477"/>
        <item x="661"/>
        <item x="469"/>
        <item m="1" x="1080"/>
        <item m="1" x="1061"/>
        <item m="1" x="1142"/>
        <item x="487"/>
        <item m="1" x="1027"/>
        <item x="790"/>
        <item m="1" x="1353"/>
        <item x="194"/>
        <item x="567"/>
        <item m="1" x="1317"/>
        <item m="1" x="1160"/>
        <item m="1" x="1149"/>
        <item x="774"/>
        <item m="1" x="1016"/>
        <item m="1" x="1259"/>
        <item m="1" x="1137"/>
        <item m="1" x="1241"/>
        <item m="1" x="984"/>
        <item m="1" x="1294"/>
        <item x="403"/>
        <item x="448"/>
        <item m="1" x="930"/>
        <item x="632"/>
        <item x="702"/>
        <item m="1" x="1315"/>
        <item m="1" x="1248"/>
        <item m="1" x="1219"/>
        <item x="580"/>
        <item x="581"/>
        <item x="404"/>
        <item x="445"/>
        <item x="767"/>
        <item x="367"/>
        <item x="444"/>
        <item x="582"/>
        <item x="368"/>
        <item m="1" x="987"/>
        <item x="717"/>
        <item x="502"/>
        <item x="662"/>
        <item m="1" x="1251"/>
        <item x="583"/>
        <item x="718"/>
        <item x="255"/>
        <item x="584"/>
        <item m="1" x="1161"/>
        <item x="709"/>
        <item m="1" x="1250"/>
        <item m="1" x="1254"/>
        <item x="760"/>
        <item m="1" x="985"/>
        <item x="449"/>
        <item m="1" x="970"/>
        <item x="631"/>
        <item x="585"/>
        <item m="1" x="1168"/>
        <item x="450"/>
        <item m="1" x="1246"/>
        <item m="1" x="1242"/>
        <item x="794"/>
        <item x="586"/>
        <item x="565"/>
        <item x="834"/>
        <item x="500"/>
        <item x="707"/>
        <item x="587"/>
        <item x="588"/>
        <item x="466"/>
        <item x="451"/>
        <item x="655"/>
        <item x="844"/>
        <item m="1" x="926"/>
        <item m="1" x="1170"/>
        <item m="1" x="1260"/>
        <item m="1" x="1247"/>
        <item x="719"/>
        <item x="333"/>
        <item x="653"/>
        <item m="1" x="1350"/>
        <item m="1" x="1264"/>
        <item m="1" x="1280"/>
        <item m="1" x="1204"/>
        <item m="1" x="1258"/>
        <item x="759"/>
        <item m="1" x="1361"/>
        <item m="1" x="1351"/>
        <item x="324"/>
        <item m="1" x="1232"/>
        <item m="1" x="1008"/>
        <item m="1" x="1096"/>
        <item m="1" x="1324"/>
        <item m="1" x="1363"/>
        <item x="494"/>
        <item x="369"/>
        <item x="674"/>
        <item m="1" x="999"/>
        <item m="1" x="1349"/>
        <item x="708"/>
        <item x="817"/>
        <item m="1" x="1329"/>
        <item m="1" x="1331"/>
        <item m="1" x="1428"/>
        <item x="334"/>
        <item m="1" x="1334"/>
        <item x="535"/>
        <item m="1" x="1073"/>
        <item m="1" x="1147"/>
        <item m="1" x="1325"/>
        <item m="1" x="1345"/>
        <item x="569"/>
        <item x="405"/>
        <item x="701"/>
        <item m="1" x="1322"/>
        <item x="347"/>
        <item x="216"/>
        <item x="536"/>
        <item m="1" x="1034"/>
        <item x="692"/>
        <item x="665"/>
        <item x="666"/>
        <item m="1" x="994"/>
        <item x="667"/>
        <item m="1" x="1398"/>
        <item x="706"/>
        <item x="804"/>
        <item m="1" x="934"/>
        <item m="1" x="887"/>
        <item m="1" x="943"/>
        <item m="1" x="1188"/>
        <item x="675"/>
        <item x="827"/>
        <item x="236"/>
        <item x="835"/>
        <item x="563"/>
        <item m="1" x="1407"/>
        <item x="291"/>
        <item m="1" x="1437"/>
        <item x="643"/>
        <item m="1" x="936"/>
        <item x="638"/>
        <item x="668"/>
        <item x="446"/>
        <item m="1" x="1415"/>
        <item m="1" x="1169"/>
        <item m="1" x="1261"/>
        <item x="778"/>
        <item m="1" x="877"/>
        <item x="837"/>
        <item m="1" x="923"/>
        <item x="589"/>
        <item x="644"/>
        <item x="157"/>
        <item m="1" x="1006"/>
        <item m="1" x="1267"/>
        <item m="1" x="1421"/>
        <item m="1" x="1256"/>
        <item m="1" x="1337"/>
        <item m="1" x="927"/>
        <item m="1" x="961"/>
        <item m="1" x="1438"/>
        <item x="720"/>
        <item x="452"/>
        <item x="370"/>
        <item m="1" x="1001"/>
        <item x="371"/>
        <item x="158"/>
        <item x="513"/>
        <item m="1" x="1010"/>
        <item x="159"/>
        <item m="1" x="935"/>
        <item m="1" x="1216"/>
        <item m="1" x="1374"/>
        <item m="1" x="1243"/>
        <item m="1" x="1332"/>
        <item x="714"/>
        <item m="1" x="1223"/>
        <item m="1" x="1209"/>
        <item x="704"/>
        <item m="1" x="1229"/>
        <item m="1" x="917"/>
        <item x="758"/>
        <item x="447"/>
        <item m="1" x="869"/>
        <item m="1" x="1328"/>
        <item x="828"/>
        <item m="1" x="1393"/>
        <item m="1" x="1012"/>
        <item m="1" x="1276"/>
        <item m="1" x="1063"/>
        <item m="1" x="1203"/>
        <item x="802"/>
        <item x="484"/>
        <item x="792"/>
        <item x="590"/>
        <item m="1" x="1227"/>
        <item m="1" x="881"/>
        <item x="779"/>
        <item m="1" x="1392"/>
        <item x="831"/>
        <item x="824"/>
        <item x="821"/>
        <item x="849"/>
        <item x="408"/>
        <item m="1" x="1424"/>
        <item x="690"/>
        <item m="1" x="1440"/>
        <item x="517"/>
        <item x="633"/>
        <item x="213"/>
        <item m="1" x="1439"/>
        <item m="1" x="1383"/>
        <item x="703"/>
        <item m="1" x="924"/>
        <item m="1" x="1380"/>
        <item m="1" x="1379"/>
        <item x="656"/>
        <item m="1" x="1375"/>
        <item m="1" x="1394"/>
        <item x="636"/>
        <item x="641"/>
        <item x="591"/>
        <item m="1" x="1116"/>
        <item m="1" x="998"/>
        <item x="337"/>
        <item m="1" x="1373"/>
        <item m="1" x="1336"/>
        <item m="1" x="1120"/>
        <item m="1" x="1390"/>
        <item m="1" x="1333"/>
        <item m="1" x="1429"/>
        <item m="1" x="959"/>
        <item x="372"/>
        <item m="1" x="1205"/>
        <item m="1" x="1362"/>
        <item m="1" x="958"/>
        <item m="1" x="1198"/>
        <item m="1" x="980"/>
        <item m="1" x="1082"/>
        <item x="373"/>
        <item x="253"/>
        <item m="1" x="1220"/>
        <item x="338"/>
        <item m="1" x="1384"/>
        <item x="645"/>
        <item x="292"/>
        <item x="651"/>
        <item x="374"/>
        <item x="693"/>
        <item x="293"/>
        <item x="537"/>
        <item m="1" x="1053"/>
        <item m="1" x="976"/>
        <item x="211"/>
        <item m="1" x="1311"/>
        <item x="696"/>
        <item x="566"/>
        <item x="755"/>
        <item m="1" x="1352"/>
        <item m="1" x="1297"/>
        <item x="436"/>
        <item m="1" x="1159"/>
        <item x="480"/>
        <item x="739"/>
        <item x="676"/>
        <item m="1" x="1157"/>
        <item x="801"/>
        <item m="1" x="1077"/>
        <item x="375"/>
        <item x="442"/>
        <item m="1" x="1318"/>
        <item m="1" x="920"/>
        <item x="780"/>
        <item x="342"/>
        <item m="1" x="1244"/>
        <item m="1" x="1127"/>
        <item m="1" x="921"/>
        <item m="1" x="1359"/>
        <item x="639"/>
        <item x="825"/>
        <item m="1" x="1269"/>
        <item x="799"/>
        <item m="1" x="962"/>
        <item m="1" x="1273"/>
        <item m="1" x="1330"/>
        <item x="335"/>
        <item m="1" x="1225"/>
        <item x="564"/>
        <item x="748"/>
        <item m="1" x="1217"/>
        <item m="1" x="1381"/>
        <item m="1" x="1019"/>
        <item x="58"/>
        <item x="501"/>
        <item m="1" x="1266"/>
        <item x="750"/>
        <item m="1" x="1319"/>
        <item x="358"/>
        <item m="1" x="992"/>
        <item x="406"/>
        <item x="538"/>
        <item x="294"/>
        <item x="812"/>
        <item m="1" x="1285"/>
        <item m="1" x="1002"/>
        <item x="345"/>
        <item m="1" x="1316"/>
        <item m="1" x="1179"/>
        <item m="1" x="1347"/>
        <item m="1" x="1162"/>
        <item m="1" x="1222"/>
        <item x="572"/>
        <item m="1" x="871"/>
        <item m="1" x="1131"/>
        <item m="1" x="966"/>
        <item x="295"/>
        <item x="592"/>
        <item x="409"/>
        <item x="593"/>
        <item m="1" x="1206"/>
        <item m="1" x="1117"/>
        <item m="1" x="1282"/>
        <item x="791"/>
        <item x="212"/>
        <item m="1" x="880"/>
        <item m="1" x="1283"/>
        <item m="1" x="964"/>
        <item m="1" x="1213"/>
        <item x="712"/>
        <item x="793"/>
        <item m="1" x="1312"/>
        <item m="1" x="873"/>
        <item x="646"/>
        <item x="768"/>
        <item m="1" x="1268"/>
        <item m="1" x="1233"/>
        <item m="1" x="1338"/>
        <item x="648"/>
        <item x="438"/>
        <item m="1" x="969"/>
        <item x="117"/>
        <item x="577"/>
        <item x="539"/>
        <item x="710"/>
        <item x="715"/>
        <item m="1" x="1255"/>
        <item x="670"/>
        <item m="1" x="1240"/>
        <item x="647"/>
        <item x="511"/>
        <item m="1" x="1427"/>
        <item m="1" x="1292"/>
        <item m="1" x="1310"/>
        <item m="1" x="996"/>
        <item x="700"/>
        <item x="594"/>
        <item m="1" x="995"/>
        <item x="705"/>
        <item m="1" x="1423"/>
        <item m="1" x="1191"/>
        <item m="1" x="1404"/>
        <item x="549"/>
        <item x="839"/>
        <item x="685"/>
        <item x="312"/>
        <item m="1" x="1228"/>
        <item x="296"/>
        <item m="1" x="1003"/>
        <item x="545"/>
        <item m="1" x="1231"/>
        <item x="808"/>
        <item m="1" x="1193"/>
        <item x="340"/>
        <item m="1" x="937"/>
        <item x="160"/>
        <item x="330"/>
        <item m="1" x="1130"/>
        <item m="1" x="1202"/>
        <item x="254"/>
        <item m="1" x="1412"/>
        <item m="1" x="1201"/>
        <item x="851"/>
        <item m="1" x="1417"/>
        <item m="1" x="1029"/>
        <item m="1" x="878"/>
        <item x="595"/>
        <item m="1" x="922"/>
        <item x="320"/>
        <item x="297"/>
        <item m="1" x="1153"/>
        <item x="659"/>
        <item m="1" x="1395"/>
        <item x="721"/>
        <item m="1" x="1212"/>
        <item m="1" x="1214"/>
        <item m="1" x="1144"/>
        <item x="769"/>
        <item m="1" x="1180"/>
        <item m="1" x="870"/>
        <item x="813"/>
        <item x="540"/>
        <item x="523"/>
        <item x="852"/>
        <item m="1" x="1051"/>
        <item m="1" x="1121"/>
        <item m="1" x="1043"/>
        <item m="1" x="867"/>
        <item x="596"/>
        <item x="551"/>
        <item m="1" x="866"/>
        <item x="830"/>
        <item m="1" x="1164"/>
        <item m="1" x="1235"/>
        <item m="1" x="1140"/>
        <item x="649"/>
        <item x="597"/>
        <item x="833"/>
        <item x="336"/>
        <item x="519"/>
        <item x="853"/>
        <item m="1" x="1148"/>
        <item m="1" x="1109"/>
        <item x="161"/>
        <item m="1" x="1313"/>
        <item m="1" x="1252"/>
        <item m="1" x="1174"/>
        <item m="1" x="1182"/>
        <item m="1" x="1009"/>
        <item m="1" x="1422"/>
        <item m="1" x="1226"/>
        <item x="840"/>
        <item x="854"/>
        <item m="1" x="1409"/>
        <item m="1" x="1074"/>
        <item x="832"/>
        <item m="1" x="1386"/>
        <item x="332"/>
        <item m="1" x="1405"/>
        <item m="1" x="1154"/>
        <item m="1" x="989"/>
        <item x="783"/>
        <item x="562"/>
        <item m="1" x="1426"/>
        <item m="1" x="1385"/>
        <item x="630"/>
        <item m="1" x="889"/>
        <item m="1" x="885"/>
        <item m="1" x="1378"/>
        <item x="298"/>
        <item m="1" x="1126"/>
        <item x="855"/>
        <item m="1" x="882"/>
        <item m="1" x="971"/>
        <item m="1" x="872"/>
        <item m="1" x="997"/>
        <item x="578"/>
        <item m="1" x="1234"/>
        <item m="1" x="1007"/>
        <item m="1" x="1326"/>
        <item m="1" x="1323"/>
        <item m="1" x="1004"/>
        <item x="299"/>
        <item m="1" x="1377"/>
        <item m="1" x="1194"/>
        <item m="1" x="1211"/>
        <item m="1" x="1436"/>
        <item x="862"/>
        <item x="598"/>
        <item m="1" x="1425"/>
        <item x="376"/>
        <item m="1" x="1281"/>
        <item m="1" x="1011"/>
        <item x="231"/>
        <item x="650"/>
        <item x="377"/>
        <item m="1" x="1145"/>
        <item m="1" x="886"/>
        <item x="713"/>
        <item x="74"/>
        <item x="722"/>
        <item m="1" x="1072"/>
        <item m="1" x="1389"/>
        <item x="781"/>
        <item x="226"/>
        <item x="509"/>
        <item x="470"/>
        <item x="343"/>
        <item x="217"/>
        <item x="599"/>
        <item m="1" x="1263"/>
        <item x="807"/>
        <item x="803"/>
        <item x="175"/>
        <item x="600"/>
        <item x="746"/>
        <item x="341"/>
        <item m="1" x="1376"/>
        <item m="1" x="1041"/>
        <item m="1" x="1183"/>
        <item x="747"/>
        <item x="541"/>
        <item x="601"/>
        <item x="197"/>
        <item m="1" x="940"/>
        <item m="1" x="982"/>
        <item m="1" x="876"/>
        <item x="664"/>
        <item x="602"/>
        <item x="378"/>
        <item x="603"/>
        <item m="1" x="1067"/>
        <item x="671"/>
        <item x="379"/>
        <item m="1" x="1288"/>
        <item m="1" x="1408"/>
        <item m="1" x="972"/>
        <item m="1" x="903"/>
        <item m="1" x="1175"/>
        <item x="723"/>
        <item m="1" x="931"/>
        <item x="453"/>
        <item m="1" x="912"/>
        <item x="454"/>
        <item x="455"/>
        <item m="1" x="1062"/>
        <item m="1" x="1414"/>
        <item x="485"/>
        <item x="744"/>
        <item m="1" x="993"/>
        <item m="1" x="1382"/>
        <item x="724"/>
        <item m="1" x="1284"/>
        <item x="266"/>
        <item x="456"/>
        <item x="418"/>
        <item x="749"/>
        <item x="838"/>
        <item x="604"/>
        <item x="72"/>
        <item x="457"/>
        <item x="605"/>
        <item m="1" x="1042"/>
        <item x="629"/>
        <item m="1" x="1419"/>
        <item m="1" x="939"/>
        <item m="1" x="1360"/>
        <item m="1" x="1181"/>
        <item x="458"/>
        <item m="1" x="1274"/>
        <item x="753"/>
        <item m="1" x="960"/>
        <item m="1" x="1218"/>
        <item x="575"/>
        <item x="836"/>
        <item x="624"/>
        <item x="237"/>
        <item x="380"/>
        <item m="1" x="919"/>
        <item x="514"/>
        <item x="625"/>
        <item x="811"/>
        <item m="1" x="913"/>
        <item m="1" x="1411"/>
        <item x="606"/>
        <item m="1" x="906"/>
        <item x="520"/>
        <item m="1" x="1057"/>
        <item m="1" x="907"/>
        <item m="1" x="1358"/>
        <item m="1" x="914"/>
        <item m="1" x="1129"/>
        <item m="1" x="1434"/>
        <item m="1" x="1327"/>
        <item m="1" x="941"/>
        <item x="381"/>
        <item x="428"/>
        <item x="251"/>
        <item m="1" x="1005"/>
        <item x="847"/>
        <item x="382"/>
        <item x="43"/>
        <item m="1" x="879"/>
        <item x="736"/>
        <item m="1" x="1210"/>
        <item x="618"/>
        <item m="1" x="868"/>
        <item x="699"/>
        <item m="1" x="1056"/>
        <item x="346"/>
        <item x="427"/>
        <item x="459"/>
        <item m="1" x="1104"/>
        <item x="735"/>
        <item x="220"/>
        <item x="252"/>
        <item m="1" x="908"/>
        <item x="339"/>
        <item x="507"/>
        <item x="547"/>
        <item x="697"/>
        <item x="162"/>
        <item x="383"/>
        <item x="233"/>
        <item x="218"/>
        <item x="419"/>
        <item x="777"/>
        <item x="546"/>
        <item x="490"/>
        <item m="1" x="1167"/>
        <item x="548"/>
        <item m="1" x="894"/>
        <item x="300"/>
        <item m="1" x="864"/>
        <item m="1" x="1031"/>
        <item x="301"/>
        <item x="576"/>
        <item x="311"/>
        <item x="770"/>
        <item m="1" x="1040"/>
        <item m="1" x="909"/>
        <item m="1" x="1314"/>
        <item x="206"/>
        <item x="508"/>
        <item x="467"/>
        <item m="1" x="954"/>
        <item x="196"/>
        <item m="1" x="1000"/>
        <item x="607"/>
        <item m="1" x="1413"/>
        <item m="1" x="1118"/>
        <item x="504"/>
        <item m="1" x="1200"/>
        <item x="344"/>
        <item x="842"/>
        <item m="1" x="895"/>
        <item m="1" x="1065"/>
        <item m="1" x="1021"/>
        <item m="1" x="981"/>
        <item m="1" x="986"/>
        <item x="219"/>
        <item m="1" x="1301"/>
        <item m="1" x="1066"/>
        <item x="845"/>
        <item m="1" x="1356"/>
        <item x="227"/>
        <item m="1" x="893"/>
        <item m="1" x="910"/>
        <item m="1" x="1432"/>
        <item m="1" x="1025"/>
        <item m="1" x="911"/>
        <item x="281"/>
        <item x="560"/>
        <item m="1" x="918"/>
        <item m="1" x="1047"/>
        <item x="234"/>
        <item m="1" x="1207"/>
        <item x="635"/>
        <item x="328"/>
        <item m="1" x="915"/>
        <item m="1" x="990"/>
        <item x="461"/>
        <item x="241"/>
        <item x="302"/>
        <item x="327"/>
        <item x="173"/>
        <item x="329"/>
        <item x="290"/>
        <item x="284"/>
        <item m="1" x="1396"/>
        <item m="1" x="1208"/>
        <item x="460"/>
        <item m="1" x="1049"/>
        <item x="163"/>
        <item x="751"/>
        <item x="533"/>
        <item m="1" x="1238"/>
        <item m="1" x="1230"/>
        <item x="260"/>
        <item x="478"/>
        <item m="1" x="865"/>
        <item x="528"/>
        <item x="167"/>
        <item x="73"/>
        <item x="559"/>
        <item x="534"/>
        <item m="1" x="1083"/>
        <item x="118"/>
        <item x="214"/>
        <item x="856"/>
        <item m="1" x="1402"/>
        <item m="1" x="944"/>
        <item x="532"/>
        <item x="238"/>
        <item x="495"/>
        <item x="222"/>
        <item m="1" x="1335"/>
        <item x="468"/>
        <item x="198"/>
        <item x="221"/>
        <item x="257"/>
        <item x="506"/>
        <item x="443"/>
        <item x="24"/>
        <item x="384"/>
        <item x="156"/>
        <item x="691"/>
        <item m="1" x="1364"/>
        <item m="1" x="1058"/>
        <item m="1" x="1189"/>
        <item m="1" x="1190"/>
        <item x="59"/>
        <item m="1" x="1020"/>
        <item x="622"/>
        <item x="223"/>
        <item x="322"/>
        <item x="119"/>
        <item x="672"/>
        <item m="1" x="1018"/>
        <item x="39"/>
        <item x="174"/>
        <item x="108"/>
        <item m="1" x="1348"/>
        <item m="1" x="949"/>
        <item m="1" x="896"/>
        <item x="69"/>
        <item x="323"/>
        <item m="1" x="1278"/>
        <item m="1" x="1152"/>
        <item x="109"/>
        <item m="1" x="1416"/>
        <item m="1" x="1035"/>
        <item x="208"/>
        <item m="1" x="899"/>
        <item x="131"/>
        <item m="1" x="1221"/>
        <item m="1" x="948"/>
        <item m="1" x="1037"/>
        <item x="680"/>
        <item m="1" x="897"/>
        <item m="1" x="1070"/>
        <item m="1" x="1028"/>
        <item x="321"/>
        <item x="325"/>
        <item m="1" x="890"/>
        <item m="1" x="1022"/>
        <item x="608"/>
        <item m="1" x="1050"/>
        <item x="782"/>
        <item m="1" x="1287"/>
        <item x="303"/>
        <item x="663"/>
        <item x="743"/>
        <item m="1" x="898"/>
        <item x="725"/>
        <item x="609"/>
        <item x="524"/>
        <item m="1" x="1420"/>
        <item x="44"/>
        <item x="225"/>
        <item x="679"/>
        <item m="1" x="884"/>
        <item x="235"/>
        <item m="1" x="1039"/>
        <item x="846"/>
        <item x="60"/>
        <item x="31"/>
        <item x="71"/>
        <item x="164"/>
        <item x="385"/>
        <item x="386"/>
        <item x="319"/>
        <item x="387"/>
        <item x="726"/>
        <item x="364"/>
        <item x="579"/>
        <item x="166"/>
        <item x="165"/>
        <item x="756"/>
        <item x="316"/>
        <item x="362"/>
        <item x="366"/>
        <item x="462"/>
        <item x="388"/>
        <item x="619"/>
        <item x="761"/>
        <item x="228"/>
        <item x="610"/>
        <item x="304"/>
        <item x="61"/>
        <item m="1" x="1052"/>
        <item x="361"/>
        <item x="433"/>
        <item m="1" x="900"/>
        <item x="229"/>
        <item x="62"/>
        <item x="848"/>
        <item x="279"/>
        <item x="465"/>
        <item m="1" x="863"/>
        <item x="57"/>
        <item x="6"/>
        <item x="687"/>
        <item x="102"/>
        <item x="32"/>
        <item m="1" x="901"/>
        <item m="1" x="1293"/>
        <item x="363"/>
        <item x="54"/>
        <item x="305"/>
        <item m="1" x="1176"/>
        <item x="727"/>
        <item m="1" x="1192"/>
        <item m="1" x="1435"/>
        <item x="557"/>
        <item x="810"/>
        <item m="1" x="925"/>
        <item x="515"/>
        <item x="287"/>
        <item m="1" x="1391"/>
        <item x="120"/>
        <item m="1" x="1290"/>
        <item m="1" x="947"/>
        <item m="1" x="902"/>
        <item m="1" x="1071"/>
        <item x="435"/>
        <item x="857"/>
        <item m="1" x="1236"/>
        <item x="275"/>
        <item m="1" x="905"/>
        <item m="1" x="1124"/>
        <item x="858"/>
        <item m="1" x="1030"/>
        <item x="463"/>
        <item x="516"/>
        <item m="1" x="1418"/>
        <item x="634"/>
        <item x="439"/>
        <item x="317"/>
        <item x="33"/>
        <item x="389"/>
        <item x="426"/>
        <item x="259"/>
        <item x="550"/>
        <item x="315"/>
        <item x="859"/>
        <item x="741"/>
        <item x="318"/>
        <item x="70"/>
        <item x="365"/>
        <item m="1" x="1055"/>
        <item x="689"/>
        <item x="85"/>
        <item m="1" x="945"/>
        <item x="351"/>
        <item x="530"/>
        <item x="84"/>
        <item m="1" x="1397"/>
        <item x="273"/>
        <item m="1" x="938"/>
        <item x="350"/>
        <item x="272"/>
        <item m="1" x="1132"/>
        <item m="1" x="1291"/>
        <item m="1" x="1102"/>
        <item m="1" x="1165"/>
        <item m="1" x="1095"/>
        <item m="1" x="1387"/>
        <item m="1" x="1150"/>
        <item m="1" x="1166"/>
        <item m="1" x="1388"/>
        <item m="1" x="1098"/>
        <item m="1" x="1085"/>
        <item x="232"/>
        <item m="1" x="1354"/>
        <item m="1" x="1355"/>
        <item m="1" x="1357"/>
        <item m="1" x="975"/>
        <item m="1" x="1185"/>
        <item m="1" x="1346"/>
        <item m="1" x="1300"/>
        <item x="621"/>
        <item m="1" x="1215"/>
        <item x="130"/>
        <item x="121"/>
        <item x="531"/>
        <item x="552"/>
        <item x="83"/>
        <item x="683"/>
        <item x="525"/>
        <item m="1" x="977"/>
        <item x="420"/>
        <item m="1" x="1024"/>
        <item x="352"/>
        <item m="1" x="979"/>
        <item x="360"/>
        <item x="805"/>
        <item x="789"/>
        <item x="249"/>
        <item x="306"/>
        <item m="1" x="1197"/>
        <item x="617"/>
        <item m="1" x="892"/>
        <item x="518"/>
        <item x="390"/>
        <item m="1" x="950"/>
        <item m="1" x="1343"/>
        <item m="1" x="1158"/>
        <item x="553"/>
        <item m="1" x="1365"/>
        <item m="1" x="1366"/>
        <item m="1" x="1367"/>
        <item m="1" x="951"/>
        <item m="1" x="1368"/>
        <item m="1" x="1369"/>
        <item m="1" x="1370"/>
        <item m="1" x="1320"/>
        <item m="1" x="1372"/>
        <item x="313"/>
        <item m="1" x="946"/>
        <item m="1" x="1060"/>
        <item x="230"/>
        <item x="505"/>
        <item x="542"/>
        <item x="110"/>
        <item x="391"/>
        <item x="806"/>
        <item x="274"/>
        <item x="678"/>
        <item m="1" x="874"/>
        <item x="543"/>
        <item x="269"/>
        <item x="737"/>
        <item x="423"/>
        <item x="63"/>
        <item x="289"/>
        <item m="1" x="932"/>
        <item m="1" x="1146"/>
        <item m="1" x="1173"/>
        <item m="1" x="1289"/>
        <item m="1" x="1143"/>
        <item x="267"/>
        <item m="1" x="916"/>
        <item x="349"/>
        <item x="307"/>
        <item x="626"/>
        <item m="1" x="973"/>
        <item m="1" x="1199"/>
        <item x="392"/>
        <item m="1" x="1136"/>
        <item m="1" x="1295"/>
        <item m="1" x="1298"/>
        <item m="1" x="1103"/>
        <item m="1" x="1296"/>
        <item x="554"/>
        <item x="544"/>
        <item m="1" x="1128"/>
        <item m="1" x="1245"/>
        <item m="1" x="1286"/>
        <item x="68"/>
        <item m="1" x="1187"/>
        <item x="41"/>
        <item x="75"/>
        <item m="1" x="1059"/>
        <item x="122"/>
        <item x="242"/>
        <item x="282"/>
        <item x="416"/>
        <item x="410"/>
        <item x="314"/>
        <item x="176"/>
        <item x="677"/>
        <item x="823"/>
        <item x="422"/>
        <item x="248"/>
        <item x="434"/>
        <item x="47"/>
        <item x="527"/>
        <item x="138"/>
        <item x="264"/>
        <item x="67"/>
        <item x="440"/>
        <item m="1" x="1178"/>
        <item x="417"/>
        <item m="1" x="1032"/>
        <item x="529"/>
        <item m="1" x="1302"/>
        <item m="1" x="1303"/>
        <item m="1" x="1304"/>
        <item m="1" x="1305"/>
        <item m="1" x="1306"/>
        <item m="1" x="1307"/>
        <item m="1" x="1044"/>
        <item m="1" x="1076"/>
        <item x="742"/>
        <item m="1" x="1110"/>
        <item m="1" x="1299"/>
        <item m="1" x="1272"/>
        <item x="393"/>
        <item x="730"/>
        <item x="397"/>
        <item x="612"/>
        <item x="731"/>
        <item m="1" x="1141"/>
        <item m="1" x="1155"/>
        <item x="399"/>
        <item x="733"/>
        <item x="616"/>
        <item x="116"/>
        <item x="407"/>
        <item m="1" x="1186"/>
        <item m="1" x="1177"/>
        <item m="1" x="1308"/>
        <item m="1" x="1309"/>
        <item m="1" x="983"/>
        <item x="425"/>
        <item x="10"/>
        <item x="738"/>
        <item x="657"/>
        <item x="472"/>
        <item x="611"/>
        <item m="1" x="1045"/>
        <item x="134"/>
        <item x="48"/>
        <item x="177"/>
        <item m="1" x="1172"/>
        <item m="1" x="1171"/>
        <item x="359"/>
        <item x="133"/>
        <item x="205"/>
        <item x="471"/>
        <item x="178"/>
        <item x="573"/>
        <item x="771"/>
        <item x="200"/>
        <item x="673"/>
        <item m="1" x="1079"/>
        <item x="784"/>
        <item x="843"/>
        <item x="11"/>
        <item x="309"/>
        <item x="56"/>
        <item m="1" x="928"/>
        <item x="526"/>
        <item x="265"/>
        <item x="308"/>
        <item x="12"/>
        <item x="421"/>
        <item m="1" x="1156"/>
        <item m="1" x="1046"/>
        <item m="1" x="1048"/>
        <item x="76"/>
        <item x="413"/>
        <item x="168"/>
        <item m="1" x="1279"/>
        <item x="261"/>
        <item x="79"/>
        <item x="78"/>
        <item x="45"/>
        <item x="414"/>
        <item x="244"/>
        <item x="258"/>
        <item x="394"/>
        <item x="81"/>
        <item x="424"/>
        <item x="348"/>
        <item x="195"/>
        <item x="104"/>
        <item x="82"/>
        <item x="13"/>
        <item x="42"/>
        <item x="623"/>
        <item x="285"/>
        <item x="819"/>
        <item x="80"/>
        <item x="686"/>
        <item x="77"/>
        <item m="1" x="1069"/>
        <item x="521"/>
        <item m="1" x="1196"/>
        <item x="86"/>
        <item m="1" x="978"/>
        <item x="353"/>
        <item x="716"/>
        <item x="169"/>
        <item x="144"/>
        <item x="123"/>
        <item x="170"/>
        <item x="354"/>
        <item x="202"/>
        <item x="141"/>
        <item x="34"/>
        <item x="199"/>
        <item x="262"/>
        <item x="822"/>
        <item x="681"/>
        <item x="143"/>
        <item x="23"/>
        <item x="64"/>
        <item x="65"/>
        <item x="87"/>
        <item m="1" x="1184"/>
        <item x="286"/>
        <item x="127"/>
        <item x="766"/>
        <item m="1" x="974"/>
        <item x="179"/>
        <item m="1" x="875"/>
        <item x="620"/>
        <item x="129"/>
        <item x="288"/>
        <item x="89"/>
        <item x="415"/>
        <item x="473"/>
        <item x="243"/>
        <item x="35"/>
        <item x="139"/>
        <item x="180"/>
        <item x="181"/>
        <item x="277"/>
        <item x="820"/>
        <item m="1" x="1078"/>
        <item x="429"/>
        <item x="124"/>
        <item x="270"/>
        <item x="684"/>
        <item x="660"/>
        <item m="1" x="1075"/>
        <item x="46"/>
        <item x="132"/>
        <item x="276"/>
        <item m="1" x="1023"/>
        <item x="88"/>
        <item x="154"/>
        <item m="1" x="883"/>
        <item x="765"/>
        <item m="1" x="1163"/>
        <item x="268"/>
        <item x="441"/>
        <item x="5"/>
        <item x="411"/>
        <item m="1" x="1068"/>
        <item x="147"/>
        <item x="183"/>
        <item x="14"/>
        <item x="182"/>
        <item x="135"/>
        <item x="860"/>
        <item x="19"/>
        <item x="90"/>
        <item x="191"/>
        <item x="278"/>
        <item x="486"/>
        <item x="111"/>
        <item x="112"/>
        <item x="395"/>
        <item x="430"/>
        <item x="437"/>
        <item x="15"/>
        <item x="55"/>
        <item x="40"/>
        <item x="280"/>
        <item x="107"/>
        <item m="1" x="957"/>
        <item x="479"/>
        <item x="355"/>
        <item x="431"/>
        <item x="125"/>
        <item x="475"/>
        <item x="283"/>
        <item x="114"/>
        <item x="106"/>
        <item x="16"/>
        <item x="1"/>
        <item x="52"/>
        <item x="25"/>
        <item x="762"/>
        <item x="152"/>
        <item x="184"/>
        <item x="142"/>
        <item x="91"/>
        <item x="92"/>
        <item x="113"/>
        <item x="185"/>
        <item x="149"/>
        <item x="245"/>
        <item x="246"/>
        <item x="271"/>
        <item m="1" x="1054"/>
        <item x="356"/>
        <item m="1" x="1026"/>
        <item x="190"/>
        <item m="1" x="1038"/>
        <item x="861"/>
        <item x="763"/>
        <item x="764"/>
        <item x="818"/>
        <item x="2"/>
        <item x="20"/>
        <item x="26"/>
        <item x="36"/>
        <item x="239"/>
        <item x="128"/>
        <item x="38"/>
        <item x="50"/>
        <item x="93"/>
        <item x="18"/>
        <item x="94"/>
        <item x="95"/>
        <item x="96"/>
        <item x="153"/>
        <item x="140"/>
        <item x="150"/>
        <item x="148"/>
        <item x="126"/>
        <item x="640"/>
        <item x="240"/>
        <item x="17"/>
        <item x="310"/>
        <item x="396"/>
        <item x="136"/>
        <item x="574"/>
        <item x="628"/>
        <item x="642"/>
        <item x="682"/>
        <item x="0"/>
        <item x="171"/>
        <item x="151"/>
        <item x="145"/>
        <item x="49"/>
        <item x="8"/>
        <item x="7"/>
        <item x="203"/>
        <item x="652"/>
        <item x="432"/>
        <item x="201"/>
        <item x="98"/>
        <item x="21"/>
        <item x="105"/>
        <item x="27"/>
        <item x="192"/>
        <item m="1" x="888"/>
        <item x="99"/>
        <item x="53"/>
        <item x="97"/>
        <item x="51"/>
        <item x="476"/>
        <item x="193"/>
        <item x="22"/>
        <item m="1" x="891"/>
        <item x="658"/>
        <item x="247"/>
        <item x="627"/>
        <item x="3"/>
        <item m="1" x="1017"/>
        <item x="4"/>
        <item m="1" x="956"/>
        <item x="37"/>
        <item x="30"/>
        <item x="188"/>
        <item x="155"/>
        <item x="100"/>
        <item x="137"/>
        <item x="464"/>
        <item x="9"/>
        <item x="172"/>
        <item x="263"/>
        <item x="186"/>
        <item x="103"/>
        <item x="101"/>
        <item x="187"/>
        <item x="474"/>
        <item x="115"/>
        <item x="28"/>
        <item x="357"/>
        <item x="29"/>
        <item x="189"/>
        <item x="204"/>
        <item x="66"/>
        <item x="207"/>
        <item x="481"/>
        <item x="146"/>
        <item x="786"/>
        <item x="787"/>
        <item x="728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3">
        <item x="1"/>
        <item x="0"/>
        <item m="1" x="2"/>
      </items>
    </pivotField>
    <pivotField compact="0" numFmtId="43" outline="0" showAll="0"/>
    <pivotField axis="axisRow" compact="0" outline="0" showAll="0" defaultSubtotal="0">
      <items count="60">
        <item x="5"/>
        <item x="0"/>
        <item x="1"/>
        <item x="4"/>
        <item x="2"/>
        <item x="3"/>
        <item x="13"/>
        <item x="7"/>
        <item x="10"/>
        <item x="6"/>
        <item x="8"/>
        <item x="9"/>
        <item x="12"/>
        <item x="11"/>
        <item x="19"/>
        <item x="15"/>
        <item x="20"/>
        <item x="16"/>
        <item x="14"/>
        <item x="18"/>
        <item x="17"/>
        <item x="21"/>
        <item x="22"/>
        <item x="24"/>
        <item x="23"/>
        <item x="26"/>
        <item x="28"/>
        <item x="27"/>
        <item x="31"/>
        <item x="30"/>
        <item x="29"/>
        <item x="25"/>
        <item x="39"/>
        <item x="35"/>
        <item x="33"/>
        <item x="36"/>
        <item x="40"/>
        <item x="32"/>
        <item x="37"/>
        <item x="34"/>
        <item x="38"/>
        <item x="41"/>
        <item x="47"/>
        <item x="45"/>
        <item x="48"/>
        <item x="43"/>
        <item x="44"/>
        <item x="49"/>
        <item x="46"/>
        <item x="50"/>
        <item x="52"/>
        <item m="1" x="58"/>
        <item x="54"/>
        <item x="51"/>
        <item m="1" x="59"/>
        <item x="42"/>
        <item m="1" x="56"/>
        <item m="1" x="57"/>
        <item x="53"/>
        <item x="55"/>
      </items>
    </pivotField>
    <pivotField axis="axisRow" compact="0" outline="0" showAll="0" defaultSubtotal="0">
      <items count="8">
        <item x="0"/>
        <item x="1"/>
        <item x="2"/>
        <item x="3"/>
        <item x="4"/>
        <item x="5"/>
        <item x="6"/>
        <item m="1" x="7"/>
      </items>
    </pivotField>
    <pivotField compact="0" outline="0" showAll="0"/>
    <pivotField name="Distrito" axis="axisRow" compact="0" outline="0" showAll="0" defaultSubtotal="0">
      <items count="9">
        <item x="1"/>
        <item x="3"/>
        <item x="2"/>
        <item x="7"/>
        <item x="4"/>
        <item h="1" x="0"/>
        <item x="6"/>
        <item x="5"/>
        <item h="1" m="1" x="8"/>
      </items>
    </pivotField>
    <pivotField compact="0" outline="0" showAll="0"/>
    <pivotField compact="0" outline="0" showAll="0"/>
    <pivotField compact="0" outline="0" showAll="0"/>
    <pivotField compact="0" numFmtId="43" outline="0" showAll="0"/>
    <pivotField compact="0" numFmtId="43" outline="0" showAll="0"/>
    <pivotField compact="0" numFmtId="43" outline="0" showAll="0"/>
    <pivotField dataField="1" compact="0" outline="0" showAll="0"/>
    <pivotField compact="0" outline="0" showAll="0"/>
    <pivotField axis="axisPage" compact="0" outline="0" showAll="0">
      <items count="16">
        <item m="1" x="14"/>
        <item x="2"/>
        <item x="0"/>
        <item m="1" x="12"/>
        <item m="1" x="13"/>
        <item m="1" x="11"/>
        <item m="1" x="10"/>
        <item m="1" x="9"/>
        <item m="1" x="8"/>
        <item m="1" x="7"/>
        <item m="1" x="6"/>
        <item m="1" x="5"/>
        <item m="1" x="4"/>
        <item m="1" x="3"/>
        <item x="1"/>
        <item t="default"/>
      </items>
    </pivotField>
    <pivotField compact="0" outline="0" showAll="0"/>
    <pivotField compact="0" outline="0" dragToRow="0" dragToCol="0" dragToPage="0" showAll="0" defaultSubtotal="0"/>
  </pivotFields>
  <rowFields count="9">
    <field x="3"/>
    <field x="4"/>
    <field x="11"/>
    <field x="14"/>
    <field x="21"/>
    <field x="22"/>
    <field x="12"/>
    <field x="19"/>
    <field x="24"/>
  </rowFields>
  <rowItems count="3">
    <i>
      <x v="2743"/>
      <x v="4125"/>
      <x v="12"/>
      <x v="1358"/>
      <x v="15"/>
      <x v="2"/>
      <x v="508"/>
      <x/>
      <x/>
    </i>
    <i>
      <x v="2744"/>
      <x v="864"/>
      <x v="12"/>
      <x v="1358"/>
      <x v="27"/>
      <x v="3"/>
      <x v="508"/>
      <x/>
      <x v="3"/>
    </i>
    <i t="grand">
      <x/>
    </i>
  </rowItems>
  <colItems count="1">
    <i/>
  </colItems>
  <pageFields count="1">
    <pageField fld="33" item="1" hier="-1"/>
  </pageFields>
  <dataFields count="1">
    <dataField name="Sum of Bajas Zona Influencia" fld="31" baseField="23" baseItem="0"/>
  </dataFields>
  <formats count="1087">
    <format dxfId="1170">
      <pivotArea outline="0" collapsedLevelsAreSubtotals="1" fieldPosition="0"/>
    </format>
    <format dxfId="1169">
      <pivotArea dataOnly="0" labelOnly="1" grandCol="1" outline="0" fieldPosition="0"/>
    </format>
    <format dxfId="1168">
      <pivotArea field="3" type="button" dataOnly="0" labelOnly="1" outline="0" axis="axisRow" fieldPosition="0"/>
    </format>
    <format dxfId="1167">
      <pivotArea field="4" type="button" dataOnly="0" labelOnly="1" outline="0" axis="axisRow" fieldPosition="1"/>
    </format>
    <format dxfId="1166">
      <pivotArea field="11" type="button" dataOnly="0" labelOnly="1" outline="0" axis="axisRow" fieldPosition="2"/>
    </format>
    <format dxfId="1165">
      <pivotArea field="24" type="button" dataOnly="0" labelOnly="1" outline="0" axis="axisRow" fieldPosition="8"/>
    </format>
    <format dxfId="1164">
      <pivotArea field="3" type="button" dataOnly="0" labelOnly="1" outline="0" axis="axisRow" fieldPosition="0"/>
    </format>
    <format dxfId="1163">
      <pivotArea field="4" type="button" dataOnly="0" labelOnly="1" outline="0" axis="axisRow" fieldPosition="1"/>
    </format>
    <format dxfId="1162">
      <pivotArea field="11" type="button" dataOnly="0" labelOnly="1" outline="0" axis="axisRow" fieldPosition="2"/>
    </format>
    <format dxfId="1161">
      <pivotArea field="24" type="button" dataOnly="0" labelOnly="1" outline="0" axis="axisRow" fieldPosition="8"/>
    </format>
    <format dxfId="1160">
      <pivotArea field="3" type="button" dataOnly="0" labelOnly="1" outline="0" axis="axisRow" fieldPosition="0"/>
    </format>
    <format dxfId="1159">
      <pivotArea field="4" type="button" dataOnly="0" labelOnly="1" outline="0" axis="axisRow" fieldPosition="1"/>
    </format>
    <format dxfId="1158">
      <pivotArea field="11" type="button" dataOnly="0" labelOnly="1" outline="0" axis="axisRow" fieldPosition="2"/>
    </format>
    <format dxfId="1157">
      <pivotArea field="24" type="button" dataOnly="0" labelOnly="1" outline="0" axis="axisRow" fieldPosition="8"/>
    </format>
    <format dxfId="1156">
      <pivotArea field="3" type="button" dataOnly="0" labelOnly="1" outline="0" axis="axisRow" fieldPosition="0"/>
    </format>
    <format dxfId="1155">
      <pivotArea field="4" type="button" dataOnly="0" labelOnly="1" outline="0" axis="axisRow" fieldPosition="1"/>
    </format>
    <format dxfId="1154">
      <pivotArea field="11" type="button" dataOnly="0" labelOnly="1" outline="0" axis="axisRow" fieldPosition="2"/>
    </format>
    <format dxfId="1153">
      <pivotArea field="24" type="button" dataOnly="0" labelOnly="1" outline="0" axis="axisRow" fieldPosition="8"/>
    </format>
    <format dxfId="1152">
      <pivotArea dataOnly="0" grandRow="1" outline="0" fieldPosition="0"/>
    </format>
    <format dxfId="1151">
      <pivotArea dataOnly="0" labelOnly="1" outline="0" fieldPosition="0">
        <references count="1">
          <reference field="11" count="0"/>
        </references>
      </pivotArea>
    </format>
    <format dxfId="1150">
      <pivotArea grandRow="1" outline="0" collapsedLevelsAreSubtotals="1" fieldPosition="0"/>
    </format>
    <format dxfId="1149">
      <pivotArea outline="0" collapsedLevelsAreSubtotals="1" fieldPosition="0"/>
    </format>
    <format dxfId="1148">
      <pivotArea dataOnly="0" labelOnly="1" outline="0" fieldPosition="0">
        <references count="1">
          <reference field="3" count="50">
            <x v="8"/>
            <x v="24"/>
            <x v="26"/>
            <x v="27"/>
            <x v="32"/>
            <x v="46"/>
            <x v="47"/>
            <x v="48"/>
            <x v="49"/>
            <x v="51"/>
            <x v="52"/>
            <x v="57"/>
            <x v="58"/>
            <x v="62"/>
            <x v="69"/>
            <x v="80"/>
            <x v="81"/>
            <x v="82"/>
            <x v="93"/>
            <x v="113"/>
            <x v="122"/>
            <x v="136"/>
            <x v="137"/>
            <x v="138"/>
            <x v="143"/>
            <x v="149"/>
            <x v="153"/>
            <x v="164"/>
            <x v="174"/>
            <x v="182"/>
            <x v="184"/>
            <x v="189"/>
            <x v="190"/>
            <x v="199"/>
            <x v="203"/>
            <x v="213"/>
            <x v="214"/>
            <x v="221"/>
            <x v="234"/>
            <x v="251"/>
            <x v="253"/>
            <x v="259"/>
            <x v="261"/>
            <x v="262"/>
            <x v="265"/>
            <x v="266"/>
            <x v="272"/>
            <x v="276"/>
            <x v="277"/>
            <x v="281"/>
          </reference>
        </references>
      </pivotArea>
    </format>
    <format dxfId="1147">
      <pivotArea dataOnly="0" labelOnly="1" outline="0" fieldPosition="0">
        <references count="1">
          <reference field="3" count="50">
            <x v="287"/>
            <x v="288"/>
            <x v="299"/>
            <x v="300"/>
            <x v="321"/>
            <x v="356"/>
            <x v="360"/>
            <x v="363"/>
            <x v="375"/>
            <x v="379"/>
            <x v="387"/>
            <x v="388"/>
            <x v="393"/>
            <x v="396"/>
            <x v="398"/>
            <x v="404"/>
            <x v="408"/>
            <x v="416"/>
            <x v="430"/>
            <x v="445"/>
            <x v="455"/>
            <x v="456"/>
            <x v="457"/>
            <x v="460"/>
            <x v="461"/>
            <x v="480"/>
            <x v="481"/>
            <x v="487"/>
            <x v="489"/>
            <x v="492"/>
            <x v="498"/>
            <x v="502"/>
            <x v="503"/>
            <x v="504"/>
            <x v="512"/>
            <x v="526"/>
            <x v="531"/>
            <x v="532"/>
            <x v="535"/>
            <x v="537"/>
            <x v="541"/>
            <x v="553"/>
            <x v="558"/>
            <x v="561"/>
            <x v="569"/>
            <x v="585"/>
            <x v="587"/>
            <x v="591"/>
            <x v="597"/>
            <x v="601"/>
          </reference>
        </references>
      </pivotArea>
    </format>
    <format dxfId="1146">
      <pivotArea dataOnly="0" labelOnly="1" outline="0" fieldPosition="0">
        <references count="1">
          <reference field="3" count="50">
            <x v="602"/>
            <x v="611"/>
            <x v="614"/>
            <x v="621"/>
            <x v="623"/>
            <x v="624"/>
            <x v="625"/>
            <x v="629"/>
            <x v="632"/>
            <x v="640"/>
            <x v="643"/>
            <x v="645"/>
            <x v="646"/>
            <x v="651"/>
            <x v="652"/>
            <x v="656"/>
            <x v="663"/>
            <x v="667"/>
            <x v="675"/>
            <x v="682"/>
            <x v="687"/>
            <x v="690"/>
            <x v="691"/>
            <x v="693"/>
            <x v="695"/>
            <x v="701"/>
            <x v="709"/>
            <x v="712"/>
            <x v="716"/>
            <x v="721"/>
            <x v="727"/>
            <x v="728"/>
            <x v="729"/>
            <x v="730"/>
            <x v="737"/>
            <x v="740"/>
            <x v="743"/>
            <x v="744"/>
            <x v="745"/>
            <x v="747"/>
            <x v="749"/>
            <x v="756"/>
            <x v="759"/>
            <x v="761"/>
            <x v="770"/>
            <x v="774"/>
            <x v="776"/>
            <x v="782"/>
            <x v="790"/>
            <x v="797"/>
          </reference>
        </references>
      </pivotArea>
    </format>
    <format dxfId="1145">
      <pivotArea dataOnly="0" labelOnly="1" outline="0" fieldPosition="0">
        <references count="1">
          <reference field="3" count="50">
            <x v="804"/>
            <x v="805"/>
            <x v="808"/>
            <x v="810"/>
            <x v="818"/>
            <x v="839"/>
            <x v="841"/>
            <x v="845"/>
            <x v="848"/>
            <x v="852"/>
            <x v="867"/>
            <x v="873"/>
            <x v="875"/>
            <x v="881"/>
            <x v="884"/>
            <x v="886"/>
            <x v="889"/>
            <x v="893"/>
            <x v="900"/>
            <x v="904"/>
            <x v="933"/>
            <x v="935"/>
            <x v="940"/>
            <x v="945"/>
            <x v="948"/>
            <x v="949"/>
            <x v="955"/>
            <x v="972"/>
            <x v="982"/>
            <x v="985"/>
            <x v="997"/>
            <x v="1001"/>
            <x v="1003"/>
            <x v="1011"/>
            <x v="1015"/>
            <x v="1018"/>
            <x v="1020"/>
            <x v="1023"/>
            <x v="1029"/>
            <x v="1035"/>
            <x v="1038"/>
            <x v="1040"/>
            <x v="1042"/>
            <x v="1055"/>
            <x v="1056"/>
            <x v="1058"/>
            <x v="1069"/>
            <x v="1075"/>
            <x v="1077"/>
            <x v="1078"/>
          </reference>
        </references>
      </pivotArea>
    </format>
    <format dxfId="1144">
      <pivotArea dataOnly="0" labelOnly="1" outline="0" fieldPosition="0">
        <references count="1">
          <reference field="3" count="50">
            <x v="1080"/>
            <x v="1088"/>
            <x v="1092"/>
            <x v="1099"/>
            <x v="1111"/>
            <x v="1112"/>
            <x v="1114"/>
            <x v="1126"/>
            <x v="1129"/>
            <x v="1141"/>
            <x v="1144"/>
            <x v="1145"/>
            <x v="1147"/>
            <x v="1150"/>
            <x v="1159"/>
            <x v="1167"/>
            <x v="1168"/>
            <x v="1185"/>
            <x v="1189"/>
            <x v="1196"/>
            <x v="1198"/>
            <x v="1202"/>
            <x v="1204"/>
            <x v="1209"/>
            <x v="1210"/>
            <x v="1222"/>
            <x v="1226"/>
            <x v="1231"/>
            <x v="1242"/>
            <x v="1244"/>
            <x v="1247"/>
            <x v="1257"/>
            <x v="1259"/>
            <x v="1261"/>
            <x v="1262"/>
            <x v="1263"/>
            <x v="1273"/>
            <x v="1274"/>
            <x v="1282"/>
            <x v="1286"/>
            <x v="1296"/>
            <x v="1297"/>
            <x v="1304"/>
            <x v="1305"/>
            <x v="1313"/>
            <x v="1318"/>
            <x v="1325"/>
            <x v="1343"/>
            <x v="1344"/>
            <x v="1355"/>
          </reference>
        </references>
      </pivotArea>
    </format>
    <format dxfId="1143">
      <pivotArea dataOnly="0" labelOnly="1" outline="0" fieldPosition="0">
        <references count="1">
          <reference field="3" count="50">
            <x v="1370"/>
            <x v="1372"/>
            <x v="1379"/>
            <x v="1383"/>
            <x v="1386"/>
            <x v="1391"/>
            <x v="1392"/>
            <x v="1396"/>
            <x v="1398"/>
            <x v="1401"/>
            <x v="1405"/>
            <x v="1410"/>
            <x v="1415"/>
            <x v="1418"/>
            <x v="1423"/>
            <x v="1425"/>
            <x v="1427"/>
            <x v="1430"/>
            <x v="1431"/>
            <x v="1435"/>
            <x v="1437"/>
            <x v="1449"/>
            <x v="1452"/>
            <x v="1455"/>
            <x v="1462"/>
            <x v="1470"/>
            <x v="1471"/>
            <x v="1472"/>
            <x v="1477"/>
            <x v="1484"/>
            <x v="1492"/>
            <x v="1493"/>
            <x v="1499"/>
            <x v="1500"/>
            <x v="1501"/>
            <x v="1509"/>
            <x v="1511"/>
            <x v="1512"/>
            <x v="1514"/>
            <x v="1515"/>
            <x v="1518"/>
            <x v="1519"/>
            <x v="1523"/>
            <x v="1526"/>
            <x v="1530"/>
            <x v="1534"/>
            <x v="1539"/>
            <x v="1542"/>
            <x v="1545"/>
            <x v="1548"/>
          </reference>
        </references>
      </pivotArea>
    </format>
    <format dxfId="1142">
      <pivotArea dataOnly="0" labelOnly="1" outline="0" fieldPosition="0">
        <references count="1">
          <reference field="3" count="36">
            <x v="1557"/>
            <x v="1564"/>
            <x v="1566"/>
            <x v="1585"/>
            <x v="1598"/>
            <x v="1600"/>
            <x v="1604"/>
            <x v="1606"/>
            <x v="1613"/>
            <x v="1619"/>
            <x v="1625"/>
            <x v="1628"/>
            <x v="1629"/>
            <x v="1634"/>
            <x v="1635"/>
            <x v="1637"/>
            <x v="1645"/>
            <x v="1647"/>
            <x v="1657"/>
            <x v="1675"/>
            <x v="1677"/>
            <x v="1678"/>
            <x v="1686"/>
            <x v="1687"/>
            <x v="1692"/>
            <x v="1694"/>
            <x v="1699"/>
            <x v="1704"/>
            <x v="1715"/>
            <x v="1717"/>
            <x v="1718"/>
            <x v="1725"/>
            <x v="1729"/>
            <x v="1731"/>
            <x v="1735"/>
            <x v="1738"/>
          </reference>
        </references>
      </pivotArea>
    </format>
    <format dxfId="1141">
      <pivotArea dataOnly="0" labelOnly="1" outline="0" fieldPosition="0">
        <references count="1">
          <reference field="3" count="2">
            <x v="1741"/>
            <x v="1742"/>
          </reference>
        </references>
      </pivotArea>
    </format>
    <format dxfId="1140">
      <pivotArea dataOnly="0" labelOnly="1" outline="0" fieldPosition="0">
        <references count="1">
          <reference field="3" count="1">
            <x v="1746"/>
          </reference>
        </references>
      </pivotArea>
    </format>
    <format dxfId="1139">
      <pivotArea dataOnly="0" labelOnly="1" outline="0" fieldPosition="0">
        <references count="1">
          <reference field="3" count="2">
            <x v="1747"/>
            <x v="1748"/>
          </reference>
        </references>
      </pivotArea>
    </format>
    <format dxfId="1138">
      <pivotArea dataOnly="0" labelOnly="1" outline="0" fieldPosition="0">
        <references count="1">
          <reference field="3" count="2">
            <x v="1749"/>
            <x v="1750"/>
          </reference>
        </references>
      </pivotArea>
    </format>
    <format dxfId="1137">
      <pivotArea dataOnly="0" labelOnly="1" outline="0" fieldPosition="0">
        <references count="1">
          <reference field="3" count="1">
            <x v="1753"/>
          </reference>
        </references>
      </pivotArea>
    </format>
    <format dxfId="1136">
      <pivotArea dataOnly="0" labelOnly="1" outline="0" fieldPosition="0">
        <references count="1">
          <reference field="3" count="1">
            <x v="1758"/>
          </reference>
        </references>
      </pivotArea>
    </format>
    <format dxfId="1135">
      <pivotArea dataOnly="0" labelOnly="1" outline="0" fieldPosition="0">
        <references count="1">
          <reference field="3" count="3">
            <x v="1765"/>
            <x v="1767"/>
            <x v="1771"/>
          </reference>
        </references>
      </pivotArea>
    </format>
    <format dxfId="1134">
      <pivotArea dataOnly="0" labelOnly="1" outline="0" fieldPosition="0">
        <references count="1">
          <reference field="3" count="5">
            <x v="1783"/>
            <x v="1784"/>
            <x v="1785"/>
            <x v="1786"/>
            <x v="1788"/>
          </reference>
        </references>
      </pivotArea>
    </format>
    <format dxfId="1133">
      <pivotArea dataOnly="0" labelOnly="1" grandRow="1" outline="0" fieldPosition="0"/>
    </format>
    <format dxfId="1132">
      <pivotArea dataOnly="0" labelOnly="1" outline="0" fieldPosition="0">
        <references count="2">
          <reference field="3" count="1" selected="0">
            <x v="27"/>
          </reference>
          <reference field="4" count="1">
            <x v="882"/>
          </reference>
        </references>
      </pivotArea>
    </format>
    <format dxfId="1131">
      <pivotArea dataOnly="0" labelOnly="1" outline="0" fieldPosition="0">
        <references count="2">
          <reference field="3" count="1" selected="0">
            <x v="32"/>
          </reference>
          <reference field="4" count="1">
            <x v="5715"/>
          </reference>
        </references>
      </pivotArea>
    </format>
    <format dxfId="1130">
      <pivotArea dataOnly="0" labelOnly="1" outline="0" fieldPosition="0">
        <references count="2">
          <reference field="3" count="1" selected="0">
            <x v="46"/>
          </reference>
          <reference field="4" count="1">
            <x v="1665"/>
          </reference>
        </references>
      </pivotArea>
    </format>
    <format dxfId="1129">
      <pivotArea dataOnly="0" labelOnly="1" outline="0" fieldPosition="0">
        <references count="2">
          <reference field="3" count="1" selected="0">
            <x v="47"/>
          </reference>
          <reference field="4" count="1">
            <x v="6716"/>
          </reference>
        </references>
      </pivotArea>
    </format>
    <format dxfId="1128">
      <pivotArea dataOnly="0" labelOnly="1" outline="0" fieldPosition="0">
        <references count="2">
          <reference field="3" count="1" selected="0">
            <x v="52"/>
          </reference>
          <reference field="4" count="1">
            <x v="4476"/>
          </reference>
        </references>
      </pivotArea>
    </format>
    <format dxfId="1127">
      <pivotArea dataOnly="0" labelOnly="1" outline="0" fieldPosition="0">
        <references count="2">
          <reference field="3" count="1" selected="0">
            <x v="62"/>
          </reference>
          <reference field="4" count="1">
            <x v="327"/>
          </reference>
        </references>
      </pivotArea>
    </format>
    <format dxfId="1126">
      <pivotArea dataOnly="0" labelOnly="1" outline="0" fieldPosition="0">
        <references count="2">
          <reference field="3" count="1" selected="0">
            <x v="69"/>
          </reference>
          <reference field="4" count="1">
            <x v="4981"/>
          </reference>
        </references>
      </pivotArea>
    </format>
    <format dxfId="1125">
      <pivotArea dataOnly="0" labelOnly="1" outline="0" fieldPosition="0">
        <references count="2">
          <reference field="3" count="1" selected="0">
            <x v="82"/>
          </reference>
          <reference field="4" count="1">
            <x v="1792"/>
          </reference>
        </references>
      </pivotArea>
    </format>
    <format dxfId="1124">
      <pivotArea dataOnly="0" labelOnly="1" outline="0" fieldPosition="0">
        <references count="2">
          <reference field="3" count="1" selected="0">
            <x v="113"/>
          </reference>
          <reference field="4" count="1">
            <x v="3749"/>
          </reference>
        </references>
      </pivotArea>
    </format>
    <format dxfId="1123">
      <pivotArea dataOnly="0" labelOnly="1" outline="0" fieldPosition="0">
        <references count="2">
          <reference field="3" count="1" selected="0">
            <x v="137"/>
          </reference>
          <reference field="4" count="1">
            <x v="2747"/>
          </reference>
        </references>
      </pivotArea>
    </format>
    <format dxfId="1122">
      <pivotArea dataOnly="0" labelOnly="1" outline="0" fieldPosition="0">
        <references count="2">
          <reference field="3" count="1" selected="0">
            <x v="213"/>
          </reference>
          <reference field="4" count="1">
            <x v="1052"/>
          </reference>
        </references>
      </pivotArea>
    </format>
    <format dxfId="1121">
      <pivotArea dataOnly="0" labelOnly="1" outline="0" fieldPosition="0">
        <references count="2">
          <reference field="3" count="1" selected="0">
            <x v="221"/>
          </reference>
          <reference field="4" count="1">
            <x v="2985"/>
          </reference>
        </references>
      </pivotArea>
    </format>
    <format dxfId="1120">
      <pivotArea dataOnly="0" labelOnly="1" outline="0" fieldPosition="0">
        <references count="2">
          <reference field="3" count="1" selected="0">
            <x v="287"/>
          </reference>
          <reference field="4" count="1">
            <x v="2802"/>
          </reference>
        </references>
      </pivotArea>
    </format>
    <format dxfId="1119">
      <pivotArea dataOnly="0" labelOnly="1" outline="0" fieldPosition="0">
        <references count="2">
          <reference field="3" count="1" selected="0">
            <x v="288"/>
          </reference>
          <reference field="4" count="1">
            <x v="2535"/>
          </reference>
        </references>
      </pivotArea>
    </format>
    <format dxfId="1118">
      <pivotArea dataOnly="0" labelOnly="1" outline="0" fieldPosition="0">
        <references count="2">
          <reference field="3" count="1" selected="0">
            <x v="299"/>
          </reference>
          <reference field="4" count="1">
            <x v="2457"/>
          </reference>
        </references>
      </pivotArea>
    </format>
    <format dxfId="1117">
      <pivotArea dataOnly="0" labelOnly="1" outline="0" fieldPosition="0">
        <references count="2">
          <reference field="3" count="1" selected="0">
            <x v="300"/>
          </reference>
          <reference field="4" count="1">
            <x v="743"/>
          </reference>
        </references>
      </pivotArea>
    </format>
    <format dxfId="1116">
      <pivotArea dataOnly="0" labelOnly="1" outline="0" fieldPosition="0">
        <references count="2">
          <reference field="3" count="1" selected="0">
            <x v="363"/>
          </reference>
          <reference field="4" count="1">
            <x v="2824"/>
          </reference>
        </references>
      </pivotArea>
    </format>
    <format dxfId="1115">
      <pivotArea dataOnly="0" labelOnly="1" outline="0" fieldPosition="0">
        <references count="2">
          <reference field="3" count="1" selected="0">
            <x v="393"/>
          </reference>
          <reference field="4" count="1">
            <x v="4507"/>
          </reference>
        </references>
      </pivotArea>
    </format>
    <format dxfId="1114">
      <pivotArea dataOnly="0" labelOnly="1" outline="0" fieldPosition="0">
        <references count="2">
          <reference field="3" count="1" selected="0">
            <x v="455"/>
          </reference>
          <reference field="4" count="1">
            <x v="7685"/>
          </reference>
        </references>
      </pivotArea>
    </format>
    <format dxfId="1113">
      <pivotArea dataOnly="0" labelOnly="1" outline="0" fieldPosition="0">
        <references count="2">
          <reference field="3" count="1" selected="0">
            <x v="456"/>
          </reference>
          <reference field="4" count="1">
            <x v="4473"/>
          </reference>
        </references>
      </pivotArea>
    </format>
    <format dxfId="1112">
      <pivotArea dataOnly="0" labelOnly="1" outline="0" fieldPosition="0">
        <references count="2">
          <reference field="3" count="1" selected="0">
            <x v="457"/>
          </reference>
          <reference field="4" count="1">
            <x v="6490"/>
          </reference>
        </references>
      </pivotArea>
    </format>
    <format dxfId="1111">
      <pivotArea dataOnly="0" labelOnly="1" outline="0" fieldPosition="0">
        <references count="2">
          <reference field="3" count="1" selected="0">
            <x v="489"/>
          </reference>
          <reference field="4" count="1">
            <x v="4834"/>
          </reference>
        </references>
      </pivotArea>
    </format>
    <format dxfId="1110">
      <pivotArea dataOnly="0" labelOnly="1" outline="0" fieldPosition="0">
        <references count="2">
          <reference field="3" count="1" selected="0">
            <x v="531"/>
          </reference>
          <reference field="4" count="1">
            <x v="7799"/>
          </reference>
        </references>
      </pivotArea>
    </format>
    <format dxfId="1109">
      <pivotArea dataOnly="0" labelOnly="1" outline="0" fieldPosition="0">
        <references count="2">
          <reference field="3" count="1" selected="0">
            <x v="537"/>
          </reference>
          <reference field="4" count="1">
            <x v="5595"/>
          </reference>
        </references>
      </pivotArea>
    </format>
    <format dxfId="1108">
      <pivotArea dataOnly="0" labelOnly="1" outline="0" fieldPosition="0">
        <references count="2">
          <reference field="3" count="1" selected="0">
            <x v="553"/>
          </reference>
          <reference field="4" count="1">
            <x v="6980"/>
          </reference>
        </references>
      </pivotArea>
    </format>
    <format dxfId="1107">
      <pivotArea dataOnly="0" labelOnly="1" outline="0" fieldPosition="0">
        <references count="2">
          <reference field="3" count="1" selected="0">
            <x v="561"/>
          </reference>
          <reference field="4" count="1">
            <x v="1237"/>
          </reference>
        </references>
      </pivotArea>
    </format>
    <format dxfId="1106">
      <pivotArea dataOnly="0" labelOnly="1" outline="0" fieldPosition="0">
        <references count="2">
          <reference field="3" count="1" selected="0">
            <x v="569"/>
          </reference>
          <reference field="4" count="1">
            <x v="4527"/>
          </reference>
        </references>
      </pivotArea>
    </format>
    <format dxfId="1105">
      <pivotArea dataOnly="0" labelOnly="1" outline="0" fieldPosition="0">
        <references count="2">
          <reference field="3" count="1" selected="0">
            <x v="621"/>
          </reference>
          <reference field="4" count="1">
            <x v="1928"/>
          </reference>
        </references>
      </pivotArea>
    </format>
    <format dxfId="1104">
      <pivotArea dataOnly="0" labelOnly="1" outline="0" fieldPosition="0">
        <references count="2">
          <reference field="3" count="1" selected="0">
            <x v="623"/>
          </reference>
          <reference field="4" count="1">
            <x v="1832"/>
          </reference>
        </references>
      </pivotArea>
    </format>
    <format dxfId="1103">
      <pivotArea dataOnly="0" labelOnly="1" outline="0" fieldPosition="0">
        <references count="2">
          <reference field="3" count="1" selected="0">
            <x v="643"/>
          </reference>
          <reference field="4" count="1">
            <x v="2585"/>
          </reference>
        </references>
      </pivotArea>
    </format>
    <format dxfId="1102">
      <pivotArea dataOnly="0" labelOnly="1" outline="0" fieldPosition="0">
        <references count="2">
          <reference field="3" count="1" selected="0">
            <x v="646"/>
          </reference>
          <reference field="4" count="1">
            <x v="4386"/>
          </reference>
        </references>
      </pivotArea>
    </format>
    <format dxfId="1101">
      <pivotArea dataOnly="0" labelOnly="1" outline="0" fieldPosition="0">
        <references count="2">
          <reference field="3" count="1" selected="0">
            <x v="687"/>
          </reference>
          <reference field="4" count="1">
            <x v="750"/>
          </reference>
        </references>
      </pivotArea>
    </format>
    <format dxfId="1100">
      <pivotArea dataOnly="0" labelOnly="1" outline="0" fieldPosition="0">
        <references count="2">
          <reference field="3" count="1" selected="0">
            <x v="693"/>
          </reference>
          <reference field="4" count="1">
            <x v="7180"/>
          </reference>
        </references>
      </pivotArea>
    </format>
    <format dxfId="1099">
      <pivotArea dataOnly="0" labelOnly="1" outline="0" fieldPosition="0">
        <references count="2">
          <reference field="3" count="1" selected="0">
            <x v="701"/>
          </reference>
          <reference field="4" count="1">
            <x v="3523"/>
          </reference>
        </references>
      </pivotArea>
    </format>
    <format dxfId="1098">
      <pivotArea dataOnly="0" labelOnly="1" outline="0" fieldPosition="0">
        <references count="2">
          <reference field="3" count="1" selected="0">
            <x v="729"/>
          </reference>
          <reference field="4" count="1">
            <x v="1860"/>
          </reference>
        </references>
      </pivotArea>
    </format>
    <format dxfId="1097">
      <pivotArea dataOnly="0" labelOnly="1" outline="0" fieldPosition="0">
        <references count="2">
          <reference field="3" count="1" selected="0">
            <x v="740"/>
          </reference>
          <reference field="4" count="1">
            <x v="2185"/>
          </reference>
        </references>
      </pivotArea>
    </format>
    <format dxfId="1096">
      <pivotArea dataOnly="0" labelOnly="1" outline="0" fieldPosition="0">
        <references count="2">
          <reference field="3" count="1" selected="0">
            <x v="776"/>
          </reference>
          <reference field="4" count="1">
            <x v="5233"/>
          </reference>
        </references>
      </pivotArea>
    </format>
    <format dxfId="1095">
      <pivotArea dataOnly="0" labelOnly="1" outline="0" fieldPosition="0">
        <references count="2">
          <reference field="3" count="1" selected="0">
            <x v="790"/>
          </reference>
          <reference field="4" count="1">
            <x v="7975"/>
          </reference>
        </references>
      </pivotArea>
    </format>
    <format dxfId="1094">
      <pivotArea dataOnly="0" labelOnly="1" outline="0" fieldPosition="0">
        <references count="2">
          <reference field="3" count="1" selected="0">
            <x v="804"/>
          </reference>
          <reference field="4" count="1">
            <x v="3639"/>
          </reference>
        </references>
      </pivotArea>
    </format>
    <format dxfId="1093">
      <pivotArea dataOnly="0" labelOnly="1" outline="0" fieldPosition="0">
        <references count="2">
          <reference field="3" count="1" selected="0">
            <x v="841"/>
          </reference>
          <reference field="4" count="1">
            <x v="6464"/>
          </reference>
        </references>
      </pivotArea>
    </format>
    <format dxfId="1092">
      <pivotArea dataOnly="0" labelOnly="1" outline="0" fieldPosition="0">
        <references count="2">
          <reference field="3" count="1" selected="0">
            <x v="875"/>
          </reference>
          <reference field="4" count="1">
            <x v="7048"/>
          </reference>
        </references>
      </pivotArea>
    </format>
    <format dxfId="1091">
      <pivotArea dataOnly="0" labelOnly="1" outline="0" fieldPosition="0">
        <references count="2">
          <reference field="3" count="1" selected="0">
            <x v="889"/>
          </reference>
          <reference field="4" count="1">
            <x v="4618"/>
          </reference>
        </references>
      </pivotArea>
    </format>
    <format dxfId="1090">
      <pivotArea dataOnly="0" labelOnly="1" outline="0" fieldPosition="0">
        <references count="2">
          <reference field="3" count="1" selected="0">
            <x v="893"/>
          </reference>
          <reference field="4" count="1">
            <x v="4247"/>
          </reference>
        </references>
      </pivotArea>
    </format>
    <format dxfId="1089">
      <pivotArea dataOnly="0" labelOnly="1" outline="0" fieldPosition="0">
        <references count="2">
          <reference field="3" count="1" selected="0">
            <x v="904"/>
          </reference>
          <reference field="4" count="1">
            <x v="5584"/>
          </reference>
        </references>
      </pivotArea>
    </format>
    <format dxfId="1088">
      <pivotArea dataOnly="0" labelOnly="1" outline="0" fieldPosition="0">
        <references count="2">
          <reference field="3" count="1" selected="0">
            <x v="940"/>
          </reference>
          <reference field="4" count="1">
            <x v="7172"/>
          </reference>
        </references>
      </pivotArea>
    </format>
    <format dxfId="1087">
      <pivotArea dataOnly="0" labelOnly="1" outline="0" fieldPosition="0">
        <references count="2">
          <reference field="3" count="1" selected="0">
            <x v="1001"/>
          </reference>
          <reference field="4" count="1">
            <x v="1130"/>
          </reference>
        </references>
      </pivotArea>
    </format>
    <format dxfId="1086">
      <pivotArea dataOnly="0" labelOnly="1" outline="0" fieldPosition="0">
        <references count="2">
          <reference field="3" count="1" selected="0">
            <x v="1029"/>
          </reference>
          <reference field="4" count="1">
            <x v="5540"/>
          </reference>
        </references>
      </pivotArea>
    </format>
    <format dxfId="1085">
      <pivotArea dataOnly="0" labelOnly="1" outline="0" fieldPosition="0">
        <references count="2">
          <reference field="3" count="1" selected="0">
            <x v="1058"/>
          </reference>
          <reference field="4" count="1">
            <x v="3983"/>
          </reference>
        </references>
      </pivotArea>
    </format>
    <format dxfId="1084">
      <pivotArea dataOnly="0" labelOnly="1" outline="0" fieldPosition="0">
        <references count="2">
          <reference field="3" count="1" selected="0">
            <x v="1112"/>
          </reference>
          <reference field="4" count="1">
            <x v="2243"/>
          </reference>
        </references>
      </pivotArea>
    </format>
    <format dxfId="1083">
      <pivotArea dataOnly="0" labelOnly="1" outline="0" fieldPosition="0">
        <references count="2">
          <reference field="3" count="1" selected="0">
            <x v="1304"/>
          </reference>
          <reference field="4" count="1">
            <x v="1579"/>
          </reference>
        </references>
      </pivotArea>
    </format>
    <format dxfId="1082">
      <pivotArea dataOnly="0" labelOnly="1" outline="0" fieldPosition="0">
        <references count="2">
          <reference field="3" count="1" selected="0">
            <x v="1305"/>
          </reference>
          <reference field="4" count="1">
            <x v="6973"/>
          </reference>
        </references>
      </pivotArea>
    </format>
    <format dxfId="1081">
      <pivotArea dataOnly="0" labelOnly="1" outline="0" fieldPosition="0">
        <references count="2">
          <reference field="3" count="1" selected="0">
            <x v="1370"/>
          </reference>
          <reference field="4" count="1">
            <x v="6077"/>
          </reference>
        </references>
      </pivotArea>
    </format>
    <format dxfId="1080">
      <pivotArea dataOnly="0" labelOnly="1" outline="0" fieldPosition="0">
        <references count="2">
          <reference field="3" count="1" selected="0">
            <x v="1410"/>
          </reference>
          <reference field="4" count="1">
            <x v="6042"/>
          </reference>
        </references>
      </pivotArea>
    </format>
    <format dxfId="1079">
      <pivotArea dataOnly="0" labelOnly="1" outline="0" fieldPosition="0">
        <references count="2">
          <reference field="3" count="1" selected="0">
            <x v="1430"/>
          </reference>
          <reference field="4" count="1">
            <x v="7464"/>
          </reference>
        </references>
      </pivotArea>
    </format>
    <format dxfId="1078">
      <pivotArea dataOnly="0" labelOnly="1" outline="0" fieldPosition="0">
        <references count="2">
          <reference field="3" count="1" selected="0">
            <x v="1472"/>
          </reference>
          <reference field="4" count="1">
            <x v="566"/>
          </reference>
        </references>
      </pivotArea>
    </format>
    <format dxfId="1077">
      <pivotArea dataOnly="0" labelOnly="1" outline="0" fieldPosition="0">
        <references count="2">
          <reference field="3" count="1" selected="0">
            <x v="1484"/>
          </reference>
          <reference field="4" count="1">
            <x v="6176"/>
          </reference>
        </references>
      </pivotArea>
    </format>
    <format dxfId="1076">
      <pivotArea dataOnly="0" labelOnly="1" outline="0" fieldPosition="0">
        <references count="2">
          <reference field="3" count="1" selected="0">
            <x v="1500"/>
          </reference>
          <reference field="4" count="1">
            <x v="5338"/>
          </reference>
        </references>
      </pivotArea>
    </format>
    <format dxfId="1075">
      <pivotArea dataOnly="0" labelOnly="1" outline="0" fieldPosition="0">
        <references count="2">
          <reference field="3" count="1" selected="0">
            <x v="1526"/>
          </reference>
          <reference field="4" count="1">
            <x v="2525"/>
          </reference>
        </references>
      </pivotArea>
    </format>
    <format dxfId="1074">
      <pivotArea dataOnly="0" labelOnly="1" outline="0" fieldPosition="0">
        <references count="2">
          <reference field="3" count="1" selected="0">
            <x v="1585"/>
          </reference>
          <reference field="4" count="1">
            <x v="7824"/>
          </reference>
        </references>
      </pivotArea>
    </format>
    <format dxfId="1073">
      <pivotArea dataOnly="0" labelOnly="1" outline="0" fieldPosition="0">
        <references count="2">
          <reference field="3" count="1" selected="0">
            <x v="1598"/>
          </reference>
          <reference field="4" count="1">
            <x v="3672"/>
          </reference>
        </references>
      </pivotArea>
    </format>
    <format dxfId="1072">
      <pivotArea dataOnly="0" labelOnly="1" outline="0" fieldPosition="0">
        <references count="2">
          <reference field="3" count="1" selected="0">
            <x v="1628"/>
          </reference>
          <reference field="4" count="1">
            <x v="2213"/>
          </reference>
        </references>
      </pivotArea>
    </format>
    <format dxfId="1071">
      <pivotArea dataOnly="0" labelOnly="1" outline="0" fieldPosition="0">
        <references count="2">
          <reference field="3" count="1" selected="0">
            <x v="1634"/>
          </reference>
          <reference field="4" count="1">
            <x v="2829"/>
          </reference>
        </references>
      </pivotArea>
    </format>
    <format dxfId="1070">
      <pivotArea dataOnly="0" labelOnly="1" outline="0" fieldPosition="0">
        <references count="2">
          <reference field="3" count="1" selected="0">
            <x v="1742"/>
          </reference>
          <reference field="4" count="1">
            <x v="6925"/>
          </reference>
        </references>
      </pivotArea>
    </format>
    <format dxfId="1069">
      <pivotArea dataOnly="0" labelOnly="1" outline="0" fieldPosition="0">
        <references count="2">
          <reference field="3" count="1" selected="0">
            <x v="1749"/>
          </reference>
          <reference field="4" count="1">
            <x v="3480"/>
          </reference>
        </references>
      </pivotArea>
    </format>
    <format dxfId="1068">
      <pivotArea dataOnly="0" labelOnly="1" outline="0" fieldPosition="0">
        <references count="2">
          <reference field="3" count="1" selected="0">
            <x v="1788"/>
          </reference>
          <reference field="4" count="1">
            <x v="5797"/>
          </reference>
        </references>
      </pivotArea>
    </format>
    <format dxfId="1067">
      <pivotArea dataOnly="0" labelOnly="1" outline="0" fieldPosition="0">
        <references count="1">
          <reference field="3" count="0"/>
        </references>
      </pivotArea>
    </format>
    <format dxfId="1066">
      <pivotArea dataOnly="0" labelOnly="1" outline="0" fieldPosition="0">
        <references count="1">
          <reference field="3" count="0"/>
        </references>
      </pivotArea>
    </format>
    <format dxfId="1065">
      <pivotArea outline="0" fieldPosition="0">
        <references count="9">
          <reference field="3" count="304" selected="0">
            <x v="56"/>
            <x v="81"/>
            <x v="104"/>
            <x v="112"/>
            <x v="122"/>
            <x v="136"/>
            <x v="138"/>
            <x v="143"/>
            <x v="149"/>
            <x v="152"/>
            <x v="153"/>
            <x v="155"/>
            <x v="174"/>
            <x v="184"/>
            <x v="189"/>
            <x v="190"/>
            <x v="199"/>
            <x v="203"/>
            <x v="204"/>
            <x v="206"/>
            <x v="215"/>
            <x v="234"/>
            <x v="251"/>
            <x v="253"/>
            <x v="255"/>
            <x v="259"/>
            <x v="261"/>
            <x v="266"/>
            <x v="269"/>
            <x v="276"/>
            <x v="277"/>
            <x v="281"/>
            <x v="292"/>
            <x v="321"/>
            <x v="340"/>
            <x v="356"/>
            <x v="360"/>
            <x v="365"/>
            <x v="375"/>
            <x v="379"/>
            <x v="388"/>
            <x v="396"/>
            <x v="398"/>
            <x v="445"/>
            <x v="458"/>
            <x v="460"/>
            <x v="465"/>
            <x v="477"/>
            <x v="480"/>
            <x v="481"/>
            <x v="492"/>
            <x v="498"/>
            <x v="503"/>
            <x v="512"/>
            <x v="532"/>
            <x v="535"/>
            <x v="539"/>
            <x v="541"/>
            <x v="558"/>
            <x v="582"/>
            <x v="585"/>
            <x v="587"/>
            <x v="597"/>
            <x v="599"/>
            <x v="622"/>
            <x v="624"/>
            <x v="625"/>
            <x v="632"/>
            <x v="638"/>
            <x v="640"/>
            <x v="651"/>
            <x v="656"/>
            <x v="675"/>
            <x v="682"/>
            <x v="683"/>
            <x v="691"/>
            <x v="695"/>
            <x v="697"/>
            <x v="709"/>
            <x v="712"/>
            <x v="715"/>
            <x v="716"/>
            <x v="718"/>
            <x v="721"/>
            <x v="730"/>
            <x v="737"/>
            <x v="743"/>
            <x v="745"/>
            <x v="747"/>
            <x v="749"/>
            <x v="756"/>
            <x v="759"/>
            <x v="774"/>
            <x v="782"/>
            <x v="797"/>
            <x v="808"/>
            <x v="809"/>
            <x v="810"/>
            <x v="839"/>
            <x v="845"/>
            <x v="848"/>
            <x v="850"/>
            <x v="873"/>
            <x v="881"/>
            <x v="884"/>
            <x v="913"/>
            <x v="945"/>
            <x v="948"/>
            <x v="949"/>
            <x v="971"/>
            <x v="972"/>
            <x v="978"/>
            <x v="982"/>
            <x v="997"/>
            <x v="1003"/>
            <x v="1011"/>
            <x v="1018"/>
            <x v="1020"/>
            <x v="1032"/>
            <x v="1035"/>
            <x v="1038"/>
            <x v="1040"/>
            <x v="1055"/>
            <x v="1056"/>
            <x v="1066"/>
            <x v="1069"/>
            <x v="1075"/>
            <x v="1077"/>
            <x v="1080"/>
            <x v="1088"/>
            <x v="1092"/>
            <x v="1099"/>
            <x v="1113"/>
            <x v="1129"/>
            <x v="1141"/>
            <x v="1144"/>
            <x v="1167"/>
            <x v="1168"/>
            <x v="1189"/>
            <x v="1196"/>
            <x v="1198"/>
            <x v="1204"/>
            <x v="1210"/>
            <x v="1222"/>
            <x v="1226"/>
            <x v="1242"/>
            <x v="1247"/>
            <x v="1261"/>
            <x v="1262"/>
            <x v="1285"/>
            <x v="1288"/>
            <x v="1291"/>
            <x v="1306"/>
            <x v="1318"/>
            <x v="1343"/>
            <x v="1353"/>
            <x v="1355"/>
            <x v="1383"/>
            <x v="1388"/>
            <x v="1391"/>
            <x v="1398"/>
            <x v="1415"/>
            <x v="1418"/>
            <x v="1423"/>
            <x v="1427"/>
            <x v="1431"/>
            <x v="1435"/>
            <x v="1449"/>
            <x v="1452"/>
            <x v="1482"/>
            <x v="1493"/>
            <x v="1501"/>
            <x v="1509"/>
            <x v="1511"/>
            <x v="1512"/>
            <x v="1514"/>
            <x v="1515"/>
            <x v="1534"/>
            <x v="1545"/>
            <x v="1564"/>
            <x v="1619"/>
            <x v="1626"/>
            <x v="1645"/>
            <x v="1647"/>
            <x v="1677"/>
            <x v="1678"/>
            <x v="1687"/>
            <x v="1699"/>
            <x v="1701"/>
            <x v="1704"/>
            <x v="1712"/>
            <x v="1715"/>
            <x v="1717"/>
            <x v="1718"/>
            <x v="1720"/>
            <x v="1725"/>
            <x v="1729"/>
            <x v="1738"/>
            <x v="1741"/>
            <x v="1746"/>
            <x v="1747"/>
            <x v="1748"/>
            <x v="1750"/>
            <x v="1753"/>
            <x v="1758"/>
            <x v="1761"/>
            <x v="1765"/>
            <x v="1767"/>
            <x v="1771"/>
            <x v="1783"/>
            <x v="1784"/>
            <x v="1785"/>
            <x v="1786"/>
            <x v="1789"/>
            <x v="1790"/>
            <x v="1799"/>
            <x v="1804"/>
            <x v="1811"/>
            <x v="1812"/>
            <x v="1827"/>
            <x v="1838"/>
            <x v="1840"/>
            <x v="1851"/>
            <x v="1853"/>
            <x v="1871"/>
            <x v="1875"/>
            <x v="1889"/>
            <x v="1890"/>
            <x v="1894"/>
            <x v="1895"/>
            <x v="1902"/>
            <x v="1903"/>
            <x v="1905"/>
            <x v="1906"/>
            <x v="1911"/>
            <x v="1916"/>
            <x v="1917"/>
            <x v="1918"/>
            <x v="1937"/>
            <x v="1946"/>
            <x v="1947"/>
            <x v="1949"/>
            <x v="1950"/>
            <x v="1951"/>
            <x v="1963"/>
            <x v="1964"/>
            <x v="1971"/>
            <x v="1983"/>
            <x v="1990"/>
            <x v="2010"/>
            <x v="2024"/>
            <x v="2040"/>
            <x v="2048"/>
            <x v="2049"/>
            <x v="2051"/>
            <x v="2066"/>
            <x v="2069"/>
            <x v="2072"/>
            <x v="2075"/>
            <x v="2081"/>
            <x v="2085"/>
            <x v="2089"/>
            <x v="2097"/>
            <x v="2101"/>
            <x v="2104"/>
            <x v="2105"/>
            <x v="2106"/>
            <x v="2112"/>
            <x v="2118"/>
            <x v="2120"/>
            <x v="2122"/>
            <x v="2127"/>
            <x v="2137"/>
            <x v="2144"/>
            <x v="2163"/>
            <x v="2171"/>
            <x v="2173"/>
            <x v="2174"/>
            <x v="2178"/>
            <x v="2181"/>
            <x v="2182"/>
            <x v="2183"/>
            <x v="2185"/>
            <x v="2193"/>
            <x v="2194"/>
            <x v="2196"/>
            <x v="2197"/>
            <x v="2201"/>
            <x v="2205"/>
            <x v="2210"/>
            <x v="2222"/>
            <x v="2227"/>
            <x v="2232"/>
            <x v="2234"/>
            <x v="2235"/>
            <x v="2236"/>
            <x v="2243"/>
            <x v="2251"/>
            <x v="2259"/>
            <x v="2261"/>
            <x v="2264"/>
            <x v="2266"/>
            <x v="2268"/>
            <x v="2269"/>
          </reference>
          <reference field="4" count="673" selected="0">
            <x v="11"/>
            <x v="21"/>
            <x v="33"/>
            <x v="65"/>
            <x v="83"/>
            <x v="90"/>
            <x v="92"/>
            <x v="98"/>
            <x v="105"/>
            <x v="109"/>
            <x v="112"/>
            <x v="121"/>
            <x v="124"/>
            <x v="143"/>
            <x v="154"/>
            <x v="164"/>
            <x v="179"/>
            <x v="195"/>
            <x v="197"/>
            <x v="231"/>
            <x v="234"/>
            <x v="246"/>
            <x v="247"/>
            <x v="254"/>
            <x v="274"/>
            <x v="290"/>
            <x v="295"/>
            <x v="305"/>
            <x v="313"/>
            <x v="319"/>
            <x v="327"/>
            <x v="340"/>
            <x v="399"/>
            <x v="406"/>
            <x v="416"/>
            <x v="417"/>
            <x v="437"/>
            <x v="479"/>
            <x v="482"/>
            <x v="501"/>
            <x v="502"/>
            <x v="503"/>
            <x v="512"/>
            <x v="552"/>
            <x v="553"/>
            <x v="561"/>
            <x v="568"/>
            <x v="586"/>
            <x v="597"/>
            <x v="602"/>
            <x v="603"/>
            <x v="605"/>
            <x v="616"/>
            <x v="618"/>
            <x v="660"/>
            <x v="669"/>
            <x v="680"/>
            <x v="693"/>
            <x v="714"/>
            <x v="737"/>
            <x v="743"/>
            <x v="749"/>
            <x v="750"/>
            <x v="768"/>
            <x v="798"/>
            <x v="799"/>
            <x v="805"/>
            <x v="806"/>
            <x v="814"/>
            <x v="823"/>
            <x v="854"/>
            <x v="868"/>
            <x v="876"/>
            <x v="882"/>
            <x v="884"/>
            <x v="900"/>
            <x v="901"/>
            <x v="907"/>
            <x v="926"/>
            <x v="949"/>
            <x v="952"/>
            <x v="961"/>
            <x v="962"/>
            <x v="963"/>
            <x v="982"/>
            <x v="1007"/>
            <x v="1019"/>
            <x v="1030"/>
            <x v="1041"/>
            <x v="1046"/>
            <x v="1048"/>
            <x v="1050"/>
            <x v="1064"/>
            <x v="1070"/>
            <x v="1096"/>
            <x v="1103"/>
            <x v="1112"/>
            <x v="1123"/>
            <x v="1130"/>
            <x v="1143"/>
            <x v="1144"/>
            <x v="1162"/>
            <x v="1167"/>
            <x v="1168"/>
            <x v="1173"/>
            <x v="1175"/>
            <x v="1188"/>
            <x v="1236"/>
            <x v="1237"/>
            <x v="1239"/>
            <x v="1255"/>
            <x v="1259"/>
            <x v="1293"/>
            <x v="1294"/>
            <x v="1325"/>
            <x v="1327"/>
            <x v="1335"/>
            <x v="1344"/>
            <x v="1352"/>
            <x v="1355"/>
            <x v="1359"/>
            <x v="1364"/>
            <x v="1375"/>
            <x v="1384"/>
            <x v="1401"/>
            <x v="1427"/>
            <x v="1430"/>
            <x v="1442"/>
            <x v="1490"/>
            <x v="1492"/>
            <x v="1494"/>
            <x v="1525"/>
            <x v="1528"/>
            <x v="1533"/>
            <x v="1539"/>
            <x v="1542"/>
            <x v="1548"/>
            <x v="1550"/>
            <x v="1553"/>
            <x v="1576"/>
            <x v="1579"/>
            <x v="1618"/>
            <x v="1624"/>
            <x v="1632"/>
            <x v="1664"/>
            <x v="1665"/>
            <x v="1667"/>
            <x v="1682"/>
            <x v="1685"/>
            <x v="1747"/>
            <x v="1759"/>
            <x v="1776"/>
            <x v="1786"/>
            <x v="1803"/>
            <x v="1813"/>
            <x v="1832"/>
            <x v="1837"/>
            <x v="1849"/>
            <x v="1860"/>
            <x v="1861"/>
            <x v="1864"/>
            <x v="1866"/>
            <x v="1872"/>
            <x v="1876"/>
            <x v="1878"/>
            <x v="1882"/>
            <x v="1892"/>
            <x v="1903"/>
            <x v="1927"/>
            <x v="1928"/>
            <x v="1943"/>
            <x v="1960"/>
            <x v="2000"/>
            <x v="2075"/>
            <x v="2094"/>
            <x v="2100"/>
            <x v="2114"/>
            <x v="2119"/>
            <x v="2132"/>
            <x v="2151"/>
            <x v="2176"/>
            <x v="2183"/>
            <x v="2228"/>
            <x v="2229"/>
            <x v="2233"/>
            <x v="2252"/>
            <x v="2254"/>
            <x v="2269"/>
            <x v="2312"/>
            <x v="2315"/>
            <x v="2329"/>
            <x v="2341"/>
            <x v="2352"/>
            <x v="2355"/>
            <x v="2361"/>
            <x v="2379"/>
            <x v="2404"/>
            <x v="2438"/>
            <x v="2452"/>
            <x v="2456"/>
            <x v="2457"/>
            <x v="2482"/>
            <x v="2498"/>
            <x v="2504"/>
            <x v="2514"/>
            <x v="2516"/>
            <x v="2535"/>
            <x v="2575"/>
            <x v="2581"/>
            <x v="2582"/>
            <x v="2585"/>
            <x v="2600"/>
            <x v="2602"/>
            <x v="2624"/>
            <x v="2633"/>
            <x v="2651"/>
            <x v="2672"/>
            <x v="2680"/>
            <x v="2681"/>
            <x v="2690"/>
            <x v="2691"/>
            <x v="2706"/>
            <x v="2711"/>
            <x v="2723"/>
            <x v="2754"/>
            <x v="2756"/>
            <x v="2762"/>
            <x v="2802"/>
            <x v="2804"/>
            <x v="2805"/>
            <x v="2811"/>
            <x v="2829"/>
            <x v="2858"/>
            <x v="2860"/>
            <x v="2863"/>
            <x v="2868"/>
            <x v="2893"/>
            <x v="2929"/>
            <x v="2934"/>
            <x v="2944"/>
            <x v="2957"/>
            <x v="2975"/>
            <x v="2978"/>
            <x v="2990"/>
            <x v="3085"/>
            <x v="3086"/>
            <x v="3088"/>
            <x v="3090"/>
            <x v="3113"/>
            <x v="3119"/>
            <x v="3139"/>
            <x v="3159"/>
            <x v="3160"/>
            <x v="3179"/>
            <x v="3180"/>
            <x v="3186"/>
            <x v="3190"/>
            <x v="3198"/>
            <x v="3199"/>
            <x v="3230"/>
            <x v="3233"/>
            <x v="3236"/>
            <x v="3253"/>
            <x v="3254"/>
            <x v="3259"/>
            <x v="3264"/>
            <x v="3267"/>
            <x v="3271"/>
            <x v="3289"/>
            <x v="3293"/>
            <x v="3300"/>
            <x v="3301"/>
            <x v="3302"/>
            <x v="3311"/>
            <x v="3324"/>
            <x v="3352"/>
            <x v="3358"/>
            <x v="3369"/>
            <x v="3374"/>
            <x v="3389"/>
            <x v="3393"/>
            <x v="3407"/>
            <x v="3408"/>
            <x v="3421"/>
            <x v="3422"/>
            <x v="3424"/>
            <x v="3447"/>
            <x v="3454"/>
            <x v="3485"/>
            <x v="3488"/>
            <x v="3517"/>
            <x v="3519"/>
            <x v="3546"/>
            <x v="3551"/>
            <x v="3566"/>
            <x v="3567"/>
            <x v="3574"/>
            <x v="3582"/>
            <x v="3584"/>
            <x v="3601"/>
            <x v="3637"/>
            <x v="3639"/>
            <x v="3641"/>
            <x v="3643"/>
            <x v="3674"/>
            <x v="3682"/>
            <x v="3693"/>
            <x v="3711"/>
            <x v="3719"/>
            <x v="3721"/>
            <x v="3750"/>
            <x v="3787"/>
            <x v="3808"/>
            <x v="3814"/>
            <x v="3868"/>
            <x v="3898"/>
            <x v="3911"/>
            <x v="3916"/>
            <x v="3920"/>
            <x v="3926"/>
            <x v="3938"/>
            <x v="3963"/>
            <x v="4011"/>
            <x v="4015"/>
            <x v="4059"/>
            <x v="4061"/>
            <x v="4064"/>
            <x v="4073"/>
            <x v="4075"/>
            <x v="4077"/>
            <x v="4089"/>
            <x v="4095"/>
            <x v="4096"/>
            <x v="4101"/>
            <x v="4128"/>
            <x v="4129"/>
            <x v="4136"/>
            <x v="4144"/>
            <x v="4145"/>
            <x v="4146"/>
            <x v="4177"/>
            <x v="4186"/>
            <x v="4200"/>
            <x v="4205"/>
            <x v="4209"/>
            <x v="4217"/>
            <x v="4224"/>
            <x v="4227"/>
            <x v="4247"/>
            <x v="4248"/>
            <x v="4254"/>
            <x v="4265"/>
            <x v="4278"/>
            <x v="4295"/>
            <x v="4300"/>
            <x v="4323"/>
            <x v="4329"/>
            <x v="4334"/>
            <x v="4339"/>
            <x v="4341"/>
            <x v="4348"/>
            <x v="4354"/>
            <x v="4357"/>
            <x v="4385"/>
            <x v="4400"/>
            <x v="4415"/>
            <x v="4426"/>
            <x v="4436"/>
            <x v="4449"/>
            <x v="4473"/>
            <x v="4475"/>
            <x v="4476"/>
            <x v="4488"/>
            <x v="4507"/>
            <x v="4509"/>
            <x v="4512"/>
            <x v="4527"/>
            <x v="4528"/>
            <x v="4537"/>
            <x v="4564"/>
            <x v="4570"/>
            <x v="4580"/>
            <x v="4606"/>
            <x v="4619"/>
            <x v="4632"/>
            <x v="4645"/>
            <x v="4682"/>
            <x v="4702"/>
            <x v="4719"/>
            <x v="4724"/>
            <x v="4739"/>
            <x v="4744"/>
            <x v="4745"/>
            <x v="4749"/>
            <x v="4765"/>
            <x v="4781"/>
            <x v="4793"/>
            <x v="4799"/>
            <x v="4852"/>
            <x v="4856"/>
            <x v="4858"/>
            <x v="4873"/>
            <x v="4874"/>
            <x v="4891"/>
            <x v="4895"/>
            <x v="4898"/>
            <x v="4901"/>
            <x v="4903"/>
            <x v="4917"/>
            <x v="4935"/>
            <x v="4937"/>
            <x v="4943"/>
            <x v="4945"/>
            <x v="4960"/>
            <x v="4979"/>
            <x v="4981"/>
            <x v="4982"/>
            <x v="4986"/>
            <x v="4996"/>
            <x v="5001"/>
            <x v="5002"/>
            <x v="5012"/>
            <x v="5021"/>
            <x v="5022"/>
            <x v="5045"/>
            <x v="5051"/>
            <x v="5056"/>
            <x v="5069"/>
            <x v="5078"/>
            <x v="5090"/>
            <x v="5116"/>
            <x v="5179"/>
            <x v="5185"/>
            <x v="5188"/>
            <x v="5213"/>
            <x v="5221"/>
            <x v="5222"/>
            <x v="5225"/>
            <x v="5233"/>
            <x v="5242"/>
            <x v="5253"/>
            <x v="5292"/>
            <x v="5309"/>
            <x v="5313"/>
            <x v="5323"/>
            <x v="5325"/>
            <x v="5330"/>
            <x v="5331"/>
            <x v="5338"/>
            <x v="5342"/>
            <x v="5356"/>
            <x v="5368"/>
            <x v="5375"/>
            <x v="5397"/>
            <x v="5408"/>
            <x v="5416"/>
            <x v="5421"/>
            <x v="5434"/>
            <x v="5439"/>
            <x v="5449"/>
            <x v="5459"/>
            <x v="5470"/>
            <x v="5488"/>
            <x v="5533"/>
            <x v="5540"/>
            <x v="5564"/>
            <x v="5566"/>
            <x v="5568"/>
            <x v="5574"/>
            <x v="5584"/>
            <x v="5586"/>
            <x v="5595"/>
            <x v="5605"/>
            <x v="5612"/>
            <x v="5622"/>
            <x v="5642"/>
            <x v="5651"/>
            <x v="5654"/>
            <x v="5661"/>
            <x v="5667"/>
            <x v="5668"/>
            <x v="5673"/>
            <x v="5674"/>
            <x v="5701"/>
            <x v="5715"/>
            <x v="5717"/>
            <x v="5722"/>
            <x v="5728"/>
            <x v="5737"/>
            <x v="5758"/>
            <x v="5760"/>
            <x v="5774"/>
            <x v="5794"/>
            <x v="5797"/>
            <x v="5804"/>
            <x v="5811"/>
            <x v="5814"/>
            <x v="5822"/>
            <x v="5837"/>
            <x v="5840"/>
            <x v="5849"/>
            <x v="5852"/>
            <x v="5865"/>
            <x v="5876"/>
            <x v="5878"/>
            <x v="5879"/>
            <x v="5893"/>
            <x v="5900"/>
            <x v="5910"/>
            <x v="5955"/>
            <x v="5959"/>
            <x v="5964"/>
            <x v="5981"/>
            <x v="5990"/>
            <x v="5997"/>
            <x v="5998"/>
            <x v="6006"/>
            <x v="6041"/>
            <x v="6042"/>
            <x v="6043"/>
            <x v="6050"/>
            <x v="6062"/>
            <x v="6122"/>
            <x v="6138"/>
            <x v="6143"/>
            <x v="6144"/>
            <x v="6171"/>
            <x v="6179"/>
            <x v="6188"/>
            <x v="6191"/>
            <x v="6192"/>
            <x v="6197"/>
            <x v="6211"/>
            <x v="6214"/>
            <x v="6232"/>
            <x v="6274"/>
            <x v="6290"/>
            <x v="6293"/>
            <x v="6298"/>
            <x v="6326"/>
            <x v="6339"/>
            <x v="6343"/>
            <x v="6358"/>
            <x v="6370"/>
            <x v="6380"/>
            <x v="6382"/>
            <x v="6390"/>
            <x v="6393"/>
            <x v="6413"/>
            <x v="6418"/>
            <x v="6428"/>
            <x v="6460"/>
            <x v="6473"/>
            <x v="6476"/>
            <x v="6490"/>
            <x v="6492"/>
            <x v="6497"/>
            <x v="6501"/>
            <x v="6503"/>
            <x v="6510"/>
            <x v="6532"/>
            <x v="6534"/>
            <x v="6537"/>
            <x v="6562"/>
            <x v="6571"/>
            <x v="6607"/>
            <x v="6617"/>
            <x v="6618"/>
            <x v="6627"/>
            <x v="6652"/>
            <x v="6660"/>
            <x v="6669"/>
            <x v="6670"/>
            <x v="6713"/>
            <x v="6716"/>
            <x v="6726"/>
            <x v="6736"/>
            <x v="6739"/>
            <x v="6775"/>
            <x v="6784"/>
            <x v="6804"/>
            <x v="6845"/>
            <x v="6849"/>
            <x v="6851"/>
            <x v="6853"/>
            <x v="6875"/>
            <x v="6878"/>
            <x v="6908"/>
            <x v="6916"/>
            <x v="6928"/>
            <x v="6930"/>
            <x v="6935"/>
            <x v="6947"/>
            <x v="6949"/>
            <x v="6973"/>
            <x v="7004"/>
            <x v="7008"/>
            <x v="7016"/>
            <x v="7025"/>
            <x v="7033"/>
            <x v="7048"/>
            <x v="7059"/>
            <x v="7067"/>
            <x v="7068"/>
            <x v="7069"/>
            <x v="7077"/>
            <x v="7095"/>
            <x v="7103"/>
            <x v="7110"/>
            <x v="7132"/>
            <x v="7137"/>
            <x v="7149"/>
            <x v="7152"/>
            <x v="7176"/>
            <x v="7177"/>
            <x v="7180"/>
            <x v="7191"/>
            <x v="7202"/>
            <x v="7215"/>
            <x v="7233"/>
            <x v="7240"/>
            <x v="7292"/>
            <x v="7302"/>
            <x v="7319"/>
            <x v="7346"/>
            <x v="7371"/>
            <x v="7379"/>
            <x v="7380"/>
            <x v="7411"/>
            <x v="7439"/>
            <x v="7464"/>
            <x v="7482"/>
            <x v="7496"/>
            <x v="7499"/>
            <x v="7537"/>
            <x v="7538"/>
            <x v="7544"/>
            <x v="7567"/>
            <x v="7591"/>
            <x v="7595"/>
            <x v="7600"/>
            <x v="7610"/>
            <x v="7611"/>
            <x v="7613"/>
            <x v="7617"/>
            <x v="7626"/>
            <x v="7630"/>
            <x v="7661"/>
            <x v="7683"/>
            <x v="7687"/>
            <x v="7699"/>
            <x v="7714"/>
            <x v="7732"/>
            <x v="7733"/>
            <x v="7734"/>
            <x v="7737"/>
            <x v="7753"/>
            <x v="7760"/>
            <x v="7764"/>
            <x v="7773"/>
            <x v="7778"/>
            <x v="7780"/>
            <x v="7792"/>
            <x v="7824"/>
            <x v="7833"/>
            <x v="7845"/>
            <x v="7856"/>
            <x v="7888"/>
            <x v="7902"/>
            <x v="7919"/>
            <x v="7928"/>
            <x v="7931"/>
            <x v="7995"/>
          </reference>
          <reference field="11" count="2" selected="0">
            <x v="11"/>
            <x v="12"/>
          </reference>
          <reference field="12" count="26" selected="0">
            <x v="0"/>
            <x v="1"/>
            <x v="2"/>
            <x v="3"/>
            <x v="5"/>
            <x v="7"/>
            <x v="9"/>
            <x v="10"/>
            <x v="11"/>
            <x v="12"/>
            <x v="13"/>
            <x v="14"/>
            <x v="15"/>
            <x v="16"/>
            <x v="17"/>
            <x v="19"/>
            <x v="20"/>
            <x v="22"/>
            <x v="23"/>
            <x v="24"/>
            <x v="25"/>
            <x v="26"/>
            <x v="27"/>
            <x v="29"/>
            <x v="30"/>
            <x v="31"/>
          </reference>
          <reference field="14" count="498" selected="0">
            <x v="3"/>
            <x v="4"/>
            <x v="5"/>
            <x v="7"/>
            <x v="8"/>
            <x v="9"/>
            <x v="14"/>
            <x v="16"/>
            <x v="19"/>
            <x v="20"/>
            <x v="21"/>
            <x v="27"/>
            <x v="28"/>
            <x v="29"/>
            <x v="43"/>
            <x v="45"/>
            <x v="48"/>
            <x v="50"/>
            <x v="52"/>
            <x v="57"/>
            <x v="59"/>
            <x v="65"/>
            <x v="68"/>
            <x v="69"/>
            <x v="72"/>
            <x v="75"/>
            <x v="77"/>
            <x v="79"/>
            <x v="82"/>
            <x v="87"/>
            <x v="88"/>
            <x v="95"/>
            <x v="97"/>
            <x v="99"/>
            <x v="100"/>
            <x v="103"/>
            <x v="106"/>
            <x v="107"/>
            <x v="116"/>
            <x v="119"/>
            <x v="125"/>
            <x v="129"/>
            <x v="133"/>
            <x v="135"/>
            <x v="136"/>
            <x v="137"/>
            <x v="144"/>
            <x v="150"/>
            <x v="152"/>
            <x v="153"/>
            <x v="154"/>
            <x v="157"/>
            <x v="161"/>
            <x v="162"/>
            <x v="165"/>
            <x v="168"/>
            <x v="170"/>
            <x v="173"/>
            <x v="179"/>
            <x v="180"/>
            <x v="185"/>
            <x v="188"/>
            <x v="189"/>
            <x v="196"/>
            <x v="197"/>
            <x v="204"/>
            <x v="212"/>
            <x v="217"/>
            <x v="219"/>
            <x v="221"/>
            <x v="223"/>
            <x v="225"/>
            <x v="229"/>
            <x v="232"/>
            <x v="237"/>
            <x v="240"/>
            <x v="241"/>
            <x v="245"/>
            <x v="247"/>
            <x v="248"/>
            <x v="251"/>
            <x v="252"/>
            <x v="254"/>
            <x v="255"/>
            <x v="260"/>
            <x v="263"/>
            <x v="275"/>
            <x v="276"/>
            <x v="277"/>
            <x v="279"/>
            <x v="281"/>
            <x v="282"/>
            <x v="284"/>
            <x v="287"/>
            <x v="288"/>
            <x v="289"/>
            <x v="290"/>
            <x v="291"/>
            <x v="292"/>
            <x v="293"/>
            <x v="294"/>
            <x v="302"/>
            <x v="303"/>
            <x v="308"/>
            <x v="309"/>
            <x v="311"/>
            <x v="317"/>
            <x v="321"/>
            <x v="323"/>
            <x v="324"/>
            <x v="325"/>
            <x v="327"/>
            <x v="330"/>
            <x v="338"/>
            <x v="339"/>
            <x v="343"/>
            <x v="345"/>
            <x v="346"/>
            <x v="348"/>
            <x v="350"/>
            <x v="352"/>
            <x v="355"/>
            <x v="356"/>
            <x v="357"/>
            <x v="359"/>
            <x v="360"/>
            <x v="363"/>
            <x v="364"/>
            <x v="365"/>
            <x v="366"/>
            <x v="367"/>
            <x v="369"/>
            <x v="370"/>
            <x v="373"/>
            <x v="378"/>
            <x v="379"/>
            <x v="383"/>
            <x v="384"/>
            <x v="389"/>
            <x v="390"/>
            <x v="394"/>
            <x v="398"/>
            <x v="402"/>
            <x v="406"/>
            <x v="408"/>
            <x v="410"/>
            <x v="411"/>
            <x v="412"/>
            <x v="416"/>
            <x v="417"/>
            <x v="420"/>
            <x v="423"/>
            <x v="425"/>
            <x v="428"/>
            <x v="429"/>
            <x v="434"/>
            <x v="438"/>
            <x v="442"/>
            <x v="445"/>
            <x v="449"/>
            <x v="450"/>
            <x v="454"/>
            <x v="457"/>
            <x v="463"/>
            <x v="466"/>
            <x v="468"/>
            <x v="472"/>
            <x v="474"/>
            <x v="478"/>
            <x v="480"/>
            <x v="486"/>
            <x v="495"/>
            <x v="498"/>
            <x v="500"/>
            <x v="501"/>
            <x v="502"/>
            <x v="505"/>
            <x v="510"/>
            <x v="514"/>
            <x v="515"/>
            <x v="518"/>
            <x v="525"/>
            <x v="526"/>
            <x v="529"/>
            <x v="530"/>
            <x v="531"/>
            <x v="534"/>
            <x v="535"/>
            <x v="536"/>
            <x v="537"/>
            <x v="538"/>
            <x v="546"/>
            <x v="547"/>
            <x v="552"/>
            <x v="554"/>
            <x v="555"/>
            <x v="556"/>
            <x v="559"/>
            <x v="563"/>
            <x v="564"/>
            <x v="565"/>
            <x v="567"/>
            <x v="570"/>
            <x v="574"/>
            <x v="576"/>
            <x v="577"/>
            <x v="578"/>
            <x v="579"/>
            <x v="580"/>
            <x v="585"/>
            <x v="587"/>
            <x v="591"/>
            <x v="595"/>
            <x v="596"/>
            <x v="599"/>
            <x v="605"/>
            <x v="606"/>
            <x v="610"/>
            <x v="614"/>
            <x v="616"/>
            <x v="618"/>
            <x v="619"/>
            <x v="621"/>
            <x v="623"/>
            <x v="624"/>
            <x v="626"/>
            <x v="627"/>
            <x v="629"/>
            <x v="630"/>
            <x v="631"/>
            <x v="632"/>
            <x v="634"/>
            <x v="635"/>
            <x v="638"/>
            <x v="640"/>
            <x v="641"/>
            <x v="642"/>
            <x v="643"/>
            <x v="644"/>
            <x v="656"/>
            <x v="658"/>
            <x v="666"/>
            <x v="668"/>
            <x v="670"/>
            <x v="671"/>
            <x v="672"/>
            <x v="673"/>
            <x v="676"/>
            <x v="677"/>
            <x v="678"/>
            <x v="679"/>
            <x v="681"/>
            <x v="682"/>
            <x v="684"/>
            <x v="689"/>
            <x v="690"/>
            <x v="692"/>
            <x v="696"/>
            <x v="697"/>
            <x v="698"/>
            <x v="699"/>
            <x v="700"/>
            <x v="702"/>
            <x v="705"/>
            <x v="709"/>
            <x v="711"/>
            <x v="714"/>
            <x v="716"/>
            <x v="718"/>
            <x v="721"/>
            <x v="722"/>
            <x v="723"/>
            <x v="725"/>
            <x v="730"/>
            <x v="731"/>
            <x v="734"/>
            <x v="737"/>
            <x v="739"/>
            <x v="741"/>
            <x v="742"/>
            <x v="743"/>
            <x v="744"/>
            <x v="745"/>
            <x v="746"/>
            <x v="747"/>
            <x v="748"/>
            <x v="750"/>
            <x v="751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6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6"/>
            <x v="787"/>
            <x v="788"/>
            <x v="789"/>
            <x v="790"/>
            <x v="791"/>
            <x v="792"/>
            <x v="794"/>
            <x v="795"/>
            <x v="796"/>
            <x v="797"/>
            <x v="798"/>
            <x v="799"/>
            <x v="800"/>
            <x v="801"/>
            <x v="802"/>
            <x v="803"/>
            <x v="804"/>
            <x v="806"/>
            <x v="807"/>
            <x v="808"/>
            <x v="809"/>
            <x v="810"/>
            <x v="811"/>
            <x v="812"/>
            <x v="813"/>
            <x v="814"/>
            <x v="815"/>
            <x v="817"/>
            <x v="818"/>
            <x v="819"/>
            <x v="821"/>
            <x v="822"/>
            <x v="823"/>
            <x v="824"/>
            <x v="826"/>
            <x v="827"/>
            <x v="828"/>
            <x v="829"/>
            <x v="830"/>
            <x v="831"/>
            <x v="832"/>
            <x v="834"/>
            <x v="835"/>
            <x v="837"/>
            <x v="838"/>
            <x v="839"/>
            <x v="840"/>
            <x v="841"/>
            <x v="842"/>
            <x v="843"/>
            <x v="844"/>
            <x v="845"/>
            <x v="846"/>
            <x v="848"/>
            <x v="849"/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4"/>
            <x v="866"/>
            <x v="867"/>
            <x v="869"/>
            <x v="870"/>
            <x v="871"/>
            <x v="872"/>
            <x v="873"/>
            <x v="874"/>
            <x v="875"/>
            <x v="876"/>
            <x v="877"/>
            <x v="878"/>
            <x v="880"/>
            <x v="881"/>
            <x v="882"/>
            <x v="883"/>
            <x v="886"/>
            <x v="887"/>
            <x v="888"/>
            <x v="890"/>
            <x v="893"/>
            <x v="894"/>
            <x v="895"/>
            <x v="896"/>
            <x v="898"/>
            <x v="899"/>
            <x v="900"/>
            <x v="901"/>
            <x v="902"/>
            <x v="903"/>
            <x v="904"/>
            <x v="905"/>
            <x v="906"/>
            <x v="907"/>
            <x v="908"/>
            <x v="909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6"/>
            <x v="977"/>
            <x v="978"/>
            <x v="979"/>
            <x v="981"/>
            <x v="982"/>
            <x v="984"/>
            <x v="985"/>
            <x v="986"/>
            <x v="987"/>
            <x v="988"/>
            <x v="989"/>
            <x v="992"/>
          </reference>
          <reference field="19" count="0" selected="0"/>
          <reference field="21" count="51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9"/>
            <x v="52"/>
            <x v="53"/>
          </reference>
          <reference field="22" count="7" selected="0">
            <x v="0"/>
            <x v="1"/>
            <x v="2"/>
            <x v="3"/>
            <x v="4"/>
            <x v="5"/>
            <x v="6"/>
          </reference>
          <reference field="24" count="0" selected="0"/>
        </references>
      </pivotArea>
    </format>
    <format dxfId="1064">
      <pivotArea field="3" type="button" dataOnly="0" labelOnly="1" outline="0" axis="axisRow" fieldPosition="0"/>
    </format>
    <format dxfId="1063">
      <pivotArea field="4" type="button" dataOnly="0" labelOnly="1" outline="0" axis="axisRow" fieldPosition="1"/>
    </format>
    <format dxfId="1062">
      <pivotArea field="11" type="button" dataOnly="0" labelOnly="1" outline="0" axis="axisRow" fieldPosition="2"/>
    </format>
    <format dxfId="1061">
      <pivotArea field="14" type="button" dataOnly="0" labelOnly="1" outline="0" axis="axisRow" fieldPosition="3"/>
    </format>
    <format dxfId="1060">
      <pivotArea field="21" type="button" dataOnly="0" labelOnly="1" outline="0" axis="axisRow" fieldPosition="4"/>
    </format>
    <format dxfId="1059">
      <pivotArea field="22" type="button" dataOnly="0" labelOnly="1" outline="0" axis="axisRow" fieldPosition="5"/>
    </format>
    <format dxfId="1058">
      <pivotArea field="12" type="button" dataOnly="0" labelOnly="1" outline="0" axis="axisRow" fieldPosition="6"/>
    </format>
    <format dxfId="1057">
      <pivotArea field="19" type="button" dataOnly="0" labelOnly="1" outline="0" axis="axisRow" fieldPosition="7"/>
    </format>
    <format dxfId="1056">
      <pivotArea field="24" type="button" dataOnly="0" labelOnly="1" outline="0" axis="axisRow" fieldPosition="8"/>
    </format>
    <format dxfId="1055">
      <pivotArea dataOnly="0" labelOnly="1" outline="0" fieldPosition="0">
        <references count="1">
          <reference field="3" count="50">
            <x v="56"/>
            <x v="81"/>
            <x v="104"/>
            <x v="112"/>
            <x v="122"/>
            <x v="136"/>
            <x v="138"/>
            <x v="143"/>
            <x v="149"/>
            <x v="152"/>
            <x v="153"/>
            <x v="155"/>
            <x v="174"/>
            <x v="184"/>
            <x v="189"/>
            <x v="190"/>
            <x v="199"/>
            <x v="203"/>
            <x v="204"/>
            <x v="206"/>
            <x v="215"/>
            <x v="234"/>
            <x v="251"/>
            <x v="253"/>
            <x v="255"/>
            <x v="259"/>
            <x v="261"/>
            <x v="266"/>
            <x v="269"/>
            <x v="276"/>
            <x v="277"/>
            <x v="281"/>
            <x v="292"/>
            <x v="321"/>
            <x v="340"/>
            <x v="356"/>
            <x v="360"/>
            <x v="365"/>
            <x v="375"/>
            <x v="379"/>
            <x v="388"/>
            <x v="396"/>
            <x v="398"/>
            <x v="445"/>
            <x v="458"/>
            <x v="460"/>
            <x v="465"/>
            <x v="477"/>
            <x v="480"/>
            <x v="481"/>
          </reference>
        </references>
      </pivotArea>
    </format>
    <format dxfId="1054">
      <pivotArea dataOnly="0" labelOnly="1" outline="0" fieldPosition="0">
        <references count="1">
          <reference field="3" count="50">
            <x v="492"/>
            <x v="498"/>
            <x v="503"/>
            <x v="512"/>
            <x v="532"/>
            <x v="535"/>
            <x v="539"/>
            <x v="541"/>
            <x v="558"/>
            <x v="582"/>
            <x v="585"/>
            <x v="587"/>
            <x v="597"/>
            <x v="599"/>
            <x v="622"/>
            <x v="624"/>
            <x v="625"/>
            <x v="632"/>
            <x v="638"/>
            <x v="640"/>
            <x v="651"/>
            <x v="656"/>
            <x v="675"/>
            <x v="682"/>
            <x v="683"/>
            <x v="691"/>
            <x v="695"/>
            <x v="697"/>
            <x v="709"/>
            <x v="712"/>
            <x v="715"/>
            <x v="716"/>
            <x v="718"/>
            <x v="721"/>
            <x v="730"/>
            <x v="737"/>
            <x v="743"/>
            <x v="745"/>
            <x v="747"/>
            <x v="749"/>
            <x v="756"/>
            <x v="759"/>
            <x v="774"/>
            <x v="782"/>
            <x v="797"/>
            <x v="808"/>
            <x v="809"/>
            <x v="810"/>
            <x v="839"/>
            <x v="845"/>
          </reference>
        </references>
      </pivotArea>
    </format>
    <format dxfId="1053">
      <pivotArea dataOnly="0" labelOnly="1" outline="0" fieldPosition="0">
        <references count="1">
          <reference field="3" count="50">
            <x v="848"/>
            <x v="850"/>
            <x v="873"/>
            <x v="881"/>
            <x v="884"/>
            <x v="913"/>
            <x v="945"/>
            <x v="948"/>
            <x v="949"/>
            <x v="971"/>
            <x v="972"/>
            <x v="978"/>
            <x v="982"/>
            <x v="997"/>
            <x v="1003"/>
            <x v="1011"/>
            <x v="1018"/>
            <x v="1020"/>
            <x v="1032"/>
            <x v="1035"/>
            <x v="1038"/>
            <x v="1040"/>
            <x v="1055"/>
            <x v="1056"/>
            <x v="1066"/>
            <x v="1069"/>
            <x v="1075"/>
            <x v="1077"/>
            <x v="1080"/>
            <x v="1088"/>
            <x v="1092"/>
            <x v="1099"/>
            <x v="1113"/>
            <x v="1129"/>
            <x v="1141"/>
            <x v="1144"/>
            <x v="1167"/>
            <x v="1168"/>
            <x v="1189"/>
            <x v="1196"/>
            <x v="1198"/>
            <x v="1204"/>
            <x v="1210"/>
            <x v="1222"/>
            <x v="1226"/>
            <x v="1242"/>
            <x v="1247"/>
            <x v="1261"/>
            <x v="1262"/>
            <x v="1285"/>
          </reference>
        </references>
      </pivotArea>
    </format>
    <format dxfId="1052">
      <pivotArea dataOnly="0" labelOnly="1" outline="0" fieldPosition="0">
        <references count="1">
          <reference field="3" count="48">
            <x v="1288"/>
            <x v="1291"/>
            <x v="1306"/>
            <x v="1318"/>
            <x v="1343"/>
            <x v="1353"/>
            <x v="1355"/>
            <x v="1383"/>
            <x v="1388"/>
            <x v="1391"/>
            <x v="1398"/>
            <x v="1415"/>
            <x v="1418"/>
            <x v="1423"/>
            <x v="1427"/>
            <x v="1431"/>
            <x v="1435"/>
            <x v="1449"/>
            <x v="1452"/>
            <x v="1482"/>
            <x v="1493"/>
            <x v="1501"/>
            <x v="1509"/>
            <x v="1511"/>
            <x v="1512"/>
            <x v="1514"/>
            <x v="1515"/>
            <x v="1534"/>
            <x v="1545"/>
            <x v="1564"/>
            <x v="1619"/>
            <x v="1626"/>
            <x v="1645"/>
            <x v="1647"/>
            <x v="1677"/>
            <x v="1678"/>
            <x v="1687"/>
            <x v="1699"/>
            <x v="1701"/>
            <x v="1704"/>
            <x v="1712"/>
            <x v="1715"/>
            <x v="1717"/>
            <x v="1718"/>
            <x v="1720"/>
            <x v="1725"/>
            <x v="1729"/>
            <x v="1738"/>
          </reference>
        </references>
      </pivotArea>
    </format>
    <format dxfId="1051">
      <pivotArea dataOnly="0" labelOnly="1" outline="0" fieldPosition="0">
        <references count="1">
          <reference field="3" count="1">
            <x v="1741"/>
          </reference>
        </references>
      </pivotArea>
    </format>
    <format dxfId="1050">
      <pivotArea dataOnly="0" labelOnly="1" outline="0" fieldPosition="0">
        <references count="1">
          <reference field="3" count="1">
            <x v="1746"/>
          </reference>
        </references>
      </pivotArea>
    </format>
    <format dxfId="1049">
      <pivotArea dataOnly="0" labelOnly="1" outline="0" fieldPosition="0">
        <references count="1">
          <reference field="3" count="3">
            <x v="1747"/>
            <x v="1748"/>
            <x v="1750"/>
          </reference>
        </references>
      </pivotArea>
    </format>
    <format dxfId="1048">
      <pivotArea dataOnly="0" labelOnly="1" outline="0" fieldPosition="0">
        <references count="1">
          <reference field="3" count="1">
            <x v="1753"/>
          </reference>
        </references>
      </pivotArea>
    </format>
    <format dxfId="1047">
      <pivotArea dataOnly="0" labelOnly="1" outline="0" fieldPosition="0">
        <references count="1">
          <reference field="3" count="1">
            <x v="1758"/>
          </reference>
        </references>
      </pivotArea>
    </format>
    <format dxfId="1046">
      <pivotArea dataOnly="0" labelOnly="1" outline="0" fieldPosition="0">
        <references count="1">
          <reference field="3" count="1">
            <x v="1761"/>
          </reference>
        </references>
      </pivotArea>
    </format>
    <format dxfId="1045">
      <pivotArea dataOnly="0" labelOnly="1" outline="0" fieldPosition="0">
        <references count="1">
          <reference field="3" count="3">
            <x v="1765"/>
            <x v="1767"/>
            <x v="1771"/>
          </reference>
        </references>
      </pivotArea>
    </format>
    <format dxfId="1044">
      <pivotArea dataOnly="0" labelOnly="1" outline="0" fieldPosition="0">
        <references count="1">
          <reference field="3" count="6">
            <x v="1783"/>
            <x v="1784"/>
            <x v="1785"/>
            <x v="1786"/>
            <x v="1789"/>
            <x v="1790"/>
          </reference>
        </references>
      </pivotArea>
    </format>
    <format dxfId="1043">
      <pivotArea dataOnly="0" labelOnly="1" outline="0" fieldPosition="0">
        <references count="1">
          <reference field="3" count="11">
            <x v="1799"/>
            <x v="1804"/>
            <x v="1811"/>
            <x v="1812"/>
            <x v="1827"/>
            <x v="1838"/>
            <x v="1840"/>
            <x v="1851"/>
            <x v="1853"/>
            <x v="1871"/>
            <x v="1875"/>
          </reference>
        </references>
      </pivotArea>
    </format>
    <format dxfId="1042">
      <pivotArea dataOnly="0" labelOnly="1" outline="0" fieldPosition="0">
        <references count="1">
          <reference field="3" count="12">
            <x v="1889"/>
            <x v="1890"/>
            <x v="1894"/>
            <x v="1895"/>
            <x v="1902"/>
            <x v="1903"/>
            <x v="1905"/>
            <x v="1906"/>
            <x v="1911"/>
            <x v="1916"/>
            <x v="1917"/>
            <x v="1918"/>
          </reference>
        </references>
      </pivotArea>
    </format>
    <format dxfId="1041">
      <pivotArea dataOnly="0" labelOnly="1" outline="0" fieldPosition="0">
        <references count="1">
          <reference field="3" count="9">
            <x v="1937"/>
            <x v="1946"/>
            <x v="1947"/>
            <x v="1949"/>
            <x v="1950"/>
            <x v="1951"/>
            <x v="1963"/>
            <x v="1964"/>
            <x v="1971"/>
          </reference>
        </references>
      </pivotArea>
    </format>
    <format dxfId="1040">
      <pivotArea dataOnly="0" labelOnly="1" outline="0" fieldPosition="0">
        <references count="1">
          <reference field="3" count="12">
            <x v="1983"/>
            <x v="1990"/>
            <x v="2010"/>
            <x v="2024"/>
            <x v="2040"/>
            <x v="2048"/>
            <x v="2049"/>
            <x v="2051"/>
            <x v="2066"/>
            <x v="2069"/>
            <x v="2072"/>
            <x v="2075"/>
          </reference>
        </references>
      </pivotArea>
    </format>
    <format dxfId="1039">
      <pivotArea dataOnly="0" labelOnly="1" outline="0" fieldPosition="0">
        <references count="1">
          <reference field="3" count="5">
            <x v="2081"/>
            <x v="2085"/>
            <x v="2089"/>
            <x v="2097"/>
            <x v="2101"/>
          </reference>
        </references>
      </pivotArea>
    </format>
    <format dxfId="1038">
      <pivotArea dataOnly="0" labelOnly="1" outline="0" fieldPosition="0">
        <references count="1">
          <reference field="3" count="3">
            <x v="2104"/>
            <x v="2105"/>
            <x v="2106"/>
          </reference>
        </references>
      </pivotArea>
    </format>
    <format dxfId="1037">
      <pivotArea dataOnly="0" labelOnly="1" outline="0" fieldPosition="0">
        <references count="1">
          <reference field="3" count="18">
            <x v="2112"/>
            <x v="2118"/>
            <x v="2120"/>
            <x v="2122"/>
            <x v="2127"/>
            <x v="2137"/>
            <x v="2144"/>
            <x v="2163"/>
            <x v="2171"/>
            <x v="2173"/>
            <x v="2174"/>
            <x v="2178"/>
            <x v="2181"/>
            <x v="2182"/>
            <x v="2183"/>
            <x v="2185"/>
            <x v="2193"/>
            <x v="2194"/>
          </reference>
        </references>
      </pivotArea>
    </format>
    <format dxfId="1036">
      <pivotArea dataOnly="0" labelOnly="1" outline="0" fieldPosition="0">
        <references count="1">
          <reference field="3" count="6">
            <x v="2196"/>
            <x v="2197"/>
            <x v="2201"/>
            <x v="2205"/>
            <x v="2210"/>
            <x v="2222"/>
          </reference>
        </references>
      </pivotArea>
    </format>
    <format dxfId="1035">
      <pivotArea dataOnly="0" labelOnly="1" outline="0" fieldPosition="0">
        <references count="1">
          <reference field="3" count="13">
            <x v="2227"/>
            <x v="2232"/>
            <x v="2234"/>
            <x v="2235"/>
            <x v="2236"/>
            <x v="2243"/>
            <x v="2251"/>
            <x v="2259"/>
            <x v="2261"/>
            <x v="2264"/>
            <x v="2266"/>
            <x v="2268"/>
            <x v="2269"/>
          </reference>
        </references>
      </pivotArea>
    </format>
    <format dxfId="1034">
      <pivotArea dataOnly="0" labelOnly="1" outline="0" fieldPosition="0">
        <references count="2">
          <reference field="3" count="1" selected="0">
            <x v="56"/>
          </reference>
          <reference field="4" count="1">
            <x v="743"/>
          </reference>
        </references>
      </pivotArea>
    </format>
    <format dxfId="1033">
      <pivotArea dataOnly="0" labelOnly="1" outline="0" fieldPosition="0">
        <references count="2">
          <reference field="3" count="1" selected="0">
            <x v="81"/>
          </reference>
          <reference field="4" count="1">
            <x v="7610"/>
          </reference>
        </references>
      </pivotArea>
    </format>
    <format dxfId="1032">
      <pivotArea dataOnly="0" labelOnly="1" outline="0" fieldPosition="0">
        <references count="2">
          <reference field="3" count="1" selected="0">
            <x v="112"/>
          </reference>
          <reference field="4" count="1">
            <x v="2075"/>
          </reference>
        </references>
      </pivotArea>
    </format>
    <format dxfId="1031">
      <pivotArea dataOnly="0" labelOnly="1" outline="0" fieldPosition="0">
        <references count="2">
          <reference field="3" count="1" selected="0">
            <x v="122"/>
          </reference>
          <reference field="4" count="1">
            <x v="5331"/>
          </reference>
        </references>
      </pivotArea>
    </format>
    <format dxfId="1030">
      <pivotArea dataOnly="0" labelOnly="1" outline="0" fieldPosition="0">
        <references count="2">
          <reference field="3" count="1" selected="0">
            <x v="152"/>
          </reference>
          <reference field="4" count="1">
            <x v="4449"/>
          </reference>
        </references>
      </pivotArea>
    </format>
    <format dxfId="1029">
      <pivotArea dataOnly="0" labelOnly="1" outline="0" fieldPosition="0">
        <references count="2">
          <reference field="3" count="1" selected="0">
            <x v="153"/>
          </reference>
          <reference field="4" count="1">
            <x v="4205"/>
          </reference>
        </references>
      </pivotArea>
    </format>
    <format dxfId="1028">
      <pivotArea dataOnly="0" labelOnly="1" outline="0" fieldPosition="0">
        <references count="2">
          <reference field="3" count="1" selected="0">
            <x v="174"/>
          </reference>
          <reference field="4" count="1">
            <x v="7069"/>
          </reference>
        </references>
      </pivotArea>
    </format>
    <format dxfId="1027">
      <pivotArea dataOnly="0" labelOnly="1" outline="0" fieldPosition="0">
        <references count="2">
          <reference field="3" count="1" selected="0">
            <x v="189"/>
          </reference>
          <reference field="4" count="1">
            <x v="7661"/>
          </reference>
        </references>
      </pivotArea>
    </format>
    <format dxfId="1026">
      <pivotArea dataOnly="0" labelOnly="1" outline="0" fieldPosition="0">
        <references count="2">
          <reference field="3" count="1" selected="0">
            <x v="190"/>
          </reference>
          <reference field="4" count="1">
            <x v="3551"/>
          </reference>
        </references>
      </pivotArea>
    </format>
    <format dxfId="1025">
      <pivotArea dataOnly="0" labelOnly="1" outline="0" fieldPosition="0">
        <references count="2">
          <reference field="3" count="1" selected="0">
            <x v="199"/>
          </reference>
          <reference field="4" count="1">
            <x v="4077"/>
          </reference>
        </references>
      </pivotArea>
    </format>
    <format dxfId="1024">
      <pivotArea dataOnly="0" labelOnly="1" outline="0" fieldPosition="0">
        <references count="2">
          <reference field="3" count="1" selected="0">
            <x v="204"/>
          </reference>
          <reference field="4" count="1">
            <x v="618"/>
          </reference>
        </references>
      </pivotArea>
    </format>
    <format dxfId="1023">
      <pivotArea dataOnly="0" labelOnly="1" outline="0" fieldPosition="0">
        <references count="2">
          <reference field="3" count="1" selected="0">
            <x v="206"/>
          </reference>
          <reference field="4" count="1">
            <x v="6497"/>
          </reference>
        </references>
      </pivotArea>
    </format>
    <format dxfId="1022">
      <pivotArea dataOnly="0" labelOnly="1" outline="0" fieldPosition="0">
        <references count="2">
          <reference field="3" count="1" selected="0">
            <x v="234"/>
          </reference>
          <reference field="4" count="1">
            <x v="231"/>
          </reference>
        </references>
      </pivotArea>
    </format>
    <format dxfId="1021">
      <pivotArea dataOnly="0" labelOnly="1" outline="0" fieldPosition="0">
        <references count="2">
          <reference field="3" count="1" selected="0">
            <x v="251"/>
          </reference>
          <reference field="4" count="1">
            <x v="4095"/>
          </reference>
        </references>
      </pivotArea>
    </format>
    <format dxfId="1020">
      <pivotArea dataOnly="0" labelOnly="1" outline="0" fieldPosition="0">
        <references count="2">
          <reference field="3" count="1" selected="0">
            <x v="253"/>
          </reference>
          <reference field="4" count="1">
            <x v="6532"/>
          </reference>
        </references>
      </pivotArea>
    </format>
    <format dxfId="1019">
      <pivotArea dataOnly="0" labelOnly="1" outline="0" fieldPosition="0">
        <references count="2">
          <reference field="3" count="1" selected="0">
            <x v="259"/>
          </reference>
          <reference field="4" count="1">
            <x v="5021"/>
          </reference>
        </references>
      </pivotArea>
    </format>
    <format dxfId="1018">
      <pivotArea dataOnly="0" labelOnly="1" outline="0" fieldPosition="0">
        <references count="2">
          <reference field="3" count="1" selected="0">
            <x v="269"/>
          </reference>
          <reference field="4" count="1">
            <x v="7152"/>
          </reference>
        </references>
      </pivotArea>
    </format>
    <format dxfId="1017">
      <pivotArea dataOnly="0" labelOnly="1" outline="0" fieldPosition="0">
        <references count="2">
          <reference field="3" count="1" selected="0">
            <x v="276"/>
          </reference>
          <reference field="4" count="1">
            <x v="7931"/>
          </reference>
        </references>
      </pivotArea>
    </format>
    <format dxfId="1016">
      <pivotArea dataOnly="0" labelOnly="1" outline="0" fieldPosition="0">
        <references count="2">
          <reference field="3" count="1" selected="0">
            <x v="292"/>
          </reference>
          <reference field="4" count="1">
            <x v="2680"/>
          </reference>
        </references>
      </pivotArea>
    </format>
    <format dxfId="1015">
      <pivotArea dataOnly="0" labelOnly="1" outline="0" fieldPosition="0">
        <references count="2">
          <reference field="3" count="1" selected="0">
            <x v="356"/>
          </reference>
          <reference field="4" count="1">
            <x v="4512"/>
          </reference>
        </references>
      </pivotArea>
    </format>
    <format dxfId="1014">
      <pivotArea dataOnly="0" labelOnly="1" outline="0" fieldPosition="0">
        <references count="2">
          <reference field="3" count="1" selected="0">
            <x v="360"/>
          </reference>
          <reference field="4" count="1">
            <x v="7714"/>
          </reference>
        </references>
      </pivotArea>
    </format>
    <format dxfId="1013">
      <pivotArea dataOnly="0" labelOnly="1" outline="0" fieldPosition="0">
        <references count="2">
          <reference field="3" count="1" selected="0">
            <x v="375"/>
          </reference>
          <reference field="4" count="1">
            <x v="5837"/>
          </reference>
        </references>
      </pivotArea>
    </format>
    <format dxfId="1012">
      <pivotArea dataOnly="0" labelOnly="1" outline="0" fieldPosition="0">
        <references count="2">
          <reference field="3" count="1" selected="0">
            <x v="379"/>
          </reference>
          <reference field="4" count="1">
            <x v="3926"/>
          </reference>
        </references>
      </pivotArea>
    </format>
    <format dxfId="1011">
      <pivotArea dataOnly="0" labelOnly="1" outline="0" fieldPosition="0">
        <references count="2">
          <reference field="3" count="1" selected="0">
            <x v="388"/>
          </reference>
          <reference field="4" count="1">
            <x v="1359"/>
          </reference>
        </references>
      </pivotArea>
    </format>
    <format dxfId="1010">
      <pivotArea dataOnly="0" labelOnly="1" outline="0" fieldPosition="0">
        <references count="2">
          <reference field="3" count="1" selected="0">
            <x v="398"/>
          </reference>
          <reference field="4" count="1">
            <x v="3374"/>
          </reference>
        </references>
      </pivotArea>
    </format>
    <format dxfId="1009">
      <pivotArea dataOnly="0" labelOnly="1" outline="0" fieldPosition="0">
        <references count="2">
          <reference field="3" count="1" selected="0">
            <x v="458"/>
          </reference>
          <reference field="4" count="1">
            <x v="4334"/>
          </reference>
        </references>
      </pivotArea>
    </format>
    <format dxfId="1008">
      <pivotArea dataOnly="0" labelOnly="1" outline="0" fieldPosition="0">
        <references count="2">
          <reference field="3" count="1" selected="0">
            <x v="460"/>
          </reference>
          <reference field="4" count="1">
            <x v="4064"/>
          </reference>
        </references>
      </pivotArea>
    </format>
    <format dxfId="1007">
      <pivotArea dataOnly="0" labelOnly="1" outline="0" fieldPosition="0">
        <references count="2">
          <reference field="3" count="1" selected="0">
            <x v="477"/>
          </reference>
          <reference field="4" count="1">
            <x v="1442"/>
          </reference>
        </references>
      </pivotArea>
    </format>
    <format dxfId="1006">
      <pivotArea dataOnly="0" labelOnly="1" outline="0" fieldPosition="0">
        <references count="2">
          <reference field="3" count="1" selected="0">
            <x v="480"/>
          </reference>
          <reference field="4" count="1">
            <x v="1050"/>
          </reference>
        </references>
      </pivotArea>
    </format>
    <format dxfId="1005">
      <pivotArea dataOnly="0" labelOnly="1" outline="0" fieldPosition="0">
        <references count="2">
          <reference field="3" count="1" selected="0">
            <x v="481"/>
          </reference>
          <reference field="4" count="1">
            <x v="6290"/>
          </reference>
        </references>
      </pivotArea>
    </format>
    <format dxfId="1004">
      <pivotArea dataOnly="0" labelOnly="1" outline="0" fieldPosition="0">
        <references count="2">
          <reference field="3" count="1" selected="0">
            <x v="492"/>
          </reference>
          <reference field="4" count="1">
            <x v="11"/>
          </reference>
        </references>
      </pivotArea>
    </format>
    <format dxfId="1003">
      <pivotArea dataOnly="0" labelOnly="1" outline="0" fieldPosition="0">
        <references count="2">
          <reference field="3" count="1" selected="0">
            <x v="503"/>
          </reference>
          <reference field="4" count="1">
            <x v="1492"/>
          </reference>
        </references>
      </pivotArea>
    </format>
    <format dxfId="1002">
      <pivotArea dataOnly="0" labelOnly="1" outline="0" fieldPosition="0">
        <references count="2">
          <reference field="3" count="1" selected="0">
            <x v="535"/>
          </reference>
          <reference field="4" count="1">
            <x v="553"/>
          </reference>
        </references>
      </pivotArea>
    </format>
    <format dxfId="1001">
      <pivotArea dataOnly="0" labelOnly="1" outline="0" fieldPosition="0">
        <references count="2">
          <reference field="3" count="1" selected="0">
            <x v="541"/>
          </reference>
          <reference field="4" count="1">
            <x v="7595"/>
          </reference>
        </references>
      </pivotArea>
    </format>
    <format dxfId="1000">
      <pivotArea dataOnly="0" labelOnly="1" outline="0" fieldPosition="0">
        <references count="2">
          <reference field="3" count="1" selected="0">
            <x v="558"/>
          </reference>
          <reference field="4" count="1">
            <x v="4323"/>
          </reference>
        </references>
      </pivotArea>
    </format>
    <format dxfId="999">
      <pivotArea dataOnly="0" labelOnly="1" outline="0" fieldPosition="0">
        <references count="2">
          <reference field="3" count="1" selected="0">
            <x v="587"/>
          </reference>
          <reference field="4" count="1">
            <x v="5225"/>
          </reference>
        </references>
      </pivotArea>
    </format>
    <format dxfId="998">
      <pivotArea dataOnly="0" labelOnly="1" outline="0" fieldPosition="0">
        <references count="2">
          <reference field="3" count="1" selected="0">
            <x v="599"/>
          </reference>
          <reference field="4" count="1">
            <x v="7760"/>
          </reference>
        </references>
      </pivotArea>
    </format>
    <format dxfId="997">
      <pivotArea dataOnly="0" labelOnly="1" outline="0" fieldPosition="0">
        <references count="2">
          <reference field="3" count="1" selected="0">
            <x v="622"/>
          </reference>
          <reference field="4" count="1">
            <x v="1430"/>
          </reference>
        </references>
      </pivotArea>
    </format>
    <format dxfId="996">
      <pivotArea dataOnly="0" labelOnly="1" outline="0" fieldPosition="0">
        <references count="2">
          <reference field="3" count="1" selected="0">
            <x v="625"/>
          </reference>
          <reference field="4" count="1">
            <x v="5737"/>
          </reference>
        </references>
      </pivotArea>
    </format>
    <format dxfId="995">
      <pivotArea dataOnly="0" labelOnly="1" outline="0" fieldPosition="0">
        <references count="2">
          <reference field="3" count="1" selected="0">
            <x v="683"/>
          </reference>
          <reference field="4" count="1">
            <x v="4580"/>
          </reference>
        </references>
      </pivotArea>
    </format>
    <format dxfId="994">
      <pivotArea dataOnly="0" labelOnly="1" outline="0" fieldPosition="0">
        <references count="2">
          <reference field="3" count="1" selected="0">
            <x v="695"/>
          </reference>
          <reference field="4" count="1">
            <x v="5188"/>
          </reference>
        </references>
      </pivotArea>
    </format>
    <format dxfId="993">
      <pivotArea dataOnly="0" labelOnly="1" outline="0" fieldPosition="0">
        <references count="2">
          <reference field="3" count="1" selected="0">
            <x v="709"/>
          </reference>
          <reference field="4" count="1">
            <x v="4898"/>
          </reference>
        </references>
      </pivotArea>
    </format>
    <format dxfId="992">
      <pivotArea dataOnly="0" labelOnly="1" outline="0" fieldPosition="0">
        <references count="2">
          <reference field="3" count="1" selected="0">
            <x v="718"/>
          </reference>
          <reference field="4" count="1">
            <x v="92"/>
          </reference>
        </references>
      </pivotArea>
    </format>
    <format dxfId="991">
      <pivotArea dataOnly="0" labelOnly="1" outline="0" fieldPosition="0">
        <references count="2">
          <reference field="3" count="1" selected="0">
            <x v="730"/>
          </reference>
          <reference field="4" count="1">
            <x v="6875"/>
          </reference>
        </references>
      </pivotArea>
    </format>
    <format dxfId="990">
      <pivotArea dataOnly="0" labelOnly="1" outline="0" fieldPosition="0">
        <references count="2">
          <reference field="3" count="1" selected="0">
            <x v="745"/>
          </reference>
          <reference field="4" count="1">
            <x v="6562"/>
          </reference>
        </references>
      </pivotArea>
    </format>
    <format dxfId="989">
      <pivotArea dataOnly="0" labelOnly="1" outline="0" fieldPosition="0">
        <references count="2">
          <reference field="3" count="1" selected="0">
            <x v="756"/>
          </reference>
          <reference field="4" count="1">
            <x v="4061"/>
          </reference>
        </references>
      </pivotArea>
    </format>
    <format dxfId="988">
      <pivotArea dataOnly="0" labelOnly="1" outline="0" fieldPosition="0">
        <references count="2">
          <reference field="3" count="1" selected="0">
            <x v="759"/>
          </reference>
          <reference field="4" count="1">
            <x v="805"/>
          </reference>
        </references>
      </pivotArea>
    </format>
    <format dxfId="987">
      <pivotArea dataOnly="0" labelOnly="1" outline="0" fieldPosition="0">
        <references count="2">
          <reference field="3" count="1" selected="0">
            <x v="774"/>
          </reference>
          <reference field="4" count="1">
            <x v="2379"/>
          </reference>
        </references>
      </pivotArea>
    </format>
    <format dxfId="986">
      <pivotArea dataOnly="0" labelOnly="1" outline="0" fieldPosition="0">
        <references count="2">
          <reference field="3" count="1" selected="0">
            <x v="782"/>
          </reference>
          <reference field="4" count="1">
            <x v="1293"/>
          </reference>
        </references>
      </pivotArea>
    </format>
    <format dxfId="985">
      <pivotArea dataOnly="0" labelOnly="1" outline="0" fieldPosition="0">
        <references count="2">
          <reference field="3" count="1" selected="0">
            <x v="809"/>
          </reference>
          <reference field="4" count="1">
            <x v="6775"/>
          </reference>
        </references>
      </pivotArea>
    </format>
    <format dxfId="984">
      <pivotArea dataOnly="0" labelOnly="1" outline="0" fieldPosition="0">
        <references count="2">
          <reference field="3" count="1" selected="0">
            <x v="839"/>
          </reference>
          <reference field="4" count="1">
            <x v="7371"/>
          </reference>
        </references>
      </pivotArea>
    </format>
    <format dxfId="983">
      <pivotArea dataOnly="0" labelOnly="1" outline="0" fieldPosition="0">
        <references count="2">
          <reference field="3" count="1" selected="0">
            <x v="850"/>
          </reference>
          <reference field="4" count="1">
            <x v="1239"/>
          </reference>
        </references>
      </pivotArea>
    </format>
    <format dxfId="982">
      <pivotArea dataOnly="0" labelOnly="1" outline="0" fieldPosition="0">
        <references count="2">
          <reference field="3" count="1" selected="0">
            <x v="873"/>
          </reference>
          <reference field="4" count="1">
            <x v="6413"/>
          </reference>
        </references>
      </pivotArea>
    </format>
    <format dxfId="981">
      <pivotArea dataOnly="0" labelOnly="1" outline="0" fieldPosition="0">
        <references count="2">
          <reference field="3" count="1" selected="0">
            <x v="881"/>
          </reference>
          <reference field="4" count="1">
            <x v="2711"/>
          </reference>
        </references>
      </pivotArea>
    </format>
    <format dxfId="980">
      <pivotArea dataOnly="0" labelOnly="1" outline="0" fieldPosition="0">
        <references count="2">
          <reference field="3" count="1" selected="0">
            <x v="884"/>
          </reference>
          <reference field="4" count="1">
            <x v="6627"/>
          </reference>
        </references>
      </pivotArea>
    </format>
    <format dxfId="979">
      <pivotArea dataOnly="0" labelOnly="1" outline="0" fieldPosition="0">
        <references count="2">
          <reference field="3" count="1" selected="0">
            <x v="913"/>
          </reference>
          <reference field="4" count="1">
            <x v="5242"/>
          </reference>
        </references>
      </pivotArea>
    </format>
    <format dxfId="978">
      <pivotArea dataOnly="0" labelOnly="1" outline="0" fieldPosition="0">
        <references count="2">
          <reference field="3" count="1" selected="0">
            <x v="948"/>
          </reference>
          <reference field="4" count="1">
            <x v="1294"/>
          </reference>
        </references>
      </pivotArea>
    </format>
    <format dxfId="977">
      <pivotArea dataOnly="0" labelOnly="1" outline="0" fieldPosition="0">
        <references count="2">
          <reference field="3" count="1" selected="0">
            <x v="971"/>
          </reference>
          <reference field="4" count="1">
            <x v="3574"/>
          </reference>
        </references>
      </pivotArea>
    </format>
    <format dxfId="976">
      <pivotArea dataOnly="0" labelOnly="1" outline="0" fieldPosition="0">
        <references count="2">
          <reference field="3" count="1" selected="0">
            <x v="997"/>
          </reference>
          <reference field="4" count="1">
            <x v="1759"/>
          </reference>
        </references>
      </pivotArea>
    </format>
    <format dxfId="975">
      <pivotArea dataOnly="0" labelOnly="1" outline="0" fieldPosition="0">
        <references count="2">
          <reference field="3" count="1" selected="0">
            <x v="1003"/>
          </reference>
          <reference field="4" count="1">
            <x v="961"/>
          </reference>
        </references>
      </pivotArea>
    </format>
    <format dxfId="974">
      <pivotArea dataOnly="0" labelOnly="1" outline="0" fieldPosition="0">
        <references count="2">
          <reference field="3" count="1" selected="0">
            <x v="1011"/>
          </reference>
          <reference field="4" count="1">
            <x v="5221"/>
          </reference>
        </references>
      </pivotArea>
    </format>
    <format dxfId="973">
      <pivotArea dataOnly="0" labelOnly="1" outline="0" fieldPosition="0">
        <references count="2">
          <reference field="3" count="1" selected="0">
            <x v="1020"/>
          </reference>
          <reference field="4" count="1">
            <x v="7538"/>
          </reference>
        </references>
      </pivotArea>
    </format>
    <format dxfId="972">
      <pivotArea dataOnly="0" labelOnly="1" outline="0" fieldPosition="0">
        <references count="2">
          <reference field="3" count="1" selected="0">
            <x v="1038"/>
          </reference>
          <reference field="4" count="1">
            <x v="5758"/>
          </reference>
        </references>
      </pivotArea>
    </format>
    <format dxfId="971">
      <pivotArea dataOnly="0" labelOnly="1" outline="0" fieldPosition="0">
        <references count="2">
          <reference field="3" count="1" selected="0">
            <x v="1040"/>
          </reference>
          <reference field="4" count="1">
            <x v="868"/>
          </reference>
        </references>
      </pivotArea>
    </format>
    <format dxfId="970">
      <pivotArea dataOnly="0" labelOnly="1" outline="0" fieldPosition="0">
        <references count="2">
          <reference field="3" count="1" selected="0">
            <x v="1066"/>
          </reference>
          <reference field="4" count="1">
            <x v="109"/>
          </reference>
        </references>
      </pivotArea>
    </format>
    <format dxfId="969">
      <pivotArea dataOnly="0" labelOnly="1" outline="0" fieldPosition="0">
        <references count="2">
          <reference field="3" count="1" selected="0">
            <x v="1069"/>
          </reference>
          <reference field="4" count="1">
            <x v="3787"/>
          </reference>
        </references>
      </pivotArea>
    </format>
    <format dxfId="968">
      <pivotArea dataOnly="0" labelOnly="1" outline="0" fieldPosition="0">
        <references count="2">
          <reference field="3" count="1" selected="0">
            <x v="1077"/>
          </reference>
          <reference field="4" count="1">
            <x v="6845"/>
          </reference>
        </references>
      </pivotArea>
    </format>
    <format dxfId="967">
      <pivotArea dataOnly="0" labelOnly="1" outline="0" fieldPosition="0">
        <references count="2">
          <reference field="3" count="1" selected="0">
            <x v="1113"/>
          </reference>
          <reference field="4" count="1">
            <x v="112"/>
          </reference>
        </references>
      </pivotArea>
    </format>
    <format dxfId="966">
      <pivotArea dataOnly="0" labelOnly="1" outline="0" fieldPosition="0">
        <references count="2">
          <reference field="3" count="1" selected="0">
            <x v="1129"/>
          </reference>
          <reference field="4" count="1">
            <x v="1803"/>
          </reference>
        </references>
      </pivotArea>
    </format>
    <format dxfId="965">
      <pivotArea dataOnly="0" labelOnly="1" outline="0" fieldPosition="0">
        <references count="2">
          <reference field="3" count="1" selected="0">
            <x v="1141"/>
          </reference>
          <reference field="4" count="1">
            <x v="962"/>
          </reference>
        </references>
      </pivotArea>
    </format>
    <format dxfId="964">
      <pivotArea dataOnly="0" labelOnly="1" outline="0" fieldPosition="0">
        <references count="2">
          <reference field="3" count="1" selected="0">
            <x v="1144"/>
          </reference>
          <reference field="4" count="1">
            <x v="4719"/>
          </reference>
        </references>
      </pivotArea>
    </format>
    <format dxfId="963">
      <pivotArea dataOnly="0" labelOnly="1" outline="0" fieldPosition="0">
        <references count="2">
          <reference field="3" count="1" selected="0">
            <x v="1167"/>
          </reference>
          <reference field="4" count="1">
            <x v="6179"/>
          </reference>
        </references>
      </pivotArea>
    </format>
    <format dxfId="962">
      <pivotArea dataOnly="0" labelOnly="1" outline="0" fieldPosition="0">
        <references count="2">
          <reference field="3" count="1" selected="0">
            <x v="1189"/>
          </reference>
          <reference field="4" count="1">
            <x v="3938"/>
          </reference>
        </references>
      </pivotArea>
    </format>
    <format dxfId="961">
      <pivotArea dataOnly="0" labelOnly="1" outline="0" fieldPosition="0">
        <references count="2">
          <reference field="3" count="1" selected="0">
            <x v="1196"/>
          </reference>
          <reference field="4" count="1">
            <x v="3719"/>
          </reference>
        </references>
      </pivotArea>
    </format>
    <format dxfId="960">
      <pivotArea dataOnly="0" labelOnly="1" outline="0" fieldPosition="0">
        <references count="2">
          <reference field="3" count="1" selected="0">
            <x v="1198"/>
          </reference>
          <reference field="4" count="1">
            <x v="143"/>
          </reference>
        </references>
      </pivotArea>
    </format>
    <format dxfId="959">
      <pivotArea dataOnly="0" labelOnly="1" outline="0" fieldPosition="0">
        <references count="2">
          <reference field="3" count="1" selected="0">
            <x v="1204"/>
          </reference>
          <reference field="4" count="1">
            <x v="2183"/>
          </reference>
        </references>
      </pivotArea>
    </format>
    <format dxfId="958">
      <pivotArea dataOnly="0" labelOnly="1" outline="0" fieldPosition="0">
        <references count="2">
          <reference field="3" count="1" selected="0">
            <x v="1210"/>
          </reference>
          <reference field="4" count="1">
            <x v="4917"/>
          </reference>
        </references>
      </pivotArea>
    </format>
    <format dxfId="957">
      <pivotArea dataOnly="0" labelOnly="1" outline="0" fieldPosition="0">
        <references count="2">
          <reference field="3" count="1" selected="0">
            <x v="1222"/>
          </reference>
          <reference field="4" count="1">
            <x v="2602"/>
          </reference>
        </references>
      </pivotArea>
    </format>
    <format dxfId="956">
      <pivotArea dataOnly="0" labelOnly="1" outline="0" fieldPosition="0">
        <references count="2">
          <reference field="3" count="1" selected="0">
            <x v="1226"/>
          </reference>
          <reference field="4" count="1">
            <x v="3567"/>
          </reference>
        </references>
      </pivotArea>
    </format>
    <format dxfId="955">
      <pivotArea dataOnly="0" labelOnly="1" outline="0" fieldPosition="0">
        <references count="2">
          <reference field="3" count="1" selected="0">
            <x v="1261"/>
          </reference>
          <reference field="4" count="1">
            <x v="4852"/>
          </reference>
        </references>
      </pivotArea>
    </format>
    <format dxfId="954">
      <pivotArea dataOnly="0" labelOnly="1" outline="0" fieldPosition="0">
        <references count="2">
          <reference field="3" count="1" selected="0">
            <x v="1262"/>
          </reference>
          <reference field="4" count="1">
            <x v="6041"/>
          </reference>
        </references>
      </pivotArea>
    </format>
    <format dxfId="953">
      <pivotArea dataOnly="0" labelOnly="1" outline="0" fieldPosition="0">
        <references count="2">
          <reference field="3" count="1" selected="0">
            <x v="1285"/>
          </reference>
          <reference field="4" count="1">
            <x v="4354"/>
          </reference>
        </references>
      </pivotArea>
    </format>
    <format dxfId="952">
      <pivotArea dataOnly="0" labelOnly="1" outline="0" fieldPosition="0">
        <references count="2">
          <reference field="3" count="1" selected="0">
            <x v="1288"/>
          </reference>
          <reference field="4" count="1">
            <x v="7233"/>
          </reference>
        </references>
      </pivotArea>
    </format>
    <format dxfId="951">
      <pivotArea dataOnly="0" labelOnly="1" outline="0" fieldPosition="0">
        <references count="2">
          <reference field="3" count="1" selected="0">
            <x v="1291"/>
          </reference>
          <reference field="4" count="1">
            <x v="2404"/>
          </reference>
        </references>
      </pivotArea>
    </format>
    <format dxfId="950">
      <pivotArea dataOnly="0" labelOnly="1" outline="0" fieldPosition="0">
        <references count="2">
          <reference field="3" count="1" selected="0">
            <x v="1318"/>
          </reference>
          <reference field="4" count="1">
            <x v="4357"/>
          </reference>
        </references>
      </pivotArea>
    </format>
    <format dxfId="949">
      <pivotArea dataOnly="0" labelOnly="1" outline="0" fieldPosition="0">
        <references count="2">
          <reference field="3" count="1" selected="0">
            <x v="1343"/>
          </reference>
          <reference field="4" count="1">
            <x v="4224"/>
          </reference>
        </references>
      </pivotArea>
    </format>
    <format dxfId="948">
      <pivotArea dataOnly="0" labelOnly="1" outline="0" fieldPosition="0">
        <references count="2">
          <reference field="3" count="1" selected="0">
            <x v="1353"/>
          </reference>
          <reference field="4" count="1">
            <x v="7033"/>
          </reference>
        </references>
      </pivotArea>
    </format>
    <format dxfId="947">
      <pivotArea dataOnly="0" labelOnly="1" outline="0" fieldPosition="0">
        <references count="2">
          <reference field="3" count="1" selected="0">
            <x v="1383"/>
          </reference>
          <reference field="4" count="1">
            <x v="3868"/>
          </reference>
        </references>
      </pivotArea>
    </format>
    <format dxfId="946">
      <pivotArea dataOnly="0" labelOnly="1" outline="0" fieldPosition="0">
        <references count="2">
          <reference field="3" count="1" selected="0">
            <x v="1391"/>
          </reference>
          <reference field="4" count="1">
            <x v="3674"/>
          </reference>
        </references>
      </pivotArea>
    </format>
    <format dxfId="945">
      <pivotArea dataOnly="0" labelOnly="1" outline="0" fieldPosition="0">
        <references count="2">
          <reference field="3" count="1" selected="0">
            <x v="1415"/>
          </reference>
          <reference field="4" count="1">
            <x v="65"/>
          </reference>
        </references>
      </pivotArea>
    </format>
    <format dxfId="944">
      <pivotArea dataOnly="0" labelOnly="1" outline="0" fieldPosition="0">
        <references count="2">
          <reference field="3" count="1" selected="0">
            <x v="1427"/>
          </reference>
          <reference field="4" count="1">
            <x v="7919"/>
          </reference>
        </references>
      </pivotArea>
    </format>
    <format dxfId="943">
      <pivotArea dataOnly="0" labelOnly="1" outline="0" fieldPosition="0">
        <references count="2">
          <reference field="3" count="1" selected="0">
            <x v="1435"/>
          </reference>
          <reference field="4" count="1">
            <x v="3236"/>
          </reference>
        </references>
      </pivotArea>
    </format>
    <format dxfId="942">
      <pivotArea dataOnly="0" labelOnly="1" outline="0" fieldPosition="0">
        <references count="2">
          <reference field="3" count="1" selected="0">
            <x v="1449"/>
          </reference>
          <reference field="4" count="1">
            <x v="124"/>
          </reference>
        </references>
      </pivotArea>
    </format>
    <format dxfId="941">
      <pivotArea dataOnly="0" labelOnly="1" outline="0" fieldPosition="0">
        <references count="2">
          <reference field="3" count="1" selected="0">
            <x v="1452"/>
          </reference>
          <reference field="4" count="1">
            <x v="5876"/>
          </reference>
        </references>
      </pivotArea>
    </format>
    <format dxfId="940">
      <pivotArea dataOnly="0" labelOnly="1" outline="0" fieldPosition="0">
        <references count="2">
          <reference field="3" count="1" selected="0">
            <x v="1482"/>
          </reference>
          <reference field="4" count="1">
            <x v="806"/>
          </reference>
        </references>
      </pivotArea>
    </format>
    <format dxfId="939">
      <pivotArea dataOnly="0" labelOnly="1" outline="0" fieldPosition="0">
        <references count="2">
          <reference field="3" count="1" selected="0">
            <x v="1511"/>
          </reference>
          <reference field="4" count="1">
            <x v="3546"/>
          </reference>
        </references>
      </pivotArea>
    </format>
    <format dxfId="938">
      <pivotArea dataOnly="0" labelOnly="1" outline="0" fieldPosition="0">
        <references count="2">
          <reference field="3" count="1" selected="0">
            <x v="1512"/>
          </reference>
          <reference field="4" count="1">
            <x v="6736"/>
          </reference>
        </references>
      </pivotArea>
    </format>
    <format dxfId="937">
      <pivotArea dataOnly="0" labelOnly="1" outline="0" fieldPosition="0">
        <references count="2">
          <reference field="3" count="1" selected="0">
            <x v="1514"/>
          </reference>
          <reference field="4" count="1">
            <x v="4979"/>
          </reference>
        </references>
      </pivotArea>
    </format>
    <format dxfId="936">
      <pivotArea dataOnly="0" labelOnly="1" outline="0" fieldPosition="0">
        <references count="2">
          <reference field="3" count="1" selected="0">
            <x v="1515"/>
          </reference>
          <reference field="4" count="1">
            <x v="6928"/>
          </reference>
        </references>
      </pivotArea>
    </format>
    <format dxfId="935">
      <pivotArea dataOnly="0" labelOnly="1" outline="0" fieldPosition="0">
        <references count="2">
          <reference field="3" count="1" selected="0">
            <x v="1534"/>
          </reference>
          <reference field="4" count="1">
            <x v="5622"/>
          </reference>
        </references>
      </pivotArea>
    </format>
    <format dxfId="934">
      <pivotArea dataOnly="0" labelOnly="1" outline="0" fieldPosition="0">
        <references count="2">
          <reference field="3" count="1" selected="0">
            <x v="1564"/>
          </reference>
          <reference field="4" count="1">
            <x v="5654"/>
          </reference>
        </references>
      </pivotArea>
    </format>
    <format dxfId="933">
      <pivotArea dataOnly="0" labelOnly="1" outline="0" fieldPosition="0">
        <references count="2">
          <reference field="3" count="1" selected="0">
            <x v="1619"/>
          </reference>
          <reference field="4" count="1">
            <x v="669"/>
          </reference>
        </references>
      </pivotArea>
    </format>
    <format dxfId="932">
      <pivotArea dataOnly="0" labelOnly="1" outline="0" fieldPosition="0">
        <references count="2">
          <reference field="3" count="1" selected="0">
            <x v="1626"/>
          </reference>
          <reference field="4" count="1">
            <x v="2269"/>
          </reference>
        </references>
      </pivotArea>
    </format>
    <format dxfId="931">
      <pivotArea dataOnly="0" labelOnly="1" outline="0" fieldPosition="0">
        <references count="2">
          <reference field="3" count="1" selected="0">
            <x v="1645"/>
          </reference>
          <reference field="4" count="1">
            <x v="4209"/>
          </reference>
        </references>
      </pivotArea>
    </format>
    <format dxfId="930">
      <pivotArea dataOnly="0" labelOnly="1" outline="0" fieldPosition="0">
        <references count="2">
          <reference field="3" count="1" selected="0">
            <x v="1647"/>
          </reference>
          <reference field="4" count="1">
            <x v="7792"/>
          </reference>
        </references>
      </pivotArea>
    </format>
    <format dxfId="929">
      <pivotArea dataOnly="0" labelOnly="1" outline="0" fieldPosition="0">
        <references count="2">
          <reference field="3" count="1" selected="0">
            <x v="1687"/>
          </reference>
          <reference field="4" count="1">
            <x v="4075"/>
          </reference>
        </references>
      </pivotArea>
    </format>
    <format dxfId="928">
      <pivotArea dataOnly="0" labelOnly="1" outline="0" fieldPosition="0">
        <references count="2">
          <reference field="3" count="1" selected="0">
            <x v="1712"/>
          </reference>
          <reference field="4" count="1">
            <x v="5408"/>
          </reference>
        </references>
      </pivotArea>
    </format>
    <format dxfId="927">
      <pivotArea dataOnly="0" labelOnly="1" outline="0" fieldPosition="0">
        <references count="2">
          <reference field="3" count="1" selected="0">
            <x v="1715"/>
          </reference>
          <reference field="4" count="1">
            <x v="1667"/>
          </reference>
        </references>
      </pivotArea>
    </format>
    <format dxfId="926">
      <pivotArea dataOnly="0" labelOnly="1" outline="0" fieldPosition="0">
        <references count="2">
          <reference field="3" count="1" selected="0">
            <x v="1717"/>
          </reference>
          <reference field="4" count="1">
            <x v="7778"/>
          </reference>
        </references>
      </pivotArea>
    </format>
    <format dxfId="925">
      <pivotArea dataOnly="0" labelOnly="1" outline="0" fieldPosition="0">
        <references count="2">
          <reference field="3" count="1" selected="0">
            <x v="1720"/>
          </reference>
          <reference field="4" count="1">
            <x v="3488"/>
          </reference>
        </references>
      </pivotArea>
    </format>
    <format dxfId="924">
      <pivotArea dataOnly="0" labelOnly="1" outline="0" fieldPosition="0">
        <references count="2">
          <reference field="3" count="1" selected="0">
            <x v="1741"/>
          </reference>
          <reference field="4" count="1">
            <x v="3358"/>
          </reference>
        </references>
      </pivotArea>
    </format>
    <format dxfId="923">
      <pivotArea dataOnly="0" labelOnly="1" outline="0" fieldPosition="0">
        <references count="2">
          <reference field="3" count="1" selected="0">
            <x v="1746"/>
          </reference>
          <reference field="4" count="1">
            <x v="274"/>
          </reference>
        </references>
      </pivotArea>
    </format>
    <format dxfId="922">
      <pivotArea dataOnly="0" labelOnly="1" outline="0" fieldPosition="0">
        <references count="2">
          <reference field="3" count="1" selected="0">
            <x v="1747"/>
          </reference>
          <reference field="4" count="1">
            <x v="7928"/>
          </reference>
        </references>
      </pivotArea>
    </format>
    <format dxfId="921">
      <pivotArea dataOnly="0" labelOnly="1" outline="0" fieldPosition="0">
        <references count="2">
          <reference field="3" count="1" selected="0">
            <x v="1748"/>
          </reference>
          <reference field="4" count="1">
            <x v="5673"/>
          </reference>
        </references>
      </pivotArea>
    </format>
    <format dxfId="920">
      <pivotArea dataOnly="0" labelOnly="1" outline="0" fieldPosition="0">
        <references count="2">
          <reference field="3" count="1" selected="0">
            <x v="1750"/>
          </reference>
          <reference field="4" count="1">
            <x v="3711"/>
          </reference>
        </references>
      </pivotArea>
    </format>
    <format dxfId="919">
      <pivotArea dataOnly="0" labelOnly="1" outline="0" fieldPosition="0">
        <references count="2">
          <reference field="3" count="1" selected="0">
            <x v="1753"/>
          </reference>
          <reference field="4" count="1">
            <x v="4606"/>
          </reference>
        </references>
      </pivotArea>
    </format>
    <format dxfId="918">
      <pivotArea dataOnly="0" labelOnly="1" outline="0" fieldPosition="0">
        <references count="2">
          <reference field="3" count="1" selected="0">
            <x v="1758"/>
          </reference>
          <reference field="4" count="1">
            <x v="982"/>
          </reference>
        </references>
      </pivotArea>
    </format>
    <format dxfId="917">
      <pivotArea dataOnly="0" labelOnly="1" outline="0" fieldPosition="0">
        <references count="2">
          <reference field="3" count="1" selected="0">
            <x v="1761"/>
          </reference>
          <reference field="4" count="1">
            <x v="737"/>
          </reference>
        </references>
      </pivotArea>
    </format>
    <format dxfId="916">
      <pivotArea dataOnly="0" labelOnly="1" outline="0" fieldPosition="0">
        <references count="2">
          <reference field="3" count="1" selected="0">
            <x v="1765"/>
          </reference>
          <reference field="4" count="1">
            <x v="1864"/>
          </reference>
        </references>
      </pivotArea>
    </format>
    <format dxfId="915">
      <pivotArea dataOnly="0" labelOnly="1" outline="0" fieldPosition="0">
        <references count="2">
          <reference field="3" count="1" selected="0">
            <x v="1767"/>
          </reference>
          <reference field="4" count="1">
            <x v="164"/>
          </reference>
        </references>
      </pivotArea>
    </format>
    <format dxfId="914">
      <pivotArea dataOnly="0" labelOnly="1" outline="0" fieldPosition="0">
        <references count="2">
          <reference field="3" count="1" selected="0">
            <x v="1771"/>
          </reference>
          <reference field="4" count="1">
            <x v="5981"/>
          </reference>
        </references>
      </pivotArea>
    </format>
    <format dxfId="913">
      <pivotArea dataOnly="0" labelOnly="1" outline="0" fieldPosition="0">
        <references count="2">
          <reference field="3" count="1" selected="0">
            <x v="1783"/>
          </reference>
          <reference field="4" count="1">
            <x v="2233"/>
          </reference>
        </references>
      </pivotArea>
    </format>
    <format dxfId="912">
      <pivotArea dataOnly="0" labelOnly="1" outline="0" fieldPosition="0">
        <references count="2">
          <reference field="3" count="1" selected="0">
            <x v="1784"/>
          </reference>
          <reference field="4" count="1">
            <x v="6326"/>
          </reference>
        </references>
      </pivotArea>
    </format>
    <format dxfId="911">
      <pivotArea dataOnly="0" labelOnly="1" outline="0" fieldPosition="0">
        <references count="2">
          <reference field="3" count="1" selected="0">
            <x v="1785"/>
          </reference>
          <reference field="4" count="1">
            <x v="693"/>
          </reference>
        </references>
      </pivotArea>
    </format>
    <format dxfId="910">
      <pivotArea dataOnly="0" labelOnly="1" outline="0" fieldPosition="0">
        <references count="2">
          <reference field="3" count="1" selected="0">
            <x v="1786"/>
          </reference>
          <reference field="4" count="1">
            <x v="597"/>
          </reference>
        </references>
      </pivotArea>
    </format>
    <format dxfId="909">
      <pivotArea dataOnly="0" labelOnly="1" outline="0" fieldPosition="0">
        <references count="2">
          <reference field="3" count="1" selected="0">
            <x v="1789"/>
          </reference>
          <reference field="4" count="1">
            <x v="7567"/>
          </reference>
        </references>
      </pivotArea>
    </format>
    <format dxfId="908">
      <pivotArea dataOnly="0" labelOnly="1" outline="0" fieldPosition="0">
        <references count="2">
          <reference field="3" count="1" selected="0">
            <x v="1790"/>
          </reference>
          <reference field="4" count="1">
            <x v="1776"/>
          </reference>
        </references>
      </pivotArea>
    </format>
    <format dxfId="907">
      <pivotArea dataOnly="0" labelOnly="1" outline="0" fieldPosition="0">
        <references count="2">
          <reference field="3" count="1" selected="0">
            <x v="1804"/>
          </reference>
          <reference field="4" count="1">
            <x v="1335"/>
          </reference>
        </references>
      </pivotArea>
    </format>
    <format dxfId="906">
      <pivotArea dataOnly="0" labelOnly="1" outline="0" fieldPosition="0">
        <references count="2">
          <reference field="3" count="1" selected="0">
            <x v="1827"/>
          </reference>
          <reference field="4" count="1">
            <x v="4858"/>
          </reference>
        </references>
      </pivotArea>
    </format>
    <format dxfId="905">
      <pivotArea dataOnly="0" labelOnly="1" outline="0" fieldPosition="0">
        <references count="2">
          <reference field="3" count="1" selected="0">
            <x v="1840"/>
          </reference>
          <reference field="4" count="1">
            <x v="6192"/>
          </reference>
        </references>
      </pivotArea>
    </format>
    <format dxfId="904">
      <pivotArea dataOnly="0" labelOnly="1" outline="0" fieldPosition="0">
        <references count="2">
          <reference field="3" count="1" selected="0">
            <x v="1851"/>
          </reference>
          <reference field="4" count="1">
            <x v="6138"/>
          </reference>
        </references>
      </pivotArea>
    </format>
    <format dxfId="903">
      <pivotArea dataOnly="0" labelOnly="1" outline="0" fieldPosition="0">
        <references count="2">
          <reference field="3" count="1" selected="0">
            <x v="1853"/>
          </reference>
          <reference field="4" count="1">
            <x v="6418"/>
          </reference>
        </references>
      </pivotArea>
    </format>
    <format dxfId="902">
      <pivotArea dataOnly="0" labelOnly="1" outline="0" fieldPosition="0">
        <references count="2">
          <reference field="3" count="1" selected="0">
            <x v="1890"/>
          </reference>
          <reference field="4" count="1">
            <x v="4632"/>
          </reference>
        </references>
      </pivotArea>
    </format>
    <format dxfId="901">
      <pivotArea dataOnly="0" labelOnly="1" outline="0" fieldPosition="0">
        <references count="2">
          <reference field="3" count="1" selected="0">
            <x v="1894"/>
          </reference>
          <reference field="4" count="1">
            <x v="5722"/>
          </reference>
        </references>
      </pivotArea>
    </format>
    <format dxfId="900">
      <pivotArea dataOnly="0" labelOnly="1" outline="0" fieldPosition="0">
        <references count="2">
          <reference field="3" count="1" selected="0">
            <x v="1903"/>
          </reference>
          <reference field="4" count="1">
            <x v="3454"/>
          </reference>
        </references>
      </pivotArea>
    </format>
    <format dxfId="899">
      <pivotArea dataOnly="0" labelOnly="1" outline="0" fieldPosition="0">
        <references count="2">
          <reference field="3" count="1" selected="0">
            <x v="1905"/>
          </reference>
          <reference field="4" count="1">
            <x v="5342"/>
          </reference>
        </references>
      </pivotArea>
    </format>
    <format dxfId="898">
      <pivotArea dataOnly="0" labelOnly="1" outline="0" fieldPosition="0">
        <references count="2">
          <reference field="3" count="1" selected="0">
            <x v="1906"/>
          </reference>
          <reference field="4" count="1">
            <x v="6949"/>
          </reference>
        </references>
      </pivotArea>
    </format>
    <format dxfId="897">
      <pivotArea dataOnly="0" labelOnly="1" outline="0" fieldPosition="0">
        <references count="2">
          <reference field="3" count="1" selected="0">
            <x v="1911"/>
          </reference>
          <reference field="4" count="1">
            <x v="6382"/>
          </reference>
        </references>
      </pivotArea>
    </format>
    <format dxfId="896">
      <pivotArea dataOnly="0" labelOnly="1" outline="0" fieldPosition="0">
        <references count="2">
          <reference field="3" count="1" selected="0">
            <x v="1916"/>
          </reference>
          <reference field="4" count="1">
            <x v="1837"/>
          </reference>
        </references>
      </pivotArea>
    </format>
    <format dxfId="895">
      <pivotArea dataOnly="0" labelOnly="1" outline="0" fieldPosition="0">
        <references count="2">
          <reference field="3" count="1" selected="0">
            <x v="1917"/>
          </reference>
          <reference field="4" count="1">
            <x v="2228"/>
          </reference>
        </references>
      </pivotArea>
    </format>
    <format dxfId="894">
      <pivotArea dataOnly="0" labelOnly="1" outline="0" fieldPosition="0">
        <references count="2">
          <reference field="3" count="1" selected="0">
            <x v="1918"/>
          </reference>
          <reference field="4" count="1">
            <x v="3911"/>
          </reference>
        </references>
      </pivotArea>
    </format>
    <format dxfId="893">
      <pivotArea dataOnly="0" labelOnly="1" outline="0" fieldPosition="0">
        <references count="2">
          <reference field="3" count="1" selected="0">
            <x v="1937"/>
          </reference>
          <reference field="4" count="1">
            <x v="7773"/>
          </reference>
        </references>
      </pivotArea>
    </format>
    <format dxfId="892">
      <pivotArea dataOnly="0" labelOnly="1" outline="0" fieldPosition="0">
        <references count="2">
          <reference field="3" count="1" selected="0">
            <x v="1949"/>
          </reference>
          <reference field="4" count="1">
            <x v="6062"/>
          </reference>
        </references>
      </pivotArea>
    </format>
    <format dxfId="891">
      <pivotArea dataOnly="0" labelOnly="1" outline="0" fieldPosition="0">
        <references count="2">
          <reference field="3" count="1" selected="0">
            <x v="1950"/>
          </reference>
          <reference field="4" count="1">
            <x v="3421"/>
          </reference>
        </references>
      </pivotArea>
    </format>
    <format dxfId="890">
      <pivotArea dataOnly="0" labelOnly="1" outline="0" fieldPosition="0">
        <references count="2">
          <reference field="3" count="1" selected="0">
            <x v="1964"/>
          </reference>
          <reference field="4" count="1">
            <x v="4436"/>
          </reference>
        </references>
      </pivotArea>
    </format>
    <format dxfId="889">
      <pivotArea dataOnly="0" labelOnly="1" outline="0" fieldPosition="0">
        <references count="2">
          <reference field="3" count="1" selected="0">
            <x v="2040"/>
          </reference>
          <reference field="4" count="1">
            <x v="814"/>
          </reference>
        </references>
      </pivotArea>
    </format>
    <format dxfId="888">
      <pivotArea dataOnly="0" labelOnly="1" outline="0" fieldPosition="0">
        <references count="2">
          <reference field="3" count="1" selected="0">
            <x v="2049"/>
          </reference>
          <reference field="4" count="1">
            <x v="5797"/>
          </reference>
        </references>
      </pivotArea>
    </format>
    <format dxfId="887">
      <pivotArea dataOnly="0" labelOnly="1" outline="0" fieldPosition="0">
        <references count="2">
          <reference field="3" count="1" selected="0">
            <x v="2051"/>
          </reference>
          <reference field="4" count="1">
            <x v="7737"/>
          </reference>
        </references>
      </pivotArea>
    </format>
    <format dxfId="886">
      <pivotArea dataOnly="0" labelOnly="1" outline="0" fieldPosition="0">
        <references count="2">
          <reference field="3" count="1" selected="0">
            <x v="2066"/>
          </reference>
          <reference field="4" count="1">
            <x v="3682"/>
          </reference>
        </references>
      </pivotArea>
    </format>
    <format dxfId="885">
      <pivotArea dataOnly="0" labelOnly="1" outline="0" fieldPosition="0">
        <references count="2">
          <reference field="3" count="1" selected="0">
            <x v="2069"/>
          </reference>
          <reference field="4" count="1">
            <x v="4528"/>
          </reference>
        </references>
      </pivotArea>
    </format>
    <format dxfId="884">
      <pivotArea dataOnly="0" labelOnly="1" outline="0" fieldPosition="0">
        <references count="2">
          <reference field="3" count="1" selected="0">
            <x v="2089"/>
          </reference>
          <reference field="4" count="1">
            <x v="1064"/>
          </reference>
        </references>
      </pivotArea>
    </format>
    <format dxfId="883">
      <pivotArea dataOnly="0" labelOnly="1" outline="0" fieldPosition="0">
        <references count="2">
          <reference field="3" count="1" selected="0">
            <x v="2097"/>
          </reference>
          <reference field="4" count="1">
            <x v="1103"/>
          </reference>
        </references>
      </pivotArea>
    </format>
    <format dxfId="882">
      <pivotArea dataOnly="0" labelOnly="1" outline="0" fieldPosition="0">
        <references count="2">
          <reference field="3" count="1" selected="0">
            <x v="2101"/>
          </reference>
          <reference field="4" count="1">
            <x v="5470"/>
          </reference>
        </references>
      </pivotArea>
    </format>
    <format dxfId="881">
      <pivotArea dataOnly="0" labelOnly="1" outline="0" fieldPosition="0">
        <references count="2">
          <reference field="3" count="1" selected="0">
            <x v="2104"/>
          </reference>
          <reference field="4" count="1">
            <x v="6191"/>
          </reference>
        </references>
      </pivotArea>
    </format>
    <format dxfId="880">
      <pivotArea dataOnly="0" labelOnly="1" outline="0" fieldPosition="0">
        <references count="2">
          <reference field="3" count="1" selected="0">
            <x v="2105"/>
          </reference>
          <reference field="4" count="1">
            <x v="2516"/>
          </reference>
        </references>
      </pivotArea>
    </format>
    <format dxfId="879">
      <pivotArea dataOnly="0" labelOnly="1" outline="0" fieldPosition="0">
        <references count="2">
          <reference field="3" count="1" selected="0">
            <x v="2106"/>
          </reference>
          <reference field="4" count="1">
            <x v="568"/>
          </reference>
        </references>
      </pivotArea>
    </format>
    <format dxfId="878">
      <pivotArea dataOnly="0" labelOnly="1" outline="0" fieldPosition="0">
        <references count="2">
          <reference field="3" count="1" selected="0">
            <x v="2122"/>
          </reference>
          <reference field="4" count="1">
            <x v="2252"/>
          </reference>
        </references>
      </pivotArea>
    </format>
    <format dxfId="877">
      <pivotArea dataOnly="0" labelOnly="1" outline="0" fieldPosition="0">
        <references count="2">
          <reference field="3" count="1" selected="0">
            <x v="2144"/>
          </reference>
          <reference field="4" count="1">
            <x v="7845"/>
          </reference>
        </references>
      </pivotArea>
    </format>
    <format dxfId="876">
      <pivotArea dataOnly="0" labelOnly="1" outline="0" fieldPosition="0">
        <references count="2">
          <reference field="3" count="1" selected="0">
            <x v="2163"/>
          </reference>
          <reference field="4" count="1">
            <x v="6460"/>
          </reference>
        </references>
      </pivotArea>
    </format>
    <format dxfId="875">
      <pivotArea dataOnly="0" labelOnly="1" outline="0" fieldPosition="0">
        <references count="2">
          <reference field="3" count="1" selected="0">
            <x v="2197"/>
          </reference>
          <reference field="4" count="1">
            <x v="1576"/>
          </reference>
        </references>
      </pivotArea>
    </format>
    <format dxfId="874">
      <pivotArea dataOnly="0" labelOnly="1" outline="0" fieldPosition="0">
        <references count="2">
          <reference field="3" count="1" selected="0">
            <x v="2201"/>
          </reference>
          <reference field="4" count="1">
            <x v="7137"/>
          </reference>
        </references>
      </pivotArea>
    </format>
    <format dxfId="873">
      <pivotArea dataOnly="0" labelOnly="1" outline="0" fieldPosition="0">
        <references count="2">
          <reference field="3" count="1" selected="0">
            <x v="2222"/>
          </reference>
          <reference field="4" count="1">
            <x v="5292"/>
          </reference>
        </references>
      </pivotArea>
    </format>
    <format dxfId="872">
      <pivotArea dataOnly="0" labelOnly="1" outline="0" fieldPosition="0">
        <references count="2">
          <reference field="3" count="1" selected="0">
            <x v="2232"/>
          </reference>
          <reference field="4" count="1">
            <x v="3300"/>
          </reference>
        </references>
      </pivotArea>
    </format>
    <format dxfId="871">
      <pivotArea dataOnly="0" labelOnly="1" outline="0" fieldPosition="0">
        <references count="2">
          <reference field="3" count="1" selected="0">
            <x v="2234"/>
          </reference>
          <reference field="4" count="1">
            <x v="3301"/>
          </reference>
        </references>
      </pivotArea>
    </format>
    <format dxfId="870">
      <pivotArea dataOnly="0" labelOnly="1" outline="0" fieldPosition="0">
        <references count="2">
          <reference field="3" count="1" selected="0">
            <x v="2235"/>
          </reference>
          <reference field="4" count="1">
            <x v="7482"/>
          </reference>
        </references>
      </pivotArea>
    </format>
    <format dxfId="869">
      <pivotArea dataOnly="0" labelOnly="1" outline="0" fieldPosition="0">
        <references count="2">
          <reference field="3" count="1" selected="0">
            <x v="2236"/>
          </reference>
          <reference field="4" count="1">
            <x v="3302"/>
          </reference>
        </references>
      </pivotArea>
    </format>
    <format dxfId="868">
      <pivotArea dataOnly="0" labelOnly="1" outline="0" fieldPosition="0">
        <references count="2">
          <reference field="3" count="1" selected="0">
            <x v="2243"/>
          </reference>
          <reference field="4" count="1">
            <x v="7215"/>
          </reference>
        </references>
      </pivotArea>
    </format>
    <format dxfId="867">
      <pivotArea dataOnly="0" labelOnly="1" outline="0" fieldPosition="0">
        <references count="2">
          <reference field="3" count="1" selected="0">
            <x v="2251"/>
          </reference>
          <reference field="4" count="1">
            <x v="4570"/>
          </reference>
        </references>
      </pivotArea>
    </format>
    <format dxfId="866">
      <pivotArea dataOnly="0" labelOnly="1" outline="0" fieldPosition="0">
        <references count="2">
          <reference field="3" count="1" selected="0">
            <x v="2261"/>
          </reference>
          <reference field="4" count="1">
            <x v="6947"/>
          </reference>
        </references>
      </pivotArea>
    </format>
    <format dxfId="865">
      <pivotArea dataOnly="0" labelOnly="1" outline="0" fieldPosition="0">
        <references count="3">
          <reference field="3" count="1" selected="0">
            <x v="56"/>
          </reference>
          <reference field="4" count="1" selected="0">
            <x v="743"/>
          </reference>
          <reference field="11" count="1">
            <x v="12"/>
          </reference>
        </references>
      </pivotArea>
    </format>
    <format dxfId="864">
      <pivotArea dataOnly="0" labelOnly="1" outline="0" fieldPosition="0">
        <references count="3">
          <reference field="3" count="1" selected="0">
            <x v="174"/>
          </reference>
          <reference field="4" count="1" selected="0">
            <x v="7069"/>
          </reference>
          <reference field="11" count="1">
            <x v="11"/>
          </reference>
        </references>
      </pivotArea>
    </format>
    <format dxfId="863">
      <pivotArea dataOnly="0" labelOnly="1" outline="0" fieldPosition="0">
        <references count="3">
          <reference field="3" count="1" selected="0">
            <x v="204"/>
          </reference>
          <reference field="4" count="1" selected="0">
            <x v="618"/>
          </reference>
          <reference field="11" count="1">
            <x v="12"/>
          </reference>
        </references>
      </pivotArea>
    </format>
    <format dxfId="862">
      <pivotArea dataOnly="0" labelOnly="1" outline="0" fieldPosition="0">
        <references count="3">
          <reference field="3" count="1" selected="0">
            <x v="234"/>
          </reference>
          <reference field="4" count="1" selected="0">
            <x v="231"/>
          </reference>
          <reference field="11" count="1">
            <x v="11"/>
          </reference>
        </references>
      </pivotArea>
    </format>
    <format dxfId="861">
      <pivotArea dataOnly="0" labelOnly="1" outline="0" fieldPosition="0">
        <references count="3">
          <reference field="3" count="1" selected="0">
            <x v="251"/>
          </reference>
          <reference field="4" count="1" selected="0">
            <x v="4095"/>
          </reference>
          <reference field="11" count="1">
            <x v="12"/>
          </reference>
        </references>
      </pivotArea>
    </format>
    <format dxfId="860">
      <pivotArea dataOnly="0" labelOnly="1" outline="0" fieldPosition="0">
        <references count="3">
          <reference field="3" count="1" selected="0">
            <x v="276"/>
          </reference>
          <reference field="4" count="1" selected="0">
            <x v="7931"/>
          </reference>
          <reference field="11" count="1">
            <x v="11"/>
          </reference>
        </references>
      </pivotArea>
    </format>
    <format dxfId="859">
      <pivotArea dataOnly="0" labelOnly="1" outline="0" fieldPosition="0">
        <references count="3">
          <reference field="3" count="1" selected="0">
            <x v="375"/>
          </reference>
          <reference field="4" count="1" selected="0">
            <x v="5837"/>
          </reference>
          <reference field="11" count="1">
            <x v="11"/>
          </reference>
        </references>
      </pivotArea>
    </format>
    <format dxfId="858">
      <pivotArea dataOnly="0" labelOnly="1" outline="0" fieldPosition="0">
        <references count="3">
          <reference field="3" count="1" selected="0">
            <x v="379"/>
          </reference>
          <reference field="4" count="1" selected="0">
            <x v="3926"/>
          </reference>
          <reference field="11" count="1">
            <x v="12"/>
          </reference>
        </references>
      </pivotArea>
    </format>
    <format dxfId="857">
      <pivotArea dataOnly="0" labelOnly="1" outline="0" fieldPosition="0">
        <references count="3">
          <reference field="3" count="1" selected="0">
            <x v="492"/>
          </reference>
          <reference field="4" count="1" selected="0">
            <x v="11"/>
          </reference>
          <reference field="11" count="1">
            <x v="11"/>
          </reference>
        </references>
      </pivotArea>
    </format>
    <format dxfId="856">
      <pivotArea dataOnly="0" labelOnly="1" outline="0" fieldPosition="0">
        <references count="3">
          <reference field="3" count="1" selected="0">
            <x v="503"/>
          </reference>
          <reference field="4" count="1" selected="0">
            <x v="1492"/>
          </reference>
          <reference field="11" count="1">
            <x v="11"/>
          </reference>
        </references>
      </pivotArea>
    </format>
    <format dxfId="855">
      <pivotArea dataOnly="0" labelOnly="1" outline="0" fieldPosition="0">
        <references count="3">
          <reference field="3" count="1" selected="0">
            <x v="745"/>
          </reference>
          <reference field="4" count="1" selected="0">
            <x v="6562"/>
          </reference>
          <reference field="11" count="1">
            <x v="12"/>
          </reference>
        </references>
      </pivotArea>
    </format>
    <format dxfId="854">
      <pivotArea dataOnly="0" labelOnly="1" outline="0" fieldPosition="0">
        <references count="3">
          <reference field="3" count="1" selected="0">
            <x v="782"/>
          </reference>
          <reference field="4" count="1" selected="0">
            <x v="1293"/>
          </reference>
          <reference field="11" count="1">
            <x v="11"/>
          </reference>
        </references>
      </pivotArea>
    </format>
    <format dxfId="853">
      <pivotArea dataOnly="0" labelOnly="1" outline="0" fieldPosition="0">
        <references count="3">
          <reference field="3" count="1" selected="0">
            <x v="1069"/>
          </reference>
          <reference field="4" count="1" selected="0">
            <x v="3787"/>
          </reference>
          <reference field="11" count="1">
            <x v="11"/>
          </reference>
        </references>
      </pivotArea>
    </format>
    <format dxfId="852">
      <pivotArea dataOnly="0" labelOnly="1" outline="0" fieldPosition="0">
        <references count="3">
          <reference field="3" count="1" selected="0">
            <x v="1167"/>
          </reference>
          <reference field="4" count="1" selected="0">
            <x v="6179"/>
          </reference>
          <reference field="11" count="1">
            <x v="11"/>
          </reference>
        </references>
      </pivotArea>
    </format>
    <format dxfId="851">
      <pivotArea dataOnly="0" labelOnly="1" outline="0" fieldPosition="0">
        <references count="3">
          <reference field="3" count="1" selected="0">
            <x v="1196"/>
          </reference>
          <reference field="4" count="1" selected="0">
            <x v="3719"/>
          </reference>
          <reference field="11" count="1">
            <x v="11"/>
          </reference>
        </references>
      </pivotArea>
    </format>
    <format dxfId="850">
      <pivotArea dataOnly="0" labelOnly="1" outline="0" fieldPosition="0">
        <references count="3">
          <reference field="3" count="1" selected="0">
            <x v="1198"/>
          </reference>
          <reference field="4" count="1" selected="0">
            <x v="143"/>
          </reference>
          <reference field="11" count="1">
            <x v="12"/>
          </reference>
        </references>
      </pivotArea>
    </format>
    <format dxfId="849">
      <pivotArea dataOnly="0" labelOnly="1" outline="0" fieldPosition="0">
        <references count="3">
          <reference field="3" count="1" selected="0">
            <x v="1715"/>
          </reference>
          <reference field="4" count="1" selected="0">
            <x v="1667"/>
          </reference>
          <reference field="11" count="1">
            <x v="11"/>
          </reference>
        </references>
      </pivotArea>
    </format>
    <format dxfId="848">
      <pivotArea dataOnly="0" labelOnly="1" outline="0" fieldPosition="0">
        <references count="3">
          <reference field="3" count="1" selected="0">
            <x v="1717"/>
          </reference>
          <reference field="4" count="1" selected="0">
            <x v="7778"/>
          </reference>
          <reference field="11" count="1">
            <x v="12"/>
          </reference>
        </references>
      </pivotArea>
    </format>
    <format dxfId="847">
      <pivotArea dataOnly="0" labelOnly="1" outline="0" fieldPosition="0">
        <references count="3">
          <reference field="3" count="1" selected="0">
            <x v="1741"/>
          </reference>
          <reference field="4" count="1" selected="0">
            <x v="3358"/>
          </reference>
          <reference field="11" count="1">
            <x v="11"/>
          </reference>
        </references>
      </pivotArea>
    </format>
    <format dxfId="846">
      <pivotArea dataOnly="0" labelOnly="1" outline="0" fieldPosition="0">
        <references count="3">
          <reference field="3" count="1" selected="0">
            <x v="1746"/>
          </reference>
          <reference field="4" count="1" selected="0">
            <x v="274"/>
          </reference>
          <reference field="11" count="1">
            <x v="11"/>
          </reference>
        </references>
      </pivotArea>
    </format>
    <format dxfId="845">
      <pivotArea dataOnly="0" labelOnly="1" outline="0" fieldPosition="0">
        <references count="3">
          <reference field="3" count="1" selected="0">
            <x v="1750"/>
          </reference>
          <reference field="4" count="1" selected="0">
            <x v="3711"/>
          </reference>
          <reference field="11" count="1">
            <x v="11"/>
          </reference>
        </references>
      </pivotArea>
    </format>
    <format dxfId="844">
      <pivotArea dataOnly="0" labelOnly="1" outline="0" fieldPosition="0">
        <references count="3">
          <reference field="3" count="1" selected="0">
            <x v="1753"/>
          </reference>
          <reference field="4" count="1" selected="0">
            <x v="4606"/>
          </reference>
          <reference field="11" count="1">
            <x v="11"/>
          </reference>
        </references>
      </pivotArea>
    </format>
    <format dxfId="843">
      <pivotArea dataOnly="0" labelOnly="1" outline="0" fieldPosition="0">
        <references count="3">
          <reference field="3" count="1" selected="0">
            <x v="1767"/>
          </reference>
          <reference field="4" count="1" selected="0">
            <x v="164"/>
          </reference>
          <reference field="11" count="1">
            <x v="11"/>
          </reference>
        </references>
      </pivotArea>
    </format>
    <format dxfId="842">
      <pivotArea dataOnly="0" labelOnly="1" outline="0" fieldPosition="0">
        <references count="3">
          <reference field="3" count="1" selected="0">
            <x v="1785"/>
          </reference>
          <reference field="4" count="1" selected="0">
            <x v="693"/>
          </reference>
          <reference field="11" count="1">
            <x v="11"/>
          </reference>
        </references>
      </pivotArea>
    </format>
    <format dxfId="841">
      <pivotArea dataOnly="0" labelOnly="1" outline="0" fieldPosition="0">
        <references count="3">
          <reference field="3" count="1" selected="0">
            <x v="1903"/>
          </reference>
          <reference field="4" count="1" selected="0">
            <x v="3454"/>
          </reference>
          <reference field="11" count="1">
            <x v="12"/>
          </reference>
        </references>
      </pivotArea>
    </format>
    <format dxfId="840">
      <pivotArea dataOnly="0" labelOnly="1" outline="0" fieldPosition="0">
        <references count="3">
          <reference field="3" count="1" selected="0">
            <x v="2144"/>
          </reference>
          <reference field="4" count="1" selected="0">
            <x v="7845"/>
          </reference>
          <reference field="11" count="1">
            <x v="12"/>
          </reference>
        </references>
      </pivotArea>
    </format>
    <format dxfId="839">
      <pivotArea dataOnly="0" labelOnly="1" outline="0" fieldPosition="0">
        <references count="4">
          <reference field="3" count="1" selected="0">
            <x v="56"/>
          </reference>
          <reference field="4" count="1" selected="0">
            <x v="743"/>
          </reference>
          <reference field="11" count="1" selected="0">
            <x v="12"/>
          </reference>
          <reference field="14" count="1">
            <x v="808"/>
          </reference>
        </references>
      </pivotArea>
    </format>
    <format dxfId="838">
      <pivotArea dataOnly="0" labelOnly="1" outline="0" fieldPosition="0">
        <references count="4">
          <reference field="3" count="1" selected="0">
            <x v="81"/>
          </reference>
          <reference field="4" count="1" selected="0">
            <x v="7610"/>
          </reference>
          <reference field="11" count="1" selected="0">
            <x v="12"/>
          </reference>
          <reference field="14" count="1">
            <x v="217"/>
          </reference>
        </references>
      </pivotArea>
    </format>
    <format dxfId="837">
      <pivotArea dataOnly="0" labelOnly="1" outline="0" fieldPosition="0">
        <references count="4">
          <reference field="3" count="1" selected="0">
            <x v="112"/>
          </reference>
          <reference field="4" count="1" selected="0">
            <x v="2075"/>
          </reference>
          <reference field="11" count="1" selected="0">
            <x v="12"/>
          </reference>
          <reference field="14" count="1">
            <x v="656"/>
          </reference>
        </references>
      </pivotArea>
    </format>
    <format dxfId="836">
      <pivotArea dataOnly="0" labelOnly="1" outline="0" fieldPosition="0">
        <references count="4">
          <reference field="3" count="1" selected="0">
            <x v="122"/>
          </reference>
          <reference field="4" count="1" selected="0">
            <x v="5331"/>
          </reference>
          <reference field="11" count="1" selected="0">
            <x v="12"/>
          </reference>
          <reference field="14" count="1">
            <x v="369"/>
          </reference>
        </references>
      </pivotArea>
    </format>
    <format dxfId="835">
      <pivotArea dataOnly="0" labelOnly="1" outline="0" fieldPosition="0">
        <references count="4">
          <reference field="3" count="1" selected="0">
            <x v="152"/>
          </reference>
          <reference field="4" count="1" selected="0">
            <x v="4449"/>
          </reference>
          <reference field="11" count="1" selected="0">
            <x v="12"/>
          </reference>
          <reference field="14" count="1">
            <x v="136"/>
          </reference>
        </references>
      </pivotArea>
    </format>
    <format dxfId="834">
      <pivotArea dataOnly="0" labelOnly="1" outline="0" fieldPosition="0">
        <references count="4">
          <reference field="3" count="1" selected="0">
            <x v="153"/>
          </reference>
          <reference field="4" count="1" selected="0">
            <x v="4205"/>
          </reference>
          <reference field="11" count="1" selected="0">
            <x v="12"/>
          </reference>
          <reference field="14" count="1">
            <x v="125"/>
          </reference>
        </references>
      </pivotArea>
    </format>
    <format dxfId="833">
      <pivotArea dataOnly="0" labelOnly="1" outline="0" fieldPosition="0">
        <references count="4">
          <reference field="3" count="1" selected="0">
            <x v="174"/>
          </reference>
          <reference field="4" count="1" selected="0">
            <x v="7069"/>
          </reference>
          <reference field="11" count="1" selected="0">
            <x v="11"/>
          </reference>
          <reference field="14" count="1">
            <x v="412"/>
          </reference>
        </references>
      </pivotArea>
    </format>
    <format dxfId="832">
      <pivotArea dataOnly="0" labelOnly="1" outline="0" fieldPosition="0">
        <references count="4">
          <reference field="3" count="1" selected="0">
            <x v="189"/>
          </reference>
          <reference field="4" count="1" selected="0">
            <x v="7661"/>
          </reference>
          <reference field="11" count="1" selected="0">
            <x v="12"/>
          </reference>
          <reference field="14" count="1">
            <x v="350"/>
          </reference>
        </references>
      </pivotArea>
    </format>
    <format dxfId="831">
      <pivotArea dataOnly="0" labelOnly="1" outline="0" fieldPosition="0">
        <references count="4">
          <reference field="3" count="1" selected="0">
            <x v="190"/>
          </reference>
          <reference field="4" count="1" selected="0">
            <x v="3551"/>
          </reference>
          <reference field="11" count="1" selected="0">
            <x v="12"/>
          </reference>
          <reference field="14" count="1">
            <x v="106"/>
          </reference>
        </references>
      </pivotArea>
    </format>
    <format dxfId="830">
      <pivotArea dataOnly="0" labelOnly="1" outline="0" fieldPosition="0">
        <references count="4">
          <reference field="3" count="1" selected="0">
            <x v="199"/>
          </reference>
          <reference field="4" count="1" selected="0">
            <x v="4077"/>
          </reference>
          <reference field="11" count="1" selected="0">
            <x v="12"/>
          </reference>
          <reference field="14" count="1">
            <x v="629"/>
          </reference>
        </references>
      </pivotArea>
    </format>
    <format dxfId="829">
      <pivotArea dataOnly="0" labelOnly="1" outline="0" fieldPosition="0">
        <references count="4">
          <reference field="3" count="1" selected="0">
            <x v="204"/>
          </reference>
          <reference field="4" count="1" selected="0">
            <x v="618"/>
          </reference>
          <reference field="11" count="1" selected="0">
            <x v="12"/>
          </reference>
          <reference field="14" count="1">
            <x v="851"/>
          </reference>
        </references>
      </pivotArea>
    </format>
    <format dxfId="828">
      <pivotArea dataOnly="0" labelOnly="1" outline="0" fieldPosition="0">
        <references count="4">
          <reference field="3" count="1" selected="0">
            <x v="206"/>
          </reference>
          <reference field="4" count="1" selected="0">
            <x v="6497"/>
          </reference>
          <reference field="11" count="1" selected="0">
            <x v="12"/>
          </reference>
          <reference field="14" count="1">
            <x v="135"/>
          </reference>
        </references>
      </pivotArea>
    </format>
    <format dxfId="827">
      <pivotArea dataOnly="0" labelOnly="1" outline="0" fieldPosition="0">
        <references count="4">
          <reference field="3" count="1" selected="0">
            <x v="234"/>
          </reference>
          <reference field="4" count="1" selected="0">
            <x v="231"/>
          </reference>
          <reference field="11" count="1" selected="0">
            <x v="11"/>
          </reference>
          <reference field="14" count="1">
            <x v="678"/>
          </reference>
        </references>
      </pivotArea>
    </format>
    <format dxfId="826">
      <pivotArea dataOnly="0" labelOnly="1" outline="0" fieldPosition="0">
        <references count="4">
          <reference field="3" count="1" selected="0">
            <x v="251"/>
          </reference>
          <reference field="4" count="1" selected="0">
            <x v="4095"/>
          </reference>
          <reference field="11" count="1" selected="0">
            <x v="12"/>
          </reference>
          <reference field="14" count="1">
            <x v="438"/>
          </reference>
        </references>
      </pivotArea>
    </format>
    <format dxfId="825">
      <pivotArea dataOnly="0" labelOnly="1" outline="0" fieldPosition="0">
        <references count="4">
          <reference field="3" count="1" selected="0">
            <x v="253"/>
          </reference>
          <reference field="4" count="1" selected="0">
            <x v="6532"/>
          </reference>
          <reference field="11" count="1" selected="0">
            <x v="12"/>
          </reference>
          <reference field="14" count="1">
            <x v="763"/>
          </reference>
        </references>
      </pivotArea>
    </format>
    <format dxfId="824">
      <pivotArea dataOnly="0" labelOnly="1" outline="0" fieldPosition="0">
        <references count="4">
          <reference field="3" count="1" selected="0">
            <x v="259"/>
          </reference>
          <reference field="4" count="1" selected="0">
            <x v="5021"/>
          </reference>
          <reference field="11" count="1" selected="0">
            <x v="12"/>
          </reference>
          <reference field="14" count="1">
            <x v="815"/>
          </reference>
        </references>
      </pivotArea>
    </format>
    <format dxfId="823">
      <pivotArea dataOnly="0" labelOnly="1" outline="0" fieldPosition="0">
        <references count="4">
          <reference field="3" count="1" selected="0">
            <x v="269"/>
          </reference>
          <reference field="4" count="1" selected="0">
            <x v="7152"/>
          </reference>
          <reference field="11" count="1" selected="0">
            <x v="12"/>
          </reference>
          <reference field="14" count="1">
            <x v="338"/>
          </reference>
        </references>
      </pivotArea>
    </format>
    <format dxfId="822">
      <pivotArea dataOnly="0" labelOnly="1" outline="0" fieldPosition="0">
        <references count="4">
          <reference field="3" count="1" selected="0">
            <x v="276"/>
          </reference>
          <reference field="4" count="1" selected="0">
            <x v="7931"/>
          </reference>
          <reference field="11" count="1" selected="0">
            <x v="11"/>
          </reference>
          <reference field="14" count="1">
            <x v="279"/>
          </reference>
        </references>
      </pivotArea>
    </format>
    <format dxfId="821">
      <pivotArea dataOnly="0" labelOnly="1" outline="0" fieldPosition="0">
        <references count="4">
          <reference field="3" count="1" selected="0">
            <x v="292"/>
          </reference>
          <reference field="4" count="1" selected="0">
            <x v="2680"/>
          </reference>
          <reference field="11" count="1" selected="0">
            <x v="12"/>
          </reference>
          <reference field="14" count="1">
            <x v="981"/>
          </reference>
        </references>
      </pivotArea>
    </format>
    <format dxfId="820">
      <pivotArea dataOnly="0" labelOnly="1" outline="0" fieldPosition="0">
        <references count="4">
          <reference field="3" count="1" selected="0">
            <x v="356"/>
          </reference>
          <reference field="4" count="1" selected="0">
            <x v="4512"/>
          </reference>
          <reference field="11" count="1" selected="0">
            <x v="12"/>
          </reference>
          <reference field="14" count="1">
            <x v="428"/>
          </reference>
        </references>
      </pivotArea>
    </format>
    <format dxfId="819">
      <pivotArea dataOnly="0" labelOnly="1" outline="0" fieldPosition="0">
        <references count="4">
          <reference field="3" count="1" selected="0">
            <x v="360"/>
          </reference>
          <reference field="4" count="1" selected="0">
            <x v="7714"/>
          </reference>
          <reference field="11" count="1" selected="0">
            <x v="12"/>
          </reference>
          <reference field="14" count="1">
            <x v="755"/>
          </reference>
        </references>
      </pivotArea>
    </format>
    <format dxfId="818">
      <pivotArea dataOnly="0" labelOnly="1" outline="0" fieldPosition="0">
        <references count="4">
          <reference field="3" count="1" selected="0">
            <x v="375"/>
          </reference>
          <reference field="4" count="1" selected="0">
            <x v="5837"/>
          </reference>
          <reference field="11" count="1" selected="0">
            <x v="11"/>
          </reference>
          <reference field="14" count="1">
            <x v="129"/>
          </reference>
        </references>
      </pivotArea>
    </format>
    <format dxfId="817">
      <pivotArea dataOnly="0" labelOnly="1" outline="0" fieldPosition="0">
        <references count="4">
          <reference field="3" count="1" selected="0">
            <x v="379"/>
          </reference>
          <reference field="4" count="1" selected="0">
            <x v="3926"/>
          </reference>
          <reference field="11" count="1" selected="0">
            <x v="12"/>
          </reference>
          <reference field="14" count="1">
            <x v="255"/>
          </reference>
        </references>
      </pivotArea>
    </format>
    <format dxfId="816">
      <pivotArea dataOnly="0" labelOnly="1" outline="0" fieldPosition="0">
        <references count="4">
          <reference field="3" count="1" selected="0">
            <x v="388"/>
          </reference>
          <reference field="4" count="1" selected="0">
            <x v="1359"/>
          </reference>
          <reference field="11" count="1" selected="0">
            <x v="12"/>
          </reference>
          <reference field="14" count="1">
            <x v="204"/>
          </reference>
        </references>
      </pivotArea>
    </format>
    <format dxfId="815">
      <pivotArea dataOnly="0" labelOnly="1" outline="0" fieldPosition="0">
        <references count="4">
          <reference field="3" count="1" selected="0">
            <x v="398"/>
          </reference>
          <reference field="4" count="1" selected="0">
            <x v="3374"/>
          </reference>
          <reference field="11" count="1" selected="0">
            <x v="12"/>
          </reference>
          <reference field="14" count="1">
            <x v="500"/>
          </reference>
        </references>
      </pivotArea>
    </format>
    <format dxfId="814">
      <pivotArea dataOnly="0" labelOnly="1" outline="0" fieldPosition="0">
        <references count="4">
          <reference field="3" count="1" selected="0">
            <x v="458"/>
          </reference>
          <reference field="4" count="1" selected="0">
            <x v="4334"/>
          </reference>
          <reference field="11" count="1" selected="0">
            <x v="12"/>
          </reference>
          <reference field="14" count="1">
            <x v="402"/>
          </reference>
        </references>
      </pivotArea>
    </format>
    <format dxfId="813">
      <pivotArea dataOnly="0" labelOnly="1" outline="0" fieldPosition="0">
        <references count="4">
          <reference field="3" count="1" selected="0">
            <x v="460"/>
          </reference>
          <reference field="4" count="1" selected="0">
            <x v="4064"/>
          </reference>
          <reference field="11" count="1" selected="0">
            <x v="12"/>
          </reference>
          <reference field="14" count="1">
            <x v="373"/>
          </reference>
        </references>
      </pivotArea>
    </format>
    <format dxfId="812">
      <pivotArea dataOnly="0" labelOnly="1" outline="0" fieldPosition="0">
        <references count="4">
          <reference field="3" count="1" selected="0">
            <x v="477"/>
          </reference>
          <reference field="4" count="1" selected="0">
            <x v="1442"/>
          </reference>
          <reference field="11" count="1" selected="0">
            <x v="12"/>
          </reference>
          <reference field="14" count="1">
            <x v="684"/>
          </reference>
        </references>
      </pivotArea>
    </format>
    <format dxfId="811">
      <pivotArea dataOnly="0" labelOnly="1" outline="0" fieldPosition="0">
        <references count="4">
          <reference field="3" count="1" selected="0">
            <x v="480"/>
          </reference>
          <reference field="4" count="1" selected="0">
            <x v="1050"/>
          </reference>
          <reference field="11" count="1" selected="0">
            <x v="12"/>
          </reference>
          <reference field="14" count="1">
            <x v="119"/>
          </reference>
        </references>
      </pivotArea>
    </format>
    <format dxfId="810">
      <pivotArea dataOnly="0" labelOnly="1" outline="0" fieldPosition="0">
        <references count="4">
          <reference field="3" count="1" selected="0">
            <x v="481"/>
          </reference>
          <reference field="4" count="1" selected="0">
            <x v="6290"/>
          </reference>
          <reference field="11" count="1" selected="0">
            <x v="12"/>
          </reference>
          <reference field="14" count="1">
            <x v="757"/>
          </reference>
        </references>
      </pivotArea>
    </format>
    <format dxfId="809">
      <pivotArea dataOnly="0" labelOnly="1" outline="0" fieldPosition="0">
        <references count="4">
          <reference field="3" count="1" selected="0">
            <x v="492"/>
          </reference>
          <reference field="4" count="1" selected="0">
            <x v="11"/>
          </reference>
          <reference field="11" count="1" selected="0">
            <x v="11"/>
          </reference>
          <reference field="14" count="1">
            <x v="3"/>
          </reference>
        </references>
      </pivotArea>
    </format>
    <format dxfId="808">
      <pivotArea dataOnly="0" labelOnly="1" outline="0" fieldPosition="0">
        <references count="4">
          <reference field="3" count="1" selected="0">
            <x v="503"/>
          </reference>
          <reference field="4" count="1" selected="0">
            <x v="1492"/>
          </reference>
          <reference field="11" count="1" selected="0">
            <x v="11"/>
          </reference>
          <reference field="14" count="1">
            <x v="277"/>
          </reference>
        </references>
      </pivotArea>
    </format>
    <format dxfId="807">
      <pivotArea dataOnly="0" labelOnly="1" outline="0" fieldPosition="0">
        <references count="4">
          <reference field="3" count="1" selected="0">
            <x v="535"/>
          </reference>
          <reference field="4" count="1" selected="0">
            <x v="553"/>
          </reference>
          <reference field="11" count="1" selected="0">
            <x v="12"/>
          </reference>
          <reference field="14" count="1">
            <x v="689"/>
          </reference>
        </references>
      </pivotArea>
    </format>
    <format dxfId="806">
      <pivotArea dataOnly="0" labelOnly="1" outline="0" fieldPosition="0">
        <references count="4">
          <reference field="3" count="1" selected="0">
            <x v="541"/>
          </reference>
          <reference field="4" count="1" selected="0">
            <x v="7595"/>
          </reference>
          <reference field="11" count="1" selected="0">
            <x v="12"/>
          </reference>
          <reference field="14" count="1">
            <x v="189"/>
          </reference>
        </references>
      </pivotArea>
    </format>
    <format dxfId="805">
      <pivotArea dataOnly="0" labelOnly="1" outline="0" fieldPosition="0">
        <references count="4">
          <reference field="3" count="1" selected="0">
            <x v="558"/>
          </reference>
          <reference field="4" count="1" selected="0">
            <x v="4323"/>
          </reference>
          <reference field="11" count="1" selected="0">
            <x v="12"/>
          </reference>
          <reference field="14" count="1">
            <x v="854"/>
          </reference>
        </references>
      </pivotArea>
    </format>
    <format dxfId="804">
      <pivotArea dataOnly="0" labelOnly="1" outline="0" fieldPosition="0">
        <references count="4">
          <reference field="3" count="1" selected="0">
            <x v="587"/>
          </reference>
          <reference field="4" count="1" selected="0">
            <x v="5225"/>
          </reference>
          <reference field="11" count="1" selected="0">
            <x v="11"/>
          </reference>
          <reference field="14" count="1">
            <x v="450"/>
          </reference>
        </references>
      </pivotArea>
    </format>
    <format dxfId="803">
      <pivotArea dataOnly="0" labelOnly="1" outline="0" fieldPosition="0">
        <references count="4">
          <reference field="3" count="1" selected="0">
            <x v="599"/>
          </reference>
          <reference field="4" count="1" selected="0">
            <x v="7760"/>
          </reference>
          <reference field="11" count="1" selected="0">
            <x v="12"/>
          </reference>
          <reference field="14" count="1">
            <x v="916"/>
          </reference>
        </references>
      </pivotArea>
    </format>
    <format dxfId="802">
      <pivotArea dataOnly="0" labelOnly="1" outline="0" fieldPosition="0">
        <references count="4">
          <reference field="3" count="1" selected="0">
            <x v="622"/>
          </reference>
          <reference field="4" count="1" selected="0">
            <x v="1430"/>
          </reference>
          <reference field="11" count="1" selected="0">
            <x v="12"/>
          </reference>
          <reference field="14" count="1">
            <x v="87"/>
          </reference>
        </references>
      </pivotArea>
    </format>
    <format dxfId="801">
      <pivotArea dataOnly="0" labelOnly="1" outline="0" fieldPosition="0">
        <references count="4">
          <reference field="3" count="1" selected="0">
            <x v="625"/>
          </reference>
          <reference field="4" count="1" selected="0">
            <x v="5737"/>
          </reference>
          <reference field="11" count="1" selected="0">
            <x v="12"/>
          </reference>
          <reference field="14" count="1">
            <x v="852"/>
          </reference>
        </references>
      </pivotArea>
    </format>
    <format dxfId="800">
      <pivotArea dataOnly="0" labelOnly="1" outline="0" fieldPosition="0">
        <references count="4">
          <reference field="3" count="1" selected="0">
            <x v="683"/>
          </reference>
          <reference field="4" count="1" selected="0">
            <x v="4580"/>
          </reference>
          <reference field="11" count="1" selected="0">
            <x v="12"/>
          </reference>
          <reference field="14" count="1">
            <x v="365"/>
          </reference>
        </references>
      </pivotArea>
    </format>
    <format dxfId="799">
      <pivotArea dataOnly="0" labelOnly="1" outline="0" fieldPosition="0">
        <references count="4">
          <reference field="3" count="1" selected="0">
            <x v="695"/>
          </reference>
          <reference field="4" count="1" selected="0">
            <x v="5188"/>
          </reference>
          <reference field="11" count="1" selected="0">
            <x v="12"/>
          </reference>
          <reference field="14" count="1">
            <x v="721"/>
          </reference>
        </references>
      </pivotArea>
    </format>
    <format dxfId="798">
      <pivotArea dataOnly="0" labelOnly="1" outline="0" fieldPosition="0">
        <references count="4">
          <reference field="3" count="1" selected="0">
            <x v="709"/>
          </reference>
          <reference field="4" count="1" selected="0">
            <x v="4898"/>
          </reference>
          <reference field="11" count="1" selected="0">
            <x v="12"/>
          </reference>
          <reference field="14" count="1">
            <x v="895"/>
          </reference>
        </references>
      </pivotArea>
    </format>
    <format dxfId="797">
      <pivotArea dataOnly="0" labelOnly="1" outline="0" fieldPosition="0">
        <references count="4">
          <reference field="3" count="1" selected="0">
            <x v="718"/>
          </reference>
          <reference field="4" count="1" selected="0">
            <x v="92"/>
          </reference>
          <reference field="11" count="1" selected="0">
            <x v="12"/>
          </reference>
          <reference field="14" count="1">
            <x v="862"/>
          </reference>
        </references>
      </pivotArea>
    </format>
    <format dxfId="796">
      <pivotArea dataOnly="0" labelOnly="1" outline="0" fieldPosition="0">
        <references count="4">
          <reference field="3" count="1" selected="0">
            <x v="730"/>
          </reference>
          <reference field="4" count="1" selected="0">
            <x v="6875"/>
          </reference>
          <reference field="11" count="1" selected="0">
            <x v="12"/>
          </reference>
          <reference field="14" count="1">
            <x v="834"/>
          </reference>
        </references>
      </pivotArea>
    </format>
    <format dxfId="795">
      <pivotArea dataOnly="0" labelOnly="1" outline="0" fieldPosition="0">
        <references count="4">
          <reference field="3" count="1" selected="0">
            <x v="745"/>
          </reference>
          <reference field="4" count="1" selected="0">
            <x v="6562"/>
          </reference>
          <reference field="11" count="1" selected="0">
            <x v="12"/>
          </reference>
          <reference field="14" count="1">
            <x v="876"/>
          </reference>
        </references>
      </pivotArea>
    </format>
    <format dxfId="794">
      <pivotArea dataOnly="0" labelOnly="1" outline="0" fieldPosition="0">
        <references count="4">
          <reference field="3" count="1" selected="0">
            <x v="756"/>
          </reference>
          <reference field="4" count="1" selected="0">
            <x v="4061"/>
          </reference>
          <reference field="11" count="1" selected="0">
            <x v="12"/>
          </reference>
          <reference field="14" count="1">
            <x v="99"/>
          </reference>
        </references>
      </pivotArea>
    </format>
    <format dxfId="793">
      <pivotArea dataOnly="0" labelOnly="1" outline="0" fieldPosition="0">
        <references count="4">
          <reference field="3" count="1" selected="0">
            <x v="759"/>
          </reference>
          <reference field="4" count="1" selected="0">
            <x v="805"/>
          </reference>
          <reference field="11" count="1" selected="0">
            <x v="12"/>
          </reference>
          <reference field="14" count="1">
            <x v="107"/>
          </reference>
        </references>
      </pivotArea>
    </format>
    <format dxfId="792">
      <pivotArea dataOnly="0" labelOnly="1" outline="0" fieldPosition="0">
        <references count="4">
          <reference field="3" count="1" selected="0">
            <x v="774"/>
          </reference>
          <reference field="4" count="1" selected="0">
            <x v="2379"/>
          </reference>
          <reference field="11" count="1" selected="0">
            <x v="12"/>
          </reference>
          <reference field="14" count="1">
            <x v="468"/>
          </reference>
        </references>
      </pivotArea>
    </format>
    <format dxfId="791">
      <pivotArea dataOnly="0" labelOnly="1" outline="0" fieldPosition="0">
        <references count="4">
          <reference field="3" count="1" selected="0">
            <x v="782"/>
          </reference>
          <reference field="4" count="1" selected="0">
            <x v="1293"/>
          </reference>
          <reference field="11" count="1" selected="0">
            <x v="11"/>
          </reference>
          <reference field="14" count="1">
            <x v="263"/>
          </reference>
        </references>
      </pivotArea>
    </format>
    <format dxfId="790">
      <pivotArea dataOnly="0" labelOnly="1" outline="0" fieldPosition="0">
        <references count="4">
          <reference field="3" count="1" selected="0">
            <x v="809"/>
          </reference>
          <reference field="4" count="1" selected="0">
            <x v="6775"/>
          </reference>
          <reference field="11" count="1" selected="0">
            <x v="12"/>
          </reference>
          <reference field="14" count="1">
            <x v="116"/>
          </reference>
        </references>
      </pivotArea>
    </format>
    <format dxfId="789">
      <pivotArea dataOnly="0" labelOnly="1" outline="0" fieldPosition="0">
        <references count="4">
          <reference field="3" count="1" selected="0">
            <x v="839"/>
          </reference>
          <reference field="4" count="1" selected="0">
            <x v="7371"/>
          </reference>
          <reference field="11" count="1" selected="0">
            <x v="12"/>
          </reference>
          <reference field="14" count="1">
            <x v="219"/>
          </reference>
        </references>
      </pivotArea>
    </format>
    <format dxfId="788">
      <pivotArea dataOnly="0" labelOnly="1" outline="0" fieldPosition="0">
        <references count="4">
          <reference field="3" count="1" selected="0">
            <x v="850"/>
          </reference>
          <reference field="4" count="1" selected="0">
            <x v="1239"/>
          </reference>
          <reference field="11" count="1" selected="0">
            <x v="12"/>
          </reference>
          <reference field="14" count="1">
            <x v="873"/>
          </reference>
        </references>
      </pivotArea>
    </format>
    <format dxfId="787">
      <pivotArea dataOnly="0" labelOnly="1" outline="0" fieldPosition="0">
        <references count="4">
          <reference field="3" count="1" selected="0">
            <x v="873"/>
          </reference>
          <reference field="4" count="1" selected="0">
            <x v="6413"/>
          </reference>
          <reference field="11" count="1" selected="0">
            <x v="12"/>
          </reference>
          <reference field="14" count="1">
            <x v="72"/>
          </reference>
        </references>
      </pivotArea>
    </format>
    <format dxfId="786">
      <pivotArea dataOnly="0" labelOnly="1" outline="0" fieldPosition="0">
        <references count="4">
          <reference field="3" count="1" selected="0">
            <x v="881"/>
          </reference>
          <reference field="4" count="1" selected="0">
            <x v="2711"/>
          </reference>
          <reference field="11" count="1" selected="0">
            <x v="12"/>
          </reference>
          <reference field="14" count="1">
            <x v="291"/>
          </reference>
        </references>
      </pivotArea>
    </format>
    <format dxfId="785">
      <pivotArea dataOnly="0" labelOnly="1" outline="0" fieldPosition="0">
        <references count="4">
          <reference field="3" count="1" selected="0">
            <x v="884"/>
          </reference>
          <reference field="4" count="1" selected="0">
            <x v="6627"/>
          </reference>
          <reference field="11" count="1" selected="0">
            <x v="12"/>
          </reference>
          <reference field="14" count="1">
            <x v="100"/>
          </reference>
        </references>
      </pivotArea>
    </format>
    <format dxfId="784">
      <pivotArea dataOnly="0" labelOnly="1" outline="0" fieldPosition="0">
        <references count="4">
          <reference field="3" count="1" selected="0">
            <x v="913"/>
          </reference>
          <reference field="4" count="1" selected="0">
            <x v="5242"/>
          </reference>
          <reference field="11" count="1" selected="0">
            <x v="12"/>
          </reference>
          <reference field="14" count="1">
            <x v="813"/>
          </reference>
        </references>
      </pivotArea>
    </format>
    <format dxfId="783">
      <pivotArea dataOnly="0" labelOnly="1" outline="0" fieldPosition="0">
        <references count="4">
          <reference field="3" count="1" selected="0">
            <x v="948"/>
          </reference>
          <reference field="4" count="1" selected="0">
            <x v="1294"/>
          </reference>
          <reference field="11" count="1" selected="0">
            <x v="12"/>
          </reference>
          <reference field="14" count="1">
            <x v="197"/>
          </reference>
        </references>
      </pivotArea>
    </format>
    <format dxfId="782">
      <pivotArea dataOnly="0" labelOnly="1" outline="0" fieldPosition="0">
        <references count="4">
          <reference field="3" count="1" selected="0">
            <x v="971"/>
          </reference>
          <reference field="4" count="1" selected="0">
            <x v="3574"/>
          </reference>
          <reference field="11" count="1" selected="0">
            <x v="12"/>
          </reference>
          <reference field="14" count="1">
            <x v="180"/>
          </reference>
        </references>
      </pivotArea>
    </format>
    <format dxfId="781">
      <pivotArea dataOnly="0" labelOnly="1" outline="0" fieldPosition="0">
        <references count="4">
          <reference field="3" count="1" selected="0">
            <x v="997"/>
          </reference>
          <reference field="4" count="1" selected="0">
            <x v="1759"/>
          </reference>
          <reference field="11" count="1" selected="0">
            <x v="12"/>
          </reference>
          <reference field="14" count="1">
            <x v="867"/>
          </reference>
        </references>
      </pivotArea>
    </format>
    <format dxfId="780">
      <pivotArea dataOnly="0" labelOnly="1" outline="0" fieldPosition="0">
        <references count="4">
          <reference field="3" count="1" selected="0">
            <x v="1003"/>
          </reference>
          <reference field="4" count="1" selected="0">
            <x v="961"/>
          </reference>
          <reference field="11" count="1" selected="0">
            <x v="12"/>
          </reference>
          <reference field="14" count="1">
            <x v="899"/>
          </reference>
        </references>
      </pivotArea>
    </format>
    <format dxfId="779">
      <pivotArea dataOnly="0" labelOnly="1" outline="0" fieldPosition="0">
        <references count="4">
          <reference field="3" count="1" selected="0">
            <x v="1011"/>
          </reference>
          <reference field="4" count="1" selected="0">
            <x v="5221"/>
          </reference>
          <reference field="11" count="1" selected="0">
            <x v="12"/>
          </reference>
          <reference field="14" count="1">
            <x v="162"/>
          </reference>
        </references>
      </pivotArea>
    </format>
    <format dxfId="778">
      <pivotArea dataOnly="0" labelOnly="1" outline="0" fieldPosition="0">
        <references count="4">
          <reference field="3" count="1" selected="0">
            <x v="1020"/>
          </reference>
          <reference field="4" count="1" selected="0">
            <x v="7538"/>
          </reference>
          <reference field="11" count="1" selected="0">
            <x v="12"/>
          </reference>
          <reference field="14" count="1">
            <x v="457"/>
          </reference>
        </references>
      </pivotArea>
    </format>
    <format dxfId="777">
      <pivotArea dataOnly="0" labelOnly="1" outline="0" fieldPosition="0">
        <references count="4">
          <reference field="3" count="1" selected="0">
            <x v="1038"/>
          </reference>
          <reference field="4" count="1" selected="0">
            <x v="5758"/>
          </reference>
          <reference field="11" count="1" selected="0">
            <x v="12"/>
          </reference>
          <reference field="14" count="1">
            <x v="291"/>
          </reference>
        </references>
      </pivotArea>
    </format>
    <format dxfId="776">
      <pivotArea dataOnly="0" labelOnly="1" outline="0" fieldPosition="0">
        <references count="4">
          <reference field="3" count="1" selected="0">
            <x v="1040"/>
          </reference>
          <reference field="4" count="1" selected="0">
            <x v="868"/>
          </reference>
          <reference field="11" count="1" selected="0">
            <x v="12"/>
          </reference>
          <reference field="14" count="1">
            <x v="137"/>
          </reference>
        </references>
      </pivotArea>
    </format>
    <format dxfId="775">
      <pivotArea dataOnly="0" labelOnly="1" outline="0" fieldPosition="0">
        <references count="4">
          <reference field="3" count="1" selected="0">
            <x v="1066"/>
          </reference>
          <reference field="4" count="1" selected="0">
            <x v="109"/>
          </reference>
          <reference field="11" count="1" selected="0">
            <x v="12"/>
          </reference>
          <reference field="14" count="1">
            <x v="535"/>
          </reference>
        </references>
      </pivotArea>
    </format>
    <format dxfId="774">
      <pivotArea dataOnly="0" labelOnly="1" outline="0" fieldPosition="0">
        <references count="4">
          <reference field="3" count="1" selected="0">
            <x v="1069"/>
          </reference>
          <reference field="4" count="1" selected="0">
            <x v="3787"/>
          </reference>
          <reference field="11" count="1" selected="0">
            <x v="11"/>
          </reference>
          <reference field="14" count="1">
            <x v="635"/>
          </reference>
        </references>
      </pivotArea>
    </format>
    <format dxfId="773">
      <pivotArea dataOnly="0" labelOnly="1" outline="0" fieldPosition="0">
        <references count="4">
          <reference field="3" count="1" selected="0">
            <x v="1077"/>
          </reference>
          <reference field="4" count="1" selected="0">
            <x v="6845"/>
          </reference>
          <reference field="11" count="1" selected="0">
            <x v="11"/>
          </reference>
          <reference field="14" count="1">
            <x v="289"/>
          </reference>
        </references>
      </pivotArea>
    </format>
    <format dxfId="772">
      <pivotArea dataOnly="0" labelOnly="1" outline="0" fieldPosition="0">
        <references count="4">
          <reference field="3" count="1" selected="0">
            <x v="1113"/>
          </reference>
          <reference field="4" count="1" selected="0">
            <x v="112"/>
          </reference>
          <reference field="11" count="1" selected="0">
            <x v="12"/>
          </reference>
          <reference field="14" count="1">
            <x v="974"/>
          </reference>
        </references>
      </pivotArea>
    </format>
    <format dxfId="771">
      <pivotArea dataOnly="0" labelOnly="1" outline="0" fieldPosition="0">
        <references count="4">
          <reference field="3" count="1" selected="0">
            <x v="1129"/>
          </reference>
          <reference field="4" count="1" selected="0">
            <x v="1803"/>
          </reference>
          <reference field="11" count="1" selected="0">
            <x v="12"/>
          </reference>
          <reference field="14" count="1">
            <x v="895"/>
          </reference>
        </references>
      </pivotArea>
    </format>
    <format dxfId="770">
      <pivotArea dataOnly="0" labelOnly="1" outline="0" fieldPosition="0">
        <references count="4">
          <reference field="3" count="1" selected="0">
            <x v="1141"/>
          </reference>
          <reference field="4" count="1" selected="0">
            <x v="962"/>
          </reference>
          <reference field="11" count="1" selected="0">
            <x v="12"/>
          </reference>
          <reference field="14" count="1">
            <x v="902"/>
          </reference>
        </references>
      </pivotArea>
    </format>
    <format dxfId="769">
      <pivotArea dataOnly="0" labelOnly="1" outline="0" fieldPosition="0">
        <references count="4">
          <reference field="3" count="1" selected="0">
            <x v="1144"/>
          </reference>
          <reference field="4" count="1" selected="0">
            <x v="4719"/>
          </reference>
          <reference field="11" count="1" selected="0">
            <x v="12"/>
          </reference>
          <reference field="14" count="1">
            <x v="974"/>
          </reference>
        </references>
      </pivotArea>
    </format>
    <format dxfId="768">
      <pivotArea dataOnly="0" labelOnly="1" outline="0" fieldPosition="0">
        <references count="4">
          <reference field="3" count="1" selected="0">
            <x v="1167"/>
          </reference>
          <reference field="4" count="1" selected="0">
            <x v="6179"/>
          </reference>
          <reference field="11" count="1" selected="0">
            <x v="11"/>
          </reference>
          <reference field="14" count="1">
            <x v="552"/>
          </reference>
        </references>
      </pivotArea>
    </format>
    <format dxfId="767">
      <pivotArea dataOnly="0" labelOnly="1" outline="0" fieldPosition="0">
        <references count="4">
          <reference field="3" count="1" selected="0">
            <x v="1189"/>
          </reference>
          <reference field="4" count="1" selected="0">
            <x v="3938"/>
          </reference>
          <reference field="11" count="1" selected="0">
            <x v="12"/>
          </reference>
          <reference field="14" count="1">
            <x v="643"/>
          </reference>
        </references>
      </pivotArea>
    </format>
    <format dxfId="766">
      <pivotArea dataOnly="0" labelOnly="1" outline="0" fieldPosition="0">
        <references count="4">
          <reference field="3" count="1" selected="0">
            <x v="1196"/>
          </reference>
          <reference field="4" count="1" selected="0">
            <x v="3719"/>
          </reference>
          <reference field="11" count="1" selected="0">
            <x v="11"/>
          </reference>
          <reference field="14" count="1">
            <x v="875"/>
          </reference>
        </references>
      </pivotArea>
    </format>
    <format dxfId="765">
      <pivotArea dataOnly="0" labelOnly="1" outline="0" fieldPosition="0">
        <references count="4">
          <reference field="3" count="1" selected="0">
            <x v="1198"/>
          </reference>
          <reference field="4" count="1" selected="0">
            <x v="143"/>
          </reference>
          <reference field="11" count="1" selected="0">
            <x v="12"/>
          </reference>
          <reference field="14" count="1">
            <x v="547"/>
          </reference>
        </references>
      </pivotArea>
    </format>
    <format dxfId="764">
      <pivotArea dataOnly="0" labelOnly="1" outline="0" fieldPosition="0">
        <references count="4">
          <reference field="3" count="1" selected="0">
            <x v="1204"/>
          </reference>
          <reference field="4" count="1" selected="0">
            <x v="2183"/>
          </reference>
          <reference field="11" count="1" selected="0">
            <x v="12"/>
          </reference>
          <reference field="14" count="1">
            <x v="759"/>
          </reference>
        </references>
      </pivotArea>
    </format>
    <format dxfId="763">
      <pivotArea dataOnly="0" labelOnly="1" outline="0" fieldPosition="0">
        <references count="4">
          <reference field="3" count="1" selected="0">
            <x v="1210"/>
          </reference>
          <reference field="4" count="1" selected="0">
            <x v="4917"/>
          </reference>
          <reference field="11" count="1" selected="0">
            <x v="12"/>
          </reference>
          <reference field="14" count="1">
            <x v="554"/>
          </reference>
        </references>
      </pivotArea>
    </format>
    <format dxfId="762">
      <pivotArea dataOnly="0" labelOnly="1" outline="0" fieldPosition="0">
        <references count="4">
          <reference field="3" count="1" selected="0">
            <x v="1222"/>
          </reference>
          <reference field="4" count="1" selected="0">
            <x v="2602"/>
          </reference>
          <reference field="11" count="1" selected="0">
            <x v="12"/>
          </reference>
          <reference field="14" count="1">
            <x v="605"/>
          </reference>
        </references>
      </pivotArea>
    </format>
    <format dxfId="761">
      <pivotArea dataOnly="0" labelOnly="1" outline="0" fieldPosition="0">
        <references count="4">
          <reference field="3" count="1" selected="0">
            <x v="1226"/>
          </reference>
          <reference field="4" count="1" selected="0">
            <x v="3567"/>
          </reference>
          <reference field="11" count="1" selected="0">
            <x v="12"/>
          </reference>
          <reference field="14" count="1">
            <x v="480"/>
          </reference>
        </references>
      </pivotArea>
    </format>
    <format dxfId="760">
      <pivotArea dataOnly="0" labelOnly="1" outline="0" fieldPosition="0">
        <references count="4">
          <reference field="3" count="1" selected="0">
            <x v="1261"/>
          </reference>
          <reference field="4" count="1" selected="0">
            <x v="4852"/>
          </reference>
          <reference field="11" count="1" selected="0">
            <x v="12"/>
          </reference>
          <reference field="14" count="1">
            <x v="423"/>
          </reference>
        </references>
      </pivotArea>
    </format>
    <format dxfId="759">
      <pivotArea dataOnly="0" labelOnly="1" outline="0" fieldPosition="0">
        <references count="4">
          <reference field="3" count="1" selected="0">
            <x v="1262"/>
          </reference>
          <reference field="4" count="1" selected="0">
            <x v="6041"/>
          </reference>
          <reference field="11" count="1" selected="0">
            <x v="12"/>
          </reference>
          <reference field="14" count="1">
            <x v="876"/>
          </reference>
        </references>
      </pivotArea>
    </format>
    <format dxfId="758">
      <pivotArea dataOnly="0" labelOnly="1" outline="0" fieldPosition="0">
        <references count="4">
          <reference field="3" count="1" selected="0">
            <x v="1285"/>
          </reference>
          <reference field="4" count="1" selected="0">
            <x v="4354"/>
          </reference>
          <reference field="11" count="1" selected="0">
            <x v="12"/>
          </reference>
          <reference field="14" count="1">
            <x v="780"/>
          </reference>
        </references>
      </pivotArea>
    </format>
    <format dxfId="757">
      <pivotArea dataOnly="0" labelOnly="1" outline="0" fieldPosition="0">
        <references count="4">
          <reference field="3" count="1" selected="0">
            <x v="1288"/>
          </reference>
          <reference field="4" count="1" selected="0">
            <x v="7233"/>
          </reference>
          <reference field="11" count="1" selected="0">
            <x v="12"/>
          </reference>
          <reference field="14" count="1">
            <x v="495"/>
          </reference>
        </references>
      </pivotArea>
    </format>
    <format dxfId="756">
      <pivotArea dataOnly="0" labelOnly="1" outline="0" fieldPosition="0">
        <references count="4">
          <reference field="3" count="1" selected="0">
            <x v="1291"/>
          </reference>
          <reference field="4" count="1" selected="0">
            <x v="2404"/>
          </reference>
          <reference field="11" count="1" selected="0">
            <x v="12"/>
          </reference>
          <reference field="14" count="1">
            <x v="555"/>
          </reference>
        </references>
      </pivotArea>
    </format>
    <format dxfId="755">
      <pivotArea dataOnly="0" labelOnly="1" outline="0" fieldPosition="0">
        <references count="4">
          <reference field="3" count="1" selected="0">
            <x v="1343"/>
          </reference>
          <reference field="4" count="1" selected="0">
            <x v="4224"/>
          </reference>
          <reference field="11" count="1" selected="0">
            <x v="12"/>
          </reference>
          <reference field="14" count="1">
            <x v="745"/>
          </reference>
        </references>
      </pivotArea>
    </format>
    <format dxfId="754">
      <pivotArea dataOnly="0" labelOnly="1" outline="0" fieldPosition="0">
        <references count="4">
          <reference field="3" count="1" selected="0">
            <x v="1353"/>
          </reference>
          <reference field="4" count="1" selected="0">
            <x v="7033"/>
          </reference>
          <reference field="11" count="1" selected="0">
            <x v="12"/>
          </reference>
          <reference field="14" count="1">
            <x v="474"/>
          </reference>
        </references>
      </pivotArea>
    </format>
    <format dxfId="753">
      <pivotArea dataOnly="0" labelOnly="1" outline="0" fieldPosition="0">
        <references count="4">
          <reference field="3" count="1" selected="0">
            <x v="1383"/>
          </reference>
          <reference field="4" count="1" selected="0">
            <x v="3868"/>
          </reference>
          <reference field="11" count="1" selected="0">
            <x v="12"/>
          </reference>
          <reference field="14" count="1">
            <x v="803"/>
          </reference>
        </references>
      </pivotArea>
    </format>
    <format dxfId="752">
      <pivotArea dataOnly="0" labelOnly="1" outline="0" fieldPosition="0">
        <references count="4">
          <reference field="3" count="1" selected="0">
            <x v="1391"/>
          </reference>
          <reference field="4" count="1" selected="0">
            <x v="3674"/>
          </reference>
          <reference field="11" count="1" selected="0">
            <x v="12"/>
          </reference>
          <reference field="14" count="1">
            <x v="260"/>
          </reference>
        </references>
      </pivotArea>
    </format>
    <format dxfId="751">
      <pivotArea dataOnly="0" labelOnly="1" outline="0" fieldPosition="0">
        <references count="4">
          <reference field="3" count="1" selected="0">
            <x v="1415"/>
          </reference>
          <reference field="4" count="1" selected="0">
            <x v="65"/>
          </reference>
          <reference field="11" count="1" selected="0">
            <x v="12"/>
          </reference>
          <reference field="14" count="1">
            <x v="899"/>
          </reference>
        </references>
      </pivotArea>
    </format>
    <format dxfId="750">
      <pivotArea dataOnly="0" labelOnly="1" outline="0" fieldPosition="0">
        <references count="4">
          <reference field="3" count="1" selected="0">
            <x v="1427"/>
          </reference>
          <reference field="4" count="1" selected="0">
            <x v="7919"/>
          </reference>
          <reference field="11" count="1" selected="0">
            <x v="12"/>
          </reference>
          <reference field="14" count="1">
            <x v="829"/>
          </reference>
        </references>
      </pivotArea>
    </format>
    <format dxfId="749">
      <pivotArea dataOnly="0" labelOnly="1" outline="0" fieldPosition="0">
        <references count="4">
          <reference field="3" count="1" selected="0">
            <x v="1435"/>
          </reference>
          <reference field="4" count="1" selected="0">
            <x v="3236"/>
          </reference>
          <reference field="11" count="1" selected="0">
            <x v="12"/>
          </reference>
          <reference field="14" count="1">
            <x v="751"/>
          </reference>
        </references>
      </pivotArea>
    </format>
    <format dxfId="748">
      <pivotArea dataOnly="0" labelOnly="1" outline="0" fieldPosition="0">
        <references count="4">
          <reference field="3" count="1" selected="0">
            <x v="1449"/>
          </reference>
          <reference field="4" count="1" selected="0">
            <x v="124"/>
          </reference>
          <reference field="11" count="1" selected="0">
            <x v="12"/>
          </reference>
          <reference field="14" count="1">
            <x v="871"/>
          </reference>
        </references>
      </pivotArea>
    </format>
    <format dxfId="747">
      <pivotArea dataOnly="0" labelOnly="1" outline="0" fieldPosition="0">
        <references count="4">
          <reference field="3" count="1" selected="0">
            <x v="1452"/>
          </reference>
          <reference field="4" count="1" selected="0">
            <x v="5876"/>
          </reference>
          <reference field="11" count="1" selected="0">
            <x v="12"/>
          </reference>
          <reference field="14" count="1">
            <x v="794"/>
          </reference>
        </references>
      </pivotArea>
    </format>
    <format dxfId="746">
      <pivotArea dataOnly="0" labelOnly="1" outline="0" fieldPosition="0">
        <references count="4">
          <reference field="3" count="1" selected="0">
            <x v="1482"/>
          </reference>
          <reference field="4" count="1" selected="0">
            <x v="806"/>
          </reference>
          <reference field="11" count="1" selected="0">
            <x v="12"/>
          </reference>
          <reference field="14" count="1">
            <x v="346"/>
          </reference>
        </references>
      </pivotArea>
    </format>
    <format dxfId="745">
      <pivotArea dataOnly="0" labelOnly="1" outline="0" fieldPosition="0">
        <references count="4">
          <reference field="3" count="1" selected="0">
            <x v="1511"/>
          </reference>
          <reference field="4" count="1" selected="0">
            <x v="3546"/>
          </reference>
          <reference field="11" count="1" selected="0">
            <x v="12"/>
          </reference>
          <reference field="14" count="1">
            <x v="537"/>
          </reference>
        </references>
      </pivotArea>
    </format>
    <format dxfId="744">
      <pivotArea dataOnly="0" labelOnly="1" outline="0" fieldPosition="0">
        <references count="4">
          <reference field="3" count="1" selected="0">
            <x v="1512"/>
          </reference>
          <reference field="4" count="1" selected="0">
            <x v="6736"/>
          </reference>
          <reference field="11" count="1" selected="0">
            <x v="12"/>
          </reference>
          <reference field="14" count="1">
            <x v="529"/>
          </reference>
        </references>
      </pivotArea>
    </format>
    <format dxfId="743">
      <pivotArea dataOnly="0" labelOnly="1" outline="0" fieldPosition="0">
        <references count="4">
          <reference field="3" count="1" selected="0">
            <x v="1514"/>
          </reference>
          <reference field="4" count="1" selected="0">
            <x v="4979"/>
          </reference>
          <reference field="11" count="1" selected="0">
            <x v="12"/>
          </reference>
          <reference field="14" count="1">
            <x v="864"/>
          </reference>
        </references>
      </pivotArea>
    </format>
    <format dxfId="742">
      <pivotArea dataOnly="0" labelOnly="1" outline="0" fieldPosition="0">
        <references count="4">
          <reference field="3" count="1" selected="0">
            <x v="1515"/>
          </reference>
          <reference field="4" count="1" selected="0">
            <x v="6928"/>
          </reference>
          <reference field="11" count="1" selected="0">
            <x v="12"/>
          </reference>
          <reference field="14" count="1">
            <x v="442"/>
          </reference>
        </references>
      </pivotArea>
    </format>
    <format dxfId="741">
      <pivotArea dataOnly="0" labelOnly="1" outline="0" fieldPosition="0">
        <references count="4">
          <reference field="3" count="1" selected="0">
            <x v="1534"/>
          </reference>
          <reference field="4" count="1" selected="0">
            <x v="5622"/>
          </reference>
          <reference field="11" count="1" selected="0">
            <x v="12"/>
          </reference>
          <reference field="14" count="1">
            <x v="394"/>
          </reference>
        </references>
      </pivotArea>
    </format>
    <format dxfId="740">
      <pivotArea dataOnly="0" labelOnly="1" outline="0" fieldPosition="0">
        <references count="4">
          <reference field="3" count="1" selected="0">
            <x v="1564"/>
          </reference>
          <reference field="4" count="1" selected="0">
            <x v="5654"/>
          </reference>
          <reference field="11" count="1" selected="0">
            <x v="12"/>
          </reference>
          <reference field="14" count="1">
            <x v="855"/>
          </reference>
        </references>
      </pivotArea>
    </format>
    <format dxfId="739">
      <pivotArea dataOnly="0" labelOnly="1" outline="0" fieldPosition="0">
        <references count="4">
          <reference field="3" count="1" selected="0">
            <x v="1619"/>
          </reference>
          <reference field="4" count="1" selected="0">
            <x v="669"/>
          </reference>
          <reference field="11" count="1" selected="0">
            <x v="12"/>
          </reference>
          <reference field="14" count="1">
            <x v="872"/>
          </reference>
        </references>
      </pivotArea>
    </format>
    <format dxfId="738">
      <pivotArea dataOnly="0" labelOnly="1" outline="0" fieldPosition="0">
        <references count="4">
          <reference field="3" count="1" selected="0">
            <x v="1626"/>
          </reference>
          <reference field="4" count="1" selected="0">
            <x v="2269"/>
          </reference>
          <reference field="11" count="1" selected="0">
            <x v="12"/>
          </reference>
          <reference field="14" count="1">
            <x v="974"/>
          </reference>
        </references>
      </pivotArea>
    </format>
    <format dxfId="737">
      <pivotArea dataOnly="0" labelOnly="1" outline="0" fieldPosition="0">
        <references count="4">
          <reference field="3" count="1" selected="0">
            <x v="1645"/>
          </reference>
          <reference field="4" count="1" selected="0">
            <x v="4209"/>
          </reference>
          <reference field="11" count="1" selected="0">
            <x v="12"/>
          </reference>
          <reference field="14" count="1">
            <x v="857"/>
          </reference>
        </references>
      </pivotArea>
    </format>
    <format dxfId="736">
      <pivotArea dataOnly="0" labelOnly="1" outline="0" fieldPosition="0">
        <references count="4">
          <reference field="3" count="1" selected="0">
            <x v="1647"/>
          </reference>
          <reference field="4" count="1" selected="0">
            <x v="7792"/>
          </reference>
          <reference field="11" count="1" selected="0">
            <x v="12"/>
          </reference>
          <reference field="14" count="1">
            <x v="967"/>
          </reference>
        </references>
      </pivotArea>
    </format>
    <format dxfId="735">
      <pivotArea dataOnly="0" labelOnly="1" outline="0" fieldPosition="0">
        <references count="4">
          <reference field="3" count="1" selected="0">
            <x v="1712"/>
          </reference>
          <reference field="4" count="1" selected="0">
            <x v="5408"/>
          </reference>
          <reference field="11" count="1" selected="0">
            <x v="12"/>
          </reference>
          <reference field="14" count="1">
            <x v="346"/>
          </reference>
        </references>
      </pivotArea>
    </format>
    <format dxfId="734">
      <pivotArea dataOnly="0" labelOnly="1" outline="0" fieldPosition="0">
        <references count="4">
          <reference field="3" count="1" selected="0">
            <x v="1715"/>
          </reference>
          <reference field="4" count="1" selected="0">
            <x v="1667"/>
          </reference>
          <reference field="11" count="1" selected="0">
            <x v="11"/>
          </reference>
          <reference field="14" count="1">
            <x v="276"/>
          </reference>
        </references>
      </pivotArea>
    </format>
    <format dxfId="733">
      <pivotArea dataOnly="0" labelOnly="1" outline="0" fieldPosition="0">
        <references count="4">
          <reference field="3" count="1" selected="0">
            <x v="1717"/>
          </reference>
          <reference field="4" count="1" selected="0">
            <x v="7778"/>
          </reference>
          <reference field="11" count="1" selected="0">
            <x v="12"/>
          </reference>
          <reference field="14" count="1">
            <x v="144"/>
          </reference>
        </references>
      </pivotArea>
    </format>
    <format dxfId="732">
      <pivotArea dataOnly="0" labelOnly="1" outline="0" fieldPosition="0">
        <references count="4">
          <reference field="3" count="1" selected="0">
            <x v="1720"/>
          </reference>
          <reference field="4" count="1" selected="0">
            <x v="3488"/>
          </reference>
          <reference field="11" count="1" selected="0">
            <x v="12"/>
          </reference>
          <reference field="14" count="1">
            <x v="981"/>
          </reference>
        </references>
      </pivotArea>
    </format>
    <format dxfId="731">
      <pivotArea dataOnly="0" labelOnly="1" outline="0" fieldPosition="0">
        <references count="4">
          <reference field="3" count="1" selected="0">
            <x v="1741"/>
          </reference>
          <reference field="4" count="1" selected="0">
            <x v="3358"/>
          </reference>
          <reference field="11" count="1" selected="0">
            <x v="11"/>
          </reference>
          <reference field="14" count="1">
            <x v="644"/>
          </reference>
        </references>
      </pivotArea>
    </format>
    <format dxfId="730">
      <pivotArea dataOnly="0" labelOnly="1" outline="0" fieldPosition="0">
        <references count="4">
          <reference field="3" count="1" selected="0">
            <x v="1746"/>
          </reference>
          <reference field="4" count="1" selected="0">
            <x v="274"/>
          </reference>
          <reference field="11" count="1" selected="0">
            <x v="11"/>
          </reference>
          <reference field="14" count="1">
            <x v="429"/>
          </reference>
        </references>
      </pivotArea>
    </format>
    <format dxfId="729">
      <pivotArea dataOnly="0" labelOnly="1" outline="0" fieldPosition="0">
        <references count="4">
          <reference field="3" count="1" selected="0">
            <x v="1747"/>
          </reference>
          <reference field="4" count="1" selected="0">
            <x v="7928"/>
          </reference>
          <reference field="11" count="1" selected="0">
            <x v="12"/>
          </reference>
          <reference field="14" count="1">
            <x v="869"/>
          </reference>
        </references>
      </pivotArea>
    </format>
    <format dxfId="728">
      <pivotArea dataOnly="0" labelOnly="1" outline="0" fieldPosition="0">
        <references count="4">
          <reference field="3" count="1" selected="0">
            <x v="1748"/>
          </reference>
          <reference field="4" count="1" selected="0">
            <x v="5673"/>
          </reference>
          <reference field="11" count="1" selected="0">
            <x v="12"/>
          </reference>
          <reference field="14" count="1">
            <x v="873"/>
          </reference>
        </references>
      </pivotArea>
    </format>
    <format dxfId="727">
      <pivotArea dataOnly="0" labelOnly="1" outline="0" fieldPosition="0">
        <references count="4">
          <reference field="3" count="1" selected="0">
            <x v="1750"/>
          </reference>
          <reference field="4" count="1" selected="0">
            <x v="3711"/>
          </reference>
          <reference field="11" count="1" selected="0">
            <x v="11"/>
          </reference>
          <reference field="14" count="1">
            <x v="417"/>
          </reference>
        </references>
      </pivotArea>
    </format>
    <format dxfId="726">
      <pivotArea dataOnly="0" labelOnly="1" outline="0" fieldPosition="0">
        <references count="4">
          <reference field="3" count="1" selected="0">
            <x v="1753"/>
          </reference>
          <reference field="4" count="1" selected="0">
            <x v="4606"/>
          </reference>
          <reference field="11" count="1" selected="0">
            <x v="11"/>
          </reference>
          <reference field="14" count="1">
            <x v="324"/>
          </reference>
        </references>
      </pivotArea>
    </format>
    <format dxfId="725">
      <pivotArea dataOnly="0" labelOnly="1" outline="0" fieldPosition="0">
        <references count="4">
          <reference field="3" count="1" selected="0">
            <x v="1758"/>
          </reference>
          <reference field="4" count="1" selected="0">
            <x v="982"/>
          </reference>
          <reference field="11" count="1" selected="0">
            <x v="12"/>
          </reference>
          <reference field="14" count="1">
            <x v="906"/>
          </reference>
        </references>
      </pivotArea>
    </format>
    <format dxfId="724">
      <pivotArea dataOnly="0" labelOnly="1" outline="0" fieldPosition="0">
        <references count="4">
          <reference field="3" count="1" selected="0">
            <x v="1761"/>
          </reference>
          <reference field="4" count="1" selected="0">
            <x v="737"/>
          </reference>
          <reference field="11" count="1" selected="0">
            <x v="12"/>
          </reference>
          <reference field="14" count="1">
            <x v="293"/>
          </reference>
        </references>
      </pivotArea>
    </format>
    <format dxfId="723">
      <pivotArea dataOnly="0" labelOnly="1" outline="0" fieldPosition="0">
        <references count="4">
          <reference field="3" count="1" selected="0">
            <x v="1765"/>
          </reference>
          <reference field="4" count="1" selected="0">
            <x v="1864"/>
          </reference>
          <reference field="11" count="1" selected="0">
            <x v="12"/>
          </reference>
          <reference field="14" count="1">
            <x v="771"/>
          </reference>
        </references>
      </pivotArea>
    </format>
    <format dxfId="722">
      <pivotArea dataOnly="0" labelOnly="1" outline="0" fieldPosition="0">
        <references count="4">
          <reference field="3" count="1" selected="0">
            <x v="1767"/>
          </reference>
          <reference field="4" count="1" selected="0">
            <x v="164"/>
          </reference>
          <reference field="11" count="1" selected="0">
            <x v="11"/>
          </reference>
          <reference field="14" count="1">
            <x v="819"/>
          </reference>
        </references>
      </pivotArea>
    </format>
    <format dxfId="721">
      <pivotArea dataOnly="0" labelOnly="1" outline="0" fieldPosition="0">
        <references count="4">
          <reference field="3" count="1" selected="0">
            <x v="1771"/>
          </reference>
          <reference field="4" count="1" selected="0">
            <x v="5981"/>
          </reference>
          <reference field="11" count="1" selected="0">
            <x v="12"/>
          </reference>
          <reference field="14" count="1">
            <x v="819"/>
          </reference>
        </references>
      </pivotArea>
    </format>
    <format dxfId="720">
      <pivotArea dataOnly="0" labelOnly="1" outline="0" fieldPosition="0">
        <references count="4">
          <reference field="3" count="1" selected="0">
            <x v="1783"/>
          </reference>
          <reference field="4" count="1" selected="0">
            <x v="2233"/>
          </reference>
          <reference field="11" count="1" selected="0">
            <x v="12"/>
          </reference>
          <reference field="14" count="1">
            <x v="605"/>
          </reference>
        </references>
      </pivotArea>
    </format>
    <format dxfId="719">
      <pivotArea dataOnly="0" labelOnly="1" outline="0" fieldPosition="0">
        <references count="4">
          <reference field="3" count="1" selected="0">
            <x v="1784"/>
          </reference>
          <reference field="4" count="1" selected="0">
            <x v="6326"/>
          </reference>
          <reference field="11" count="1" selected="0">
            <x v="12"/>
          </reference>
          <reference field="14" count="1">
            <x v="768"/>
          </reference>
        </references>
      </pivotArea>
    </format>
    <format dxfId="718">
      <pivotArea dataOnly="0" labelOnly="1" outline="0" fieldPosition="0">
        <references count="4">
          <reference field="3" count="1" selected="0">
            <x v="1785"/>
          </reference>
          <reference field="4" count="1" selected="0">
            <x v="693"/>
          </reference>
          <reference field="11" count="1" selected="0">
            <x v="11"/>
          </reference>
          <reference field="14" count="1">
            <x v="640"/>
          </reference>
        </references>
      </pivotArea>
    </format>
    <format dxfId="717">
      <pivotArea dataOnly="0" labelOnly="1" outline="0" fieldPosition="0">
        <references count="4">
          <reference field="3" count="1" selected="0">
            <x v="1786"/>
          </reference>
          <reference field="4" count="1" selected="0">
            <x v="597"/>
          </reference>
          <reference field="11" count="1" selected="0">
            <x v="12"/>
          </reference>
          <reference field="14" count="1">
            <x v="406"/>
          </reference>
        </references>
      </pivotArea>
    </format>
    <format dxfId="716">
      <pivotArea dataOnly="0" labelOnly="1" outline="0" fieldPosition="0">
        <references count="4">
          <reference field="3" count="1" selected="0">
            <x v="1789"/>
          </reference>
          <reference field="4" count="1" selected="0">
            <x v="7567"/>
          </reference>
          <reference field="11" count="1" selected="0">
            <x v="12"/>
          </reference>
          <reference field="14" count="1">
            <x v="472"/>
          </reference>
        </references>
      </pivotArea>
    </format>
    <format dxfId="715">
      <pivotArea dataOnly="0" labelOnly="1" outline="0" fieldPosition="0">
        <references count="4">
          <reference field="3" count="1" selected="0">
            <x v="1790"/>
          </reference>
          <reference field="4" count="1" selected="0">
            <x v="1776"/>
          </reference>
          <reference field="11" count="1" selected="0">
            <x v="12"/>
          </reference>
          <reference field="14" count="1">
            <x v="780"/>
          </reference>
        </references>
      </pivotArea>
    </format>
    <format dxfId="714">
      <pivotArea dataOnly="0" labelOnly="1" outline="0" fieldPosition="0">
        <references count="4">
          <reference field="3" count="1" selected="0">
            <x v="1804"/>
          </reference>
          <reference field="4" count="1" selected="0">
            <x v="1335"/>
          </reference>
          <reference field="11" count="1" selected="0">
            <x v="12"/>
          </reference>
          <reference field="14" count="1">
            <x v="802"/>
          </reference>
        </references>
      </pivotArea>
    </format>
    <format dxfId="713">
      <pivotArea dataOnly="0" labelOnly="1" outline="0" fieldPosition="0">
        <references count="4">
          <reference field="3" count="1" selected="0">
            <x v="1840"/>
          </reference>
          <reference field="4" count="1" selected="0">
            <x v="6192"/>
          </reference>
          <reference field="11" count="1" selected="0">
            <x v="12"/>
          </reference>
          <reference field="14" count="1">
            <x v="914"/>
          </reference>
        </references>
      </pivotArea>
    </format>
    <format dxfId="712">
      <pivotArea dataOnly="0" labelOnly="1" outline="0" fieldPosition="0">
        <references count="4">
          <reference field="3" count="1" selected="0">
            <x v="1851"/>
          </reference>
          <reference field="4" count="1" selected="0">
            <x v="6138"/>
          </reference>
          <reference field="11" count="1" selected="0">
            <x v="12"/>
          </reference>
          <reference field="14" count="1">
            <x v="921"/>
          </reference>
        </references>
      </pivotArea>
    </format>
    <format dxfId="711">
      <pivotArea dataOnly="0" labelOnly="1" outline="0" fieldPosition="0">
        <references count="4">
          <reference field="3" count="1" selected="0">
            <x v="1853"/>
          </reference>
          <reference field="4" count="1" selected="0">
            <x v="6418"/>
          </reference>
          <reference field="11" count="1" selected="0">
            <x v="12"/>
          </reference>
          <reference field="14" count="1">
            <x v="928"/>
          </reference>
        </references>
      </pivotArea>
    </format>
    <format dxfId="710">
      <pivotArea dataOnly="0" labelOnly="1" outline="0" fieldPosition="0">
        <references count="4">
          <reference field="3" count="1" selected="0">
            <x v="1894"/>
          </reference>
          <reference field="4" count="1" selected="0">
            <x v="5722"/>
          </reference>
          <reference field="11" count="1" selected="0">
            <x v="12"/>
          </reference>
          <reference field="14" count="1">
            <x v="919"/>
          </reference>
        </references>
      </pivotArea>
    </format>
    <format dxfId="709">
      <pivotArea dataOnly="0" labelOnly="1" outline="0" fieldPosition="0">
        <references count="4">
          <reference field="3" count="1" selected="0">
            <x v="1903"/>
          </reference>
          <reference field="4" count="1" selected="0">
            <x v="3454"/>
          </reference>
          <reference field="11" count="1" selected="0">
            <x v="12"/>
          </reference>
          <reference field="14" count="1">
            <x v="927"/>
          </reference>
        </references>
      </pivotArea>
    </format>
    <format dxfId="708">
      <pivotArea dataOnly="0" labelOnly="1" outline="0" fieldPosition="0">
        <references count="4">
          <reference field="3" count="1" selected="0">
            <x v="1905"/>
          </reference>
          <reference field="4" count="1" selected="0">
            <x v="5342"/>
          </reference>
          <reference field="11" count="1" selected="0">
            <x v="12"/>
          </reference>
          <reference field="14" count="1">
            <x v="898"/>
          </reference>
        </references>
      </pivotArea>
    </format>
    <format dxfId="707">
      <pivotArea dataOnly="0" labelOnly="1" outline="0" fieldPosition="0">
        <references count="4">
          <reference field="3" count="1" selected="0">
            <x v="1906"/>
          </reference>
          <reference field="4" count="1" selected="0">
            <x v="6949"/>
          </reference>
          <reference field="11" count="1" selected="0">
            <x v="12"/>
          </reference>
          <reference field="14" count="1">
            <x v="923"/>
          </reference>
        </references>
      </pivotArea>
    </format>
    <format dxfId="706">
      <pivotArea dataOnly="0" labelOnly="1" outline="0" fieldPosition="0">
        <references count="4">
          <reference field="3" count="1" selected="0">
            <x v="1911"/>
          </reference>
          <reference field="4" count="1" selected="0">
            <x v="6382"/>
          </reference>
          <reference field="11" count="1" selected="0">
            <x v="12"/>
          </reference>
          <reference field="14" count="1">
            <x v="882"/>
          </reference>
        </references>
      </pivotArea>
    </format>
    <format dxfId="705">
      <pivotArea dataOnly="0" labelOnly="1" outline="0" fieldPosition="0">
        <references count="4">
          <reference field="3" count="1" selected="0">
            <x v="1916"/>
          </reference>
          <reference field="4" count="1" selected="0">
            <x v="1837"/>
          </reference>
          <reference field="11" count="1" selected="0">
            <x v="12"/>
          </reference>
          <reference field="14" count="1">
            <x v="930"/>
          </reference>
        </references>
      </pivotArea>
    </format>
    <format dxfId="704">
      <pivotArea dataOnly="0" labelOnly="1" outline="0" fieldPosition="0">
        <references count="4">
          <reference field="3" count="1" selected="0">
            <x v="1937"/>
          </reference>
          <reference field="4" count="1" selected="0">
            <x v="7773"/>
          </reference>
          <reference field="11" count="1" selected="0">
            <x v="12"/>
          </reference>
          <reference field="14" count="1">
            <x v="926"/>
          </reference>
        </references>
      </pivotArea>
    </format>
    <format dxfId="703">
      <pivotArea dataOnly="0" labelOnly="1" outline="0" fieldPosition="0">
        <references count="4">
          <reference field="3" count="1" selected="0">
            <x v="1949"/>
          </reference>
          <reference field="4" count="1" selected="0">
            <x v="6062"/>
          </reference>
          <reference field="11" count="1" selected="0">
            <x v="12"/>
          </reference>
          <reference field="14" count="1">
            <x v="943"/>
          </reference>
        </references>
      </pivotArea>
    </format>
    <format dxfId="702">
      <pivotArea dataOnly="0" labelOnly="1" outline="0" fieldPosition="0">
        <references count="4">
          <reference field="3" count="1" selected="0">
            <x v="1950"/>
          </reference>
          <reference field="4" count="1" selected="0">
            <x v="3421"/>
          </reference>
          <reference field="11" count="1" selected="0">
            <x v="12"/>
          </reference>
          <reference field="14" count="1">
            <x v="938"/>
          </reference>
        </references>
      </pivotArea>
    </format>
    <format dxfId="701">
      <pivotArea dataOnly="0" labelOnly="1" outline="0" fieldPosition="0">
        <references count="4">
          <reference field="3" count="1" selected="0">
            <x v="2040"/>
          </reference>
          <reference field="4" count="1" selected="0">
            <x v="814"/>
          </reference>
          <reference field="11" count="1" selected="0">
            <x v="12"/>
          </reference>
          <reference field="14" count="1">
            <x v="853"/>
          </reference>
        </references>
      </pivotArea>
    </format>
    <format dxfId="700">
      <pivotArea dataOnly="0" labelOnly="1" outline="0" fieldPosition="0">
        <references count="4">
          <reference field="3" count="1" selected="0">
            <x v="2049"/>
          </reference>
          <reference field="4" count="1" selected="0">
            <x v="5797"/>
          </reference>
          <reference field="11" count="1" selected="0">
            <x v="12"/>
          </reference>
          <reference field="14" count="1">
            <x v="906"/>
          </reference>
        </references>
      </pivotArea>
    </format>
    <format dxfId="699">
      <pivotArea dataOnly="0" labelOnly="1" outline="0" fieldPosition="0">
        <references count="4">
          <reference field="3" count="1" selected="0">
            <x v="2051"/>
          </reference>
          <reference field="4" count="1" selected="0">
            <x v="7737"/>
          </reference>
          <reference field="11" count="1" selected="0">
            <x v="12"/>
          </reference>
          <reference field="14" count="1">
            <x v="918"/>
          </reference>
        </references>
      </pivotArea>
    </format>
    <format dxfId="698">
      <pivotArea dataOnly="0" labelOnly="1" outline="0" fieldPosition="0">
        <references count="4">
          <reference field="3" count="1" selected="0">
            <x v="2066"/>
          </reference>
          <reference field="4" count="1" selected="0">
            <x v="3682"/>
          </reference>
          <reference field="11" count="1" selected="0">
            <x v="12"/>
          </reference>
          <reference field="14" count="1">
            <x v="953"/>
          </reference>
        </references>
      </pivotArea>
    </format>
    <format dxfId="697">
      <pivotArea dataOnly="0" labelOnly="1" outline="0" fieldPosition="0">
        <references count="4">
          <reference field="3" count="1" selected="0">
            <x v="2089"/>
          </reference>
          <reference field="4" count="1" selected="0">
            <x v="1064"/>
          </reference>
          <reference field="11" count="1" selected="0">
            <x v="12"/>
          </reference>
          <reference field="14" count="1">
            <x v="959"/>
          </reference>
        </references>
      </pivotArea>
    </format>
    <format dxfId="696">
      <pivotArea dataOnly="0" labelOnly="1" outline="0" fieldPosition="0">
        <references count="4">
          <reference field="3" count="1" selected="0">
            <x v="2097"/>
          </reference>
          <reference field="4" count="1" selected="0">
            <x v="1103"/>
          </reference>
          <reference field="11" count="1" selected="0">
            <x v="12"/>
          </reference>
          <reference field="14" count="1">
            <x v="947"/>
          </reference>
        </references>
      </pivotArea>
    </format>
    <format dxfId="695">
      <pivotArea dataOnly="0" labelOnly="1" outline="0" fieldPosition="0">
        <references count="4">
          <reference field="3" count="1" selected="0">
            <x v="2101"/>
          </reference>
          <reference field="4" count="1" selected="0">
            <x v="5470"/>
          </reference>
          <reference field="11" count="1" selected="0">
            <x v="12"/>
          </reference>
          <reference field="14" count="1">
            <x v="957"/>
          </reference>
        </references>
      </pivotArea>
    </format>
    <format dxfId="694">
      <pivotArea dataOnly="0" labelOnly="1" outline="0" fieldPosition="0">
        <references count="4">
          <reference field="3" count="1" selected="0">
            <x v="2104"/>
          </reference>
          <reference field="4" count="1" selected="0">
            <x v="6191"/>
          </reference>
          <reference field="11" count="1" selected="0">
            <x v="12"/>
          </reference>
          <reference field="14" count="1">
            <x v="987"/>
          </reference>
        </references>
      </pivotArea>
    </format>
    <format dxfId="693">
      <pivotArea dataOnly="0" labelOnly="1" outline="0" fieldPosition="0">
        <references count="4">
          <reference field="3" count="1" selected="0">
            <x v="2105"/>
          </reference>
          <reference field="4" count="1" selected="0">
            <x v="2516"/>
          </reference>
          <reference field="11" count="1" selected="0">
            <x v="12"/>
          </reference>
          <reference field="14" count="1">
            <x v="965"/>
          </reference>
        </references>
      </pivotArea>
    </format>
    <format dxfId="692">
      <pivotArea dataOnly="0" labelOnly="1" outline="0" fieldPosition="0">
        <references count="4">
          <reference field="3" count="1" selected="0">
            <x v="2106"/>
          </reference>
          <reference field="4" count="1" selected="0">
            <x v="568"/>
          </reference>
          <reference field="11" count="1" selected="0">
            <x v="12"/>
          </reference>
          <reference field="14" count="1">
            <x v="966"/>
          </reference>
        </references>
      </pivotArea>
    </format>
    <format dxfId="691">
      <pivotArea dataOnly="0" labelOnly="1" outline="0" fieldPosition="0">
        <references count="4">
          <reference field="3" count="1" selected="0">
            <x v="2122"/>
          </reference>
          <reference field="4" count="1" selected="0">
            <x v="2252"/>
          </reference>
          <reference field="11" count="1" selected="0">
            <x v="12"/>
          </reference>
          <reference field="14" count="1">
            <x v="642"/>
          </reference>
        </references>
      </pivotArea>
    </format>
    <format dxfId="690">
      <pivotArea dataOnly="0" labelOnly="1" outline="0" fieldPosition="0">
        <references count="4">
          <reference field="3" count="1" selected="0">
            <x v="2144"/>
          </reference>
          <reference field="4" count="1" selected="0">
            <x v="7845"/>
          </reference>
          <reference field="11" count="1" selected="0">
            <x v="12"/>
          </reference>
          <reference field="14" count="1">
            <x v="921"/>
          </reference>
        </references>
      </pivotArea>
    </format>
    <format dxfId="689">
      <pivotArea dataOnly="0" labelOnly="1" outline="0" fieldPosition="0">
        <references count="4">
          <reference field="3" count="1" selected="0">
            <x v="2163"/>
          </reference>
          <reference field="4" count="1" selected="0">
            <x v="6460"/>
          </reference>
          <reference field="11" count="1" selected="0">
            <x v="12"/>
          </reference>
          <reference field="14" count="1">
            <x v="970"/>
          </reference>
        </references>
      </pivotArea>
    </format>
    <format dxfId="688">
      <pivotArea dataOnly="0" labelOnly="1" outline="0" fieldPosition="0">
        <references count="4">
          <reference field="3" count="1" selected="0">
            <x v="2197"/>
          </reference>
          <reference field="4" count="1" selected="0">
            <x v="1576"/>
          </reference>
          <reference field="11" count="1" selected="0">
            <x v="12"/>
          </reference>
          <reference field="14" count="1">
            <x v="965"/>
          </reference>
        </references>
      </pivotArea>
    </format>
    <format dxfId="687">
      <pivotArea dataOnly="0" labelOnly="1" outline="0" fieldPosition="0">
        <references count="4">
          <reference field="3" count="1" selected="0">
            <x v="2222"/>
          </reference>
          <reference field="4" count="1" selected="0">
            <x v="5292"/>
          </reference>
          <reference field="11" count="1" selected="0">
            <x v="12"/>
          </reference>
          <reference field="14" count="1">
            <x v="844"/>
          </reference>
        </references>
      </pivotArea>
    </format>
    <format dxfId="686">
      <pivotArea dataOnly="0" labelOnly="1" outline="0" fieldPosition="0">
        <references count="4">
          <reference field="3" count="1" selected="0">
            <x v="2232"/>
          </reference>
          <reference field="4" count="1" selected="0">
            <x v="3300"/>
          </reference>
          <reference field="11" count="1" selected="0">
            <x v="12"/>
          </reference>
          <reference field="14" count="1">
            <x v="967"/>
          </reference>
        </references>
      </pivotArea>
    </format>
    <format dxfId="685">
      <pivotArea dataOnly="0" labelOnly="1" outline="0" fieldPosition="0">
        <references count="4">
          <reference field="3" count="1" selected="0">
            <x v="2235"/>
          </reference>
          <reference field="4" count="1" selected="0">
            <x v="7482"/>
          </reference>
          <reference field="11" count="1" selected="0">
            <x v="12"/>
          </reference>
          <reference field="14" count="1">
            <x v="974"/>
          </reference>
        </references>
      </pivotArea>
    </format>
    <format dxfId="684">
      <pivotArea dataOnly="0" labelOnly="1" outline="0" fieldPosition="0">
        <references count="4">
          <reference field="3" count="1" selected="0">
            <x v="2243"/>
          </reference>
          <reference field="4" count="1" selected="0">
            <x v="7215"/>
          </reference>
          <reference field="11" count="1" selected="0">
            <x v="12"/>
          </reference>
          <reference field="14" count="1">
            <x v="965"/>
          </reference>
        </references>
      </pivotArea>
    </format>
    <format dxfId="683">
      <pivotArea dataOnly="0" labelOnly="1" outline="0" fieldPosition="0">
        <references count="4">
          <reference field="3" count="1" selected="0">
            <x v="2251"/>
          </reference>
          <reference field="4" count="1" selected="0">
            <x v="4570"/>
          </reference>
          <reference field="11" count="1" selected="0">
            <x v="12"/>
          </reference>
          <reference field="14" count="1">
            <x v="876"/>
          </reference>
        </references>
      </pivotArea>
    </format>
    <format dxfId="682">
      <pivotArea dataOnly="0" labelOnly="1" outline="0" fieldPosition="0">
        <references count="5">
          <reference field="3" count="1" selected="0">
            <x v="56"/>
          </reference>
          <reference field="4" count="1" selected="0">
            <x v="743"/>
          </reference>
          <reference field="11" count="1" selected="0">
            <x v="12"/>
          </reference>
          <reference field="14" count="1" selected="0">
            <x v="808"/>
          </reference>
          <reference field="21" count="1">
            <x v="38"/>
          </reference>
        </references>
      </pivotArea>
    </format>
    <format dxfId="681">
      <pivotArea dataOnly="0" labelOnly="1" outline="0" fieldPosition="0">
        <references count="5">
          <reference field="3" count="1" selected="0">
            <x v="81"/>
          </reference>
          <reference field="4" count="1" selected="0">
            <x v="7610"/>
          </reference>
          <reference field="11" count="1" selected="0">
            <x v="12"/>
          </reference>
          <reference field="14" count="1" selected="0">
            <x v="217"/>
          </reference>
          <reference field="21" count="1">
            <x v="34"/>
          </reference>
        </references>
      </pivotArea>
    </format>
    <format dxfId="680">
      <pivotArea dataOnly="0" labelOnly="1" outline="0" fieldPosition="0">
        <references count="5">
          <reference field="3" count="1" selected="0">
            <x v="112"/>
          </reference>
          <reference field="4" count="1" selected="0">
            <x v="2075"/>
          </reference>
          <reference field="11" count="1" selected="0">
            <x v="12"/>
          </reference>
          <reference field="14" count="1" selected="0">
            <x v="656"/>
          </reference>
          <reference field="21" count="1">
            <x v="29"/>
          </reference>
        </references>
      </pivotArea>
    </format>
    <format dxfId="679">
      <pivotArea dataOnly="0" labelOnly="1" outline="0" fieldPosition="0">
        <references count="5">
          <reference field="3" count="1" selected="0">
            <x v="152"/>
          </reference>
          <reference field="4" count="1" selected="0">
            <x v="4449"/>
          </reference>
          <reference field="11" count="1" selected="0">
            <x v="12"/>
          </reference>
          <reference field="14" count="1" selected="0">
            <x v="136"/>
          </reference>
          <reference field="21" count="1">
            <x v="27"/>
          </reference>
        </references>
      </pivotArea>
    </format>
    <format dxfId="678">
      <pivotArea dataOnly="0" labelOnly="1" outline="0" fieldPosition="0">
        <references count="5">
          <reference field="3" count="1" selected="0">
            <x v="153"/>
          </reference>
          <reference field="4" count="1" selected="0">
            <x v="4205"/>
          </reference>
          <reference field="11" count="1" selected="0">
            <x v="12"/>
          </reference>
          <reference field="14" count="1" selected="0">
            <x v="125"/>
          </reference>
          <reference field="21" count="1">
            <x v="41"/>
          </reference>
        </references>
      </pivotArea>
    </format>
    <format dxfId="677">
      <pivotArea dataOnly="0" labelOnly="1" outline="0" fieldPosition="0">
        <references count="5">
          <reference field="3" count="1" selected="0">
            <x v="174"/>
          </reference>
          <reference field="4" count="1" selected="0">
            <x v="7069"/>
          </reference>
          <reference field="11" count="1" selected="0">
            <x v="11"/>
          </reference>
          <reference field="14" count="1" selected="0">
            <x v="412"/>
          </reference>
          <reference field="21" count="1">
            <x v="28"/>
          </reference>
        </references>
      </pivotArea>
    </format>
    <format dxfId="676">
      <pivotArea dataOnly="0" labelOnly="1" outline="0" fieldPosition="0">
        <references count="5">
          <reference field="3" count="1" selected="0">
            <x v="189"/>
          </reference>
          <reference field="4" count="1" selected="0">
            <x v="7661"/>
          </reference>
          <reference field="11" count="1" selected="0">
            <x v="12"/>
          </reference>
          <reference field="14" count="1" selected="0">
            <x v="350"/>
          </reference>
          <reference field="21" count="1">
            <x v="36"/>
          </reference>
        </references>
      </pivotArea>
    </format>
    <format dxfId="675">
      <pivotArea dataOnly="0" labelOnly="1" outline="0" fieldPosition="0">
        <references count="5">
          <reference field="3" count="1" selected="0">
            <x v="190"/>
          </reference>
          <reference field="4" count="1" selected="0">
            <x v="3551"/>
          </reference>
          <reference field="11" count="1" selected="0">
            <x v="12"/>
          </reference>
          <reference field="14" count="1" selected="0">
            <x v="106"/>
          </reference>
          <reference field="21" count="1">
            <x v="31"/>
          </reference>
        </references>
      </pivotArea>
    </format>
    <format dxfId="674">
      <pivotArea dataOnly="0" labelOnly="1" outline="0" fieldPosition="0">
        <references count="5">
          <reference field="3" count="1" selected="0">
            <x v="199"/>
          </reference>
          <reference field="4" count="1" selected="0">
            <x v="4077"/>
          </reference>
          <reference field="11" count="1" selected="0">
            <x v="12"/>
          </reference>
          <reference field="14" count="1" selected="0">
            <x v="629"/>
          </reference>
          <reference field="21" count="1">
            <x v="34"/>
          </reference>
        </references>
      </pivotArea>
    </format>
    <format dxfId="673">
      <pivotArea dataOnly="0" labelOnly="1" outline="0" fieldPosition="0">
        <references count="5">
          <reference field="3" count="1" selected="0">
            <x v="204"/>
          </reference>
          <reference field="4" count="1" selected="0">
            <x v="618"/>
          </reference>
          <reference field="11" count="1" selected="0">
            <x v="12"/>
          </reference>
          <reference field="14" count="1" selected="0">
            <x v="851"/>
          </reference>
          <reference field="21" count="1">
            <x v="29"/>
          </reference>
        </references>
      </pivotArea>
    </format>
    <format dxfId="672">
      <pivotArea dataOnly="0" labelOnly="1" outline="0" fieldPosition="0">
        <references count="5">
          <reference field="3" count="1" selected="0">
            <x v="206"/>
          </reference>
          <reference field="4" count="1" selected="0">
            <x v="6497"/>
          </reference>
          <reference field="11" count="1" selected="0">
            <x v="12"/>
          </reference>
          <reference field="14" count="1" selected="0">
            <x v="135"/>
          </reference>
          <reference field="21" count="1">
            <x v="30"/>
          </reference>
        </references>
      </pivotArea>
    </format>
    <format dxfId="671">
      <pivotArea dataOnly="0" labelOnly="1" outline="0" fieldPosition="0">
        <references count="5">
          <reference field="3" count="1" selected="0">
            <x v="234"/>
          </reference>
          <reference field="4" count="1" selected="0">
            <x v="231"/>
          </reference>
          <reference field="11" count="1" selected="0">
            <x v="11"/>
          </reference>
          <reference field="14" count="1" selected="0">
            <x v="678"/>
          </reference>
          <reference field="21" count="1">
            <x v="27"/>
          </reference>
        </references>
      </pivotArea>
    </format>
    <format dxfId="670">
      <pivotArea dataOnly="0" labelOnly="1" outline="0" fieldPosition="0">
        <references count="5">
          <reference field="3" count="1" selected="0">
            <x v="251"/>
          </reference>
          <reference field="4" count="1" selected="0">
            <x v="4095"/>
          </reference>
          <reference field="11" count="1" selected="0">
            <x v="12"/>
          </reference>
          <reference field="14" count="1" selected="0">
            <x v="438"/>
          </reference>
          <reference field="21" count="1">
            <x v="33"/>
          </reference>
        </references>
      </pivotArea>
    </format>
    <format dxfId="669">
      <pivotArea dataOnly="0" labelOnly="1" outline="0" fieldPosition="0">
        <references count="5">
          <reference field="3" count="1" selected="0">
            <x v="253"/>
          </reference>
          <reference field="4" count="1" selected="0">
            <x v="6532"/>
          </reference>
          <reference field="11" count="1" selected="0">
            <x v="12"/>
          </reference>
          <reference field="14" count="1" selected="0">
            <x v="763"/>
          </reference>
          <reference field="21" count="1">
            <x v="39"/>
          </reference>
        </references>
      </pivotArea>
    </format>
    <format dxfId="668">
      <pivotArea dataOnly="0" labelOnly="1" outline="0" fieldPosition="0">
        <references count="5">
          <reference field="3" count="1" selected="0">
            <x v="259"/>
          </reference>
          <reference field="4" count="1" selected="0">
            <x v="5021"/>
          </reference>
          <reference field="11" count="1" selected="0">
            <x v="12"/>
          </reference>
          <reference field="14" count="1" selected="0">
            <x v="815"/>
          </reference>
          <reference field="21" count="1">
            <x v="52"/>
          </reference>
        </references>
      </pivotArea>
    </format>
    <format dxfId="667">
      <pivotArea dataOnly="0" labelOnly="1" outline="0" fieldPosition="0">
        <references count="5">
          <reference field="3" count="1" selected="0">
            <x v="269"/>
          </reference>
          <reference field="4" count="1" selected="0">
            <x v="7152"/>
          </reference>
          <reference field="11" count="1" selected="0">
            <x v="12"/>
          </reference>
          <reference field="14" count="1" selected="0">
            <x v="338"/>
          </reference>
          <reference field="21" count="1">
            <x v="29"/>
          </reference>
        </references>
      </pivotArea>
    </format>
    <format dxfId="666">
      <pivotArea dataOnly="0" labelOnly="1" outline="0" fieldPosition="0">
        <references count="5">
          <reference field="3" count="1" selected="0">
            <x v="276"/>
          </reference>
          <reference field="4" count="1" selected="0">
            <x v="7931"/>
          </reference>
          <reference field="11" count="1" selected="0">
            <x v="11"/>
          </reference>
          <reference field="14" count="1" selected="0">
            <x v="279"/>
          </reference>
          <reference field="21" count="1">
            <x v="27"/>
          </reference>
        </references>
      </pivotArea>
    </format>
    <format dxfId="665">
      <pivotArea dataOnly="0" labelOnly="1" outline="0" fieldPosition="0">
        <references count="5">
          <reference field="3" count="1" selected="0">
            <x v="292"/>
          </reference>
          <reference field="4" count="1" selected="0">
            <x v="2680"/>
          </reference>
          <reference field="11" count="1" selected="0">
            <x v="12"/>
          </reference>
          <reference field="14" count="1" selected="0">
            <x v="981"/>
          </reference>
          <reference field="21" count="1">
            <x v="32"/>
          </reference>
        </references>
      </pivotArea>
    </format>
    <format dxfId="664">
      <pivotArea dataOnly="0" labelOnly="1" outline="0" fieldPosition="0">
        <references count="5">
          <reference field="3" count="1" selected="0">
            <x v="356"/>
          </reference>
          <reference field="4" count="1" selected="0">
            <x v="4512"/>
          </reference>
          <reference field="11" count="1" selected="0">
            <x v="12"/>
          </reference>
          <reference field="14" count="1" selected="0">
            <x v="428"/>
          </reference>
          <reference field="21" count="1">
            <x v="26"/>
          </reference>
        </references>
      </pivotArea>
    </format>
    <format dxfId="663">
      <pivotArea dataOnly="0" labelOnly="1" outline="0" fieldPosition="0">
        <references count="5">
          <reference field="3" count="1" selected="0">
            <x v="360"/>
          </reference>
          <reference field="4" count="1" selected="0">
            <x v="7714"/>
          </reference>
          <reference field="11" count="1" selected="0">
            <x v="12"/>
          </reference>
          <reference field="14" count="1" selected="0">
            <x v="755"/>
          </reference>
          <reference field="21" count="1">
            <x v="37"/>
          </reference>
        </references>
      </pivotArea>
    </format>
    <format dxfId="662">
      <pivotArea dataOnly="0" labelOnly="1" outline="0" fieldPosition="0">
        <references count="5">
          <reference field="3" count="1" selected="0">
            <x v="379"/>
          </reference>
          <reference field="4" count="1" selected="0">
            <x v="3926"/>
          </reference>
          <reference field="11" count="1" selected="0">
            <x v="12"/>
          </reference>
          <reference field="14" count="1" selected="0">
            <x v="255"/>
          </reference>
          <reference field="21" count="1">
            <x v="28"/>
          </reference>
        </references>
      </pivotArea>
    </format>
    <format dxfId="661">
      <pivotArea dataOnly="0" labelOnly="1" outline="0" fieldPosition="0">
        <references count="5">
          <reference field="3" count="1" selected="0">
            <x v="388"/>
          </reference>
          <reference field="4" count="1" selected="0">
            <x v="1359"/>
          </reference>
          <reference field="11" count="1" selected="0">
            <x v="12"/>
          </reference>
          <reference field="14" count="1" selected="0">
            <x v="204"/>
          </reference>
          <reference field="21" count="1">
            <x v="27"/>
          </reference>
        </references>
      </pivotArea>
    </format>
    <format dxfId="660">
      <pivotArea dataOnly="0" labelOnly="1" outline="0" fieldPosition="0">
        <references count="5">
          <reference field="3" count="1" selected="0">
            <x v="398"/>
          </reference>
          <reference field="4" count="1" selected="0">
            <x v="3374"/>
          </reference>
          <reference field="11" count="1" selected="0">
            <x v="12"/>
          </reference>
          <reference field="14" count="1" selected="0">
            <x v="500"/>
          </reference>
          <reference field="21" count="1">
            <x v="24"/>
          </reference>
        </references>
      </pivotArea>
    </format>
    <format dxfId="659">
      <pivotArea dataOnly="0" labelOnly="1" outline="0" fieldPosition="0">
        <references count="5">
          <reference field="3" count="1" selected="0">
            <x v="477"/>
          </reference>
          <reference field="4" count="1" selected="0">
            <x v="1442"/>
          </reference>
          <reference field="11" count="1" selected="0">
            <x v="12"/>
          </reference>
          <reference field="14" count="1" selected="0">
            <x v="684"/>
          </reference>
          <reference field="21" count="1">
            <x v="22"/>
          </reference>
        </references>
      </pivotArea>
    </format>
    <format dxfId="658">
      <pivotArea dataOnly="0" labelOnly="1" outline="0" fieldPosition="0">
        <references count="5">
          <reference field="3" count="1" selected="0">
            <x v="480"/>
          </reference>
          <reference field="4" count="1" selected="0">
            <x v="1050"/>
          </reference>
          <reference field="11" count="1" selected="0">
            <x v="12"/>
          </reference>
          <reference field="14" count="1" selected="0">
            <x v="119"/>
          </reference>
          <reference field="21" count="1">
            <x v="16"/>
          </reference>
        </references>
      </pivotArea>
    </format>
    <format dxfId="657">
      <pivotArea dataOnly="0" labelOnly="1" outline="0" fieldPosition="0">
        <references count="5">
          <reference field="3" count="1" selected="0">
            <x v="481"/>
          </reference>
          <reference field="4" count="1" selected="0">
            <x v="6290"/>
          </reference>
          <reference field="11" count="1" selected="0">
            <x v="12"/>
          </reference>
          <reference field="14" count="1" selected="0">
            <x v="757"/>
          </reference>
          <reference field="21" count="1">
            <x v="17"/>
          </reference>
        </references>
      </pivotArea>
    </format>
    <format dxfId="656">
      <pivotArea dataOnly="0" labelOnly="1" outline="0" fieldPosition="0">
        <references count="5">
          <reference field="3" count="1" selected="0">
            <x v="492"/>
          </reference>
          <reference field="4" count="1" selected="0">
            <x v="11"/>
          </reference>
          <reference field="11" count="1" selected="0">
            <x v="11"/>
          </reference>
          <reference field="14" count="1" selected="0">
            <x v="3"/>
          </reference>
          <reference field="21" count="1">
            <x v="25"/>
          </reference>
        </references>
      </pivotArea>
    </format>
    <format dxfId="655">
      <pivotArea dataOnly="0" labelOnly="1" outline="0" fieldPosition="0">
        <references count="5">
          <reference field="3" count="1" selected="0">
            <x v="503"/>
          </reference>
          <reference field="4" count="1" selected="0">
            <x v="1492"/>
          </reference>
          <reference field="11" count="1" selected="0">
            <x v="11"/>
          </reference>
          <reference field="14" count="1" selected="0">
            <x v="277"/>
          </reference>
          <reference field="21" count="1">
            <x v="22"/>
          </reference>
        </references>
      </pivotArea>
    </format>
    <format dxfId="654">
      <pivotArea dataOnly="0" labelOnly="1" outline="0" fieldPosition="0">
        <references count="5">
          <reference field="3" count="1" selected="0">
            <x v="535"/>
          </reference>
          <reference field="4" count="1" selected="0">
            <x v="553"/>
          </reference>
          <reference field="11" count="1" selected="0">
            <x v="12"/>
          </reference>
          <reference field="14" count="1" selected="0">
            <x v="689"/>
          </reference>
          <reference field="21" count="1">
            <x v="23"/>
          </reference>
        </references>
      </pivotArea>
    </format>
    <format dxfId="653">
      <pivotArea dataOnly="0" labelOnly="1" outline="0" fieldPosition="0">
        <references count="5">
          <reference field="3" count="1" selected="0">
            <x v="587"/>
          </reference>
          <reference field="4" count="1" selected="0">
            <x v="5225"/>
          </reference>
          <reference field="11" count="1" selected="0">
            <x v="11"/>
          </reference>
          <reference field="14" count="1" selected="0">
            <x v="450"/>
          </reference>
          <reference field="21" count="1">
            <x v="24"/>
          </reference>
        </references>
      </pivotArea>
    </format>
    <format dxfId="652">
      <pivotArea dataOnly="0" labelOnly="1" outline="0" fieldPosition="0">
        <references count="5">
          <reference field="3" count="1" selected="0">
            <x v="599"/>
          </reference>
          <reference field="4" count="1" selected="0">
            <x v="7760"/>
          </reference>
          <reference field="11" count="1" selected="0">
            <x v="12"/>
          </reference>
          <reference field="14" count="1" selected="0">
            <x v="916"/>
          </reference>
          <reference field="21" count="1">
            <x v="22"/>
          </reference>
        </references>
      </pivotArea>
    </format>
    <format dxfId="651">
      <pivotArea dataOnly="0" labelOnly="1" outline="0" fieldPosition="0">
        <references count="5">
          <reference field="3" count="1" selected="0">
            <x v="622"/>
          </reference>
          <reference field="4" count="1" selected="0">
            <x v="1430"/>
          </reference>
          <reference field="11" count="1" selected="0">
            <x v="12"/>
          </reference>
          <reference field="14" count="1" selected="0">
            <x v="87"/>
          </reference>
          <reference field="21" count="1">
            <x v="21"/>
          </reference>
        </references>
      </pivotArea>
    </format>
    <format dxfId="650">
      <pivotArea dataOnly="0" labelOnly="1" outline="0" fieldPosition="0">
        <references count="5">
          <reference field="3" count="1" selected="0">
            <x v="625"/>
          </reference>
          <reference field="4" count="1" selected="0">
            <x v="5737"/>
          </reference>
          <reference field="11" count="1" selected="0">
            <x v="12"/>
          </reference>
          <reference field="14" count="1" selected="0">
            <x v="852"/>
          </reference>
          <reference field="21" count="1">
            <x v="25"/>
          </reference>
        </references>
      </pivotArea>
    </format>
    <format dxfId="649">
      <pivotArea dataOnly="0" labelOnly="1" outline="0" fieldPosition="0">
        <references count="5">
          <reference field="3" count="1" selected="0">
            <x v="683"/>
          </reference>
          <reference field="4" count="1" selected="0">
            <x v="4580"/>
          </reference>
          <reference field="11" count="1" selected="0">
            <x v="12"/>
          </reference>
          <reference field="14" count="1" selected="0">
            <x v="365"/>
          </reference>
          <reference field="21" count="1">
            <x v="20"/>
          </reference>
        </references>
      </pivotArea>
    </format>
    <format dxfId="648">
      <pivotArea dataOnly="0" labelOnly="1" outline="0" fieldPosition="0">
        <references count="5">
          <reference field="3" count="1" selected="0">
            <x v="709"/>
          </reference>
          <reference field="4" count="1" selected="0">
            <x v="4898"/>
          </reference>
          <reference field="11" count="1" selected="0">
            <x v="12"/>
          </reference>
          <reference field="14" count="1" selected="0">
            <x v="895"/>
          </reference>
          <reference field="21" count="1">
            <x v="18"/>
          </reference>
        </references>
      </pivotArea>
    </format>
    <format dxfId="647">
      <pivotArea dataOnly="0" labelOnly="1" outline="0" fieldPosition="0">
        <references count="5">
          <reference field="3" count="1" selected="0">
            <x v="718"/>
          </reference>
          <reference field="4" count="1" selected="0">
            <x v="92"/>
          </reference>
          <reference field="11" count="1" selected="0">
            <x v="12"/>
          </reference>
          <reference field="14" count="1" selected="0">
            <x v="862"/>
          </reference>
          <reference field="21" count="1">
            <x v="22"/>
          </reference>
        </references>
      </pivotArea>
    </format>
    <format dxfId="646">
      <pivotArea dataOnly="0" labelOnly="1" outline="0" fieldPosition="0">
        <references count="5">
          <reference field="3" count="1" selected="0">
            <x v="730"/>
          </reference>
          <reference field="4" count="1" selected="0">
            <x v="6875"/>
          </reference>
          <reference field="11" count="1" selected="0">
            <x v="12"/>
          </reference>
          <reference field="14" count="1" selected="0">
            <x v="834"/>
          </reference>
          <reference field="21" count="1">
            <x v="18"/>
          </reference>
        </references>
      </pivotArea>
    </format>
    <format dxfId="645">
      <pivotArea dataOnly="0" labelOnly="1" outline="0" fieldPosition="0">
        <references count="5">
          <reference field="3" count="1" selected="0">
            <x v="759"/>
          </reference>
          <reference field="4" count="1" selected="0">
            <x v="805"/>
          </reference>
          <reference field="11" count="1" selected="0">
            <x v="12"/>
          </reference>
          <reference field="14" count="1" selected="0">
            <x v="107"/>
          </reference>
          <reference field="21" count="1">
            <x v="18"/>
          </reference>
        </references>
      </pivotArea>
    </format>
    <format dxfId="644">
      <pivotArea dataOnly="0" labelOnly="1" outline="0" fieldPosition="0">
        <references count="5">
          <reference field="3" count="1" selected="0">
            <x v="774"/>
          </reference>
          <reference field="4" count="1" selected="0">
            <x v="2379"/>
          </reference>
          <reference field="11" count="1" selected="0">
            <x v="12"/>
          </reference>
          <reference field="14" count="1" selected="0">
            <x v="468"/>
          </reference>
          <reference field="21" count="1">
            <x v="17"/>
          </reference>
        </references>
      </pivotArea>
    </format>
    <format dxfId="643">
      <pivotArea dataOnly="0" labelOnly="1" outline="0" fieldPosition="0">
        <references count="5">
          <reference field="3" count="1" selected="0">
            <x v="839"/>
          </reference>
          <reference field="4" count="1" selected="0">
            <x v="7371"/>
          </reference>
          <reference field="11" count="1" selected="0">
            <x v="12"/>
          </reference>
          <reference field="14" count="1" selected="0">
            <x v="219"/>
          </reference>
          <reference field="21" count="1">
            <x v="17"/>
          </reference>
        </references>
      </pivotArea>
    </format>
    <format dxfId="642">
      <pivotArea dataOnly="0" labelOnly="1" outline="0" fieldPosition="0">
        <references count="5">
          <reference field="3" count="1" selected="0">
            <x v="850"/>
          </reference>
          <reference field="4" count="1" selected="0">
            <x v="1239"/>
          </reference>
          <reference field="11" count="1" selected="0">
            <x v="12"/>
          </reference>
          <reference field="14" count="1" selected="0">
            <x v="873"/>
          </reference>
          <reference field="21" count="1">
            <x v="16"/>
          </reference>
        </references>
      </pivotArea>
    </format>
    <format dxfId="641">
      <pivotArea dataOnly="0" labelOnly="1" outline="0" fieldPosition="0">
        <references count="5">
          <reference field="3" count="1" selected="0">
            <x v="884"/>
          </reference>
          <reference field="4" count="1" selected="0">
            <x v="6627"/>
          </reference>
          <reference field="11" count="1" selected="0">
            <x v="12"/>
          </reference>
          <reference field="14" count="1" selected="0">
            <x v="100"/>
          </reference>
          <reference field="21" count="1">
            <x v="20"/>
          </reference>
        </references>
      </pivotArea>
    </format>
    <format dxfId="640">
      <pivotArea dataOnly="0" labelOnly="1" outline="0" fieldPosition="0">
        <references count="5">
          <reference field="3" count="1" selected="0">
            <x v="913"/>
          </reference>
          <reference field="4" count="1" selected="0">
            <x v="5242"/>
          </reference>
          <reference field="11" count="1" selected="0">
            <x v="12"/>
          </reference>
          <reference field="14" count="1" selected="0">
            <x v="813"/>
          </reference>
          <reference field="21" count="1">
            <x v="15"/>
          </reference>
        </references>
      </pivotArea>
    </format>
    <format dxfId="639">
      <pivotArea dataOnly="0" labelOnly="1" outline="0" fieldPosition="0">
        <references count="5">
          <reference field="3" count="1" selected="0">
            <x v="948"/>
          </reference>
          <reference field="4" count="1" selected="0">
            <x v="1294"/>
          </reference>
          <reference field="11" count="1" selected="0">
            <x v="12"/>
          </reference>
          <reference field="14" count="1" selected="0">
            <x v="197"/>
          </reference>
          <reference field="21" count="1">
            <x v="15"/>
          </reference>
        </references>
      </pivotArea>
    </format>
    <format dxfId="638">
      <pivotArea dataOnly="0" labelOnly="1" outline="0" fieldPosition="0">
        <references count="5">
          <reference field="3" count="1" selected="0">
            <x v="971"/>
          </reference>
          <reference field="4" count="1" selected="0">
            <x v="3574"/>
          </reference>
          <reference field="11" count="1" selected="0">
            <x v="12"/>
          </reference>
          <reference field="14" count="1" selected="0">
            <x v="180"/>
          </reference>
          <reference field="21" count="1">
            <x v="14"/>
          </reference>
        </references>
      </pivotArea>
    </format>
    <format dxfId="637">
      <pivotArea dataOnly="0" labelOnly="1" outline="0" fieldPosition="0">
        <references count="5">
          <reference field="3" count="1" selected="0">
            <x v="997"/>
          </reference>
          <reference field="4" count="1" selected="0">
            <x v="1759"/>
          </reference>
          <reference field="11" count="1" selected="0">
            <x v="12"/>
          </reference>
          <reference field="14" count="1" selected="0">
            <x v="867"/>
          </reference>
          <reference field="21" count="1">
            <x v="13"/>
          </reference>
        </references>
      </pivotArea>
    </format>
    <format dxfId="636">
      <pivotArea dataOnly="0" labelOnly="1" outline="0" fieldPosition="0">
        <references count="5">
          <reference field="3" count="1" selected="0">
            <x v="1003"/>
          </reference>
          <reference field="4" count="1" selected="0">
            <x v="961"/>
          </reference>
          <reference field="11" count="1" selected="0">
            <x v="12"/>
          </reference>
          <reference field="14" count="1" selected="0">
            <x v="899"/>
          </reference>
          <reference field="21" count="1">
            <x v="14"/>
          </reference>
        </references>
      </pivotArea>
    </format>
    <format dxfId="635">
      <pivotArea dataOnly="0" labelOnly="1" outline="0" fieldPosition="0">
        <references count="5">
          <reference field="3" count="1" selected="0">
            <x v="1011"/>
          </reference>
          <reference field="4" count="1" selected="0">
            <x v="5221"/>
          </reference>
          <reference field="11" count="1" selected="0">
            <x v="12"/>
          </reference>
          <reference field="14" count="1" selected="0">
            <x v="162"/>
          </reference>
          <reference field="21" count="1">
            <x v="15"/>
          </reference>
        </references>
      </pivotArea>
    </format>
    <format dxfId="634">
      <pivotArea dataOnly="0" labelOnly="1" outline="0" fieldPosition="0">
        <references count="5">
          <reference field="3" count="1" selected="0">
            <x v="1020"/>
          </reference>
          <reference field="4" count="1" selected="0">
            <x v="7538"/>
          </reference>
          <reference field="11" count="1" selected="0">
            <x v="12"/>
          </reference>
          <reference field="14" count="1" selected="0">
            <x v="457"/>
          </reference>
          <reference field="21" count="1">
            <x v="13"/>
          </reference>
        </references>
      </pivotArea>
    </format>
    <format dxfId="633">
      <pivotArea dataOnly="0" labelOnly="1" outline="0" fieldPosition="0">
        <references count="5">
          <reference field="3" count="1" selected="0">
            <x v="1040"/>
          </reference>
          <reference field="4" count="1" selected="0">
            <x v="868"/>
          </reference>
          <reference field="11" count="1" selected="0">
            <x v="12"/>
          </reference>
          <reference field="14" count="1" selected="0">
            <x v="137"/>
          </reference>
          <reference field="21" count="1">
            <x v="15"/>
          </reference>
        </references>
      </pivotArea>
    </format>
    <format dxfId="632">
      <pivotArea dataOnly="0" labelOnly="1" outline="0" fieldPosition="0">
        <references count="5">
          <reference field="3" count="1" selected="0">
            <x v="1069"/>
          </reference>
          <reference field="4" count="1" selected="0">
            <x v="3787"/>
          </reference>
          <reference field="11" count="1" selected="0">
            <x v="11"/>
          </reference>
          <reference field="14" count="1" selected="0">
            <x v="635"/>
          </reference>
          <reference field="21" count="1">
            <x v="12"/>
          </reference>
        </references>
      </pivotArea>
    </format>
    <format dxfId="631">
      <pivotArea dataOnly="0" labelOnly="1" outline="0" fieldPosition="0">
        <references count="5">
          <reference field="3" count="1" selected="0">
            <x v="1077"/>
          </reference>
          <reference field="4" count="1" selected="0">
            <x v="6845"/>
          </reference>
          <reference field="11" count="1" selected="0">
            <x v="11"/>
          </reference>
          <reference field="14" count="1" selected="0">
            <x v="289"/>
          </reference>
          <reference field="21" count="1">
            <x v="12"/>
          </reference>
        </references>
      </pivotArea>
    </format>
    <format dxfId="630">
      <pivotArea dataOnly="0" labelOnly="1" outline="0" fieldPosition="0">
        <references count="5">
          <reference field="3" count="1" selected="0">
            <x v="1113"/>
          </reference>
          <reference field="4" count="1" selected="0">
            <x v="112"/>
          </reference>
          <reference field="11" count="1" selected="0">
            <x v="12"/>
          </reference>
          <reference field="14" count="1" selected="0">
            <x v="974"/>
          </reference>
          <reference field="21" count="1">
            <x v="11"/>
          </reference>
        </references>
      </pivotArea>
    </format>
    <format dxfId="629">
      <pivotArea dataOnly="0" labelOnly="1" outline="0" fieldPosition="0">
        <references count="5">
          <reference field="3" count="1" selected="0">
            <x v="1129"/>
          </reference>
          <reference field="4" count="1" selected="0">
            <x v="1803"/>
          </reference>
          <reference field="11" count="1" selected="0">
            <x v="12"/>
          </reference>
          <reference field="14" count="1" selected="0">
            <x v="895"/>
          </reference>
          <reference field="21" count="1">
            <x v="17"/>
          </reference>
        </references>
      </pivotArea>
    </format>
    <format dxfId="628">
      <pivotArea dataOnly="0" labelOnly="1" outline="0" fieldPosition="0">
        <references count="5">
          <reference field="3" count="1" selected="0">
            <x v="1141"/>
          </reference>
          <reference field="4" count="1" selected="0">
            <x v="962"/>
          </reference>
          <reference field="11" count="1" selected="0">
            <x v="12"/>
          </reference>
          <reference field="14" count="1" selected="0">
            <x v="902"/>
          </reference>
          <reference field="21" count="1">
            <x v="12"/>
          </reference>
        </references>
      </pivotArea>
    </format>
    <format dxfId="627">
      <pivotArea dataOnly="0" labelOnly="1" outline="0" fieldPosition="0">
        <references count="5">
          <reference field="3" count="1" selected="0">
            <x v="1167"/>
          </reference>
          <reference field="4" count="1" selected="0">
            <x v="6179"/>
          </reference>
          <reference field="11" count="1" selected="0">
            <x v="11"/>
          </reference>
          <reference field="14" count="1" selected="0">
            <x v="552"/>
          </reference>
          <reference field="21" count="1">
            <x v="13"/>
          </reference>
        </references>
      </pivotArea>
    </format>
    <format dxfId="626">
      <pivotArea dataOnly="0" labelOnly="1" outline="0" fieldPosition="0">
        <references count="5">
          <reference field="3" count="1" selected="0">
            <x v="1189"/>
          </reference>
          <reference field="4" count="1" selected="0">
            <x v="3938"/>
          </reference>
          <reference field="11" count="1" selected="0">
            <x v="12"/>
          </reference>
          <reference field="14" count="1" selected="0">
            <x v="643"/>
          </reference>
          <reference field="21" count="1">
            <x v="10"/>
          </reference>
        </references>
      </pivotArea>
    </format>
    <format dxfId="625">
      <pivotArea dataOnly="0" labelOnly="1" outline="0" fieldPosition="0">
        <references count="5">
          <reference field="3" count="1" selected="0">
            <x v="1196"/>
          </reference>
          <reference field="4" count="1" selected="0">
            <x v="3719"/>
          </reference>
          <reference field="11" count="1" selected="0">
            <x v="11"/>
          </reference>
          <reference field="14" count="1" selected="0">
            <x v="875"/>
          </reference>
          <reference field="21" count="1">
            <x v="3"/>
          </reference>
        </references>
      </pivotArea>
    </format>
    <format dxfId="624">
      <pivotArea dataOnly="0" labelOnly="1" outline="0" fieldPosition="0">
        <references count="5">
          <reference field="3" count="1" selected="0">
            <x v="1198"/>
          </reference>
          <reference field="4" count="1" selected="0">
            <x v="143"/>
          </reference>
          <reference field="11" count="1" selected="0">
            <x v="12"/>
          </reference>
          <reference field="14" count="1" selected="0">
            <x v="547"/>
          </reference>
          <reference field="21" count="1">
            <x v="14"/>
          </reference>
        </references>
      </pivotArea>
    </format>
    <format dxfId="623">
      <pivotArea dataOnly="0" labelOnly="1" outline="0" fieldPosition="0">
        <references count="5">
          <reference field="3" count="1" selected="0">
            <x v="1204"/>
          </reference>
          <reference field="4" count="1" selected="0">
            <x v="2183"/>
          </reference>
          <reference field="11" count="1" selected="0">
            <x v="12"/>
          </reference>
          <reference field="14" count="1" selected="0">
            <x v="759"/>
          </reference>
          <reference field="21" count="1">
            <x v="3"/>
          </reference>
        </references>
      </pivotArea>
    </format>
    <format dxfId="622">
      <pivotArea dataOnly="0" labelOnly="1" outline="0" fieldPosition="0">
        <references count="5">
          <reference field="3" count="1" selected="0">
            <x v="1210"/>
          </reference>
          <reference field="4" count="1" selected="0">
            <x v="4917"/>
          </reference>
          <reference field="11" count="1" selected="0">
            <x v="12"/>
          </reference>
          <reference field="14" count="1" selected="0">
            <x v="554"/>
          </reference>
          <reference field="21" count="1">
            <x v="6"/>
          </reference>
        </references>
      </pivotArea>
    </format>
    <format dxfId="621">
      <pivotArea dataOnly="0" labelOnly="1" outline="0" fieldPosition="0">
        <references count="5">
          <reference field="3" count="1" selected="0">
            <x v="1222"/>
          </reference>
          <reference field="4" count="1" selected="0">
            <x v="2602"/>
          </reference>
          <reference field="11" count="1" selected="0">
            <x v="12"/>
          </reference>
          <reference field="14" count="1" selected="0">
            <x v="605"/>
          </reference>
          <reference field="21" count="1">
            <x v="4"/>
          </reference>
        </references>
      </pivotArea>
    </format>
    <format dxfId="620">
      <pivotArea dataOnly="0" labelOnly="1" outline="0" fieldPosition="0">
        <references count="5">
          <reference field="3" count="1" selected="0">
            <x v="1226"/>
          </reference>
          <reference field="4" count="1" selected="0">
            <x v="3567"/>
          </reference>
          <reference field="11" count="1" selected="0">
            <x v="12"/>
          </reference>
          <reference field="14" count="1" selected="0">
            <x v="480"/>
          </reference>
          <reference field="21" count="1">
            <x v="8"/>
          </reference>
        </references>
      </pivotArea>
    </format>
    <format dxfId="619">
      <pivotArea dataOnly="0" labelOnly="1" outline="0" fieldPosition="0">
        <references count="5">
          <reference field="3" count="1" selected="0">
            <x v="1261"/>
          </reference>
          <reference field="4" count="1" selected="0">
            <x v="4852"/>
          </reference>
          <reference field="11" count="1" selected="0">
            <x v="12"/>
          </reference>
          <reference field="14" count="1" selected="0">
            <x v="423"/>
          </reference>
          <reference field="21" count="1">
            <x v="10"/>
          </reference>
        </references>
      </pivotArea>
    </format>
    <format dxfId="618">
      <pivotArea dataOnly="0" labelOnly="1" outline="0" fieldPosition="0">
        <references count="5">
          <reference field="3" count="1" selected="0">
            <x v="1262"/>
          </reference>
          <reference field="4" count="1" selected="0">
            <x v="6041"/>
          </reference>
          <reference field="11" count="1" selected="0">
            <x v="12"/>
          </reference>
          <reference field="14" count="1" selected="0">
            <x v="876"/>
          </reference>
          <reference field="21" count="1">
            <x v="4"/>
          </reference>
        </references>
      </pivotArea>
    </format>
    <format dxfId="617">
      <pivotArea dataOnly="0" labelOnly="1" outline="0" fieldPosition="0">
        <references count="5">
          <reference field="3" count="1" selected="0">
            <x v="1285"/>
          </reference>
          <reference field="4" count="1" selected="0">
            <x v="4354"/>
          </reference>
          <reference field="11" count="1" selected="0">
            <x v="12"/>
          </reference>
          <reference field="14" count="1" selected="0">
            <x v="780"/>
          </reference>
          <reference field="21" count="1">
            <x v="10"/>
          </reference>
        </references>
      </pivotArea>
    </format>
    <format dxfId="616">
      <pivotArea dataOnly="0" labelOnly="1" outline="0" fieldPosition="0">
        <references count="5">
          <reference field="3" count="1" selected="0">
            <x v="1288"/>
          </reference>
          <reference field="4" count="1" selected="0">
            <x v="7233"/>
          </reference>
          <reference field="11" count="1" selected="0">
            <x v="12"/>
          </reference>
          <reference field="14" count="1" selected="0">
            <x v="495"/>
          </reference>
          <reference field="21" count="1">
            <x v="12"/>
          </reference>
        </references>
      </pivotArea>
    </format>
    <format dxfId="615">
      <pivotArea dataOnly="0" labelOnly="1" outline="0" fieldPosition="0">
        <references count="5">
          <reference field="3" count="1" selected="0">
            <x v="1291"/>
          </reference>
          <reference field="4" count="1" selected="0">
            <x v="2404"/>
          </reference>
          <reference field="11" count="1" selected="0">
            <x v="12"/>
          </reference>
          <reference field="14" count="1" selected="0">
            <x v="555"/>
          </reference>
          <reference field="21" count="1">
            <x v="9"/>
          </reference>
        </references>
      </pivotArea>
    </format>
    <format dxfId="614">
      <pivotArea dataOnly="0" labelOnly="1" outline="0" fieldPosition="0">
        <references count="5">
          <reference field="3" count="1" selected="0">
            <x v="1318"/>
          </reference>
          <reference field="4" count="1" selected="0">
            <x v="4357"/>
          </reference>
          <reference field="11" count="1" selected="0">
            <x v="12"/>
          </reference>
          <reference field="14" count="1" selected="0">
            <x v="981"/>
          </reference>
          <reference field="21" count="1">
            <x v="12"/>
          </reference>
        </references>
      </pivotArea>
    </format>
    <format dxfId="613">
      <pivotArea dataOnly="0" labelOnly="1" outline="0" fieldPosition="0">
        <references count="5">
          <reference field="3" count="1" selected="0">
            <x v="1343"/>
          </reference>
          <reference field="4" count="1" selected="0">
            <x v="4224"/>
          </reference>
          <reference field="11" count="1" selected="0">
            <x v="12"/>
          </reference>
          <reference field="14" count="1" selected="0">
            <x v="745"/>
          </reference>
          <reference field="21" count="1">
            <x v="5"/>
          </reference>
        </references>
      </pivotArea>
    </format>
    <format dxfId="612">
      <pivotArea dataOnly="0" labelOnly="1" outline="0" fieldPosition="0">
        <references count="5">
          <reference field="3" count="1" selected="0">
            <x v="1353"/>
          </reference>
          <reference field="4" count="1" selected="0">
            <x v="7033"/>
          </reference>
          <reference field="11" count="1" selected="0">
            <x v="12"/>
          </reference>
          <reference field="14" count="1" selected="0">
            <x v="474"/>
          </reference>
          <reference field="21" count="1">
            <x v="8"/>
          </reference>
        </references>
      </pivotArea>
    </format>
    <format dxfId="611">
      <pivotArea dataOnly="0" labelOnly="1" outline="0" fieldPosition="0">
        <references count="5">
          <reference field="3" count="1" selected="0">
            <x v="1383"/>
          </reference>
          <reference field="4" count="1" selected="0">
            <x v="3868"/>
          </reference>
          <reference field="11" count="1" selected="0">
            <x v="12"/>
          </reference>
          <reference field="14" count="1" selected="0">
            <x v="803"/>
          </reference>
          <reference field="21" count="1">
            <x v="4"/>
          </reference>
        </references>
      </pivotArea>
    </format>
    <format dxfId="610">
      <pivotArea dataOnly="0" labelOnly="1" outline="0" fieldPosition="0">
        <references count="5">
          <reference field="3" count="1" selected="0">
            <x v="1391"/>
          </reference>
          <reference field="4" count="1" selected="0">
            <x v="3674"/>
          </reference>
          <reference field="11" count="1" selected="0">
            <x v="12"/>
          </reference>
          <reference field="14" count="1" selected="0">
            <x v="260"/>
          </reference>
          <reference field="21" count="1">
            <x v="12"/>
          </reference>
        </references>
      </pivotArea>
    </format>
    <format dxfId="609">
      <pivotArea dataOnly="0" labelOnly="1" outline="0" fieldPosition="0">
        <references count="5">
          <reference field="3" count="1" selected="0">
            <x v="1415"/>
          </reference>
          <reference field="4" count="1" selected="0">
            <x v="65"/>
          </reference>
          <reference field="11" count="1" selected="0">
            <x v="12"/>
          </reference>
          <reference field="14" count="1" selected="0">
            <x v="899"/>
          </reference>
          <reference field="21" count="1">
            <x v="11"/>
          </reference>
        </references>
      </pivotArea>
    </format>
    <format dxfId="608">
      <pivotArea dataOnly="0" labelOnly="1" outline="0" fieldPosition="0">
        <references count="5">
          <reference field="3" count="1" selected="0">
            <x v="1427"/>
          </reference>
          <reference field="4" count="1" selected="0">
            <x v="7919"/>
          </reference>
          <reference field="11" count="1" selected="0">
            <x v="12"/>
          </reference>
          <reference field="14" count="1" selected="0">
            <x v="829"/>
          </reference>
          <reference field="21" count="1">
            <x v="6"/>
          </reference>
        </references>
      </pivotArea>
    </format>
    <format dxfId="607">
      <pivotArea dataOnly="0" labelOnly="1" outline="0" fieldPosition="0">
        <references count="5">
          <reference field="3" count="1" selected="0">
            <x v="1435"/>
          </reference>
          <reference field="4" count="1" selected="0">
            <x v="3236"/>
          </reference>
          <reference field="11" count="1" selected="0">
            <x v="12"/>
          </reference>
          <reference field="14" count="1" selected="0">
            <x v="751"/>
          </reference>
          <reference field="21" count="1">
            <x v="10"/>
          </reference>
        </references>
      </pivotArea>
    </format>
    <format dxfId="606">
      <pivotArea dataOnly="0" labelOnly="1" outline="0" fieldPosition="0">
        <references count="5">
          <reference field="3" count="1" selected="0">
            <x v="1449"/>
          </reference>
          <reference field="4" count="1" selected="0">
            <x v="124"/>
          </reference>
          <reference field="11" count="1" selected="0">
            <x v="12"/>
          </reference>
          <reference field="14" count="1" selected="0">
            <x v="871"/>
          </reference>
          <reference field="21" count="1">
            <x v="8"/>
          </reference>
        </references>
      </pivotArea>
    </format>
    <format dxfId="605">
      <pivotArea dataOnly="0" labelOnly="1" outline="0" fieldPosition="0">
        <references count="5">
          <reference field="3" count="1" selected="0">
            <x v="1452"/>
          </reference>
          <reference field="4" count="1" selected="0">
            <x v="5876"/>
          </reference>
          <reference field="11" count="1" selected="0">
            <x v="12"/>
          </reference>
          <reference field="14" count="1" selected="0">
            <x v="794"/>
          </reference>
          <reference field="21" count="1">
            <x v="13"/>
          </reference>
        </references>
      </pivotArea>
    </format>
    <format dxfId="604">
      <pivotArea dataOnly="0" labelOnly="1" outline="0" fieldPosition="0">
        <references count="5">
          <reference field="3" count="1" selected="0">
            <x v="1482"/>
          </reference>
          <reference field="4" count="1" selected="0">
            <x v="806"/>
          </reference>
          <reference field="11" count="1" selected="0">
            <x v="12"/>
          </reference>
          <reference field="14" count="1" selected="0">
            <x v="346"/>
          </reference>
          <reference field="21" count="1">
            <x v="6"/>
          </reference>
        </references>
      </pivotArea>
    </format>
    <format dxfId="603">
      <pivotArea dataOnly="0" labelOnly="1" outline="0" fieldPosition="0">
        <references count="5">
          <reference field="3" count="1" selected="0">
            <x v="1511"/>
          </reference>
          <reference field="4" count="1" selected="0">
            <x v="3546"/>
          </reference>
          <reference field="11" count="1" selected="0">
            <x v="12"/>
          </reference>
          <reference field="14" count="1" selected="0">
            <x v="537"/>
          </reference>
          <reference field="21" count="1">
            <x v="3"/>
          </reference>
        </references>
      </pivotArea>
    </format>
    <format dxfId="602">
      <pivotArea dataOnly="0" labelOnly="1" outline="0" fieldPosition="0">
        <references count="5">
          <reference field="3" count="1" selected="0">
            <x v="1512"/>
          </reference>
          <reference field="4" count="1" selected="0">
            <x v="6736"/>
          </reference>
          <reference field="11" count="1" selected="0">
            <x v="12"/>
          </reference>
          <reference field="14" count="1" selected="0">
            <x v="529"/>
          </reference>
          <reference field="21" count="1">
            <x v="9"/>
          </reference>
        </references>
      </pivotArea>
    </format>
    <format dxfId="601">
      <pivotArea dataOnly="0" labelOnly="1" outline="0" fieldPosition="0">
        <references count="5">
          <reference field="3" count="1" selected="0">
            <x v="1515"/>
          </reference>
          <reference field="4" count="1" selected="0">
            <x v="6928"/>
          </reference>
          <reference field="11" count="1" selected="0">
            <x v="12"/>
          </reference>
          <reference field="14" count="1" selected="0">
            <x v="442"/>
          </reference>
          <reference field="21" count="1">
            <x v="6"/>
          </reference>
        </references>
      </pivotArea>
    </format>
    <format dxfId="600">
      <pivotArea dataOnly="0" labelOnly="1" outline="0" fieldPosition="0">
        <references count="5">
          <reference field="3" count="1" selected="0">
            <x v="1534"/>
          </reference>
          <reference field="4" count="1" selected="0">
            <x v="5622"/>
          </reference>
          <reference field="11" count="1" selected="0">
            <x v="12"/>
          </reference>
          <reference field="14" count="1" selected="0">
            <x v="394"/>
          </reference>
          <reference field="21" count="1">
            <x v="8"/>
          </reference>
        </references>
      </pivotArea>
    </format>
    <format dxfId="599">
      <pivotArea dataOnly="0" labelOnly="1" outline="0" fieldPosition="0">
        <references count="5">
          <reference field="3" count="1" selected="0">
            <x v="1564"/>
          </reference>
          <reference field="4" count="1" selected="0">
            <x v="5654"/>
          </reference>
          <reference field="11" count="1" selected="0">
            <x v="12"/>
          </reference>
          <reference field="14" count="1" selected="0">
            <x v="855"/>
          </reference>
          <reference field="21" count="1">
            <x v="4"/>
          </reference>
        </references>
      </pivotArea>
    </format>
    <format dxfId="598">
      <pivotArea dataOnly="0" labelOnly="1" outline="0" fieldPosition="0">
        <references count="5">
          <reference field="3" count="1" selected="0">
            <x v="1619"/>
          </reference>
          <reference field="4" count="1" selected="0">
            <x v="669"/>
          </reference>
          <reference field="11" count="1" selected="0">
            <x v="12"/>
          </reference>
          <reference field="14" count="1" selected="0">
            <x v="872"/>
          </reference>
          <reference field="21" count="1">
            <x v="8"/>
          </reference>
        </references>
      </pivotArea>
    </format>
    <format dxfId="597">
      <pivotArea dataOnly="0" labelOnly="1" outline="0" fieldPosition="0">
        <references count="5">
          <reference field="3" count="1" selected="0">
            <x v="1626"/>
          </reference>
          <reference field="4" count="1" selected="0">
            <x v="2269"/>
          </reference>
          <reference field="11" count="1" selected="0">
            <x v="12"/>
          </reference>
          <reference field="14" count="1" selected="0">
            <x v="974"/>
          </reference>
          <reference field="21" count="1">
            <x v="7"/>
          </reference>
        </references>
      </pivotArea>
    </format>
    <format dxfId="596">
      <pivotArea dataOnly="0" labelOnly="1" outline="0" fieldPosition="0">
        <references count="5">
          <reference field="3" count="1" selected="0">
            <x v="1645"/>
          </reference>
          <reference field="4" count="1" selected="0">
            <x v="4209"/>
          </reference>
          <reference field="11" count="1" selected="0">
            <x v="12"/>
          </reference>
          <reference field="14" count="1" selected="0">
            <x v="857"/>
          </reference>
          <reference field="21" count="1">
            <x v="9"/>
          </reference>
        </references>
      </pivotArea>
    </format>
    <format dxfId="595">
      <pivotArea dataOnly="0" labelOnly="1" outline="0" fieldPosition="0">
        <references count="5">
          <reference field="3" count="1" selected="0">
            <x v="1647"/>
          </reference>
          <reference field="4" count="1" selected="0">
            <x v="7792"/>
          </reference>
          <reference field="11" count="1" selected="0">
            <x v="12"/>
          </reference>
          <reference field="14" count="1" selected="0">
            <x v="967"/>
          </reference>
          <reference field="21" count="1">
            <x v="7"/>
          </reference>
        </references>
      </pivotArea>
    </format>
    <format dxfId="594">
      <pivotArea dataOnly="0" labelOnly="1" outline="0" fieldPosition="0">
        <references count="5">
          <reference field="3" count="1" selected="0">
            <x v="1712"/>
          </reference>
          <reference field="4" count="1" selected="0">
            <x v="5408"/>
          </reference>
          <reference field="11" count="1" selected="0">
            <x v="12"/>
          </reference>
          <reference field="14" count="1" selected="0">
            <x v="346"/>
          </reference>
          <reference field="21" count="1">
            <x v="33"/>
          </reference>
        </references>
      </pivotArea>
    </format>
    <format dxfId="593">
      <pivotArea dataOnly="0" labelOnly="1" outline="0" fieldPosition="0">
        <references count="5">
          <reference field="3" count="1" selected="0">
            <x v="1715"/>
          </reference>
          <reference field="4" count="1" selected="0">
            <x v="1667"/>
          </reference>
          <reference field="11" count="1" selected="0">
            <x v="11"/>
          </reference>
          <reference field="14" count="1" selected="0">
            <x v="276"/>
          </reference>
          <reference field="21" count="1">
            <x v="29"/>
          </reference>
        </references>
      </pivotArea>
    </format>
    <format dxfId="592">
      <pivotArea dataOnly="0" labelOnly="1" outline="0" fieldPosition="0">
        <references count="5">
          <reference field="3" count="1" selected="0">
            <x v="1717"/>
          </reference>
          <reference field="4" count="1" selected="0">
            <x v="7778"/>
          </reference>
          <reference field="11" count="1" selected="0">
            <x v="12"/>
          </reference>
          <reference field="14" count="1" selected="0">
            <x v="144"/>
          </reference>
          <reference field="21" count="1">
            <x v="8"/>
          </reference>
        </references>
      </pivotArea>
    </format>
    <format dxfId="591">
      <pivotArea dataOnly="0" labelOnly="1" outline="0" fieldPosition="0">
        <references count="5">
          <reference field="3" count="1" selected="0">
            <x v="1720"/>
          </reference>
          <reference field="4" count="1" selected="0">
            <x v="3488"/>
          </reference>
          <reference field="11" count="1" selected="0">
            <x v="12"/>
          </reference>
          <reference field="14" count="1" selected="0">
            <x v="981"/>
          </reference>
          <reference field="21" count="1">
            <x v="27"/>
          </reference>
        </references>
      </pivotArea>
    </format>
    <format dxfId="590">
      <pivotArea dataOnly="0" labelOnly="1" outline="0" fieldPosition="0">
        <references count="5">
          <reference field="3" count="1" selected="0">
            <x v="1746"/>
          </reference>
          <reference field="4" count="1" selected="0">
            <x v="274"/>
          </reference>
          <reference field="11" count="1" selected="0">
            <x v="11"/>
          </reference>
          <reference field="14" count="1" selected="0">
            <x v="429"/>
          </reference>
          <reference field="21" count="1">
            <x v="31"/>
          </reference>
        </references>
      </pivotArea>
    </format>
    <format dxfId="589">
      <pivotArea dataOnly="0" labelOnly="1" outline="0" fieldPosition="0">
        <references count="5">
          <reference field="3" count="1" selected="0">
            <x v="1747"/>
          </reference>
          <reference field="4" count="1" selected="0">
            <x v="7928"/>
          </reference>
          <reference field="11" count="1" selected="0">
            <x v="12"/>
          </reference>
          <reference field="14" count="1" selected="0">
            <x v="869"/>
          </reference>
          <reference field="21" count="1">
            <x v="27"/>
          </reference>
        </references>
      </pivotArea>
    </format>
    <format dxfId="588">
      <pivotArea dataOnly="0" labelOnly="1" outline="0" fieldPosition="0">
        <references count="5">
          <reference field="3" count="1" selected="0">
            <x v="1748"/>
          </reference>
          <reference field="4" count="1" selected="0">
            <x v="5673"/>
          </reference>
          <reference field="11" count="1" selected="0">
            <x v="12"/>
          </reference>
          <reference field="14" count="1" selected="0">
            <x v="873"/>
          </reference>
          <reference field="21" count="1">
            <x v="26"/>
          </reference>
        </references>
      </pivotArea>
    </format>
    <format dxfId="587">
      <pivotArea dataOnly="0" labelOnly="1" outline="0" fieldPosition="0">
        <references count="5">
          <reference field="3" count="1" selected="0">
            <x v="1750"/>
          </reference>
          <reference field="4" count="1" selected="0">
            <x v="3711"/>
          </reference>
          <reference field="11" count="1" selected="0">
            <x v="11"/>
          </reference>
          <reference field="14" count="1" selected="0">
            <x v="417"/>
          </reference>
          <reference field="21" count="1">
            <x v="23"/>
          </reference>
        </references>
      </pivotArea>
    </format>
    <format dxfId="586">
      <pivotArea dataOnly="0" labelOnly="1" outline="0" fieldPosition="0">
        <references count="5">
          <reference field="3" count="1" selected="0">
            <x v="1758"/>
          </reference>
          <reference field="4" count="1" selected="0">
            <x v="982"/>
          </reference>
          <reference field="11" count="1" selected="0">
            <x v="12"/>
          </reference>
          <reference field="14" count="1" selected="0">
            <x v="906"/>
          </reference>
          <reference field="21" count="1">
            <x v="13"/>
          </reference>
        </references>
      </pivotArea>
    </format>
    <format dxfId="585">
      <pivotArea dataOnly="0" labelOnly="1" outline="0" fieldPosition="0">
        <references count="5">
          <reference field="3" count="1" selected="0">
            <x v="1761"/>
          </reference>
          <reference field="4" count="1" selected="0">
            <x v="737"/>
          </reference>
          <reference field="11" count="1" selected="0">
            <x v="12"/>
          </reference>
          <reference field="14" count="1" selected="0">
            <x v="293"/>
          </reference>
          <reference field="21" count="1">
            <x v="17"/>
          </reference>
        </references>
      </pivotArea>
    </format>
    <format dxfId="584">
      <pivotArea dataOnly="0" labelOnly="1" outline="0" fieldPosition="0">
        <references count="5">
          <reference field="3" count="1" selected="0">
            <x v="1767"/>
          </reference>
          <reference field="4" count="1" selected="0">
            <x v="164"/>
          </reference>
          <reference field="11" count="1" selected="0">
            <x v="11"/>
          </reference>
          <reference field="14" count="1" selected="0">
            <x v="819"/>
          </reference>
          <reference field="21" count="1">
            <x v="5"/>
          </reference>
        </references>
      </pivotArea>
    </format>
    <format dxfId="583">
      <pivotArea dataOnly="0" labelOnly="1" outline="0" fieldPosition="0">
        <references count="5">
          <reference field="3" count="1" selected="0">
            <x v="1771"/>
          </reference>
          <reference field="4" count="1" selected="0">
            <x v="5981"/>
          </reference>
          <reference field="11" count="1" selected="0">
            <x v="12"/>
          </reference>
          <reference field="14" count="1" selected="0">
            <x v="819"/>
          </reference>
          <reference field="21" count="1">
            <x v="5"/>
          </reference>
        </references>
      </pivotArea>
    </format>
    <format dxfId="582">
      <pivotArea dataOnly="0" labelOnly="1" outline="0" fieldPosition="0">
        <references count="5">
          <reference field="3" count="1" selected="0">
            <x v="1784"/>
          </reference>
          <reference field="4" count="1" selected="0">
            <x v="6326"/>
          </reference>
          <reference field="11" count="1" selected="0">
            <x v="12"/>
          </reference>
          <reference field="14" count="1" selected="0">
            <x v="768"/>
          </reference>
          <reference field="21" count="1">
            <x v="6"/>
          </reference>
        </references>
      </pivotArea>
    </format>
    <format dxfId="581">
      <pivotArea dataOnly="0" labelOnly="1" outline="0" fieldPosition="0">
        <references count="5">
          <reference field="3" count="1" selected="0">
            <x v="1785"/>
          </reference>
          <reference field="4" count="1" selected="0">
            <x v="693"/>
          </reference>
          <reference field="11" count="1" selected="0">
            <x v="11"/>
          </reference>
          <reference field="14" count="1" selected="0">
            <x v="640"/>
          </reference>
          <reference field="21" count="1">
            <x v="8"/>
          </reference>
        </references>
      </pivotArea>
    </format>
    <format dxfId="580">
      <pivotArea dataOnly="0" labelOnly="1" outline="0" fieldPosition="0">
        <references count="5">
          <reference field="3" count="1" selected="0">
            <x v="1786"/>
          </reference>
          <reference field="4" count="1" selected="0">
            <x v="597"/>
          </reference>
          <reference field="11" count="1" selected="0">
            <x v="12"/>
          </reference>
          <reference field="14" count="1" selected="0">
            <x v="406"/>
          </reference>
          <reference field="21" count="1">
            <x v="11"/>
          </reference>
        </references>
      </pivotArea>
    </format>
    <format dxfId="579">
      <pivotArea dataOnly="0" labelOnly="1" outline="0" fieldPosition="0">
        <references count="5">
          <reference field="3" count="1" selected="0">
            <x v="1789"/>
          </reference>
          <reference field="4" count="1" selected="0">
            <x v="7567"/>
          </reference>
          <reference field="11" count="1" selected="0">
            <x v="12"/>
          </reference>
          <reference field="14" count="1" selected="0">
            <x v="472"/>
          </reference>
          <reference field="21" count="1">
            <x v="10"/>
          </reference>
        </references>
      </pivotArea>
    </format>
    <format dxfId="578">
      <pivotArea dataOnly="0" labelOnly="1" outline="0" fieldPosition="0">
        <references count="5">
          <reference field="3" count="1" selected="0">
            <x v="1790"/>
          </reference>
          <reference field="4" count="1" selected="0">
            <x v="1776"/>
          </reference>
          <reference field="11" count="1" selected="0">
            <x v="12"/>
          </reference>
          <reference field="14" count="1" selected="0">
            <x v="780"/>
          </reference>
          <reference field="21" count="1">
            <x v="31"/>
          </reference>
        </references>
      </pivotArea>
    </format>
    <format dxfId="577">
      <pivotArea dataOnly="0" labelOnly="1" outline="0" fieldPosition="0">
        <references count="5">
          <reference field="3" count="1" selected="0">
            <x v="1804"/>
          </reference>
          <reference field="4" count="1" selected="0">
            <x v="1335"/>
          </reference>
          <reference field="11" count="1" selected="0">
            <x v="12"/>
          </reference>
          <reference field="14" count="1" selected="0">
            <x v="802"/>
          </reference>
          <reference field="21" count="1">
            <x v="21"/>
          </reference>
        </references>
      </pivotArea>
    </format>
    <format dxfId="576">
      <pivotArea dataOnly="0" labelOnly="1" outline="0" fieldPosition="0">
        <references count="5">
          <reference field="3" count="1" selected="0">
            <x v="1827"/>
          </reference>
          <reference field="4" count="1" selected="0">
            <x v="4858"/>
          </reference>
          <reference field="11" count="1" selected="0">
            <x v="11"/>
          </reference>
          <reference field="14" count="1" selected="0">
            <x v="926"/>
          </reference>
          <reference field="21" count="1">
            <x v="16"/>
          </reference>
        </references>
      </pivotArea>
    </format>
    <format dxfId="575">
      <pivotArea dataOnly="0" labelOnly="1" outline="0" fieldPosition="0">
        <references count="5">
          <reference field="3" count="1" selected="0">
            <x v="1840"/>
          </reference>
          <reference field="4" count="1" selected="0">
            <x v="6192"/>
          </reference>
          <reference field="11" count="1" selected="0">
            <x v="12"/>
          </reference>
          <reference field="14" count="1" selected="0">
            <x v="914"/>
          </reference>
          <reference field="21" count="1">
            <x v="18"/>
          </reference>
        </references>
      </pivotArea>
    </format>
    <format dxfId="574">
      <pivotArea dataOnly="0" labelOnly="1" outline="0" fieldPosition="0">
        <references count="5">
          <reference field="3" count="1" selected="0">
            <x v="1851"/>
          </reference>
          <reference field="4" count="1" selected="0">
            <x v="6138"/>
          </reference>
          <reference field="11" count="1" selected="0">
            <x v="12"/>
          </reference>
          <reference field="14" count="1" selected="0">
            <x v="921"/>
          </reference>
          <reference field="21" count="1">
            <x v="17"/>
          </reference>
        </references>
      </pivotArea>
    </format>
    <format dxfId="573">
      <pivotArea dataOnly="0" labelOnly="1" outline="0" fieldPosition="0">
        <references count="5">
          <reference field="3" count="1" selected="0">
            <x v="1853"/>
          </reference>
          <reference field="4" count="1" selected="0">
            <x v="6418"/>
          </reference>
          <reference field="11" count="1" selected="0">
            <x v="12"/>
          </reference>
          <reference field="14" count="1" selected="0">
            <x v="928"/>
          </reference>
          <reference field="21" count="1">
            <x v="3"/>
          </reference>
        </references>
      </pivotArea>
    </format>
    <format dxfId="572">
      <pivotArea dataOnly="0" labelOnly="1" outline="0" fieldPosition="0">
        <references count="5">
          <reference field="3" count="1" selected="0">
            <x v="1894"/>
          </reference>
          <reference field="4" count="1" selected="0">
            <x v="5722"/>
          </reference>
          <reference field="11" count="1" selected="0">
            <x v="12"/>
          </reference>
          <reference field="14" count="1" selected="0">
            <x v="919"/>
          </reference>
          <reference field="21" count="1">
            <x v="12"/>
          </reference>
        </references>
      </pivotArea>
    </format>
    <format dxfId="571">
      <pivotArea dataOnly="0" labelOnly="1" outline="0" fieldPosition="0">
        <references count="5">
          <reference field="3" count="1" selected="0">
            <x v="1903"/>
          </reference>
          <reference field="4" count="1" selected="0">
            <x v="3454"/>
          </reference>
          <reference field="11" count="1" selected="0">
            <x v="12"/>
          </reference>
          <reference field="14" count="1" selected="0">
            <x v="927"/>
          </reference>
          <reference field="21" count="1">
            <x v="8"/>
          </reference>
        </references>
      </pivotArea>
    </format>
    <format dxfId="570">
      <pivotArea dataOnly="0" labelOnly="1" outline="0" fieldPosition="0">
        <references count="5">
          <reference field="3" count="1" selected="0">
            <x v="1905"/>
          </reference>
          <reference field="4" count="1" selected="0">
            <x v="5342"/>
          </reference>
          <reference field="11" count="1" selected="0">
            <x v="12"/>
          </reference>
          <reference field="14" count="1" selected="0">
            <x v="898"/>
          </reference>
          <reference field="21" count="1">
            <x v="5"/>
          </reference>
        </references>
      </pivotArea>
    </format>
    <format dxfId="569">
      <pivotArea dataOnly="0" labelOnly="1" outline="0" fieldPosition="0">
        <references count="5">
          <reference field="3" count="1" selected="0">
            <x v="1906"/>
          </reference>
          <reference field="4" count="1" selected="0">
            <x v="6949"/>
          </reference>
          <reference field="11" count="1" selected="0">
            <x v="12"/>
          </reference>
          <reference field="14" count="1" selected="0">
            <x v="923"/>
          </reference>
          <reference field="21" count="1">
            <x v="30"/>
          </reference>
        </references>
      </pivotArea>
    </format>
    <format dxfId="568">
      <pivotArea dataOnly="0" labelOnly="1" outline="0" fieldPosition="0">
        <references count="5">
          <reference field="3" count="1" selected="0">
            <x v="1911"/>
          </reference>
          <reference field="4" count="1" selected="0">
            <x v="6382"/>
          </reference>
          <reference field="11" count="1" selected="0">
            <x v="12"/>
          </reference>
          <reference field="14" count="1" selected="0">
            <x v="882"/>
          </reference>
          <reference field="21" count="1">
            <x v="11"/>
          </reference>
        </references>
      </pivotArea>
    </format>
    <format dxfId="567">
      <pivotArea dataOnly="0" labelOnly="1" outline="0" fieldPosition="0">
        <references count="5">
          <reference field="3" count="1" selected="0">
            <x v="1916"/>
          </reference>
          <reference field="4" count="1" selected="0">
            <x v="1837"/>
          </reference>
          <reference field="11" count="1" selected="0">
            <x v="12"/>
          </reference>
          <reference field="14" count="1" selected="0">
            <x v="930"/>
          </reference>
          <reference field="21" count="1">
            <x v="17"/>
          </reference>
        </references>
      </pivotArea>
    </format>
    <format dxfId="566">
      <pivotArea dataOnly="0" labelOnly="1" outline="0" fieldPosition="0">
        <references count="5">
          <reference field="3" count="1" selected="0">
            <x v="1917"/>
          </reference>
          <reference field="4" count="1" selected="0">
            <x v="2228"/>
          </reference>
          <reference field="11" count="1" selected="0">
            <x v="12"/>
          </reference>
          <reference field="14" count="1" selected="0">
            <x v="930"/>
          </reference>
          <reference field="21" count="1">
            <x v="34"/>
          </reference>
        </references>
      </pivotArea>
    </format>
    <format dxfId="565">
      <pivotArea dataOnly="0" labelOnly="1" outline="0" fieldPosition="0">
        <references count="5">
          <reference field="3" count="1" selected="0">
            <x v="1918"/>
          </reference>
          <reference field="4" count="1" selected="0">
            <x v="3911"/>
          </reference>
          <reference field="11" count="1" selected="0">
            <x v="12"/>
          </reference>
          <reference field="14" count="1" selected="0">
            <x v="930"/>
          </reference>
          <reference field="21" count="1">
            <x v="24"/>
          </reference>
        </references>
      </pivotArea>
    </format>
    <format dxfId="564">
      <pivotArea dataOnly="0" labelOnly="1" outline="0" fieldPosition="0">
        <references count="5">
          <reference field="3" count="1" selected="0">
            <x v="1937"/>
          </reference>
          <reference field="4" count="1" selected="0">
            <x v="7773"/>
          </reference>
          <reference field="11" count="1" selected="0">
            <x v="12"/>
          </reference>
          <reference field="14" count="1" selected="0">
            <x v="926"/>
          </reference>
          <reference field="21" count="1">
            <x v="28"/>
          </reference>
        </references>
      </pivotArea>
    </format>
    <format dxfId="563">
      <pivotArea dataOnly="0" labelOnly="1" outline="0" fieldPosition="0">
        <references count="5">
          <reference field="3" count="1" selected="0">
            <x v="1949"/>
          </reference>
          <reference field="4" count="1" selected="0">
            <x v="6062"/>
          </reference>
          <reference field="11" count="1" selected="0">
            <x v="12"/>
          </reference>
          <reference field="14" count="1" selected="0">
            <x v="943"/>
          </reference>
          <reference field="21" count="1">
            <x v="30"/>
          </reference>
        </references>
      </pivotArea>
    </format>
    <format dxfId="562">
      <pivotArea dataOnly="0" labelOnly="1" outline="0" fieldPosition="0">
        <references count="5">
          <reference field="3" count="1" selected="0">
            <x v="1950"/>
          </reference>
          <reference field="4" count="1" selected="0">
            <x v="3421"/>
          </reference>
          <reference field="11" count="1" selected="0">
            <x v="12"/>
          </reference>
          <reference field="14" count="1" selected="0">
            <x v="938"/>
          </reference>
          <reference field="21" count="1">
            <x v="0"/>
          </reference>
        </references>
      </pivotArea>
    </format>
    <format dxfId="561">
      <pivotArea dataOnly="0" labelOnly="1" outline="0" fieldPosition="0">
        <references count="5">
          <reference field="3" count="1" selected="0">
            <x v="1964"/>
          </reference>
          <reference field="4" count="1" selected="0">
            <x v="4436"/>
          </reference>
          <reference field="11" count="1" selected="0">
            <x v="12"/>
          </reference>
          <reference field="14" count="1" selected="0">
            <x v="947"/>
          </reference>
          <reference field="21" count="1">
            <x v="17"/>
          </reference>
        </references>
      </pivotArea>
    </format>
    <format dxfId="560">
      <pivotArea dataOnly="0" labelOnly="1" outline="0" fieldPosition="0">
        <references count="5">
          <reference field="3" count="1" selected="0">
            <x v="2040"/>
          </reference>
          <reference field="4" count="1" selected="0">
            <x v="814"/>
          </reference>
          <reference field="11" count="1" selected="0">
            <x v="12"/>
          </reference>
          <reference field="14" count="1" selected="0">
            <x v="853"/>
          </reference>
          <reference field="21" count="1">
            <x v="6"/>
          </reference>
        </references>
      </pivotArea>
    </format>
    <format dxfId="559">
      <pivotArea dataOnly="0" labelOnly="1" outline="0" fieldPosition="0">
        <references count="5">
          <reference field="3" count="1" selected="0">
            <x v="2049"/>
          </reference>
          <reference field="4" count="1" selected="0">
            <x v="5797"/>
          </reference>
          <reference field="11" count="1" selected="0">
            <x v="12"/>
          </reference>
          <reference field="14" count="1" selected="0">
            <x v="906"/>
          </reference>
          <reference field="21" count="1">
            <x v="13"/>
          </reference>
        </references>
      </pivotArea>
    </format>
    <format dxfId="558">
      <pivotArea dataOnly="0" labelOnly="1" outline="0" fieldPosition="0">
        <references count="5">
          <reference field="3" count="1" selected="0">
            <x v="2051"/>
          </reference>
          <reference field="4" count="1" selected="0">
            <x v="7737"/>
          </reference>
          <reference field="11" count="1" selected="0">
            <x v="12"/>
          </reference>
          <reference field="14" count="1" selected="0">
            <x v="918"/>
          </reference>
          <reference field="21" count="1">
            <x v="8"/>
          </reference>
        </references>
      </pivotArea>
    </format>
    <format dxfId="557">
      <pivotArea dataOnly="0" labelOnly="1" outline="0" fieldPosition="0">
        <references count="5">
          <reference field="3" count="1" selected="0">
            <x v="2089"/>
          </reference>
          <reference field="4" count="1" selected="0">
            <x v="1064"/>
          </reference>
          <reference field="11" count="1" selected="0">
            <x v="12"/>
          </reference>
          <reference field="14" count="1" selected="0">
            <x v="959"/>
          </reference>
          <reference field="21" count="1">
            <x v="21"/>
          </reference>
        </references>
      </pivotArea>
    </format>
    <format dxfId="556">
      <pivotArea dataOnly="0" labelOnly="1" outline="0" fieldPosition="0">
        <references count="5">
          <reference field="3" count="1" selected="0">
            <x v="2097"/>
          </reference>
          <reference field="4" count="1" selected="0">
            <x v="1103"/>
          </reference>
          <reference field="11" count="1" selected="0">
            <x v="12"/>
          </reference>
          <reference field="14" count="1" selected="0">
            <x v="947"/>
          </reference>
          <reference field="21" count="1">
            <x v="25"/>
          </reference>
        </references>
      </pivotArea>
    </format>
    <format dxfId="555">
      <pivotArea dataOnly="0" labelOnly="1" outline="0" fieldPosition="0">
        <references count="5">
          <reference field="3" count="1" selected="0">
            <x v="2101"/>
          </reference>
          <reference field="4" count="1" selected="0">
            <x v="5470"/>
          </reference>
          <reference field="11" count="1" selected="0">
            <x v="12"/>
          </reference>
          <reference field="14" count="1" selected="0">
            <x v="957"/>
          </reference>
          <reference field="21" count="1">
            <x v="15"/>
          </reference>
        </references>
      </pivotArea>
    </format>
    <format dxfId="554">
      <pivotArea dataOnly="0" labelOnly="1" outline="0" fieldPosition="0">
        <references count="5">
          <reference field="3" count="1" selected="0">
            <x v="2104"/>
          </reference>
          <reference field="4" count="1" selected="0">
            <x v="6191"/>
          </reference>
          <reference field="11" count="1" selected="0">
            <x v="12"/>
          </reference>
          <reference field="14" count="1" selected="0">
            <x v="987"/>
          </reference>
          <reference field="21" count="1">
            <x v="20"/>
          </reference>
        </references>
      </pivotArea>
    </format>
    <format dxfId="553">
      <pivotArea dataOnly="0" labelOnly="1" outline="0" fieldPosition="0">
        <references count="5">
          <reference field="3" count="1" selected="0">
            <x v="2105"/>
          </reference>
          <reference field="4" count="1" selected="0">
            <x v="2516"/>
          </reference>
          <reference field="11" count="1" selected="0">
            <x v="12"/>
          </reference>
          <reference field="14" count="1" selected="0">
            <x v="965"/>
          </reference>
          <reference field="21" count="1">
            <x v="7"/>
          </reference>
        </references>
      </pivotArea>
    </format>
    <format dxfId="552">
      <pivotArea dataOnly="0" labelOnly="1" outline="0" fieldPosition="0">
        <references count="5">
          <reference field="3" count="1" selected="0">
            <x v="2106"/>
          </reference>
          <reference field="4" count="1" selected="0">
            <x v="568"/>
          </reference>
          <reference field="11" count="1" selected="0">
            <x v="12"/>
          </reference>
          <reference field="14" count="1" selected="0">
            <x v="966"/>
          </reference>
          <reference field="21" count="1">
            <x v="20"/>
          </reference>
        </references>
      </pivotArea>
    </format>
    <format dxfId="551">
      <pivotArea dataOnly="0" labelOnly="1" outline="0" fieldPosition="0">
        <references count="5">
          <reference field="3" count="1" selected="0">
            <x v="2122"/>
          </reference>
          <reference field="4" count="1" selected="0">
            <x v="2252"/>
          </reference>
          <reference field="11" count="1" selected="0">
            <x v="12"/>
          </reference>
          <reference field="14" count="1" selected="0">
            <x v="642"/>
          </reference>
          <reference field="21" count="1">
            <x v="18"/>
          </reference>
        </references>
      </pivotArea>
    </format>
    <format dxfId="550">
      <pivotArea dataOnly="0" labelOnly="1" outline="0" fieldPosition="0">
        <references count="5">
          <reference field="3" count="1" selected="0">
            <x v="2144"/>
          </reference>
          <reference field="4" count="1" selected="0">
            <x v="7845"/>
          </reference>
          <reference field="11" count="1" selected="0">
            <x v="12"/>
          </reference>
          <reference field="14" count="1" selected="0">
            <x v="921"/>
          </reference>
          <reference field="21" count="1">
            <x v="18"/>
          </reference>
        </references>
      </pivotArea>
    </format>
    <format dxfId="549">
      <pivotArea dataOnly="0" labelOnly="1" outline="0" fieldPosition="0">
        <references count="5">
          <reference field="3" count="1" selected="0">
            <x v="2163"/>
          </reference>
          <reference field="4" count="1" selected="0">
            <x v="6460"/>
          </reference>
          <reference field="11" count="1" selected="0">
            <x v="12"/>
          </reference>
          <reference field="14" count="1" selected="0">
            <x v="970"/>
          </reference>
          <reference field="21" count="1">
            <x v="26"/>
          </reference>
        </references>
      </pivotArea>
    </format>
    <format dxfId="548">
      <pivotArea dataOnly="0" labelOnly="1" outline="0" fieldPosition="0">
        <references count="5">
          <reference field="3" count="1" selected="0">
            <x v="2197"/>
          </reference>
          <reference field="4" count="1" selected="0">
            <x v="1576"/>
          </reference>
          <reference field="11" count="1" selected="0">
            <x v="12"/>
          </reference>
          <reference field="14" count="1" selected="0">
            <x v="965"/>
          </reference>
          <reference field="21" count="1">
            <x v="8"/>
          </reference>
        </references>
      </pivotArea>
    </format>
    <format dxfId="547">
      <pivotArea dataOnly="0" labelOnly="1" outline="0" fieldPosition="0">
        <references count="5">
          <reference field="3" count="1" selected="0">
            <x v="2201"/>
          </reference>
          <reference field="4" count="1" selected="0">
            <x v="7137"/>
          </reference>
          <reference field="11" count="1" selected="0">
            <x v="12"/>
          </reference>
          <reference field="14" count="1" selected="0">
            <x v="981"/>
          </reference>
          <reference field="21" count="1">
            <x v="20"/>
          </reference>
        </references>
      </pivotArea>
    </format>
    <format dxfId="546">
      <pivotArea dataOnly="0" labelOnly="1" outline="0" fieldPosition="0">
        <references count="5">
          <reference field="3" count="1" selected="0">
            <x v="2222"/>
          </reference>
          <reference field="4" count="1" selected="0">
            <x v="5292"/>
          </reference>
          <reference field="11" count="1" selected="0">
            <x v="12"/>
          </reference>
          <reference field="14" count="1" selected="0">
            <x v="844"/>
          </reference>
          <reference field="21" count="1">
            <x v="21"/>
          </reference>
        </references>
      </pivotArea>
    </format>
    <format dxfId="545">
      <pivotArea dataOnly="0" labelOnly="1" outline="0" fieldPosition="0">
        <references count="5">
          <reference field="3" count="1" selected="0">
            <x v="2232"/>
          </reference>
          <reference field="4" count="1" selected="0">
            <x v="3300"/>
          </reference>
          <reference field="11" count="1" selected="0">
            <x v="12"/>
          </reference>
          <reference field="14" count="1" selected="0">
            <x v="967"/>
          </reference>
          <reference field="21" count="1">
            <x v="4"/>
          </reference>
        </references>
      </pivotArea>
    </format>
    <format dxfId="544">
      <pivotArea dataOnly="0" labelOnly="1" outline="0" fieldPosition="0">
        <references count="5">
          <reference field="3" count="1" selected="0">
            <x v="2234"/>
          </reference>
          <reference field="4" count="1" selected="0">
            <x v="3301"/>
          </reference>
          <reference field="11" count="1" selected="0">
            <x v="12"/>
          </reference>
          <reference field="14" count="1" selected="0">
            <x v="970"/>
          </reference>
          <reference field="21" count="1">
            <x v="2"/>
          </reference>
        </references>
      </pivotArea>
    </format>
    <format dxfId="543">
      <pivotArea dataOnly="0" labelOnly="1" outline="0" fieldPosition="0">
        <references count="5">
          <reference field="3" count="1" selected="0">
            <x v="2235"/>
          </reference>
          <reference field="4" count="1" selected="0">
            <x v="7482"/>
          </reference>
          <reference field="11" count="1" selected="0">
            <x v="12"/>
          </reference>
          <reference field="14" count="1" selected="0">
            <x v="974"/>
          </reference>
          <reference field="21" count="1">
            <x v="4"/>
          </reference>
        </references>
      </pivotArea>
    </format>
    <format dxfId="542">
      <pivotArea dataOnly="0" labelOnly="1" outline="0" fieldPosition="0">
        <references count="5">
          <reference field="3" count="1" selected="0">
            <x v="2236"/>
          </reference>
          <reference field="4" count="1" selected="0">
            <x v="3302"/>
          </reference>
          <reference field="11" count="1" selected="0">
            <x v="12"/>
          </reference>
          <reference field="14" count="1" selected="0">
            <x v="974"/>
          </reference>
          <reference field="21" count="1">
            <x v="2"/>
          </reference>
        </references>
      </pivotArea>
    </format>
    <format dxfId="541">
      <pivotArea dataOnly="0" labelOnly="1" outline="0" fieldPosition="0">
        <references count="5">
          <reference field="3" count="1" selected="0">
            <x v="2243"/>
          </reference>
          <reference field="4" count="1" selected="0">
            <x v="7215"/>
          </reference>
          <reference field="11" count="1" selected="0">
            <x v="12"/>
          </reference>
          <reference field="14" count="1" selected="0">
            <x v="965"/>
          </reference>
          <reference field="21" count="1">
            <x v="27"/>
          </reference>
        </references>
      </pivotArea>
    </format>
    <format dxfId="540">
      <pivotArea dataOnly="0" labelOnly="1" outline="0" fieldPosition="0">
        <references count="5">
          <reference field="3" count="1" selected="0">
            <x v="2251"/>
          </reference>
          <reference field="4" count="1" selected="0">
            <x v="4570"/>
          </reference>
          <reference field="11" count="1" selected="0">
            <x v="12"/>
          </reference>
          <reference field="14" count="1" selected="0">
            <x v="876"/>
          </reference>
          <reference field="21" count="1">
            <x v="14"/>
          </reference>
        </references>
      </pivotArea>
    </format>
    <format dxfId="539">
      <pivotArea dataOnly="0" labelOnly="1" outline="0" fieldPosition="0">
        <references count="5">
          <reference field="3" count="1" selected="0">
            <x v="2261"/>
          </reference>
          <reference field="4" count="1" selected="0">
            <x v="6947"/>
          </reference>
          <reference field="11" count="1" selected="0">
            <x v="12"/>
          </reference>
          <reference field="14" count="1" selected="0">
            <x v="939"/>
          </reference>
          <reference field="21" count="1">
            <x v="17"/>
          </reference>
        </references>
      </pivotArea>
    </format>
    <format dxfId="538">
      <pivotArea dataOnly="0" labelOnly="1" outline="0" fieldPosition="0">
        <references count="6">
          <reference field="3" count="1" selected="0">
            <x v="56"/>
          </reference>
          <reference field="4" count="1" selected="0">
            <x v="743"/>
          </reference>
          <reference field="11" count="1" selected="0">
            <x v="12"/>
          </reference>
          <reference field="14" count="1" selected="0">
            <x v="808"/>
          </reference>
          <reference field="21" count="1" selected="0">
            <x v="38"/>
          </reference>
          <reference field="22" count="1">
            <x v="4"/>
          </reference>
        </references>
      </pivotArea>
    </format>
    <format dxfId="537">
      <pivotArea dataOnly="0" labelOnly="1" outline="0" fieldPosition="0">
        <references count="6">
          <reference field="3" count="1" selected="0">
            <x v="112"/>
          </reference>
          <reference field="4" count="1" selected="0">
            <x v="2075"/>
          </reference>
          <reference field="11" count="1" selected="0">
            <x v="12"/>
          </reference>
          <reference field="14" count="1" selected="0">
            <x v="656"/>
          </reference>
          <reference field="21" count="1" selected="0">
            <x v="29"/>
          </reference>
          <reference field="22" count="1">
            <x v="3"/>
          </reference>
        </references>
      </pivotArea>
    </format>
    <format dxfId="536">
      <pivotArea dataOnly="0" labelOnly="1" outline="0" fieldPosition="0">
        <references count="6">
          <reference field="3" count="1" selected="0">
            <x v="153"/>
          </reference>
          <reference field="4" count="1" selected="0">
            <x v="4205"/>
          </reference>
          <reference field="11" count="1" selected="0">
            <x v="12"/>
          </reference>
          <reference field="14" count="1" selected="0">
            <x v="125"/>
          </reference>
          <reference field="21" count="1" selected="0">
            <x v="41"/>
          </reference>
          <reference field="22" count="1">
            <x v="5"/>
          </reference>
        </references>
      </pivotArea>
    </format>
    <format dxfId="535">
      <pivotArea dataOnly="0" labelOnly="1" outline="0" fieldPosition="0">
        <references count="6">
          <reference field="3" count="1" selected="0">
            <x v="189"/>
          </reference>
          <reference field="4" count="1" selected="0">
            <x v="7661"/>
          </reference>
          <reference field="11" count="1" selected="0">
            <x v="12"/>
          </reference>
          <reference field="14" count="1" selected="0">
            <x v="350"/>
          </reference>
          <reference field="21" count="1" selected="0">
            <x v="36"/>
          </reference>
          <reference field="22" count="1">
            <x v="4"/>
          </reference>
        </references>
      </pivotArea>
    </format>
    <format dxfId="534">
      <pivotArea dataOnly="0" labelOnly="1" outline="0" fieldPosition="0">
        <references count="6">
          <reference field="3" count="1" selected="0">
            <x v="190"/>
          </reference>
          <reference field="4" count="1" selected="0">
            <x v="3551"/>
          </reference>
          <reference field="11" count="1" selected="0">
            <x v="12"/>
          </reference>
          <reference field="14" count="1" selected="0">
            <x v="106"/>
          </reference>
          <reference field="21" count="1" selected="0">
            <x v="31"/>
          </reference>
          <reference field="22" count="1">
            <x v="3"/>
          </reference>
        </references>
      </pivotArea>
    </format>
    <format dxfId="533">
      <pivotArea dataOnly="0" labelOnly="1" outline="0" fieldPosition="0">
        <references count="6">
          <reference field="3" count="1" selected="0">
            <x v="199"/>
          </reference>
          <reference field="4" count="1" selected="0">
            <x v="4077"/>
          </reference>
          <reference field="11" count="1" selected="0">
            <x v="12"/>
          </reference>
          <reference field="14" count="1" selected="0">
            <x v="629"/>
          </reference>
          <reference field="21" count="1" selected="0">
            <x v="34"/>
          </reference>
          <reference field="22" count="1">
            <x v="4"/>
          </reference>
        </references>
      </pivotArea>
    </format>
    <format dxfId="532">
      <pivotArea dataOnly="0" labelOnly="1" outline="0" fieldPosition="0">
        <references count="6">
          <reference field="3" count="1" selected="0">
            <x v="234"/>
          </reference>
          <reference field="4" count="1" selected="0">
            <x v="231"/>
          </reference>
          <reference field="11" count="1" selected="0">
            <x v="11"/>
          </reference>
          <reference field="14" count="1" selected="0">
            <x v="678"/>
          </reference>
          <reference field="21" count="1" selected="0">
            <x v="27"/>
          </reference>
          <reference field="22" count="1">
            <x v="3"/>
          </reference>
        </references>
      </pivotArea>
    </format>
    <format dxfId="531">
      <pivotArea dataOnly="0" labelOnly="1" outline="0" fieldPosition="0">
        <references count="6">
          <reference field="3" count="1" selected="0">
            <x v="251"/>
          </reference>
          <reference field="4" count="1" selected="0">
            <x v="4095"/>
          </reference>
          <reference field="11" count="1" selected="0">
            <x v="12"/>
          </reference>
          <reference field="14" count="1" selected="0">
            <x v="438"/>
          </reference>
          <reference field="21" count="1" selected="0">
            <x v="33"/>
          </reference>
          <reference field="22" count="1">
            <x v="4"/>
          </reference>
        </references>
      </pivotArea>
    </format>
    <format dxfId="530">
      <pivotArea dataOnly="0" labelOnly="1" outline="0" fieldPosition="0">
        <references count="6">
          <reference field="3" count="1" selected="0">
            <x v="269"/>
          </reference>
          <reference field="4" count="1" selected="0">
            <x v="7152"/>
          </reference>
          <reference field="11" count="1" selected="0">
            <x v="12"/>
          </reference>
          <reference field="14" count="1" selected="0">
            <x v="338"/>
          </reference>
          <reference field="21" count="1" selected="0">
            <x v="29"/>
          </reference>
          <reference field="22" count="1">
            <x v="3"/>
          </reference>
        </references>
      </pivotArea>
    </format>
    <format dxfId="529">
      <pivotArea dataOnly="0" labelOnly="1" outline="0" fieldPosition="0">
        <references count="6">
          <reference field="3" count="1" selected="0">
            <x v="360"/>
          </reference>
          <reference field="4" count="1" selected="0">
            <x v="7714"/>
          </reference>
          <reference field="11" count="1" selected="0">
            <x v="12"/>
          </reference>
          <reference field="14" count="1" selected="0">
            <x v="755"/>
          </reference>
          <reference field="21" count="1" selected="0">
            <x v="37"/>
          </reference>
          <reference field="22" count="1">
            <x v="4"/>
          </reference>
        </references>
      </pivotArea>
    </format>
    <format dxfId="528">
      <pivotArea dataOnly="0" labelOnly="1" outline="0" fieldPosition="0">
        <references count="6">
          <reference field="3" count="1" selected="0">
            <x v="477"/>
          </reference>
          <reference field="4" count="1" selected="0">
            <x v="1442"/>
          </reference>
          <reference field="11" count="1" selected="0">
            <x v="12"/>
          </reference>
          <reference field="14" count="1" selected="0">
            <x v="684"/>
          </reference>
          <reference field="21" count="1" selected="0">
            <x v="22"/>
          </reference>
          <reference field="22" count="1">
            <x v="2"/>
          </reference>
        </references>
      </pivotArea>
    </format>
    <format dxfId="527">
      <pivotArea dataOnly="0" labelOnly="1" outline="0" fieldPosition="0">
        <references count="6">
          <reference field="3" count="1" selected="0">
            <x v="492"/>
          </reference>
          <reference field="4" count="1" selected="0">
            <x v="11"/>
          </reference>
          <reference field="11" count="1" selected="0">
            <x v="11"/>
          </reference>
          <reference field="14" count="1" selected="0">
            <x v="3"/>
          </reference>
          <reference field="21" count="1" selected="0">
            <x v="25"/>
          </reference>
          <reference field="22" count="1">
            <x v="3"/>
          </reference>
        </references>
      </pivotArea>
    </format>
    <format dxfId="526">
      <pivotArea dataOnly="0" labelOnly="1" outline="0" fieldPosition="0">
        <references count="6">
          <reference field="3" count="1" selected="0">
            <x v="503"/>
          </reference>
          <reference field="4" count="1" selected="0">
            <x v="1492"/>
          </reference>
          <reference field="11" count="1" selected="0">
            <x v="11"/>
          </reference>
          <reference field="14" count="1" selected="0">
            <x v="277"/>
          </reference>
          <reference field="21" count="1" selected="0">
            <x v="22"/>
          </reference>
          <reference field="22" count="1">
            <x v="2"/>
          </reference>
        </references>
      </pivotArea>
    </format>
    <format dxfId="525">
      <pivotArea dataOnly="0" labelOnly="1" outline="0" fieldPosition="0">
        <references count="6">
          <reference field="3" count="1" selected="0">
            <x v="535"/>
          </reference>
          <reference field="4" count="1" selected="0">
            <x v="553"/>
          </reference>
          <reference field="11" count="1" selected="0">
            <x v="12"/>
          </reference>
          <reference field="14" count="1" selected="0">
            <x v="689"/>
          </reference>
          <reference field="21" count="1" selected="0">
            <x v="23"/>
          </reference>
          <reference field="22" count="1">
            <x v="3"/>
          </reference>
        </references>
      </pivotArea>
    </format>
    <format dxfId="524">
      <pivotArea dataOnly="0" labelOnly="1" outline="0" fieldPosition="0">
        <references count="6">
          <reference field="3" count="1" selected="0">
            <x v="587"/>
          </reference>
          <reference field="4" count="1" selected="0">
            <x v="5225"/>
          </reference>
          <reference field="11" count="1" selected="0">
            <x v="11"/>
          </reference>
          <reference field="14" count="1" selected="0">
            <x v="450"/>
          </reference>
          <reference field="21" count="1" selected="0">
            <x v="24"/>
          </reference>
          <reference field="22" count="1">
            <x v="3"/>
          </reference>
        </references>
      </pivotArea>
    </format>
    <format dxfId="523">
      <pivotArea dataOnly="0" labelOnly="1" outline="0" fieldPosition="0">
        <references count="6">
          <reference field="3" count="1" selected="0">
            <x v="599"/>
          </reference>
          <reference field="4" count="1" selected="0">
            <x v="7760"/>
          </reference>
          <reference field="11" count="1" selected="0">
            <x v="12"/>
          </reference>
          <reference field="14" count="1" selected="0">
            <x v="916"/>
          </reference>
          <reference field="21" count="1" selected="0">
            <x v="22"/>
          </reference>
          <reference field="22" count="1">
            <x v="2"/>
          </reference>
        </references>
      </pivotArea>
    </format>
    <format dxfId="522">
      <pivotArea dataOnly="0" labelOnly="1" outline="0" fieldPosition="0">
        <references count="6">
          <reference field="3" count="1" selected="0">
            <x v="625"/>
          </reference>
          <reference field="4" count="1" selected="0">
            <x v="5737"/>
          </reference>
          <reference field="11" count="1" selected="0">
            <x v="12"/>
          </reference>
          <reference field="14" count="1" selected="0">
            <x v="852"/>
          </reference>
          <reference field="21" count="1" selected="0">
            <x v="25"/>
          </reference>
          <reference field="22" count="1">
            <x v="3"/>
          </reference>
        </references>
      </pivotArea>
    </format>
    <format dxfId="521">
      <pivotArea dataOnly="0" labelOnly="1" outline="0" fieldPosition="0">
        <references count="6">
          <reference field="3" count="1" selected="0">
            <x v="997"/>
          </reference>
          <reference field="4" count="1" selected="0">
            <x v="1759"/>
          </reference>
          <reference field="11" count="1" selected="0">
            <x v="12"/>
          </reference>
          <reference field="14" count="1" selected="0">
            <x v="867"/>
          </reference>
          <reference field="21" count="1" selected="0">
            <x v="13"/>
          </reference>
          <reference field="22" count="1">
            <x v="1"/>
          </reference>
        </references>
      </pivotArea>
    </format>
    <format dxfId="520">
      <pivotArea dataOnly="0" labelOnly="1" outline="0" fieldPosition="0">
        <references count="6">
          <reference field="3" count="1" selected="0">
            <x v="1003"/>
          </reference>
          <reference field="4" count="1" selected="0">
            <x v="961"/>
          </reference>
          <reference field="11" count="1" selected="0">
            <x v="12"/>
          </reference>
          <reference field="14" count="1" selected="0">
            <x v="899"/>
          </reference>
          <reference field="21" count="1" selected="0">
            <x v="14"/>
          </reference>
          <reference field="22" count="1">
            <x v="2"/>
          </reference>
        </references>
      </pivotArea>
    </format>
    <format dxfId="519">
      <pivotArea dataOnly="0" labelOnly="1" outline="0" fieldPosition="0">
        <references count="6">
          <reference field="3" count="1" selected="0">
            <x v="1020"/>
          </reference>
          <reference field="4" count="1" selected="0">
            <x v="7538"/>
          </reference>
          <reference field="11" count="1" selected="0">
            <x v="12"/>
          </reference>
          <reference field="14" count="1" selected="0">
            <x v="457"/>
          </reference>
          <reference field="21" count="1" selected="0">
            <x v="13"/>
          </reference>
          <reference field="22" count="1">
            <x v="1"/>
          </reference>
        </references>
      </pivotArea>
    </format>
    <format dxfId="518">
      <pivotArea dataOnly="0" labelOnly="1" outline="0" fieldPosition="0">
        <references count="6">
          <reference field="3" count="1" selected="0">
            <x v="1040"/>
          </reference>
          <reference field="4" count="1" selected="0">
            <x v="868"/>
          </reference>
          <reference field="11" count="1" selected="0">
            <x v="12"/>
          </reference>
          <reference field="14" count="1" selected="0">
            <x v="137"/>
          </reference>
          <reference field="21" count="1" selected="0">
            <x v="15"/>
          </reference>
          <reference field="22" count="1">
            <x v="2"/>
          </reference>
        </references>
      </pivotArea>
    </format>
    <format dxfId="517">
      <pivotArea dataOnly="0" labelOnly="1" outline="0" fieldPosition="0">
        <references count="6">
          <reference field="3" count="1" selected="0">
            <x v="1069"/>
          </reference>
          <reference field="4" count="1" selected="0">
            <x v="3787"/>
          </reference>
          <reference field="11" count="1" selected="0">
            <x v="11"/>
          </reference>
          <reference field="14" count="1" selected="0">
            <x v="635"/>
          </reference>
          <reference field="21" count="1" selected="0">
            <x v="12"/>
          </reference>
          <reference field="22" count="1">
            <x v="1"/>
          </reference>
        </references>
      </pivotArea>
    </format>
    <format dxfId="516">
      <pivotArea dataOnly="0" labelOnly="1" outline="0" fieldPosition="0">
        <references count="6">
          <reference field="3" count="1" selected="0">
            <x v="1129"/>
          </reference>
          <reference field="4" count="1" selected="0">
            <x v="1803"/>
          </reference>
          <reference field="11" count="1" selected="0">
            <x v="12"/>
          </reference>
          <reference field="14" count="1" selected="0">
            <x v="895"/>
          </reference>
          <reference field="21" count="1" selected="0">
            <x v="17"/>
          </reference>
          <reference field="22" count="1">
            <x v="2"/>
          </reference>
        </references>
      </pivotArea>
    </format>
    <format dxfId="515">
      <pivotArea dataOnly="0" labelOnly="1" outline="0" fieldPosition="0">
        <references count="6">
          <reference field="3" count="1" selected="0">
            <x v="1141"/>
          </reference>
          <reference field="4" count="1" selected="0">
            <x v="962"/>
          </reference>
          <reference field="11" count="1" selected="0">
            <x v="12"/>
          </reference>
          <reference field="14" count="1" selected="0">
            <x v="902"/>
          </reference>
          <reference field="21" count="1" selected="0">
            <x v="12"/>
          </reference>
          <reference field="22" count="1">
            <x v="1"/>
          </reference>
        </references>
      </pivotArea>
    </format>
    <format dxfId="514">
      <pivotArea dataOnly="0" labelOnly="1" outline="0" fieldPosition="0">
        <references count="6">
          <reference field="3" count="1" selected="0">
            <x v="1196"/>
          </reference>
          <reference field="4" count="1" selected="0">
            <x v="3719"/>
          </reference>
          <reference field="11" count="1" selected="0">
            <x v="11"/>
          </reference>
          <reference field="14" count="1" selected="0">
            <x v="875"/>
          </reference>
          <reference field="21" count="1" selected="0">
            <x v="3"/>
          </reference>
          <reference field="22" count="1">
            <x v="0"/>
          </reference>
        </references>
      </pivotArea>
    </format>
    <format dxfId="513">
      <pivotArea dataOnly="0" labelOnly="1" outline="0" fieldPosition="0">
        <references count="6">
          <reference field="3" count="1" selected="0">
            <x v="1198"/>
          </reference>
          <reference field="4" count="1" selected="0">
            <x v="143"/>
          </reference>
          <reference field="11" count="1" selected="0">
            <x v="12"/>
          </reference>
          <reference field="14" count="1" selected="0">
            <x v="547"/>
          </reference>
          <reference field="21" count="1" selected="0">
            <x v="14"/>
          </reference>
          <reference field="22" count="1">
            <x v="2"/>
          </reference>
        </references>
      </pivotArea>
    </format>
    <format dxfId="512">
      <pivotArea dataOnly="0" labelOnly="1" outline="0" fieldPosition="0">
        <references count="6">
          <reference field="3" count="1" selected="0">
            <x v="1204"/>
          </reference>
          <reference field="4" count="1" selected="0">
            <x v="2183"/>
          </reference>
          <reference field="11" count="1" selected="0">
            <x v="12"/>
          </reference>
          <reference field="14" count="1" selected="0">
            <x v="759"/>
          </reference>
          <reference field="21" count="1" selected="0">
            <x v="3"/>
          </reference>
          <reference field="22" count="1">
            <x v="0"/>
          </reference>
        </references>
      </pivotArea>
    </format>
    <format dxfId="511">
      <pivotArea dataOnly="0" labelOnly="1" outline="0" fieldPosition="0">
        <references count="6">
          <reference field="3" count="1" selected="0">
            <x v="1210"/>
          </reference>
          <reference field="4" count="1" selected="0">
            <x v="4917"/>
          </reference>
          <reference field="11" count="1" selected="0">
            <x v="12"/>
          </reference>
          <reference field="14" count="1" selected="0">
            <x v="554"/>
          </reference>
          <reference field="21" count="1" selected="0">
            <x v="6"/>
          </reference>
          <reference field="22" count="1">
            <x v="1"/>
          </reference>
        </references>
      </pivotArea>
    </format>
    <format dxfId="510">
      <pivotArea dataOnly="0" labelOnly="1" outline="0" fieldPosition="0">
        <references count="6">
          <reference field="3" count="1" selected="0">
            <x v="1222"/>
          </reference>
          <reference field="4" count="1" selected="0">
            <x v="2602"/>
          </reference>
          <reference field="11" count="1" selected="0">
            <x v="12"/>
          </reference>
          <reference field="14" count="1" selected="0">
            <x v="605"/>
          </reference>
          <reference field="21" count="1" selected="0">
            <x v="4"/>
          </reference>
          <reference field="22" count="1">
            <x v="0"/>
          </reference>
        </references>
      </pivotArea>
    </format>
    <format dxfId="509">
      <pivotArea dataOnly="0" labelOnly="1" outline="0" fieldPosition="0">
        <references count="6">
          <reference field="3" count="1" selected="0">
            <x v="1226"/>
          </reference>
          <reference field="4" count="1" selected="0">
            <x v="3567"/>
          </reference>
          <reference field="11" count="1" selected="0">
            <x v="12"/>
          </reference>
          <reference field="14" count="1" selected="0">
            <x v="480"/>
          </reference>
          <reference field="21" count="1" selected="0">
            <x v="8"/>
          </reference>
          <reference field="22" count="1">
            <x v="1"/>
          </reference>
        </references>
      </pivotArea>
    </format>
    <format dxfId="508">
      <pivotArea dataOnly="0" labelOnly="1" outline="0" fieldPosition="0">
        <references count="6">
          <reference field="3" count="1" selected="0">
            <x v="1262"/>
          </reference>
          <reference field="4" count="1" selected="0">
            <x v="6041"/>
          </reference>
          <reference field="11" count="1" selected="0">
            <x v="12"/>
          </reference>
          <reference field="14" count="1" selected="0">
            <x v="876"/>
          </reference>
          <reference field="21" count="1" selected="0">
            <x v="4"/>
          </reference>
          <reference field="22" count="1">
            <x v="0"/>
          </reference>
        </references>
      </pivotArea>
    </format>
    <format dxfId="507">
      <pivotArea dataOnly="0" labelOnly="1" outline="0" fieldPosition="0">
        <references count="6">
          <reference field="3" count="1" selected="0">
            <x v="1285"/>
          </reference>
          <reference field="4" count="1" selected="0">
            <x v="4354"/>
          </reference>
          <reference field="11" count="1" selected="0">
            <x v="12"/>
          </reference>
          <reference field="14" count="1" selected="0">
            <x v="780"/>
          </reference>
          <reference field="21" count="1" selected="0">
            <x v="10"/>
          </reference>
          <reference field="22" count="1">
            <x v="1"/>
          </reference>
        </references>
      </pivotArea>
    </format>
    <format dxfId="506">
      <pivotArea dataOnly="0" labelOnly="1" outline="0" fieldPosition="0">
        <references count="6">
          <reference field="3" count="1" selected="0">
            <x v="1343"/>
          </reference>
          <reference field="4" count="1" selected="0">
            <x v="4224"/>
          </reference>
          <reference field="11" count="1" selected="0">
            <x v="12"/>
          </reference>
          <reference field="14" count="1" selected="0">
            <x v="745"/>
          </reference>
          <reference field="21" count="1" selected="0">
            <x v="5"/>
          </reference>
          <reference field="22" count="1">
            <x v="0"/>
          </reference>
        </references>
      </pivotArea>
    </format>
    <format dxfId="505">
      <pivotArea dataOnly="0" labelOnly="1" outline="0" fieldPosition="0">
        <references count="6">
          <reference field="3" count="1" selected="0">
            <x v="1353"/>
          </reference>
          <reference field="4" count="1" selected="0">
            <x v="7033"/>
          </reference>
          <reference field="11" count="1" selected="0">
            <x v="12"/>
          </reference>
          <reference field="14" count="1" selected="0">
            <x v="474"/>
          </reference>
          <reference field="21" count="1" selected="0">
            <x v="8"/>
          </reference>
          <reference field="22" count="1">
            <x v="1"/>
          </reference>
        </references>
      </pivotArea>
    </format>
    <format dxfId="504">
      <pivotArea dataOnly="0" labelOnly="1" outline="0" fieldPosition="0">
        <references count="6">
          <reference field="3" count="1" selected="0">
            <x v="1383"/>
          </reference>
          <reference field="4" count="1" selected="0">
            <x v="3868"/>
          </reference>
          <reference field="11" count="1" selected="0">
            <x v="12"/>
          </reference>
          <reference field="14" count="1" selected="0">
            <x v="803"/>
          </reference>
          <reference field="21" count="1" selected="0">
            <x v="4"/>
          </reference>
          <reference field="22" count="1">
            <x v="0"/>
          </reference>
        </references>
      </pivotArea>
    </format>
    <format dxfId="503">
      <pivotArea dataOnly="0" labelOnly="1" outline="0" fieldPosition="0">
        <references count="6">
          <reference field="3" count="1" selected="0">
            <x v="1415"/>
          </reference>
          <reference field="4" count="1" selected="0">
            <x v="65"/>
          </reference>
          <reference field="11" count="1" selected="0">
            <x v="12"/>
          </reference>
          <reference field="14" count="1" selected="0">
            <x v="899"/>
          </reference>
          <reference field="21" count="1" selected="0">
            <x v="11"/>
          </reference>
          <reference field="22" count="1">
            <x v="1"/>
          </reference>
        </references>
      </pivotArea>
    </format>
    <format dxfId="502">
      <pivotArea dataOnly="0" labelOnly="1" outline="0" fieldPosition="0">
        <references count="6">
          <reference field="3" count="1" selected="0">
            <x v="1427"/>
          </reference>
          <reference field="4" count="1" selected="0">
            <x v="7919"/>
          </reference>
          <reference field="11" count="1" selected="0">
            <x v="12"/>
          </reference>
          <reference field="14" count="1" selected="0">
            <x v="829"/>
          </reference>
          <reference field="21" count="1" selected="0">
            <x v="6"/>
          </reference>
          <reference field="22" count="1">
            <x v="1"/>
          </reference>
        </references>
      </pivotArea>
    </format>
    <format dxfId="501">
      <pivotArea dataOnly="0" labelOnly="1" outline="0" fieldPosition="0">
        <references count="6">
          <reference field="3" count="1" selected="0">
            <x v="1511"/>
          </reference>
          <reference field="4" count="1" selected="0">
            <x v="3546"/>
          </reference>
          <reference field="11" count="1" selected="0">
            <x v="12"/>
          </reference>
          <reference field="14" count="1" selected="0">
            <x v="537"/>
          </reference>
          <reference field="21" count="1" selected="0">
            <x v="3"/>
          </reference>
          <reference field="22" count="1">
            <x v="0"/>
          </reference>
        </references>
      </pivotArea>
    </format>
    <format dxfId="500">
      <pivotArea dataOnly="0" labelOnly="1" outline="0" fieldPosition="0">
        <references count="6">
          <reference field="3" count="1" selected="0">
            <x v="1512"/>
          </reference>
          <reference field="4" count="1" selected="0">
            <x v="6736"/>
          </reference>
          <reference field="11" count="1" selected="0">
            <x v="12"/>
          </reference>
          <reference field="14" count="1" selected="0">
            <x v="529"/>
          </reference>
          <reference field="21" count="1" selected="0">
            <x v="9"/>
          </reference>
          <reference field="22" count="1">
            <x v="1"/>
          </reference>
        </references>
      </pivotArea>
    </format>
    <format dxfId="499">
      <pivotArea dataOnly="0" labelOnly="1" outline="0" fieldPosition="0">
        <references count="6">
          <reference field="3" count="1" selected="0">
            <x v="1564"/>
          </reference>
          <reference field="4" count="1" selected="0">
            <x v="5654"/>
          </reference>
          <reference field="11" count="1" selected="0">
            <x v="12"/>
          </reference>
          <reference field="14" count="1" selected="0">
            <x v="855"/>
          </reference>
          <reference field="21" count="1" selected="0">
            <x v="4"/>
          </reference>
          <reference field="22" count="1">
            <x v="0"/>
          </reference>
        </references>
      </pivotArea>
    </format>
    <format dxfId="498">
      <pivotArea dataOnly="0" labelOnly="1" outline="0" fieldPosition="0">
        <references count="6">
          <reference field="3" count="1" selected="0">
            <x v="1619"/>
          </reference>
          <reference field="4" count="1" selected="0">
            <x v="669"/>
          </reference>
          <reference field="11" count="1" selected="0">
            <x v="12"/>
          </reference>
          <reference field="14" count="1" selected="0">
            <x v="872"/>
          </reference>
          <reference field="21" count="1" selected="0">
            <x v="8"/>
          </reference>
          <reference field="22" count="1">
            <x v="1"/>
          </reference>
        </references>
      </pivotArea>
    </format>
    <format dxfId="497">
      <pivotArea dataOnly="0" labelOnly="1" outline="0" fieldPosition="0">
        <references count="6">
          <reference field="3" count="1" selected="0">
            <x v="1712"/>
          </reference>
          <reference field="4" count="1" selected="0">
            <x v="5408"/>
          </reference>
          <reference field="11" count="1" selected="0">
            <x v="12"/>
          </reference>
          <reference field="14" count="1" selected="0">
            <x v="346"/>
          </reference>
          <reference field="21" count="1" selected="0">
            <x v="33"/>
          </reference>
          <reference field="22" count="1">
            <x v="4"/>
          </reference>
        </references>
      </pivotArea>
    </format>
    <format dxfId="496">
      <pivotArea dataOnly="0" labelOnly="1" outline="0" fieldPosition="0">
        <references count="6">
          <reference field="3" count="1" selected="0">
            <x v="1715"/>
          </reference>
          <reference field="4" count="1" selected="0">
            <x v="1667"/>
          </reference>
          <reference field="11" count="1" selected="0">
            <x v="11"/>
          </reference>
          <reference field="14" count="1" selected="0">
            <x v="276"/>
          </reference>
          <reference field="21" count="1" selected="0">
            <x v="29"/>
          </reference>
          <reference field="22" count="1">
            <x v="3"/>
          </reference>
        </references>
      </pivotArea>
    </format>
    <format dxfId="495">
      <pivotArea dataOnly="0" labelOnly="1" outline="0" fieldPosition="0">
        <references count="6">
          <reference field="3" count="1" selected="0">
            <x v="1717"/>
          </reference>
          <reference field="4" count="1" selected="0">
            <x v="7778"/>
          </reference>
          <reference field="11" count="1" selected="0">
            <x v="12"/>
          </reference>
          <reference field="14" count="1" selected="0">
            <x v="144"/>
          </reference>
          <reference field="21" count="1" selected="0">
            <x v="8"/>
          </reference>
          <reference field="22" count="1">
            <x v="1"/>
          </reference>
        </references>
      </pivotArea>
    </format>
    <format dxfId="494">
      <pivotArea dataOnly="0" labelOnly="1" outline="0" fieldPosition="0">
        <references count="6">
          <reference field="3" count="1" selected="0">
            <x v="1746"/>
          </reference>
          <reference field="4" count="1" selected="0">
            <x v="274"/>
          </reference>
          <reference field="11" count="1" selected="0">
            <x v="11"/>
          </reference>
          <reference field="14" count="1" selected="0">
            <x v="429"/>
          </reference>
          <reference field="21" count="1" selected="0">
            <x v="31"/>
          </reference>
          <reference field="22" count="1">
            <x v="3"/>
          </reference>
        </references>
      </pivotArea>
    </format>
    <format dxfId="493">
      <pivotArea dataOnly="0" labelOnly="1" outline="0" fieldPosition="0">
        <references count="6">
          <reference field="3" count="1" selected="0">
            <x v="1758"/>
          </reference>
          <reference field="4" count="1" selected="0">
            <x v="982"/>
          </reference>
          <reference field="11" count="1" selected="0">
            <x v="12"/>
          </reference>
          <reference field="14" count="1" selected="0">
            <x v="906"/>
          </reference>
          <reference field="21" count="1" selected="0">
            <x v="13"/>
          </reference>
          <reference field="22" count="1">
            <x v="1"/>
          </reference>
        </references>
      </pivotArea>
    </format>
    <format dxfId="492">
      <pivotArea dataOnly="0" labelOnly="1" outline="0" fieldPosition="0">
        <references count="6">
          <reference field="3" count="1" selected="0">
            <x v="1761"/>
          </reference>
          <reference field="4" count="1" selected="0">
            <x v="737"/>
          </reference>
          <reference field="11" count="1" selected="0">
            <x v="12"/>
          </reference>
          <reference field="14" count="1" selected="0">
            <x v="293"/>
          </reference>
          <reference field="21" count="1" selected="0">
            <x v="17"/>
          </reference>
          <reference field="22" count="1">
            <x v="2"/>
          </reference>
        </references>
      </pivotArea>
    </format>
    <format dxfId="491">
      <pivotArea dataOnly="0" labelOnly="1" outline="0" fieldPosition="0">
        <references count="6">
          <reference field="3" count="1" selected="0">
            <x v="1771"/>
          </reference>
          <reference field="4" count="1" selected="0">
            <x v="5981"/>
          </reference>
          <reference field="11" count="1" selected="0">
            <x v="12"/>
          </reference>
          <reference field="14" count="1" selected="0">
            <x v="819"/>
          </reference>
          <reference field="21" count="1" selected="0">
            <x v="5"/>
          </reference>
          <reference field="22" count="1">
            <x v="0"/>
          </reference>
        </references>
      </pivotArea>
    </format>
    <format dxfId="490">
      <pivotArea dataOnly="0" labelOnly="1" outline="0" fieldPosition="0">
        <references count="6">
          <reference field="3" count="1" selected="0">
            <x v="1789"/>
          </reference>
          <reference field="4" count="1" selected="0">
            <x v="7567"/>
          </reference>
          <reference field="11" count="1" selected="0">
            <x v="12"/>
          </reference>
          <reference field="14" count="1" selected="0">
            <x v="472"/>
          </reference>
          <reference field="21" count="1" selected="0">
            <x v="10"/>
          </reference>
          <reference field="22" count="1">
            <x v="1"/>
          </reference>
        </references>
      </pivotArea>
    </format>
    <format dxfId="489">
      <pivotArea dataOnly="0" labelOnly="1" outline="0" fieldPosition="0">
        <references count="6">
          <reference field="3" count="1" selected="0">
            <x v="1804"/>
          </reference>
          <reference field="4" count="1" selected="0">
            <x v="1335"/>
          </reference>
          <reference field="11" count="1" selected="0">
            <x v="12"/>
          </reference>
          <reference field="14" count="1" selected="0">
            <x v="802"/>
          </reference>
          <reference field="21" count="1" selected="0">
            <x v="21"/>
          </reference>
          <reference field="22" count="1">
            <x v="2"/>
          </reference>
        </references>
      </pivotArea>
    </format>
    <format dxfId="488">
      <pivotArea dataOnly="0" labelOnly="1" outline="0" fieldPosition="0">
        <references count="6">
          <reference field="3" count="1" selected="0">
            <x v="1827"/>
          </reference>
          <reference field="4" count="1" selected="0">
            <x v="4858"/>
          </reference>
          <reference field="11" count="1" selected="0">
            <x v="11"/>
          </reference>
          <reference field="14" count="1" selected="0">
            <x v="926"/>
          </reference>
          <reference field="21" count="1" selected="0">
            <x v="16"/>
          </reference>
          <reference field="22" count="1">
            <x v="2"/>
          </reference>
        </references>
      </pivotArea>
    </format>
    <format dxfId="487">
      <pivotArea dataOnly="0" labelOnly="1" outline="0" fieldPosition="0">
        <references count="6">
          <reference field="3" count="1" selected="0">
            <x v="1851"/>
          </reference>
          <reference field="4" count="1" selected="0">
            <x v="6138"/>
          </reference>
          <reference field="11" count="1" selected="0">
            <x v="12"/>
          </reference>
          <reference field="14" count="1" selected="0">
            <x v="921"/>
          </reference>
          <reference field="21" count="1" selected="0">
            <x v="17"/>
          </reference>
          <reference field="22" count="1">
            <x v="2"/>
          </reference>
        </references>
      </pivotArea>
    </format>
    <format dxfId="486">
      <pivotArea dataOnly="0" labelOnly="1" outline="0" fieldPosition="0">
        <references count="6">
          <reference field="3" count="1" selected="0">
            <x v="1853"/>
          </reference>
          <reference field="4" count="1" selected="0">
            <x v="6418"/>
          </reference>
          <reference field="11" count="1" selected="0">
            <x v="12"/>
          </reference>
          <reference field="14" count="1" selected="0">
            <x v="928"/>
          </reference>
          <reference field="21" count="1" selected="0">
            <x v="3"/>
          </reference>
          <reference field="22" count="1">
            <x v="0"/>
          </reference>
        </references>
      </pivotArea>
    </format>
    <format dxfId="485">
      <pivotArea dataOnly="0" labelOnly="1" outline="0" fieldPosition="0">
        <references count="6">
          <reference field="3" count="1" selected="0">
            <x v="1894"/>
          </reference>
          <reference field="4" count="1" selected="0">
            <x v="5722"/>
          </reference>
          <reference field="11" count="1" selected="0">
            <x v="12"/>
          </reference>
          <reference field="14" count="1" selected="0">
            <x v="919"/>
          </reference>
          <reference field="21" count="1" selected="0">
            <x v="12"/>
          </reference>
          <reference field="22" count="1">
            <x v="1"/>
          </reference>
        </references>
      </pivotArea>
    </format>
    <format dxfId="484">
      <pivotArea dataOnly="0" labelOnly="1" outline="0" fieldPosition="0">
        <references count="6">
          <reference field="3" count="1" selected="0">
            <x v="1903"/>
          </reference>
          <reference field="4" count="1" selected="0">
            <x v="3454"/>
          </reference>
          <reference field="11" count="1" selected="0">
            <x v="12"/>
          </reference>
          <reference field="14" count="1" selected="0">
            <x v="927"/>
          </reference>
          <reference field="21" count="1" selected="0">
            <x v="8"/>
          </reference>
          <reference field="22" count="1">
            <x v="1"/>
          </reference>
        </references>
      </pivotArea>
    </format>
    <format dxfId="483">
      <pivotArea dataOnly="0" labelOnly="1" outline="0" fieldPosition="0">
        <references count="6">
          <reference field="3" count="1" selected="0">
            <x v="1905"/>
          </reference>
          <reference field="4" count="1" selected="0">
            <x v="5342"/>
          </reference>
          <reference field="11" count="1" selected="0">
            <x v="12"/>
          </reference>
          <reference field="14" count="1" selected="0">
            <x v="898"/>
          </reference>
          <reference field="21" count="1" selected="0">
            <x v="5"/>
          </reference>
          <reference field="22" count="1">
            <x v="0"/>
          </reference>
        </references>
      </pivotArea>
    </format>
    <format dxfId="482">
      <pivotArea dataOnly="0" labelOnly="1" outline="0" fieldPosition="0">
        <references count="6">
          <reference field="3" count="1" selected="0">
            <x v="1906"/>
          </reference>
          <reference field="4" count="1" selected="0">
            <x v="6949"/>
          </reference>
          <reference field="11" count="1" selected="0">
            <x v="12"/>
          </reference>
          <reference field="14" count="1" selected="0">
            <x v="923"/>
          </reference>
          <reference field="21" count="1" selected="0">
            <x v="30"/>
          </reference>
          <reference field="22" count="1">
            <x v="3"/>
          </reference>
        </references>
      </pivotArea>
    </format>
    <format dxfId="481">
      <pivotArea dataOnly="0" labelOnly="1" outline="0" fieldPosition="0">
        <references count="6">
          <reference field="3" count="1" selected="0">
            <x v="1911"/>
          </reference>
          <reference field="4" count="1" selected="0">
            <x v="6382"/>
          </reference>
          <reference field="11" count="1" selected="0">
            <x v="12"/>
          </reference>
          <reference field="14" count="1" selected="0">
            <x v="882"/>
          </reference>
          <reference field="21" count="1" selected="0">
            <x v="11"/>
          </reference>
          <reference field="22" count="1">
            <x v="1"/>
          </reference>
        </references>
      </pivotArea>
    </format>
    <format dxfId="480">
      <pivotArea dataOnly="0" labelOnly="1" outline="0" fieldPosition="0">
        <references count="6">
          <reference field="3" count="1" selected="0">
            <x v="1917"/>
          </reference>
          <reference field="4" count="1" selected="0">
            <x v="2228"/>
          </reference>
          <reference field="11" count="1" selected="0">
            <x v="12"/>
          </reference>
          <reference field="14" count="1" selected="0">
            <x v="930"/>
          </reference>
          <reference field="21" count="1" selected="0">
            <x v="34"/>
          </reference>
          <reference field="22" count="1">
            <x v="4"/>
          </reference>
        </references>
      </pivotArea>
    </format>
    <format dxfId="479">
      <pivotArea dataOnly="0" labelOnly="1" outline="0" fieldPosition="0">
        <references count="6">
          <reference field="3" count="1" selected="0">
            <x v="1918"/>
          </reference>
          <reference field="4" count="1" selected="0">
            <x v="3911"/>
          </reference>
          <reference field="11" count="1" selected="0">
            <x v="12"/>
          </reference>
          <reference field="14" count="1" selected="0">
            <x v="930"/>
          </reference>
          <reference field="21" count="1" selected="0">
            <x v="24"/>
          </reference>
          <reference field="22" count="1">
            <x v="3"/>
          </reference>
        </references>
      </pivotArea>
    </format>
    <format dxfId="478">
      <pivotArea dataOnly="0" labelOnly="1" outline="0" fieldPosition="0">
        <references count="6">
          <reference field="3" count="1" selected="0">
            <x v="1950"/>
          </reference>
          <reference field="4" count="1" selected="0">
            <x v="3421"/>
          </reference>
          <reference field="11" count="1" selected="0">
            <x v="12"/>
          </reference>
          <reference field="14" count="1" selected="0">
            <x v="938"/>
          </reference>
          <reference field="21" count="1" selected="0">
            <x v="0"/>
          </reference>
          <reference field="22" count="1">
            <x v="0"/>
          </reference>
        </references>
      </pivotArea>
    </format>
    <format dxfId="477">
      <pivotArea dataOnly="0" labelOnly="1" outline="0" fieldPosition="0">
        <references count="6">
          <reference field="3" count="1" selected="0">
            <x v="1964"/>
          </reference>
          <reference field="4" count="1" selected="0">
            <x v="4436"/>
          </reference>
          <reference field="11" count="1" selected="0">
            <x v="12"/>
          </reference>
          <reference field="14" count="1" selected="0">
            <x v="947"/>
          </reference>
          <reference field="21" count="1" selected="0">
            <x v="17"/>
          </reference>
          <reference field="22" count="1">
            <x v="2"/>
          </reference>
        </references>
      </pivotArea>
    </format>
    <format dxfId="476">
      <pivotArea dataOnly="0" labelOnly="1" outline="0" fieldPosition="0">
        <references count="6">
          <reference field="3" count="1" selected="0">
            <x v="2040"/>
          </reference>
          <reference field="4" count="1" selected="0">
            <x v="814"/>
          </reference>
          <reference field="11" count="1" selected="0">
            <x v="12"/>
          </reference>
          <reference field="14" count="1" selected="0">
            <x v="853"/>
          </reference>
          <reference field="21" count="1" selected="0">
            <x v="6"/>
          </reference>
          <reference field="22" count="1">
            <x v="1"/>
          </reference>
        </references>
      </pivotArea>
    </format>
    <format dxfId="475">
      <pivotArea dataOnly="0" labelOnly="1" outline="0" fieldPosition="0">
        <references count="6">
          <reference field="3" count="1" selected="0">
            <x v="2049"/>
          </reference>
          <reference field="4" count="1" selected="0">
            <x v="5797"/>
          </reference>
          <reference field="11" count="1" selected="0">
            <x v="12"/>
          </reference>
          <reference field="14" count="1" selected="0">
            <x v="906"/>
          </reference>
          <reference field="21" count="1" selected="0">
            <x v="13"/>
          </reference>
          <reference field="22" count="1">
            <x v="1"/>
          </reference>
        </references>
      </pivotArea>
    </format>
    <format dxfId="474">
      <pivotArea dataOnly="0" labelOnly="1" outline="0" fieldPosition="0">
        <references count="6">
          <reference field="3" count="1" selected="0">
            <x v="2089"/>
          </reference>
          <reference field="4" count="1" selected="0">
            <x v="1064"/>
          </reference>
          <reference field="11" count="1" selected="0">
            <x v="12"/>
          </reference>
          <reference field="14" count="1" selected="0">
            <x v="959"/>
          </reference>
          <reference field="21" count="1" selected="0">
            <x v="21"/>
          </reference>
          <reference field="22" count="1">
            <x v="2"/>
          </reference>
        </references>
      </pivotArea>
    </format>
    <format dxfId="473">
      <pivotArea dataOnly="0" labelOnly="1" outline="0" fieldPosition="0">
        <references count="6">
          <reference field="3" count="1" selected="0">
            <x v="2097"/>
          </reference>
          <reference field="4" count="1" selected="0">
            <x v="1103"/>
          </reference>
          <reference field="11" count="1" selected="0">
            <x v="12"/>
          </reference>
          <reference field="14" count="1" selected="0">
            <x v="947"/>
          </reference>
          <reference field="21" count="1" selected="0">
            <x v="25"/>
          </reference>
          <reference field="22" count="1">
            <x v="3"/>
          </reference>
        </references>
      </pivotArea>
    </format>
    <format dxfId="472">
      <pivotArea dataOnly="0" labelOnly="1" outline="0" fieldPosition="0">
        <references count="6">
          <reference field="3" count="1" selected="0">
            <x v="2105"/>
          </reference>
          <reference field="4" count="1" selected="0">
            <x v="2516"/>
          </reference>
          <reference field="11" count="1" selected="0">
            <x v="12"/>
          </reference>
          <reference field="14" count="1" selected="0">
            <x v="965"/>
          </reference>
          <reference field="21" count="1" selected="0">
            <x v="7"/>
          </reference>
          <reference field="22" count="1">
            <x v="1"/>
          </reference>
        </references>
      </pivotArea>
    </format>
    <format dxfId="471">
      <pivotArea dataOnly="0" labelOnly="1" outline="0" fieldPosition="0">
        <references count="6">
          <reference field="3" count="1" selected="0">
            <x v="2106"/>
          </reference>
          <reference field="4" count="1" selected="0">
            <x v="568"/>
          </reference>
          <reference field="11" count="1" selected="0">
            <x v="12"/>
          </reference>
          <reference field="14" count="1" selected="0">
            <x v="966"/>
          </reference>
          <reference field="21" count="1" selected="0">
            <x v="20"/>
          </reference>
          <reference field="22" count="1">
            <x v="2"/>
          </reference>
        </references>
      </pivotArea>
    </format>
    <format dxfId="470">
      <pivotArea dataOnly="0" labelOnly="1" outline="0" fieldPosition="0">
        <references count="6">
          <reference field="3" count="1" selected="0">
            <x v="2122"/>
          </reference>
          <reference field="4" count="1" selected="0">
            <x v="2252"/>
          </reference>
          <reference field="11" count="1" selected="0">
            <x v="12"/>
          </reference>
          <reference field="14" count="1" selected="0">
            <x v="642"/>
          </reference>
          <reference field="21" count="1" selected="0">
            <x v="18"/>
          </reference>
          <reference field="22" count="1">
            <x v="2"/>
          </reference>
        </references>
      </pivotArea>
    </format>
    <format dxfId="469">
      <pivotArea dataOnly="0" labelOnly="1" outline="0" fieldPosition="0">
        <references count="6">
          <reference field="3" count="1" selected="0">
            <x v="2197"/>
          </reference>
          <reference field="4" count="1" selected="0">
            <x v="1576"/>
          </reference>
          <reference field="11" count="1" selected="0">
            <x v="12"/>
          </reference>
          <reference field="14" count="1" selected="0">
            <x v="965"/>
          </reference>
          <reference field="21" count="1" selected="0">
            <x v="8"/>
          </reference>
          <reference field="22" count="1">
            <x v="1"/>
          </reference>
        </references>
      </pivotArea>
    </format>
    <format dxfId="468">
      <pivotArea dataOnly="0" labelOnly="1" outline="0" fieldPosition="0">
        <references count="6">
          <reference field="3" count="1" selected="0">
            <x v="2201"/>
          </reference>
          <reference field="4" count="1" selected="0">
            <x v="7137"/>
          </reference>
          <reference field="11" count="1" selected="0">
            <x v="12"/>
          </reference>
          <reference field="14" count="1" selected="0">
            <x v="981"/>
          </reference>
          <reference field="21" count="1" selected="0">
            <x v="20"/>
          </reference>
          <reference field="22" count="1">
            <x v="2"/>
          </reference>
        </references>
      </pivotArea>
    </format>
    <format dxfId="467">
      <pivotArea dataOnly="0" labelOnly="1" outline="0" fieldPosition="0">
        <references count="6">
          <reference field="3" count="1" selected="0">
            <x v="2222"/>
          </reference>
          <reference field="4" count="1" selected="0">
            <x v="5292"/>
          </reference>
          <reference field="11" count="1" selected="0">
            <x v="12"/>
          </reference>
          <reference field="14" count="1" selected="0">
            <x v="844"/>
          </reference>
          <reference field="21" count="1" selected="0">
            <x v="21"/>
          </reference>
          <reference field="22" count="1">
            <x v="2"/>
          </reference>
        </references>
      </pivotArea>
    </format>
    <format dxfId="466">
      <pivotArea dataOnly="0" labelOnly="1" outline="0" fieldPosition="0">
        <references count="6">
          <reference field="3" count="1" selected="0">
            <x v="2232"/>
          </reference>
          <reference field="4" count="1" selected="0">
            <x v="3300"/>
          </reference>
          <reference field="11" count="1" selected="0">
            <x v="12"/>
          </reference>
          <reference field="14" count="1" selected="0">
            <x v="967"/>
          </reference>
          <reference field="21" count="1" selected="0">
            <x v="4"/>
          </reference>
          <reference field="22" count="1">
            <x v="0"/>
          </reference>
        </references>
      </pivotArea>
    </format>
    <format dxfId="465">
      <pivotArea dataOnly="0" labelOnly="1" outline="0" fieldPosition="0">
        <references count="6">
          <reference field="3" count="1" selected="0">
            <x v="2234"/>
          </reference>
          <reference field="4" count="1" selected="0">
            <x v="3301"/>
          </reference>
          <reference field="11" count="1" selected="0">
            <x v="12"/>
          </reference>
          <reference field="14" count="1" selected="0">
            <x v="970"/>
          </reference>
          <reference field="21" count="1" selected="0">
            <x v="2"/>
          </reference>
          <reference field="22" count="1">
            <x v="0"/>
          </reference>
        </references>
      </pivotArea>
    </format>
    <format dxfId="464">
      <pivotArea dataOnly="0" labelOnly="1" outline="0" fieldPosition="0">
        <references count="6">
          <reference field="3" count="1" selected="0">
            <x v="2243"/>
          </reference>
          <reference field="4" count="1" selected="0">
            <x v="7215"/>
          </reference>
          <reference field="11" count="1" selected="0">
            <x v="12"/>
          </reference>
          <reference field="14" count="1" selected="0">
            <x v="965"/>
          </reference>
          <reference field="21" count="1" selected="0">
            <x v="27"/>
          </reference>
          <reference field="22" count="1">
            <x v="3"/>
          </reference>
        </references>
      </pivotArea>
    </format>
    <format dxfId="463">
      <pivotArea dataOnly="0" labelOnly="1" outline="0" fieldPosition="0">
        <references count="6">
          <reference field="3" count="1" selected="0">
            <x v="2251"/>
          </reference>
          <reference field="4" count="1" selected="0">
            <x v="4570"/>
          </reference>
          <reference field="11" count="1" selected="0">
            <x v="12"/>
          </reference>
          <reference field="14" count="1" selected="0">
            <x v="876"/>
          </reference>
          <reference field="21" count="1" selected="0">
            <x v="14"/>
          </reference>
          <reference field="22" count="1">
            <x v="2"/>
          </reference>
        </references>
      </pivotArea>
    </format>
    <format dxfId="462">
      <pivotArea dataOnly="0" labelOnly="1" outline="0" fieldPosition="0">
        <references count="6">
          <reference field="3" count="1" selected="0">
            <x v="2261"/>
          </reference>
          <reference field="4" count="1" selected="0">
            <x v="6947"/>
          </reference>
          <reference field="11" count="1" selected="0">
            <x v="12"/>
          </reference>
          <reference field="14" count="1" selected="0">
            <x v="939"/>
          </reference>
          <reference field="21" count="1" selected="0">
            <x v="17"/>
          </reference>
          <reference field="22" count="1">
            <x v="2"/>
          </reference>
        </references>
      </pivotArea>
    </format>
    <format dxfId="461">
      <pivotArea dataOnly="0" labelOnly="1" outline="0" fieldPosition="0">
        <references count="7">
          <reference field="3" count="1" selected="0">
            <x v="56"/>
          </reference>
          <reference field="4" count="1" selected="0">
            <x v="743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808"/>
          </reference>
          <reference field="21" count="1" selected="0">
            <x v="38"/>
          </reference>
          <reference field="22" count="1" selected="0">
            <x v="4"/>
          </reference>
        </references>
      </pivotArea>
    </format>
    <format dxfId="460">
      <pivotArea dataOnly="0" labelOnly="1" outline="0" fieldPosition="0">
        <references count="7">
          <reference field="3" count="1" selected="0">
            <x v="81"/>
          </reference>
          <reference field="4" count="1" selected="0">
            <x v="7610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217"/>
          </reference>
          <reference field="21" count="1" selected="0">
            <x v="34"/>
          </reference>
          <reference field="22" count="1" selected="0">
            <x v="4"/>
          </reference>
        </references>
      </pivotArea>
    </format>
    <format dxfId="459">
      <pivotArea dataOnly="0" labelOnly="1" outline="0" fieldPosition="0">
        <references count="7">
          <reference field="3" count="1" selected="0">
            <x v="122"/>
          </reference>
          <reference field="4" count="1" selected="0">
            <x v="5331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369"/>
          </reference>
          <reference field="21" count="1" selected="0">
            <x v="29"/>
          </reference>
          <reference field="22" count="1" selected="0">
            <x v="3"/>
          </reference>
        </references>
      </pivotArea>
    </format>
    <format dxfId="458">
      <pivotArea dataOnly="0" labelOnly="1" outline="0" fieldPosition="0">
        <references count="7">
          <reference field="3" count="1" selected="0">
            <x v="152"/>
          </reference>
          <reference field="4" count="1" selected="0">
            <x v="4449"/>
          </reference>
          <reference field="11" count="1" selected="0">
            <x v="12"/>
          </reference>
          <reference field="12" count="1">
            <x v="0"/>
          </reference>
          <reference field="14" count="1" selected="0">
            <x v="136"/>
          </reference>
          <reference field="21" count="1" selected="0">
            <x v="27"/>
          </reference>
          <reference field="22" count="1" selected="0">
            <x v="3"/>
          </reference>
        </references>
      </pivotArea>
    </format>
    <format dxfId="457">
      <pivotArea dataOnly="0" labelOnly="1" outline="0" fieldPosition="0">
        <references count="7">
          <reference field="3" count="1" selected="0">
            <x v="153"/>
          </reference>
          <reference field="4" count="1" selected="0">
            <x v="4205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125"/>
          </reference>
          <reference field="21" count="1" selected="0">
            <x v="41"/>
          </reference>
          <reference field="22" count="1" selected="0">
            <x v="5"/>
          </reference>
        </references>
      </pivotArea>
    </format>
    <format dxfId="456">
      <pivotArea dataOnly="0" labelOnly="1" outline="0" fieldPosition="0">
        <references count="7">
          <reference field="3" count="1" selected="0">
            <x v="174"/>
          </reference>
          <reference field="4" count="1" selected="0">
            <x v="7069"/>
          </reference>
          <reference field="11" count="1" selected="0">
            <x v="11"/>
          </reference>
          <reference field="12" count="1">
            <x v="1"/>
          </reference>
          <reference field="14" count="1" selected="0">
            <x v="412"/>
          </reference>
          <reference field="21" count="1" selected="0">
            <x v="28"/>
          </reference>
          <reference field="22" count="1" selected="0">
            <x v="3"/>
          </reference>
        </references>
      </pivotArea>
    </format>
    <format dxfId="455">
      <pivotArea dataOnly="0" labelOnly="1" outline="0" fieldPosition="0">
        <references count="7">
          <reference field="3" count="1" selected="0">
            <x v="189"/>
          </reference>
          <reference field="4" count="1" selected="0">
            <x v="7661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350"/>
          </reference>
          <reference field="21" count="1" selected="0">
            <x v="36"/>
          </reference>
          <reference field="22" count="1" selected="0">
            <x v="4"/>
          </reference>
        </references>
      </pivotArea>
    </format>
    <format dxfId="454">
      <pivotArea dataOnly="0" labelOnly="1" outline="0" fieldPosition="0">
        <references count="7">
          <reference field="3" count="1" selected="0">
            <x v="199"/>
          </reference>
          <reference field="4" count="1" selected="0">
            <x v="4077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629"/>
          </reference>
          <reference field="21" count="1" selected="0">
            <x v="34"/>
          </reference>
          <reference field="22" count="1" selected="0">
            <x v="4"/>
          </reference>
        </references>
      </pivotArea>
    </format>
    <format dxfId="453">
      <pivotArea dataOnly="0" labelOnly="1" outline="0" fieldPosition="0">
        <references count="7">
          <reference field="3" count="1" selected="0">
            <x v="204"/>
          </reference>
          <reference field="4" count="1" selected="0">
            <x v="618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851"/>
          </reference>
          <reference field="21" count="1" selected="0">
            <x v="29"/>
          </reference>
          <reference field="22" count="1" selected="0">
            <x v="3"/>
          </reference>
        </references>
      </pivotArea>
    </format>
    <format dxfId="452">
      <pivotArea dataOnly="0" labelOnly="1" outline="0" fieldPosition="0">
        <references count="7">
          <reference field="3" count="1" selected="0">
            <x v="206"/>
          </reference>
          <reference field="4" count="1" selected="0">
            <x v="6497"/>
          </reference>
          <reference field="11" count="1" selected="0">
            <x v="12"/>
          </reference>
          <reference field="12" count="1">
            <x v="0"/>
          </reference>
          <reference field="14" count="1" selected="0">
            <x v="135"/>
          </reference>
          <reference field="21" count="1" selected="0">
            <x v="30"/>
          </reference>
          <reference field="22" count="1" selected="0">
            <x v="3"/>
          </reference>
        </references>
      </pivotArea>
    </format>
    <format dxfId="451">
      <pivotArea dataOnly="0" labelOnly="1" outline="0" fieldPosition="0">
        <references count="7">
          <reference field="3" count="1" selected="0">
            <x v="234"/>
          </reference>
          <reference field="4" count="1" selected="0">
            <x v="231"/>
          </reference>
          <reference field="11" count="1" selected="0">
            <x v="11"/>
          </reference>
          <reference field="12" count="1">
            <x v="31"/>
          </reference>
          <reference field="14" count="1" selected="0">
            <x v="678"/>
          </reference>
          <reference field="21" count="1" selected="0">
            <x v="27"/>
          </reference>
          <reference field="22" count="1" selected="0">
            <x v="3"/>
          </reference>
        </references>
      </pivotArea>
    </format>
    <format dxfId="450">
      <pivotArea dataOnly="0" labelOnly="1" outline="0" fieldPosition="0">
        <references count="7">
          <reference field="3" count="1" selected="0">
            <x v="251"/>
          </reference>
          <reference field="4" count="1" selected="0">
            <x v="4095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438"/>
          </reference>
          <reference field="21" count="1" selected="0">
            <x v="33"/>
          </reference>
          <reference field="22" count="1" selected="0">
            <x v="4"/>
          </reference>
        </references>
      </pivotArea>
    </format>
    <format dxfId="449">
      <pivotArea dataOnly="0" labelOnly="1" outline="0" fieldPosition="0">
        <references count="7">
          <reference field="3" count="1" selected="0">
            <x v="253"/>
          </reference>
          <reference field="4" count="1" selected="0">
            <x v="6532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763"/>
          </reference>
          <reference field="21" count="1" selected="0">
            <x v="39"/>
          </reference>
          <reference field="22" count="1" selected="0">
            <x v="4"/>
          </reference>
        </references>
      </pivotArea>
    </format>
    <format dxfId="448">
      <pivotArea dataOnly="0" labelOnly="1" outline="0" fieldPosition="0">
        <references count="7">
          <reference field="3" count="1" selected="0">
            <x v="269"/>
          </reference>
          <reference field="4" count="1" selected="0">
            <x v="7152"/>
          </reference>
          <reference field="11" count="1" selected="0">
            <x v="12"/>
          </reference>
          <reference field="12" count="1">
            <x v="0"/>
          </reference>
          <reference field="14" count="1" selected="0">
            <x v="338"/>
          </reference>
          <reference field="21" count="1" selected="0">
            <x v="29"/>
          </reference>
          <reference field="22" count="1" selected="0">
            <x v="3"/>
          </reference>
        </references>
      </pivotArea>
    </format>
    <format dxfId="447">
      <pivotArea dataOnly="0" labelOnly="1" outline="0" fieldPosition="0">
        <references count="7">
          <reference field="3" count="1" selected="0">
            <x v="276"/>
          </reference>
          <reference field="4" count="1" selected="0">
            <x v="7931"/>
          </reference>
          <reference field="11" count="1" selected="0">
            <x v="11"/>
          </reference>
          <reference field="12" count="1">
            <x v="31"/>
          </reference>
          <reference field="14" count="1" selected="0">
            <x v="279"/>
          </reference>
          <reference field="21" count="1" selected="0">
            <x v="27"/>
          </reference>
          <reference field="22" count="1" selected="0">
            <x v="3"/>
          </reference>
        </references>
      </pivotArea>
    </format>
    <format dxfId="446">
      <pivotArea dataOnly="0" labelOnly="1" outline="0" fieldPosition="0">
        <references count="7">
          <reference field="3" count="1" selected="0">
            <x v="292"/>
          </reference>
          <reference field="4" count="1" selected="0">
            <x v="2680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981"/>
          </reference>
          <reference field="21" count="1" selected="0">
            <x v="32"/>
          </reference>
          <reference field="22" count="1" selected="0">
            <x v="4"/>
          </reference>
        </references>
      </pivotArea>
    </format>
    <format dxfId="445">
      <pivotArea dataOnly="0" labelOnly="1" outline="0" fieldPosition="0">
        <references count="7">
          <reference field="3" count="1" selected="0">
            <x v="356"/>
          </reference>
          <reference field="4" count="1" selected="0">
            <x v="4512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428"/>
          </reference>
          <reference field="21" count="1" selected="0">
            <x v="26"/>
          </reference>
          <reference field="22" count="1" selected="0">
            <x v="3"/>
          </reference>
        </references>
      </pivotArea>
    </format>
    <format dxfId="444">
      <pivotArea dataOnly="0" labelOnly="1" outline="0" fieldPosition="0">
        <references count="7">
          <reference field="3" count="1" selected="0">
            <x v="375"/>
          </reference>
          <reference field="4" count="1" selected="0">
            <x v="5837"/>
          </reference>
          <reference field="11" count="1" selected="0">
            <x v="11"/>
          </reference>
          <reference field="12" count="1">
            <x v="1"/>
          </reference>
          <reference field="14" count="1" selected="0">
            <x v="129"/>
          </reference>
          <reference field="21" count="1" selected="0">
            <x v="25"/>
          </reference>
          <reference field="22" count="1" selected="0">
            <x v="3"/>
          </reference>
        </references>
      </pivotArea>
    </format>
    <format dxfId="443">
      <pivotArea dataOnly="0" labelOnly="1" outline="0" fieldPosition="0">
        <references count="7">
          <reference field="3" count="1" selected="0">
            <x v="398"/>
          </reference>
          <reference field="4" count="1" selected="0">
            <x v="3374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500"/>
          </reference>
          <reference field="21" count="1" selected="0">
            <x v="24"/>
          </reference>
          <reference field="22" count="1" selected="0">
            <x v="3"/>
          </reference>
        </references>
      </pivotArea>
    </format>
    <format dxfId="442">
      <pivotArea dataOnly="0" labelOnly="1" outline="0" fieldPosition="0">
        <references count="7">
          <reference field="3" count="1" selected="0">
            <x v="458"/>
          </reference>
          <reference field="4" count="1" selected="0">
            <x v="4334"/>
          </reference>
          <reference field="11" count="1" selected="0">
            <x v="12"/>
          </reference>
          <reference field="12" count="1">
            <x v="0"/>
          </reference>
          <reference field="14" count="1" selected="0">
            <x v="402"/>
          </reference>
          <reference field="21" count="1" selected="0">
            <x v="23"/>
          </reference>
          <reference field="22" count="1" selected="0">
            <x v="3"/>
          </reference>
        </references>
      </pivotArea>
    </format>
    <format dxfId="441">
      <pivotArea dataOnly="0" labelOnly="1" outline="0" fieldPosition="0">
        <references count="7">
          <reference field="3" count="1" selected="0">
            <x v="460"/>
          </reference>
          <reference field="4" count="1" selected="0">
            <x v="4064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373"/>
          </reference>
          <reference field="21" count="1" selected="0">
            <x v="23"/>
          </reference>
          <reference field="22" count="1" selected="0">
            <x v="3"/>
          </reference>
        </references>
      </pivotArea>
    </format>
    <format dxfId="440">
      <pivotArea dataOnly="0" labelOnly="1" outline="0" fieldPosition="0">
        <references count="7">
          <reference field="3" count="1" selected="0">
            <x v="480"/>
          </reference>
          <reference field="4" count="1" selected="0">
            <x v="1050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119"/>
          </reference>
          <reference field="21" count="1" selected="0">
            <x v="16"/>
          </reference>
          <reference field="22" count="1" selected="0">
            <x v="2"/>
          </reference>
        </references>
      </pivotArea>
    </format>
    <format dxfId="439">
      <pivotArea dataOnly="0" labelOnly="1" outline="0" fieldPosition="0">
        <references count="7">
          <reference field="3" count="1" selected="0">
            <x v="481"/>
          </reference>
          <reference field="4" count="1" selected="0">
            <x v="6290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757"/>
          </reference>
          <reference field="21" count="1" selected="0">
            <x v="17"/>
          </reference>
          <reference field="22" count="1" selected="0">
            <x v="2"/>
          </reference>
        </references>
      </pivotArea>
    </format>
    <format dxfId="438">
      <pivotArea dataOnly="0" labelOnly="1" outline="0" fieldPosition="0">
        <references count="7">
          <reference field="3" count="1" selected="0">
            <x v="535"/>
          </reference>
          <reference field="4" count="1" selected="0">
            <x v="553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689"/>
          </reference>
          <reference field="21" count="1" selected="0">
            <x v="23"/>
          </reference>
          <reference field="22" count="1" selected="0">
            <x v="3"/>
          </reference>
        </references>
      </pivotArea>
    </format>
    <format dxfId="437">
      <pivotArea dataOnly="0" labelOnly="1" outline="0" fieldPosition="0">
        <references count="7">
          <reference field="3" count="1" selected="0">
            <x v="541"/>
          </reference>
          <reference field="4" count="1" selected="0">
            <x v="7595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189"/>
          </reference>
          <reference field="21" count="1" selected="0">
            <x v="21"/>
          </reference>
          <reference field="22" count="1" selected="0">
            <x v="2"/>
          </reference>
        </references>
      </pivotArea>
    </format>
    <format dxfId="436">
      <pivotArea dataOnly="0" labelOnly="1" outline="0" fieldPosition="0">
        <references count="7">
          <reference field="3" count="1" selected="0">
            <x v="558"/>
          </reference>
          <reference field="4" count="1" selected="0">
            <x v="4323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854"/>
          </reference>
          <reference field="21" count="1" selected="0">
            <x v="21"/>
          </reference>
          <reference field="22" count="1" selected="0">
            <x v="2"/>
          </reference>
        </references>
      </pivotArea>
    </format>
    <format dxfId="435">
      <pivotArea dataOnly="0" labelOnly="1" outline="0" fieldPosition="0">
        <references count="7">
          <reference field="3" count="1" selected="0">
            <x v="599"/>
          </reference>
          <reference field="4" count="1" selected="0">
            <x v="7760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916"/>
          </reference>
          <reference field="21" count="1" selected="0">
            <x v="22"/>
          </reference>
          <reference field="22" count="1" selected="0">
            <x v="2"/>
          </reference>
        </references>
      </pivotArea>
    </format>
    <format dxfId="434">
      <pivotArea dataOnly="0" labelOnly="1" outline="0" fieldPosition="0">
        <references count="7">
          <reference field="3" count="1" selected="0">
            <x v="683"/>
          </reference>
          <reference field="4" count="1" selected="0">
            <x v="4580"/>
          </reference>
          <reference field="11" count="1" selected="0">
            <x v="12"/>
          </reference>
          <reference field="12" count="1">
            <x v="0"/>
          </reference>
          <reference field="14" count="1" selected="0">
            <x v="365"/>
          </reference>
          <reference field="21" count="1" selected="0">
            <x v="20"/>
          </reference>
          <reference field="22" count="1" selected="0">
            <x v="2"/>
          </reference>
        </references>
      </pivotArea>
    </format>
    <format dxfId="433">
      <pivotArea dataOnly="0" labelOnly="1" outline="0" fieldPosition="0">
        <references count="7">
          <reference field="3" count="1" selected="0">
            <x v="695"/>
          </reference>
          <reference field="4" count="1" selected="0">
            <x v="5188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721"/>
          </reference>
          <reference field="21" count="1" selected="0">
            <x v="19"/>
          </reference>
          <reference field="22" count="1" selected="0">
            <x v="2"/>
          </reference>
        </references>
      </pivotArea>
    </format>
    <format dxfId="432">
      <pivotArea dataOnly="0" labelOnly="1" outline="0" fieldPosition="0">
        <references count="7">
          <reference field="3" count="1" selected="0">
            <x v="745"/>
          </reference>
          <reference field="4" count="1" selected="0">
            <x v="6562"/>
          </reference>
          <reference field="11" count="1" selected="0">
            <x v="12"/>
          </reference>
          <reference field="12" count="1">
            <x v="12"/>
          </reference>
          <reference field="14" count="1" selected="0">
            <x v="876"/>
          </reference>
          <reference field="21" count="1" selected="0">
            <x v="18"/>
          </reference>
          <reference field="22" count="1" selected="0">
            <x v="2"/>
          </reference>
        </references>
      </pivotArea>
    </format>
    <format dxfId="431">
      <pivotArea dataOnly="0" labelOnly="1" outline="0" fieldPosition="0">
        <references count="7">
          <reference field="3" count="1" selected="0">
            <x v="756"/>
          </reference>
          <reference field="4" count="1" selected="0">
            <x v="4061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99"/>
          </reference>
          <reference field="21" count="1" selected="0">
            <x v="19"/>
          </reference>
          <reference field="22" count="1" selected="0">
            <x v="2"/>
          </reference>
        </references>
      </pivotArea>
    </format>
    <format dxfId="430">
      <pivotArea dataOnly="0" labelOnly="1" outline="0" fieldPosition="0">
        <references count="7">
          <reference field="3" count="1" selected="0">
            <x v="759"/>
          </reference>
          <reference field="4" count="1" selected="0">
            <x v="805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107"/>
          </reference>
          <reference field="21" count="1" selected="0">
            <x v="18"/>
          </reference>
          <reference field="22" count="1" selected="0">
            <x v="2"/>
          </reference>
        </references>
      </pivotArea>
    </format>
    <format dxfId="429">
      <pivotArea dataOnly="0" labelOnly="1" outline="0" fieldPosition="0">
        <references count="7">
          <reference field="3" count="1" selected="0">
            <x v="774"/>
          </reference>
          <reference field="4" count="1" selected="0">
            <x v="2379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468"/>
          </reference>
          <reference field="21" count="1" selected="0">
            <x v="17"/>
          </reference>
          <reference field="22" count="1" selected="0">
            <x v="2"/>
          </reference>
        </references>
      </pivotArea>
    </format>
    <format dxfId="428">
      <pivotArea dataOnly="0" labelOnly="1" outline="0" fieldPosition="0">
        <references count="7">
          <reference field="3" count="1" selected="0">
            <x v="782"/>
          </reference>
          <reference field="4" count="1" selected="0">
            <x v="1293"/>
          </reference>
          <reference field="11" count="1" selected="0">
            <x v="11"/>
          </reference>
          <reference field="12" count="1">
            <x v="31"/>
          </reference>
          <reference field="14" count="1" selected="0">
            <x v="263"/>
          </reference>
          <reference field="21" count="1" selected="0">
            <x v="17"/>
          </reference>
          <reference field="22" count="1" selected="0">
            <x v="2"/>
          </reference>
        </references>
      </pivotArea>
    </format>
    <format dxfId="427">
      <pivotArea dataOnly="0" labelOnly="1" outline="0" fieldPosition="0">
        <references count="7">
          <reference field="3" count="1" selected="0">
            <x v="809"/>
          </reference>
          <reference field="4" count="1" selected="0">
            <x v="6775"/>
          </reference>
          <reference field="11" count="1" selected="0">
            <x v="12"/>
          </reference>
          <reference field="12" count="1">
            <x v="0"/>
          </reference>
          <reference field="14" count="1" selected="0">
            <x v="116"/>
          </reference>
          <reference field="21" count="1" selected="0">
            <x v="17"/>
          </reference>
          <reference field="22" count="1" selected="0">
            <x v="2"/>
          </reference>
        </references>
      </pivotArea>
    </format>
    <format dxfId="426">
      <pivotArea dataOnly="0" labelOnly="1" outline="0" fieldPosition="0">
        <references count="7">
          <reference field="3" count="1" selected="0">
            <x v="839"/>
          </reference>
          <reference field="4" count="1" selected="0">
            <x v="7371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219"/>
          </reference>
          <reference field="21" count="1" selected="0">
            <x v="17"/>
          </reference>
          <reference field="22" count="1" selected="0">
            <x v="2"/>
          </reference>
        </references>
      </pivotArea>
    </format>
    <format dxfId="425">
      <pivotArea dataOnly="0" labelOnly="1" outline="0" fieldPosition="0">
        <references count="7">
          <reference field="3" count="1" selected="0">
            <x v="881"/>
          </reference>
          <reference field="4" count="1" selected="0">
            <x v="2711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291"/>
          </reference>
          <reference field="21" count="1" selected="0">
            <x v="16"/>
          </reference>
          <reference field="22" count="1" selected="0">
            <x v="2"/>
          </reference>
        </references>
      </pivotArea>
    </format>
    <format dxfId="424">
      <pivotArea dataOnly="0" labelOnly="1" outline="0" fieldPosition="0">
        <references count="7">
          <reference field="3" count="1" selected="0">
            <x v="913"/>
          </reference>
          <reference field="4" count="1" selected="0">
            <x v="5242"/>
          </reference>
          <reference field="11" count="1" selected="0">
            <x v="12"/>
          </reference>
          <reference field="12" count="1">
            <x v="0"/>
          </reference>
          <reference field="14" count="1" selected="0">
            <x v="813"/>
          </reference>
          <reference field="21" count="1" selected="0">
            <x v="15"/>
          </reference>
          <reference field="22" count="1" selected="0">
            <x v="2"/>
          </reference>
        </references>
      </pivotArea>
    </format>
    <format dxfId="423">
      <pivotArea dataOnly="0" labelOnly="1" outline="0" fieldPosition="0">
        <references count="7">
          <reference field="3" count="1" selected="0">
            <x v="948"/>
          </reference>
          <reference field="4" count="1" selected="0">
            <x v="1294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197"/>
          </reference>
          <reference field="21" count="1" selected="0">
            <x v="15"/>
          </reference>
          <reference field="22" count="1" selected="0">
            <x v="2"/>
          </reference>
        </references>
      </pivotArea>
    </format>
    <format dxfId="422">
      <pivotArea dataOnly="0" labelOnly="1" outline="0" fieldPosition="0">
        <references count="7">
          <reference field="3" count="1" selected="0">
            <x v="971"/>
          </reference>
          <reference field="4" count="1" selected="0">
            <x v="3574"/>
          </reference>
          <reference field="11" count="1" selected="0">
            <x v="12"/>
          </reference>
          <reference field="12" count="1">
            <x v="0"/>
          </reference>
          <reference field="14" count="1" selected="0">
            <x v="180"/>
          </reference>
          <reference field="21" count="1" selected="0">
            <x v="14"/>
          </reference>
          <reference field="22" count="1" selected="0">
            <x v="2"/>
          </reference>
        </references>
      </pivotArea>
    </format>
    <format dxfId="421">
      <pivotArea dataOnly="0" labelOnly="1" outline="0" fieldPosition="0">
        <references count="7">
          <reference field="3" count="1" selected="0">
            <x v="997"/>
          </reference>
          <reference field="4" count="1" selected="0">
            <x v="1759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867"/>
          </reference>
          <reference field="21" count="1" selected="0">
            <x v="13"/>
          </reference>
          <reference field="22" count="1" selected="0">
            <x v="1"/>
          </reference>
        </references>
      </pivotArea>
    </format>
    <format dxfId="420">
      <pivotArea dataOnly="0" labelOnly="1" outline="0" fieldPosition="0">
        <references count="7">
          <reference field="3" count="1" selected="0">
            <x v="1003"/>
          </reference>
          <reference field="4" count="1" selected="0">
            <x v="961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899"/>
          </reference>
          <reference field="21" count="1" selected="0">
            <x v="14"/>
          </reference>
          <reference field="22" count="1" selected="0">
            <x v="2"/>
          </reference>
        </references>
      </pivotArea>
    </format>
    <format dxfId="419">
      <pivotArea dataOnly="0" labelOnly="1" outline="0" fieldPosition="0">
        <references count="7">
          <reference field="3" count="1" selected="0">
            <x v="1011"/>
          </reference>
          <reference field="4" count="1" selected="0">
            <x v="5221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162"/>
          </reference>
          <reference field="21" count="1" selected="0">
            <x v="15"/>
          </reference>
          <reference field="22" count="1" selected="0">
            <x v="2"/>
          </reference>
        </references>
      </pivotArea>
    </format>
    <format dxfId="418">
      <pivotArea dataOnly="0" labelOnly="1" outline="0" fieldPosition="0">
        <references count="7">
          <reference field="3" count="1" selected="0">
            <x v="1066"/>
          </reference>
          <reference field="4" count="1" selected="0">
            <x v="109"/>
          </reference>
          <reference field="11" count="1" selected="0">
            <x v="12"/>
          </reference>
          <reference field="12" count="1">
            <x v="0"/>
          </reference>
          <reference field="14" count="1" selected="0">
            <x v="535"/>
          </reference>
          <reference field="21" count="1" selected="0">
            <x v="14"/>
          </reference>
          <reference field="22" count="1" selected="0">
            <x v="2"/>
          </reference>
        </references>
      </pivotArea>
    </format>
    <format dxfId="417">
      <pivotArea dataOnly="0" labelOnly="1" outline="0" fieldPosition="0">
        <references count="7">
          <reference field="3" count="1" selected="0">
            <x v="1069"/>
          </reference>
          <reference field="4" count="1" selected="0">
            <x v="3787"/>
          </reference>
          <reference field="11" count="1" selected="0">
            <x v="11"/>
          </reference>
          <reference field="12" count="1">
            <x v="1"/>
          </reference>
          <reference field="14" count="1" selected="0">
            <x v="635"/>
          </reference>
          <reference field="21" count="1" selected="0">
            <x v="12"/>
          </reference>
          <reference field="22" count="1" selected="0">
            <x v="1"/>
          </reference>
        </references>
      </pivotArea>
    </format>
    <format dxfId="416">
      <pivotArea dataOnly="0" labelOnly="1" outline="0" fieldPosition="0">
        <references count="7">
          <reference field="3" count="1" selected="0">
            <x v="1113"/>
          </reference>
          <reference field="4" count="1" selected="0">
            <x v="112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974"/>
          </reference>
          <reference field="21" count="1" selected="0">
            <x v="11"/>
          </reference>
          <reference field="22" count="1" selected="0">
            <x v="1"/>
          </reference>
        </references>
      </pivotArea>
    </format>
    <format dxfId="415">
      <pivotArea dataOnly="0" labelOnly="1" outline="0" fieldPosition="0">
        <references count="7">
          <reference field="3" count="1" selected="0">
            <x v="1189"/>
          </reference>
          <reference field="4" count="1" selected="0">
            <x v="3938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643"/>
          </reference>
          <reference field="21" count="1" selected="0">
            <x v="10"/>
          </reference>
          <reference field="22" count="1" selected="0">
            <x v="1"/>
          </reference>
        </references>
      </pivotArea>
    </format>
    <format dxfId="414">
      <pivotArea dataOnly="0" labelOnly="1" outline="0" fieldPosition="0">
        <references count="7">
          <reference field="3" count="1" selected="0">
            <x v="1196"/>
          </reference>
          <reference field="4" count="1" selected="0">
            <x v="3719"/>
          </reference>
          <reference field="11" count="1" selected="0">
            <x v="11"/>
          </reference>
          <reference field="12" count="1">
            <x v="31"/>
          </reference>
          <reference field="14" count="1" selected="0">
            <x v="875"/>
          </reference>
          <reference field="21" count="1" selected="0">
            <x v="3"/>
          </reference>
          <reference field="22" count="1" selected="0">
            <x v="0"/>
          </reference>
        </references>
      </pivotArea>
    </format>
    <format dxfId="413">
      <pivotArea dataOnly="0" labelOnly="1" outline="0" fieldPosition="0">
        <references count="7">
          <reference field="3" count="1" selected="0">
            <x v="1198"/>
          </reference>
          <reference field="4" count="1" selected="0">
            <x v="143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547"/>
          </reference>
          <reference field="21" count="1" selected="0">
            <x v="14"/>
          </reference>
          <reference field="22" count="1" selected="0">
            <x v="2"/>
          </reference>
        </references>
      </pivotArea>
    </format>
    <format dxfId="412">
      <pivotArea dataOnly="0" labelOnly="1" outline="0" fieldPosition="0">
        <references count="7">
          <reference field="3" count="1" selected="0">
            <x v="1261"/>
          </reference>
          <reference field="4" count="1" selected="0">
            <x v="4852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423"/>
          </reference>
          <reference field="21" count="1" selected="0">
            <x v="10"/>
          </reference>
          <reference field="22" count="1" selected="0">
            <x v="1"/>
          </reference>
        </references>
      </pivotArea>
    </format>
    <format dxfId="411">
      <pivotArea dataOnly="0" labelOnly="1" outline="0" fieldPosition="0">
        <references count="7">
          <reference field="3" count="1" selected="0">
            <x v="1262"/>
          </reference>
          <reference field="4" count="1" selected="0">
            <x v="6041"/>
          </reference>
          <reference field="11" count="1" selected="0">
            <x v="12"/>
          </reference>
          <reference field="12" count="1">
            <x v="19"/>
          </reference>
          <reference field="14" count="1" selected="0">
            <x v="876"/>
          </reference>
          <reference field="21" count="1" selected="0">
            <x v="4"/>
          </reference>
          <reference field="22" count="1" selected="0">
            <x v="0"/>
          </reference>
        </references>
      </pivotArea>
    </format>
    <format dxfId="410">
      <pivotArea dataOnly="0" labelOnly="1" outline="0" fieldPosition="0">
        <references count="7">
          <reference field="3" count="1" selected="0">
            <x v="1285"/>
          </reference>
          <reference field="4" count="1" selected="0">
            <x v="4354"/>
          </reference>
          <reference field="11" count="1" selected="0">
            <x v="12"/>
          </reference>
          <reference field="12" count="1">
            <x v="0"/>
          </reference>
          <reference field="14" count="1" selected="0">
            <x v="780"/>
          </reference>
          <reference field="21" count="1" selected="0">
            <x v="10"/>
          </reference>
          <reference field="22" count="1" selected="0">
            <x v="1"/>
          </reference>
        </references>
      </pivotArea>
    </format>
    <format dxfId="409">
      <pivotArea dataOnly="0" labelOnly="1" outline="0" fieldPosition="0">
        <references count="7">
          <reference field="3" count="1" selected="0">
            <x v="1343"/>
          </reference>
          <reference field="4" count="1" selected="0">
            <x v="4224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745"/>
          </reference>
          <reference field="21" count="1" selected="0">
            <x v="5"/>
          </reference>
          <reference field="22" count="1" selected="0">
            <x v="0"/>
          </reference>
        </references>
      </pivotArea>
    </format>
    <format dxfId="408">
      <pivotArea dataOnly="0" labelOnly="1" outline="0" fieldPosition="0">
        <references count="7">
          <reference field="3" count="1" selected="0">
            <x v="1353"/>
          </reference>
          <reference field="4" count="1" selected="0">
            <x v="7033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474"/>
          </reference>
          <reference field="21" count="1" selected="0">
            <x v="8"/>
          </reference>
          <reference field="22" count="1" selected="0">
            <x v="1"/>
          </reference>
        </references>
      </pivotArea>
    </format>
    <format dxfId="407">
      <pivotArea dataOnly="0" labelOnly="1" outline="0" fieldPosition="0">
        <references count="7">
          <reference field="3" count="1" selected="0">
            <x v="1391"/>
          </reference>
          <reference field="4" count="1" selected="0">
            <x v="3674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260"/>
          </reference>
          <reference field="21" count="1" selected="0">
            <x v="12"/>
          </reference>
          <reference field="22" count="1" selected="0">
            <x v="1"/>
          </reference>
        </references>
      </pivotArea>
    </format>
    <format dxfId="406">
      <pivotArea dataOnly="0" labelOnly="1" outline="0" fieldPosition="0">
        <references count="7">
          <reference field="3" count="1" selected="0">
            <x v="1415"/>
          </reference>
          <reference field="4" count="1" selected="0">
            <x v="65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899"/>
          </reference>
          <reference field="21" count="1" selected="0">
            <x v="11"/>
          </reference>
          <reference field="22" count="1" selected="0">
            <x v="1"/>
          </reference>
        </references>
      </pivotArea>
    </format>
    <format dxfId="405">
      <pivotArea dataOnly="0" labelOnly="1" outline="0" fieldPosition="0">
        <references count="7">
          <reference field="3" count="1" selected="0">
            <x v="1449"/>
          </reference>
          <reference field="4" count="1" selected="0">
            <x v="124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871"/>
          </reference>
          <reference field="21" count="1" selected="0">
            <x v="8"/>
          </reference>
          <reference field="22" count="1" selected="0">
            <x v="1"/>
          </reference>
        </references>
      </pivotArea>
    </format>
    <format dxfId="404">
      <pivotArea dataOnly="0" labelOnly="1" outline="0" fieldPosition="0">
        <references count="7">
          <reference field="3" count="1" selected="0">
            <x v="1452"/>
          </reference>
          <reference field="4" count="1" selected="0">
            <x v="5876"/>
          </reference>
          <reference field="11" count="1" selected="0">
            <x v="12"/>
          </reference>
          <reference field="12" count="1">
            <x v="7"/>
          </reference>
          <reference field="14" count="1" selected="0">
            <x v="794"/>
          </reference>
          <reference field="21" count="1" selected="0">
            <x v="13"/>
          </reference>
          <reference field="22" count="1" selected="0">
            <x v="1"/>
          </reference>
        </references>
      </pivotArea>
    </format>
    <format dxfId="403">
      <pivotArea dataOnly="0" labelOnly="1" outline="0" fieldPosition="0">
        <references count="7">
          <reference field="3" count="1" selected="0">
            <x v="1482"/>
          </reference>
          <reference field="4" count="1" selected="0">
            <x v="806"/>
          </reference>
          <reference field="11" count="1" selected="0">
            <x v="12"/>
          </reference>
          <reference field="12" count="1">
            <x v="0"/>
          </reference>
          <reference field="14" count="1" selected="0">
            <x v="346"/>
          </reference>
          <reference field="21" count="1" selected="0">
            <x v="6"/>
          </reference>
          <reference field="22" count="1" selected="0">
            <x v="1"/>
          </reference>
        </references>
      </pivotArea>
    </format>
    <format dxfId="402">
      <pivotArea dataOnly="0" labelOnly="1" outline="0" fieldPosition="0">
        <references count="7">
          <reference field="3" count="1" selected="0">
            <x v="1534"/>
          </reference>
          <reference field="4" count="1" selected="0">
            <x v="5622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394"/>
          </reference>
          <reference field="21" count="1" selected="0">
            <x v="8"/>
          </reference>
          <reference field="22" count="1" selected="0">
            <x v="1"/>
          </reference>
        </references>
      </pivotArea>
    </format>
    <format dxfId="401">
      <pivotArea dataOnly="0" labelOnly="1" outline="0" fieldPosition="0">
        <references count="7">
          <reference field="3" count="1" selected="0">
            <x v="1564"/>
          </reference>
          <reference field="4" count="1" selected="0">
            <x v="5654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855"/>
          </reference>
          <reference field="21" count="1" selected="0">
            <x v="4"/>
          </reference>
          <reference field="22" count="1" selected="0">
            <x v="0"/>
          </reference>
        </references>
      </pivotArea>
    </format>
    <format dxfId="400">
      <pivotArea dataOnly="0" labelOnly="1" outline="0" fieldPosition="0">
        <references count="7">
          <reference field="3" count="1" selected="0">
            <x v="1626"/>
          </reference>
          <reference field="4" count="1" selected="0">
            <x v="2269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974"/>
          </reference>
          <reference field="21" count="1" selected="0">
            <x v="7"/>
          </reference>
          <reference field="22" count="1" selected="0">
            <x v="1"/>
          </reference>
        </references>
      </pivotArea>
    </format>
    <format dxfId="399">
      <pivotArea dataOnly="0" labelOnly="1" outline="0" fieldPosition="0">
        <references count="7">
          <reference field="3" count="1" selected="0">
            <x v="1687"/>
          </reference>
          <reference field="4" count="1" selected="0">
            <x v="4075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849"/>
          </reference>
          <reference field="21" count="1" selected="0">
            <x v="3"/>
          </reference>
          <reference field="22" count="1" selected="0">
            <x v="0"/>
          </reference>
        </references>
      </pivotArea>
    </format>
    <format dxfId="398">
      <pivotArea dataOnly="0" labelOnly="1" outline="0" fieldPosition="0">
        <references count="7">
          <reference field="3" count="1" selected="0">
            <x v="1712"/>
          </reference>
          <reference field="4" count="1" selected="0">
            <x v="5408"/>
          </reference>
          <reference field="11" count="1" selected="0">
            <x v="12"/>
          </reference>
          <reference field="12" count="1">
            <x v="0"/>
          </reference>
          <reference field="14" count="1" selected="0">
            <x v="346"/>
          </reference>
          <reference field="21" count="1" selected="0">
            <x v="33"/>
          </reference>
          <reference field="22" count="1" selected="0">
            <x v="4"/>
          </reference>
        </references>
      </pivotArea>
    </format>
    <format dxfId="397">
      <pivotArea dataOnly="0" labelOnly="1" outline="0" fieldPosition="0">
        <references count="7">
          <reference field="3" count="1" selected="0">
            <x v="1715"/>
          </reference>
          <reference field="4" count="1" selected="0">
            <x v="1667"/>
          </reference>
          <reference field="11" count="1" selected="0">
            <x v="11"/>
          </reference>
          <reference field="12" count="1">
            <x v="31"/>
          </reference>
          <reference field="14" count="1" selected="0">
            <x v="276"/>
          </reference>
          <reference field="21" count="1" selected="0">
            <x v="29"/>
          </reference>
          <reference field="22" count="1" selected="0">
            <x v="3"/>
          </reference>
        </references>
      </pivotArea>
    </format>
    <format dxfId="396">
      <pivotArea dataOnly="0" labelOnly="1" outline="0" fieldPosition="0">
        <references count="7">
          <reference field="3" count="1" selected="0">
            <x v="1717"/>
          </reference>
          <reference field="4" count="1" selected="0">
            <x v="7778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144"/>
          </reference>
          <reference field="21" count="1" selected="0">
            <x v="8"/>
          </reference>
          <reference field="22" count="1" selected="0">
            <x v="1"/>
          </reference>
        </references>
      </pivotArea>
    </format>
    <format dxfId="395">
      <pivotArea dataOnly="0" labelOnly="1" outline="0" fieldPosition="0">
        <references count="7">
          <reference field="3" count="1" selected="0">
            <x v="1720"/>
          </reference>
          <reference field="4" count="1" selected="0">
            <x v="3488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981"/>
          </reference>
          <reference field="21" count="1" selected="0">
            <x v="27"/>
          </reference>
          <reference field="22" count="1" selected="0">
            <x v="3"/>
          </reference>
        </references>
      </pivotArea>
    </format>
    <format dxfId="394">
      <pivotArea dataOnly="0" labelOnly="1" outline="0" fieldPosition="0">
        <references count="7">
          <reference field="3" count="1" selected="0">
            <x v="1761"/>
          </reference>
          <reference field="4" count="1" selected="0">
            <x v="737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293"/>
          </reference>
          <reference field="21" count="1" selected="0">
            <x v="17"/>
          </reference>
          <reference field="22" count="1" selected="0">
            <x v="2"/>
          </reference>
        </references>
      </pivotArea>
    </format>
    <format dxfId="393">
      <pivotArea dataOnly="0" labelOnly="1" outline="0" fieldPosition="0">
        <references count="7">
          <reference field="3" count="1" selected="0">
            <x v="1853"/>
          </reference>
          <reference field="4" count="1" selected="0">
            <x v="6418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928"/>
          </reference>
          <reference field="21" count="1" selected="0">
            <x v="3"/>
          </reference>
          <reference field="22" count="1" selected="0">
            <x v="0"/>
          </reference>
        </references>
      </pivotArea>
    </format>
    <format dxfId="392">
      <pivotArea dataOnly="0" labelOnly="1" outline="0" fieldPosition="0">
        <references count="7">
          <reference field="3" count="1" selected="0">
            <x v="1937"/>
          </reference>
          <reference field="4" count="1" selected="0">
            <x v="7773"/>
          </reference>
          <reference field="11" count="1" selected="0">
            <x v="12"/>
          </reference>
          <reference field="12" count="1">
            <x v="0"/>
          </reference>
          <reference field="14" count="1" selected="0">
            <x v="926"/>
          </reference>
          <reference field="21" count="1" selected="0">
            <x v="28"/>
          </reference>
          <reference field="22" count="1" selected="0">
            <x v="3"/>
          </reference>
        </references>
      </pivotArea>
    </format>
    <format dxfId="391">
      <pivotArea dataOnly="0" labelOnly="1" outline="0" fieldPosition="0">
        <references count="7">
          <reference field="3" count="1" selected="0">
            <x v="2040"/>
          </reference>
          <reference field="4" count="1" selected="0">
            <x v="814"/>
          </reference>
          <reference field="11" count="1" selected="0">
            <x v="12"/>
          </reference>
          <reference field="12" count="1">
            <x v="0"/>
          </reference>
          <reference field="14" count="1" selected="0">
            <x v="853"/>
          </reference>
          <reference field="21" count="1" selected="0">
            <x v="6"/>
          </reference>
          <reference field="22" count="1" selected="0">
            <x v="1"/>
          </reference>
        </references>
      </pivotArea>
    </format>
    <format dxfId="390">
      <pivotArea dataOnly="0" labelOnly="1" outline="0" fieldPosition="0">
        <references count="7">
          <reference field="3" count="1" selected="0">
            <x v="2106"/>
          </reference>
          <reference field="4" count="1" selected="0">
            <x v="568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966"/>
          </reference>
          <reference field="21" count="1" selected="0">
            <x v="20"/>
          </reference>
          <reference field="22" count="1" selected="0">
            <x v="2"/>
          </reference>
        </references>
      </pivotArea>
    </format>
    <format dxfId="389">
      <pivotArea dataOnly="0" labelOnly="1" outline="0" fieldPosition="0">
        <references count="8">
          <reference field="3" count="1" selected="0">
            <x v="56"/>
          </reference>
          <reference field="4" count="1" selected="0">
            <x v="743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08"/>
          </reference>
          <reference field="19" count="1">
            <x v="1"/>
          </reference>
          <reference field="21" count="1" selected="0">
            <x v="38"/>
          </reference>
          <reference field="22" count="1" selected="0">
            <x v="4"/>
          </reference>
        </references>
      </pivotArea>
    </format>
    <format dxfId="388">
      <pivotArea dataOnly="0" labelOnly="1" outline="0" fieldPosition="0">
        <references count="8">
          <reference field="3" count="1" selected="0">
            <x v="81"/>
          </reference>
          <reference field="4" count="1" selected="0">
            <x v="7610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217"/>
          </reference>
          <reference field="19" count="1">
            <x v="0"/>
          </reference>
          <reference field="21" count="1" selected="0">
            <x v="34"/>
          </reference>
          <reference field="22" count="1" selected="0">
            <x v="4"/>
          </reference>
        </references>
      </pivotArea>
    </format>
    <format dxfId="387">
      <pivotArea dataOnly="0" labelOnly="1" outline="0" fieldPosition="0">
        <references count="8">
          <reference field="3" count="1" selected="0">
            <x v="152"/>
          </reference>
          <reference field="4" count="1" selected="0">
            <x v="4449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136"/>
          </reference>
          <reference field="19" count="1">
            <x v="0"/>
          </reference>
          <reference field="21" count="1" selected="0">
            <x v="27"/>
          </reference>
          <reference field="22" count="1" selected="0">
            <x v="3"/>
          </reference>
        </references>
      </pivotArea>
    </format>
    <format dxfId="386">
      <pivotArea dataOnly="0" labelOnly="1" outline="0" fieldPosition="0">
        <references count="8">
          <reference field="3" count="1" selected="0">
            <x v="189"/>
          </reference>
          <reference field="4" count="1" selected="0">
            <x v="7661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350"/>
          </reference>
          <reference field="19" count="1">
            <x v="0"/>
          </reference>
          <reference field="21" count="1" selected="0">
            <x v="36"/>
          </reference>
          <reference field="22" count="1" selected="0">
            <x v="4"/>
          </reference>
        </references>
      </pivotArea>
    </format>
    <format dxfId="385">
      <pivotArea dataOnly="0" labelOnly="1" outline="0" fieldPosition="0">
        <references count="8">
          <reference field="3" count="1" selected="0">
            <x v="204"/>
          </reference>
          <reference field="4" count="1" selected="0">
            <x v="618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51"/>
          </reference>
          <reference field="19" count="1">
            <x v="1"/>
          </reference>
          <reference field="21" count="1" selected="0">
            <x v="29"/>
          </reference>
          <reference field="22" count="1" selected="0">
            <x v="3"/>
          </reference>
        </references>
      </pivotArea>
    </format>
    <format dxfId="384">
      <pivotArea dataOnly="0" labelOnly="1" outline="0" fieldPosition="0">
        <references count="8">
          <reference field="3" count="1" selected="0">
            <x v="206"/>
          </reference>
          <reference field="4" count="1" selected="0">
            <x v="6497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135"/>
          </reference>
          <reference field="19" count="1">
            <x v="0"/>
          </reference>
          <reference field="21" count="1" selected="0">
            <x v="30"/>
          </reference>
          <reference field="22" count="1" selected="0">
            <x v="3"/>
          </reference>
        </references>
      </pivotArea>
    </format>
    <format dxfId="383">
      <pivotArea dataOnly="0" labelOnly="1" outline="0" fieldPosition="0">
        <references count="8">
          <reference field="3" count="1" selected="0">
            <x v="360"/>
          </reference>
          <reference field="4" count="1" selected="0">
            <x v="7714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755"/>
          </reference>
          <reference field="19" count="1">
            <x v="1"/>
          </reference>
          <reference field="21" count="1" selected="0">
            <x v="37"/>
          </reference>
          <reference field="22" count="1" selected="0">
            <x v="4"/>
          </reference>
        </references>
      </pivotArea>
    </format>
    <format dxfId="382">
      <pivotArea dataOnly="0" labelOnly="1" outline="0" fieldPosition="0">
        <references count="8">
          <reference field="3" count="1" selected="0">
            <x v="481"/>
          </reference>
          <reference field="4" count="1" selected="0">
            <x v="6290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757"/>
          </reference>
          <reference field="19" count="1">
            <x v="1"/>
          </reference>
          <reference field="21" count="1" selected="0">
            <x v="17"/>
          </reference>
          <reference field="22" count="1" selected="0">
            <x v="2"/>
          </reference>
        </references>
      </pivotArea>
    </format>
    <format dxfId="381">
      <pivotArea dataOnly="0" labelOnly="1" outline="0" fieldPosition="0">
        <references count="8">
          <reference field="3" count="1" selected="0">
            <x v="492"/>
          </reference>
          <reference field="4" count="1" selected="0">
            <x v="11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3"/>
          </reference>
          <reference field="19" count="1">
            <x v="0"/>
          </reference>
          <reference field="21" count="1" selected="0">
            <x v="25"/>
          </reference>
          <reference field="22" count="1" selected="0">
            <x v="3"/>
          </reference>
        </references>
      </pivotArea>
    </format>
    <format dxfId="380">
      <pivotArea dataOnly="0" labelOnly="1" outline="0" fieldPosition="0">
        <references count="8">
          <reference field="3" count="1" selected="0">
            <x v="503"/>
          </reference>
          <reference field="4" count="1" selected="0">
            <x v="1492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277"/>
          </reference>
          <reference field="19" count="1">
            <x v="0"/>
          </reference>
          <reference field="21" count="1" selected="0">
            <x v="22"/>
          </reference>
          <reference field="22" count="1" selected="0">
            <x v="2"/>
          </reference>
        </references>
      </pivotArea>
    </format>
    <format dxfId="379">
      <pivotArea dataOnly="0" labelOnly="1" outline="0" fieldPosition="0">
        <references count="8">
          <reference field="3" count="1" selected="0">
            <x v="625"/>
          </reference>
          <reference field="4" count="1" selected="0">
            <x v="5737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52"/>
          </reference>
          <reference field="19" count="1">
            <x v="0"/>
          </reference>
          <reference field="21" count="1" selected="0">
            <x v="25"/>
          </reference>
          <reference field="22" count="1" selected="0">
            <x v="3"/>
          </reference>
        </references>
      </pivotArea>
    </format>
    <format dxfId="378">
      <pivotArea dataOnly="0" labelOnly="1" outline="0" fieldPosition="0">
        <references count="8">
          <reference field="3" count="1" selected="0">
            <x v="695"/>
          </reference>
          <reference field="4" count="1" selected="0">
            <x v="5188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721"/>
          </reference>
          <reference field="19" count="1">
            <x v="1"/>
          </reference>
          <reference field="21" count="1" selected="0">
            <x v="19"/>
          </reference>
          <reference field="22" count="1" selected="0">
            <x v="2"/>
          </reference>
        </references>
      </pivotArea>
    </format>
    <format dxfId="377">
      <pivotArea dataOnly="0" labelOnly="1" outline="0" fieldPosition="0">
        <references count="8">
          <reference field="3" count="1" selected="0">
            <x v="759"/>
          </reference>
          <reference field="4" count="1" selected="0">
            <x v="805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07"/>
          </reference>
          <reference field="19" count="1">
            <x v="1"/>
          </reference>
          <reference field="21" count="1" selected="0">
            <x v="18"/>
          </reference>
          <reference field="22" count="1" selected="0">
            <x v="2"/>
          </reference>
        </references>
      </pivotArea>
    </format>
    <format dxfId="376">
      <pivotArea dataOnly="0" labelOnly="1" outline="0" fieldPosition="0">
        <references count="8">
          <reference field="3" count="1" selected="0">
            <x v="774"/>
          </reference>
          <reference field="4" count="1" selected="0">
            <x v="2379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468"/>
          </reference>
          <reference field="19" count="1">
            <x v="0"/>
          </reference>
          <reference field="21" count="1" selected="0">
            <x v="17"/>
          </reference>
          <reference field="22" count="1" selected="0">
            <x v="2"/>
          </reference>
        </references>
      </pivotArea>
    </format>
    <format dxfId="375">
      <pivotArea dataOnly="0" labelOnly="1" outline="0" fieldPosition="0">
        <references count="8">
          <reference field="3" count="1" selected="0">
            <x v="948"/>
          </reference>
          <reference field="4" count="1" selected="0">
            <x v="1294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97"/>
          </reference>
          <reference field="19" count="1">
            <x v="0"/>
          </reference>
          <reference field="21" count="1" selected="0">
            <x v="15"/>
          </reference>
          <reference field="22" count="1" selected="0">
            <x v="2"/>
          </reference>
        </references>
      </pivotArea>
    </format>
    <format dxfId="374">
      <pivotArea dataOnly="0" labelOnly="1" outline="0" fieldPosition="0">
        <references count="8">
          <reference field="3" count="1" selected="0">
            <x v="997"/>
          </reference>
          <reference field="4" count="1" selected="0">
            <x v="1759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867"/>
          </reference>
          <reference field="19" count="1">
            <x v="0"/>
          </reference>
          <reference field="21" count="1" selected="0">
            <x v="13"/>
          </reference>
          <reference field="22" count="1" selected="0">
            <x v="1"/>
          </reference>
        </references>
      </pivotArea>
    </format>
    <format dxfId="373">
      <pivotArea dataOnly="0" labelOnly="1" outline="0" fieldPosition="0">
        <references count="8">
          <reference field="3" count="1" selected="0">
            <x v="1066"/>
          </reference>
          <reference field="4" count="1" selected="0">
            <x v="109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535"/>
          </reference>
          <reference field="19" count="1">
            <x v="0"/>
          </reference>
          <reference field="21" count="1" selected="0">
            <x v="14"/>
          </reference>
          <reference field="22" count="1" selected="0">
            <x v="2"/>
          </reference>
        </references>
      </pivotArea>
    </format>
    <format dxfId="372">
      <pivotArea dataOnly="0" labelOnly="1" outline="0" fieldPosition="0">
        <references count="8">
          <reference field="3" count="1" selected="0">
            <x v="1113"/>
          </reference>
          <reference field="4" count="1" selected="0">
            <x v="112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74"/>
          </reference>
          <reference field="19" count="1">
            <x v="1"/>
          </reference>
          <reference field="21" count="1" selected="0">
            <x v="11"/>
          </reference>
          <reference field="22" count="1" selected="0">
            <x v="1"/>
          </reference>
        </references>
      </pivotArea>
    </format>
    <format dxfId="371">
      <pivotArea dataOnly="0" labelOnly="1" outline="0" fieldPosition="0">
        <references count="8">
          <reference field="3" count="1" selected="0">
            <x v="1129"/>
          </reference>
          <reference field="4" count="1" selected="0">
            <x v="1803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95"/>
          </reference>
          <reference field="19" count="1">
            <x v="0"/>
          </reference>
          <reference field="21" count="1" selected="0">
            <x v="17"/>
          </reference>
          <reference field="22" count="1" selected="0">
            <x v="2"/>
          </reference>
        </references>
      </pivotArea>
    </format>
    <format dxfId="370">
      <pivotArea dataOnly="0" labelOnly="1" outline="0" fieldPosition="0">
        <references count="8">
          <reference field="3" count="1" selected="0">
            <x v="1144"/>
          </reference>
          <reference field="4" count="1" selected="0">
            <x v="4719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74"/>
          </reference>
          <reference field="19" count="1">
            <x v="1"/>
          </reference>
          <reference field="21" count="1" selected="0">
            <x v="12"/>
          </reference>
          <reference field="22" count="1" selected="0">
            <x v="1"/>
          </reference>
        </references>
      </pivotArea>
    </format>
    <format dxfId="369">
      <pivotArea dataOnly="0" labelOnly="1" outline="0" fieldPosition="0">
        <references count="8">
          <reference field="3" count="1" selected="0">
            <x v="1167"/>
          </reference>
          <reference field="4" count="1" selected="0">
            <x v="6179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552"/>
          </reference>
          <reference field="19" count="1">
            <x v="0"/>
          </reference>
          <reference field="21" count="1" selected="0">
            <x v="13"/>
          </reference>
          <reference field="22" count="1" selected="0">
            <x v="1"/>
          </reference>
        </references>
      </pivotArea>
    </format>
    <format dxfId="368">
      <pivotArea dataOnly="0" labelOnly="1" outline="0" fieldPosition="0">
        <references count="8">
          <reference field="3" count="1" selected="0">
            <x v="1261"/>
          </reference>
          <reference field="4" count="1" selected="0">
            <x v="4852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423"/>
          </reference>
          <reference field="19" count="1">
            <x v="0"/>
          </reference>
          <reference field="21" count="1" selected="0">
            <x v="10"/>
          </reference>
          <reference field="22" count="1" selected="0">
            <x v="1"/>
          </reference>
        </references>
      </pivotArea>
    </format>
    <format dxfId="367">
      <pivotArea dataOnly="0" labelOnly="1" outline="0" fieldPosition="0">
        <references count="8">
          <reference field="3" count="1" selected="0">
            <x v="1427"/>
          </reference>
          <reference field="4" count="1" selected="0">
            <x v="7919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29"/>
          </reference>
          <reference field="19" count="1">
            <x v="1"/>
          </reference>
          <reference field="21" count="1" selected="0">
            <x v="6"/>
          </reference>
          <reference field="22" count="1" selected="0">
            <x v="1"/>
          </reference>
        </references>
      </pivotArea>
    </format>
    <format dxfId="366">
      <pivotArea dataOnly="0" labelOnly="1" outline="0" fieldPosition="0">
        <references count="8">
          <reference field="3" count="1" selected="0">
            <x v="1435"/>
          </reference>
          <reference field="4" count="1" selected="0">
            <x v="3236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751"/>
          </reference>
          <reference field="19" count="1">
            <x v="0"/>
          </reference>
          <reference field="21" count="1" selected="0">
            <x v="10"/>
          </reference>
          <reference field="22" count="1" selected="0">
            <x v="1"/>
          </reference>
        </references>
      </pivotArea>
    </format>
    <format dxfId="365">
      <pivotArea dataOnly="0" labelOnly="1" outline="0" fieldPosition="0">
        <references count="8">
          <reference field="3" count="1" selected="0">
            <x v="1452"/>
          </reference>
          <reference field="4" count="1" selected="0">
            <x v="5876"/>
          </reference>
          <reference field="11" count="1" selected="0">
            <x v="12"/>
          </reference>
          <reference field="12" count="1" selected="0">
            <x v="7"/>
          </reference>
          <reference field="14" count="1" selected="0">
            <x v="794"/>
          </reference>
          <reference field="19" count="1">
            <x v="1"/>
          </reference>
          <reference field="21" count="1" selected="0">
            <x v="13"/>
          </reference>
          <reference field="22" count="1" selected="0">
            <x v="1"/>
          </reference>
        </references>
      </pivotArea>
    </format>
    <format dxfId="364">
      <pivotArea dataOnly="0" labelOnly="1" outline="0" fieldPosition="0">
        <references count="8">
          <reference field="3" count="1" selected="0">
            <x v="1482"/>
          </reference>
          <reference field="4" count="1" selected="0">
            <x v="806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346"/>
          </reference>
          <reference field="19" count="1">
            <x v="0"/>
          </reference>
          <reference field="21" count="1" selected="0">
            <x v="6"/>
          </reference>
          <reference field="22" count="1" selected="0">
            <x v="1"/>
          </reference>
        </references>
      </pivotArea>
    </format>
    <format dxfId="363">
      <pivotArea dataOnly="0" labelOnly="1" outline="0" fieldPosition="0">
        <references count="8">
          <reference field="3" count="1" selected="0">
            <x v="1626"/>
          </reference>
          <reference field="4" count="1" selected="0">
            <x v="2269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74"/>
          </reference>
          <reference field="19" count="1">
            <x v="1"/>
          </reference>
          <reference field="21" count="1" selected="0">
            <x v="7"/>
          </reference>
          <reference field="22" count="1" selected="0">
            <x v="1"/>
          </reference>
        </references>
      </pivotArea>
    </format>
    <format dxfId="362">
      <pivotArea dataOnly="0" labelOnly="1" outline="0" fieldPosition="0">
        <references count="8">
          <reference field="3" count="1" selected="0">
            <x v="1645"/>
          </reference>
          <reference field="4" count="1" selected="0">
            <x v="4209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57"/>
          </reference>
          <reference field="19" count="1">
            <x v="0"/>
          </reference>
          <reference field="21" count="1" selected="0">
            <x v="9"/>
          </reference>
          <reference field="22" count="1" selected="0">
            <x v="1"/>
          </reference>
        </references>
      </pivotArea>
    </format>
    <format dxfId="361">
      <pivotArea dataOnly="0" labelOnly="1" outline="0" fieldPosition="0">
        <references count="8">
          <reference field="3" count="1" selected="0">
            <x v="1712"/>
          </reference>
          <reference field="4" count="1" selected="0">
            <x v="5408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346"/>
          </reference>
          <reference field="19" count="1">
            <x v="0"/>
          </reference>
          <reference field="21" count="1" selected="0">
            <x v="33"/>
          </reference>
          <reference field="22" count="1" selected="0">
            <x v="4"/>
          </reference>
        </references>
      </pivotArea>
    </format>
    <format dxfId="360">
      <pivotArea dataOnly="0" labelOnly="1" outline="0" fieldPosition="0">
        <references count="8">
          <reference field="3" count="1" selected="0">
            <x v="1750"/>
          </reference>
          <reference field="4" count="1" selected="0">
            <x v="3711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417"/>
          </reference>
          <reference field="19" count="1">
            <x v="0"/>
          </reference>
          <reference field="21" count="1" selected="0">
            <x v="23"/>
          </reference>
          <reference field="22" count="1" selected="0">
            <x v="3"/>
          </reference>
        </references>
      </pivotArea>
    </format>
    <format dxfId="359">
      <pivotArea dataOnly="0" labelOnly="1" outline="0" fieldPosition="0">
        <references count="8">
          <reference field="3" count="1" selected="0">
            <x v="1785"/>
          </reference>
          <reference field="4" count="1" selected="0">
            <x v="693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640"/>
          </reference>
          <reference field="19" count="1">
            <x v="0"/>
          </reference>
          <reference field="21" count="1" selected="0">
            <x v="8"/>
          </reference>
          <reference field="22" count="1" selected="0">
            <x v="1"/>
          </reference>
        </references>
      </pivotArea>
    </format>
    <format dxfId="358">
      <pivotArea dataOnly="0" labelOnly="1" outline="0" fieldPosition="0">
        <references count="8">
          <reference field="3" count="1" selected="0">
            <x v="1789"/>
          </reference>
          <reference field="4" count="1" selected="0">
            <x v="7567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472"/>
          </reference>
          <reference field="19" count="1">
            <x v="0"/>
          </reference>
          <reference field="21" count="1" selected="0">
            <x v="10"/>
          </reference>
          <reference field="22" count="1" selected="0">
            <x v="1"/>
          </reference>
        </references>
      </pivotArea>
    </format>
    <format dxfId="357">
      <pivotArea dataOnly="0" labelOnly="1" outline="0" fieldPosition="0">
        <references count="8">
          <reference field="3" count="1" selected="0">
            <x v="1790"/>
          </reference>
          <reference field="4" count="1" selected="0">
            <x v="1776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780"/>
          </reference>
          <reference field="19" count="1">
            <x v="0"/>
          </reference>
          <reference field="21" count="1" selected="0">
            <x v="31"/>
          </reference>
          <reference field="22" count="1" selected="0">
            <x v="3"/>
          </reference>
        </references>
      </pivotArea>
    </format>
    <format dxfId="356">
      <pivotArea dataOnly="0" labelOnly="1" outline="0" fieldPosition="0">
        <references count="8">
          <reference field="3" count="1" selected="0">
            <x v="1851"/>
          </reference>
          <reference field="4" count="1" selected="0">
            <x v="6138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21"/>
          </reference>
          <reference field="19" count="1">
            <x v="0"/>
          </reference>
          <reference field="21" count="1" selected="0">
            <x v="17"/>
          </reference>
          <reference field="22" count="1" selected="0">
            <x v="2"/>
          </reference>
        </references>
      </pivotArea>
    </format>
    <format dxfId="355">
      <pivotArea dataOnly="0" labelOnly="1" outline="0" fieldPosition="0">
        <references count="8">
          <reference field="3" count="1" selected="0">
            <x v="2122"/>
          </reference>
          <reference field="4" count="1" selected="0">
            <x v="2252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642"/>
          </reference>
          <reference field="19" count="1">
            <x v="0"/>
          </reference>
          <reference field="21" count="1" selected="0">
            <x v="18"/>
          </reference>
          <reference field="22" count="1" selected="0">
            <x v="2"/>
          </reference>
        </references>
      </pivotArea>
    </format>
    <format dxfId="354">
      <pivotArea dataOnly="0" labelOnly="1" outline="0" fieldPosition="0">
        <references count="9">
          <reference field="3" count="1" selected="0">
            <x v="56"/>
          </reference>
          <reference field="4" count="1" selected="0">
            <x v="743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08"/>
          </reference>
          <reference field="19" count="1" selected="0">
            <x v="1"/>
          </reference>
          <reference field="21" count="1" selected="0">
            <x v="38"/>
          </reference>
          <reference field="22" count="1" selected="0">
            <x v="4"/>
          </reference>
          <reference field="24" count="1">
            <x v="0"/>
          </reference>
        </references>
      </pivotArea>
    </format>
    <format dxfId="353">
      <pivotArea dataOnly="0" labelOnly="1" outline="0" fieldPosition="0">
        <references count="9">
          <reference field="3" count="1" selected="0">
            <x v="81"/>
          </reference>
          <reference field="4" count="1" selected="0">
            <x v="7610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217"/>
          </reference>
          <reference field="19" count="1" selected="0">
            <x v="0"/>
          </reference>
          <reference field="21" count="1" selected="0">
            <x v="34"/>
          </reference>
          <reference field="22" count="1" selected="0">
            <x v="4"/>
          </reference>
          <reference field="24" count="1">
            <x v="3"/>
          </reference>
        </references>
      </pivotArea>
    </format>
    <format dxfId="352">
      <pivotArea dataOnly="0" labelOnly="1" outline="0" fieldPosition="0">
        <references count="9">
          <reference field="3" count="1" selected="0">
            <x v="112"/>
          </reference>
          <reference field="4" count="1" selected="0">
            <x v="2075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656"/>
          </reference>
          <reference field="19" count="1" selected="0">
            <x v="0"/>
          </reference>
          <reference field="21" count="1" selected="0">
            <x v="29"/>
          </reference>
          <reference field="22" count="1" selected="0">
            <x v="3"/>
          </reference>
          <reference field="24" count="1">
            <x v="0"/>
          </reference>
        </references>
      </pivotArea>
    </format>
    <format dxfId="351">
      <pivotArea dataOnly="0" labelOnly="1" outline="0" fieldPosition="0">
        <references count="9">
          <reference field="3" count="1" selected="0">
            <x v="122"/>
          </reference>
          <reference field="4" count="1" selected="0">
            <x v="5331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369"/>
          </reference>
          <reference field="19" count="1" selected="0">
            <x v="0"/>
          </reference>
          <reference field="21" count="1" selected="0">
            <x v="29"/>
          </reference>
          <reference field="22" count="1" selected="0">
            <x v="3"/>
          </reference>
          <reference field="24" count="1">
            <x v="7"/>
          </reference>
        </references>
      </pivotArea>
    </format>
    <format dxfId="350">
      <pivotArea dataOnly="0" labelOnly="1" outline="0" fieldPosition="0">
        <references count="9">
          <reference field="3" count="1" selected="0">
            <x v="152"/>
          </reference>
          <reference field="4" count="1" selected="0">
            <x v="4449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136"/>
          </reference>
          <reference field="19" count="1" selected="0">
            <x v="0"/>
          </reference>
          <reference field="21" count="1" selected="0">
            <x v="27"/>
          </reference>
          <reference field="22" count="1" selected="0">
            <x v="3"/>
          </reference>
          <reference field="24" count="1">
            <x v="0"/>
          </reference>
        </references>
      </pivotArea>
    </format>
    <format dxfId="349">
      <pivotArea dataOnly="0" labelOnly="1" outline="0" fieldPosition="0">
        <references count="9">
          <reference field="3" count="1" selected="0">
            <x v="153"/>
          </reference>
          <reference field="4" count="1" selected="0">
            <x v="4205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125"/>
          </reference>
          <reference field="19" count="1" selected="0">
            <x v="0"/>
          </reference>
          <reference field="21" count="1" selected="0">
            <x v="41"/>
          </reference>
          <reference field="22" count="1" selected="0">
            <x v="5"/>
          </reference>
          <reference field="24" count="1">
            <x v="0"/>
          </reference>
        </references>
      </pivotArea>
    </format>
    <format dxfId="348">
      <pivotArea dataOnly="0" labelOnly="1" outline="0" fieldPosition="0">
        <references count="9">
          <reference field="3" count="1" selected="0">
            <x v="174"/>
          </reference>
          <reference field="4" count="1" selected="0">
            <x v="7069"/>
          </reference>
          <reference field="11" count="1" selected="0">
            <x v="11"/>
          </reference>
          <reference field="12" count="1" selected="0">
            <x v="1"/>
          </reference>
          <reference field="14" count="1" selected="0">
            <x v="412"/>
          </reference>
          <reference field="19" count="1" selected="0">
            <x v="0"/>
          </reference>
          <reference field="21" count="1" selected="0">
            <x v="28"/>
          </reference>
          <reference field="22" count="1" selected="0">
            <x v="3"/>
          </reference>
          <reference field="24" count="1">
            <x v="3"/>
          </reference>
        </references>
      </pivotArea>
    </format>
    <format dxfId="347">
      <pivotArea dataOnly="0" labelOnly="1" outline="0" fieldPosition="0">
        <references count="9">
          <reference field="3" count="1" selected="0">
            <x v="189"/>
          </reference>
          <reference field="4" count="1" selected="0">
            <x v="7661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350"/>
          </reference>
          <reference field="19" count="1" selected="0">
            <x v="0"/>
          </reference>
          <reference field="21" count="1" selected="0">
            <x v="36"/>
          </reference>
          <reference field="22" count="1" selected="0">
            <x v="4"/>
          </reference>
          <reference field="24" count="1">
            <x v="1"/>
          </reference>
        </references>
      </pivotArea>
    </format>
    <format dxfId="346">
      <pivotArea dataOnly="0" labelOnly="1" outline="0" fieldPosition="0">
        <references count="9">
          <reference field="3" count="1" selected="0">
            <x v="190"/>
          </reference>
          <reference field="4" count="1" selected="0">
            <x v="3551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106"/>
          </reference>
          <reference field="19" count="1" selected="0">
            <x v="0"/>
          </reference>
          <reference field="21" count="1" selected="0">
            <x v="31"/>
          </reference>
          <reference field="22" count="1" selected="0">
            <x v="3"/>
          </reference>
          <reference field="24" count="1">
            <x v="7"/>
          </reference>
        </references>
      </pivotArea>
    </format>
    <format dxfId="345">
      <pivotArea dataOnly="0" labelOnly="1" outline="0" fieldPosition="0">
        <references count="9">
          <reference field="3" count="1" selected="0">
            <x v="199"/>
          </reference>
          <reference field="4" count="1" selected="0">
            <x v="4077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629"/>
          </reference>
          <reference field="19" count="1" selected="0">
            <x v="0"/>
          </reference>
          <reference field="21" count="1" selected="0">
            <x v="34"/>
          </reference>
          <reference field="22" count="1" selected="0">
            <x v="4"/>
          </reference>
          <reference field="24" count="1">
            <x v="2"/>
          </reference>
        </references>
      </pivotArea>
    </format>
    <format dxfId="344">
      <pivotArea dataOnly="0" labelOnly="1" outline="0" fieldPosition="0">
        <references count="9">
          <reference field="3" count="1" selected="0">
            <x v="204"/>
          </reference>
          <reference field="4" count="1" selected="0">
            <x v="618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51"/>
          </reference>
          <reference field="19" count="1" selected="0">
            <x v="1"/>
          </reference>
          <reference field="21" count="1" selected="0">
            <x v="29"/>
          </reference>
          <reference field="22" count="1" selected="0">
            <x v="3"/>
          </reference>
          <reference field="24" count="1">
            <x v="2"/>
          </reference>
        </references>
      </pivotArea>
    </format>
    <format dxfId="343">
      <pivotArea dataOnly="0" labelOnly="1" outline="0" fieldPosition="0">
        <references count="9">
          <reference field="3" count="1" selected="0">
            <x v="206"/>
          </reference>
          <reference field="4" count="1" selected="0">
            <x v="6497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135"/>
          </reference>
          <reference field="19" count="1" selected="0">
            <x v="0"/>
          </reference>
          <reference field="21" count="1" selected="0">
            <x v="30"/>
          </reference>
          <reference field="22" count="1" selected="0">
            <x v="3"/>
          </reference>
          <reference field="24" count="1">
            <x v="2"/>
          </reference>
        </references>
      </pivotArea>
    </format>
    <format dxfId="342">
      <pivotArea dataOnly="0" labelOnly="1" outline="0" fieldPosition="0">
        <references count="9">
          <reference field="3" count="1" selected="0">
            <x v="234"/>
          </reference>
          <reference field="4" count="1" selected="0">
            <x v="231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678"/>
          </reference>
          <reference field="19" count="1" selected="0">
            <x v="0"/>
          </reference>
          <reference field="21" count="1" selected="0">
            <x v="27"/>
          </reference>
          <reference field="22" count="1" selected="0">
            <x v="3"/>
          </reference>
          <reference field="24" count="1">
            <x v="0"/>
          </reference>
        </references>
      </pivotArea>
    </format>
    <format dxfId="341">
      <pivotArea dataOnly="0" labelOnly="1" outline="0" fieldPosition="0">
        <references count="9">
          <reference field="3" count="1" selected="0">
            <x v="251"/>
          </reference>
          <reference field="4" count="1" selected="0">
            <x v="4095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438"/>
          </reference>
          <reference field="19" count="1" selected="0">
            <x v="0"/>
          </reference>
          <reference field="21" count="1" selected="0">
            <x v="33"/>
          </reference>
          <reference field="22" count="1" selected="0">
            <x v="4"/>
          </reference>
          <reference field="24" count="1">
            <x v="1"/>
          </reference>
        </references>
      </pivotArea>
    </format>
    <format dxfId="340">
      <pivotArea dataOnly="0" labelOnly="1" outline="0" fieldPosition="0">
        <references count="9">
          <reference field="3" count="1" selected="0">
            <x v="253"/>
          </reference>
          <reference field="4" count="1" selected="0">
            <x v="6532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763"/>
          </reference>
          <reference field="19" count="1" selected="0">
            <x v="0"/>
          </reference>
          <reference field="21" count="1" selected="0">
            <x v="39"/>
          </reference>
          <reference field="22" count="1" selected="0">
            <x v="4"/>
          </reference>
          <reference field="24" count="1">
            <x v="2"/>
          </reference>
        </references>
      </pivotArea>
    </format>
    <format dxfId="339">
      <pivotArea dataOnly="0" labelOnly="1" outline="0" fieldPosition="0">
        <references count="9">
          <reference field="3" count="1" selected="0">
            <x v="259"/>
          </reference>
          <reference field="4" count="1" selected="0">
            <x v="5021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15"/>
          </reference>
          <reference field="19" count="1" selected="0">
            <x v="0"/>
          </reference>
          <reference field="21" count="1" selected="0">
            <x v="52"/>
          </reference>
          <reference field="22" count="1" selected="0">
            <x v="5"/>
          </reference>
          <reference field="24" count="1">
            <x v="2"/>
          </reference>
        </references>
      </pivotArea>
    </format>
    <format dxfId="338">
      <pivotArea dataOnly="0" labelOnly="1" outline="0" fieldPosition="0">
        <references count="9">
          <reference field="3" count="1" selected="0">
            <x v="269"/>
          </reference>
          <reference field="4" count="1" selected="0">
            <x v="7152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338"/>
          </reference>
          <reference field="19" count="1" selected="0">
            <x v="0"/>
          </reference>
          <reference field="21" count="1" selected="0">
            <x v="29"/>
          </reference>
          <reference field="22" count="1" selected="0">
            <x v="3"/>
          </reference>
          <reference field="24" count="1">
            <x v="2"/>
          </reference>
        </references>
      </pivotArea>
    </format>
    <format dxfId="337">
      <pivotArea dataOnly="0" labelOnly="1" outline="0" fieldPosition="0">
        <references count="9">
          <reference field="3" count="1" selected="0">
            <x v="276"/>
          </reference>
          <reference field="4" count="1" selected="0">
            <x v="7931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279"/>
          </reference>
          <reference field="19" count="1" selected="0">
            <x v="0"/>
          </reference>
          <reference field="21" count="1" selected="0">
            <x v="27"/>
          </reference>
          <reference field="22" count="1" selected="0">
            <x v="3"/>
          </reference>
          <reference field="24" count="1">
            <x v="2"/>
          </reference>
        </references>
      </pivotArea>
    </format>
    <format dxfId="336">
      <pivotArea dataOnly="0" labelOnly="1" outline="0" fieldPosition="0">
        <references count="9">
          <reference field="3" count="1" selected="0">
            <x v="292"/>
          </reference>
          <reference field="4" count="1" selected="0">
            <x v="2680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81"/>
          </reference>
          <reference field="19" count="1" selected="0">
            <x v="0"/>
          </reference>
          <reference field="21" count="1" selected="0">
            <x v="32"/>
          </reference>
          <reference field="22" count="1" selected="0">
            <x v="4"/>
          </reference>
          <reference field="24" count="1">
            <x v="2"/>
          </reference>
        </references>
      </pivotArea>
    </format>
    <format dxfId="335">
      <pivotArea dataOnly="0" labelOnly="1" outline="0" fieldPosition="0">
        <references count="9">
          <reference field="3" count="1" selected="0">
            <x v="356"/>
          </reference>
          <reference field="4" count="1" selected="0">
            <x v="4512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428"/>
          </reference>
          <reference field="19" count="1" selected="0">
            <x v="0"/>
          </reference>
          <reference field="21" count="1" selected="0">
            <x v="26"/>
          </reference>
          <reference field="22" count="1" selected="0">
            <x v="3"/>
          </reference>
          <reference field="24" count="1">
            <x v="0"/>
          </reference>
        </references>
      </pivotArea>
    </format>
    <format dxfId="334">
      <pivotArea dataOnly="0" labelOnly="1" outline="0" fieldPosition="0">
        <references count="9">
          <reference field="3" count="1" selected="0">
            <x v="360"/>
          </reference>
          <reference field="4" count="1" selected="0">
            <x v="7714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755"/>
          </reference>
          <reference field="19" count="1" selected="0">
            <x v="1"/>
          </reference>
          <reference field="21" count="1" selected="0">
            <x v="37"/>
          </reference>
          <reference field="22" count="1" selected="0">
            <x v="4"/>
          </reference>
          <reference field="24" count="1">
            <x v="0"/>
          </reference>
        </references>
      </pivotArea>
    </format>
    <format dxfId="333">
      <pivotArea dataOnly="0" labelOnly="1" outline="0" fieldPosition="0">
        <references count="9">
          <reference field="3" count="1" selected="0">
            <x v="375"/>
          </reference>
          <reference field="4" count="1" selected="0">
            <x v="5837"/>
          </reference>
          <reference field="11" count="1" selected="0">
            <x v="11"/>
          </reference>
          <reference field="12" count="1" selected="0">
            <x v="1"/>
          </reference>
          <reference field="14" count="1" selected="0">
            <x v="129"/>
          </reference>
          <reference field="19" count="1" selected="0">
            <x v="0"/>
          </reference>
          <reference field="21" count="1" selected="0">
            <x v="25"/>
          </reference>
          <reference field="22" count="1" selected="0">
            <x v="3"/>
          </reference>
          <reference field="24" count="1">
            <x v="0"/>
          </reference>
        </references>
      </pivotArea>
    </format>
    <format dxfId="332">
      <pivotArea dataOnly="0" labelOnly="1" outline="0" fieldPosition="0">
        <references count="9">
          <reference field="3" count="1" selected="0">
            <x v="379"/>
          </reference>
          <reference field="4" count="1" selected="0">
            <x v="3926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255"/>
          </reference>
          <reference field="19" count="1" selected="0">
            <x v="0"/>
          </reference>
          <reference field="21" count="1" selected="0">
            <x v="28"/>
          </reference>
          <reference field="22" count="1" selected="0">
            <x v="3"/>
          </reference>
          <reference field="24" count="1">
            <x v="7"/>
          </reference>
        </references>
      </pivotArea>
    </format>
    <format dxfId="331">
      <pivotArea dataOnly="0" labelOnly="1" outline="0" fieldPosition="0">
        <references count="9">
          <reference field="3" count="1" selected="0">
            <x v="388"/>
          </reference>
          <reference field="4" count="1" selected="0">
            <x v="1359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204"/>
          </reference>
          <reference field="19" count="1" selected="0">
            <x v="0"/>
          </reference>
          <reference field="21" count="1" selected="0">
            <x v="27"/>
          </reference>
          <reference field="22" count="1" selected="0">
            <x v="3"/>
          </reference>
          <reference field="24" count="1">
            <x v="7"/>
          </reference>
        </references>
      </pivotArea>
    </format>
    <format dxfId="330">
      <pivotArea dataOnly="0" labelOnly="1" outline="0" fieldPosition="0">
        <references count="9">
          <reference field="3" count="1" selected="0">
            <x v="398"/>
          </reference>
          <reference field="4" count="1" selected="0">
            <x v="3374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500"/>
          </reference>
          <reference field="19" count="1" selected="0">
            <x v="0"/>
          </reference>
          <reference field="21" count="1" selected="0">
            <x v="24"/>
          </reference>
          <reference field="22" count="1" selected="0">
            <x v="3"/>
          </reference>
          <reference field="24" count="1">
            <x v="3"/>
          </reference>
        </references>
      </pivotArea>
    </format>
    <format dxfId="329">
      <pivotArea dataOnly="0" labelOnly="1" outline="0" fieldPosition="0">
        <references count="9">
          <reference field="3" count="1" selected="0">
            <x v="458"/>
          </reference>
          <reference field="4" count="1" selected="0">
            <x v="4334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402"/>
          </reference>
          <reference field="19" count="1" selected="0">
            <x v="0"/>
          </reference>
          <reference field="21" count="1" selected="0">
            <x v="23"/>
          </reference>
          <reference field="22" count="1" selected="0">
            <x v="3"/>
          </reference>
          <reference field="24" count="1">
            <x v="2"/>
          </reference>
        </references>
      </pivotArea>
    </format>
    <format dxfId="328">
      <pivotArea dataOnly="0" labelOnly="1" outline="0" fieldPosition="0">
        <references count="9">
          <reference field="3" count="1" selected="0">
            <x v="460"/>
          </reference>
          <reference field="4" count="1" selected="0">
            <x v="4064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373"/>
          </reference>
          <reference field="19" count="1" selected="0">
            <x v="0"/>
          </reference>
          <reference field="21" count="1" selected="0">
            <x v="23"/>
          </reference>
          <reference field="22" count="1" selected="0">
            <x v="3"/>
          </reference>
          <reference field="24" count="1">
            <x v="0"/>
          </reference>
        </references>
      </pivotArea>
    </format>
    <format dxfId="327">
      <pivotArea dataOnly="0" labelOnly="1" outline="0" fieldPosition="0">
        <references count="9">
          <reference field="3" count="1" selected="0">
            <x v="477"/>
          </reference>
          <reference field="4" count="1" selected="0">
            <x v="1442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684"/>
          </reference>
          <reference field="19" count="1" selected="0">
            <x v="0"/>
          </reference>
          <reference field="21" count="1" selected="0">
            <x v="22"/>
          </reference>
          <reference field="22" count="1" selected="0">
            <x v="2"/>
          </reference>
          <reference field="24" count="1">
            <x v="2"/>
          </reference>
        </references>
      </pivotArea>
    </format>
    <format dxfId="326">
      <pivotArea dataOnly="0" labelOnly="1" outline="0" fieldPosition="0">
        <references count="9">
          <reference field="3" count="1" selected="0">
            <x v="480"/>
          </reference>
          <reference field="4" count="1" selected="0">
            <x v="1050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119"/>
          </reference>
          <reference field="19" count="1" selected="0">
            <x v="0"/>
          </reference>
          <reference field="21" count="1" selected="0">
            <x v="16"/>
          </reference>
          <reference field="22" count="1" selected="0">
            <x v="2"/>
          </reference>
          <reference field="24" count="1">
            <x v="0"/>
          </reference>
        </references>
      </pivotArea>
    </format>
    <format dxfId="325">
      <pivotArea dataOnly="0" labelOnly="1" outline="0" fieldPosition="0">
        <references count="9">
          <reference field="3" count="1" selected="0">
            <x v="481"/>
          </reference>
          <reference field="4" count="1" selected="0">
            <x v="6290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757"/>
          </reference>
          <reference field="19" count="1" selected="0">
            <x v="1"/>
          </reference>
          <reference field="21" count="1" selected="0">
            <x v="17"/>
          </reference>
          <reference field="22" count="1" selected="0">
            <x v="2"/>
          </reference>
          <reference field="24" count="1">
            <x v="7"/>
          </reference>
        </references>
      </pivotArea>
    </format>
    <format dxfId="324">
      <pivotArea dataOnly="0" labelOnly="1" outline="0" fieldPosition="0">
        <references count="9">
          <reference field="3" count="1" selected="0">
            <x v="492"/>
          </reference>
          <reference field="4" count="1" selected="0">
            <x v="11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3"/>
          </reference>
          <reference field="19" count="1" selected="0">
            <x v="0"/>
          </reference>
          <reference field="21" count="1" selected="0">
            <x v="25"/>
          </reference>
          <reference field="22" count="1" selected="0">
            <x v="3"/>
          </reference>
          <reference field="24" count="1">
            <x v="2"/>
          </reference>
        </references>
      </pivotArea>
    </format>
    <format dxfId="323">
      <pivotArea dataOnly="0" labelOnly="1" outline="0" fieldPosition="0">
        <references count="9">
          <reference field="3" count="1" selected="0">
            <x v="503"/>
          </reference>
          <reference field="4" count="1" selected="0">
            <x v="1492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277"/>
          </reference>
          <reference field="19" count="1" selected="0">
            <x v="0"/>
          </reference>
          <reference field="21" count="1" selected="0">
            <x v="22"/>
          </reference>
          <reference field="22" count="1" selected="0">
            <x v="2"/>
          </reference>
          <reference field="24" count="1">
            <x v="2"/>
          </reference>
        </references>
      </pivotArea>
    </format>
    <format dxfId="322">
      <pivotArea dataOnly="0" labelOnly="1" outline="0" fieldPosition="0">
        <references count="9">
          <reference field="3" count="1" selected="0">
            <x v="535"/>
          </reference>
          <reference field="4" count="1" selected="0">
            <x v="553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689"/>
          </reference>
          <reference field="19" count="1" selected="0">
            <x v="0"/>
          </reference>
          <reference field="21" count="1" selected="0">
            <x v="23"/>
          </reference>
          <reference field="22" count="1" selected="0">
            <x v="3"/>
          </reference>
          <reference field="24" count="1">
            <x v="7"/>
          </reference>
        </references>
      </pivotArea>
    </format>
    <format dxfId="321">
      <pivotArea dataOnly="0" labelOnly="1" outline="0" fieldPosition="0">
        <references count="9">
          <reference field="3" count="1" selected="0">
            <x v="541"/>
          </reference>
          <reference field="4" count="1" selected="0">
            <x v="7595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189"/>
          </reference>
          <reference field="19" count="1" selected="0">
            <x v="0"/>
          </reference>
          <reference field="21" count="1" selected="0">
            <x v="21"/>
          </reference>
          <reference field="22" count="1" selected="0">
            <x v="2"/>
          </reference>
          <reference field="24" count="1">
            <x v="2"/>
          </reference>
        </references>
      </pivotArea>
    </format>
    <format dxfId="320">
      <pivotArea dataOnly="0" labelOnly="1" outline="0" fieldPosition="0">
        <references count="9">
          <reference field="3" count="1" selected="0">
            <x v="558"/>
          </reference>
          <reference field="4" count="1" selected="0">
            <x v="4323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54"/>
          </reference>
          <reference field="19" count="1" selected="0">
            <x v="0"/>
          </reference>
          <reference field="21" count="1" selected="0">
            <x v="21"/>
          </reference>
          <reference field="22" count="1" selected="0">
            <x v="2"/>
          </reference>
          <reference field="24" count="1">
            <x v="3"/>
          </reference>
        </references>
      </pivotArea>
    </format>
    <format dxfId="319">
      <pivotArea dataOnly="0" labelOnly="1" outline="0" fieldPosition="0">
        <references count="9">
          <reference field="3" count="1" selected="0">
            <x v="587"/>
          </reference>
          <reference field="4" count="1" selected="0">
            <x v="5225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450"/>
          </reference>
          <reference field="19" count="1" selected="0">
            <x v="0"/>
          </reference>
          <reference field="21" count="1" selected="0">
            <x v="24"/>
          </reference>
          <reference field="22" count="1" selected="0">
            <x v="3"/>
          </reference>
          <reference field="24" count="1">
            <x v="2"/>
          </reference>
        </references>
      </pivotArea>
    </format>
    <format dxfId="318">
      <pivotArea dataOnly="0" labelOnly="1" outline="0" fieldPosition="0">
        <references count="9">
          <reference field="3" count="1" selected="0">
            <x v="599"/>
          </reference>
          <reference field="4" count="1" selected="0">
            <x v="7760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16"/>
          </reference>
          <reference field="19" count="1" selected="0">
            <x v="0"/>
          </reference>
          <reference field="21" count="1" selected="0">
            <x v="22"/>
          </reference>
          <reference field="22" count="1" selected="0">
            <x v="2"/>
          </reference>
          <reference field="24" count="1">
            <x v="0"/>
          </reference>
        </references>
      </pivotArea>
    </format>
    <format dxfId="317">
      <pivotArea dataOnly="0" labelOnly="1" outline="0" fieldPosition="0">
        <references count="9">
          <reference field="3" count="1" selected="0">
            <x v="622"/>
          </reference>
          <reference field="4" count="1" selected="0">
            <x v="1430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7"/>
          </reference>
          <reference field="19" count="1" selected="0">
            <x v="0"/>
          </reference>
          <reference field="21" count="1" selected="0">
            <x v="21"/>
          </reference>
          <reference field="22" count="1" selected="0">
            <x v="2"/>
          </reference>
          <reference field="24" count="1">
            <x v="2"/>
          </reference>
        </references>
      </pivotArea>
    </format>
    <format dxfId="316">
      <pivotArea dataOnly="0" labelOnly="1" outline="0" fieldPosition="0">
        <references count="9">
          <reference field="3" count="1" selected="0">
            <x v="625"/>
          </reference>
          <reference field="4" count="1" selected="0">
            <x v="5737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52"/>
          </reference>
          <reference field="19" count="1" selected="0">
            <x v="0"/>
          </reference>
          <reference field="21" count="1" selected="0">
            <x v="25"/>
          </reference>
          <reference field="22" count="1" selected="0">
            <x v="3"/>
          </reference>
          <reference field="24" count="1">
            <x v="4"/>
          </reference>
        </references>
      </pivotArea>
    </format>
    <format dxfId="315">
      <pivotArea dataOnly="0" labelOnly="1" outline="0" fieldPosition="0">
        <references count="9">
          <reference field="3" count="1" selected="0">
            <x v="683"/>
          </reference>
          <reference field="4" count="1" selected="0">
            <x v="4580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365"/>
          </reference>
          <reference field="19" count="1" selected="0">
            <x v="0"/>
          </reference>
          <reference field="21" count="1" selected="0">
            <x v="20"/>
          </reference>
          <reference field="22" count="1" selected="0">
            <x v="2"/>
          </reference>
          <reference field="24" count="1">
            <x v="2"/>
          </reference>
        </references>
      </pivotArea>
    </format>
    <format dxfId="314">
      <pivotArea dataOnly="0" labelOnly="1" outline="0" fieldPosition="0">
        <references count="9">
          <reference field="3" count="1" selected="0">
            <x v="695"/>
          </reference>
          <reference field="4" count="1" selected="0">
            <x v="5188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721"/>
          </reference>
          <reference field="19" count="1" selected="0">
            <x v="1"/>
          </reference>
          <reference field="21" count="1" selected="0">
            <x v="19"/>
          </reference>
          <reference field="22" count="1" selected="0">
            <x v="2"/>
          </reference>
          <reference field="24" count="1">
            <x v="0"/>
          </reference>
        </references>
      </pivotArea>
    </format>
    <format dxfId="313">
      <pivotArea dataOnly="0" labelOnly="1" outline="0" fieldPosition="0">
        <references count="9">
          <reference field="3" count="1" selected="0">
            <x v="709"/>
          </reference>
          <reference field="4" count="1" selected="0">
            <x v="4898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95"/>
          </reference>
          <reference field="19" count="1" selected="0">
            <x v="0"/>
          </reference>
          <reference field="21" count="1" selected="0">
            <x v="18"/>
          </reference>
          <reference field="22" count="1" selected="0">
            <x v="2"/>
          </reference>
          <reference field="24" count="1">
            <x v="3"/>
          </reference>
        </references>
      </pivotArea>
    </format>
    <format dxfId="312">
      <pivotArea dataOnly="0" labelOnly="1" outline="0" fieldPosition="0">
        <references count="9">
          <reference field="3" count="1" selected="0">
            <x v="718"/>
          </reference>
          <reference field="4" count="1" selected="0">
            <x v="92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62"/>
          </reference>
          <reference field="19" count="1" selected="0">
            <x v="0"/>
          </reference>
          <reference field="21" count="1" selected="0">
            <x v="22"/>
          </reference>
          <reference field="22" count="1" selected="0">
            <x v="2"/>
          </reference>
          <reference field="24" count="1">
            <x v="2"/>
          </reference>
        </references>
      </pivotArea>
    </format>
    <format dxfId="311">
      <pivotArea dataOnly="0" labelOnly="1" outline="0" fieldPosition="0">
        <references count="9">
          <reference field="3" count="1" selected="0">
            <x v="730"/>
          </reference>
          <reference field="4" count="1" selected="0">
            <x v="6875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34"/>
          </reference>
          <reference field="19" count="1" selected="0">
            <x v="0"/>
          </reference>
          <reference field="21" count="1" selected="0">
            <x v="18"/>
          </reference>
          <reference field="22" count="1" selected="0">
            <x v="2"/>
          </reference>
          <reference field="24" count="1">
            <x v="0"/>
          </reference>
        </references>
      </pivotArea>
    </format>
    <format dxfId="310">
      <pivotArea dataOnly="0" labelOnly="1" outline="0" fieldPosition="0">
        <references count="9">
          <reference field="3" count="1" selected="0">
            <x v="745"/>
          </reference>
          <reference field="4" count="1" selected="0">
            <x v="6562"/>
          </reference>
          <reference field="11" count="1" selected="0">
            <x v="12"/>
          </reference>
          <reference field="12" count="1" selected="0">
            <x v="12"/>
          </reference>
          <reference field="14" count="1" selected="0">
            <x v="876"/>
          </reference>
          <reference field="19" count="1" selected="0">
            <x v="0"/>
          </reference>
          <reference field="21" count="1" selected="0">
            <x v="18"/>
          </reference>
          <reference field="22" count="1" selected="0">
            <x v="2"/>
          </reference>
          <reference field="24" count="1">
            <x v="2"/>
          </reference>
        </references>
      </pivotArea>
    </format>
    <format dxfId="309">
      <pivotArea dataOnly="0" labelOnly="1" outline="0" fieldPosition="0">
        <references count="9">
          <reference field="3" count="1" selected="0">
            <x v="756"/>
          </reference>
          <reference field="4" count="1" selected="0">
            <x v="4061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99"/>
          </reference>
          <reference field="19" count="1" selected="0">
            <x v="0"/>
          </reference>
          <reference field="21" count="1" selected="0">
            <x v="19"/>
          </reference>
          <reference field="22" count="1" selected="0">
            <x v="2"/>
          </reference>
          <reference field="24" count="1">
            <x v="3"/>
          </reference>
        </references>
      </pivotArea>
    </format>
    <format dxfId="308">
      <pivotArea dataOnly="0" labelOnly="1" outline="0" fieldPosition="0">
        <references count="9">
          <reference field="3" count="1" selected="0">
            <x v="759"/>
          </reference>
          <reference field="4" count="1" selected="0">
            <x v="805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07"/>
          </reference>
          <reference field="19" count="1" selected="0">
            <x v="1"/>
          </reference>
          <reference field="21" count="1" selected="0">
            <x v="18"/>
          </reference>
          <reference field="22" count="1" selected="0">
            <x v="2"/>
          </reference>
          <reference field="24" count="1">
            <x v="2"/>
          </reference>
        </references>
      </pivotArea>
    </format>
    <format dxfId="307">
      <pivotArea dataOnly="0" labelOnly="1" outline="0" fieldPosition="0">
        <references count="9">
          <reference field="3" count="1" selected="0">
            <x v="774"/>
          </reference>
          <reference field="4" count="1" selected="0">
            <x v="2379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468"/>
          </reference>
          <reference field="19" count="1" selected="0">
            <x v="0"/>
          </reference>
          <reference field="21" count="1" selected="0">
            <x v="17"/>
          </reference>
          <reference field="22" count="1" selected="0">
            <x v="2"/>
          </reference>
          <reference field="24" count="1">
            <x v="0"/>
          </reference>
        </references>
      </pivotArea>
    </format>
    <format dxfId="306">
      <pivotArea dataOnly="0" labelOnly="1" outline="0" fieldPosition="0">
        <references count="9">
          <reference field="3" count="1" selected="0">
            <x v="782"/>
          </reference>
          <reference field="4" count="1" selected="0">
            <x v="1293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263"/>
          </reference>
          <reference field="19" count="1" selected="0">
            <x v="0"/>
          </reference>
          <reference field="21" count="1" selected="0">
            <x v="17"/>
          </reference>
          <reference field="22" count="1" selected="0">
            <x v="2"/>
          </reference>
          <reference field="24" count="1">
            <x v="0"/>
          </reference>
        </references>
      </pivotArea>
    </format>
    <format dxfId="305">
      <pivotArea dataOnly="0" labelOnly="1" outline="0" fieldPosition="0">
        <references count="9">
          <reference field="3" count="1" selected="0">
            <x v="809"/>
          </reference>
          <reference field="4" count="1" selected="0">
            <x v="6775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116"/>
          </reference>
          <reference field="19" count="1" selected="0">
            <x v="0"/>
          </reference>
          <reference field="21" count="1" selected="0">
            <x v="17"/>
          </reference>
          <reference field="22" count="1" selected="0">
            <x v="2"/>
          </reference>
          <reference field="24" count="1">
            <x v="2"/>
          </reference>
        </references>
      </pivotArea>
    </format>
    <format dxfId="304">
      <pivotArea dataOnly="0" labelOnly="1" outline="0" fieldPosition="0">
        <references count="9">
          <reference field="3" count="1" selected="0">
            <x v="839"/>
          </reference>
          <reference field="4" count="1" selected="0">
            <x v="7371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219"/>
          </reference>
          <reference field="19" count="1" selected="0">
            <x v="0"/>
          </reference>
          <reference field="21" count="1" selected="0">
            <x v="17"/>
          </reference>
          <reference field="22" count="1" selected="0">
            <x v="2"/>
          </reference>
          <reference field="24" count="1">
            <x v="3"/>
          </reference>
        </references>
      </pivotArea>
    </format>
    <format dxfId="303">
      <pivotArea dataOnly="0" labelOnly="1" outline="0" fieldPosition="0">
        <references count="9">
          <reference field="3" count="1" selected="0">
            <x v="850"/>
          </reference>
          <reference field="4" count="1" selected="0">
            <x v="1239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73"/>
          </reference>
          <reference field="19" count="1" selected="0">
            <x v="0"/>
          </reference>
          <reference field="21" count="1" selected="0">
            <x v="16"/>
          </reference>
          <reference field="22" count="1" selected="0">
            <x v="2"/>
          </reference>
          <reference field="24" count="1">
            <x v="0"/>
          </reference>
        </references>
      </pivotArea>
    </format>
    <format dxfId="302">
      <pivotArea dataOnly="0" labelOnly="1" outline="0" fieldPosition="0">
        <references count="9">
          <reference field="3" count="1" selected="0">
            <x v="873"/>
          </reference>
          <reference field="4" count="1" selected="0">
            <x v="6413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72"/>
          </reference>
          <reference field="19" count="1" selected="0">
            <x v="0"/>
          </reference>
          <reference field="21" count="1" selected="0">
            <x v="16"/>
          </reference>
          <reference field="22" count="1" selected="0">
            <x v="2"/>
          </reference>
          <reference field="24" count="1">
            <x v="0"/>
          </reference>
        </references>
      </pivotArea>
    </format>
    <format dxfId="301">
      <pivotArea dataOnly="0" labelOnly="1" outline="0" fieldPosition="0">
        <references count="9">
          <reference field="3" count="1" selected="0">
            <x v="881"/>
          </reference>
          <reference field="4" count="1" selected="0">
            <x v="2711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291"/>
          </reference>
          <reference field="19" count="1" selected="0">
            <x v="0"/>
          </reference>
          <reference field="21" count="1" selected="0">
            <x v="16"/>
          </reference>
          <reference field="22" count="1" selected="0">
            <x v="2"/>
          </reference>
          <reference field="24" count="1">
            <x v="0"/>
          </reference>
        </references>
      </pivotArea>
    </format>
    <format dxfId="300">
      <pivotArea dataOnly="0" labelOnly="1" outline="0" fieldPosition="0">
        <references count="9">
          <reference field="3" count="1" selected="0">
            <x v="884"/>
          </reference>
          <reference field="4" count="1" selected="0">
            <x v="6627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100"/>
          </reference>
          <reference field="19" count="1" selected="0">
            <x v="0"/>
          </reference>
          <reference field="21" count="1" selected="0">
            <x v="20"/>
          </reference>
          <reference field="22" count="1" selected="0">
            <x v="2"/>
          </reference>
          <reference field="24" count="1">
            <x v="1"/>
          </reference>
        </references>
      </pivotArea>
    </format>
    <format dxfId="299">
      <pivotArea dataOnly="0" labelOnly="1" outline="0" fieldPosition="0">
        <references count="9">
          <reference field="3" count="1" selected="0">
            <x v="913"/>
          </reference>
          <reference field="4" count="1" selected="0">
            <x v="5242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813"/>
          </reference>
          <reference field="19" count="1" selected="0">
            <x v="0"/>
          </reference>
          <reference field="21" count="1" selected="0">
            <x v="15"/>
          </reference>
          <reference field="22" count="1" selected="0">
            <x v="2"/>
          </reference>
          <reference field="24" count="1">
            <x v="0"/>
          </reference>
        </references>
      </pivotArea>
    </format>
    <format dxfId="298">
      <pivotArea dataOnly="0" labelOnly="1" outline="0" fieldPosition="0">
        <references count="9">
          <reference field="3" count="1" selected="0">
            <x v="948"/>
          </reference>
          <reference field="4" count="1" selected="0">
            <x v="1294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97"/>
          </reference>
          <reference field="19" count="1" selected="0">
            <x v="0"/>
          </reference>
          <reference field="21" count="1" selected="0">
            <x v="15"/>
          </reference>
          <reference field="22" count="1" selected="0">
            <x v="2"/>
          </reference>
          <reference field="24" count="1">
            <x v="0"/>
          </reference>
        </references>
      </pivotArea>
    </format>
    <format dxfId="297">
      <pivotArea dataOnly="0" labelOnly="1" outline="0" fieldPosition="0">
        <references count="9">
          <reference field="3" count="1" selected="0">
            <x v="971"/>
          </reference>
          <reference field="4" count="1" selected="0">
            <x v="3574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180"/>
          </reference>
          <reference field="19" count="1" selected="0">
            <x v="0"/>
          </reference>
          <reference field="21" count="1" selected="0">
            <x v="14"/>
          </reference>
          <reference field="22" count="1" selected="0">
            <x v="2"/>
          </reference>
          <reference field="24" count="1">
            <x v="4"/>
          </reference>
        </references>
      </pivotArea>
    </format>
    <format dxfId="296">
      <pivotArea dataOnly="0" labelOnly="1" outline="0" fieldPosition="0">
        <references count="9">
          <reference field="3" count="1" selected="0">
            <x v="997"/>
          </reference>
          <reference field="4" count="1" selected="0">
            <x v="1759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867"/>
          </reference>
          <reference field="19" count="1" selected="0">
            <x v="0"/>
          </reference>
          <reference field="21" count="1" selected="0">
            <x v="13"/>
          </reference>
          <reference field="22" count="1" selected="0">
            <x v="1"/>
          </reference>
          <reference field="24" count="1">
            <x v="3"/>
          </reference>
        </references>
      </pivotArea>
    </format>
    <format dxfId="295">
      <pivotArea dataOnly="0" labelOnly="1" outline="0" fieldPosition="0">
        <references count="9">
          <reference field="3" count="1" selected="0">
            <x v="1003"/>
          </reference>
          <reference field="4" count="1" selected="0">
            <x v="961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99"/>
          </reference>
          <reference field="19" count="1" selected="0">
            <x v="0"/>
          </reference>
          <reference field="21" count="1" selected="0">
            <x v="14"/>
          </reference>
          <reference field="22" count="1" selected="0">
            <x v="2"/>
          </reference>
          <reference field="24" count="1">
            <x v="0"/>
          </reference>
        </references>
      </pivotArea>
    </format>
    <format dxfId="294">
      <pivotArea dataOnly="0" labelOnly="1" outline="0" fieldPosition="0">
        <references count="9">
          <reference field="3" count="1" selected="0">
            <x v="1011"/>
          </reference>
          <reference field="4" count="1" selected="0">
            <x v="5221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162"/>
          </reference>
          <reference field="19" count="1" selected="0">
            <x v="0"/>
          </reference>
          <reference field="21" count="1" selected="0">
            <x v="15"/>
          </reference>
          <reference field="22" count="1" selected="0">
            <x v="2"/>
          </reference>
          <reference field="24" count="1">
            <x v="7"/>
          </reference>
        </references>
      </pivotArea>
    </format>
    <format dxfId="293">
      <pivotArea dataOnly="0" labelOnly="1" outline="0" fieldPosition="0">
        <references count="9">
          <reference field="3" count="1" selected="0">
            <x v="1020"/>
          </reference>
          <reference field="4" count="1" selected="0">
            <x v="7538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457"/>
          </reference>
          <reference field="19" count="1" selected="0">
            <x v="0"/>
          </reference>
          <reference field="21" count="1" selected="0">
            <x v="13"/>
          </reference>
          <reference field="22" count="1" selected="0">
            <x v="1"/>
          </reference>
          <reference field="24" count="1">
            <x v="2"/>
          </reference>
        </references>
      </pivotArea>
    </format>
    <format dxfId="292">
      <pivotArea dataOnly="0" labelOnly="1" outline="0" fieldPosition="0">
        <references count="9">
          <reference field="3" count="1" selected="0">
            <x v="1038"/>
          </reference>
          <reference field="4" count="1" selected="0">
            <x v="5758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291"/>
          </reference>
          <reference field="19" count="1" selected="0">
            <x v="0"/>
          </reference>
          <reference field="21" count="1" selected="0">
            <x v="13"/>
          </reference>
          <reference field="22" count="1" selected="0">
            <x v="1"/>
          </reference>
          <reference field="24" count="1">
            <x v="2"/>
          </reference>
        </references>
      </pivotArea>
    </format>
    <format dxfId="291">
      <pivotArea dataOnly="0" labelOnly="1" outline="0" fieldPosition="0">
        <references count="9">
          <reference field="3" count="1" selected="0">
            <x v="1040"/>
          </reference>
          <reference field="4" count="1" selected="0">
            <x v="868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137"/>
          </reference>
          <reference field="19" count="1" selected="0">
            <x v="0"/>
          </reference>
          <reference field="21" count="1" selected="0">
            <x v="15"/>
          </reference>
          <reference field="22" count="1" selected="0">
            <x v="2"/>
          </reference>
          <reference field="24" count="1">
            <x v="7"/>
          </reference>
        </references>
      </pivotArea>
    </format>
    <format dxfId="290">
      <pivotArea dataOnly="0" labelOnly="1" outline="0" fieldPosition="0">
        <references count="9">
          <reference field="3" count="1" selected="0">
            <x v="1066"/>
          </reference>
          <reference field="4" count="1" selected="0">
            <x v="109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535"/>
          </reference>
          <reference field="19" count="1" selected="0">
            <x v="0"/>
          </reference>
          <reference field="21" count="1" selected="0">
            <x v="14"/>
          </reference>
          <reference field="22" count="1" selected="0">
            <x v="2"/>
          </reference>
          <reference field="24" count="1">
            <x v="0"/>
          </reference>
        </references>
      </pivotArea>
    </format>
    <format dxfId="289">
      <pivotArea dataOnly="0" labelOnly="1" outline="0" fieldPosition="0">
        <references count="9">
          <reference field="3" count="1" selected="0">
            <x v="1069"/>
          </reference>
          <reference field="4" count="1" selected="0">
            <x v="3787"/>
          </reference>
          <reference field="11" count="1" selected="0">
            <x v="11"/>
          </reference>
          <reference field="12" count="1" selected="0">
            <x v="1"/>
          </reference>
          <reference field="14" count="1" selected="0">
            <x v="635"/>
          </reference>
          <reference field="19" count="1" selected="0">
            <x v="0"/>
          </reference>
          <reference field="21" count="1" selected="0">
            <x v="12"/>
          </reference>
          <reference field="22" count="1" selected="0">
            <x v="1"/>
          </reference>
          <reference field="24" count="1">
            <x v="1"/>
          </reference>
        </references>
      </pivotArea>
    </format>
    <format dxfId="288">
      <pivotArea dataOnly="0" labelOnly="1" outline="0" fieldPosition="0">
        <references count="9">
          <reference field="3" count="1" selected="0">
            <x v="1077"/>
          </reference>
          <reference field="4" count="1" selected="0">
            <x v="6845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289"/>
          </reference>
          <reference field="19" count="1" selected="0">
            <x v="0"/>
          </reference>
          <reference field="21" count="1" selected="0">
            <x v="12"/>
          </reference>
          <reference field="22" count="1" selected="0">
            <x v="1"/>
          </reference>
          <reference field="24" count="1">
            <x v="7"/>
          </reference>
        </references>
      </pivotArea>
    </format>
    <format dxfId="287">
      <pivotArea dataOnly="0" labelOnly="1" outline="0" fieldPosition="0">
        <references count="9">
          <reference field="3" count="1" selected="0">
            <x v="1113"/>
          </reference>
          <reference field="4" count="1" selected="0">
            <x v="112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74"/>
          </reference>
          <reference field="19" count="1" selected="0">
            <x v="1"/>
          </reference>
          <reference field="21" count="1" selected="0">
            <x v="11"/>
          </reference>
          <reference field="22" count="1" selected="0">
            <x v="1"/>
          </reference>
          <reference field="24" count="1">
            <x v="0"/>
          </reference>
        </references>
      </pivotArea>
    </format>
    <format dxfId="286">
      <pivotArea dataOnly="0" labelOnly="1" outline="0" fieldPosition="0">
        <references count="9">
          <reference field="3" count="1" selected="0">
            <x v="1129"/>
          </reference>
          <reference field="4" count="1" selected="0">
            <x v="1803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95"/>
          </reference>
          <reference field="19" count="1" selected="0">
            <x v="0"/>
          </reference>
          <reference field="21" count="1" selected="0">
            <x v="17"/>
          </reference>
          <reference field="22" count="1" selected="0">
            <x v="2"/>
          </reference>
          <reference field="24" count="1">
            <x v="0"/>
          </reference>
        </references>
      </pivotArea>
    </format>
    <format dxfId="285">
      <pivotArea dataOnly="0" labelOnly="1" outline="0" fieldPosition="0">
        <references count="9">
          <reference field="3" count="1" selected="0">
            <x v="1141"/>
          </reference>
          <reference field="4" count="1" selected="0">
            <x v="962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02"/>
          </reference>
          <reference field="19" count="1" selected="0">
            <x v="0"/>
          </reference>
          <reference field="21" count="1" selected="0">
            <x v="12"/>
          </reference>
          <reference field="22" count="1" selected="0">
            <x v="1"/>
          </reference>
          <reference field="24" count="1">
            <x v="3"/>
          </reference>
        </references>
      </pivotArea>
    </format>
    <format dxfId="284">
      <pivotArea dataOnly="0" labelOnly="1" outline="0" fieldPosition="0">
        <references count="9">
          <reference field="3" count="1" selected="0">
            <x v="1144"/>
          </reference>
          <reference field="4" count="1" selected="0">
            <x v="4719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74"/>
          </reference>
          <reference field="19" count="1" selected="0">
            <x v="1"/>
          </reference>
          <reference field="21" count="1" selected="0">
            <x v="12"/>
          </reference>
          <reference field="22" count="1" selected="0">
            <x v="1"/>
          </reference>
          <reference field="24" count="1">
            <x v="0"/>
          </reference>
        </references>
      </pivotArea>
    </format>
    <format dxfId="283">
      <pivotArea dataOnly="0" labelOnly="1" outline="0" fieldPosition="0">
        <references count="9">
          <reference field="3" count="1" selected="0">
            <x v="1167"/>
          </reference>
          <reference field="4" count="1" selected="0">
            <x v="6179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552"/>
          </reference>
          <reference field="19" count="1" selected="0">
            <x v="0"/>
          </reference>
          <reference field="21" count="1" selected="0">
            <x v="13"/>
          </reference>
          <reference field="22" count="1" selected="0">
            <x v="1"/>
          </reference>
          <reference field="24" count="1">
            <x v="3"/>
          </reference>
        </references>
      </pivotArea>
    </format>
    <format dxfId="282">
      <pivotArea dataOnly="0" labelOnly="1" outline="0" fieldPosition="0">
        <references count="9">
          <reference field="3" count="1" selected="0">
            <x v="1189"/>
          </reference>
          <reference field="4" count="1" selected="0">
            <x v="3938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643"/>
          </reference>
          <reference field="19" count="1" selected="0">
            <x v="0"/>
          </reference>
          <reference field="21" count="1" selected="0">
            <x v="10"/>
          </reference>
          <reference field="22" count="1" selected="0">
            <x v="1"/>
          </reference>
          <reference field="24" count="1">
            <x v="7"/>
          </reference>
        </references>
      </pivotArea>
    </format>
    <format dxfId="281">
      <pivotArea dataOnly="0" labelOnly="1" outline="0" fieldPosition="0">
        <references count="9">
          <reference field="3" count="1" selected="0">
            <x v="1196"/>
          </reference>
          <reference field="4" count="1" selected="0">
            <x v="3719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875"/>
          </reference>
          <reference field="19" count="1" selected="0">
            <x v="0"/>
          </reference>
          <reference field="21" count="1" selected="0">
            <x v="3"/>
          </reference>
          <reference field="22" count="1" selected="0">
            <x v="0"/>
          </reference>
          <reference field="24" count="1">
            <x v="4"/>
          </reference>
        </references>
      </pivotArea>
    </format>
    <format dxfId="280">
      <pivotArea dataOnly="0" labelOnly="1" outline="0" fieldPosition="0">
        <references count="9">
          <reference field="3" count="1" selected="0">
            <x v="1198"/>
          </reference>
          <reference field="4" count="1" selected="0">
            <x v="143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547"/>
          </reference>
          <reference field="19" count="1" selected="0">
            <x v="0"/>
          </reference>
          <reference field="21" count="1" selected="0">
            <x v="14"/>
          </reference>
          <reference field="22" count="1" selected="0">
            <x v="2"/>
          </reference>
          <reference field="24" count="1">
            <x v="0"/>
          </reference>
        </references>
      </pivotArea>
    </format>
    <format dxfId="279">
      <pivotArea dataOnly="0" labelOnly="1" outline="0" fieldPosition="0">
        <references count="9">
          <reference field="3" count="1" selected="0">
            <x v="1204"/>
          </reference>
          <reference field="4" count="1" selected="0">
            <x v="2183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759"/>
          </reference>
          <reference field="19" count="1" selected="0">
            <x v="0"/>
          </reference>
          <reference field="21" count="1" selected="0">
            <x v="3"/>
          </reference>
          <reference field="22" count="1" selected="0">
            <x v="0"/>
          </reference>
          <reference field="24" count="1">
            <x v="3"/>
          </reference>
        </references>
      </pivotArea>
    </format>
    <format dxfId="278">
      <pivotArea dataOnly="0" labelOnly="1" outline="0" fieldPosition="0">
        <references count="9">
          <reference field="3" count="1" selected="0">
            <x v="1210"/>
          </reference>
          <reference field="4" count="1" selected="0">
            <x v="4917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554"/>
          </reference>
          <reference field="19" count="1" selected="0">
            <x v="0"/>
          </reference>
          <reference field="21" count="1" selected="0">
            <x v="6"/>
          </reference>
          <reference field="22" count="1" selected="0">
            <x v="1"/>
          </reference>
          <reference field="24" count="1">
            <x v="7"/>
          </reference>
        </references>
      </pivotArea>
    </format>
    <format dxfId="277">
      <pivotArea dataOnly="0" labelOnly="1" outline="0" fieldPosition="0">
        <references count="9">
          <reference field="3" count="1" selected="0">
            <x v="1222"/>
          </reference>
          <reference field="4" count="1" selected="0">
            <x v="2602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605"/>
          </reference>
          <reference field="19" count="1" selected="0">
            <x v="0"/>
          </reference>
          <reference field="21" count="1" selected="0">
            <x v="4"/>
          </reference>
          <reference field="22" count="1" selected="0">
            <x v="0"/>
          </reference>
          <reference field="24" count="1">
            <x v="1"/>
          </reference>
        </references>
      </pivotArea>
    </format>
    <format dxfId="276">
      <pivotArea dataOnly="0" labelOnly="1" outline="0" fieldPosition="0">
        <references count="9">
          <reference field="3" count="1" selected="0">
            <x v="1226"/>
          </reference>
          <reference field="4" count="1" selected="0">
            <x v="3567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480"/>
          </reference>
          <reference field="19" count="1" selected="0">
            <x v="0"/>
          </reference>
          <reference field="21" count="1" selected="0">
            <x v="8"/>
          </reference>
          <reference field="22" count="1" selected="0">
            <x v="1"/>
          </reference>
          <reference field="24" count="1">
            <x v="0"/>
          </reference>
        </references>
      </pivotArea>
    </format>
    <format dxfId="275">
      <pivotArea dataOnly="0" labelOnly="1" outline="0" fieldPosition="0">
        <references count="9">
          <reference field="3" count="1" selected="0">
            <x v="1261"/>
          </reference>
          <reference field="4" count="1" selected="0">
            <x v="4852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423"/>
          </reference>
          <reference field="19" count="1" selected="0">
            <x v="0"/>
          </reference>
          <reference field="21" count="1" selected="0">
            <x v="10"/>
          </reference>
          <reference field="22" count="1" selected="0">
            <x v="1"/>
          </reference>
          <reference field="24" count="1">
            <x v="3"/>
          </reference>
        </references>
      </pivotArea>
    </format>
    <format dxfId="274">
      <pivotArea dataOnly="0" labelOnly="1" outline="0" fieldPosition="0">
        <references count="9">
          <reference field="3" count="1" selected="0">
            <x v="1262"/>
          </reference>
          <reference field="4" count="1" selected="0">
            <x v="6041"/>
          </reference>
          <reference field="11" count="1" selected="0">
            <x v="12"/>
          </reference>
          <reference field="12" count="1" selected="0">
            <x v="19"/>
          </reference>
          <reference field="14" count="1" selected="0">
            <x v="876"/>
          </reference>
          <reference field="19" count="1" selected="0">
            <x v="0"/>
          </reference>
          <reference field="21" count="1" selected="0">
            <x v="4"/>
          </reference>
          <reference field="22" count="1" selected="0">
            <x v="0"/>
          </reference>
          <reference field="24" count="1">
            <x v="2"/>
          </reference>
        </references>
      </pivotArea>
    </format>
    <format dxfId="273">
      <pivotArea dataOnly="0" labelOnly="1" outline="0" fieldPosition="0">
        <references count="9">
          <reference field="3" count="1" selected="0">
            <x v="1285"/>
          </reference>
          <reference field="4" count="1" selected="0">
            <x v="4354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780"/>
          </reference>
          <reference field="19" count="1" selected="0">
            <x v="0"/>
          </reference>
          <reference field="21" count="1" selected="0">
            <x v="10"/>
          </reference>
          <reference field="22" count="1" selected="0">
            <x v="1"/>
          </reference>
          <reference field="24" count="1">
            <x v="2"/>
          </reference>
        </references>
      </pivotArea>
    </format>
    <format dxfId="272">
      <pivotArea dataOnly="0" labelOnly="1" outline="0" fieldPosition="0">
        <references count="9">
          <reference field="3" count="1" selected="0">
            <x v="1288"/>
          </reference>
          <reference field="4" count="1" selected="0">
            <x v="7233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495"/>
          </reference>
          <reference field="19" count="1" selected="0">
            <x v="0"/>
          </reference>
          <reference field="21" count="1" selected="0">
            <x v="12"/>
          </reference>
          <reference field="22" count="1" selected="0">
            <x v="1"/>
          </reference>
          <reference field="24" count="1">
            <x v="4"/>
          </reference>
        </references>
      </pivotArea>
    </format>
    <format dxfId="271">
      <pivotArea dataOnly="0" labelOnly="1" outline="0" fieldPosition="0">
        <references count="9">
          <reference field="3" count="1" selected="0">
            <x v="1291"/>
          </reference>
          <reference field="4" count="1" selected="0">
            <x v="2404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555"/>
          </reference>
          <reference field="19" count="1" selected="0">
            <x v="0"/>
          </reference>
          <reference field="21" count="1" selected="0">
            <x v="9"/>
          </reference>
          <reference field="22" count="1" selected="0">
            <x v="1"/>
          </reference>
          <reference field="24" count="1">
            <x v="2"/>
          </reference>
        </references>
      </pivotArea>
    </format>
    <format dxfId="270">
      <pivotArea dataOnly="0" labelOnly="1" outline="0" fieldPosition="0">
        <references count="9">
          <reference field="3" count="1" selected="0">
            <x v="1318"/>
          </reference>
          <reference field="4" count="1" selected="0">
            <x v="4357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81"/>
          </reference>
          <reference field="19" count="1" selected="0">
            <x v="0"/>
          </reference>
          <reference field="21" count="1" selected="0">
            <x v="12"/>
          </reference>
          <reference field="22" count="1" selected="0">
            <x v="1"/>
          </reference>
          <reference field="24" count="1">
            <x v="2"/>
          </reference>
        </references>
      </pivotArea>
    </format>
    <format dxfId="269">
      <pivotArea dataOnly="0" labelOnly="1" outline="0" fieldPosition="0">
        <references count="9">
          <reference field="3" count="1" selected="0">
            <x v="1343"/>
          </reference>
          <reference field="4" count="1" selected="0">
            <x v="4224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745"/>
          </reference>
          <reference field="19" count="1" selected="0">
            <x v="0"/>
          </reference>
          <reference field="21" count="1" selected="0">
            <x v="5"/>
          </reference>
          <reference field="22" count="1" selected="0">
            <x v="0"/>
          </reference>
          <reference field="24" count="1">
            <x v="7"/>
          </reference>
        </references>
      </pivotArea>
    </format>
    <format dxfId="268">
      <pivotArea dataOnly="0" labelOnly="1" outline="0" fieldPosition="0">
        <references count="9">
          <reference field="3" count="1" selected="0">
            <x v="1353"/>
          </reference>
          <reference field="4" count="1" selected="0">
            <x v="7033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474"/>
          </reference>
          <reference field="19" count="1" selected="0">
            <x v="0"/>
          </reference>
          <reference field="21" count="1" selected="0">
            <x v="8"/>
          </reference>
          <reference field="22" count="1" selected="0">
            <x v="1"/>
          </reference>
          <reference field="24" count="1">
            <x v="2"/>
          </reference>
        </references>
      </pivotArea>
    </format>
    <format dxfId="267">
      <pivotArea dataOnly="0" labelOnly="1" outline="0" fieldPosition="0">
        <references count="9">
          <reference field="3" count="1" selected="0">
            <x v="1383"/>
          </reference>
          <reference field="4" count="1" selected="0">
            <x v="3868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03"/>
          </reference>
          <reference field="19" count="1" selected="0">
            <x v="0"/>
          </reference>
          <reference field="21" count="1" selected="0">
            <x v="4"/>
          </reference>
          <reference field="22" count="1" selected="0">
            <x v="0"/>
          </reference>
          <reference field="24" count="1">
            <x v="2"/>
          </reference>
        </references>
      </pivotArea>
    </format>
    <format dxfId="266">
      <pivotArea dataOnly="0" labelOnly="1" outline="0" fieldPosition="0">
        <references count="9">
          <reference field="3" count="1" selected="0">
            <x v="1391"/>
          </reference>
          <reference field="4" count="1" selected="0">
            <x v="3674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260"/>
          </reference>
          <reference field="19" count="1" selected="0">
            <x v="0"/>
          </reference>
          <reference field="21" count="1" selected="0">
            <x v="12"/>
          </reference>
          <reference field="22" count="1" selected="0">
            <x v="1"/>
          </reference>
          <reference field="24" count="1">
            <x v="7"/>
          </reference>
        </references>
      </pivotArea>
    </format>
    <format dxfId="265">
      <pivotArea dataOnly="0" labelOnly="1" outline="0" fieldPosition="0">
        <references count="9">
          <reference field="3" count="1" selected="0">
            <x v="1415"/>
          </reference>
          <reference field="4" count="1" selected="0">
            <x v="65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99"/>
          </reference>
          <reference field="19" count="1" selected="0">
            <x v="0"/>
          </reference>
          <reference field="21" count="1" selected="0">
            <x v="11"/>
          </reference>
          <reference field="22" count="1" selected="0">
            <x v="1"/>
          </reference>
          <reference field="24" count="1">
            <x v="7"/>
          </reference>
        </references>
      </pivotArea>
    </format>
    <format dxfId="264">
      <pivotArea dataOnly="0" labelOnly="1" outline="0" fieldPosition="0">
        <references count="9">
          <reference field="3" count="1" selected="0">
            <x v="1427"/>
          </reference>
          <reference field="4" count="1" selected="0">
            <x v="7919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29"/>
          </reference>
          <reference field="19" count="1" selected="0">
            <x v="1"/>
          </reference>
          <reference field="21" count="1" selected="0">
            <x v="6"/>
          </reference>
          <reference field="22" count="1" selected="0">
            <x v="1"/>
          </reference>
          <reference field="24" count="1">
            <x v="2"/>
          </reference>
        </references>
      </pivotArea>
    </format>
    <format dxfId="263">
      <pivotArea dataOnly="0" labelOnly="1" outline="0" fieldPosition="0">
        <references count="9">
          <reference field="3" count="1" selected="0">
            <x v="1435"/>
          </reference>
          <reference field="4" count="1" selected="0">
            <x v="3236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751"/>
          </reference>
          <reference field="19" count="1" selected="0">
            <x v="0"/>
          </reference>
          <reference field="21" count="1" selected="0">
            <x v="10"/>
          </reference>
          <reference field="22" count="1" selected="0">
            <x v="1"/>
          </reference>
          <reference field="24" count="1">
            <x v="0"/>
          </reference>
        </references>
      </pivotArea>
    </format>
    <format dxfId="262">
      <pivotArea dataOnly="0" labelOnly="1" outline="0" fieldPosition="0">
        <references count="9">
          <reference field="3" count="1" selected="0">
            <x v="1449"/>
          </reference>
          <reference field="4" count="1" selected="0">
            <x v="124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871"/>
          </reference>
          <reference field="19" count="1" selected="0">
            <x v="0"/>
          </reference>
          <reference field="21" count="1" selected="0">
            <x v="8"/>
          </reference>
          <reference field="22" count="1" selected="0">
            <x v="1"/>
          </reference>
          <reference field="24" count="1">
            <x v="7"/>
          </reference>
        </references>
      </pivotArea>
    </format>
    <format dxfId="261">
      <pivotArea dataOnly="0" labelOnly="1" outline="0" fieldPosition="0">
        <references count="9">
          <reference field="3" count="1" selected="0">
            <x v="1452"/>
          </reference>
          <reference field="4" count="1" selected="0">
            <x v="5876"/>
          </reference>
          <reference field="11" count="1" selected="0">
            <x v="12"/>
          </reference>
          <reference field="12" count="1" selected="0">
            <x v="7"/>
          </reference>
          <reference field="14" count="1" selected="0">
            <x v="794"/>
          </reference>
          <reference field="19" count="1" selected="0">
            <x v="1"/>
          </reference>
          <reference field="21" count="1" selected="0">
            <x v="13"/>
          </reference>
          <reference field="22" count="1" selected="0">
            <x v="1"/>
          </reference>
          <reference field="24" count="1">
            <x v="0"/>
          </reference>
        </references>
      </pivotArea>
    </format>
    <format dxfId="260">
      <pivotArea dataOnly="0" labelOnly="1" outline="0" fieldPosition="0">
        <references count="9">
          <reference field="3" count="1" selected="0">
            <x v="1482"/>
          </reference>
          <reference field="4" count="1" selected="0">
            <x v="806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346"/>
          </reference>
          <reference field="19" count="1" selected="0">
            <x v="0"/>
          </reference>
          <reference field="21" count="1" selected="0">
            <x v="6"/>
          </reference>
          <reference field="22" count="1" selected="0">
            <x v="1"/>
          </reference>
          <reference field="24" count="1">
            <x v="3"/>
          </reference>
        </references>
      </pivotArea>
    </format>
    <format dxfId="259">
      <pivotArea dataOnly="0" labelOnly="1" outline="0" fieldPosition="0">
        <references count="9">
          <reference field="3" count="1" selected="0">
            <x v="1511"/>
          </reference>
          <reference field="4" count="1" selected="0">
            <x v="3546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537"/>
          </reference>
          <reference field="19" count="1" selected="0">
            <x v="0"/>
          </reference>
          <reference field="21" count="1" selected="0">
            <x v="3"/>
          </reference>
          <reference field="22" count="1" selected="0">
            <x v="0"/>
          </reference>
          <reference field="24" count="1">
            <x v="3"/>
          </reference>
        </references>
      </pivotArea>
    </format>
    <format dxfId="258">
      <pivotArea dataOnly="0" labelOnly="1" outline="0" fieldPosition="0">
        <references count="9">
          <reference field="3" count="1" selected="0">
            <x v="1512"/>
          </reference>
          <reference field="4" count="1" selected="0">
            <x v="6736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529"/>
          </reference>
          <reference field="19" count="1" selected="0">
            <x v="0"/>
          </reference>
          <reference field="21" count="1" selected="0">
            <x v="9"/>
          </reference>
          <reference field="22" count="1" selected="0">
            <x v="1"/>
          </reference>
          <reference field="24" count="1">
            <x v="7"/>
          </reference>
        </references>
      </pivotArea>
    </format>
    <format dxfId="257">
      <pivotArea dataOnly="0" labelOnly="1" outline="0" fieldPosition="0">
        <references count="9">
          <reference field="3" count="1" selected="0">
            <x v="1514"/>
          </reference>
          <reference field="4" count="1" selected="0">
            <x v="4979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864"/>
          </reference>
          <reference field="19" count="1" selected="0">
            <x v="0"/>
          </reference>
          <reference field="21" count="1" selected="0">
            <x v="9"/>
          </reference>
          <reference field="22" count="1" selected="0">
            <x v="1"/>
          </reference>
          <reference field="24" count="1">
            <x v="4"/>
          </reference>
        </references>
      </pivotArea>
    </format>
    <format dxfId="256">
      <pivotArea dataOnly="0" labelOnly="1" outline="0" fieldPosition="0">
        <references count="9">
          <reference field="3" count="1" selected="0">
            <x v="1515"/>
          </reference>
          <reference field="4" count="1" selected="0">
            <x v="6928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442"/>
          </reference>
          <reference field="19" count="1" selected="0">
            <x v="0"/>
          </reference>
          <reference field="21" count="1" selected="0">
            <x v="6"/>
          </reference>
          <reference field="22" count="1" selected="0">
            <x v="1"/>
          </reference>
          <reference field="24" count="1">
            <x v="7"/>
          </reference>
        </references>
      </pivotArea>
    </format>
    <format dxfId="255">
      <pivotArea dataOnly="0" labelOnly="1" outline="0" fieldPosition="0">
        <references count="9">
          <reference field="3" count="1" selected="0">
            <x v="1534"/>
          </reference>
          <reference field="4" count="1" selected="0">
            <x v="5622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394"/>
          </reference>
          <reference field="19" count="1" selected="0">
            <x v="0"/>
          </reference>
          <reference field="21" count="1" selected="0">
            <x v="8"/>
          </reference>
          <reference field="22" count="1" selected="0">
            <x v="1"/>
          </reference>
          <reference field="24" count="1">
            <x v="2"/>
          </reference>
        </references>
      </pivotArea>
    </format>
    <format dxfId="254">
      <pivotArea dataOnly="0" labelOnly="1" outline="0" fieldPosition="0">
        <references count="9">
          <reference field="3" count="1" selected="0">
            <x v="1564"/>
          </reference>
          <reference field="4" count="1" selected="0">
            <x v="5654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855"/>
          </reference>
          <reference field="19" count="1" selected="0">
            <x v="0"/>
          </reference>
          <reference field="21" count="1" selected="0">
            <x v="4"/>
          </reference>
          <reference field="22" count="1" selected="0">
            <x v="0"/>
          </reference>
          <reference field="24" count="1">
            <x v="4"/>
          </reference>
        </references>
      </pivotArea>
    </format>
    <format dxfId="253">
      <pivotArea dataOnly="0" labelOnly="1" outline="0" fieldPosition="0">
        <references count="9">
          <reference field="3" count="1" selected="0">
            <x v="1619"/>
          </reference>
          <reference field="4" count="1" selected="0">
            <x v="669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872"/>
          </reference>
          <reference field="19" count="1" selected="0">
            <x v="0"/>
          </reference>
          <reference field="21" count="1" selected="0">
            <x v="8"/>
          </reference>
          <reference field="22" count="1" selected="0">
            <x v="1"/>
          </reference>
          <reference field="24" count="1">
            <x v="4"/>
          </reference>
        </references>
      </pivotArea>
    </format>
    <format dxfId="252">
      <pivotArea dataOnly="0" labelOnly="1" outline="0" fieldPosition="0">
        <references count="9">
          <reference field="3" count="1" selected="0">
            <x v="1626"/>
          </reference>
          <reference field="4" count="1" selected="0">
            <x v="2269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74"/>
          </reference>
          <reference field="19" count="1" selected="0">
            <x v="1"/>
          </reference>
          <reference field="21" count="1" selected="0">
            <x v="7"/>
          </reference>
          <reference field="22" count="1" selected="0">
            <x v="1"/>
          </reference>
          <reference field="24" count="1">
            <x v="0"/>
          </reference>
        </references>
      </pivotArea>
    </format>
    <format dxfId="251">
      <pivotArea dataOnly="0" labelOnly="1" outline="0" fieldPosition="0">
        <references count="9">
          <reference field="3" count="1" selected="0">
            <x v="1645"/>
          </reference>
          <reference field="4" count="1" selected="0">
            <x v="4209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57"/>
          </reference>
          <reference field="19" count="1" selected="0">
            <x v="0"/>
          </reference>
          <reference field="21" count="1" selected="0">
            <x v="9"/>
          </reference>
          <reference field="22" count="1" selected="0">
            <x v="1"/>
          </reference>
          <reference field="24" count="1">
            <x v="4"/>
          </reference>
        </references>
      </pivotArea>
    </format>
    <format dxfId="250">
      <pivotArea dataOnly="0" labelOnly="1" outline="0" fieldPosition="0">
        <references count="9">
          <reference field="3" count="1" selected="0">
            <x v="1647"/>
          </reference>
          <reference field="4" count="1" selected="0">
            <x v="7792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67"/>
          </reference>
          <reference field="19" count="1" selected="0">
            <x v="0"/>
          </reference>
          <reference field="21" count="1" selected="0">
            <x v="7"/>
          </reference>
          <reference field="22" count="1" selected="0">
            <x v="1"/>
          </reference>
          <reference field="24" count="1">
            <x v="0"/>
          </reference>
        </references>
      </pivotArea>
    </format>
    <format dxfId="249">
      <pivotArea dataOnly="0" labelOnly="1" outline="0" fieldPosition="0">
        <references count="9">
          <reference field="3" count="1" selected="0">
            <x v="1687"/>
          </reference>
          <reference field="4" count="1" selected="0">
            <x v="4075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849"/>
          </reference>
          <reference field="19" count="1" selected="0">
            <x v="0"/>
          </reference>
          <reference field="21" count="1" selected="0">
            <x v="3"/>
          </reference>
          <reference field="22" count="1" selected="0">
            <x v="0"/>
          </reference>
          <reference field="24" count="1">
            <x v="7"/>
          </reference>
        </references>
      </pivotArea>
    </format>
    <format dxfId="248">
      <pivotArea dataOnly="0" labelOnly="1" outline="0" fieldPosition="0">
        <references count="9">
          <reference field="3" count="1" selected="0">
            <x v="1712"/>
          </reference>
          <reference field="4" count="1" selected="0">
            <x v="5408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346"/>
          </reference>
          <reference field="19" count="1" selected="0">
            <x v="0"/>
          </reference>
          <reference field="21" count="1" selected="0">
            <x v="33"/>
          </reference>
          <reference field="22" count="1" selected="0">
            <x v="4"/>
          </reference>
          <reference field="24" count="1">
            <x v="2"/>
          </reference>
        </references>
      </pivotArea>
    </format>
    <format dxfId="247">
      <pivotArea dataOnly="0" labelOnly="1" outline="0" fieldPosition="0">
        <references count="9">
          <reference field="3" count="1" selected="0">
            <x v="1715"/>
          </reference>
          <reference field="4" count="1" selected="0">
            <x v="1667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276"/>
          </reference>
          <reference field="19" count="1" selected="0">
            <x v="0"/>
          </reference>
          <reference field="21" count="1" selected="0">
            <x v="29"/>
          </reference>
          <reference field="22" count="1" selected="0">
            <x v="3"/>
          </reference>
          <reference field="24" count="1">
            <x v="2"/>
          </reference>
        </references>
      </pivotArea>
    </format>
    <format dxfId="246">
      <pivotArea dataOnly="0" labelOnly="1" outline="0" fieldPosition="0">
        <references count="9">
          <reference field="3" count="1" selected="0">
            <x v="1717"/>
          </reference>
          <reference field="4" count="1" selected="0">
            <x v="7778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144"/>
          </reference>
          <reference field="19" count="1" selected="0">
            <x v="0"/>
          </reference>
          <reference field="21" count="1" selected="0">
            <x v="8"/>
          </reference>
          <reference field="22" count="1" selected="0">
            <x v="1"/>
          </reference>
          <reference field="24" count="1">
            <x v="7"/>
          </reference>
        </references>
      </pivotArea>
    </format>
    <format dxfId="245">
      <pivotArea dataOnly="0" labelOnly="1" outline="0" fieldPosition="0">
        <references count="9">
          <reference field="3" count="1" selected="0">
            <x v="1720"/>
          </reference>
          <reference field="4" count="1" selected="0">
            <x v="3488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81"/>
          </reference>
          <reference field="19" count="1" selected="0">
            <x v="0"/>
          </reference>
          <reference field="21" count="1" selected="0">
            <x v="27"/>
          </reference>
          <reference field="22" count="1" selected="0">
            <x v="3"/>
          </reference>
          <reference field="24" count="1">
            <x v="2"/>
          </reference>
        </references>
      </pivotArea>
    </format>
    <format dxfId="244">
      <pivotArea dataOnly="0" labelOnly="1" outline="0" fieldPosition="0">
        <references count="9">
          <reference field="3" count="1" selected="0">
            <x v="1741"/>
          </reference>
          <reference field="4" count="1" selected="0">
            <x v="3358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644"/>
          </reference>
          <reference field="19" count="1" selected="0">
            <x v="0"/>
          </reference>
          <reference field="21" count="1" selected="0">
            <x v="40"/>
          </reference>
          <reference field="22" count="1" selected="0">
            <x v="4"/>
          </reference>
          <reference field="24" count="1">
            <x v="7"/>
          </reference>
        </references>
      </pivotArea>
    </format>
    <format dxfId="243">
      <pivotArea dataOnly="0" labelOnly="1" outline="0" fieldPosition="0">
        <references count="9">
          <reference field="3" count="1" selected="0">
            <x v="1746"/>
          </reference>
          <reference field="4" count="1" selected="0">
            <x v="274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429"/>
          </reference>
          <reference field="19" count="1" selected="0">
            <x v="0"/>
          </reference>
          <reference field="21" count="1" selected="0">
            <x v="31"/>
          </reference>
          <reference field="22" count="1" selected="0">
            <x v="3"/>
          </reference>
          <reference field="24" count="1">
            <x v="0"/>
          </reference>
        </references>
      </pivotArea>
    </format>
    <format dxfId="242">
      <pivotArea dataOnly="0" labelOnly="1" outline="0" fieldPosition="0">
        <references count="9">
          <reference field="3" count="1" selected="0">
            <x v="1747"/>
          </reference>
          <reference field="4" count="1" selected="0">
            <x v="7928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69"/>
          </reference>
          <reference field="19" count="1" selected="0">
            <x v="0"/>
          </reference>
          <reference field="21" count="1" selected="0">
            <x v="27"/>
          </reference>
          <reference field="22" count="1" selected="0">
            <x v="3"/>
          </reference>
          <reference field="24" count="1">
            <x v="2"/>
          </reference>
        </references>
      </pivotArea>
    </format>
    <format dxfId="241">
      <pivotArea dataOnly="0" labelOnly="1" outline="0" fieldPosition="0">
        <references count="9">
          <reference field="3" count="1" selected="0">
            <x v="1748"/>
          </reference>
          <reference field="4" count="1" selected="0">
            <x v="5673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73"/>
          </reference>
          <reference field="19" count="1" selected="0">
            <x v="0"/>
          </reference>
          <reference field="21" count="1" selected="0">
            <x v="26"/>
          </reference>
          <reference field="22" count="1" selected="0">
            <x v="3"/>
          </reference>
          <reference field="24" count="1">
            <x v="2"/>
          </reference>
        </references>
      </pivotArea>
    </format>
    <format dxfId="240">
      <pivotArea dataOnly="0" labelOnly="1" outline="0" fieldPosition="0">
        <references count="9">
          <reference field="3" count="1" selected="0">
            <x v="1750"/>
          </reference>
          <reference field="4" count="1" selected="0">
            <x v="3711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417"/>
          </reference>
          <reference field="19" count="1" selected="0">
            <x v="0"/>
          </reference>
          <reference field="21" count="1" selected="0">
            <x v="23"/>
          </reference>
          <reference field="22" count="1" selected="0">
            <x v="3"/>
          </reference>
          <reference field="24" count="1">
            <x v="2"/>
          </reference>
        </references>
      </pivotArea>
    </format>
    <format dxfId="239">
      <pivotArea dataOnly="0" labelOnly="1" outline="0" fieldPosition="0">
        <references count="9">
          <reference field="3" count="1" selected="0">
            <x v="1753"/>
          </reference>
          <reference field="4" count="1" selected="0">
            <x v="4606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324"/>
          </reference>
          <reference field="19" count="1" selected="0">
            <x v="0"/>
          </reference>
          <reference field="21" count="1" selected="0">
            <x v="19"/>
          </reference>
          <reference field="22" count="1" selected="0">
            <x v="2"/>
          </reference>
          <reference field="24" count="1">
            <x v="7"/>
          </reference>
        </references>
      </pivotArea>
    </format>
    <format dxfId="238">
      <pivotArea dataOnly="0" labelOnly="1" outline="0" fieldPosition="0">
        <references count="9">
          <reference field="3" count="1" selected="0">
            <x v="1758"/>
          </reference>
          <reference field="4" count="1" selected="0">
            <x v="982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06"/>
          </reference>
          <reference field="19" count="1" selected="0">
            <x v="0"/>
          </reference>
          <reference field="21" count="1" selected="0">
            <x v="13"/>
          </reference>
          <reference field="22" count="1" selected="0">
            <x v="1"/>
          </reference>
          <reference field="24" count="1">
            <x v="0"/>
          </reference>
        </references>
      </pivotArea>
    </format>
    <format dxfId="237">
      <pivotArea dataOnly="0" labelOnly="1" outline="0" fieldPosition="0">
        <references count="9">
          <reference field="3" count="1" selected="0">
            <x v="1761"/>
          </reference>
          <reference field="4" count="1" selected="0">
            <x v="737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293"/>
          </reference>
          <reference field="19" count="1" selected="0">
            <x v="0"/>
          </reference>
          <reference field="21" count="1" selected="0">
            <x v="17"/>
          </reference>
          <reference field="22" count="1" selected="0">
            <x v="2"/>
          </reference>
          <reference field="24" count="1">
            <x v="2"/>
          </reference>
        </references>
      </pivotArea>
    </format>
    <format dxfId="236">
      <pivotArea dataOnly="0" labelOnly="1" outline="0" fieldPosition="0">
        <references count="9">
          <reference field="3" count="1" selected="0">
            <x v="1765"/>
          </reference>
          <reference field="4" count="1" selected="0">
            <x v="1864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771"/>
          </reference>
          <reference field="19" count="1" selected="0">
            <x v="0"/>
          </reference>
          <reference field="21" count="1" selected="0">
            <x v="10"/>
          </reference>
          <reference field="22" count="1" selected="0">
            <x v="1"/>
          </reference>
          <reference field="24" count="1">
            <x v="0"/>
          </reference>
        </references>
      </pivotArea>
    </format>
    <format dxfId="235">
      <pivotArea dataOnly="0" labelOnly="1" outline="0" fieldPosition="0">
        <references count="9">
          <reference field="3" count="1" selected="0">
            <x v="1767"/>
          </reference>
          <reference field="4" count="1" selected="0">
            <x v="164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819"/>
          </reference>
          <reference field="19" count="1" selected="0">
            <x v="0"/>
          </reference>
          <reference field="21" count="1" selected="0">
            <x v="5"/>
          </reference>
          <reference field="22" count="1" selected="0">
            <x v="0"/>
          </reference>
          <reference field="24" count="1">
            <x v="2"/>
          </reference>
        </references>
      </pivotArea>
    </format>
    <format dxfId="234">
      <pivotArea dataOnly="0" labelOnly="1" outline="0" fieldPosition="0">
        <references count="9">
          <reference field="3" count="1" selected="0">
            <x v="1771"/>
          </reference>
          <reference field="4" count="1" selected="0">
            <x v="5981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19"/>
          </reference>
          <reference field="19" count="1" selected="0">
            <x v="0"/>
          </reference>
          <reference field="21" count="1" selected="0">
            <x v="5"/>
          </reference>
          <reference field="22" count="1" selected="0">
            <x v="0"/>
          </reference>
          <reference field="24" count="1">
            <x v="2"/>
          </reference>
        </references>
      </pivotArea>
    </format>
    <format dxfId="233">
      <pivotArea dataOnly="0" labelOnly="1" outline="0" fieldPosition="0">
        <references count="9">
          <reference field="3" count="1" selected="0">
            <x v="1783"/>
          </reference>
          <reference field="4" count="1" selected="0">
            <x v="2233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605"/>
          </reference>
          <reference field="19" count="1" selected="0">
            <x v="0"/>
          </reference>
          <reference field="21" count="1" selected="0">
            <x v="9"/>
          </reference>
          <reference field="22" count="1" selected="0">
            <x v="1"/>
          </reference>
          <reference field="24" count="1">
            <x v="2"/>
          </reference>
        </references>
      </pivotArea>
    </format>
    <format dxfId="232">
      <pivotArea dataOnly="0" labelOnly="1" outline="0" fieldPosition="0">
        <references count="9">
          <reference field="3" count="1" selected="0">
            <x v="1784"/>
          </reference>
          <reference field="4" count="1" selected="0">
            <x v="6326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768"/>
          </reference>
          <reference field="19" count="1" selected="0">
            <x v="0"/>
          </reference>
          <reference field="21" count="1" selected="0">
            <x v="6"/>
          </reference>
          <reference field="22" count="1" selected="0">
            <x v="1"/>
          </reference>
          <reference field="24" count="1">
            <x v="3"/>
          </reference>
        </references>
      </pivotArea>
    </format>
    <format dxfId="231">
      <pivotArea dataOnly="0" labelOnly="1" outline="0" fieldPosition="0">
        <references count="9">
          <reference field="3" count="1" selected="0">
            <x v="1785"/>
          </reference>
          <reference field="4" count="1" selected="0">
            <x v="693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640"/>
          </reference>
          <reference field="19" count="1" selected="0">
            <x v="0"/>
          </reference>
          <reference field="21" count="1" selected="0">
            <x v="8"/>
          </reference>
          <reference field="22" count="1" selected="0">
            <x v="1"/>
          </reference>
          <reference field="24" count="1">
            <x v="2"/>
          </reference>
        </references>
      </pivotArea>
    </format>
    <format dxfId="230">
      <pivotArea dataOnly="0" labelOnly="1" outline="0" fieldPosition="0">
        <references count="9">
          <reference field="3" count="1" selected="0">
            <x v="1786"/>
          </reference>
          <reference field="4" count="1" selected="0">
            <x v="597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406"/>
          </reference>
          <reference field="19" count="1" selected="0">
            <x v="0"/>
          </reference>
          <reference field="21" count="1" selected="0">
            <x v="11"/>
          </reference>
          <reference field="22" count="1" selected="0">
            <x v="1"/>
          </reference>
          <reference field="24" count="1">
            <x v="0"/>
          </reference>
        </references>
      </pivotArea>
    </format>
    <format dxfId="229">
      <pivotArea dataOnly="0" labelOnly="1" outline="0" fieldPosition="0">
        <references count="9">
          <reference field="3" count="1" selected="0">
            <x v="1789"/>
          </reference>
          <reference field="4" count="1" selected="0">
            <x v="7567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472"/>
          </reference>
          <reference field="19" count="1" selected="0">
            <x v="0"/>
          </reference>
          <reference field="21" count="1" selected="0">
            <x v="10"/>
          </reference>
          <reference field="22" count="1" selected="0">
            <x v="1"/>
          </reference>
          <reference field="24" count="1">
            <x v="0"/>
          </reference>
        </references>
      </pivotArea>
    </format>
    <format dxfId="228">
      <pivotArea dataOnly="0" labelOnly="1" outline="0" fieldPosition="0">
        <references count="9">
          <reference field="3" count="1" selected="0">
            <x v="1790"/>
          </reference>
          <reference field="4" count="1" selected="0">
            <x v="1776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780"/>
          </reference>
          <reference field="19" count="1" selected="0">
            <x v="0"/>
          </reference>
          <reference field="21" count="1" selected="0">
            <x v="31"/>
          </reference>
          <reference field="22" count="1" selected="0">
            <x v="3"/>
          </reference>
          <reference field="24" count="1">
            <x v="3"/>
          </reference>
        </references>
      </pivotArea>
    </format>
    <format dxfId="227">
      <pivotArea dataOnly="0" labelOnly="1" outline="0" fieldPosition="0">
        <references count="9">
          <reference field="3" count="1" selected="0">
            <x v="1804"/>
          </reference>
          <reference field="4" count="1" selected="0">
            <x v="1335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02"/>
          </reference>
          <reference field="19" count="1" selected="0">
            <x v="0"/>
          </reference>
          <reference field="21" count="1" selected="0">
            <x v="21"/>
          </reference>
          <reference field="22" count="1" selected="0">
            <x v="2"/>
          </reference>
          <reference field="24" count="1">
            <x v="1"/>
          </reference>
        </references>
      </pivotArea>
    </format>
    <format dxfId="226">
      <pivotArea dataOnly="0" labelOnly="1" outline="0" fieldPosition="0">
        <references count="9">
          <reference field="3" count="1" selected="0">
            <x v="1827"/>
          </reference>
          <reference field="4" count="1" selected="0">
            <x v="4858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926"/>
          </reference>
          <reference field="19" count="1" selected="0">
            <x v="0"/>
          </reference>
          <reference field="21" count="1" selected="0">
            <x v="16"/>
          </reference>
          <reference field="22" count="1" selected="0">
            <x v="2"/>
          </reference>
          <reference field="24" count="1">
            <x v="2"/>
          </reference>
        </references>
      </pivotArea>
    </format>
    <format dxfId="225">
      <pivotArea dataOnly="0" labelOnly="1" outline="0" fieldPosition="0">
        <references count="9">
          <reference field="3" count="1" selected="0">
            <x v="1840"/>
          </reference>
          <reference field="4" count="1" selected="0">
            <x v="6192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14"/>
          </reference>
          <reference field="19" count="1" selected="0">
            <x v="0"/>
          </reference>
          <reference field="21" count="1" selected="0">
            <x v="18"/>
          </reference>
          <reference field="22" count="1" selected="0">
            <x v="2"/>
          </reference>
          <reference field="24" count="1">
            <x v="0"/>
          </reference>
        </references>
      </pivotArea>
    </format>
    <format dxfId="224">
      <pivotArea dataOnly="0" labelOnly="1" outline="0" fieldPosition="0">
        <references count="9">
          <reference field="3" count="1" selected="0">
            <x v="1851"/>
          </reference>
          <reference field="4" count="1" selected="0">
            <x v="6138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21"/>
          </reference>
          <reference field="19" count="1" selected="0">
            <x v="0"/>
          </reference>
          <reference field="21" count="1" selected="0">
            <x v="17"/>
          </reference>
          <reference field="22" count="1" selected="0">
            <x v="2"/>
          </reference>
          <reference field="24" count="1">
            <x v="1"/>
          </reference>
        </references>
      </pivotArea>
    </format>
    <format dxfId="223">
      <pivotArea dataOnly="0" labelOnly="1" outline="0" fieldPosition="0">
        <references count="9">
          <reference field="3" count="1" selected="0">
            <x v="1853"/>
          </reference>
          <reference field="4" count="1" selected="0">
            <x v="6418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28"/>
          </reference>
          <reference field="19" count="1" selected="0">
            <x v="0"/>
          </reference>
          <reference field="21" count="1" selected="0">
            <x v="3"/>
          </reference>
          <reference field="22" count="1" selected="0">
            <x v="0"/>
          </reference>
          <reference field="24" count="1">
            <x v="2"/>
          </reference>
        </references>
      </pivotArea>
    </format>
    <format dxfId="222">
      <pivotArea dataOnly="0" labelOnly="1" outline="0" fieldPosition="0">
        <references count="9">
          <reference field="3" count="1" selected="0">
            <x v="1894"/>
          </reference>
          <reference field="4" count="1" selected="0">
            <x v="5722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919"/>
          </reference>
          <reference field="19" count="1" selected="0">
            <x v="0"/>
          </reference>
          <reference field="21" count="1" selected="0">
            <x v="12"/>
          </reference>
          <reference field="22" count="1" selected="0">
            <x v="1"/>
          </reference>
          <reference field="24" count="1">
            <x v="1"/>
          </reference>
        </references>
      </pivotArea>
    </format>
    <format dxfId="221">
      <pivotArea dataOnly="0" labelOnly="1" outline="0" fieldPosition="0">
        <references count="9">
          <reference field="3" count="1" selected="0">
            <x v="1903"/>
          </reference>
          <reference field="4" count="1" selected="0">
            <x v="3454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927"/>
          </reference>
          <reference field="19" count="1" selected="0">
            <x v="0"/>
          </reference>
          <reference field="21" count="1" selected="0">
            <x v="8"/>
          </reference>
          <reference field="22" count="1" selected="0">
            <x v="1"/>
          </reference>
          <reference field="24" count="1">
            <x v="7"/>
          </reference>
        </references>
      </pivotArea>
    </format>
    <format dxfId="220">
      <pivotArea dataOnly="0" labelOnly="1" outline="0" fieldPosition="0">
        <references count="9">
          <reference field="3" count="1" selected="0">
            <x v="1905"/>
          </reference>
          <reference field="4" count="1" selected="0">
            <x v="5342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898"/>
          </reference>
          <reference field="19" count="1" selected="0">
            <x v="0"/>
          </reference>
          <reference field="21" count="1" selected="0">
            <x v="5"/>
          </reference>
          <reference field="22" count="1" selected="0">
            <x v="0"/>
          </reference>
          <reference field="24" count="1">
            <x v="4"/>
          </reference>
        </references>
      </pivotArea>
    </format>
    <format dxfId="219">
      <pivotArea dataOnly="0" labelOnly="1" outline="0" fieldPosition="0">
        <references count="9">
          <reference field="3" count="1" selected="0">
            <x v="1906"/>
          </reference>
          <reference field="4" count="1" selected="0">
            <x v="6949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923"/>
          </reference>
          <reference field="19" count="1" selected="0">
            <x v="0"/>
          </reference>
          <reference field="21" count="1" selected="0">
            <x v="30"/>
          </reference>
          <reference field="22" count="1" selected="0">
            <x v="3"/>
          </reference>
          <reference field="24" count="1">
            <x v="4"/>
          </reference>
        </references>
      </pivotArea>
    </format>
    <format dxfId="218">
      <pivotArea dataOnly="0" labelOnly="1" outline="0" fieldPosition="0">
        <references count="9">
          <reference field="3" count="1" selected="0">
            <x v="1911"/>
          </reference>
          <reference field="4" count="1" selected="0">
            <x v="6382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882"/>
          </reference>
          <reference field="19" count="1" selected="0">
            <x v="0"/>
          </reference>
          <reference field="21" count="1" selected="0">
            <x v="11"/>
          </reference>
          <reference field="22" count="1" selected="0">
            <x v="1"/>
          </reference>
          <reference field="24" count="1">
            <x v="4"/>
          </reference>
        </references>
      </pivotArea>
    </format>
    <format dxfId="217">
      <pivotArea dataOnly="0" labelOnly="1" outline="0" fieldPosition="0">
        <references count="9">
          <reference field="3" count="1" selected="0">
            <x v="1916"/>
          </reference>
          <reference field="4" count="1" selected="0">
            <x v="1837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30"/>
          </reference>
          <reference field="19" count="1" selected="0">
            <x v="0"/>
          </reference>
          <reference field="21" count="1" selected="0">
            <x v="17"/>
          </reference>
          <reference field="22" count="1" selected="0">
            <x v="2"/>
          </reference>
          <reference field="24" count="1">
            <x v="0"/>
          </reference>
        </references>
      </pivotArea>
    </format>
    <format dxfId="216">
      <pivotArea dataOnly="0" labelOnly="1" outline="0" fieldPosition="0">
        <references count="9">
          <reference field="3" count="1" selected="0">
            <x v="1917"/>
          </reference>
          <reference field="4" count="1" selected="0">
            <x v="2228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30"/>
          </reference>
          <reference field="19" count="1" selected="0">
            <x v="0"/>
          </reference>
          <reference field="21" count="1" selected="0">
            <x v="34"/>
          </reference>
          <reference field="22" count="1" selected="0">
            <x v="4"/>
          </reference>
          <reference field="24" count="1">
            <x v="2"/>
          </reference>
        </references>
      </pivotArea>
    </format>
    <format dxfId="215">
      <pivotArea dataOnly="0" labelOnly="1" outline="0" fieldPosition="0">
        <references count="9">
          <reference field="3" count="1" selected="0">
            <x v="1918"/>
          </reference>
          <reference field="4" count="1" selected="0">
            <x v="3911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30"/>
          </reference>
          <reference field="19" count="1" selected="0">
            <x v="0"/>
          </reference>
          <reference field="21" count="1" selected="0">
            <x v="24"/>
          </reference>
          <reference field="22" count="1" selected="0">
            <x v="3"/>
          </reference>
          <reference field="24" count="1">
            <x v="2"/>
          </reference>
        </references>
      </pivotArea>
    </format>
    <format dxfId="214">
      <pivotArea dataOnly="0" labelOnly="1" outline="0" fieldPosition="0">
        <references count="9">
          <reference field="3" count="1" selected="0">
            <x v="1937"/>
          </reference>
          <reference field="4" count="1" selected="0">
            <x v="7773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926"/>
          </reference>
          <reference field="19" count="1" selected="0">
            <x v="0"/>
          </reference>
          <reference field="21" count="1" selected="0">
            <x v="28"/>
          </reference>
          <reference field="22" count="1" selected="0">
            <x v="3"/>
          </reference>
          <reference field="24" count="1">
            <x v="2"/>
          </reference>
        </references>
      </pivotArea>
    </format>
    <format dxfId="213">
      <pivotArea dataOnly="0" labelOnly="1" outline="0" fieldPosition="0">
        <references count="9">
          <reference field="3" count="1" selected="0">
            <x v="1949"/>
          </reference>
          <reference field="4" count="1" selected="0">
            <x v="6062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43"/>
          </reference>
          <reference field="19" count="1" selected="0">
            <x v="0"/>
          </reference>
          <reference field="21" count="1" selected="0">
            <x v="30"/>
          </reference>
          <reference field="22" count="1" selected="0">
            <x v="3"/>
          </reference>
          <reference field="24" count="1">
            <x v="3"/>
          </reference>
        </references>
      </pivotArea>
    </format>
    <format dxfId="212">
      <pivotArea dataOnly="0" labelOnly="1" outline="0" fieldPosition="0">
        <references count="9">
          <reference field="3" count="1" selected="0">
            <x v="1950"/>
          </reference>
          <reference field="4" count="1" selected="0">
            <x v="3421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38"/>
          </reference>
          <reference field="19" count="1" selected="0">
            <x v="0"/>
          </reference>
          <reference field="21" count="1" selected="0">
            <x v="0"/>
          </reference>
          <reference field="22" count="1" selected="0">
            <x v="0"/>
          </reference>
          <reference field="24" count="1">
            <x v="2"/>
          </reference>
        </references>
      </pivotArea>
    </format>
    <format dxfId="211">
      <pivotArea dataOnly="0" labelOnly="1" outline="0" fieldPosition="0">
        <references count="9">
          <reference field="3" count="1" selected="0">
            <x v="1964"/>
          </reference>
          <reference field="4" count="1" selected="0">
            <x v="4436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47"/>
          </reference>
          <reference field="19" count="1" selected="0">
            <x v="0"/>
          </reference>
          <reference field="21" count="1" selected="0">
            <x v="17"/>
          </reference>
          <reference field="22" count="1" selected="0">
            <x v="2"/>
          </reference>
          <reference field="24" count="1">
            <x v="0"/>
          </reference>
        </references>
      </pivotArea>
    </format>
    <format dxfId="210">
      <pivotArea dataOnly="0" labelOnly="1" outline="0" fieldPosition="0">
        <references count="9">
          <reference field="3" count="1" selected="0">
            <x v="2040"/>
          </reference>
          <reference field="4" count="1" selected="0">
            <x v="814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853"/>
          </reference>
          <reference field="19" count="1" selected="0">
            <x v="0"/>
          </reference>
          <reference field="21" count="1" selected="0">
            <x v="6"/>
          </reference>
          <reference field="22" count="1" selected="0">
            <x v="1"/>
          </reference>
          <reference field="24" count="1">
            <x v="0"/>
          </reference>
        </references>
      </pivotArea>
    </format>
    <format dxfId="209">
      <pivotArea dataOnly="0" labelOnly="1" outline="0" fieldPosition="0">
        <references count="9">
          <reference field="3" count="1" selected="0">
            <x v="2049"/>
          </reference>
          <reference field="4" count="1" selected="0">
            <x v="5797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06"/>
          </reference>
          <reference field="19" count="1" selected="0">
            <x v="0"/>
          </reference>
          <reference field="21" count="1" selected="0">
            <x v="13"/>
          </reference>
          <reference field="22" count="1" selected="0">
            <x v="1"/>
          </reference>
          <reference field="24" count="1">
            <x v="1"/>
          </reference>
        </references>
      </pivotArea>
    </format>
    <format dxfId="208">
      <pivotArea dataOnly="0" labelOnly="1" outline="0" fieldPosition="0">
        <references count="9">
          <reference field="3" count="1" selected="0">
            <x v="2051"/>
          </reference>
          <reference field="4" count="1" selected="0">
            <x v="7737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18"/>
          </reference>
          <reference field="19" count="1" selected="0">
            <x v="0"/>
          </reference>
          <reference field="21" count="1" selected="0">
            <x v="8"/>
          </reference>
          <reference field="22" count="1" selected="0">
            <x v="1"/>
          </reference>
          <reference field="24" count="1">
            <x v="3"/>
          </reference>
        </references>
      </pivotArea>
    </format>
    <format dxfId="207">
      <pivotArea dataOnly="0" labelOnly="1" outline="0" fieldPosition="0">
        <references count="9">
          <reference field="3" count="1" selected="0">
            <x v="2089"/>
          </reference>
          <reference field="4" count="1" selected="0">
            <x v="1064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59"/>
          </reference>
          <reference field="19" count="1" selected="0">
            <x v="0"/>
          </reference>
          <reference field="21" count="1" selected="0">
            <x v="21"/>
          </reference>
          <reference field="22" count="1" selected="0">
            <x v="2"/>
          </reference>
          <reference field="24" count="1">
            <x v="7"/>
          </reference>
        </references>
      </pivotArea>
    </format>
    <format dxfId="206">
      <pivotArea dataOnly="0" labelOnly="1" outline="0" fieldPosition="0">
        <references count="9">
          <reference field="3" count="1" selected="0">
            <x v="2097"/>
          </reference>
          <reference field="4" count="1" selected="0">
            <x v="1103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947"/>
          </reference>
          <reference field="19" count="1" selected="0">
            <x v="0"/>
          </reference>
          <reference field="21" count="1" selected="0">
            <x v="25"/>
          </reference>
          <reference field="22" count="1" selected="0">
            <x v="3"/>
          </reference>
          <reference field="24" count="1">
            <x v="2"/>
          </reference>
        </references>
      </pivotArea>
    </format>
    <format dxfId="205">
      <pivotArea dataOnly="0" labelOnly="1" outline="0" fieldPosition="0">
        <references count="9">
          <reference field="3" count="1" selected="0">
            <x v="2101"/>
          </reference>
          <reference field="4" count="1" selected="0">
            <x v="5470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957"/>
          </reference>
          <reference field="19" count="1" selected="0">
            <x v="0"/>
          </reference>
          <reference field="21" count="1" selected="0">
            <x v="15"/>
          </reference>
          <reference field="22" count="1" selected="0">
            <x v="2"/>
          </reference>
          <reference field="24" count="1">
            <x v="2"/>
          </reference>
        </references>
      </pivotArea>
    </format>
    <format dxfId="204">
      <pivotArea dataOnly="0" labelOnly="1" outline="0" fieldPosition="0">
        <references count="9">
          <reference field="3" count="1" selected="0">
            <x v="2104"/>
          </reference>
          <reference field="4" count="1" selected="0">
            <x v="6191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87"/>
          </reference>
          <reference field="19" count="1" selected="0">
            <x v="0"/>
          </reference>
          <reference field="21" count="1" selected="0">
            <x v="20"/>
          </reference>
          <reference field="22" count="1" selected="0">
            <x v="2"/>
          </reference>
          <reference field="24" count="1">
            <x v="2"/>
          </reference>
        </references>
      </pivotArea>
    </format>
    <format dxfId="203">
      <pivotArea dataOnly="0" labelOnly="1" outline="0" fieldPosition="0">
        <references count="9">
          <reference field="3" count="1" selected="0">
            <x v="2105"/>
          </reference>
          <reference field="4" count="1" selected="0">
            <x v="2516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65"/>
          </reference>
          <reference field="19" count="1" selected="0">
            <x v="0"/>
          </reference>
          <reference field="21" count="1" selected="0">
            <x v="7"/>
          </reference>
          <reference field="22" count="1" selected="0">
            <x v="1"/>
          </reference>
          <reference field="24" count="1">
            <x v="0"/>
          </reference>
        </references>
      </pivotArea>
    </format>
    <format dxfId="202">
      <pivotArea dataOnly="0" labelOnly="1" outline="0" fieldPosition="0">
        <references count="9">
          <reference field="3" count="1" selected="0">
            <x v="2106"/>
          </reference>
          <reference field="4" count="1" selected="0">
            <x v="568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66"/>
          </reference>
          <reference field="19" count="1" selected="0">
            <x v="0"/>
          </reference>
          <reference field="21" count="1" selected="0">
            <x v="20"/>
          </reference>
          <reference field="22" count="1" selected="0">
            <x v="2"/>
          </reference>
          <reference field="24" count="1">
            <x v="2"/>
          </reference>
        </references>
      </pivotArea>
    </format>
    <format dxfId="201">
      <pivotArea dataOnly="0" labelOnly="1" outline="0" fieldPosition="0">
        <references count="9">
          <reference field="3" count="1" selected="0">
            <x v="2122"/>
          </reference>
          <reference field="4" count="1" selected="0">
            <x v="2252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642"/>
          </reference>
          <reference field="19" count="1" selected="0">
            <x v="0"/>
          </reference>
          <reference field="21" count="1" selected="0">
            <x v="18"/>
          </reference>
          <reference field="22" count="1" selected="0">
            <x v="2"/>
          </reference>
          <reference field="24" count="1">
            <x v="3"/>
          </reference>
        </references>
      </pivotArea>
    </format>
    <format dxfId="200">
      <pivotArea dataOnly="0" labelOnly="1" outline="0" fieldPosition="0">
        <references count="9">
          <reference field="3" count="1" selected="0">
            <x v="2144"/>
          </reference>
          <reference field="4" count="1" selected="0">
            <x v="7845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21"/>
          </reference>
          <reference field="19" count="1" selected="0">
            <x v="0"/>
          </reference>
          <reference field="21" count="1" selected="0">
            <x v="18"/>
          </reference>
          <reference field="22" count="1" selected="0">
            <x v="2"/>
          </reference>
          <reference field="24" count="1">
            <x v="3"/>
          </reference>
        </references>
      </pivotArea>
    </format>
    <format dxfId="199">
      <pivotArea dataOnly="0" labelOnly="1" outline="0" fieldPosition="0">
        <references count="9">
          <reference field="3" count="1" selected="0">
            <x v="2163"/>
          </reference>
          <reference field="4" count="1" selected="0">
            <x v="6460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70"/>
          </reference>
          <reference field="19" count="1" selected="0">
            <x v="1"/>
          </reference>
          <reference field="21" count="1" selected="0">
            <x v="26"/>
          </reference>
          <reference field="22" count="1" selected="0">
            <x v="3"/>
          </reference>
          <reference field="24" count="1">
            <x v="2"/>
          </reference>
        </references>
      </pivotArea>
    </format>
    <format dxfId="198">
      <pivotArea dataOnly="0" labelOnly="1" outline="0" fieldPosition="0">
        <references count="9">
          <reference field="3" count="1" selected="0">
            <x v="2197"/>
          </reference>
          <reference field="4" count="1" selected="0">
            <x v="1576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65"/>
          </reference>
          <reference field="19" count="1" selected="0">
            <x v="0"/>
          </reference>
          <reference field="21" count="1" selected="0">
            <x v="8"/>
          </reference>
          <reference field="22" count="1" selected="0">
            <x v="1"/>
          </reference>
          <reference field="24" count="1">
            <x v="6"/>
          </reference>
        </references>
      </pivotArea>
    </format>
    <format dxfId="197">
      <pivotArea dataOnly="0" labelOnly="1" outline="0" fieldPosition="0">
        <references count="9">
          <reference field="3" count="1" selected="0">
            <x v="2201"/>
          </reference>
          <reference field="4" count="1" selected="0">
            <x v="7137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81"/>
          </reference>
          <reference field="19" count="1" selected="0">
            <x v="0"/>
          </reference>
          <reference field="21" count="1" selected="0">
            <x v="20"/>
          </reference>
          <reference field="22" count="1" selected="0">
            <x v="2"/>
          </reference>
          <reference field="24" count="1">
            <x v="2"/>
          </reference>
        </references>
      </pivotArea>
    </format>
    <format dxfId="196">
      <pivotArea dataOnly="0" labelOnly="1" outline="0" fieldPosition="0">
        <references count="9">
          <reference field="3" count="1" selected="0">
            <x v="2222"/>
          </reference>
          <reference field="4" count="1" selected="0">
            <x v="5292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44"/>
          </reference>
          <reference field="19" count="1" selected="0">
            <x v="0"/>
          </reference>
          <reference field="21" count="1" selected="0">
            <x v="21"/>
          </reference>
          <reference field="22" count="1" selected="0">
            <x v="2"/>
          </reference>
          <reference field="24" count="1">
            <x v="3"/>
          </reference>
        </references>
      </pivotArea>
    </format>
    <format dxfId="195">
      <pivotArea dataOnly="0" labelOnly="1" outline="0" fieldPosition="0">
        <references count="9">
          <reference field="3" count="1" selected="0">
            <x v="2232"/>
          </reference>
          <reference field="4" count="1" selected="0">
            <x v="3300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67"/>
          </reference>
          <reference field="19" count="1" selected="0">
            <x v="1"/>
          </reference>
          <reference field="21" count="1" selected="0">
            <x v="4"/>
          </reference>
          <reference field="22" count="1" selected="0">
            <x v="0"/>
          </reference>
          <reference field="24" count="1">
            <x v="2"/>
          </reference>
        </references>
      </pivotArea>
    </format>
    <format dxfId="194">
      <pivotArea dataOnly="0" labelOnly="1" outline="0" fieldPosition="0">
        <references count="9">
          <reference field="3" count="1" selected="0">
            <x v="2234"/>
          </reference>
          <reference field="4" count="1" selected="0">
            <x v="3301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70"/>
          </reference>
          <reference field="19" count="1" selected="0">
            <x v="1"/>
          </reference>
          <reference field="21" count="1" selected="0">
            <x v="2"/>
          </reference>
          <reference field="22" count="1" selected="0">
            <x v="0"/>
          </reference>
          <reference field="24" count="1">
            <x v="2"/>
          </reference>
        </references>
      </pivotArea>
    </format>
    <format dxfId="193">
      <pivotArea dataOnly="0" labelOnly="1" outline="0" fieldPosition="0">
        <references count="9">
          <reference field="3" count="1" selected="0">
            <x v="2235"/>
          </reference>
          <reference field="4" count="1" selected="0">
            <x v="7482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74"/>
          </reference>
          <reference field="19" count="1" selected="0">
            <x v="1"/>
          </reference>
          <reference field="21" count="1" selected="0">
            <x v="4"/>
          </reference>
          <reference field="22" count="1" selected="0">
            <x v="0"/>
          </reference>
          <reference field="24" count="1">
            <x v="0"/>
          </reference>
        </references>
      </pivotArea>
    </format>
    <format dxfId="192">
      <pivotArea dataOnly="0" labelOnly="1" outline="0" fieldPosition="0">
        <references count="9">
          <reference field="3" count="1" selected="0">
            <x v="2236"/>
          </reference>
          <reference field="4" count="1" selected="0">
            <x v="3302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74"/>
          </reference>
          <reference field="19" count="1" selected="0">
            <x v="1"/>
          </reference>
          <reference field="21" count="1" selected="0">
            <x v="2"/>
          </reference>
          <reference field="22" count="1" selected="0">
            <x v="0"/>
          </reference>
          <reference field="24" count="1">
            <x v="2"/>
          </reference>
        </references>
      </pivotArea>
    </format>
    <format dxfId="191">
      <pivotArea dataOnly="0" labelOnly="1" outline="0" fieldPosition="0">
        <references count="9">
          <reference field="3" count="1" selected="0">
            <x v="2243"/>
          </reference>
          <reference field="4" count="1" selected="0">
            <x v="7215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65"/>
          </reference>
          <reference field="19" count="1" selected="0">
            <x v="0"/>
          </reference>
          <reference field="21" count="1" selected="0">
            <x v="27"/>
          </reference>
          <reference field="22" count="1" selected="0">
            <x v="3"/>
          </reference>
          <reference field="24" count="1">
            <x v="2"/>
          </reference>
        </references>
      </pivotArea>
    </format>
    <format dxfId="190">
      <pivotArea dataOnly="0" labelOnly="1" outline="0" fieldPosition="0">
        <references count="9">
          <reference field="3" count="1" selected="0">
            <x v="2251"/>
          </reference>
          <reference field="4" count="1" selected="0">
            <x v="4570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76"/>
          </reference>
          <reference field="19" count="1" selected="0">
            <x v="0"/>
          </reference>
          <reference field="21" count="1" selected="0">
            <x v="14"/>
          </reference>
          <reference field="22" count="1" selected="0">
            <x v="2"/>
          </reference>
          <reference field="24" count="1">
            <x v="2"/>
          </reference>
        </references>
      </pivotArea>
    </format>
    <format dxfId="189">
      <pivotArea dataOnly="0" labelOnly="1" outline="0" fieldPosition="0">
        <references count="9">
          <reference field="3" count="1" selected="0">
            <x v="2261"/>
          </reference>
          <reference field="4" count="1" selected="0">
            <x v="6947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939"/>
          </reference>
          <reference field="19" count="1" selected="0">
            <x v="1"/>
          </reference>
          <reference field="21" count="1" selected="0">
            <x v="17"/>
          </reference>
          <reference field="22" count="1" selected="0">
            <x v="2"/>
          </reference>
          <reference field="24" count="1">
            <x v="0"/>
          </reference>
        </references>
      </pivotArea>
    </format>
    <format dxfId="188">
      <pivotArea field="11" type="button" dataOnly="0" labelOnly="1" outline="0" axis="axisRow" fieldPosition="2"/>
    </format>
    <format dxfId="187">
      <pivotArea field="14" type="button" dataOnly="0" labelOnly="1" outline="0" axis="axisRow" fieldPosition="3"/>
    </format>
    <format dxfId="186">
      <pivotArea field="21" type="button" dataOnly="0" labelOnly="1" outline="0" axis="axisRow" fieldPosition="4"/>
    </format>
    <format dxfId="185">
      <pivotArea field="22" type="button" dataOnly="0" labelOnly="1" outline="0" axis="axisRow" fieldPosition="5"/>
    </format>
    <format dxfId="184">
      <pivotArea field="12" type="button" dataOnly="0" labelOnly="1" outline="0" axis="axisRow" fieldPosition="6"/>
    </format>
    <format dxfId="183">
      <pivotArea field="19" type="button" dataOnly="0" labelOnly="1" outline="0" axis="axisRow" fieldPosition="7"/>
    </format>
    <format dxfId="182">
      <pivotArea field="24" type="button" dataOnly="0" labelOnly="1" outline="0" axis="axisRow" fieldPosition="8"/>
    </format>
    <format dxfId="181">
      <pivotArea field="11" type="button" dataOnly="0" labelOnly="1" outline="0" axis="axisRow" fieldPosition="2"/>
    </format>
    <format dxfId="180">
      <pivotArea field="14" type="button" dataOnly="0" labelOnly="1" outline="0" axis="axisRow" fieldPosition="3"/>
    </format>
    <format dxfId="179">
      <pivotArea field="21" type="button" dataOnly="0" labelOnly="1" outline="0" axis="axisRow" fieldPosition="4"/>
    </format>
    <format dxfId="178">
      <pivotArea field="22" type="button" dataOnly="0" labelOnly="1" outline="0" axis="axisRow" fieldPosition="5"/>
    </format>
    <format dxfId="177">
      <pivotArea field="12" type="button" dataOnly="0" labelOnly="1" outline="0" axis="axisRow" fieldPosition="6"/>
    </format>
    <format dxfId="176">
      <pivotArea field="19" type="button" dataOnly="0" labelOnly="1" outline="0" axis="axisRow" fieldPosition="7"/>
    </format>
    <format dxfId="175">
      <pivotArea field="24" type="button" dataOnly="0" labelOnly="1" outline="0" axis="axisRow" fieldPosition="8"/>
    </format>
    <format dxfId="174">
      <pivotArea field="3" type="button" dataOnly="0" labelOnly="1" outline="0" axis="axisRow" fieldPosition="0"/>
    </format>
    <format dxfId="173">
      <pivotArea field="4" type="button" dataOnly="0" labelOnly="1" outline="0" axis="axisRow" fieldPosition="1"/>
    </format>
    <format dxfId="172">
      <pivotArea field="11" type="button" dataOnly="0" labelOnly="1" outline="0" axis="axisRow" fieldPosition="2"/>
    </format>
    <format dxfId="171">
      <pivotArea field="14" type="button" dataOnly="0" labelOnly="1" outline="0" axis="axisRow" fieldPosition="3"/>
    </format>
    <format dxfId="170">
      <pivotArea field="21" type="button" dataOnly="0" labelOnly="1" outline="0" axis="axisRow" fieldPosition="4"/>
    </format>
    <format dxfId="169">
      <pivotArea field="22" type="button" dataOnly="0" labelOnly="1" outline="0" axis="axisRow" fieldPosition="5"/>
    </format>
    <format dxfId="168">
      <pivotArea field="12" type="button" dataOnly="0" labelOnly="1" outline="0" axis="axisRow" fieldPosition="6"/>
    </format>
    <format dxfId="167">
      <pivotArea field="19" type="button" dataOnly="0" labelOnly="1" outline="0" axis="axisRow" fieldPosition="7"/>
    </format>
    <format dxfId="166">
      <pivotArea field="24" type="button" dataOnly="0" labelOnly="1" outline="0" axis="axisRow" fieldPosition="8"/>
    </format>
    <format dxfId="165">
      <pivotArea field="3" type="button" dataOnly="0" labelOnly="1" outline="0" axis="axisRow" fieldPosition="0"/>
    </format>
    <format dxfId="164">
      <pivotArea field="4" type="button" dataOnly="0" labelOnly="1" outline="0" axis="axisRow" fieldPosition="1"/>
    </format>
    <format dxfId="163">
      <pivotArea field="11" type="button" dataOnly="0" labelOnly="1" outline="0" axis="axisRow" fieldPosition="2"/>
    </format>
    <format dxfId="162">
      <pivotArea field="14" type="button" dataOnly="0" labelOnly="1" outline="0" axis="axisRow" fieldPosition="3"/>
    </format>
    <format dxfId="161">
      <pivotArea field="21" type="button" dataOnly="0" labelOnly="1" outline="0" axis="axisRow" fieldPosition="4"/>
    </format>
    <format dxfId="160">
      <pivotArea field="22" type="button" dataOnly="0" labelOnly="1" outline="0" axis="axisRow" fieldPosition="5"/>
    </format>
    <format dxfId="159">
      <pivotArea field="12" type="button" dataOnly="0" labelOnly="1" outline="0" axis="axisRow" fieldPosition="6"/>
    </format>
    <format dxfId="158">
      <pivotArea field="19" type="button" dataOnly="0" labelOnly="1" outline="0" axis="axisRow" fieldPosition="7"/>
    </format>
    <format dxfId="157">
      <pivotArea field="24" type="button" dataOnly="0" labelOnly="1" outline="0" axis="axisRow" fieldPosition="8"/>
    </format>
    <format dxfId="156">
      <pivotArea field="3" type="button" dataOnly="0" labelOnly="1" outline="0" axis="axisRow" fieldPosition="0"/>
    </format>
    <format dxfId="155">
      <pivotArea field="4" type="button" dataOnly="0" labelOnly="1" outline="0" axis="axisRow" fieldPosition="1"/>
    </format>
    <format dxfId="154">
      <pivotArea field="11" type="button" dataOnly="0" labelOnly="1" outline="0" axis="axisRow" fieldPosition="2"/>
    </format>
    <format dxfId="153">
      <pivotArea field="14" type="button" dataOnly="0" labelOnly="1" outline="0" axis="axisRow" fieldPosition="3"/>
    </format>
    <format dxfId="152">
      <pivotArea field="21" type="button" dataOnly="0" labelOnly="1" outline="0" axis="axisRow" fieldPosition="4"/>
    </format>
    <format dxfId="151">
      <pivotArea field="22" type="button" dataOnly="0" labelOnly="1" outline="0" axis="axisRow" fieldPosition="5"/>
    </format>
    <format dxfId="150">
      <pivotArea field="12" type="button" dataOnly="0" labelOnly="1" outline="0" axis="axisRow" fieldPosition="6"/>
    </format>
    <format dxfId="149">
      <pivotArea field="19" type="button" dataOnly="0" labelOnly="1" outline="0" axis="axisRow" fieldPosition="7"/>
    </format>
    <format dxfId="148">
      <pivotArea field="24" type="button" dataOnly="0" labelOnly="1" outline="0" axis="axisRow" fieldPosition="8"/>
    </format>
    <format dxfId="147">
      <pivotArea field="3" type="button" dataOnly="0" labelOnly="1" outline="0" axis="axisRow" fieldPosition="0"/>
    </format>
    <format dxfId="146">
      <pivotArea field="4" type="button" dataOnly="0" labelOnly="1" outline="0" axis="axisRow" fieldPosition="1"/>
    </format>
    <format dxfId="145">
      <pivotArea field="11" type="button" dataOnly="0" labelOnly="1" outline="0" axis="axisRow" fieldPosition="2"/>
    </format>
    <format dxfId="144">
      <pivotArea field="14" type="button" dataOnly="0" labelOnly="1" outline="0" axis="axisRow" fieldPosition="3"/>
    </format>
    <format dxfId="143">
      <pivotArea field="21" type="button" dataOnly="0" labelOnly="1" outline="0" axis="axisRow" fieldPosition="4"/>
    </format>
    <format dxfId="142">
      <pivotArea field="22" type="button" dataOnly="0" labelOnly="1" outline="0" axis="axisRow" fieldPosition="5"/>
    </format>
    <format dxfId="141">
      <pivotArea field="12" type="button" dataOnly="0" labelOnly="1" outline="0" axis="axisRow" fieldPosition="6"/>
    </format>
    <format dxfId="140">
      <pivotArea field="19" type="button" dataOnly="0" labelOnly="1" outline="0" axis="axisRow" fieldPosition="7"/>
    </format>
    <format dxfId="139">
      <pivotArea field="24" type="button" dataOnly="0" labelOnly="1" outline="0" axis="axisRow" fieldPosition="8"/>
    </format>
    <format dxfId="138">
      <pivotArea field="3" type="button" dataOnly="0" labelOnly="1" outline="0" axis="axisRow" fieldPosition="0"/>
    </format>
    <format dxfId="137">
      <pivotArea field="4" type="button" dataOnly="0" labelOnly="1" outline="0" axis="axisRow" fieldPosition="1"/>
    </format>
    <format dxfId="136">
      <pivotArea field="11" type="button" dataOnly="0" labelOnly="1" outline="0" axis="axisRow" fieldPosition="2"/>
    </format>
    <format dxfId="135">
      <pivotArea field="14" type="button" dataOnly="0" labelOnly="1" outline="0" axis="axisRow" fieldPosition="3"/>
    </format>
    <format dxfId="134">
      <pivotArea field="21" type="button" dataOnly="0" labelOnly="1" outline="0" axis="axisRow" fieldPosition="4"/>
    </format>
    <format dxfId="133">
      <pivotArea field="22" type="button" dataOnly="0" labelOnly="1" outline="0" axis="axisRow" fieldPosition="5"/>
    </format>
    <format dxfId="132">
      <pivotArea field="12" type="button" dataOnly="0" labelOnly="1" outline="0" axis="axisRow" fieldPosition="6"/>
    </format>
    <format dxfId="131">
      <pivotArea field="19" type="button" dataOnly="0" labelOnly="1" outline="0" axis="axisRow" fieldPosition="7"/>
    </format>
    <format dxfId="130">
      <pivotArea field="24" type="button" dataOnly="0" labelOnly="1" outline="0" axis="axisRow" fieldPosition="8"/>
    </format>
    <format dxfId="129">
      <pivotArea grandRow="1" outline="0" collapsedLevelsAreSubtotals="1" fieldPosition="0"/>
    </format>
    <format dxfId="128">
      <pivotArea outline="0" collapsedLevelsAreSubtotals="1" fieldPosition="0"/>
    </format>
    <format dxfId="127">
      <pivotArea dataOnly="0" labelOnly="1" outline="0" fieldPosition="0">
        <references count="4">
          <reference field="3" count="1" selected="0">
            <x v="492"/>
          </reference>
          <reference field="4" count="1" selected="0">
            <x v="11"/>
          </reference>
          <reference field="11" count="1" selected="0">
            <x v="11"/>
          </reference>
          <reference field="14" count="1">
            <x v="3"/>
          </reference>
        </references>
      </pivotArea>
    </format>
    <format dxfId="126">
      <pivotArea dataOnly="0" labelOnly="1" outline="0" fieldPosition="0">
        <references count="4">
          <reference field="3" count="1" selected="0">
            <x v="492"/>
          </reference>
          <reference field="4" count="1" selected="0">
            <x v="11"/>
          </reference>
          <reference field="11" count="1" selected="0">
            <x v="11"/>
          </reference>
          <reference field="14" count="1">
            <x v="3"/>
          </reference>
        </references>
      </pivotArea>
    </format>
    <format dxfId="125">
      <pivotArea dataOnly="0" labelOnly="1" outline="0" offset="IV182:IV183" fieldPosition="0">
        <references count="7">
          <reference field="3" count="1" selected="0">
            <x v="2345"/>
          </reference>
          <reference field="4" count="1" selected="0">
            <x v="988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992"/>
          </reference>
          <reference field="21" count="1" selected="0">
            <x v="8"/>
          </reference>
          <reference field="22" count="1" selected="0">
            <x v="1"/>
          </reference>
        </references>
      </pivotArea>
    </format>
    <format dxfId="124">
      <pivotArea outline="0" fieldPosition="0">
        <references count="9">
          <reference field="3" count="1" selected="0">
            <x v="2430"/>
          </reference>
          <reference field="4" count="1" selected="0">
            <x v="6354"/>
          </reference>
          <reference field="11" count="1" selected="0">
            <x v="12"/>
          </reference>
          <reference field="12" count="1" selected="0">
            <x v="31"/>
          </reference>
          <reference field="14" count="2" selected="0">
            <x v="806"/>
            <x v="1041"/>
          </reference>
          <reference field="19" count="0" selected="0"/>
          <reference field="21" count="1" selected="0">
            <x v="16"/>
          </reference>
          <reference field="22" count="1" selected="0">
            <x v="2"/>
          </reference>
          <reference field="24" count="1" selected="0">
            <x v="3"/>
          </reference>
        </references>
      </pivotArea>
    </format>
    <format dxfId="123">
      <pivotArea dataOnly="0" labelOnly="1" outline="0" fieldPosition="0">
        <references count="1">
          <reference field="3" count="1">
            <x v="2430"/>
          </reference>
        </references>
      </pivotArea>
    </format>
    <format dxfId="122">
      <pivotArea dataOnly="0" labelOnly="1" outline="0" fieldPosition="0">
        <references count="2">
          <reference field="3" count="1" selected="0">
            <x v="2430"/>
          </reference>
          <reference field="4" count="1">
            <x v="6354"/>
          </reference>
        </references>
      </pivotArea>
    </format>
    <format dxfId="121">
      <pivotArea dataOnly="0" labelOnly="1" outline="0" fieldPosition="0">
        <references count="4">
          <reference field="3" count="1" selected="0">
            <x v="2430"/>
          </reference>
          <reference field="4" count="1" selected="0">
            <x v="6354"/>
          </reference>
          <reference field="11" count="1" selected="0">
            <x v="12"/>
          </reference>
          <reference field="14" count="1">
            <x v="1041"/>
          </reference>
        </references>
      </pivotArea>
    </format>
    <format dxfId="120">
      <pivotArea dataOnly="0" labelOnly="1" outline="0" fieldPosition="0">
        <references count="5">
          <reference field="3" count="1" selected="0">
            <x v="2430"/>
          </reference>
          <reference field="4" count="1" selected="0">
            <x v="6354"/>
          </reference>
          <reference field="11" count="1" selected="0">
            <x v="12"/>
          </reference>
          <reference field="14" count="1" selected="0">
            <x v="1041"/>
          </reference>
          <reference field="21" count="1">
            <x v="16"/>
          </reference>
        </references>
      </pivotArea>
    </format>
    <format dxfId="119">
      <pivotArea dataOnly="0" labelOnly="1" outline="0" fieldPosition="0">
        <references count="6">
          <reference field="3" count="1" selected="0">
            <x v="2430"/>
          </reference>
          <reference field="4" count="1" selected="0">
            <x v="6354"/>
          </reference>
          <reference field="11" count="1" selected="0">
            <x v="12"/>
          </reference>
          <reference field="14" count="1" selected="0">
            <x v="1041"/>
          </reference>
          <reference field="21" count="1" selected="0">
            <x v="16"/>
          </reference>
          <reference field="22" count="1">
            <x v="2"/>
          </reference>
        </references>
      </pivotArea>
    </format>
    <format dxfId="118">
      <pivotArea dataOnly="0" labelOnly="1" outline="0" offset="IV187:IV188" fieldPosition="0">
        <references count="7">
          <reference field="3" count="1" selected="0">
            <x v="2345"/>
          </reference>
          <reference field="4" count="1" selected="0">
            <x v="988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992"/>
          </reference>
          <reference field="21" count="1" selected="0">
            <x v="8"/>
          </reference>
          <reference field="22" count="1" selected="0">
            <x v="1"/>
          </reference>
        </references>
      </pivotArea>
    </format>
    <format dxfId="117">
      <pivotArea dataOnly="0" labelOnly="1" outline="0" fieldPosition="0">
        <references count="8">
          <reference field="3" count="1" selected="0">
            <x v="2430"/>
          </reference>
          <reference field="4" count="1" selected="0">
            <x v="6354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041"/>
          </reference>
          <reference field="19" count="1">
            <x v="0"/>
          </reference>
          <reference field="21" count="1" selected="0">
            <x v="16"/>
          </reference>
          <reference field="22" count="1" selected="0">
            <x v="2"/>
          </reference>
        </references>
      </pivotArea>
    </format>
    <format dxfId="116">
      <pivotArea dataOnly="0" labelOnly="1" outline="0" fieldPosition="0">
        <references count="9">
          <reference field="3" count="1" selected="0">
            <x v="2430"/>
          </reference>
          <reference field="4" count="1" selected="0">
            <x v="6354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041"/>
          </reference>
          <reference field="19" count="1" selected="0">
            <x v="0"/>
          </reference>
          <reference field="21" count="1" selected="0">
            <x v="16"/>
          </reference>
          <reference field="22" count="1" selected="0">
            <x v="2"/>
          </reference>
          <reference field="24" count="1">
            <x v="3"/>
          </reference>
        </references>
      </pivotArea>
    </format>
    <format dxfId="115">
      <pivotArea dataOnly="0" labelOnly="1" outline="0" fieldPosition="0">
        <references count="1">
          <reference field="3" count="1">
            <x v="2347"/>
          </reference>
        </references>
      </pivotArea>
    </format>
    <format dxfId="114">
      <pivotArea dataOnly="0" labelOnly="1" outline="0" fieldPosition="0">
        <references count="2">
          <reference field="3" count="1" selected="0">
            <x v="2347"/>
          </reference>
          <reference field="4" count="0"/>
        </references>
      </pivotArea>
    </format>
    <format dxfId="113">
      <pivotArea dataOnly="0" labelOnly="1" outline="0" fieldPosition="0">
        <references count="3">
          <reference field="3" count="1" selected="0">
            <x v="2347"/>
          </reference>
          <reference field="4" count="0" selected="0"/>
          <reference field="11" count="1">
            <x v="12"/>
          </reference>
        </references>
      </pivotArea>
    </format>
    <format dxfId="112">
      <pivotArea dataOnly="0" labelOnly="1" outline="0" fieldPosition="0">
        <references count="4">
          <reference field="3" count="1" selected="0">
            <x v="2347"/>
          </reference>
          <reference field="4" count="0" selected="0"/>
          <reference field="11" count="1" selected="0">
            <x v="12"/>
          </reference>
          <reference field="14" count="1">
            <x v="1050"/>
          </reference>
        </references>
      </pivotArea>
    </format>
    <format dxfId="111">
      <pivotArea dataOnly="0" labelOnly="1" outline="0" fieldPosition="0">
        <references count="5">
          <reference field="3" count="1" selected="0">
            <x v="2347"/>
          </reference>
          <reference field="4" count="0" selected="0"/>
          <reference field="11" count="1" selected="0">
            <x v="12"/>
          </reference>
          <reference field="14" count="1" selected="0">
            <x v="1050"/>
          </reference>
          <reference field="21" count="1">
            <x v="25"/>
          </reference>
        </references>
      </pivotArea>
    </format>
    <format dxfId="110">
      <pivotArea dataOnly="0" labelOnly="1" outline="0" fieldPosition="0">
        <references count="6">
          <reference field="3" count="1" selected="0">
            <x v="2347"/>
          </reference>
          <reference field="4" count="0" selected="0"/>
          <reference field="11" count="1" selected="0">
            <x v="12"/>
          </reference>
          <reference field="14" count="1" selected="0">
            <x v="1050"/>
          </reference>
          <reference field="21" count="1" selected="0">
            <x v="25"/>
          </reference>
          <reference field="22" count="1">
            <x v="3"/>
          </reference>
        </references>
      </pivotArea>
    </format>
    <format dxfId="109">
      <pivotArea dataOnly="0" labelOnly="1" outline="0" fieldPosition="0">
        <references count="7">
          <reference field="3" count="1" selected="0">
            <x v="2347"/>
          </reference>
          <reference field="4" count="0" selected="0"/>
          <reference field="11" count="1" selected="0">
            <x v="12"/>
          </reference>
          <reference field="12" count="1">
            <x v="31"/>
          </reference>
          <reference field="14" count="1" selected="0">
            <x v="1050"/>
          </reference>
          <reference field="21" count="1" selected="0">
            <x v="25"/>
          </reference>
          <reference field="22" count="1" selected="0">
            <x v="3"/>
          </reference>
        </references>
      </pivotArea>
    </format>
    <format dxfId="108">
      <pivotArea dataOnly="0" labelOnly="1" outline="0" fieldPosition="0">
        <references count="8">
          <reference field="3" count="1" selected="0">
            <x v="2347"/>
          </reference>
          <reference field="4" count="0" selected="0"/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050"/>
          </reference>
          <reference field="19" count="1">
            <x v="1"/>
          </reference>
          <reference field="21" count="1" selected="0">
            <x v="25"/>
          </reference>
          <reference field="22" count="1" selected="0">
            <x v="3"/>
          </reference>
        </references>
      </pivotArea>
    </format>
    <format dxfId="107">
      <pivotArea dataOnly="0" labelOnly="1" outline="0" fieldPosition="0">
        <references count="9">
          <reference field="3" count="1" selected="0">
            <x v="2347"/>
          </reference>
          <reference field="4" count="0" selected="0"/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050"/>
          </reference>
          <reference field="19" count="1" selected="0">
            <x v="1"/>
          </reference>
          <reference field="21" count="1" selected="0">
            <x v="25"/>
          </reference>
          <reference field="22" count="1" selected="0">
            <x v="3"/>
          </reference>
          <reference field="24" count="1">
            <x v="6"/>
          </reference>
        </references>
      </pivotArea>
    </format>
    <format dxfId="106">
      <pivotArea outline="0" collapsedLevelsAreSubtotals="1" fieldPosition="0"/>
    </format>
    <format dxfId="105">
      <pivotArea dataOnly="0" labelOnly="1" outline="0" fieldPosition="0">
        <references count="1">
          <reference field="3" count="13">
            <x v="949"/>
            <x v="1129"/>
            <x v="1355"/>
            <x v="1647"/>
            <x v="1946"/>
            <x v="1947"/>
            <x v="2085"/>
            <x v="2293"/>
            <x v="2370"/>
            <x v="2387"/>
            <x v="2401"/>
            <x v="2430"/>
            <x v="2442"/>
          </reference>
        </references>
      </pivotArea>
    </format>
    <format dxfId="104">
      <pivotArea dataOnly="0" labelOnly="1" outline="0" fieldPosition="0">
        <references count="1">
          <reference field="3" count="4">
            <x v="2457"/>
            <x v="2458"/>
            <x v="2507"/>
            <x v="2509"/>
          </reference>
        </references>
      </pivotArea>
    </format>
    <format dxfId="103">
      <pivotArea dataOnly="0" labelOnly="1" grandRow="1" outline="0" fieldPosition="0"/>
    </format>
    <format dxfId="102">
      <pivotArea dataOnly="0" labelOnly="1" outline="0" fieldPosition="0">
        <references count="2">
          <reference field="3" count="1" selected="0">
            <x v="1129"/>
          </reference>
          <reference field="4" count="1">
            <x v="1803"/>
          </reference>
        </references>
      </pivotArea>
    </format>
    <format dxfId="101">
      <pivotArea dataOnly="0" labelOnly="1" outline="0" fieldPosition="0">
        <references count="2">
          <reference field="3" count="1" selected="0">
            <x v="1647"/>
          </reference>
          <reference field="4" count="1">
            <x v="7792"/>
          </reference>
        </references>
      </pivotArea>
    </format>
    <format dxfId="100">
      <pivotArea dataOnly="0" labelOnly="1" outline="0" fieldPosition="0">
        <references count="2">
          <reference field="3" count="1" selected="0">
            <x v="2370"/>
          </reference>
          <reference field="4" count="1">
            <x v="428"/>
          </reference>
        </references>
      </pivotArea>
    </format>
    <format dxfId="99">
      <pivotArea dataOnly="0" labelOnly="1" outline="0" fieldPosition="0">
        <references count="2">
          <reference field="3" count="1" selected="0">
            <x v="2507"/>
          </reference>
          <reference field="4" count="1">
            <x v="7643"/>
          </reference>
        </references>
      </pivotArea>
    </format>
    <format dxfId="98">
      <pivotArea dataOnly="0" labelOnly="1" outline="0" fieldPosition="0">
        <references count="4">
          <reference field="3" count="1" selected="0">
            <x v="1129"/>
          </reference>
          <reference field="4" count="1" selected="0">
            <x v="1803"/>
          </reference>
          <reference field="11" count="1" selected="0">
            <x v="12"/>
          </reference>
          <reference field="14" count="1">
            <x v="895"/>
          </reference>
        </references>
      </pivotArea>
    </format>
    <format dxfId="97">
      <pivotArea dataOnly="0" labelOnly="1" outline="0" fieldPosition="0">
        <references count="4">
          <reference field="3" count="1" selected="0">
            <x v="1647"/>
          </reference>
          <reference field="4" count="1" selected="0">
            <x v="7792"/>
          </reference>
          <reference field="11" count="1" selected="0">
            <x v="12"/>
          </reference>
          <reference field="14" count="1">
            <x v="967"/>
          </reference>
        </references>
      </pivotArea>
    </format>
    <format dxfId="96">
      <pivotArea dataOnly="0" labelOnly="1" outline="0" fieldPosition="0">
        <references count="4">
          <reference field="3" count="1" selected="0">
            <x v="2370"/>
          </reference>
          <reference field="4" count="1" selected="0">
            <x v="428"/>
          </reference>
          <reference field="11" count="1" selected="0">
            <x v="12"/>
          </reference>
          <reference field="14" count="1">
            <x v="1039"/>
          </reference>
        </references>
      </pivotArea>
    </format>
    <format dxfId="95">
      <pivotArea dataOnly="0" labelOnly="1" outline="0" fieldPosition="0">
        <references count="4">
          <reference field="3" count="1" selected="0">
            <x v="2507"/>
          </reference>
          <reference field="4" count="1" selected="0">
            <x v="7643"/>
          </reference>
          <reference field="11" count="1" selected="0">
            <x v="12"/>
          </reference>
          <reference field="14" count="1">
            <x v="1058"/>
          </reference>
        </references>
      </pivotArea>
    </format>
    <format dxfId="94">
      <pivotArea dataOnly="0" labelOnly="1" outline="0" fieldPosition="0">
        <references count="5">
          <reference field="3" count="1" selected="0">
            <x v="1129"/>
          </reference>
          <reference field="4" count="1" selected="0">
            <x v="1803"/>
          </reference>
          <reference field="11" count="1" selected="0">
            <x v="12"/>
          </reference>
          <reference field="14" count="1" selected="0">
            <x v="895"/>
          </reference>
          <reference field="21" count="1">
            <x v="17"/>
          </reference>
        </references>
      </pivotArea>
    </format>
    <format dxfId="93">
      <pivotArea dataOnly="0" labelOnly="1" outline="0" fieldPosition="0">
        <references count="5">
          <reference field="3" count="1" selected="0">
            <x v="1647"/>
          </reference>
          <reference field="4" count="1" selected="0">
            <x v="7792"/>
          </reference>
          <reference field="11" count="1" selected="0">
            <x v="12"/>
          </reference>
          <reference field="14" count="1" selected="0">
            <x v="967"/>
          </reference>
          <reference field="21" count="1">
            <x v="7"/>
          </reference>
        </references>
      </pivotArea>
    </format>
    <format dxfId="92">
      <pivotArea dataOnly="0" labelOnly="1" outline="0" fieldPosition="0">
        <references count="5">
          <reference field="3" count="1" selected="0">
            <x v="2507"/>
          </reference>
          <reference field="4" count="1" selected="0">
            <x v="7643"/>
          </reference>
          <reference field="11" count="1" selected="0">
            <x v="12"/>
          </reference>
          <reference field="14" count="1" selected="0">
            <x v="1058"/>
          </reference>
          <reference field="21" count="1">
            <x v="6"/>
          </reference>
        </references>
      </pivotArea>
    </format>
    <format dxfId="91">
      <pivotArea dataOnly="0" labelOnly="1" outline="0" fieldPosition="0">
        <references count="7">
          <reference field="3" count="1" selected="0">
            <x v="1129"/>
          </reference>
          <reference field="4" count="1" selected="0">
            <x v="1803"/>
          </reference>
          <reference field="11" count="1" selected="0">
            <x v="12"/>
          </reference>
          <reference field="12" count="1">
            <x v="134"/>
          </reference>
          <reference field="14" count="1" selected="0">
            <x v="895"/>
          </reference>
          <reference field="21" count="1" selected="0">
            <x v="17"/>
          </reference>
          <reference field="22" count="1" selected="0">
            <x v="2"/>
          </reference>
        </references>
      </pivotArea>
    </format>
    <format dxfId="90">
      <pivotArea dataOnly="0" labelOnly="1" outline="0" fieldPosition="0">
        <references count="7">
          <reference field="3" count="1" selected="0">
            <x v="1647"/>
          </reference>
          <reference field="4" count="1" selected="0">
            <x v="7792"/>
          </reference>
          <reference field="11" count="1" selected="0">
            <x v="12"/>
          </reference>
          <reference field="12" count="1">
            <x v="126"/>
          </reference>
          <reference field="14" count="1" selected="0">
            <x v="967"/>
          </reference>
          <reference field="21" count="1" selected="0">
            <x v="7"/>
          </reference>
          <reference field="22" count="1" selected="0">
            <x v="1"/>
          </reference>
        </references>
      </pivotArea>
    </format>
    <format dxfId="89">
      <pivotArea dataOnly="0" labelOnly="1" outline="0" fieldPosition="0">
        <references count="7">
          <reference field="3" count="1" selected="0">
            <x v="2507"/>
          </reference>
          <reference field="4" count="1" selected="0">
            <x v="7643"/>
          </reference>
          <reference field="11" count="1" selected="0">
            <x v="12"/>
          </reference>
          <reference field="12" count="1">
            <x v="112"/>
          </reference>
          <reference field="14" count="1" selected="0">
            <x v="1058"/>
          </reference>
          <reference field="21" count="1" selected="0">
            <x v="6"/>
          </reference>
          <reference field="22" count="1" selected="0">
            <x v="1"/>
          </reference>
        </references>
      </pivotArea>
    </format>
    <format dxfId="88">
      <pivotArea dataOnly="0" labelOnly="1" outline="0" fieldPosition="0">
        <references count="8">
          <reference field="3" count="1" selected="0">
            <x v="1129"/>
          </reference>
          <reference field="4" count="1" selected="0">
            <x v="1803"/>
          </reference>
          <reference field="11" count="1" selected="0">
            <x v="12"/>
          </reference>
          <reference field="12" count="1" selected="0">
            <x v="134"/>
          </reference>
          <reference field="14" count="1" selected="0">
            <x v="895"/>
          </reference>
          <reference field="19" count="1">
            <x v="0"/>
          </reference>
          <reference field="21" count="1" selected="0">
            <x v="17"/>
          </reference>
          <reference field="22" count="1" selected="0">
            <x v="2"/>
          </reference>
        </references>
      </pivotArea>
    </format>
    <format dxfId="87">
      <pivotArea dataOnly="0" labelOnly="1" outline="0" fieldPosition="0">
        <references count="9">
          <reference field="3" count="1" selected="0">
            <x v="1129"/>
          </reference>
          <reference field="4" count="1" selected="0">
            <x v="1803"/>
          </reference>
          <reference field="11" count="1" selected="0">
            <x v="12"/>
          </reference>
          <reference field="12" count="1" selected="0">
            <x v="134"/>
          </reference>
          <reference field="14" count="1" selected="0">
            <x v="895"/>
          </reference>
          <reference field="19" count="1" selected="0">
            <x v="0"/>
          </reference>
          <reference field="21" count="1" selected="0">
            <x v="17"/>
          </reference>
          <reference field="22" count="1" selected="0">
            <x v="2"/>
          </reference>
          <reference field="24" count="1">
            <x v="0"/>
          </reference>
        </references>
      </pivotArea>
    </format>
    <format dxfId="86">
      <pivotArea dataOnly="0" labelOnly="1" outline="0" fieldPosition="0">
        <references count="9">
          <reference field="3" count="1" selected="0">
            <x v="1647"/>
          </reference>
          <reference field="4" count="1" selected="0">
            <x v="7792"/>
          </reference>
          <reference field="11" count="1" selected="0">
            <x v="12"/>
          </reference>
          <reference field="12" count="1" selected="0">
            <x v="126"/>
          </reference>
          <reference field="14" count="1" selected="0">
            <x v="967"/>
          </reference>
          <reference field="19" count="1" selected="0">
            <x v="0"/>
          </reference>
          <reference field="21" count="1" selected="0">
            <x v="7"/>
          </reference>
          <reference field="22" count="1" selected="0">
            <x v="1"/>
          </reference>
          <reference field="24" count="1">
            <x v="0"/>
          </reference>
        </references>
      </pivotArea>
    </format>
    <format dxfId="85">
      <pivotArea dataOnly="0" labelOnly="1" outline="0" fieldPosition="0">
        <references count="9">
          <reference field="3" count="1" selected="0">
            <x v="2370"/>
          </reference>
          <reference field="4" count="1" selected="0">
            <x v="428"/>
          </reference>
          <reference field="11" count="1" selected="0">
            <x v="12"/>
          </reference>
          <reference field="12" count="1" selected="0">
            <x v="117"/>
          </reference>
          <reference field="14" count="1" selected="0">
            <x v="1039"/>
          </reference>
          <reference field="19" count="1" selected="0">
            <x v="0"/>
          </reference>
          <reference field="21" count="1" selected="0">
            <x v="14"/>
          </reference>
          <reference field="22" count="1" selected="0">
            <x v="2"/>
          </reference>
          <reference field="24" count="1">
            <x v="2"/>
          </reference>
        </references>
      </pivotArea>
    </format>
    <format dxfId="84">
      <pivotArea dataOnly="0" labelOnly="1" outline="0" fieldPosition="0">
        <references count="9">
          <reference field="3" count="1" selected="0">
            <x v="2507"/>
          </reference>
          <reference field="4" count="1" selected="0">
            <x v="7643"/>
          </reference>
          <reference field="11" count="1" selected="0">
            <x v="12"/>
          </reference>
          <reference field="12" count="1" selected="0">
            <x v="112"/>
          </reference>
          <reference field="14" count="1" selected="0">
            <x v="1058"/>
          </reference>
          <reference field="19" count="1" selected="0">
            <x v="0"/>
          </reference>
          <reference field="21" count="1" selected="0">
            <x v="6"/>
          </reference>
          <reference field="22" count="1" selected="0">
            <x v="1"/>
          </reference>
          <reference field="24" count="1">
            <x v="4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94780F-6F21-4171-81F6-69799D6EBA8E}" name="PivotTable4" cacheId="51" applyNumberFormats="0" applyBorderFormats="0" applyFontFormats="0" applyPatternFormats="0" applyAlignmentFormats="0" applyWidthHeightFormats="1" dataCaption="Valores" grandTotalCaption="Total" updatedVersion="8" minRefreshableVersion="3" itemPrintTitles="1" createdVersion="6" indent="0" compact="0" compactData="0" gridDropZones="1" multipleFieldFilters="0" rowHeaderCaption="Zona de Influencia">
  <location ref="AF6:AO99" firstHeaderRow="2" firstDataRow="2" firstDataCol="9" rowPageCount="1" colPageCount="1"/>
  <pivotFields count="36">
    <pivotField compact="0" outline="0" showAll="0"/>
    <pivotField compact="0" outline="0" showAll="0"/>
    <pivotField compact="0" outline="0" showAll="0"/>
    <pivotField axis="axisRow" compact="0" outline="0" showAll="0" defaultSubtotal="0">
      <items count="6549">
        <item m="1" x="6302"/>
        <item m="1" x="6331"/>
        <item m="1" x="6241"/>
        <item m="1" x="5887"/>
        <item m="1" x="5731"/>
        <item m="1" x="5987"/>
        <item m="1" x="5836"/>
        <item m="1" x="6183"/>
        <item m="1" x="6060"/>
        <item m="1" x="6381"/>
        <item m="1" x="5909"/>
        <item m="1" x="6498"/>
        <item m="1" x="6436"/>
        <item m="1" x="6199"/>
        <item m="1" x="6255"/>
        <item m="1" x="6154"/>
        <item m="1" x="6429"/>
        <item m="1" x="6538"/>
        <item m="1" x="6410"/>
        <item m="1" x="6443"/>
        <item m="1" x="6404"/>
        <item m="1" x="6159"/>
        <item m="1" x="5944"/>
        <item m="1" x="5957"/>
        <item m="1" x="6533"/>
        <item m="1" x="6017"/>
        <item m="1" x="6185"/>
        <item m="1" x="5747"/>
        <item m="1" x="5749"/>
        <item m="1" x="5797"/>
        <item m="1" x="5997"/>
        <item m="1" x="6276"/>
        <item m="1" x="5815"/>
        <item m="1" x="5817"/>
        <item m="1" x="6534"/>
        <item m="1" x="6091"/>
        <item m="1" x="6105"/>
        <item m="1" x="5477"/>
        <item m="1" x="6005"/>
        <item m="1" x="6297"/>
        <item m="1" x="6218"/>
        <item m="1" x="6245"/>
        <item m="1" x="6348"/>
        <item m="1" x="6028"/>
        <item m="1" x="6515"/>
        <item m="1" x="5924"/>
        <item m="1" x="6315"/>
        <item m="1" x="6038"/>
        <item m="1" x="5727"/>
        <item m="1" x="5908"/>
        <item m="1" x="6120"/>
        <item m="1" x="6454"/>
        <item m="1" x="6040"/>
        <item m="1" x="6077"/>
        <item m="1" x="6358"/>
        <item m="1" x="6070"/>
        <item m="1" x="5476"/>
        <item m="1" x="6422"/>
        <item m="1" x="5760"/>
        <item m="1" x="6208"/>
        <item m="1" x="6479"/>
        <item m="1" x="5701"/>
        <item m="1" x="6318"/>
        <item m="1" x="6435"/>
        <item m="1" x="6468"/>
        <item m="1" x="6198"/>
        <item m="1" x="5832"/>
        <item m="1" x="6230"/>
        <item m="1" x="6303"/>
        <item m="1" x="6165"/>
        <item m="1" x="6427"/>
        <item m="1" x="6464"/>
        <item m="1" x="6099"/>
        <item m="1" x="6434"/>
        <item m="1" x="3797"/>
        <item m="1" x="5978"/>
        <item m="1" x="4955"/>
        <item m="1" x="4948"/>
        <item m="1" x="4043"/>
        <item m="1" x="6076"/>
        <item x="3030"/>
        <item x="3009"/>
        <item m="1" x="4597"/>
        <item x="2742"/>
        <item x="3241"/>
        <item m="1" x="6490"/>
        <item m="1" x="5560"/>
        <item m="1" x="6289"/>
        <item m="1" x="5288"/>
        <item x="3063"/>
        <item m="1" x="3877"/>
        <item m="1" x="5823"/>
        <item m="1" x="4068"/>
        <item m="1" x="4065"/>
        <item x="3085"/>
        <item m="1" x="4951"/>
        <item m="1" x="4950"/>
        <item m="1" x="5615"/>
        <item m="1" x="5269"/>
        <item m="1" x="5712"/>
        <item m="1" x="5899"/>
        <item m="1" x="5916"/>
        <item m="1" x="5992"/>
        <item m="1" x="4949"/>
        <item m="1" x="5273"/>
        <item x="2461"/>
        <item m="1" x="5469"/>
        <item m="1" x="4958"/>
        <item m="1" x="5996"/>
        <item m="1" x="5820"/>
        <item m="1" x="6164"/>
        <item m="1" x="4424"/>
        <item x="2721"/>
        <item x="3015"/>
        <item m="1" x="4954"/>
        <item m="1" x="5802"/>
        <item m="1" x="5778"/>
        <item m="1" x="5272"/>
        <item x="2724"/>
        <item x="2734"/>
        <item m="1" x="4937"/>
        <item m="1" x="6224"/>
        <item x="2499"/>
        <item x="3010"/>
        <item x="2727"/>
        <item m="1" x="6162"/>
        <item m="1" x="6546"/>
        <item m="1" x="5920"/>
        <item m="1" x="4371"/>
        <item m="1" x="5612"/>
        <item m="1" x="5504"/>
        <item m="1" x="4927"/>
        <item m="1" x="6020"/>
        <item x="3095"/>
        <item m="1" x="3779"/>
        <item m="1" x="4936"/>
        <item m="1" x="4934"/>
        <item x="3016"/>
        <item m="1" x="5301"/>
        <item m="1" x="5498"/>
        <item x="3161"/>
        <item m="1" x="4939"/>
        <item x="3224"/>
        <item m="1" x="4953"/>
        <item m="1" x="6155"/>
        <item x="3082"/>
        <item m="1" x="6277"/>
        <item m="1" x="5544"/>
        <item m="1" x="4926"/>
        <item m="1" x="5287"/>
        <item m="1" x="6485"/>
        <item x="3090"/>
        <item x="2730"/>
        <item x="3217"/>
        <item x="2229"/>
        <item m="1" x="4931"/>
        <item m="1" x="5581"/>
        <item m="1" x="5341"/>
        <item m="1" x="3795"/>
        <item m="1" x="5692"/>
        <item m="1" x="5599"/>
        <item m="1" x="6317"/>
        <item m="1" x="4909"/>
        <item x="2320"/>
        <item m="1" x="5561"/>
        <item m="1" x="5499"/>
        <item m="1" x="5734"/>
        <item m="1" x="6269"/>
        <item m="1" x="6371"/>
        <item x="2459"/>
        <item m="1" x="6497"/>
        <item x="2492"/>
        <item m="1" x="5814"/>
        <item m="1" x="5061"/>
        <item x="2489"/>
        <item x="2723"/>
        <item x="2289"/>
        <item m="1" x="5489"/>
        <item x="2927"/>
        <item m="1" x="4857"/>
        <item m="1" x="6352"/>
        <item m="1" x="5792"/>
        <item m="1" x="5410"/>
        <item m="1" x="4914"/>
        <item m="1" x="5289"/>
        <item x="2731"/>
        <item m="1" x="4957"/>
        <item m="1" x="6380"/>
        <item x="3213"/>
        <item x="3007"/>
        <item x="3013"/>
        <item m="1" x="5296"/>
        <item m="1" x="5895"/>
        <item m="1" x="5719"/>
        <item m="1" x="6147"/>
        <item m="1" x="6408"/>
        <item m="1" x="5888"/>
        <item m="1" x="4066"/>
        <item m="1" x="6385"/>
        <item x="2979"/>
        <item x="3223"/>
        <item x="2122"/>
        <item m="1" x="6339"/>
        <item m="1" x="4946"/>
        <item m="1" x="5424"/>
        <item m="1" x="6156"/>
        <item x="2746"/>
        <item m="1" x="4945"/>
        <item m="1" x="4915"/>
        <item m="1" x="6411"/>
        <item m="1" x="5368"/>
        <item m="1" x="4952"/>
        <item m="1" x="6133"/>
        <item x="2485"/>
        <item m="1" x="6389"/>
        <item m="1" x="4962"/>
        <item x="2967"/>
        <item x="3226"/>
        <item m="1" x="6066"/>
        <item x="2750"/>
        <item m="1" x="6008"/>
        <item m="1" x="4063"/>
        <item m="1" x="4064"/>
        <item x="2988"/>
        <item m="1" x="5541"/>
        <item m="1" x="6377"/>
        <item m="1" x="6001"/>
        <item x="3215"/>
        <item m="1" x="6256"/>
        <item x="3061"/>
        <item m="1" x="5930"/>
        <item x="3017"/>
        <item m="1" x="6323"/>
        <item x="2719"/>
        <item m="1" x="3714"/>
        <item m="1" x="5683"/>
        <item m="1" x="6397"/>
        <item m="1" x="5748"/>
        <item m="1" x="5568"/>
        <item m="1" x="5572"/>
        <item m="1" x="5275"/>
        <item m="1" x="5306"/>
        <item m="1" x="3780"/>
        <item m="1" x="5377"/>
        <item x="2680"/>
        <item x="2945"/>
        <item m="1" x="4959"/>
        <item m="1" x="6437"/>
        <item m="1" x="6332"/>
        <item m="1" x="5551"/>
        <item m="1" x="6100"/>
        <item x="3014"/>
        <item m="1" x="6293"/>
        <item x="2981"/>
        <item m="1" x="5818"/>
        <item m="1" x="4965"/>
        <item m="1" x="5964"/>
        <item m="1" x="6413"/>
        <item m="1" x="6035"/>
        <item m="1" x="5363"/>
        <item m="1" x="3600"/>
        <item m="1" x="5512"/>
        <item m="1" x="5990"/>
        <item m="1" x="5138"/>
        <item m="1" x="6205"/>
        <item m="1" x="6325"/>
        <item m="1" x="5510"/>
        <item m="1" x="4956"/>
        <item m="1" x="5955"/>
        <item x="2748"/>
        <item m="1" x="3909"/>
        <item m="1" x="6236"/>
        <item m="1" x="6368"/>
        <item x="2720"/>
        <item m="1" x="5754"/>
        <item m="1" x="5798"/>
        <item x="2288"/>
        <item m="1" x="5120"/>
        <item m="1" x="6125"/>
        <item m="1" x="6306"/>
        <item m="1" x="5810"/>
        <item m="1" x="5537"/>
        <item m="1" x="6260"/>
        <item m="1" x="5785"/>
        <item m="1" x="5732"/>
        <item x="2831"/>
        <item m="1" x="6087"/>
        <item m="1" x="6527"/>
        <item m="1" x="6513"/>
        <item m="1" x="6345"/>
        <item m="1" x="6418"/>
        <item m="1" x="6167"/>
        <item x="2894"/>
        <item m="1" x="4947"/>
        <item x="2315"/>
        <item m="1" x="6190"/>
        <item m="1" x="6015"/>
        <item m="1" x="6341"/>
        <item m="1" x="5703"/>
        <item m="1" x="6067"/>
        <item m="1" x="5787"/>
        <item m="1" x="6294"/>
        <item m="1" x="5806"/>
        <item m="1" x="6113"/>
        <item m="1" x="5781"/>
        <item m="1" x="6184"/>
        <item m="1" x="6250"/>
        <item m="1" x="5883"/>
        <item m="1" x="6204"/>
        <item m="1" x="6268"/>
        <item m="1" x="6109"/>
        <item m="1" x="6401"/>
        <item m="1" x="6516"/>
        <item m="1" x="6173"/>
        <item m="1" x="6096"/>
        <item m="1" x="6242"/>
        <item m="1" x="6462"/>
        <item m="1" x="6466"/>
        <item m="1" x="4227"/>
        <item x="3220"/>
        <item x="3221"/>
        <item m="1" x="5538"/>
        <item m="1" x="4938"/>
        <item m="1" x="3778"/>
        <item m="1" x="6238"/>
        <item m="1" x="5556"/>
        <item m="1" x="5869"/>
        <item m="1" x="4923"/>
        <item m="1" x="4917"/>
        <item m="1" x="3586"/>
        <item m="1" x="5695"/>
        <item m="1" x="5144"/>
        <item m="1" x="4922"/>
        <item x="2124"/>
        <item m="1" x="4916"/>
        <item x="2503"/>
        <item m="1" x="4924"/>
        <item m="1" x="6386"/>
        <item m="1" x="4899"/>
        <item m="1" x="5526"/>
        <item m="1" x="4925"/>
        <item x="2645"/>
        <item m="1" x="5559"/>
        <item m="1" x="5545"/>
        <item x="2510"/>
        <item m="1" x="6121"/>
        <item m="1" x="4905"/>
        <item m="1" x="4918"/>
        <item m="1" x="4913"/>
        <item m="1" x="3587"/>
        <item x="2325"/>
        <item m="1" x="4495"/>
        <item m="1" x="4903"/>
        <item x="2488"/>
        <item m="1" x="5076"/>
        <item m="1" x="5723"/>
        <item m="1" x="5210"/>
        <item m="1" x="3886"/>
        <item x="2667"/>
        <item x="2506"/>
        <item m="1" x="4376"/>
        <item m="1" x="6203"/>
        <item m="1" x="6420"/>
        <item m="1" x="4541"/>
        <item m="1" x="6376"/>
        <item m="1" x="4901"/>
        <item m="1" x="5659"/>
        <item m="1" x="4057"/>
        <item m="1" x="6307"/>
        <item x="2128"/>
        <item m="1" x="4902"/>
        <item m="1" x="6334"/>
        <item x="2513"/>
        <item m="1" x="6476"/>
        <item x="2512"/>
        <item x="2508"/>
        <item x="2737"/>
        <item m="1" x="5770"/>
        <item m="1" x="4900"/>
        <item x="2504"/>
        <item m="1" x="6366"/>
        <item m="1" x="4895"/>
        <item m="1" x="6216"/>
        <item m="1" x="4890"/>
        <item m="1" x="4051"/>
        <item m="1" x="6098"/>
        <item m="1" x="6169"/>
        <item m="1" x="5580"/>
        <item x="2505"/>
        <item m="1" x="5680"/>
        <item m="1" x="4898"/>
        <item m="1" x="5509"/>
        <item m="1" x="6214"/>
        <item m="1" x="6299"/>
        <item m="1" x="6148"/>
        <item m="1" x="5761"/>
        <item m="1" x="5539"/>
        <item x="2735"/>
        <item x="2507"/>
        <item m="1" x="6460"/>
        <item x="2501"/>
        <item m="1" x="6457"/>
        <item m="1" x="6207"/>
        <item m="1" x="4670"/>
        <item m="1" x="4522"/>
        <item m="1" x="5877"/>
        <item m="1" x="5928"/>
        <item m="1" x="5745"/>
        <item m="1" x="5907"/>
        <item m="1" x="5938"/>
        <item m="1" x="3681"/>
        <item m="1" x="6021"/>
        <item m="1" x="5274"/>
        <item x="2713"/>
        <item x="2494"/>
        <item m="1" x="5837"/>
        <item x="2636"/>
        <item x="2677"/>
        <item m="1" x="6441"/>
        <item m="1" x="6426"/>
        <item m="1" x="3876"/>
        <item m="1" x="6050"/>
        <item m="1" x="5939"/>
        <item m="1" x="5623"/>
        <item m="1" x="5983"/>
        <item m="1" x="6045"/>
        <item m="1" x="6253"/>
        <item m="1" x="5570"/>
        <item m="1" x="6014"/>
        <item m="1" x="6529"/>
        <item m="1" x="6445"/>
        <item m="1" x="3513"/>
        <item x="2314"/>
        <item m="1" x="4854"/>
        <item m="1" x="5697"/>
        <item x="2414"/>
        <item m="1" x="5962"/>
        <item m="1" x="5238"/>
        <item m="1" x="6051"/>
        <item x="2511"/>
        <item x="2313"/>
        <item x="2296"/>
        <item m="1" x="6057"/>
        <item m="1" x="5922"/>
        <item m="1" x="4873"/>
        <item m="1" x="5529"/>
        <item x="2483"/>
        <item m="1" x="5034"/>
        <item x="2732"/>
        <item m="1" x="6143"/>
        <item m="1" x="6197"/>
        <item m="1" x="5857"/>
        <item m="1" x="5788"/>
        <item m="1" x="5880"/>
        <item m="1" x="4050"/>
        <item m="1" x="5671"/>
        <item m="1" x="6176"/>
        <item m="1" x="6023"/>
        <item x="2728"/>
        <item m="1" x="5549"/>
        <item x="2335"/>
        <item m="1" x="4183"/>
        <item x="2500"/>
        <item m="1" x="5546"/>
        <item x="2670"/>
        <item m="1" x="5369"/>
        <item m="1" x="4893"/>
        <item m="1" x="5767"/>
        <item m="1" x="5976"/>
        <item x="2123"/>
        <item m="1" x="4868"/>
        <item m="1" x="6496"/>
        <item m="1" x="6329"/>
        <item m="1" x="6423"/>
        <item m="1" x="5130"/>
        <item x="2502"/>
        <item m="1" x="6396"/>
        <item x="2718"/>
        <item x="3012"/>
        <item m="1" x="5854"/>
        <item m="1" x="4825"/>
        <item m="1" x="4498"/>
        <item x="2726"/>
        <item m="1" x="5776"/>
        <item m="1" x="4041"/>
        <item x="2470"/>
        <item x="2481"/>
        <item m="1" x="5718"/>
        <item m="1" x="5969"/>
        <item m="1" x="4039"/>
        <item m="1" x="6158"/>
        <item m="1" x="3680"/>
        <item x="2291"/>
        <item m="1" x="5794"/>
        <item m="1" x="6024"/>
        <item m="1" x="4361"/>
        <item m="1" x="5584"/>
        <item m="1" x="6084"/>
        <item m="1" x="5129"/>
        <item m="1" x="5654"/>
        <item m="1" x="4494"/>
        <item m="1" x="6543"/>
        <item m="1" x="5614"/>
        <item x="2287"/>
        <item m="1" x="5912"/>
        <item m="1" x="5942"/>
        <item x="2729"/>
        <item m="1" x="5598"/>
        <item m="1" x="4222"/>
        <item x="2474"/>
        <item m="1" x="6508"/>
        <item x="2121"/>
        <item m="1" x="5291"/>
        <item m="1" x="5710"/>
        <item m="1" x="6354"/>
        <item m="1" x="6461"/>
        <item m="1" x="6228"/>
        <item m="1" x="3585"/>
        <item m="1" x="5834"/>
        <item m="1" x="6473"/>
        <item m="1" x="4863"/>
        <item m="1" x="6221"/>
        <item m="1" x="5215"/>
        <item x="2749"/>
        <item m="1" x="6350"/>
        <item m="1" x="5929"/>
        <item m="1" x="5775"/>
        <item m="1" x="3692"/>
        <item m="1" x="5733"/>
        <item m="1" x="6540"/>
        <item m="1" x="4865"/>
        <item x="1628"/>
        <item m="1" x="5505"/>
        <item m="1" x="4864"/>
        <item m="1" x="6431"/>
        <item x="2509"/>
        <item x="2396"/>
        <item m="1" x="6193"/>
        <item m="1" x="5739"/>
        <item m="1" x="4867"/>
        <item m="1" x="6012"/>
        <item m="1" x="4016"/>
        <item m="1" x="6124"/>
        <item x="1995"/>
        <item x="2225"/>
        <item m="1" x="4878"/>
        <item m="1" x="6018"/>
        <item x="2725"/>
        <item m="1" x="6347"/>
        <item m="1" x="6532"/>
        <item m="1" x="4980"/>
        <item m="1" x="4872"/>
        <item m="1" x="6312"/>
        <item m="1" x="6144"/>
        <item m="1" x="4774"/>
        <item m="1" x="6080"/>
        <item x="1907"/>
        <item m="1" x="4022"/>
        <item m="1" x="4663"/>
        <item m="1" x="5809"/>
        <item m="1" x="4664"/>
        <item m="1" x="5898"/>
        <item m="1" x="6309"/>
        <item m="1" x="4560"/>
        <item x="2497"/>
        <item m="1" x="6126"/>
        <item m="1" x="3872"/>
        <item m="1" x="4076"/>
        <item x="3002"/>
        <item m="1" x="5799"/>
        <item m="1" x="5536"/>
        <item x="3312"/>
        <item m="1" x="6181"/>
        <item m="1" x="4855"/>
        <item m="1" x="5953"/>
        <item m="1" x="5271"/>
        <item m="1" x="5866"/>
        <item x="1993"/>
        <item m="1" x="6119"/>
        <item m="1" x="4235"/>
        <item m="1" x="4856"/>
        <item x="1551"/>
        <item m="1" x="4858"/>
        <item m="1" x="5893"/>
        <item m="1" x="5858"/>
        <item m="1" x="5500"/>
        <item m="1" x="6019"/>
        <item x="2292"/>
        <item m="1" x="5307"/>
        <item m="1" x="6194"/>
        <item m="1" x="6425"/>
        <item m="1" x="4669"/>
        <item m="1" x="6217"/>
        <item m="1" x="5610"/>
        <item m="1" x="4851"/>
        <item x="1577"/>
        <item m="1" x="4849"/>
        <item m="1" x="4891"/>
        <item x="1819"/>
        <item x="2336"/>
        <item m="1" x="3552"/>
        <item m="1" x="6200"/>
        <item m="1" x="5660"/>
        <item m="1" x="4874"/>
        <item m="1" x="5485"/>
        <item x="2013"/>
        <item m="1" x="4203"/>
        <item m="1" x="5340"/>
        <item m="1" x="3871"/>
        <item m="1" x="5443"/>
        <item m="1" x="3885"/>
        <item m="1" x="6210"/>
        <item m="1" x="6177"/>
        <item m="1" x="3996"/>
        <item m="1" x="5968"/>
        <item m="1" x="6042"/>
        <item m="1" x="6512"/>
        <item m="1" x="6382"/>
        <item m="1" x="5902"/>
        <item m="1" x="4846"/>
        <item m="1" x="6054"/>
        <item m="1" x="5943"/>
        <item x="1432"/>
        <item m="1" x="6535"/>
        <item m="1" x="5028"/>
        <item m="1" x="4216"/>
        <item m="1" x="6524"/>
        <item x="2232"/>
        <item x="2018"/>
        <item m="1" x="6117"/>
        <item m="1" x="5473"/>
        <item m="1" x="5728"/>
        <item m="1" x="5057"/>
        <item m="1" x="5981"/>
        <item x="1537"/>
        <item x="1565"/>
        <item m="1" x="3691"/>
        <item m="1" x="5756"/>
        <item m="1" x="5365"/>
        <item m="1" x="6537"/>
        <item x="1821"/>
        <item m="1" x="6379"/>
        <item m="1" x="5952"/>
        <item m="1" x="6545"/>
        <item m="1" x="5891"/>
        <item m="1" x="5579"/>
        <item x="2496"/>
        <item m="1" x="6116"/>
        <item m="1" x="5769"/>
        <item m="1" x="3551"/>
        <item m="1" x="6407"/>
        <item m="1" x="5293"/>
        <item m="1" x="6548"/>
        <item x="2743"/>
        <item m="1" x="6316"/>
        <item m="1" x="5904"/>
        <item m="1" x="5467"/>
        <item m="1" x="5833"/>
        <item m="1" x="5735"/>
        <item x="1845"/>
        <item m="1" x="6016"/>
        <item m="1" x="6346"/>
        <item x="1655"/>
        <item m="1" x="5582"/>
        <item m="1" x="6519"/>
        <item m="1" x="5650"/>
        <item m="1" x="5479"/>
        <item m="1" x="4964"/>
        <item m="1" x="6127"/>
        <item m="1" x="6374"/>
        <item m="1" x="6530"/>
        <item m="1" x="5988"/>
        <item m="1" x="5248"/>
        <item m="1" x="6101"/>
        <item m="1" x="6136"/>
        <item m="1" x="4839"/>
        <item m="1" x="6448"/>
        <item m="1" x="5860"/>
        <item m="1" x="5242"/>
        <item m="1" x="6547"/>
        <item m="1" x="6405"/>
        <item m="1" x="6469"/>
        <item m="1" x="5216"/>
        <item x="1999"/>
        <item m="1" x="5190"/>
        <item x="3295"/>
        <item x="1647"/>
        <item m="1" x="6160"/>
        <item m="1" x="5707"/>
        <item m="1" x="5601"/>
        <item m="1" x="5743"/>
        <item m="1" x="5484"/>
        <item m="1" x="5791"/>
        <item m="1" x="6335"/>
        <item m="1" x="6112"/>
        <item m="1" x="3730"/>
        <item m="1" x="4077"/>
        <item x="1292"/>
        <item m="1" x="4841"/>
        <item m="1" x="4006"/>
        <item m="1" x="5946"/>
        <item m="1" x="3775"/>
        <item m="1" x="4153"/>
        <item m="1" x="6336"/>
        <item x="1634"/>
        <item m="1" x="4328"/>
        <item m="1" x="6231"/>
        <item m="1" x="3999"/>
        <item x="2003"/>
        <item m="1" x="4837"/>
        <item m="1" x="4844"/>
        <item m="1" x="6179"/>
        <item m="1" x="5116"/>
        <item x="2493"/>
        <item m="1" x="5885"/>
        <item m="1" x="4842"/>
        <item x="1291"/>
        <item x="3308"/>
        <item m="1" x="4666"/>
        <item m="1" x="5297"/>
        <item m="1" x="6234"/>
        <item m="1" x="5466"/>
        <item x="1081"/>
        <item m="1" x="6472"/>
        <item m="1" x="5994"/>
        <item x="2495"/>
        <item m="1" x="6122"/>
        <item m="1" x="5626"/>
        <item m="1" x="5900"/>
        <item m="1" x="6531"/>
        <item x="1276"/>
        <item m="1" x="6419"/>
        <item m="1" x="6409"/>
        <item x="1915"/>
        <item m="1" x="5871"/>
        <item m="1" x="6261"/>
        <item m="1" x="5666"/>
        <item m="1" x="5175"/>
        <item x="3006"/>
        <item x="2290"/>
        <item m="1" x="4369"/>
        <item m="1" x="5578"/>
        <item m="1" x="5975"/>
        <item m="1" x="5503"/>
        <item m="1" x="5783"/>
        <item x="1849"/>
        <item m="1" x="5630"/>
        <item m="1" x="5367"/>
        <item m="1" x="4836"/>
        <item m="1" x="5468"/>
        <item m="1" x="3553"/>
        <item x="2286"/>
        <item m="1" x="5915"/>
        <item m="1" x="6541"/>
        <item x="2005"/>
        <item m="1" x="6428"/>
        <item x="1652"/>
        <item m="1" x="3556"/>
        <item m="1" x="6433"/>
        <item m="1" x="5425"/>
        <item x="1986"/>
        <item m="1" x="5993"/>
        <item m="1" x="6470"/>
        <item m="1" x="4339"/>
        <item m="1" x="6047"/>
        <item m="1" x="6402"/>
        <item m="1" x="5169"/>
        <item m="1" x="5270"/>
        <item m="1" x="5522"/>
        <item x="1654"/>
        <item m="1" x="5910"/>
        <item m="1" x="5600"/>
        <item m="1" x="4850"/>
        <item m="1" x="6141"/>
        <item x="1656"/>
        <item m="1" x="4493"/>
        <item m="1" x="6494"/>
        <item m="1" x="6239"/>
        <item m="1" x="6069"/>
        <item x="1574"/>
        <item x="1605"/>
        <item m="1" x="5831"/>
        <item m="1" x="4308"/>
        <item m="1" x="4425"/>
        <item m="1" x="5004"/>
        <item m="1" x="5786"/>
        <item m="1" x="6022"/>
        <item m="1" x="6195"/>
        <item x="2498"/>
        <item m="1" x="3762"/>
        <item m="1" x="5609"/>
        <item m="1" x="5784"/>
        <item m="1" x="4835"/>
        <item m="1" x="5941"/>
        <item x="1980"/>
        <item m="1" x="5894"/>
        <item m="1" x="6229"/>
        <item m="1" x="5055"/>
        <item m="1" x="5283"/>
        <item x="1646"/>
        <item m="1" x="5838"/>
        <item m="1" x="4834"/>
        <item m="1" x="4832"/>
        <item m="1" x="6128"/>
        <item m="1" x="5693"/>
        <item x="1211"/>
        <item m="1" x="5565"/>
        <item m="1" x="5972"/>
        <item m="1" x="5047"/>
        <item x="2012"/>
        <item x="1604"/>
        <item m="1" x="6152"/>
        <item m="1" x="6153"/>
        <item m="1" x="4020"/>
        <item m="1" x="6088"/>
        <item m="1" x="6149"/>
        <item m="1" x="6432"/>
        <item m="1" x="6330"/>
        <item m="1" x="5729"/>
        <item m="1" x="5738"/>
        <item m="1" x="6232"/>
        <item m="1" x="6314"/>
        <item x="1138"/>
        <item m="1" x="3854"/>
        <item m="1" x="5971"/>
        <item m="1" x="6290"/>
        <item m="1" x="6246"/>
        <item m="1" x="5724"/>
        <item m="1" x="5209"/>
        <item m="1" x="5673"/>
        <item m="1" x="3572"/>
        <item m="1" x="5017"/>
        <item m="1" x="6094"/>
        <item m="1" x="6489"/>
        <item m="1" x="6525"/>
        <item m="1" x="5777"/>
        <item m="1" x="6252"/>
        <item m="1" x="4830"/>
        <item m="1" x="3873"/>
        <item x="1648"/>
        <item m="1" x="6455"/>
        <item m="1" x="4201"/>
        <item x="1870"/>
        <item m="1" x="6064"/>
        <item x="2236"/>
        <item m="1" x="5029"/>
        <item m="1" x="4827"/>
        <item m="1" x="6243"/>
        <item m="1" x="5003"/>
        <item m="1" x="5592"/>
        <item m="1" x="4652"/>
        <item m="1" x="6090"/>
        <item m="1" x="6521"/>
        <item m="1" x="5828"/>
        <item m="1" x="5646"/>
        <item x="2007"/>
        <item m="1" x="5951"/>
        <item m="1" x="5813"/>
        <item m="1" x="6073"/>
        <item m="1" x="4234"/>
        <item m="1" x="4381"/>
        <item x="1140"/>
        <item m="1" x="6439"/>
        <item x="1820"/>
        <item m="1" x="5575"/>
        <item m="1" x="6206"/>
        <item m="1" x="5862"/>
        <item m="1" x="6093"/>
        <item m="1" x="4829"/>
        <item m="1" x="6212"/>
        <item m="1" x="6174"/>
        <item m="1" x="5681"/>
        <item x="2014"/>
        <item x="1435"/>
        <item m="1" x="6013"/>
        <item m="1" x="5704"/>
        <item m="1" x="4559"/>
        <item m="1" x="5123"/>
        <item m="1" x="6440"/>
        <item m="1" x="5852"/>
        <item x="1903"/>
        <item x="1649"/>
        <item m="1" x="3760"/>
        <item m="1" x="5746"/>
        <item x="1643"/>
        <item m="1" x="3903"/>
        <item m="1" x="6201"/>
        <item m="1" x="4814"/>
        <item m="1" x="6262"/>
        <item x="1653"/>
        <item m="1" x="5740"/>
        <item m="1" x="4018"/>
        <item m="1" x="6061"/>
        <item m="1" x="5995"/>
        <item x="1898"/>
        <item m="1" x="6129"/>
        <item m="1" x="5628"/>
        <item m="1" x="6416"/>
        <item m="1" x="5919"/>
        <item m="1" x="4822"/>
        <item m="1" x="5627"/>
        <item m="1" x="5682"/>
        <item m="1" x="5573"/>
        <item x="1872"/>
        <item m="1" x="5702"/>
        <item m="1" x="6263"/>
        <item m="1" x="6370"/>
        <item x="1622"/>
        <item m="1" x="5844"/>
        <item m="1" x="4816"/>
        <item m="1" x="5956"/>
        <item m="1" x="6356"/>
        <item m="1" x="4029"/>
        <item x="2002"/>
        <item x="2011"/>
        <item m="1" x="5741"/>
        <item m="1" x="4011"/>
        <item m="1" x="5698"/>
        <item m="1" x="5878"/>
        <item m="1" x="6272"/>
        <item m="1" x="6115"/>
        <item m="1" x="5892"/>
        <item m="1" x="4812"/>
        <item m="1" x="6055"/>
        <item m="1" x="4809"/>
        <item m="1" x="5808"/>
        <item m="1" x="3874"/>
        <item m="1" x="3675"/>
        <item m="1" x="6186"/>
        <item m="1" x="6505"/>
        <item m="1" x="4074"/>
        <item m="1" x="6046"/>
        <item m="1" x="6058"/>
        <item m="1" x="5629"/>
        <item m="1" x="5465"/>
        <item m="1" x="6326"/>
        <item m="1" x="6363"/>
        <item m="1" x="6266"/>
        <item m="1" x="5589"/>
        <item m="1" x="6220"/>
        <item m="1" x="4646"/>
        <item m="1" x="5979"/>
        <item m="1" x="5771"/>
        <item m="1" x="5606"/>
        <item m="1" x="6284"/>
        <item m="1" x="5290"/>
        <item m="1" x="6074"/>
        <item m="1" x="5736"/>
        <item m="1" x="4307"/>
        <item x="1507"/>
        <item m="1" x="3557"/>
        <item m="1" x="6337"/>
        <item m="1" x="5415"/>
        <item m="1" x="6351"/>
        <item m="1" x="4802"/>
        <item m="1" x="5625"/>
        <item m="1" x="5932"/>
        <item m="1" x="4309"/>
        <item m="1" x="6511"/>
        <item m="1" x="5903"/>
        <item m="1" x="5934"/>
        <item m="1" x="6081"/>
        <item m="1" x="5574"/>
        <item m="1" x="4565"/>
        <item m="1" x="6187"/>
        <item x="1869"/>
        <item m="1" x="5725"/>
        <item m="1" x="4233"/>
        <item m="1" x="6108"/>
        <item m="1" x="6175"/>
        <item m="1" x="6123"/>
        <item m="1" x="4803"/>
        <item m="1" x="5461"/>
        <item x="1822"/>
        <item m="1" x="6310"/>
        <item m="1" x="6349"/>
        <item m="1" x="4800"/>
        <item m="1" x="3875"/>
        <item m="1" x="5376"/>
        <item m="1" x="6415"/>
        <item m="1" x="4826"/>
        <item m="1" x="5970"/>
        <item m="1" x="5125"/>
        <item m="1" x="6361"/>
        <item m="1" x="5825"/>
        <item m="1" x="6522"/>
        <item m="1" x="4796"/>
        <item m="1" x="3520"/>
        <item m="1" x="6048"/>
        <item m="1" x="6041"/>
        <item m="1" x="4804"/>
        <item m="1" x="5963"/>
        <item x="1436"/>
        <item m="1" x="6412"/>
        <item m="1" x="6249"/>
        <item m="1" x="5759"/>
        <item m="1" x="6086"/>
        <item m="1" x="4595"/>
        <item x="1197"/>
        <item m="1" x="6279"/>
        <item m="1" x="3859"/>
        <item m="1" x="6486"/>
        <item m="1" x="6390"/>
        <item x="1511"/>
        <item m="1" x="5636"/>
        <item x="538"/>
        <item m="1" x="5861"/>
        <item m="1" x="5921"/>
        <item m="1" x="6514"/>
        <item m="1" x="6477"/>
        <item m="1" x="4807"/>
        <item m="1" x="4017"/>
        <item m="1" x="5126"/>
        <item m="1" x="6414"/>
        <item m="1" x="5819"/>
        <item m="1" x="4344"/>
        <item m="1" x="5082"/>
        <item m="1" x="5303"/>
        <item m="1" x="5540"/>
        <item m="1" x="5804"/>
        <item x="1561"/>
        <item x="1859"/>
        <item m="1" x="3742"/>
        <item m="1" x="5453"/>
        <item m="1" x="5122"/>
        <item m="1" x="6130"/>
        <item m="1" x="5298"/>
        <item x="1637"/>
        <item m="1" x="5774"/>
        <item m="1" x="5687"/>
        <item m="1" x="6452"/>
        <item m="1" x="5901"/>
        <item x="1851"/>
        <item m="1" x="5191"/>
        <item m="1" x="3554"/>
        <item m="1" x="5452"/>
        <item m="1" x="5696"/>
        <item m="1" x="5795"/>
        <item x="1645"/>
        <item m="1" x="5454"/>
        <item x="1629"/>
        <item m="1" x="5867"/>
        <item m="1" x="6357"/>
        <item m="1" x="4788"/>
        <item m="1" x="4785"/>
        <item m="1" x="4453"/>
        <item x="1987"/>
        <item m="1" x="6079"/>
        <item m="1" x="5811"/>
        <item m="1" x="3677"/>
        <item m="1" x="6542"/>
        <item x="1910"/>
        <item x="880"/>
        <item m="1" x="4995"/>
        <item m="1" x="5547"/>
        <item m="1" x="5458"/>
        <item m="1" x="5299"/>
        <item m="1" x="5534"/>
        <item m="1" x="5416"/>
        <item m="1" x="5803"/>
        <item m="1" x="5548"/>
        <item x="954"/>
        <item m="1" x="5911"/>
        <item m="1" x="6235"/>
        <item m="1" x="5876"/>
        <item m="1" x="6166"/>
        <item m="1" x="3555"/>
        <item m="1" x="5459"/>
        <item m="1" x="6071"/>
        <item x="707"/>
        <item m="1" x="5203"/>
        <item m="1" x="6171"/>
        <item m="1" x="4795"/>
        <item x="2009"/>
        <item m="1" x="4097"/>
        <item m="1" x="5502"/>
        <item m="1" x="5605"/>
        <item x="442"/>
        <item m="1" x="5889"/>
        <item m="1" x="3963"/>
        <item m="1" x="5201"/>
        <item m="1" x="6483"/>
        <item x="489"/>
        <item m="1" x="6000"/>
        <item m="1" x="6011"/>
        <item m="1" x="6353"/>
        <item x="486"/>
        <item m="1" x="5165"/>
        <item m="1" x="5119"/>
        <item m="1" x="5564"/>
        <item m="1" x="5237"/>
        <item m="1" x="3867"/>
        <item m="1" x="5124"/>
        <item m="1" x="4778"/>
        <item x="2643"/>
        <item m="1" x="6453"/>
        <item m="1" x="6137"/>
        <item m="1" x="5460"/>
        <item m="1" x="5595"/>
        <item m="1" x="5202"/>
        <item m="1" x="5949"/>
        <item m="1" x="6227"/>
        <item m="1" x="4394"/>
        <item m="1" x="3863"/>
        <item m="1" x="4636"/>
        <item m="1" x="5694"/>
        <item m="1" x="5824"/>
        <item m="1" x="6324"/>
        <item m="1" x="5918"/>
        <item x="488"/>
        <item m="1" x="5464"/>
        <item m="1" x="5744"/>
        <item x="1639"/>
        <item m="1" x="3965"/>
        <item m="1" x="5566"/>
        <item m="1" x="5848"/>
        <item m="1" x="5714"/>
        <item m="1" x="3655"/>
        <item m="1" x="4776"/>
        <item m="1" x="5840"/>
        <item m="1" x="6257"/>
        <item m="1" x="5843"/>
        <item m="1" x="6343"/>
        <item m="1" x="5780"/>
        <item m="1" x="5567"/>
        <item m="1" x="6135"/>
        <item x="1603"/>
        <item m="1" x="5588"/>
        <item m="1" x="6465"/>
        <item m="1" x="5159"/>
        <item m="1" x="5633"/>
        <item m="1" x="4777"/>
        <item m="1" x="6078"/>
        <item x="884"/>
        <item m="1" x="5897"/>
        <item m="1" x="5462"/>
        <item m="1" x="6488"/>
        <item x="3321"/>
        <item m="1" x="5620"/>
        <item m="1" x="5826"/>
        <item x="616"/>
        <item x="575"/>
        <item m="1" x="5917"/>
        <item m="1" x="6010"/>
        <item m="1" x="3964"/>
        <item m="1" x="5591"/>
        <item x="2640"/>
        <item m="1" x="6500"/>
        <item m="1" x="5966"/>
        <item m="1" x="3671"/>
        <item m="1" x="5635"/>
        <item x="3290"/>
        <item m="1" x="6375"/>
        <item m="1" x="5699"/>
        <item m="1" x="6240"/>
        <item x="477"/>
        <item m="1" x="5865"/>
        <item m="1" x="6134"/>
        <item m="1" x="6283"/>
        <item m="1" x="6059"/>
        <item m="1" x="5715"/>
        <item m="1" x="6383"/>
        <item m="1" x="6062"/>
        <item m="1" x="6273"/>
        <item m="1" x="6056"/>
        <item m="1" x="6478"/>
        <item m="1" x="5285"/>
        <item m="1" x="4437"/>
        <item m="1" x="5494"/>
        <item m="1" x="5863"/>
        <item m="1" x="4689"/>
        <item m="1" x="5373"/>
        <item x="1844"/>
        <item m="1" x="6518"/>
        <item m="1" x="4789"/>
        <item m="1" x="4723"/>
        <item m="1" x="5658"/>
        <item m="1" x="5801"/>
        <item m="1" x="5816"/>
        <item m="1" x="6145"/>
        <item m="1" x="5931"/>
        <item m="1" x="5737"/>
        <item m="1" x="5685"/>
        <item m="1" x="4090"/>
        <item m="1" x="5472"/>
        <item m="1" x="5634"/>
        <item m="1" x="5643"/>
        <item m="1" x="5583"/>
        <item m="1" x="4713"/>
        <item x="728"/>
        <item m="1" x="5493"/>
        <item m="1" x="6202"/>
        <item x="881"/>
        <item m="1" x="5864"/>
        <item x="677"/>
        <item m="1" x="5645"/>
        <item x="45"/>
        <item m="1" x="5856"/>
        <item m="1" x="4801"/>
        <item x="721"/>
        <item m="1" x="6225"/>
        <item m="1" x="3883"/>
        <item m="1" x="5796"/>
        <item m="1" x="3637"/>
        <item m="1" x="4704"/>
        <item m="1" x="4759"/>
        <item m="1" x="6365"/>
        <item m="1" x="5881"/>
        <item m="1" x="4613"/>
        <item m="1" x="5711"/>
        <item m="1" x="4594"/>
        <item m="1" x="6089"/>
        <item x="1894"/>
        <item m="1" x="5879"/>
        <item m="1" x="5647"/>
        <item m="1" x="5631"/>
        <item x="1618"/>
        <item m="1" x="5845"/>
        <item m="1" x="5550"/>
        <item m="1" x="4840"/>
        <item m="1" x="4751"/>
        <item m="1" x="4831"/>
        <item m="1" x="4706"/>
        <item x="2644"/>
        <item m="1" x="5033"/>
        <item m="1" x="6364"/>
        <item x="719"/>
        <item m="1" x="5722"/>
        <item m="1" x="6063"/>
        <item m="1" x="5772"/>
        <item m="1" x="4745"/>
        <item m="1" x="5577"/>
        <item m="1" x="5998"/>
        <item m="1" x="5401"/>
        <item m="1" x="6319"/>
        <item m="1" x="6438"/>
        <item m="1" x="6421"/>
        <item x="917"/>
        <item m="1" x="5596"/>
        <item m="1" x="6282"/>
        <item m="1" x="5700"/>
        <item m="1" x="6002"/>
        <item m="1" x="5302"/>
        <item m="1" x="5936"/>
        <item m="1" x="5765"/>
        <item m="1" x="4101"/>
        <item m="1" x="6475"/>
        <item m="1" x="5292"/>
        <item x="716"/>
        <item m="1" x="6528"/>
        <item m="1" x="6304"/>
        <item m="1" x="5859"/>
        <item m="1" x="6406"/>
        <item m="1" x="4635"/>
        <item m="1" x="4592"/>
        <item m="1" x="5948"/>
        <item m="1" x="6275"/>
        <item m="1" x="5593"/>
        <item m="1" x="6501"/>
        <item m="1" x="6372"/>
        <item m="1" x="6446"/>
        <item m="1" x="4766"/>
        <item m="1" x="4710"/>
        <item m="1" x="6311"/>
        <item m="1" x="6392"/>
        <item m="1" x="5958"/>
        <item m="1" x="6398"/>
        <item m="1" x="5959"/>
        <item x="487"/>
        <item x="3316"/>
        <item m="1" x="5317"/>
        <item m="1" x="5884"/>
        <item x="703"/>
        <item m="1" x="5515"/>
        <item m="1" x="4078"/>
        <item m="1" x="4404"/>
        <item m="1" x="4714"/>
        <item m="1" x="5982"/>
        <item m="1" x="5075"/>
        <item m="1" x="6026"/>
        <item m="1" x="5846"/>
        <item m="1" x="5501"/>
        <item m="1" x="3950"/>
        <item m="1" x="5372"/>
        <item m="1" x="3997"/>
        <item m="1" x="4767"/>
        <item m="1" x="6388"/>
        <item x="1650"/>
        <item x="1016"/>
        <item m="1" x="6172"/>
        <item m="1" x="5145"/>
        <item m="1" x="3519"/>
        <item m="1" x="6270"/>
        <item m="1" x="5689"/>
        <item m="1" x="5870"/>
        <item m="1" x="5083"/>
        <item m="1" x="4236"/>
        <item m="1" x="5950"/>
        <item m="1" x="5674"/>
        <item m="1" x="5686"/>
        <item x="722"/>
        <item m="1" x="5954"/>
        <item m="1" x="4728"/>
        <item m="1" x="6031"/>
        <item m="1" x="6373"/>
        <item m="1" x="5619"/>
        <item m="1" x="5001"/>
        <item m="1" x="5211"/>
        <item m="1" x="5652"/>
        <item m="1" x="5265"/>
        <item m="1" x="4285"/>
        <item m="1" x="6003"/>
        <item x="615"/>
        <item m="1" x="6251"/>
        <item m="1" x="5141"/>
        <item m="1" x="6103"/>
        <item m="1" x="4305"/>
        <item m="1" x="5773"/>
        <item m="1" x="4103"/>
        <item m="1" x="5030"/>
        <item m="1" x="4742"/>
        <item m="1" x="6085"/>
        <item m="1" x="5768"/>
        <item m="1" x="5127"/>
        <item m="1" x="5717"/>
        <item m="1" x="5655"/>
        <item m="1" x="6188"/>
        <item m="1" x="6150"/>
        <item m="1" x="4698"/>
        <item m="1" x="5463"/>
        <item m="1" x="6083"/>
        <item m="1" x="6138"/>
        <item m="1" x="5457"/>
        <item x="482"/>
        <item m="1" x="3870"/>
        <item x="44"/>
        <item m="1" x="5829"/>
        <item m="1" x="6285"/>
        <item m="1" x="5679"/>
        <item m="1" x="5896"/>
        <item m="1" x="6482"/>
        <item m="1" x="6082"/>
        <item m="1" x="5456"/>
        <item x="731"/>
        <item m="1" x="6178"/>
        <item m="1" x="5491"/>
        <item m="1" x="5286"/>
        <item m="1" x="4075"/>
        <item m="1" x="6036"/>
        <item m="1" x="4263"/>
        <item m="1" x="5835"/>
        <item m="1" x="5960"/>
        <item x="1989"/>
        <item x="916"/>
        <item m="1" x="4481"/>
        <item m="1" x="5160"/>
        <item x="3317"/>
        <item x="732"/>
        <item m="1" x="5557"/>
        <item x="50"/>
        <item m="1" x="6340"/>
        <item m="1" x="6492"/>
        <item m="1" x="5590"/>
        <item m="1" x="6009"/>
        <item m="1" x="6539"/>
        <item m="1" x="5342"/>
        <item m="1" x="3521"/>
        <item m="1" x="3544"/>
        <item x="459"/>
        <item m="1" x="5378"/>
        <item m="1" x="4593"/>
        <item m="1" x="6456"/>
        <item m="1" x="6484"/>
        <item m="1" x="6140"/>
        <item x="650"/>
        <item x="714"/>
        <item m="1" x="6029"/>
        <item m="1" x="4765"/>
        <item m="1" x="4815"/>
        <item m="1" x="5882"/>
        <item m="1" x="5675"/>
        <item x="88"/>
        <item m="1" x="5617"/>
        <item m="1" x="4709"/>
        <item m="1" x="5812"/>
        <item x="1824"/>
        <item m="1" x="6393"/>
        <item x="953"/>
        <item m="1" x="5406"/>
        <item m="1" x="6536"/>
        <item m="1" x="6192"/>
        <item x="718"/>
        <item m="1" x="5563"/>
        <item m="1" x="3517"/>
        <item m="1" x="6395"/>
        <item m="1" x="3522"/>
        <item m="1" x="5656"/>
        <item m="1" x="6168"/>
        <item m="1" x="5490"/>
        <item m="1" x="5616"/>
        <item m="1" x="5294"/>
        <item m="1" x="6006"/>
        <item m="1" x="3666"/>
        <item x="73"/>
        <item m="1" x="6291"/>
        <item m="1" x="6104"/>
        <item m="1" x="4758"/>
        <item m="1" x="4757"/>
        <item x="1017"/>
        <item m="1" x="4282"/>
        <item x="600"/>
        <item x="3314"/>
        <item m="1" x="6327"/>
        <item m="1" x="6157"/>
        <item m="1" x="5906"/>
        <item m="1" x="3855"/>
        <item m="1" x="6163"/>
        <item m="1" x="6355"/>
        <item m="1" x="5542"/>
        <item m="1" x="5925"/>
        <item m="1" x="5613"/>
        <item m="1" x="5973"/>
        <item m="1" x="4721"/>
        <item m="1" x="5409"/>
        <item m="1" x="6442"/>
        <item m="1" x="5678"/>
        <item m="1" x="5940"/>
        <item m="1" x="4719"/>
        <item m="1" x="3518"/>
        <item x="72"/>
        <item m="1" x="6025"/>
        <item m="1" x="5327"/>
        <item x="1280"/>
        <item m="1" x="5850"/>
        <item m="1" x="6043"/>
        <item x="484"/>
        <item m="1" x="4772"/>
        <item m="1" x="6450"/>
        <item m="1" x="5448"/>
        <item m="1" x="5868"/>
        <item m="1" x="5644"/>
        <item m="1" x="4073"/>
        <item m="1" x="6400"/>
        <item m="1" x="5821"/>
        <item m="1" x="5690"/>
        <item m="1" x="5873"/>
        <item m="1" x="6544"/>
        <item m="1" x="4264"/>
        <item m="1" x="5886"/>
        <item x="702"/>
        <item m="1" x="5128"/>
        <item m="1" x="5890"/>
        <item x="1888"/>
        <item m="1" x="3523"/>
        <item m="1" x="4474"/>
        <item m="1" x="5569"/>
        <item m="1" x="4976"/>
        <item m="1" x="6292"/>
        <item m="1" x="5597"/>
        <item m="1" x="5555"/>
        <item m="1" x="6459"/>
        <item m="1" x="5594"/>
        <item x="882"/>
        <item m="1" x="6180"/>
        <item m="1" x="6362"/>
        <item m="1" x="6295"/>
        <item m="1" x="6338"/>
        <item m="1" x="5677"/>
        <item m="1" x="4296"/>
        <item m="1" x="5793"/>
        <item m="1" x="5706"/>
        <item m="1" x="5842"/>
        <item x="717"/>
        <item m="1" x="5688"/>
        <item m="1" x="5002"/>
        <item m="1" x="5753"/>
        <item m="1" x="6151"/>
        <item m="1" x="5684"/>
        <item m="1" x="6474"/>
        <item m="1" x="5874"/>
        <item m="1" x="5805"/>
        <item m="1" x="6509"/>
        <item m="1" x="4724"/>
        <item m="1" x="4265"/>
        <item m="1" x="4303"/>
        <item m="1" x="6308"/>
        <item m="1" x="5585"/>
        <item m="1" x="6367"/>
        <item m="1" x="6333"/>
        <item m="1" x="6030"/>
        <item m="1" x="6161"/>
        <item m="1" x="6107"/>
        <item m="1" x="5657"/>
        <item m="1" x="5470"/>
        <item m="1" x="5853"/>
        <item m="1" x="6259"/>
        <item m="1" x="4738"/>
        <item x="614"/>
        <item m="1" x="5926"/>
        <item m="1" x="4460"/>
        <item m="1" x="6387"/>
        <item m="1" x="5533"/>
        <item m="1" x="4731"/>
        <item m="1" x="6480"/>
        <item m="1" x="5408"/>
        <item x="483"/>
        <item m="1" x="5282"/>
        <item m="1" x="5933"/>
        <item m="1" x="4727"/>
        <item m="1" x="5455"/>
        <item m="1" x="4605"/>
        <item m="1" x="4707"/>
        <item x="725"/>
        <item m="1" x="6321"/>
        <item m="1" x="4764"/>
        <item x="720"/>
        <item m="1" x="6360"/>
        <item m="1" x="6032"/>
        <item m="1" x="5937"/>
        <item m="1" x="5639"/>
        <item m="1" x="5604"/>
        <item x="90"/>
        <item m="1" x="6394"/>
        <item m="1" x="6209"/>
        <item m="1" x="4754"/>
        <item m="1" x="5757"/>
        <item m="1" x="4255"/>
        <item x="1013"/>
        <item m="1" x="5407"/>
        <item m="1" x="3801"/>
        <item m="1" x="5705"/>
        <item m="1" x="6503"/>
        <item x="926"/>
        <item m="1" x="5611"/>
        <item m="1" x="3891"/>
        <item m="1" x="6254"/>
        <item m="1" x="5913"/>
        <item m="1" x="5672"/>
        <item m="1" x="6102"/>
        <item m="1" x="6281"/>
        <item m="1" x="5607"/>
        <item m="1" x="6463"/>
        <item m="1" x="5851"/>
        <item m="1" x="5763"/>
        <item m="1" x="6300"/>
        <item x="375"/>
        <item x="460"/>
        <item m="1" x="5716"/>
        <item m="1" x="5800"/>
        <item m="1" x="6301"/>
        <item m="1" x="5985"/>
        <item m="1" x="6288"/>
        <item m="1" x="6114"/>
        <item m="1" x="5642"/>
        <item m="1" x="6033"/>
        <item m="1" x="4752"/>
        <item m="1" x="4733"/>
        <item m="1" x="5708"/>
        <item m="1" x="6305"/>
        <item m="1" x="6517"/>
        <item m="1" x="5571"/>
        <item m="1" x="5855"/>
        <item m="1" x="6222"/>
        <item m="1" x="5849"/>
        <item m="1" x="4712"/>
        <item x="715"/>
        <item m="1" x="6504"/>
        <item x="967"/>
        <item m="1" x="6320"/>
        <item m="1" x="5789"/>
        <item m="1" x="3866"/>
        <item m="1" x="4482"/>
        <item m="1" x="4722"/>
        <item m="1" x="4753"/>
        <item m="1" x="6481"/>
        <item m="1" x="6132"/>
        <item x="648"/>
        <item m="1" x="4739"/>
        <item m="1" x="5790"/>
        <item x="376"/>
        <item m="1" x="5986"/>
        <item m="1" x="6215"/>
        <item m="1" x="6068"/>
        <item m="1" x="5608"/>
        <item m="1" x="5839"/>
        <item m="1" x="5750"/>
        <item m="1" x="5168"/>
        <item m="1" x="4763"/>
        <item x="723"/>
        <item m="1" x="6072"/>
        <item m="1" x="5755"/>
        <item m="1" x="5641"/>
        <item x="727"/>
        <item x="730"/>
        <item m="1" x="6211"/>
        <item m="1" x="4720"/>
        <item m="1" x="6223"/>
        <item m="1" x="6095"/>
        <item m="1" x="4715"/>
        <item m="1" x="6271"/>
        <item m="1" x="6075"/>
        <item m="1" x="5709"/>
        <item x="27"/>
        <item m="1" x="4743"/>
        <item m="1" x="4395"/>
        <item x="461"/>
        <item m="1" x="5779"/>
        <item m="1" x="6118"/>
        <item x="930"/>
        <item m="1" x="4079"/>
        <item m="1" x="5558"/>
        <item m="1" x="6506"/>
        <item x="706"/>
        <item m="1" x="6139"/>
        <item m="1" x="6526"/>
        <item m="1" x="4717"/>
        <item m="1" x="5241"/>
        <item x="473"/>
        <item m="1" x="3800"/>
        <item x="696"/>
        <item m="1" x="5195"/>
        <item x="632"/>
        <item m="1" x="5905"/>
        <item m="1" x="5258"/>
        <item m="1" x="5492"/>
        <item m="1" x="6447"/>
        <item m="1" x="3928"/>
        <item m="1" x="5726"/>
        <item m="1" x="5576"/>
        <item m="1" x="5653"/>
        <item m="1" x="5402"/>
        <item m="1" x="6264"/>
        <item x="662"/>
        <item m="1" x="6444"/>
        <item m="1" x="6092"/>
        <item m="1" x="5847"/>
        <item m="1" x="4972"/>
        <item m="1" x="6097"/>
        <item m="1" x="5649"/>
        <item m="1" x="4484"/>
        <item m="1" x="6258"/>
        <item m="1" x="6111"/>
        <item m="1" x="6044"/>
        <item m="1" x="3688"/>
        <item m="1" x="5495"/>
        <item m="1" x="4761"/>
        <item x="925"/>
        <item m="1" x="4726"/>
        <item m="1" x="6458"/>
        <item m="1" x="5967"/>
        <item m="1" x="5935"/>
        <item x="946"/>
        <item x="193"/>
        <item m="1" x="5562"/>
        <item m="1" x="6502"/>
        <item m="1" x="6039"/>
        <item m="1" x="5059"/>
        <item m="1" x="5651"/>
        <item m="1" x="6369"/>
        <item m="1" x="5375"/>
        <item m="1" x="4244"/>
        <item m="1" x="5267"/>
        <item m="1" x="6065"/>
        <item m="1" x="5980"/>
        <item m="1" x="4266"/>
        <item m="1" x="6487"/>
        <item m="1" x="5758"/>
        <item m="1" x="5268"/>
        <item m="1" x="5989"/>
        <item m="1" x="5266"/>
        <item m="1" x="6182"/>
        <item m="1" x="3669"/>
        <item m="1" x="3516"/>
        <item m="1" x="5764"/>
        <item m="1" x="4483"/>
        <item m="1" x="4238"/>
        <item m="1" x="6328"/>
        <item x="458"/>
        <item m="1" x="5471"/>
        <item m="1" x="6219"/>
        <item m="1" x="4756"/>
        <item m="1" x="3914"/>
        <item m="1" x="5999"/>
        <item m="1" x="5586"/>
        <item m="1" x="4978"/>
        <item m="1" x="5822"/>
        <item m="1" x="5872"/>
        <item m="1" x="4702"/>
        <item m="1" x="3798"/>
        <item m="1" x="6523"/>
        <item x="17"/>
        <item m="1" x="5603"/>
        <item m="1" x="5648"/>
        <item m="1" x="4705"/>
        <item m="1" x="5587"/>
        <item m="1" x="6344"/>
        <item m="1" x="6146"/>
        <item m="1" x="6244"/>
        <item m="1" x="6189"/>
        <item m="1" x="5310"/>
        <item m="1" x="6359"/>
        <item m="1" x="4977"/>
        <item m="1" x="5751"/>
        <item m="1" x="6226"/>
        <item m="1" x="5284"/>
        <item m="1" x="6106"/>
        <item m="1" x="6342"/>
        <item m="1" x="5965"/>
        <item m="1" x="6247"/>
        <item m="1" x="5914"/>
        <item m="1" x="5143"/>
        <item m="1" x="6424"/>
        <item m="1" x="4232"/>
        <item m="1" x="6296"/>
        <item m="1" x="6322"/>
        <item x="2294"/>
        <item m="1" x="5827"/>
        <item x="708"/>
        <item m="1" x="5532"/>
        <item x="2231"/>
        <item x="2233"/>
        <item x="2487"/>
        <item m="1" x="5875"/>
        <item x="2671"/>
        <item m="1" x="5508"/>
        <item m="1" x="4882"/>
        <item m="1" x="6191"/>
        <item x="2626"/>
        <item m="1" x="6471"/>
        <item x="2321"/>
        <item m="1" x="6449"/>
        <item m="1" x="5977"/>
        <item x="3300"/>
        <item m="1" x="5927"/>
        <item m="1" x="4226"/>
        <item m="1" x="6110"/>
        <item m="1" x="6267"/>
        <item m="1" x="5721"/>
        <item m="1" x="5366"/>
        <item x="1555"/>
        <item x="2923"/>
        <item x="3174"/>
        <item x="2928"/>
        <item x="2925"/>
        <item x="2924"/>
        <item x="2930"/>
        <item x="2926"/>
        <item x="2297"/>
        <item x="2298"/>
        <item x="2295"/>
        <item x="2437"/>
        <item x="1430"/>
        <item x="1564"/>
        <item x="1391"/>
        <item x="1559"/>
        <item x="1392"/>
        <item x="1563"/>
        <item x="1560"/>
        <item x="1567"/>
        <item x="1556"/>
        <item x="627"/>
        <item x="1558"/>
        <item x="1557"/>
        <item x="619"/>
        <item x="618"/>
        <item x="625"/>
        <item x="635"/>
        <item x="631"/>
        <item x="609"/>
        <item x="443"/>
        <item x="1562"/>
        <item x="630"/>
        <item x="478"/>
        <item x="620"/>
        <item x="444"/>
        <item x="611"/>
        <item x="623"/>
        <item x="479"/>
        <item x="612"/>
        <item x="628"/>
        <item x="633"/>
        <item x="629"/>
        <item x="626"/>
        <item x="621"/>
        <item x="624"/>
        <item x="622"/>
        <item x="613"/>
        <item x="610"/>
        <item x="634"/>
        <item x="617"/>
        <item x="2929"/>
        <item m="1" x="6142"/>
        <item m="1" x="5961"/>
        <item m="1" x="6049"/>
        <item m="1" x="6499"/>
        <item m="1" x="5991"/>
        <item m="1" x="5602"/>
        <item m="1" x="6491"/>
        <item m="1" x="4346"/>
        <item m="1" x="5161"/>
        <item m="1" x="6391"/>
        <item m="1" x="4237"/>
        <item m="1" x="4278"/>
        <item x="3251"/>
        <item m="1" x="3683"/>
        <item m="1" x="4403"/>
        <item m="1" x="5192"/>
        <item m="1" x="5496"/>
        <item m="1" x="4107"/>
        <item m="1" x="6430"/>
        <item m="1" x="5497"/>
        <item m="1" x="5193"/>
        <item m="1" x="5194"/>
        <item m="1" x="3813"/>
        <item m="1" x="3823"/>
        <item m="1" x="3822"/>
        <item m="1" x="5328"/>
        <item m="1" x="5329"/>
        <item m="1" x="5742"/>
        <item m="1" x="4110"/>
        <item m="1" x="4003"/>
        <item m="1" x="3803"/>
        <item m="1" x="4156"/>
        <item m="1" x="5206"/>
        <item m="1" x="5330"/>
        <item m="1" x="5331"/>
        <item m="1" x="4206"/>
        <item x="1393"/>
        <item x="2299"/>
        <item m="1" x="3512"/>
        <item m="1" x="4497"/>
        <item m="1" x="6278"/>
        <item m="1" x="6213"/>
        <item x="2114"/>
        <item m="1" x="6053"/>
        <item m="1" x="6233"/>
        <item m="1" x="5766"/>
        <item m="1" x="5147"/>
        <item m="1" x="5513"/>
        <item x="2468"/>
        <item x="1434"/>
        <item m="1" x="5516"/>
        <item m="1" x="4773"/>
        <item m="1" x="4697"/>
        <item m="1" x="6313"/>
        <item m="1" x="5841"/>
        <item m="1" x="6403"/>
        <item m="1" x="6196"/>
        <item m="1" x="4334"/>
        <item m="1" x="3749"/>
        <item m="1" x="5229"/>
        <item m="1" x="5062"/>
        <item m="1" x="4439"/>
        <item m="1" x="3752"/>
        <item m="1" x="6417"/>
        <item m="1" x="5691"/>
        <item x="3297"/>
        <item m="1" x="4250"/>
        <item m="1" x="4468"/>
        <item m="1" x="4620"/>
        <item m="1" x="5437"/>
        <item m="1" x="5523"/>
        <item m="1" x="6131"/>
        <item m="1" x="4679"/>
        <item m="1" x="5438"/>
        <item x="3304"/>
        <item m="1" x="5244"/>
        <item m="1" x="6384"/>
        <item m="1" x="4405"/>
        <item m="1" x="4648"/>
        <item m="1" x="5521"/>
        <item m="1" x="5524"/>
        <item x="3318"/>
        <item m="1" x="4573"/>
        <item m="1" x="5441"/>
        <item m="1" x="5442"/>
        <item m="1" x="6007"/>
        <item m="1" x="6237"/>
        <item m="1" x="6451"/>
        <item m="1" x="5782"/>
        <item m="1" x="5984"/>
        <item m="1" x="4667"/>
        <item m="1" x="5446"/>
        <item m="1" x="4790"/>
        <item m="1" x="4845"/>
        <item m="1" x="4881"/>
        <item m="1" x="5947"/>
        <item m="1" x="5530"/>
        <item m="1" x="4015"/>
        <item m="1" x="3832"/>
        <item m="1" x="3830"/>
        <item x="700"/>
        <item m="1" x="5449"/>
        <item x="2479"/>
        <item m="1" x="4775"/>
        <item m="1" x="5450"/>
        <item m="1" x="5637"/>
        <item m="1" x="4732"/>
        <item m="1" x="5945"/>
        <item m="1" x="5807"/>
        <item m="1" x="5638"/>
        <item m="1" x="6495"/>
        <item m="1" x="5451"/>
        <item m="1" x="4749"/>
        <item m="1" x="5974"/>
        <item x="701"/>
        <item x="2480"/>
        <item x="87"/>
        <item m="1" x="4838"/>
        <item x="704"/>
        <item m="1" x="4791"/>
        <item x="705"/>
        <item x="1641"/>
        <item m="1" x="5640"/>
        <item m="1" x="6034"/>
        <item x="1696"/>
        <item x="1701"/>
        <item x="3036"/>
        <item x="2552"/>
        <item x="801"/>
        <item x="1714"/>
        <item m="1" x="6265"/>
        <item m="1" x="5720"/>
        <item m="1" x="6399"/>
        <item m="1" x="5474"/>
        <item m="1" x="6507"/>
        <item m="1" x="6004"/>
        <item m="1" x="6287"/>
        <item m="1" x="4744"/>
        <item m="1" x="4781"/>
        <item m="1" x="5730"/>
        <item m="1" x="5478"/>
        <item x="1984"/>
        <item x="3087"/>
        <item x="2739"/>
        <item x="2744"/>
        <item m="1" x="4608"/>
        <item x="1008"/>
        <item m="1" x="5370"/>
        <item m="1" x="5374"/>
        <item m="1" x="3624"/>
        <item x="2946"/>
        <item m="1" x="4746"/>
        <item m="1" x="5000"/>
        <item m="1" x="5661"/>
        <item m="1" x="5170"/>
        <item m="1" x="5171"/>
        <item m="1" x="5172"/>
        <item m="1" x="5311"/>
        <item m="1" x="3694"/>
        <item m="1" x="3687"/>
        <item m="1" x="5487"/>
        <item m="1" x="4624"/>
        <item m="1" x="4673"/>
        <item m="1" x="4961"/>
        <item m="1" x="5662"/>
        <item m="1" x="5312"/>
        <item m="1" x="5018"/>
        <item m="1" x="6027"/>
        <item m="1" x="5019"/>
        <item m="1" x="4525"/>
        <item m="1" x="5313"/>
        <item m="1" x="3689"/>
        <item m="1" x="5020"/>
        <item m="1" x="4819"/>
        <item m="1" x="5663"/>
        <item m="1" x="5486"/>
        <item m="1" x="5314"/>
        <item m="1" x="3693"/>
        <item m="1" x="5315"/>
        <item m="1" x="3953"/>
        <item m="1" x="5403"/>
        <item m="1" x="5488"/>
        <item m="1" x="5404"/>
        <item m="1" x="5405"/>
        <item m="1" x="5316"/>
        <item m="1" x="5318"/>
        <item m="1" x="3690"/>
        <item m="1" x="5664"/>
        <item m="1" x="5319"/>
        <item m="1" x="5665"/>
        <item m="1" x="3695"/>
        <item m="1" x="5326"/>
        <item m="1" x="5300"/>
        <item m="1" x="4879"/>
        <item m="1" x="5506"/>
        <item m="1" x="4438"/>
        <item m="1" x="4782"/>
        <item m="1" x="5038"/>
        <item m="1" x="5507"/>
        <item m="1" x="4847"/>
        <item m="1" x="5923"/>
        <item m="1" x="6298"/>
        <item m="1" x="6170"/>
        <item m="1" x="6274"/>
        <item m="1" x="6493"/>
        <item m="1" x="5713"/>
        <item m="1" x="6378"/>
        <item m="1" x="5752"/>
        <item m="1" x="5762"/>
        <item m="1" x="6248"/>
        <item m="1" x="6052"/>
        <item m="1" x="6286"/>
        <item m="1" x="6510"/>
        <item m="1" x="6520"/>
        <item m="1" x="6467"/>
        <item m="1" x="5618"/>
        <item m="1" x="6037"/>
        <item m="1" x="6280"/>
        <item m="1" x="5830"/>
        <item m="1" x="5428"/>
        <item m="1" x="5429"/>
        <item x="2333"/>
        <item m="1" x="5217"/>
        <item m="1" x="5667"/>
        <item m="1" x="5518"/>
        <item m="1" x="4330"/>
        <item m="1" x="4331"/>
        <item m="1" x="5632"/>
        <item m="1" x="5227"/>
        <item m="1" x="5060"/>
        <item m="1" x="4486"/>
        <item m="1" x="5228"/>
        <item m="1" x="4461"/>
        <item m="1" x="5520"/>
        <item m="1" x="5621"/>
        <item m="1" x="5624"/>
        <item m="1" x="5622"/>
        <item x="1470"/>
        <item m="1" x="5668"/>
        <item x="533"/>
        <item m="1" x="5669"/>
        <item m="1" x="5670"/>
        <item m="1" x="5184"/>
        <item m="1" x="5077"/>
        <item m="1" x="4290"/>
        <item m="1" x="5345"/>
        <item m="1" x="5078"/>
        <item m="1" x="5079"/>
        <item m="1" x="4467"/>
        <item m="1" x="4466"/>
        <item m="1" x="4699"/>
        <item m="1" x="4093"/>
        <item m="1" x="4092"/>
        <item m="1" x="4337"/>
        <item m="1" x="4336"/>
        <item m="1" x="5350"/>
        <item m="1" x="5247"/>
        <item m="1" x="5081"/>
        <item x="1566"/>
        <item m="1" x="4124"/>
        <item x="636"/>
        <item x="637"/>
        <item x="74"/>
        <item x="638"/>
        <item x="75"/>
        <item x="639"/>
        <item x="76"/>
        <item x="640"/>
        <item x="3324"/>
        <item m="1" x="5086"/>
        <item m="1" x="5087"/>
        <item x="3328"/>
        <item m="1" x="3782"/>
        <item m="1" x="5088"/>
        <item x="3325"/>
        <item m="1" x="4393"/>
        <item m="1" x="5089"/>
        <item x="3326"/>
        <item m="1" x="4083"/>
        <item m="1" x="5103"/>
        <item m="1" x="5527"/>
        <item m="1" x="5444"/>
        <item m="1" x="4586"/>
        <item m="1" x="5249"/>
        <item x="1971"/>
        <item m="1" x="5104"/>
        <item m="1" x="5445"/>
        <item m="1" x="5105"/>
        <item m="1" x="5250"/>
        <item m="1" x="5528"/>
        <item m="1" x="4114"/>
        <item m="1" x="4629"/>
        <item m="1" x="3799"/>
        <item m="1" x="5360"/>
        <item m="1" x="5254"/>
        <item m="1" x="5040"/>
        <item m="1" x="5255"/>
        <item x="1723"/>
        <item m="1" x="4342"/>
        <item x="1702"/>
        <item x="2557"/>
        <item x="808"/>
        <item x="145"/>
        <item m="1" x="5676"/>
        <item x="1893"/>
        <item x="2712"/>
        <item x="2717"/>
        <item x="1009"/>
        <item x="3091"/>
        <item x="1996"/>
        <item m="1" x="4817"/>
        <item x="2015"/>
        <item x="2017"/>
        <item m="1" x="5427"/>
        <item x="641"/>
        <item m="1" x="5032"/>
        <item m="1" x="5035"/>
        <item x="2537"/>
        <item m="1" x="5320"/>
        <item m="1" x="5042"/>
        <item m="1" x="5431"/>
        <item m="1" x="4162"/>
        <item m="1" x="5041"/>
        <item m="1" x="5511"/>
        <item m="1" x="5218"/>
        <item m="1" x="5219"/>
        <item m="1" x="4190"/>
        <item m="1" x="5043"/>
        <item m="1" x="5514"/>
        <item m="1" x="5044"/>
        <item m="1" x="5220"/>
        <item x="1141"/>
        <item x="293"/>
        <item m="1" x="4966"/>
        <item m="1" x="5434"/>
        <item m="1" x="5344"/>
        <item m="1" x="5072"/>
        <item m="1" x="5435"/>
        <item x="3298"/>
        <item m="1" x="5436"/>
        <item m="1" x="5074"/>
        <item m="1" x="4658"/>
        <item m="1" x="5240"/>
        <item m="1" x="4970"/>
        <item m="1" x="4691"/>
        <item m="1" x="5439"/>
        <item m="1" x="5440"/>
        <item m="1" x="4616"/>
        <item m="1" x="4251"/>
        <item x="2759"/>
        <item m="1" x="5525"/>
        <item m="1" x="3601"/>
        <item m="1" x="3558"/>
        <item m="1" x="3559"/>
        <item m="1" x="3602"/>
        <item m="1" x="3560"/>
        <item m="1" x="3588"/>
        <item m="1" x="3561"/>
        <item m="1" x="3524"/>
        <item m="1" x="3534"/>
        <item m="1" x="4455"/>
        <item m="1" x="3531"/>
        <item m="1" x="3537"/>
        <item m="1" x="3525"/>
        <item m="1" x="3530"/>
        <item m="1" x="3603"/>
        <item m="1" x="3573"/>
        <item m="1" x="4979"/>
        <item m="1" x="4410"/>
        <item m="1" x="3594"/>
        <item m="1" x="3918"/>
        <item m="1" x="3604"/>
        <item m="1" x="3595"/>
        <item m="1" x="3598"/>
        <item m="1" x="4940"/>
        <item m="1" x="3583"/>
        <item m="1" x="4906"/>
        <item m="1" x="5379"/>
        <item m="1" x="5380"/>
        <item m="1" x="5381"/>
        <item m="1" x="5382"/>
        <item m="1" x="5482"/>
        <item m="1" x="5383"/>
        <item m="1" x="5384"/>
        <item m="1" x="5385"/>
        <item m="1" x="5483"/>
        <item m="1" x="5386"/>
        <item m="1" x="5480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481"/>
        <item m="1" x="5397"/>
        <item m="1" x="5398"/>
        <item m="1" x="5399"/>
        <item x="200"/>
        <item m="1" x="5400"/>
        <item x="1778"/>
        <item m="1" x="5362"/>
        <item m="1" x="4601"/>
        <item m="1" x="5535"/>
        <item m="1" x="5475"/>
        <item x="2601"/>
        <item m="1" x="3658"/>
        <item m="1" x="3659"/>
        <item m="1" x="4935"/>
        <item m="1" x="4853"/>
        <item m="1" x="5131"/>
        <item m="1" x="5132"/>
        <item m="1" x="5133"/>
        <item m="1" x="5134"/>
        <item m="1" x="5135"/>
        <item m="1" x="5136"/>
        <item m="1" x="5137"/>
        <item x="3092"/>
        <item x="1012"/>
        <item m="1" x="5139"/>
        <item m="1" x="5140"/>
        <item x="3096"/>
        <item m="1" x="4886"/>
        <item m="1" x="5417"/>
        <item m="1" x="5418"/>
        <item m="1" x="5419"/>
        <item m="1" x="5420"/>
        <item m="1" x="5421"/>
        <item m="1" x="5422"/>
        <item x="2430"/>
        <item m="1" x="5423"/>
        <item m="1" x="5426"/>
        <item m="1" x="5519"/>
        <item m="1" x="5531"/>
        <item m="1" x="4021"/>
        <item m="1" x="4019"/>
        <item m="1" x="4023"/>
        <item m="1" x="3927"/>
        <item m="1" x="3924"/>
        <item m="1" x="3926"/>
        <item m="1" x="3923"/>
        <item m="1" x="3925"/>
        <item m="1" x="4353"/>
        <item m="1" x="5517"/>
        <item m="1" x="4880"/>
        <item x="2564"/>
        <item x="1715"/>
        <item m="1" x="4599"/>
        <item x="2565"/>
        <item x="813"/>
        <item x="1695"/>
        <item x="968"/>
        <item x="2659"/>
        <item x="3159"/>
        <item m="1" x="5364"/>
        <item m="1" x="3727"/>
        <item m="1" x="3724"/>
        <item m="1" x="5543"/>
        <item m="1" x="3819"/>
        <item m="1" x="5411"/>
        <item m="1" x="4280"/>
        <item m="1" x="5412"/>
        <item m="1" x="5413"/>
        <item m="1" x="5414"/>
        <item m="1" x="4677"/>
        <item m="1" x="4326"/>
        <item m="1" x="4002"/>
        <item m="1" x="4639"/>
        <item m="1" x="5037"/>
        <item m="1" x="5148"/>
        <item m="1" x="5149"/>
        <item m="1" x="5150"/>
        <item m="1" x="5151"/>
        <item m="1" x="5352"/>
        <item m="1" x="5353"/>
        <item m="1" x="5355"/>
        <item m="1" x="3892"/>
        <item m="1" x="4848"/>
        <item m="1" x="4943"/>
        <item m="1" x="5552"/>
        <item m="1" x="5553"/>
        <item m="1" x="5554"/>
        <item m="1" x="5146"/>
        <item m="1" x="4986"/>
        <item m="1" x="3639"/>
        <item x="1945"/>
        <item m="1" x="3729"/>
        <item x="1306"/>
        <item m="1" x="3704"/>
        <item x="2293"/>
        <item x="447"/>
        <item m="1" x="3725"/>
        <item m="1" x="3726"/>
        <item m="1" x="5036"/>
        <item m="1" x="4810"/>
        <item m="1" x="3732"/>
        <item m="1" x="5039"/>
        <item m="1" x="5430"/>
        <item m="1" x="5221"/>
        <item m="1" x="5432"/>
        <item m="1" x="5045"/>
        <item m="1" x="5046"/>
        <item m="1" x="5048"/>
        <item m="1" x="5049"/>
        <item m="1" x="5050"/>
        <item m="1" x="5433"/>
        <item x="2991"/>
        <item m="1" x="5051"/>
        <item x="2948"/>
        <item m="1" x="5232"/>
        <item x="568"/>
        <item m="1" x="5351"/>
        <item m="1" x="5361"/>
        <item m="1" x="5447"/>
        <item m="1" x="5113"/>
        <item m="1" x="3968"/>
        <item m="1" x="5256"/>
        <item m="1" x="5257"/>
        <item m="1" x="4024"/>
        <item m="1" x="5259"/>
        <item m="1" x="5260"/>
        <item m="1" x="5261"/>
        <item m="1" x="4053"/>
        <item x="1983"/>
        <item m="1" x="4056"/>
        <item x="2010"/>
        <item x="1213"/>
        <item m="1" x="3751"/>
        <item m="1" x="3739"/>
        <item m="1" x="3743"/>
        <item m="1" x="4676"/>
        <item m="1" x="3750"/>
        <item m="1" x="4487"/>
        <item m="1" x="3740"/>
        <item m="1" x="4678"/>
        <item m="1" x="5063"/>
        <item m="1" x="4121"/>
        <item m="1" x="4987"/>
        <item x="673"/>
        <item x="18"/>
        <item x="2184"/>
        <item x="2876"/>
        <item x="1220"/>
        <item m="1" x="4508"/>
        <item x="2852"/>
        <item x="2878"/>
        <item m="1" x="4672"/>
        <item m="1" x="4512"/>
        <item x="2197"/>
        <item m="1" x="4988"/>
        <item m="1" x="3944"/>
        <item m="1" x="4100"/>
        <item x="2181"/>
        <item m="1" x="5152"/>
        <item m="1" x="5153"/>
        <item m="1" x="4989"/>
        <item m="1" x="4480"/>
        <item x="1217"/>
        <item m="1" x="5154"/>
        <item x="2877"/>
        <item x="2160"/>
        <item x="1222"/>
        <item m="1" x="5305"/>
        <item m="1" x="4990"/>
        <item m="1" x="4208"/>
        <item m="1" x="5212"/>
        <item m="1" x="4783"/>
        <item m="1" x="5213"/>
        <item x="2021"/>
        <item m="1" x="5346"/>
        <item m="1" x="5347"/>
        <item m="1" x="5348"/>
        <item m="1" x="5349"/>
        <item m="1" x="4291"/>
        <item x="642"/>
        <item m="1" x="5142"/>
        <item m="1" x="4725"/>
        <item m="1" x="4974"/>
        <item x="1104"/>
        <item x="1026"/>
        <item m="1" x="5309"/>
        <item m="1" x="4843"/>
        <item m="1" x="3682"/>
        <item m="1" x="5166"/>
        <item m="1" x="4433"/>
        <item x="988"/>
        <item x="2707"/>
        <item m="1" x="4534"/>
        <item m="1" x="4400"/>
        <item x="2708"/>
        <item m="1" x="5021"/>
        <item m="1" x="5321"/>
        <item m="1" x="5173"/>
        <item m="1" x="4546"/>
        <item m="1" x="4660"/>
        <item m="1" x="4930"/>
        <item m="1" x="5322"/>
        <item m="1" x="3696"/>
        <item m="1" x="4630"/>
        <item m="1" x="4799"/>
        <item m="1" x="5022"/>
        <item m="1" x="4668"/>
        <item m="1" x="5174"/>
        <item m="1" x="4762"/>
        <item m="1" x="4545"/>
        <item m="1" x="5176"/>
        <item m="1" x="5189"/>
        <item m="1" x="5177"/>
        <item m="1" x="5178"/>
        <item m="1" x="5179"/>
        <item m="1" x="5180"/>
        <item m="1" x="5181"/>
        <item m="1" x="4402"/>
        <item m="1" x="3700"/>
        <item m="1" x="5182"/>
        <item m="1" x="3699"/>
        <item m="1" x="5183"/>
        <item m="1" x="5185"/>
        <item m="1" x="3698"/>
        <item m="1" x="5323"/>
        <item m="1" x="5324"/>
        <item m="1" x="5186"/>
        <item m="1" x="3697"/>
        <item m="1" x="5187"/>
        <item m="1" x="5188"/>
        <item m="1" x="3510"/>
        <item m="1" x="5325"/>
        <item m="1" x="4458"/>
        <item m="1" x="5197"/>
        <item m="1" x="5198"/>
        <item m="1" x="5199"/>
        <item m="1" x="5200"/>
        <item m="1" x="5204"/>
        <item m="1" x="5205"/>
        <item m="1" x="4204"/>
        <item x="1384"/>
        <item x="1570"/>
        <item m="1" x="5338"/>
        <item m="1" x="5339"/>
        <item x="3291"/>
        <item x="3292"/>
        <item x="1411"/>
        <item x="3197"/>
        <item x="2359"/>
        <item x="529"/>
        <item m="1" x="5234"/>
        <item m="1" x="5235"/>
        <item m="1" x="5236"/>
        <item m="1" x="4406"/>
        <item m="1" x="4419"/>
        <item m="1" x="5343"/>
        <item m="1" x="4463"/>
        <item m="1" x="5239"/>
        <item m="1" x="3988"/>
        <item m="1" x="5243"/>
        <item m="1" x="4365"/>
        <item m="1" x="5246"/>
        <item m="1" x="5092"/>
        <item m="1" x="4653"/>
        <item m="1" x="5106"/>
        <item m="1" x="4656"/>
        <item m="1" x="5107"/>
        <item m="1" x="5251"/>
        <item m="1" x="5252"/>
        <item m="1" x="5108"/>
        <item m="1" x="5109"/>
        <item m="1" x="4589"/>
        <item m="1" x="4588"/>
        <item m="1" x="4685"/>
        <item m="1" x="4770"/>
        <item m="1" x="5253"/>
        <item m="1" x="5110"/>
        <item x="1491"/>
        <item m="1" x="4654"/>
        <item m="1" x="4665"/>
        <item m="1" x="4675"/>
        <item m="1" x="4587"/>
        <item x="2984"/>
        <item m="1" x="4734"/>
        <item x="810"/>
        <item x="1716"/>
        <item x="812"/>
        <item x="1719"/>
        <item x="1720"/>
        <item x="815"/>
        <item x="817"/>
        <item x="796"/>
        <item x="806"/>
        <item x="3037"/>
        <item x="807"/>
        <item x="811"/>
        <item m="1" x="5114"/>
        <item x="794"/>
        <item x="1780"/>
        <item m="1" x="4302"/>
        <item m="1" x="4422"/>
        <item x="854"/>
        <item x="855"/>
        <item x="1841"/>
        <item x="1991"/>
        <item x="2000"/>
        <item x="2001"/>
        <item m="1" x="4377"/>
        <item x="3100"/>
        <item m="1" x="4859"/>
        <item m="1" x="4875"/>
        <item m="1" x="4876"/>
        <item m="1" x="4896"/>
        <item m="1" x="4818"/>
        <item m="1" x="4798"/>
        <item m="1" x="5304"/>
        <item m="1" x="5162"/>
        <item m="1" x="5163"/>
        <item m="1" x="5308"/>
        <item m="1" x="5164"/>
        <item m="1" x="3824"/>
        <item m="1" x="3804"/>
        <item m="1" x="3954"/>
        <item m="1" x="5207"/>
        <item m="1" x="5332"/>
        <item m="1" x="5333"/>
        <item m="1" x="5334"/>
        <item m="1" x="5335"/>
        <item m="1" x="5336"/>
        <item m="1" x="5337"/>
        <item m="1" x="5208"/>
        <item m="1" x="5052"/>
        <item m="1" x="5222"/>
        <item m="1" x="5223"/>
        <item m="1" x="5053"/>
        <item m="1" x="5224"/>
        <item m="1" x="5054"/>
        <item m="1" x="5056"/>
        <item m="1" x="5058"/>
        <item x="490"/>
        <item x="1437"/>
        <item x="1438"/>
        <item x="492"/>
        <item x="1439"/>
        <item m="1" x="3754"/>
        <item m="1" x="5233"/>
        <item x="1517"/>
        <item m="1" x="4173"/>
        <item m="1" x="4680"/>
        <item m="1" x="3773"/>
        <item x="2423"/>
        <item x="2386"/>
        <item m="1" x="5354"/>
        <item m="1" x="5356"/>
        <item m="1" x="4161"/>
        <item m="1" x="5357"/>
        <item m="1" x="5358"/>
        <item m="1" x="5359"/>
        <item x="3243"/>
        <item x="3240"/>
        <item x="2617"/>
        <item x="3239"/>
        <item x="2616"/>
        <item x="2615"/>
        <item m="1" x="5117"/>
        <item m="1" x="4883"/>
        <item m="1" x="4852"/>
        <item m="1" x="4306"/>
        <item m="1" x="3912"/>
        <item m="1" x="3911"/>
        <item m="1" x="4450"/>
        <item m="1" x="4451"/>
        <item x="2752"/>
        <item x="2753"/>
        <item x="3106"/>
        <item x="3107"/>
        <item x="2754"/>
        <item x="2019"/>
        <item x="1018"/>
        <item x="2020"/>
        <item x="1025"/>
        <item x="3253"/>
        <item x="2755"/>
        <item x="2040"/>
        <item m="1" x="5371"/>
        <item x="274"/>
        <item x="1347"/>
        <item x="1107"/>
        <item x="1108"/>
        <item x="1110"/>
        <item x="1383"/>
        <item x="1109"/>
        <item m="1" x="4975"/>
        <item m="1" x="4718"/>
        <item m="1" x="4981"/>
        <item m="1" x="4983"/>
        <item m="1" x="3613"/>
        <item m="1" x="4523"/>
        <item x="1233"/>
        <item m="1" x="5155"/>
        <item m="1" x="5156"/>
        <item x="1221"/>
        <item m="1" x="4529"/>
        <item x="2183"/>
        <item m="1" x="4991"/>
        <item m="1" x="4992"/>
        <item m="1" x="4513"/>
        <item x="336"/>
        <item x="2870"/>
        <item x="1176"/>
        <item x="2868"/>
        <item m="1" x="5157"/>
        <item m="1" x="4623"/>
        <item m="1" x="4524"/>
        <item x="1186"/>
        <item x="2198"/>
        <item m="1" x="4627"/>
        <item m="1" x="4505"/>
        <item m="1" x="4870"/>
        <item x="342"/>
        <item x="1235"/>
        <item m="1" x="4993"/>
        <item m="1" x="4354"/>
        <item m="1" x="4994"/>
        <item m="1" x="4252"/>
        <item m="1" x="4061"/>
        <item m="1" x="4270"/>
        <item m="1" x="5158"/>
        <item x="2872"/>
        <item m="1" x="3644"/>
        <item x="3068"/>
        <item m="1" x="5005"/>
        <item m="1" x="4279"/>
        <item x="1300"/>
        <item m="1" x="5007"/>
        <item m="1" x="3685"/>
        <item m="1" x="5008"/>
        <item m="1" x="4929"/>
        <item m="1" x="4877"/>
        <item m="1" x="5010"/>
        <item m="1" x="4281"/>
        <item m="1" x="4811"/>
        <item m="1" x="4696"/>
        <item m="1" x="4004"/>
        <item m="1" x="5214"/>
        <item m="1" x="4046"/>
        <item m="1" x="5226"/>
        <item x="2949"/>
        <item m="1" x="3744"/>
        <item m="1" x="5230"/>
        <item m="1" x="5231"/>
        <item m="1" x="3745"/>
        <item m="1" x="5064"/>
        <item m="1" x="5065"/>
        <item m="1" x="5066"/>
        <item m="1" x="5067"/>
        <item x="530"/>
        <item x="531"/>
        <item m="1" x="4571"/>
        <item m="1" x="4465"/>
        <item x="544"/>
        <item m="1" x="4364"/>
        <item m="1" x="5245"/>
        <item x="1568"/>
        <item m="1" x="5084"/>
        <item x="1569"/>
        <item x="77"/>
        <item x="643"/>
        <item m="1" x="3771"/>
        <item m="1" x="4368"/>
        <item x="2978"/>
        <item x="1573"/>
        <item x="2440"/>
        <item x="2982"/>
        <item m="1" x="5262"/>
        <item m="1" x="5263"/>
        <item m="1" x="4300"/>
        <item m="1" x="4299"/>
        <item m="1" x="5264"/>
        <item x="3242"/>
        <item m="1" x="5118"/>
        <item m="1" x="4475"/>
        <item m="1" x="4603"/>
        <item m="1" x="4492"/>
        <item x="192"/>
        <item x="3247"/>
        <item m="1" x="4026"/>
        <item m="1" x="4448"/>
        <item x="942"/>
        <item x="1861"/>
        <item x="1862"/>
        <item m="1" x="5295"/>
        <item m="1" x="4794"/>
        <item m="1" x="4828"/>
        <item m="1" x="4866"/>
        <item m="1" x="4787"/>
        <item m="1" x="4805"/>
        <item x="2740"/>
        <item m="1" x="4806"/>
        <item m="1" x="4797"/>
        <item m="1" x="5276"/>
        <item m="1" x="5277"/>
        <item m="1" x="5278"/>
        <item m="1" x="5279"/>
        <item m="1" x="5280"/>
        <item m="1" x="5281"/>
        <item m="1" x="5167"/>
        <item m="1" x="5011"/>
        <item x="1522"/>
        <item m="1" x="5012"/>
        <item m="1" x="5013"/>
        <item m="1" x="5024"/>
        <item m="1" x="5025"/>
        <item m="1" x="5023"/>
        <item m="1" x="3703"/>
        <item m="1" x="4708"/>
        <item m="1" x="4833"/>
        <item m="1" x="5026"/>
        <item m="1" x="5027"/>
        <item m="1" x="3969"/>
        <item m="1" x="4887"/>
        <item m="1" x="5196"/>
        <item m="1" x="4688"/>
        <item x="469"/>
        <item x="1415"/>
        <item x="1413"/>
        <item x="48"/>
        <item x="1414"/>
        <item m="1" x="4257"/>
        <item m="1" x="4286"/>
        <item m="1" x="4258"/>
        <item m="1" x="4287"/>
        <item m="1" x="5225"/>
        <item m="1" x="4973"/>
        <item m="1" x="3645"/>
        <item x="2136"/>
        <item m="1" x="4999"/>
        <item m="1" x="4151"/>
        <item m="1" x="3947"/>
        <item m="1" x="3660"/>
        <item m="1" x="4040"/>
        <item m="1" x="5006"/>
        <item x="1299"/>
        <item m="1" x="4398"/>
        <item m="1" x="4612"/>
        <item x="1916"/>
        <item m="1" x="4322"/>
        <item m="1" x="4538"/>
        <item m="1" x="5009"/>
        <item m="1" x="3915"/>
        <item x="2243"/>
        <item x="2899"/>
        <item m="1" x="3702"/>
        <item x="1305"/>
        <item x="2244"/>
        <item m="1" x="4444"/>
        <item x="2245"/>
        <item x="2316"/>
        <item m="1" x="3731"/>
        <item m="1" x="3733"/>
        <item m="1" x="3736"/>
        <item m="1" x="4163"/>
        <item m="1" x="4164"/>
        <item m="1" x="4618"/>
        <item x="521"/>
        <item m="1" x="4213"/>
        <item m="1" x="4214"/>
        <item m="1" x="4112"/>
        <item m="1" x="5068"/>
        <item m="1" x="4113"/>
        <item m="1" x="4115"/>
        <item x="526"/>
        <item m="1" x="4684"/>
        <item m="1" x="4165"/>
        <item m="1" x="4682"/>
        <item m="1" x="4659"/>
        <item x="2358"/>
        <item m="1" x="4166"/>
        <item m="1" x="4116"/>
        <item x="1469"/>
        <item m="1" x="4488"/>
        <item m="1" x="4091"/>
        <item x="2957"/>
        <item m="1" x="4569"/>
        <item m="1" x="5071"/>
        <item m="1" x="4248"/>
        <item m="1" x="4392"/>
        <item m="1" x="4967"/>
        <item m="1" x="5073"/>
        <item m="1" x="4968"/>
        <item x="2961"/>
        <item m="1" x="4969"/>
        <item x="2965"/>
        <item x="3305"/>
        <item m="1" x="4572"/>
        <item x="3306"/>
        <item m="1" x="4971"/>
        <item x="3310"/>
        <item x="3311"/>
        <item m="1" x="4335"/>
        <item m="1" x="4692"/>
        <item m="1" x="4693"/>
        <item m="1" x="5080"/>
        <item x="644"/>
        <item m="1" x="4577"/>
        <item m="1" x="4175"/>
        <item m="1" x="4094"/>
        <item x="1571"/>
        <item m="1" x="4338"/>
        <item m="1" x="4642"/>
        <item m="1" x="5085"/>
        <item m="1" x="4578"/>
        <item m="1" x="5111"/>
        <item m="1" x="5112"/>
        <item x="3252"/>
        <item m="1" x="4212"/>
        <item x="2455"/>
        <item x="2456"/>
        <item x="791"/>
        <item m="1" x="5115"/>
        <item x="1709"/>
        <item m="1" x="4695"/>
        <item x="1801"/>
        <item m="1" x="3856"/>
        <item m="1" x="4647"/>
        <item m="1" x="3860"/>
        <item m="1" x="4686"/>
        <item m="1" x="3857"/>
        <item m="1" x="3868"/>
        <item m="1" x="3869"/>
        <item m="1" x="3878"/>
        <item x="2756"/>
        <item x="2022"/>
        <item x="2757"/>
        <item x="1019"/>
        <item x="2758"/>
        <item x="2023"/>
        <item x="2024"/>
        <item x="2025"/>
        <item x="1020"/>
        <item m="1" x="4224"/>
        <item x="1021"/>
        <item x="2026"/>
        <item m="1" x="4496"/>
        <item x="2095"/>
        <item x="3160"/>
        <item x="258"/>
        <item x="1079"/>
        <item x="259"/>
        <item x="1080"/>
        <item x="3272"/>
        <item m="1" x="4982"/>
        <item m="1" x="4907"/>
        <item m="1" x="4808"/>
        <item m="1" x="4984"/>
        <item m="1" x="4869"/>
        <item m="1" x="4985"/>
        <item m="1" x="4548"/>
        <item m="1" x="4317"/>
        <item m="1" x="3630"/>
        <item m="1" x="4996"/>
        <item m="1" x="4530"/>
        <item m="1" x="4997"/>
        <item m="1" x="3631"/>
        <item m="1" x="3634"/>
        <item m="1" x="4998"/>
        <item m="1" x="3623"/>
        <item m="1" x="4563"/>
        <item m="1" x="4564"/>
        <item x="2367"/>
        <item m="1" x="4362"/>
        <item m="1" x="5069"/>
        <item m="1" x="4626"/>
        <item m="1" x="5070"/>
        <item m="1" x="4897"/>
        <item m="1" x="4920"/>
        <item m="1" x="4768"/>
        <item m="1" x="3753"/>
        <item m="1" x="4575"/>
        <item m="1" x="4295"/>
        <item m="1" x="4408"/>
        <item m="1" x="4420"/>
        <item m="1" x="4582"/>
        <item m="1" x="4579"/>
        <item m="1" x="4580"/>
        <item m="1" x="5093"/>
        <item m="1" x="5094"/>
        <item m="1" x="5095"/>
        <item m="1" x="5096"/>
        <item m="1" x="4585"/>
        <item x="1850"/>
        <item m="1" x="4583"/>
        <item m="1" x="5097"/>
        <item m="1" x="5098"/>
        <item x="332"/>
        <item m="1" x="5099"/>
        <item m="1" x="4581"/>
        <item m="1" x="4614"/>
        <item m="1" x="5100"/>
        <item m="1" x="5101"/>
        <item m="1" x="5102"/>
        <item m="1" x="4584"/>
        <item x="1781"/>
        <item x="1782"/>
        <item x="858"/>
        <item x="2625"/>
        <item x="1823"/>
        <item m="1" x="4632"/>
        <item x="920"/>
        <item m="1" x="5121"/>
        <item x="921"/>
        <item x="951"/>
        <item m="1" x="4476"/>
        <item m="1" x="4604"/>
        <item m="1" x="3930"/>
        <item x="1846"/>
        <item x="944"/>
        <item x="955"/>
        <item x="1892"/>
        <item x="966"/>
        <item x="3058"/>
        <item x="205"/>
        <item x="2714"/>
        <item m="1" x="4786"/>
        <item m="1" x="4884"/>
        <item m="1" x="4607"/>
        <item x="1011"/>
        <item m="1" x="4904"/>
        <item m="1" x="4928"/>
        <item m="1" x="4779"/>
        <item m="1" x="4894"/>
        <item m="1" x="4885"/>
        <item x="1416"/>
        <item x="2940"/>
        <item x="468"/>
        <item x="1417"/>
        <item m="1" x="4625"/>
        <item x="665"/>
        <item m="1" x="5031"/>
        <item m="1" x="4644"/>
        <item x="2319"/>
        <item x="1418"/>
        <item x="1440"/>
        <item x="496"/>
        <item x="497"/>
        <item m="1" x="5014"/>
        <item m="1" x="5015"/>
        <item m="1" x="5016"/>
        <item m="1" x="5090"/>
        <item m="1" x="5091"/>
        <item x="2096"/>
        <item m="1" x="4310"/>
        <item m="1" x="4427"/>
        <item m="1" x="3529"/>
        <item m="1" x="4499"/>
        <item m="1" x="4780"/>
        <item m="1" x="3976"/>
        <item m="1" x="4428"/>
        <item m="1" x="3574"/>
        <item m="1" x="4135"/>
        <item m="1" x="4503"/>
        <item m="1" x="4500"/>
        <item m="1" x="4501"/>
        <item m="1" x="3575"/>
        <item m="1" x="4502"/>
        <item x="1023"/>
        <item m="1" x="3607"/>
        <item m="1" x="3608"/>
        <item m="1" x="4504"/>
        <item m="1" x="4908"/>
        <item m="1" x="4760"/>
        <item m="1" x="3943"/>
        <item x="1218"/>
        <item x="1198"/>
        <item m="1" x="3625"/>
        <item m="1" x="3632"/>
        <item m="1" x="3626"/>
        <item m="1" x="3627"/>
        <item m="1" x="3638"/>
        <item m="1" x="3650"/>
        <item x="389"/>
        <item m="1" x="3684"/>
        <item m="1" x="4543"/>
        <item x="1946"/>
        <item m="1" x="4106"/>
        <item x="30"/>
        <item m="1" x="4640"/>
        <item x="2300"/>
        <item x="2939"/>
        <item x="3293"/>
        <item m="1" x="4941"/>
        <item m="1" x="4621"/>
        <item m="1" x="4611"/>
        <item m="1" x="3734"/>
        <item m="1" x="4225"/>
        <item m="1" x="4314"/>
        <item m="1" x="3955"/>
        <item m="1" x="4485"/>
        <item m="1" x="4820"/>
        <item x="1444"/>
        <item x="1445"/>
        <item x="2951"/>
        <item x="2346"/>
        <item x="528"/>
        <item x="57"/>
        <item m="1" x="4919"/>
        <item m="1" x="4860"/>
        <item m="1" x="4641"/>
        <item m="1" x="4249"/>
        <item m="1" x="3767"/>
        <item x="645"/>
        <item x="646"/>
        <item x="647"/>
        <item x="1506"/>
        <item x="2403"/>
        <item x="594"/>
        <item x="579"/>
        <item x="1549"/>
        <item m="1" x="4932"/>
        <item m="1" x="3772"/>
        <item m="1" x="4942"/>
        <item x="2995"/>
        <item x="1545"/>
        <item x="570"/>
        <item m="1" x="4674"/>
        <item x="1508"/>
        <item m="1" x="4340"/>
        <item x="2390"/>
        <item x="1514"/>
        <item x="2395"/>
        <item m="1" x="4047"/>
        <item m="1" x="4171"/>
        <item m="1" x="4294"/>
        <item m="1" x="4082"/>
        <item m="1" x="4729"/>
        <item x="599"/>
        <item m="1" x="4014"/>
        <item x="1550"/>
        <item x="1553"/>
        <item m="1" x="4070"/>
        <item m="1" x="4921"/>
        <item x="68"/>
        <item m="1" x="4217"/>
        <item m="1" x="4231"/>
        <item m="1" x="3781"/>
        <item m="1" x="3776"/>
        <item m="1" x="4769"/>
        <item x="2976"/>
        <item m="1" x="4048"/>
        <item m="1" x="4174"/>
        <item x="2378"/>
        <item m="1" x="4123"/>
        <item x="1596"/>
        <item m="1" x="4963"/>
        <item m="1" x="4823"/>
        <item m="1" x="4960"/>
        <item m="1" x="4910"/>
        <item m="1" x="4861"/>
        <item m="1" x="4862"/>
        <item m="1" x="4933"/>
        <item m="1" x="4747"/>
        <item m="1" x="3826"/>
        <item x="1630"/>
        <item x="693"/>
        <item x="2473"/>
        <item m="1" x="4700"/>
        <item m="1" x="4694"/>
        <item x="85"/>
        <item m="1" x="4590"/>
        <item m="1" x="4911"/>
        <item m="1" x="4622"/>
        <item x="1633"/>
        <item m="1" x="4730"/>
        <item m="1" x="4944"/>
        <item x="2475"/>
        <item x="2476"/>
        <item x="694"/>
        <item m="1" x="4711"/>
        <item x="695"/>
        <item m="1" x="4701"/>
        <item x="2477"/>
        <item m="1" x="4748"/>
        <item x="697"/>
        <item m="1" x="4735"/>
        <item x="86"/>
        <item m="1" x="4736"/>
        <item x="2478"/>
        <item x="1635"/>
        <item x="1636"/>
        <item x="698"/>
        <item x="699"/>
        <item m="1" x="4888"/>
        <item m="1" x="4771"/>
        <item x="2482"/>
        <item m="1" x="4469"/>
        <item x="1638"/>
        <item x="678"/>
        <item m="1" x="4443"/>
        <item m="1" x="4341"/>
        <item m="1" x="4813"/>
        <item x="709"/>
        <item x="2490"/>
        <item x="2491"/>
        <item x="3003"/>
        <item x="710"/>
        <item x="711"/>
        <item m="1" x="4824"/>
        <item m="1" x="4703"/>
        <item x="712"/>
        <item m="1" x="4737"/>
        <item x="1640"/>
        <item m="1" x="4591"/>
        <item x="89"/>
        <item x="713"/>
        <item x="1642"/>
        <item m="1" x="3962"/>
        <item x="1644"/>
        <item m="1" x="4750"/>
        <item m="1" x="4889"/>
        <item x="724"/>
        <item x="1651"/>
        <item m="1" x="4912"/>
        <item m="1" x="4784"/>
        <item x="729"/>
        <item m="1" x="4892"/>
        <item m="1" x="4470"/>
        <item x="2518"/>
        <item x="737"/>
        <item x="1659"/>
        <item x="104"/>
        <item m="1" x="4297"/>
        <item x="738"/>
        <item x="105"/>
        <item x="739"/>
        <item m="1" x="4421"/>
        <item m="1" x="4471"/>
        <item x="106"/>
        <item m="1" x="4472"/>
        <item x="2520"/>
        <item x="2521"/>
        <item x="785"/>
        <item x="2547"/>
        <item x="152"/>
        <item x="2548"/>
        <item x="2560"/>
        <item m="1" x="3827"/>
        <item m="1" x="4473"/>
        <item m="1" x="4423"/>
        <item m="1" x="4489"/>
        <item m="1" x="4445"/>
        <item m="1" x="4446"/>
        <item m="1" x="4645"/>
        <item m="1" x="4409"/>
        <item m="1" x="3861"/>
        <item m="1" x="3864"/>
        <item m="1" x="4649"/>
        <item m="1" x="4740"/>
        <item m="1" x="4631"/>
        <item m="1" x="4347"/>
        <item m="1" x="4178"/>
        <item x="1874"/>
        <item x="1875"/>
        <item x="1877"/>
        <item x="2648"/>
        <item x="959"/>
        <item x="1881"/>
        <item m="1" x="4792"/>
        <item x="3057"/>
        <item x="1882"/>
        <item x="1883"/>
        <item x="2651"/>
        <item m="1" x="4716"/>
        <item x="1884"/>
        <item x="1885"/>
        <item x="961"/>
        <item m="1" x="4755"/>
        <item x="2652"/>
        <item x="1886"/>
        <item x="1887"/>
        <item x="2653"/>
        <item x="963"/>
        <item x="1889"/>
        <item x="1890"/>
        <item x="2654"/>
        <item m="1" x="4741"/>
        <item x="1891"/>
        <item m="1" x="4793"/>
        <item x="964"/>
        <item m="1" x="4606"/>
        <item m="1" x="4348"/>
        <item m="1" x="4609"/>
        <item m="1" x="4349"/>
        <item m="1" x="4610"/>
        <item x="2762"/>
        <item x="2763"/>
        <item x="2042"/>
        <item m="1" x="4662"/>
        <item x="1027"/>
        <item x="1028"/>
        <item m="1" x="4683"/>
        <item x="2764"/>
        <item x="2043"/>
        <item x="2044"/>
        <item m="1" x="3993"/>
        <item m="1" x="3994"/>
        <item m="1" x="3995"/>
        <item m="1" x="4038"/>
        <item m="1" x="3998"/>
        <item m="1" x="3948"/>
        <item m="1" x="4200"/>
        <item m="1" x="3949"/>
        <item m="1" x="4000"/>
        <item m="1" x="4154"/>
        <item x="3409"/>
        <item x="3493"/>
        <item x="3410"/>
        <item m="1" x="3710"/>
        <item m="1" x="3715"/>
        <item m="1" x="4357"/>
        <item m="1" x="3711"/>
        <item m="1" x="3713"/>
        <item m="1" x="3712"/>
        <item x="2733"/>
        <item m="1" x="4821"/>
        <item m="1" x="4871"/>
        <item x="267"/>
        <item m="1" x="3511"/>
        <item x="377"/>
        <item m="1" x="4617"/>
        <item x="2239"/>
        <item x="1930"/>
        <item m="1" x="4202"/>
        <item x="984"/>
        <item x="1298"/>
        <item m="1" x="4254"/>
        <item m="1" x="4552"/>
        <item m="1" x="4553"/>
        <item m="1" x="4554"/>
        <item m="1" x="4555"/>
        <item m="1" x="4550"/>
        <item m="1" x="4549"/>
        <item m="1" x="4556"/>
        <item m="1" x="4551"/>
        <item m="1" x="3709"/>
        <item m="1" x="3706"/>
        <item m="1" x="4435"/>
        <item m="1" x="4558"/>
        <item m="1" x="4637"/>
        <item m="1" x="4638"/>
        <item m="1" x="4561"/>
        <item m="1" x="4655"/>
        <item m="1" x="4562"/>
        <item m="1" x="3707"/>
        <item m="1" x="4557"/>
        <item x="2301"/>
        <item m="1" x="4681"/>
        <item x="1431"/>
        <item m="1" x="4089"/>
        <item x="1441"/>
        <item x="494"/>
        <item x="495"/>
        <item x="1443"/>
        <item x="2342"/>
        <item x="1448"/>
        <item x="2343"/>
        <item x="2950"/>
        <item x="502"/>
        <item x="503"/>
        <item x="2344"/>
        <item x="504"/>
        <item x="2345"/>
        <item x="1449"/>
        <item x="1450"/>
        <item x="1451"/>
        <item x="1452"/>
        <item x="1453"/>
        <item x="505"/>
        <item x="506"/>
        <item x="53"/>
        <item m="1" x="4687"/>
        <item m="1" x="3747"/>
        <item m="1" x="4122"/>
        <item m="1" x="4440"/>
        <item x="3294"/>
        <item x="3180"/>
        <item m="1" x="4570"/>
        <item m="1" x="4650"/>
        <item m="1" x="4464"/>
        <item m="1" x="4574"/>
        <item x="649"/>
        <item x="573"/>
        <item x="1520"/>
        <item x="69"/>
        <item x="1524"/>
        <item x="1547"/>
        <item m="1" x="4172"/>
        <item m="1" x="3769"/>
        <item m="1" x="4576"/>
        <item m="1" x="4661"/>
        <item m="1" x="4657"/>
        <item m="1" x="4619"/>
        <item m="1" x="4615"/>
        <item x="148"/>
        <item x="1705"/>
        <item m="1" x="4378"/>
        <item m="1" x="4196"/>
        <item m="1" x="4370"/>
        <item m="1" x="4413"/>
        <item x="2874"/>
        <item x="337"/>
        <item x="1183"/>
        <item m="1" x="4318"/>
        <item x="1226"/>
        <item m="1" x="4316"/>
        <item x="2177"/>
        <item x="317"/>
        <item m="1" x="4430"/>
        <item m="1" x="4514"/>
        <item m="1" x="4319"/>
        <item m="1" x="4509"/>
        <item m="1" x="4651"/>
        <item x="1149"/>
        <item x="1142"/>
        <item x="2834"/>
        <item x="11"/>
        <item m="1" x="4456"/>
        <item m="1" x="4526"/>
        <item x="2135"/>
        <item m="1" x="4186"/>
        <item x="2162"/>
        <item m="1" x="4515"/>
        <item m="1" x="4516"/>
        <item m="1" x="4517"/>
        <item x="1144"/>
        <item m="1" x="4411"/>
        <item m="1" x="4628"/>
        <item m="1" x="4518"/>
        <item m="1" x="4506"/>
        <item x="2169"/>
        <item x="298"/>
        <item x="2133"/>
        <item x="2837"/>
        <item x="299"/>
        <item x="2125"/>
        <item m="1" x="4507"/>
        <item x="1145"/>
        <item x="296"/>
        <item x="2129"/>
        <item m="1" x="3920"/>
        <item x="297"/>
        <item m="1" x="4138"/>
        <item m="1" x="4519"/>
        <item x="2839"/>
        <item x="2130"/>
        <item m="1" x="4185"/>
        <item m="1" x="4510"/>
        <item m="1" x="4520"/>
        <item m="1" x="4137"/>
        <item m="1" x="4187"/>
        <item m="1" x="4643"/>
        <item x="2126"/>
        <item x="1146"/>
        <item x="1147"/>
        <item m="1" x="3940"/>
        <item x="2841"/>
        <item x="2127"/>
        <item x="1148"/>
        <item x="2131"/>
        <item m="1" x="4035"/>
        <item m="1" x="4521"/>
        <item x="1143"/>
        <item m="1" x="4230"/>
        <item m="1" x="4671"/>
        <item m="1" x="4690"/>
        <item m="1" x="4366"/>
        <item m="1" x="4598"/>
        <item m="1" x="4596"/>
        <item m="1" x="3835"/>
        <item m="1" x="3838"/>
        <item m="1" x="3841"/>
        <item m="1" x="3840"/>
        <item m="1" x="3836"/>
        <item m="1" x="3839"/>
        <item x="3331"/>
        <item x="3332"/>
        <item x="3333"/>
        <item x="3471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5"/>
        <item x="3376"/>
        <item x="3377"/>
        <item x="3379"/>
        <item x="3380"/>
        <item x="3381"/>
        <item x="3382"/>
        <item x="3496"/>
        <item x="3383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9"/>
        <item x="3400"/>
        <item x="3401"/>
        <item x="3402"/>
        <item x="3403"/>
        <item x="3489"/>
        <item x="3404"/>
        <item x="3405"/>
        <item x="3406"/>
        <item x="3407"/>
        <item x="3408"/>
        <item x="2624"/>
        <item x="2627"/>
        <item x="886"/>
        <item x="887"/>
        <item x="888"/>
        <item x="2628"/>
        <item x="2629"/>
        <item x="1825"/>
        <item x="889"/>
        <item x="890"/>
        <item x="891"/>
        <item x="892"/>
        <item x="163"/>
        <item x="893"/>
        <item x="1826"/>
        <item x="894"/>
        <item x="895"/>
        <item x="164"/>
        <item x="165"/>
        <item x="166"/>
        <item x="167"/>
        <item x="896"/>
        <item x="168"/>
        <item x="169"/>
        <item x="897"/>
        <item x="1827"/>
        <item x="898"/>
        <item x="901"/>
        <item x="900"/>
        <item x="903"/>
        <item x="899"/>
        <item x="170"/>
        <item x="902"/>
        <item x="2630"/>
        <item x="935"/>
        <item x="936"/>
        <item m="1" x="4477"/>
        <item x="941"/>
        <item m="1" x="3972"/>
        <item x="1856"/>
        <item x="1858"/>
        <item x="2639"/>
        <item x="933"/>
        <item x="2655"/>
        <item x="2656"/>
        <item x="965"/>
        <item x="2657"/>
        <item x="3249"/>
        <item m="1" x="3643"/>
        <item m="1" x="4253"/>
        <item m="1" x="3802"/>
        <item m="1" x="3817"/>
        <item m="1" x="3816"/>
        <item m="1" x="4108"/>
        <item m="1" x="3821"/>
        <item m="1" x="3812"/>
        <item m="1" x="4109"/>
        <item x="1679"/>
        <item x="3028"/>
        <item x="2531"/>
        <item x="3029"/>
        <item x="2532"/>
        <item x="2533"/>
        <item x="2538"/>
        <item x="1680"/>
        <item x="1681"/>
        <item x="3230"/>
        <item x="1683"/>
        <item x="2534"/>
        <item x="783"/>
        <item x="3231"/>
        <item x="3032"/>
        <item x="3031"/>
        <item x="1684"/>
        <item x="1682"/>
        <item x="2535"/>
        <item x="3034"/>
        <item x="1685"/>
        <item x="1686"/>
        <item x="2536"/>
        <item x="3232"/>
        <item x="2541"/>
        <item x="1687"/>
        <item x="1688"/>
        <item x="2540"/>
        <item x="1678"/>
        <item x="784"/>
        <item x="2539"/>
        <item x="3033"/>
        <item x="2542"/>
        <item m="1" x="3532"/>
        <item x="49"/>
        <item m="1" x="3533"/>
        <item x="472"/>
        <item m="1" x="4284"/>
        <item m="1" x="3550"/>
        <item m="1" x="3956"/>
        <item m="1" x="4633"/>
        <item m="1" x="4634"/>
        <item m="1" x="4459"/>
        <item m="1" x="3957"/>
        <item x="474"/>
        <item x="1847"/>
        <item m="1" x="4157"/>
        <item m="1" x="3576"/>
        <item m="1" x="4134"/>
        <item m="1" x="4005"/>
        <item m="1" x="3562"/>
        <item x="1429"/>
        <item x="1423"/>
        <item m="1" x="4044"/>
        <item x="2638"/>
        <item m="1" x="4042"/>
        <item x="2332"/>
        <item x="2187"/>
        <item x="2328"/>
        <item m="1" x="4358"/>
        <item x="3275"/>
        <item x="2942"/>
        <item x="2944"/>
        <item x="3175"/>
        <item x="3178"/>
        <item m="1" x="4102"/>
        <item m="1" x="3635"/>
        <item x="38"/>
        <item x="2302"/>
        <item x="657"/>
        <item x="485"/>
        <item x="493"/>
        <item x="1442"/>
        <item x="498"/>
        <item x="507"/>
        <item x="2952"/>
        <item m="1" x="4168"/>
        <item x="1475"/>
        <item m="1" x="4117"/>
        <item m="1" x="4169"/>
        <item m="1" x="4170"/>
        <item x="2362"/>
        <item m="1" x="3757"/>
        <item x="1474"/>
        <item m="1" x="4442"/>
        <item m="1" x="4176"/>
        <item x="78"/>
        <item m="1" x="4292"/>
        <item x="79"/>
        <item x="814"/>
        <item m="1" x="4600"/>
        <item x="3398"/>
        <item x="3411"/>
        <item x="3412"/>
        <item x="3413"/>
        <item x="3414"/>
        <item x="3415"/>
        <item x="906"/>
        <item x="904"/>
        <item x="171"/>
        <item x="1829"/>
        <item x="172"/>
        <item x="905"/>
        <item x="1828"/>
        <item x="2631"/>
        <item x="173"/>
        <item m="1" x="4491"/>
        <item m="1" x="4221"/>
        <item x="945"/>
        <item x="918"/>
        <item x="181"/>
        <item m="1" x="4449"/>
        <item m="1" x="3929"/>
        <item x="184"/>
        <item x="185"/>
        <item x="927"/>
        <item x="928"/>
        <item x="1854"/>
        <item x="1857"/>
        <item x="1852"/>
        <item m="1" x="3932"/>
        <item x="351"/>
        <item x="1022"/>
        <item x="2027"/>
        <item x="2028"/>
        <item x="2029"/>
        <item x="1029"/>
        <item x="2049"/>
        <item x="2766"/>
        <item x="1030"/>
        <item x="2050"/>
        <item x="2867"/>
        <item x="331"/>
        <item x="2865"/>
        <item x="2846"/>
        <item x="309"/>
        <item x="2864"/>
        <item x="2250"/>
        <item x="2186"/>
        <item x="2873"/>
        <item x="2850"/>
        <item x="2193"/>
        <item x="2356"/>
        <item x="2200"/>
        <item x="1244"/>
        <item x="2180"/>
        <item x="2192"/>
        <item x="1229"/>
        <item x="1228"/>
        <item x="2185"/>
        <item x="2366"/>
        <item x="2190"/>
        <item x="2179"/>
        <item x="2194"/>
        <item x="1499"/>
        <item x="3169"/>
        <item x="294"/>
        <item x="2832"/>
        <item x="295"/>
        <item x="12"/>
        <item x="2132"/>
        <item x="2833"/>
        <item x="2840"/>
        <item x="2835"/>
        <item x="1150"/>
        <item x="2836"/>
        <item x="322"/>
        <item x="300"/>
        <item x="23"/>
        <item x="1151"/>
        <item x="2842"/>
        <item x="13"/>
        <item x="2838"/>
        <item x="2134"/>
        <item m="1" x="4188"/>
        <item x="1154"/>
        <item x="2142"/>
        <item x="14"/>
        <item x="2137"/>
        <item x="3163"/>
        <item x="2138"/>
        <item x="1152"/>
        <item x="586"/>
        <item m="1" x="4032"/>
        <item x="2140"/>
        <item x="1153"/>
        <item x="2139"/>
        <item x="2141"/>
        <item x="1155"/>
        <item m="1" x="4350"/>
        <item x="2144"/>
        <item x="2143"/>
        <item x="301"/>
        <item x="1156"/>
        <item m="1" x="4193"/>
        <item x="1157"/>
        <item m="1" x="3615"/>
        <item x="2145"/>
        <item m="1" x="4267"/>
        <item x="302"/>
        <item m="1" x="4085"/>
        <item m="1" x="4142"/>
        <item m="1" x="4141"/>
        <item m="1" x="4144"/>
        <item m="1" x="4098"/>
        <item m="1" x="4189"/>
        <item m="1" x="4139"/>
        <item m="1" x="4192"/>
        <item m="1" x="4143"/>
        <item m="1" x="4191"/>
        <item m="1" x="4140"/>
        <item m="1" x="4351"/>
        <item m="1" x="4527"/>
        <item m="1" x="4511"/>
        <item m="1" x="4528"/>
        <item x="2226"/>
        <item x="361"/>
        <item x="1479"/>
        <item x="1270"/>
        <item x="362"/>
        <item x="363"/>
        <item x="1271"/>
        <item x="1272"/>
        <item x="25"/>
        <item m="1" x="4037"/>
        <item m="1" x="4532"/>
        <item m="1" x="4414"/>
        <item m="1" x="4531"/>
        <item m="1" x="3849"/>
        <item m="1" x="3921"/>
        <item x="2234"/>
        <item x="1293"/>
        <item x="378"/>
        <item x="2235"/>
        <item m="1" x="4533"/>
        <item m="1" x="4540"/>
        <item x="2896"/>
        <item x="2692"/>
        <item x="2660"/>
        <item x="2897"/>
        <item x="982"/>
        <item m="1" x="4001"/>
        <item x="2706"/>
        <item x="993"/>
        <item m="1" x="4382"/>
        <item m="1" x="4080"/>
        <item x="1958"/>
        <item m="1" x="4431"/>
        <item m="1" x="4239"/>
        <item m="1" x="4240"/>
        <item x="3288"/>
        <item m="1" x="3951"/>
        <item x="2693"/>
        <item x="1297"/>
        <item x="1931"/>
        <item x="3289"/>
        <item x="1933"/>
        <item m="1" x="4432"/>
        <item m="1" x="4535"/>
        <item m="1" x="4396"/>
        <item x="1934"/>
        <item m="1" x="4028"/>
        <item m="1" x="4383"/>
        <item x="2240"/>
        <item x="2666"/>
        <item x="3071"/>
        <item x="2695"/>
        <item x="2696"/>
        <item x="2697"/>
        <item m="1" x="4081"/>
        <item x="1899"/>
        <item m="1" x="3686"/>
        <item x="985"/>
        <item m="1" x="4415"/>
        <item x="1974"/>
        <item m="1" x="4397"/>
        <item m="1" x="4542"/>
        <item x="3074"/>
        <item x="1911"/>
        <item m="1" x="4537"/>
        <item x="1901"/>
        <item x="972"/>
        <item x="3059"/>
        <item m="1" x="4399"/>
        <item x="1938"/>
        <item m="1" x="4536"/>
        <item m="1" x="4228"/>
        <item m="1" x="4384"/>
        <item m="1" x="4241"/>
        <item x="1902"/>
        <item x="1940"/>
        <item x="1282"/>
        <item m="1" x="4385"/>
        <item x="1942"/>
        <item x="1943"/>
        <item x="1952"/>
        <item m="1" x="4386"/>
        <item x="1301"/>
        <item m="1" x="3952"/>
        <item x="1904"/>
        <item m="1" x="4401"/>
        <item x="1964"/>
        <item x="1302"/>
        <item x="2242"/>
        <item x="390"/>
        <item x="1917"/>
        <item m="1" x="4387"/>
        <item x="3073"/>
        <item m="1" x="4013"/>
        <item m="1" x="4155"/>
        <item x="2704"/>
        <item m="1" x="4544"/>
        <item x="1959"/>
        <item x="1923"/>
        <item m="1" x="4434"/>
        <item x="2661"/>
        <item x="2701"/>
        <item x="2709"/>
        <item m="1" x="4416"/>
        <item x="973"/>
        <item x="1303"/>
        <item m="1" x="4539"/>
        <item x="2663"/>
        <item m="1" x="4417"/>
        <item x="1955"/>
        <item m="1" x="3818"/>
        <item m="1" x="4436"/>
        <item m="1" x="3820"/>
        <item m="1" x="4325"/>
        <item m="1" x="4205"/>
        <item m="1" x="4418"/>
        <item x="1486"/>
        <item m="1" x="4160"/>
        <item m="1" x="4566"/>
        <item m="1" x="4159"/>
        <item m="1" x="4568"/>
        <item m="1" x="4363"/>
        <item m="1" x="4567"/>
        <item m="1" x="4332"/>
        <item m="1" x="4333"/>
        <item x="602"/>
        <item m="1" x="4462"/>
        <item m="1" x="3746"/>
        <item m="1" x="3777"/>
        <item x="1728"/>
        <item x="1729"/>
        <item x="1730"/>
        <item x="1731"/>
        <item x="818"/>
        <item x="3039"/>
        <item x="819"/>
        <item x="2567"/>
        <item x="820"/>
        <item x="2568"/>
        <item x="1732"/>
        <item x="821"/>
        <item x="1733"/>
        <item x="2569"/>
        <item x="1734"/>
        <item x="2570"/>
        <item x="1735"/>
        <item x="1736"/>
        <item x="1737"/>
        <item x="1738"/>
        <item x="1739"/>
        <item x="1740"/>
        <item x="2571"/>
        <item x="2572"/>
        <item x="822"/>
        <item x="2573"/>
        <item x="3233"/>
        <item x="1741"/>
        <item x="2574"/>
        <item x="823"/>
        <item x="824"/>
        <item x="2575"/>
        <item x="1742"/>
        <item x="1743"/>
        <item x="1744"/>
        <item x="825"/>
        <item x="826"/>
        <item x="827"/>
        <item x="828"/>
        <item x="1745"/>
        <item x="1746"/>
        <item x="1747"/>
        <item x="1748"/>
        <item x="1749"/>
        <item x="2576"/>
        <item x="1750"/>
        <item x="1751"/>
        <item x="2577"/>
        <item x="1752"/>
        <item x="3234"/>
        <item x="1753"/>
        <item x="1754"/>
        <item x="1755"/>
        <item x="1756"/>
        <item x="829"/>
        <item x="830"/>
        <item x="2578"/>
        <item x="1757"/>
        <item x="1758"/>
        <item x="1759"/>
        <item x="1760"/>
        <item x="831"/>
        <item x="1761"/>
        <item x="832"/>
        <item x="2579"/>
        <item x="2580"/>
        <item x="833"/>
        <item x="3235"/>
        <item x="1762"/>
        <item x="2581"/>
        <item x="1763"/>
        <item x="834"/>
        <item x="1764"/>
        <item x="2582"/>
        <item x="835"/>
        <item x="836"/>
        <item x="2583"/>
        <item x="837"/>
        <item x="1765"/>
        <item x="2584"/>
        <item x="1766"/>
        <item x="838"/>
        <item x="153"/>
        <item x="154"/>
        <item x="1767"/>
        <item x="2585"/>
        <item x="1768"/>
        <item x="2586"/>
        <item x="1769"/>
        <item x="839"/>
        <item x="1770"/>
        <item x="840"/>
        <item x="2587"/>
        <item x="841"/>
        <item x="842"/>
        <item x="843"/>
        <item x="1771"/>
        <item x="1772"/>
        <item x="844"/>
        <item x="3040"/>
        <item x="2588"/>
        <item x="2589"/>
        <item x="845"/>
        <item x="2590"/>
        <item x="846"/>
        <item x="1773"/>
        <item x="1774"/>
        <item x="847"/>
        <item x="1775"/>
        <item x="2591"/>
        <item x="667"/>
        <item x="848"/>
        <item x="2592"/>
        <item x="2593"/>
        <item x="2594"/>
        <item x="1776"/>
        <item x="849"/>
        <item x="850"/>
        <item x="2595"/>
        <item x="2596"/>
        <item x="2597"/>
        <item x="851"/>
        <item x="3041"/>
        <item x="2598"/>
        <item x="1777"/>
        <item x="2599"/>
        <item x="2600"/>
        <item x="852"/>
        <item x="2602"/>
        <item x="3042"/>
        <item x="853"/>
        <item x="1779"/>
        <item x="3236"/>
        <item x="3043"/>
        <item x="3044"/>
        <item x="856"/>
        <item x="857"/>
        <item x="3045"/>
        <item x="155"/>
        <item x="1783"/>
        <item x="1784"/>
        <item x="859"/>
        <item x="860"/>
        <item x="2603"/>
        <item x="861"/>
        <item x="1785"/>
        <item x="862"/>
        <item x="863"/>
        <item x="3237"/>
        <item x="1786"/>
        <item x="156"/>
        <item x="3046"/>
        <item x="3047"/>
        <item x="864"/>
        <item x="865"/>
        <item x="3244"/>
        <item x="2618"/>
        <item x="3245"/>
        <item x="3246"/>
        <item x="3049"/>
        <item x="1803"/>
        <item m="1" x="4262"/>
        <item m="1" x="4343"/>
        <item m="1" x="4345"/>
        <item m="1" x="3853"/>
        <item m="1" x="4602"/>
        <item m="1" x="3852"/>
        <item m="1" x="3850"/>
        <item x="3055"/>
        <item x="1876"/>
        <item x="957"/>
        <item x="958"/>
        <item x="1878"/>
        <item x="1879"/>
        <item x="2649"/>
        <item x="3056"/>
        <item x="960"/>
        <item x="1880"/>
        <item x="2650"/>
        <item x="198"/>
        <item x="962"/>
        <item x="199"/>
        <item m="1" x="4547"/>
        <item x="1007"/>
        <item x="1982"/>
        <item m="1" x="4452"/>
        <item x="1990"/>
        <item x="1992"/>
        <item x="1997"/>
        <item x="2008"/>
        <item x="2715"/>
        <item x="2716"/>
        <item m="1" x="4055"/>
        <item x="2738"/>
        <item x="3080"/>
        <item x="3081"/>
        <item x="3084"/>
        <item x="3089"/>
        <item x="3094"/>
        <item x="3099"/>
        <item x="3101"/>
        <item x="3102"/>
        <item x="3104"/>
        <item x="3105"/>
        <item m="1" x="4312"/>
        <item x="303"/>
        <item x="2843"/>
        <item m="1" x="4034"/>
        <item x="1158"/>
        <item x="1159"/>
        <item m="1" x="3621"/>
        <item x="1160"/>
        <item x="2146"/>
        <item x="1161"/>
        <item m="1" x="4313"/>
        <item m="1" x="4457"/>
        <item m="1" x="4412"/>
        <item x="1162"/>
        <item x="2147"/>
        <item x="2148"/>
        <item x="1163"/>
        <item m="1" x="3941"/>
        <item m="1" x="4060"/>
        <item x="1164"/>
        <item x="1166"/>
        <item x="2149"/>
        <item x="1165"/>
        <item x="304"/>
        <item x="2150"/>
        <item m="1" x="3985"/>
        <item x="305"/>
        <item m="1" x="4195"/>
        <item m="1" x="4149"/>
        <item m="1" x="4145"/>
        <item m="1" x="4146"/>
        <item m="1" x="4099"/>
        <item m="1" x="4194"/>
        <item m="1" x="4147"/>
        <item m="1" x="4148"/>
        <item x="1168"/>
        <item x="2844"/>
        <item x="2152"/>
        <item x="2154"/>
        <item x="15"/>
        <item x="1167"/>
        <item m="1" x="3616"/>
        <item x="3164"/>
        <item x="2178"/>
        <item x="2871"/>
        <item x="1230"/>
        <item x="1232"/>
        <item x="1294"/>
        <item x="380"/>
        <item m="1" x="4321"/>
        <item m="1" x="4274"/>
        <item m="1" x="4275"/>
        <item m="1" x="4276"/>
        <item m="1" x="4277"/>
        <item x="2238"/>
        <item x="3250"/>
        <item x="2898"/>
        <item x="3064"/>
        <item x="3077"/>
        <item x="3078"/>
        <item x="325"/>
        <item m="1" x="3916"/>
        <item x="2241"/>
        <item x="1962"/>
        <item x="39"/>
        <item x="2931"/>
        <item m="1" x="4359"/>
        <item m="1" x="4067"/>
        <item m="1" x="4088"/>
        <item x="1420"/>
        <item x="1421"/>
        <item m="1" x="4209"/>
        <item x="2322"/>
        <item x="2323"/>
        <item x="2324"/>
        <item x="470"/>
        <item m="1" x="3735"/>
        <item x="1422"/>
        <item x="2326"/>
        <item x="471"/>
        <item m="1" x="4360"/>
        <item x="2327"/>
        <item x="2347"/>
        <item x="2348"/>
        <item x="2339"/>
        <item x="508"/>
        <item x="2349"/>
        <item x="2350"/>
        <item x="54"/>
        <item x="509"/>
        <item x="1455"/>
        <item x="510"/>
        <item x="2351"/>
        <item x="511"/>
        <item x="512"/>
        <item x="1472"/>
        <item m="1" x="4119"/>
        <item m="1" x="4288"/>
        <item m="1" x="4289"/>
        <item m="1" x="4260"/>
        <item m="1" x="4261"/>
        <item m="1" x="4367"/>
        <item m="1" x="4293"/>
        <item x="2612"/>
        <item x="1597"/>
        <item x="2450"/>
        <item x="2556"/>
        <item x="2566"/>
        <item x="1700"/>
        <item x="2558"/>
        <item x="1727"/>
        <item m="1" x="3966"/>
        <item m="1" x="4298"/>
        <item m="1" x="3967"/>
        <item m="1" x="4301"/>
        <item m="1" x="4052"/>
        <item x="2604"/>
        <item x="2605"/>
        <item x="2606"/>
        <item x="1787"/>
        <item x="3416"/>
        <item x="3417"/>
        <item x="3418"/>
        <item x="3419"/>
        <item x="3420"/>
        <item x="3421"/>
        <item x="1707"/>
        <item x="3482"/>
        <item x="3422"/>
        <item x="3423"/>
        <item x="3424"/>
        <item x="3425"/>
        <item x="3426"/>
        <item x="3427"/>
        <item x="3428"/>
        <item x="3429"/>
        <item x="3430"/>
        <item x="3431"/>
        <item x="3433"/>
        <item x="3434"/>
        <item x="2281"/>
        <item x="3435"/>
        <item x="3436"/>
        <item x="3437"/>
        <item x="177"/>
        <item x="176"/>
        <item x="174"/>
        <item x="907"/>
        <item x="2632"/>
        <item x="908"/>
        <item x="175"/>
        <item m="1" x="3858"/>
        <item m="1" x="4490"/>
        <item m="1" x="4447"/>
        <item x="1897"/>
        <item x="971"/>
        <item x="1900"/>
        <item x="2662"/>
        <item x="2045"/>
        <item x="2765"/>
        <item x="2048"/>
        <item m="1" x="4426"/>
        <item x="1071"/>
        <item x="1064"/>
        <item x="252"/>
        <item m="1" x="4478"/>
        <item x="1066"/>
        <item m="1" x="4132"/>
        <item m="1" x="4479"/>
        <item x="234"/>
        <item x="254"/>
        <item x="5"/>
        <item m="1" x="4454"/>
        <item x="2093"/>
        <item m="1" x="3977"/>
        <item m="1" x="3935"/>
        <item m="1" x="3545"/>
        <item m="1" x="3596"/>
        <item m="1" x="3577"/>
        <item m="1" x="3546"/>
        <item m="1" x="3547"/>
        <item m="1" x="3578"/>
        <item m="1" x="3579"/>
        <item m="1" x="3548"/>
        <item m="1" x="3605"/>
        <item m="1" x="3580"/>
        <item m="1" x="3978"/>
        <item m="1" x="3549"/>
        <item m="1" x="4429"/>
        <item m="1" x="4031"/>
        <item m="1" x="3979"/>
        <item m="1" x="4136"/>
        <item m="1" x="3581"/>
        <item m="1" x="3597"/>
        <item m="1" x="3640"/>
        <item m="1" x="3641"/>
        <item m="1" x="3642"/>
        <item m="1" x="4320"/>
        <item m="1" x="4355"/>
        <item x="36"/>
        <item x="569"/>
        <item x="439"/>
        <item x="282"/>
        <item x="2431"/>
        <item x="795"/>
        <item x="997"/>
        <item x="1052"/>
        <item x="3113"/>
        <item x="3124"/>
        <item x="2785"/>
        <item x="2782"/>
        <item x="213"/>
        <item x="2057"/>
        <item x="2787"/>
        <item x="214"/>
        <item x="2803"/>
        <item x="3261"/>
        <item x="2069"/>
        <item x="3136"/>
        <item x="2061"/>
        <item x="2778"/>
        <item x="3264"/>
        <item x="1038"/>
        <item x="2805"/>
        <item x="2801"/>
        <item x="2794"/>
        <item x="222"/>
        <item x="1041"/>
        <item x="3129"/>
        <item x="2059"/>
        <item x="3296"/>
        <item x="1483"/>
        <item x="545"/>
        <item x="3299"/>
        <item x="548"/>
        <item m="1" x="4259"/>
        <item m="1" x="4407"/>
        <item x="3301"/>
        <item x="3302"/>
        <item x="552"/>
        <item x="3303"/>
        <item x="1249"/>
        <item x="3307"/>
        <item x="558"/>
        <item x="3309"/>
        <item m="1" x="4215"/>
        <item x="560"/>
        <item m="1" x="4441"/>
        <item m="1" x="4118"/>
        <item x="1498"/>
        <item x="3313"/>
        <item x="3315"/>
        <item x="566"/>
        <item x="3319"/>
        <item x="3320"/>
        <item x="3322"/>
        <item x="2963"/>
        <item x="572"/>
        <item x="2392"/>
        <item x="1956"/>
        <item x="2397"/>
        <item x="581"/>
        <item x="1967"/>
        <item x="593"/>
        <item m="1" x="4049"/>
        <item x="2429"/>
        <item x="1546"/>
        <item x="71"/>
        <item x="2917"/>
        <item x="2609"/>
        <item x="1575"/>
        <item x="1576"/>
        <item x="1578"/>
        <item x="1579"/>
        <item x="1580"/>
        <item x="2441"/>
        <item x="2442"/>
        <item x="1581"/>
        <item x="1582"/>
        <item x="1583"/>
        <item x="2980"/>
        <item x="1584"/>
        <item x="1585"/>
        <item x="663"/>
        <item x="1586"/>
        <item x="1587"/>
        <item x="2443"/>
        <item x="2444"/>
        <item x="1588"/>
        <item x="1589"/>
        <item x="664"/>
        <item x="2445"/>
        <item x="1590"/>
        <item x="1591"/>
        <item x="1592"/>
        <item x="2446"/>
        <item x="1593"/>
        <item x="2447"/>
        <item x="1838"/>
        <item x="1839"/>
        <item x="3051"/>
        <item x="3052"/>
        <item x="1833"/>
        <item x="1834"/>
        <item x="915"/>
        <item x="3054"/>
        <item x="1837"/>
        <item x="1842"/>
        <item x="3053"/>
        <item x="1868"/>
        <item x="922"/>
        <item m="1" x="3973"/>
        <item m="1" x="4025"/>
        <item x="937"/>
        <item m="1" x="4027"/>
        <item x="934"/>
        <item x="191"/>
        <item m="1" x="3879"/>
        <item x="947"/>
        <item x="1866"/>
        <item x="195"/>
        <item x="948"/>
        <item x="1864"/>
        <item x="190"/>
        <item m="1" x="3971"/>
        <item x="1853"/>
        <item x="943"/>
        <item x="194"/>
        <item x="196"/>
        <item x="2941"/>
        <item x="3116"/>
        <item x="3263"/>
        <item x="2797"/>
        <item x="227"/>
        <item x="2062"/>
        <item x="3133"/>
        <item x="223"/>
        <item x="2802"/>
        <item x="1054"/>
        <item x="2058"/>
        <item x="3123"/>
        <item x="3257"/>
        <item x="221"/>
        <item x="1046"/>
        <item x="1049"/>
        <item x="220"/>
        <item x="224"/>
        <item x="1036"/>
        <item x="3266"/>
        <item x="2786"/>
        <item x="2795"/>
        <item x="3132"/>
        <item x="2996"/>
        <item x="2997"/>
        <item x="2998"/>
        <item x="688"/>
        <item x="2471"/>
        <item x="689"/>
        <item x="690"/>
        <item x="2999"/>
        <item x="82"/>
        <item x="83"/>
        <item x="2472"/>
        <item x="691"/>
        <item x="692"/>
        <item x="1631"/>
        <item x="84"/>
        <item x="1632"/>
        <item x="3000"/>
        <item x="3001"/>
        <item x="3211"/>
        <item x="2484"/>
        <item x="3212"/>
        <item x="2486"/>
        <item x="3214"/>
        <item x="3004"/>
        <item x="3005"/>
        <item x="3008"/>
        <item x="3216"/>
        <item x="3218"/>
        <item x="3219"/>
        <item x="3222"/>
        <item x="3011"/>
        <item x="3225"/>
        <item x="726"/>
        <item x="3227"/>
        <item x="3018"/>
        <item x="3019"/>
        <item x="3228"/>
        <item x="3020"/>
        <item x="1657"/>
        <item x="2514"/>
        <item x="91"/>
        <item x="733"/>
        <item x="2515"/>
        <item x="2516"/>
        <item x="1658"/>
        <item x="92"/>
        <item x="734"/>
        <item x="3021"/>
        <item x="93"/>
        <item x="3022"/>
        <item x="94"/>
        <item x="2517"/>
        <item x="3023"/>
        <item x="95"/>
        <item x="96"/>
        <item x="97"/>
        <item x="98"/>
        <item x="3025"/>
        <item x="99"/>
        <item x="100"/>
        <item x="101"/>
        <item x="735"/>
        <item x="102"/>
        <item x="736"/>
        <item x="103"/>
        <item x="3026"/>
        <item x="2519"/>
        <item x="3027"/>
        <item x="740"/>
        <item x="741"/>
        <item x="742"/>
        <item x="743"/>
        <item x="744"/>
        <item x="2522"/>
        <item x="1660"/>
        <item x="107"/>
        <item x="108"/>
        <item x="109"/>
        <item x="110"/>
        <item x="2523"/>
        <item x="745"/>
        <item x="2524"/>
        <item x="111"/>
        <item x="1661"/>
        <item x="112"/>
        <item x="113"/>
        <item x="746"/>
        <item x="747"/>
        <item x="748"/>
        <item x="749"/>
        <item x="2525"/>
        <item x="750"/>
        <item x="751"/>
        <item x="752"/>
        <item x="1662"/>
        <item x="114"/>
        <item x="115"/>
        <item x="116"/>
        <item m="1" x="4311"/>
        <item m="1" x="4182"/>
        <item x="1068"/>
        <item m="1" x="3508"/>
        <item x="244"/>
        <item m="1" x="3933"/>
        <item x="247"/>
        <item x="1077"/>
        <item m="1" x="4084"/>
        <item x="232"/>
        <item x="249"/>
        <item m="1" x="3974"/>
        <item m="1" x="3934"/>
        <item x="2094"/>
        <item x="3162"/>
        <item x="2151"/>
        <item m="1" x="3986"/>
        <item x="306"/>
        <item m="1" x="3939"/>
        <item x="2153"/>
        <item x="2845"/>
        <item m="1" x="4059"/>
        <item x="307"/>
        <item x="308"/>
        <item m="1" x="4086"/>
        <item x="2851"/>
        <item x="2879"/>
        <item m="1" x="3987"/>
        <item x="2880"/>
        <item m="1" x="3989"/>
        <item m="1" x="3990"/>
        <item m="1" x="3942"/>
        <item m="1" x="4036"/>
        <item x="2881"/>
        <item x="1240"/>
        <item m="1" x="4352"/>
        <item m="1" x="4315"/>
        <item m="1" x="4268"/>
        <item m="1" x="4269"/>
        <item m="1" x="4087"/>
        <item x="1212"/>
        <item x="335"/>
        <item x="554"/>
        <item m="1" x="3945"/>
        <item x="1227"/>
        <item m="1" x="4150"/>
        <item m="1" x="4062"/>
        <item x="19"/>
        <item m="1" x="3946"/>
        <item m="1" x="4197"/>
        <item x="2176"/>
        <item x="28"/>
        <item x="373"/>
        <item m="1" x="3661"/>
        <item x="991"/>
        <item m="1" x="4375"/>
        <item m="1" x="4323"/>
        <item m="1" x="4380"/>
        <item m="1" x="4324"/>
        <item m="1" x="3808"/>
        <item m="1" x="3809"/>
        <item m="1" x="3807"/>
        <item m="1" x="3806"/>
        <item x="1320"/>
        <item x="1321"/>
        <item x="1322"/>
        <item x="1323"/>
        <item x="1324"/>
        <item x="1325"/>
        <item x="2903"/>
        <item x="1326"/>
        <item x="403"/>
        <item x="1327"/>
        <item x="404"/>
        <item x="2254"/>
        <item x="1328"/>
        <item x="1329"/>
        <item x="1330"/>
        <item x="2904"/>
        <item x="1331"/>
        <item x="1332"/>
        <item x="2905"/>
        <item x="2255"/>
        <item x="3172"/>
        <item x="1333"/>
        <item x="405"/>
        <item x="406"/>
        <item x="407"/>
        <item x="1334"/>
        <item x="1335"/>
        <item x="1336"/>
        <item x="1337"/>
        <item x="2906"/>
        <item x="2256"/>
        <item x="408"/>
        <item x="409"/>
        <item x="3173"/>
        <item x="410"/>
        <item x="2257"/>
        <item x="2258"/>
        <item x="2907"/>
        <item x="411"/>
        <item x="1338"/>
        <item x="412"/>
        <item x="1339"/>
        <item x="1340"/>
        <item x="413"/>
        <item x="1341"/>
        <item x="414"/>
        <item x="415"/>
        <item x="416"/>
        <item x="417"/>
        <item x="1342"/>
        <item x="2259"/>
        <item x="2260"/>
        <item x="1343"/>
        <item x="1344"/>
        <item x="1345"/>
        <item x="2261"/>
        <item x="418"/>
        <item x="419"/>
        <item x="420"/>
        <item x="1346"/>
        <item x="421"/>
        <item x="2262"/>
        <item x="2263"/>
        <item x="2264"/>
        <item x="2265"/>
        <item x="2266"/>
        <item x="2267"/>
        <item x="1348"/>
        <item x="1349"/>
        <item x="1350"/>
        <item x="1351"/>
        <item x="1352"/>
        <item x="2268"/>
        <item x="1353"/>
        <item x="1354"/>
        <item x="1355"/>
        <item x="1356"/>
        <item x="422"/>
        <item x="1357"/>
        <item x="1358"/>
        <item x="2269"/>
        <item x="2270"/>
        <item x="1359"/>
        <item x="1360"/>
        <item x="2908"/>
        <item x="1361"/>
        <item x="1362"/>
        <item x="2271"/>
        <item x="423"/>
        <item x="1363"/>
        <item x="1364"/>
        <item x="2272"/>
        <item x="1365"/>
        <item x="2273"/>
        <item x="2274"/>
        <item x="425"/>
        <item x="426"/>
        <item x="427"/>
        <item x="35"/>
        <item x="2909"/>
        <item x="1366"/>
        <item x="428"/>
        <item x="2910"/>
        <item x="2275"/>
        <item x="1367"/>
        <item x="1368"/>
        <item x="1369"/>
        <item x="1370"/>
        <item x="429"/>
        <item x="430"/>
        <item x="431"/>
        <item x="1371"/>
        <item x="2276"/>
        <item x="2911"/>
        <item x="432"/>
        <item x="2912"/>
        <item x="2913"/>
        <item x="2914"/>
        <item x="2915"/>
        <item x="2277"/>
        <item x="2278"/>
        <item x="1372"/>
        <item x="1373"/>
        <item x="1374"/>
        <item x="1375"/>
        <item x="1376"/>
        <item x="2916"/>
        <item x="2279"/>
        <item x="1377"/>
        <item x="1378"/>
        <item x="2918"/>
        <item x="2919"/>
        <item x="433"/>
        <item x="434"/>
        <item x="1379"/>
        <item x="435"/>
        <item x="1380"/>
        <item x="436"/>
        <item x="1381"/>
        <item x="1382"/>
        <item x="37"/>
        <item x="2920"/>
        <item x="2921"/>
        <item x="437"/>
        <item x="1385"/>
        <item x="438"/>
        <item x="2280"/>
        <item x="1386"/>
        <item x="2282"/>
        <item x="1387"/>
        <item x="1388"/>
        <item x="1389"/>
        <item x="440"/>
        <item x="1390"/>
        <item x="2922"/>
        <item x="441"/>
        <item x="2283"/>
        <item x="2284"/>
        <item x="2285"/>
        <item x="2932"/>
        <item x="462"/>
        <item x="463"/>
        <item x="464"/>
        <item x="465"/>
        <item x="46"/>
        <item x="47"/>
        <item m="1" x="4327"/>
        <item m="1" x="4283"/>
        <item m="1" x="4158"/>
        <item m="1" x="4210"/>
        <item m="1" x="4211"/>
        <item x="1425"/>
        <item m="1" x="4329"/>
        <item m="1" x="4256"/>
        <item x="680"/>
        <item m="1" x="4007"/>
        <item m="1" x="4008"/>
        <item x="480"/>
        <item m="1" x="3737"/>
        <item m="1" x="4111"/>
        <item m="1" x="3738"/>
        <item m="1" x="3958"/>
        <item x="1433"/>
        <item x="1456"/>
        <item x="1457"/>
        <item x="1458"/>
        <item x="2340"/>
        <item m="1" x="3741"/>
        <item x="3188"/>
        <item m="1" x="4242"/>
        <item m="1" x="4243"/>
        <item x="1623"/>
        <item m="1" x="4245"/>
        <item m="1" x="4388"/>
        <item m="1" x="4246"/>
        <item m="1" x="4247"/>
        <item m="1" x="3755"/>
        <item m="1" x="4389"/>
        <item m="1" x="4390"/>
        <item m="1" x="4391"/>
        <item m="1" x="3759"/>
        <item x="543"/>
        <item x="546"/>
        <item m="1" x="3761"/>
        <item x="2377"/>
        <item x="2370"/>
        <item x="553"/>
        <item x="2438"/>
        <item x="2439"/>
        <item x="1598"/>
        <item x="753"/>
        <item x="117"/>
        <item x="754"/>
        <item x="118"/>
        <item x="2543"/>
        <item x="1690"/>
        <item m="1" x="4125"/>
        <item m="1" x="3833"/>
        <item x="1691"/>
        <item x="800"/>
        <item x="1718"/>
        <item x="1704"/>
        <item x="3038"/>
        <item x="789"/>
        <item x="792"/>
        <item m="1" x="3846"/>
        <item m="1" x="3847"/>
        <item m="1" x="3848"/>
        <item m="1" x="3845"/>
        <item x="1788"/>
        <item x="866"/>
        <item x="157"/>
        <item x="3474"/>
        <item x="3438"/>
        <item x="3439"/>
        <item x="3440"/>
        <item x="3441"/>
        <item x="3442"/>
        <item x="3500"/>
        <item x="3444"/>
        <item x="3445"/>
        <item x="3446"/>
        <item x="3447"/>
        <item x="1804"/>
        <item x="1805"/>
        <item x="1806"/>
        <item x="3448"/>
        <item x="1807"/>
        <item x="878"/>
        <item x="1808"/>
        <item x="1831"/>
        <item x="1832"/>
        <item x="1830"/>
        <item x="910"/>
        <item x="909"/>
        <item m="1" x="3913"/>
        <item x="1895"/>
        <item x="2664"/>
        <item x="1905"/>
        <item x="2668"/>
        <item x="3060"/>
        <item x="2669"/>
        <item x="974"/>
        <item x="2672"/>
        <item x="1906"/>
        <item x="2673"/>
        <item x="2674"/>
        <item x="1908"/>
        <item x="1909"/>
        <item x="2675"/>
        <item x="2676"/>
        <item x="1977"/>
        <item x="3083"/>
        <item m="1" x="4054"/>
        <item x="2722"/>
        <item x="1988"/>
        <item x="2736"/>
        <item x="2004"/>
        <item x="2741"/>
        <item x="1015"/>
        <item m="1" x="4223"/>
        <item x="3097"/>
        <item x="3098"/>
        <item x="2030"/>
        <item x="2031"/>
        <item x="207"/>
        <item x="2032"/>
        <item x="2039"/>
        <item x="3111"/>
        <item x="2046"/>
        <item m="1" x="4379"/>
        <item x="3112"/>
        <item x="1031"/>
        <item x="1039"/>
        <item x="2780"/>
        <item x="2804"/>
        <item x="216"/>
        <item x="1051"/>
        <item x="2777"/>
        <item x="3118"/>
        <item x="2066"/>
        <item x="2065"/>
        <item x="217"/>
        <item x="2815"/>
        <item x="1035"/>
        <item x="3139"/>
        <item x="3131"/>
        <item x="2063"/>
        <item x="2799"/>
        <item x="3254"/>
        <item x="3117"/>
        <item x="3126"/>
        <item x="1040"/>
        <item x="3120"/>
        <item x="1045"/>
        <item x="2055"/>
        <item x="2796"/>
        <item x="2800"/>
        <item x="2067"/>
        <item x="2798"/>
        <item x="1047"/>
        <item x="2772"/>
        <item x="3127"/>
        <item x="2792"/>
        <item x="2073"/>
        <item x="3125"/>
        <item x="2060"/>
        <item x="1048"/>
        <item x="2791"/>
        <item x="3256"/>
        <item x="65"/>
        <item x="67"/>
        <item x="70"/>
        <item m="1" x="3931"/>
        <item x="188"/>
        <item x="197"/>
        <item m="1" x="3528"/>
        <item m="1" x="3569"/>
        <item m="1" x="3628"/>
        <item m="1" x="4271"/>
        <item m="1" x="4104"/>
        <item m="1" x="4272"/>
        <item m="1" x="4273"/>
        <item m="1" x="4105"/>
        <item x="571"/>
        <item x="1509"/>
        <item m="1" x="3768"/>
        <item x="576"/>
        <item x="577"/>
        <item x="578"/>
        <item x="580"/>
        <item m="1" x="3770"/>
        <item x="583"/>
        <item x="584"/>
        <item x="587"/>
        <item x="588"/>
        <item x="3327"/>
        <item x="589"/>
        <item x="1532"/>
        <item x="592"/>
        <item x="595"/>
        <item x="596"/>
        <item x="597"/>
        <item x="1510"/>
        <item x="2383"/>
        <item x="603"/>
        <item x="1544"/>
        <item x="604"/>
        <item x="605"/>
        <item x="606"/>
        <item x="607"/>
        <item x="608"/>
        <item m="1" x="3783"/>
        <item m="1" x="3784"/>
        <item m="1" x="3785"/>
        <item m="1" x="4304"/>
        <item m="1" x="4126"/>
        <item x="923"/>
        <item m="1" x="3970"/>
        <item m="1" x="3881"/>
        <item x="931"/>
        <item x="932"/>
        <item x="939"/>
        <item x="950"/>
        <item x="952"/>
        <item x="1873"/>
        <item x="956"/>
        <item x="949"/>
        <item m="1" x="3567"/>
        <item m="1" x="3568"/>
        <item m="1" x="3582"/>
        <item m="1" x="3584"/>
        <item x="1848"/>
        <item m="1" x="4152"/>
        <item x="1505"/>
        <item x="2385"/>
        <item x="1512"/>
        <item x="1513"/>
        <item x="1515"/>
        <item x="1518"/>
        <item x="1519"/>
        <item m="1" x="4012"/>
        <item x="1521"/>
        <item m="1" x="3774"/>
        <item x="1523"/>
        <item x="1527"/>
        <item x="1528"/>
        <item x="1529"/>
        <item x="1530"/>
        <item x="1531"/>
        <item x="1533"/>
        <item x="1534"/>
        <item x="1535"/>
        <item m="1" x="4218"/>
        <item x="1536"/>
        <item x="1538"/>
        <item x="1539"/>
        <item x="2079"/>
        <item x="1540"/>
        <item x="1542"/>
        <item x="1548"/>
        <item x="2435"/>
        <item x="1552"/>
        <item x="1554"/>
        <item m="1" x="3786"/>
        <item m="1" x="3787"/>
        <item m="1" x="3788"/>
        <item x="1855"/>
        <item x="1860"/>
        <item x="1863"/>
        <item x="1867"/>
        <item m="1" x="3884"/>
        <item m="1" x="3591"/>
        <item m="1" x="3592"/>
        <item m="1" x="3593"/>
        <item m="1" x="3599"/>
        <item m="1" x="4356"/>
        <item m="1" x="4199"/>
        <item m="1" x="4198"/>
        <item x="2374"/>
        <item x="2379"/>
        <item x="2380"/>
        <item x="2363"/>
        <item x="2381"/>
        <item x="2382"/>
        <item x="2384"/>
        <item x="2387"/>
        <item x="2388"/>
        <item x="2389"/>
        <item x="2391"/>
        <item x="2223"/>
        <item x="2393"/>
        <item x="2394"/>
        <item x="2398"/>
        <item x="2399"/>
        <item x="2400"/>
        <item x="2402"/>
        <item x="2405"/>
        <item x="2406"/>
        <item x="2407"/>
        <item x="2408"/>
        <item x="2410"/>
        <item x="2411"/>
        <item x="2412"/>
        <item x="2413"/>
        <item x="2415"/>
        <item x="2416"/>
        <item x="2417"/>
        <item x="2418"/>
        <item x="2420"/>
        <item x="2421"/>
        <item x="2424"/>
        <item x="2425"/>
        <item x="2426"/>
        <item x="2427"/>
        <item x="2428"/>
        <item x="2432"/>
        <item x="2434"/>
        <item x="2436"/>
        <item m="1" x="3791"/>
        <item m="1" x="3792"/>
        <item m="1" x="3793"/>
        <item m="1" x="3794"/>
        <item m="1" x="4220"/>
        <item x="2641"/>
        <item x="2642"/>
        <item x="2646"/>
        <item x="2647"/>
        <item m="1" x="3606"/>
        <item m="1" x="4372"/>
        <item m="1" x="4373"/>
        <item m="1" x="4374"/>
        <item x="2966"/>
        <item x="2969"/>
        <item x="2970"/>
        <item x="2971"/>
        <item x="2972"/>
        <item x="2973"/>
        <item x="2974"/>
        <item x="2975"/>
        <item x="3201"/>
        <item x="3202"/>
        <item x="3203"/>
        <item x="3205"/>
        <item x="3206"/>
        <item m="1" x="3796"/>
        <item x="3323"/>
        <item x="3329"/>
        <item x="3330"/>
        <item m="1" x="3917"/>
        <item m="1" x="3507"/>
        <item x="16"/>
        <item m="1" x="3612"/>
        <item x="347"/>
        <item x="348"/>
        <item m="1" x="3636"/>
        <item m="1" x="3922"/>
        <item x="3190"/>
        <item x="66"/>
        <item x="756"/>
        <item x="119"/>
        <item x="120"/>
        <item x="761"/>
        <item x="151"/>
        <item x="158"/>
        <item x="159"/>
        <item x="160"/>
        <item x="161"/>
        <item x="178"/>
        <item m="1" x="3851"/>
        <item m="1" x="4095"/>
        <item x="215"/>
        <item x="218"/>
        <item x="219"/>
        <item x="225"/>
        <item x="226"/>
        <item x="245"/>
        <item x="237"/>
        <item m="1" x="4096"/>
        <item x="251"/>
        <item x="310"/>
        <item x="311"/>
        <item x="312"/>
        <item x="313"/>
        <item x="314"/>
        <item x="1243"/>
        <item x="345"/>
        <item x="346"/>
        <item m="1" x="3629"/>
        <item x="374"/>
        <item x="1057"/>
        <item x="424"/>
        <item x="466"/>
        <item x="350"/>
        <item x="475"/>
        <item x="476"/>
        <item m="1" x="3959"/>
        <item m="1" x="3960"/>
        <item m="1" x="3961"/>
        <item x="499"/>
        <item x="515"/>
        <item x="500"/>
        <item x="3191"/>
        <item x="3192"/>
        <item x="3194"/>
        <item x="3195"/>
        <item x="532"/>
        <item x="534"/>
        <item x="536"/>
        <item x="547"/>
        <item x="549"/>
        <item x="551"/>
        <item x="555"/>
        <item x="564"/>
        <item m="1" x="4120"/>
        <item x="590"/>
        <item x="651"/>
        <item x="652"/>
        <item x="653"/>
        <item x="676"/>
        <item x="755"/>
        <item x="757"/>
        <item x="758"/>
        <item x="759"/>
        <item x="760"/>
        <item x="762"/>
        <item x="805"/>
        <item x="786"/>
        <item x="816"/>
        <item x="799"/>
        <item x="867"/>
        <item x="868"/>
        <item x="869"/>
        <item x="870"/>
        <item x="3480"/>
        <item m="1" x="4127"/>
        <item x="938"/>
        <item m="1" x="3882"/>
        <item m="1" x="4128"/>
        <item m="1" x="4129"/>
        <item m="1" x="4130"/>
        <item m="1" x="4131"/>
        <item x="969"/>
        <item x="975"/>
        <item x="976"/>
        <item x="977"/>
        <item x="978"/>
        <item x="979"/>
        <item x="1032"/>
        <item x="2051"/>
        <item x="2071"/>
        <item x="1037"/>
        <item x="2075"/>
        <item x="1042"/>
        <item x="1043"/>
        <item x="1044"/>
        <item x="1050"/>
        <item x="1053"/>
        <item m="1" x="3975"/>
        <item x="1062"/>
        <item x="1078"/>
        <item m="1" x="4133"/>
        <item m="1" x="3983"/>
        <item m="1" x="3617"/>
        <item m="1" x="3618"/>
        <item x="1169"/>
        <item m="1" x="3984"/>
        <item x="1170"/>
        <item x="1171"/>
        <item m="1" x="3619"/>
        <item x="1241"/>
        <item x="1242"/>
        <item x="1245"/>
        <item x="1246"/>
        <item x="1248"/>
        <item x="2204"/>
        <item x="1250"/>
        <item x="1251"/>
        <item x="1252"/>
        <item x="1253"/>
        <item x="1307"/>
        <item x="1424"/>
        <item x="1426"/>
        <item m="1" x="4009"/>
        <item m="1" x="4010"/>
        <item x="1454"/>
        <item x="1459"/>
        <item x="1460"/>
        <item x="1461"/>
        <item x="1462"/>
        <item x="3193"/>
        <item x="1473"/>
        <item m="1" x="4167"/>
        <item x="1476"/>
        <item x="1477"/>
        <item x="1478"/>
        <item x="1481"/>
        <item x="1501"/>
        <item x="1525"/>
        <item x="1601"/>
        <item x="1602"/>
        <item x="1606"/>
        <item x="1607"/>
        <item x="1663"/>
        <item x="1664"/>
        <item x="1694"/>
        <item x="1699"/>
        <item x="1721"/>
        <item x="1698"/>
        <item x="1726"/>
        <item x="1725"/>
        <item x="1789"/>
        <item m="1" x="4177"/>
        <item x="1790"/>
        <item x="1791"/>
        <item x="1809"/>
        <item x="1810"/>
        <item x="1811"/>
        <item x="1812"/>
        <item x="1813"/>
        <item x="1814"/>
        <item x="1815"/>
        <item x="1816"/>
        <item x="3495"/>
        <item x="1817"/>
        <item x="1836"/>
        <item m="1" x="4179"/>
        <item x="1865"/>
        <item m="1" x="4180"/>
        <item m="1" x="4181"/>
        <item x="1896"/>
        <item x="1912"/>
        <item x="1913"/>
        <item x="1914"/>
        <item x="1918"/>
        <item x="1919"/>
        <item x="1920"/>
        <item x="1921"/>
        <item x="1922"/>
        <item x="1979"/>
        <item x="2033"/>
        <item x="2056"/>
        <item x="2064"/>
        <item x="2068"/>
        <item x="2070"/>
        <item x="2072"/>
        <item x="2074"/>
        <item x="2089"/>
        <item m="1" x="4184"/>
        <item m="1" x="4033"/>
        <item x="2155"/>
        <item x="2156"/>
        <item m="1" x="3620"/>
        <item x="2201"/>
        <item x="2202"/>
        <item x="2203"/>
        <item x="2205"/>
        <item x="2206"/>
        <item x="2207"/>
        <item x="2694"/>
        <item m="1" x="4207"/>
        <item x="2329"/>
        <item x="2330"/>
        <item m="1" x="4045"/>
        <item x="2338"/>
        <item x="2341"/>
        <item x="2352"/>
        <item x="2353"/>
        <item x="2354"/>
        <item x="3196"/>
        <item x="2360"/>
        <item x="2361"/>
        <item x="2369"/>
        <item m="1" x="3764"/>
        <item x="2375"/>
        <item x="2404"/>
        <item x="2433"/>
        <item x="2448"/>
        <item x="2451"/>
        <item x="2452"/>
        <item x="2453"/>
        <item x="2454"/>
        <item m="1" x="4219"/>
        <item x="2526"/>
        <item x="2527"/>
        <item x="2563"/>
        <item x="2551"/>
        <item x="2561"/>
        <item x="2562"/>
        <item x="2553"/>
        <item x="2607"/>
        <item x="2608"/>
        <item x="2619"/>
        <item x="2620"/>
        <item x="3476"/>
        <item x="2621"/>
        <item x="2623"/>
        <item x="2634"/>
        <item x="2665"/>
        <item x="2678"/>
        <item x="2679"/>
        <item x="2681"/>
        <item x="2682"/>
        <item x="2683"/>
        <item x="2684"/>
        <item x="2685"/>
        <item x="2767"/>
        <item x="3122"/>
        <item x="2775"/>
        <item x="2776"/>
        <item x="2779"/>
        <item x="3128"/>
        <item x="2781"/>
        <item x="2783"/>
        <item x="2784"/>
        <item x="2788"/>
        <item x="2789"/>
        <item x="2790"/>
        <item x="2793"/>
        <item x="2806"/>
        <item x="2830"/>
        <item x="2847"/>
        <item x="2882"/>
        <item x="1247"/>
        <item m="1" x="3701"/>
        <item m="1" x="4229"/>
        <item m="1" x="4069"/>
        <item x="2953"/>
        <item m="1" x="3765"/>
        <item m="1" x="3766"/>
        <item x="2977"/>
        <item m="1" x="4071"/>
        <item x="2985"/>
        <item x="2986"/>
        <item x="2987"/>
        <item x="3024"/>
        <item x="3050"/>
        <item x="3062"/>
        <item x="3065"/>
        <item x="3066"/>
        <item x="3067"/>
        <item x="3108"/>
        <item x="3109"/>
        <item x="2992"/>
        <item x="3114"/>
        <item x="3115"/>
        <item x="3119"/>
        <item x="3121"/>
        <item x="3130"/>
        <item x="3134"/>
        <item x="3135"/>
        <item x="3137"/>
        <item x="3138"/>
        <item x="3140"/>
        <item x="3141"/>
        <item x="3142"/>
        <item x="3143"/>
        <item x="3144"/>
        <item x="236"/>
        <item x="3204"/>
        <item x="3177"/>
        <item x="3176"/>
        <item x="3179"/>
        <item x="3199"/>
        <item x="3207"/>
        <item x="3208"/>
        <item x="3248"/>
        <item m="1" x="4072"/>
        <item x="3255"/>
        <item x="3258"/>
        <item x="3259"/>
        <item x="3260"/>
        <item x="3262"/>
        <item x="3265"/>
        <item x="1963"/>
        <item x="3181"/>
        <item x="3449"/>
        <item x="3450"/>
        <item x="3479"/>
        <item x="3451"/>
        <item x="3452"/>
        <item x="3453"/>
        <item x="3473"/>
        <item x="3454"/>
        <item x="3455"/>
        <item x="3456"/>
        <item x="3484"/>
        <item x="3457"/>
        <item x="3458"/>
        <item x="3459"/>
        <item x="2"/>
        <item x="1"/>
        <item x="6"/>
        <item m="1" x="3919"/>
        <item x="22"/>
        <item x="29"/>
        <item x="40"/>
        <item x="52"/>
        <item x="55"/>
        <item x="56"/>
        <item x="61"/>
        <item m="1" x="3758"/>
        <item x="62"/>
        <item x="121"/>
        <item x="122"/>
        <item x="123"/>
        <item x="124"/>
        <item x="125"/>
        <item x="126"/>
        <item x="127"/>
        <item x="128"/>
        <item x="149"/>
        <item x="162"/>
        <item x="990"/>
        <item x="208"/>
        <item x="211"/>
        <item x="228"/>
        <item m="1" x="3509"/>
        <item x="246"/>
        <item x="257"/>
        <item x="242"/>
        <item x="238"/>
        <item x="250"/>
        <item x="1073"/>
        <item x="235"/>
        <item x="240"/>
        <item m="1" x="3936"/>
        <item m="1" x="3937"/>
        <item m="1" x="3938"/>
        <item x="316"/>
        <item x="315"/>
        <item x="352"/>
        <item x="370"/>
        <item x="391"/>
        <item x="392"/>
        <item x="394"/>
        <item x="395"/>
        <item x="467"/>
        <item x="513"/>
        <item x="514"/>
        <item x="522"/>
        <item x="523"/>
        <item x="524"/>
        <item x="525"/>
        <item x="527"/>
        <item x="3186"/>
        <item x="563"/>
        <item x="539"/>
        <item x="559"/>
        <item x="654"/>
        <item x="655"/>
        <item x="656"/>
        <item x="574"/>
        <item x="585"/>
        <item x="591"/>
        <item x="1594"/>
        <item x="669"/>
        <item x="763"/>
        <item x="764"/>
        <item x="765"/>
        <item x="766"/>
        <item x="767"/>
        <item x="768"/>
        <item x="790"/>
        <item x="1706"/>
        <item x="804"/>
        <item x="787"/>
        <item x="797"/>
        <item x="871"/>
        <item x="872"/>
        <item x="3346"/>
        <item x="3397"/>
        <item x="879"/>
        <item x="3462"/>
        <item x="3466"/>
        <item x="3468"/>
        <item x="3470"/>
        <item x="911"/>
        <item x="970"/>
        <item x="983"/>
        <item x="986"/>
        <item x="987"/>
        <item x="989"/>
        <item x="1014"/>
        <item x="1056"/>
        <item x="1058"/>
        <item x="1072"/>
        <item x="1069"/>
        <item x="1070"/>
        <item x="1074"/>
        <item x="1063"/>
        <item m="1" x="3980"/>
        <item m="1" x="3981"/>
        <item m="1" x="3982"/>
        <item x="1175"/>
        <item x="1172"/>
        <item x="1173"/>
        <item x="1174"/>
        <item x="1254"/>
        <item x="1255"/>
        <item x="1288"/>
        <item m="1" x="3633"/>
        <item m="1" x="3646"/>
        <item m="1" x="3991"/>
        <item m="1" x="3992"/>
        <item m="1" x="3647"/>
        <item x="1304"/>
        <item x="1309"/>
        <item x="1310"/>
        <item x="1311"/>
        <item x="1312"/>
        <item m="1" x="3810"/>
        <item m="1" x="3811"/>
        <item x="1427"/>
        <item x="1595"/>
        <item x="1465"/>
        <item x="1466"/>
        <item x="1467"/>
        <item x="1468"/>
        <item x="3184"/>
        <item x="3187"/>
        <item x="1482"/>
        <item x="1504"/>
        <item x="1488"/>
        <item x="1492"/>
        <item x="1503"/>
        <item x="1502"/>
        <item x="1484"/>
        <item x="1516"/>
        <item x="1526"/>
        <item x="1541"/>
        <item x="1543"/>
        <item x="1608"/>
        <item x="1610"/>
        <item x="1665"/>
        <item x="1666"/>
        <item x="1667"/>
        <item x="1668"/>
        <item x="1669"/>
        <item x="1670"/>
        <item x="1671"/>
        <item x="1724"/>
        <item x="1692"/>
        <item x="1712"/>
        <item x="1713"/>
        <item x="1697"/>
        <item x="1792"/>
        <item x="1793"/>
        <item x="1818"/>
        <item x="3460"/>
        <item x="3465"/>
        <item x="3467"/>
        <item m="1" x="3862"/>
        <item x="1929"/>
        <item x="1932"/>
        <item x="1935"/>
        <item x="1936"/>
        <item x="1937"/>
        <item x="1939"/>
        <item x="1941"/>
        <item x="1944"/>
        <item x="1947"/>
        <item x="1948"/>
        <item x="1978"/>
        <item x="1994"/>
        <item x="2016"/>
        <item x="2034"/>
        <item x="2035"/>
        <item x="2041"/>
        <item x="2076"/>
        <item x="2077"/>
        <item x="2078"/>
        <item x="2080"/>
        <item x="255"/>
        <item m="1" x="4030"/>
        <item x="2210"/>
        <item x="2211"/>
        <item x="2212"/>
        <item x="2213"/>
        <item x="2214"/>
        <item x="2215"/>
        <item m="1" x="3651"/>
        <item m="1" x="3652"/>
        <item x="2246"/>
        <item x="2249"/>
        <item x="2331"/>
        <item x="2355"/>
        <item x="2956"/>
        <item x="2357"/>
        <item x="3183"/>
        <item x="2371"/>
        <item x="2372"/>
        <item x="2373"/>
        <item x="2364"/>
        <item x="2959"/>
        <item x="2401"/>
        <item x="2409"/>
        <item x="2419"/>
        <item x="2422"/>
        <item x="2457"/>
        <item x="2458"/>
        <item x="2555"/>
        <item x="2554"/>
        <item x="2549"/>
        <item x="2550"/>
        <item x="2610"/>
        <item x="2611"/>
        <item x="2622"/>
        <item x="3463"/>
        <item x="3469"/>
        <item m="1" x="3865"/>
        <item x="2698"/>
        <item x="2699"/>
        <item x="2700"/>
        <item x="2702"/>
        <item x="2745"/>
        <item x="2747"/>
        <item x="2761"/>
        <item x="2807"/>
        <item x="3150"/>
        <item x="2808"/>
        <item x="2809"/>
        <item x="2817"/>
        <item x="2816"/>
        <item m="1" x="4058"/>
        <item x="2849"/>
        <item x="2848"/>
        <item x="2883"/>
        <item x="2900"/>
        <item x="2954"/>
        <item x="3182"/>
        <item x="2960"/>
        <item x="2964"/>
        <item x="2968"/>
        <item x="3464"/>
        <item x="3070"/>
        <item x="3086"/>
        <item x="3145"/>
        <item x="3146"/>
        <item x="3147"/>
        <item x="3148"/>
        <item x="3149"/>
        <item x="3158"/>
        <item x="3198"/>
        <item x="3461"/>
        <item x="3267"/>
        <item x="3268"/>
        <item x="3185"/>
        <item x="3189"/>
        <item x="0"/>
        <item x="239"/>
        <item x="241"/>
        <item x="1067"/>
        <item x="1076"/>
        <item x="2091"/>
        <item x="2092"/>
        <item x="2097"/>
        <item x="2098"/>
        <item x="1082"/>
        <item x="2099"/>
        <item x="2818"/>
        <item x="260"/>
        <item x="2100"/>
        <item x="1083"/>
        <item x="2819"/>
        <item x="261"/>
        <item x="2101"/>
        <item x="2102"/>
        <item x="262"/>
        <item x="1084"/>
        <item x="1085"/>
        <item x="1086"/>
        <item x="1087"/>
        <item x="1088"/>
        <item x="1089"/>
        <item x="1090"/>
        <item x="2103"/>
        <item x="2820"/>
        <item x="2104"/>
        <item x="2105"/>
        <item x="2106"/>
        <item x="263"/>
        <item x="2821"/>
        <item x="2107"/>
        <item x="264"/>
        <item x="2108"/>
        <item x="1091"/>
        <item x="1092"/>
        <item x="1093"/>
        <item x="1094"/>
        <item x="1095"/>
        <item x="1096"/>
        <item x="1097"/>
        <item x="1098"/>
        <item x="2822"/>
        <item x="1099"/>
        <item x="265"/>
        <item x="1100"/>
        <item x="1101"/>
        <item x="266"/>
        <item x="2823"/>
        <item x="268"/>
        <item x="269"/>
        <item x="1102"/>
        <item x="2109"/>
        <item x="270"/>
        <item x="7"/>
        <item x="1103"/>
        <item x="271"/>
        <item x="2110"/>
        <item x="1105"/>
        <item x="1106"/>
        <item x="2111"/>
        <item x="272"/>
        <item x="273"/>
        <item x="1111"/>
        <item x="275"/>
        <item x="276"/>
        <item x="1112"/>
        <item x="1113"/>
        <item x="277"/>
        <item x="278"/>
        <item x="1114"/>
        <item x="1115"/>
        <item x="1116"/>
        <item x="1117"/>
        <item x="279"/>
        <item x="1118"/>
        <item x="1119"/>
        <item x="1120"/>
        <item x="280"/>
        <item x="1121"/>
        <item x="8"/>
        <item x="9"/>
        <item x="2112"/>
        <item x="1122"/>
        <item x="281"/>
        <item x="1127"/>
        <item x="1128"/>
        <item x="2828"/>
        <item x="1129"/>
        <item x="1130"/>
        <item x="284"/>
        <item x="285"/>
        <item x="1131"/>
        <item x="286"/>
        <item x="2113"/>
        <item x="2829"/>
        <item x="1132"/>
        <item x="1133"/>
        <item x="287"/>
        <item x="1134"/>
        <item x="3273"/>
        <item x="2115"/>
        <item x="288"/>
        <item x="2116"/>
        <item x="289"/>
        <item x="290"/>
        <item x="1135"/>
        <item x="2117"/>
        <item x="2118"/>
        <item x="291"/>
        <item x="2119"/>
        <item x="292"/>
        <item x="1136"/>
        <item x="2120"/>
        <item x="1139"/>
        <item m="1" x="3514"/>
        <item m="1" x="3563"/>
        <item m="1" x="3589"/>
        <item m="1" x="3590"/>
        <item m="1" x="3564"/>
        <item m="1" x="3565"/>
        <item m="1" x="3526"/>
        <item m="1" x="3527"/>
        <item m="1" x="3566"/>
        <item m="1" x="3535"/>
        <item m="1" x="3536"/>
        <item m="1" x="3538"/>
        <item m="1" x="3539"/>
        <item m="1" x="3570"/>
        <item m="1" x="3540"/>
        <item m="1" x="3541"/>
        <item m="1" x="3515"/>
        <item m="1" x="3571"/>
        <item m="1" x="3542"/>
        <item m="1" x="3543"/>
        <item m="1" x="3609"/>
        <item m="1" x="3610"/>
        <item m="1" x="3611"/>
        <item x="2157"/>
        <item x="1177"/>
        <item x="318"/>
        <item x="2158"/>
        <item x="1178"/>
        <item x="1179"/>
        <item x="1180"/>
        <item m="1" x="3622"/>
        <item x="3165"/>
        <item x="2159"/>
        <item x="1181"/>
        <item x="319"/>
        <item x="1182"/>
        <item x="2161"/>
        <item x="320"/>
        <item x="1184"/>
        <item x="1185"/>
        <item x="1187"/>
        <item x="323"/>
        <item x="1190"/>
        <item x="2163"/>
        <item x="1191"/>
        <item x="324"/>
        <item x="1192"/>
        <item x="1193"/>
        <item x="1194"/>
        <item x="2855"/>
        <item x="3167"/>
        <item x="2860"/>
        <item x="1236"/>
        <item x="1237"/>
        <item x="1238"/>
        <item x="1239"/>
        <item x="344"/>
        <item x="2199"/>
        <item x="21"/>
        <item x="3170"/>
        <item x="2216"/>
        <item x="2217"/>
        <item x="2884"/>
        <item x="353"/>
        <item x="1257"/>
        <item x="1258"/>
        <item x="2219"/>
        <item x="1259"/>
        <item x="355"/>
        <item x="356"/>
        <item x="2886"/>
        <item x="357"/>
        <item x="358"/>
        <item x="24"/>
        <item x="1260"/>
        <item x="2887"/>
        <item x="1261"/>
        <item x="1209"/>
        <item x="3274"/>
        <item x="2863"/>
        <item x="1210"/>
        <item x="1219"/>
        <item x="3280"/>
        <item m="1" x="3614"/>
        <item x="2182"/>
        <item x="1223"/>
        <item x="338"/>
        <item x="3281"/>
        <item x="1224"/>
        <item x="1225"/>
        <item x="1214"/>
        <item x="339"/>
        <item x="1231"/>
        <item x="2195"/>
        <item x="2196"/>
        <item x="3276"/>
        <item x="3284"/>
        <item x="2866"/>
        <item x="3285"/>
        <item x="20"/>
        <item x="3286"/>
        <item x="341"/>
        <item x="3277"/>
        <item x="3287"/>
        <item x="3278"/>
        <item x="1234"/>
        <item x="340"/>
        <item x="343"/>
        <item x="3279"/>
        <item m="1" x="3656"/>
        <item m="1" x="3654"/>
        <item m="1" x="3657"/>
        <item x="379"/>
        <item m="1" x="3664"/>
        <item m="1" x="3662"/>
        <item m="1" x="3663"/>
        <item m="1" x="3673"/>
        <item m="1" x="3665"/>
        <item m="1" x="3678"/>
        <item m="1" x="3679"/>
        <item m="1" x="3667"/>
        <item m="1" x="3668"/>
        <item m="1" x="3674"/>
        <item m="1" x="3676"/>
        <item m="1" x="3670"/>
        <item m="1" x="3672"/>
        <item x="2248"/>
        <item x="1313"/>
        <item x="396"/>
        <item x="1314"/>
        <item x="397"/>
        <item x="398"/>
        <item m="1" x="3708"/>
        <item m="1" x="3705"/>
        <item x="445"/>
        <item x="2933"/>
        <item x="1394"/>
        <item x="2934"/>
        <item x="1395"/>
        <item x="2304"/>
        <item x="2935"/>
        <item x="1396"/>
        <item x="446"/>
        <item x="448"/>
        <item x="2317"/>
        <item x="2318"/>
        <item x="1412"/>
        <item m="1" x="3728"/>
        <item x="1428"/>
        <item x="2943"/>
        <item x="2334"/>
        <item x="481"/>
        <item x="1446"/>
        <item x="501"/>
        <item x="1447"/>
        <item x="516"/>
        <item x="517"/>
        <item x="1463"/>
        <item x="518"/>
        <item x="2955"/>
        <item x="1464"/>
        <item m="1" x="3748"/>
        <item m="1" x="3756"/>
        <item x="1471"/>
        <item x="58"/>
        <item x="535"/>
        <item x="59"/>
        <item x="540"/>
        <item x="2962"/>
        <item x="1485"/>
        <item x="556"/>
        <item x="557"/>
        <item x="1496"/>
        <item x="1497"/>
        <item x="561"/>
        <item x="63"/>
        <item x="1500"/>
        <item m="1" x="3763"/>
        <item x="567"/>
        <item x="658"/>
        <item x="1572"/>
        <item x="659"/>
        <item x="660"/>
        <item x="661"/>
        <item x="582"/>
        <item x="3075"/>
        <item x="598"/>
        <item x="601"/>
        <item x="666"/>
        <item x="2449"/>
        <item x="2983"/>
        <item m="1" x="3805"/>
        <item m="1" x="3814"/>
        <item m="1" x="3815"/>
        <item x="1599"/>
        <item x="1600"/>
        <item x="668"/>
        <item x="670"/>
        <item x="1609"/>
        <item x="671"/>
        <item x="1611"/>
        <item x="672"/>
        <item x="1612"/>
        <item m="1" x="3825"/>
        <item x="1613"/>
        <item x="2462"/>
        <item m="1" x="3829"/>
        <item m="1" x="3831"/>
        <item m="1" x="3828"/>
        <item x="769"/>
        <item x="1672"/>
        <item x="770"/>
        <item x="2528"/>
        <item x="129"/>
        <item x="1673"/>
        <item x="1674"/>
        <item x="130"/>
        <item x="131"/>
        <item x="2529"/>
        <item x="132"/>
        <item x="3229"/>
        <item x="133"/>
        <item x="134"/>
        <item x="135"/>
        <item x="771"/>
        <item x="772"/>
        <item x="136"/>
        <item x="137"/>
        <item x="773"/>
        <item x="138"/>
        <item x="2530"/>
        <item x="1675"/>
        <item x="1676"/>
        <item x="774"/>
        <item x="775"/>
        <item x="139"/>
        <item x="776"/>
        <item x="1689"/>
        <item x="3035"/>
        <item x="2545"/>
        <item x="1693"/>
        <item x="2546"/>
        <item x="788"/>
        <item x="793"/>
        <item x="798"/>
        <item x="1708"/>
        <item x="802"/>
        <item x="1710"/>
        <item x="150"/>
        <item x="1717"/>
        <item x="1722"/>
        <item m="1" x="3837"/>
        <item m="1" x="3834"/>
        <item x="1794"/>
        <item x="1795"/>
        <item x="873"/>
        <item x="2613"/>
        <item x="874"/>
        <item x="875"/>
        <item x="876"/>
        <item x="3238"/>
        <item x="877"/>
        <item x="1796"/>
        <item x="1802"/>
        <item x="3472"/>
        <item x="3475"/>
        <item x="3477"/>
        <item x="912"/>
        <item x="2633"/>
        <item x="913"/>
        <item x="914"/>
        <item x="179"/>
        <item x="180"/>
        <item x="919"/>
        <item x="183"/>
        <item x="924"/>
        <item x="186"/>
        <item x="187"/>
        <item x="929"/>
        <item x="189"/>
        <item x="940"/>
        <item m="1" x="3880"/>
        <item x="3504"/>
        <item x="2658"/>
        <item x="1924"/>
        <item x="1925"/>
        <item x="201"/>
        <item x="2686"/>
        <item x="202"/>
        <item x="2687"/>
        <item x="2688"/>
        <item x="1926"/>
        <item x="1927"/>
        <item x="2689"/>
        <item x="1928"/>
        <item x="2690"/>
        <item x="2691"/>
        <item x="3069"/>
        <item x="980"/>
        <item x="981"/>
        <item x="2703"/>
        <item x="1949"/>
        <item x="992"/>
        <item x="1950"/>
        <item x="1951"/>
        <item x="2705"/>
        <item x="1953"/>
        <item x="1954"/>
        <item x="1957"/>
        <item x="1960"/>
        <item x="1961"/>
        <item x="1965"/>
        <item x="3072"/>
        <item x="1966"/>
        <item x="3088"/>
        <item x="2036"/>
        <item x="1024"/>
        <item x="2037"/>
        <item x="2038"/>
        <item x="209"/>
        <item x="3110"/>
        <item x="1033"/>
        <item x="2810"/>
        <item x="2081"/>
        <item x="2811"/>
        <item x="3151"/>
        <item x="2082"/>
        <item x="3269"/>
        <item x="2812"/>
        <item x="3152"/>
        <item x="2084"/>
        <item x="229"/>
        <item x="26"/>
        <item x="364"/>
        <item x="365"/>
        <item x="366"/>
        <item x="367"/>
        <item x="368"/>
        <item x="369"/>
        <item x="1273"/>
        <item x="1274"/>
        <item x="1275"/>
        <item x="1277"/>
        <item x="1278"/>
        <item x="1279"/>
        <item x="1281"/>
        <item x="1283"/>
        <item x="1284"/>
        <item x="1285"/>
        <item x="1286"/>
        <item x="1287"/>
        <item x="1289"/>
        <item x="1290"/>
        <item x="2227"/>
        <item x="2228"/>
        <item x="2230"/>
        <item x="2892"/>
        <item x="2893"/>
        <item x="2902"/>
        <item m="1" x="3648"/>
        <item m="1" x="3649"/>
        <item m="1" x="3653"/>
        <item m="1" x="3716"/>
        <item m="1" x="3717"/>
        <item m="1" x="3718"/>
        <item m="1" x="3719"/>
        <item m="1" x="3720"/>
        <item m="1" x="3721"/>
        <item m="1" x="3722"/>
        <item m="1" x="3723"/>
        <item x="452"/>
        <item x="1405"/>
        <item x="456"/>
        <item x="1400"/>
        <item x="1401"/>
        <item x="1402"/>
        <item x="1403"/>
        <item x="1404"/>
        <item x="1406"/>
        <item x="2305"/>
        <item x="2307"/>
        <item x="2308"/>
        <item x="2309"/>
        <item x="2310"/>
        <item x="2936"/>
        <item x="2937"/>
        <item x="537"/>
        <item x="2958"/>
        <item m="1" x="3789"/>
        <item m="1" x="3790"/>
        <item m="1" x="3842"/>
        <item m="1" x="3843"/>
        <item m="1" x="3844"/>
        <item m="1" x="3887"/>
        <item m="1" x="3888"/>
        <item m="1" x="3889"/>
        <item m="1" x="3890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4"/>
        <item m="1" x="3905"/>
        <item m="1" x="3906"/>
        <item m="1" x="3907"/>
        <item m="1" x="3908"/>
        <item m="1" x="3910"/>
        <item x="2088"/>
        <item x="233"/>
        <item x="1065"/>
        <item x="2090"/>
        <item x="3"/>
        <item x="4"/>
        <item x="243"/>
        <item x="1075"/>
        <item x="248"/>
        <item x="253"/>
        <item x="256"/>
        <item x="1123"/>
        <item x="1124"/>
        <item x="1125"/>
        <item x="10"/>
        <item x="1126"/>
        <item x="2824"/>
        <item x="2825"/>
        <item x="2826"/>
        <item x="2827"/>
        <item x="283"/>
        <item x="1137"/>
        <item x="321"/>
        <item x="2853"/>
        <item x="2854"/>
        <item x="1188"/>
        <item x="1189"/>
        <item x="2164"/>
        <item x="2856"/>
        <item x="2165"/>
        <item x="1195"/>
        <item x="1196"/>
        <item x="2166"/>
        <item x="2857"/>
        <item x="2858"/>
        <item x="2167"/>
        <item x="2168"/>
        <item x="3166"/>
        <item x="2170"/>
        <item x="2171"/>
        <item x="1199"/>
        <item x="326"/>
        <item x="1200"/>
        <item x="1201"/>
        <item x="2859"/>
        <item x="2172"/>
        <item x="327"/>
        <item x="1202"/>
        <item x="1203"/>
        <item x="328"/>
        <item x="1204"/>
        <item x="329"/>
        <item x="2173"/>
        <item x="2861"/>
        <item x="2174"/>
        <item x="2862"/>
        <item x="2175"/>
        <item x="3168"/>
        <item x="1205"/>
        <item x="330"/>
        <item x="1206"/>
        <item x="1207"/>
        <item x="1208"/>
        <item x="1215"/>
        <item x="1216"/>
        <item x="333"/>
        <item x="2869"/>
        <item x="334"/>
        <item x="2875"/>
        <item x="3282"/>
        <item x="2188"/>
        <item x="2189"/>
        <item x="2191"/>
        <item x="3283"/>
        <item x="2208"/>
        <item x="2209"/>
        <item x="349"/>
        <item x="2218"/>
        <item x="1256"/>
        <item x="2885"/>
        <item x="354"/>
        <item x="359"/>
        <item x="2220"/>
        <item x="360"/>
        <item x="1262"/>
        <item x="2221"/>
        <item x="2222"/>
        <item x="1263"/>
        <item x="2224"/>
        <item x="1264"/>
        <item x="1265"/>
        <item x="1266"/>
        <item x="2888"/>
        <item x="2889"/>
        <item x="2890"/>
        <item x="1267"/>
        <item x="1268"/>
        <item x="1269"/>
        <item x="2891"/>
        <item x="371"/>
        <item x="372"/>
        <item x="381"/>
        <item x="1295"/>
        <item x="382"/>
        <item x="383"/>
        <item x="2237"/>
        <item x="2895"/>
        <item x="384"/>
        <item x="385"/>
        <item x="386"/>
        <item x="1296"/>
        <item x="387"/>
        <item x="388"/>
        <item x="393"/>
        <item x="1308"/>
        <item x="2247"/>
        <item x="3171"/>
        <item x="31"/>
        <item x="2251"/>
        <item x="2901"/>
        <item x="1315"/>
        <item x="399"/>
        <item x="2252"/>
        <item x="1316"/>
        <item x="32"/>
        <item x="2253"/>
        <item x="400"/>
        <item x="401"/>
        <item x="1317"/>
        <item x="402"/>
        <item x="33"/>
        <item x="1318"/>
        <item x="1319"/>
        <item x="34"/>
        <item x="41"/>
        <item x="2303"/>
        <item x="449"/>
        <item x="1397"/>
        <item x="450"/>
        <item x="451"/>
        <item x="1398"/>
        <item x="42"/>
        <item x="2306"/>
        <item x="1399"/>
        <item x="453"/>
        <item x="454"/>
        <item x="455"/>
        <item x="2311"/>
        <item x="2312"/>
        <item x="457"/>
        <item x="43"/>
        <item x="2938"/>
        <item x="1407"/>
        <item x="1408"/>
        <item x="1409"/>
        <item x="1410"/>
        <item x="1419"/>
        <item x="2947"/>
        <item x="491"/>
        <item x="2337"/>
        <item x="51"/>
        <item x="519"/>
        <item x="520"/>
        <item x="3200"/>
        <item x="1480"/>
        <item x="541"/>
        <item x="542"/>
        <item x="2365"/>
        <item x="550"/>
        <item x="2368"/>
        <item x="60"/>
        <item x="1487"/>
        <item x="1489"/>
        <item x="1490"/>
        <item x="1493"/>
        <item x="1494"/>
        <item x="1495"/>
        <item x="562"/>
        <item x="565"/>
        <item x="2376"/>
        <item x="64"/>
        <item x="80"/>
        <item x="2460"/>
        <item x="81"/>
        <item x="674"/>
        <item x="675"/>
        <item x="1614"/>
        <item x="1615"/>
        <item x="1616"/>
        <item x="2989"/>
        <item x="1617"/>
        <item x="2463"/>
        <item x="679"/>
        <item x="1619"/>
        <item x="681"/>
        <item x="2464"/>
        <item x="3209"/>
        <item x="1620"/>
        <item x="682"/>
        <item x="2465"/>
        <item x="683"/>
        <item x="3210"/>
        <item x="1621"/>
        <item x="2466"/>
        <item x="2990"/>
        <item x="1624"/>
        <item x="1625"/>
        <item x="684"/>
        <item x="1626"/>
        <item x="685"/>
        <item x="2467"/>
        <item x="686"/>
        <item x="1627"/>
        <item x="2469"/>
        <item x="2993"/>
        <item x="2994"/>
        <item x="687"/>
        <item x="777"/>
        <item x="140"/>
        <item x="141"/>
        <item x="778"/>
        <item x="779"/>
        <item x="142"/>
        <item x="143"/>
        <item x="780"/>
        <item x="1677"/>
        <item x="781"/>
        <item x="782"/>
        <item x="2544"/>
        <item x="1703"/>
        <item x="144"/>
        <item x="146"/>
        <item x="803"/>
        <item x="147"/>
        <item x="1711"/>
        <item x="2559"/>
        <item x="809"/>
        <item x="3048"/>
        <item x="2614"/>
        <item x="1797"/>
        <item x="1798"/>
        <item x="1799"/>
        <item x="1800"/>
        <item x="3374"/>
        <item x="3378"/>
        <item x="3384"/>
        <item x="3385"/>
        <item x="3432"/>
        <item x="3443"/>
        <item x="3478"/>
        <item x="3481"/>
        <item x="3483"/>
        <item x="3485"/>
        <item x="3486"/>
        <item x="3487"/>
        <item x="3488"/>
        <item x="3490"/>
        <item x="3491"/>
        <item x="3492"/>
        <item x="3494"/>
        <item x="3497"/>
        <item x="3498"/>
        <item x="3499"/>
        <item x="3501"/>
        <item x="3502"/>
        <item x="3503"/>
        <item x="883"/>
        <item x="885"/>
        <item x="1835"/>
        <item x="2635"/>
        <item x="1840"/>
        <item x="1843"/>
        <item x="2637"/>
        <item x="182"/>
        <item x="1871"/>
        <item x="3505"/>
        <item x="3506"/>
        <item x="994"/>
        <item x="995"/>
        <item x="996"/>
        <item x="998"/>
        <item x="1968"/>
        <item x="1969"/>
        <item x="999"/>
        <item x="1970"/>
        <item x="2710"/>
        <item x="1000"/>
        <item x="1001"/>
        <item x="1002"/>
        <item x="1003"/>
        <item x="2711"/>
        <item x="203"/>
        <item x="3076"/>
        <item x="1972"/>
        <item x="1004"/>
        <item x="204"/>
        <item x="1973"/>
        <item x="1005"/>
        <item x="1975"/>
        <item x="3079"/>
        <item x="1976"/>
        <item x="1006"/>
        <item x="1981"/>
        <item x="1985"/>
        <item x="1010"/>
        <item x="1998"/>
        <item x="3093"/>
        <item x="2006"/>
        <item x="206"/>
        <item x="2751"/>
        <item x="3103"/>
        <item x="2760"/>
        <item x="2047"/>
        <item x="210"/>
        <item x="2768"/>
        <item x="2769"/>
        <item x="2052"/>
        <item x="212"/>
        <item x="2770"/>
        <item x="2771"/>
        <item x="1034"/>
        <item x="2773"/>
        <item x="2774"/>
        <item x="2053"/>
        <item x="2054"/>
        <item x="1055"/>
        <item x="1059"/>
        <item x="2083"/>
        <item x="230"/>
        <item x="3153"/>
        <item x="231"/>
        <item x="1060"/>
        <item x="3154"/>
        <item x="3155"/>
        <item x="2085"/>
        <item x="3156"/>
        <item x="2813"/>
        <item x="3157"/>
        <item x="2814"/>
        <item x="2086"/>
        <item x="1061"/>
        <item x="3270"/>
        <item x="2087"/>
        <item x="3271"/>
      </items>
    </pivotField>
    <pivotField axis="axisRow" compact="0" outline="0" showAll="0" sortType="ascending" defaultSubtotal="0">
      <items count="8000">
        <item m="1" x="7846"/>
        <item x="1418"/>
        <item m="1" x="6534"/>
        <item m="1" x="7640"/>
        <item x="2233"/>
        <item x="3207"/>
        <item m="1" x="5758"/>
        <item m="1" x="5375"/>
        <item m="1" x="6013"/>
        <item m="1" x="3910"/>
        <item m="1" x="5391"/>
        <item x="2298"/>
        <item m="1" x="5154"/>
        <item x="3202"/>
        <item m="1" x="6648"/>
        <item x="647"/>
        <item x="2297"/>
        <item m="1" x="5122"/>
        <item m="1" x="4569"/>
        <item m="1" x="5128"/>
        <item m="1" x="5928"/>
        <item m="1" x="7471"/>
        <item m="1" x="5185"/>
        <item m="1" x="4562"/>
        <item m="1" x="7434"/>
        <item m="1" x="6559"/>
        <item x="3205"/>
        <item m="1" x="5159"/>
        <item m="1" x="3739"/>
        <item x="3203"/>
        <item m="1" x="5121"/>
        <item m="1" x="7606"/>
        <item m="1" x="6077"/>
        <item x="1334"/>
        <item m="1" x="7501"/>
        <item m="1" x="5100"/>
        <item x="451"/>
        <item m="1" x="7436"/>
        <item x="3204"/>
        <item m="1" x="6379"/>
        <item m="1" x="7683"/>
        <item m="1" x="4617"/>
        <item m="1" x="6489"/>
        <item x="1402"/>
        <item m="1" x="5131"/>
        <item m="1" x="5984"/>
        <item m="1" x="7629"/>
        <item x="2232"/>
        <item m="1" x="7626"/>
        <item m="1" x="7545"/>
        <item x="648"/>
        <item m="1" x="6669"/>
        <item m="1" x="5718"/>
        <item m="1" x="6683"/>
        <item m="1" x="4725"/>
        <item m="1" x="5135"/>
        <item m="1" x="6558"/>
        <item m="1" x="6535"/>
        <item m="1" x="7508"/>
        <item m="1" x="4584"/>
        <item m="1" x="5163"/>
        <item m="1" x="7881"/>
        <item m="1" x="5986"/>
        <item m="1" x="4724"/>
        <item m="1" x="4183"/>
        <item m="1" x="7572"/>
        <item x="3208"/>
        <item m="1" x="5027"/>
        <item m="1" x="6561"/>
        <item m="1" x="7749"/>
        <item x="1210"/>
        <item m="1" x="7764"/>
        <item x="2161"/>
        <item m="1" x="6450"/>
        <item m="1" x="6030"/>
        <item m="1" x="3849"/>
        <item m="1" x="5354"/>
        <item x="1066"/>
        <item x="206"/>
        <item m="1" x="6333"/>
        <item m="1" x="6463"/>
        <item m="1" x="7320"/>
        <item m="1" x="3884"/>
        <item m="1" x="6994"/>
        <item x="1043"/>
        <item x="1678"/>
        <item x="1684"/>
        <item x="2804"/>
        <item m="1" x="6822"/>
        <item m="1" x="4437"/>
        <item m="1" x="4491"/>
        <item m="1" x="4082"/>
        <item m="1" x="7692"/>
        <item m="1" x="3839"/>
        <item m="1" x="7706"/>
        <item m="1" x="4434"/>
        <item x="2861"/>
        <item m="1" x="5829"/>
        <item m="1" x="6819"/>
        <item x="3397"/>
        <item x="2915"/>
        <item m="1" x="6160"/>
        <item x="1934"/>
        <item m="1" x="7429"/>
        <item x="1511"/>
        <item x="435"/>
        <item m="1" x="6218"/>
        <item x="2386"/>
        <item m="1" x="4790"/>
        <item m="1" x="3613"/>
        <item x="2588"/>
        <item m="1" x="6671"/>
        <item m="1" x="5494"/>
        <item m="1" x="5493"/>
        <item m="1" x="3647"/>
        <item x="1267"/>
        <item m="1" x="5401"/>
        <item m="1" x="5492"/>
        <item m="1" x="5667"/>
        <item m="1" x="4613"/>
        <item x="452"/>
        <item m="1" x="7094"/>
        <item x="365"/>
        <item m="1" x="5561"/>
        <item x="704"/>
        <item x="3091"/>
        <item x="670"/>
        <item m="1" x="7121"/>
        <item x="331"/>
        <item x="3127"/>
        <item m="1" x="5108"/>
        <item m="1" x="3980"/>
        <item m="1" x="3602"/>
        <item m="1" x="7836"/>
        <item x="2977"/>
        <item m="1" x="3688"/>
        <item m="1" x="5922"/>
        <item m="1" x="4921"/>
        <item x="180"/>
        <item m="1" x="5202"/>
        <item x="1750"/>
        <item m="1" x="7854"/>
        <item m="1" x="6027"/>
        <item m="1" x="7949"/>
        <item m="1" x="4863"/>
        <item m="1" x="6647"/>
        <item m="1" x="4879"/>
        <item m="1" x="6284"/>
        <item m="1" x="4878"/>
        <item x="1870"/>
        <item x="2780"/>
        <item x="2783"/>
        <item m="1" x="4669"/>
        <item m="1" x="7018"/>
        <item m="1" x="5203"/>
        <item m="1" x="4867"/>
        <item x="1887"/>
        <item x="3010"/>
        <item m="1" x="5198"/>
        <item m="1" x="4467"/>
        <item m="1" x="6424"/>
        <item x="1768"/>
        <item m="1" x="4714"/>
        <item m="1" x="7184"/>
        <item x="633"/>
        <item m="1" x="5274"/>
        <item x="1570"/>
        <item m="1" x="7191"/>
        <item x="515"/>
        <item m="1" x="4162"/>
        <item x="1247"/>
        <item m="1" x="6219"/>
        <item m="1" x="7378"/>
        <item m="1" x="7722"/>
        <item m="1" x="7614"/>
        <item x="453"/>
        <item m="1" x="6657"/>
        <item m="1" x="7030"/>
        <item x="2068"/>
        <item x="3016"/>
        <item m="1" x="4678"/>
        <item x="994"/>
        <item x="2721"/>
        <item m="1" x="5529"/>
        <item x="3360"/>
        <item m="1" x="5491"/>
        <item m="1" x="4150"/>
        <item m="1" x="4098"/>
        <item m="1" x="4577"/>
        <item m="1" x="3928"/>
        <item m="1" x="4586"/>
        <item x="1793"/>
        <item m="1" x="4429"/>
        <item x="1805"/>
        <item x="2866"/>
        <item x="1608"/>
        <item x="1631"/>
        <item m="1" x="5189"/>
        <item m="1" x="3804"/>
        <item x="789"/>
        <item m="1" x="5983"/>
        <item m="1" x="3534"/>
        <item m="1" x="7855"/>
        <item m="1" x="7932"/>
        <item x="1618"/>
        <item x="1615"/>
        <item m="1" x="4904"/>
        <item x="1335"/>
        <item m="1" x="6703"/>
        <item x="3401"/>
        <item x="1324"/>
        <item m="1" x="5051"/>
        <item m="1" x="7695"/>
        <item m="1" x="6604"/>
        <item x="1512"/>
        <item x="3379"/>
        <item m="1" x="5851"/>
        <item m="1" x="4791"/>
        <item x="3046"/>
        <item x="2552"/>
        <item x="2907"/>
        <item m="1" x="4334"/>
        <item x="1612"/>
        <item m="1" x="5666"/>
        <item x="877"/>
        <item m="1" x="7865"/>
        <item x="370"/>
        <item x="1982"/>
        <item m="1" x="7284"/>
        <item m="1" x="3624"/>
        <item m="1" x="5142"/>
        <item m="1" x="4047"/>
        <item m="1" x="3540"/>
        <item x="725"/>
        <item x="1685"/>
        <item x="113"/>
        <item m="1" x="7789"/>
        <item x="1213"/>
        <item m="1" x="6612"/>
        <item x="2879"/>
        <item m="1" x="6519"/>
        <item m="1" x="4905"/>
        <item m="1" x="6090"/>
        <item x="540"/>
        <item m="1" x="6826"/>
        <item m="1" x="4054"/>
        <item m="1" x="3877"/>
        <item m="1" x="6920"/>
        <item m="1" x="5402"/>
        <item m="1" x="7084"/>
        <item m="1" x="6377"/>
        <item m="1" x="3937"/>
        <item x="2054"/>
        <item x="1853"/>
        <item m="1" x="7944"/>
        <item m="1" x="4770"/>
        <item x="346"/>
        <item x="1246"/>
        <item x="1616"/>
        <item m="1" x="6852"/>
        <item m="1" x="5006"/>
        <item m="1" x="6870"/>
        <item m="1" x="6867"/>
        <item m="1" x="3621"/>
        <item m="1" x="4212"/>
        <item m="1" x="6645"/>
        <item m="1" x="6805"/>
        <item m="1" x="7520"/>
        <item m="1" x="3637"/>
        <item x="1292"/>
        <item m="1" x="5665"/>
        <item m="1" x="5710"/>
        <item m="1" x="6325"/>
        <item m="1" x="4188"/>
        <item x="2937"/>
        <item x="1644"/>
        <item x="1067"/>
        <item m="1" x="5429"/>
        <item x="893"/>
        <item x="172"/>
        <item x="377"/>
        <item m="1" x="7928"/>
        <item x="1449"/>
        <item m="1" x="7148"/>
        <item x="128"/>
        <item x="2184"/>
        <item m="1" x="5744"/>
        <item m="1" x="5227"/>
        <item m="1" x="7852"/>
        <item m="1" x="6620"/>
        <item m="1" x="4061"/>
        <item x="3039"/>
        <item m="1" x="6451"/>
        <item m="1" x="6058"/>
        <item m="1" x="6527"/>
        <item m="1" x="7705"/>
        <item x="2156"/>
        <item x="890"/>
        <item m="1" x="4007"/>
        <item x="916"/>
        <item x="1466"/>
        <item x="1831"/>
        <item m="1" x="6849"/>
        <item x="1930"/>
        <item m="1" x="6402"/>
        <item m="1" x="4519"/>
        <item x="1626"/>
        <item x="1403"/>
        <item x="2245"/>
        <item x="3463"/>
        <item m="1" x="6277"/>
        <item x="2130"/>
        <item x="2842"/>
        <item m="1" x="6810"/>
        <item m="1" x="6554"/>
        <item m="1" x="6569"/>
        <item m="1" x="5888"/>
        <item x="1036"/>
        <item x="1880"/>
        <item x="2539"/>
        <item x="1755"/>
        <item x="3429"/>
        <item m="1" x="4618"/>
        <item x="2038"/>
        <item m="1" x="7462"/>
        <item x="687"/>
        <item m="1" x="6882"/>
        <item x="3019"/>
        <item x="1336"/>
        <item m="1" x="4640"/>
        <item x="189"/>
        <item m="1" x="5228"/>
        <item x="875"/>
        <item x="1085"/>
        <item x="1697"/>
        <item x="762"/>
        <item x="611"/>
        <item x="324"/>
        <item m="1" x="7806"/>
        <item m="1" x="5819"/>
        <item m="1" x="6807"/>
        <item m="1" x="4683"/>
        <item x="2701"/>
        <item x="3451"/>
        <item x="2857"/>
        <item m="1" x="4807"/>
        <item x="1119"/>
        <item m="1" x="6168"/>
        <item x="3015"/>
        <item x="2169"/>
        <item m="1" x="7007"/>
        <item m="1" x="7473"/>
        <item m="1" x="7078"/>
        <item x="193"/>
        <item x="1866"/>
        <item x="521"/>
        <item m="1" x="4775"/>
        <item m="1" x="5649"/>
        <item x="2143"/>
        <item x="226"/>
        <item x="1873"/>
        <item x="2792"/>
        <item m="1" x="6802"/>
        <item x="1902"/>
        <item x="2916"/>
        <item m="1" x="4960"/>
        <item x="1065"/>
        <item m="1" x="3738"/>
        <item x="50"/>
        <item x="1593"/>
        <item x="1419"/>
        <item x="974"/>
        <item m="1" x="4152"/>
        <item m="1" x="4109"/>
        <item x="2669"/>
        <item m="1" x="6779"/>
        <item x="1698"/>
        <item x="2483"/>
        <item x="3212"/>
        <item m="1" x="4886"/>
        <item x="3433"/>
        <item m="1" x="6985"/>
        <item m="1" x="7394"/>
        <item m="1" x="7395"/>
        <item m="1" x="5889"/>
        <item m="1" x="5069"/>
        <item m="1" x="7160"/>
        <item m="1" x="3684"/>
        <item x="1627"/>
        <item m="1" x="6416"/>
        <item m="1" x="5363"/>
        <item m="1" x="5788"/>
        <item x="2246"/>
        <item m="1" x="6757"/>
        <item m="1" x="4920"/>
        <item m="1" x="7256"/>
        <item x="830"/>
        <item m="1" x="5509"/>
        <item m="1" x="5384"/>
        <item x="2989"/>
        <item m="1" x="4476"/>
        <item m="1" x="4403"/>
        <item m="1" x="6601"/>
        <item m="1" x="4213"/>
        <item x="984"/>
        <item x="1294"/>
        <item m="1" x="6300"/>
        <item m="1" x="7926"/>
        <item m="1" x="6627"/>
        <item m="1" x="4255"/>
        <item m="1" x="5693"/>
        <item m="1" x="6595"/>
        <item m="1" x="4823"/>
        <item m="1" x="5035"/>
        <item m="1" x="6461"/>
        <item x="1932"/>
        <item x="2387"/>
        <item x="2388"/>
        <item m="1" x="6108"/>
        <item x="1467"/>
        <item x="2553"/>
        <item x="733"/>
        <item m="1" x="6693"/>
        <item m="1" x="7146"/>
        <item m="1" x="4493"/>
        <item m="1" x="4059"/>
        <item m="1" x="7868"/>
        <item m="1" x="6043"/>
        <item x="2030"/>
        <item x="231"/>
        <item m="1" x="7132"/>
        <item m="1" x="7171"/>
        <item m="1" x="6062"/>
        <item m="1" x="7300"/>
        <item x="3491"/>
        <item x="3286"/>
        <item m="1" x="7615"/>
        <item m="1" x="6887"/>
        <item x="2146"/>
        <item m="1" x="3762"/>
        <item x="2874"/>
        <item m="1" x="5915"/>
        <item m="1" x="5072"/>
        <item m="1" x="6862"/>
        <item x="1472"/>
        <item x="2224"/>
        <item m="1" x="5847"/>
        <item m="1" x="5844"/>
        <item m="1" x="4623"/>
        <item x="3175"/>
        <item m="1" x="6748"/>
        <item m="1" x="5537"/>
        <item m="1" x="6162"/>
        <item m="1" x="5575"/>
        <item m="1" x="5823"/>
        <item m="1" x="7423"/>
        <item x="3483"/>
        <item m="1" x="7069"/>
        <item m="1" x="7295"/>
        <item x="1983"/>
        <item x="1984"/>
        <item x="2616"/>
        <item m="1" x="5843"/>
        <item x="464"/>
        <item x="1699"/>
        <item x="2114"/>
        <item x="3309"/>
        <item m="1" x="4616"/>
        <item m="1" x="6044"/>
        <item x="134"/>
        <item m="1" x="3771"/>
        <item x="904"/>
        <item m="1" x="7851"/>
        <item m="1" x="6286"/>
        <item m="1" x="6204"/>
        <item x="1854"/>
        <item m="1" x="4841"/>
        <item x="898"/>
        <item m="1" x="5684"/>
        <item m="1" x="6262"/>
        <item x="3352"/>
        <item x="2502"/>
        <item m="1" x="7122"/>
        <item m="1" x="5059"/>
        <item m="1" x="5056"/>
        <item m="1" x="4500"/>
        <item m="1" x="4439"/>
        <item x="3363"/>
        <item x="1194"/>
        <item m="1" x="7780"/>
        <item m="1" x="3793"/>
        <item m="1" x="5801"/>
        <item x="971"/>
        <item m="1" x="7877"/>
        <item m="1" x="6629"/>
        <item m="1" x="6308"/>
        <item x="2150"/>
        <item x="1486"/>
        <item x="1897"/>
        <item m="1" x="7648"/>
        <item x="2832"/>
        <item m="1" x="5787"/>
        <item x="3052"/>
        <item m="1" x="5013"/>
        <item x="669"/>
        <item m="1" x="4952"/>
        <item x="3092"/>
        <item m="1" x="4182"/>
        <item x="2908"/>
        <item x="3350"/>
        <item m="1" x="4941"/>
        <item x="2967"/>
        <item x="2262"/>
        <item m="1" x="4404"/>
        <item m="1" x="4076"/>
        <item x="1985"/>
        <item x="3158"/>
        <item x="3262"/>
        <item x="997"/>
        <item m="1" x="6126"/>
        <item m="1" x="5229"/>
        <item m="1" x="6651"/>
        <item x="2354"/>
        <item m="1" x="5877"/>
        <item x="921"/>
        <item x="3066"/>
        <item x="724"/>
        <item m="1" x="7645"/>
        <item x="1819"/>
        <item m="1" x="6580"/>
        <item m="1" x="5939"/>
        <item m="1" x="4994"/>
        <item m="1" x="5861"/>
        <item x="3093"/>
        <item x="3427"/>
        <item x="1255"/>
        <item m="1" x="3617"/>
        <item x="1986"/>
        <item x="3036"/>
        <item x="1131"/>
        <item m="1" x="4171"/>
        <item x="2212"/>
        <item m="1" x="4237"/>
        <item x="541"/>
        <item m="1" x="5971"/>
        <item m="1" x="5523"/>
        <item m="1" x="7189"/>
        <item m="1" x="6682"/>
        <item m="1" x="5193"/>
        <item x="985"/>
        <item m="1" x="4104"/>
        <item m="1" x="4336"/>
        <item x="1780"/>
        <item x="2517"/>
        <item m="1" x="3952"/>
        <item m="1" x="6187"/>
        <item x="1757"/>
        <item x="3040"/>
        <item m="1" x="5572"/>
        <item x="3000"/>
        <item x="119"/>
        <item m="1" x="4067"/>
        <item x="3191"/>
        <item m="1" x="5600"/>
        <item m="1" x="5664"/>
        <item m="1" x="4636"/>
        <item x="720"/>
        <item x="835"/>
        <item m="1" x="7372"/>
        <item m="1" x="5102"/>
        <item m="1" x="7401"/>
        <item x="3201"/>
        <item x="1628"/>
        <item x="885"/>
        <item x="3443"/>
        <item m="1" x="5890"/>
        <item x="2371"/>
        <item m="1" x="4258"/>
        <item m="1" x="5143"/>
        <item m="1" x="7334"/>
        <item x="3055"/>
        <item m="1" x="7718"/>
        <item m="1" x="5891"/>
        <item m="1" x="5948"/>
        <item x="2171"/>
        <item x="467"/>
        <item m="1" x="4409"/>
        <item m="1" x="7151"/>
        <item m="1" x="7152"/>
        <item m="1" x="7153"/>
        <item m="1" x="4610"/>
        <item m="1" x="6963"/>
        <item m="1" x="6123"/>
        <item m="1" x="7784"/>
        <item x="2862"/>
        <item x="2644"/>
        <item m="1" x="5798"/>
        <item x="614"/>
        <item x="839"/>
        <item x="353"/>
        <item m="1" x="4018"/>
        <item m="1" x="6487"/>
        <item x="572"/>
        <item x="2389"/>
        <item m="1" x="3676"/>
        <item m="1" x="5885"/>
        <item m="1" x="7763"/>
        <item x="3336"/>
        <item m="1" x="6452"/>
        <item m="1" x="4925"/>
        <item x="2341"/>
        <item m="1" x="6688"/>
        <item x="233"/>
        <item x="730"/>
        <item x="1311"/>
        <item x="59"/>
        <item x="1987"/>
        <item x="3183"/>
        <item x="2289"/>
        <item x="686"/>
        <item m="1" x="4832"/>
        <item x="1700"/>
        <item x="2831"/>
        <item m="1" x="4968"/>
        <item m="1" x="7716"/>
        <item m="1" x="3601"/>
        <item m="1" x="4833"/>
        <item m="1" x="4761"/>
        <item m="1" x="5081"/>
        <item m="1" x="5624"/>
        <item m="1" x="5103"/>
        <item x="3253"/>
        <item x="2805"/>
        <item x="1804"/>
        <item m="1" x="7828"/>
        <item m="1" x="6560"/>
        <item m="1" x="7598"/>
        <item m="1" x="4375"/>
        <item m="1" x="7048"/>
        <item m="1" x="7058"/>
        <item x="1175"/>
        <item m="1" x="4899"/>
        <item x="2554"/>
        <item m="1" x="3808"/>
        <item m="1" x="4628"/>
        <item m="1" x="6453"/>
        <item x="715"/>
        <item m="1" x="3772"/>
        <item x="1748"/>
        <item x="1513"/>
        <item m="1" x="5734"/>
        <item m="1" x="7786"/>
        <item m="1" x="6873"/>
        <item x="873"/>
        <item m="1" x="3590"/>
        <item x="1004"/>
        <item m="1" x="4158"/>
        <item m="1" x="5613"/>
        <item x="2664"/>
        <item m="1" x="5512"/>
        <item m="1" x="3678"/>
        <item x="2909"/>
        <item m="1" x="7665"/>
        <item x="3430"/>
        <item x="3389"/>
        <item x="1514"/>
        <item m="1" x="7884"/>
        <item x="996"/>
        <item x="2185"/>
        <item x="698"/>
        <item m="1" x="7047"/>
        <item x="2095"/>
        <item x="1968"/>
        <item x="542"/>
        <item m="1" x="5992"/>
        <item m="1" x="6171"/>
        <item x="1701"/>
        <item m="1" x="7591"/>
        <item m="1" x="7691"/>
        <item x="1214"/>
        <item m="1" x="6713"/>
        <item m="1" x="4874"/>
        <item m="1" x="3903"/>
        <item m="1" x="6812"/>
        <item m="1" x="7215"/>
        <item m="1" x="7362"/>
        <item m="1" x="5275"/>
        <item x="1515"/>
        <item x="573"/>
        <item m="1" x="5807"/>
        <item m="1" x="7574"/>
        <item x="2844"/>
        <item m="1" x="4124"/>
        <item x="624"/>
        <item x="3094"/>
        <item x="1220"/>
        <item m="1" x="5562"/>
        <item m="1" x="5369"/>
        <item m="1" x="6520"/>
        <item x="1215"/>
        <item m="1" x="5892"/>
        <item x="1257"/>
        <item m="1" x="4629"/>
        <item m="1" x="5614"/>
        <item m="1" x="6253"/>
        <item m="1" x="3992"/>
        <item m="1" x="4545"/>
        <item x="2357"/>
        <item x="2722"/>
        <item m="1" x="4792"/>
        <item m="1" x="7657"/>
        <item x="1840"/>
        <item m="1" x="4469"/>
        <item x="2978"/>
        <item x="1579"/>
        <item x="3493"/>
        <item x="2135"/>
        <item x="212"/>
        <item m="1" x="6344"/>
        <item x="42"/>
        <item x="2624"/>
        <item m="1" x="6597"/>
        <item m="1" x="6804"/>
        <item m="1" x="7254"/>
        <item x="1487"/>
        <item m="1" x="4808"/>
        <item x="2338"/>
        <item m="1" x="7384"/>
        <item x="2113"/>
        <item x="1337"/>
        <item x="369"/>
        <item x="2390"/>
        <item m="1" x="5129"/>
        <item m="1" x="5230"/>
        <item m="1" x="5689"/>
        <item x="2590"/>
        <item x="66"/>
        <item x="1564"/>
        <item x="574"/>
        <item x="3194"/>
        <item m="1" x="6658"/>
        <item x="1024"/>
        <item x="790"/>
        <item m="1" x="6761"/>
        <item x="2163"/>
        <item m="1" x="7549"/>
        <item m="1" x="7992"/>
        <item x="1766"/>
        <item m="1" x="5276"/>
        <item m="1" x="7669"/>
        <item x="3358"/>
        <item x="1641"/>
        <item x="2653"/>
        <item m="1" x="5277"/>
        <item m="1" x="5231"/>
        <item m="1" x="6909"/>
        <item x="3123"/>
        <item x="1516"/>
        <item m="1" x="6127"/>
        <item x="754"/>
        <item m="1" x="7093"/>
        <item m="1" x="7038"/>
        <item m="1" x="6486"/>
        <item m="1" x="4017"/>
        <item m="1" x="5679"/>
        <item x="2216"/>
        <item m="1" x="5743"/>
        <item x="1632"/>
        <item x="1095"/>
        <item x="3462"/>
        <item m="1" x="7021"/>
        <item m="1" x="5278"/>
        <item m="1" x="6608"/>
        <item x="3079"/>
        <item m="1" x="6684"/>
        <item m="1" x="3865"/>
        <item x="54"/>
        <item m="1" x="3791"/>
        <item x="2841"/>
        <item m="1" x="4435"/>
        <item m="1" x="4278"/>
        <item m="1" x="7831"/>
        <item m="1" x="7383"/>
        <item x="3095"/>
        <item x="271"/>
        <item x="3275"/>
        <item m="1" x="4371"/>
        <item m="1" x="7584"/>
        <item x="381"/>
        <item m="1" x="7414"/>
        <item x="2312"/>
        <item x="1488"/>
        <item m="1" x="5500"/>
        <item m="1" x="7223"/>
        <item m="1" x="7585"/>
        <item x="3447"/>
        <item m="1" x="7216"/>
        <item m="1" x="4340"/>
        <item m="1" x="7967"/>
        <item m="1" x="4646"/>
        <item x="3494"/>
        <item m="1" x="7914"/>
        <item x="1251"/>
        <item m="1" x="5786"/>
        <item m="1" x="3620"/>
        <item x="1392"/>
        <item m="1" x="7830"/>
        <item m="1" x="6454"/>
        <item x="3161"/>
        <item m="1" x="7995"/>
        <item m="1" x="5524"/>
        <item m="1" x="5957"/>
        <item m="1" x="5077"/>
        <item x="2075"/>
        <item m="1" x="6989"/>
        <item m="1" x="4036"/>
        <item x="396"/>
        <item x="41"/>
        <item x="1285"/>
        <item m="1" x="6199"/>
        <item m="1" x="5694"/>
        <item x="1625"/>
        <item m="1" x="5349"/>
        <item m="1" x="7904"/>
        <item x="333"/>
        <item x="575"/>
        <item m="1" x="6002"/>
        <item m="1" x="5457"/>
        <item m="1" x="7867"/>
        <item m="1" x="4134"/>
        <item m="1" x="5532"/>
        <item m="1" x="5846"/>
        <item x="389"/>
        <item m="1" x="7816"/>
        <item m="1" x="5869"/>
        <item m="1" x="5695"/>
        <item m="1" x="6470"/>
        <item x="360"/>
        <item m="1" x="5696"/>
        <item x="1313"/>
        <item x="2609"/>
        <item x="1759"/>
        <item x="2535"/>
        <item x="791"/>
        <item x="1702"/>
        <item m="1" x="4100"/>
        <item m="1" x="5965"/>
        <item x="2797"/>
        <item m="1" x="6806"/>
        <item m="1" x="5320"/>
        <item m="1" x="7925"/>
        <item x="3355"/>
        <item x="2510"/>
        <item x="1124"/>
        <item x="2391"/>
        <item m="1" x="4572"/>
        <item m="1" x="7710"/>
        <item m="1" x="7920"/>
        <item x="2723"/>
        <item x="2186"/>
        <item m="1" x="6464"/>
        <item m="1" x="3580"/>
        <item x="1823"/>
        <item m="1" x="4598"/>
        <item x="2251"/>
        <item m="1" x="7013"/>
        <item x="403"/>
        <item m="1" x="4021"/>
        <item x="1635"/>
        <item x="2128"/>
        <item m="1" x="5321"/>
        <item m="1" x="5134"/>
        <item x="2645"/>
        <item m="1" x="6507"/>
        <item m="1" x="5691"/>
        <item x="208"/>
        <item m="1" x="7889"/>
        <item x="1480"/>
        <item x="3495"/>
        <item x="792"/>
        <item x="3464"/>
        <item x="519"/>
        <item x="3226"/>
        <item m="1" x="7751"/>
        <item m="1" x="4208"/>
        <item x="1160"/>
        <item x="3238"/>
        <item x="2807"/>
        <item m="1" x="5933"/>
        <item m="1" x="3627"/>
        <item x="2449"/>
        <item m="1" x="7415"/>
        <item m="1" x="7424"/>
        <item m="1" x="5886"/>
        <item m="1" x="5741"/>
        <item m="1" x="6417"/>
        <item m="1" x="5802"/>
        <item m="1" x="4266"/>
        <item m="1" x="4451"/>
        <item x="708"/>
        <item x="406"/>
        <item x="407"/>
        <item m="1" x="4989"/>
        <item x="1926"/>
        <item m="1" x="5344"/>
        <item m="1" x="3667"/>
        <item m="1" x="5376"/>
        <item m="1" x="6727"/>
        <item x="520"/>
        <item m="1" x="5876"/>
        <item x="3213"/>
        <item m="1" x="7398"/>
        <item x="2518"/>
        <item x="1580"/>
        <item x="2597"/>
        <item x="1581"/>
        <item m="1" x="5124"/>
        <item m="1" x="7869"/>
        <item x="2646"/>
        <item x="1956"/>
        <item m="1" x="6900"/>
        <item m="1" x="4249"/>
        <item m="1" x="6024"/>
        <item m="1" x="6495"/>
        <item x="228"/>
        <item m="1" x="4141"/>
        <item m="1" x="4647"/>
        <item m="1" x="6780"/>
        <item m="1" x="5090"/>
        <item m="1" x="7773"/>
        <item x="398"/>
        <item m="1" x="7774"/>
        <item x="312"/>
        <item x="314"/>
        <item m="1" x="6906"/>
        <item x="399"/>
        <item m="1" x="6372"/>
        <item x="2258"/>
        <item m="1" x="4283"/>
        <item m="1" x="7552"/>
        <item x="1123"/>
        <item m="1" x="5279"/>
        <item x="2392"/>
        <item m="1" x="5087"/>
        <item x="631"/>
        <item m="1" x="5776"/>
        <item x="2790"/>
        <item x="408"/>
        <item x="438"/>
        <item x="2345"/>
        <item m="1" x="7580"/>
        <item m="1" x="7602"/>
        <item m="1" x="3970"/>
        <item m="1" x="6829"/>
        <item m="1" x="4468"/>
        <item x="1597"/>
        <item m="1" x="5173"/>
        <item m="1" x="5587"/>
        <item x="2867"/>
        <item m="1" x="3604"/>
        <item m="1" x="7333"/>
        <item x="1517"/>
        <item x="576"/>
        <item m="1" x="4065"/>
        <item x="3014"/>
        <item m="1" x="6220"/>
        <item x="2393"/>
        <item m="1" x="4273"/>
        <item m="1" x="3700"/>
        <item m="1" x="3567"/>
        <item x="2164"/>
        <item m="1" x="4066"/>
        <item x="1841"/>
        <item m="1" x="5590"/>
        <item m="1" x="4328"/>
        <item x="52"/>
        <item x="25"/>
        <item x="2814"/>
        <item x="1975"/>
        <item x="1636"/>
        <item m="1" x="4083"/>
        <item x="3373"/>
        <item x="1573"/>
        <item x="318"/>
        <item m="1" x="5410"/>
        <item m="1" x="3561"/>
        <item x="2960"/>
        <item m="1" x="5204"/>
        <item m="1" x="5411"/>
        <item m="1" x="5504"/>
        <item m="1" x="5542"/>
        <item m="1" x="3812"/>
        <item m="1" x="6074"/>
        <item x="2901"/>
        <item x="3149"/>
        <item x="1451"/>
        <item m="1" x="7911"/>
        <item m="1" x="4301"/>
        <item x="2936"/>
        <item m="1" x="4472"/>
        <item x="1899"/>
        <item x="1582"/>
        <item m="1" x="4280"/>
        <item m="1" x="4868"/>
        <item m="1" x="6847"/>
        <item m="1" x="4809"/>
        <item x="3441"/>
        <item m="1" x="5909"/>
        <item x="692"/>
        <item m="1" x="6734"/>
        <item m="1" x="5791"/>
        <item x="1132"/>
        <item x="949"/>
        <item m="1" x="4975"/>
        <item x="901"/>
        <item x="1518"/>
        <item x="3096"/>
        <item m="1" x="6328"/>
        <item x="1519"/>
        <item x="2724"/>
        <item m="1" x="4482"/>
        <item m="1" x="4839"/>
        <item m="1" x="4842"/>
        <item m="1" x="3961"/>
        <item x="1923"/>
        <item m="1" x="5205"/>
        <item m="1" x="6921"/>
        <item m="1" x="7001"/>
        <item m="1" x="4648"/>
        <item m="1" x="7939"/>
        <item x="3062"/>
        <item m="1" x="7936"/>
        <item m="1" x="6085"/>
        <item m="1" x="6776"/>
        <item m="1" x="4184"/>
        <item m="1" x="4174"/>
        <item m="1" x="4164"/>
        <item m="1" x="6634"/>
        <item m="1" x="3726"/>
        <item x="636"/>
        <item x="1963"/>
        <item x="3511"/>
        <item x="1338"/>
        <item x="2372"/>
        <item m="1" x="5763"/>
        <item x="510"/>
        <item x="1339"/>
        <item x="938"/>
        <item m="1" x="7652"/>
        <item m="1" x="7755"/>
        <item m="1" x="7981"/>
        <item m="1" x="3533"/>
        <item x="2493"/>
        <item m="1" x="6221"/>
        <item x="2394"/>
        <item m="1" x="5663"/>
        <item m="1" x="5644"/>
        <item m="1" x="7109"/>
        <item m="1" x="5929"/>
        <item x="1382"/>
        <item m="1" x="4624"/>
        <item m="1" x="4619"/>
        <item x="1858"/>
        <item m="1" x="6250"/>
        <item m="1" x="6526"/>
        <item m="1" x="3783"/>
        <item m="1" x="4595"/>
        <item x="217"/>
        <item m="1" x="6922"/>
        <item m="1" x="7902"/>
        <item m="1" x="6166"/>
        <item m="1" x="4022"/>
        <item m="1" x="4396"/>
        <item m="1" x="4583"/>
        <item x="1988"/>
        <item x="933"/>
        <item m="1" x="7199"/>
        <item m="1" x="6551"/>
        <item m="1" x="3673"/>
        <item m="1" x="4128"/>
        <item m="1" x="4978"/>
        <item m="1" x="7224"/>
        <item m="1" x="6455"/>
        <item x="334"/>
        <item x="3398"/>
        <item m="1" x="5180"/>
        <item m="1" x="5179"/>
        <item m="1" x="6338"/>
        <item x="1340"/>
        <item x="1341"/>
        <item x="1847"/>
        <item x="356"/>
        <item x="3130"/>
        <item m="1" x="7658"/>
        <item x="1629"/>
        <item m="1" x="4367"/>
        <item x="714"/>
        <item m="1" x="4771"/>
        <item m="1" x="7169"/>
        <item m="1" x="6544"/>
        <item x="2725"/>
        <item m="1" x="6506"/>
        <item m="1" x="3784"/>
        <item x="2726"/>
        <item m="1" x="7887"/>
        <item m="1" x="5711"/>
        <item x="1583"/>
        <item x="2619"/>
        <item x="1478"/>
        <item m="1" x="5232"/>
        <item m="1" x="6353"/>
        <item m="1" x="7130"/>
        <item m="1" x="7438"/>
        <item x="1609"/>
        <item x="1669"/>
        <item m="1" x="4630"/>
        <item m="1" x="4172"/>
        <item m="1" x="5455"/>
        <item x="181"/>
        <item x="509"/>
        <item x="2962"/>
        <item m="1" x="6982"/>
        <item x="741"/>
        <item x="1648"/>
        <item x="2890"/>
        <item m="1" x="5434"/>
        <item x="2172"/>
        <item m="1" x="3800"/>
        <item m="1" x="6496"/>
        <item m="1" x="4432"/>
        <item m="1" x="6850"/>
        <item x="156"/>
        <item x="857"/>
        <item x="2880"/>
        <item m="1" x="5721"/>
        <item m="1" x="4869"/>
        <item x="1789"/>
        <item m="1" x="4026"/>
        <item x="2395"/>
        <item m="1" x="7364"/>
        <item x="322"/>
        <item m="1" x="4973"/>
        <item x="756"/>
        <item x="202"/>
        <item m="1" x="6295"/>
        <item m="1" x="3633"/>
        <item x="1148"/>
        <item x="3044"/>
        <item m="1" x="6448"/>
        <item x="2654"/>
        <item x="76"/>
        <item m="1" x="3550"/>
        <item m="1" x="7632"/>
        <item m="1" x="4064"/>
        <item x="2975"/>
        <item m="1" x="4881"/>
        <item x="2461"/>
        <item m="1" x="4395"/>
        <item x="276"/>
        <item x="623"/>
        <item x="3263"/>
        <item m="1" x="5199"/>
        <item x="2396"/>
        <item x="1989"/>
        <item x="1661"/>
        <item m="1" x="3822"/>
        <item m="1" x="5931"/>
        <item m="1" x="3878"/>
        <item x="3069"/>
        <item x="3068"/>
        <item x="1262"/>
        <item m="1" x="6941"/>
        <item x="3337"/>
        <item x="2917"/>
        <item m="1" x="4397"/>
        <item x="264"/>
        <item x="2051"/>
        <item m="1" x="6222"/>
        <item x="2397"/>
        <item m="1" x="6396"/>
        <item m="1" x="5859"/>
        <item m="1" x="6579"/>
        <item x="16"/>
        <item x="2904"/>
        <item x="920"/>
        <item m="1" x="7965"/>
        <item m="1" x="6118"/>
        <item x="2131"/>
        <item x="269"/>
        <item x="3300"/>
        <item x="2263"/>
        <item m="1" x="5563"/>
        <item m="1" x="6786"/>
        <item x="1965"/>
        <item x="1796"/>
        <item x="543"/>
        <item m="1" x="4599"/>
        <item m="1" x="4793"/>
        <item m="1" x="4311"/>
        <item m="1" x="5550"/>
        <item x="1180"/>
        <item m="1" x="6858"/>
        <item m="1" x="3646"/>
        <item m="1" x="6916"/>
        <item x="1643"/>
        <item x="1010"/>
        <item x="2342"/>
        <item m="1" x="5975"/>
        <item m="1" x="4181"/>
        <item x="296"/>
        <item x="544"/>
        <item m="1" x="7373"/>
        <item m="1" x="7533"/>
        <item m="1" x="6060"/>
        <item x="1055"/>
        <item m="1" x="4102"/>
        <item x="213"/>
        <item m="1" x="7046"/>
        <item x="2698"/>
        <item m="1" x="5808"/>
        <item m="1" x="5515"/>
        <item m="1" x="4023"/>
        <item m="1" x="7040"/>
        <item x="1317"/>
        <item x="2875"/>
        <item x="1703"/>
        <item m="1" x="5094"/>
        <item x="3165"/>
        <item m="1" x="6668"/>
        <item x="1888"/>
        <item x="3513"/>
        <item m="1" x="6113"/>
        <item m="1" x="7709"/>
        <item m="1" x="7356"/>
        <item x="2540"/>
        <item m="1" x="4763"/>
        <item x="3344"/>
        <item x="2541"/>
        <item m="1" x="4733"/>
        <item m="1" x="7644"/>
        <item m="1" x="4585"/>
        <item m="1" x="5722"/>
        <item m="1" x="5280"/>
        <item x="470"/>
        <item x="2039"/>
        <item m="1" x="6326"/>
        <item m="1" x="7961"/>
        <item m="1" x="3837"/>
        <item m="1" x="3982"/>
        <item m="1" x="7997"/>
        <item m="1" x="5830"/>
        <item m="1" x="5233"/>
        <item m="1" x="3630"/>
        <item x="1319"/>
        <item x="1283"/>
        <item m="1" x="4177"/>
        <item x="1850"/>
        <item x="1889"/>
        <item m="1" x="4656"/>
        <item m="1" x="3819"/>
        <item m="1" x="3942"/>
        <item m="1" x="4153"/>
        <item m="1" x="6773"/>
        <item m="1" x="7567"/>
        <item m="1" x="5993"/>
        <item x="2490"/>
        <item m="1" x="4559"/>
        <item m="1" x="6045"/>
        <item m="1" x="7720"/>
        <item x="1164"/>
        <item m="1" x="4876"/>
        <item x="652"/>
        <item x="1935"/>
        <item x="350"/>
        <item m="1" x="5445"/>
        <item m="1" x="4286"/>
        <item x="1874"/>
        <item m="1" x="5579"/>
        <item x="2335"/>
        <item x="1704"/>
        <item m="1" x="4035"/>
        <item x="357"/>
        <item x="2499"/>
        <item m="1" x="6179"/>
        <item m="1" x="4926"/>
        <item m="1" x="4755"/>
        <item m="1" x="6491"/>
        <item m="1" x="4726"/>
        <item m="1" x="7675"/>
        <item m="1" x="7895"/>
        <item x="3199"/>
        <item m="1" x="7724"/>
        <item x="761"/>
        <item m="1" x="6438"/>
        <item m="1" x="6437"/>
        <item x="3159"/>
        <item x="201"/>
        <item x="3357"/>
        <item x="847"/>
        <item x="2471"/>
        <item x="2221"/>
        <item x="3061"/>
        <item x="646"/>
        <item m="1" x="4549"/>
        <item x="1199"/>
        <item m="1" x="5004"/>
        <item m="1" x="7808"/>
        <item x="793"/>
        <item x="3140"/>
        <item m="1" x="6754"/>
        <item x="311"/>
        <item x="1200"/>
        <item m="1" x="3781"/>
        <item x="383"/>
        <item x="699"/>
        <item x="868"/>
        <item x="1005"/>
        <item m="1" x="5426"/>
        <item m="1" x="7807"/>
        <item m="1" x="5513"/>
        <item x="1917"/>
        <item m="1" x="6923"/>
        <item x="2702"/>
        <item m="1" x="4810"/>
        <item x="223"/>
        <item m="1" x="7053"/>
        <item m="1" x="7133"/>
        <item m="1" x="4197"/>
        <item m="1" x="7028"/>
        <item x="1181"/>
        <item m="1" x="6988"/>
        <item m="1" x="5979"/>
        <item m="1" x="3931"/>
        <item m="1" x="6686"/>
        <item m="1" x="6563"/>
        <item m="1" x="3805"/>
        <item m="1" x="7244"/>
        <item m="1" x="3911"/>
        <item x="179"/>
        <item m="1" x="7309"/>
        <item x="912"/>
        <item m="1" x="6837"/>
        <item m="1" x="4376"/>
        <item x="894"/>
        <item m="1" x="4145"/>
        <item m="1" x="4020"/>
        <item m="1" x="7277"/>
        <item m="1" x="6913"/>
        <item m="1" x="7613"/>
        <item x="660"/>
        <item m="1" x="4444"/>
        <item x="2686"/>
        <item x="2450"/>
        <item m="1" x="6864"/>
        <item x="2659"/>
        <item m="1" x="7479"/>
        <item m="1" x="3926"/>
        <item m="1" x="4251"/>
        <item m="1" x="6094"/>
        <item x="2513"/>
        <item x="3143"/>
        <item x="2466"/>
        <item x="2313"/>
        <item x="2455"/>
        <item x="409"/>
        <item m="1" x="4461"/>
        <item x="3458"/>
        <item m="1" x="6656"/>
        <item m="1" x="7022"/>
        <item m="1" x="6521"/>
        <item x="1301"/>
        <item m="1" x="7187"/>
        <item x="2860"/>
        <item m="1" x="4272"/>
        <item x="2820"/>
        <item x="410"/>
        <item m="1" x="7402"/>
        <item m="1" x="6584"/>
        <item m="1" x="4087"/>
        <item x="2660"/>
        <item m="1" x="4201"/>
        <item m="1" x="5206"/>
        <item m="1" x="5799"/>
        <item x="681"/>
        <item m="1" x="6739"/>
        <item x="3385"/>
        <item m="1" x="5458"/>
        <item x="2373"/>
        <item m="1" x="6566"/>
        <item m="1" x="4728"/>
        <item x="1325"/>
        <item x="1821"/>
        <item x="97"/>
        <item m="1" x="4620"/>
        <item x="577"/>
        <item x="117"/>
        <item x="3041"/>
        <item m="1" x="6260"/>
        <item m="1" x="4851"/>
        <item m="1" x="6747"/>
        <item x="2778"/>
        <item x="1584"/>
        <item x="3097"/>
        <item m="1" x="5868"/>
        <item m="1" x="4699"/>
        <item x="454"/>
        <item x="2398"/>
        <item m="1" x="3859"/>
        <item m="1" x="5586"/>
        <item m="1" x="4501"/>
        <item x="2970"/>
        <item m="1" x="6545"/>
        <item x="517"/>
        <item m="1" x="7118"/>
        <item m="1" x="5582"/>
        <item x="2665"/>
        <item m="1" x="3888"/>
        <item m="1" x="4229"/>
        <item x="3426"/>
        <item m="1" x="5519"/>
        <item m="1" x="5281"/>
        <item x="203"/>
        <item x="2966"/>
        <item m="1" x="7814"/>
        <item x="1287"/>
        <item m="1" x="7732"/>
        <item x="3417"/>
        <item x="1936"/>
        <item m="1" x="7791"/>
        <item m="1" x="7792"/>
        <item x="1437"/>
        <item m="1" x="4592"/>
        <item x="3184"/>
        <item m="1" x="6932"/>
        <item x="466"/>
        <item m="1" x="5727"/>
        <item x="2700"/>
        <item m="1" x="4852"/>
        <item m="1" x="6019"/>
        <item m="1" x="4368"/>
        <item m="1" x="6031"/>
        <item m="1" x="7172"/>
        <item x="2727"/>
        <item m="1" x="4864"/>
        <item m="1" x="6375"/>
        <item m="1" x="6021"/>
        <item m="1" x="6278"/>
        <item x="2399"/>
        <item x="2628"/>
        <item m="1" x="4222"/>
        <item x="545"/>
        <item m="1" x="4884"/>
        <item m="1" x="6999"/>
        <item m="1" x="5809"/>
        <item m="1" x="7494"/>
        <item m="1" x="7150"/>
        <item m="1" x="6564"/>
        <item m="1" x="4111"/>
        <item m="1" x="6476"/>
        <item x="234"/>
        <item m="1" x="6789"/>
        <item m="1" x="6694"/>
        <item m="1" x="6466"/>
        <item m="1" x="6796"/>
        <item x="1990"/>
        <item m="1" x="6752"/>
        <item m="1" x="6678"/>
        <item x="2061"/>
        <item m="1" x="3656"/>
        <item x="1585"/>
        <item m="1" x="5893"/>
        <item m="1" x="5588"/>
        <item m="1" x="5894"/>
        <item m="1" x="7929"/>
        <item x="705"/>
        <item x="3388"/>
        <item m="1" x="7985"/>
        <item x="3151"/>
        <item m="1" x="4377"/>
        <item x="2475"/>
        <item m="1" x="6210"/>
        <item x="2971"/>
        <item m="1" x="4006"/>
        <item m="1" x="6618"/>
        <item m="1" x="4013"/>
        <item x="2703"/>
        <item x="378"/>
        <item m="1" x="5697"/>
        <item x="1520"/>
        <item m="1" x="4657"/>
        <item m="1" x="7916"/>
        <item m="1" x="3918"/>
        <item x="2294"/>
        <item x="1937"/>
        <item m="1" x="3898"/>
        <item m="1" x="6611"/>
        <item m="1" x="4159"/>
        <item x="235"/>
        <item m="1" x="7819"/>
        <item x="88"/>
        <item m="1" x="5393"/>
        <item m="1" x="6387"/>
        <item x="3197"/>
        <item m="1" x="7878"/>
        <item m="1" x="6288"/>
        <item x="1914"/>
        <item m="1" x="6630"/>
        <item m="1" x="6343"/>
        <item x="642"/>
        <item x="2717"/>
        <item x="1991"/>
        <item x="195"/>
        <item m="1" x="5514"/>
        <item x="3003"/>
        <item x="3465"/>
        <item m="1" x="3521"/>
        <item x="2943"/>
        <item x="772"/>
        <item x="1428"/>
        <item x="2728"/>
        <item x="1130"/>
        <item x="578"/>
        <item x="765"/>
        <item m="1" x="7131"/>
        <item x="3223"/>
        <item m="1" x="4927"/>
        <item m="1" x="4157"/>
        <item x="539"/>
        <item x="3301"/>
        <item x="3269"/>
        <item x="1890"/>
        <item x="1891"/>
        <item x="2334"/>
        <item m="1" x="5589"/>
        <item m="1" x="3635"/>
        <item m="1" x="4264"/>
        <item m="1" x="5914"/>
        <item x="3252"/>
        <item m="1" x="5686"/>
        <item m="1" x="4148"/>
        <item m="1" x="7491"/>
        <item m="1" x="5234"/>
        <item m="1" x="5282"/>
        <item x="319"/>
        <item m="1" x="7530"/>
        <item x="1660"/>
        <item x="411"/>
        <item x="2457"/>
        <item m="1" x="7467"/>
        <item m="1" x="6623"/>
        <item x="968"/>
        <item x="3515"/>
        <item m="1" x="6063"/>
        <item m="1" x="7621"/>
        <item m="1" x="4019"/>
        <item x="2173"/>
        <item x="1938"/>
        <item m="1" x="6953"/>
        <item x="1417"/>
        <item m="1" x="7745"/>
        <item x="1011"/>
        <item m="1" x="7704"/>
        <item m="1" x="5181"/>
        <item x="2868"/>
        <item m="1" x="6723"/>
        <item m="1" x="6919"/>
        <item m="1" x="3721"/>
        <item m="1" x="5712"/>
        <item x="546"/>
        <item x="1468"/>
        <item x="3310"/>
        <item x="760"/>
        <item x="379"/>
        <item m="1" x="5235"/>
        <item x="3051"/>
        <item x="1117"/>
        <item m="1" x="7463"/>
        <item m="1" x="3833"/>
        <item m="1" x="4764"/>
        <item x="262"/>
        <item m="1" x="5283"/>
        <item x="1012"/>
        <item m="1" x="7557"/>
        <item m="1" x="7476"/>
        <item x="950"/>
        <item m="1" x="7760"/>
        <item x="2546"/>
        <item m="1" x="7672"/>
        <item m="1" x="4051"/>
        <item m="1" x="3922"/>
        <item m="1" x="4320"/>
        <item m="1" x="4263"/>
        <item m="1" x="7000"/>
        <item m="1" x="4090"/>
        <item x="2935"/>
        <item x="1489"/>
        <item x="547"/>
        <item x="579"/>
        <item m="1" x="4002"/>
        <item m="1" x="6311"/>
        <item m="1" x="6479"/>
        <item x="889"/>
        <item m="1" x="5534"/>
        <item m="1" x="5104"/>
        <item m="1" x="5157"/>
        <item x="906"/>
        <item x="1254"/>
        <item m="1" x="6485"/>
        <item m="1" x="4016"/>
        <item m="1" x="6924"/>
        <item m="1" x="5236"/>
        <item m="1" x="6233"/>
        <item m="1" x="5785"/>
        <item x="2599"/>
        <item m="1" x="4442"/>
        <item m="1" x="5793"/>
        <item m="1" x="4811"/>
        <item m="1" x="4794"/>
        <item m="1" x="5736"/>
        <item x="690"/>
        <item m="1" x="4277"/>
        <item x="3434"/>
        <item m="1" x="5698"/>
        <item m="1" x="6956"/>
        <item m="1" x="4412"/>
        <item m="1" x="3593"/>
        <item x="635"/>
        <item m="1" x="4589"/>
        <item x="2898"/>
        <item m="1" x="7641"/>
        <item m="1" x="7168"/>
        <item m="1" x="5803"/>
        <item m="1" x="5165"/>
        <item m="1" x="4971"/>
        <item x="402"/>
        <item m="1" x="5662"/>
        <item m="1" x="5919"/>
        <item x="2474"/>
        <item x="261"/>
        <item x="952"/>
        <item x="1240"/>
        <item m="1" x="4992"/>
        <item x="1859"/>
        <item x="2264"/>
        <item m="1" x="4870"/>
        <item m="1" x="5895"/>
        <item m="1" x="6301"/>
        <item x="3311"/>
        <item m="1" x="6007"/>
        <item m="1" x="7566"/>
        <item m="1" x="3606"/>
        <item x="2839"/>
        <item x="3258"/>
        <item x="2165"/>
        <item x="744"/>
        <item m="1" x="7660"/>
        <item m="1" x="4737"/>
        <item x="2772"/>
        <item m="1" x="4456"/>
        <item x="1173"/>
        <item m="1" x="5141"/>
        <item m="1" x="6091"/>
        <item x="2157"/>
        <item x="2952"/>
        <item m="1" x="6764"/>
        <item x="3237"/>
        <item m="1" x="4838"/>
        <item x="2301"/>
        <item m="1" x="4611"/>
        <item m="1" x="5466"/>
        <item m="1" x="4225"/>
        <item x="1006"/>
        <item x="1456"/>
        <item x="3272"/>
        <item m="1" x="4713"/>
        <item x="794"/>
        <item m="1" x="6282"/>
        <item m="1" x="3977"/>
        <item x="533"/>
        <item m="1" x="6979"/>
        <item m="1" x="6449"/>
        <item x="2897"/>
        <item m="1" x="3704"/>
        <item m="1" x="6715"/>
        <item m="1" x="3544"/>
        <item m="1" x="7857"/>
        <item m="1" x="3758"/>
        <item m="1" x="3748"/>
        <item x="1797"/>
        <item x="1735"/>
        <item m="1" x="7940"/>
        <item m="1" x="3571"/>
        <item x="3478"/>
        <item x="610"/>
        <item m="1" x="4315"/>
        <item m="1" x="4385"/>
        <item x="1326"/>
        <item x="1705"/>
        <item x="3224"/>
        <item m="1" x="5284"/>
        <item m="1" x="6478"/>
        <item m="1" x="4011"/>
        <item x="182"/>
        <item m="1" x="5878"/>
        <item m="1" x="6503"/>
        <item x="3475"/>
        <item m="1" x="6589"/>
        <item x="1133"/>
        <item x="2666"/>
        <item x="3098"/>
        <item m="1" x="5775"/>
        <item x="3060"/>
        <item x="1521"/>
        <item m="1" x="6083"/>
        <item x="1327"/>
        <item m="1" x="3825"/>
        <item m="1" x="4986"/>
        <item m="1" x="5794"/>
        <item x="2626"/>
        <item m="1" x="6471"/>
        <item m="1" x="3947"/>
        <item m="1" x="4621"/>
        <item x="118"/>
        <item x="1393"/>
        <item m="1" x="6861"/>
        <item m="1" x="6722"/>
        <item m="1" x="3531"/>
        <item x="2910"/>
        <item x="2096"/>
        <item x="1686"/>
        <item m="1" x="4246"/>
        <item x="522"/>
        <item m="1" x="4953"/>
        <item m="1" x="5824"/>
        <item x="392"/>
        <item x="2529"/>
        <item m="1" x="4393"/>
        <item x="870"/>
        <item m="1" x="4554"/>
        <item x="3419"/>
        <item m="1" x="7882"/>
        <item m="1" x="4541"/>
        <item x="1116"/>
        <item m="1" x="4840"/>
        <item m="1" x="6097"/>
        <item x="3013"/>
        <item m="1" x="4776"/>
        <item x="2265"/>
        <item x="2918"/>
        <item m="1" x="3699"/>
        <item m="1" x="5394"/>
        <item m="1" x="3724"/>
        <item m="1" x="6232"/>
        <item x="2536"/>
        <item x="1201"/>
        <item x="1605"/>
        <item m="1" x="6150"/>
        <item m="1" x="6546"/>
        <item x="2374"/>
        <item m="1" x="7451"/>
        <item m="1" x="4329"/>
        <item x="1522"/>
        <item m="1" x="5991"/>
        <item x="2235"/>
        <item x="675"/>
        <item x="221"/>
        <item m="1" x="4631"/>
        <item x="3209"/>
        <item m="1" x="5609"/>
        <item m="1" x="4727"/>
        <item m="1" x="5237"/>
        <item m="1" x="5207"/>
        <item x="2594"/>
        <item x="1740"/>
        <item x="1435"/>
        <item x="2149"/>
        <item x="2940"/>
        <item x="2293"/>
        <item m="1" x="7534"/>
        <item m="1" x="7208"/>
        <item m="1" x="7225"/>
        <item m="1" x="7746"/>
        <item m="1" x="6355"/>
        <item m="1" x="5854"/>
        <item m="1" x="6267"/>
        <item x="2071"/>
        <item x="1523"/>
        <item x="100"/>
        <item x="3452"/>
        <item x="1586"/>
        <item x="1706"/>
        <item m="1" x="4323"/>
        <item m="1" x="7452"/>
        <item m="1" x="4192"/>
        <item x="2938"/>
        <item m="1" x="3695"/>
        <item m="1" x="3542"/>
        <item m="1" x="3957"/>
        <item m="1" x="7352"/>
        <item m="1" x="6547"/>
        <item m="1" x="5490"/>
        <item m="1" x="7919"/>
        <item m="1" x="7599"/>
        <item m="1" x="7488"/>
        <item m="1" x="6725"/>
        <item m="1" x="7636"/>
        <item x="825"/>
        <item m="1" x="6323"/>
        <item x="3466"/>
        <item x="780"/>
        <item x="469"/>
        <item m="1" x="6530"/>
        <item x="3519"/>
        <item x="1903"/>
        <item m="1" x="4077"/>
        <item m="1" x="7209"/>
        <item m="1" x="7659"/>
        <item m="1" x="6635"/>
        <item x="3077"/>
        <item m="1" x="4357"/>
        <item x="548"/>
        <item m="1" x="7986"/>
        <item x="1013"/>
        <item m="1" x="3535"/>
        <item x="412"/>
        <item x="326"/>
        <item m="1" x="5987"/>
        <item m="1" x="3991"/>
        <item x="2881"/>
        <item x="1104"/>
        <item m="1" x="7506"/>
        <item m="1" x="5591"/>
        <item x="2104"/>
        <item m="1" x="7564"/>
        <item m="1" x="7275"/>
        <item m="1" x="6312"/>
        <item x="1929"/>
        <item x="1707"/>
        <item m="1" x="4220"/>
        <item x="2231"/>
        <item x="2869"/>
        <item m="1" x="7711"/>
        <item m="1" x="7680"/>
        <item m="1" x="3921"/>
        <item x="2451"/>
        <item m="1" x="5155"/>
        <item x="183"/>
        <item m="1" x="5896"/>
        <item m="1" x="6855"/>
        <item m="1" x="5976"/>
        <item m="1" x="4355"/>
        <item m="1" x="6836"/>
        <item x="2934"/>
        <item m="1" x="7290"/>
        <item m="1" x="5024"/>
        <item x="1708"/>
        <item x="1842"/>
        <item m="1" x="3752"/>
        <item x="2691"/>
        <item m="1" x="7443"/>
        <item m="1" x="4961"/>
        <item x="1103"/>
        <item m="1" x="7894"/>
        <item m="1" x="6581"/>
        <item x="627"/>
        <item x="2601"/>
        <item m="1" x="5156"/>
        <item x="2055"/>
        <item m="1" x="6846"/>
        <item x="2912"/>
        <item x="580"/>
        <item m="1" x="7910"/>
        <item x="1342"/>
        <item m="1" x="5460"/>
        <item x="706"/>
        <item x="1030"/>
        <item x="413"/>
        <item m="1" x="4185"/>
        <item x="3008"/>
        <item m="1" x="4156"/>
        <item m="1" x="5564"/>
        <item x="2815"/>
        <item m="1" x="6818"/>
        <item m="1" x="7833"/>
        <item m="1" x="3532"/>
        <item m="1" x="7579"/>
        <item x="2400"/>
        <item m="1" x="6792"/>
        <item m="1" x="6793"/>
        <item m="1" x="4682"/>
        <item m="1" x="4658"/>
        <item x="1269"/>
        <item m="1" x="7117"/>
        <item x="1754"/>
        <item x="1656"/>
        <item x="872"/>
        <item x="3312"/>
        <item x="1898"/>
        <item m="1" x="3887"/>
        <item m="1" x="4715"/>
        <item m="1" x="3879"/>
        <item x="40"/>
        <item m="1" x="4711"/>
        <item m="1" x="5285"/>
        <item m="1" x="7593"/>
        <item x="653"/>
        <item x="859"/>
        <item x="679"/>
        <item m="1" x="5421"/>
        <item m="1" x="5068"/>
        <item m="1" x="7813"/>
        <item m="1" x="5194"/>
        <item m="1" x="7677"/>
        <item m="1" x="7727"/>
        <item x="2468"/>
        <item x="2882"/>
        <item x="77"/>
        <item x="414"/>
        <item x="275"/>
        <item m="1" x="4679"/>
        <item m="1" x="6772"/>
        <item x="2174"/>
        <item x="2902"/>
        <item x="1575"/>
        <item m="1" x="7180"/>
        <item x="387"/>
        <item m="1" x="7559"/>
        <item m="1" x="7924"/>
        <item x="1687"/>
        <item x="2999"/>
        <item m="1" x="6065"/>
        <item m="1" x="5945"/>
        <item x="1134"/>
        <item x="2241"/>
        <item m="1" x="5723"/>
        <item m="1" x="4735"/>
        <item x="363"/>
        <item x="1595"/>
        <item m="1" x="5370"/>
        <item x="3154"/>
        <item m="1" x="6207"/>
        <item m="1" x="3995"/>
        <item x="2883"/>
        <item x="1910"/>
        <item m="1" x="5501"/>
        <item m="1" x="3586"/>
        <item m="1" x="4178"/>
        <item m="1" x="6149"/>
        <item x="1182"/>
        <item m="1" x="4003"/>
        <item x="986"/>
        <item m="1" x="5533"/>
        <item x="1328"/>
        <item m="1" x="5001"/>
        <item x="3496"/>
        <item m="1" x="4378"/>
        <item x="3278"/>
        <item x="549"/>
        <item x="1060"/>
        <item x="1064"/>
        <item m="1" x="5057"/>
        <item m="1" x="5005"/>
        <item m="1" x="4985"/>
        <item x="473"/>
        <item m="1" x="7447"/>
        <item m="1" x="5661"/>
        <item x="2894"/>
        <item m="1" x="3883"/>
        <item x="2506"/>
        <item x="382"/>
        <item x="3520"/>
        <item m="1" x="5007"/>
        <item x="397"/>
        <item m="1" x="6441"/>
        <item m="1" x="6422"/>
        <item m="1" x="5543"/>
        <item x="484"/>
        <item m="1" x="4843"/>
        <item x="2729"/>
        <item x="1343"/>
        <item m="1" x="4169"/>
        <item x="67"/>
        <item x="2787"/>
        <item x="3245"/>
        <item m="1" x="4034"/>
        <item m="1" x="3643"/>
        <item x="0"/>
        <item x="2329"/>
        <item m="1" x="5749"/>
        <item x="1394"/>
        <item m="1" x="7793"/>
        <item x="1642"/>
        <item x="3241"/>
        <item m="1" x="7838"/>
        <item m="1" x="7154"/>
        <item m="1" x="4590"/>
        <item x="784"/>
        <item m="1" x="4670"/>
        <item x="2230"/>
        <item m="1" x="7081"/>
        <item x="2401"/>
        <item m="1" x="3990"/>
        <item m="1" x="5489"/>
        <item m="1" x="7900"/>
        <item m="1" x="7103"/>
        <item x="1443"/>
        <item x="2496"/>
        <item x="2333"/>
        <item x="2851"/>
        <item m="1" x="5724"/>
        <item x="3242"/>
        <item x="494"/>
        <item m="1" x="5064"/>
        <item x="2913"/>
        <item m="1" x="5989"/>
        <item x="335"/>
        <item m="1" x="7126"/>
        <item m="1" x="7547"/>
        <item m="1" x="5997"/>
        <item m="1" x="4043"/>
        <item m="1" x="3935"/>
        <item m="1" x="5083"/>
        <item x="1696"/>
        <item x="1843"/>
        <item m="1" x="5348"/>
        <item x="222"/>
        <item x="293"/>
        <item x="3200"/>
        <item m="1" x="3674"/>
        <item m="1" x="3744"/>
        <item x="2129"/>
        <item m="1" x="5677"/>
        <item x="78"/>
        <item x="649"/>
        <item x="1288"/>
        <item x="2260"/>
        <item m="1" x="4765"/>
        <item m="1" x="7195"/>
        <item m="1" x="7915"/>
        <item m="1" x="6587"/>
        <item m="1" x="7492"/>
        <item m="1" x="5559"/>
        <item m="1" x="5947"/>
        <item m="1" x="6570"/>
        <item x="750"/>
        <item x="1587"/>
        <item m="1" x="6208"/>
        <item m="1" x="7293"/>
        <item m="1" x="4542"/>
        <item m="1" x="3545"/>
        <item m="1" x="7305"/>
        <item m="1" x="6121"/>
        <item m="1" x="7671"/>
        <item x="902"/>
        <item m="1" x="7075"/>
        <item x="1833"/>
        <item x="1464"/>
        <item x="1763"/>
        <item m="1" x="3753"/>
        <item m="1" x="3821"/>
        <item m="1" x="3815"/>
        <item m="1" x="3551"/>
        <item m="1" x="7111"/>
        <item m="1" x="4915"/>
        <item x="2402"/>
        <item m="1" x="6315"/>
        <item m="1" x="4777"/>
        <item m="1" x="6152"/>
        <item x="2958"/>
        <item x="2697"/>
        <item m="1" x="7518"/>
        <item x="2310"/>
        <item x="922"/>
        <item m="1" x="5870"/>
        <item m="1" x="5699"/>
        <item x="2730"/>
        <item m="1" x="6066"/>
        <item m="1" x="6128"/>
        <item m="1" x="4659"/>
        <item x="2979"/>
        <item m="1" x="6940"/>
        <item m="1" x="6209"/>
        <item m="1" x="3856"/>
        <item m="1" x="3831"/>
        <item m="1" x="3844"/>
        <item x="2213"/>
        <item m="1" x="6186"/>
        <item x="3230"/>
        <item m="1" x="7011"/>
        <item x="964"/>
        <item m="1" x="6666"/>
        <item m="1" x="7049"/>
        <item x="641"/>
        <item m="1" x="5700"/>
        <item x="1436"/>
        <item m="1" x="6966"/>
        <item m="1" x="7381"/>
        <item m="1" x="4622"/>
        <item x="550"/>
        <item m="1" x="5488"/>
        <item m="1" x="4140"/>
        <item x="2903"/>
        <item x="1875"/>
        <item m="1" x="3899"/>
        <item x="2679"/>
        <item x="2362"/>
        <item m="1" x="4752"/>
        <item m="1" x="7788"/>
        <item m="1" x="7540"/>
        <item x="2884"/>
        <item m="1" x="3728"/>
        <item m="1" x="5858"/>
        <item m="1" x="7408"/>
        <item x="2403"/>
        <item m="1" x="6268"/>
        <item x="2980"/>
        <item m="1" x="4458"/>
        <item m="1" x="7689"/>
        <item m="1" x="6004"/>
        <item x="1221"/>
        <item m="1" x="4632"/>
        <item x="3313"/>
        <item m="1" x="4649"/>
        <item m="1" x="7917"/>
        <item m="1" x="7998"/>
        <item m="1" x="6067"/>
        <item m="1" x="7513"/>
        <item x="210"/>
        <item m="1" x="5190"/>
        <item x="15"/>
        <item m="1" x="6023"/>
        <item m="1" x="6022"/>
        <item x="850"/>
        <item x="285"/>
        <item x="963"/>
        <item x="2404"/>
        <item x="3067"/>
        <item m="1" x="3663"/>
        <item x="1089"/>
        <item m="1" x="3575"/>
        <item m="1" x="3631"/>
        <item m="1" x="3579"/>
        <item m="1" x="3829"/>
        <item m="1" x="7582"/>
        <item m="1" x="3826"/>
        <item m="1" x="4473"/>
        <item m="1" x="6983"/>
        <item x="266"/>
        <item x="2503"/>
        <item m="1" x="5208"/>
        <item m="1" x="3742"/>
        <item m="1" x="5322"/>
        <item m="1" x="5784"/>
        <item m="1" x="7052"/>
        <item m="1" x="6234"/>
        <item m="1" x="3845"/>
        <item x="2244"/>
        <item x="309"/>
        <item m="1" x="5042"/>
        <item m="1" x="6159"/>
        <item x="3486"/>
        <item x="2680"/>
        <item x="1183"/>
        <item m="1" x="5551"/>
        <item x="1302"/>
        <item m="1" x="6056"/>
        <item m="1" x="4167"/>
        <item x="2151"/>
        <item m="1" x="3963"/>
        <item m="1" x="4778"/>
        <item x="1673"/>
        <item x="1344"/>
        <item m="1" x="6573"/>
        <item x="2336"/>
        <item m="1" x="7837"/>
        <item x="2476"/>
        <item x="2643"/>
        <item m="1" x="7262"/>
        <item x="3247"/>
        <item x="752"/>
        <item m="1" x="5286"/>
        <item m="1" x="5119"/>
        <item x="2458"/>
        <item m="1" x="7798"/>
        <item x="764"/>
        <item m="1" x="6591"/>
        <item m="1" x="6531"/>
        <item x="1881"/>
        <item m="1" x="6473"/>
        <item m="1" x="5577"/>
        <item m="1" x="4441"/>
        <item m="1" x="4837"/>
        <item x="1610"/>
        <item m="1" x="6456"/>
        <item m="1" x="7493"/>
        <item x="3004"/>
        <item m="1" x="7306"/>
        <item m="1" x="6541"/>
        <item m="1" x="6751"/>
        <item x="1622"/>
        <item m="1" x="5558"/>
        <item m="1" x="6109"/>
        <item m="1" x="5167"/>
        <item m="1" x="7003"/>
        <item m="1" x="7609"/>
        <item m="1" x="4706"/>
        <item m="1" x="4689"/>
        <item x="2576"/>
        <item x="2036"/>
        <item m="1" x="5552"/>
        <item m="1" x="7880"/>
        <item m="1" x="4633"/>
        <item m="1" x="6816"/>
        <item m="1" x="7543"/>
        <item x="2217"/>
        <item m="1" x="5062"/>
        <item x="2375"/>
        <item m="1" x="6567"/>
        <item x="551"/>
        <item m="1" x="6388"/>
        <item x="2661"/>
        <item x="415"/>
        <item m="1" x="7114"/>
        <item x="1345"/>
        <item m="1" x="5338"/>
        <item m="1" x="5774"/>
        <item m="1" x="4137"/>
        <item x="795"/>
        <item x="3047"/>
        <item m="1" x="3968"/>
        <item x="2954"/>
        <item x="1689"/>
        <item m="1" x="7139"/>
        <item x="622"/>
        <item m="1" x="6585"/>
        <item m="1" x="5764"/>
        <item x="1068"/>
        <item x="939"/>
        <item x="1222"/>
        <item m="1" x="7873"/>
        <item x="417"/>
        <item m="1" x="3632"/>
        <item x="2175"/>
        <item x="1645"/>
        <item x="1860"/>
        <item x="863"/>
        <item m="1" x="7542"/>
        <item x="1216"/>
        <item x="552"/>
        <item x="68"/>
        <item x="56"/>
        <item m="1" x="7843"/>
        <item x="1145"/>
        <item m="1" x="4844"/>
        <item m="1" x="5419"/>
        <item x="1876"/>
        <item m="1" x="6289"/>
        <item x="2885"/>
        <item x="2876"/>
        <item x="418"/>
        <item x="419"/>
        <item m="1" x="5162"/>
        <item m="1" x="6119"/>
        <item x="1484"/>
        <item m="1" x="7650"/>
        <item x="1202"/>
        <item m="1" x="6099"/>
        <item m="1" x="3767"/>
        <item m="1" x="3547"/>
        <item m="1" x="5487"/>
        <item x="1524"/>
        <item m="1" x="5383"/>
        <item m="1" x="6180"/>
        <item x="2995"/>
        <item x="1346"/>
        <item x="796"/>
        <item m="1" x="6689"/>
        <item m="1" x="6054"/>
        <item x="3129"/>
        <item x="2972"/>
        <item m="1" x="6598"/>
        <item x="2324"/>
        <item m="1" x="6129"/>
        <item m="1" x="6316"/>
        <item x="1961"/>
        <item m="1" x="6421"/>
        <item m="1" x="6215"/>
        <item m="1" x="4052"/>
        <item m="1" x="4445"/>
        <item m="1" x="6440"/>
        <item x="940"/>
        <item m="1" x="6296"/>
        <item x="1939"/>
        <item m="1" x="7207"/>
        <item x="2176"/>
        <item x="3177"/>
        <item x="1598"/>
        <item m="1" x="4760"/>
        <item x="2266"/>
        <item m="1" x="4381"/>
        <item m="1" x="4040"/>
        <item m="1" x="6767"/>
        <item m="1" x="5366"/>
        <item m="1" x="3683"/>
        <item x="879"/>
        <item m="1" x="6480"/>
        <item m="1" x="5994"/>
        <item m="1" x="3814"/>
        <item m="1" x="5926"/>
        <item m="1" x="4754"/>
        <item x="613"/>
        <item m="1" x="7217"/>
        <item x="3461"/>
        <item m="1" x="4850"/>
        <item m="1" x="7661"/>
        <item m="1" x="4072"/>
        <item m="1" x="7416"/>
        <item m="1" x="7417"/>
        <item x="460"/>
        <item x="2994"/>
        <item m="1" x="6740"/>
        <item x="2605"/>
        <item m="1" x="6334"/>
        <item x="90"/>
        <item m="1" x="3801"/>
        <item x="821"/>
        <item x="2532"/>
        <item x="236"/>
        <item m="1" x="5065"/>
        <item m="1" x="4407"/>
        <item x="1037"/>
        <item x="777"/>
        <item m="1" x="4436"/>
        <item m="1" x="5680"/>
        <item m="1" x="7504"/>
        <item m="1" x="3648"/>
        <item m="1" x="6194"/>
        <item x="3126"/>
        <item x="1594"/>
        <item x="998"/>
        <item x="2950"/>
        <item m="1" x="5738"/>
        <item x="2058"/>
        <item x="1139"/>
        <item x="364"/>
        <item m="1" x="4738"/>
        <item x="3032"/>
        <item m="1" x="3538"/>
        <item x="797"/>
        <item x="1271"/>
        <item x="2859"/>
        <item x="2501"/>
        <item x="1954"/>
        <item m="1" x="5940"/>
        <item x="1399"/>
        <item x="1783"/>
        <item x="299"/>
        <item x="2140"/>
        <item x="1223"/>
        <item m="1" x="6617"/>
        <item x="2177"/>
        <item m="1" x="7503"/>
        <item m="1" x="7166"/>
        <item m="1" x="5101"/>
        <item x="905"/>
        <item m="1" x="7242"/>
        <item m="1" x="4053"/>
        <item m="1" x="7263"/>
        <item m="1" x="6721"/>
        <item m="1" x="4138"/>
        <item m="1" x="6622"/>
        <item x="1571"/>
        <item x="3249"/>
        <item m="1" x="7736"/>
        <item m="1" x="4374"/>
        <item x="2696"/>
        <item m="1" x="5238"/>
        <item m="1" x="6575"/>
        <item x="2405"/>
        <item x="1662"/>
        <item m="1" x="5707"/>
        <item m="1" x="7990"/>
        <item m="1" x="6442"/>
        <item x="3099"/>
        <item m="1" x="5605"/>
        <item x="776"/>
        <item m="1" x="5172"/>
        <item m="1" x="4690"/>
        <item m="1" x="5160"/>
        <item m="1" x="5161"/>
        <item m="1" x="5831"/>
        <item x="834"/>
        <item m="1" x="4779"/>
        <item x="1"/>
        <item m="1" x="4131"/>
        <item m="1" x="6785"/>
        <item m="1" x="5387"/>
        <item m="1" x="6646"/>
        <item m="1" x="4602"/>
        <item x="2145"/>
        <item m="1" x="4942"/>
        <item x="112"/>
        <item x="742"/>
        <item x="2968"/>
        <item m="1" x="3559"/>
        <item x="3292"/>
        <item m="1" x="3589"/>
        <item x="2308"/>
        <item m="1" x="3692"/>
        <item x="1709"/>
        <item x="2187"/>
        <item m="1" x="4923"/>
        <item m="1" x="4913"/>
        <item m="1" x="6835"/>
        <item m="1" x="7701"/>
        <item m="1" x="6112"/>
        <item x="2848"/>
        <item x="848"/>
        <item m="1" x="6322"/>
        <item m="1" x="4650"/>
        <item m="1" x="4453"/>
        <item x="3188"/>
        <item x="1574"/>
        <item m="1" x="4009"/>
        <item m="1" x="7570"/>
        <item m="1" x="7319"/>
        <item m="1" x="6037"/>
        <item m="1" x="4684"/>
        <item x="887"/>
        <item m="1" x="7234"/>
        <item m="1" x="6827"/>
        <item m="1" x="7283"/>
        <item m="1" x="5683"/>
        <item m="1" x="6335"/>
        <item x="1029"/>
        <item m="1" x="4462"/>
        <item m="1" x="7159"/>
        <item x="3259"/>
        <item x="1882"/>
        <item m="1" x="3569"/>
        <item x="915"/>
        <item m="1" x="7987"/>
        <item m="1" x="7164"/>
        <item m="1" x="5607"/>
        <item x="1710"/>
        <item m="1" x="7269"/>
        <item x="178"/>
        <item m="1" x="4692"/>
        <item m="1" x="5544"/>
        <item x="2406"/>
        <item x="3514"/>
        <item m="1" x="7525"/>
        <item x="1525"/>
        <item x="2846"/>
        <item x="1310"/>
        <item x="394"/>
        <item m="1" x="7210"/>
        <item x="2830"/>
        <item m="1" x="6529"/>
        <item m="1" x="7237"/>
        <item x="908"/>
        <item m="1" x="5818"/>
        <item m="1" x="6362"/>
        <item m="1" x="7823"/>
        <item x="923"/>
        <item m="1" x="6759"/>
        <item m="1" x="7252"/>
        <item x="169"/>
        <item m="1" x="6101"/>
        <item m="1" x="5973"/>
        <item m="1" x="7912"/>
        <item x="92"/>
        <item m="1" x="6898"/>
        <item x="2105"/>
        <item x="3382"/>
        <item x="581"/>
        <item x="934"/>
        <item m="1" x="4027"/>
        <item x="2731"/>
        <item m="1" x="6879"/>
        <item x="2102"/>
        <item x="1154"/>
        <item m="1" x="7951"/>
        <item x="3509"/>
        <item m="1" x="7361"/>
        <item m="1" x="5810"/>
        <item m="1" x="7594"/>
        <item m="1" x="7693"/>
        <item x="924"/>
        <item m="1" x="4411"/>
        <item m="1" x="6340"/>
        <item x="1412"/>
        <item m="1" x="5075"/>
        <item x="2296"/>
        <item x="798"/>
        <item m="1" x="4259"/>
        <item x="1386"/>
        <item m="1" x="4421"/>
        <item x="2267"/>
        <item x="1347"/>
        <item x="27"/>
        <item m="1" x="4499"/>
        <item x="2811"/>
        <item x="2073"/>
        <item m="1" x="6821"/>
        <item m="1" x="5071"/>
        <item x="2500"/>
        <item x="1747"/>
        <item m="1" x="7583"/>
        <item m="1" x="3595"/>
        <item x="779"/>
        <item m="1" x="7713"/>
        <item x="2236"/>
        <item m="1" x="3861"/>
        <item x="1767"/>
        <item m="1" x="3657"/>
        <item x="643"/>
        <item m="1" x="6202"/>
        <item m="1" x="4496"/>
        <item x="162"/>
        <item m="1" x="6972"/>
        <item x="582"/>
        <item m="1" x="3824"/>
        <item x="3444"/>
        <item x="1453"/>
        <item x="31"/>
        <item m="1" x="6613"/>
        <item m="1" x="4591"/>
        <item m="1" x="6165"/>
        <item x="3410"/>
        <item m="1" x="6242"/>
        <item m="1" x="6961"/>
        <item x="1682"/>
        <item m="1" x="5713"/>
        <item x="2689"/>
        <item x="2542"/>
        <item m="1" x="6497"/>
        <item x="2"/>
        <item m="1" x="5642"/>
        <item m="1" x="4207"/>
        <item m="1" x="7963"/>
        <item x="2648"/>
        <item x="501"/>
        <item x="2603"/>
        <item m="1" x="5287"/>
        <item m="1" x="4918"/>
        <item x="281"/>
        <item x="1992"/>
        <item x="3383"/>
        <item x="1431"/>
        <item m="1" x="3717"/>
        <item x="799"/>
        <item x="800"/>
        <item m="1" x="7142"/>
        <item m="1" x="4734"/>
        <item x="1784"/>
        <item m="1" x="4959"/>
        <item m="1" x="6283"/>
        <item x="3187"/>
        <item m="1" x="6640"/>
        <item x="3100"/>
        <item m="1" x="3842"/>
        <item m="1" x="6298"/>
        <item x="3182"/>
        <item m="1" x="6571"/>
        <item x="1184"/>
        <item m="1" x="7635"/>
        <item m="1" x="4642"/>
        <item x="2973"/>
        <item m="1" x="7663"/>
        <item x="583"/>
        <item m="1" x="7386"/>
        <item x="1624"/>
        <item m="1" x="5239"/>
        <item m="1" x="5615"/>
        <item x="2188"/>
        <item m="1" x="7980"/>
        <item m="1" x="7162"/>
        <item m="1" x="4425"/>
        <item m="1" x="5044"/>
        <item m="1" x="4660"/>
        <item x="3353"/>
        <item x="1384"/>
        <item m="1" x="4744"/>
        <item x="1263"/>
        <item x="1100"/>
        <item m="1" x="6872"/>
        <item x="1919"/>
        <item m="1" x="6042"/>
        <item m="1" x="7630"/>
        <item x="3469"/>
        <item m="1" x="5288"/>
        <item m="1" x="4795"/>
        <item x="1630"/>
        <item x="925"/>
        <item m="1" x="5765"/>
        <item x="2223"/>
        <item m="1" x="4398"/>
        <item m="1" x="5897"/>
        <item x="2365"/>
        <item m="1" x="5497"/>
        <item m="1" x="4907"/>
        <item m="1" x="7804"/>
        <item m="1" x="7642"/>
        <item m="1" x="7270"/>
        <item m="1" x="6211"/>
        <item x="2255"/>
        <item m="1" x="7068"/>
        <item x="1825"/>
        <item m="1" x="3838"/>
        <item m="1" x="7489"/>
        <item m="1" x="4687"/>
        <item m="1" x="5982"/>
        <item x="3210"/>
        <item x="3472"/>
        <item m="1" x="5240"/>
        <item x="3156"/>
        <item x="2237"/>
        <item m="1" x="6934"/>
        <item m="1" x="5209"/>
        <item x="570"/>
        <item m="1" x="5289"/>
        <item m="1" x="7742"/>
        <item x="1670"/>
        <item m="1" x="5692"/>
        <item x="1993"/>
        <item m="1" x="5839"/>
        <item m="1" x="5164"/>
        <item x="511"/>
        <item x="2526"/>
        <item m="1" x="6592"/>
        <item m="1" x="6059"/>
        <item m="1" x="5000"/>
        <item x="3048"/>
        <item x="237"/>
        <item m="1" x="5290"/>
        <item m="1" x="3835"/>
        <item m="1" x="6072"/>
        <item x="1526"/>
        <item x="1169"/>
        <item x="2847"/>
        <item x="1297"/>
        <item x="2242"/>
        <item x="2366"/>
        <item m="1" x="3712"/>
        <item m="1" x="6659"/>
        <item x="1795"/>
        <item x="1348"/>
        <item m="1" x="5364"/>
        <item x="801"/>
        <item m="1" x="7206"/>
        <item x="3454"/>
        <item m="1" x="7096"/>
        <item m="1" x="5241"/>
        <item x="2637"/>
        <item x="926"/>
        <item m="1" x="4885"/>
        <item x="265"/>
        <item x="2069"/>
        <item x="300"/>
        <item x="1400"/>
        <item m="1" x="5371"/>
        <item m="1" x="4505"/>
        <item x="102"/>
        <item x="2944"/>
        <item m="1" x="6609"/>
        <item m="1" x="3823"/>
        <item x="1022"/>
        <item m="1" x="5742"/>
        <item x="336"/>
        <item m="1" x="3727"/>
        <item m="1" x="4651"/>
        <item m="1" x="3880"/>
        <item m="1" x="4596"/>
        <item x="1329"/>
        <item x="1527"/>
        <item x="2407"/>
        <item x="2132"/>
        <item m="1" x="5430"/>
        <item m="1" x="3664"/>
        <item x="2905"/>
        <item x="2929"/>
        <item m="1" x="6061"/>
        <item m="1" x="6429"/>
        <item x="1918"/>
        <item x="3251"/>
        <item x="1276"/>
        <item x="3144"/>
        <item x="366"/>
        <item x="2981"/>
        <item x="727"/>
        <item x="2033"/>
        <item m="1" x="5811"/>
        <item m="1" x="4039"/>
        <item m="1" x="6939"/>
        <item x="909"/>
        <item x="891"/>
        <item x="2634"/>
        <item m="1" x="7127"/>
        <item m="1" x="5323"/>
        <item m="1" x="7350"/>
        <item m="1" x="6070"/>
        <item m="1" x="6259"/>
        <item x="2247"/>
        <item x="2555"/>
        <item m="1" x="7978"/>
        <item m="1" x="4143"/>
        <item m="1" x="4333"/>
        <item m="1" x="4424"/>
        <item x="44"/>
        <item x="1069"/>
        <item x="1655"/>
        <item x="2456"/>
        <item m="1" x="4343"/>
        <item m="1" x="5034"/>
        <item m="1" x="5052"/>
        <item m="1" x="5049"/>
        <item m="1" x="6894"/>
        <item m="1" x="4661"/>
        <item m="1" x="6317"/>
        <item x="2306"/>
        <item x="2072"/>
        <item m="1" x="6552"/>
        <item m="1" x="4240"/>
        <item m="1" x="5060"/>
        <item x="2556"/>
        <item x="482"/>
        <item x="2579"/>
        <item m="1" x="5745"/>
        <item m="1" x="6781"/>
        <item x="2675"/>
        <item m="1" x="5565"/>
        <item x="238"/>
        <item m="1" x="5949"/>
        <item m="1" x="7100"/>
        <item m="1" x="4571"/>
        <item m="1" x="5210"/>
        <item x="941"/>
        <item x="2111"/>
        <item x="1387"/>
        <item m="1" x="3827"/>
        <item m="1" x="6026"/>
        <item m="1" x="4528"/>
        <item m="1" x="6330"/>
        <item x="3359"/>
        <item x="126"/>
        <item m="1" x="6068"/>
        <item x="3027"/>
        <item m="1" x="3954"/>
        <item m="1" x="4796"/>
        <item m="1" x="5028"/>
        <item m="1" x="5747"/>
        <item m="1" x="5242"/>
        <item m="1" x="5766"/>
        <item m="1" x="5291"/>
        <item m="1" x="7116"/>
        <item m="1" x="4302"/>
        <item x="1777"/>
        <item x="2786"/>
        <item x="1454"/>
        <item x="1459"/>
        <item m="1" x="5751"/>
        <item m="1" x="7226"/>
        <item m="1" x="4060"/>
        <item m="1" x="4487"/>
        <item x="2470"/>
        <item m="1" x="4492"/>
        <item m="1" x="7218"/>
        <item m="1" x="4615"/>
        <item m="1" x="6981"/>
        <item m="1" x="7888"/>
        <item m="1" x="7197"/>
        <item x="3412"/>
        <item m="1" x="6290"/>
        <item m="1" x="5871"/>
        <item m="1" x="4144"/>
        <item m="1" x="4824"/>
        <item m="1" x="7425"/>
        <item m="1" x="7418"/>
        <item m="1" x="7419"/>
        <item x="1349"/>
        <item x="837"/>
        <item x="1149"/>
        <item x="2982"/>
        <item m="1" x="4671"/>
        <item x="1121"/>
        <item m="1" x="7015"/>
        <item m="1" x="4825"/>
        <item m="1" x="7051"/>
        <item x="1994"/>
        <item m="1" x="3951"/>
        <item m="1" x="3965"/>
        <item x="2671"/>
        <item m="1" x="3668"/>
        <item m="1" x="6632"/>
        <item m="1" x="5191"/>
        <item x="1568"/>
        <item x="2268"/>
        <item m="1" x="7251"/>
        <item m="1" x="5660"/>
        <item m="1" x="4911"/>
        <item x="2447"/>
        <item x="786"/>
        <item x="787"/>
        <item x="3243"/>
        <item x="3043"/>
        <item m="1" x="5404"/>
        <item x="538"/>
        <item m="1" x="6899"/>
        <item m="1" x="4547"/>
        <item m="1" x="4928"/>
        <item m="1" x="4209"/>
        <item m="1" x="7301"/>
        <item m="1" x="4695"/>
        <item m="1" x="7324"/>
        <item m="1" x="7074"/>
        <item m="1" x="4712"/>
        <item m="1" x="7337"/>
        <item m="1" x="3669"/>
        <item x="1885"/>
        <item x="218"/>
        <item m="1" x="4337"/>
        <item m="1" x="4423"/>
        <item x="3474"/>
        <item m="1" x="7185"/>
        <item x="678"/>
        <item x="2681"/>
        <item x="2683"/>
        <item m="1" x="7430"/>
        <item x="2117"/>
        <item x="145"/>
        <item m="1" x="4216"/>
        <item x="3075"/>
        <item m="1" x="4030"/>
        <item m="1" x="3939"/>
        <item x="892"/>
        <item m="1" x="4187"/>
        <item m="1" x="7964"/>
        <item m="1" x="5797"/>
        <item x="3101"/>
        <item m="1" x="6371"/>
        <item x="1528"/>
        <item x="498"/>
        <item m="1" x="6706"/>
        <item x="1915"/>
        <item m="1" x="5566"/>
        <item x="1033"/>
        <item m="1" x="4721"/>
        <item x="2170"/>
        <item m="1" x="7794"/>
        <item x="2222"/>
        <item m="1" x="6374"/>
        <item m="1" x="7562"/>
        <item m="1" x="4908"/>
        <item m="1" x="4079"/>
        <item m="1" x="5578"/>
        <item m="1" x="5757"/>
        <item m="1" x="3536"/>
        <item m="1" x="6305"/>
        <item x="1679"/>
        <item m="1" x="5598"/>
        <item m="1" x="7357"/>
        <item m="1" x="4772"/>
        <item x="273"/>
        <item m="1" x="4603"/>
        <item x="224"/>
        <item x="485"/>
        <item x="3180"/>
        <item x="1778"/>
        <item m="1" x="5450"/>
        <item x="184"/>
        <item m="1" x="6356"/>
        <item m="1" x="3716"/>
        <item x="337"/>
        <item x="2347"/>
        <item x="1270"/>
        <item m="1" x="4238"/>
        <item m="1" x="3706"/>
        <item m="1" x="5701"/>
        <item x="1741"/>
        <item x="2610"/>
        <item m="1" x="4875"/>
        <item x="2462"/>
        <item x="871"/>
        <item x="3255"/>
        <item m="1" x="5882"/>
        <item x="1265"/>
        <item m="1" x="6148"/>
        <item x="1529"/>
        <item m="1" x="5066"/>
        <item m="1" x="3863"/>
        <item m="1" x="5531"/>
        <item x="1179"/>
        <item m="1" x="6660"/>
        <item x="3082"/>
        <item m="1" x="6190"/>
        <item x="2704"/>
        <item x="2618"/>
        <item m="1" x="4284"/>
        <item m="1" x="4408"/>
        <item m="1" x="4338"/>
        <item m="1" x="5324"/>
        <item m="1" x="5567"/>
        <item m="1" x="4234"/>
        <item m="1" x="4996"/>
        <item x="1801"/>
        <item x="3518"/>
        <item x="2408"/>
        <item m="1" x="5078"/>
        <item m="1" x="5433"/>
        <item x="2178"/>
        <item m="1" x="7758"/>
        <item m="1" x="5479"/>
        <item m="1" x="6053"/>
        <item m="1" x="3686"/>
        <item m="1" x="7947"/>
        <item m="1" x="6716"/>
        <item m="1" x="5107"/>
        <item x="1106"/>
        <item m="1" x="7477"/>
        <item x="1647"/>
        <item x="3064"/>
        <item m="1" x="4780"/>
        <item x="3460"/>
        <item x="2482"/>
        <item m="1" x="6991"/>
        <item x="3487"/>
        <item x="1314"/>
        <item x="584"/>
        <item x="3484"/>
        <item m="1" x="6314"/>
        <item x="3005"/>
        <item m="1" x="3640"/>
        <item x="106"/>
        <item m="1" x="4431"/>
        <item x="2688"/>
        <item x="987"/>
        <item x="420"/>
        <item x="1995"/>
        <item x="3222"/>
        <item x="2818"/>
        <item x="2533"/>
        <item x="1203"/>
        <item x="1530"/>
        <item m="1" x="6993"/>
        <item m="1" x="4834"/>
        <item m="1" x="6291"/>
        <item x="3220"/>
        <item x="1483"/>
        <item m="1" x="6400"/>
        <item x="2998"/>
        <item m="1" x="6997"/>
        <item m="1" x="4797"/>
        <item m="1" x="7517"/>
        <item x="1925"/>
        <item x="2693"/>
        <item x="338"/>
        <item m="1" x="6553"/>
        <item x="2705"/>
        <item x="3234"/>
        <item m="1" x="3999"/>
        <item m="1" x="3983"/>
        <item x="51"/>
        <item x="3002"/>
        <item x="514"/>
        <item m="1" x="6512"/>
        <item m="1" x="4929"/>
        <item x="3421"/>
        <item x="2514"/>
        <item m="1" x="5211"/>
        <item x="297"/>
        <item m="1" x="5186"/>
        <item m="1" x="6275"/>
        <item m="1" x="7811"/>
        <item m="1" x="4680"/>
        <item x="2706"/>
        <item m="1" x="7050"/>
        <item m="1" x="3677"/>
        <item m="1" x="4048"/>
        <item m="1" x="3885"/>
        <item x="2692"/>
        <item x="2376"/>
        <item m="1" x="4509"/>
        <item x="1940"/>
        <item x="1664"/>
        <item m="1" x="5836"/>
        <item x="2899"/>
        <item m="1" x="7346"/>
        <item x="2914"/>
        <item m="1" x="6824"/>
        <item m="1" x="5910"/>
        <item x="2136"/>
        <item m="1" x="6391"/>
        <item m="1" x="4781"/>
        <item m="1" x="4248"/>
        <item x="130"/>
        <item m="1" x="5925"/>
        <item m="1" x="6758"/>
        <item x="2330"/>
        <item x="1806"/>
        <item m="1" x="4105"/>
        <item x="170"/>
        <item m="1" x="4106"/>
        <item m="1" x="7200"/>
        <item m="1" x="7137"/>
        <item x="3392"/>
        <item x="826"/>
        <item m="1" x="7077"/>
        <item x="1904"/>
        <item m="1" x="7729"/>
        <item m="1" x="5773"/>
        <item x="1308"/>
        <item m="1" x="4291"/>
        <item x="286"/>
        <item x="625"/>
        <item m="1" x="7328"/>
        <item m="1" x="4693"/>
        <item x="168"/>
        <item m="1" x="7245"/>
        <item x="2993"/>
        <item m="1" x="3858"/>
        <item m="1" x="4517"/>
        <item m="1" x="4438"/>
        <item m="1" x="4440"/>
        <item x="858"/>
        <item m="1" x="3897"/>
        <item m="1" x="7233"/>
        <item m="1" x="6445"/>
        <item m="1" x="5176"/>
        <item m="1" x="7841"/>
        <item x="3387"/>
        <item m="1" x="4392"/>
        <item x="3516"/>
        <item m="1" x="3950"/>
        <item m="1" x="5898"/>
        <item m="1" x="6246"/>
        <item x="1098"/>
        <item m="1" x="5485"/>
        <item m="1" x="7809"/>
        <item m="1" x="4582"/>
        <item m="1" x="4046"/>
        <item m="1" x="5243"/>
        <item x="2469"/>
        <item m="1" x="6468"/>
        <item m="1" x="7617"/>
        <item m="1" x="4782"/>
        <item x="822"/>
        <item x="2409"/>
        <item x="3490"/>
        <item m="1" x="5244"/>
        <item x="2826"/>
        <item x="1159"/>
        <item m="1" x="7039"/>
        <item x="763"/>
        <item x="2953"/>
        <item x="527"/>
        <item m="1" x="4449"/>
        <item x="305"/>
        <item m="1" x="6653"/>
        <item m="1" x="5783"/>
        <item x="2189"/>
        <item m="1" x="5804"/>
        <item x="2607"/>
        <item m="1" x="4662"/>
        <item x="1578"/>
        <item m="1" x="6144"/>
        <item x="852"/>
        <item m="1" x="4540"/>
        <item m="1" x="3881"/>
        <item m="1" x="6193"/>
        <item m="1" x="6247"/>
        <item x="1941"/>
        <item m="1" x="4625"/>
        <item m="1" x="5676"/>
        <item m="1" x="5023"/>
        <item m="1" x="6428"/>
        <item x="529"/>
        <item x="1153"/>
        <item m="1" x="6538"/>
        <item m="1" x="3608"/>
        <item m="1" x="5481"/>
        <item m="1" x="7555"/>
        <item x="1096"/>
        <item m="1" x="7655"/>
        <item x="21"/>
        <item x="2225"/>
        <item m="1" x="6726"/>
        <item m="1" x="4479"/>
        <item m="1" x="7770"/>
        <item x="617"/>
        <item x="421"/>
        <item m="1" x="5346"/>
        <item m="1" x="5825"/>
        <item x="1003"/>
        <item m="1" x="6380"/>
        <item x="2385"/>
        <item x="3248"/>
        <item m="1" x="5397"/>
        <item m="1" x="3896"/>
        <item m="1" x="3809"/>
        <item m="1" x="3522"/>
        <item m="1" x="5715"/>
        <item m="1" x="5549"/>
        <item m="1" x="4783"/>
        <item x="953"/>
        <item x="2911"/>
        <item x="2498"/>
        <item x="347"/>
        <item m="1" x="5037"/>
        <item x="3246"/>
        <item m="1" x="6650"/>
        <item m="1" x="3785"/>
        <item m="1" x="6709"/>
        <item x="2314"/>
        <item x="1056"/>
        <item m="1" x="6967"/>
        <item m="1" x="5916"/>
        <item x="3314"/>
        <item x="1045"/>
        <item m="1" x="6980"/>
        <item m="1" x="4406"/>
        <item m="1" x="3786"/>
        <item x="10"/>
        <item x="1039"/>
        <item x="1877"/>
        <item x="3150"/>
        <item m="1" x="5887"/>
        <item m="1" x="7596"/>
        <item m="1" x="3599"/>
        <item x="3176"/>
        <item m="1" x="6130"/>
        <item m="1" x="5981"/>
        <item x="935"/>
        <item m="1" x="3582"/>
        <item x="1920"/>
        <item x="661"/>
        <item m="1" x="6791"/>
        <item x="352"/>
        <item m="1" x="7595"/>
        <item x="1303"/>
        <item x="2715"/>
        <item x="2947"/>
        <item x="2621"/>
        <item x="3497"/>
        <item m="1" x="5950"/>
        <item x="2166"/>
        <item m="1" x="6768"/>
        <item m="1" x="7497"/>
        <item x="1996"/>
        <item m="1" x="5152"/>
        <item m="1" x="6536"/>
        <item x="1997"/>
        <item m="1" x="7442"/>
        <item x="2210"/>
        <item x="2484"/>
        <item m="1" x="7098"/>
        <item m="1" x="4290"/>
        <item x="3042"/>
        <item m="1" x="4663"/>
        <item x="422"/>
        <item m="1" x="4310"/>
        <item x="942"/>
        <item m="1" x="5687"/>
        <item x="1652"/>
        <item x="1135"/>
        <item m="1" x="6385"/>
        <item m="1" x="3989"/>
        <item m="1" x="7374"/>
        <item x="3117"/>
        <item m="1" x="4391"/>
        <item x="1473"/>
        <item x="1942"/>
        <item x="1070"/>
        <item x="1711"/>
        <item x="2557"/>
        <item x="2558"/>
        <item m="1" x="3756"/>
        <item x="1413"/>
        <item x="111"/>
        <item x="1845"/>
        <item m="1" x="5471"/>
        <item x="2410"/>
        <item m="1" x="6839"/>
        <item x="3171"/>
        <item m="1" x="4556"/>
        <item x="259"/>
        <item x="2647"/>
        <item x="1667"/>
        <item x="1712"/>
        <item x="3023"/>
        <item x="918"/>
        <item x="1588"/>
        <item m="1" x="3782"/>
        <item x="388"/>
        <item m="1" x="7101"/>
        <item m="1" x="6142"/>
        <item m="1" x="4930"/>
        <item x="1059"/>
        <item m="1" x="6971"/>
        <item m="1" x="6970"/>
        <item m="1" x="7747"/>
        <item x="1976"/>
        <item m="1" x="7231"/>
        <item m="1" x="6533"/>
        <item m="1" x="7219"/>
        <item x="1034"/>
        <item m="1" x="6690"/>
        <item x="81"/>
        <item m="1" x="5017"/>
        <item m="1" x="7790"/>
        <item m="1" x="5972"/>
        <item m="1" x="5360"/>
        <item x="3206"/>
        <item m="1" x="4565"/>
        <item m="1" x="7556"/>
        <item x="2352"/>
        <item x="209"/>
        <item x="771"/>
        <item m="1" x="5409"/>
        <item m="1" x="6840"/>
        <item x="1785"/>
        <item x="129"/>
        <item x="390"/>
        <item m="1" x="4883"/>
        <item x="298"/>
        <item x="1268"/>
        <item x="155"/>
        <item x="3169"/>
        <item x="1905"/>
        <item x="1350"/>
        <item m="1" x="6011"/>
        <item x="988"/>
        <item x="2056"/>
        <item x="2115"/>
        <item m="1" x="7061"/>
        <item x="164"/>
        <item x="486"/>
        <item m="1" x="6687"/>
        <item x="1531"/>
        <item m="1" x="7465"/>
        <item m="1" x="4739"/>
        <item m="1" x="4722"/>
        <item x="3366"/>
        <item m="1" x="6910"/>
        <item x="2768"/>
        <item x="1603"/>
        <item m="1" x="4853"/>
        <item m="1" x="7743"/>
        <item x="1185"/>
        <item m="1" x="5553"/>
        <item x="2339"/>
        <item m="1" x="6446"/>
        <item x="2250"/>
        <item x="856"/>
        <item m="1" x="4600"/>
        <item x="1849"/>
        <item m="1" x="6778"/>
        <item m="1" x="6087"/>
        <item x="3407"/>
        <item x="1927"/>
        <item x="2585"/>
        <item x="2712"/>
        <item m="1" x="5183"/>
        <item x="37"/>
        <item m="1" x="5339"/>
        <item x="886"/>
        <item m="1" x="7080"/>
        <item m="1" x="6711"/>
        <item m="1" x="7625"/>
        <item m="1" x="4979"/>
        <item m="1" x="7950"/>
        <item m="1" x="5606"/>
        <item x="2827"/>
        <item m="1" x="4773"/>
        <item m="1" x="5641"/>
        <item m="1" x="6251"/>
        <item x="2886"/>
        <item m="1" x="5782"/>
        <item m="1" x="7481"/>
        <item m="1" x="7785"/>
        <item x="932"/>
        <item m="1" x="7847"/>
        <item m="1" x="4430"/>
        <item x="65"/>
        <item m="1" x="5899"/>
        <item m="1" x="3787"/>
        <item x="2377"/>
        <item x="2887"/>
        <item m="1" x="7507"/>
        <item m="1" x="5292"/>
        <item m="1" x="6555"/>
        <item x="3102"/>
        <item m="1" x="3693"/>
        <item m="1" x="6820"/>
        <item x="737"/>
        <item m="1" x="5070"/>
        <item x="2677"/>
        <item m="1" x="6578"/>
        <item x="702"/>
        <item m="1" x="7685"/>
        <item m="1" x="5382"/>
        <item m="1" x="5381"/>
        <item m="1" x="5380"/>
        <item m="1" x="6131"/>
        <item x="55"/>
        <item x="3393"/>
        <item x="174"/>
        <item m="1" x="7313"/>
        <item m="1" x="4008"/>
        <item m="1" x="7359"/>
        <item m="1" x="7341"/>
        <item x="1273"/>
        <item m="1" x="4339"/>
        <item m="1" x="4637"/>
        <item m="1" x="4638"/>
        <item x="3315"/>
        <item x="351"/>
        <item x="3431"/>
        <item m="1" x="7962"/>
        <item m="1" x="6341"/>
        <item m="1" x="5616"/>
        <item x="362"/>
        <item m="1" x="4390"/>
        <item x="2732"/>
        <item x="423"/>
        <item m="1" x="4567"/>
        <item m="1" x="7433"/>
        <item m="1" x="3636"/>
        <item m="1" x="4891"/>
        <item m="1" x="7544"/>
        <item x="385"/>
        <item m="1" x="4122"/>
        <item x="1404"/>
        <item m="1" x="5594"/>
        <item m="1" x="4488"/>
        <item x="3512"/>
        <item m="1" x="7731"/>
        <item m="1" x="4856"/>
        <item m="1" x="6161"/>
        <item x="1224"/>
        <item x="1248"/>
        <item m="1" x="6457"/>
        <item x="2269"/>
        <item x="323"/>
        <item m="1" x="7856"/>
        <item m="1" x="4110"/>
        <item x="3133"/>
        <item m="1" x="5828"/>
        <item m="1" x="7610"/>
        <item x="1225"/>
        <item x="1102"/>
        <item m="1" x="4587"/>
        <item m="1" x="5865"/>
        <item m="1" x="5951"/>
        <item m="1" x="7738"/>
        <item x="2259"/>
        <item x="1320"/>
        <item x="1803"/>
        <item x="3185"/>
        <item x="2733"/>
        <item x="960"/>
        <item x="28"/>
        <item x="320"/>
        <item x="1638"/>
        <item m="1" x="4507"/>
        <item m="1" x="4563"/>
        <item m="1" x="4313"/>
        <item m="1" x="6596"/>
        <item m="1" x="4256"/>
        <item m="1" x="3895"/>
        <item x="766"/>
        <item x="2931"/>
        <item m="1" x="7835"/>
        <item m="1" x="7407"/>
        <item x="2515"/>
        <item m="1" x="6237"/>
        <item x="2817"/>
        <item x="672"/>
        <item x="2411"/>
        <item m="1" x="5737"/>
        <item m="1" x="4233"/>
        <item x="1861"/>
        <item x="1892"/>
        <item x="1893"/>
        <item m="1" x="7155"/>
        <item x="2630"/>
        <item x="1405"/>
        <item x="2052"/>
        <item m="1" x="7248"/>
        <item m="1" x="4981"/>
        <item x="2378"/>
        <item x="2412"/>
        <item m="1" x="6866"/>
        <item m="1" x="4210"/>
        <item x="2734"/>
        <item x="146"/>
        <item x="1690"/>
        <item m="1" x="7145"/>
        <item m="1" x="7589"/>
        <item m="1" x="3552"/>
        <item x="2320"/>
        <item x="2270"/>
        <item m="1" x="5545"/>
        <item m="1" x="3719"/>
        <item m="1" x="4351"/>
        <item x="239"/>
        <item x="1122"/>
        <item x="1186"/>
        <item m="1" x="7016"/>
        <item m="1" x="3929"/>
        <item m="1" x="7397"/>
        <item x="1477"/>
        <item x="1476"/>
        <item m="1" x="7396"/>
        <item x="700"/>
        <item x="802"/>
        <item m="1" x="5422"/>
        <item x="1532"/>
        <item m="1" x="3906"/>
        <item m="1" x="6132"/>
        <item m="1" x="7686"/>
        <item m="1" x="3811"/>
        <item m="1" x="3843"/>
        <item m="1" x="7190"/>
        <item m="1" x="7795"/>
        <item x="2983"/>
        <item x="301"/>
        <item x="2850"/>
        <item x="445"/>
        <item x="1071"/>
        <item x="1461"/>
        <item x="783"/>
        <item x="2307"/>
        <item x="2773"/>
        <item m="1" x="4086"/>
        <item x="1388"/>
        <item x="1008"/>
        <item x="2699"/>
        <item x="3261"/>
        <item m="1" x="6537"/>
        <item x="1998"/>
        <item m="1" x="4871"/>
        <item m="1" x="6955"/>
        <item x="553"/>
        <item x="2271"/>
        <item x="2137"/>
        <item x="75"/>
        <item x="1979"/>
        <item m="1" x="5412"/>
        <item m="1" x="4250"/>
        <item x="3376"/>
        <item m="1" x="4455"/>
        <item m="1" x="7092"/>
        <item m="1" x="5438"/>
        <item m="1" x="7874"/>
        <item x="3163"/>
        <item x="3282"/>
        <item m="1" x="4289"/>
        <item m="1" x="4460"/>
        <item m="1" x="4756"/>
        <item x="1639"/>
        <item x="2694"/>
        <item x="3265"/>
        <item x="2256"/>
        <item m="1" x="6500"/>
        <item m="1" x="4580"/>
        <item m="1" x="5883"/>
        <item x="3399"/>
        <item m="1" x="7369"/>
        <item m="1" x="4579"/>
        <item x="306"/>
        <item m="1" x="4652"/>
        <item m="1" x="4345"/>
        <item m="1" x="5672"/>
        <item m="1" x="7620"/>
        <item m="1" x="3925"/>
        <item x="1162"/>
        <item x="2152"/>
        <item m="1" x="7204"/>
        <item m="1" x="7227"/>
        <item x="2302"/>
        <item m="1" x="6111"/>
        <item m="1" x="7179"/>
        <item x="995"/>
        <item x="3072"/>
        <item x="2272"/>
        <item x="735"/>
        <item x="60"/>
        <item x="2240"/>
        <item m="1" x="7979"/>
        <item m="1" x="4672"/>
        <item x="972"/>
        <item m="1" x="6700"/>
        <item m="1" x="3913"/>
        <item m="1" x="3984"/>
        <item x="2720"/>
        <item x="1187"/>
        <item m="1" x="5554"/>
        <item m="1" x="5852"/>
        <item x="1490"/>
        <item m="1" x="6188"/>
        <item x="2315"/>
        <item m="1" x="3568"/>
        <item m="1" x="3607"/>
        <item x="1491"/>
        <item m="1" x="5538"/>
        <item m="1" x="6833"/>
        <item x="1293"/>
        <item m="1" x="3523"/>
        <item x="3264"/>
        <item m="1" x="7444"/>
        <item m="1" x="4719"/>
        <item m="1" x="5596"/>
        <item x="2273"/>
        <item m="1" x="7532"/>
        <item m="1" x="4260"/>
        <item m="1" x="7377"/>
        <item x="1101"/>
        <item m="1" x="6572"/>
        <item m="1" x="7569"/>
        <item m="1" x="5245"/>
        <item m="1" x="5246"/>
        <item x="659"/>
        <item m="1" x="4664"/>
        <item m="1" x="7892"/>
        <item m="1" x="6098"/>
        <item x="225"/>
        <item m="1" x="6269"/>
        <item m="1" x="3948"/>
        <item x="2413"/>
        <item m="1" x="6841"/>
        <item m="1" x="5091"/>
        <item m="1" x="7014"/>
        <item m="1" x="5088"/>
        <item m="1" x="3722"/>
        <item m="1" x="3628"/>
        <item x="216"/>
        <item x="1862"/>
        <item m="1" x="7186"/>
        <item x="384"/>
        <item m="1" x="5930"/>
        <item m="1" x="7380"/>
        <item x="3071"/>
        <item x="449"/>
        <item x="1533"/>
        <item x="3338"/>
        <item m="1" x="7805"/>
        <item m="1" x="4931"/>
        <item m="1" x="3558"/>
        <item m="1" x="4166"/>
        <item m="1" x="6763"/>
        <item x="3024"/>
        <item m="1" x="7113"/>
        <item x="2649"/>
        <item m="1" x="5379"/>
        <item x="1072"/>
        <item x="2735"/>
        <item x="279"/>
        <item m="1" x="3979"/>
        <item m="1" x="7960"/>
        <item m="1" x="7106"/>
        <item m="1" x="6196"/>
        <item m="1" x="6249"/>
        <item m="1" x="6324"/>
        <item x="1813"/>
        <item m="1" x="6384"/>
        <item x="2274"/>
        <item x="722"/>
        <item x="503"/>
        <item m="1" x="4294"/>
        <item m="1" x="4748"/>
        <item x="185"/>
        <item x="954"/>
        <item x="2477"/>
        <item m="1" x="7954"/>
        <item m="1" x="3560"/>
        <item m="1" x="5293"/>
        <item x="2190"/>
        <item x="1420"/>
        <item m="1" x="5435"/>
        <item x="3085"/>
        <item m="1" x="5753"/>
        <item x="3422"/>
        <item x="2714"/>
        <item x="1758"/>
        <item m="1" x="5862"/>
        <item x="204"/>
        <item m="1" x="5138"/>
        <item x="3074"/>
        <item m="1" x="6636"/>
        <item m="1" x="6041"/>
        <item x="1087"/>
        <item x="1713"/>
        <item x="554"/>
        <item m="1" x="6765"/>
        <item x="1226"/>
        <item x="1227"/>
        <item x="2191"/>
        <item m="1" x="4354"/>
        <item m="1" x="6524"/>
        <item m="1" x="3527"/>
        <item m="1" x="6151"/>
        <item x="1606"/>
        <item m="1" x="4612"/>
        <item m="1" x="5463"/>
        <item x="3172"/>
        <item m="1" x="6414"/>
        <item m="1" x="6413"/>
        <item x="287"/>
        <item m="1" x="5378"/>
        <item m="1" x="6133"/>
        <item m="1" x="4349"/>
        <item x="1916"/>
        <item m="1" x="6389"/>
        <item x="1025"/>
        <item x="585"/>
        <item m="1" x="4161"/>
        <item m="1" x="6637"/>
        <item m="1" x="7803"/>
        <item m="1" x="3723"/>
        <item m="1" x="6398"/>
        <item x="2774"/>
        <item x="116"/>
        <item m="1" x="4708"/>
        <item x="2695"/>
        <item m="1" x="7482"/>
        <item m="1" x="4413"/>
        <item m="1" x="5350"/>
        <item m="1" x="3750"/>
        <item x="69"/>
        <item m="1" x="6409"/>
        <item x="1695"/>
        <item x="186"/>
        <item m="1" x="7165"/>
        <item x="3400"/>
        <item m="1" x="6367"/>
        <item m="1" x="5423"/>
        <item m="1" x="4954"/>
        <item x="2622"/>
        <item x="1688"/>
        <item m="1" x="6206"/>
        <item x="199"/>
        <item x="38"/>
        <item m="1" x="4307"/>
        <item x="507"/>
        <item m="1" x="3670"/>
        <item m="1" x="7376"/>
        <item m="1" x="3852"/>
        <item x="479"/>
        <item x="2854"/>
        <item x="1014"/>
        <item m="1" x="4749"/>
        <item m="1" x="6181"/>
        <item m="1" x="7228"/>
        <item x="1663"/>
        <item m="1" x="5688"/>
        <item x="2120"/>
        <item m="1" x="7817"/>
        <item m="1" x="5345"/>
        <item x="2776"/>
        <item x="3362"/>
        <item x="2032"/>
        <item m="1" x="6493"/>
        <item x="2775"/>
        <item x="943"/>
        <item x="513"/>
        <item x="1258"/>
        <item m="1" x="6046"/>
        <item x="1171"/>
        <item x="339"/>
        <item x="1794"/>
        <item x="1298"/>
        <item m="1" x="7818"/>
        <item m="1" x="7757"/>
        <item x="721"/>
        <item m="1" x="6863"/>
        <item x="840"/>
        <item x="2596"/>
        <item m="1" x="7205"/>
        <item x="142"/>
        <item x="1351"/>
        <item m="1" x="6675"/>
        <item x="1256"/>
        <item x="2537"/>
        <item m="1" x="3754"/>
        <item m="1" x="3959"/>
        <item x="2785"/>
        <item m="1" x="7182"/>
        <item x="1304"/>
        <item x="3302"/>
        <item m="1" x="3855"/>
        <item m="1" x="5573"/>
        <item x="2192"/>
        <item x="1352"/>
        <item m="1" x="5855"/>
        <item x="1406"/>
        <item m="1" x="5105"/>
        <item m="1" x="6120"/>
        <item m="1" x="5144"/>
        <item m="1" x="7255"/>
        <item x="803"/>
        <item m="1" x="6266"/>
        <item m="1" x="6342"/>
        <item m="1" x="7236"/>
        <item x="58"/>
        <item m="1" x="7009"/>
        <item m="1" x="7541"/>
        <item m="1" x="7666"/>
        <item m="1" x="7294"/>
        <item m="1" x="7314"/>
        <item x="2655"/>
        <item x="2446"/>
        <item m="1" x="4877"/>
        <item x="3437"/>
        <item x="3316"/>
        <item m="1" x="6626"/>
        <item m="1" x="7403"/>
        <item m="1" x="5702"/>
        <item x="1737"/>
        <item x="45"/>
        <item m="1" x="6586"/>
        <item m="1" x="7933"/>
        <item m="1" x="6614"/>
        <item m="1" x="3848"/>
        <item x="897"/>
        <item m="1" x="5761"/>
        <item m="1" x="6729"/>
        <item x="468"/>
        <item m="1" x="6562"/>
        <item m="1" x="6010"/>
        <item x="965"/>
        <item x="124"/>
        <item m="1" x="6172"/>
        <item x="1863"/>
        <item m="1" x="5789"/>
        <item m="1" x="4386"/>
        <item m="1" x="3944"/>
        <item x="1492"/>
        <item m="1" x="6492"/>
        <item m="1" x="6238"/>
        <item m="1" x="3766"/>
        <item m="1" x="3769"/>
        <item m="1" x="4062"/>
        <item m="1" x="4129"/>
        <item x="327"/>
        <item m="1" x="6697"/>
        <item m="1" x="6952"/>
        <item m="1" x="7554"/>
        <item m="1" x="3828"/>
        <item x="3026"/>
        <item m="1" x="7778"/>
        <item m="1" x="7325"/>
        <item m="1" x="7071"/>
        <item x="896"/>
        <item x="2037"/>
        <item m="1" x="6600"/>
        <item x="907"/>
        <item m="1" x="7064"/>
        <item m="1" x="7272"/>
        <item m="1" x="7258"/>
        <item m="1" x="5659"/>
        <item m="1" x="3930"/>
        <item x="91"/>
        <item x="1799"/>
        <item m="1" x="3891"/>
        <item x="166"/>
        <item m="1" x="7976"/>
        <item m="1" x="7276"/>
        <item x="903"/>
        <item m="1" x="7600"/>
        <item m="1" x="6035"/>
        <item m="1" x="7241"/>
        <item m="1" x="4696"/>
        <item m="1" x="6158"/>
        <item x="147"/>
        <item m="1" x="7825"/>
        <item m="1" x="3729"/>
        <item x="2888"/>
        <item x="2193"/>
        <item m="1" x="4753"/>
        <item x="1607"/>
        <item x="717"/>
        <item x="1714"/>
        <item m="1" x="5436"/>
        <item x="96"/>
        <item x="927"/>
        <item x="2559"/>
        <item x="710"/>
        <item m="1" x="5812"/>
        <item m="1" x="7682"/>
        <item m="1" x="5560"/>
        <item x="1050"/>
        <item x="1172"/>
        <item m="1" x="5835"/>
        <item m="1" x="6631"/>
        <item m="1" x="4697"/>
        <item m="1" x="5026"/>
        <item m="1" x="5025"/>
        <item m="1" x="7558"/>
        <item x="1906"/>
        <item m="1" x="6938"/>
        <item m="1" x="6482"/>
        <item x="895"/>
        <item m="1" x="5145"/>
        <item x="173"/>
        <item x="2641"/>
        <item m="1" x="7299"/>
        <item m="1" x="6643"/>
        <item m="1" x="6784"/>
        <item x="215"/>
        <item m="1" x="7045"/>
        <item x="910"/>
        <item m="1" x="5168"/>
        <item m="1" x="7340"/>
        <item m="1" x="6702"/>
        <item m="1" x="5752"/>
        <item x="1838"/>
        <item m="1" x="7073"/>
        <item x="1832"/>
        <item m="1" x="7698"/>
        <item x="167"/>
        <item m="1" x="5146"/>
        <item m="1" x="7323"/>
        <item m="1" x="4521"/>
        <item x="3053"/>
        <item m="1" x="4295"/>
        <item m="1" x="7296"/>
        <item x="3190"/>
        <item x="899"/>
        <item m="1" x="7250"/>
        <item m="1" x="7289"/>
        <item m="1" x="3651"/>
        <item x="2346"/>
        <item x="2770"/>
        <item x="1836"/>
        <item x="888"/>
        <item m="1" x="7297"/>
        <item x="1828"/>
        <item m="1" x="5399"/>
        <item m="1" x="6134"/>
        <item m="1" x="7285"/>
        <item m="1" x="7273"/>
        <item m="1" x="5147"/>
        <item x="171"/>
        <item m="1" x="4010"/>
        <item m="1" x="7278"/>
        <item m="1" x="7249"/>
        <item x="2633"/>
        <item m="1" x="7271"/>
        <item x="176"/>
        <item m="1" x="7266"/>
        <item m="1" x="3875"/>
        <item m="1" x="6949"/>
        <item m="1" x="3687"/>
        <item m="1" x="7317"/>
        <item m="1" x="7316"/>
        <item m="1" x="4702"/>
        <item x="2638"/>
        <item m="1" x="6481"/>
        <item m="1" x="7308"/>
        <item m="1" x="7322"/>
        <item m="1" x="7339"/>
        <item m="1" x="7335"/>
        <item m="1" x="4681"/>
        <item x="2253"/>
        <item m="1" x="4314"/>
        <item m="1" x="7741"/>
        <item m="1" x="4784"/>
        <item m="1" x="7810"/>
        <item x="961"/>
        <item x="555"/>
        <item m="1" x="4673"/>
        <item x="1999"/>
        <item x="2615"/>
        <item m="1" x="3851"/>
        <item m="1" x="4269"/>
        <item x="317"/>
        <item m="1" x="4798"/>
        <item m="1" x="3894"/>
        <item m="1" x="6543"/>
        <item m="1" x="7292"/>
        <item m="1" x="7332"/>
        <item x="1837"/>
        <item m="1" x="7779"/>
        <item m="1" x="7267"/>
        <item m="1" x="7311"/>
        <item x="900"/>
        <item m="1" x="7072"/>
        <item m="1" x="4202"/>
        <item m="1" x="4189"/>
        <item x="2813"/>
        <item m="1" x="6809"/>
        <item m="1" x="4594"/>
        <item m="1" x="5114"/>
        <item m="1" x="3798"/>
        <item x="2495"/>
        <item m="1" x="6760"/>
        <item x="3063"/>
        <item m="1" x="4316"/>
        <item m="1" x="5669"/>
        <item x="586"/>
        <item m="1" x="4700"/>
        <item m="1" x="5920"/>
        <item x="1481"/>
        <item x="718"/>
        <item m="1" x="3862"/>
        <item m="1" x="7005"/>
        <item m="1" x="7238"/>
        <item m="1" x="7553"/>
        <item m="1" x="6034"/>
        <item x="2414"/>
        <item x="2560"/>
        <item x="83"/>
        <item m="1" x="7495"/>
        <item m="1" x="7502"/>
        <item m="1" x="7930"/>
        <item x="1589"/>
        <item m="1" x="4799"/>
        <item m="1" x="4774"/>
        <item m="1" x="5820"/>
        <item m="1" x="6799"/>
        <item m="1" x="6147"/>
        <item m="1" x="6354"/>
        <item x="1397"/>
        <item m="1" x="6610"/>
        <item x="2687"/>
        <item x="2512"/>
        <item m="1" x="5294"/>
        <item m="1" x="4176"/>
        <item m="1" x="7941"/>
        <item x="3256"/>
        <item m="1" x="6728"/>
        <item m="1" x="7753"/>
        <item m="1" x="3993"/>
        <item m="1" x="6376"/>
        <item x="308"/>
        <item x="838"/>
        <item m="1" x="4653"/>
        <item x="731"/>
        <item m="1" x="7355"/>
        <item m="1" x="4674"/>
        <item m="1" x="6842"/>
        <item m="1" x="5247"/>
        <item m="1" x="5096"/>
        <item x="442"/>
        <item x="2505"/>
        <item x="3405"/>
        <item x="2997"/>
        <item m="1" x="6744"/>
        <item x="676"/>
        <item m="1" x="7282"/>
        <item x="477"/>
        <item x="758"/>
        <item m="1" x="6057"/>
        <item x="2606"/>
        <item x="2855"/>
        <item x="3442"/>
        <item m="1" x="5295"/>
        <item m="1" x="7721"/>
        <item x="1321"/>
        <item x="3317"/>
        <item x="3119"/>
        <item m="1" x="4071"/>
        <item x="2976"/>
        <item m="1" x="4031"/>
        <item m="1" x="3591"/>
        <item m="1" x="3570"/>
        <item x="2834"/>
        <item m="1" x="5658"/>
        <item x="1752"/>
        <item m="1" x="5472"/>
        <item x="3037"/>
        <item m="1" x="3694"/>
        <item m="1" x="5568"/>
        <item m="1" x="5022"/>
        <item m="1" x="6214"/>
        <item x="2668"/>
        <item m="1" x="5117"/>
        <item m="1" x="5841"/>
        <item m="1" x="7193"/>
        <item m="1" x="4094"/>
        <item m="1" x="7211"/>
        <item m="1" x="6408"/>
        <item x="1330"/>
        <item m="1" x="4081"/>
        <item m="1" x="5602"/>
        <item m="1" x="6918"/>
        <item m="1" x="5670"/>
        <item m="1" x="3720"/>
        <item m="1" x="4997"/>
        <item m="1" x="7247"/>
        <item x="2000"/>
        <item m="1" x="5911"/>
        <item m="1" x="4845"/>
        <item m="1" x="7112"/>
        <item x="2891"/>
        <item x="2545"/>
        <item m="1" x="6084"/>
        <item m="1" x="7260"/>
        <item x="474"/>
        <item x="3418"/>
        <item m="1" x="7330"/>
        <item x="3103"/>
        <item x="105"/>
        <item m="1" x="6000"/>
        <item x="587"/>
        <item m="1" x="6942"/>
        <item x="2464"/>
        <item x="3142"/>
        <item x="1534"/>
        <item m="1" x="5446"/>
        <item x="2481"/>
        <item m="1" x="6704"/>
        <item x="2218"/>
        <item m="1" x="6223"/>
        <item m="1" x="3857"/>
        <item m="1" x="5470"/>
        <item m="1" x="4597"/>
        <item x="2812"/>
        <item x="880"/>
        <item x="1738"/>
        <item m="1" x="4955"/>
        <item m="1" x="7170"/>
        <item m="1" x="4196"/>
        <item x="3087"/>
        <item x="975"/>
        <item x="3070"/>
        <item m="1" x="4135"/>
        <item m="1" x="4318"/>
        <item m="1" x="5900"/>
        <item m="1" x="7307"/>
        <item x="2248"/>
        <item m="1" x="5856"/>
        <item x="1395"/>
        <item m="1" x="7261"/>
        <item m="1" x="5248"/>
        <item m="1" x="7994"/>
        <item m="1" x="7955"/>
        <item x="3435"/>
        <item m="1" x="3802"/>
        <item m="1" x="6197"/>
        <item x="313"/>
        <item m="1" x="5169"/>
        <item m="1" x="3549"/>
        <item x="2538"/>
        <item x="588"/>
        <item x="955"/>
        <item x="1458"/>
        <item x="1252"/>
        <item x="295"/>
        <item m="1" x="5597"/>
        <item x="1260"/>
        <item x="3160"/>
        <item x="1353"/>
        <item m="1" x="7772"/>
        <item m="1" x="7587"/>
        <item m="1" x="7597"/>
        <item m="1" x="5200"/>
        <item m="1" x="6198"/>
        <item m="1" x="6434"/>
        <item x="292"/>
        <item x="1658"/>
        <item m="1" x="7229"/>
        <item m="1" x="4639"/>
        <item x="2343"/>
        <item x="1601"/>
        <item m="1" x="5800"/>
        <item m="1" x="6856"/>
        <item m="1" x="4536"/>
        <item m="1" x="7842"/>
        <item x="2070"/>
        <item m="1" x="4943"/>
        <item m="1" x="7338"/>
        <item x="23"/>
        <item m="1" x="4570"/>
        <item m="1" x="7796"/>
        <item m="1" x="6405"/>
        <item x="2990"/>
        <item m="1" x="4694"/>
        <item m="1" x="4063"/>
        <item m="1" x="7177"/>
        <item m="1" x="6373"/>
        <item x="1433"/>
        <item x="928"/>
        <item m="1" x="5599"/>
        <item m="1" x="7522"/>
        <item m="1" x="7124"/>
        <item x="2097"/>
        <item m="1" x="3732"/>
        <item m="1" x="4327"/>
        <item m="1" x="5449"/>
        <item m="1" x="6261"/>
        <item x="861"/>
        <item x="2226"/>
        <item x="2895"/>
        <item x="3025"/>
        <item m="1" x="7607"/>
        <item x="2736"/>
        <item x="1851"/>
        <item x="1296"/>
        <item x="376"/>
        <item m="1" x="6252"/>
        <item m="1" x="6540"/>
        <item x="1469"/>
        <item m="1" x="4099"/>
        <item x="736"/>
        <item m="1" x="3718"/>
        <item m="1" x="7737"/>
        <item m="1" x="7056"/>
        <item x="1354"/>
        <item m="1" x="7363"/>
        <item m="1" x="6458"/>
        <item x="1416"/>
        <item m="1" x="5867"/>
        <item x="294"/>
        <item m="1" x="6701"/>
        <item m="1" x="7983"/>
        <item m="1" x="3978"/>
        <item m="1" x="5959"/>
        <item x="3"/>
        <item x="2042"/>
        <item m="1" x="4826"/>
        <item x="1809"/>
        <item x="3467"/>
        <item x="302"/>
        <item x="1309"/>
        <item x="982"/>
        <item m="1" x="6292"/>
        <item m="1" x="4317"/>
        <item x="2602"/>
        <item m="1" x="5874"/>
        <item m="1" x="4533"/>
        <item x="2561"/>
        <item m="1" x="4379"/>
        <item m="1" x="7662"/>
        <item x="3135"/>
        <item m="1" x="6733"/>
        <item x="1083"/>
        <item m="1" x="3794"/>
        <item m="1" x="4966"/>
        <item m="1" x="6718"/>
        <item x="160"/>
        <item m="1" x="3745"/>
        <item m="1" x="4056"/>
        <item x="3173"/>
        <item m="1" x="4366"/>
        <item x="1943"/>
        <item x="1166"/>
        <item m="1" x="6469"/>
        <item m="1" x="5813"/>
        <item x="989"/>
        <item x="990"/>
        <item x="2415"/>
        <item m="1" x="4101"/>
        <item m="1" x="5881"/>
        <item x="2340"/>
        <item x="2194"/>
        <item x="3021"/>
        <item m="1" x="7110"/>
        <item x="108"/>
        <item m="1" x="5456"/>
        <item m="1" x="4427"/>
        <item x="103"/>
        <item x="2358"/>
        <item m="1" x="6845"/>
        <item m="1" x="6102"/>
        <item m="1" x="6498"/>
        <item m="1" x="6605"/>
        <item m="1" x="6606"/>
        <item m="1" x="5924"/>
        <item x="1058"/>
        <item m="1" x="6868"/>
        <item m="1" x="5395"/>
        <item m="1" x="6055"/>
        <item m="1" x="5356"/>
        <item m="1" x="4242"/>
        <item x="283"/>
        <item m="1" x="6893"/>
        <item m="1" x="5781"/>
        <item m="1" x="4275"/>
        <item x="1535"/>
        <item x="12"/>
        <item m="1" x="4068"/>
        <item x="2001"/>
        <item m="1" x="4893"/>
        <item x="260"/>
        <item m="1" x="7485"/>
        <item m="1" x="5610"/>
        <item x="1980"/>
        <item x="3162"/>
        <item m="1" x="4524"/>
        <item x="1217"/>
        <item x="2858"/>
        <item m="1" x="3912"/>
        <item x="1944"/>
        <item m="1" x="4880"/>
        <item m="1" x="7107"/>
        <item x="2049"/>
        <item x="1493"/>
        <item m="1" x="3927"/>
        <item x="3370"/>
        <item m="1" x="5508"/>
        <item x="2809"/>
        <item x="956"/>
        <item m="1" x="5511"/>
        <item x="3229"/>
        <item x="2636"/>
        <item m="1" x="7006"/>
        <item m="1" x="5249"/>
        <item m="1" x="7890"/>
        <item x="3009"/>
        <item x="154"/>
        <item m="1" x="5640"/>
        <item m="1" x="7628"/>
        <item x="2762"/>
        <item x="634"/>
        <item m="1" x="4544"/>
        <item m="1" x="4515"/>
        <item x="2562"/>
        <item x="2416"/>
        <item x="528"/>
        <item m="1" x="5729"/>
        <item m="1" x="7138"/>
        <item m="1" x="4074"/>
        <item x="734"/>
        <item x="1084"/>
        <item x="2592"/>
        <item x="2417"/>
        <item x="944"/>
        <item m="1" x="7315"/>
        <item x="913"/>
        <item m="1" x="7253"/>
        <item m="1" x="7274"/>
        <item m="1" x="6241"/>
        <item m="1" x="6185"/>
        <item x="917"/>
        <item m="1" x="6008"/>
        <item m="1" x="7070"/>
        <item m="1" x="6914"/>
        <item x="911"/>
        <item m="1" x="4701"/>
        <item m="1" x="7065"/>
        <item m="1" x="7348"/>
        <item m="1" x="7291"/>
        <item m="1" x="7257"/>
        <item m="1" x="3603"/>
        <item x="2418"/>
        <item x="3367"/>
        <item x="3348"/>
        <item m="1" x="6224"/>
        <item x="2563"/>
        <item x="3318"/>
        <item x="3438"/>
        <item x="1204"/>
        <item x="843"/>
        <item x="1195"/>
        <item x="3266"/>
        <item x="3065"/>
        <item x="3293"/>
        <item x="2824"/>
        <item x="3404"/>
        <item x="3368"/>
        <item x="1802"/>
        <item m="1" x="7399"/>
        <item x="496"/>
        <item m="1" x="7392"/>
        <item m="1" x="5454"/>
        <item x="2662"/>
        <item x="966"/>
        <item x="4"/>
        <item x="3274"/>
        <item x="2325"/>
        <item x="3059"/>
        <item m="1" x="5917"/>
        <item m="1" x="7310"/>
        <item x="3319"/>
        <item x="2564"/>
        <item x="125"/>
        <item x="1355"/>
        <item m="1" x="5386"/>
        <item m="1" x="7181"/>
        <item x="2845"/>
        <item m="1" x="7345"/>
        <item m="1" x="5780"/>
        <item m="1" x="4575"/>
        <item m="1" x="4470"/>
        <item m="1" x="7733"/>
        <item x="1462"/>
        <item m="1" x="3685"/>
        <item x="5"/>
        <item x="1536"/>
        <item m="1" x="6163"/>
        <item x="845"/>
        <item x="853"/>
        <item x="3276"/>
        <item m="1" x="6710"/>
        <item x="1666"/>
        <item m="1" x="3524"/>
        <item m="1" x="6331"/>
        <item m="1" x="5158"/>
        <item x="2002"/>
        <item m="1" x="7469"/>
        <item x="1073"/>
        <item x="1933"/>
        <item x="2798"/>
        <item m="1" x="4800"/>
        <item x="3502"/>
        <item m="1" x="6795"/>
        <item x="671"/>
        <item x="2821"/>
        <item m="1" x="3735"/>
        <item x="688"/>
        <item m="1" x="7907"/>
        <item x="2108"/>
        <item m="1" x="4601"/>
        <item x="2587"/>
        <item m="1" x="4130"/>
        <item m="1" x="5730"/>
        <item m="1" x="3645"/>
        <item m="1" x="7505"/>
        <item x="487"/>
        <item x="1972"/>
        <item m="1" x="5617"/>
        <item m="1" x="7678"/>
        <item m="1" x="6135"/>
        <item x="1205"/>
        <item m="1" x="5639"/>
        <item m="1" x="5437"/>
        <item x="2419"/>
        <item m="1" x="6255"/>
        <item m="1" x="5365"/>
        <item m="1" x="5960"/>
        <item m="1" x="6005"/>
        <item m="1" x="5325"/>
        <item x="2737"/>
        <item x="1165"/>
        <item m="1" x="5678"/>
        <item x="1798"/>
        <item x="74"/>
        <item m="1" x="7861"/>
        <item m="1" x="5569"/>
        <item x="716"/>
        <item m="1" x="4626"/>
        <item m="1" x="4766"/>
        <item m="1" x="3902"/>
        <item x="2835"/>
        <item m="1" x="4410"/>
        <item x="2420"/>
        <item m="1" x="6590"/>
        <item x="1253"/>
        <item x="1241"/>
        <item x="1967"/>
        <item m="1" x="7694"/>
        <item x="1674"/>
        <item m="1" x="7899"/>
        <item x="534"/>
        <item x="240"/>
        <item x="455"/>
        <item x="332"/>
        <item m="1" x="4900"/>
        <item m="1" x="5296"/>
        <item m="1" x="7232"/>
        <item m="1" x="6201"/>
        <item x="914"/>
        <item x="2326"/>
        <item m="1" x="6616"/>
        <item x="2238"/>
        <item m="1" x="7115"/>
        <item x="629"/>
        <item m="1" x="6513"/>
        <item m="1" x="3901"/>
        <item m="1" x="4168"/>
        <item m="1" x="5054"/>
        <item m="1" x="6240"/>
        <item x="3257"/>
        <item x="620"/>
        <item m="1" x="4944"/>
        <item m="1" x="7303"/>
        <item m="1" x="5362"/>
        <item x="2209"/>
        <item m="1" x="5153"/>
        <item x="375"/>
        <item m="1" x="6033"/>
        <item m="1" x="6435"/>
        <item x="1015"/>
        <item x="2047"/>
        <item x="2504"/>
        <item x="354"/>
        <item m="1" x="6890"/>
        <item x="1977"/>
        <item m="1" x="3873"/>
        <item m="1" x="6195"/>
        <item m="1" x="6016"/>
        <item m="1" x="5540"/>
        <item x="348"/>
        <item x="143"/>
        <item m="1" x="5643"/>
        <item m="1" x="3731"/>
        <item x="2454"/>
        <item x="589"/>
        <item m="1" x="6661"/>
        <item x="3195"/>
        <item x="2040"/>
        <item x="3339"/>
        <item m="1" x="5767"/>
        <item x="2738"/>
        <item m="1" x="4898"/>
        <item x="667"/>
        <item m="1" x="7536"/>
        <item x="3320"/>
        <item x="241"/>
        <item m="1" x="5148"/>
        <item m="1" x="5149"/>
        <item x="655"/>
        <item m="1" x="3708"/>
        <item x="1228"/>
        <item m="1" x="7024"/>
        <item x="2565"/>
        <item x="1383"/>
        <item x="1463"/>
        <item m="1" x="4827"/>
        <item m="1" x="5188"/>
        <item m="1" x="6015"/>
        <item m="1" x="5111"/>
        <item x="506"/>
        <item m="1" x="3612"/>
        <item m="1" x="6811"/>
        <item m="1" x="7201"/>
        <item x="788"/>
        <item m="1" x="7351"/>
        <item x="1537"/>
        <item x="1229"/>
        <item x="472"/>
        <item x="1848"/>
        <item x="2421"/>
        <item x="2650"/>
        <item m="1" x="7974"/>
        <item m="1" x="6510"/>
        <item x="1007"/>
        <item x="2840"/>
        <item x="1074"/>
        <item m="1" x="7033"/>
        <item x="3128"/>
        <item x="2487"/>
        <item x="804"/>
        <item m="1" x="5980"/>
        <item m="1" x="6339"/>
        <item m="1" x="3870"/>
        <item m="1" x="7468"/>
        <item x="2739"/>
        <item m="1" x="7516"/>
        <item x="2740"/>
        <item x="2422"/>
        <item x="1063"/>
        <item m="1" x="7422"/>
        <item x="3166"/>
        <item x="2423"/>
        <item x="24"/>
        <item m="1" x="6167"/>
        <item x="2629"/>
        <item m="1" x="6674"/>
        <item m="1" x="3572"/>
        <item m="1" x="5901"/>
        <item x="2003"/>
        <item m="1" x="6775"/>
        <item m="1" x="6177"/>
        <item m="1" x="6917"/>
        <item m="1" x="4535"/>
        <item x="3280"/>
        <item m="1" x="6239"/>
        <item m="1" x="3605"/>
        <item m="1" x="3553"/>
        <item m="1" x="5495"/>
        <item x="3304"/>
        <item m="1" x="6828"/>
        <item m="1" x="4581"/>
        <item x="3030"/>
        <item x="1356"/>
        <item m="1" x="6975"/>
        <item m="1" x="6297"/>
        <item m="1" x="7134"/>
        <item m="1" x="7156"/>
        <item m="1" x="7279"/>
        <item m="1" x="4348"/>
        <item m="1" x="6720"/>
        <item x="1470"/>
        <item x="531"/>
        <item x="2577"/>
        <item m="1" x="4282"/>
        <item m="1" x="3872"/>
        <item x="767"/>
        <item x="3104"/>
        <item m="1" x="7700"/>
        <item m="1" x="6032"/>
        <item m="1" x="5657"/>
        <item x="1623"/>
        <item m="1" x="4665"/>
        <item m="1" x="5525"/>
        <item x="1259"/>
        <item m="1" x="6265"/>
        <item x="133"/>
        <item x="677"/>
        <item x="3415"/>
        <item x="1118"/>
        <item m="1" x="6254"/>
        <item m="1" x="4758"/>
        <item m="1" x="6327"/>
        <item x="2543"/>
        <item m="1" x="4372"/>
        <item m="1" x="5178"/>
        <item m="1" x="5048"/>
        <item x="1764"/>
        <item m="1" x="4193"/>
        <item m="1" x="5297"/>
        <item x="1878"/>
        <item m="1" x="6998"/>
        <item m="1" x="7860"/>
        <item x="85"/>
        <item x="2103"/>
        <item m="1" x="4801"/>
        <item x="823"/>
        <item x="828"/>
        <item m="1" x="7906"/>
        <item m="1" x="5020"/>
        <item m="1" x="5250"/>
        <item m="1" x="4373"/>
        <item m="1" x="4538"/>
        <item x="3356"/>
        <item m="1" x="5921"/>
        <item m="1" x="3746"/>
        <item m="1" x="5863"/>
        <item m="1" x="4344"/>
        <item m="1" x="5880"/>
        <item x="682"/>
        <item m="1" x="7901"/>
        <item m="1" x="7750"/>
        <item x="2741"/>
        <item m="1" x="5177"/>
        <item x="3054"/>
        <item x="1907"/>
        <item m="1" x="6859"/>
        <item m="1" x="6122"/>
        <item m="1" x="6676"/>
        <item m="1" x="7188"/>
        <item m="1" x="7524"/>
        <item x="2586"/>
        <item x="268"/>
        <item m="1" x="3960"/>
        <item m="1" x="5420"/>
        <item m="1" x="7192"/>
        <item x="242"/>
        <item x="1097"/>
        <item x="805"/>
        <item x="307"/>
        <item m="1" x="4112"/>
        <item m="1" x="6006"/>
        <item x="556"/>
        <item x="806"/>
        <item m="1" x="4165"/>
        <item x="1048"/>
        <item m="1" x="6075"/>
        <item x="1075"/>
        <item x="664"/>
        <item m="1" x="6948"/>
        <item x="2112"/>
        <item x="2991"/>
        <item m="1" x="5759"/>
        <item m="1" x="4551"/>
        <item x="493"/>
        <item m="1" x="6944"/>
        <item m="1" x="4199"/>
        <item m="1" x="7829"/>
        <item m="1" x="4634"/>
        <item m="1" x="7391"/>
        <item x="1596"/>
        <item x="2984"/>
        <item x="2870"/>
        <item x="1076"/>
        <item m="1" x="6853"/>
        <item m="1" x="5385"/>
        <item x="2004"/>
        <item x="3375"/>
        <item x="1715"/>
        <item m="1" x="7175"/>
        <item m="1" x="7519"/>
        <item m="1" x="7302"/>
        <item m="1" x="5012"/>
        <item x="3492"/>
        <item x="3354"/>
        <item x="2424"/>
        <item x="2275"/>
        <item x="325"/>
        <item m="1" x="3907"/>
        <item x="393"/>
        <item m="1" x="4532"/>
        <item m="1" x="7761"/>
        <item x="2046"/>
        <item m="1" x="4977"/>
        <item m="1" x="3566"/>
        <item m="1" x="7832"/>
        <item x="508"/>
        <item m="1" x="5611"/>
        <item m="1" x="5212"/>
        <item m="1" x="5213"/>
        <item m="1" x="4257"/>
        <item m="1" x="5451"/>
        <item x="1396"/>
        <item m="1" x="6851"/>
        <item x="1494"/>
        <item m="1" x="4136"/>
        <item m="1" x="7893"/>
        <item x="386"/>
        <item m="1" x="6320"/>
        <item x="874"/>
        <item m="1" x="4014"/>
        <item x="1127"/>
        <item m="1" x="3816"/>
        <item m="1" x="7612"/>
        <item x="1659"/>
        <item x="1143"/>
        <item x="1945"/>
        <item x="3321"/>
        <item x="2682"/>
        <item x="2652"/>
        <item m="1" x="4215"/>
        <item m="1" x="6088"/>
        <item x="1077"/>
        <item m="1" x="7623"/>
        <item x="2083"/>
        <item m="1" x="4894"/>
        <item m="1" x="4459"/>
        <item x="991"/>
        <item m="1" x="4892"/>
        <item m="1" x="3597"/>
        <item x="3192"/>
        <item x="3294"/>
        <item m="1" x="6831"/>
        <item m="1" x="6943"/>
        <item m="1" x="5790"/>
        <item x="1427"/>
        <item m="1" x="4417"/>
        <item x="232"/>
        <item m="1" x="7008"/>
        <item m="1" x="7474"/>
        <item x="3168"/>
        <item m="1" x="4717"/>
        <item x="1176"/>
        <item m="1" x="4963"/>
        <item x="1657"/>
        <item x="1971"/>
        <item m="1" x="4118"/>
        <item x="1966"/>
        <item x="205"/>
        <item m="1" x="6047"/>
        <item x="18"/>
        <item m="1" x="6154"/>
        <item x="1357"/>
        <item x="2195"/>
        <item m="1" x="7037"/>
        <item x="2566"/>
        <item m="1" x="4614"/>
        <item m="1" x="6399"/>
        <item m="1" x="5935"/>
        <item m="1" x="3795"/>
        <item x="9"/>
        <item m="1" x="4718"/>
        <item m="1" x="4731"/>
        <item m="1" x="7948"/>
        <item m="1" x="4785"/>
        <item m="1" x="7966"/>
        <item m="1" x="5486"/>
        <item x="2119"/>
        <item m="1" x="4384"/>
        <item x="200"/>
        <item m="1" x="7639"/>
        <item m="1" x="3806"/>
        <item m="1" x="7365"/>
        <item x="1016"/>
        <item m="1" x="7551"/>
        <item x="3045"/>
        <item m="1" x="6415"/>
        <item x="3193"/>
        <item m="1" x="6069"/>
        <item x="1617"/>
        <item m="1" x="5612"/>
        <item m="1" x="5413"/>
        <item m="1" x="3924"/>
        <item m="1" x="7849"/>
        <item m="1" x="3638"/>
        <item m="1" x="3763"/>
        <item m="1" x="6110"/>
        <item m="1" x="5110"/>
        <item m="1" x="4236"/>
        <item m="1" x="7768"/>
        <item m="1" x="7099"/>
        <item m="1" x="6392"/>
        <item m="1" x="6393"/>
        <item x="2337"/>
        <item x="416"/>
        <item m="1" x="5625"/>
        <item x="1772"/>
        <item x="3273"/>
        <item m="1" x="6705"/>
        <item m="1" x="7735"/>
        <item x="1908"/>
        <item x="557"/>
        <item x="1822"/>
        <item m="1" x="4956"/>
        <item x="1590"/>
        <item m="1" x="6285"/>
        <item m="1" x="7102"/>
        <item x="2126"/>
        <item m="1" x="5570"/>
        <item m="1" x="6670"/>
        <item m="1" x="6382"/>
        <item m="1" x="3933"/>
        <item m="1" x="7728"/>
        <item m="1" x="5735"/>
        <item x="3488"/>
        <item m="1" x="5484"/>
        <item m="1" x="5115"/>
        <item m="1" x="5113"/>
        <item m="1" x="7996"/>
        <item m="1" x="6038"/>
        <item m="1" x="3874"/>
        <item m="1" x="7603"/>
        <item x="1827"/>
        <item m="1" x="7347"/>
        <item m="1" x="5170"/>
        <item m="1" x="7239"/>
        <item m="1" x="5593"/>
        <item x="3439"/>
        <item x="196"/>
        <item m="1" x="6176"/>
        <item m="1" x="5703"/>
        <item m="1" x="5853"/>
        <item x="2088"/>
        <item x="1286"/>
        <item m="1" x="7643"/>
        <item m="1" x="6662"/>
        <item x="280"/>
        <item m="1" x="6369"/>
        <item x="2124"/>
        <item m="1" x="3679"/>
        <item x="1947"/>
        <item m="1" x="5298"/>
        <item x="3006"/>
        <item m="1" x="7977"/>
        <item m="1" x="4685"/>
        <item m="1" x="7875"/>
        <item m="1" x="5299"/>
        <item x="2211"/>
        <item m="1" x="3749"/>
        <item m="1" x="4812"/>
        <item x="3137"/>
        <item m="1" x="4786"/>
        <item m="1" x="3846"/>
        <item x="3403"/>
        <item m="1" x="3962"/>
        <item m="1" x="3964"/>
        <item m="1" x="4787"/>
        <item x="3371"/>
        <item m="1" x="6366"/>
        <item m="1" x="7426"/>
        <item x="1716"/>
        <item m="1" x="3810"/>
        <item x="2985"/>
        <item m="1" x="5326"/>
        <item m="1" x="7167"/>
        <item m="1" x="5033"/>
        <item m="1" x="7848"/>
        <item x="243"/>
        <item m="1" x="7298"/>
        <item m="1" x="6153"/>
        <item m="1" x="7387"/>
        <item m="1" x="7041"/>
        <item x="2060"/>
        <item x="3396"/>
        <item m="1" x="4643"/>
        <item m="1" x="7618"/>
        <item x="2349"/>
        <item m="1" x="7445"/>
        <item m="1" x="5970"/>
        <item m="1" x="7535"/>
        <item m="1" x="6672"/>
        <item m="1" x="4000"/>
        <item m="1" x="7466"/>
        <item m="1" x="7969"/>
        <item m="1" x="5340"/>
        <item x="3148"/>
        <item m="1" x="3904"/>
        <item m="1" x="3938"/>
        <item m="1" x="7576"/>
        <item x="1358"/>
        <item m="1" x="6958"/>
        <item m="1" x="6996"/>
        <item m="1" x="5539"/>
        <item m="1" x="4750"/>
        <item x="2524"/>
        <item x="2930"/>
        <item x="1680"/>
        <item m="1" x="4218"/>
        <item m="1" x="5739"/>
        <item m="1" x="7087"/>
        <item x="590"/>
        <item m="1" x="6048"/>
        <item m="1" x="5300"/>
        <item m="1" x="6086"/>
        <item m="1" x="6644"/>
        <item m="1" x="6755"/>
        <item m="1" x="5058"/>
        <item x="1282"/>
        <item m="1" x="7754"/>
        <item x="1948"/>
        <item m="1" x="4654"/>
        <item m="1" x="5507"/>
        <item m="1" x="4363"/>
        <item x="1957"/>
        <item x="277"/>
        <item x="1211"/>
        <item x="654"/>
        <item x="3178"/>
        <item x="148"/>
        <item x="2065"/>
        <item m="1" x="5952"/>
        <item m="1" x="4578"/>
        <item m="1" x="6104"/>
        <item x="571"/>
        <item m="1" x="5464"/>
        <item m="1" x="4566"/>
        <item x="1949"/>
        <item x="1717"/>
        <item x="219"/>
        <item x="127"/>
        <item m="1" x="5725"/>
        <item m="1" x="6960"/>
        <item m="1" x="5964"/>
        <item m="1" x="5358"/>
        <item m="1" x="3594"/>
        <item m="1" x="3528"/>
        <item x="2084"/>
        <item m="1" x="6515"/>
        <item x="244"/>
        <item x="456"/>
        <item x="2425"/>
        <item m="1" x="4802"/>
        <item m="1" x="5251"/>
        <item m="1" x="6169"/>
        <item m="1" x="3997"/>
        <item x="2742"/>
        <item x="2956"/>
        <item x="123"/>
        <item m="1" x="7898"/>
        <item m="1" x="6082"/>
        <item m="1" x="4484"/>
        <item m="1" x="4740"/>
        <item m="1" x="7668"/>
        <item x="395"/>
        <item x="1398"/>
        <item m="1" x="4828"/>
        <item x="2593"/>
        <item m="1" x="4813"/>
        <item x="973"/>
        <item m="1" x="4221"/>
        <item m="1" x="3949"/>
        <item x="2781"/>
        <item m="1" x="3973"/>
        <item x="558"/>
        <item x="1839"/>
        <item x="3134"/>
        <item x="372"/>
        <item x="480"/>
        <item x="1495"/>
        <item m="1" x="6679"/>
        <item m="1" x="4732"/>
        <item m="1" x="7379"/>
        <item m="1" x="3972"/>
        <item m="1" x="4593"/>
        <item x="2527"/>
        <item x="2799"/>
        <item m="1" x="7633"/>
        <item m="1" x="3967"/>
        <item x="2871"/>
        <item x="1496"/>
        <item x="1815"/>
        <item m="1" x="4443"/>
        <item m="1" x="4365"/>
        <item x="621"/>
        <item x="3086"/>
        <item x="110"/>
        <item x="3147"/>
        <item m="1" x="6746"/>
        <item x="2167"/>
        <item x="1078"/>
        <item x="1921"/>
        <item x="404"/>
        <item x="3449"/>
        <item x="1136"/>
        <item m="1" x="3836"/>
        <item m="1" x="4358"/>
        <item m="1" x="7560"/>
        <item m="1" x="3529"/>
        <item x="3489"/>
        <item m="1" x="5252"/>
        <item x="2426"/>
        <item m="1" x="7611"/>
        <item m="1" x="5629"/>
        <item m="1" x="4999"/>
        <item m="1" x="3564"/>
        <item x="2791"/>
        <item x="1230"/>
        <item x="833"/>
        <item m="1" x="4206"/>
        <item m="1" x="6178"/>
        <item x="2743"/>
        <item m="1" x="7723"/>
        <item x="3232"/>
        <item m="1" x="7449"/>
        <item x="1120"/>
        <item x="1447"/>
        <item x="2168"/>
        <item m="1" x="5716"/>
        <item x="559"/>
        <item x="321"/>
        <item m="1" x="5414"/>
        <item m="1" x="7054"/>
        <item m="1" x="5125"/>
        <item m="1" x="7575"/>
        <item x="782"/>
        <item m="1" x="6258"/>
        <item m="1" x="4890"/>
        <item m="1" x="7968"/>
        <item x="2179"/>
        <item x="770"/>
        <item x="121"/>
        <item m="1" x="6079"/>
        <item m="1" x="4037"/>
        <item m="1" x="4416"/>
        <item m="1" x="6293"/>
        <item m="1" x="3892"/>
        <item m="1" x="7059"/>
        <item x="1407"/>
        <item x="1128"/>
        <item m="1" x="5174"/>
        <item m="1" x="5253"/>
        <item x="1359"/>
        <item m="1" x="7514"/>
        <item x="1144"/>
        <item x="2796"/>
        <item x="2767"/>
        <item m="1" x="7726"/>
        <item m="1" x="6865"/>
        <item m="1" x="7055"/>
        <item x="2933"/>
        <item m="1" x="7128"/>
        <item x="1360"/>
        <item x="1249"/>
        <item m="1" x="7487"/>
        <item x="2005"/>
        <item x="270"/>
        <item m="1" x="4139"/>
        <item x="1538"/>
        <item x="808"/>
        <item x="2427"/>
        <item m="1" x="5187"/>
        <item m="1" x="6655"/>
        <item m="1" x="7360"/>
        <item x="104"/>
        <item m="1" x="6419"/>
        <item m="1" x="4160"/>
        <item x="2744"/>
        <item x="2196"/>
        <item x="807"/>
        <item x="1718"/>
        <item x="2567"/>
        <item m="1" x="4803"/>
        <item m="1" x="6969"/>
        <item m="1" x="4882"/>
        <item x="2996"/>
        <item m="1" x="7896"/>
        <item m="1" x="6465"/>
        <item x="3022"/>
        <item m="1" x="6663"/>
        <item x="1331"/>
        <item m="1" x="6319"/>
        <item m="1" x="5768"/>
        <item x="3380"/>
        <item m="1" x="4226"/>
        <item m="1" x="7956"/>
        <item x="865"/>
        <item m="1" x="7413"/>
        <item m="1" x="7676"/>
        <item x="2006"/>
        <item m="1" x="4485"/>
        <item x="560"/>
        <item m="1" x="6548"/>
        <item x="1277"/>
        <item m="1" x="5814"/>
        <item x="841"/>
        <item m="1" x="7090"/>
        <item m="1" x="5595"/>
        <item x="3413"/>
        <item m="1" x="6895"/>
        <item x="1465"/>
        <item x="2764"/>
        <item x="316"/>
        <item x="1305"/>
        <item m="1" x="7321"/>
        <item x="2684"/>
        <item m="1" x="6762"/>
        <item m="1" x="7740"/>
        <item m="1" x="5427"/>
        <item m="1" x="6593"/>
        <item m="1" x="5301"/>
        <item m="1" x="6925"/>
        <item m="1" x="5254"/>
        <item m="1" x="6877"/>
        <item x="2534"/>
        <item x="2026"/>
        <item m="1" x="5674"/>
        <item x="2379"/>
        <item x="3254"/>
        <item m="1" x="6423"/>
        <item m="1" x="6777"/>
        <item x="561"/>
        <item m="1" x="5465"/>
        <item m="1" x="3629"/>
        <item m="1" x="4901"/>
        <item m="1" x="7748"/>
        <item m="1" x="5150"/>
        <item x="2963"/>
        <item m="1" x="3780"/>
        <item x="380"/>
        <item x="1824"/>
        <item m="1" x="7331"/>
        <item m="1" x="5452"/>
        <item m="1" x="7970"/>
        <item m="1" x="7801"/>
        <item x="1040"/>
        <item m="1" x="3672"/>
        <item m="1" x="4089"/>
        <item m="1" x="5584"/>
        <item m="1" x="5583"/>
        <item x="245"/>
        <item x="1909"/>
        <item m="1" x="6946"/>
        <item x="979"/>
        <item x="93"/>
        <item x="246"/>
        <item x="424"/>
        <item x="2089"/>
        <item m="1" x="6926"/>
        <item m="1" x="6477"/>
        <item x="945"/>
        <item m="1" x="4028"/>
        <item m="1" x="5130"/>
        <item x="1140"/>
        <item m="1" x="4418"/>
        <item m="1" x="6583"/>
        <item m="1" x="5405"/>
        <item m="1" x="6302"/>
        <item x="2955"/>
        <item m="1" x="7604"/>
        <item x="1079"/>
        <item x="1001"/>
        <item m="1" x="4475"/>
        <item m="1" x="7067"/>
        <item x="694"/>
        <item x="1408"/>
        <item x="1361"/>
        <item x="591"/>
        <item m="1" x="7464"/>
        <item m="1" x="3934"/>
        <item m="1" x="7883"/>
        <item x="3505"/>
        <item m="1" x="5756"/>
        <item x="739"/>
        <item m="1" x="7946"/>
        <item m="1" x="7212"/>
        <item m="1" x="6790"/>
        <item m="1" x="4001"/>
        <item m="1" x="3981"/>
        <item m="1" x="6049"/>
        <item m="1" x="5255"/>
        <item m="1" x="7017"/>
        <item m="1" x="7971"/>
        <item x="592"/>
        <item m="1" x="5656"/>
        <item m="1" x="5655"/>
        <item x="461"/>
        <item x="1362"/>
        <item m="1" x="6504"/>
        <item x="1672"/>
        <item x="1776"/>
        <item x="1442"/>
        <item m="1" x="6698"/>
        <item m="1" x="6313"/>
        <item m="1" x="4529"/>
        <item m="1" x="4205"/>
        <item m="1" x="4675"/>
        <item m="1" x="3974"/>
        <item x="1970"/>
        <item x="1044"/>
        <item x="2066"/>
        <item m="1" x="6896"/>
        <item x="2459"/>
        <item x="1497"/>
        <item m="1" x="5256"/>
        <item m="1" x="7918"/>
        <item m="1" x="6905"/>
        <item x="3322"/>
        <item x="1026"/>
        <item m="1" x="7390"/>
        <item x="2094"/>
        <item x="3323"/>
        <item m="1" x="3581"/>
        <item x="2276"/>
        <item m="1" x="5626"/>
        <item x="1770"/>
        <item m="1" x="6803"/>
        <item x="980"/>
        <item x="3307"/>
        <item m="1" x="4070"/>
        <item m="1" x="7043"/>
        <item m="1" x="5197"/>
        <item m="1" x="5257"/>
        <item m="1" x="4984"/>
        <item x="3372"/>
        <item x="161"/>
        <item m="1" x="7393"/>
        <item x="2766"/>
        <item x="1196"/>
        <item x="1539"/>
        <item m="1" x="7486"/>
        <item x="3186"/>
        <item m="1" x="6649"/>
        <item m="1" x="6093"/>
        <item m="1" x="6125"/>
        <item m="1" x="4471"/>
        <item m="1" x="6263"/>
        <item x="1111"/>
        <item x="1363"/>
        <item m="1" x="6401"/>
        <item m="1" x="5879"/>
        <item m="1" x="6309"/>
        <item x="2197"/>
        <item x="1231"/>
        <item m="1" x="6143"/>
        <item m="1" x="7601"/>
        <item x="1962"/>
        <item m="1" x="4698"/>
        <item m="1" x="6105"/>
        <item m="1" x="4539"/>
        <item m="1" x="6012"/>
        <item m="1" x="6957"/>
        <item m="1" x="5351"/>
        <item m="1" x="6965"/>
        <item m="1" x="4033"/>
        <item x="14"/>
        <item x="3381"/>
        <item m="1" x="4804"/>
        <item m="1" x="7287"/>
        <item x="746"/>
        <item m="1" x="6832"/>
        <item m="1" x="7120"/>
        <item m="1" x="7031"/>
        <item m="1" x="4974"/>
        <item x="53"/>
        <item x="1046"/>
        <item m="1" x="4084"/>
        <item m="1" x="7667"/>
        <item m="1" x="6774"/>
        <item x="1602"/>
        <item m="1" x="6511"/>
        <item m="1" x="7183"/>
        <item x="1835"/>
        <item x="1719"/>
        <item x="1913"/>
        <item x="1157"/>
        <item m="1" x="3916"/>
        <item m="1" x="6155"/>
        <item m="1" x="4909"/>
        <item m="1" x="6843"/>
        <item m="1" x="7922"/>
        <item m="1" x="4932"/>
        <item m="1" x="6742"/>
        <item m="1" x="7420"/>
        <item m="1" x="7368"/>
        <item m="1" x="4402"/>
        <item x="2428"/>
        <item x="1232"/>
        <item x="3416"/>
        <item m="1" x="5769"/>
        <item m="1" x="4814"/>
        <item x="198"/>
        <item m="1" x="4605"/>
        <item m="1" x="6213"/>
        <item m="1" x="6844"/>
        <item x="2823"/>
        <item x="3395"/>
        <item m="1" x="6170"/>
        <item x="1017"/>
        <item x="2608"/>
        <item x="1540"/>
        <item m="1" x="5192"/>
        <item x="977"/>
        <item x="2198"/>
        <item m="1" x="4896"/>
        <item x="929"/>
        <item x="1053"/>
        <item m="1" x="5953"/>
        <item m="1" x="5002"/>
        <item x="3459"/>
        <item x="3456"/>
        <item m="1" x="7220"/>
        <item x="2429"/>
        <item x="3485"/>
        <item m="1" x="5872"/>
        <item x="2380"/>
        <item m="1" x="3869"/>
        <item x="2800"/>
        <item m="1" x="5628"/>
        <item m="1" x="5302"/>
        <item m="1" x="5988"/>
        <item x="488"/>
        <item x="2299"/>
        <item x="11"/>
        <item m="1" x="7719"/>
        <item m="1" x="6984"/>
        <item x="536"/>
        <item m="1" x="5462"/>
        <item x="2316"/>
        <item x="1691"/>
        <item x="1692"/>
        <item m="1" x="7571"/>
        <item x="247"/>
        <item x="2125"/>
        <item m="1" x="7144"/>
        <item x="2568"/>
        <item m="1" x="7756"/>
        <item m="1" x="6347"/>
        <item m="1" x="7280"/>
        <item x="2007"/>
        <item m="1" x="7762"/>
        <item m="1" x="4133"/>
        <item x="2323"/>
        <item m="1" x="4730"/>
        <item m="1" x="5106"/>
        <item m="1" x="7577"/>
        <item x="2215"/>
        <item m="1" x="4032"/>
        <item x="2199"/>
        <item m="1" x="5902"/>
        <item x="3365"/>
        <item m="1" x="4247"/>
        <item m="1" x="5086"/>
        <item m="1" x="5099"/>
        <item m="1" x="5557"/>
        <item x="462"/>
        <item m="1" x="7512"/>
        <item x="747"/>
        <item m="1" x="6106"/>
        <item x="2158"/>
        <item x="2277"/>
        <item x="2077"/>
        <item x="2076"/>
        <item x="2082"/>
        <item m="1" x="6888"/>
        <item m="1" x="4041"/>
        <item m="1" x="4422"/>
        <item x="1093"/>
        <item m="1" x="5857"/>
        <item m="1" x="3592"/>
        <item x="2008"/>
        <item m="1" x="5731"/>
        <item x="1315"/>
        <item m="1" x="5424"/>
        <item m="1" x="4962"/>
        <item x="328"/>
        <item x="1421"/>
        <item x="1422"/>
        <item x="1299"/>
        <item x="2430"/>
        <item m="1" x="4933"/>
        <item m="1" x="3946"/>
        <item x="1206"/>
        <item m="1" x="7105"/>
        <item x="3131"/>
        <item m="1" x="6652"/>
        <item m="1" x="3747"/>
        <item m="1" x="4350"/>
        <item x="640"/>
        <item x="1364"/>
        <item x="2327"/>
        <item m="1" x="3578"/>
        <item x="2658"/>
        <item x="163"/>
        <item x="1633"/>
        <item m="1" x="4394"/>
        <item x="593"/>
        <item m="1" x="4015"/>
        <item m="1" x="6484"/>
        <item m="1" x="6927"/>
        <item x="1113"/>
        <item x="1389"/>
        <item m="1" x="5116"/>
        <item m="1" x="7136"/>
        <item m="1" x="6017"/>
        <item m="1" x="7147"/>
        <item x="842"/>
        <item m="1" x="7681"/>
        <item m="1" x="5974"/>
        <item m="1" x="4815"/>
        <item x="1745"/>
        <item x="446"/>
        <item m="1" x="4543"/>
        <item x="1498"/>
        <item x="2986"/>
        <item x="190"/>
        <item x="2745"/>
        <item m="1" x="5327"/>
        <item x="1720"/>
        <item x="680"/>
        <item x="709"/>
        <item m="1" x="3565"/>
        <item m="1" x="6753"/>
        <item m="1" x="4514"/>
        <item m="1" x="4525"/>
        <item x="1569"/>
        <item m="1" x="5453"/>
        <item m="1" x="4982"/>
        <item x="2507"/>
        <item m="1" x="5654"/>
        <item m="1" x="5258"/>
        <item m="1" x="5259"/>
        <item x="3340"/>
        <item x="3341"/>
        <item x="3214"/>
        <item x="3347"/>
        <item x="2489"/>
        <item x="732"/>
        <item x="194"/>
        <item x="703"/>
        <item m="1" x="6406"/>
        <item x="1233"/>
        <item m="1" x="6501"/>
        <item x="1365"/>
        <item m="1" x="5779"/>
        <item m="1" x="7561"/>
        <item x="497"/>
        <item m="1" x="6175"/>
        <item m="1" x="4945"/>
        <item m="1" x="5443"/>
        <item m="1" x="5530"/>
        <item m="1" x="5832"/>
        <item x="2863"/>
        <item x="2919"/>
        <item m="1" x="6695"/>
        <item x="1950"/>
        <item m="1" x="5815"/>
        <item x="2932"/>
        <item x="2519"/>
        <item m="1" x="3588"/>
        <item x="248"/>
        <item m="1" x="5467"/>
        <item m="1" x="6738"/>
        <item m="1" x="3987"/>
        <item m="1" x="3840"/>
        <item m="1" x="3548"/>
        <item m="1" x="7781"/>
        <item m="1" x="6459"/>
        <item x="2467"/>
        <item m="1" x="5653"/>
        <item m="1" x="6599"/>
        <item x="3432"/>
        <item m="1" x="7863"/>
        <item x="651"/>
        <item m="1" x="5978"/>
        <item m="1" x="6475"/>
        <item m="1" x="6928"/>
        <item x="1721"/>
        <item m="1" x="5608"/>
        <item m="1" x="4080"/>
        <item m="1" x="6100"/>
        <item x="691"/>
        <item x="2864"/>
        <item x="3498"/>
        <item x="1541"/>
        <item m="1" x="5860"/>
        <item x="2328"/>
        <item x="743"/>
        <item m="1" x="7173"/>
        <item m="1" x="5941"/>
        <item m="1" x="6878"/>
        <item x="1242"/>
        <item x="374"/>
        <item x="1499"/>
        <item m="1" x="3882"/>
        <item x="197"/>
        <item m="1" x="5133"/>
        <item m="1" x="7797"/>
        <item m="1" x="4805"/>
        <item m="1" x="4190"/>
        <item m="1" x="3696"/>
        <item m="1" x="5850"/>
        <item x="2494"/>
        <item m="1" x="7478"/>
        <item x="2331"/>
        <item m="1" x="6276"/>
        <item x="3081"/>
        <item m="1" x="5328"/>
        <item m="1" x="6351"/>
        <item m="1" x="6680"/>
        <item x="2509"/>
        <item m="1" x="4200"/>
        <item m="1" x="4448"/>
        <item m="1" x="4055"/>
        <item x="2200"/>
        <item m="1" x="4044"/>
        <item x="1450"/>
        <item m="1" x="6248"/>
        <item m="1" x="4486"/>
        <item m="1" x="4239"/>
        <item x="2431"/>
        <item x="809"/>
        <item m="1" x="4676"/>
        <item x="149"/>
        <item m="1" x="3709"/>
        <item x="436"/>
        <item x="1771"/>
        <item x="94"/>
        <item x="47"/>
        <item x="3345"/>
        <item m="1" x="3860"/>
        <item x="1366"/>
        <item m="1" x="6602"/>
        <item x="3295"/>
        <item m="1" x="4113"/>
        <item x="594"/>
        <item x="854"/>
        <item x="689"/>
        <item x="2085"/>
        <item m="1" x="7975"/>
        <item x="1500"/>
        <item x="448"/>
        <item x="1367"/>
        <item m="1" x="6692"/>
        <item x="3394"/>
        <item m="1" x="3988"/>
        <item m="1" x="5018"/>
        <item x="535"/>
        <item m="1" x="4126"/>
        <item m="1" x="6915"/>
        <item x="2110"/>
        <item m="1" x="6987"/>
        <item m="1" x="6797"/>
        <item m="1" x="6574"/>
        <item x="1155"/>
        <item m="1" x="7999"/>
        <item x="3225"/>
        <item m="1" x="6418"/>
        <item m="1" x="5448"/>
        <item m="1" x="6857"/>
        <item x="1479"/>
        <item m="1" x="4557"/>
        <item x="2098"/>
        <item m="1" x="6654"/>
        <item m="1" x="4846"/>
        <item m="1" x="6854"/>
        <item x="1829"/>
        <item m="1" x="7972"/>
        <item x="683"/>
        <item x="3038"/>
        <item m="1" x="4924"/>
        <item x="1018"/>
        <item x="2090"/>
        <item m="1" x="5673"/>
        <item x="2208"/>
        <item m="1" x="4510"/>
        <item x="1430"/>
        <item m="1" x="4516"/>
        <item m="1" x="6522"/>
        <item x="1049"/>
        <item x="1457"/>
        <item x="2031"/>
        <item m="1" x="4265"/>
        <item m="1" x="7840"/>
        <item m="1" x="7656"/>
        <item m="1" x="4203"/>
        <item x="1245"/>
        <item m="1" x="4428"/>
        <item m="1" x="3871"/>
        <item m="1" x="7412"/>
        <item m="1" x="5171"/>
        <item x="2640"/>
        <item x="79"/>
        <item x="2278"/>
        <item x="1112"/>
        <item x="1114"/>
        <item x="2062"/>
        <item m="1" x="4835"/>
        <item m="1" x="6370"/>
        <item m="1" x="4042"/>
        <item m="1" x="7446"/>
        <item m="1" x="4389"/>
        <item x="1177"/>
        <item x="3420"/>
        <item m="1" x="4910"/>
        <item m="1" x="5770"/>
        <item m="1" x="7344"/>
        <item x="2964"/>
        <item m="1" x="5842"/>
        <item x="1038"/>
        <item x="1042"/>
        <item m="1" x="6978"/>
        <item m="1" x="4957"/>
        <item m="1" x="5754"/>
        <item x="1542"/>
        <item m="1" x="3953"/>
        <item x="2127"/>
        <item x="3499"/>
        <item m="1" x="6216"/>
        <item m="1" x="6299"/>
        <item x="595"/>
        <item x="2528"/>
        <item x="1275"/>
        <item m="1" x="5942"/>
        <item m="1" x="5374"/>
        <item x="810"/>
        <item x="1444"/>
        <item m="1" x="4912"/>
        <item x="2148"/>
        <item m="1" x="6667"/>
        <item m="1" x="7509"/>
        <item m="1" x="7221"/>
        <item x="2064"/>
        <item m="1" x="6968"/>
        <item m="1" x="6641"/>
        <item m="1" x="3596"/>
        <item m="1" x="4274"/>
        <item x="1109"/>
        <item x="2480"/>
        <item x="2853"/>
        <item m="1" x="7063"/>
        <item m="1" x="7982"/>
        <item x="443"/>
        <item m="1" x="4988"/>
        <item m="1" x="4958"/>
        <item m="1" x="7203"/>
        <item x="1126"/>
        <item x="1234"/>
        <item x="1137"/>
        <item m="1" x="7959"/>
        <item x="2133"/>
        <item x="2604"/>
        <item m="1" x="4641"/>
        <item m="1" x="6462"/>
        <item x="2746"/>
        <item x="122"/>
        <item m="1" x="4075"/>
        <item x="2779"/>
        <item x="2491"/>
        <item m="1" x="7903"/>
        <item m="1" x="5704"/>
        <item m="1" x="3675"/>
        <item m="1" x="4446"/>
        <item x="1646"/>
        <item m="1" x="4414"/>
        <item x="3118"/>
        <item x="1946"/>
        <item m="1" x="4531"/>
        <item x="562"/>
        <item x="1807"/>
        <item x="1150"/>
        <item m="1" x="5482"/>
        <item m="1" x="7526"/>
        <item x="1791"/>
        <item x="3500"/>
        <item x="3270"/>
        <item x="1243"/>
        <item m="1" x="4964"/>
        <item x="425"/>
        <item m="1" x="4560"/>
        <item m="1" x="3525"/>
        <item x="1773"/>
        <item x="2109"/>
        <item x="1368"/>
        <item m="1" x="5061"/>
        <item x="3408"/>
        <item x="3369"/>
        <item x="3378"/>
        <item x="2544"/>
        <item x="439"/>
        <item x="405"/>
        <item m="1" x="4847"/>
        <item m="1" x="4902"/>
        <item x="1000"/>
        <item x="781"/>
        <item x="1188"/>
        <item x="1900"/>
        <item x="1883"/>
        <item x="249"/>
        <item x="1779"/>
        <item x="358"/>
        <item x="2946"/>
        <item x="832"/>
        <item m="1" x="3574"/>
        <item m="1" x="6883"/>
        <item m="1" x="6490"/>
        <item x="139"/>
        <item m="1" x="5003"/>
        <item x="639"/>
        <item x="2600"/>
        <item x="831"/>
        <item x="211"/>
        <item m="1" x="3662"/>
        <item x="2719"/>
        <item m="1" x="5112"/>
        <item m="1" x="4214"/>
        <item x="1591"/>
        <item m="1" x="5962"/>
        <item x="2747"/>
        <item m="1" x="5109"/>
        <item x="2748"/>
        <item m="1" x="6348"/>
        <item x="250"/>
        <item m="1" x="5303"/>
        <item m="1" x="3583"/>
        <item x="1244"/>
        <item x="1099"/>
        <item m="1" x="4553"/>
        <item m="1" x="7129"/>
        <item x="2591"/>
        <item x="2201"/>
        <item x="1621"/>
        <item x="3283"/>
        <item m="1" x="3658"/>
        <item m="1" x="3890"/>
        <item x="401"/>
        <item x="32"/>
        <item x="3424"/>
        <item m="1" x="4494"/>
        <item x="3090"/>
        <item m="1" x="4457"/>
        <item m="1" x="3778"/>
        <item m="1" x="4967"/>
        <item m="1" x="4502"/>
        <item m="1" x="3969"/>
        <item m="1" x="4012"/>
        <item m="1" x="7637"/>
        <item m="1" x="4235"/>
        <item m="1" x="3702"/>
        <item x="1614"/>
        <item m="1" x="5585"/>
        <item m="1" x="7815"/>
        <item m="1" x="6383"/>
        <item x="1543"/>
        <item x="2432"/>
        <item m="1" x="5516"/>
        <item m="1" x="5720"/>
        <item x="3308"/>
        <item m="1" x="4243"/>
        <item x="1284"/>
        <item m="1" x="4969"/>
        <item x="1969"/>
        <item x="1306"/>
        <item m="1" x="4309"/>
        <item m="1" x="4513"/>
        <item m="1" x="7771"/>
        <item x="1054"/>
        <item m="1" x="4707"/>
        <item x="1760"/>
        <item x="2433"/>
        <item x="2305"/>
        <item m="1" x="7537"/>
        <item m="1" x="4078"/>
        <item m="1" x="7431"/>
        <item m="1" x="6039"/>
        <item x="2009"/>
        <item x="3105"/>
        <item m="1" x="7945"/>
        <item x="3088"/>
        <item m="1" x="3799"/>
        <item x="2749"/>
        <item m="1" x="6673"/>
        <item m="1" x="4574"/>
        <item x="3106"/>
        <item x="1867"/>
        <item x="1868"/>
        <item m="1" x="4987"/>
        <item m="1" x="5938"/>
        <item x="3324"/>
        <item x="1115"/>
        <item x="274"/>
        <item x="3377"/>
        <item x="87"/>
        <item m="1" x="4508"/>
        <item m="1" x="6443"/>
        <item m="1" x="4497"/>
        <item m="1" x="4399"/>
        <item x="3164"/>
        <item m="1" x="5652"/>
        <item m="1" x="6588"/>
        <item x="3250"/>
        <item m="1" x="7592"/>
        <item m="1" x="4558"/>
        <item x="1561"/>
        <item x="1565"/>
        <item x="263"/>
        <item m="1" x="7765"/>
        <item x="1151"/>
        <item x="2750"/>
        <item m="1" x="7498"/>
        <item x="2806"/>
        <item m="1" x="6395"/>
        <item x="2492"/>
        <item x="656"/>
        <item x="844"/>
        <item m="1" x="5944"/>
        <item x="2578"/>
        <item m="1" x="5845"/>
        <item x="3287"/>
        <item m="1" x="7913"/>
        <item m="1" x="4387"/>
        <item x="811"/>
        <item m="1" x="7674"/>
        <item m="1" x="6071"/>
        <item x="2751"/>
        <item x="2290"/>
        <item m="1" x="5546"/>
        <item m="1" x="6447"/>
        <item m="1" x="6321"/>
        <item x="2434"/>
        <item x="1786"/>
        <item x="596"/>
        <item m="1" x="3943"/>
        <item m="1" x="5046"/>
        <item m="1" x="6217"/>
        <item x="1577"/>
        <item m="1" x="7766"/>
        <item m="1" x="7198"/>
        <item x="2810"/>
        <item x="1409"/>
        <item x="457"/>
        <item m="1" x="7734"/>
        <item x="2906"/>
        <item m="1" x="6874"/>
        <item m="1" x="3554"/>
        <item x="2511"/>
        <item m="1" x="4716"/>
        <item m="1" x="5043"/>
        <item m="1" x="4751"/>
        <item m="1" x="4757"/>
        <item m="1" x="4743"/>
        <item m="1" x="4759"/>
        <item x="2074"/>
        <item x="755"/>
        <item x="499"/>
        <item x="1651"/>
        <item x="2144"/>
        <item x="2249"/>
        <item m="1" x="4934"/>
        <item x="288"/>
        <item x="8"/>
        <item x="2435"/>
        <item m="1" x="5498"/>
        <item x="2093"/>
        <item m="1" x="3598"/>
        <item x="437"/>
        <item x="851"/>
        <item m="1" x="5428"/>
        <item m="1" x="7141"/>
        <item m="1" x="6078"/>
        <item x="3035"/>
        <item x="26"/>
        <item m="1" x="5137"/>
        <item x="310"/>
        <item m="1" x="6357"/>
        <item x="2893"/>
        <item m="1" x="7230"/>
        <item m="1" x="7025"/>
        <item x="2808"/>
        <item x="29"/>
        <item x="3342"/>
        <item m="1" x="5260"/>
        <item m="1" x="5261"/>
        <item x="1218"/>
        <item m="1" x="5262"/>
        <item m="1" x="3886"/>
        <item x="2364"/>
        <item m="1" x="6719"/>
        <item x="3211"/>
        <item m="1" x="5717"/>
        <item m="1" x="3817"/>
        <item m="1" x="7687"/>
        <item m="1" x="3609"/>
        <item x="946"/>
        <item x="1572"/>
        <item m="1" x="5468"/>
        <item x="597"/>
        <item m="1" x="5618"/>
        <item m="1" x="6992"/>
        <item m="1" x="5848"/>
        <item m="1" x="6425"/>
        <item m="1" x="3955"/>
        <item x="3411"/>
        <item x="3453"/>
        <item m="1" x="6815"/>
        <item x="349"/>
        <item m="1" x="4303"/>
        <item m="1" x="4829"/>
        <item m="1" x="6052"/>
        <item m="1" x="3659"/>
        <item m="1" x="6712"/>
        <item m="1" x="5304"/>
        <item x="1620"/>
        <item x="1266"/>
        <item m="1" x="4151"/>
        <item m="1" x="6107"/>
        <item m="1" x="5431"/>
        <item m="1" x="4420"/>
        <item m="1" x="3971"/>
        <item m="1" x="7822"/>
        <item x="969"/>
        <item x="2381"/>
        <item x="1544"/>
        <item x="2547"/>
        <item m="1" x="6516"/>
        <item x="1912"/>
        <item x="2291"/>
        <item x="1438"/>
        <item x="1028"/>
        <item x="391"/>
        <item x="1951"/>
        <item x="220"/>
        <item m="1" x="4857"/>
        <item m="1" x="4362"/>
        <item x="2516"/>
        <item x="2099"/>
        <item m="1" x="5574"/>
        <item x="2257"/>
        <item x="1125"/>
        <item x="367"/>
        <item m="1" x="5690"/>
        <item m="1" x="3634"/>
        <item m="1" x="4858"/>
        <item m="1" x="6794"/>
        <item m="1" x="6307"/>
        <item m="1" x="7076"/>
        <item m="1" x="5305"/>
        <item x="1501"/>
        <item m="1" x="5541"/>
        <item m="1" x="5306"/>
        <item m="1" x="6986"/>
        <item m="1" x="5709"/>
        <item m="1" x="5021"/>
        <item x="3076"/>
        <item m="1" x="5943"/>
        <item m="1" x="5740"/>
        <item x="3011"/>
        <item m="1" x="5535"/>
        <item m="1" x="5996"/>
        <item x="1318"/>
        <item x="2162"/>
        <item x="1278"/>
        <item m="1" x="7864"/>
        <item x="598"/>
        <item m="1" x="6114"/>
        <item m="1" x="4816"/>
        <item x="489"/>
        <item x="1105"/>
        <item m="1" x="4119"/>
        <item m="1" x="6664"/>
        <item x="1922"/>
        <item m="1" x="4426"/>
        <item m="1" x="5651"/>
        <item x="1502"/>
        <item x="3402"/>
        <item m="1" x="7036"/>
        <item m="1" x="4520"/>
        <item m="1" x="4919"/>
        <item x="1973"/>
        <item m="1" x="5650"/>
        <item m="1" x="5778"/>
        <item m="1" x="5648"/>
        <item x="2521"/>
        <item x="2674"/>
        <item m="1" x="4604"/>
        <item m="1" x="4548"/>
        <item x="1161"/>
        <item m="1" x="6092"/>
        <item m="1" x="5398"/>
        <item m="1" x="6349"/>
        <item m="1" x="3755"/>
        <item x="1178"/>
        <item x="84"/>
        <item x="1563"/>
        <item m="1" x="6502"/>
        <item x="373"/>
        <item m="1" x="4154"/>
        <item x="3084"/>
        <item m="1" x="4720"/>
        <item m="1" x="3555"/>
        <item m="1" x="6995"/>
        <item m="1" x="5748"/>
        <item x="1640"/>
        <item m="1" x="6174"/>
        <item m="1" x="4914"/>
        <item x="2825"/>
        <item x="1826"/>
        <item m="1" x="4321"/>
        <item x="483"/>
        <item m="1" x="3820"/>
        <item m="1" x="5367"/>
        <item m="1" x="5647"/>
        <item x="2657"/>
        <item x="1051"/>
        <item x="2828"/>
        <item m="1" x="6294"/>
        <item m="1" x="4245"/>
        <item m="1" x="6935"/>
        <item m="1" x="5201"/>
        <item x="526"/>
        <item m="1" x="4530"/>
        <item m="1" x="6212"/>
        <item m="1" x="4180"/>
        <item m="1" x="6270"/>
        <item m="1" x="7496"/>
        <item x="1545"/>
        <item x="2086"/>
        <item m="1" x="6136"/>
        <item m="1" x="6884"/>
        <item x="2583"/>
        <item m="1" x="5547"/>
        <item x="3361"/>
        <item x="1369"/>
        <item m="1" x="7382"/>
        <item m="1" x="7385"/>
        <item x="1749"/>
        <item m="1" x="5031"/>
        <item m="1" x="6025"/>
        <item x="2763"/>
        <item m="1" x="5388"/>
        <item x="22"/>
        <item x="2752"/>
        <item x="340"/>
        <item x="2360"/>
        <item x="599"/>
        <item x="600"/>
        <item x="1434"/>
        <item m="1" x="4097"/>
        <item m="1" x="4935"/>
        <item x="3480"/>
        <item m="1" x="5903"/>
        <item x="1762"/>
        <item m="1" x="4477"/>
        <item x="463"/>
        <item x="2321"/>
        <item x="1613"/>
        <item x="2279"/>
        <item m="1" x="6823"/>
        <item m="1" x="4859"/>
        <item x="1129"/>
        <item x="2782"/>
        <item m="1" x="6732"/>
        <item x="2569"/>
        <item m="1" x="4854"/>
        <item m="1" x="7538"/>
        <item m="1" x="7714"/>
        <item x="48"/>
        <item x="1852"/>
        <item m="1" x="5646"/>
        <item m="1" x="7034"/>
        <item m="1" x="4045"/>
        <item m="1" x="5619"/>
        <item m="1" x="3945"/>
        <item x="2010"/>
        <item m="1" x="6205"/>
        <item x="1894"/>
        <item m="1" x="5620"/>
        <item m="1" x="6145"/>
        <item x="632"/>
        <item x="2207"/>
        <item m="1" x="6549"/>
        <item x="2707"/>
        <item x="13"/>
        <item m="1" x="7035"/>
        <item x="2620"/>
        <item x="1452"/>
        <item m="1" x="6911"/>
        <item x="701"/>
        <item x="2044"/>
        <item m="1" x="3714"/>
        <item x="3007"/>
        <item m="1" x="5904"/>
        <item m="1" x="6523"/>
        <item m="1" x="5444"/>
        <item x="1981"/>
        <item x="2676"/>
        <item m="1" x="7411"/>
        <item x="1546"/>
        <item x="1264"/>
        <item m="1" x="5728"/>
        <item x="2713"/>
        <item x="1138"/>
        <item m="1" x="6787"/>
        <item x="2595"/>
        <item m="1" x="6976"/>
        <item x="61"/>
        <item x="1547"/>
        <item x="3481"/>
        <item x="2708"/>
        <item x="3306"/>
        <item x="2219"/>
        <item x="3244"/>
        <item x="3174"/>
        <item m="1" x="5918"/>
        <item x="3325"/>
        <item m="1" x="6337"/>
        <item m="1" x="7993"/>
        <item m="1" x="4606"/>
        <item m="1" x="3626"/>
        <item m="1" x="4107"/>
        <item m="1" x="6137"/>
        <item m="1" x="6509"/>
        <item x="2987"/>
        <item x="1503"/>
        <item m="1" x="4742"/>
        <item m="1" x="6138"/>
        <item x="1548"/>
        <item x="1864"/>
        <item x="2228"/>
        <item m="1" x="6156"/>
        <item x="1671"/>
        <item m="1" x="4906"/>
        <item m="1" x="6838"/>
        <item x="1811"/>
        <item m="1" x="6518"/>
        <item m="1" x="3577"/>
        <item x="2254"/>
        <item x="150"/>
        <item x="6"/>
        <item x="601"/>
        <item x="602"/>
        <item m="1" x="7578"/>
        <item m="1" x="3541"/>
        <item x="1090"/>
        <item x="98"/>
        <item m="1" x="6439"/>
        <item x="1370"/>
        <item m="1" x="7440"/>
        <item x="673"/>
        <item x="2589"/>
        <item m="1" x="6229"/>
        <item x="2011"/>
        <item m="1" x="4091"/>
        <item x="2300"/>
        <item x="175"/>
        <item m="1" x="3830"/>
        <item x="3080"/>
        <item m="1" x="5502"/>
        <item x="1792"/>
        <item m="1" x="3847"/>
        <item m="1" x="4518"/>
        <item x="1163"/>
        <item m="1" x="5263"/>
        <item x="481"/>
        <item m="1" x="4147"/>
        <item m="1" x="7097"/>
        <item m="1" x="6089"/>
        <item m="1" x="3587"/>
        <item x="3414"/>
        <item m="1" x="4998"/>
        <item m="1" x="7876"/>
        <item m="1" x="3705"/>
        <item m="1" x="5415"/>
        <item x="603"/>
        <item m="1" x="7448"/>
        <item x="1219"/>
        <item m="1" x="5008"/>
        <item m="1" x="7437"/>
        <item m="1" x="6908"/>
        <item m="1" x="7086"/>
        <item x="2570"/>
        <item m="1" x="5675"/>
        <item x="3138"/>
        <item m="1" x="6264"/>
        <item m="1" x="6550"/>
        <item m="1" x="6040"/>
        <item x="1549"/>
        <item m="1" x="7664"/>
        <item m="1" x="6336"/>
        <item x="2050"/>
        <item m="1" x="4512"/>
        <item m="1" x="6191"/>
        <item m="1" x="7062"/>
        <item m="1" x="3792"/>
        <item m="1" x="5990"/>
        <item m="1" x="5621"/>
        <item x="1207"/>
        <item x="1027"/>
        <item x="2012"/>
        <item m="1" x="5132"/>
        <item m="1" x="7329"/>
        <item x="2370"/>
        <item m="1" x="6051"/>
        <item m="1" x="4688"/>
        <item m="1" x="6788"/>
        <item m="1" x="4447"/>
        <item x="2865"/>
        <item m="1" x="4537"/>
        <item x="2948"/>
        <item m="1" x="3761"/>
        <item m="1" x="5795"/>
        <item x="2625"/>
        <item m="1" x="5777"/>
        <item m="1" x="6936"/>
        <item m="1" x="4173"/>
        <item m="1" x="7470"/>
        <item x="1744"/>
        <item x="1895"/>
        <item x="644"/>
        <item x="3343"/>
        <item m="1" x="7752"/>
        <item m="1" x="4762"/>
        <item m="1" x="6358"/>
        <item m="1" x="6410"/>
        <item x="191"/>
        <item m="1" x="7499"/>
        <item m="1" x="3751"/>
        <item m="1" x="4186"/>
        <item x="1322"/>
        <item x="2013"/>
        <item x="1810"/>
        <item m="1" x="4191"/>
        <item m="1" x="7984"/>
        <item m="1" x="3770"/>
        <item m="1" x="6287"/>
        <item m="1" x="4546"/>
        <item m="1" x="7821"/>
        <item x="86"/>
        <item m="1" x="6432"/>
        <item m="1" x="5264"/>
        <item m="1" x="3660"/>
        <item m="1" x="3958"/>
        <item x="2822"/>
        <item m="1" x="7389"/>
        <item m="1" x="7161"/>
        <item m="1" x="4127"/>
        <item x="2121"/>
        <item x="951"/>
        <item m="1" x="4872"/>
        <item x="140"/>
        <item x="400"/>
        <item x="1316"/>
        <item x="812"/>
        <item m="1" x="6880"/>
        <item x="1455"/>
        <item x="492"/>
        <item x="2359"/>
        <item x="2028"/>
        <item m="1" x="4887"/>
        <item m="1" x="3650"/>
        <item m="1" x="5392"/>
        <item m="1" x="6346"/>
        <item m="1" x="5265"/>
        <item m="1" x="5214"/>
        <item m="1" x="5359"/>
        <item m="1" x="6814"/>
        <item m="1" x="7744"/>
        <item m="1" x="4897"/>
        <item m="1" x="5329"/>
        <item m="1" x="7108"/>
        <item m="1" x="5954"/>
        <item m="1" x="6271"/>
        <item x="999"/>
        <item m="1" x="6427"/>
        <item x="2753"/>
        <item m="1" x="5390"/>
        <item m="1" x="6869"/>
        <item m="1" x="4271"/>
        <item m="1" x="5958"/>
        <item m="1" x="7885"/>
        <item x="3107"/>
        <item m="1" x="7020"/>
        <item x="1504"/>
        <item m="1" x="3876"/>
        <item x="1746"/>
        <item m="1" x="6525"/>
        <item x="3017"/>
        <item x="251"/>
        <item x="1576"/>
        <item x="1439"/>
        <item x="3506"/>
        <item m="1" x="5645"/>
        <item m="1" x="4946"/>
        <item m="1" x="5837"/>
        <item x="2460"/>
        <item m="1" x="5866"/>
        <item m="1" x="6394"/>
        <item m="1" x="4836"/>
        <item m="1" x="3796"/>
        <item x="2548"/>
        <item x="3124"/>
        <item m="1" x="6731"/>
        <item m="1" x="5833"/>
        <item m="1" x="5555"/>
        <item m="1" x="3689"/>
        <item x="1423"/>
        <item m="1" x="7235"/>
        <item m="1" x="4703"/>
        <item m="1" x="6318"/>
        <item x="2448"/>
        <item m="1" x="5905"/>
        <item m="1" x="7528"/>
        <item m="1" x="6615"/>
        <item x="3501"/>
        <item m="1" x="5906"/>
        <item m="1" x="4244"/>
        <item m="1" x="7581"/>
        <item x="1235"/>
        <item x="2627"/>
        <item m="1" x="7858"/>
        <item m="1" x="5406"/>
        <item m="1" x="5266"/>
        <item m="1" x="4747"/>
        <item x="1197"/>
        <item x="1505"/>
        <item m="1" x="7010"/>
        <item m="1" x="6860"/>
        <item m="1" x="4655"/>
        <item m="1" x="5267"/>
        <item x="2465"/>
        <item m="1" x="5732"/>
        <item m="1" x="3707"/>
        <item x="2202"/>
        <item m="1" x="7923"/>
        <item x="630"/>
        <item x="930"/>
        <item m="1" x="4465"/>
        <item x="3326"/>
        <item x="2261"/>
        <item x="465"/>
        <item m="1" x="4635"/>
        <item x="2709"/>
        <item m="1" x="4480"/>
        <item x="774"/>
        <item x="563"/>
        <item x="371"/>
        <item m="1" x="6350"/>
        <item m="1" x="7988"/>
        <item x="2508"/>
        <item m="1" x="6696"/>
        <item x="19"/>
        <item m="1" x="4976"/>
        <item x="1236"/>
        <item x="62"/>
        <item m="1" x="5966"/>
        <item m="1" x="7697"/>
        <item m="1" x="3680"/>
        <item m="1" x="3779"/>
        <item m="1" x="6556"/>
        <item x="2220"/>
        <item x="1460"/>
        <item x="2203"/>
        <item x="2280"/>
        <item m="1" x="5548"/>
        <item m="1" x="4454"/>
        <item m="1" x="6691"/>
        <item x="2281"/>
        <item x="315"/>
        <item m="1" x="7135"/>
        <item x="2243"/>
        <item x="137"/>
        <item x="813"/>
        <item x="658"/>
        <item x="471"/>
        <item m="1" x="6766"/>
        <item m="1" x="5330"/>
        <item x="2351"/>
        <item m="1" x="6897"/>
        <item m="1" x="6303"/>
        <item m="1" x="5946"/>
        <item m="1" x="4704"/>
        <item m="1" x="7246"/>
        <item m="1" x="7515"/>
        <item m="1" x="6743"/>
        <item m="1" x="6431"/>
        <item x="1911"/>
        <item x="978"/>
        <item m="1" x="7095"/>
        <item x="2843"/>
        <item x="2436"/>
        <item m="1" x="5998"/>
        <item m="1" x="5969"/>
        <item x="2045"/>
        <item x="2355"/>
        <item x="1080"/>
        <item m="1" x="4198"/>
        <item m="1" x="5805"/>
        <item x="1414"/>
        <item m="1" x="5638"/>
        <item m="1" x="7673"/>
        <item m="1" x="3864"/>
        <item m="1" x="4359"/>
        <item x="70"/>
        <item m="1" x="6577"/>
        <item x="282"/>
        <item x="1955"/>
        <item x="1158"/>
        <item x="151"/>
        <item x="769"/>
        <item x="1788"/>
        <item m="1" x="4228"/>
        <item x="2580"/>
        <item x="604"/>
        <item m="1" x="7119"/>
        <item m="1" x="5496"/>
        <item m="1" x="3543"/>
        <item x="2053"/>
        <item m="1" x="6332"/>
        <item m="1" x="4058"/>
        <item x="2453"/>
        <item m="1" x="5526"/>
        <item m="1" x="7455"/>
        <item x="2530"/>
        <item x="626"/>
        <item m="1" x="6050"/>
        <item x="1550"/>
        <item x="120"/>
        <item x="3078"/>
        <item m="1" x="6411"/>
        <item m="1" x="5268"/>
        <item x="329"/>
        <item m="1" x="5139"/>
        <item m="1" x="4346"/>
        <item x="637"/>
        <item m="1" x="4096"/>
        <item x="427"/>
        <item x="428"/>
        <item x="3470"/>
        <item m="1" x="5331"/>
        <item m="1" x="5668"/>
        <item x="429"/>
        <item x="35"/>
        <item x="2920"/>
        <item x="1475"/>
        <item x="2229"/>
        <item m="1" x="4464"/>
        <item m="1" x="4936"/>
        <item m="1" x="6352"/>
        <item m="1" x="6306"/>
        <item m="1" x="7370"/>
        <item x="1722"/>
        <item x="1390"/>
        <item x="1871"/>
        <item x="2754"/>
        <item x="1371"/>
        <item m="1" x="4324"/>
        <item x="3228"/>
        <item m="1" x="7104"/>
        <item x="2959"/>
        <item m="1" x="5407"/>
        <item x="814"/>
        <item m="1" x="5416"/>
        <item m="1" x="5074"/>
        <item m="1" x="7546"/>
        <item m="1" x="4335"/>
        <item m="1" x="6359"/>
        <item m="1" x="3713"/>
        <item x="430"/>
        <item x="3517"/>
        <item m="1" x="5826"/>
        <item x="753"/>
        <item m="1" x="5014"/>
        <item x="46"/>
        <item m="1" x="3734"/>
        <item m="1" x="6420"/>
        <item x="1426"/>
        <item m="1" x="6404"/>
        <item m="1" x="6539"/>
        <item x="1290"/>
        <item x="707"/>
        <item x="815"/>
        <item x="2014"/>
        <item m="1" x="5816"/>
        <item x="1884"/>
        <item m="1" x="6095"/>
        <item m="1" x="5055"/>
        <item x="860"/>
        <item m="1" x="4211"/>
        <item x="345"/>
        <item x="1031"/>
        <item m="1" x="4304"/>
        <item m="1" x="7388"/>
        <item x="1592"/>
        <item x="1142"/>
        <item m="1" x="4347"/>
        <item x="2716"/>
        <item x="605"/>
        <item m="1" x="7358"/>
        <item m="1" x="4380"/>
        <item m="1" x="6973"/>
        <item x="1562"/>
        <item x="1637"/>
        <item m="1" x="4332"/>
        <item m="1" x="7066"/>
        <item m="1" x="7240"/>
        <item m="1" x="7304"/>
        <item m="1" x="7268"/>
        <item m="1" x="7259"/>
        <item m="1" x="6947"/>
        <item m="1" x="7012"/>
        <item x="1440"/>
        <item x="2015"/>
        <item m="1" x="6001"/>
        <item m="1" x="5705"/>
        <item x="564"/>
        <item m="1" x="7511"/>
        <item m="1" x="6881"/>
        <item m="1" x="5506"/>
        <item x="252"/>
        <item m="1" x="4073"/>
        <item m="1" x="3573"/>
        <item m="1" x="7631"/>
        <item x="3267"/>
        <item m="1" x="4450"/>
        <item m="1" x="6912"/>
        <item m="1" x="4483"/>
        <item x="726"/>
        <item x="253"/>
        <item m="1" x="4474"/>
        <item m="1" x="4293"/>
        <item m="1" x="6116"/>
        <item x="490"/>
        <item x="3288"/>
        <item m="1" x="7826"/>
        <item m="1" x="5269"/>
        <item x="1279"/>
        <item m="1" x="7872"/>
        <item x="2472"/>
        <item x="2656"/>
        <item x="426"/>
        <item x="63"/>
        <item x="1506"/>
        <item x="3057"/>
        <item m="1" x="6483"/>
        <item m="1" x="6173"/>
        <item m="1" x="3652"/>
        <item m="1" x="6310"/>
        <item x="2473"/>
        <item m="1" x="4506"/>
        <item m="1" x="4526"/>
        <item x="3198"/>
        <item m="1" x="3893"/>
        <item m="1" x="5050"/>
        <item m="1" x="3854"/>
        <item m="1" x="7827"/>
        <item m="1" x="7472"/>
        <item m="1" x="5082"/>
        <item m="1" x="3681"/>
        <item x="2690"/>
        <item x="1978"/>
        <item x="30"/>
        <item m="1" x="6189"/>
        <item x="3296"/>
        <item m="1" x="7839"/>
        <item m="1" x="5038"/>
        <item x="2631"/>
        <item x="606"/>
        <item m="1" x="7409"/>
        <item m="1" x="3690"/>
        <item x="303"/>
        <item m="1" x="3661"/>
        <item m="1" x="7725"/>
        <item m="1" x="7091"/>
        <item m="1" x="6750"/>
        <item x="3409"/>
        <item m="1" x="4262"/>
        <item x="3125"/>
        <item x="2951"/>
        <item x="785"/>
        <item m="1" x="5873"/>
        <item x="565"/>
        <item m="1" x="4285"/>
        <item m="1" x="5417"/>
        <item m="1" x="3615"/>
        <item m="1" x="5907"/>
        <item m="1" x="7178"/>
        <item m="1" x="6304"/>
        <item x="2584"/>
        <item m="1" x="3832"/>
        <item x="1756"/>
        <item m="1" x="5400"/>
        <item m="1" x="7935"/>
        <item m="1" x="5095"/>
        <item m="1" x="4155"/>
        <item x="2755"/>
        <item m="1" x="6164"/>
        <item x="1141"/>
        <item x="1734"/>
        <item m="1" x="7707"/>
        <item x="668"/>
        <item m="1" x="3966"/>
        <item m="1" x="5483"/>
        <item m="1" x="3788"/>
        <item x="2118"/>
        <item m="1" x="7651"/>
        <item x="1081"/>
        <item m="1" x="5120"/>
        <item m="1" x="5184"/>
        <item x="1879"/>
        <item m="1" x="6568"/>
        <item x="2382"/>
        <item m="1" x="4481"/>
        <item m="1" x="4741"/>
        <item m="1" x="3853"/>
        <item m="1" x="6619"/>
        <item x="2317"/>
        <item x="2286"/>
        <item x="2204"/>
        <item m="1" x="6141"/>
        <item m="1" x="6226"/>
        <item x="530"/>
        <item m="1" x="7450"/>
        <item x="2833"/>
        <item x="816"/>
        <item x="666"/>
        <item x="685"/>
        <item x="152"/>
        <item x="2663"/>
        <item m="1" x="4038"/>
        <item x="2992"/>
        <item m="1" x="5015"/>
        <item m="1" x="4489"/>
        <item x="2139"/>
        <item m="1" x="5671"/>
        <item x="1432"/>
        <item m="1" x="4085"/>
        <item x="2206"/>
        <item x="2877"/>
        <item x="1009"/>
        <item m="1" x="5442"/>
        <item m="1" x="3777"/>
        <item x="2239"/>
        <item m="1" x="3665"/>
        <item x="1761"/>
        <item x="109"/>
        <item x="3384"/>
        <item m="1" x="6243"/>
        <item m="1" x="5215"/>
        <item m="1" x="6499"/>
        <item m="1" x="5927"/>
        <item x="1429"/>
        <item x="214"/>
        <item m="1" x="7044"/>
        <item m="1" x="4049"/>
        <item m="1" x="3576"/>
        <item x="1742"/>
        <item m="1" x="5604"/>
        <item x="3297"/>
        <item m="1" x="3697"/>
        <item x="1855"/>
        <item x="1856"/>
        <item x="1743"/>
        <item m="1" x="3619"/>
        <item x="368"/>
        <item x="39"/>
        <item x="2142"/>
        <item m="1" x="4194"/>
        <item m="1" x="3868"/>
        <item x="3406"/>
        <item m="1" x="6115"/>
        <item m="1" x="7453"/>
        <item x="101"/>
        <item x="876"/>
        <item m="1" x="5307"/>
        <item m="1" x="7432"/>
        <item x="2921"/>
        <item x="2367"/>
        <item m="1" x="4564"/>
        <item m="1" x="5441"/>
        <item x="2816"/>
        <item m="1" x="4644"/>
        <item x="2802"/>
        <item m="1" x="4937"/>
        <item x="3327"/>
        <item m="1" x="6368"/>
        <item x="869"/>
        <item m="1" x="5517"/>
        <item m="1" x="5913"/>
        <item m="1" x="7027"/>
        <item x="1964"/>
        <item x="2678"/>
        <item m="1" x="6576"/>
        <item m="1" x="5347"/>
        <item m="1" x="7605"/>
        <item m="1" x="4983"/>
        <item m="1" x="7989"/>
        <item m="1" x="4103"/>
        <item m="1" x="5216"/>
        <item m="1" x="5937"/>
        <item m="1" x="6203"/>
        <item m="1" x="4252"/>
        <item m="1" x="7921"/>
        <item m="1" x="5085"/>
        <item x="64"/>
        <item x="36"/>
        <item m="1" x="7029"/>
        <item x="2437"/>
        <item m="1" x="4292"/>
        <item x="773"/>
        <item m="1" x="7439"/>
        <item m="1" x="5361"/>
        <item m="1" x="4947"/>
        <item m="1" x="6426"/>
        <item m="1" x="6272"/>
        <item x="2282"/>
        <item m="1" x="4495"/>
        <item x="3328"/>
        <item m="1" x="3956"/>
        <item x="2942"/>
        <item x="2485"/>
        <item m="1" x="7862"/>
        <item m="1" x="5527"/>
        <item x="1668"/>
        <item m="1" x="4217"/>
        <item x="1649"/>
        <item x="1812"/>
        <item x="304"/>
        <item m="1" x="4903"/>
        <item x="566"/>
        <item m="1" x="4527"/>
        <item x="1846"/>
        <item x="883"/>
        <item m="1" x="5478"/>
        <item x="1665"/>
        <item m="1" x="7866"/>
        <item m="1" x="5032"/>
        <item m="1" x="6876"/>
        <item m="1" x="5308"/>
        <item x="1291"/>
        <item x="2234"/>
        <item m="1" x="4004"/>
        <item x="2016"/>
        <item x="159"/>
        <item m="1" x="4254"/>
        <item m="1" x="4938"/>
        <item m="1" x="6665"/>
        <item x="1928"/>
        <item m="1" x="7739"/>
        <item m="1" x="7775"/>
        <item m="1" x="4360"/>
        <item m="1" x="5357"/>
        <item m="1" x="6892"/>
        <item m="1" x="6345"/>
        <item x="3271"/>
        <item m="1" x="4767"/>
        <item m="1" x="5884"/>
        <item m="1" x="6699"/>
        <item x="1372"/>
        <item m="1" x="5217"/>
        <item m="1" x="7891"/>
        <item x="207"/>
        <item x="1208"/>
        <item m="1" x="4279"/>
        <item x="1448"/>
        <item x="1002"/>
        <item x="1820"/>
        <item m="1" x="4312"/>
        <item m="1" x="4231"/>
        <item x="254"/>
        <item m="1" x="6707"/>
        <item x="1510"/>
        <item x="2205"/>
        <item m="1" x="4860"/>
        <item m="1" x="7590"/>
        <item m="1" x="5875"/>
        <item m="1" x="6735"/>
        <item x="1410"/>
        <item m="1" x="3737"/>
        <item m="1" x="6782"/>
        <item x="2670"/>
        <item x="936"/>
        <item x="947"/>
        <item m="1" x="3671"/>
        <item x="1373"/>
        <item x="2159"/>
        <item x="71"/>
        <item m="1" x="4463"/>
        <item x="957"/>
        <item m="1" x="5353"/>
        <item x="141"/>
        <item m="1" x="5140"/>
        <item x="1374"/>
        <item m="1" x="6945"/>
        <item m="1" x="5637"/>
        <item x="1272"/>
        <item m="1" x="5726"/>
        <item m="1" x="6146"/>
        <item x="1375"/>
        <item m="1" x="5520"/>
        <item x="3329"/>
        <item x="1818"/>
        <item x="2063"/>
        <item m="1" x="6885"/>
        <item m="1" x="6871"/>
        <item x="458"/>
        <item x="983"/>
        <item m="1" x="6929"/>
        <item m="1" x="4005"/>
        <item m="1" x="4088"/>
        <item x="2034"/>
        <item m="1" x="5341"/>
        <item m="1" x="5936"/>
        <item m="1" x="7957"/>
        <item x="3231"/>
        <item x="1086"/>
        <item x="2852"/>
        <item x="2856"/>
        <item x="1170"/>
        <item m="1" x="5477"/>
        <item m="1" x="7879"/>
        <item m="1" x="7456"/>
        <item m="1" x="3649"/>
        <item m="1" x="6505"/>
        <item m="1" x="6834"/>
        <item m="1" x="7019"/>
        <item m="1" x="6360"/>
        <item m="1" x="7859"/>
        <item x="2368"/>
        <item m="1" x="6628"/>
        <item x="2041"/>
        <item x="1681"/>
        <item x="1445"/>
        <item x="2035"/>
        <item x="728"/>
        <item m="1" x="6714"/>
        <item m="1" x="5010"/>
        <item m="1" x="5175"/>
        <item x="431"/>
        <item m="1" x="5067"/>
        <item m="1" x="6386"/>
        <item m="1" x="3919"/>
        <item m="1" x="4029"/>
        <item x="3285"/>
        <item m="1" x="5476"/>
        <item x="1675"/>
        <item x="1019"/>
        <item m="1" x="6951"/>
        <item x="2087"/>
        <item m="1" x="4677"/>
        <item x="2571"/>
        <item m="1" x="7421"/>
        <item x="1952"/>
        <item x="3482"/>
        <item x="2838"/>
        <item x="3050"/>
        <item m="1" x="6582"/>
        <item m="1" x="7776"/>
        <item x="2769"/>
        <item x="255"/>
        <item x="827"/>
        <item x="2710"/>
        <item m="1" x="6182"/>
        <item m="1" x="5528"/>
        <item m="1" x="5706"/>
        <item x="2134"/>
        <item m="1" x="3644"/>
        <item x="20"/>
        <item m="1" x="4817"/>
        <item m="1" x="6472"/>
        <item m="1" x="5571"/>
        <item x="2081"/>
        <item m="1" x="3985"/>
        <item x="2017"/>
        <item m="1" x="3986"/>
        <item m="1" x="7952"/>
        <item m="1" x="5469"/>
        <item x="1094"/>
        <item x="1446"/>
        <item x="2941"/>
        <item x="2303"/>
        <item x="3235"/>
        <item x="432"/>
        <item m="1" x="6076"/>
        <item x="1924"/>
        <item x="1604"/>
        <item m="1" x="5270"/>
        <item m="1" x="5080"/>
        <item m="1" x="7845"/>
        <item x="3034"/>
        <item m="1" x="6273"/>
        <item x="1237"/>
        <item m="1" x="4267"/>
        <item m="1" x="4895"/>
        <item x="523"/>
        <item m="1" x="4383"/>
        <item x="846"/>
        <item x="738"/>
        <item m="1" x="4195"/>
        <item m="1" x="7002"/>
        <item x="1723"/>
        <item m="1" x="6677"/>
        <item x="433"/>
        <item x="2438"/>
        <item m="1" x="5093"/>
        <item m="1" x="6621"/>
        <item x="33"/>
        <item m="1" x="7653"/>
        <item m="1" x="5166"/>
        <item x="778"/>
        <item x="958"/>
        <item m="1" x="7934"/>
        <item x="2439"/>
        <item m="1" x="4523"/>
        <item m="1" x="4972"/>
        <item m="1" x="7083"/>
        <item x="3455"/>
        <item x="80"/>
        <item m="1" x="4990"/>
        <item x="2214"/>
        <item m="1" x="6808"/>
        <item m="1" x="4230"/>
        <item m="1" x="5136"/>
        <item x="2961"/>
        <item m="1" x="5355"/>
        <item m="1" x="3616"/>
        <item m="1" x="7366"/>
        <item m="1" x="6741"/>
        <item m="1" x="6139"/>
        <item x="2632"/>
        <item m="1" x="3711"/>
        <item m="1" x="4865"/>
        <item m="1" x="7174"/>
        <item x="829"/>
        <item x="3215"/>
        <item x="1482"/>
        <item m="1" x="5622"/>
        <item x="1551"/>
        <item x="256"/>
        <item m="1" x="5045"/>
        <item x="3391"/>
        <item m="1" x="4142"/>
        <item m="1" x="5592"/>
        <item x="444"/>
        <item m="1" x="4452"/>
        <item m="1" x="4888"/>
        <item x="3281"/>
        <item m="1" x="4818"/>
        <item x="3141"/>
        <item m="1" x="7812"/>
        <item m="1" x="4830"/>
        <item x="1958"/>
        <item m="1" x="6508"/>
        <item m="1" x="7484"/>
        <item x="1775"/>
        <item x="2106"/>
        <item m="1" x="7824"/>
        <item m="1" x="5796"/>
        <item m="1" x="7327"/>
        <item x="1174"/>
        <item m="1" x="5985"/>
        <item m="1" x="5079"/>
        <item x="89"/>
        <item x="3167"/>
        <item x="2486"/>
        <item m="1" x="3789"/>
        <item x="537"/>
        <item x="1424"/>
        <item m="1" x="6817"/>
        <item m="1" x="6200"/>
        <item m="1" x="5092"/>
        <item m="1" x="6236"/>
        <item x="1289"/>
        <item x="1280"/>
        <item m="1" x="6183"/>
        <item x="1092"/>
        <item m="1" x="6933"/>
        <item x="992"/>
        <item m="1" x="6245"/>
        <item m="1" x="3757"/>
        <item m="1" x="7769"/>
        <item x="2018"/>
        <item m="1" x="3941"/>
        <item m="1" x="3920"/>
        <item m="1" x="4024"/>
        <item m="1" x="3917"/>
        <item x="931"/>
        <item x="440"/>
        <item x="1507"/>
        <item m="1" x="4253"/>
        <item x="1146"/>
        <item x="1653"/>
        <item x="1376"/>
        <item x="3108"/>
        <item x="2292"/>
        <item x="2598"/>
        <item x="2945"/>
        <item x="1152"/>
        <item x="2048"/>
        <item x="3303"/>
        <item x="2718"/>
        <item m="1" x="7480"/>
        <item x="3298"/>
        <item m="1" x="6433"/>
        <item m="1" x="7406"/>
        <item x="2252"/>
        <item m="1" x="5309"/>
        <item m="1" x="4806"/>
        <item m="1" x="7844"/>
        <item m="1" x="4736"/>
        <item m="1" x="4745"/>
        <item m="1" x="4746"/>
        <item x="1650"/>
        <item x="3146"/>
        <item m="1" x="6736"/>
        <item x="695"/>
        <item m="1" x="7853"/>
        <item m="1" x="6964"/>
        <item x="99"/>
        <item x="2283"/>
        <item m="1" x="6783"/>
        <item m="1" x="6889"/>
        <item x="3277"/>
        <item x="2939"/>
        <item x="2019"/>
        <item x="330"/>
        <item x="723"/>
        <item x="478"/>
        <item x="2122"/>
        <item x="3330"/>
        <item m="1" x="5218"/>
        <item m="1" x="3889"/>
        <item m="1" x="4415"/>
        <item x="976"/>
        <item m="1" x="5932"/>
        <item m="1" x="7483"/>
        <item m="1" x="7958"/>
        <item x="1047"/>
        <item x="3132"/>
        <item x="82"/>
        <item m="1" x="4352"/>
        <item m="1" x="7608"/>
        <item x="3139"/>
        <item x="1736"/>
        <item m="1" x="4861"/>
        <item m="1" x="5576"/>
        <item m="1" x="6907"/>
        <item x="2488"/>
        <item x="2922"/>
        <item m="1" x="4478"/>
        <item m="1" x="4419"/>
        <item x="3227"/>
        <item x="1323"/>
        <item m="1" x="5389"/>
        <item x="229"/>
        <item m="1" x="3701"/>
        <item x="1091"/>
        <item m="1" x="5834"/>
        <item m="1" x="4550"/>
        <item x="2227"/>
        <item m="1" x="5342"/>
        <item m="1" x="4219"/>
        <item x="1110"/>
        <item x="2059"/>
        <item x="2440"/>
        <item m="1" x="5838"/>
        <item x="612"/>
        <item x="2180"/>
        <item x="476"/>
        <item m="1" x="7850"/>
        <item x="505"/>
        <item x="817"/>
        <item m="1" x="7942"/>
        <item x="3457"/>
        <item m="1" x="3562"/>
        <item x="289"/>
        <item m="1" x="4388"/>
        <item m="1" x="7435"/>
        <item x="2549"/>
        <item m="1" x="7586"/>
        <item m="1" x="7670"/>
        <item m="1" x="5040"/>
        <item m="1" x="5041"/>
        <item m="1" x="5030"/>
        <item x="712"/>
        <item m="1" x="3867"/>
        <item m="1" x="3975"/>
        <item x="2795"/>
        <item m="1" x="6801"/>
        <item m="1" x="4666"/>
        <item m="1" x="6378"/>
        <item x="1724"/>
        <item m="1" x="4204"/>
        <item x="1401"/>
        <item x="257"/>
        <item m="1" x="6257"/>
        <item m="1" x="4848"/>
        <item m="1" x="5636"/>
        <item x="3083"/>
        <item m="1" x="4511"/>
        <item x="1552"/>
        <item x="3331"/>
        <item m="1" x="4326"/>
        <item m="1" x="5352"/>
        <item m="1" x="6962"/>
        <item m="1" x="7461"/>
        <item x="3012"/>
        <item x="3145"/>
        <item x="1189"/>
        <item x="3089"/>
        <item x="2080"/>
        <item m="1" x="4498"/>
        <item m="1" x="3698"/>
        <item x="628"/>
        <item x="355"/>
        <item m="1" x="3807"/>
        <item x="3440"/>
        <item m="1" x="5425"/>
        <item m="1" x="5822"/>
        <item x="1739"/>
        <item m="1" x="7647"/>
        <item x="2872"/>
        <item x="227"/>
        <item m="1" x="5310"/>
        <item m="1" x="4356"/>
        <item x="1676"/>
        <item m="1" x="7565"/>
        <item m="1" x="6800"/>
        <item x="2969"/>
        <item m="1" x="6557"/>
        <item x="2363"/>
        <item x="919"/>
        <item m="1" x="5505"/>
        <item m="1" x="3765"/>
        <item x="3503"/>
        <item x="2138"/>
        <item x="3216"/>
        <item m="1" x="4261"/>
        <item x="3029"/>
        <item m="1" x="4108"/>
        <item m="1" x="4050"/>
        <item x="1600"/>
        <item m="1" x="6532"/>
        <item x="3289"/>
        <item m="1" x="5271"/>
        <item m="1" x="6930"/>
        <item x="1088"/>
        <item m="1" x="4223"/>
        <item x="1725"/>
        <item m="1" x="4361"/>
        <item m="1" x="7931"/>
        <item m="1" x="6225"/>
        <item m="1" x="4120"/>
        <item m="1" x="6140"/>
        <item m="1" x="4299"/>
        <item x="2794"/>
        <item m="1" x="4917"/>
        <item m="1" x="5635"/>
        <item m="1" x="6977"/>
        <item m="1" x="3623"/>
        <item x="1307"/>
        <item x="2756"/>
        <item m="1" x="5806"/>
        <item x="3450"/>
        <item m="1" x="7527"/>
        <item m="1" x="7634"/>
        <item x="7"/>
        <item x="2497"/>
        <item x="1726"/>
        <item x="818"/>
        <item x="1787"/>
        <item x="3189"/>
        <item m="1" x="6624"/>
        <item m="1" x="7820"/>
        <item m="1" x="5219"/>
        <item m="1" x="5036"/>
        <item x="567"/>
        <item x="1553"/>
        <item m="1" x="6009"/>
        <item x="2889"/>
        <item m="1" x="7194"/>
        <item x="1727"/>
        <item x="2613"/>
        <item m="1" x="6494"/>
        <item m="1" x="5311"/>
        <item m="1" x="4170"/>
        <item x="57"/>
        <item x="749"/>
        <item m="1" x="5011"/>
        <item x="729"/>
        <item x="3136"/>
        <item m="1" x="6886"/>
        <item x="504"/>
        <item m="1" x="6708"/>
        <item x="3279"/>
        <item x="2020"/>
        <item m="1" x="7548"/>
        <item m="1" x="6825"/>
        <item m="1" x="3741"/>
        <item x="2043"/>
        <item m="1" x="4331"/>
        <item m="1" x="5840"/>
        <item m="1" x="5220"/>
        <item m="1" x="5312"/>
        <item m="1" x="5221"/>
        <item m="1" x="5151"/>
        <item m="1" x="3923"/>
        <item m="1" x="7404"/>
        <item m="1" x="4608"/>
        <item m="1" x="5864"/>
        <item m="1" x="6685"/>
        <item m="1" x="3866"/>
        <item x="3058"/>
        <item x="3056"/>
        <item m="1" x="5089"/>
        <item m="1" x="3610"/>
        <item x="1300"/>
        <item x="1896"/>
        <item x="1808"/>
        <item m="1" x="5313"/>
        <item x="3299"/>
        <item m="1" x="5076"/>
        <item m="1" x="7213"/>
        <item m="1" x="3546"/>
        <item m="1" x="6230"/>
        <item m="1" x="3803"/>
        <item m="1" x="3563"/>
        <item m="1" x="6444"/>
        <item m="1" x="6231"/>
        <item m="1" x="3797"/>
        <item x="849"/>
        <item m="1" x="4667"/>
        <item m="1" x="7454"/>
        <item x="1508"/>
        <item x="2551"/>
        <item m="1" x="3775"/>
        <item x="2067"/>
        <item x="607"/>
        <item x="2123"/>
        <item m="1" x="5222"/>
        <item x="3290"/>
        <item x="2836"/>
        <item x="3028"/>
        <item x="434"/>
        <item x="2923"/>
        <item x="2924"/>
        <item m="1" x="5685"/>
        <item m="1" x="7870"/>
        <item x="3351"/>
        <item m="1" x="3666"/>
        <item x="2757"/>
        <item m="1" x="4305"/>
        <item m="1" x="7937"/>
        <item m="1" x="5503"/>
        <item x="3386"/>
        <item x="1281"/>
        <item x="2572"/>
        <item m="1" x="4433"/>
        <item x="2849"/>
        <item x="2356"/>
        <item m="1" x="5999"/>
        <item m="1" x="7400"/>
        <item x="568"/>
        <item m="1" x="6096"/>
        <item m="1" x="6228"/>
        <item m="1" x="4522"/>
        <item m="1" x="7163"/>
        <item x="959"/>
        <item m="1" x="3526"/>
        <item m="1" x="7679"/>
        <item m="1" x="7624"/>
        <item x="1599"/>
        <item x="674"/>
        <item m="1" x="4405"/>
        <item m="1" x="5223"/>
        <item m="1" x="5536"/>
        <item x="1800"/>
        <item m="1" x="6467"/>
        <item x="1693"/>
        <item m="1" x="3908"/>
        <item m="1" x="3994"/>
        <item x="2611"/>
        <item m="1" x="7353"/>
        <item m="1" x="3764"/>
        <item x="2525"/>
        <item x="2181"/>
        <item x="993"/>
        <item m="1" x="3730"/>
        <item x="693"/>
        <item x="1769"/>
        <item x="1238"/>
        <item x="341"/>
        <item m="1" x="7523"/>
        <item m="1" x="4729"/>
        <item m="1" x="7490"/>
        <item x="525"/>
        <item x="1312"/>
        <item x="2353"/>
        <item x="2350"/>
        <item x="3157"/>
        <item x="3445"/>
        <item x="740"/>
        <item x="1198"/>
        <item m="1" x="6724"/>
        <item m="1" x="4300"/>
        <item m="1" x="5314"/>
        <item m="1" x="7158"/>
        <item m="1" x="3715"/>
        <item m="1" x="5418"/>
        <item m="1" x="7717"/>
        <item x="342"/>
        <item m="1" x="7622"/>
        <item x="3332"/>
        <item x="2573"/>
        <item x="1694"/>
        <item x="3109"/>
        <item m="1" x="6397"/>
        <item x="114"/>
        <item m="1" x="3539"/>
        <item m="1" x="7458"/>
        <item m="1" x="7649"/>
        <item m="1" x="4288"/>
        <item x="115"/>
        <item m="1" x="6029"/>
        <item x="2925"/>
        <item m="1" x="4819"/>
        <item x="3346"/>
        <item x="2531"/>
        <item x="72"/>
        <item x="2873"/>
        <item m="1" x="6901"/>
        <item x="1020"/>
        <item m="1" x="4889"/>
        <item x="290"/>
        <item x="2957"/>
        <item m="1" x="4319"/>
        <item x="569"/>
        <item x="2116"/>
        <item m="1" x="5601"/>
        <item m="1" x="3710"/>
        <item x="475"/>
        <item x="49"/>
        <item m="1" x="5447"/>
        <item x="1683"/>
        <item x="2332"/>
        <item m="1" x="5849"/>
        <item m="1" x="6625"/>
        <item x="2441"/>
        <item m="1" x="4686"/>
        <item m="1" x="5955"/>
        <item m="1" x="4353"/>
        <item x="1753"/>
        <item x="1167"/>
        <item x="3333"/>
        <item x="713"/>
        <item m="1" x="5708"/>
        <item m="1" x="4849"/>
        <item m="1" x="6436"/>
        <item x="1021"/>
        <item x="1250"/>
        <item x="2091"/>
        <item m="1" x="3813"/>
        <item x="1554"/>
        <item x="1032"/>
        <item m="1" x="7834"/>
        <item x="878"/>
        <item m="1" x="7563"/>
        <item m="1" x="3584"/>
        <item m="1" x="5714"/>
        <item x="2287"/>
        <item m="1" x="7428"/>
        <item x="1555"/>
        <item x="3448"/>
        <item m="1" x="7375"/>
        <item x="1107"/>
        <item x="1728"/>
        <item m="1" x="7767"/>
        <item m="1" x="6124"/>
        <item x="2318"/>
        <item m="1" x="6365"/>
        <item m="1" x="7690"/>
        <item m="1" x="3537"/>
        <item m="1" x="5396"/>
        <item x="1156"/>
        <item m="1" x="7953"/>
        <item x="1611"/>
        <item m="1" x="7441"/>
        <item x="3217"/>
        <item x="3236"/>
        <item m="1" x="5623"/>
        <item x="2926"/>
        <item x="2878"/>
        <item x="2612"/>
        <item m="1" x="7343"/>
        <item m="1" x="3996"/>
        <item m="1" x="5475"/>
        <item x="3181"/>
        <item m="1" x="7787"/>
        <item x="502"/>
        <item x="657"/>
        <item x="3110"/>
        <item x="2079"/>
        <item m="1" x="4691"/>
        <item m="1" x="5719"/>
        <item x="2771"/>
        <item m="1" x="6407"/>
        <item x="2078"/>
        <item x="3221"/>
        <item m="1" x="5182"/>
        <item x="1485"/>
        <item m="1" x="6990"/>
        <item x="3334"/>
        <item x="1729"/>
        <item x="1730"/>
        <item m="1" x="5634"/>
        <item m="1" x="7703"/>
        <item m="1" x="6737"/>
        <item m="1" x="5977"/>
        <item m="1" x="5332"/>
        <item m="1" x="5995"/>
        <item m="1" x="7176"/>
        <item m="1" x="7354"/>
        <item m="1" x="6603"/>
        <item m="1" x="7730"/>
        <item x="3305"/>
        <item m="1" x="5343"/>
        <item x="757"/>
        <item m="1" x="6488"/>
        <item m="1" x="4116"/>
        <item x="187"/>
        <item m="1" x="3654"/>
        <item m="1" x="7759"/>
        <item m="1" x="6381"/>
        <item m="1" x="3932"/>
        <item m="1" x="3639"/>
        <item x="2442"/>
        <item x="1057"/>
        <item x="3031"/>
        <item x="138"/>
        <item x="495"/>
        <item x="3049"/>
        <item m="1" x="5923"/>
        <item m="1" x="5474"/>
        <item x="2311"/>
        <item x="2107"/>
        <item x="3122"/>
        <item m="1" x="4125"/>
        <item m="1" x="6235"/>
        <item x="775"/>
        <item x="645"/>
        <item m="1" x="7457"/>
        <item m="1" x="7460"/>
        <item m="1" x="6018"/>
        <item m="1" x="5963"/>
        <item m="1" x="4709"/>
        <item m="1" x="5581"/>
        <item m="1" x="4820"/>
        <item x="3425"/>
        <item m="1" x="7802"/>
        <item x="1556"/>
        <item m="1" x="5039"/>
        <item m="1" x="6514"/>
        <item m="1" x="4995"/>
        <item m="1" x="3725"/>
        <item m="1" x="4939"/>
        <item m="1" x="3850"/>
        <item m="1" x="7573"/>
        <item m="1" x="5368"/>
        <item m="1" x="7196"/>
        <item x="1654"/>
        <item x="3153"/>
        <item x="2284"/>
        <item m="1" x="7089"/>
        <item x="3284"/>
        <item x="278"/>
        <item m="1" x="7143"/>
        <item x="2685"/>
        <item m="1" x="6256"/>
        <item m="1" x="7708"/>
        <item x="2285"/>
        <item m="1" x="4330"/>
        <item m="1" x="5196"/>
        <item x="2789"/>
        <item m="1" x="6798"/>
        <item x="1816"/>
        <item x="2673"/>
        <item x="3155"/>
        <item m="1" x="3905"/>
        <item x="3218"/>
        <item m="1" x="7886"/>
        <item x="1886"/>
        <item x="3446"/>
        <item x="2029"/>
        <item m="1" x="3760"/>
        <item x="267"/>
        <item m="1" x="7288"/>
        <item m="1" x="7405"/>
        <item x="3121"/>
        <item m="1" x="4561"/>
        <item m="1" x="4025"/>
        <item m="1" x="6931"/>
        <item m="1" x="5440"/>
        <item m="1" x="7157"/>
        <item m="1" x="4276"/>
        <item m="1" x="3776"/>
        <item m="1" x="4948"/>
        <item x="3001"/>
        <item m="1" x="6244"/>
        <item m="1" x="6280"/>
        <item m="1" x="4270"/>
        <item m="1" x="5499"/>
        <item m="1" x="6412"/>
        <item m="1" x="3915"/>
        <item m="1" x="7588"/>
        <item x="748"/>
        <item x="751"/>
        <item m="1" x="5760"/>
        <item x="2369"/>
        <item x="3120"/>
        <item x="95"/>
        <item m="1" x="7782"/>
        <item m="1" x="7777"/>
        <item x="1731"/>
        <item x="361"/>
        <item x="3479"/>
        <item m="1" x="4341"/>
        <item x="2092"/>
        <item x="2021"/>
        <item x="970"/>
        <item m="1" x="6950"/>
        <item m="1" x="6830"/>
        <item m="1" x="6460"/>
        <item x="1212"/>
        <item x="518"/>
        <item m="1" x="6430"/>
        <item m="1" x="7079"/>
        <item x="516"/>
        <item x="2581"/>
        <item m="1" x="5792"/>
        <item m="1" x="4092"/>
        <item m="1" x="5580"/>
        <item x="2348"/>
        <item m="1" x="7800"/>
        <item m="1" x="5272"/>
        <item m="1" x="6081"/>
        <item x="1209"/>
        <item x="2522"/>
        <item m="1" x="5224"/>
        <item m="1" x="7702"/>
        <item m="1" x="4573"/>
        <item x="2022"/>
        <item x="1872"/>
        <item m="1" x="6184"/>
        <item m="1" x="7023"/>
        <item m="1" x="3600"/>
        <item x="1474"/>
        <item m="1" x="6959"/>
        <item m="1" x="4723"/>
        <item x="284"/>
        <item m="1" x="3790"/>
        <item x="2100"/>
        <item m="1" x="5459"/>
        <item x="3349"/>
        <item x="3073"/>
        <item x="1147"/>
        <item x="948"/>
        <item x="3335"/>
        <item m="1" x="7032"/>
        <item m="1" x="6717"/>
        <item m="1" x="5908"/>
        <item x="3476"/>
        <item x="1557"/>
        <item m="1" x="5315"/>
        <item m="1" x="5333"/>
        <item m="1" x="7715"/>
        <item m="1" x="5956"/>
        <item m="1" x="3976"/>
        <item x="2837"/>
        <item x="157"/>
        <item x="3233"/>
        <item m="1" x="5377"/>
        <item x="1190"/>
        <item m="1" x="7140"/>
        <item m="1" x="5556"/>
        <item m="1" x="3655"/>
        <item m="1" x="5063"/>
        <item x="1108"/>
        <item m="1" x="4241"/>
        <item x="532"/>
        <item x="1035"/>
        <item x="2478"/>
        <item m="1" x="3834"/>
        <item m="1" x="6117"/>
        <item m="1" x="6891"/>
        <item m="1" x="5316"/>
        <item x="2582"/>
        <item x="2523"/>
        <item m="1" x="3691"/>
        <item x="230"/>
        <item m="1" x="7619"/>
        <item x="2758"/>
        <item m="1" x="4788"/>
        <item m="1" x="7938"/>
        <item m="1" x="3641"/>
        <item m="1" x="7410"/>
        <item x="1041"/>
        <item m="1" x="4281"/>
        <item x="2141"/>
        <item x="3111"/>
        <item x="2759"/>
        <item x="1619"/>
        <item m="1" x="4175"/>
        <item m="1" x="4873"/>
        <item x="2322"/>
        <item m="1" x="7568"/>
        <item x="1332"/>
        <item x="1333"/>
        <item m="1" x="4069"/>
        <item m="1" x="4093"/>
        <item m="1" x="4768"/>
        <item m="1" x="6902"/>
        <item m="1" x="5009"/>
        <item m="1" x="3774"/>
        <item x="2443"/>
        <item m="1" x="7616"/>
        <item m="1" x="4149"/>
        <item x="3504"/>
        <item x="3507"/>
        <item m="1" x="7654"/>
        <item m="1" x="4117"/>
        <item m="1" x="7897"/>
        <item x="512"/>
        <item x="1377"/>
        <item x="2444"/>
        <item x="967"/>
        <item x="2672"/>
        <item x="1567"/>
        <item m="1" x="4401"/>
        <item m="1" x="4552"/>
        <item x="1191"/>
        <item m="1" x="6642"/>
        <item x="3112"/>
        <item x="1558"/>
        <item x="3510"/>
        <item m="1" x="5750"/>
        <item m="1" x="4179"/>
        <item m="1" x="4342"/>
        <item x="2101"/>
        <item x="2319"/>
        <item m="1" x="4991"/>
        <item m="1" x="3611"/>
        <item x="2896"/>
        <item x="3219"/>
        <item m="1" x="3998"/>
        <item x="1295"/>
        <item x="2574"/>
        <item m="1" x="6565"/>
        <item m="1" x="4114"/>
        <item m="1" x="3740"/>
        <item m="1" x="5317"/>
        <item m="1" x="7699"/>
        <item x="855"/>
        <item x="2760"/>
        <item m="1" x="5682"/>
        <item m="1" x="7908"/>
        <item x="618"/>
        <item m="1" x="4588"/>
        <item m="1" x="4949"/>
        <item m="1" x="3653"/>
        <item m="1" x="7521"/>
        <item m="1" x="5912"/>
        <item m="1" x="4568"/>
        <item x="1814"/>
        <item m="1" x="3773"/>
        <item x="3240"/>
        <item x="491"/>
        <item x="615"/>
        <item m="1" x="7909"/>
        <item m="1" x="4400"/>
        <item m="1" x="5016"/>
        <item m="1" x="5817"/>
        <item m="1" x="5746"/>
        <item x="107"/>
        <item x="608"/>
        <item x="2154"/>
        <item x="2023"/>
        <item m="1" x="3556"/>
        <item m="1" x="4866"/>
        <item x="866"/>
        <item m="1" x="5318"/>
        <item m="1" x="5633"/>
        <item x="819"/>
        <item x="1168"/>
        <item m="1" x="5627"/>
        <item x="1869"/>
        <item m="1" x="3759"/>
        <item m="1" x="4325"/>
        <item m="1" x="7627"/>
        <item x="272"/>
        <item x="2024"/>
        <item x="937"/>
        <item x="2550"/>
        <item x="1378"/>
        <item m="1" x="3530"/>
        <item x="135"/>
        <item x="2445"/>
        <item x="2974"/>
        <item m="1" x="6528"/>
        <item x="3020"/>
        <item m="1" x="4609"/>
        <item x="1385"/>
        <item m="1" x="4306"/>
        <item m="1" x="6192"/>
        <item m="1" x="4115"/>
        <item x="864"/>
        <item m="1" x="6903"/>
        <item m="1" x="4146"/>
        <item x="745"/>
        <item x="2288"/>
        <item x="2575"/>
        <item x="459"/>
        <item m="1" x="3940"/>
        <item m="1" x="5827"/>
        <item x="1379"/>
        <item m="1" x="6745"/>
        <item m="1" x="5408"/>
        <item m="1" x="7973"/>
        <item x="3113"/>
        <item m="1" x="4940"/>
        <item x="2784"/>
        <item x="1023"/>
        <item m="1" x="7475"/>
        <item m="1" x="7510"/>
        <item m="1" x="3914"/>
        <item x="3374"/>
        <item x="881"/>
        <item m="1" x="3733"/>
        <item x="144"/>
        <item m="1" x="4287"/>
        <item x="1865"/>
        <item m="1" x="5762"/>
        <item x="441"/>
        <item m="1" x="7531"/>
        <item m="1" x="5373"/>
        <item x="2383"/>
        <item x="1844"/>
        <item m="1" x="7459"/>
        <item m="1" x="3642"/>
        <item m="1" x="4503"/>
        <item x="1052"/>
        <item x="43"/>
        <item m="1" x="3622"/>
        <item x="2711"/>
        <item x="2155"/>
        <item x="2182"/>
        <item m="1" x="7026"/>
        <item x="1415"/>
        <item x="1192"/>
        <item x="2463"/>
        <item x="3018"/>
        <item m="1" x="4769"/>
        <item m="1" x="5480"/>
        <item m="1" x="7312"/>
        <item m="1" x="7265"/>
        <item x="662"/>
        <item m="1" x="6364"/>
        <item m="1" x="7342"/>
        <item x="177"/>
        <item m="1" x="7326"/>
        <item m="1" x="7286"/>
        <item m="1" x="5047"/>
        <item m="1" x="5123"/>
        <item m="1" x="4607"/>
        <item m="1" x="5019"/>
        <item m="1" x="4821"/>
        <item m="1" x="6028"/>
        <item m="1" x="6390"/>
        <item x="2892"/>
        <item x="2793"/>
        <item x="192"/>
        <item x="2788"/>
        <item m="1" x="6813"/>
        <item m="1" x="5029"/>
        <item x="2452"/>
        <item m="1" x="6542"/>
        <item x="1380"/>
        <item x="1559"/>
        <item x="2819"/>
        <item m="1" x="4123"/>
        <item x="2160"/>
        <item x="359"/>
        <item x="3196"/>
        <item x="1062"/>
        <item m="1" x="4298"/>
        <item x="1781"/>
        <item x="3471"/>
        <item x="500"/>
        <item m="1" x="7927"/>
        <item m="1" x="4095"/>
        <item m="1" x="3557"/>
        <item m="1" x="5334"/>
        <item x="447"/>
        <item m="1" x="5273"/>
        <item m="1" x="5195"/>
        <item m="1" x="5755"/>
        <item m="1" x="4555"/>
        <item m="1" x="5372"/>
        <item m="1" x="4789"/>
        <item x="1959"/>
        <item m="1" x="4369"/>
        <item m="1" x="7060"/>
        <item x="153"/>
        <item m="1" x="6633"/>
        <item m="1" x="5053"/>
        <item x="3260"/>
        <item m="1" x="7696"/>
        <item x="1193"/>
        <item m="1" x="7684"/>
        <item m="1" x="7149"/>
        <item m="1" x="5518"/>
        <item m="1" x="5097"/>
        <item m="1" x="6329"/>
        <item m="1" x="4057"/>
        <item m="1" x="6274"/>
        <item x="862"/>
        <item m="1" x="6954"/>
        <item x="2183"/>
        <item m="1" x="4466"/>
        <item x="3114"/>
        <item m="1" x="6073"/>
        <item m="1" x="6974"/>
        <item m="1" x="7088"/>
        <item x="1560"/>
        <item x="1471"/>
        <item m="1" x="6875"/>
        <item x="638"/>
        <item x="1261"/>
        <item m="1" x="6361"/>
        <item x="343"/>
        <item m="1" x="6014"/>
        <item m="1" x="3909"/>
        <item x="619"/>
        <item x="2147"/>
        <item m="1" x="5632"/>
        <item x="2965"/>
        <item m="1" x="4576"/>
        <item m="1" x="5439"/>
        <item m="1" x="4855"/>
        <item m="1" x="6474"/>
        <item m="1" x="7529"/>
        <item x="663"/>
        <item m="1" x="5510"/>
        <item x="2520"/>
        <item m="1" x="5403"/>
        <item x="1774"/>
        <item m="1" x="6279"/>
        <item m="1" x="3768"/>
        <item x="3477"/>
        <item x="2344"/>
        <item x="1441"/>
        <item x="2479"/>
        <item x="3152"/>
        <item m="1" x="6730"/>
        <item x="1901"/>
        <item m="1" x="4710"/>
        <item m="1" x="6749"/>
        <item x="2384"/>
        <item x="3115"/>
        <item x="3116"/>
        <item x="684"/>
        <item x="650"/>
        <item x="2761"/>
        <item x="609"/>
        <item m="1" x="6638"/>
        <item m="1" x="5335"/>
        <item x="1857"/>
        <item x="711"/>
        <item m="1" x="3900"/>
        <item m="1" x="5432"/>
        <item x="1931"/>
        <item x="768"/>
        <item m="1" x="5098"/>
        <item x="2803"/>
        <item m="1" x="4504"/>
        <item m="1" x="6681"/>
        <item m="1" x="3743"/>
        <item m="1" x="4224"/>
        <item m="1" x="4268"/>
        <item x="2777"/>
        <item x="3390"/>
        <item x="882"/>
        <item m="1" x="4227"/>
        <item m="1" x="4308"/>
        <item m="1" x="3841"/>
        <item x="258"/>
        <item m="1" x="6064"/>
        <item x="1411"/>
        <item x="1634"/>
        <item x="1381"/>
        <item x="2949"/>
        <item m="1" x="6080"/>
        <item m="1" x="6403"/>
        <item x="73"/>
        <item m="1" x="4922"/>
        <item m="1" x="3625"/>
        <item x="2361"/>
        <item m="1" x="7688"/>
        <item m="1" x="7004"/>
        <item x="1830"/>
        <item m="1" x="7202"/>
        <item m="1" x="6103"/>
        <item m="1" x="7243"/>
        <item m="1" x="6848"/>
        <item m="1" x="7349"/>
        <item m="1" x="7318"/>
        <item x="2635"/>
        <item x="1834"/>
        <item x="2639"/>
        <item m="1" x="5461"/>
        <item x="981"/>
        <item m="1" x="7371"/>
        <item m="1" x="5118"/>
        <item x="3364"/>
        <item m="1" x="3682"/>
        <item m="1" x="3703"/>
        <item x="1790"/>
        <item m="1" x="4980"/>
        <item m="1" x="7712"/>
        <item x="1239"/>
        <item m="1" x="4132"/>
        <item x="1425"/>
        <item m="1" x="4950"/>
        <item m="1" x="6227"/>
        <item m="1" x="5772"/>
        <item x="2309"/>
        <item m="1" x="5968"/>
        <item x="759"/>
        <item m="1" x="5733"/>
        <item m="1" x="5967"/>
        <item m="1" x="4705"/>
        <item x="1274"/>
        <item m="1" x="7539"/>
        <item m="1" x="5681"/>
        <item m="1" x="3618"/>
        <item x="616"/>
        <item m="1" x="5073"/>
        <item m="1" x="6756"/>
        <item x="524"/>
        <item x="3423"/>
        <item x="3468"/>
        <item x="884"/>
        <item m="1" x="4490"/>
        <item m="1" x="5631"/>
        <item x="2651"/>
        <item m="1" x="4322"/>
        <item x="2617"/>
        <item m="1" x="4121"/>
        <item m="1" x="7123"/>
        <item m="1" x="7082"/>
        <item m="1" x="7042"/>
        <item x="1082"/>
        <item x="696"/>
        <item x="1061"/>
        <item m="1" x="3936"/>
        <item m="1" x="7264"/>
        <item m="1" x="6607"/>
        <item m="1" x="7057"/>
        <item x="820"/>
        <item x="344"/>
        <item m="1" x="3736"/>
        <item m="1" x="5961"/>
        <item x="2642"/>
        <item m="1" x="6036"/>
        <item m="1" x="6937"/>
        <item m="1" x="5522"/>
        <item m="1" x="6363"/>
        <item m="1" x="7336"/>
        <item x="165"/>
        <item x="136"/>
        <item x="291"/>
        <item m="1" x="5084"/>
        <item x="2027"/>
        <item m="1" x="4965"/>
        <item x="3033"/>
        <item m="1" x="5771"/>
        <item m="1" x="6904"/>
        <item m="1" x="4364"/>
        <item x="1960"/>
        <item m="1" x="7646"/>
        <item m="1" x="7638"/>
        <item x="1953"/>
        <item x="719"/>
        <item x="836"/>
        <item x="2153"/>
        <item x="3436"/>
        <item m="1" x="6771"/>
        <item m="1" x="4297"/>
        <item x="1765"/>
        <item x="1566"/>
        <item m="1" x="6770"/>
        <item m="1" x="5521"/>
        <item m="1" x="7905"/>
        <item x="1732"/>
        <item m="1" x="5126"/>
        <item m="1" x="7281"/>
        <item m="1" x="6003"/>
        <item m="1" x="7367"/>
        <item m="1" x="6020"/>
        <item x="2614"/>
        <item m="1" x="7871"/>
        <item m="1" x="7427"/>
        <item m="1" x="6639"/>
        <item m="1" x="5336"/>
        <item x="131"/>
        <item x="132"/>
        <item x="34"/>
        <item m="1" x="4970"/>
        <item m="1" x="7214"/>
        <item x="3428"/>
        <item m="1" x="7991"/>
        <item m="1" x="4831"/>
        <item x="2025"/>
        <item x="2927"/>
        <item m="1" x="7500"/>
        <item m="1" x="4916"/>
        <item m="1" x="6594"/>
        <item x="2304"/>
        <item x="2829"/>
        <item m="1" x="5934"/>
        <item x="2295"/>
        <item m="1" x="7550"/>
        <item m="1" x="7222"/>
        <item x="962"/>
        <item x="2928"/>
        <item m="1" x="4645"/>
        <item m="1" x="4370"/>
        <item m="1" x="4296"/>
        <item x="2765"/>
        <item m="1" x="6281"/>
        <item m="1" x="7943"/>
        <item x="3239"/>
        <item m="1" x="4627"/>
        <item x="1974"/>
        <item x="2623"/>
        <item x="1782"/>
        <item m="1" x="5319"/>
        <item x="188"/>
        <item m="1" x="4862"/>
        <item m="1" x="7783"/>
        <item x="17"/>
        <item x="2988"/>
        <item x="2900"/>
        <item x="2057"/>
        <item m="1" x="7125"/>
        <item m="1" x="4993"/>
        <item m="1" x="5821"/>
        <item m="1" x="3585"/>
        <item x="1817"/>
        <item x="3179"/>
        <item m="1" x="7085"/>
        <item x="3508"/>
        <item x="1509"/>
        <item x="1733"/>
        <item m="1" x="5225"/>
        <item m="1" x="5337"/>
        <item x="2801"/>
        <item m="1" x="4232"/>
        <item x="1391"/>
        <item m="1" x="4534"/>
        <item m="1" x="7799"/>
        <item x="158"/>
        <item x="1677"/>
        <item x="2667"/>
        <item m="1" x="5127"/>
        <item x="1751"/>
        <item m="1" x="5473"/>
        <item m="1" x="5603"/>
        <item m="1" x="4382"/>
        <item x="3291"/>
        <item m="1" x="5226"/>
        <item m="1" x="6769"/>
        <item x="450"/>
        <item m="1" x="3818"/>
        <item m="1" x="3614"/>
        <item m="1" x="4668"/>
        <item m="1" x="6157"/>
        <item m="1" x="6517"/>
        <item x="3268"/>
        <item m="1" x="4951"/>
        <item x="3473"/>
        <item x="824"/>
        <item m="1" x="4822"/>
        <item x="665"/>
        <item x="697"/>
        <item x="867"/>
        <item m="1" x="5630"/>
        <item m="1" x="4163"/>
        <item x="3170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 defaultSubtotal="0">
      <items count="15">
        <item m="1" x="9"/>
        <item m="1" x="6"/>
        <item m="1" x="14"/>
        <item m="1" x="13"/>
        <item m="1" x="4"/>
        <item m="1" x="5"/>
        <item m="1" x="12"/>
        <item m="1" x="11"/>
        <item m="1" x="8"/>
        <item m="1" x="7"/>
        <item m="1" x="10"/>
        <item x="1"/>
        <item x="0"/>
        <item x="2"/>
        <item x="3"/>
      </items>
    </pivotField>
    <pivotField axis="axisRow" compact="0" outline="0" multipleItemSelectionAllowed="1" showAll="0" defaultSubtotal="0">
      <items count="522">
        <item x="6"/>
        <item x="9"/>
        <item m="1" x="371"/>
        <item m="1" x="489"/>
        <item m="1" x="515"/>
        <item m="1" x="517"/>
        <item m="1" x="516"/>
        <item m="1" x="471"/>
        <item m="1" x="448"/>
        <item m="1" x="470"/>
        <item m="1" x="505"/>
        <item m="1" x="473"/>
        <item m="1" x="509"/>
        <item m="1" x="519"/>
        <item m="1" x="391"/>
        <item m="1" x="496"/>
        <item m="1" x="520"/>
        <item m="1" x="510"/>
        <item m="1" x="511"/>
        <item m="1" x="452"/>
        <item m="1" x="512"/>
        <item m="1" x="421"/>
        <item m="1" x="518"/>
        <item m="1" x="467"/>
        <item m="1" x="513"/>
        <item m="1" x="474"/>
        <item m="1" x="521"/>
        <item m="1" x="514"/>
        <item m="1" x="87"/>
        <item m="1" x="125"/>
        <item m="1" x="469"/>
        <item x="0"/>
        <item m="1" x="494"/>
        <item m="1" x="495"/>
        <item m="1" x="497"/>
        <item m="1" x="498"/>
        <item m="1" x="132"/>
        <item m="1" x="387"/>
        <item m="1" x="499"/>
        <item m="1" x="500"/>
        <item m="1" x="455"/>
        <item m="1" x="130"/>
        <item m="1" x="501"/>
        <item m="1" x="131"/>
        <item m="1" x="127"/>
        <item m="1" x="502"/>
        <item m="1" x="121"/>
        <item m="1" x="373"/>
        <item m="1" x="439"/>
        <item m="1" x="503"/>
        <item m="1" x="454"/>
        <item m="1" x="443"/>
        <item m="1" x="504"/>
        <item m="1" x="506"/>
        <item m="1" x="86"/>
        <item m="1" x="122"/>
        <item m="1" x="445"/>
        <item m="1" x="475"/>
        <item m="1" x="507"/>
        <item m="1" x="476"/>
        <item m="1" x="109"/>
        <item m="1" x="133"/>
        <item m="1" x="508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354"/>
        <item m="1" x="468"/>
        <item m="1" x="372"/>
        <item x="14"/>
        <item m="1" x="449"/>
        <item m="1" x="388"/>
        <item m="1" x="88"/>
        <item m="1" x="472"/>
        <item m="1" x="106"/>
        <item m="1" x="488"/>
        <item m="1" x="487"/>
        <item m="1" x="409"/>
        <item m="1" x="482"/>
        <item m="1" x="123"/>
        <item m="1" x="85"/>
        <item m="1" x="486"/>
        <item m="1" x="376"/>
        <item m="1" x="382"/>
        <item m="1" x="456"/>
        <item m="1" x="397"/>
        <item m="1" x="386"/>
        <item m="1" x="491"/>
        <item m="1" x="492"/>
        <item m="1" x="493"/>
        <item m="1" x="89"/>
        <item m="1" x="477"/>
        <item m="1" x="104"/>
        <item m="1" x="483"/>
        <item m="1" x="484"/>
        <item m="1" x="485"/>
        <item m="1" x="375"/>
        <item m="1" x="490"/>
        <item m="1" x="378"/>
        <item m="1" x="110"/>
        <item m="1" x="398"/>
        <item m="1" x="385"/>
        <item m="1" x="481"/>
        <item m="1" x="377"/>
        <item m="1" x="337"/>
        <item m="1" x="327"/>
        <item m="1" x="331"/>
        <item m="1" x="338"/>
        <item m="1" x="339"/>
        <item m="1" x="328"/>
        <item m="1" x="329"/>
        <item m="1" x="330"/>
        <item m="1" x="332"/>
        <item m="1" x="333"/>
        <item m="1" x="334"/>
        <item m="1" x="335"/>
        <item m="1" x="336"/>
        <item m="1" x="343"/>
        <item m="1" x="124"/>
        <item m="1" x="344"/>
        <item m="1" x="345"/>
        <item m="1" x="346"/>
        <item m="1" x="347"/>
        <item m="1" x="340"/>
        <item m="1" x="348"/>
        <item m="1" x="342"/>
        <item m="1" x="341"/>
        <item m="1" x="326"/>
        <item m="1" x="380"/>
        <item m="1" x="381"/>
        <item m="1" x="136"/>
        <item m="1" x="383"/>
        <item m="1" x="384"/>
        <item m="1" x="349"/>
        <item m="1" x="350"/>
        <item m="1" x="351"/>
        <item m="1" x="352"/>
        <item m="1" x="295"/>
        <item m="1" x="353"/>
        <item m="1" x="355"/>
        <item m="1" x="356"/>
        <item m="1" x="357"/>
        <item m="1" x="358"/>
        <item m="1" x="359"/>
        <item m="1" x="360"/>
        <item m="1" x="361"/>
        <item m="1" x="364"/>
        <item m="1" x="362"/>
        <item m="1" x="416"/>
        <item m="1" x="478"/>
        <item m="1" x="363"/>
        <item m="1" x="365"/>
        <item m="1" x="366"/>
        <item m="1" x="408"/>
        <item m="1" x="367"/>
        <item m="1" x="368"/>
        <item m="1" x="369"/>
        <item m="1" x="370"/>
        <item m="1" x="479"/>
        <item m="1" x="374"/>
        <item m="1" x="480"/>
        <item m="1" x="379"/>
        <item m="1" x="451"/>
        <item m="1" x="453"/>
        <item m="1" x="389"/>
        <item m="1" x="390"/>
        <item m="1" x="392"/>
        <item m="1" x="393"/>
        <item m="1" x="394"/>
        <item m="1" x="395"/>
        <item m="1" x="396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10"/>
        <item m="1" x="411"/>
        <item m="1" x="412"/>
        <item m="1" x="413"/>
        <item m="1" x="414"/>
        <item m="1" x="415"/>
        <item m="1" x="417"/>
        <item m="1" x="418"/>
        <item m="1" x="419"/>
        <item m="1" x="420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40"/>
        <item m="1" x="441"/>
        <item m="1" x="442"/>
        <item m="1" x="444"/>
        <item m="1" x="446"/>
        <item m="1" x="447"/>
        <item m="1" x="450"/>
        <item m="1" x="298"/>
        <item m="1" x="297"/>
        <item m="1" x="311"/>
        <item m="1" x="299"/>
        <item m="1" x="304"/>
        <item m="1" x="312"/>
        <item m="1" x="313"/>
        <item m="1" x="84"/>
        <item m="1" x="306"/>
        <item m="1" x="319"/>
        <item m="1" x="318"/>
        <item m="1" x="315"/>
        <item m="1" x="322"/>
        <item m="1" x="317"/>
        <item m="1" x="309"/>
        <item m="1" x="323"/>
        <item m="1" x="307"/>
        <item m="1" x="324"/>
        <item m="1" x="321"/>
        <item m="1" x="314"/>
        <item m="1" x="301"/>
        <item m="1" x="320"/>
        <item m="1" x="305"/>
        <item m="1" x="325"/>
        <item m="1" x="300"/>
        <item m="1" x="302"/>
        <item m="1" x="303"/>
        <item m="1" x="308"/>
        <item m="1" x="310"/>
        <item m="1" x="316"/>
        <item m="1" x="271"/>
        <item m="1" x="279"/>
        <item m="1" x="291"/>
        <item m="1" x="275"/>
        <item m="1" x="282"/>
        <item m="1" x="277"/>
        <item m="1" x="278"/>
        <item m="1" x="281"/>
        <item m="1" x="283"/>
        <item m="1" x="107"/>
        <item m="1" x="274"/>
        <item m="1" x="288"/>
        <item m="1" x="296"/>
        <item m="1" x="294"/>
        <item m="1" x="285"/>
        <item m="1" x="284"/>
        <item m="1" x="273"/>
        <item m="1" x="286"/>
        <item m="1" x="276"/>
        <item m="1" x="280"/>
        <item m="1" x="272"/>
        <item m="1" x="217"/>
        <item m="1" x="290"/>
        <item m="1" x="292"/>
        <item m="1" x="212"/>
        <item m="1" x="287"/>
        <item m="1" x="293"/>
        <item m="1" x="103"/>
        <item x="30"/>
        <item m="1" x="213"/>
        <item m="1" x="289"/>
        <item m="1" x="255"/>
        <item m="1" x="252"/>
        <item m="1" x="258"/>
        <item m="1" x="222"/>
        <item m="1" x="219"/>
        <item m="1" x="254"/>
        <item m="1" x="233"/>
        <item m="1" x="235"/>
        <item m="1" x="263"/>
        <item m="1" x="261"/>
        <item m="1" x="257"/>
        <item m="1" x="260"/>
        <item m="1" x="256"/>
        <item m="1" x="264"/>
        <item m="1" x="268"/>
        <item m="1" x="267"/>
        <item m="1" x="262"/>
        <item m="1" x="251"/>
        <item m="1" x="253"/>
        <item m="1" x="230"/>
        <item m="1" x="266"/>
        <item m="1" x="265"/>
        <item m="1" x="259"/>
        <item m="1" x="248"/>
        <item m="1" x="105"/>
        <item m="1" x="220"/>
        <item m="1" x="270"/>
        <item m="1" x="128"/>
        <item m="1" x="269"/>
        <item m="1" x="225"/>
        <item m="1" x="223"/>
        <item m="1" x="226"/>
        <item m="1" x="224"/>
        <item m="1" x="214"/>
        <item m="1" x="231"/>
        <item m="1" x="227"/>
        <item m="1" x="244"/>
        <item m="1" x="245"/>
        <item m="1" x="240"/>
        <item m="1" x="241"/>
        <item m="1" x="246"/>
        <item m="1" x="232"/>
        <item m="1" x="236"/>
        <item m="1" x="234"/>
        <item m="1" x="108"/>
        <item m="1" x="229"/>
        <item m="1" x="238"/>
        <item m="1" x="247"/>
        <item m="1" x="218"/>
        <item m="1" x="249"/>
        <item m="1" x="242"/>
        <item m="1" x="175"/>
        <item m="1" x="243"/>
        <item m="1" x="250"/>
        <item m="1" x="239"/>
        <item m="1" x="228"/>
        <item m="1" x="237"/>
        <item m="1" x="194"/>
        <item m="1" x="202"/>
        <item m="1" x="199"/>
        <item m="1" x="198"/>
        <item m="1" x="205"/>
        <item m="1" x="191"/>
        <item m="1" x="196"/>
        <item m="1" x="209"/>
        <item m="1" x="193"/>
        <item m="1" x="174"/>
        <item m="1" x="200"/>
        <item m="1" x="185"/>
        <item m="1" x="187"/>
        <item m="1" x="186"/>
        <item m="1" x="129"/>
        <item m="1" x="192"/>
        <item m="1" x="210"/>
        <item m="1" x="201"/>
        <item m="1" x="208"/>
        <item m="1" x="189"/>
        <item m="1" x="203"/>
        <item m="1" x="216"/>
        <item m="1" x="188"/>
        <item m="1" x="204"/>
        <item m="1" x="195"/>
        <item m="1" x="211"/>
        <item m="1" x="197"/>
        <item m="1" x="221"/>
        <item m="1" x="206"/>
        <item m="1" x="215"/>
        <item m="1" x="71"/>
        <item m="1" x="176"/>
        <item m="1" x="190"/>
        <item m="1" x="207"/>
        <item m="1" x="159"/>
        <item m="1" x="165"/>
        <item m="1" x="161"/>
        <item m="1" x="172"/>
        <item m="1" x="166"/>
        <item m="1" x="171"/>
        <item m="1" x="160"/>
        <item m="1" x="170"/>
        <item m="1" x="162"/>
        <item m="1" x="180"/>
        <item m="1" x="181"/>
        <item m="1" x="177"/>
        <item m="1" x="164"/>
        <item m="1" x="173"/>
        <item m="1" x="102"/>
        <item m="1" x="42"/>
        <item m="1" x="182"/>
        <item m="1" x="158"/>
        <item m="1" x="184"/>
        <item m="1" x="168"/>
        <item m="1" x="163"/>
        <item m="1" x="169"/>
        <item m="1" x="126"/>
        <item m="1" x="178"/>
        <item m="1" x="179"/>
        <item m="1" x="154"/>
        <item m="1" x="183"/>
        <item m="1" x="167"/>
        <item m="1" x="150"/>
        <item m="1" x="115"/>
        <item m="1" x="137"/>
        <item m="1" x="138"/>
        <item m="1" x="98"/>
        <item m="1" x="72"/>
        <item m="1" x="74"/>
        <item m="1" x="139"/>
        <item m="1" x="140"/>
        <item m="1" x="116"/>
        <item m="1" x="141"/>
        <item m="1" x="142"/>
        <item m="1" x="99"/>
        <item m="1" x="143"/>
        <item m="1" x="144"/>
        <item m="1" x="145"/>
        <item m="1" x="134"/>
        <item m="1" x="73"/>
        <item m="1" x="146"/>
        <item m="1" x="147"/>
        <item m="1" x="148"/>
        <item m="1" x="70"/>
        <item m="1" x="149"/>
        <item m="1" x="120"/>
        <item m="1" x="151"/>
        <item m="1" x="152"/>
        <item m="1" x="117"/>
        <item m="1" x="153"/>
        <item m="1" x="155"/>
        <item m="1" x="156"/>
        <item m="1" x="135"/>
        <item m="1" x="157"/>
        <item m="1" x="76"/>
        <item m="1" x="77"/>
        <item m="1" x="78"/>
        <item m="1" x="79"/>
        <item m="1" x="68"/>
        <item m="1" x="57"/>
        <item m="1" x="80"/>
        <item m="1" x="81"/>
        <item m="1" x="82"/>
        <item m="1" x="83"/>
        <item m="1" x="90"/>
        <item m="1" x="91"/>
        <item m="1" x="92"/>
        <item m="1" x="93"/>
        <item m="1" x="94"/>
        <item m="1" x="95"/>
        <item m="1" x="41"/>
        <item m="1" x="96"/>
        <item m="1" x="97"/>
        <item x="28"/>
        <item m="1" x="66"/>
        <item m="1" x="67"/>
        <item m="1" x="75"/>
        <item m="1" x="100"/>
        <item m="1" x="101"/>
        <item m="1" x="69"/>
        <item m="1" x="111"/>
        <item m="1" x="112"/>
        <item m="1" x="113"/>
        <item m="1" x="114"/>
        <item m="1" x="118"/>
        <item m="1" x="119"/>
        <item m="1" x="36"/>
        <item m="1" x="37"/>
        <item m="1" x="39"/>
        <item m="1" x="38"/>
        <item m="1" x="40"/>
        <item m="1" x="45"/>
        <item m="1" x="48"/>
        <item m="1" x="43"/>
        <item m="1" x="46"/>
        <item m="1" x="47"/>
        <item m="1" x="49"/>
        <item m="1" x="44"/>
        <item m="1" x="52"/>
        <item m="1" x="53"/>
        <item m="1" x="50"/>
        <item m="1" x="51"/>
        <item m="1" x="55"/>
        <item m="1" x="54"/>
        <item m="1" x="56"/>
        <item m="1" x="59"/>
        <item m="1" x="62"/>
        <item m="1" x="60"/>
        <item m="1" x="61"/>
        <item m="1" x="63"/>
        <item m="1" x="64"/>
        <item m="1" x="65"/>
        <item x="8"/>
        <item m="1" x="58"/>
        <item x="32"/>
        <item x="15"/>
        <item x="16"/>
        <item x="10"/>
        <item x="22"/>
        <item x="2"/>
        <item x="7"/>
        <item x="1"/>
        <item x="13"/>
        <item x="5"/>
        <item x="23"/>
        <item x="27"/>
        <item x="17"/>
        <item x="18"/>
        <item x="24"/>
        <item x="19"/>
        <item x="33"/>
        <item x="4"/>
        <item x="20"/>
        <item x="3"/>
        <item x="29"/>
        <item x="21"/>
        <item x="12"/>
        <item x="11"/>
        <item x="25"/>
        <item x="26"/>
        <item x="35"/>
        <item x="31"/>
        <item x="34"/>
      </items>
    </pivotField>
    <pivotField compact="0" outline="0" showAll="0"/>
    <pivotField name="Fecha de  Inicio" axis="axisRow" compact="0" outline="0" showAll="0" defaultSubtotal="0">
      <items count="1441">
        <item x="412"/>
        <item x="841"/>
        <item x="571"/>
        <item x="669"/>
        <item m="1" x="1123"/>
        <item m="1" x="1125"/>
        <item m="1" x="1092"/>
        <item m="1" x="1113"/>
        <item m="1" x="1249"/>
        <item m="1" x="1099"/>
        <item m="1" x="1122"/>
        <item m="1" x="1084"/>
        <item m="1" x="1111"/>
        <item m="1" x="1093"/>
        <item m="1" x="1399"/>
        <item m="1" x="1114"/>
        <item x="816"/>
        <item m="1" x="1339"/>
        <item m="1" x="1101"/>
        <item m="1" x="1138"/>
        <item m="1" x="1139"/>
        <item m="1" x="1134"/>
        <item m="1" x="1087"/>
        <item m="1" x="1086"/>
        <item m="1" x="1090"/>
        <item m="1" x="1112"/>
        <item m="1" x="1100"/>
        <item m="1" x="1344"/>
        <item m="1" x="1433"/>
        <item m="1" x="1106"/>
        <item x="694"/>
        <item m="1" x="1321"/>
        <item m="1" x="1089"/>
        <item x="488"/>
        <item m="1" x="1270"/>
        <item m="1" x="1115"/>
        <item m="1" x="965"/>
        <item m="1" x="967"/>
        <item m="1" x="942"/>
        <item m="1" x="1342"/>
        <item m="1" x="1107"/>
        <item x="785"/>
        <item m="1" x="1151"/>
        <item m="1" x="1091"/>
        <item x="654"/>
        <item m="1" x="1088"/>
        <item x="613"/>
        <item x="850"/>
        <item m="1" x="1105"/>
        <item m="1" x="955"/>
        <item m="1" x="1097"/>
        <item x="256"/>
        <item x="209"/>
        <item x="614"/>
        <item m="1" x="1400"/>
        <item m="1" x="1431"/>
        <item x="483"/>
        <item m="1" x="953"/>
        <item x="615"/>
        <item m="1" x="952"/>
        <item x="398"/>
        <item x="814"/>
        <item x="498"/>
        <item x="809"/>
        <item x="732"/>
        <item m="1" x="1257"/>
        <item x="754"/>
        <item x="489"/>
        <item m="1" x="1135"/>
        <item m="1" x="1094"/>
        <item m="1" x="1033"/>
        <item x="492"/>
        <item x="224"/>
        <item x="729"/>
        <item m="1" x="1340"/>
        <item m="1" x="1239"/>
        <item m="1" x="1014"/>
        <item m="1" x="1237"/>
        <item x="815"/>
        <item m="1" x="963"/>
        <item m="1" x="1275"/>
        <item m="1" x="1081"/>
        <item x="772"/>
        <item x="250"/>
        <item x="503"/>
        <item m="1" x="1401"/>
        <item x="745"/>
        <item x="522"/>
        <item x="400"/>
        <item m="1" x="1195"/>
        <item x="558"/>
        <item x="688"/>
        <item m="1" x="1403"/>
        <item m="1" x="1277"/>
        <item x="695"/>
        <item x="796"/>
        <item x="570"/>
        <item m="1" x="1119"/>
        <item x="555"/>
        <item x="568"/>
        <item x="561"/>
        <item m="1" x="1406"/>
        <item m="1" x="1108"/>
        <item x="788"/>
        <item x="512"/>
        <item x="740"/>
        <item x="798"/>
        <item x="510"/>
        <item m="1" x="1341"/>
        <item x="734"/>
        <item x="800"/>
        <item x="698"/>
        <item m="1" x="1133"/>
        <item m="1" x="904"/>
        <item m="1" x="1371"/>
        <item m="1" x="929"/>
        <item x="401"/>
        <item x="637"/>
        <item m="1" x="968"/>
        <item m="1" x="1224"/>
        <item x="331"/>
        <item m="1" x="1410"/>
        <item m="1" x="1271"/>
        <item x="829"/>
        <item m="1" x="1253"/>
        <item x="826"/>
        <item x="215"/>
        <item m="1" x="1262"/>
        <item x="795"/>
        <item x="711"/>
        <item m="1" x="1265"/>
        <item m="1" x="991"/>
        <item x="775"/>
        <item x="482"/>
        <item x="493"/>
        <item x="757"/>
        <item x="752"/>
        <item x="556"/>
        <item x="773"/>
        <item m="1" x="1015"/>
        <item m="1" x="933"/>
        <item m="1" x="988"/>
        <item m="1" x="1013"/>
        <item x="797"/>
        <item x="326"/>
        <item m="1" x="1064"/>
        <item x="496"/>
        <item m="1" x="1430"/>
        <item m="1" x="1036"/>
        <item x="491"/>
        <item x="402"/>
        <item x="497"/>
        <item x="776"/>
        <item x="499"/>
        <item x="210"/>
        <item x="477"/>
        <item x="661"/>
        <item x="469"/>
        <item m="1" x="1080"/>
        <item m="1" x="1061"/>
        <item m="1" x="1142"/>
        <item x="487"/>
        <item m="1" x="1027"/>
        <item x="790"/>
        <item m="1" x="1353"/>
        <item x="194"/>
        <item x="567"/>
        <item m="1" x="1317"/>
        <item m="1" x="1160"/>
        <item m="1" x="1149"/>
        <item x="774"/>
        <item m="1" x="1016"/>
        <item m="1" x="1259"/>
        <item m="1" x="1137"/>
        <item m="1" x="1241"/>
        <item m="1" x="984"/>
        <item m="1" x="1294"/>
        <item x="403"/>
        <item x="448"/>
        <item m="1" x="930"/>
        <item x="632"/>
        <item x="702"/>
        <item m="1" x="1315"/>
        <item m="1" x="1248"/>
        <item m="1" x="1219"/>
        <item x="580"/>
        <item x="581"/>
        <item x="404"/>
        <item x="445"/>
        <item x="767"/>
        <item x="367"/>
        <item x="444"/>
        <item x="582"/>
        <item x="368"/>
        <item m="1" x="987"/>
        <item x="717"/>
        <item x="502"/>
        <item x="662"/>
        <item m="1" x="1251"/>
        <item x="583"/>
        <item x="718"/>
        <item x="255"/>
        <item x="584"/>
        <item m="1" x="1161"/>
        <item x="709"/>
        <item m="1" x="1250"/>
        <item m="1" x="1254"/>
        <item x="760"/>
        <item m="1" x="985"/>
        <item x="449"/>
        <item m="1" x="970"/>
        <item x="631"/>
        <item x="585"/>
        <item m="1" x="1168"/>
        <item x="450"/>
        <item m="1" x="1246"/>
        <item m="1" x="1242"/>
        <item x="794"/>
        <item x="586"/>
        <item x="565"/>
        <item x="834"/>
        <item x="500"/>
        <item x="707"/>
        <item x="587"/>
        <item x="588"/>
        <item x="466"/>
        <item x="451"/>
        <item x="655"/>
        <item x="844"/>
        <item m="1" x="926"/>
        <item m="1" x="1170"/>
        <item m="1" x="1260"/>
        <item m="1" x="1247"/>
        <item x="719"/>
        <item x="333"/>
        <item x="653"/>
        <item m="1" x="1350"/>
        <item m="1" x="1264"/>
        <item m="1" x="1280"/>
        <item m="1" x="1204"/>
        <item m="1" x="1258"/>
        <item x="759"/>
        <item m="1" x="1361"/>
        <item m="1" x="1351"/>
        <item x="324"/>
        <item m="1" x="1232"/>
        <item m="1" x="1008"/>
        <item m="1" x="1096"/>
        <item m="1" x="1324"/>
        <item m="1" x="1363"/>
        <item x="494"/>
        <item x="369"/>
        <item x="674"/>
        <item m="1" x="999"/>
        <item m="1" x="1349"/>
        <item x="708"/>
        <item x="817"/>
        <item m="1" x="1329"/>
        <item m="1" x="1331"/>
        <item m="1" x="1428"/>
        <item x="334"/>
        <item m="1" x="1334"/>
        <item x="535"/>
        <item m="1" x="1073"/>
        <item m="1" x="1147"/>
        <item m="1" x="1325"/>
        <item m="1" x="1345"/>
        <item x="569"/>
        <item x="405"/>
        <item x="701"/>
        <item m="1" x="1322"/>
        <item x="347"/>
        <item x="216"/>
        <item x="536"/>
        <item m="1" x="1034"/>
        <item x="692"/>
        <item x="665"/>
        <item x="666"/>
        <item m="1" x="994"/>
        <item x="667"/>
        <item m="1" x="1398"/>
        <item x="706"/>
        <item x="804"/>
        <item m="1" x="934"/>
        <item m="1" x="887"/>
        <item m="1" x="943"/>
        <item m="1" x="1188"/>
        <item x="675"/>
        <item x="827"/>
        <item x="236"/>
        <item x="835"/>
        <item x="563"/>
        <item m="1" x="1407"/>
        <item x="291"/>
        <item m="1" x="1437"/>
        <item x="643"/>
        <item m="1" x="936"/>
        <item x="638"/>
        <item x="668"/>
        <item x="446"/>
        <item m="1" x="1415"/>
        <item m="1" x="1169"/>
        <item m="1" x="1261"/>
        <item x="778"/>
        <item m="1" x="877"/>
        <item x="837"/>
        <item m="1" x="923"/>
        <item x="589"/>
        <item x="644"/>
        <item x="157"/>
        <item m="1" x="1006"/>
        <item m="1" x="1267"/>
        <item m="1" x="1421"/>
        <item m="1" x="1256"/>
        <item m="1" x="1337"/>
        <item m="1" x="927"/>
        <item m="1" x="961"/>
        <item m="1" x="1438"/>
        <item x="720"/>
        <item x="452"/>
        <item x="370"/>
        <item m="1" x="1001"/>
        <item x="371"/>
        <item x="158"/>
        <item x="513"/>
        <item m="1" x="1010"/>
        <item x="159"/>
        <item m="1" x="935"/>
        <item m="1" x="1216"/>
        <item m="1" x="1374"/>
        <item m="1" x="1243"/>
        <item m="1" x="1332"/>
        <item x="714"/>
        <item m="1" x="1223"/>
        <item m="1" x="1209"/>
        <item x="704"/>
        <item m="1" x="1229"/>
        <item m="1" x="917"/>
        <item x="758"/>
        <item x="447"/>
        <item m="1" x="869"/>
        <item m="1" x="1328"/>
        <item x="828"/>
        <item m="1" x="1393"/>
        <item m="1" x="1012"/>
        <item m="1" x="1276"/>
        <item m="1" x="1063"/>
        <item m="1" x="1203"/>
        <item x="802"/>
        <item x="484"/>
        <item x="792"/>
        <item x="590"/>
        <item m="1" x="1227"/>
        <item m="1" x="881"/>
        <item x="779"/>
        <item m="1" x="1392"/>
        <item x="831"/>
        <item x="824"/>
        <item x="821"/>
        <item x="849"/>
        <item x="408"/>
        <item m="1" x="1424"/>
        <item x="690"/>
        <item m="1" x="1440"/>
        <item x="517"/>
        <item x="633"/>
        <item x="213"/>
        <item m="1" x="1439"/>
        <item m="1" x="1383"/>
        <item x="703"/>
        <item m="1" x="924"/>
        <item m="1" x="1380"/>
        <item m="1" x="1379"/>
        <item x="656"/>
        <item m="1" x="1375"/>
        <item m="1" x="1394"/>
        <item x="636"/>
        <item x="641"/>
        <item x="591"/>
        <item m="1" x="1116"/>
        <item m="1" x="998"/>
        <item x="337"/>
        <item m="1" x="1373"/>
        <item m="1" x="1336"/>
        <item m="1" x="1120"/>
        <item m="1" x="1390"/>
        <item m="1" x="1333"/>
        <item m="1" x="1429"/>
        <item m="1" x="959"/>
        <item x="372"/>
        <item m="1" x="1205"/>
        <item m="1" x="1362"/>
        <item m="1" x="958"/>
        <item m="1" x="1198"/>
        <item m="1" x="980"/>
        <item m="1" x="1082"/>
        <item x="373"/>
        <item x="253"/>
        <item m="1" x="1220"/>
        <item x="338"/>
        <item m="1" x="1384"/>
        <item x="645"/>
        <item x="292"/>
        <item x="651"/>
        <item x="374"/>
        <item x="693"/>
        <item x="293"/>
        <item x="537"/>
        <item m="1" x="1053"/>
        <item m="1" x="976"/>
        <item x="211"/>
        <item m="1" x="1311"/>
        <item x="696"/>
        <item x="566"/>
        <item x="755"/>
        <item m="1" x="1352"/>
        <item m="1" x="1297"/>
        <item x="436"/>
        <item m="1" x="1159"/>
        <item x="480"/>
        <item x="739"/>
        <item x="676"/>
        <item m="1" x="1157"/>
        <item x="801"/>
        <item m="1" x="1077"/>
        <item x="375"/>
        <item x="442"/>
        <item m="1" x="1318"/>
        <item m="1" x="920"/>
        <item x="780"/>
        <item x="342"/>
        <item m="1" x="1244"/>
        <item m="1" x="1127"/>
        <item m="1" x="921"/>
        <item m="1" x="1359"/>
        <item x="639"/>
        <item x="825"/>
        <item m="1" x="1269"/>
        <item x="799"/>
        <item m="1" x="962"/>
        <item m="1" x="1273"/>
        <item m="1" x="1330"/>
        <item x="335"/>
        <item m="1" x="1225"/>
        <item x="564"/>
        <item x="748"/>
        <item m="1" x="1217"/>
        <item m="1" x="1381"/>
        <item m="1" x="1019"/>
        <item x="58"/>
        <item x="501"/>
        <item m="1" x="1266"/>
        <item x="750"/>
        <item m="1" x="1319"/>
        <item x="358"/>
        <item m="1" x="992"/>
        <item x="406"/>
        <item x="538"/>
        <item x="294"/>
        <item x="812"/>
        <item m="1" x="1285"/>
        <item m="1" x="1002"/>
        <item x="345"/>
        <item m="1" x="1316"/>
        <item m="1" x="1179"/>
        <item m="1" x="1347"/>
        <item m="1" x="1162"/>
        <item m="1" x="1222"/>
        <item x="572"/>
        <item m="1" x="871"/>
        <item m="1" x="1131"/>
        <item m="1" x="966"/>
        <item x="295"/>
        <item x="592"/>
        <item x="409"/>
        <item x="593"/>
        <item m="1" x="1206"/>
        <item m="1" x="1117"/>
        <item m="1" x="1282"/>
        <item x="791"/>
        <item x="212"/>
        <item m="1" x="880"/>
        <item m="1" x="1283"/>
        <item m="1" x="964"/>
        <item m="1" x="1213"/>
        <item x="712"/>
        <item x="793"/>
        <item m="1" x="1312"/>
        <item m="1" x="873"/>
        <item x="646"/>
        <item x="768"/>
        <item m="1" x="1268"/>
        <item m="1" x="1233"/>
        <item m="1" x="1338"/>
        <item x="648"/>
        <item x="438"/>
        <item m="1" x="969"/>
        <item x="117"/>
        <item x="577"/>
        <item x="539"/>
        <item x="710"/>
        <item x="715"/>
        <item m="1" x="1255"/>
        <item x="670"/>
        <item m="1" x="1240"/>
        <item x="647"/>
        <item x="511"/>
        <item m="1" x="1427"/>
        <item m="1" x="1292"/>
        <item m="1" x="1310"/>
        <item m="1" x="996"/>
        <item x="700"/>
        <item x="594"/>
        <item m="1" x="995"/>
        <item x="705"/>
        <item m="1" x="1423"/>
        <item m="1" x="1191"/>
        <item m="1" x="1404"/>
        <item x="549"/>
        <item x="839"/>
        <item x="685"/>
        <item x="312"/>
        <item m="1" x="1228"/>
        <item x="296"/>
        <item m="1" x="1003"/>
        <item x="545"/>
        <item m="1" x="1231"/>
        <item x="808"/>
        <item m="1" x="1193"/>
        <item x="340"/>
        <item m="1" x="937"/>
        <item x="160"/>
        <item x="330"/>
        <item m="1" x="1130"/>
        <item m="1" x="1202"/>
        <item x="254"/>
        <item m="1" x="1412"/>
        <item m="1" x="1201"/>
        <item x="851"/>
        <item m="1" x="1417"/>
        <item m="1" x="1029"/>
        <item m="1" x="878"/>
        <item x="595"/>
        <item m="1" x="922"/>
        <item x="320"/>
        <item x="297"/>
        <item m="1" x="1153"/>
        <item x="659"/>
        <item m="1" x="1395"/>
        <item x="721"/>
        <item m="1" x="1212"/>
        <item m="1" x="1214"/>
        <item m="1" x="1144"/>
        <item x="769"/>
        <item m="1" x="1180"/>
        <item m="1" x="870"/>
        <item x="813"/>
        <item x="540"/>
        <item x="523"/>
        <item x="852"/>
        <item m="1" x="1051"/>
        <item m="1" x="1121"/>
        <item m="1" x="1043"/>
        <item m="1" x="867"/>
        <item x="596"/>
        <item x="551"/>
        <item m="1" x="866"/>
        <item x="830"/>
        <item m="1" x="1164"/>
        <item m="1" x="1235"/>
        <item m="1" x="1140"/>
        <item x="649"/>
        <item x="597"/>
        <item x="833"/>
        <item x="336"/>
        <item x="519"/>
        <item x="853"/>
        <item m="1" x="1148"/>
        <item m="1" x="1109"/>
        <item x="161"/>
        <item m="1" x="1313"/>
        <item m="1" x="1252"/>
        <item m="1" x="1174"/>
        <item m="1" x="1182"/>
        <item m="1" x="1009"/>
        <item m="1" x="1422"/>
        <item m="1" x="1226"/>
        <item x="840"/>
        <item x="854"/>
        <item m="1" x="1409"/>
        <item m="1" x="1074"/>
        <item x="832"/>
        <item m="1" x="1386"/>
        <item x="332"/>
        <item m="1" x="1405"/>
        <item m="1" x="1154"/>
        <item m="1" x="989"/>
        <item x="783"/>
        <item x="562"/>
        <item m="1" x="1426"/>
        <item m="1" x="1385"/>
        <item x="630"/>
        <item m="1" x="889"/>
        <item m="1" x="885"/>
        <item m="1" x="1378"/>
        <item x="298"/>
        <item m="1" x="1126"/>
        <item x="855"/>
        <item m="1" x="882"/>
        <item m="1" x="971"/>
        <item m="1" x="872"/>
        <item m="1" x="997"/>
        <item x="578"/>
        <item m="1" x="1234"/>
        <item m="1" x="1007"/>
        <item m="1" x="1326"/>
        <item m="1" x="1323"/>
        <item m="1" x="1004"/>
        <item x="299"/>
        <item m="1" x="1377"/>
        <item m="1" x="1194"/>
        <item m="1" x="1211"/>
        <item m="1" x="1436"/>
        <item x="862"/>
        <item x="598"/>
        <item m="1" x="1425"/>
        <item x="376"/>
        <item m="1" x="1281"/>
        <item m="1" x="1011"/>
        <item x="231"/>
        <item x="650"/>
        <item x="377"/>
        <item m="1" x="1145"/>
        <item m="1" x="886"/>
        <item x="713"/>
        <item x="74"/>
        <item x="722"/>
        <item m="1" x="1072"/>
        <item m="1" x="1389"/>
        <item x="781"/>
        <item x="226"/>
        <item x="509"/>
        <item x="470"/>
        <item x="343"/>
        <item x="217"/>
        <item x="599"/>
        <item m="1" x="1263"/>
        <item x="807"/>
        <item x="803"/>
        <item x="175"/>
        <item x="600"/>
        <item x="746"/>
        <item x="341"/>
        <item m="1" x="1376"/>
        <item m="1" x="1041"/>
        <item m="1" x="1183"/>
        <item x="747"/>
        <item x="541"/>
        <item x="601"/>
        <item x="197"/>
        <item m="1" x="940"/>
        <item m="1" x="982"/>
        <item m="1" x="876"/>
        <item x="664"/>
        <item x="602"/>
        <item x="378"/>
        <item x="603"/>
        <item m="1" x="1067"/>
        <item x="671"/>
        <item x="379"/>
        <item m="1" x="1288"/>
        <item m="1" x="1408"/>
        <item m="1" x="972"/>
        <item m="1" x="903"/>
        <item m="1" x="1175"/>
        <item x="723"/>
        <item m="1" x="931"/>
        <item x="453"/>
        <item m="1" x="912"/>
        <item x="454"/>
        <item x="455"/>
        <item m="1" x="1062"/>
        <item m="1" x="1414"/>
        <item x="485"/>
        <item x="744"/>
        <item m="1" x="993"/>
        <item m="1" x="1382"/>
        <item x="724"/>
        <item m="1" x="1284"/>
        <item x="266"/>
        <item x="456"/>
        <item x="418"/>
        <item x="749"/>
        <item x="838"/>
        <item x="604"/>
        <item x="72"/>
        <item x="457"/>
        <item x="605"/>
        <item m="1" x="1042"/>
        <item x="629"/>
        <item m="1" x="1419"/>
        <item m="1" x="939"/>
        <item m="1" x="1360"/>
        <item m="1" x="1181"/>
        <item x="458"/>
        <item m="1" x="1274"/>
        <item x="753"/>
        <item m="1" x="960"/>
        <item m="1" x="1218"/>
        <item x="575"/>
        <item x="836"/>
        <item x="624"/>
        <item x="237"/>
        <item x="380"/>
        <item m="1" x="919"/>
        <item x="514"/>
        <item x="625"/>
        <item x="811"/>
        <item m="1" x="913"/>
        <item m="1" x="1411"/>
        <item x="606"/>
        <item m="1" x="906"/>
        <item x="520"/>
        <item m="1" x="1057"/>
        <item m="1" x="907"/>
        <item m="1" x="1358"/>
        <item m="1" x="914"/>
        <item m="1" x="1129"/>
        <item m="1" x="1434"/>
        <item m="1" x="1327"/>
        <item m="1" x="941"/>
        <item x="381"/>
        <item x="428"/>
        <item x="251"/>
        <item m="1" x="1005"/>
        <item x="847"/>
        <item x="382"/>
        <item x="43"/>
        <item m="1" x="879"/>
        <item x="736"/>
        <item m="1" x="1210"/>
        <item x="618"/>
        <item m="1" x="868"/>
        <item x="699"/>
        <item m="1" x="1056"/>
        <item x="346"/>
        <item x="427"/>
        <item x="459"/>
        <item m="1" x="1104"/>
        <item x="735"/>
        <item x="220"/>
        <item x="252"/>
        <item m="1" x="908"/>
        <item x="339"/>
        <item x="507"/>
        <item x="547"/>
        <item x="697"/>
        <item x="162"/>
        <item x="383"/>
        <item x="233"/>
        <item x="218"/>
        <item x="419"/>
        <item x="777"/>
        <item x="546"/>
        <item x="490"/>
        <item m="1" x="1167"/>
        <item x="548"/>
        <item m="1" x="894"/>
        <item x="300"/>
        <item m="1" x="864"/>
        <item m="1" x="1031"/>
        <item x="301"/>
        <item x="576"/>
        <item x="311"/>
        <item x="770"/>
        <item m="1" x="1040"/>
        <item m="1" x="909"/>
        <item m="1" x="1314"/>
        <item x="206"/>
        <item x="508"/>
        <item x="467"/>
        <item m="1" x="954"/>
        <item x="196"/>
        <item m="1" x="1000"/>
        <item x="607"/>
        <item m="1" x="1413"/>
        <item m="1" x="1118"/>
        <item x="504"/>
        <item m="1" x="1200"/>
        <item x="344"/>
        <item x="842"/>
        <item m="1" x="895"/>
        <item m="1" x="1065"/>
        <item m="1" x="1021"/>
        <item m="1" x="981"/>
        <item m="1" x="986"/>
        <item x="219"/>
        <item m="1" x="1301"/>
        <item m="1" x="1066"/>
        <item x="845"/>
        <item m="1" x="1356"/>
        <item x="227"/>
        <item m="1" x="893"/>
        <item m="1" x="910"/>
        <item m="1" x="1432"/>
        <item m="1" x="1025"/>
        <item m="1" x="911"/>
        <item x="281"/>
        <item x="560"/>
        <item m="1" x="918"/>
        <item m="1" x="1047"/>
        <item x="234"/>
        <item m="1" x="1207"/>
        <item x="635"/>
        <item x="328"/>
        <item m="1" x="915"/>
        <item m="1" x="990"/>
        <item x="461"/>
        <item x="241"/>
        <item x="302"/>
        <item x="327"/>
        <item x="173"/>
        <item x="329"/>
        <item x="290"/>
        <item x="284"/>
        <item m="1" x="1396"/>
        <item m="1" x="1208"/>
        <item x="460"/>
        <item m="1" x="1049"/>
        <item x="163"/>
        <item x="751"/>
        <item x="533"/>
        <item m="1" x="1238"/>
        <item m="1" x="1230"/>
        <item x="260"/>
        <item x="478"/>
        <item m="1" x="865"/>
        <item x="528"/>
        <item x="167"/>
        <item x="73"/>
        <item x="559"/>
        <item x="534"/>
        <item m="1" x="1083"/>
        <item x="118"/>
        <item x="214"/>
        <item x="856"/>
        <item m="1" x="1402"/>
        <item m="1" x="944"/>
        <item x="532"/>
        <item x="238"/>
        <item x="495"/>
        <item x="222"/>
        <item m="1" x="1335"/>
        <item x="468"/>
        <item x="198"/>
        <item x="221"/>
        <item x="257"/>
        <item x="506"/>
        <item x="443"/>
        <item x="24"/>
        <item x="384"/>
        <item x="156"/>
        <item x="691"/>
        <item m="1" x="1364"/>
        <item m="1" x="1058"/>
        <item m="1" x="1189"/>
        <item m="1" x="1190"/>
        <item x="59"/>
        <item m="1" x="1020"/>
        <item x="622"/>
        <item x="223"/>
        <item x="322"/>
        <item x="119"/>
        <item x="672"/>
        <item m="1" x="1018"/>
        <item x="39"/>
        <item x="174"/>
        <item x="108"/>
        <item m="1" x="1348"/>
        <item m="1" x="949"/>
        <item m="1" x="896"/>
        <item x="69"/>
        <item x="323"/>
        <item m="1" x="1278"/>
        <item m="1" x="1152"/>
        <item x="109"/>
        <item m="1" x="1416"/>
        <item m="1" x="1035"/>
        <item x="208"/>
        <item m="1" x="899"/>
        <item x="131"/>
        <item m="1" x="1221"/>
        <item m="1" x="948"/>
        <item m="1" x="1037"/>
        <item x="680"/>
        <item m="1" x="897"/>
        <item m="1" x="1070"/>
        <item m="1" x="1028"/>
        <item x="321"/>
        <item x="325"/>
        <item m="1" x="890"/>
        <item m="1" x="1022"/>
        <item x="608"/>
        <item m="1" x="1050"/>
        <item x="782"/>
        <item m="1" x="1287"/>
        <item x="303"/>
        <item x="663"/>
        <item x="743"/>
        <item m="1" x="898"/>
        <item x="725"/>
        <item x="609"/>
        <item x="524"/>
        <item m="1" x="1420"/>
        <item x="44"/>
        <item x="225"/>
        <item x="679"/>
        <item m="1" x="884"/>
        <item x="235"/>
        <item m="1" x="1039"/>
        <item x="846"/>
        <item x="60"/>
        <item x="31"/>
        <item x="71"/>
        <item x="164"/>
        <item x="385"/>
        <item x="386"/>
        <item x="319"/>
        <item x="387"/>
        <item x="726"/>
        <item x="364"/>
        <item x="579"/>
        <item x="166"/>
        <item x="165"/>
        <item x="756"/>
        <item x="316"/>
        <item x="362"/>
        <item x="366"/>
        <item x="462"/>
        <item x="388"/>
        <item x="619"/>
        <item x="761"/>
        <item x="228"/>
        <item x="610"/>
        <item x="304"/>
        <item x="61"/>
        <item m="1" x="1052"/>
        <item x="361"/>
        <item x="433"/>
        <item m="1" x="900"/>
        <item x="229"/>
        <item x="62"/>
        <item x="848"/>
        <item x="279"/>
        <item x="465"/>
        <item m="1" x="863"/>
        <item x="57"/>
        <item x="6"/>
        <item x="687"/>
        <item x="102"/>
        <item x="32"/>
        <item m="1" x="901"/>
        <item m="1" x="1293"/>
        <item x="363"/>
        <item x="54"/>
        <item x="305"/>
        <item m="1" x="1176"/>
        <item x="727"/>
        <item m="1" x="1192"/>
        <item m="1" x="1435"/>
        <item x="557"/>
        <item x="810"/>
        <item m="1" x="925"/>
        <item x="515"/>
        <item x="287"/>
        <item m="1" x="1391"/>
        <item x="120"/>
        <item m="1" x="1290"/>
        <item m="1" x="947"/>
        <item m="1" x="902"/>
        <item m="1" x="1071"/>
        <item x="435"/>
        <item x="857"/>
        <item m="1" x="1236"/>
        <item x="275"/>
        <item m="1" x="905"/>
        <item m="1" x="1124"/>
        <item x="858"/>
        <item m="1" x="1030"/>
        <item x="463"/>
        <item x="516"/>
        <item m="1" x="1418"/>
        <item x="634"/>
        <item x="439"/>
        <item x="317"/>
        <item x="33"/>
        <item x="389"/>
        <item x="426"/>
        <item x="259"/>
        <item x="550"/>
        <item x="315"/>
        <item x="859"/>
        <item x="741"/>
        <item x="318"/>
        <item x="70"/>
        <item x="365"/>
        <item m="1" x="1055"/>
        <item x="689"/>
        <item x="85"/>
        <item m="1" x="945"/>
        <item x="351"/>
        <item x="530"/>
        <item x="84"/>
        <item m="1" x="1397"/>
        <item x="273"/>
        <item m="1" x="938"/>
        <item x="350"/>
        <item x="272"/>
        <item m="1" x="1132"/>
        <item m="1" x="1291"/>
        <item m="1" x="1102"/>
        <item m="1" x="1165"/>
        <item m="1" x="1095"/>
        <item m="1" x="1387"/>
        <item m="1" x="1150"/>
        <item m="1" x="1166"/>
        <item m="1" x="1388"/>
        <item m="1" x="1098"/>
        <item m="1" x="1085"/>
        <item x="232"/>
        <item m="1" x="1354"/>
        <item m="1" x="1355"/>
        <item m="1" x="1357"/>
        <item m="1" x="975"/>
        <item m="1" x="1185"/>
        <item m="1" x="1346"/>
        <item m="1" x="1300"/>
        <item x="621"/>
        <item m="1" x="1215"/>
        <item x="130"/>
        <item x="121"/>
        <item x="531"/>
        <item x="552"/>
        <item x="83"/>
        <item x="683"/>
        <item x="525"/>
        <item m="1" x="977"/>
        <item x="420"/>
        <item m="1" x="1024"/>
        <item x="352"/>
        <item m="1" x="979"/>
        <item x="360"/>
        <item x="805"/>
        <item x="789"/>
        <item x="249"/>
        <item x="306"/>
        <item m="1" x="1197"/>
        <item x="617"/>
        <item m="1" x="892"/>
        <item x="518"/>
        <item x="390"/>
        <item m="1" x="950"/>
        <item m="1" x="1343"/>
        <item m="1" x="1158"/>
        <item x="553"/>
        <item m="1" x="1365"/>
        <item m="1" x="1366"/>
        <item m="1" x="1367"/>
        <item m="1" x="951"/>
        <item m="1" x="1368"/>
        <item m="1" x="1369"/>
        <item m="1" x="1370"/>
        <item m="1" x="1320"/>
        <item m="1" x="1372"/>
        <item x="313"/>
        <item m="1" x="946"/>
        <item m="1" x="1060"/>
        <item x="230"/>
        <item x="505"/>
        <item x="542"/>
        <item x="110"/>
        <item x="391"/>
        <item x="806"/>
        <item x="274"/>
        <item x="678"/>
        <item m="1" x="874"/>
        <item x="543"/>
        <item x="269"/>
        <item x="737"/>
        <item x="423"/>
        <item x="63"/>
        <item x="289"/>
        <item m="1" x="932"/>
        <item m="1" x="1146"/>
        <item m="1" x="1173"/>
        <item m="1" x="1289"/>
        <item m="1" x="1143"/>
        <item x="267"/>
        <item m="1" x="916"/>
        <item x="349"/>
        <item x="307"/>
        <item x="626"/>
        <item m="1" x="973"/>
        <item m="1" x="1199"/>
        <item x="392"/>
        <item m="1" x="1136"/>
        <item m="1" x="1295"/>
        <item m="1" x="1298"/>
        <item m="1" x="1103"/>
        <item m="1" x="1296"/>
        <item x="554"/>
        <item x="544"/>
        <item m="1" x="1128"/>
        <item m="1" x="1245"/>
        <item m="1" x="1286"/>
        <item x="68"/>
        <item m="1" x="1187"/>
        <item x="41"/>
        <item x="75"/>
        <item m="1" x="1059"/>
        <item x="122"/>
        <item x="242"/>
        <item x="282"/>
        <item x="416"/>
        <item x="410"/>
        <item x="314"/>
        <item x="176"/>
        <item x="677"/>
        <item x="823"/>
        <item x="422"/>
        <item x="248"/>
        <item x="434"/>
        <item x="47"/>
        <item x="527"/>
        <item x="138"/>
        <item x="264"/>
        <item x="67"/>
        <item x="440"/>
        <item m="1" x="1178"/>
        <item x="417"/>
        <item m="1" x="1032"/>
        <item x="529"/>
        <item m="1" x="1302"/>
        <item m="1" x="1303"/>
        <item m="1" x="1304"/>
        <item m="1" x="1305"/>
        <item m="1" x="1306"/>
        <item m="1" x="1307"/>
        <item m="1" x="1044"/>
        <item m="1" x="1076"/>
        <item x="742"/>
        <item m="1" x="1110"/>
        <item m="1" x="1299"/>
        <item m="1" x="1272"/>
        <item x="393"/>
        <item x="730"/>
        <item x="397"/>
        <item x="612"/>
        <item x="731"/>
        <item m="1" x="1141"/>
        <item m="1" x="1155"/>
        <item x="399"/>
        <item x="733"/>
        <item x="616"/>
        <item x="116"/>
        <item x="407"/>
        <item m="1" x="1186"/>
        <item m="1" x="1177"/>
        <item m="1" x="1308"/>
        <item m="1" x="1309"/>
        <item m="1" x="983"/>
        <item x="425"/>
        <item x="10"/>
        <item x="738"/>
        <item x="657"/>
        <item x="472"/>
        <item x="611"/>
        <item m="1" x="1045"/>
        <item x="134"/>
        <item x="48"/>
        <item x="177"/>
        <item m="1" x="1172"/>
        <item m="1" x="1171"/>
        <item x="359"/>
        <item x="133"/>
        <item x="205"/>
        <item x="471"/>
        <item x="178"/>
        <item x="573"/>
        <item x="771"/>
        <item x="200"/>
        <item x="673"/>
        <item m="1" x="1079"/>
        <item x="784"/>
        <item x="843"/>
        <item x="11"/>
        <item x="309"/>
        <item x="56"/>
        <item m="1" x="928"/>
        <item x="526"/>
        <item x="265"/>
        <item x="308"/>
        <item x="12"/>
        <item x="421"/>
        <item m="1" x="1156"/>
        <item m="1" x="1046"/>
        <item m="1" x="1048"/>
        <item x="76"/>
        <item x="413"/>
        <item x="168"/>
        <item m="1" x="1279"/>
        <item x="261"/>
        <item x="79"/>
        <item x="78"/>
        <item x="45"/>
        <item x="414"/>
        <item x="244"/>
        <item x="258"/>
        <item x="394"/>
        <item x="81"/>
        <item x="424"/>
        <item x="348"/>
        <item x="195"/>
        <item x="104"/>
        <item x="82"/>
        <item x="13"/>
        <item x="42"/>
        <item x="623"/>
        <item x="285"/>
        <item x="819"/>
        <item x="80"/>
        <item x="686"/>
        <item x="77"/>
        <item m="1" x="1069"/>
        <item x="521"/>
        <item m="1" x="1196"/>
        <item x="86"/>
        <item m="1" x="978"/>
        <item x="353"/>
        <item x="716"/>
        <item x="169"/>
        <item x="144"/>
        <item x="123"/>
        <item x="170"/>
        <item x="354"/>
        <item x="202"/>
        <item x="141"/>
        <item x="34"/>
        <item x="199"/>
        <item x="262"/>
        <item x="822"/>
        <item x="681"/>
        <item x="143"/>
        <item x="23"/>
        <item x="64"/>
        <item x="65"/>
        <item x="87"/>
        <item m="1" x="1184"/>
        <item x="286"/>
        <item x="127"/>
        <item x="766"/>
        <item m="1" x="974"/>
        <item x="179"/>
        <item m="1" x="875"/>
        <item x="620"/>
        <item x="129"/>
        <item x="288"/>
        <item x="89"/>
        <item x="415"/>
        <item x="473"/>
        <item x="243"/>
        <item x="35"/>
        <item x="139"/>
        <item x="180"/>
        <item x="181"/>
        <item x="277"/>
        <item x="820"/>
        <item m="1" x="1078"/>
        <item x="429"/>
        <item x="124"/>
        <item x="270"/>
        <item x="684"/>
        <item x="660"/>
        <item m="1" x="1075"/>
        <item x="46"/>
        <item x="132"/>
        <item x="276"/>
        <item m="1" x="1023"/>
        <item x="88"/>
        <item x="154"/>
        <item m="1" x="883"/>
        <item x="765"/>
        <item m="1" x="1163"/>
        <item x="268"/>
        <item x="441"/>
        <item x="5"/>
        <item x="411"/>
        <item m="1" x="1068"/>
        <item x="147"/>
        <item x="183"/>
        <item x="14"/>
        <item x="182"/>
        <item x="135"/>
        <item x="860"/>
        <item x="19"/>
        <item x="90"/>
        <item x="191"/>
        <item x="278"/>
        <item x="486"/>
        <item x="111"/>
        <item x="112"/>
        <item x="395"/>
        <item x="430"/>
        <item x="437"/>
        <item x="15"/>
        <item x="55"/>
        <item x="40"/>
        <item x="280"/>
        <item x="107"/>
        <item m="1" x="957"/>
        <item x="479"/>
        <item x="355"/>
        <item x="431"/>
        <item x="125"/>
        <item x="475"/>
        <item x="283"/>
        <item x="114"/>
        <item x="106"/>
        <item x="16"/>
        <item x="1"/>
        <item x="52"/>
        <item x="25"/>
        <item x="762"/>
        <item x="152"/>
        <item x="184"/>
        <item x="142"/>
        <item x="91"/>
        <item x="92"/>
        <item x="113"/>
        <item x="185"/>
        <item x="149"/>
        <item x="245"/>
        <item x="246"/>
        <item x="271"/>
        <item m="1" x="1054"/>
        <item x="356"/>
        <item m="1" x="1026"/>
        <item x="190"/>
        <item m="1" x="1038"/>
        <item x="861"/>
        <item x="763"/>
        <item x="764"/>
        <item x="818"/>
        <item x="2"/>
        <item x="20"/>
        <item x="26"/>
        <item x="36"/>
        <item x="239"/>
        <item x="128"/>
        <item x="38"/>
        <item x="50"/>
        <item x="93"/>
        <item x="18"/>
        <item x="94"/>
        <item x="95"/>
        <item x="96"/>
        <item x="153"/>
        <item x="140"/>
        <item x="150"/>
        <item x="148"/>
        <item x="126"/>
        <item x="640"/>
        <item x="240"/>
        <item x="17"/>
        <item x="310"/>
        <item x="396"/>
        <item x="136"/>
        <item x="574"/>
        <item x="628"/>
        <item x="642"/>
        <item x="682"/>
        <item x="0"/>
        <item x="171"/>
        <item x="151"/>
        <item x="145"/>
        <item x="49"/>
        <item x="8"/>
        <item x="7"/>
        <item x="203"/>
        <item x="652"/>
        <item x="432"/>
        <item x="201"/>
        <item x="98"/>
        <item x="21"/>
        <item x="105"/>
        <item x="27"/>
        <item x="192"/>
        <item m="1" x="888"/>
        <item x="99"/>
        <item x="53"/>
        <item x="97"/>
        <item x="51"/>
        <item x="476"/>
        <item x="193"/>
        <item x="22"/>
        <item m="1" x="891"/>
        <item x="658"/>
        <item x="247"/>
        <item x="627"/>
        <item x="3"/>
        <item m="1" x="1017"/>
        <item x="4"/>
        <item m="1" x="956"/>
        <item x="37"/>
        <item x="30"/>
        <item x="188"/>
        <item x="155"/>
        <item x="100"/>
        <item x="137"/>
        <item x="464"/>
        <item x="9"/>
        <item x="172"/>
        <item x="263"/>
        <item x="186"/>
        <item x="103"/>
        <item x="101"/>
        <item x="187"/>
        <item x="474"/>
        <item x="115"/>
        <item x="28"/>
        <item x="357"/>
        <item x="29"/>
        <item x="189"/>
        <item x="204"/>
        <item x="66"/>
        <item x="207"/>
        <item x="481"/>
        <item x="146"/>
        <item x="786"/>
        <item x="787"/>
        <item x="728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3">
        <item x="1"/>
        <item x="0"/>
        <item m="1" x="2"/>
      </items>
    </pivotField>
    <pivotField compact="0" numFmtId="43" outline="0" showAll="0"/>
    <pivotField axis="axisRow" compact="0" outline="0" showAll="0" defaultSubtotal="0">
      <items count="60">
        <item x="5"/>
        <item x="0"/>
        <item x="1"/>
        <item x="4"/>
        <item x="2"/>
        <item x="3"/>
        <item x="13"/>
        <item x="7"/>
        <item x="10"/>
        <item x="6"/>
        <item x="8"/>
        <item x="9"/>
        <item x="12"/>
        <item x="11"/>
        <item x="19"/>
        <item x="15"/>
        <item x="20"/>
        <item x="16"/>
        <item x="14"/>
        <item x="18"/>
        <item x="17"/>
        <item x="21"/>
        <item x="22"/>
        <item x="24"/>
        <item x="23"/>
        <item x="26"/>
        <item x="28"/>
        <item x="27"/>
        <item x="31"/>
        <item x="30"/>
        <item x="29"/>
        <item x="25"/>
        <item x="39"/>
        <item x="35"/>
        <item x="33"/>
        <item x="36"/>
        <item x="40"/>
        <item x="32"/>
        <item x="37"/>
        <item x="34"/>
        <item x="38"/>
        <item x="41"/>
        <item x="47"/>
        <item x="45"/>
        <item x="48"/>
        <item x="43"/>
        <item x="44"/>
        <item x="49"/>
        <item x="46"/>
        <item x="50"/>
        <item x="52"/>
        <item m="1" x="58"/>
        <item x="54"/>
        <item x="51"/>
        <item m="1" x="59"/>
        <item x="42"/>
        <item m="1" x="56"/>
        <item m="1" x="57"/>
        <item x="53"/>
        <item x="55"/>
      </items>
    </pivotField>
    <pivotField axis="axisRow" compact="0" outline="0" showAll="0" defaultSubtotal="0">
      <items count="8">
        <item x="0"/>
        <item x="1"/>
        <item x="2"/>
        <item x="3"/>
        <item x="4"/>
        <item x="5"/>
        <item x="6"/>
        <item m="1" x="7"/>
      </items>
    </pivotField>
    <pivotField compact="0" outline="0" showAll="0"/>
    <pivotField name="Distrito" axis="axisRow" compact="0" outline="0" showAll="0" defaultSubtotal="0">
      <items count="9">
        <item x="1"/>
        <item x="3"/>
        <item x="2"/>
        <item x="7"/>
        <item x="4"/>
        <item h="1" x="0"/>
        <item x="6"/>
        <item x="5"/>
        <item h="1" m="1" x="8"/>
      </items>
    </pivotField>
    <pivotField compact="0" outline="0" showAll="0"/>
    <pivotField compact="0" outline="0" showAll="0"/>
    <pivotField compact="0" outline="0" showAll="0"/>
    <pivotField compact="0" numFmtId="43" outline="0" showAll="0"/>
    <pivotField compact="0" numFmtId="43" outline="0" showAll="0"/>
    <pivotField dataField="1" compact="0" numFmtId="43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6">
        <item m="1" x="14"/>
        <item x="0"/>
        <item m="1" x="13"/>
        <item m="1" x="11"/>
        <item m="1" x="12"/>
        <item m="1" x="10"/>
        <item m="1" x="9"/>
        <item m="1" x="8"/>
        <item m="1" x="7"/>
        <item m="1" x="6"/>
        <item m="1" x="5"/>
        <item m="1" x="4"/>
        <item m="1" x="3"/>
        <item m="1" x="2"/>
        <item x="1"/>
        <item t="default"/>
      </items>
    </pivotField>
    <pivotField compact="0" outline="0" dragToRow="0" dragToCol="0" dragToPage="0" showAll="0" defaultSubtotal="0"/>
  </pivotFields>
  <rowFields count="9">
    <field x="3"/>
    <field x="4"/>
    <field x="11"/>
    <field x="14"/>
    <field x="21"/>
    <field x="22"/>
    <field x="12"/>
    <field x="19"/>
    <field x="24"/>
  </rowFields>
  <rowItems count="92">
    <i>
      <x v="805"/>
      <x v="699"/>
      <x v="12"/>
      <x v="1421"/>
      <x v="18"/>
      <x v="2"/>
      <x v="31"/>
      <x/>
      <x/>
    </i>
    <i>
      <x v="907"/>
      <x v="572"/>
      <x v="12"/>
      <x v="1417"/>
      <x v="18"/>
      <x v="2"/>
      <x v="31"/>
      <x/>
      <x v="2"/>
    </i>
    <i>
      <x v="1747"/>
      <x v="7928"/>
      <x v="12"/>
      <x v="1417"/>
      <x v="28"/>
      <x v="3"/>
      <x/>
      <x/>
      <x v="2"/>
    </i>
    <i>
      <x v="2075"/>
      <x v="3201"/>
      <x v="12"/>
      <x v="1425"/>
      <x v="21"/>
      <x v="2"/>
      <x v="31"/>
      <x/>
      <x v="2"/>
    </i>
    <i>
      <x v="2321"/>
      <x v="4191"/>
      <x v="11"/>
      <x v="1424"/>
      <x v="22"/>
      <x v="2"/>
      <x v="31"/>
      <x/>
      <x v="7"/>
    </i>
    <i>
      <x v="2570"/>
      <x v="2434"/>
      <x v="12"/>
      <x v="1426"/>
      <x v="12"/>
      <x v="1"/>
      <x v="31"/>
      <x/>
      <x v="3"/>
    </i>
    <i>
      <x v="3011"/>
      <x v="4746"/>
      <x v="12"/>
      <x v="1439"/>
      <x v="36"/>
      <x v="4"/>
      <x v="31"/>
      <x/>
      <x v="2"/>
    </i>
    <i>
      <x v="3441"/>
      <x v="7036"/>
      <x v="12"/>
      <x v="1434"/>
      <x v="34"/>
      <x v="4"/>
      <x v="31"/>
      <x/>
      <x v="2"/>
    </i>
    <i r="3">
      <x v="1435"/>
      <x v="34"/>
      <x v="4"/>
      <x v="504"/>
      <x/>
      <x v="2"/>
    </i>
    <i>
      <x v="3743"/>
      <x v="508"/>
      <x v="12"/>
      <x v="1433"/>
      <x v="32"/>
      <x v="4"/>
      <x v="31"/>
      <x/>
      <x v="2"/>
    </i>
    <i>
      <x v="3807"/>
      <x v="5760"/>
      <x v="12"/>
      <x v="1421"/>
      <x v="26"/>
      <x v="3"/>
      <x v="31"/>
      <x/>
      <x v="2"/>
    </i>
    <i>
      <x v="3811"/>
      <x v="5900"/>
      <x v="12"/>
      <x v="1433"/>
      <x v="32"/>
      <x v="4"/>
      <x v="31"/>
      <x/>
      <x/>
    </i>
    <i>
      <x v="3958"/>
      <x v="504"/>
      <x v="12"/>
      <x v="1422"/>
      <x v="10"/>
      <x v="1"/>
      <x v="31"/>
      <x/>
      <x v="2"/>
    </i>
    <i>
      <x v="4112"/>
      <x v="1825"/>
      <x v="12"/>
      <x v="1429"/>
      <x v="8"/>
      <x v="1"/>
      <x v="31"/>
      <x/>
      <x v="1"/>
    </i>
    <i>
      <x v="4256"/>
      <x v="2494"/>
      <x v="12"/>
      <x v="1417"/>
      <x v="13"/>
      <x v="1"/>
      <x v="31"/>
      <x/>
      <x v="1"/>
    </i>
    <i>
      <x v="4739"/>
      <x v="4533"/>
      <x v="12"/>
      <x v="1417"/>
      <x v="10"/>
      <x v="1"/>
      <x v="31"/>
      <x v="1"/>
      <x/>
    </i>
    <i>
      <x v="5090"/>
      <x v="4141"/>
      <x v="12"/>
      <x v="1429"/>
      <x v="5"/>
      <x/>
      <x v="31"/>
      <x/>
      <x v="2"/>
    </i>
    <i>
      <x v="5144"/>
      <x v="2825"/>
      <x v="12"/>
      <x v="1437"/>
      <x v="7"/>
      <x v="1"/>
      <x v="31"/>
      <x/>
      <x v="2"/>
    </i>
    <i>
      <x v="5159"/>
      <x v="800"/>
      <x v="12"/>
      <x v="1411"/>
      <x v="12"/>
      <x v="1"/>
      <x v="31"/>
      <x/>
      <x/>
    </i>
    <i>
      <x v="6206"/>
      <x v="1459"/>
      <x v="12"/>
      <x v="1413"/>
      <x v="7"/>
      <x v="1"/>
      <x v="31"/>
      <x v="1"/>
      <x v="2"/>
    </i>
    <i>
      <x v="6215"/>
      <x v="6996"/>
      <x v="12"/>
      <x v="1417"/>
      <x v="8"/>
      <x v="1"/>
      <x v="31"/>
      <x v="1"/>
      <x v="2"/>
    </i>
    <i>
      <x v="6219"/>
      <x v="3122"/>
      <x v="12"/>
      <x v="1420"/>
      <x v="3"/>
      <x/>
      <x v="31"/>
      <x/>
      <x v="2"/>
    </i>
    <i>
      <x v="6221"/>
      <x v="4345"/>
      <x v="12"/>
      <x v="1414"/>
      <x v="37"/>
      <x v="4"/>
      <x v="31"/>
      <x/>
      <x v="3"/>
    </i>
    <i>
      <x v="6222"/>
      <x v="7143"/>
      <x v="12"/>
      <x v="1422"/>
      <x v="40"/>
      <x v="4"/>
      <x v="31"/>
      <x/>
      <x v="2"/>
    </i>
    <i>
      <x v="6228"/>
      <x v="5385"/>
      <x v="12"/>
      <x v="1423"/>
      <x v="33"/>
      <x v="4"/>
      <x v="31"/>
      <x/>
      <x v="2"/>
    </i>
    <i>
      <x v="6249"/>
      <x v="4576"/>
      <x v="12"/>
      <x v="1426"/>
      <x v="38"/>
      <x v="4"/>
      <x v="31"/>
      <x/>
      <x/>
    </i>
    <i>
      <x v="6252"/>
      <x v="5285"/>
      <x v="12"/>
      <x v="1418"/>
      <x v="20"/>
      <x v="2"/>
      <x v="31"/>
      <x/>
      <x v="3"/>
    </i>
    <i>
      <x v="6253"/>
      <x v="6099"/>
      <x v="12"/>
      <x v="1431"/>
      <x v="22"/>
      <x v="2"/>
      <x v="31"/>
      <x/>
      <x v="3"/>
    </i>
    <i>
      <x v="6269"/>
      <x v="695"/>
      <x v="12"/>
      <x v="1421"/>
      <x v="14"/>
      <x v="2"/>
      <x v="31"/>
      <x/>
      <x/>
    </i>
    <i>
      <x v="6273"/>
      <x v="3276"/>
      <x v="12"/>
      <x v="1423"/>
      <x v="33"/>
      <x v="4"/>
      <x v="31"/>
      <x/>
      <x v="2"/>
    </i>
    <i>
      <x v="6276"/>
      <x v="4971"/>
      <x v="12"/>
      <x v="1433"/>
      <x v="31"/>
      <x v="3"/>
      <x v="503"/>
      <x/>
      <x v="2"/>
    </i>
    <i>
      <x v="6277"/>
      <x v="5206"/>
      <x v="12"/>
      <x v="1423"/>
      <x v="26"/>
      <x v="3"/>
      <x v="31"/>
      <x/>
      <x v="2"/>
    </i>
    <i>
      <x v="6292"/>
      <x v="115"/>
      <x v="12"/>
      <x v="1431"/>
      <x v="14"/>
      <x v="2"/>
      <x v="31"/>
      <x/>
      <x v="1"/>
    </i>
    <i>
      <x v="6296"/>
      <x v="2875"/>
      <x v="11"/>
      <x v="1425"/>
      <x v="22"/>
      <x v="2"/>
      <x v="31"/>
      <x/>
      <x v="2"/>
    </i>
    <i>
      <x v="6297"/>
      <x v="2986"/>
      <x v="12"/>
      <x v="1419"/>
      <x v="32"/>
      <x v="4"/>
      <x v="31"/>
      <x/>
      <x v="2"/>
    </i>
    <i>
      <x v="6298"/>
      <x v="7953"/>
      <x v="12"/>
      <x v="1419"/>
      <x v="38"/>
      <x v="4"/>
      <x v="31"/>
      <x/>
      <x v="2"/>
    </i>
    <i>
      <x v="6299"/>
      <x v="993"/>
      <x v="12"/>
      <x v="1414"/>
      <x v="34"/>
      <x v="4"/>
      <x v="31"/>
      <x/>
      <x v="3"/>
    </i>
    <i>
      <x v="6307"/>
      <x v="5281"/>
      <x v="11"/>
      <x v="1434"/>
      <x v="15"/>
      <x v="2"/>
      <x v="31"/>
      <x/>
      <x v="2"/>
    </i>
    <i>
      <x v="6320"/>
      <x v="6039"/>
      <x v="12"/>
      <x v="1429"/>
      <x v="25"/>
      <x v="3"/>
      <x v="31"/>
      <x/>
      <x v="6"/>
    </i>
    <i>
      <x v="6321"/>
      <x v="2563"/>
      <x v="12"/>
      <x v="1424"/>
      <x v="41"/>
      <x v="5"/>
      <x v="31"/>
      <x/>
      <x v="2"/>
    </i>
    <i>
      <x v="6322"/>
      <x v="2525"/>
      <x v="12"/>
      <x v="1429"/>
      <x v="2"/>
      <x/>
      <x v="31"/>
      <x/>
      <x v="2"/>
    </i>
    <i>
      <x v="6323"/>
      <x v="937"/>
      <x v="12"/>
      <x v="1429"/>
      <x v="30"/>
      <x v="3"/>
      <x v="31"/>
      <x/>
      <x v="2"/>
    </i>
    <i>
      <x v="6333"/>
      <x v="3959"/>
      <x v="12"/>
      <x v="1433"/>
      <x v="21"/>
      <x v="2"/>
      <x v="31"/>
      <x/>
      <x/>
    </i>
    <i>
      <x v="6338"/>
      <x v="7917"/>
      <x v="12"/>
      <x v="1414"/>
      <x v="4"/>
      <x/>
      <x v="31"/>
      <x/>
      <x v="1"/>
    </i>
    <i>
      <x v="6339"/>
      <x v="817"/>
      <x v="11"/>
      <x v="1413"/>
      <x v="3"/>
      <x/>
      <x v="31"/>
      <x/>
      <x v="2"/>
    </i>
    <i>
      <x v="6340"/>
      <x v="2071"/>
      <x v="12"/>
      <x v="1418"/>
      <x v="24"/>
      <x v="3"/>
      <x v="31"/>
      <x/>
      <x v="2"/>
    </i>
    <i>
      <x v="6362"/>
      <x v="2068"/>
      <x v="12"/>
      <x v="1421"/>
      <x v="36"/>
      <x v="4"/>
      <x v="31"/>
      <x/>
      <x v="2"/>
    </i>
    <i>
      <x v="6369"/>
      <x v="497"/>
      <x v="12"/>
      <x v="1424"/>
      <x v="18"/>
      <x v="2"/>
      <x/>
      <x/>
      <x/>
    </i>
    <i>
      <x v="6370"/>
      <x v="1195"/>
      <x v="12"/>
      <x v="1421"/>
      <x v="10"/>
      <x v="1"/>
      <x/>
      <x/>
      <x/>
    </i>
    <i>
      <x v="6373"/>
      <x v="2248"/>
      <x v="12"/>
      <x v="1429"/>
      <x v="9"/>
      <x v="1"/>
      <x/>
      <x/>
      <x v="7"/>
    </i>
    <i>
      <x v="6380"/>
      <x v="5443"/>
      <x v="12"/>
      <x v="1417"/>
      <x v="15"/>
      <x v="2"/>
      <x/>
      <x/>
      <x v="2"/>
    </i>
    <i>
      <x v="6386"/>
      <x v="3207"/>
      <x v="12"/>
      <x v="1434"/>
      <x v="4"/>
      <x/>
      <x v="31"/>
      <x/>
      <x v="2"/>
    </i>
    <i>
      <x v="6389"/>
      <x v="3949"/>
      <x v="11"/>
      <x v="1417"/>
      <x v="13"/>
      <x v="1"/>
      <x v="31"/>
      <x/>
      <x/>
    </i>
    <i>
      <x v="6392"/>
      <x v="5634"/>
      <x v="12"/>
      <x v="1426"/>
      <x v="15"/>
      <x v="2"/>
      <x v="31"/>
      <x/>
      <x v="2"/>
    </i>
    <i>
      <x v="6399"/>
      <x v="5471"/>
      <x v="12"/>
      <x v="1426"/>
      <x v="6"/>
      <x v="1"/>
      <x v="31"/>
      <x/>
      <x/>
    </i>
    <i>
      <x v="6400"/>
      <x v="6440"/>
      <x v="12"/>
      <x v="1417"/>
      <x v="27"/>
      <x v="3"/>
      <x v="31"/>
      <x/>
      <x v="2"/>
    </i>
    <i>
      <x v="6404"/>
      <x v="6450"/>
      <x v="12"/>
      <x v="1435"/>
      <x v="31"/>
      <x v="3"/>
      <x v="31"/>
      <x/>
      <x v="6"/>
    </i>
    <i>
      <x v="6407"/>
      <x v="388"/>
      <x v="12"/>
      <x v="1426"/>
      <x v="21"/>
      <x v="2"/>
      <x v="31"/>
      <x/>
      <x v="2"/>
    </i>
    <i>
      <x v="6409"/>
      <x v="7408"/>
      <x v="12"/>
      <x v="1417"/>
      <x v="38"/>
      <x v="4"/>
      <x v="31"/>
      <x/>
      <x v="2"/>
    </i>
    <i>
      <x v="6416"/>
      <x v="4311"/>
      <x v="12"/>
      <x v="1424"/>
      <x v="8"/>
      <x v="1"/>
      <x v="31"/>
      <x/>
      <x v="3"/>
    </i>
    <i>
      <x v="6417"/>
      <x v="5297"/>
      <x v="12"/>
      <x v="1424"/>
      <x v="21"/>
      <x v="2"/>
      <x v="31"/>
      <x/>
      <x v="7"/>
    </i>
    <i>
      <x v="6424"/>
      <x v="3679"/>
      <x v="12"/>
      <x v="1417"/>
      <x v="4"/>
      <x/>
      <x/>
      <x/>
      <x v="1"/>
    </i>
    <i>
      <x v="6426"/>
      <x v="4928"/>
      <x v="12"/>
      <x v="1417"/>
      <x v="11"/>
      <x v="1"/>
      <x/>
      <x/>
      <x v="3"/>
    </i>
    <i>
      <x v="6427"/>
      <x v="4395"/>
      <x v="12"/>
      <x v="1417"/>
      <x v="4"/>
      <x/>
      <x/>
      <x/>
      <x v="7"/>
    </i>
    <i>
      <x v="6436"/>
      <x v="3774"/>
      <x v="12"/>
      <x v="1424"/>
      <x v="5"/>
      <x/>
      <x v="31"/>
      <x/>
      <x/>
    </i>
    <i>
      <x v="6438"/>
      <x v="4822"/>
      <x v="12"/>
      <x v="1417"/>
      <x/>
      <x/>
      <x v="31"/>
      <x/>
      <x v="1"/>
    </i>
    <i>
      <x v="6439"/>
      <x v="4831"/>
      <x v="12"/>
      <x v="1420"/>
      <x v="18"/>
      <x v="2"/>
      <x v="31"/>
      <x/>
      <x v="2"/>
    </i>
    <i>
      <x v="6445"/>
      <x v="633"/>
      <x v="12"/>
      <x v="1428"/>
      <x v="22"/>
      <x v="2"/>
      <x v="31"/>
      <x/>
      <x v="2"/>
    </i>
    <i>
      <x v="6460"/>
      <x v="4306"/>
      <x v="12"/>
      <x v="1435"/>
      <x v="10"/>
      <x v="1"/>
      <x v="31"/>
      <x/>
      <x v="6"/>
    </i>
    <i>
      <x v="6462"/>
      <x v="5074"/>
      <x v="12"/>
      <x v="1426"/>
      <x v="26"/>
      <x v="3"/>
      <x v="31"/>
      <x/>
      <x v="1"/>
    </i>
    <i>
      <x v="6465"/>
      <x v="1041"/>
      <x v="12"/>
      <x v="1425"/>
      <x v="24"/>
      <x v="3"/>
      <x v="31"/>
      <x/>
      <x v="6"/>
    </i>
    <i>
      <x v="6479"/>
      <x v="3124"/>
      <x v="12"/>
      <x v="1425"/>
      <x v="21"/>
      <x v="2"/>
      <x v="31"/>
      <x v="1"/>
      <x v="7"/>
    </i>
    <i>
      <x v="6482"/>
      <x v="518"/>
      <x v="12"/>
      <x v="1435"/>
      <x v="9"/>
      <x v="1"/>
      <x v="31"/>
      <x/>
      <x v="7"/>
    </i>
    <i>
      <x v="6483"/>
      <x v="2339"/>
      <x v="12"/>
      <x v="1435"/>
      <x v="12"/>
      <x v="1"/>
      <x v="31"/>
      <x/>
      <x v="1"/>
    </i>
    <i>
      <x v="6485"/>
      <x v="5064"/>
      <x v="12"/>
      <x v="1429"/>
      <x v="10"/>
      <x v="1"/>
      <x v="31"/>
      <x/>
      <x v="1"/>
    </i>
    <i>
      <x v="6489"/>
      <x v="978"/>
      <x v="12"/>
      <x v="1425"/>
      <x v="17"/>
      <x v="2"/>
      <x v="31"/>
      <x/>
      <x v="2"/>
    </i>
    <i>
      <x v="6492"/>
      <x v="655"/>
      <x v="12"/>
      <x v="1417"/>
      <x v="7"/>
      <x v="1"/>
      <x v="31"/>
      <x/>
      <x v="2"/>
    </i>
    <i>
      <x v="6499"/>
      <x v="4438"/>
      <x v="12"/>
      <x v="1411"/>
      <x v="9"/>
      <x v="1"/>
      <x v="31"/>
      <x/>
      <x v="2"/>
    </i>
    <i>
      <x v="6513"/>
      <x v="6663"/>
      <x v="12"/>
      <x v="1418"/>
      <x v="2"/>
      <x/>
      <x/>
      <x/>
      <x v="2"/>
    </i>
    <i>
      <x v="6518"/>
      <x v="5614"/>
      <x v="12"/>
      <x v="1429"/>
      <x/>
      <x/>
      <x v="76"/>
      <x v="1"/>
      <x v="2"/>
    </i>
    <i>
      <x v="6533"/>
      <x v="429"/>
      <x v="12"/>
      <x v="1437"/>
      <x v="2"/>
      <x/>
      <x/>
      <x/>
      <x v="2"/>
    </i>
    <i>
      <x v="6535"/>
      <x v="4641"/>
      <x v="12"/>
      <x v="1437"/>
      <x v="1"/>
      <x/>
      <x/>
      <x/>
      <x v="2"/>
    </i>
    <i>
      <x v="6536"/>
      <x v="1959"/>
      <x v="12"/>
      <x v="1437"/>
      <x v="6"/>
      <x v="1"/>
      <x/>
      <x/>
      <x v="2"/>
    </i>
    <i>
      <x v="6537"/>
      <x v="1227"/>
      <x v="12"/>
      <x v="1435"/>
      <x v="35"/>
      <x v="4"/>
      <x/>
      <x/>
      <x v="2"/>
    </i>
    <i>
      <x v="6538"/>
      <x v="4455"/>
      <x v="12"/>
      <x v="1417"/>
      <x v="37"/>
      <x v="4"/>
      <x/>
      <x/>
      <x v="2"/>
    </i>
    <i>
      <x v="6542"/>
      <x v="4644"/>
      <x v="12"/>
      <x v="1428"/>
      <x v="35"/>
      <x v="4"/>
      <x/>
      <x/>
      <x v="2"/>
    </i>
    <i>
      <x v="6543"/>
      <x v="5908"/>
      <x v="12"/>
      <x v="1436"/>
      <x v="25"/>
      <x v="3"/>
      <x/>
      <x/>
      <x v="2"/>
    </i>
    <i>
      <x v="6544"/>
      <x v="5766"/>
      <x v="12"/>
      <x v="1436"/>
      <x v="22"/>
      <x v="2"/>
      <x/>
      <x/>
      <x v="2"/>
    </i>
    <i>
      <x v="6545"/>
      <x v="366"/>
      <x v="12"/>
      <x v="1425"/>
      <x v="13"/>
      <x v="1"/>
      <x/>
      <x/>
      <x v="2"/>
    </i>
    <i>
      <x v="6547"/>
      <x v="5113"/>
      <x v="12"/>
      <x v="1430"/>
      <x v="18"/>
      <x v="2"/>
      <x/>
      <x/>
      <x v="2"/>
    </i>
    <i>
      <x v="6548"/>
      <x v="5635"/>
      <x v="12"/>
      <x v="1430"/>
      <x v="41"/>
      <x v="5"/>
      <x/>
      <x/>
      <x v="2"/>
    </i>
    <i t="grand">
      <x/>
    </i>
  </rowItems>
  <colItems count="1">
    <i/>
  </colItems>
  <pageFields count="1">
    <pageField fld="34" item="14" hier="-1"/>
  </pageFields>
  <dataFields count="1">
    <dataField name="Sum of Altas Zona de Influencia" fld="30" baseField="0" baseItem="0"/>
  </dataFields>
  <formats count="1311">
    <format dxfId="2481">
      <pivotArea outline="0" collapsedLevelsAreSubtotals="1" fieldPosition="0"/>
    </format>
    <format dxfId="2480">
      <pivotArea dataOnly="0" labelOnly="1" grandCol="1" outline="0" fieldPosition="0"/>
    </format>
    <format dxfId="2479">
      <pivotArea field="3" type="button" dataOnly="0" labelOnly="1" outline="0" axis="axisRow" fieldPosition="0"/>
    </format>
    <format dxfId="2478">
      <pivotArea field="4" type="button" dataOnly="0" labelOnly="1" outline="0" axis="axisRow" fieldPosition="1"/>
    </format>
    <format dxfId="2477">
      <pivotArea field="11" type="button" dataOnly="0" labelOnly="1" outline="0" axis="axisRow" fieldPosition="2"/>
    </format>
    <format dxfId="2476">
      <pivotArea field="24" type="button" dataOnly="0" labelOnly="1" outline="0" axis="axisRow" fieldPosition="8"/>
    </format>
    <format dxfId="2475">
      <pivotArea field="3" type="button" dataOnly="0" labelOnly="1" outline="0" axis="axisRow" fieldPosition="0"/>
    </format>
    <format dxfId="2474">
      <pivotArea field="4" type="button" dataOnly="0" labelOnly="1" outline="0" axis="axisRow" fieldPosition="1"/>
    </format>
    <format dxfId="2473">
      <pivotArea field="11" type="button" dataOnly="0" labelOnly="1" outline="0" axis="axisRow" fieldPosition="2"/>
    </format>
    <format dxfId="2472">
      <pivotArea field="24" type="button" dataOnly="0" labelOnly="1" outline="0" axis="axisRow" fieldPosition="8"/>
    </format>
    <format dxfId="2471">
      <pivotArea field="3" type="button" dataOnly="0" labelOnly="1" outline="0" axis="axisRow" fieldPosition="0"/>
    </format>
    <format dxfId="2470">
      <pivotArea field="4" type="button" dataOnly="0" labelOnly="1" outline="0" axis="axisRow" fieldPosition="1"/>
    </format>
    <format dxfId="2469">
      <pivotArea field="11" type="button" dataOnly="0" labelOnly="1" outline="0" axis="axisRow" fieldPosition="2"/>
    </format>
    <format dxfId="2468">
      <pivotArea field="24" type="button" dataOnly="0" labelOnly="1" outline="0" axis="axisRow" fieldPosition="8"/>
    </format>
    <format dxfId="2467">
      <pivotArea field="3" type="button" dataOnly="0" labelOnly="1" outline="0" axis="axisRow" fieldPosition="0"/>
    </format>
    <format dxfId="2466">
      <pivotArea field="4" type="button" dataOnly="0" labelOnly="1" outline="0" axis="axisRow" fieldPosition="1"/>
    </format>
    <format dxfId="2465">
      <pivotArea field="11" type="button" dataOnly="0" labelOnly="1" outline="0" axis="axisRow" fieldPosition="2"/>
    </format>
    <format dxfId="2464">
      <pivotArea field="24" type="button" dataOnly="0" labelOnly="1" outline="0" axis="axisRow" fieldPosition="8"/>
    </format>
    <format dxfId="2463">
      <pivotArea dataOnly="0" grandRow="1" outline="0" fieldPosition="0"/>
    </format>
    <format dxfId="2462">
      <pivotArea dataOnly="0" labelOnly="1" outline="0" fieldPosition="0">
        <references count="1">
          <reference field="11" count="0"/>
        </references>
      </pivotArea>
    </format>
    <format dxfId="2461">
      <pivotArea grandRow="1" outline="0" collapsedLevelsAreSubtotals="1" fieldPosition="0"/>
    </format>
    <format dxfId="2460">
      <pivotArea outline="0" collapsedLevelsAreSubtotals="1" fieldPosition="0"/>
    </format>
    <format dxfId="2459">
      <pivotArea dataOnly="0" labelOnly="1" outline="0" fieldPosition="0">
        <references count="1">
          <reference field="3" count="50">
            <x v="8"/>
            <x v="24"/>
            <x v="26"/>
            <x v="27"/>
            <x v="32"/>
            <x v="46"/>
            <x v="47"/>
            <x v="48"/>
            <x v="49"/>
            <x v="51"/>
            <x v="52"/>
            <x v="57"/>
            <x v="58"/>
            <x v="62"/>
            <x v="69"/>
            <x v="80"/>
            <x v="81"/>
            <x v="82"/>
            <x v="93"/>
            <x v="113"/>
            <x v="122"/>
            <x v="136"/>
            <x v="137"/>
            <x v="138"/>
            <x v="143"/>
            <x v="149"/>
            <x v="153"/>
            <x v="164"/>
            <x v="174"/>
            <x v="182"/>
            <x v="184"/>
            <x v="189"/>
            <x v="190"/>
            <x v="199"/>
            <x v="203"/>
            <x v="213"/>
            <x v="214"/>
            <x v="221"/>
            <x v="234"/>
            <x v="251"/>
            <x v="253"/>
            <x v="259"/>
            <x v="261"/>
            <x v="262"/>
            <x v="265"/>
            <x v="266"/>
            <x v="272"/>
            <x v="276"/>
            <x v="277"/>
            <x v="281"/>
          </reference>
        </references>
      </pivotArea>
    </format>
    <format dxfId="2458">
      <pivotArea dataOnly="0" labelOnly="1" outline="0" fieldPosition="0">
        <references count="1">
          <reference field="3" count="50">
            <x v="287"/>
            <x v="288"/>
            <x v="299"/>
            <x v="300"/>
            <x v="321"/>
            <x v="356"/>
            <x v="360"/>
            <x v="363"/>
            <x v="375"/>
            <x v="379"/>
            <x v="387"/>
            <x v="388"/>
            <x v="393"/>
            <x v="396"/>
            <x v="398"/>
            <x v="404"/>
            <x v="408"/>
            <x v="416"/>
            <x v="430"/>
            <x v="445"/>
            <x v="455"/>
            <x v="456"/>
            <x v="457"/>
            <x v="460"/>
            <x v="461"/>
            <x v="480"/>
            <x v="481"/>
            <x v="487"/>
            <x v="489"/>
            <x v="492"/>
            <x v="498"/>
            <x v="502"/>
            <x v="503"/>
            <x v="504"/>
            <x v="512"/>
            <x v="526"/>
            <x v="531"/>
            <x v="532"/>
            <x v="535"/>
            <x v="537"/>
            <x v="541"/>
            <x v="553"/>
            <x v="558"/>
            <x v="561"/>
            <x v="569"/>
            <x v="585"/>
            <x v="587"/>
            <x v="591"/>
            <x v="597"/>
            <x v="601"/>
          </reference>
        </references>
      </pivotArea>
    </format>
    <format dxfId="2457">
      <pivotArea dataOnly="0" labelOnly="1" outline="0" fieldPosition="0">
        <references count="1">
          <reference field="3" count="50">
            <x v="602"/>
            <x v="611"/>
            <x v="614"/>
            <x v="621"/>
            <x v="623"/>
            <x v="624"/>
            <x v="625"/>
            <x v="629"/>
            <x v="632"/>
            <x v="640"/>
            <x v="643"/>
            <x v="645"/>
            <x v="646"/>
            <x v="651"/>
            <x v="652"/>
            <x v="656"/>
            <x v="663"/>
            <x v="667"/>
            <x v="675"/>
            <x v="682"/>
            <x v="687"/>
            <x v="690"/>
            <x v="691"/>
            <x v="693"/>
            <x v="695"/>
            <x v="701"/>
            <x v="709"/>
            <x v="712"/>
            <x v="716"/>
            <x v="721"/>
            <x v="727"/>
            <x v="728"/>
            <x v="729"/>
            <x v="730"/>
            <x v="737"/>
            <x v="740"/>
            <x v="743"/>
            <x v="744"/>
            <x v="745"/>
            <x v="747"/>
            <x v="749"/>
            <x v="756"/>
            <x v="759"/>
            <x v="761"/>
            <x v="770"/>
            <x v="774"/>
            <x v="776"/>
            <x v="782"/>
            <x v="790"/>
            <x v="797"/>
          </reference>
        </references>
      </pivotArea>
    </format>
    <format dxfId="2456">
      <pivotArea dataOnly="0" labelOnly="1" outline="0" fieldPosition="0">
        <references count="1">
          <reference field="3" count="50">
            <x v="804"/>
            <x v="805"/>
            <x v="808"/>
            <x v="810"/>
            <x v="818"/>
            <x v="839"/>
            <x v="841"/>
            <x v="845"/>
            <x v="848"/>
            <x v="852"/>
            <x v="867"/>
            <x v="873"/>
            <x v="875"/>
            <x v="881"/>
            <x v="884"/>
            <x v="886"/>
            <x v="889"/>
            <x v="893"/>
            <x v="900"/>
            <x v="904"/>
            <x v="933"/>
            <x v="935"/>
            <x v="940"/>
            <x v="945"/>
            <x v="948"/>
            <x v="949"/>
            <x v="955"/>
            <x v="972"/>
            <x v="982"/>
            <x v="985"/>
            <x v="997"/>
            <x v="1001"/>
            <x v="1003"/>
            <x v="1011"/>
            <x v="1015"/>
            <x v="1018"/>
            <x v="1020"/>
            <x v="1023"/>
            <x v="1029"/>
            <x v="1035"/>
            <x v="1038"/>
            <x v="1040"/>
            <x v="1042"/>
            <x v="1055"/>
            <x v="1056"/>
            <x v="1058"/>
            <x v="1069"/>
            <x v="1075"/>
            <x v="1077"/>
            <x v="1078"/>
          </reference>
        </references>
      </pivotArea>
    </format>
    <format dxfId="2455">
      <pivotArea dataOnly="0" labelOnly="1" outline="0" fieldPosition="0">
        <references count="1">
          <reference field="3" count="50">
            <x v="1080"/>
            <x v="1088"/>
            <x v="1092"/>
            <x v="1099"/>
            <x v="1111"/>
            <x v="1112"/>
            <x v="1114"/>
            <x v="1126"/>
            <x v="1129"/>
            <x v="1141"/>
            <x v="1144"/>
            <x v="1145"/>
            <x v="1147"/>
            <x v="1150"/>
            <x v="1159"/>
            <x v="1167"/>
            <x v="1168"/>
            <x v="1185"/>
            <x v="1189"/>
            <x v="1196"/>
            <x v="1198"/>
            <x v="1202"/>
            <x v="1204"/>
            <x v="1209"/>
            <x v="1210"/>
            <x v="1222"/>
            <x v="1226"/>
            <x v="1231"/>
            <x v="1242"/>
            <x v="1244"/>
            <x v="1247"/>
            <x v="1257"/>
            <x v="1259"/>
            <x v="1261"/>
            <x v="1262"/>
            <x v="1263"/>
            <x v="1273"/>
            <x v="1274"/>
            <x v="1282"/>
            <x v="1286"/>
            <x v="1296"/>
            <x v="1297"/>
            <x v="1304"/>
            <x v="1305"/>
            <x v="1313"/>
            <x v="1318"/>
            <x v="1325"/>
            <x v="1343"/>
            <x v="1344"/>
            <x v="1355"/>
          </reference>
        </references>
      </pivotArea>
    </format>
    <format dxfId="2454">
      <pivotArea dataOnly="0" labelOnly="1" outline="0" fieldPosition="0">
        <references count="1">
          <reference field="3" count="50">
            <x v="1370"/>
            <x v="1372"/>
            <x v="1379"/>
            <x v="1383"/>
            <x v="1386"/>
            <x v="1391"/>
            <x v="1392"/>
            <x v="1396"/>
            <x v="1398"/>
            <x v="1401"/>
            <x v="1405"/>
            <x v="1410"/>
            <x v="1415"/>
            <x v="1418"/>
            <x v="1423"/>
            <x v="1425"/>
            <x v="1427"/>
            <x v="1430"/>
            <x v="1431"/>
            <x v="1435"/>
            <x v="1437"/>
            <x v="1449"/>
            <x v="1452"/>
            <x v="1455"/>
            <x v="1462"/>
            <x v="1470"/>
            <x v="1471"/>
            <x v="1472"/>
            <x v="1477"/>
            <x v="1484"/>
            <x v="1492"/>
            <x v="1493"/>
            <x v="1499"/>
            <x v="1500"/>
            <x v="1501"/>
            <x v="1509"/>
            <x v="1511"/>
            <x v="1512"/>
            <x v="1514"/>
            <x v="1515"/>
            <x v="1518"/>
            <x v="1519"/>
            <x v="1523"/>
            <x v="1526"/>
            <x v="1530"/>
            <x v="1534"/>
            <x v="1539"/>
            <x v="1542"/>
            <x v="1545"/>
            <x v="1548"/>
          </reference>
        </references>
      </pivotArea>
    </format>
    <format dxfId="2453">
      <pivotArea dataOnly="0" labelOnly="1" outline="0" fieldPosition="0">
        <references count="1">
          <reference field="3" count="36">
            <x v="1557"/>
            <x v="1564"/>
            <x v="1566"/>
            <x v="1585"/>
            <x v="1598"/>
            <x v="1600"/>
            <x v="1604"/>
            <x v="1606"/>
            <x v="1613"/>
            <x v="1619"/>
            <x v="1625"/>
            <x v="1628"/>
            <x v="1629"/>
            <x v="1634"/>
            <x v="1635"/>
            <x v="1637"/>
            <x v="1645"/>
            <x v="1647"/>
            <x v="1657"/>
            <x v="1675"/>
            <x v="1677"/>
            <x v="1678"/>
            <x v="1686"/>
            <x v="1687"/>
            <x v="1692"/>
            <x v="1694"/>
            <x v="1699"/>
            <x v="1704"/>
            <x v="1715"/>
            <x v="1717"/>
            <x v="1718"/>
            <x v="1725"/>
            <x v="1729"/>
            <x v="1731"/>
            <x v="1735"/>
            <x v="1738"/>
          </reference>
        </references>
      </pivotArea>
    </format>
    <format dxfId="2452">
      <pivotArea dataOnly="0" labelOnly="1" outline="0" fieldPosition="0">
        <references count="1">
          <reference field="3" count="2">
            <x v="1741"/>
            <x v="1742"/>
          </reference>
        </references>
      </pivotArea>
    </format>
    <format dxfId="2451">
      <pivotArea dataOnly="0" labelOnly="1" outline="0" fieldPosition="0">
        <references count="1">
          <reference field="3" count="1">
            <x v="1746"/>
          </reference>
        </references>
      </pivotArea>
    </format>
    <format dxfId="2450">
      <pivotArea dataOnly="0" labelOnly="1" outline="0" fieldPosition="0">
        <references count="1">
          <reference field="3" count="2">
            <x v="1747"/>
            <x v="1748"/>
          </reference>
        </references>
      </pivotArea>
    </format>
    <format dxfId="2449">
      <pivotArea dataOnly="0" labelOnly="1" outline="0" fieldPosition="0">
        <references count="1">
          <reference field="3" count="2">
            <x v="1749"/>
            <x v="1750"/>
          </reference>
        </references>
      </pivotArea>
    </format>
    <format dxfId="2448">
      <pivotArea dataOnly="0" labelOnly="1" outline="0" fieldPosition="0">
        <references count="1">
          <reference field="3" count="1">
            <x v="1753"/>
          </reference>
        </references>
      </pivotArea>
    </format>
    <format dxfId="2447">
      <pivotArea dataOnly="0" labelOnly="1" outline="0" fieldPosition="0">
        <references count="1">
          <reference field="3" count="1">
            <x v="1758"/>
          </reference>
        </references>
      </pivotArea>
    </format>
    <format dxfId="2446">
      <pivotArea dataOnly="0" labelOnly="1" outline="0" fieldPosition="0">
        <references count="1">
          <reference field="3" count="3">
            <x v="1765"/>
            <x v="1767"/>
            <x v="1771"/>
          </reference>
        </references>
      </pivotArea>
    </format>
    <format dxfId="2445">
      <pivotArea dataOnly="0" labelOnly="1" outline="0" fieldPosition="0">
        <references count="1">
          <reference field="3" count="5">
            <x v="1783"/>
            <x v="1784"/>
            <x v="1785"/>
            <x v="1786"/>
            <x v="1788"/>
          </reference>
        </references>
      </pivotArea>
    </format>
    <format dxfId="2444">
      <pivotArea dataOnly="0" labelOnly="1" grandRow="1" outline="0" fieldPosition="0"/>
    </format>
    <format dxfId="2443">
      <pivotArea dataOnly="0" labelOnly="1" outline="0" fieldPosition="0">
        <references count="2">
          <reference field="3" count="1" selected="0">
            <x v="27"/>
          </reference>
          <reference field="4" count="1">
            <x v="882"/>
          </reference>
        </references>
      </pivotArea>
    </format>
    <format dxfId="2442">
      <pivotArea dataOnly="0" labelOnly="1" outline="0" fieldPosition="0">
        <references count="2">
          <reference field="3" count="1" selected="0">
            <x v="32"/>
          </reference>
          <reference field="4" count="1">
            <x v="5715"/>
          </reference>
        </references>
      </pivotArea>
    </format>
    <format dxfId="2441">
      <pivotArea dataOnly="0" labelOnly="1" outline="0" fieldPosition="0">
        <references count="2">
          <reference field="3" count="1" selected="0">
            <x v="46"/>
          </reference>
          <reference field="4" count="1">
            <x v="1665"/>
          </reference>
        </references>
      </pivotArea>
    </format>
    <format dxfId="2440">
      <pivotArea dataOnly="0" labelOnly="1" outline="0" fieldPosition="0">
        <references count="2">
          <reference field="3" count="1" selected="0">
            <x v="47"/>
          </reference>
          <reference field="4" count="1">
            <x v="6716"/>
          </reference>
        </references>
      </pivotArea>
    </format>
    <format dxfId="2439">
      <pivotArea dataOnly="0" labelOnly="1" outline="0" fieldPosition="0">
        <references count="2">
          <reference field="3" count="1" selected="0">
            <x v="52"/>
          </reference>
          <reference field="4" count="1">
            <x v="4476"/>
          </reference>
        </references>
      </pivotArea>
    </format>
    <format dxfId="2438">
      <pivotArea dataOnly="0" labelOnly="1" outline="0" fieldPosition="0">
        <references count="2">
          <reference field="3" count="1" selected="0">
            <x v="62"/>
          </reference>
          <reference field="4" count="1">
            <x v="327"/>
          </reference>
        </references>
      </pivotArea>
    </format>
    <format dxfId="2437">
      <pivotArea dataOnly="0" labelOnly="1" outline="0" fieldPosition="0">
        <references count="2">
          <reference field="3" count="1" selected="0">
            <x v="69"/>
          </reference>
          <reference field="4" count="1">
            <x v="4981"/>
          </reference>
        </references>
      </pivotArea>
    </format>
    <format dxfId="2436">
      <pivotArea dataOnly="0" labelOnly="1" outline="0" fieldPosition="0">
        <references count="2">
          <reference field="3" count="1" selected="0">
            <x v="82"/>
          </reference>
          <reference field="4" count="1">
            <x v="1792"/>
          </reference>
        </references>
      </pivotArea>
    </format>
    <format dxfId="2435">
      <pivotArea dataOnly="0" labelOnly="1" outline="0" fieldPosition="0">
        <references count="2">
          <reference field="3" count="1" selected="0">
            <x v="113"/>
          </reference>
          <reference field="4" count="1">
            <x v="3749"/>
          </reference>
        </references>
      </pivotArea>
    </format>
    <format dxfId="2434">
      <pivotArea dataOnly="0" labelOnly="1" outline="0" fieldPosition="0">
        <references count="2">
          <reference field="3" count="1" selected="0">
            <x v="137"/>
          </reference>
          <reference field="4" count="1">
            <x v="2747"/>
          </reference>
        </references>
      </pivotArea>
    </format>
    <format dxfId="2433">
      <pivotArea dataOnly="0" labelOnly="1" outline="0" fieldPosition="0">
        <references count="2">
          <reference field="3" count="1" selected="0">
            <x v="213"/>
          </reference>
          <reference field="4" count="1">
            <x v="1052"/>
          </reference>
        </references>
      </pivotArea>
    </format>
    <format dxfId="2432">
      <pivotArea dataOnly="0" labelOnly="1" outline="0" fieldPosition="0">
        <references count="2">
          <reference field="3" count="1" selected="0">
            <x v="221"/>
          </reference>
          <reference field="4" count="1">
            <x v="2985"/>
          </reference>
        </references>
      </pivotArea>
    </format>
    <format dxfId="2431">
      <pivotArea dataOnly="0" labelOnly="1" outline="0" fieldPosition="0">
        <references count="2">
          <reference field="3" count="1" selected="0">
            <x v="287"/>
          </reference>
          <reference field="4" count="1">
            <x v="2802"/>
          </reference>
        </references>
      </pivotArea>
    </format>
    <format dxfId="2430">
      <pivotArea dataOnly="0" labelOnly="1" outline="0" fieldPosition="0">
        <references count="2">
          <reference field="3" count="1" selected="0">
            <x v="288"/>
          </reference>
          <reference field="4" count="1">
            <x v="2535"/>
          </reference>
        </references>
      </pivotArea>
    </format>
    <format dxfId="2429">
      <pivotArea dataOnly="0" labelOnly="1" outline="0" fieldPosition="0">
        <references count="2">
          <reference field="3" count="1" selected="0">
            <x v="299"/>
          </reference>
          <reference field="4" count="1">
            <x v="2457"/>
          </reference>
        </references>
      </pivotArea>
    </format>
    <format dxfId="2428">
      <pivotArea dataOnly="0" labelOnly="1" outline="0" fieldPosition="0">
        <references count="2">
          <reference field="3" count="1" selected="0">
            <x v="300"/>
          </reference>
          <reference field="4" count="1">
            <x v="743"/>
          </reference>
        </references>
      </pivotArea>
    </format>
    <format dxfId="2427">
      <pivotArea dataOnly="0" labelOnly="1" outline="0" fieldPosition="0">
        <references count="2">
          <reference field="3" count="1" selected="0">
            <x v="363"/>
          </reference>
          <reference field="4" count="1">
            <x v="2824"/>
          </reference>
        </references>
      </pivotArea>
    </format>
    <format dxfId="2426">
      <pivotArea dataOnly="0" labelOnly="1" outline="0" fieldPosition="0">
        <references count="2">
          <reference field="3" count="1" selected="0">
            <x v="393"/>
          </reference>
          <reference field="4" count="1">
            <x v="4507"/>
          </reference>
        </references>
      </pivotArea>
    </format>
    <format dxfId="2425">
      <pivotArea dataOnly="0" labelOnly="1" outline="0" fieldPosition="0">
        <references count="2">
          <reference field="3" count="1" selected="0">
            <x v="455"/>
          </reference>
          <reference field="4" count="1">
            <x v="7685"/>
          </reference>
        </references>
      </pivotArea>
    </format>
    <format dxfId="2424">
      <pivotArea dataOnly="0" labelOnly="1" outline="0" fieldPosition="0">
        <references count="2">
          <reference field="3" count="1" selected="0">
            <x v="456"/>
          </reference>
          <reference field="4" count="1">
            <x v="4473"/>
          </reference>
        </references>
      </pivotArea>
    </format>
    <format dxfId="2423">
      <pivotArea dataOnly="0" labelOnly="1" outline="0" fieldPosition="0">
        <references count="2">
          <reference field="3" count="1" selected="0">
            <x v="457"/>
          </reference>
          <reference field="4" count="1">
            <x v="6490"/>
          </reference>
        </references>
      </pivotArea>
    </format>
    <format dxfId="2422">
      <pivotArea dataOnly="0" labelOnly="1" outline="0" fieldPosition="0">
        <references count="2">
          <reference field="3" count="1" selected="0">
            <x v="489"/>
          </reference>
          <reference field="4" count="1">
            <x v="4834"/>
          </reference>
        </references>
      </pivotArea>
    </format>
    <format dxfId="2421">
      <pivotArea dataOnly="0" labelOnly="1" outline="0" fieldPosition="0">
        <references count="2">
          <reference field="3" count="1" selected="0">
            <x v="531"/>
          </reference>
          <reference field="4" count="1">
            <x v="7799"/>
          </reference>
        </references>
      </pivotArea>
    </format>
    <format dxfId="2420">
      <pivotArea dataOnly="0" labelOnly="1" outline="0" fieldPosition="0">
        <references count="2">
          <reference field="3" count="1" selected="0">
            <x v="537"/>
          </reference>
          <reference field="4" count="1">
            <x v="5595"/>
          </reference>
        </references>
      </pivotArea>
    </format>
    <format dxfId="2419">
      <pivotArea dataOnly="0" labelOnly="1" outline="0" fieldPosition="0">
        <references count="2">
          <reference field="3" count="1" selected="0">
            <x v="553"/>
          </reference>
          <reference field="4" count="1">
            <x v="6980"/>
          </reference>
        </references>
      </pivotArea>
    </format>
    <format dxfId="2418">
      <pivotArea dataOnly="0" labelOnly="1" outline="0" fieldPosition="0">
        <references count="2">
          <reference field="3" count="1" selected="0">
            <x v="561"/>
          </reference>
          <reference field="4" count="1">
            <x v="1237"/>
          </reference>
        </references>
      </pivotArea>
    </format>
    <format dxfId="2417">
      <pivotArea dataOnly="0" labelOnly="1" outline="0" fieldPosition="0">
        <references count="2">
          <reference field="3" count="1" selected="0">
            <x v="569"/>
          </reference>
          <reference field="4" count="1">
            <x v="4527"/>
          </reference>
        </references>
      </pivotArea>
    </format>
    <format dxfId="2416">
      <pivotArea dataOnly="0" labelOnly="1" outline="0" fieldPosition="0">
        <references count="2">
          <reference field="3" count="1" selected="0">
            <x v="621"/>
          </reference>
          <reference field="4" count="1">
            <x v="1928"/>
          </reference>
        </references>
      </pivotArea>
    </format>
    <format dxfId="2415">
      <pivotArea dataOnly="0" labelOnly="1" outline="0" fieldPosition="0">
        <references count="2">
          <reference field="3" count="1" selected="0">
            <x v="623"/>
          </reference>
          <reference field="4" count="1">
            <x v="1832"/>
          </reference>
        </references>
      </pivotArea>
    </format>
    <format dxfId="2414">
      <pivotArea dataOnly="0" labelOnly="1" outline="0" fieldPosition="0">
        <references count="2">
          <reference field="3" count="1" selected="0">
            <x v="643"/>
          </reference>
          <reference field="4" count="1">
            <x v="2585"/>
          </reference>
        </references>
      </pivotArea>
    </format>
    <format dxfId="2413">
      <pivotArea dataOnly="0" labelOnly="1" outline="0" fieldPosition="0">
        <references count="2">
          <reference field="3" count="1" selected="0">
            <x v="646"/>
          </reference>
          <reference field="4" count="1">
            <x v="4386"/>
          </reference>
        </references>
      </pivotArea>
    </format>
    <format dxfId="2412">
      <pivotArea dataOnly="0" labelOnly="1" outline="0" fieldPosition="0">
        <references count="2">
          <reference field="3" count="1" selected="0">
            <x v="687"/>
          </reference>
          <reference field="4" count="1">
            <x v="750"/>
          </reference>
        </references>
      </pivotArea>
    </format>
    <format dxfId="2411">
      <pivotArea dataOnly="0" labelOnly="1" outline="0" fieldPosition="0">
        <references count="2">
          <reference field="3" count="1" selected="0">
            <x v="693"/>
          </reference>
          <reference field="4" count="1">
            <x v="7180"/>
          </reference>
        </references>
      </pivotArea>
    </format>
    <format dxfId="2410">
      <pivotArea dataOnly="0" labelOnly="1" outline="0" fieldPosition="0">
        <references count="2">
          <reference field="3" count="1" selected="0">
            <x v="701"/>
          </reference>
          <reference field="4" count="1">
            <x v="3523"/>
          </reference>
        </references>
      </pivotArea>
    </format>
    <format dxfId="2409">
      <pivotArea dataOnly="0" labelOnly="1" outline="0" fieldPosition="0">
        <references count="2">
          <reference field="3" count="1" selected="0">
            <x v="729"/>
          </reference>
          <reference field="4" count="1">
            <x v="1860"/>
          </reference>
        </references>
      </pivotArea>
    </format>
    <format dxfId="2408">
      <pivotArea dataOnly="0" labelOnly="1" outline="0" fieldPosition="0">
        <references count="2">
          <reference field="3" count="1" selected="0">
            <x v="740"/>
          </reference>
          <reference field="4" count="1">
            <x v="2185"/>
          </reference>
        </references>
      </pivotArea>
    </format>
    <format dxfId="2407">
      <pivotArea dataOnly="0" labelOnly="1" outline="0" fieldPosition="0">
        <references count="2">
          <reference field="3" count="1" selected="0">
            <x v="776"/>
          </reference>
          <reference field="4" count="1">
            <x v="5233"/>
          </reference>
        </references>
      </pivotArea>
    </format>
    <format dxfId="2406">
      <pivotArea dataOnly="0" labelOnly="1" outline="0" fieldPosition="0">
        <references count="2">
          <reference field="3" count="1" selected="0">
            <x v="790"/>
          </reference>
          <reference field="4" count="1">
            <x v="7975"/>
          </reference>
        </references>
      </pivotArea>
    </format>
    <format dxfId="2405">
      <pivotArea dataOnly="0" labelOnly="1" outline="0" fieldPosition="0">
        <references count="2">
          <reference field="3" count="1" selected="0">
            <x v="804"/>
          </reference>
          <reference field="4" count="1">
            <x v="3639"/>
          </reference>
        </references>
      </pivotArea>
    </format>
    <format dxfId="2404">
      <pivotArea dataOnly="0" labelOnly="1" outline="0" fieldPosition="0">
        <references count="2">
          <reference field="3" count="1" selected="0">
            <x v="841"/>
          </reference>
          <reference field="4" count="1">
            <x v="6464"/>
          </reference>
        </references>
      </pivotArea>
    </format>
    <format dxfId="2403">
      <pivotArea dataOnly="0" labelOnly="1" outline="0" fieldPosition="0">
        <references count="2">
          <reference field="3" count="1" selected="0">
            <x v="875"/>
          </reference>
          <reference field="4" count="1">
            <x v="7048"/>
          </reference>
        </references>
      </pivotArea>
    </format>
    <format dxfId="2402">
      <pivotArea dataOnly="0" labelOnly="1" outline="0" fieldPosition="0">
        <references count="2">
          <reference field="3" count="1" selected="0">
            <x v="889"/>
          </reference>
          <reference field="4" count="1">
            <x v="4618"/>
          </reference>
        </references>
      </pivotArea>
    </format>
    <format dxfId="2401">
      <pivotArea dataOnly="0" labelOnly="1" outline="0" fieldPosition="0">
        <references count="2">
          <reference field="3" count="1" selected="0">
            <x v="893"/>
          </reference>
          <reference field="4" count="1">
            <x v="4247"/>
          </reference>
        </references>
      </pivotArea>
    </format>
    <format dxfId="2400">
      <pivotArea dataOnly="0" labelOnly="1" outline="0" fieldPosition="0">
        <references count="2">
          <reference field="3" count="1" selected="0">
            <x v="904"/>
          </reference>
          <reference field="4" count="1">
            <x v="5584"/>
          </reference>
        </references>
      </pivotArea>
    </format>
    <format dxfId="2399">
      <pivotArea dataOnly="0" labelOnly="1" outline="0" fieldPosition="0">
        <references count="2">
          <reference field="3" count="1" selected="0">
            <x v="940"/>
          </reference>
          <reference field="4" count="1">
            <x v="7172"/>
          </reference>
        </references>
      </pivotArea>
    </format>
    <format dxfId="2398">
      <pivotArea dataOnly="0" labelOnly="1" outline="0" fieldPosition="0">
        <references count="2">
          <reference field="3" count="1" selected="0">
            <x v="1001"/>
          </reference>
          <reference field="4" count="1">
            <x v="1130"/>
          </reference>
        </references>
      </pivotArea>
    </format>
    <format dxfId="2397">
      <pivotArea dataOnly="0" labelOnly="1" outline="0" fieldPosition="0">
        <references count="2">
          <reference field="3" count="1" selected="0">
            <x v="1029"/>
          </reference>
          <reference field="4" count="1">
            <x v="5540"/>
          </reference>
        </references>
      </pivotArea>
    </format>
    <format dxfId="2396">
      <pivotArea dataOnly="0" labelOnly="1" outline="0" fieldPosition="0">
        <references count="2">
          <reference field="3" count="1" selected="0">
            <x v="1058"/>
          </reference>
          <reference field="4" count="1">
            <x v="3983"/>
          </reference>
        </references>
      </pivotArea>
    </format>
    <format dxfId="2395">
      <pivotArea dataOnly="0" labelOnly="1" outline="0" fieldPosition="0">
        <references count="2">
          <reference field="3" count="1" selected="0">
            <x v="1112"/>
          </reference>
          <reference field="4" count="1">
            <x v="2243"/>
          </reference>
        </references>
      </pivotArea>
    </format>
    <format dxfId="2394">
      <pivotArea dataOnly="0" labelOnly="1" outline="0" fieldPosition="0">
        <references count="2">
          <reference field="3" count="1" selected="0">
            <x v="1304"/>
          </reference>
          <reference field="4" count="1">
            <x v="1579"/>
          </reference>
        </references>
      </pivotArea>
    </format>
    <format dxfId="2393">
      <pivotArea dataOnly="0" labelOnly="1" outline="0" fieldPosition="0">
        <references count="2">
          <reference field="3" count="1" selected="0">
            <x v="1305"/>
          </reference>
          <reference field="4" count="1">
            <x v="6973"/>
          </reference>
        </references>
      </pivotArea>
    </format>
    <format dxfId="2392">
      <pivotArea dataOnly="0" labelOnly="1" outline="0" fieldPosition="0">
        <references count="2">
          <reference field="3" count="1" selected="0">
            <x v="1370"/>
          </reference>
          <reference field="4" count="1">
            <x v="6077"/>
          </reference>
        </references>
      </pivotArea>
    </format>
    <format dxfId="2391">
      <pivotArea dataOnly="0" labelOnly="1" outline="0" fieldPosition="0">
        <references count="2">
          <reference field="3" count="1" selected="0">
            <x v="1410"/>
          </reference>
          <reference field="4" count="1">
            <x v="6042"/>
          </reference>
        </references>
      </pivotArea>
    </format>
    <format dxfId="2390">
      <pivotArea dataOnly="0" labelOnly="1" outline="0" fieldPosition="0">
        <references count="2">
          <reference field="3" count="1" selected="0">
            <x v="1430"/>
          </reference>
          <reference field="4" count="1">
            <x v="7464"/>
          </reference>
        </references>
      </pivotArea>
    </format>
    <format dxfId="2389">
      <pivotArea dataOnly="0" labelOnly="1" outline="0" fieldPosition="0">
        <references count="2">
          <reference field="3" count="1" selected="0">
            <x v="1472"/>
          </reference>
          <reference field="4" count="1">
            <x v="566"/>
          </reference>
        </references>
      </pivotArea>
    </format>
    <format dxfId="2388">
      <pivotArea dataOnly="0" labelOnly="1" outline="0" fieldPosition="0">
        <references count="2">
          <reference field="3" count="1" selected="0">
            <x v="1484"/>
          </reference>
          <reference field="4" count="1">
            <x v="6176"/>
          </reference>
        </references>
      </pivotArea>
    </format>
    <format dxfId="2387">
      <pivotArea dataOnly="0" labelOnly="1" outline="0" fieldPosition="0">
        <references count="2">
          <reference field="3" count="1" selected="0">
            <x v="1500"/>
          </reference>
          <reference field="4" count="1">
            <x v="5338"/>
          </reference>
        </references>
      </pivotArea>
    </format>
    <format dxfId="2386">
      <pivotArea dataOnly="0" labelOnly="1" outline="0" fieldPosition="0">
        <references count="2">
          <reference field="3" count="1" selected="0">
            <x v="1526"/>
          </reference>
          <reference field="4" count="1">
            <x v="2525"/>
          </reference>
        </references>
      </pivotArea>
    </format>
    <format dxfId="2385">
      <pivotArea dataOnly="0" labelOnly="1" outline="0" fieldPosition="0">
        <references count="2">
          <reference field="3" count="1" selected="0">
            <x v="1585"/>
          </reference>
          <reference field="4" count="1">
            <x v="7824"/>
          </reference>
        </references>
      </pivotArea>
    </format>
    <format dxfId="2384">
      <pivotArea dataOnly="0" labelOnly="1" outline="0" fieldPosition="0">
        <references count="2">
          <reference field="3" count="1" selected="0">
            <x v="1598"/>
          </reference>
          <reference field="4" count="1">
            <x v="3672"/>
          </reference>
        </references>
      </pivotArea>
    </format>
    <format dxfId="2383">
      <pivotArea dataOnly="0" labelOnly="1" outline="0" fieldPosition="0">
        <references count="2">
          <reference field="3" count="1" selected="0">
            <x v="1628"/>
          </reference>
          <reference field="4" count="1">
            <x v="2213"/>
          </reference>
        </references>
      </pivotArea>
    </format>
    <format dxfId="2382">
      <pivotArea dataOnly="0" labelOnly="1" outline="0" fieldPosition="0">
        <references count="2">
          <reference field="3" count="1" selected="0">
            <x v="1634"/>
          </reference>
          <reference field="4" count="1">
            <x v="2829"/>
          </reference>
        </references>
      </pivotArea>
    </format>
    <format dxfId="2381">
      <pivotArea dataOnly="0" labelOnly="1" outline="0" fieldPosition="0">
        <references count="2">
          <reference field="3" count="1" selected="0">
            <x v="1742"/>
          </reference>
          <reference field="4" count="1">
            <x v="6925"/>
          </reference>
        </references>
      </pivotArea>
    </format>
    <format dxfId="2380">
      <pivotArea dataOnly="0" labelOnly="1" outline="0" fieldPosition="0">
        <references count="2">
          <reference field="3" count="1" selected="0">
            <x v="1749"/>
          </reference>
          <reference field="4" count="1">
            <x v="3480"/>
          </reference>
        </references>
      </pivotArea>
    </format>
    <format dxfId="2379">
      <pivotArea dataOnly="0" labelOnly="1" outline="0" fieldPosition="0">
        <references count="2">
          <reference field="3" count="1" selected="0">
            <x v="1788"/>
          </reference>
          <reference field="4" count="1">
            <x v="5797"/>
          </reference>
        </references>
      </pivotArea>
    </format>
    <format dxfId="2378">
      <pivotArea dataOnly="0" labelOnly="1" outline="0" fieldPosition="0">
        <references count="1">
          <reference field="3" count="0"/>
        </references>
      </pivotArea>
    </format>
    <format dxfId="2377">
      <pivotArea dataOnly="0" labelOnly="1" outline="0" fieldPosition="0">
        <references count="1">
          <reference field="3" count="0"/>
        </references>
      </pivotArea>
    </format>
    <format dxfId="2376">
      <pivotArea outline="0" fieldPosition="0">
        <references count="9">
          <reference field="3" count="304" selected="0">
            <x v="56"/>
            <x v="81"/>
            <x v="104"/>
            <x v="112"/>
            <x v="122"/>
            <x v="136"/>
            <x v="138"/>
            <x v="143"/>
            <x v="149"/>
            <x v="152"/>
            <x v="153"/>
            <x v="155"/>
            <x v="174"/>
            <x v="184"/>
            <x v="189"/>
            <x v="190"/>
            <x v="199"/>
            <x v="203"/>
            <x v="204"/>
            <x v="206"/>
            <x v="215"/>
            <x v="234"/>
            <x v="251"/>
            <x v="253"/>
            <x v="255"/>
            <x v="259"/>
            <x v="261"/>
            <x v="266"/>
            <x v="269"/>
            <x v="276"/>
            <x v="277"/>
            <x v="281"/>
            <x v="292"/>
            <x v="321"/>
            <x v="340"/>
            <x v="356"/>
            <x v="360"/>
            <x v="365"/>
            <x v="375"/>
            <x v="379"/>
            <x v="388"/>
            <x v="396"/>
            <x v="398"/>
            <x v="445"/>
            <x v="458"/>
            <x v="460"/>
            <x v="465"/>
            <x v="477"/>
            <x v="480"/>
            <x v="481"/>
            <x v="492"/>
            <x v="498"/>
            <x v="503"/>
            <x v="512"/>
            <x v="532"/>
            <x v="535"/>
            <x v="539"/>
            <x v="541"/>
            <x v="558"/>
            <x v="582"/>
            <x v="585"/>
            <x v="587"/>
            <x v="597"/>
            <x v="599"/>
            <x v="622"/>
            <x v="624"/>
            <x v="625"/>
            <x v="632"/>
            <x v="638"/>
            <x v="640"/>
            <x v="651"/>
            <x v="656"/>
            <x v="675"/>
            <x v="682"/>
            <x v="683"/>
            <x v="691"/>
            <x v="695"/>
            <x v="697"/>
            <x v="709"/>
            <x v="712"/>
            <x v="715"/>
            <x v="716"/>
            <x v="718"/>
            <x v="721"/>
            <x v="730"/>
            <x v="737"/>
            <x v="743"/>
            <x v="745"/>
            <x v="747"/>
            <x v="749"/>
            <x v="756"/>
            <x v="759"/>
            <x v="774"/>
            <x v="782"/>
            <x v="797"/>
            <x v="808"/>
            <x v="809"/>
            <x v="810"/>
            <x v="839"/>
            <x v="845"/>
            <x v="848"/>
            <x v="850"/>
            <x v="873"/>
            <x v="881"/>
            <x v="884"/>
            <x v="913"/>
            <x v="945"/>
            <x v="948"/>
            <x v="949"/>
            <x v="971"/>
            <x v="972"/>
            <x v="978"/>
            <x v="982"/>
            <x v="997"/>
            <x v="1003"/>
            <x v="1011"/>
            <x v="1018"/>
            <x v="1020"/>
            <x v="1032"/>
            <x v="1035"/>
            <x v="1038"/>
            <x v="1040"/>
            <x v="1055"/>
            <x v="1056"/>
            <x v="1066"/>
            <x v="1069"/>
            <x v="1075"/>
            <x v="1077"/>
            <x v="1080"/>
            <x v="1088"/>
            <x v="1092"/>
            <x v="1099"/>
            <x v="1113"/>
            <x v="1129"/>
            <x v="1141"/>
            <x v="1144"/>
            <x v="1167"/>
            <x v="1168"/>
            <x v="1189"/>
            <x v="1196"/>
            <x v="1198"/>
            <x v="1204"/>
            <x v="1210"/>
            <x v="1222"/>
            <x v="1226"/>
            <x v="1242"/>
            <x v="1247"/>
            <x v="1261"/>
            <x v="1262"/>
            <x v="1285"/>
            <x v="1288"/>
            <x v="1291"/>
            <x v="1306"/>
            <x v="1318"/>
            <x v="1343"/>
            <x v="1353"/>
            <x v="1355"/>
            <x v="1383"/>
            <x v="1388"/>
            <x v="1391"/>
            <x v="1398"/>
            <x v="1415"/>
            <x v="1418"/>
            <x v="1423"/>
            <x v="1427"/>
            <x v="1431"/>
            <x v="1435"/>
            <x v="1449"/>
            <x v="1452"/>
            <x v="1482"/>
            <x v="1493"/>
            <x v="1501"/>
            <x v="1509"/>
            <x v="1511"/>
            <x v="1512"/>
            <x v="1514"/>
            <x v="1515"/>
            <x v="1534"/>
            <x v="1545"/>
            <x v="1564"/>
            <x v="1619"/>
            <x v="1626"/>
            <x v="1645"/>
            <x v="1647"/>
            <x v="1677"/>
            <x v="1678"/>
            <x v="1687"/>
            <x v="1699"/>
            <x v="1701"/>
            <x v="1704"/>
            <x v="1712"/>
            <x v="1715"/>
            <x v="1717"/>
            <x v="1718"/>
            <x v="1720"/>
            <x v="1725"/>
            <x v="1729"/>
            <x v="1738"/>
            <x v="1741"/>
            <x v="1746"/>
            <x v="1747"/>
            <x v="1748"/>
            <x v="1750"/>
            <x v="1753"/>
            <x v="1758"/>
            <x v="1761"/>
            <x v="1765"/>
            <x v="1767"/>
            <x v="1771"/>
            <x v="1783"/>
            <x v="1784"/>
            <x v="1785"/>
            <x v="1786"/>
            <x v="1789"/>
            <x v="1790"/>
            <x v="1799"/>
            <x v="1804"/>
            <x v="1811"/>
            <x v="1812"/>
            <x v="1827"/>
            <x v="1838"/>
            <x v="1840"/>
            <x v="1851"/>
            <x v="1853"/>
            <x v="1871"/>
            <x v="1875"/>
            <x v="1889"/>
            <x v="1890"/>
            <x v="1894"/>
            <x v="1895"/>
            <x v="1902"/>
            <x v="1903"/>
            <x v="1905"/>
            <x v="1906"/>
            <x v="1911"/>
            <x v="1916"/>
            <x v="1917"/>
            <x v="1918"/>
            <x v="1937"/>
            <x v="1946"/>
            <x v="1947"/>
            <x v="1949"/>
            <x v="1950"/>
            <x v="1951"/>
            <x v="1963"/>
            <x v="1964"/>
            <x v="1971"/>
            <x v="1983"/>
            <x v="1990"/>
            <x v="2010"/>
            <x v="2024"/>
            <x v="2040"/>
            <x v="2048"/>
            <x v="2049"/>
            <x v="2051"/>
            <x v="2066"/>
            <x v="2069"/>
            <x v="2072"/>
            <x v="2075"/>
            <x v="2081"/>
            <x v="2085"/>
            <x v="2089"/>
            <x v="2097"/>
            <x v="2101"/>
            <x v="2104"/>
            <x v="2105"/>
            <x v="2106"/>
            <x v="2112"/>
            <x v="2118"/>
            <x v="2120"/>
            <x v="2122"/>
            <x v="2127"/>
            <x v="2137"/>
            <x v="2144"/>
            <x v="2163"/>
            <x v="2171"/>
            <x v="2173"/>
            <x v="2174"/>
            <x v="2178"/>
            <x v="2181"/>
            <x v="2182"/>
            <x v="2183"/>
            <x v="2185"/>
            <x v="2193"/>
            <x v="2194"/>
            <x v="2196"/>
            <x v="2197"/>
            <x v="2201"/>
            <x v="2205"/>
            <x v="2210"/>
            <x v="2222"/>
            <x v="2227"/>
            <x v="2232"/>
            <x v="2234"/>
            <x v="2235"/>
            <x v="2236"/>
            <x v="2243"/>
            <x v="2251"/>
            <x v="2259"/>
            <x v="2261"/>
            <x v="2264"/>
            <x v="2266"/>
            <x v="2268"/>
            <x v="2269"/>
          </reference>
          <reference field="4" count="673" selected="0">
            <x v="11"/>
            <x v="21"/>
            <x v="33"/>
            <x v="65"/>
            <x v="83"/>
            <x v="90"/>
            <x v="92"/>
            <x v="98"/>
            <x v="105"/>
            <x v="109"/>
            <x v="112"/>
            <x v="121"/>
            <x v="124"/>
            <x v="143"/>
            <x v="154"/>
            <x v="164"/>
            <x v="179"/>
            <x v="195"/>
            <x v="197"/>
            <x v="231"/>
            <x v="234"/>
            <x v="246"/>
            <x v="247"/>
            <x v="254"/>
            <x v="274"/>
            <x v="290"/>
            <x v="295"/>
            <x v="305"/>
            <x v="313"/>
            <x v="319"/>
            <x v="327"/>
            <x v="340"/>
            <x v="399"/>
            <x v="406"/>
            <x v="416"/>
            <x v="417"/>
            <x v="437"/>
            <x v="479"/>
            <x v="482"/>
            <x v="501"/>
            <x v="502"/>
            <x v="503"/>
            <x v="512"/>
            <x v="552"/>
            <x v="553"/>
            <x v="561"/>
            <x v="568"/>
            <x v="586"/>
            <x v="597"/>
            <x v="602"/>
            <x v="603"/>
            <x v="605"/>
            <x v="616"/>
            <x v="618"/>
            <x v="660"/>
            <x v="669"/>
            <x v="680"/>
            <x v="693"/>
            <x v="714"/>
            <x v="737"/>
            <x v="743"/>
            <x v="749"/>
            <x v="750"/>
            <x v="768"/>
            <x v="798"/>
            <x v="799"/>
            <x v="805"/>
            <x v="806"/>
            <x v="814"/>
            <x v="823"/>
            <x v="854"/>
            <x v="868"/>
            <x v="876"/>
            <x v="882"/>
            <x v="884"/>
            <x v="900"/>
            <x v="901"/>
            <x v="907"/>
            <x v="926"/>
            <x v="949"/>
            <x v="952"/>
            <x v="961"/>
            <x v="962"/>
            <x v="963"/>
            <x v="982"/>
            <x v="1007"/>
            <x v="1019"/>
            <x v="1030"/>
            <x v="1041"/>
            <x v="1046"/>
            <x v="1048"/>
            <x v="1050"/>
            <x v="1064"/>
            <x v="1070"/>
            <x v="1096"/>
            <x v="1103"/>
            <x v="1112"/>
            <x v="1123"/>
            <x v="1130"/>
            <x v="1143"/>
            <x v="1144"/>
            <x v="1162"/>
            <x v="1167"/>
            <x v="1168"/>
            <x v="1173"/>
            <x v="1175"/>
            <x v="1188"/>
            <x v="1236"/>
            <x v="1237"/>
            <x v="1239"/>
            <x v="1255"/>
            <x v="1259"/>
            <x v="1293"/>
            <x v="1294"/>
            <x v="1325"/>
            <x v="1327"/>
            <x v="1335"/>
            <x v="1344"/>
            <x v="1352"/>
            <x v="1355"/>
            <x v="1359"/>
            <x v="1364"/>
            <x v="1375"/>
            <x v="1384"/>
            <x v="1401"/>
            <x v="1427"/>
            <x v="1430"/>
            <x v="1442"/>
            <x v="1490"/>
            <x v="1492"/>
            <x v="1494"/>
            <x v="1525"/>
            <x v="1528"/>
            <x v="1533"/>
            <x v="1539"/>
            <x v="1542"/>
            <x v="1548"/>
            <x v="1550"/>
            <x v="1553"/>
            <x v="1576"/>
            <x v="1579"/>
            <x v="1618"/>
            <x v="1624"/>
            <x v="1632"/>
            <x v="1664"/>
            <x v="1665"/>
            <x v="1667"/>
            <x v="1682"/>
            <x v="1685"/>
            <x v="1747"/>
            <x v="1759"/>
            <x v="1776"/>
            <x v="1786"/>
            <x v="1803"/>
            <x v="1813"/>
            <x v="1832"/>
            <x v="1837"/>
            <x v="1849"/>
            <x v="1860"/>
            <x v="1861"/>
            <x v="1864"/>
            <x v="1866"/>
            <x v="1872"/>
            <x v="1876"/>
            <x v="1878"/>
            <x v="1882"/>
            <x v="1892"/>
            <x v="1903"/>
            <x v="1927"/>
            <x v="1928"/>
            <x v="1943"/>
            <x v="1960"/>
            <x v="2000"/>
            <x v="2075"/>
            <x v="2094"/>
            <x v="2100"/>
            <x v="2114"/>
            <x v="2119"/>
            <x v="2132"/>
            <x v="2151"/>
            <x v="2176"/>
            <x v="2183"/>
            <x v="2228"/>
            <x v="2229"/>
            <x v="2233"/>
            <x v="2252"/>
            <x v="2254"/>
            <x v="2269"/>
            <x v="2312"/>
            <x v="2315"/>
            <x v="2329"/>
            <x v="2341"/>
            <x v="2352"/>
            <x v="2355"/>
            <x v="2361"/>
            <x v="2379"/>
            <x v="2404"/>
            <x v="2438"/>
            <x v="2452"/>
            <x v="2456"/>
            <x v="2457"/>
            <x v="2482"/>
            <x v="2498"/>
            <x v="2504"/>
            <x v="2514"/>
            <x v="2516"/>
            <x v="2535"/>
            <x v="2575"/>
            <x v="2581"/>
            <x v="2582"/>
            <x v="2585"/>
            <x v="2600"/>
            <x v="2602"/>
            <x v="2624"/>
            <x v="2633"/>
            <x v="2651"/>
            <x v="2672"/>
            <x v="2680"/>
            <x v="2681"/>
            <x v="2690"/>
            <x v="2691"/>
            <x v="2706"/>
            <x v="2711"/>
            <x v="2723"/>
            <x v="2754"/>
            <x v="2756"/>
            <x v="2762"/>
            <x v="2802"/>
            <x v="2804"/>
            <x v="2805"/>
            <x v="2811"/>
            <x v="2829"/>
            <x v="2858"/>
            <x v="2860"/>
            <x v="2863"/>
            <x v="2868"/>
            <x v="2893"/>
            <x v="2929"/>
            <x v="2934"/>
            <x v="2944"/>
            <x v="2957"/>
            <x v="2975"/>
            <x v="2978"/>
            <x v="2990"/>
            <x v="3085"/>
            <x v="3086"/>
            <x v="3088"/>
            <x v="3090"/>
            <x v="3113"/>
            <x v="3119"/>
            <x v="3139"/>
            <x v="3159"/>
            <x v="3160"/>
            <x v="3179"/>
            <x v="3180"/>
            <x v="3186"/>
            <x v="3190"/>
            <x v="3198"/>
            <x v="3199"/>
            <x v="3230"/>
            <x v="3233"/>
            <x v="3236"/>
            <x v="3253"/>
            <x v="3254"/>
            <x v="3259"/>
            <x v="3264"/>
            <x v="3267"/>
            <x v="3271"/>
            <x v="3289"/>
            <x v="3293"/>
            <x v="3300"/>
            <x v="3301"/>
            <x v="3302"/>
            <x v="3311"/>
            <x v="3324"/>
            <x v="3352"/>
            <x v="3358"/>
            <x v="3369"/>
            <x v="3374"/>
            <x v="3389"/>
            <x v="3393"/>
            <x v="3407"/>
            <x v="3408"/>
            <x v="3421"/>
            <x v="3422"/>
            <x v="3424"/>
            <x v="3447"/>
            <x v="3454"/>
            <x v="3485"/>
            <x v="3488"/>
            <x v="3517"/>
            <x v="3519"/>
            <x v="3546"/>
            <x v="3551"/>
            <x v="3566"/>
            <x v="3567"/>
            <x v="3574"/>
            <x v="3582"/>
            <x v="3584"/>
            <x v="3601"/>
            <x v="3637"/>
            <x v="3639"/>
            <x v="3641"/>
            <x v="3643"/>
            <x v="3674"/>
            <x v="3682"/>
            <x v="3693"/>
            <x v="3711"/>
            <x v="3719"/>
            <x v="3721"/>
            <x v="3750"/>
            <x v="3787"/>
            <x v="3808"/>
            <x v="3814"/>
            <x v="3868"/>
            <x v="3898"/>
            <x v="3911"/>
            <x v="3916"/>
            <x v="3920"/>
            <x v="3926"/>
            <x v="3938"/>
            <x v="3963"/>
            <x v="4011"/>
            <x v="4015"/>
            <x v="4059"/>
            <x v="4061"/>
            <x v="4064"/>
            <x v="4073"/>
            <x v="4075"/>
            <x v="4077"/>
            <x v="4089"/>
            <x v="4095"/>
            <x v="4096"/>
            <x v="4101"/>
            <x v="4128"/>
            <x v="4129"/>
            <x v="4136"/>
            <x v="4144"/>
            <x v="4145"/>
            <x v="4146"/>
            <x v="4177"/>
            <x v="4186"/>
            <x v="4200"/>
            <x v="4205"/>
            <x v="4209"/>
            <x v="4217"/>
            <x v="4224"/>
            <x v="4227"/>
            <x v="4247"/>
            <x v="4248"/>
            <x v="4254"/>
            <x v="4265"/>
            <x v="4278"/>
            <x v="4295"/>
            <x v="4300"/>
            <x v="4323"/>
            <x v="4329"/>
            <x v="4334"/>
            <x v="4339"/>
            <x v="4341"/>
            <x v="4348"/>
            <x v="4354"/>
            <x v="4357"/>
            <x v="4385"/>
            <x v="4400"/>
            <x v="4415"/>
            <x v="4426"/>
            <x v="4436"/>
            <x v="4449"/>
            <x v="4473"/>
            <x v="4475"/>
            <x v="4476"/>
            <x v="4488"/>
            <x v="4507"/>
            <x v="4509"/>
            <x v="4512"/>
            <x v="4527"/>
            <x v="4528"/>
            <x v="4537"/>
            <x v="4564"/>
            <x v="4570"/>
            <x v="4580"/>
            <x v="4606"/>
            <x v="4619"/>
            <x v="4632"/>
            <x v="4645"/>
            <x v="4682"/>
            <x v="4702"/>
            <x v="4719"/>
            <x v="4724"/>
            <x v="4739"/>
            <x v="4744"/>
            <x v="4745"/>
            <x v="4749"/>
            <x v="4765"/>
            <x v="4781"/>
            <x v="4793"/>
            <x v="4799"/>
            <x v="4852"/>
            <x v="4856"/>
            <x v="4858"/>
            <x v="4873"/>
            <x v="4874"/>
            <x v="4891"/>
            <x v="4895"/>
            <x v="4898"/>
            <x v="4901"/>
            <x v="4903"/>
            <x v="4917"/>
            <x v="4935"/>
            <x v="4937"/>
            <x v="4943"/>
            <x v="4945"/>
            <x v="4960"/>
            <x v="4979"/>
            <x v="4981"/>
            <x v="4982"/>
            <x v="4986"/>
            <x v="4996"/>
            <x v="5001"/>
            <x v="5002"/>
            <x v="5012"/>
            <x v="5021"/>
            <x v="5022"/>
            <x v="5045"/>
            <x v="5051"/>
            <x v="5056"/>
            <x v="5069"/>
            <x v="5078"/>
            <x v="5090"/>
            <x v="5116"/>
            <x v="5179"/>
            <x v="5185"/>
            <x v="5188"/>
            <x v="5213"/>
            <x v="5221"/>
            <x v="5222"/>
            <x v="5225"/>
            <x v="5233"/>
            <x v="5242"/>
            <x v="5253"/>
            <x v="5292"/>
            <x v="5309"/>
            <x v="5313"/>
            <x v="5323"/>
            <x v="5325"/>
            <x v="5330"/>
            <x v="5331"/>
            <x v="5338"/>
            <x v="5342"/>
            <x v="5356"/>
            <x v="5368"/>
            <x v="5375"/>
            <x v="5397"/>
            <x v="5408"/>
            <x v="5416"/>
            <x v="5421"/>
            <x v="5434"/>
            <x v="5439"/>
            <x v="5449"/>
            <x v="5459"/>
            <x v="5470"/>
            <x v="5488"/>
            <x v="5533"/>
            <x v="5540"/>
            <x v="5564"/>
            <x v="5566"/>
            <x v="5568"/>
            <x v="5574"/>
            <x v="5584"/>
            <x v="5586"/>
            <x v="5595"/>
            <x v="5605"/>
            <x v="5612"/>
            <x v="5622"/>
            <x v="5642"/>
            <x v="5651"/>
            <x v="5654"/>
            <x v="5661"/>
            <x v="5667"/>
            <x v="5668"/>
            <x v="5673"/>
            <x v="5674"/>
            <x v="5701"/>
            <x v="5715"/>
            <x v="5717"/>
            <x v="5722"/>
            <x v="5728"/>
            <x v="5737"/>
            <x v="5758"/>
            <x v="5760"/>
            <x v="5774"/>
            <x v="5794"/>
            <x v="5797"/>
            <x v="5804"/>
            <x v="5811"/>
            <x v="5814"/>
            <x v="5822"/>
            <x v="5837"/>
            <x v="5840"/>
            <x v="5849"/>
            <x v="5852"/>
            <x v="5865"/>
            <x v="5876"/>
            <x v="5878"/>
            <x v="5879"/>
            <x v="5893"/>
            <x v="5900"/>
            <x v="5910"/>
            <x v="5955"/>
            <x v="5959"/>
            <x v="5964"/>
            <x v="5981"/>
            <x v="5990"/>
            <x v="5997"/>
            <x v="5998"/>
            <x v="6006"/>
            <x v="6041"/>
            <x v="6042"/>
            <x v="6043"/>
            <x v="6050"/>
            <x v="6062"/>
            <x v="6122"/>
            <x v="6138"/>
            <x v="6143"/>
            <x v="6144"/>
            <x v="6171"/>
            <x v="6179"/>
            <x v="6188"/>
            <x v="6191"/>
            <x v="6192"/>
            <x v="6197"/>
            <x v="6211"/>
            <x v="6214"/>
            <x v="6232"/>
            <x v="6274"/>
            <x v="6290"/>
            <x v="6293"/>
            <x v="6298"/>
            <x v="6326"/>
            <x v="6339"/>
            <x v="6343"/>
            <x v="6358"/>
            <x v="6370"/>
            <x v="6380"/>
            <x v="6382"/>
            <x v="6390"/>
            <x v="6393"/>
            <x v="6413"/>
            <x v="6418"/>
            <x v="6428"/>
            <x v="6460"/>
            <x v="6473"/>
            <x v="6476"/>
            <x v="6490"/>
            <x v="6492"/>
            <x v="6497"/>
            <x v="6501"/>
            <x v="6503"/>
            <x v="6510"/>
            <x v="6532"/>
            <x v="6534"/>
            <x v="6537"/>
            <x v="6562"/>
            <x v="6571"/>
            <x v="6607"/>
            <x v="6617"/>
            <x v="6618"/>
            <x v="6627"/>
            <x v="6652"/>
            <x v="6660"/>
            <x v="6669"/>
            <x v="6670"/>
            <x v="6713"/>
            <x v="6716"/>
            <x v="6726"/>
            <x v="6736"/>
            <x v="6739"/>
            <x v="6775"/>
            <x v="6784"/>
            <x v="6804"/>
            <x v="6845"/>
            <x v="6849"/>
            <x v="6851"/>
            <x v="6853"/>
            <x v="6875"/>
            <x v="6878"/>
            <x v="6908"/>
            <x v="6916"/>
            <x v="6928"/>
            <x v="6930"/>
            <x v="6935"/>
            <x v="6947"/>
            <x v="6949"/>
            <x v="6973"/>
            <x v="7004"/>
            <x v="7008"/>
            <x v="7016"/>
            <x v="7025"/>
            <x v="7033"/>
            <x v="7048"/>
            <x v="7059"/>
            <x v="7067"/>
            <x v="7068"/>
            <x v="7069"/>
            <x v="7077"/>
            <x v="7095"/>
            <x v="7103"/>
            <x v="7110"/>
            <x v="7132"/>
            <x v="7137"/>
            <x v="7149"/>
            <x v="7152"/>
            <x v="7176"/>
            <x v="7177"/>
            <x v="7180"/>
            <x v="7191"/>
            <x v="7202"/>
            <x v="7215"/>
            <x v="7233"/>
            <x v="7240"/>
            <x v="7292"/>
            <x v="7302"/>
            <x v="7319"/>
            <x v="7346"/>
            <x v="7371"/>
            <x v="7379"/>
            <x v="7380"/>
            <x v="7411"/>
            <x v="7439"/>
            <x v="7464"/>
            <x v="7482"/>
            <x v="7496"/>
            <x v="7499"/>
            <x v="7537"/>
            <x v="7538"/>
            <x v="7544"/>
            <x v="7567"/>
            <x v="7591"/>
            <x v="7595"/>
            <x v="7600"/>
            <x v="7610"/>
            <x v="7611"/>
            <x v="7613"/>
            <x v="7617"/>
            <x v="7626"/>
            <x v="7630"/>
            <x v="7661"/>
            <x v="7683"/>
            <x v="7687"/>
            <x v="7699"/>
            <x v="7714"/>
            <x v="7732"/>
            <x v="7733"/>
            <x v="7734"/>
            <x v="7737"/>
            <x v="7753"/>
            <x v="7760"/>
            <x v="7764"/>
            <x v="7773"/>
            <x v="7778"/>
            <x v="7780"/>
            <x v="7792"/>
            <x v="7824"/>
            <x v="7833"/>
            <x v="7845"/>
            <x v="7856"/>
            <x v="7888"/>
            <x v="7902"/>
            <x v="7919"/>
            <x v="7928"/>
            <x v="7931"/>
            <x v="7995"/>
          </reference>
          <reference field="11" count="2" selected="0">
            <x v="11"/>
            <x v="12"/>
          </reference>
          <reference field="12" count="26" selected="0">
            <x v="0"/>
            <x v="1"/>
            <x v="2"/>
            <x v="3"/>
            <x v="5"/>
            <x v="7"/>
            <x v="9"/>
            <x v="10"/>
            <x v="11"/>
            <x v="12"/>
            <x v="13"/>
            <x v="14"/>
            <x v="15"/>
            <x v="16"/>
            <x v="17"/>
            <x v="19"/>
            <x v="20"/>
            <x v="22"/>
            <x v="23"/>
            <x v="24"/>
            <x v="25"/>
            <x v="26"/>
            <x v="27"/>
            <x v="29"/>
            <x v="30"/>
            <x v="31"/>
          </reference>
          <reference field="14" count="498" selected="0">
            <x v="3"/>
            <x v="4"/>
            <x v="5"/>
            <x v="7"/>
            <x v="8"/>
            <x v="9"/>
            <x v="14"/>
            <x v="16"/>
            <x v="19"/>
            <x v="20"/>
            <x v="21"/>
            <x v="27"/>
            <x v="28"/>
            <x v="29"/>
            <x v="43"/>
            <x v="45"/>
            <x v="48"/>
            <x v="50"/>
            <x v="52"/>
            <x v="57"/>
            <x v="59"/>
            <x v="65"/>
            <x v="68"/>
            <x v="69"/>
            <x v="72"/>
            <x v="75"/>
            <x v="77"/>
            <x v="79"/>
            <x v="82"/>
            <x v="87"/>
            <x v="88"/>
            <x v="95"/>
            <x v="97"/>
            <x v="99"/>
            <x v="100"/>
            <x v="103"/>
            <x v="106"/>
            <x v="107"/>
            <x v="116"/>
            <x v="119"/>
            <x v="125"/>
            <x v="129"/>
            <x v="133"/>
            <x v="135"/>
            <x v="136"/>
            <x v="137"/>
            <x v="144"/>
            <x v="150"/>
            <x v="152"/>
            <x v="153"/>
            <x v="154"/>
            <x v="157"/>
            <x v="161"/>
            <x v="162"/>
            <x v="165"/>
            <x v="168"/>
            <x v="170"/>
            <x v="173"/>
            <x v="179"/>
            <x v="180"/>
            <x v="185"/>
            <x v="188"/>
            <x v="189"/>
            <x v="196"/>
            <x v="197"/>
            <x v="204"/>
            <x v="212"/>
            <x v="217"/>
            <x v="219"/>
            <x v="221"/>
            <x v="223"/>
            <x v="225"/>
            <x v="229"/>
            <x v="232"/>
            <x v="237"/>
            <x v="240"/>
            <x v="241"/>
            <x v="245"/>
            <x v="247"/>
            <x v="248"/>
            <x v="251"/>
            <x v="252"/>
            <x v="254"/>
            <x v="255"/>
            <x v="260"/>
            <x v="263"/>
            <x v="275"/>
            <x v="276"/>
            <x v="277"/>
            <x v="279"/>
            <x v="281"/>
            <x v="282"/>
            <x v="284"/>
            <x v="287"/>
            <x v="288"/>
            <x v="289"/>
            <x v="290"/>
            <x v="291"/>
            <x v="292"/>
            <x v="293"/>
            <x v="294"/>
            <x v="302"/>
            <x v="303"/>
            <x v="308"/>
            <x v="309"/>
            <x v="311"/>
            <x v="317"/>
            <x v="321"/>
            <x v="323"/>
            <x v="324"/>
            <x v="325"/>
            <x v="327"/>
            <x v="330"/>
            <x v="338"/>
            <x v="339"/>
            <x v="343"/>
            <x v="345"/>
            <x v="346"/>
            <x v="348"/>
            <x v="350"/>
            <x v="352"/>
            <x v="355"/>
            <x v="356"/>
            <x v="357"/>
            <x v="359"/>
            <x v="360"/>
            <x v="363"/>
            <x v="364"/>
            <x v="365"/>
            <x v="366"/>
            <x v="367"/>
            <x v="369"/>
            <x v="370"/>
            <x v="373"/>
            <x v="378"/>
            <x v="379"/>
            <x v="383"/>
            <x v="384"/>
            <x v="389"/>
            <x v="390"/>
            <x v="394"/>
            <x v="398"/>
            <x v="402"/>
            <x v="406"/>
            <x v="408"/>
            <x v="410"/>
            <x v="411"/>
            <x v="412"/>
            <x v="416"/>
            <x v="417"/>
            <x v="420"/>
            <x v="423"/>
            <x v="425"/>
            <x v="428"/>
            <x v="429"/>
            <x v="434"/>
            <x v="438"/>
            <x v="442"/>
            <x v="445"/>
            <x v="449"/>
            <x v="450"/>
            <x v="454"/>
            <x v="457"/>
            <x v="463"/>
            <x v="466"/>
            <x v="468"/>
            <x v="472"/>
            <x v="474"/>
            <x v="478"/>
            <x v="480"/>
            <x v="486"/>
            <x v="495"/>
            <x v="498"/>
            <x v="500"/>
            <x v="501"/>
            <x v="502"/>
            <x v="505"/>
            <x v="510"/>
            <x v="514"/>
            <x v="515"/>
            <x v="518"/>
            <x v="525"/>
            <x v="526"/>
            <x v="529"/>
            <x v="530"/>
            <x v="531"/>
            <x v="534"/>
            <x v="535"/>
            <x v="536"/>
            <x v="537"/>
            <x v="538"/>
            <x v="546"/>
            <x v="547"/>
            <x v="552"/>
            <x v="554"/>
            <x v="555"/>
            <x v="556"/>
            <x v="559"/>
            <x v="563"/>
            <x v="564"/>
            <x v="565"/>
            <x v="567"/>
            <x v="570"/>
            <x v="574"/>
            <x v="576"/>
            <x v="577"/>
            <x v="578"/>
            <x v="579"/>
            <x v="580"/>
            <x v="585"/>
            <x v="587"/>
            <x v="591"/>
            <x v="595"/>
            <x v="596"/>
            <x v="599"/>
            <x v="605"/>
            <x v="606"/>
            <x v="610"/>
            <x v="614"/>
            <x v="616"/>
            <x v="618"/>
            <x v="619"/>
            <x v="621"/>
            <x v="623"/>
            <x v="624"/>
            <x v="626"/>
            <x v="627"/>
            <x v="629"/>
            <x v="630"/>
            <x v="631"/>
            <x v="632"/>
            <x v="634"/>
            <x v="635"/>
            <x v="638"/>
            <x v="640"/>
            <x v="641"/>
            <x v="642"/>
            <x v="643"/>
            <x v="644"/>
            <x v="656"/>
            <x v="658"/>
            <x v="666"/>
            <x v="668"/>
            <x v="670"/>
            <x v="671"/>
            <x v="672"/>
            <x v="673"/>
            <x v="676"/>
            <x v="677"/>
            <x v="678"/>
            <x v="679"/>
            <x v="681"/>
            <x v="682"/>
            <x v="684"/>
            <x v="689"/>
            <x v="690"/>
            <x v="692"/>
            <x v="696"/>
            <x v="697"/>
            <x v="698"/>
            <x v="699"/>
            <x v="700"/>
            <x v="702"/>
            <x v="705"/>
            <x v="709"/>
            <x v="711"/>
            <x v="714"/>
            <x v="716"/>
            <x v="718"/>
            <x v="721"/>
            <x v="722"/>
            <x v="723"/>
            <x v="725"/>
            <x v="730"/>
            <x v="731"/>
            <x v="734"/>
            <x v="737"/>
            <x v="739"/>
            <x v="741"/>
            <x v="742"/>
            <x v="743"/>
            <x v="744"/>
            <x v="745"/>
            <x v="746"/>
            <x v="747"/>
            <x v="748"/>
            <x v="750"/>
            <x v="751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6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6"/>
            <x v="787"/>
            <x v="788"/>
            <x v="789"/>
            <x v="790"/>
            <x v="791"/>
            <x v="792"/>
            <x v="794"/>
            <x v="795"/>
            <x v="796"/>
            <x v="797"/>
            <x v="798"/>
            <x v="799"/>
            <x v="800"/>
            <x v="801"/>
            <x v="802"/>
            <x v="803"/>
            <x v="804"/>
            <x v="806"/>
            <x v="807"/>
            <x v="808"/>
            <x v="809"/>
            <x v="810"/>
            <x v="811"/>
            <x v="812"/>
            <x v="813"/>
            <x v="814"/>
            <x v="815"/>
            <x v="817"/>
            <x v="818"/>
            <x v="819"/>
            <x v="821"/>
            <x v="822"/>
            <x v="823"/>
            <x v="824"/>
            <x v="826"/>
            <x v="827"/>
            <x v="828"/>
            <x v="829"/>
            <x v="830"/>
            <x v="831"/>
            <x v="832"/>
            <x v="834"/>
            <x v="835"/>
            <x v="837"/>
            <x v="838"/>
            <x v="839"/>
            <x v="840"/>
            <x v="841"/>
            <x v="842"/>
            <x v="843"/>
            <x v="844"/>
            <x v="845"/>
            <x v="846"/>
            <x v="848"/>
            <x v="849"/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4"/>
            <x v="866"/>
            <x v="867"/>
            <x v="869"/>
            <x v="870"/>
            <x v="871"/>
            <x v="872"/>
            <x v="873"/>
            <x v="874"/>
            <x v="875"/>
            <x v="876"/>
            <x v="877"/>
            <x v="878"/>
            <x v="880"/>
            <x v="881"/>
            <x v="882"/>
            <x v="883"/>
            <x v="886"/>
            <x v="887"/>
            <x v="888"/>
            <x v="890"/>
            <x v="893"/>
            <x v="894"/>
            <x v="895"/>
            <x v="896"/>
            <x v="898"/>
            <x v="899"/>
            <x v="900"/>
            <x v="901"/>
            <x v="902"/>
            <x v="903"/>
            <x v="904"/>
            <x v="905"/>
            <x v="906"/>
            <x v="907"/>
            <x v="908"/>
            <x v="909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6"/>
            <x v="977"/>
            <x v="978"/>
            <x v="979"/>
            <x v="981"/>
            <x v="982"/>
            <x v="984"/>
            <x v="985"/>
            <x v="986"/>
            <x v="987"/>
            <x v="988"/>
            <x v="989"/>
            <x v="992"/>
          </reference>
          <reference field="19" count="0" selected="0"/>
          <reference field="21" count="51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9"/>
            <x v="52"/>
            <x v="53"/>
          </reference>
          <reference field="22" count="7" selected="0">
            <x v="0"/>
            <x v="1"/>
            <x v="2"/>
            <x v="3"/>
            <x v="4"/>
            <x v="5"/>
            <x v="6"/>
          </reference>
          <reference field="24" count="0" selected="0"/>
        </references>
      </pivotArea>
    </format>
    <format dxfId="2375">
      <pivotArea field="3" type="button" dataOnly="0" labelOnly="1" outline="0" axis="axisRow" fieldPosition="0"/>
    </format>
    <format dxfId="2374">
      <pivotArea field="4" type="button" dataOnly="0" labelOnly="1" outline="0" axis="axisRow" fieldPosition="1"/>
    </format>
    <format dxfId="2373">
      <pivotArea field="11" type="button" dataOnly="0" labelOnly="1" outline="0" axis="axisRow" fieldPosition="2"/>
    </format>
    <format dxfId="2372">
      <pivotArea field="14" type="button" dataOnly="0" labelOnly="1" outline="0" axis="axisRow" fieldPosition="3"/>
    </format>
    <format dxfId="2371">
      <pivotArea field="21" type="button" dataOnly="0" labelOnly="1" outline="0" axis="axisRow" fieldPosition="4"/>
    </format>
    <format dxfId="2370">
      <pivotArea field="22" type="button" dataOnly="0" labelOnly="1" outline="0" axis="axisRow" fieldPosition="5"/>
    </format>
    <format dxfId="2369">
      <pivotArea field="12" type="button" dataOnly="0" labelOnly="1" outline="0" axis="axisRow" fieldPosition="6"/>
    </format>
    <format dxfId="2368">
      <pivotArea field="19" type="button" dataOnly="0" labelOnly="1" outline="0" axis="axisRow" fieldPosition="7"/>
    </format>
    <format dxfId="2367">
      <pivotArea field="24" type="button" dataOnly="0" labelOnly="1" outline="0" axis="axisRow" fieldPosition="8"/>
    </format>
    <format dxfId="2366">
      <pivotArea dataOnly="0" labelOnly="1" outline="0" fieldPosition="0">
        <references count="1">
          <reference field="3" count="50">
            <x v="56"/>
            <x v="81"/>
            <x v="104"/>
            <x v="112"/>
            <x v="122"/>
            <x v="136"/>
            <x v="138"/>
            <x v="143"/>
            <x v="149"/>
            <x v="152"/>
            <x v="153"/>
            <x v="155"/>
            <x v="174"/>
            <x v="184"/>
            <x v="189"/>
            <x v="190"/>
            <x v="199"/>
            <x v="203"/>
            <x v="204"/>
            <x v="206"/>
            <x v="215"/>
            <x v="234"/>
            <x v="251"/>
            <x v="253"/>
            <x v="255"/>
            <x v="259"/>
            <x v="261"/>
            <x v="266"/>
            <x v="269"/>
            <x v="276"/>
            <x v="277"/>
            <x v="281"/>
            <x v="292"/>
            <x v="321"/>
            <x v="340"/>
            <x v="356"/>
            <x v="360"/>
            <x v="365"/>
            <x v="375"/>
            <x v="379"/>
            <x v="388"/>
            <x v="396"/>
            <x v="398"/>
            <x v="445"/>
            <x v="458"/>
            <x v="460"/>
            <x v="465"/>
            <x v="477"/>
            <x v="480"/>
            <x v="481"/>
          </reference>
        </references>
      </pivotArea>
    </format>
    <format dxfId="2365">
      <pivotArea dataOnly="0" labelOnly="1" outline="0" fieldPosition="0">
        <references count="1">
          <reference field="3" count="50">
            <x v="492"/>
            <x v="498"/>
            <x v="503"/>
            <x v="512"/>
            <x v="532"/>
            <x v="535"/>
            <x v="539"/>
            <x v="541"/>
            <x v="558"/>
            <x v="582"/>
            <x v="585"/>
            <x v="587"/>
            <x v="597"/>
            <x v="599"/>
            <x v="622"/>
            <x v="624"/>
            <x v="625"/>
            <x v="632"/>
            <x v="638"/>
            <x v="640"/>
            <x v="651"/>
            <x v="656"/>
            <x v="675"/>
            <x v="682"/>
            <x v="683"/>
            <x v="691"/>
            <x v="695"/>
            <x v="697"/>
            <x v="709"/>
            <x v="712"/>
            <x v="715"/>
            <x v="716"/>
            <x v="718"/>
            <x v="721"/>
            <x v="730"/>
            <x v="737"/>
            <x v="743"/>
            <x v="745"/>
            <x v="747"/>
            <x v="749"/>
            <x v="756"/>
            <x v="759"/>
            <x v="774"/>
            <x v="782"/>
            <x v="797"/>
            <x v="808"/>
            <x v="809"/>
            <x v="810"/>
            <x v="839"/>
            <x v="845"/>
          </reference>
        </references>
      </pivotArea>
    </format>
    <format dxfId="2364">
      <pivotArea dataOnly="0" labelOnly="1" outline="0" fieldPosition="0">
        <references count="1">
          <reference field="3" count="50">
            <x v="848"/>
            <x v="850"/>
            <x v="873"/>
            <x v="881"/>
            <x v="884"/>
            <x v="913"/>
            <x v="945"/>
            <x v="948"/>
            <x v="949"/>
            <x v="971"/>
            <x v="972"/>
            <x v="978"/>
            <x v="982"/>
            <x v="997"/>
            <x v="1003"/>
            <x v="1011"/>
            <x v="1018"/>
            <x v="1020"/>
            <x v="1032"/>
            <x v="1035"/>
            <x v="1038"/>
            <x v="1040"/>
            <x v="1055"/>
            <x v="1056"/>
            <x v="1066"/>
            <x v="1069"/>
            <x v="1075"/>
            <x v="1077"/>
            <x v="1080"/>
            <x v="1088"/>
            <x v="1092"/>
            <x v="1099"/>
            <x v="1113"/>
            <x v="1129"/>
            <x v="1141"/>
            <x v="1144"/>
            <x v="1167"/>
            <x v="1168"/>
            <x v="1189"/>
            <x v="1196"/>
            <x v="1198"/>
            <x v="1204"/>
            <x v="1210"/>
            <x v="1222"/>
            <x v="1226"/>
            <x v="1242"/>
            <x v="1247"/>
            <x v="1261"/>
            <x v="1262"/>
            <x v="1285"/>
          </reference>
        </references>
      </pivotArea>
    </format>
    <format dxfId="2363">
      <pivotArea dataOnly="0" labelOnly="1" outline="0" fieldPosition="0">
        <references count="1">
          <reference field="3" count="48">
            <x v="1288"/>
            <x v="1291"/>
            <x v="1306"/>
            <x v="1318"/>
            <x v="1343"/>
            <x v="1353"/>
            <x v="1355"/>
            <x v="1383"/>
            <x v="1388"/>
            <x v="1391"/>
            <x v="1398"/>
            <x v="1415"/>
            <x v="1418"/>
            <x v="1423"/>
            <x v="1427"/>
            <x v="1431"/>
            <x v="1435"/>
            <x v="1449"/>
            <x v="1452"/>
            <x v="1482"/>
            <x v="1493"/>
            <x v="1501"/>
            <x v="1509"/>
            <x v="1511"/>
            <x v="1512"/>
            <x v="1514"/>
            <x v="1515"/>
            <x v="1534"/>
            <x v="1545"/>
            <x v="1564"/>
            <x v="1619"/>
            <x v="1626"/>
            <x v="1645"/>
            <x v="1647"/>
            <x v="1677"/>
            <x v="1678"/>
            <x v="1687"/>
            <x v="1699"/>
            <x v="1701"/>
            <x v="1704"/>
            <x v="1712"/>
            <x v="1715"/>
            <x v="1717"/>
            <x v="1718"/>
            <x v="1720"/>
            <x v="1725"/>
            <x v="1729"/>
            <x v="1738"/>
          </reference>
        </references>
      </pivotArea>
    </format>
    <format dxfId="2362">
      <pivotArea dataOnly="0" labelOnly="1" outline="0" fieldPosition="0">
        <references count="1">
          <reference field="3" count="1">
            <x v="1741"/>
          </reference>
        </references>
      </pivotArea>
    </format>
    <format dxfId="2361">
      <pivotArea dataOnly="0" labelOnly="1" outline="0" fieldPosition="0">
        <references count="1">
          <reference field="3" count="1">
            <x v="1746"/>
          </reference>
        </references>
      </pivotArea>
    </format>
    <format dxfId="2360">
      <pivotArea dataOnly="0" labelOnly="1" outline="0" fieldPosition="0">
        <references count="1">
          <reference field="3" count="3">
            <x v="1747"/>
            <x v="1748"/>
            <x v="1750"/>
          </reference>
        </references>
      </pivotArea>
    </format>
    <format dxfId="2359">
      <pivotArea dataOnly="0" labelOnly="1" outline="0" fieldPosition="0">
        <references count="1">
          <reference field="3" count="1">
            <x v="1753"/>
          </reference>
        </references>
      </pivotArea>
    </format>
    <format dxfId="2358">
      <pivotArea dataOnly="0" labelOnly="1" outline="0" fieldPosition="0">
        <references count="1">
          <reference field="3" count="1">
            <x v="1758"/>
          </reference>
        </references>
      </pivotArea>
    </format>
    <format dxfId="2357">
      <pivotArea dataOnly="0" labelOnly="1" outline="0" fieldPosition="0">
        <references count="1">
          <reference field="3" count="1">
            <x v="1761"/>
          </reference>
        </references>
      </pivotArea>
    </format>
    <format dxfId="2356">
      <pivotArea dataOnly="0" labelOnly="1" outline="0" fieldPosition="0">
        <references count="1">
          <reference field="3" count="3">
            <x v="1765"/>
            <x v="1767"/>
            <x v="1771"/>
          </reference>
        </references>
      </pivotArea>
    </format>
    <format dxfId="2355">
      <pivotArea dataOnly="0" labelOnly="1" outline="0" fieldPosition="0">
        <references count="1">
          <reference field="3" count="6">
            <x v="1783"/>
            <x v="1784"/>
            <x v="1785"/>
            <x v="1786"/>
            <x v="1789"/>
            <x v="1790"/>
          </reference>
        </references>
      </pivotArea>
    </format>
    <format dxfId="2354">
      <pivotArea dataOnly="0" labelOnly="1" outline="0" fieldPosition="0">
        <references count="1">
          <reference field="3" count="11">
            <x v="1799"/>
            <x v="1804"/>
            <x v="1811"/>
            <x v="1812"/>
            <x v="1827"/>
            <x v="1838"/>
            <x v="1840"/>
            <x v="1851"/>
            <x v="1853"/>
            <x v="1871"/>
            <x v="1875"/>
          </reference>
        </references>
      </pivotArea>
    </format>
    <format dxfId="2353">
      <pivotArea dataOnly="0" labelOnly="1" outline="0" fieldPosition="0">
        <references count="1">
          <reference field="3" count="12">
            <x v="1889"/>
            <x v="1890"/>
            <x v="1894"/>
            <x v="1895"/>
            <x v="1902"/>
            <x v="1903"/>
            <x v="1905"/>
            <x v="1906"/>
            <x v="1911"/>
            <x v="1916"/>
            <x v="1917"/>
            <x v="1918"/>
          </reference>
        </references>
      </pivotArea>
    </format>
    <format dxfId="2352">
      <pivotArea dataOnly="0" labelOnly="1" outline="0" fieldPosition="0">
        <references count="1">
          <reference field="3" count="9">
            <x v="1937"/>
            <x v="1946"/>
            <x v="1947"/>
            <x v="1949"/>
            <x v="1950"/>
            <x v="1951"/>
            <x v="1963"/>
            <x v="1964"/>
            <x v="1971"/>
          </reference>
        </references>
      </pivotArea>
    </format>
    <format dxfId="2351">
      <pivotArea dataOnly="0" labelOnly="1" outline="0" fieldPosition="0">
        <references count="1">
          <reference field="3" count="12">
            <x v="1983"/>
            <x v="1990"/>
            <x v="2010"/>
            <x v="2024"/>
            <x v="2040"/>
            <x v="2048"/>
            <x v="2049"/>
            <x v="2051"/>
            <x v="2066"/>
            <x v="2069"/>
            <x v="2072"/>
            <x v="2075"/>
          </reference>
        </references>
      </pivotArea>
    </format>
    <format dxfId="2350">
      <pivotArea dataOnly="0" labelOnly="1" outline="0" fieldPosition="0">
        <references count="1">
          <reference field="3" count="5">
            <x v="2081"/>
            <x v="2085"/>
            <x v="2089"/>
            <x v="2097"/>
            <x v="2101"/>
          </reference>
        </references>
      </pivotArea>
    </format>
    <format dxfId="2349">
      <pivotArea dataOnly="0" labelOnly="1" outline="0" fieldPosition="0">
        <references count="1">
          <reference field="3" count="3">
            <x v="2104"/>
            <x v="2105"/>
            <x v="2106"/>
          </reference>
        </references>
      </pivotArea>
    </format>
    <format dxfId="2348">
      <pivotArea dataOnly="0" labelOnly="1" outline="0" fieldPosition="0">
        <references count="1">
          <reference field="3" count="18">
            <x v="2112"/>
            <x v="2118"/>
            <x v="2120"/>
            <x v="2122"/>
            <x v="2127"/>
            <x v="2137"/>
            <x v="2144"/>
            <x v="2163"/>
            <x v="2171"/>
            <x v="2173"/>
            <x v="2174"/>
            <x v="2178"/>
            <x v="2181"/>
            <x v="2182"/>
            <x v="2183"/>
            <x v="2185"/>
            <x v="2193"/>
            <x v="2194"/>
          </reference>
        </references>
      </pivotArea>
    </format>
    <format dxfId="2347">
      <pivotArea dataOnly="0" labelOnly="1" outline="0" fieldPosition="0">
        <references count="1">
          <reference field="3" count="6">
            <x v="2196"/>
            <x v="2197"/>
            <x v="2201"/>
            <x v="2205"/>
            <x v="2210"/>
            <x v="2222"/>
          </reference>
        </references>
      </pivotArea>
    </format>
    <format dxfId="2346">
      <pivotArea dataOnly="0" labelOnly="1" outline="0" fieldPosition="0">
        <references count="1">
          <reference field="3" count="13">
            <x v="2227"/>
            <x v="2232"/>
            <x v="2234"/>
            <x v="2235"/>
            <x v="2236"/>
            <x v="2243"/>
            <x v="2251"/>
            <x v="2259"/>
            <x v="2261"/>
            <x v="2264"/>
            <x v="2266"/>
            <x v="2268"/>
            <x v="2269"/>
          </reference>
        </references>
      </pivotArea>
    </format>
    <format dxfId="2345">
      <pivotArea dataOnly="0" labelOnly="1" outline="0" fieldPosition="0">
        <references count="2">
          <reference field="3" count="1" selected="0">
            <x v="56"/>
          </reference>
          <reference field="4" count="1">
            <x v="743"/>
          </reference>
        </references>
      </pivotArea>
    </format>
    <format dxfId="2344">
      <pivotArea dataOnly="0" labelOnly="1" outline="0" fieldPosition="0">
        <references count="2">
          <reference field="3" count="1" selected="0">
            <x v="81"/>
          </reference>
          <reference field="4" count="1">
            <x v="7610"/>
          </reference>
        </references>
      </pivotArea>
    </format>
    <format dxfId="2343">
      <pivotArea dataOnly="0" labelOnly="1" outline="0" fieldPosition="0">
        <references count="2">
          <reference field="3" count="1" selected="0">
            <x v="112"/>
          </reference>
          <reference field="4" count="1">
            <x v="2075"/>
          </reference>
        </references>
      </pivotArea>
    </format>
    <format dxfId="2342">
      <pivotArea dataOnly="0" labelOnly="1" outline="0" fieldPosition="0">
        <references count="2">
          <reference field="3" count="1" selected="0">
            <x v="122"/>
          </reference>
          <reference field="4" count="1">
            <x v="5331"/>
          </reference>
        </references>
      </pivotArea>
    </format>
    <format dxfId="2341">
      <pivotArea dataOnly="0" labelOnly="1" outline="0" fieldPosition="0">
        <references count="2">
          <reference field="3" count="1" selected="0">
            <x v="152"/>
          </reference>
          <reference field="4" count="1">
            <x v="4449"/>
          </reference>
        </references>
      </pivotArea>
    </format>
    <format dxfId="2340">
      <pivotArea dataOnly="0" labelOnly="1" outline="0" fieldPosition="0">
        <references count="2">
          <reference field="3" count="1" selected="0">
            <x v="153"/>
          </reference>
          <reference field="4" count="1">
            <x v="4205"/>
          </reference>
        </references>
      </pivotArea>
    </format>
    <format dxfId="2339">
      <pivotArea dataOnly="0" labelOnly="1" outline="0" fieldPosition="0">
        <references count="2">
          <reference field="3" count="1" selected="0">
            <x v="174"/>
          </reference>
          <reference field="4" count="1">
            <x v="7069"/>
          </reference>
        </references>
      </pivotArea>
    </format>
    <format dxfId="2338">
      <pivotArea dataOnly="0" labelOnly="1" outline="0" fieldPosition="0">
        <references count="2">
          <reference field="3" count="1" selected="0">
            <x v="189"/>
          </reference>
          <reference field="4" count="1">
            <x v="7661"/>
          </reference>
        </references>
      </pivotArea>
    </format>
    <format dxfId="2337">
      <pivotArea dataOnly="0" labelOnly="1" outline="0" fieldPosition="0">
        <references count="2">
          <reference field="3" count="1" selected="0">
            <x v="190"/>
          </reference>
          <reference field="4" count="1">
            <x v="3551"/>
          </reference>
        </references>
      </pivotArea>
    </format>
    <format dxfId="2336">
      <pivotArea dataOnly="0" labelOnly="1" outline="0" fieldPosition="0">
        <references count="2">
          <reference field="3" count="1" selected="0">
            <x v="199"/>
          </reference>
          <reference field="4" count="1">
            <x v="4077"/>
          </reference>
        </references>
      </pivotArea>
    </format>
    <format dxfId="2335">
      <pivotArea dataOnly="0" labelOnly="1" outline="0" fieldPosition="0">
        <references count="2">
          <reference field="3" count="1" selected="0">
            <x v="204"/>
          </reference>
          <reference field="4" count="1">
            <x v="618"/>
          </reference>
        </references>
      </pivotArea>
    </format>
    <format dxfId="2334">
      <pivotArea dataOnly="0" labelOnly="1" outline="0" fieldPosition="0">
        <references count="2">
          <reference field="3" count="1" selected="0">
            <x v="206"/>
          </reference>
          <reference field="4" count="1">
            <x v="6497"/>
          </reference>
        </references>
      </pivotArea>
    </format>
    <format dxfId="2333">
      <pivotArea dataOnly="0" labelOnly="1" outline="0" fieldPosition="0">
        <references count="2">
          <reference field="3" count="1" selected="0">
            <x v="234"/>
          </reference>
          <reference field="4" count="1">
            <x v="231"/>
          </reference>
        </references>
      </pivotArea>
    </format>
    <format dxfId="2332">
      <pivotArea dataOnly="0" labelOnly="1" outline="0" fieldPosition="0">
        <references count="2">
          <reference field="3" count="1" selected="0">
            <x v="251"/>
          </reference>
          <reference field="4" count="1">
            <x v="4095"/>
          </reference>
        </references>
      </pivotArea>
    </format>
    <format dxfId="2331">
      <pivotArea dataOnly="0" labelOnly="1" outline="0" fieldPosition="0">
        <references count="2">
          <reference field="3" count="1" selected="0">
            <x v="253"/>
          </reference>
          <reference field="4" count="1">
            <x v="6532"/>
          </reference>
        </references>
      </pivotArea>
    </format>
    <format dxfId="2330">
      <pivotArea dataOnly="0" labelOnly="1" outline="0" fieldPosition="0">
        <references count="2">
          <reference field="3" count="1" selected="0">
            <x v="259"/>
          </reference>
          <reference field="4" count="1">
            <x v="5021"/>
          </reference>
        </references>
      </pivotArea>
    </format>
    <format dxfId="2329">
      <pivotArea dataOnly="0" labelOnly="1" outline="0" fieldPosition="0">
        <references count="2">
          <reference field="3" count="1" selected="0">
            <x v="269"/>
          </reference>
          <reference field="4" count="1">
            <x v="7152"/>
          </reference>
        </references>
      </pivotArea>
    </format>
    <format dxfId="2328">
      <pivotArea dataOnly="0" labelOnly="1" outline="0" fieldPosition="0">
        <references count="2">
          <reference field="3" count="1" selected="0">
            <x v="276"/>
          </reference>
          <reference field="4" count="1">
            <x v="7931"/>
          </reference>
        </references>
      </pivotArea>
    </format>
    <format dxfId="2327">
      <pivotArea dataOnly="0" labelOnly="1" outline="0" fieldPosition="0">
        <references count="2">
          <reference field="3" count="1" selected="0">
            <x v="292"/>
          </reference>
          <reference field="4" count="1">
            <x v="2680"/>
          </reference>
        </references>
      </pivotArea>
    </format>
    <format dxfId="2326">
      <pivotArea dataOnly="0" labelOnly="1" outline="0" fieldPosition="0">
        <references count="2">
          <reference field="3" count="1" selected="0">
            <x v="356"/>
          </reference>
          <reference field="4" count="1">
            <x v="4512"/>
          </reference>
        </references>
      </pivotArea>
    </format>
    <format dxfId="2325">
      <pivotArea dataOnly="0" labelOnly="1" outline="0" fieldPosition="0">
        <references count="2">
          <reference field="3" count="1" selected="0">
            <x v="360"/>
          </reference>
          <reference field="4" count="1">
            <x v="7714"/>
          </reference>
        </references>
      </pivotArea>
    </format>
    <format dxfId="2324">
      <pivotArea dataOnly="0" labelOnly="1" outline="0" fieldPosition="0">
        <references count="2">
          <reference field="3" count="1" selected="0">
            <x v="375"/>
          </reference>
          <reference field="4" count="1">
            <x v="5837"/>
          </reference>
        </references>
      </pivotArea>
    </format>
    <format dxfId="2323">
      <pivotArea dataOnly="0" labelOnly="1" outline="0" fieldPosition="0">
        <references count="2">
          <reference field="3" count="1" selected="0">
            <x v="379"/>
          </reference>
          <reference field="4" count="1">
            <x v="3926"/>
          </reference>
        </references>
      </pivotArea>
    </format>
    <format dxfId="2322">
      <pivotArea dataOnly="0" labelOnly="1" outline="0" fieldPosition="0">
        <references count="2">
          <reference field="3" count="1" selected="0">
            <x v="388"/>
          </reference>
          <reference field="4" count="1">
            <x v="1359"/>
          </reference>
        </references>
      </pivotArea>
    </format>
    <format dxfId="2321">
      <pivotArea dataOnly="0" labelOnly="1" outline="0" fieldPosition="0">
        <references count="2">
          <reference field="3" count="1" selected="0">
            <x v="398"/>
          </reference>
          <reference field="4" count="1">
            <x v="3374"/>
          </reference>
        </references>
      </pivotArea>
    </format>
    <format dxfId="2320">
      <pivotArea dataOnly="0" labelOnly="1" outline="0" fieldPosition="0">
        <references count="2">
          <reference field="3" count="1" selected="0">
            <x v="458"/>
          </reference>
          <reference field="4" count="1">
            <x v="4334"/>
          </reference>
        </references>
      </pivotArea>
    </format>
    <format dxfId="2319">
      <pivotArea dataOnly="0" labelOnly="1" outline="0" fieldPosition="0">
        <references count="2">
          <reference field="3" count="1" selected="0">
            <x v="460"/>
          </reference>
          <reference field="4" count="1">
            <x v="4064"/>
          </reference>
        </references>
      </pivotArea>
    </format>
    <format dxfId="2318">
      <pivotArea dataOnly="0" labelOnly="1" outline="0" fieldPosition="0">
        <references count="2">
          <reference field="3" count="1" selected="0">
            <x v="477"/>
          </reference>
          <reference field="4" count="1">
            <x v="1442"/>
          </reference>
        </references>
      </pivotArea>
    </format>
    <format dxfId="2317">
      <pivotArea dataOnly="0" labelOnly="1" outline="0" fieldPosition="0">
        <references count="2">
          <reference field="3" count="1" selected="0">
            <x v="480"/>
          </reference>
          <reference field="4" count="1">
            <x v="1050"/>
          </reference>
        </references>
      </pivotArea>
    </format>
    <format dxfId="2316">
      <pivotArea dataOnly="0" labelOnly="1" outline="0" fieldPosition="0">
        <references count="2">
          <reference field="3" count="1" selected="0">
            <x v="481"/>
          </reference>
          <reference field="4" count="1">
            <x v="6290"/>
          </reference>
        </references>
      </pivotArea>
    </format>
    <format dxfId="2315">
      <pivotArea dataOnly="0" labelOnly="1" outline="0" fieldPosition="0">
        <references count="2">
          <reference field="3" count="1" selected="0">
            <x v="492"/>
          </reference>
          <reference field="4" count="1">
            <x v="11"/>
          </reference>
        </references>
      </pivotArea>
    </format>
    <format dxfId="2314">
      <pivotArea dataOnly="0" labelOnly="1" outline="0" fieldPosition="0">
        <references count="2">
          <reference field="3" count="1" selected="0">
            <x v="503"/>
          </reference>
          <reference field="4" count="1">
            <x v="1492"/>
          </reference>
        </references>
      </pivotArea>
    </format>
    <format dxfId="2313">
      <pivotArea dataOnly="0" labelOnly="1" outline="0" fieldPosition="0">
        <references count="2">
          <reference field="3" count="1" selected="0">
            <x v="535"/>
          </reference>
          <reference field="4" count="1">
            <x v="553"/>
          </reference>
        </references>
      </pivotArea>
    </format>
    <format dxfId="2312">
      <pivotArea dataOnly="0" labelOnly="1" outline="0" fieldPosition="0">
        <references count="2">
          <reference field="3" count="1" selected="0">
            <x v="541"/>
          </reference>
          <reference field="4" count="1">
            <x v="7595"/>
          </reference>
        </references>
      </pivotArea>
    </format>
    <format dxfId="2311">
      <pivotArea dataOnly="0" labelOnly="1" outline="0" fieldPosition="0">
        <references count="2">
          <reference field="3" count="1" selected="0">
            <x v="558"/>
          </reference>
          <reference field="4" count="1">
            <x v="4323"/>
          </reference>
        </references>
      </pivotArea>
    </format>
    <format dxfId="2310">
      <pivotArea dataOnly="0" labelOnly="1" outline="0" fieldPosition="0">
        <references count="2">
          <reference field="3" count="1" selected="0">
            <x v="587"/>
          </reference>
          <reference field="4" count="1">
            <x v="5225"/>
          </reference>
        </references>
      </pivotArea>
    </format>
    <format dxfId="2309">
      <pivotArea dataOnly="0" labelOnly="1" outline="0" fieldPosition="0">
        <references count="2">
          <reference field="3" count="1" selected="0">
            <x v="599"/>
          </reference>
          <reference field="4" count="1">
            <x v="7760"/>
          </reference>
        </references>
      </pivotArea>
    </format>
    <format dxfId="2308">
      <pivotArea dataOnly="0" labelOnly="1" outline="0" fieldPosition="0">
        <references count="2">
          <reference field="3" count="1" selected="0">
            <x v="622"/>
          </reference>
          <reference field="4" count="1">
            <x v="1430"/>
          </reference>
        </references>
      </pivotArea>
    </format>
    <format dxfId="2307">
      <pivotArea dataOnly="0" labelOnly="1" outline="0" fieldPosition="0">
        <references count="2">
          <reference field="3" count="1" selected="0">
            <x v="625"/>
          </reference>
          <reference field="4" count="1">
            <x v="5737"/>
          </reference>
        </references>
      </pivotArea>
    </format>
    <format dxfId="2306">
      <pivotArea dataOnly="0" labelOnly="1" outline="0" fieldPosition="0">
        <references count="2">
          <reference field="3" count="1" selected="0">
            <x v="683"/>
          </reference>
          <reference field="4" count="1">
            <x v="4580"/>
          </reference>
        </references>
      </pivotArea>
    </format>
    <format dxfId="2305">
      <pivotArea dataOnly="0" labelOnly="1" outline="0" fieldPosition="0">
        <references count="2">
          <reference field="3" count="1" selected="0">
            <x v="695"/>
          </reference>
          <reference field="4" count="1">
            <x v="5188"/>
          </reference>
        </references>
      </pivotArea>
    </format>
    <format dxfId="2304">
      <pivotArea dataOnly="0" labelOnly="1" outline="0" fieldPosition="0">
        <references count="2">
          <reference field="3" count="1" selected="0">
            <x v="709"/>
          </reference>
          <reference field="4" count="1">
            <x v="4898"/>
          </reference>
        </references>
      </pivotArea>
    </format>
    <format dxfId="2303">
      <pivotArea dataOnly="0" labelOnly="1" outline="0" fieldPosition="0">
        <references count="2">
          <reference field="3" count="1" selected="0">
            <x v="718"/>
          </reference>
          <reference field="4" count="1">
            <x v="92"/>
          </reference>
        </references>
      </pivotArea>
    </format>
    <format dxfId="2302">
      <pivotArea dataOnly="0" labelOnly="1" outline="0" fieldPosition="0">
        <references count="2">
          <reference field="3" count="1" selected="0">
            <x v="730"/>
          </reference>
          <reference field="4" count="1">
            <x v="6875"/>
          </reference>
        </references>
      </pivotArea>
    </format>
    <format dxfId="2301">
      <pivotArea dataOnly="0" labelOnly="1" outline="0" fieldPosition="0">
        <references count="2">
          <reference field="3" count="1" selected="0">
            <x v="745"/>
          </reference>
          <reference field="4" count="1">
            <x v="6562"/>
          </reference>
        </references>
      </pivotArea>
    </format>
    <format dxfId="2300">
      <pivotArea dataOnly="0" labelOnly="1" outline="0" fieldPosition="0">
        <references count="2">
          <reference field="3" count="1" selected="0">
            <x v="756"/>
          </reference>
          <reference field="4" count="1">
            <x v="4061"/>
          </reference>
        </references>
      </pivotArea>
    </format>
    <format dxfId="2299">
      <pivotArea dataOnly="0" labelOnly="1" outline="0" fieldPosition="0">
        <references count="2">
          <reference field="3" count="1" selected="0">
            <x v="759"/>
          </reference>
          <reference field="4" count="1">
            <x v="805"/>
          </reference>
        </references>
      </pivotArea>
    </format>
    <format dxfId="2298">
      <pivotArea dataOnly="0" labelOnly="1" outline="0" fieldPosition="0">
        <references count="2">
          <reference field="3" count="1" selected="0">
            <x v="774"/>
          </reference>
          <reference field="4" count="1">
            <x v="2379"/>
          </reference>
        </references>
      </pivotArea>
    </format>
    <format dxfId="2297">
      <pivotArea dataOnly="0" labelOnly="1" outline="0" fieldPosition="0">
        <references count="2">
          <reference field="3" count="1" selected="0">
            <x v="782"/>
          </reference>
          <reference field="4" count="1">
            <x v="1293"/>
          </reference>
        </references>
      </pivotArea>
    </format>
    <format dxfId="2296">
      <pivotArea dataOnly="0" labelOnly="1" outline="0" fieldPosition="0">
        <references count="2">
          <reference field="3" count="1" selected="0">
            <x v="809"/>
          </reference>
          <reference field="4" count="1">
            <x v="6775"/>
          </reference>
        </references>
      </pivotArea>
    </format>
    <format dxfId="2295">
      <pivotArea dataOnly="0" labelOnly="1" outline="0" fieldPosition="0">
        <references count="2">
          <reference field="3" count="1" selected="0">
            <x v="839"/>
          </reference>
          <reference field="4" count="1">
            <x v="7371"/>
          </reference>
        </references>
      </pivotArea>
    </format>
    <format dxfId="2294">
      <pivotArea dataOnly="0" labelOnly="1" outline="0" fieldPosition="0">
        <references count="2">
          <reference field="3" count="1" selected="0">
            <x v="850"/>
          </reference>
          <reference field="4" count="1">
            <x v="1239"/>
          </reference>
        </references>
      </pivotArea>
    </format>
    <format dxfId="2293">
      <pivotArea dataOnly="0" labelOnly="1" outline="0" fieldPosition="0">
        <references count="2">
          <reference field="3" count="1" selected="0">
            <x v="873"/>
          </reference>
          <reference field="4" count="1">
            <x v="6413"/>
          </reference>
        </references>
      </pivotArea>
    </format>
    <format dxfId="2292">
      <pivotArea dataOnly="0" labelOnly="1" outline="0" fieldPosition="0">
        <references count="2">
          <reference field="3" count="1" selected="0">
            <x v="881"/>
          </reference>
          <reference field="4" count="1">
            <x v="2711"/>
          </reference>
        </references>
      </pivotArea>
    </format>
    <format dxfId="2291">
      <pivotArea dataOnly="0" labelOnly="1" outline="0" fieldPosition="0">
        <references count="2">
          <reference field="3" count="1" selected="0">
            <x v="884"/>
          </reference>
          <reference field="4" count="1">
            <x v="6627"/>
          </reference>
        </references>
      </pivotArea>
    </format>
    <format dxfId="2290">
      <pivotArea dataOnly="0" labelOnly="1" outline="0" fieldPosition="0">
        <references count="2">
          <reference field="3" count="1" selected="0">
            <x v="913"/>
          </reference>
          <reference field="4" count="1">
            <x v="5242"/>
          </reference>
        </references>
      </pivotArea>
    </format>
    <format dxfId="2289">
      <pivotArea dataOnly="0" labelOnly="1" outline="0" fieldPosition="0">
        <references count="2">
          <reference field="3" count="1" selected="0">
            <x v="948"/>
          </reference>
          <reference field="4" count="1">
            <x v="1294"/>
          </reference>
        </references>
      </pivotArea>
    </format>
    <format dxfId="2288">
      <pivotArea dataOnly="0" labelOnly="1" outline="0" fieldPosition="0">
        <references count="2">
          <reference field="3" count="1" selected="0">
            <x v="971"/>
          </reference>
          <reference field="4" count="1">
            <x v="3574"/>
          </reference>
        </references>
      </pivotArea>
    </format>
    <format dxfId="2287">
      <pivotArea dataOnly="0" labelOnly="1" outline="0" fieldPosition="0">
        <references count="2">
          <reference field="3" count="1" selected="0">
            <x v="997"/>
          </reference>
          <reference field="4" count="1">
            <x v="1759"/>
          </reference>
        </references>
      </pivotArea>
    </format>
    <format dxfId="2286">
      <pivotArea dataOnly="0" labelOnly="1" outline="0" fieldPosition="0">
        <references count="2">
          <reference field="3" count="1" selected="0">
            <x v="1003"/>
          </reference>
          <reference field="4" count="1">
            <x v="961"/>
          </reference>
        </references>
      </pivotArea>
    </format>
    <format dxfId="2285">
      <pivotArea dataOnly="0" labelOnly="1" outline="0" fieldPosition="0">
        <references count="2">
          <reference field="3" count="1" selected="0">
            <x v="1011"/>
          </reference>
          <reference field="4" count="1">
            <x v="5221"/>
          </reference>
        </references>
      </pivotArea>
    </format>
    <format dxfId="2284">
      <pivotArea dataOnly="0" labelOnly="1" outline="0" fieldPosition="0">
        <references count="2">
          <reference field="3" count="1" selected="0">
            <x v="1020"/>
          </reference>
          <reference field="4" count="1">
            <x v="7538"/>
          </reference>
        </references>
      </pivotArea>
    </format>
    <format dxfId="2283">
      <pivotArea dataOnly="0" labelOnly="1" outline="0" fieldPosition="0">
        <references count="2">
          <reference field="3" count="1" selected="0">
            <x v="1038"/>
          </reference>
          <reference field="4" count="1">
            <x v="5758"/>
          </reference>
        </references>
      </pivotArea>
    </format>
    <format dxfId="2282">
      <pivotArea dataOnly="0" labelOnly="1" outline="0" fieldPosition="0">
        <references count="2">
          <reference field="3" count="1" selected="0">
            <x v="1040"/>
          </reference>
          <reference field="4" count="1">
            <x v="868"/>
          </reference>
        </references>
      </pivotArea>
    </format>
    <format dxfId="2281">
      <pivotArea dataOnly="0" labelOnly="1" outline="0" fieldPosition="0">
        <references count="2">
          <reference field="3" count="1" selected="0">
            <x v="1066"/>
          </reference>
          <reference field="4" count="1">
            <x v="109"/>
          </reference>
        </references>
      </pivotArea>
    </format>
    <format dxfId="2280">
      <pivotArea dataOnly="0" labelOnly="1" outline="0" fieldPosition="0">
        <references count="2">
          <reference field="3" count="1" selected="0">
            <x v="1069"/>
          </reference>
          <reference field="4" count="1">
            <x v="3787"/>
          </reference>
        </references>
      </pivotArea>
    </format>
    <format dxfId="2279">
      <pivotArea dataOnly="0" labelOnly="1" outline="0" fieldPosition="0">
        <references count="2">
          <reference field="3" count="1" selected="0">
            <x v="1077"/>
          </reference>
          <reference field="4" count="1">
            <x v="6845"/>
          </reference>
        </references>
      </pivotArea>
    </format>
    <format dxfId="2278">
      <pivotArea dataOnly="0" labelOnly="1" outline="0" fieldPosition="0">
        <references count="2">
          <reference field="3" count="1" selected="0">
            <x v="1113"/>
          </reference>
          <reference field="4" count="1">
            <x v="112"/>
          </reference>
        </references>
      </pivotArea>
    </format>
    <format dxfId="2277">
      <pivotArea dataOnly="0" labelOnly="1" outline="0" fieldPosition="0">
        <references count="2">
          <reference field="3" count="1" selected="0">
            <x v="1129"/>
          </reference>
          <reference field="4" count="1">
            <x v="1803"/>
          </reference>
        </references>
      </pivotArea>
    </format>
    <format dxfId="2276">
      <pivotArea dataOnly="0" labelOnly="1" outline="0" fieldPosition="0">
        <references count="2">
          <reference field="3" count="1" selected="0">
            <x v="1141"/>
          </reference>
          <reference field="4" count="1">
            <x v="962"/>
          </reference>
        </references>
      </pivotArea>
    </format>
    <format dxfId="2275">
      <pivotArea dataOnly="0" labelOnly="1" outline="0" fieldPosition="0">
        <references count="2">
          <reference field="3" count="1" selected="0">
            <x v="1144"/>
          </reference>
          <reference field="4" count="1">
            <x v="4719"/>
          </reference>
        </references>
      </pivotArea>
    </format>
    <format dxfId="2274">
      <pivotArea dataOnly="0" labelOnly="1" outline="0" fieldPosition="0">
        <references count="2">
          <reference field="3" count="1" selected="0">
            <x v="1167"/>
          </reference>
          <reference field="4" count="1">
            <x v="6179"/>
          </reference>
        </references>
      </pivotArea>
    </format>
    <format dxfId="2273">
      <pivotArea dataOnly="0" labelOnly="1" outline="0" fieldPosition="0">
        <references count="2">
          <reference field="3" count="1" selected="0">
            <x v="1189"/>
          </reference>
          <reference field="4" count="1">
            <x v="3938"/>
          </reference>
        </references>
      </pivotArea>
    </format>
    <format dxfId="2272">
      <pivotArea dataOnly="0" labelOnly="1" outline="0" fieldPosition="0">
        <references count="2">
          <reference field="3" count="1" selected="0">
            <x v="1196"/>
          </reference>
          <reference field="4" count="1">
            <x v="3719"/>
          </reference>
        </references>
      </pivotArea>
    </format>
    <format dxfId="2271">
      <pivotArea dataOnly="0" labelOnly="1" outline="0" fieldPosition="0">
        <references count="2">
          <reference field="3" count="1" selected="0">
            <x v="1198"/>
          </reference>
          <reference field="4" count="1">
            <x v="143"/>
          </reference>
        </references>
      </pivotArea>
    </format>
    <format dxfId="2270">
      <pivotArea dataOnly="0" labelOnly="1" outline="0" fieldPosition="0">
        <references count="2">
          <reference field="3" count="1" selected="0">
            <x v="1204"/>
          </reference>
          <reference field="4" count="1">
            <x v="2183"/>
          </reference>
        </references>
      </pivotArea>
    </format>
    <format dxfId="2269">
      <pivotArea dataOnly="0" labelOnly="1" outline="0" fieldPosition="0">
        <references count="2">
          <reference field="3" count="1" selected="0">
            <x v="1210"/>
          </reference>
          <reference field="4" count="1">
            <x v="4917"/>
          </reference>
        </references>
      </pivotArea>
    </format>
    <format dxfId="2268">
      <pivotArea dataOnly="0" labelOnly="1" outline="0" fieldPosition="0">
        <references count="2">
          <reference field="3" count="1" selected="0">
            <x v="1222"/>
          </reference>
          <reference field="4" count="1">
            <x v="2602"/>
          </reference>
        </references>
      </pivotArea>
    </format>
    <format dxfId="2267">
      <pivotArea dataOnly="0" labelOnly="1" outline="0" fieldPosition="0">
        <references count="2">
          <reference field="3" count="1" selected="0">
            <x v="1226"/>
          </reference>
          <reference field="4" count="1">
            <x v="3567"/>
          </reference>
        </references>
      </pivotArea>
    </format>
    <format dxfId="2266">
      <pivotArea dataOnly="0" labelOnly="1" outline="0" fieldPosition="0">
        <references count="2">
          <reference field="3" count="1" selected="0">
            <x v="1261"/>
          </reference>
          <reference field="4" count="1">
            <x v="4852"/>
          </reference>
        </references>
      </pivotArea>
    </format>
    <format dxfId="2265">
      <pivotArea dataOnly="0" labelOnly="1" outline="0" fieldPosition="0">
        <references count="2">
          <reference field="3" count="1" selected="0">
            <x v="1262"/>
          </reference>
          <reference field="4" count="1">
            <x v="6041"/>
          </reference>
        </references>
      </pivotArea>
    </format>
    <format dxfId="2264">
      <pivotArea dataOnly="0" labelOnly="1" outline="0" fieldPosition="0">
        <references count="2">
          <reference field="3" count="1" selected="0">
            <x v="1285"/>
          </reference>
          <reference field="4" count="1">
            <x v="4354"/>
          </reference>
        </references>
      </pivotArea>
    </format>
    <format dxfId="2263">
      <pivotArea dataOnly="0" labelOnly="1" outline="0" fieldPosition="0">
        <references count="2">
          <reference field="3" count="1" selected="0">
            <x v="1288"/>
          </reference>
          <reference field="4" count="1">
            <x v="7233"/>
          </reference>
        </references>
      </pivotArea>
    </format>
    <format dxfId="2262">
      <pivotArea dataOnly="0" labelOnly="1" outline="0" fieldPosition="0">
        <references count="2">
          <reference field="3" count="1" selected="0">
            <x v="1291"/>
          </reference>
          <reference field="4" count="1">
            <x v="2404"/>
          </reference>
        </references>
      </pivotArea>
    </format>
    <format dxfId="2261">
      <pivotArea dataOnly="0" labelOnly="1" outline="0" fieldPosition="0">
        <references count="2">
          <reference field="3" count="1" selected="0">
            <x v="1318"/>
          </reference>
          <reference field="4" count="1">
            <x v="4357"/>
          </reference>
        </references>
      </pivotArea>
    </format>
    <format dxfId="2260">
      <pivotArea dataOnly="0" labelOnly="1" outline="0" fieldPosition="0">
        <references count="2">
          <reference field="3" count="1" selected="0">
            <x v="1343"/>
          </reference>
          <reference field="4" count="1">
            <x v="4224"/>
          </reference>
        </references>
      </pivotArea>
    </format>
    <format dxfId="2259">
      <pivotArea dataOnly="0" labelOnly="1" outline="0" fieldPosition="0">
        <references count="2">
          <reference field="3" count="1" selected="0">
            <x v="1353"/>
          </reference>
          <reference field="4" count="1">
            <x v="7033"/>
          </reference>
        </references>
      </pivotArea>
    </format>
    <format dxfId="2258">
      <pivotArea dataOnly="0" labelOnly="1" outline="0" fieldPosition="0">
        <references count="2">
          <reference field="3" count="1" selected="0">
            <x v="1383"/>
          </reference>
          <reference field="4" count="1">
            <x v="3868"/>
          </reference>
        </references>
      </pivotArea>
    </format>
    <format dxfId="2257">
      <pivotArea dataOnly="0" labelOnly="1" outline="0" fieldPosition="0">
        <references count="2">
          <reference field="3" count="1" selected="0">
            <x v="1391"/>
          </reference>
          <reference field="4" count="1">
            <x v="3674"/>
          </reference>
        </references>
      </pivotArea>
    </format>
    <format dxfId="2256">
      <pivotArea dataOnly="0" labelOnly="1" outline="0" fieldPosition="0">
        <references count="2">
          <reference field="3" count="1" selected="0">
            <x v="1415"/>
          </reference>
          <reference field="4" count="1">
            <x v="65"/>
          </reference>
        </references>
      </pivotArea>
    </format>
    <format dxfId="2255">
      <pivotArea dataOnly="0" labelOnly="1" outline="0" fieldPosition="0">
        <references count="2">
          <reference field="3" count="1" selected="0">
            <x v="1427"/>
          </reference>
          <reference field="4" count="1">
            <x v="7919"/>
          </reference>
        </references>
      </pivotArea>
    </format>
    <format dxfId="2254">
      <pivotArea dataOnly="0" labelOnly="1" outline="0" fieldPosition="0">
        <references count="2">
          <reference field="3" count="1" selected="0">
            <x v="1435"/>
          </reference>
          <reference field="4" count="1">
            <x v="3236"/>
          </reference>
        </references>
      </pivotArea>
    </format>
    <format dxfId="2253">
      <pivotArea dataOnly="0" labelOnly="1" outline="0" fieldPosition="0">
        <references count="2">
          <reference field="3" count="1" selected="0">
            <x v="1449"/>
          </reference>
          <reference field="4" count="1">
            <x v="124"/>
          </reference>
        </references>
      </pivotArea>
    </format>
    <format dxfId="2252">
      <pivotArea dataOnly="0" labelOnly="1" outline="0" fieldPosition="0">
        <references count="2">
          <reference field="3" count="1" selected="0">
            <x v="1452"/>
          </reference>
          <reference field="4" count="1">
            <x v="5876"/>
          </reference>
        </references>
      </pivotArea>
    </format>
    <format dxfId="2251">
      <pivotArea dataOnly="0" labelOnly="1" outline="0" fieldPosition="0">
        <references count="2">
          <reference field="3" count="1" selected="0">
            <x v="1482"/>
          </reference>
          <reference field="4" count="1">
            <x v="806"/>
          </reference>
        </references>
      </pivotArea>
    </format>
    <format dxfId="2250">
      <pivotArea dataOnly="0" labelOnly="1" outline="0" fieldPosition="0">
        <references count="2">
          <reference field="3" count="1" selected="0">
            <x v="1511"/>
          </reference>
          <reference field="4" count="1">
            <x v="3546"/>
          </reference>
        </references>
      </pivotArea>
    </format>
    <format dxfId="2249">
      <pivotArea dataOnly="0" labelOnly="1" outline="0" fieldPosition="0">
        <references count="2">
          <reference field="3" count="1" selected="0">
            <x v="1512"/>
          </reference>
          <reference field="4" count="1">
            <x v="6736"/>
          </reference>
        </references>
      </pivotArea>
    </format>
    <format dxfId="2248">
      <pivotArea dataOnly="0" labelOnly="1" outline="0" fieldPosition="0">
        <references count="2">
          <reference field="3" count="1" selected="0">
            <x v="1514"/>
          </reference>
          <reference field="4" count="1">
            <x v="4979"/>
          </reference>
        </references>
      </pivotArea>
    </format>
    <format dxfId="2247">
      <pivotArea dataOnly="0" labelOnly="1" outline="0" fieldPosition="0">
        <references count="2">
          <reference field="3" count="1" selected="0">
            <x v="1515"/>
          </reference>
          <reference field="4" count="1">
            <x v="6928"/>
          </reference>
        </references>
      </pivotArea>
    </format>
    <format dxfId="2246">
      <pivotArea dataOnly="0" labelOnly="1" outline="0" fieldPosition="0">
        <references count="2">
          <reference field="3" count="1" selected="0">
            <x v="1534"/>
          </reference>
          <reference field="4" count="1">
            <x v="5622"/>
          </reference>
        </references>
      </pivotArea>
    </format>
    <format dxfId="2245">
      <pivotArea dataOnly="0" labelOnly="1" outline="0" fieldPosition="0">
        <references count="2">
          <reference field="3" count="1" selected="0">
            <x v="1564"/>
          </reference>
          <reference field="4" count="1">
            <x v="5654"/>
          </reference>
        </references>
      </pivotArea>
    </format>
    <format dxfId="2244">
      <pivotArea dataOnly="0" labelOnly="1" outline="0" fieldPosition="0">
        <references count="2">
          <reference field="3" count="1" selected="0">
            <x v="1619"/>
          </reference>
          <reference field="4" count="1">
            <x v="669"/>
          </reference>
        </references>
      </pivotArea>
    </format>
    <format dxfId="2243">
      <pivotArea dataOnly="0" labelOnly="1" outline="0" fieldPosition="0">
        <references count="2">
          <reference field="3" count="1" selected="0">
            <x v="1626"/>
          </reference>
          <reference field="4" count="1">
            <x v="2269"/>
          </reference>
        </references>
      </pivotArea>
    </format>
    <format dxfId="2242">
      <pivotArea dataOnly="0" labelOnly="1" outline="0" fieldPosition="0">
        <references count="2">
          <reference field="3" count="1" selected="0">
            <x v="1645"/>
          </reference>
          <reference field="4" count="1">
            <x v="4209"/>
          </reference>
        </references>
      </pivotArea>
    </format>
    <format dxfId="2241">
      <pivotArea dataOnly="0" labelOnly="1" outline="0" fieldPosition="0">
        <references count="2">
          <reference field="3" count="1" selected="0">
            <x v="1647"/>
          </reference>
          <reference field="4" count="1">
            <x v="7792"/>
          </reference>
        </references>
      </pivotArea>
    </format>
    <format dxfId="2240">
      <pivotArea dataOnly="0" labelOnly="1" outline="0" fieldPosition="0">
        <references count="2">
          <reference field="3" count="1" selected="0">
            <x v="1687"/>
          </reference>
          <reference field="4" count="1">
            <x v="4075"/>
          </reference>
        </references>
      </pivotArea>
    </format>
    <format dxfId="2239">
      <pivotArea dataOnly="0" labelOnly="1" outline="0" fieldPosition="0">
        <references count="2">
          <reference field="3" count="1" selected="0">
            <x v="1712"/>
          </reference>
          <reference field="4" count="1">
            <x v="5408"/>
          </reference>
        </references>
      </pivotArea>
    </format>
    <format dxfId="2238">
      <pivotArea dataOnly="0" labelOnly="1" outline="0" fieldPosition="0">
        <references count="2">
          <reference field="3" count="1" selected="0">
            <x v="1715"/>
          </reference>
          <reference field="4" count="1">
            <x v="1667"/>
          </reference>
        </references>
      </pivotArea>
    </format>
    <format dxfId="2237">
      <pivotArea dataOnly="0" labelOnly="1" outline="0" fieldPosition="0">
        <references count="2">
          <reference field="3" count="1" selected="0">
            <x v="1717"/>
          </reference>
          <reference field="4" count="1">
            <x v="7778"/>
          </reference>
        </references>
      </pivotArea>
    </format>
    <format dxfId="2236">
      <pivotArea dataOnly="0" labelOnly="1" outline="0" fieldPosition="0">
        <references count="2">
          <reference field="3" count="1" selected="0">
            <x v="1720"/>
          </reference>
          <reference field="4" count="1">
            <x v="3488"/>
          </reference>
        </references>
      </pivotArea>
    </format>
    <format dxfId="2235">
      <pivotArea dataOnly="0" labelOnly="1" outline="0" fieldPosition="0">
        <references count="2">
          <reference field="3" count="1" selected="0">
            <x v="1741"/>
          </reference>
          <reference field="4" count="1">
            <x v="3358"/>
          </reference>
        </references>
      </pivotArea>
    </format>
    <format dxfId="2234">
      <pivotArea dataOnly="0" labelOnly="1" outline="0" fieldPosition="0">
        <references count="2">
          <reference field="3" count="1" selected="0">
            <x v="1746"/>
          </reference>
          <reference field="4" count="1">
            <x v="274"/>
          </reference>
        </references>
      </pivotArea>
    </format>
    <format dxfId="2233">
      <pivotArea dataOnly="0" labelOnly="1" outline="0" fieldPosition="0">
        <references count="2">
          <reference field="3" count="1" selected="0">
            <x v="1747"/>
          </reference>
          <reference field="4" count="1">
            <x v="7928"/>
          </reference>
        </references>
      </pivotArea>
    </format>
    <format dxfId="2232">
      <pivotArea dataOnly="0" labelOnly="1" outline="0" fieldPosition="0">
        <references count="2">
          <reference field="3" count="1" selected="0">
            <x v="1748"/>
          </reference>
          <reference field="4" count="1">
            <x v="5673"/>
          </reference>
        </references>
      </pivotArea>
    </format>
    <format dxfId="2231">
      <pivotArea dataOnly="0" labelOnly="1" outline="0" fieldPosition="0">
        <references count="2">
          <reference field="3" count="1" selected="0">
            <x v="1750"/>
          </reference>
          <reference field="4" count="1">
            <x v="3711"/>
          </reference>
        </references>
      </pivotArea>
    </format>
    <format dxfId="2230">
      <pivotArea dataOnly="0" labelOnly="1" outline="0" fieldPosition="0">
        <references count="2">
          <reference field="3" count="1" selected="0">
            <x v="1753"/>
          </reference>
          <reference field="4" count="1">
            <x v="4606"/>
          </reference>
        </references>
      </pivotArea>
    </format>
    <format dxfId="2229">
      <pivotArea dataOnly="0" labelOnly="1" outline="0" fieldPosition="0">
        <references count="2">
          <reference field="3" count="1" selected="0">
            <x v="1758"/>
          </reference>
          <reference field="4" count="1">
            <x v="982"/>
          </reference>
        </references>
      </pivotArea>
    </format>
    <format dxfId="2228">
      <pivotArea dataOnly="0" labelOnly="1" outline="0" fieldPosition="0">
        <references count="2">
          <reference field="3" count="1" selected="0">
            <x v="1761"/>
          </reference>
          <reference field="4" count="1">
            <x v="737"/>
          </reference>
        </references>
      </pivotArea>
    </format>
    <format dxfId="2227">
      <pivotArea dataOnly="0" labelOnly="1" outline="0" fieldPosition="0">
        <references count="2">
          <reference field="3" count="1" selected="0">
            <x v="1765"/>
          </reference>
          <reference field="4" count="1">
            <x v="1864"/>
          </reference>
        </references>
      </pivotArea>
    </format>
    <format dxfId="2226">
      <pivotArea dataOnly="0" labelOnly="1" outline="0" fieldPosition="0">
        <references count="2">
          <reference field="3" count="1" selected="0">
            <x v="1767"/>
          </reference>
          <reference field="4" count="1">
            <x v="164"/>
          </reference>
        </references>
      </pivotArea>
    </format>
    <format dxfId="2225">
      <pivotArea dataOnly="0" labelOnly="1" outline="0" fieldPosition="0">
        <references count="2">
          <reference field="3" count="1" selected="0">
            <x v="1771"/>
          </reference>
          <reference field="4" count="1">
            <x v="5981"/>
          </reference>
        </references>
      </pivotArea>
    </format>
    <format dxfId="2224">
      <pivotArea dataOnly="0" labelOnly="1" outline="0" fieldPosition="0">
        <references count="2">
          <reference field="3" count="1" selected="0">
            <x v="1783"/>
          </reference>
          <reference field="4" count="1">
            <x v="2233"/>
          </reference>
        </references>
      </pivotArea>
    </format>
    <format dxfId="2223">
      <pivotArea dataOnly="0" labelOnly="1" outline="0" fieldPosition="0">
        <references count="2">
          <reference field="3" count="1" selected="0">
            <x v="1784"/>
          </reference>
          <reference field="4" count="1">
            <x v="6326"/>
          </reference>
        </references>
      </pivotArea>
    </format>
    <format dxfId="2222">
      <pivotArea dataOnly="0" labelOnly="1" outline="0" fieldPosition="0">
        <references count="2">
          <reference field="3" count="1" selected="0">
            <x v="1785"/>
          </reference>
          <reference field="4" count="1">
            <x v="693"/>
          </reference>
        </references>
      </pivotArea>
    </format>
    <format dxfId="2221">
      <pivotArea dataOnly="0" labelOnly="1" outline="0" fieldPosition="0">
        <references count="2">
          <reference field="3" count="1" selected="0">
            <x v="1786"/>
          </reference>
          <reference field="4" count="1">
            <x v="597"/>
          </reference>
        </references>
      </pivotArea>
    </format>
    <format dxfId="2220">
      <pivotArea dataOnly="0" labelOnly="1" outline="0" fieldPosition="0">
        <references count="2">
          <reference field="3" count="1" selected="0">
            <x v="1789"/>
          </reference>
          <reference field="4" count="1">
            <x v="7567"/>
          </reference>
        </references>
      </pivotArea>
    </format>
    <format dxfId="2219">
      <pivotArea dataOnly="0" labelOnly="1" outline="0" fieldPosition="0">
        <references count="2">
          <reference field="3" count="1" selected="0">
            <x v="1790"/>
          </reference>
          <reference field="4" count="1">
            <x v="1776"/>
          </reference>
        </references>
      </pivotArea>
    </format>
    <format dxfId="2218">
      <pivotArea dataOnly="0" labelOnly="1" outline="0" fieldPosition="0">
        <references count="2">
          <reference field="3" count="1" selected="0">
            <x v="1804"/>
          </reference>
          <reference field="4" count="1">
            <x v="1335"/>
          </reference>
        </references>
      </pivotArea>
    </format>
    <format dxfId="2217">
      <pivotArea dataOnly="0" labelOnly="1" outline="0" fieldPosition="0">
        <references count="2">
          <reference field="3" count="1" selected="0">
            <x v="1827"/>
          </reference>
          <reference field="4" count="1">
            <x v="4858"/>
          </reference>
        </references>
      </pivotArea>
    </format>
    <format dxfId="2216">
      <pivotArea dataOnly="0" labelOnly="1" outline="0" fieldPosition="0">
        <references count="2">
          <reference field="3" count="1" selected="0">
            <x v="1840"/>
          </reference>
          <reference field="4" count="1">
            <x v="6192"/>
          </reference>
        </references>
      </pivotArea>
    </format>
    <format dxfId="2215">
      <pivotArea dataOnly="0" labelOnly="1" outline="0" fieldPosition="0">
        <references count="2">
          <reference field="3" count="1" selected="0">
            <x v="1851"/>
          </reference>
          <reference field="4" count="1">
            <x v="6138"/>
          </reference>
        </references>
      </pivotArea>
    </format>
    <format dxfId="2214">
      <pivotArea dataOnly="0" labelOnly="1" outline="0" fieldPosition="0">
        <references count="2">
          <reference field="3" count="1" selected="0">
            <x v="1853"/>
          </reference>
          <reference field="4" count="1">
            <x v="6418"/>
          </reference>
        </references>
      </pivotArea>
    </format>
    <format dxfId="2213">
      <pivotArea dataOnly="0" labelOnly="1" outline="0" fieldPosition="0">
        <references count="2">
          <reference field="3" count="1" selected="0">
            <x v="1890"/>
          </reference>
          <reference field="4" count="1">
            <x v="4632"/>
          </reference>
        </references>
      </pivotArea>
    </format>
    <format dxfId="2212">
      <pivotArea dataOnly="0" labelOnly="1" outline="0" fieldPosition="0">
        <references count="2">
          <reference field="3" count="1" selected="0">
            <x v="1894"/>
          </reference>
          <reference field="4" count="1">
            <x v="5722"/>
          </reference>
        </references>
      </pivotArea>
    </format>
    <format dxfId="2211">
      <pivotArea dataOnly="0" labelOnly="1" outline="0" fieldPosition="0">
        <references count="2">
          <reference field="3" count="1" selected="0">
            <x v="1903"/>
          </reference>
          <reference field="4" count="1">
            <x v="3454"/>
          </reference>
        </references>
      </pivotArea>
    </format>
    <format dxfId="2210">
      <pivotArea dataOnly="0" labelOnly="1" outline="0" fieldPosition="0">
        <references count="2">
          <reference field="3" count="1" selected="0">
            <x v="1905"/>
          </reference>
          <reference field="4" count="1">
            <x v="5342"/>
          </reference>
        </references>
      </pivotArea>
    </format>
    <format dxfId="2209">
      <pivotArea dataOnly="0" labelOnly="1" outline="0" fieldPosition="0">
        <references count="2">
          <reference field="3" count="1" selected="0">
            <x v="1906"/>
          </reference>
          <reference field="4" count="1">
            <x v="6949"/>
          </reference>
        </references>
      </pivotArea>
    </format>
    <format dxfId="2208">
      <pivotArea dataOnly="0" labelOnly="1" outline="0" fieldPosition="0">
        <references count="2">
          <reference field="3" count="1" selected="0">
            <x v="1911"/>
          </reference>
          <reference field="4" count="1">
            <x v="6382"/>
          </reference>
        </references>
      </pivotArea>
    </format>
    <format dxfId="2207">
      <pivotArea dataOnly="0" labelOnly="1" outline="0" fieldPosition="0">
        <references count="2">
          <reference field="3" count="1" selected="0">
            <x v="1916"/>
          </reference>
          <reference field="4" count="1">
            <x v="1837"/>
          </reference>
        </references>
      </pivotArea>
    </format>
    <format dxfId="2206">
      <pivotArea dataOnly="0" labelOnly="1" outline="0" fieldPosition="0">
        <references count="2">
          <reference field="3" count="1" selected="0">
            <x v="1917"/>
          </reference>
          <reference field="4" count="1">
            <x v="2228"/>
          </reference>
        </references>
      </pivotArea>
    </format>
    <format dxfId="2205">
      <pivotArea dataOnly="0" labelOnly="1" outline="0" fieldPosition="0">
        <references count="2">
          <reference field="3" count="1" selected="0">
            <x v="1918"/>
          </reference>
          <reference field="4" count="1">
            <x v="3911"/>
          </reference>
        </references>
      </pivotArea>
    </format>
    <format dxfId="2204">
      <pivotArea dataOnly="0" labelOnly="1" outline="0" fieldPosition="0">
        <references count="2">
          <reference field="3" count="1" selected="0">
            <x v="1937"/>
          </reference>
          <reference field="4" count="1">
            <x v="7773"/>
          </reference>
        </references>
      </pivotArea>
    </format>
    <format dxfId="2203">
      <pivotArea dataOnly="0" labelOnly="1" outline="0" fieldPosition="0">
        <references count="2">
          <reference field="3" count="1" selected="0">
            <x v="1949"/>
          </reference>
          <reference field="4" count="1">
            <x v="6062"/>
          </reference>
        </references>
      </pivotArea>
    </format>
    <format dxfId="2202">
      <pivotArea dataOnly="0" labelOnly="1" outline="0" fieldPosition="0">
        <references count="2">
          <reference field="3" count="1" selected="0">
            <x v="1950"/>
          </reference>
          <reference field="4" count="1">
            <x v="3421"/>
          </reference>
        </references>
      </pivotArea>
    </format>
    <format dxfId="2201">
      <pivotArea dataOnly="0" labelOnly="1" outline="0" fieldPosition="0">
        <references count="2">
          <reference field="3" count="1" selected="0">
            <x v="1964"/>
          </reference>
          <reference field="4" count="1">
            <x v="4436"/>
          </reference>
        </references>
      </pivotArea>
    </format>
    <format dxfId="2200">
      <pivotArea dataOnly="0" labelOnly="1" outline="0" fieldPosition="0">
        <references count="2">
          <reference field="3" count="1" selected="0">
            <x v="2040"/>
          </reference>
          <reference field="4" count="1">
            <x v="814"/>
          </reference>
        </references>
      </pivotArea>
    </format>
    <format dxfId="2199">
      <pivotArea dataOnly="0" labelOnly="1" outline="0" fieldPosition="0">
        <references count="2">
          <reference field="3" count="1" selected="0">
            <x v="2049"/>
          </reference>
          <reference field="4" count="1">
            <x v="5797"/>
          </reference>
        </references>
      </pivotArea>
    </format>
    <format dxfId="2198">
      <pivotArea dataOnly="0" labelOnly="1" outline="0" fieldPosition="0">
        <references count="2">
          <reference field="3" count="1" selected="0">
            <x v="2051"/>
          </reference>
          <reference field="4" count="1">
            <x v="7737"/>
          </reference>
        </references>
      </pivotArea>
    </format>
    <format dxfId="2197">
      <pivotArea dataOnly="0" labelOnly="1" outline="0" fieldPosition="0">
        <references count="2">
          <reference field="3" count="1" selected="0">
            <x v="2066"/>
          </reference>
          <reference field="4" count="1">
            <x v="3682"/>
          </reference>
        </references>
      </pivotArea>
    </format>
    <format dxfId="2196">
      <pivotArea dataOnly="0" labelOnly="1" outline="0" fieldPosition="0">
        <references count="2">
          <reference field="3" count="1" selected="0">
            <x v="2069"/>
          </reference>
          <reference field="4" count="1">
            <x v="4528"/>
          </reference>
        </references>
      </pivotArea>
    </format>
    <format dxfId="2195">
      <pivotArea dataOnly="0" labelOnly="1" outline="0" fieldPosition="0">
        <references count="2">
          <reference field="3" count="1" selected="0">
            <x v="2089"/>
          </reference>
          <reference field="4" count="1">
            <x v="1064"/>
          </reference>
        </references>
      </pivotArea>
    </format>
    <format dxfId="2194">
      <pivotArea dataOnly="0" labelOnly="1" outline="0" fieldPosition="0">
        <references count="2">
          <reference field="3" count="1" selected="0">
            <x v="2097"/>
          </reference>
          <reference field="4" count="1">
            <x v="1103"/>
          </reference>
        </references>
      </pivotArea>
    </format>
    <format dxfId="2193">
      <pivotArea dataOnly="0" labelOnly="1" outline="0" fieldPosition="0">
        <references count="2">
          <reference field="3" count="1" selected="0">
            <x v="2101"/>
          </reference>
          <reference field="4" count="1">
            <x v="5470"/>
          </reference>
        </references>
      </pivotArea>
    </format>
    <format dxfId="2192">
      <pivotArea dataOnly="0" labelOnly="1" outline="0" fieldPosition="0">
        <references count="2">
          <reference field="3" count="1" selected="0">
            <x v="2104"/>
          </reference>
          <reference field="4" count="1">
            <x v="6191"/>
          </reference>
        </references>
      </pivotArea>
    </format>
    <format dxfId="2191">
      <pivotArea dataOnly="0" labelOnly="1" outline="0" fieldPosition="0">
        <references count="2">
          <reference field="3" count="1" selected="0">
            <x v="2105"/>
          </reference>
          <reference field="4" count="1">
            <x v="2516"/>
          </reference>
        </references>
      </pivotArea>
    </format>
    <format dxfId="2190">
      <pivotArea dataOnly="0" labelOnly="1" outline="0" fieldPosition="0">
        <references count="2">
          <reference field="3" count="1" selected="0">
            <x v="2106"/>
          </reference>
          <reference field="4" count="1">
            <x v="568"/>
          </reference>
        </references>
      </pivotArea>
    </format>
    <format dxfId="2189">
      <pivotArea dataOnly="0" labelOnly="1" outline="0" fieldPosition="0">
        <references count="2">
          <reference field="3" count="1" selected="0">
            <x v="2122"/>
          </reference>
          <reference field="4" count="1">
            <x v="2252"/>
          </reference>
        </references>
      </pivotArea>
    </format>
    <format dxfId="2188">
      <pivotArea dataOnly="0" labelOnly="1" outline="0" fieldPosition="0">
        <references count="2">
          <reference field="3" count="1" selected="0">
            <x v="2144"/>
          </reference>
          <reference field="4" count="1">
            <x v="7845"/>
          </reference>
        </references>
      </pivotArea>
    </format>
    <format dxfId="2187">
      <pivotArea dataOnly="0" labelOnly="1" outline="0" fieldPosition="0">
        <references count="2">
          <reference field="3" count="1" selected="0">
            <x v="2163"/>
          </reference>
          <reference field="4" count="1">
            <x v="6460"/>
          </reference>
        </references>
      </pivotArea>
    </format>
    <format dxfId="2186">
      <pivotArea dataOnly="0" labelOnly="1" outline="0" fieldPosition="0">
        <references count="2">
          <reference field="3" count="1" selected="0">
            <x v="2197"/>
          </reference>
          <reference field="4" count="1">
            <x v="1576"/>
          </reference>
        </references>
      </pivotArea>
    </format>
    <format dxfId="2185">
      <pivotArea dataOnly="0" labelOnly="1" outline="0" fieldPosition="0">
        <references count="2">
          <reference field="3" count="1" selected="0">
            <x v="2201"/>
          </reference>
          <reference field="4" count="1">
            <x v="7137"/>
          </reference>
        </references>
      </pivotArea>
    </format>
    <format dxfId="2184">
      <pivotArea dataOnly="0" labelOnly="1" outline="0" fieldPosition="0">
        <references count="2">
          <reference field="3" count="1" selected="0">
            <x v="2222"/>
          </reference>
          <reference field="4" count="1">
            <x v="5292"/>
          </reference>
        </references>
      </pivotArea>
    </format>
    <format dxfId="2183">
      <pivotArea dataOnly="0" labelOnly="1" outline="0" fieldPosition="0">
        <references count="2">
          <reference field="3" count="1" selected="0">
            <x v="2232"/>
          </reference>
          <reference field="4" count="1">
            <x v="3300"/>
          </reference>
        </references>
      </pivotArea>
    </format>
    <format dxfId="2182">
      <pivotArea dataOnly="0" labelOnly="1" outline="0" fieldPosition="0">
        <references count="2">
          <reference field="3" count="1" selected="0">
            <x v="2234"/>
          </reference>
          <reference field="4" count="1">
            <x v="3301"/>
          </reference>
        </references>
      </pivotArea>
    </format>
    <format dxfId="2181">
      <pivotArea dataOnly="0" labelOnly="1" outline="0" fieldPosition="0">
        <references count="2">
          <reference field="3" count="1" selected="0">
            <x v="2235"/>
          </reference>
          <reference field="4" count="1">
            <x v="7482"/>
          </reference>
        </references>
      </pivotArea>
    </format>
    <format dxfId="2180">
      <pivotArea dataOnly="0" labelOnly="1" outline="0" fieldPosition="0">
        <references count="2">
          <reference field="3" count="1" selected="0">
            <x v="2236"/>
          </reference>
          <reference field="4" count="1">
            <x v="3302"/>
          </reference>
        </references>
      </pivotArea>
    </format>
    <format dxfId="2179">
      <pivotArea dataOnly="0" labelOnly="1" outline="0" fieldPosition="0">
        <references count="2">
          <reference field="3" count="1" selected="0">
            <x v="2243"/>
          </reference>
          <reference field="4" count="1">
            <x v="7215"/>
          </reference>
        </references>
      </pivotArea>
    </format>
    <format dxfId="2178">
      <pivotArea dataOnly="0" labelOnly="1" outline="0" fieldPosition="0">
        <references count="2">
          <reference field="3" count="1" selected="0">
            <x v="2251"/>
          </reference>
          <reference field="4" count="1">
            <x v="4570"/>
          </reference>
        </references>
      </pivotArea>
    </format>
    <format dxfId="2177">
      <pivotArea dataOnly="0" labelOnly="1" outline="0" fieldPosition="0">
        <references count="2">
          <reference field="3" count="1" selected="0">
            <x v="2261"/>
          </reference>
          <reference field="4" count="1">
            <x v="6947"/>
          </reference>
        </references>
      </pivotArea>
    </format>
    <format dxfId="2176">
      <pivotArea dataOnly="0" labelOnly="1" outline="0" fieldPosition="0">
        <references count="3">
          <reference field="3" count="1" selected="0">
            <x v="56"/>
          </reference>
          <reference field="4" count="1" selected="0">
            <x v="743"/>
          </reference>
          <reference field="11" count="1">
            <x v="12"/>
          </reference>
        </references>
      </pivotArea>
    </format>
    <format dxfId="2175">
      <pivotArea dataOnly="0" labelOnly="1" outline="0" fieldPosition="0">
        <references count="3">
          <reference field="3" count="1" selected="0">
            <x v="174"/>
          </reference>
          <reference field="4" count="1" selected="0">
            <x v="7069"/>
          </reference>
          <reference field="11" count="1">
            <x v="11"/>
          </reference>
        </references>
      </pivotArea>
    </format>
    <format dxfId="2174">
      <pivotArea dataOnly="0" labelOnly="1" outline="0" fieldPosition="0">
        <references count="3">
          <reference field="3" count="1" selected="0">
            <x v="204"/>
          </reference>
          <reference field="4" count="1" selected="0">
            <x v="618"/>
          </reference>
          <reference field="11" count="1">
            <x v="12"/>
          </reference>
        </references>
      </pivotArea>
    </format>
    <format dxfId="2173">
      <pivotArea dataOnly="0" labelOnly="1" outline="0" fieldPosition="0">
        <references count="3">
          <reference field="3" count="1" selected="0">
            <x v="234"/>
          </reference>
          <reference field="4" count="1" selected="0">
            <x v="231"/>
          </reference>
          <reference field="11" count="1">
            <x v="11"/>
          </reference>
        </references>
      </pivotArea>
    </format>
    <format dxfId="2172">
      <pivotArea dataOnly="0" labelOnly="1" outline="0" fieldPosition="0">
        <references count="3">
          <reference field="3" count="1" selected="0">
            <x v="251"/>
          </reference>
          <reference field="4" count="1" selected="0">
            <x v="4095"/>
          </reference>
          <reference field="11" count="1">
            <x v="12"/>
          </reference>
        </references>
      </pivotArea>
    </format>
    <format dxfId="2171">
      <pivotArea dataOnly="0" labelOnly="1" outline="0" fieldPosition="0">
        <references count="3">
          <reference field="3" count="1" selected="0">
            <x v="276"/>
          </reference>
          <reference field="4" count="1" selected="0">
            <x v="7931"/>
          </reference>
          <reference field="11" count="1">
            <x v="11"/>
          </reference>
        </references>
      </pivotArea>
    </format>
    <format dxfId="2170">
      <pivotArea dataOnly="0" labelOnly="1" outline="0" fieldPosition="0">
        <references count="3">
          <reference field="3" count="1" selected="0">
            <x v="375"/>
          </reference>
          <reference field="4" count="1" selected="0">
            <x v="5837"/>
          </reference>
          <reference field="11" count="1">
            <x v="11"/>
          </reference>
        </references>
      </pivotArea>
    </format>
    <format dxfId="2169">
      <pivotArea dataOnly="0" labelOnly="1" outline="0" fieldPosition="0">
        <references count="3">
          <reference field="3" count="1" selected="0">
            <x v="379"/>
          </reference>
          <reference field="4" count="1" selected="0">
            <x v="3926"/>
          </reference>
          <reference field="11" count="1">
            <x v="12"/>
          </reference>
        </references>
      </pivotArea>
    </format>
    <format dxfId="2168">
      <pivotArea dataOnly="0" labelOnly="1" outline="0" fieldPosition="0">
        <references count="3">
          <reference field="3" count="1" selected="0">
            <x v="492"/>
          </reference>
          <reference field="4" count="1" selected="0">
            <x v="11"/>
          </reference>
          <reference field="11" count="1">
            <x v="11"/>
          </reference>
        </references>
      </pivotArea>
    </format>
    <format dxfId="2167">
      <pivotArea dataOnly="0" labelOnly="1" outline="0" fieldPosition="0">
        <references count="3">
          <reference field="3" count="1" selected="0">
            <x v="503"/>
          </reference>
          <reference field="4" count="1" selected="0">
            <x v="1492"/>
          </reference>
          <reference field="11" count="1">
            <x v="11"/>
          </reference>
        </references>
      </pivotArea>
    </format>
    <format dxfId="2166">
      <pivotArea dataOnly="0" labelOnly="1" outline="0" fieldPosition="0">
        <references count="3">
          <reference field="3" count="1" selected="0">
            <x v="745"/>
          </reference>
          <reference field="4" count="1" selected="0">
            <x v="6562"/>
          </reference>
          <reference field="11" count="1">
            <x v="12"/>
          </reference>
        </references>
      </pivotArea>
    </format>
    <format dxfId="2165">
      <pivotArea dataOnly="0" labelOnly="1" outline="0" fieldPosition="0">
        <references count="3">
          <reference field="3" count="1" selected="0">
            <x v="782"/>
          </reference>
          <reference field="4" count="1" selected="0">
            <x v="1293"/>
          </reference>
          <reference field="11" count="1">
            <x v="11"/>
          </reference>
        </references>
      </pivotArea>
    </format>
    <format dxfId="2164">
      <pivotArea dataOnly="0" labelOnly="1" outline="0" fieldPosition="0">
        <references count="3">
          <reference field="3" count="1" selected="0">
            <x v="1069"/>
          </reference>
          <reference field="4" count="1" selected="0">
            <x v="3787"/>
          </reference>
          <reference field="11" count="1">
            <x v="11"/>
          </reference>
        </references>
      </pivotArea>
    </format>
    <format dxfId="2163">
      <pivotArea dataOnly="0" labelOnly="1" outline="0" fieldPosition="0">
        <references count="3">
          <reference field="3" count="1" selected="0">
            <x v="1167"/>
          </reference>
          <reference field="4" count="1" selected="0">
            <x v="6179"/>
          </reference>
          <reference field="11" count="1">
            <x v="11"/>
          </reference>
        </references>
      </pivotArea>
    </format>
    <format dxfId="2162">
      <pivotArea dataOnly="0" labelOnly="1" outline="0" fieldPosition="0">
        <references count="3">
          <reference field="3" count="1" selected="0">
            <x v="1196"/>
          </reference>
          <reference field="4" count="1" selected="0">
            <x v="3719"/>
          </reference>
          <reference field="11" count="1">
            <x v="11"/>
          </reference>
        </references>
      </pivotArea>
    </format>
    <format dxfId="2161">
      <pivotArea dataOnly="0" labelOnly="1" outline="0" fieldPosition="0">
        <references count="3">
          <reference field="3" count="1" selected="0">
            <x v="1198"/>
          </reference>
          <reference field="4" count="1" selected="0">
            <x v="143"/>
          </reference>
          <reference field="11" count="1">
            <x v="12"/>
          </reference>
        </references>
      </pivotArea>
    </format>
    <format dxfId="2160">
      <pivotArea dataOnly="0" labelOnly="1" outline="0" fieldPosition="0">
        <references count="3">
          <reference field="3" count="1" selected="0">
            <x v="1715"/>
          </reference>
          <reference field="4" count="1" selected="0">
            <x v="1667"/>
          </reference>
          <reference field="11" count="1">
            <x v="11"/>
          </reference>
        </references>
      </pivotArea>
    </format>
    <format dxfId="2159">
      <pivotArea dataOnly="0" labelOnly="1" outline="0" fieldPosition="0">
        <references count="3">
          <reference field="3" count="1" selected="0">
            <x v="1717"/>
          </reference>
          <reference field="4" count="1" selected="0">
            <x v="7778"/>
          </reference>
          <reference field="11" count="1">
            <x v="12"/>
          </reference>
        </references>
      </pivotArea>
    </format>
    <format dxfId="2158">
      <pivotArea dataOnly="0" labelOnly="1" outline="0" fieldPosition="0">
        <references count="3">
          <reference field="3" count="1" selected="0">
            <x v="1741"/>
          </reference>
          <reference field="4" count="1" selected="0">
            <x v="3358"/>
          </reference>
          <reference field="11" count="1">
            <x v="11"/>
          </reference>
        </references>
      </pivotArea>
    </format>
    <format dxfId="2157">
      <pivotArea dataOnly="0" labelOnly="1" outline="0" fieldPosition="0">
        <references count="3">
          <reference field="3" count="1" selected="0">
            <x v="1746"/>
          </reference>
          <reference field="4" count="1" selected="0">
            <x v="274"/>
          </reference>
          <reference field="11" count="1">
            <x v="11"/>
          </reference>
        </references>
      </pivotArea>
    </format>
    <format dxfId="2156">
      <pivotArea dataOnly="0" labelOnly="1" outline="0" fieldPosition="0">
        <references count="3">
          <reference field="3" count="1" selected="0">
            <x v="1750"/>
          </reference>
          <reference field="4" count="1" selected="0">
            <x v="3711"/>
          </reference>
          <reference field="11" count="1">
            <x v="11"/>
          </reference>
        </references>
      </pivotArea>
    </format>
    <format dxfId="2155">
      <pivotArea dataOnly="0" labelOnly="1" outline="0" fieldPosition="0">
        <references count="3">
          <reference field="3" count="1" selected="0">
            <x v="1753"/>
          </reference>
          <reference field="4" count="1" selected="0">
            <x v="4606"/>
          </reference>
          <reference field="11" count="1">
            <x v="11"/>
          </reference>
        </references>
      </pivotArea>
    </format>
    <format dxfId="2154">
      <pivotArea dataOnly="0" labelOnly="1" outline="0" fieldPosition="0">
        <references count="3">
          <reference field="3" count="1" selected="0">
            <x v="1767"/>
          </reference>
          <reference field="4" count="1" selected="0">
            <x v="164"/>
          </reference>
          <reference field="11" count="1">
            <x v="11"/>
          </reference>
        </references>
      </pivotArea>
    </format>
    <format dxfId="2153">
      <pivotArea dataOnly="0" labelOnly="1" outline="0" fieldPosition="0">
        <references count="3">
          <reference field="3" count="1" selected="0">
            <x v="1785"/>
          </reference>
          <reference field="4" count="1" selected="0">
            <x v="693"/>
          </reference>
          <reference field="11" count="1">
            <x v="11"/>
          </reference>
        </references>
      </pivotArea>
    </format>
    <format dxfId="2152">
      <pivotArea dataOnly="0" labelOnly="1" outline="0" fieldPosition="0">
        <references count="3">
          <reference field="3" count="1" selected="0">
            <x v="1903"/>
          </reference>
          <reference field="4" count="1" selected="0">
            <x v="3454"/>
          </reference>
          <reference field="11" count="1">
            <x v="12"/>
          </reference>
        </references>
      </pivotArea>
    </format>
    <format dxfId="2151">
      <pivotArea dataOnly="0" labelOnly="1" outline="0" fieldPosition="0">
        <references count="3">
          <reference field="3" count="1" selected="0">
            <x v="2144"/>
          </reference>
          <reference field="4" count="1" selected="0">
            <x v="7845"/>
          </reference>
          <reference field="11" count="1">
            <x v="12"/>
          </reference>
        </references>
      </pivotArea>
    </format>
    <format dxfId="2150">
      <pivotArea dataOnly="0" labelOnly="1" outline="0" fieldPosition="0">
        <references count="4">
          <reference field="3" count="1" selected="0">
            <x v="56"/>
          </reference>
          <reference field="4" count="1" selected="0">
            <x v="743"/>
          </reference>
          <reference field="11" count="1" selected="0">
            <x v="12"/>
          </reference>
          <reference field="14" count="1">
            <x v="808"/>
          </reference>
        </references>
      </pivotArea>
    </format>
    <format dxfId="2149">
      <pivotArea dataOnly="0" labelOnly="1" outline="0" fieldPosition="0">
        <references count="4">
          <reference field="3" count="1" selected="0">
            <x v="81"/>
          </reference>
          <reference field="4" count="1" selected="0">
            <x v="7610"/>
          </reference>
          <reference field="11" count="1" selected="0">
            <x v="12"/>
          </reference>
          <reference field="14" count="1">
            <x v="217"/>
          </reference>
        </references>
      </pivotArea>
    </format>
    <format dxfId="2148">
      <pivotArea dataOnly="0" labelOnly="1" outline="0" fieldPosition="0">
        <references count="4">
          <reference field="3" count="1" selected="0">
            <x v="112"/>
          </reference>
          <reference field="4" count="1" selected="0">
            <x v="2075"/>
          </reference>
          <reference field="11" count="1" selected="0">
            <x v="12"/>
          </reference>
          <reference field="14" count="1">
            <x v="656"/>
          </reference>
        </references>
      </pivotArea>
    </format>
    <format dxfId="2147">
      <pivotArea dataOnly="0" labelOnly="1" outline="0" fieldPosition="0">
        <references count="4">
          <reference field="3" count="1" selected="0">
            <x v="122"/>
          </reference>
          <reference field="4" count="1" selected="0">
            <x v="5331"/>
          </reference>
          <reference field="11" count="1" selected="0">
            <x v="12"/>
          </reference>
          <reference field="14" count="1">
            <x v="369"/>
          </reference>
        </references>
      </pivotArea>
    </format>
    <format dxfId="2146">
      <pivotArea dataOnly="0" labelOnly="1" outline="0" fieldPosition="0">
        <references count="4">
          <reference field="3" count="1" selected="0">
            <x v="152"/>
          </reference>
          <reference field="4" count="1" selected="0">
            <x v="4449"/>
          </reference>
          <reference field="11" count="1" selected="0">
            <x v="12"/>
          </reference>
          <reference field="14" count="1">
            <x v="136"/>
          </reference>
        </references>
      </pivotArea>
    </format>
    <format dxfId="2145">
      <pivotArea dataOnly="0" labelOnly="1" outline="0" fieldPosition="0">
        <references count="4">
          <reference field="3" count="1" selected="0">
            <x v="153"/>
          </reference>
          <reference field="4" count="1" selected="0">
            <x v="4205"/>
          </reference>
          <reference field="11" count="1" selected="0">
            <x v="12"/>
          </reference>
          <reference field="14" count="1">
            <x v="125"/>
          </reference>
        </references>
      </pivotArea>
    </format>
    <format dxfId="2144">
      <pivotArea dataOnly="0" labelOnly="1" outline="0" fieldPosition="0">
        <references count="4">
          <reference field="3" count="1" selected="0">
            <x v="174"/>
          </reference>
          <reference field="4" count="1" selected="0">
            <x v="7069"/>
          </reference>
          <reference field="11" count="1" selected="0">
            <x v="11"/>
          </reference>
          <reference field="14" count="1">
            <x v="412"/>
          </reference>
        </references>
      </pivotArea>
    </format>
    <format dxfId="2143">
      <pivotArea dataOnly="0" labelOnly="1" outline="0" fieldPosition="0">
        <references count="4">
          <reference field="3" count="1" selected="0">
            <x v="189"/>
          </reference>
          <reference field="4" count="1" selected="0">
            <x v="7661"/>
          </reference>
          <reference field="11" count="1" selected="0">
            <x v="12"/>
          </reference>
          <reference field="14" count="1">
            <x v="350"/>
          </reference>
        </references>
      </pivotArea>
    </format>
    <format dxfId="2142">
      <pivotArea dataOnly="0" labelOnly="1" outline="0" fieldPosition="0">
        <references count="4">
          <reference field="3" count="1" selected="0">
            <x v="190"/>
          </reference>
          <reference field="4" count="1" selected="0">
            <x v="3551"/>
          </reference>
          <reference field="11" count="1" selected="0">
            <x v="12"/>
          </reference>
          <reference field="14" count="1">
            <x v="106"/>
          </reference>
        </references>
      </pivotArea>
    </format>
    <format dxfId="2141">
      <pivotArea dataOnly="0" labelOnly="1" outline="0" fieldPosition="0">
        <references count="4">
          <reference field="3" count="1" selected="0">
            <x v="199"/>
          </reference>
          <reference field="4" count="1" selected="0">
            <x v="4077"/>
          </reference>
          <reference field="11" count="1" selected="0">
            <x v="12"/>
          </reference>
          <reference field="14" count="1">
            <x v="629"/>
          </reference>
        </references>
      </pivotArea>
    </format>
    <format dxfId="2140">
      <pivotArea dataOnly="0" labelOnly="1" outline="0" fieldPosition="0">
        <references count="4">
          <reference field="3" count="1" selected="0">
            <x v="204"/>
          </reference>
          <reference field="4" count="1" selected="0">
            <x v="618"/>
          </reference>
          <reference field="11" count="1" selected="0">
            <x v="12"/>
          </reference>
          <reference field="14" count="1">
            <x v="851"/>
          </reference>
        </references>
      </pivotArea>
    </format>
    <format dxfId="2139">
      <pivotArea dataOnly="0" labelOnly="1" outline="0" fieldPosition="0">
        <references count="4">
          <reference field="3" count="1" selected="0">
            <x v="206"/>
          </reference>
          <reference field="4" count="1" selected="0">
            <x v="6497"/>
          </reference>
          <reference field="11" count="1" selected="0">
            <x v="12"/>
          </reference>
          <reference field="14" count="1">
            <x v="135"/>
          </reference>
        </references>
      </pivotArea>
    </format>
    <format dxfId="2138">
      <pivotArea dataOnly="0" labelOnly="1" outline="0" fieldPosition="0">
        <references count="4">
          <reference field="3" count="1" selected="0">
            <x v="234"/>
          </reference>
          <reference field="4" count="1" selected="0">
            <x v="231"/>
          </reference>
          <reference field="11" count="1" selected="0">
            <x v="11"/>
          </reference>
          <reference field="14" count="1">
            <x v="678"/>
          </reference>
        </references>
      </pivotArea>
    </format>
    <format dxfId="2137">
      <pivotArea dataOnly="0" labelOnly="1" outline="0" fieldPosition="0">
        <references count="4">
          <reference field="3" count="1" selected="0">
            <x v="251"/>
          </reference>
          <reference field="4" count="1" selected="0">
            <x v="4095"/>
          </reference>
          <reference field="11" count="1" selected="0">
            <x v="12"/>
          </reference>
          <reference field="14" count="1">
            <x v="438"/>
          </reference>
        </references>
      </pivotArea>
    </format>
    <format dxfId="2136">
      <pivotArea dataOnly="0" labelOnly="1" outline="0" fieldPosition="0">
        <references count="4">
          <reference field="3" count="1" selected="0">
            <x v="253"/>
          </reference>
          <reference field="4" count="1" selected="0">
            <x v="6532"/>
          </reference>
          <reference field="11" count="1" selected="0">
            <x v="12"/>
          </reference>
          <reference field="14" count="1">
            <x v="763"/>
          </reference>
        </references>
      </pivotArea>
    </format>
    <format dxfId="2135">
      <pivotArea dataOnly="0" labelOnly="1" outline="0" fieldPosition="0">
        <references count="4">
          <reference field="3" count="1" selected="0">
            <x v="259"/>
          </reference>
          <reference field="4" count="1" selected="0">
            <x v="5021"/>
          </reference>
          <reference field="11" count="1" selected="0">
            <x v="12"/>
          </reference>
          <reference field="14" count="1">
            <x v="815"/>
          </reference>
        </references>
      </pivotArea>
    </format>
    <format dxfId="2134">
      <pivotArea dataOnly="0" labelOnly="1" outline="0" fieldPosition="0">
        <references count="4">
          <reference field="3" count="1" selected="0">
            <x v="269"/>
          </reference>
          <reference field="4" count="1" selected="0">
            <x v="7152"/>
          </reference>
          <reference field="11" count="1" selected="0">
            <x v="12"/>
          </reference>
          <reference field="14" count="1">
            <x v="338"/>
          </reference>
        </references>
      </pivotArea>
    </format>
    <format dxfId="2133">
      <pivotArea dataOnly="0" labelOnly="1" outline="0" fieldPosition="0">
        <references count="4">
          <reference field="3" count="1" selected="0">
            <x v="276"/>
          </reference>
          <reference field="4" count="1" selected="0">
            <x v="7931"/>
          </reference>
          <reference field="11" count="1" selected="0">
            <x v="11"/>
          </reference>
          <reference field="14" count="1">
            <x v="279"/>
          </reference>
        </references>
      </pivotArea>
    </format>
    <format dxfId="2132">
      <pivotArea dataOnly="0" labelOnly="1" outline="0" fieldPosition="0">
        <references count="4">
          <reference field="3" count="1" selected="0">
            <x v="292"/>
          </reference>
          <reference field="4" count="1" selected="0">
            <x v="2680"/>
          </reference>
          <reference field="11" count="1" selected="0">
            <x v="12"/>
          </reference>
          <reference field="14" count="1">
            <x v="981"/>
          </reference>
        </references>
      </pivotArea>
    </format>
    <format dxfId="2131">
      <pivotArea dataOnly="0" labelOnly="1" outline="0" fieldPosition="0">
        <references count="4">
          <reference field="3" count="1" selected="0">
            <x v="356"/>
          </reference>
          <reference field="4" count="1" selected="0">
            <x v="4512"/>
          </reference>
          <reference field="11" count="1" selected="0">
            <x v="12"/>
          </reference>
          <reference field="14" count="1">
            <x v="428"/>
          </reference>
        </references>
      </pivotArea>
    </format>
    <format dxfId="2130">
      <pivotArea dataOnly="0" labelOnly="1" outline="0" fieldPosition="0">
        <references count="4">
          <reference field="3" count="1" selected="0">
            <x v="360"/>
          </reference>
          <reference field="4" count="1" selected="0">
            <x v="7714"/>
          </reference>
          <reference field="11" count="1" selected="0">
            <x v="12"/>
          </reference>
          <reference field="14" count="1">
            <x v="755"/>
          </reference>
        </references>
      </pivotArea>
    </format>
    <format dxfId="2129">
      <pivotArea dataOnly="0" labelOnly="1" outline="0" fieldPosition="0">
        <references count="4">
          <reference field="3" count="1" selected="0">
            <x v="375"/>
          </reference>
          <reference field="4" count="1" selected="0">
            <x v="5837"/>
          </reference>
          <reference field="11" count="1" selected="0">
            <x v="11"/>
          </reference>
          <reference field="14" count="1">
            <x v="129"/>
          </reference>
        </references>
      </pivotArea>
    </format>
    <format dxfId="2128">
      <pivotArea dataOnly="0" labelOnly="1" outline="0" fieldPosition="0">
        <references count="4">
          <reference field="3" count="1" selected="0">
            <x v="379"/>
          </reference>
          <reference field="4" count="1" selected="0">
            <x v="3926"/>
          </reference>
          <reference field="11" count="1" selected="0">
            <x v="12"/>
          </reference>
          <reference field="14" count="1">
            <x v="255"/>
          </reference>
        </references>
      </pivotArea>
    </format>
    <format dxfId="2127">
      <pivotArea dataOnly="0" labelOnly="1" outline="0" fieldPosition="0">
        <references count="4">
          <reference field="3" count="1" selected="0">
            <x v="388"/>
          </reference>
          <reference field="4" count="1" selected="0">
            <x v="1359"/>
          </reference>
          <reference field="11" count="1" selected="0">
            <x v="12"/>
          </reference>
          <reference field="14" count="1">
            <x v="204"/>
          </reference>
        </references>
      </pivotArea>
    </format>
    <format dxfId="2126">
      <pivotArea dataOnly="0" labelOnly="1" outline="0" fieldPosition="0">
        <references count="4">
          <reference field="3" count="1" selected="0">
            <x v="398"/>
          </reference>
          <reference field="4" count="1" selected="0">
            <x v="3374"/>
          </reference>
          <reference field="11" count="1" selected="0">
            <x v="12"/>
          </reference>
          <reference field="14" count="1">
            <x v="500"/>
          </reference>
        </references>
      </pivotArea>
    </format>
    <format dxfId="2125">
      <pivotArea dataOnly="0" labelOnly="1" outline="0" fieldPosition="0">
        <references count="4">
          <reference field="3" count="1" selected="0">
            <x v="458"/>
          </reference>
          <reference field="4" count="1" selected="0">
            <x v="4334"/>
          </reference>
          <reference field="11" count="1" selected="0">
            <x v="12"/>
          </reference>
          <reference field="14" count="1">
            <x v="402"/>
          </reference>
        </references>
      </pivotArea>
    </format>
    <format dxfId="2124">
      <pivotArea dataOnly="0" labelOnly="1" outline="0" fieldPosition="0">
        <references count="4">
          <reference field="3" count="1" selected="0">
            <x v="460"/>
          </reference>
          <reference field="4" count="1" selected="0">
            <x v="4064"/>
          </reference>
          <reference field="11" count="1" selected="0">
            <x v="12"/>
          </reference>
          <reference field="14" count="1">
            <x v="373"/>
          </reference>
        </references>
      </pivotArea>
    </format>
    <format dxfId="2123">
      <pivotArea dataOnly="0" labelOnly="1" outline="0" fieldPosition="0">
        <references count="4">
          <reference field="3" count="1" selected="0">
            <x v="477"/>
          </reference>
          <reference field="4" count="1" selected="0">
            <x v="1442"/>
          </reference>
          <reference field="11" count="1" selected="0">
            <x v="12"/>
          </reference>
          <reference field="14" count="1">
            <x v="684"/>
          </reference>
        </references>
      </pivotArea>
    </format>
    <format dxfId="2122">
      <pivotArea dataOnly="0" labelOnly="1" outline="0" fieldPosition="0">
        <references count="4">
          <reference field="3" count="1" selected="0">
            <x v="480"/>
          </reference>
          <reference field="4" count="1" selected="0">
            <x v="1050"/>
          </reference>
          <reference field="11" count="1" selected="0">
            <x v="12"/>
          </reference>
          <reference field="14" count="1">
            <x v="119"/>
          </reference>
        </references>
      </pivotArea>
    </format>
    <format dxfId="2121">
      <pivotArea dataOnly="0" labelOnly="1" outline="0" fieldPosition="0">
        <references count="4">
          <reference field="3" count="1" selected="0">
            <x v="481"/>
          </reference>
          <reference field="4" count="1" selected="0">
            <x v="6290"/>
          </reference>
          <reference field="11" count="1" selected="0">
            <x v="12"/>
          </reference>
          <reference field="14" count="1">
            <x v="757"/>
          </reference>
        </references>
      </pivotArea>
    </format>
    <format dxfId="2120">
      <pivotArea dataOnly="0" labelOnly="1" outline="0" fieldPosition="0">
        <references count="4">
          <reference field="3" count="1" selected="0">
            <x v="492"/>
          </reference>
          <reference field="4" count="1" selected="0">
            <x v="11"/>
          </reference>
          <reference field="11" count="1" selected="0">
            <x v="11"/>
          </reference>
          <reference field="14" count="1">
            <x v="3"/>
          </reference>
        </references>
      </pivotArea>
    </format>
    <format dxfId="2119">
      <pivotArea dataOnly="0" labelOnly="1" outline="0" fieldPosition="0">
        <references count="4">
          <reference field="3" count="1" selected="0">
            <x v="503"/>
          </reference>
          <reference field="4" count="1" selected="0">
            <x v="1492"/>
          </reference>
          <reference field="11" count="1" selected="0">
            <x v="11"/>
          </reference>
          <reference field="14" count="1">
            <x v="277"/>
          </reference>
        </references>
      </pivotArea>
    </format>
    <format dxfId="2118">
      <pivotArea dataOnly="0" labelOnly="1" outline="0" fieldPosition="0">
        <references count="4">
          <reference field="3" count="1" selected="0">
            <x v="535"/>
          </reference>
          <reference field="4" count="1" selected="0">
            <x v="553"/>
          </reference>
          <reference field="11" count="1" selected="0">
            <x v="12"/>
          </reference>
          <reference field="14" count="1">
            <x v="689"/>
          </reference>
        </references>
      </pivotArea>
    </format>
    <format dxfId="2117">
      <pivotArea dataOnly="0" labelOnly="1" outline="0" fieldPosition="0">
        <references count="4">
          <reference field="3" count="1" selected="0">
            <x v="541"/>
          </reference>
          <reference field="4" count="1" selected="0">
            <x v="7595"/>
          </reference>
          <reference field="11" count="1" selected="0">
            <x v="12"/>
          </reference>
          <reference field="14" count="1">
            <x v="189"/>
          </reference>
        </references>
      </pivotArea>
    </format>
    <format dxfId="2116">
      <pivotArea dataOnly="0" labelOnly="1" outline="0" fieldPosition="0">
        <references count="4">
          <reference field="3" count="1" selected="0">
            <x v="558"/>
          </reference>
          <reference field="4" count="1" selected="0">
            <x v="4323"/>
          </reference>
          <reference field="11" count="1" selected="0">
            <x v="12"/>
          </reference>
          <reference field="14" count="1">
            <x v="854"/>
          </reference>
        </references>
      </pivotArea>
    </format>
    <format dxfId="2115">
      <pivotArea dataOnly="0" labelOnly="1" outline="0" fieldPosition="0">
        <references count="4">
          <reference field="3" count="1" selected="0">
            <x v="587"/>
          </reference>
          <reference field="4" count="1" selected="0">
            <x v="5225"/>
          </reference>
          <reference field="11" count="1" selected="0">
            <x v="11"/>
          </reference>
          <reference field="14" count="1">
            <x v="450"/>
          </reference>
        </references>
      </pivotArea>
    </format>
    <format dxfId="2114">
      <pivotArea dataOnly="0" labelOnly="1" outline="0" fieldPosition="0">
        <references count="4">
          <reference field="3" count="1" selected="0">
            <x v="599"/>
          </reference>
          <reference field="4" count="1" selected="0">
            <x v="7760"/>
          </reference>
          <reference field="11" count="1" selected="0">
            <x v="12"/>
          </reference>
          <reference field="14" count="1">
            <x v="916"/>
          </reference>
        </references>
      </pivotArea>
    </format>
    <format dxfId="2113">
      <pivotArea dataOnly="0" labelOnly="1" outline="0" fieldPosition="0">
        <references count="4">
          <reference field="3" count="1" selected="0">
            <x v="622"/>
          </reference>
          <reference field="4" count="1" selected="0">
            <x v="1430"/>
          </reference>
          <reference field="11" count="1" selected="0">
            <x v="12"/>
          </reference>
          <reference field="14" count="1">
            <x v="87"/>
          </reference>
        </references>
      </pivotArea>
    </format>
    <format dxfId="2112">
      <pivotArea dataOnly="0" labelOnly="1" outline="0" fieldPosition="0">
        <references count="4">
          <reference field="3" count="1" selected="0">
            <x v="625"/>
          </reference>
          <reference field="4" count="1" selected="0">
            <x v="5737"/>
          </reference>
          <reference field="11" count="1" selected="0">
            <x v="12"/>
          </reference>
          <reference field="14" count="1">
            <x v="852"/>
          </reference>
        </references>
      </pivotArea>
    </format>
    <format dxfId="2111">
      <pivotArea dataOnly="0" labelOnly="1" outline="0" fieldPosition="0">
        <references count="4">
          <reference field="3" count="1" selected="0">
            <x v="683"/>
          </reference>
          <reference field="4" count="1" selected="0">
            <x v="4580"/>
          </reference>
          <reference field="11" count="1" selected="0">
            <x v="12"/>
          </reference>
          <reference field="14" count="1">
            <x v="365"/>
          </reference>
        </references>
      </pivotArea>
    </format>
    <format dxfId="2110">
      <pivotArea dataOnly="0" labelOnly="1" outline="0" fieldPosition="0">
        <references count="4">
          <reference field="3" count="1" selected="0">
            <x v="695"/>
          </reference>
          <reference field="4" count="1" selected="0">
            <x v="5188"/>
          </reference>
          <reference field="11" count="1" selected="0">
            <x v="12"/>
          </reference>
          <reference field="14" count="1">
            <x v="721"/>
          </reference>
        </references>
      </pivotArea>
    </format>
    <format dxfId="2109">
      <pivotArea dataOnly="0" labelOnly="1" outline="0" fieldPosition="0">
        <references count="4">
          <reference field="3" count="1" selected="0">
            <x v="709"/>
          </reference>
          <reference field="4" count="1" selected="0">
            <x v="4898"/>
          </reference>
          <reference field="11" count="1" selected="0">
            <x v="12"/>
          </reference>
          <reference field="14" count="1">
            <x v="895"/>
          </reference>
        </references>
      </pivotArea>
    </format>
    <format dxfId="2108">
      <pivotArea dataOnly="0" labelOnly="1" outline="0" fieldPosition="0">
        <references count="4">
          <reference field="3" count="1" selected="0">
            <x v="718"/>
          </reference>
          <reference field="4" count="1" selected="0">
            <x v="92"/>
          </reference>
          <reference field="11" count="1" selected="0">
            <x v="12"/>
          </reference>
          <reference field="14" count="1">
            <x v="862"/>
          </reference>
        </references>
      </pivotArea>
    </format>
    <format dxfId="2107">
      <pivotArea dataOnly="0" labelOnly="1" outline="0" fieldPosition="0">
        <references count="4">
          <reference field="3" count="1" selected="0">
            <x v="730"/>
          </reference>
          <reference field="4" count="1" selected="0">
            <x v="6875"/>
          </reference>
          <reference field="11" count="1" selected="0">
            <x v="12"/>
          </reference>
          <reference field="14" count="1">
            <x v="834"/>
          </reference>
        </references>
      </pivotArea>
    </format>
    <format dxfId="2106">
      <pivotArea dataOnly="0" labelOnly="1" outline="0" fieldPosition="0">
        <references count="4">
          <reference field="3" count="1" selected="0">
            <x v="745"/>
          </reference>
          <reference field="4" count="1" selected="0">
            <x v="6562"/>
          </reference>
          <reference field="11" count="1" selected="0">
            <x v="12"/>
          </reference>
          <reference field="14" count="1">
            <x v="876"/>
          </reference>
        </references>
      </pivotArea>
    </format>
    <format dxfId="2105">
      <pivotArea dataOnly="0" labelOnly="1" outline="0" fieldPosition="0">
        <references count="4">
          <reference field="3" count="1" selected="0">
            <x v="756"/>
          </reference>
          <reference field="4" count="1" selected="0">
            <x v="4061"/>
          </reference>
          <reference field="11" count="1" selected="0">
            <x v="12"/>
          </reference>
          <reference field="14" count="1">
            <x v="99"/>
          </reference>
        </references>
      </pivotArea>
    </format>
    <format dxfId="2104">
      <pivotArea dataOnly="0" labelOnly="1" outline="0" fieldPosition="0">
        <references count="4">
          <reference field="3" count="1" selected="0">
            <x v="759"/>
          </reference>
          <reference field="4" count="1" selected="0">
            <x v="805"/>
          </reference>
          <reference field="11" count="1" selected="0">
            <x v="12"/>
          </reference>
          <reference field="14" count="1">
            <x v="107"/>
          </reference>
        </references>
      </pivotArea>
    </format>
    <format dxfId="2103">
      <pivotArea dataOnly="0" labelOnly="1" outline="0" fieldPosition="0">
        <references count="4">
          <reference field="3" count="1" selected="0">
            <x v="774"/>
          </reference>
          <reference field="4" count="1" selected="0">
            <x v="2379"/>
          </reference>
          <reference field="11" count="1" selected="0">
            <x v="12"/>
          </reference>
          <reference field="14" count="1">
            <x v="468"/>
          </reference>
        </references>
      </pivotArea>
    </format>
    <format dxfId="2102">
      <pivotArea dataOnly="0" labelOnly="1" outline="0" fieldPosition="0">
        <references count="4">
          <reference field="3" count="1" selected="0">
            <x v="782"/>
          </reference>
          <reference field="4" count="1" selected="0">
            <x v="1293"/>
          </reference>
          <reference field="11" count="1" selected="0">
            <x v="11"/>
          </reference>
          <reference field="14" count="1">
            <x v="263"/>
          </reference>
        </references>
      </pivotArea>
    </format>
    <format dxfId="2101">
      <pivotArea dataOnly="0" labelOnly="1" outline="0" fieldPosition="0">
        <references count="4">
          <reference field="3" count="1" selected="0">
            <x v="809"/>
          </reference>
          <reference field="4" count="1" selected="0">
            <x v="6775"/>
          </reference>
          <reference field="11" count="1" selected="0">
            <x v="12"/>
          </reference>
          <reference field="14" count="1">
            <x v="116"/>
          </reference>
        </references>
      </pivotArea>
    </format>
    <format dxfId="2100">
      <pivotArea dataOnly="0" labelOnly="1" outline="0" fieldPosition="0">
        <references count="4">
          <reference field="3" count="1" selected="0">
            <x v="839"/>
          </reference>
          <reference field="4" count="1" selected="0">
            <x v="7371"/>
          </reference>
          <reference field="11" count="1" selected="0">
            <x v="12"/>
          </reference>
          <reference field="14" count="1">
            <x v="219"/>
          </reference>
        </references>
      </pivotArea>
    </format>
    <format dxfId="2099">
      <pivotArea dataOnly="0" labelOnly="1" outline="0" fieldPosition="0">
        <references count="4">
          <reference field="3" count="1" selected="0">
            <x v="850"/>
          </reference>
          <reference field="4" count="1" selected="0">
            <x v="1239"/>
          </reference>
          <reference field="11" count="1" selected="0">
            <x v="12"/>
          </reference>
          <reference field="14" count="1">
            <x v="873"/>
          </reference>
        </references>
      </pivotArea>
    </format>
    <format dxfId="2098">
      <pivotArea dataOnly="0" labelOnly="1" outline="0" fieldPosition="0">
        <references count="4">
          <reference field="3" count="1" selected="0">
            <x v="873"/>
          </reference>
          <reference field="4" count="1" selected="0">
            <x v="6413"/>
          </reference>
          <reference field="11" count="1" selected="0">
            <x v="12"/>
          </reference>
          <reference field="14" count="1">
            <x v="72"/>
          </reference>
        </references>
      </pivotArea>
    </format>
    <format dxfId="2097">
      <pivotArea dataOnly="0" labelOnly="1" outline="0" fieldPosition="0">
        <references count="4">
          <reference field="3" count="1" selected="0">
            <x v="881"/>
          </reference>
          <reference field="4" count="1" selected="0">
            <x v="2711"/>
          </reference>
          <reference field="11" count="1" selected="0">
            <x v="12"/>
          </reference>
          <reference field="14" count="1">
            <x v="291"/>
          </reference>
        </references>
      </pivotArea>
    </format>
    <format dxfId="2096">
      <pivotArea dataOnly="0" labelOnly="1" outline="0" fieldPosition="0">
        <references count="4">
          <reference field="3" count="1" selected="0">
            <x v="884"/>
          </reference>
          <reference field="4" count="1" selected="0">
            <x v="6627"/>
          </reference>
          <reference field="11" count="1" selected="0">
            <x v="12"/>
          </reference>
          <reference field="14" count="1">
            <x v="100"/>
          </reference>
        </references>
      </pivotArea>
    </format>
    <format dxfId="2095">
      <pivotArea dataOnly="0" labelOnly="1" outline="0" fieldPosition="0">
        <references count="4">
          <reference field="3" count="1" selected="0">
            <x v="913"/>
          </reference>
          <reference field="4" count="1" selected="0">
            <x v="5242"/>
          </reference>
          <reference field="11" count="1" selected="0">
            <x v="12"/>
          </reference>
          <reference field="14" count="1">
            <x v="813"/>
          </reference>
        </references>
      </pivotArea>
    </format>
    <format dxfId="2094">
      <pivotArea dataOnly="0" labelOnly="1" outline="0" fieldPosition="0">
        <references count="4">
          <reference field="3" count="1" selected="0">
            <x v="948"/>
          </reference>
          <reference field="4" count="1" selected="0">
            <x v="1294"/>
          </reference>
          <reference field="11" count="1" selected="0">
            <x v="12"/>
          </reference>
          <reference field="14" count="1">
            <x v="197"/>
          </reference>
        </references>
      </pivotArea>
    </format>
    <format dxfId="2093">
      <pivotArea dataOnly="0" labelOnly="1" outline="0" fieldPosition="0">
        <references count="4">
          <reference field="3" count="1" selected="0">
            <x v="971"/>
          </reference>
          <reference field="4" count="1" selected="0">
            <x v="3574"/>
          </reference>
          <reference field="11" count="1" selected="0">
            <x v="12"/>
          </reference>
          <reference field="14" count="1">
            <x v="180"/>
          </reference>
        </references>
      </pivotArea>
    </format>
    <format dxfId="2092">
      <pivotArea dataOnly="0" labelOnly="1" outline="0" fieldPosition="0">
        <references count="4">
          <reference field="3" count="1" selected="0">
            <x v="997"/>
          </reference>
          <reference field="4" count="1" selected="0">
            <x v="1759"/>
          </reference>
          <reference field="11" count="1" selected="0">
            <x v="12"/>
          </reference>
          <reference field="14" count="1">
            <x v="867"/>
          </reference>
        </references>
      </pivotArea>
    </format>
    <format dxfId="2091">
      <pivotArea dataOnly="0" labelOnly="1" outline="0" fieldPosition="0">
        <references count="4">
          <reference field="3" count="1" selected="0">
            <x v="1003"/>
          </reference>
          <reference field="4" count="1" selected="0">
            <x v="961"/>
          </reference>
          <reference field="11" count="1" selected="0">
            <x v="12"/>
          </reference>
          <reference field="14" count="1">
            <x v="899"/>
          </reference>
        </references>
      </pivotArea>
    </format>
    <format dxfId="2090">
      <pivotArea dataOnly="0" labelOnly="1" outline="0" fieldPosition="0">
        <references count="4">
          <reference field="3" count="1" selected="0">
            <x v="1011"/>
          </reference>
          <reference field="4" count="1" selected="0">
            <x v="5221"/>
          </reference>
          <reference field="11" count="1" selected="0">
            <x v="12"/>
          </reference>
          <reference field="14" count="1">
            <x v="162"/>
          </reference>
        </references>
      </pivotArea>
    </format>
    <format dxfId="2089">
      <pivotArea dataOnly="0" labelOnly="1" outline="0" fieldPosition="0">
        <references count="4">
          <reference field="3" count="1" selected="0">
            <x v="1020"/>
          </reference>
          <reference field="4" count="1" selected="0">
            <x v="7538"/>
          </reference>
          <reference field="11" count="1" selected="0">
            <x v="12"/>
          </reference>
          <reference field="14" count="1">
            <x v="457"/>
          </reference>
        </references>
      </pivotArea>
    </format>
    <format dxfId="2088">
      <pivotArea dataOnly="0" labelOnly="1" outline="0" fieldPosition="0">
        <references count="4">
          <reference field="3" count="1" selected="0">
            <x v="1038"/>
          </reference>
          <reference field="4" count="1" selected="0">
            <x v="5758"/>
          </reference>
          <reference field="11" count="1" selected="0">
            <x v="12"/>
          </reference>
          <reference field="14" count="1">
            <x v="291"/>
          </reference>
        </references>
      </pivotArea>
    </format>
    <format dxfId="2087">
      <pivotArea dataOnly="0" labelOnly="1" outline="0" fieldPosition="0">
        <references count="4">
          <reference field="3" count="1" selected="0">
            <x v="1040"/>
          </reference>
          <reference field="4" count="1" selected="0">
            <x v="868"/>
          </reference>
          <reference field="11" count="1" selected="0">
            <x v="12"/>
          </reference>
          <reference field="14" count="1">
            <x v="137"/>
          </reference>
        </references>
      </pivotArea>
    </format>
    <format dxfId="2086">
      <pivotArea dataOnly="0" labelOnly="1" outline="0" fieldPosition="0">
        <references count="4">
          <reference field="3" count="1" selected="0">
            <x v="1066"/>
          </reference>
          <reference field="4" count="1" selected="0">
            <x v="109"/>
          </reference>
          <reference field="11" count="1" selected="0">
            <x v="12"/>
          </reference>
          <reference field="14" count="1">
            <x v="535"/>
          </reference>
        </references>
      </pivotArea>
    </format>
    <format dxfId="2085">
      <pivotArea dataOnly="0" labelOnly="1" outline="0" fieldPosition="0">
        <references count="4">
          <reference field="3" count="1" selected="0">
            <x v="1069"/>
          </reference>
          <reference field="4" count="1" selected="0">
            <x v="3787"/>
          </reference>
          <reference field="11" count="1" selected="0">
            <x v="11"/>
          </reference>
          <reference field="14" count="1">
            <x v="635"/>
          </reference>
        </references>
      </pivotArea>
    </format>
    <format dxfId="2084">
      <pivotArea dataOnly="0" labelOnly="1" outline="0" fieldPosition="0">
        <references count="4">
          <reference field="3" count="1" selected="0">
            <x v="1077"/>
          </reference>
          <reference field="4" count="1" selected="0">
            <x v="6845"/>
          </reference>
          <reference field="11" count="1" selected="0">
            <x v="11"/>
          </reference>
          <reference field="14" count="1">
            <x v="289"/>
          </reference>
        </references>
      </pivotArea>
    </format>
    <format dxfId="2083">
      <pivotArea dataOnly="0" labelOnly="1" outline="0" fieldPosition="0">
        <references count="4">
          <reference field="3" count="1" selected="0">
            <x v="1113"/>
          </reference>
          <reference field="4" count="1" selected="0">
            <x v="112"/>
          </reference>
          <reference field="11" count="1" selected="0">
            <x v="12"/>
          </reference>
          <reference field="14" count="1">
            <x v="974"/>
          </reference>
        </references>
      </pivotArea>
    </format>
    <format dxfId="2082">
      <pivotArea dataOnly="0" labelOnly="1" outline="0" fieldPosition="0">
        <references count="4">
          <reference field="3" count="1" selected="0">
            <x v="1129"/>
          </reference>
          <reference field="4" count="1" selected="0">
            <x v="1803"/>
          </reference>
          <reference field="11" count="1" selected="0">
            <x v="12"/>
          </reference>
          <reference field="14" count="1">
            <x v="895"/>
          </reference>
        </references>
      </pivotArea>
    </format>
    <format dxfId="2081">
      <pivotArea dataOnly="0" labelOnly="1" outline="0" fieldPosition="0">
        <references count="4">
          <reference field="3" count="1" selected="0">
            <x v="1141"/>
          </reference>
          <reference field="4" count="1" selected="0">
            <x v="962"/>
          </reference>
          <reference field="11" count="1" selected="0">
            <x v="12"/>
          </reference>
          <reference field="14" count="1">
            <x v="902"/>
          </reference>
        </references>
      </pivotArea>
    </format>
    <format dxfId="2080">
      <pivotArea dataOnly="0" labelOnly="1" outline="0" fieldPosition="0">
        <references count="4">
          <reference field="3" count="1" selected="0">
            <x v="1144"/>
          </reference>
          <reference field="4" count="1" selected="0">
            <x v="4719"/>
          </reference>
          <reference field="11" count="1" selected="0">
            <x v="12"/>
          </reference>
          <reference field="14" count="1">
            <x v="974"/>
          </reference>
        </references>
      </pivotArea>
    </format>
    <format dxfId="2079">
      <pivotArea dataOnly="0" labelOnly="1" outline="0" fieldPosition="0">
        <references count="4">
          <reference field="3" count="1" selected="0">
            <x v="1167"/>
          </reference>
          <reference field="4" count="1" selected="0">
            <x v="6179"/>
          </reference>
          <reference field="11" count="1" selected="0">
            <x v="11"/>
          </reference>
          <reference field="14" count="1">
            <x v="552"/>
          </reference>
        </references>
      </pivotArea>
    </format>
    <format dxfId="2078">
      <pivotArea dataOnly="0" labelOnly="1" outline="0" fieldPosition="0">
        <references count="4">
          <reference field="3" count="1" selected="0">
            <x v="1189"/>
          </reference>
          <reference field="4" count="1" selected="0">
            <x v="3938"/>
          </reference>
          <reference field="11" count="1" selected="0">
            <x v="12"/>
          </reference>
          <reference field="14" count="1">
            <x v="643"/>
          </reference>
        </references>
      </pivotArea>
    </format>
    <format dxfId="2077">
      <pivotArea dataOnly="0" labelOnly="1" outline="0" fieldPosition="0">
        <references count="4">
          <reference field="3" count="1" selected="0">
            <x v="1196"/>
          </reference>
          <reference field="4" count="1" selected="0">
            <x v="3719"/>
          </reference>
          <reference field="11" count="1" selected="0">
            <x v="11"/>
          </reference>
          <reference field="14" count="1">
            <x v="875"/>
          </reference>
        </references>
      </pivotArea>
    </format>
    <format dxfId="2076">
      <pivotArea dataOnly="0" labelOnly="1" outline="0" fieldPosition="0">
        <references count="4">
          <reference field="3" count="1" selected="0">
            <x v="1198"/>
          </reference>
          <reference field="4" count="1" selected="0">
            <x v="143"/>
          </reference>
          <reference field="11" count="1" selected="0">
            <x v="12"/>
          </reference>
          <reference field="14" count="1">
            <x v="547"/>
          </reference>
        </references>
      </pivotArea>
    </format>
    <format dxfId="2075">
      <pivotArea dataOnly="0" labelOnly="1" outline="0" fieldPosition="0">
        <references count="4">
          <reference field="3" count="1" selected="0">
            <x v="1204"/>
          </reference>
          <reference field="4" count="1" selected="0">
            <x v="2183"/>
          </reference>
          <reference field="11" count="1" selected="0">
            <x v="12"/>
          </reference>
          <reference field="14" count="1">
            <x v="759"/>
          </reference>
        </references>
      </pivotArea>
    </format>
    <format dxfId="2074">
      <pivotArea dataOnly="0" labelOnly="1" outline="0" fieldPosition="0">
        <references count="4">
          <reference field="3" count="1" selected="0">
            <x v="1210"/>
          </reference>
          <reference field="4" count="1" selected="0">
            <x v="4917"/>
          </reference>
          <reference field="11" count="1" selected="0">
            <x v="12"/>
          </reference>
          <reference field="14" count="1">
            <x v="554"/>
          </reference>
        </references>
      </pivotArea>
    </format>
    <format dxfId="2073">
      <pivotArea dataOnly="0" labelOnly="1" outline="0" fieldPosition="0">
        <references count="4">
          <reference field="3" count="1" selected="0">
            <x v="1222"/>
          </reference>
          <reference field="4" count="1" selected="0">
            <x v="2602"/>
          </reference>
          <reference field="11" count="1" selected="0">
            <x v="12"/>
          </reference>
          <reference field="14" count="1">
            <x v="605"/>
          </reference>
        </references>
      </pivotArea>
    </format>
    <format dxfId="2072">
      <pivotArea dataOnly="0" labelOnly="1" outline="0" fieldPosition="0">
        <references count="4">
          <reference field="3" count="1" selected="0">
            <x v="1226"/>
          </reference>
          <reference field="4" count="1" selected="0">
            <x v="3567"/>
          </reference>
          <reference field="11" count="1" selected="0">
            <x v="12"/>
          </reference>
          <reference field="14" count="1">
            <x v="480"/>
          </reference>
        </references>
      </pivotArea>
    </format>
    <format dxfId="2071">
      <pivotArea dataOnly="0" labelOnly="1" outline="0" fieldPosition="0">
        <references count="4">
          <reference field="3" count="1" selected="0">
            <x v="1261"/>
          </reference>
          <reference field="4" count="1" selected="0">
            <x v="4852"/>
          </reference>
          <reference field="11" count="1" selected="0">
            <x v="12"/>
          </reference>
          <reference field="14" count="1">
            <x v="423"/>
          </reference>
        </references>
      </pivotArea>
    </format>
    <format dxfId="2070">
      <pivotArea dataOnly="0" labelOnly="1" outline="0" fieldPosition="0">
        <references count="4">
          <reference field="3" count="1" selected="0">
            <x v="1262"/>
          </reference>
          <reference field="4" count="1" selected="0">
            <x v="6041"/>
          </reference>
          <reference field="11" count="1" selected="0">
            <x v="12"/>
          </reference>
          <reference field="14" count="1">
            <x v="876"/>
          </reference>
        </references>
      </pivotArea>
    </format>
    <format dxfId="2069">
      <pivotArea dataOnly="0" labelOnly="1" outline="0" fieldPosition="0">
        <references count="4">
          <reference field="3" count="1" selected="0">
            <x v="1285"/>
          </reference>
          <reference field="4" count="1" selected="0">
            <x v="4354"/>
          </reference>
          <reference field="11" count="1" selected="0">
            <x v="12"/>
          </reference>
          <reference field="14" count="1">
            <x v="780"/>
          </reference>
        </references>
      </pivotArea>
    </format>
    <format dxfId="2068">
      <pivotArea dataOnly="0" labelOnly="1" outline="0" fieldPosition="0">
        <references count="4">
          <reference field="3" count="1" selected="0">
            <x v="1288"/>
          </reference>
          <reference field="4" count="1" selected="0">
            <x v="7233"/>
          </reference>
          <reference field="11" count="1" selected="0">
            <x v="12"/>
          </reference>
          <reference field="14" count="1">
            <x v="495"/>
          </reference>
        </references>
      </pivotArea>
    </format>
    <format dxfId="2067">
      <pivotArea dataOnly="0" labelOnly="1" outline="0" fieldPosition="0">
        <references count="4">
          <reference field="3" count="1" selected="0">
            <x v="1291"/>
          </reference>
          <reference field="4" count="1" selected="0">
            <x v="2404"/>
          </reference>
          <reference field="11" count="1" selected="0">
            <x v="12"/>
          </reference>
          <reference field="14" count="1">
            <x v="555"/>
          </reference>
        </references>
      </pivotArea>
    </format>
    <format dxfId="2066">
      <pivotArea dataOnly="0" labelOnly="1" outline="0" fieldPosition="0">
        <references count="4">
          <reference field="3" count="1" selected="0">
            <x v="1343"/>
          </reference>
          <reference field="4" count="1" selected="0">
            <x v="4224"/>
          </reference>
          <reference field="11" count="1" selected="0">
            <x v="12"/>
          </reference>
          <reference field="14" count="1">
            <x v="745"/>
          </reference>
        </references>
      </pivotArea>
    </format>
    <format dxfId="2065">
      <pivotArea dataOnly="0" labelOnly="1" outline="0" fieldPosition="0">
        <references count="4">
          <reference field="3" count="1" selected="0">
            <x v="1353"/>
          </reference>
          <reference field="4" count="1" selected="0">
            <x v="7033"/>
          </reference>
          <reference field="11" count="1" selected="0">
            <x v="12"/>
          </reference>
          <reference field="14" count="1">
            <x v="474"/>
          </reference>
        </references>
      </pivotArea>
    </format>
    <format dxfId="2064">
      <pivotArea dataOnly="0" labelOnly="1" outline="0" fieldPosition="0">
        <references count="4">
          <reference field="3" count="1" selected="0">
            <x v="1383"/>
          </reference>
          <reference field="4" count="1" selected="0">
            <x v="3868"/>
          </reference>
          <reference field="11" count="1" selected="0">
            <x v="12"/>
          </reference>
          <reference field="14" count="1">
            <x v="803"/>
          </reference>
        </references>
      </pivotArea>
    </format>
    <format dxfId="2063">
      <pivotArea dataOnly="0" labelOnly="1" outline="0" fieldPosition="0">
        <references count="4">
          <reference field="3" count="1" selected="0">
            <x v="1391"/>
          </reference>
          <reference field="4" count="1" selected="0">
            <x v="3674"/>
          </reference>
          <reference field="11" count="1" selected="0">
            <x v="12"/>
          </reference>
          <reference field="14" count="1">
            <x v="260"/>
          </reference>
        </references>
      </pivotArea>
    </format>
    <format dxfId="2062">
      <pivotArea dataOnly="0" labelOnly="1" outline="0" fieldPosition="0">
        <references count="4">
          <reference field="3" count="1" selected="0">
            <x v="1415"/>
          </reference>
          <reference field="4" count="1" selected="0">
            <x v="65"/>
          </reference>
          <reference field="11" count="1" selected="0">
            <x v="12"/>
          </reference>
          <reference field="14" count="1">
            <x v="899"/>
          </reference>
        </references>
      </pivotArea>
    </format>
    <format dxfId="2061">
      <pivotArea dataOnly="0" labelOnly="1" outline="0" fieldPosition="0">
        <references count="4">
          <reference field="3" count="1" selected="0">
            <x v="1427"/>
          </reference>
          <reference field="4" count="1" selected="0">
            <x v="7919"/>
          </reference>
          <reference field="11" count="1" selected="0">
            <x v="12"/>
          </reference>
          <reference field="14" count="1">
            <x v="829"/>
          </reference>
        </references>
      </pivotArea>
    </format>
    <format dxfId="2060">
      <pivotArea dataOnly="0" labelOnly="1" outline="0" fieldPosition="0">
        <references count="4">
          <reference field="3" count="1" selected="0">
            <x v="1435"/>
          </reference>
          <reference field="4" count="1" selected="0">
            <x v="3236"/>
          </reference>
          <reference field="11" count="1" selected="0">
            <x v="12"/>
          </reference>
          <reference field="14" count="1">
            <x v="751"/>
          </reference>
        </references>
      </pivotArea>
    </format>
    <format dxfId="2059">
      <pivotArea dataOnly="0" labelOnly="1" outline="0" fieldPosition="0">
        <references count="4">
          <reference field="3" count="1" selected="0">
            <x v="1449"/>
          </reference>
          <reference field="4" count="1" selected="0">
            <x v="124"/>
          </reference>
          <reference field="11" count="1" selected="0">
            <x v="12"/>
          </reference>
          <reference field="14" count="1">
            <x v="871"/>
          </reference>
        </references>
      </pivotArea>
    </format>
    <format dxfId="2058">
      <pivotArea dataOnly="0" labelOnly="1" outline="0" fieldPosition="0">
        <references count="4">
          <reference field="3" count="1" selected="0">
            <x v="1452"/>
          </reference>
          <reference field="4" count="1" selected="0">
            <x v="5876"/>
          </reference>
          <reference field="11" count="1" selected="0">
            <x v="12"/>
          </reference>
          <reference field="14" count="1">
            <x v="794"/>
          </reference>
        </references>
      </pivotArea>
    </format>
    <format dxfId="2057">
      <pivotArea dataOnly="0" labelOnly="1" outline="0" fieldPosition="0">
        <references count="4">
          <reference field="3" count="1" selected="0">
            <x v="1482"/>
          </reference>
          <reference field="4" count="1" selected="0">
            <x v="806"/>
          </reference>
          <reference field="11" count="1" selected="0">
            <x v="12"/>
          </reference>
          <reference field="14" count="1">
            <x v="346"/>
          </reference>
        </references>
      </pivotArea>
    </format>
    <format dxfId="2056">
      <pivotArea dataOnly="0" labelOnly="1" outline="0" fieldPosition="0">
        <references count="4">
          <reference field="3" count="1" selected="0">
            <x v="1511"/>
          </reference>
          <reference field="4" count="1" selected="0">
            <x v="3546"/>
          </reference>
          <reference field="11" count="1" selected="0">
            <x v="12"/>
          </reference>
          <reference field="14" count="1">
            <x v="537"/>
          </reference>
        </references>
      </pivotArea>
    </format>
    <format dxfId="2055">
      <pivotArea dataOnly="0" labelOnly="1" outline="0" fieldPosition="0">
        <references count="4">
          <reference field="3" count="1" selected="0">
            <x v="1512"/>
          </reference>
          <reference field="4" count="1" selected="0">
            <x v="6736"/>
          </reference>
          <reference field="11" count="1" selected="0">
            <x v="12"/>
          </reference>
          <reference field="14" count="1">
            <x v="529"/>
          </reference>
        </references>
      </pivotArea>
    </format>
    <format dxfId="2054">
      <pivotArea dataOnly="0" labelOnly="1" outline="0" fieldPosition="0">
        <references count="4">
          <reference field="3" count="1" selected="0">
            <x v="1514"/>
          </reference>
          <reference field="4" count="1" selected="0">
            <x v="4979"/>
          </reference>
          <reference field="11" count="1" selected="0">
            <x v="12"/>
          </reference>
          <reference field="14" count="1">
            <x v="864"/>
          </reference>
        </references>
      </pivotArea>
    </format>
    <format dxfId="2053">
      <pivotArea dataOnly="0" labelOnly="1" outline="0" fieldPosition="0">
        <references count="4">
          <reference field="3" count="1" selected="0">
            <x v="1515"/>
          </reference>
          <reference field="4" count="1" selected="0">
            <x v="6928"/>
          </reference>
          <reference field="11" count="1" selected="0">
            <x v="12"/>
          </reference>
          <reference field="14" count="1">
            <x v="442"/>
          </reference>
        </references>
      </pivotArea>
    </format>
    <format dxfId="2052">
      <pivotArea dataOnly="0" labelOnly="1" outline="0" fieldPosition="0">
        <references count="4">
          <reference field="3" count="1" selected="0">
            <x v="1534"/>
          </reference>
          <reference field="4" count="1" selected="0">
            <x v="5622"/>
          </reference>
          <reference field="11" count="1" selected="0">
            <x v="12"/>
          </reference>
          <reference field="14" count="1">
            <x v="394"/>
          </reference>
        </references>
      </pivotArea>
    </format>
    <format dxfId="2051">
      <pivotArea dataOnly="0" labelOnly="1" outline="0" fieldPosition="0">
        <references count="4">
          <reference field="3" count="1" selected="0">
            <x v="1564"/>
          </reference>
          <reference field="4" count="1" selected="0">
            <x v="5654"/>
          </reference>
          <reference field="11" count="1" selected="0">
            <x v="12"/>
          </reference>
          <reference field="14" count="1">
            <x v="855"/>
          </reference>
        </references>
      </pivotArea>
    </format>
    <format dxfId="2050">
      <pivotArea dataOnly="0" labelOnly="1" outline="0" fieldPosition="0">
        <references count="4">
          <reference field="3" count="1" selected="0">
            <x v="1619"/>
          </reference>
          <reference field="4" count="1" selected="0">
            <x v="669"/>
          </reference>
          <reference field="11" count="1" selected="0">
            <x v="12"/>
          </reference>
          <reference field="14" count="1">
            <x v="872"/>
          </reference>
        </references>
      </pivotArea>
    </format>
    <format dxfId="2049">
      <pivotArea dataOnly="0" labelOnly="1" outline="0" fieldPosition="0">
        <references count="4">
          <reference field="3" count="1" selected="0">
            <x v="1626"/>
          </reference>
          <reference field="4" count="1" selected="0">
            <x v="2269"/>
          </reference>
          <reference field="11" count="1" selected="0">
            <x v="12"/>
          </reference>
          <reference field="14" count="1">
            <x v="974"/>
          </reference>
        </references>
      </pivotArea>
    </format>
    <format dxfId="2048">
      <pivotArea dataOnly="0" labelOnly="1" outline="0" fieldPosition="0">
        <references count="4">
          <reference field="3" count="1" selected="0">
            <x v="1645"/>
          </reference>
          <reference field="4" count="1" selected="0">
            <x v="4209"/>
          </reference>
          <reference field="11" count="1" selected="0">
            <x v="12"/>
          </reference>
          <reference field="14" count="1">
            <x v="857"/>
          </reference>
        </references>
      </pivotArea>
    </format>
    <format dxfId="2047">
      <pivotArea dataOnly="0" labelOnly="1" outline="0" fieldPosition="0">
        <references count="4">
          <reference field="3" count="1" selected="0">
            <x v="1647"/>
          </reference>
          <reference field="4" count="1" selected="0">
            <x v="7792"/>
          </reference>
          <reference field="11" count="1" selected="0">
            <x v="12"/>
          </reference>
          <reference field="14" count="1">
            <x v="967"/>
          </reference>
        </references>
      </pivotArea>
    </format>
    <format dxfId="2046">
      <pivotArea dataOnly="0" labelOnly="1" outline="0" fieldPosition="0">
        <references count="4">
          <reference field="3" count="1" selected="0">
            <x v="1712"/>
          </reference>
          <reference field="4" count="1" selected="0">
            <x v="5408"/>
          </reference>
          <reference field="11" count="1" selected="0">
            <x v="12"/>
          </reference>
          <reference field="14" count="1">
            <x v="346"/>
          </reference>
        </references>
      </pivotArea>
    </format>
    <format dxfId="2045">
      <pivotArea dataOnly="0" labelOnly="1" outline="0" fieldPosition="0">
        <references count="4">
          <reference field="3" count="1" selected="0">
            <x v="1715"/>
          </reference>
          <reference field="4" count="1" selected="0">
            <x v="1667"/>
          </reference>
          <reference field="11" count="1" selected="0">
            <x v="11"/>
          </reference>
          <reference field="14" count="1">
            <x v="276"/>
          </reference>
        </references>
      </pivotArea>
    </format>
    <format dxfId="2044">
      <pivotArea dataOnly="0" labelOnly="1" outline="0" fieldPosition="0">
        <references count="4">
          <reference field="3" count="1" selected="0">
            <x v="1717"/>
          </reference>
          <reference field="4" count="1" selected="0">
            <x v="7778"/>
          </reference>
          <reference field="11" count="1" selected="0">
            <x v="12"/>
          </reference>
          <reference field="14" count="1">
            <x v="144"/>
          </reference>
        </references>
      </pivotArea>
    </format>
    <format dxfId="2043">
      <pivotArea dataOnly="0" labelOnly="1" outline="0" fieldPosition="0">
        <references count="4">
          <reference field="3" count="1" selected="0">
            <x v="1720"/>
          </reference>
          <reference field="4" count="1" selected="0">
            <x v="3488"/>
          </reference>
          <reference field="11" count="1" selected="0">
            <x v="12"/>
          </reference>
          <reference field="14" count="1">
            <x v="981"/>
          </reference>
        </references>
      </pivotArea>
    </format>
    <format dxfId="2042">
      <pivotArea dataOnly="0" labelOnly="1" outline="0" fieldPosition="0">
        <references count="4">
          <reference field="3" count="1" selected="0">
            <x v="1741"/>
          </reference>
          <reference field="4" count="1" selected="0">
            <x v="3358"/>
          </reference>
          <reference field="11" count="1" selected="0">
            <x v="11"/>
          </reference>
          <reference field="14" count="1">
            <x v="644"/>
          </reference>
        </references>
      </pivotArea>
    </format>
    <format dxfId="2041">
      <pivotArea dataOnly="0" labelOnly="1" outline="0" fieldPosition="0">
        <references count="4">
          <reference field="3" count="1" selected="0">
            <x v="1746"/>
          </reference>
          <reference field="4" count="1" selected="0">
            <x v="274"/>
          </reference>
          <reference field="11" count="1" selected="0">
            <x v="11"/>
          </reference>
          <reference field="14" count="1">
            <x v="429"/>
          </reference>
        </references>
      </pivotArea>
    </format>
    <format dxfId="2040">
      <pivotArea dataOnly="0" labelOnly="1" outline="0" fieldPosition="0">
        <references count="4">
          <reference field="3" count="1" selected="0">
            <x v="1747"/>
          </reference>
          <reference field="4" count="1" selected="0">
            <x v="7928"/>
          </reference>
          <reference field="11" count="1" selected="0">
            <x v="12"/>
          </reference>
          <reference field="14" count="1">
            <x v="869"/>
          </reference>
        </references>
      </pivotArea>
    </format>
    <format dxfId="2039">
      <pivotArea dataOnly="0" labelOnly="1" outline="0" fieldPosition="0">
        <references count="4">
          <reference field="3" count="1" selected="0">
            <x v="1748"/>
          </reference>
          <reference field="4" count="1" selected="0">
            <x v="5673"/>
          </reference>
          <reference field="11" count="1" selected="0">
            <x v="12"/>
          </reference>
          <reference field="14" count="1">
            <x v="873"/>
          </reference>
        </references>
      </pivotArea>
    </format>
    <format dxfId="2038">
      <pivotArea dataOnly="0" labelOnly="1" outline="0" fieldPosition="0">
        <references count="4">
          <reference field="3" count="1" selected="0">
            <x v="1750"/>
          </reference>
          <reference field="4" count="1" selected="0">
            <x v="3711"/>
          </reference>
          <reference field="11" count="1" selected="0">
            <x v="11"/>
          </reference>
          <reference field="14" count="1">
            <x v="417"/>
          </reference>
        </references>
      </pivotArea>
    </format>
    <format dxfId="2037">
      <pivotArea dataOnly="0" labelOnly="1" outline="0" fieldPosition="0">
        <references count="4">
          <reference field="3" count="1" selected="0">
            <x v="1753"/>
          </reference>
          <reference field="4" count="1" selected="0">
            <x v="4606"/>
          </reference>
          <reference field="11" count="1" selected="0">
            <x v="11"/>
          </reference>
          <reference field="14" count="1">
            <x v="324"/>
          </reference>
        </references>
      </pivotArea>
    </format>
    <format dxfId="2036">
      <pivotArea dataOnly="0" labelOnly="1" outline="0" fieldPosition="0">
        <references count="4">
          <reference field="3" count="1" selected="0">
            <x v="1758"/>
          </reference>
          <reference field="4" count="1" selected="0">
            <x v="982"/>
          </reference>
          <reference field="11" count="1" selected="0">
            <x v="12"/>
          </reference>
          <reference field="14" count="1">
            <x v="906"/>
          </reference>
        </references>
      </pivotArea>
    </format>
    <format dxfId="2035">
      <pivotArea dataOnly="0" labelOnly="1" outline="0" fieldPosition="0">
        <references count="4">
          <reference field="3" count="1" selected="0">
            <x v="1761"/>
          </reference>
          <reference field="4" count="1" selected="0">
            <x v="737"/>
          </reference>
          <reference field="11" count="1" selected="0">
            <x v="12"/>
          </reference>
          <reference field="14" count="1">
            <x v="293"/>
          </reference>
        </references>
      </pivotArea>
    </format>
    <format dxfId="2034">
      <pivotArea dataOnly="0" labelOnly="1" outline="0" fieldPosition="0">
        <references count="4">
          <reference field="3" count="1" selected="0">
            <x v="1765"/>
          </reference>
          <reference field="4" count="1" selected="0">
            <x v="1864"/>
          </reference>
          <reference field="11" count="1" selected="0">
            <x v="12"/>
          </reference>
          <reference field="14" count="1">
            <x v="771"/>
          </reference>
        </references>
      </pivotArea>
    </format>
    <format dxfId="2033">
      <pivotArea dataOnly="0" labelOnly="1" outline="0" fieldPosition="0">
        <references count="4">
          <reference field="3" count="1" selected="0">
            <x v="1767"/>
          </reference>
          <reference field="4" count="1" selected="0">
            <x v="164"/>
          </reference>
          <reference field="11" count="1" selected="0">
            <x v="11"/>
          </reference>
          <reference field="14" count="1">
            <x v="819"/>
          </reference>
        </references>
      </pivotArea>
    </format>
    <format dxfId="2032">
      <pivotArea dataOnly="0" labelOnly="1" outline="0" fieldPosition="0">
        <references count="4">
          <reference field="3" count="1" selected="0">
            <x v="1771"/>
          </reference>
          <reference field="4" count="1" selected="0">
            <x v="5981"/>
          </reference>
          <reference field="11" count="1" selected="0">
            <x v="12"/>
          </reference>
          <reference field="14" count="1">
            <x v="819"/>
          </reference>
        </references>
      </pivotArea>
    </format>
    <format dxfId="2031">
      <pivotArea dataOnly="0" labelOnly="1" outline="0" fieldPosition="0">
        <references count="4">
          <reference field="3" count="1" selected="0">
            <x v="1783"/>
          </reference>
          <reference field="4" count="1" selected="0">
            <x v="2233"/>
          </reference>
          <reference field="11" count="1" selected="0">
            <x v="12"/>
          </reference>
          <reference field="14" count="1">
            <x v="605"/>
          </reference>
        </references>
      </pivotArea>
    </format>
    <format dxfId="2030">
      <pivotArea dataOnly="0" labelOnly="1" outline="0" fieldPosition="0">
        <references count="4">
          <reference field="3" count="1" selected="0">
            <x v="1784"/>
          </reference>
          <reference field="4" count="1" selected="0">
            <x v="6326"/>
          </reference>
          <reference field="11" count="1" selected="0">
            <x v="12"/>
          </reference>
          <reference field="14" count="1">
            <x v="768"/>
          </reference>
        </references>
      </pivotArea>
    </format>
    <format dxfId="2029">
      <pivotArea dataOnly="0" labelOnly="1" outline="0" fieldPosition="0">
        <references count="4">
          <reference field="3" count="1" selected="0">
            <x v="1785"/>
          </reference>
          <reference field="4" count="1" selected="0">
            <x v="693"/>
          </reference>
          <reference field="11" count="1" selected="0">
            <x v="11"/>
          </reference>
          <reference field="14" count="1">
            <x v="640"/>
          </reference>
        </references>
      </pivotArea>
    </format>
    <format dxfId="2028">
      <pivotArea dataOnly="0" labelOnly="1" outline="0" fieldPosition="0">
        <references count="4">
          <reference field="3" count="1" selected="0">
            <x v="1786"/>
          </reference>
          <reference field="4" count="1" selected="0">
            <x v="597"/>
          </reference>
          <reference field="11" count="1" selected="0">
            <x v="12"/>
          </reference>
          <reference field="14" count="1">
            <x v="406"/>
          </reference>
        </references>
      </pivotArea>
    </format>
    <format dxfId="2027">
      <pivotArea dataOnly="0" labelOnly="1" outline="0" fieldPosition="0">
        <references count="4">
          <reference field="3" count="1" selected="0">
            <x v="1789"/>
          </reference>
          <reference field="4" count="1" selected="0">
            <x v="7567"/>
          </reference>
          <reference field="11" count="1" selected="0">
            <x v="12"/>
          </reference>
          <reference field="14" count="1">
            <x v="472"/>
          </reference>
        </references>
      </pivotArea>
    </format>
    <format dxfId="2026">
      <pivotArea dataOnly="0" labelOnly="1" outline="0" fieldPosition="0">
        <references count="4">
          <reference field="3" count="1" selected="0">
            <x v="1790"/>
          </reference>
          <reference field="4" count="1" selected="0">
            <x v="1776"/>
          </reference>
          <reference field="11" count="1" selected="0">
            <x v="12"/>
          </reference>
          <reference field="14" count="1">
            <x v="780"/>
          </reference>
        </references>
      </pivotArea>
    </format>
    <format dxfId="2025">
      <pivotArea dataOnly="0" labelOnly="1" outline="0" fieldPosition="0">
        <references count="4">
          <reference field="3" count="1" selected="0">
            <x v="1804"/>
          </reference>
          <reference field="4" count="1" selected="0">
            <x v="1335"/>
          </reference>
          <reference field="11" count="1" selected="0">
            <x v="12"/>
          </reference>
          <reference field="14" count="1">
            <x v="802"/>
          </reference>
        </references>
      </pivotArea>
    </format>
    <format dxfId="2024">
      <pivotArea dataOnly="0" labelOnly="1" outline="0" fieldPosition="0">
        <references count="4">
          <reference field="3" count="1" selected="0">
            <x v="1840"/>
          </reference>
          <reference field="4" count="1" selected="0">
            <x v="6192"/>
          </reference>
          <reference field="11" count="1" selected="0">
            <x v="12"/>
          </reference>
          <reference field="14" count="1">
            <x v="914"/>
          </reference>
        </references>
      </pivotArea>
    </format>
    <format dxfId="2023">
      <pivotArea dataOnly="0" labelOnly="1" outline="0" fieldPosition="0">
        <references count="4">
          <reference field="3" count="1" selected="0">
            <x v="1851"/>
          </reference>
          <reference field="4" count="1" selected="0">
            <x v="6138"/>
          </reference>
          <reference field="11" count="1" selected="0">
            <x v="12"/>
          </reference>
          <reference field="14" count="1">
            <x v="921"/>
          </reference>
        </references>
      </pivotArea>
    </format>
    <format dxfId="2022">
      <pivotArea dataOnly="0" labelOnly="1" outline="0" fieldPosition="0">
        <references count="4">
          <reference field="3" count="1" selected="0">
            <x v="1853"/>
          </reference>
          <reference field="4" count="1" selected="0">
            <x v="6418"/>
          </reference>
          <reference field="11" count="1" selected="0">
            <x v="12"/>
          </reference>
          <reference field="14" count="1">
            <x v="928"/>
          </reference>
        </references>
      </pivotArea>
    </format>
    <format dxfId="2021">
      <pivotArea dataOnly="0" labelOnly="1" outline="0" fieldPosition="0">
        <references count="4">
          <reference field="3" count="1" selected="0">
            <x v="1894"/>
          </reference>
          <reference field="4" count="1" selected="0">
            <x v="5722"/>
          </reference>
          <reference field="11" count="1" selected="0">
            <x v="12"/>
          </reference>
          <reference field="14" count="1">
            <x v="919"/>
          </reference>
        </references>
      </pivotArea>
    </format>
    <format dxfId="2020">
      <pivotArea dataOnly="0" labelOnly="1" outline="0" fieldPosition="0">
        <references count="4">
          <reference field="3" count="1" selected="0">
            <x v="1903"/>
          </reference>
          <reference field="4" count="1" selected="0">
            <x v="3454"/>
          </reference>
          <reference field="11" count="1" selected="0">
            <x v="12"/>
          </reference>
          <reference field="14" count="1">
            <x v="927"/>
          </reference>
        </references>
      </pivotArea>
    </format>
    <format dxfId="2019">
      <pivotArea dataOnly="0" labelOnly="1" outline="0" fieldPosition="0">
        <references count="4">
          <reference field="3" count="1" selected="0">
            <x v="1905"/>
          </reference>
          <reference field="4" count="1" selected="0">
            <x v="5342"/>
          </reference>
          <reference field="11" count="1" selected="0">
            <x v="12"/>
          </reference>
          <reference field="14" count="1">
            <x v="898"/>
          </reference>
        </references>
      </pivotArea>
    </format>
    <format dxfId="2018">
      <pivotArea dataOnly="0" labelOnly="1" outline="0" fieldPosition="0">
        <references count="4">
          <reference field="3" count="1" selected="0">
            <x v="1906"/>
          </reference>
          <reference field="4" count="1" selected="0">
            <x v="6949"/>
          </reference>
          <reference field="11" count="1" selected="0">
            <x v="12"/>
          </reference>
          <reference field="14" count="1">
            <x v="923"/>
          </reference>
        </references>
      </pivotArea>
    </format>
    <format dxfId="2017">
      <pivotArea dataOnly="0" labelOnly="1" outline="0" fieldPosition="0">
        <references count="4">
          <reference field="3" count="1" selected="0">
            <x v="1911"/>
          </reference>
          <reference field="4" count="1" selected="0">
            <x v="6382"/>
          </reference>
          <reference field="11" count="1" selected="0">
            <x v="12"/>
          </reference>
          <reference field="14" count="1">
            <x v="882"/>
          </reference>
        </references>
      </pivotArea>
    </format>
    <format dxfId="2016">
      <pivotArea dataOnly="0" labelOnly="1" outline="0" fieldPosition="0">
        <references count="4">
          <reference field="3" count="1" selected="0">
            <x v="1916"/>
          </reference>
          <reference field="4" count="1" selected="0">
            <x v="1837"/>
          </reference>
          <reference field="11" count="1" selected="0">
            <x v="12"/>
          </reference>
          <reference field="14" count="1">
            <x v="930"/>
          </reference>
        </references>
      </pivotArea>
    </format>
    <format dxfId="2015">
      <pivotArea dataOnly="0" labelOnly="1" outline="0" fieldPosition="0">
        <references count="4">
          <reference field="3" count="1" selected="0">
            <x v="1937"/>
          </reference>
          <reference field="4" count="1" selected="0">
            <x v="7773"/>
          </reference>
          <reference field="11" count="1" selected="0">
            <x v="12"/>
          </reference>
          <reference field="14" count="1">
            <x v="926"/>
          </reference>
        </references>
      </pivotArea>
    </format>
    <format dxfId="2014">
      <pivotArea dataOnly="0" labelOnly="1" outline="0" fieldPosition="0">
        <references count="4">
          <reference field="3" count="1" selected="0">
            <x v="1949"/>
          </reference>
          <reference field="4" count="1" selected="0">
            <x v="6062"/>
          </reference>
          <reference field="11" count="1" selected="0">
            <x v="12"/>
          </reference>
          <reference field="14" count="1">
            <x v="943"/>
          </reference>
        </references>
      </pivotArea>
    </format>
    <format dxfId="2013">
      <pivotArea dataOnly="0" labelOnly="1" outline="0" fieldPosition="0">
        <references count="4">
          <reference field="3" count="1" selected="0">
            <x v="1950"/>
          </reference>
          <reference field="4" count="1" selected="0">
            <x v="3421"/>
          </reference>
          <reference field="11" count="1" selected="0">
            <x v="12"/>
          </reference>
          <reference field="14" count="1">
            <x v="938"/>
          </reference>
        </references>
      </pivotArea>
    </format>
    <format dxfId="2012">
      <pivotArea dataOnly="0" labelOnly="1" outline="0" fieldPosition="0">
        <references count="4">
          <reference field="3" count="1" selected="0">
            <x v="2040"/>
          </reference>
          <reference field="4" count="1" selected="0">
            <x v="814"/>
          </reference>
          <reference field="11" count="1" selected="0">
            <x v="12"/>
          </reference>
          <reference field="14" count="1">
            <x v="853"/>
          </reference>
        </references>
      </pivotArea>
    </format>
    <format dxfId="2011">
      <pivotArea dataOnly="0" labelOnly="1" outline="0" fieldPosition="0">
        <references count="4">
          <reference field="3" count="1" selected="0">
            <x v="2049"/>
          </reference>
          <reference field="4" count="1" selected="0">
            <x v="5797"/>
          </reference>
          <reference field="11" count="1" selected="0">
            <x v="12"/>
          </reference>
          <reference field="14" count="1">
            <x v="906"/>
          </reference>
        </references>
      </pivotArea>
    </format>
    <format dxfId="2010">
      <pivotArea dataOnly="0" labelOnly="1" outline="0" fieldPosition="0">
        <references count="4">
          <reference field="3" count="1" selected="0">
            <x v="2051"/>
          </reference>
          <reference field="4" count="1" selected="0">
            <x v="7737"/>
          </reference>
          <reference field="11" count="1" selected="0">
            <x v="12"/>
          </reference>
          <reference field="14" count="1">
            <x v="918"/>
          </reference>
        </references>
      </pivotArea>
    </format>
    <format dxfId="2009">
      <pivotArea dataOnly="0" labelOnly="1" outline="0" fieldPosition="0">
        <references count="4">
          <reference field="3" count="1" selected="0">
            <x v="2066"/>
          </reference>
          <reference field="4" count="1" selected="0">
            <x v="3682"/>
          </reference>
          <reference field="11" count="1" selected="0">
            <x v="12"/>
          </reference>
          <reference field="14" count="1">
            <x v="953"/>
          </reference>
        </references>
      </pivotArea>
    </format>
    <format dxfId="2008">
      <pivotArea dataOnly="0" labelOnly="1" outline="0" fieldPosition="0">
        <references count="4">
          <reference field="3" count="1" selected="0">
            <x v="2089"/>
          </reference>
          <reference field="4" count="1" selected="0">
            <x v="1064"/>
          </reference>
          <reference field="11" count="1" selected="0">
            <x v="12"/>
          </reference>
          <reference field="14" count="1">
            <x v="959"/>
          </reference>
        </references>
      </pivotArea>
    </format>
    <format dxfId="2007">
      <pivotArea dataOnly="0" labelOnly="1" outline="0" fieldPosition="0">
        <references count="4">
          <reference field="3" count="1" selected="0">
            <x v="2097"/>
          </reference>
          <reference field="4" count="1" selected="0">
            <x v="1103"/>
          </reference>
          <reference field="11" count="1" selected="0">
            <x v="12"/>
          </reference>
          <reference field="14" count="1">
            <x v="947"/>
          </reference>
        </references>
      </pivotArea>
    </format>
    <format dxfId="2006">
      <pivotArea dataOnly="0" labelOnly="1" outline="0" fieldPosition="0">
        <references count="4">
          <reference field="3" count="1" selected="0">
            <x v="2101"/>
          </reference>
          <reference field="4" count="1" selected="0">
            <x v="5470"/>
          </reference>
          <reference field="11" count="1" selected="0">
            <x v="12"/>
          </reference>
          <reference field="14" count="1">
            <x v="957"/>
          </reference>
        </references>
      </pivotArea>
    </format>
    <format dxfId="2005">
      <pivotArea dataOnly="0" labelOnly="1" outline="0" fieldPosition="0">
        <references count="4">
          <reference field="3" count="1" selected="0">
            <x v="2104"/>
          </reference>
          <reference field="4" count="1" selected="0">
            <x v="6191"/>
          </reference>
          <reference field="11" count="1" selected="0">
            <x v="12"/>
          </reference>
          <reference field="14" count="1">
            <x v="987"/>
          </reference>
        </references>
      </pivotArea>
    </format>
    <format dxfId="2004">
      <pivotArea dataOnly="0" labelOnly="1" outline="0" fieldPosition="0">
        <references count="4">
          <reference field="3" count="1" selected="0">
            <x v="2105"/>
          </reference>
          <reference field="4" count="1" selected="0">
            <x v="2516"/>
          </reference>
          <reference field="11" count="1" selected="0">
            <x v="12"/>
          </reference>
          <reference field="14" count="1">
            <x v="965"/>
          </reference>
        </references>
      </pivotArea>
    </format>
    <format dxfId="2003">
      <pivotArea dataOnly="0" labelOnly="1" outline="0" fieldPosition="0">
        <references count="4">
          <reference field="3" count="1" selected="0">
            <x v="2106"/>
          </reference>
          <reference field="4" count="1" selected="0">
            <x v="568"/>
          </reference>
          <reference field="11" count="1" selected="0">
            <x v="12"/>
          </reference>
          <reference field="14" count="1">
            <x v="966"/>
          </reference>
        </references>
      </pivotArea>
    </format>
    <format dxfId="2002">
      <pivotArea dataOnly="0" labelOnly="1" outline="0" fieldPosition="0">
        <references count="4">
          <reference field="3" count="1" selected="0">
            <x v="2122"/>
          </reference>
          <reference field="4" count="1" selected="0">
            <x v="2252"/>
          </reference>
          <reference field="11" count="1" selected="0">
            <x v="12"/>
          </reference>
          <reference field="14" count="1">
            <x v="642"/>
          </reference>
        </references>
      </pivotArea>
    </format>
    <format dxfId="2001">
      <pivotArea dataOnly="0" labelOnly="1" outline="0" fieldPosition="0">
        <references count="4">
          <reference field="3" count="1" selected="0">
            <x v="2144"/>
          </reference>
          <reference field="4" count="1" selected="0">
            <x v="7845"/>
          </reference>
          <reference field="11" count="1" selected="0">
            <x v="12"/>
          </reference>
          <reference field="14" count="1">
            <x v="921"/>
          </reference>
        </references>
      </pivotArea>
    </format>
    <format dxfId="2000">
      <pivotArea dataOnly="0" labelOnly="1" outline="0" fieldPosition="0">
        <references count="4">
          <reference field="3" count="1" selected="0">
            <x v="2163"/>
          </reference>
          <reference field="4" count="1" selected="0">
            <x v="6460"/>
          </reference>
          <reference field="11" count="1" selected="0">
            <x v="12"/>
          </reference>
          <reference field="14" count="1">
            <x v="970"/>
          </reference>
        </references>
      </pivotArea>
    </format>
    <format dxfId="1999">
      <pivotArea dataOnly="0" labelOnly="1" outline="0" fieldPosition="0">
        <references count="4">
          <reference field="3" count="1" selected="0">
            <x v="2197"/>
          </reference>
          <reference field="4" count="1" selected="0">
            <x v="1576"/>
          </reference>
          <reference field="11" count="1" selected="0">
            <x v="12"/>
          </reference>
          <reference field="14" count="1">
            <x v="965"/>
          </reference>
        </references>
      </pivotArea>
    </format>
    <format dxfId="1998">
      <pivotArea dataOnly="0" labelOnly="1" outline="0" fieldPosition="0">
        <references count="4">
          <reference field="3" count="1" selected="0">
            <x v="2222"/>
          </reference>
          <reference field="4" count="1" selected="0">
            <x v="5292"/>
          </reference>
          <reference field="11" count="1" selected="0">
            <x v="12"/>
          </reference>
          <reference field="14" count="1">
            <x v="844"/>
          </reference>
        </references>
      </pivotArea>
    </format>
    <format dxfId="1997">
      <pivotArea dataOnly="0" labelOnly="1" outline="0" fieldPosition="0">
        <references count="4">
          <reference field="3" count="1" selected="0">
            <x v="2232"/>
          </reference>
          <reference field="4" count="1" selected="0">
            <x v="3300"/>
          </reference>
          <reference field="11" count="1" selected="0">
            <x v="12"/>
          </reference>
          <reference field="14" count="1">
            <x v="967"/>
          </reference>
        </references>
      </pivotArea>
    </format>
    <format dxfId="1996">
      <pivotArea dataOnly="0" labelOnly="1" outline="0" fieldPosition="0">
        <references count="4">
          <reference field="3" count="1" selected="0">
            <x v="2235"/>
          </reference>
          <reference field="4" count="1" selected="0">
            <x v="7482"/>
          </reference>
          <reference field="11" count="1" selected="0">
            <x v="12"/>
          </reference>
          <reference field="14" count="1">
            <x v="974"/>
          </reference>
        </references>
      </pivotArea>
    </format>
    <format dxfId="1995">
      <pivotArea dataOnly="0" labelOnly="1" outline="0" fieldPosition="0">
        <references count="4">
          <reference field="3" count="1" selected="0">
            <x v="2243"/>
          </reference>
          <reference field="4" count="1" selected="0">
            <x v="7215"/>
          </reference>
          <reference field="11" count="1" selected="0">
            <x v="12"/>
          </reference>
          <reference field="14" count="1">
            <x v="965"/>
          </reference>
        </references>
      </pivotArea>
    </format>
    <format dxfId="1994">
      <pivotArea dataOnly="0" labelOnly="1" outline="0" fieldPosition="0">
        <references count="4">
          <reference field="3" count="1" selected="0">
            <x v="2251"/>
          </reference>
          <reference field="4" count="1" selected="0">
            <x v="4570"/>
          </reference>
          <reference field="11" count="1" selected="0">
            <x v="12"/>
          </reference>
          <reference field="14" count="1">
            <x v="876"/>
          </reference>
        </references>
      </pivotArea>
    </format>
    <format dxfId="1993">
      <pivotArea dataOnly="0" labelOnly="1" outline="0" fieldPosition="0">
        <references count="5">
          <reference field="3" count="1" selected="0">
            <x v="56"/>
          </reference>
          <reference field="4" count="1" selected="0">
            <x v="743"/>
          </reference>
          <reference field="11" count="1" selected="0">
            <x v="12"/>
          </reference>
          <reference field="14" count="1" selected="0">
            <x v="808"/>
          </reference>
          <reference field="21" count="1">
            <x v="38"/>
          </reference>
        </references>
      </pivotArea>
    </format>
    <format dxfId="1992">
      <pivotArea dataOnly="0" labelOnly="1" outline="0" fieldPosition="0">
        <references count="5">
          <reference field="3" count="1" selected="0">
            <x v="81"/>
          </reference>
          <reference field="4" count="1" selected="0">
            <x v="7610"/>
          </reference>
          <reference field="11" count="1" selected="0">
            <x v="12"/>
          </reference>
          <reference field="14" count="1" selected="0">
            <x v="217"/>
          </reference>
          <reference field="21" count="1">
            <x v="34"/>
          </reference>
        </references>
      </pivotArea>
    </format>
    <format dxfId="1991">
      <pivotArea dataOnly="0" labelOnly="1" outline="0" fieldPosition="0">
        <references count="5">
          <reference field="3" count="1" selected="0">
            <x v="112"/>
          </reference>
          <reference field="4" count="1" selected="0">
            <x v="2075"/>
          </reference>
          <reference field="11" count="1" selected="0">
            <x v="12"/>
          </reference>
          <reference field="14" count="1" selected="0">
            <x v="656"/>
          </reference>
          <reference field="21" count="1">
            <x v="29"/>
          </reference>
        </references>
      </pivotArea>
    </format>
    <format dxfId="1990">
      <pivotArea dataOnly="0" labelOnly="1" outline="0" fieldPosition="0">
        <references count="5">
          <reference field="3" count="1" selected="0">
            <x v="152"/>
          </reference>
          <reference field="4" count="1" selected="0">
            <x v="4449"/>
          </reference>
          <reference field="11" count="1" selected="0">
            <x v="12"/>
          </reference>
          <reference field="14" count="1" selected="0">
            <x v="136"/>
          </reference>
          <reference field="21" count="1">
            <x v="27"/>
          </reference>
        </references>
      </pivotArea>
    </format>
    <format dxfId="1989">
      <pivotArea dataOnly="0" labelOnly="1" outline="0" fieldPosition="0">
        <references count="5">
          <reference field="3" count="1" selected="0">
            <x v="153"/>
          </reference>
          <reference field="4" count="1" selected="0">
            <x v="4205"/>
          </reference>
          <reference field="11" count="1" selected="0">
            <x v="12"/>
          </reference>
          <reference field="14" count="1" selected="0">
            <x v="125"/>
          </reference>
          <reference field="21" count="1">
            <x v="41"/>
          </reference>
        </references>
      </pivotArea>
    </format>
    <format dxfId="1988">
      <pivotArea dataOnly="0" labelOnly="1" outline="0" fieldPosition="0">
        <references count="5">
          <reference field="3" count="1" selected="0">
            <x v="174"/>
          </reference>
          <reference field="4" count="1" selected="0">
            <x v="7069"/>
          </reference>
          <reference field="11" count="1" selected="0">
            <x v="11"/>
          </reference>
          <reference field="14" count="1" selected="0">
            <x v="412"/>
          </reference>
          <reference field="21" count="1">
            <x v="28"/>
          </reference>
        </references>
      </pivotArea>
    </format>
    <format dxfId="1987">
      <pivotArea dataOnly="0" labelOnly="1" outline="0" fieldPosition="0">
        <references count="5">
          <reference field="3" count="1" selected="0">
            <x v="189"/>
          </reference>
          <reference field="4" count="1" selected="0">
            <x v="7661"/>
          </reference>
          <reference field="11" count="1" selected="0">
            <x v="12"/>
          </reference>
          <reference field="14" count="1" selected="0">
            <x v="350"/>
          </reference>
          <reference field="21" count="1">
            <x v="36"/>
          </reference>
        </references>
      </pivotArea>
    </format>
    <format dxfId="1986">
      <pivotArea dataOnly="0" labelOnly="1" outline="0" fieldPosition="0">
        <references count="5">
          <reference field="3" count="1" selected="0">
            <x v="190"/>
          </reference>
          <reference field="4" count="1" selected="0">
            <x v="3551"/>
          </reference>
          <reference field="11" count="1" selected="0">
            <x v="12"/>
          </reference>
          <reference field="14" count="1" selected="0">
            <x v="106"/>
          </reference>
          <reference field="21" count="1">
            <x v="31"/>
          </reference>
        </references>
      </pivotArea>
    </format>
    <format dxfId="1985">
      <pivotArea dataOnly="0" labelOnly="1" outline="0" fieldPosition="0">
        <references count="5">
          <reference field="3" count="1" selected="0">
            <x v="199"/>
          </reference>
          <reference field="4" count="1" selected="0">
            <x v="4077"/>
          </reference>
          <reference field="11" count="1" selected="0">
            <x v="12"/>
          </reference>
          <reference field="14" count="1" selected="0">
            <x v="629"/>
          </reference>
          <reference field="21" count="1">
            <x v="34"/>
          </reference>
        </references>
      </pivotArea>
    </format>
    <format dxfId="1984">
      <pivotArea dataOnly="0" labelOnly="1" outline="0" fieldPosition="0">
        <references count="5">
          <reference field="3" count="1" selected="0">
            <x v="204"/>
          </reference>
          <reference field="4" count="1" selected="0">
            <x v="618"/>
          </reference>
          <reference field="11" count="1" selected="0">
            <x v="12"/>
          </reference>
          <reference field="14" count="1" selected="0">
            <x v="851"/>
          </reference>
          <reference field="21" count="1">
            <x v="29"/>
          </reference>
        </references>
      </pivotArea>
    </format>
    <format dxfId="1983">
      <pivotArea dataOnly="0" labelOnly="1" outline="0" fieldPosition="0">
        <references count="5">
          <reference field="3" count="1" selected="0">
            <x v="206"/>
          </reference>
          <reference field="4" count="1" selected="0">
            <x v="6497"/>
          </reference>
          <reference field="11" count="1" selected="0">
            <x v="12"/>
          </reference>
          <reference field="14" count="1" selected="0">
            <x v="135"/>
          </reference>
          <reference field="21" count="1">
            <x v="30"/>
          </reference>
        </references>
      </pivotArea>
    </format>
    <format dxfId="1982">
      <pivotArea dataOnly="0" labelOnly="1" outline="0" fieldPosition="0">
        <references count="5">
          <reference field="3" count="1" selected="0">
            <x v="234"/>
          </reference>
          <reference field="4" count="1" selected="0">
            <x v="231"/>
          </reference>
          <reference field="11" count="1" selected="0">
            <x v="11"/>
          </reference>
          <reference field="14" count="1" selected="0">
            <x v="678"/>
          </reference>
          <reference field="21" count="1">
            <x v="27"/>
          </reference>
        </references>
      </pivotArea>
    </format>
    <format dxfId="1981">
      <pivotArea dataOnly="0" labelOnly="1" outline="0" fieldPosition="0">
        <references count="5">
          <reference field="3" count="1" selected="0">
            <x v="251"/>
          </reference>
          <reference field="4" count="1" selected="0">
            <x v="4095"/>
          </reference>
          <reference field="11" count="1" selected="0">
            <x v="12"/>
          </reference>
          <reference field="14" count="1" selected="0">
            <x v="438"/>
          </reference>
          <reference field="21" count="1">
            <x v="33"/>
          </reference>
        </references>
      </pivotArea>
    </format>
    <format dxfId="1980">
      <pivotArea dataOnly="0" labelOnly="1" outline="0" fieldPosition="0">
        <references count="5">
          <reference field="3" count="1" selected="0">
            <x v="253"/>
          </reference>
          <reference field="4" count="1" selected="0">
            <x v="6532"/>
          </reference>
          <reference field="11" count="1" selected="0">
            <x v="12"/>
          </reference>
          <reference field="14" count="1" selected="0">
            <x v="763"/>
          </reference>
          <reference field="21" count="1">
            <x v="39"/>
          </reference>
        </references>
      </pivotArea>
    </format>
    <format dxfId="1979">
      <pivotArea dataOnly="0" labelOnly="1" outline="0" fieldPosition="0">
        <references count="5">
          <reference field="3" count="1" selected="0">
            <x v="259"/>
          </reference>
          <reference field="4" count="1" selected="0">
            <x v="5021"/>
          </reference>
          <reference field="11" count="1" selected="0">
            <x v="12"/>
          </reference>
          <reference field="14" count="1" selected="0">
            <x v="815"/>
          </reference>
          <reference field="21" count="1">
            <x v="52"/>
          </reference>
        </references>
      </pivotArea>
    </format>
    <format dxfId="1978">
      <pivotArea dataOnly="0" labelOnly="1" outline="0" fieldPosition="0">
        <references count="5">
          <reference field="3" count="1" selected="0">
            <x v="269"/>
          </reference>
          <reference field="4" count="1" selected="0">
            <x v="7152"/>
          </reference>
          <reference field="11" count="1" selected="0">
            <x v="12"/>
          </reference>
          <reference field="14" count="1" selected="0">
            <x v="338"/>
          </reference>
          <reference field="21" count="1">
            <x v="29"/>
          </reference>
        </references>
      </pivotArea>
    </format>
    <format dxfId="1977">
      <pivotArea dataOnly="0" labelOnly="1" outline="0" fieldPosition="0">
        <references count="5">
          <reference field="3" count="1" selected="0">
            <x v="276"/>
          </reference>
          <reference field="4" count="1" selected="0">
            <x v="7931"/>
          </reference>
          <reference field="11" count="1" selected="0">
            <x v="11"/>
          </reference>
          <reference field="14" count="1" selected="0">
            <x v="279"/>
          </reference>
          <reference field="21" count="1">
            <x v="27"/>
          </reference>
        </references>
      </pivotArea>
    </format>
    <format dxfId="1976">
      <pivotArea dataOnly="0" labelOnly="1" outline="0" fieldPosition="0">
        <references count="5">
          <reference field="3" count="1" selected="0">
            <x v="292"/>
          </reference>
          <reference field="4" count="1" selected="0">
            <x v="2680"/>
          </reference>
          <reference field="11" count="1" selected="0">
            <x v="12"/>
          </reference>
          <reference field="14" count="1" selected="0">
            <x v="981"/>
          </reference>
          <reference field="21" count="1">
            <x v="32"/>
          </reference>
        </references>
      </pivotArea>
    </format>
    <format dxfId="1975">
      <pivotArea dataOnly="0" labelOnly="1" outline="0" fieldPosition="0">
        <references count="5">
          <reference field="3" count="1" selected="0">
            <x v="356"/>
          </reference>
          <reference field="4" count="1" selected="0">
            <x v="4512"/>
          </reference>
          <reference field="11" count="1" selected="0">
            <x v="12"/>
          </reference>
          <reference field="14" count="1" selected="0">
            <x v="428"/>
          </reference>
          <reference field="21" count="1">
            <x v="26"/>
          </reference>
        </references>
      </pivotArea>
    </format>
    <format dxfId="1974">
      <pivotArea dataOnly="0" labelOnly="1" outline="0" fieldPosition="0">
        <references count="5">
          <reference field="3" count="1" selected="0">
            <x v="360"/>
          </reference>
          <reference field="4" count="1" selected="0">
            <x v="7714"/>
          </reference>
          <reference field="11" count="1" selected="0">
            <x v="12"/>
          </reference>
          <reference field="14" count="1" selected="0">
            <x v="755"/>
          </reference>
          <reference field="21" count="1">
            <x v="37"/>
          </reference>
        </references>
      </pivotArea>
    </format>
    <format dxfId="1973">
      <pivotArea dataOnly="0" labelOnly="1" outline="0" fieldPosition="0">
        <references count="5">
          <reference field="3" count="1" selected="0">
            <x v="379"/>
          </reference>
          <reference field="4" count="1" selected="0">
            <x v="3926"/>
          </reference>
          <reference field="11" count="1" selected="0">
            <x v="12"/>
          </reference>
          <reference field="14" count="1" selected="0">
            <x v="255"/>
          </reference>
          <reference field="21" count="1">
            <x v="28"/>
          </reference>
        </references>
      </pivotArea>
    </format>
    <format dxfId="1972">
      <pivotArea dataOnly="0" labelOnly="1" outline="0" fieldPosition="0">
        <references count="5">
          <reference field="3" count="1" selected="0">
            <x v="388"/>
          </reference>
          <reference field="4" count="1" selected="0">
            <x v="1359"/>
          </reference>
          <reference field="11" count="1" selected="0">
            <x v="12"/>
          </reference>
          <reference field="14" count="1" selected="0">
            <x v="204"/>
          </reference>
          <reference field="21" count="1">
            <x v="27"/>
          </reference>
        </references>
      </pivotArea>
    </format>
    <format dxfId="1971">
      <pivotArea dataOnly="0" labelOnly="1" outline="0" fieldPosition="0">
        <references count="5">
          <reference field="3" count="1" selected="0">
            <x v="398"/>
          </reference>
          <reference field="4" count="1" selected="0">
            <x v="3374"/>
          </reference>
          <reference field="11" count="1" selected="0">
            <x v="12"/>
          </reference>
          <reference field="14" count="1" selected="0">
            <x v="500"/>
          </reference>
          <reference field="21" count="1">
            <x v="24"/>
          </reference>
        </references>
      </pivotArea>
    </format>
    <format dxfId="1970">
      <pivotArea dataOnly="0" labelOnly="1" outline="0" fieldPosition="0">
        <references count="5">
          <reference field="3" count="1" selected="0">
            <x v="477"/>
          </reference>
          <reference field="4" count="1" selected="0">
            <x v="1442"/>
          </reference>
          <reference field="11" count="1" selected="0">
            <x v="12"/>
          </reference>
          <reference field="14" count="1" selected="0">
            <x v="684"/>
          </reference>
          <reference field="21" count="1">
            <x v="22"/>
          </reference>
        </references>
      </pivotArea>
    </format>
    <format dxfId="1969">
      <pivotArea dataOnly="0" labelOnly="1" outline="0" fieldPosition="0">
        <references count="5">
          <reference field="3" count="1" selected="0">
            <x v="480"/>
          </reference>
          <reference field="4" count="1" selected="0">
            <x v="1050"/>
          </reference>
          <reference field="11" count="1" selected="0">
            <x v="12"/>
          </reference>
          <reference field="14" count="1" selected="0">
            <x v="119"/>
          </reference>
          <reference field="21" count="1">
            <x v="16"/>
          </reference>
        </references>
      </pivotArea>
    </format>
    <format dxfId="1968">
      <pivotArea dataOnly="0" labelOnly="1" outline="0" fieldPosition="0">
        <references count="5">
          <reference field="3" count="1" selected="0">
            <x v="481"/>
          </reference>
          <reference field="4" count="1" selected="0">
            <x v="6290"/>
          </reference>
          <reference field="11" count="1" selected="0">
            <x v="12"/>
          </reference>
          <reference field="14" count="1" selected="0">
            <x v="757"/>
          </reference>
          <reference field="21" count="1">
            <x v="17"/>
          </reference>
        </references>
      </pivotArea>
    </format>
    <format dxfId="1967">
      <pivotArea dataOnly="0" labelOnly="1" outline="0" fieldPosition="0">
        <references count="5">
          <reference field="3" count="1" selected="0">
            <x v="492"/>
          </reference>
          <reference field="4" count="1" selected="0">
            <x v="11"/>
          </reference>
          <reference field="11" count="1" selected="0">
            <x v="11"/>
          </reference>
          <reference field="14" count="1" selected="0">
            <x v="3"/>
          </reference>
          <reference field="21" count="1">
            <x v="25"/>
          </reference>
        </references>
      </pivotArea>
    </format>
    <format dxfId="1966">
      <pivotArea dataOnly="0" labelOnly="1" outline="0" fieldPosition="0">
        <references count="5">
          <reference field="3" count="1" selected="0">
            <x v="503"/>
          </reference>
          <reference field="4" count="1" selected="0">
            <x v="1492"/>
          </reference>
          <reference field="11" count="1" selected="0">
            <x v="11"/>
          </reference>
          <reference field="14" count="1" selected="0">
            <x v="277"/>
          </reference>
          <reference field="21" count="1">
            <x v="22"/>
          </reference>
        </references>
      </pivotArea>
    </format>
    <format dxfId="1965">
      <pivotArea dataOnly="0" labelOnly="1" outline="0" fieldPosition="0">
        <references count="5">
          <reference field="3" count="1" selected="0">
            <x v="535"/>
          </reference>
          <reference field="4" count="1" selected="0">
            <x v="553"/>
          </reference>
          <reference field="11" count="1" selected="0">
            <x v="12"/>
          </reference>
          <reference field="14" count="1" selected="0">
            <x v="689"/>
          </reference>
          <reference field="21" count="1">
            <x v="23"/>
          </reference>
        </references>
      </pivotArea>
    </format>
    <format dxfId="1964">
      <pivotArea dataOnly="0" labelOnly="1" outline="0" fieldPosition="0">
        <references count="5">
          <reference field="3" count="1" selected="0">
            <x v="587"/>
          </reference>
          <reference field="4" count="1" selected="0">
            <x v="5225"/>
          </reference>
          <reference field="11" count="1" selected="0">
            <x v="11"/>
          </reference>
          <reference field="14" count="1" selected="0">
            <x v="450"/>
          </reference>
          <reference field="21" count="1">
            <x v="24"/>
          </reference>
        </references>
      </pivotArea>
    </format>
    <format dxfId="1963">
      <pivotArea dataOnly="0" labelOnly="1" outline="0" fieldPosition="0">
        <references count="5">
          <reference field="3" count="1" selected="0">
            <x v="599"/>
          </reference>
          <reference field="4" count="1" selected="0">
            <x v="7760"/>
          </reference>
          <reference field="11" count="1" selected="0">
            <x v="12"/>
          </reference>
          <reference field="14" count="1" selected="0">
            <x v="916"/>
          </reference>
          <reference field="21" count="1">
            <x v="22"/>
          </reference>
        </references>
      </pivotArea>
    </format>
    <format dxfId="1962">
      <pivotArea dataOnly="0" labelOnly="1" outline="0" fieldPosition="0">
        <references count="5">
          <reference field="3" count="1" selected="0">
            <x v="622"/>
          </reference>
          <reference field="4" count="1" selected="0">
            <x v="1430"/>
          </reference>
          <reference field="11" count="1" selected="0">
            <x v="12"/>
          </reference>
          <reference field="14" count="1" selected="0">
            <x v="87"/>
          </reference>
          <reference field="21" count="1">
            <x v="21"/>
          </reference>
        </references>
      </pivotArea>
    </format>
    <format dxfId="1961">
      <pivotArea dataOnly="0" labelOnly="1" outline="0" fieldPosition="0">
        <references count="5">
          <reference field="3" count="1" selected="0">
            <x v="625"/>
          </reference>
          <reference field="4" count="1" selected="0">
            <x v="5737"/>
          </reference>
          <reference field="11" count="1" selected="0">
            <x v="12"/>
          </reference>
          <reference field="14" count="1" selected="0">
            <x v="852"/>
          </reference>
          <reference field="21" count="1">
            <x v="25"/>
          </reference>
        </references>
      </pivotArea>
    </format>
    <format dxfId="1960">
      <pivotArea dataOnly="0" labelOnly="1" outline="0" fieldPosition="0">
        <references count="5">
          <reference field="3" count="1" selected="0">
            <x v="683"/>
          </reference>
          <reference field="4" count="1" selected="0">
            <x v="4580"/>
          </reference>
          <reference field="11" count="1" selected="0">
            <x v="12"/>
          </reference>
          <reference field="14" count="1" selected="0">
            <x v="365"/>
          </reference>
          <reference field="21" count="1">
            <x v="20"/>
          </reference>
        </references>
      </pivotArea>
    </format>
    <format dxfId="1959">
      <pivotArea dataOnly="0" labelOnly="1" outline="0" fieldPosition="0">
        <references count="5">
          <reference field="3" count="1" selected="0">
            <x v="709"/>
          </reference>
          <reference field="4" count="1" selected="0">
            <x v="4898"/>
          </reference>
          <reference field="11" count="1" selected="0">
            <x v="12"/>
          </reference>
          <reference field="14" count="1" selected="0">
            <x v="895"/>
          </reference>
          <reference field="21" count="1">
            <x v="18"/>
          </reference>
        </references>
      </pivotArea>
    </format>
    <format dxfId="1958">
      <pivotArea dataOnly="0" labelOnly="1" outline="0" fieldPosition="0">
        <references count="5">
          <reference field="3" count="1" selected="0">
            <x v="718"/>
          </reference>
          <reference field="4" count="1" selected="0">
            <x v="92"/>
          </reference>
          <reference field="11" count="1" selected="0">
            <x v="12"/>
          </reference>
          <reference field="14" count="1" selected="0">
            <x v="862"/>
          </reference>
          <reference field="21" count="1">
            <x v="22"/>
          </reference>
        </references>
      </pivotArea>
    </format>
    <format dxfId="1957">
      <pivotArea dataOnly="0" labelOnly="1" outline="0" fieldPosition="0">
        <references count="5">
          <reference field="3" count="1" selected="0">
            <x v="730"/>
          </reference>
          <reference field="4" count="1" selected="0">
            <x v="6875"/>
          </reference>
          <reference field="11" count="1" selected="0">
            <x v="12"/>
          </reference>
          <reference field="14" count="1" selected="0">
            <x v="834"/>
          </reference>
          <reference field="21" count="1">
            <x v="18"/>
          </reference>
        </references>
      </pivotArea>
    </format>
    <format dxfId="1956">
      <pivotArea dataOnly="0" labelOnly="1" outline="0" fieldPosition="0">
        <references count="5">
          <reference field="3" count="1" selected="0">
            <x v="759"/>
          </reference>
          <reference field="4" count="1" selected="0">
            <x v="805"/>
          </reference>
          <reference field="11" count="1" selected="0">
            <x v="12"/>
          </reference>
          <reference field="14" count="1" selected="0">
            <x v="107"/>
          </reference>
          <reference field="21" count="1">
            <x v="18"/>
          </reference>
        </references>
      </pivotArea>
    </format>
    <format dxfId="1955">
      <pivotArea dataOnly="0" labelOnly="1" outline="0" fieldPosition="0">
        <references count="5">
          <reference field="3" count="1" selected="0">
            <x v="774"/>
          </reference>
          <reference field="4" count="1" selected="0">
            <x v="2379"/>
          </reference>
          <reference field="11" count="1" selected="0">
            <x v="12"/>
          </reference>
          <reference field="14" count="1" selected="0">
            <x v="468"/>
          </reference>
          <reference field="21" count="1">
            <x v="17"/>
          </reference>
        </references>
      </pivotArea>
    </format>
    <format dxfId="1954">
      <pivotArea dataOnly="0" labelOnly="1" outline="0" fieldPosition="0">
        <references count="5">
          <reference field="3" count="1" selected="0">
            <x v="839"/>
          </reference>
          <reference field="4" count="1" selected="0">
            <x v="7371"/>
          </reference>
          <reference field="11" count="1" selected="0">
            <x v="12"/>
          </reference>
          <reference field="14" count="1" selected="0">
            <x v="219"/>
          </reference>
          <reference field="21" count="1">
            <x v="17"/>
          </reference>
        </references>
      </pivotArea>
    </format>
    <format dxfId="1953">
      <pivotArea dataOnly="0" labelOnly="1" outline="0" fieldPosition="0">
        <references count="5">
          <reference field="3" count="1" selected="0">
            <x v="850"/>
          </reference>
          <reference field="4" count="1" selected="0">
            <x v="1239"/>
          </reference>
          <reference field="11" count="1" selected="0">
            <x v="12"/>
          </reference>
          <reference field="14" count="1" selected="0">
            <x v="873"/>
          </reference>
          <reference field="21" count="1">
            <x v="16"/>
          </reference>
        </references>
      </pivotArea>
    </format>
    <format dxfId="1952">
      <pivotArea dataOnly="0" labelOnly="1" outline="0" fieldPosition="0">
        <references count="5">
          <reference field="3" count="1" selected="0">
            <x v="884"/>
          </reference>
          <reference field="4" count="1" selected="0">
            <x v="6627"/>
          </reference>
          <reference field="11" count="1" selected="0">
            <x v="12"/>
          </reference>
          <reference field="14" count="1" selected="0">
            <x v="100"/>
          </reference>
          <reference field="21" count="1">
            <x v="20"/>
          </reference>
        </references>
      </pivotArea>
    </format>
    <format dxfId="1951">
      <pivotArea dataOnly="0" labelOnly="1" outline="0" fieldPosition="0">
        <references count="5">
          <reference field="3" count="1" selected="0">
            <x v="913"/>
          </reference>
          <reference field="4" count="1" selected="0">
            <x v="5242"/>
          </reference>
          <reference field="11" count="1" selected="0">
            <x v="12"/>
          </reference>
          <reference field="14" count="1" selected="0">
            <x v="813"/>
          </reference>
          <reference field="21" count="1">
            <x v="15"/>
          </reference>
        </references>
      </pivotArea>
    </format>
    <format dxfId="1950">
      <pivotArea dataOnly="0" labelOnly="1" outline="0" fieldPosition="0">
        <references count="5">
          <reference field="3" count="1" selected="0">
            <x v="948"/>
          </reference>
          <reference field="4" count="1" selected="0">
            <x v="1294"/>
          </reference>
          <reference field="11" count="1" selected="0">
            <x v="12"/>
          </reference>
          <reference field="14" count="1" selected="0">
            <x v="197"/>
          </reference>
          <reference field="21" count="1">
            <x v="15"/>
          </reference>
        </references>
      </pivotArea>
    </format>
    <format dxfId="1949">
      <pivotArea dataOnly="0" labelOnly="1" outline="0" fieldPosition="0">
        <references count="5">
          <reference field="3" count="1" selected="0">
            <x v="971"/>
          </reference>
          <reference field="4" count="1" selected="0">
            <x v="3574"/>
          </reference>
          <reference field="11" count="1" selected="0">
            <x v="12"/>
          </reference>
          <reference field="14" count="1" selected="0">
            <x v="180"/>
          </reference>
          <reference field="21" count="1">
            <x v="14"/>
          </reference>
        </references>
      </pivotArea>
    </format>
    <format dxfId="1948">
      <pivotArea dataOnly="0" labelOnly="1" outline="0" fieldPosition="0">
        <references count="5">
          <reference field="3" count="1" selected="0">
            <x v="997"/>
          </reference>
          <reference field="4" count="1" selected="0">
            <x v="1759"/>
          </reference>
          <reference field="11" count="1" selected="0">
            <x v="12"/>
          </reference>
          <reference field="14" count="1" selected="0">
            <x v="867"/>
          </reference>
          <reference field="21" count="1">
            <x v="13"/>
          </reference>
        </references>
      </pivotArea>
    </format>
    <format dxfId="1947">
      <pivotArea dataOnly="0" labelOnly="1" outline="0" fieldPosition="0">
        <references count="5">
          <reference field="3" count="1" selected="0">
            <x v="1003"/>
          </reference>
          <reference field="4" count="1" selected="0">
            <x v="961"/>
          </reference>
          <reference field="11" count="1" selected="0">
            <x v="12"/>
          </reference>
          <reference field="14" count="1" selected="0">
            <x v="899"/>
          </reference>
          <reference field="21" count="1">
            <x v="14"/>
          </reference>
        </references>
      </pivotArea>
    </format>
    <format dxfId="1946">
      <pivotArea dataOnly="0" labelOnly="1" outline="0" fieldPosition="0">
        <references count="5">
          <reference field="3" count="1" selected="0">
            <x v="1011"/>
          </reference>
          <reference field="4" count="1" selected="0">
            <x v="5221"/>
          </reference>
          <reference field="11" count="1" selected="0">
            <x v="12"/>
          </reference>
          <reference field="14" count="1" selected="0">
            <x v="162"/>
          </reference>
          <reference field="21" count="1">
            <x v="15"/>
          </reference>
        </references>
      </pivotArea>
    </format>
    <format dxfId="1945">
      <pivotArea dataOnly="0" labelOnly="1" outline="0" fieldPosition="0">
        <references count="5">
          <reference field="3" count="1" selected="0">
            <x v="1020"/>
          </reference>
          <reference field="4" count="1" selected="0">
            <x v="7538"/>
          </reference>
          <reference field="11" count="1" selected="0">
            <x v="12"/>
          </reference>
          <reference field="14" count="1" selected="0">
            <x v="457"/>
          </reference>
          <reference field="21" count="1">
            <x v="13"/>
          </reference>
        </references>
      </pivotArea>
    </format>
    <format dxfId="1944">
      <pivotArea dataOnly="0" labelOnly="1" outline="0" fieldPosition="0">
        <references count="5">
          <reference field="3" count="1" selected="0">
            <x v="1040"/>
          </reference>
          <reference field="4" count="1" selected="0">
            <x v="868"/>
          </reference>
          <reference field="11" count="1" selected="0">
            <x v="12"/>
          </reference>
          <reference field="14" count="1" selected="0">
            <x v="137"/>
          </reference>
          <reference field="21" count="1">
            <x v="15"/>
          </reference>
        </references>
      </pivotArea>
    </format>
    <format dxfId="1943">
      <pivotArea dataOnly="0" labelOnly="1" outline="0" fieldPosition="0">
        <references count="5">
          <reference field="3" count="1" selected="0">
            <x v="1069"/>
          </reference>
          <reference field="4" count="1" selected="0">
            <x v="3787"/>
          </reference>
          <reference field="11" count="1" selected="0">
            <x v="11"/>
          </reference>
          <reference field="14" count="1" selected="0">
            <x v="635"/>
          </reference>
          <reference field="21" count="1">
            <x v="12"/>
          </reference>
        </references>
      </pivotArea>
    </format>
    <format dxfId="1942">
      <pivotArea dataOnly="0" labelOnly="1" outline="0" fieldPosition="0">
        <references count="5">
          <reference field="3" count="1" selected="0">
            <x v="1077"/>
          </reference>
          <reference field="4" count="1" selected="0">
            <x v="6845"/>
          </reference>
          <reference field="11" count="1" selected="0">
            <x v="11"/>
          </reference>
          <reference field="14" count="1" selected="0">
            <x v="289"/>
          </reference>
          <reference field="21" count="1">
            <x v="12"/>
          </reference>
        </references>
      </pivotArea>
    </format>
    <format dxfId="1941">
      <pivotArea dataOnly="0" labelOnly="1" outline="0" fieldPosition="0">
        <references count="5">
          <reference field="3" count="1" selected="0">
            <x v="1113"/>
          </reference>
          <reference field="4" count="1" selected="0">
            <x v="112"/>
          </reference>
          <reference field="11" count="1" selected="0">
            <x v="12"/>
          </reference>
          <reference field="14" count="1" selected="0">
            <x v="974"/>
          </reference>
          <reference field="21" count="1">
            <x v="11"/>
          </reference>
        </references>
      </pivotArea>
    </format>
    <format dxfId="1940">
      <pivotArea dataOnly="0" labelOnly="1" outline="0" fieldPosition="0">
        <references count="5">
          <reference field="3" count="1" selected="0">
            <x v="1129"/>
          </reference>
          <reference field="4" count="1" selected="0">
            <x v="1803"/>
          </reference>
          <reference field="11" count="1" selected="0">
            <x v="12"/>
          </reference>
          <reference field="14" count="1" selected="0">
            <x v="895"/>
          </reference>
          <reference field="21" count="1">
            <x v="17"/>
          </reference>
        </references>
      </pivotArea>
    </format>
    <format dxfId="1939">
      <pivotArea dataOnly="0" labelOnly="1" outline="0" fieldPosition="0">
        <references count="5">
          <reference field="3" count="1" selected="0">
            <x v="1141"/>
          </reference>
          <reference field="4" count="1" selected="0">
            <x v="962"/>
          </reference>
          <reference field="11" count="1" selected="0">
            <x v="12"/>
          </reference>
          <reference field="14" count="1" selected="0">
            <x v="902"/>
          </reference>
          <reference field="21" count="1">
            <x v="12"/>
          </reference>
        </references>
      </pivotArea>
    </format>
    <format dxfId="1938">
      <pivotArea dataOnly="0" labelOnly="1" outline="0" fieldPosition="0">
        <references count="5">
          <reference field="3" count="1" selected="0">
            <x v="1167"/>
          </reference>
          <reference field="4" count="1" selected="0">
            <x v="6179"/>
          </reference>
          <reference field="11" count="1" selected="0">
            <x v="11"/>
          </reference>
          <reference field="14" count="1" selected="0">
            <x v="552"/>
          </reference>
          <reference field="21" count="1">
            <x v="13"/>
          </reference>
        </references>
      </pivotArea>
    </format>
    <format dxfId="1937">
      <pivotArea dataOnly="0" labelOnly="1" outline="0" fieldPosition="0">
        <references count="5">
          <reference field="3" count="1" selected="0">
            <x v="1189"/>
          </reference>
          <reference field="4" count="1" selected="0">
            <x v="3938"/>
          </reference>
          <reference field="11" count="1" selected="0">
            <x v="12"/>
          </reference>
          <reference field="14" count="1" selected="0">
            <x v="643"/>
          </reference>
          <reference field="21" count="1">
            <x v="10"/>
          </reference>
        </references>
      </pivotArea>
    </format>
    <format dxfId="1936">
      <pivotArea dataOnly="0" labelOnly="1" outline="0" fieldPosition="0">
        <references count="5">
          <reference field="3" count="1" selected="0">
            <x v="1196"/>
          </reference>
          <reference field="4" count="1" selected="0">
            <x v="3719"/>
          </reference>
          <reference field="11" count="1" selected="0">
            <x v="11"/>
          </reference>
          <reference field="14" count="1" selected="0">
            <x v="875"/>
          </reference>
          <reference field="21" count="1">
            <x v="3"/>
          </reference>
        </references>
      </pivotArea>
    </format>
    <format dxfId="1935">
      <pivotArea dataOnly="0" labelOnly="1" outline="0" fieldPosition="0">
        <references count="5">
          <reference field="3" count="1" selected="0">
            <x v="1198"/>
          </reference>
          <reference field="4" count="1" selected="0">
            <x v="143"/>
          </reference>
          <reference field="11" count="1" selected="0">
            <x v="12"/>
          </reference>
          <reference field="14" count="1" selected="0">
            <x v="547"/>
          </reference>
          <reference field="21" count="1">
            <x v="14"/>
          </reference>
        </references>
      </pivotArea>
    </format>
    <format dxfId="1934">
      <pivotArea dataOnly="0" labelOnly="1" outline="0" fieldPosition="0">
        <references count="5">
          <reference field="3" count="1" selected="0">
            <x v="1204"/>
          </reference>
          <reference field="4" count="1" selected="0">
            <x v="2183"/>
          </reference>
          <reference field="11" count="1" selected="0">
            <x v="12"/>
          </reference>
          <reference field="14" count="1" selected="0">
            <x v="759"/>
          </reference>
          <reference field="21" count="1">
            <x v="3"/>
          </reference>
        </references>
      </pivotArea>
    </format>
    <format dxfId="1933">
      <pivotArea dataOnly="0" labelOnly="1" outline="0" fieldPosition="0">
        <references count="5">
          <reference field="3" count="1" selected="0">
            <x v="1210"/>
          </reference>
          <reference field="4" count="1" selected="0">
            <x v="4917"/>
          </reference>
          <reference field="11" count="1" selected="0">
            <x v="12"/>
          </reference>
          <reference field="14" count="1" selected="0">
            <x v="554"/>
          </reference>
          <reference field="21" count="1">
            <x v="6"/>
          </reference>
        </references>
      </pivotArea>
    </format>
    <format dxfId="1932">
      <pivotArea dataOnly="0" labelOnly="1" outline="0" fieldPosition="0">
        <references count="5">
          <reference field="3" count="1" selected="0">
            <x v="1222"/>
          </reference>
          <reference field="4" count="1" selected="0">
            <x v="2602"/>
          </reference>
          <reference field="11" count="1" selected="0">
            <x v="12"/>
          </reference>
          <reference field="14" count="1" selected="0">
            <x v="605"/>
          </reference>
          <reference field="21" count="1">
            <x v="4"/>
          </reference>
        </references>
      </pivotArea>
    </format>
    <format dxfId="1931">
      <pivotArea dataOnly="0" labelOnly="1" outline="0" fieldPosition="0">
        <references count="5">
          <reference field="3" count="1" selected="0">
            <x v="1226"/>
          </reference>
          <reference field="4" count="1" selected="0">
            <x v="3567"/>
          </reference>
          <reference field="11" count="1" selected="0">
            <x v="12"/>
          </reference>
          <reference field="14" count="1" selected="0">
            <x v="480"/>
          </reference>
          <reference field="21" count="1">
            <x v="8"/>
          </reference>
        </references>
      </pivotArea>
    </format>
    <format dxfId="1930">
      <pivotArea dataOnly="0" labelOnly="1" outline="0" fieldPosition="0">
        <references count="5">
          <reference field="3" count="1" selected="0">
            <x v="1261"/>
          </reference>
          <reference field="4" count="1" selected="0">
            <x v="4852"/>
          </reference>
          <reference field="11" count="1" selected="0">
            <x v="12"/>
          </reference>
          <reference field="14" count="1" selected="0">
            <x v="423"/>
          </reference>
          <reference field="21" count="1">
            <x v="10"/>
          </reference>
        </references>
      </pivotArea>
    </format>
    <format dxfId="1929">
      <pivotArea dataOnly="0" labelOnly="1" outline="0" fieldPosition="0">
        <references count="5">
          <reference field="3" count="1" selected="0">
            <x v="1262"/>
          </reference>
          <reference field="4" count="1" selected="0">
            <x v="6041"/>
          </reference>
          <reference field="11" count="1" selected="0">
            <x v="12"/>
          </reference>
          <reference field="14" count="1" selected="0">
            <x v="876"/>
          </reference>
          <reference field="21" count="1">
            <x v="4"/>
          </reference>
        </references>
      </pivotArea>
    </format>
    <format dxfId="1928">
      <pivotArea dataOnly="0" labelOnly="1" outline="0" fieldPosition="0">
        <references count="5">
          <reference field="3" count="1" selected="0">
            <x v="1285"/>
          </reference>
          <reference field="4" count="1" selected="0">
            <x v="4354"/>
          </reference>
          <reference field="11" count="1" selected="0">
            <x v="12"/>
          </reference>
          <reference field="14" count="1" selected="0">
            <x v="780"/>
          </reference>
          <reference field="21" count="1">
            <x v="10"/>
          </reference>
        </references>
      </pivotArea>
    </format>
    <format dxfId="1927">
      <pivotArea dataOnly="0" labelOnly="1" outline="0" fieldPosition="0">
        <references count="5">
          <reference field="3" count="1" selected="0">
            <x v="1288"/>
          </reference>
          <reference field="4" count="1" selected="0">
            <x v="7233"/>
          </reference>
          <reference field="11" count="1" selected="0">
            <x v="12"/>
          </reference>
          <reference field="14" count="1" selected="0">
            <x v="495"/>
          </reference>
          <reference field="21" count="1">
            <x v="12"/>
          </reference>
        </references>
      </pivotArea>
    </format>
    <format dxfId="1926">
      <pivotArea dataOnly="0" labelOnly="1" outline="0" fieldPosition="0">
        <references count="5">
          <reference field="3" count="1" selected="0">
            <x v="1291"/>
          </reference>
          <reference field="4" count="1" selected="0">
            <x v="2404"/>
          </reference>
          <reference field="11" count="1" selected="0">
            <x v="12"/>
          </reference>
          <reference field="14" count="1" selected="0">
            <x v="555"/>
          </reference>
          <reference field="21" count="1">
            <x v="9"/>
          </reference>
        </references>
      </pivotArea>
    </format>
    <format dxfId="1925">
      <pivotArea dataOnly="0" labelOnly="1" outline="0" fieldPosition="0">
        <references count="5">
          <reference field="3" count="1" selected="0">
            <x v="1318"/>
          </reference>
          <reference field="4" count="1" selected="0">
            <x v="4357"/>
          </reference>
          <reference field="11" count="1" selected="0">
            <x v="12"/>
          </reference>
          <reference field="14" count="1" selected="0">
            <x v="981"/>
          </reference>
          <reference field="21" count="1">
            <x v="12"/>
          </reference>
        </references>
      </pivotArea>
    </format>
    <format dxfId="1924">
      <pivotArea dataOnly="0" labelOnly="1" outline="0" fieldPosition="0">
        <references count="5">
          <reference field="3" count="1" selected="0">
            <x v="1343"/>
          </reference>
          <reference field="4" count="1" selected="0">
            <x v="4224"/>
          </reference>
          <reference field="11" count="1" selected="0">
            <x v="12"/>
          </reference>
          <reference field="14" count="1" selected="0">
            <x v="745"/>
          </reference>
          <reference field="21" count="1">
            <x v="5"/>
          </reference>
        </references>
      </pivotArea>
    </format>
    <format dxfId="1923">
      <pivotArea dataOnly="0" labelOnly="1" outline="0" fieldPosition="0">
        <references count="5">
          <reference field="3" count="1" selected="0">
            <x v="1353"/>
          </reference>
          <reference field="4" count="1" selected="0">
            <x v="7033"/>
          </reference>
          <reference field="11" count="1" selected="0">
            <x v="12"/>
          </reference>
          <reference field="14" count="1" selected="0">
            <x v="474"/>
          </reference>
          <reference field="21" count="1">
            <x v="8"/>
          </reference>
        </references>
      </pivotArea>
    </format>
    <format dxfId="1922">
      <pivotArea dataOnly="0" labelOnly="1" outline="0" fieldPosition="0">
        <references count="5">
          <reference field="3" count="1" selected="0">
            <x v="1383"/>
          </reference>
          <reference field="4" count="1" selected="0">
            <x v="3868"/>
          </reference>
          <reference field="11" count="1" selected="0">
            <x v="12"/>
          </reference>
          <reference field="14" count="1" selected="0">
            <x v="803"/>
          </reference>
          <reference field="21" count="1">
            <x v="4"/>
          </reference>
        </references>
      </pivotArea>
    </format>
    <format dxfId="1921">
      <pivotArea dataOnly="0" labelOnly="1" outline="0" fieldPosition="0">
        <references count="5">
          <reference field="3" count="1" selected="0">
            <x v="1391"/>
          </reference>
          <reference field="4" count="1" selected="0">
            <x v="3674"/>
          </reference>
          <reference field="11" count="1" selected="0">
            <x v="12"/>
          </reference>
          <reference field="14" count="1" selected="0">
            <x v="260"/>
          </reference>
          <reference field="21" count="1">
            <x v="12"/>
          </reference>
        </references>
      </pivotArea>
    </format>
    <format dxfId="1920">
      <pivotArea dataOnly="0" labelOnly="1" outline="0" fieldPosition="0">
        <references count="5">
          <reference field="3" count="1" selected="0">
            <x v="1415"/>
          </reference>
          <reference field="4" count="1" selected="0">
            <x v="65"/>
          </reference>
          <reference field="11" count="1" selected="0">
            <x v="12"/>
          </reference>
          <reference field="14" count="1" selected="0">
            <x v="899"/>
          </reference>
          <reference field="21" count="1">
            <x v="11"/>
          </reference>
        </references>
      </pivotArea>
    </format>
    <format dxfId="1919">
      <pivotArea dataOnly="0" labelOnly="1" outline="0" fieldPosition="0">
        <references count="5">
          <reference field="3" count="1" selected="0">
            <x v="1427"/>
          </reference>
          <reference field="4" count="1" selected="0">
            <x v="7919"/>
          </reference>
          <reference field="11" count="1" selected="0">
            <x v="12"/>
          </reference>
          <reference field="14" count="1" selected="0">
            <x v="829"/>
          </reference>
          <reference field="21" count="1">
            <x v="6"/>
          </reference>
        </references>
      </pivotArea>
    </format>
    <format dxfId="1918">
      <pivotArea dataOnly="0" labelOnly="1" outline="0" fieldPosition="0">
        <references count="5">
          <reference field="3" count="1" selected="0">
            <x v="1435"/>
          </reference>
          <reference field="4" count="1" selected="0">
            <x v="3236"/>
          </reference>
          <reference field="11" count="1" selected="0">
            <x v="12"/>
          </reference>
          <reference field="14" count="1" selected="0">
            <x v="751"/>
          </reference>
          <reference field="21" count="1">
            <x v="10"/>
          </reference>
        </references>
      </pivotArea>
    </format>
    <format dxfId="1917">
      <pivotArea dataOnly="0" labelOnly="1" outline="0" fieldPosition="0">
        <references count="5">
          <reference field="3" count="1" selected="0">
            <x v="1449"/>
          </reference>
          <reference field="4" count="1" selected="0">
            <x v="124"/>
          </reference>
          <reference field="11" count="1" selected="0">
            <x v="12"/>
          </reference>
          <reference field="14" count="1" selected="0">
            <x v="871"/>
          </reference>
          <reference field="21" count="1">
            <x v="8"/>
          </reference>
        </references>
      </pivotArea>
    </format>
    <format dxfId="1916">
      <pivotArea dataOnly="0" labelOnly="1" outline="0" fieldPosition="0">
        <references count="5">
          <reference field="3" count="1" selected="0">
            <x v="1452"/>
          </reference>
          <reference field="4" count="1" selected="0">
            <x v="5876"/>
          </reference>
          <reference field="11" count="1" selected="0">
            <x v="12"/>
          </reference>
          <reference field="14" count="1" selected="0">
            <x v="794"/>
          </reference>
          <reference field="21" count="1">
            <x v="13"/>
          </reference>
        </references>
      </pivotArea>
    </format>
    <format dxfId="1915">
      <pivotArea dataOnly="0" labelOnly="1" outline="0" fieldPosition="0">
        <references count="5">
          <reference field="3" count="1" selected="0">
            <x v="1482"/>
          </reference>
          <reference field="4" count="1" selected="0">
            <x v="806"/>
          </reference>
          <reference field="11" count="1" selected="0">
            <x v="12"/>
          </reference>
          <reference field="14" count="1" selected="0">
            <x v="346"/>
          </reference>
          <reference field="21" count="1">
            <x v="6"/>
          </reference>
        </references>
      </pivotArea>
    </format>
    <format dxfId="1914">
      <pivotArea dataOnly="0" labelOnly="1" outline="0" fieldPosition="0">
        <references count="5">
          <reference field="3" count="1" selected="0">
            <x v="1511"/>
          </reference>
          <reference field="4" count="1" selected="0">
            <x v="3546"/>
          </reference>
          <reference field="11" count="1" selected="0">
            <x v="12"/>
          </reference>
          <reference field="14" count="1" selected="0">
            <x v="537"/>
          </reference>
          <reference field="21" count="1">
            <x v="3"/>
          </reference>
        </references>
      </pivotArea>
    </format>
    <format dxfId="1913">
      <pivotArea dataOnly="0" labelOnly="1" outline="0" fieldPosition="0">
        <references count="5">
          <reference field="3" count="1" selected="0">
            <x v="1512"/>
          </reference>
          <reference field="4" count="1" selected="0">
            <x v="6736"/>
          </reference>
          <reference field="11" count="1" selected="0">
            <x v="12"/>
          </reference>
          <reference field="14" count="1" selected="0">
            <x v="529"/>
          </reference>
          <reference field="21" count="1">
            <x v="9"/>
          </reference>
        </references>
      </pivotArea>
    </format>
    <format dxfId="1912">
      <pivotArea dataOnly="0" labelOnly="1" outline="0" fieldPosition="0">
        <references count="5">
          <reference field="3" count="1" selected="0">
            <x v="1515"/>
          </reference>
          <reference field="4" count="1" selected="0">
            <x v="6928"/>
          </reference>
          <reference field="11" count="1" selected="0">
            <x v="12"/>
          </reference>
          <reference field="14" count="1" selected="0">
            <x v="442"/>
          </reference>
          <reference field="21" count="1">
            <x v="6"/>
          </reference>
        </references>
      </pivotArea>
    </format>
    <format dxfId="1911">
      <pivotArea dataOnly="0" labelOnly="1" outline="0" fieldPosition="0">
        <references count="5">
          <reference field="3" count="1" selected="0">
            <x v="1534"/>
          </reference>
          <reference field="4" count="1" selected="0">
            <x v="5622"/>
          </reference>
          <reference field="11" count="1" selected="0">
            <x v="12"/>
          </reference>
          <reference field="14" count="1" selected="0">
            <x v="394"/>
          </reference>
          <reference field="21" count="1">
            <x v="8"/>
          </reference>
        </references>
      </pivotArea>
    </format>
    <format dxfId="1910">
      <pivotArea dataOnly="0" labelOnly="1" outline="0" fieldPosition="0">
        <references count="5">
          <reference field="3" count="1" selected="0">
            <x v="1564"/>
          </reference>
          <reference field="4" count="1" selected="0">
            <x v="5654"/>
          </reference>
          <reference field="11" count="1" selected="0">
            <x v="12"/>
          </reference>
          <reference field="14" count="1" selected="0">
            <x v="855"/>
          </reference>
          <reference field="21" count="1">
            <x v="4"/>
          </reference>
        </references>
      </pivotArea>
    </format>
    <format dxfId="1909">
      <pivotArea dataOnly="0" labelOnly="1" outline="0" fieldPosition="0">
        <references count="5">
          <reference field="3" count="1" selected="0">
            <x v="1619"/>
          </reference>
          <reference field="4" count="1" selected="0">
            <x v="669"/>
          </reference>
          <reference field="11" count="1" selected="0">
            <x v="12"/>
          </reference>
          <reference field="14" count="1" selected="0">
            <x v="872"/>
          </reference>
          <reference field="21" count="1">
            <x v="8"/>
          </reference>
        </references>
      </pivotArea>
    </format>
    <format dxfId="1908">
      <pivotArea dataOnly="0" labelOnly="1" outline="0" fieldPosition="0">
        <references count="5">
          <reference field="3" count="1" selected="0">
            <x v="1626"/>
          </reference>
          <reference field="4" count="1" selected="0">
            <x v="2269"/>
          </reference>
          <reference field="11" count="1" selected="0">
            <x v="12"/>
          </reference>
          <reference field="14" count="1" selected="0">
            <x v="974"/>
          </reference>
          <reference field="21" count="1">
            <x v="7"/>
          </reference>
        </references>
      </pivotArea>
    </format>
    <format dxfId="1907">
      <pivotArea dataOnly="0" labelOnly="1" outline="0" fieldPosition="0">
        <references count="5">
          <reference field="3" count="1" selected="0">
            <x v="1645"/>
          </reference>
          <reference field="4" count="1" selected="0">
            <x v="4209"/>
          </reference>
          <reference field="11" count="1" selected="0">
            <x v="12"/>
          </reference>
          <reference field="14" count="1" selected="0">
            <x v="857"/>
          </reference>
          <reference field="21" count="1">
            <x v="9"/>
          </reference>
        </references>
      </pivotArea>
    </format>
    <format dxfId="1906">
      <pivotArea dataOnly="0" labelOnly="1" outline="0" fieldPosition="0">
        <references count="5">
          <reference field="3" count="1" selected="0">
            <x v="1647"/>
          </reference>
          <reference field="4" count="1" selected="0">
            <x v="7792"/>
          </reference>
          <reference field="11" count="1" selected="0">
            <x v="12"/>
          </reference>
          <reference field="14" count="1" selected="0">
            <x v="967"/>
          </reference>
          <reference field="21" count="1">
            <x v="7"/>
          </reference>
        </references>
      </pivotArea>
    </format>
    <format dxfId="1905">
      <pivotArea dataOnly="0" labelOnly="1" outline="0" fieldPosition="0">
        <references count="5">
          <reference field="3" count="1" selected="0">
            <x v="1712"/>
          </reference>
          <reference field="4" count="1" selected="0">
            <x v="5408"/>
          </reference>
          <reference field="11" count="1" selected="0">
            <x v="12"/>
          </reference>
          <reference field="14" count="1" selected="0">
            <x v="346"/>
          </reference>
          <reference field="21" count="1">
            <x v="33"/>
          </reference>
        </references>
      </pivotArea>
    </format>
    <format dxfId="1904">
      <pivotArea dataOnly="0" labelOnly="1" outline="0" fieldPosition="0">
        <references count="5">
          <reference field="3" count="1" selected="0">
            <x v="1715"/>
          </reference>
          <reference field="4" count="1" selected="0">
            <x v="1667"/>
          </reference>
          <reference field="11" count="1" selected="0">
            <x v="11"/>
          </reference>
          <reference field="14" count="1" selected="0">
            <x v="276"/>
          </reference>
          <reference field="21" count="1">
            <x v="29"/>
          </reference>
        </references>
      </pivotArea>
    </format>
    <format dxfId="1903">
      <pivotArea dataOnly="0" labelOnly="1" outline="0" fieldPosition="0">
        <references count="5">
          <reference field="3" count="1" selected="0">
            <x v="1717"/>
          </reference>
          <reference field="4" count="1" selected="0">
            <x v="7778"/>
          </reference>
          <reference field="11" count="1" selected="0">
            <x v="12"/>
          </reference>
          <reference field="14" count="1" selected="0">
            <x v="144"/>
          </reference>
          <reference field="21" count="1">
            <x v="8"/>
          </reference>
        </references>
      </pivotArea>
    </format>
    <format dxfId="1902">
      <pivotArea dataOnly="0" labelOnly="1" outline="0" fieldPosition="0">
        <references count="5">
          <reference field="3" count="1" selected="0">
            <x v="1720"/>
          </reference>
          <reference field="4" count="1" selected="0">
            <x v="3488"/>
          </reference>
          <reference field="11" count="1" selected="0">
            <x v="12"/>
          </reference>
          <reference field="14" count="1" selected="0">
            <x v="981"/>
          </reference>
          <reference field="21" count="1">
            <x v="27"/>
          </reference>
        </references>
      </pivotArea>
    </format>
    <format dxfId="1901">
      <pivotArea dataOnly="0" labelOnly="1" outline="0" fieldPosition="0">
        <references count="5">
          <reference field="3" count="1" selected="0">
            <x v="1746"/>
          </reference>
          <reference field="4" count="1" selected="0">
            <x v="274"/>
          </reference>
          <reference field="11" count="1" selected="0">
            <x v="11"/>
          </reference>
          <reference field="14" count="1" selected="0">
            <x v="429"/>
          </reference>
          <reference field="21" count="1">
            <x v="31"/>
          </reference>
        </references>
      </pivotArea>
    </format>
    <format dxfId="1900">
      <pivotArea dataOnly="0" labelOnly="1" outline="0" fieldPosition="0">
        <references count="5">
          <reference field="3" count="1" selected="0">
            <x v="1747"/>
          </reference>
          <reference field="4" count="1" selected="0">
            <x v="7928"/>
          </reference>
          <reference field="11" count="1" selected="0">
            <x v="12"/>
          </reference>
          <reference field="14" count="1" selected="0">
            <x v="869"/>
          </reference>
          <reference field="21" count="1">
            <x v="27"/>
          </reference>
        </references>
      </pivotArea>
    </format>
    <format dxfId="1899">
      <pivotArea dataOnly="0" labelOnly="1" outline="0" fieldPosition="0">
        <references count="5">
          <reference field="3" count="1" selected="0">
            <x v="1748"/>
          </reference>
          <reference field="4" count="1" selected="0">
            <x v="5673"/>
          </reference>
          <reference field="11" count="1" selected="0">
            <x v="12"/>
          </reference>
          <reference field="14" count="1" selected="0">
            <x v="873"/>
          </reference>
          <reference field="21" count="1">
            <x v="26"/>
          </reference>
        </references>
      </pivotArea>
    </format>
    <format dxfId="1898">
      <pivotArea dataOnly="0" labelOnly="1" outline="0" fieldPosition="0">
        <references count="5">
          <reference field="3" count="1" selected="0">
            <x v="1750"/>
          </reference>
          <reference field="4" count="1" selected="0">
            <x v="3711"/>
          </reference>
          <reference field="11" count="1" selected="0">
            <x v="11"/>
          </reference>
          <reference field="14" count="1" selected="0">
            <x v="417"/>
          </reference>
          <reference field="21" count="1">
            <x v="23"/>
          </reference>
        </references>
      </pivotArea>
    </format>
    <format dxfId="1897">
      <pivotArea dataOnly="0" labelOnly="1" outline="0" fieldPosition="0">
        <references count="5">
          <reference field="3" count="1" selected="0">
            <x v="1758"/>
          </reference>
          <reference field="4" count="1" selected="0">
            <x v="982"/>
          </reference>
          <reference field="11" count="1" selected="0">
            <x v="12"/>
          </reference>
          <reference field="14" count="1" selected="0">
            <x v="906"/>
          </reference>
          <reference field="21" count="1">
            <x v="13"/>
          </reference>
        </references>
      </pivotArea>
    </format>
    <format dxfId="1896">
      <pivotArea dataOnly="0" labelOnly="1" outline="0" fieldPosition="0">
        <references count="5">
          <reference field="3" count="1" selected="0">
            <x v="1761"/>
          </reference>
          <reference field="4" count="1" selected="0">
            <x v="737"/>
          </reference>
          <reference field="11" count="1" selected="0">
            <x v="12"/>
          </reference>
          <reference field="14" count="1" selected="0">
            <x v="293"/>
          </reference>
          <reference field="21" count="1">
            <x v="17"/>
          </reference>
        </references>
      </pivotArea>
    </format>
    <format dxfId="1895">
      <pivotArea dataOnly="0" labelOnly="1" outline="0" fieldPosition="0">
        <references count="5">
          <reference field="3" count="1" selected="0">
            <x v="1767"/>
          </reference>
          <reference field="4" count="1" selected="0">
            <x v="164"/>
          </reference>
          <reference field="11" count="1" selected="0">
            <x v="11"/>
          </reference>
          <reference field="14" count="1" selected="0">
            <x v="819"/>
          </reference>
          <reference field="21" count="1">
            <x v="5"/>
          </reference>
        </references>
      </pivotArea>
    </format>
    <format dxfId="1894">
      <pivotArea dataOnly="0" labelOnly="1" outline="0" fieldPosition="0">
        <references count="5">
          <reference field="3" count="1" selected="0">
            <x v="1771"/>
          </reference>
          <reference field="4" count="1" selected="0">
            <x v="5981"/>
          </reference>
          <reference field="11" count="1" selected="0">
            <x v="12"/>
          </reference>
          <reference field="14" count="1" selected="0">
            <x v="819"/>
          </reference>
          <reference field="21" count="1">
            <x v="5"/>
          </reference>
        </references>
      </pivotArea>
    </format>
    <format dxfId="1893">
      <pivotArea dataOnly="0" labelOnly="1" outline="0" fieldPosition="0">
        <references count="5">
          <reference field="3" count="1" selected="0">
            <x v="1784"/>
          </reference>
          <reference field="4" count="1" selected="0">
            <x v="6326"/>
          </reference>
          <reference field="11" count="1" selected="0">
            <x v="12"/>
          </reference>
          <reference field="14" count="1" selected="0">
            <x v="768"/>
          </reference>
          <reference field="21" count="1">
            <x v="6"/>
          </reference>
        </references>
      </pivotArea>
    </format>
    <format dxfId="1892">
      <pivotArea dataOnly="0" labelOnly="1" outline="0" fieldPosition="0">
        <references count="5">
          <reference field="3" count="1" selected="0">
            <x v="1785"/>
          </reference>
          <reference field="4" count="1" selected="0">
            <x v="693"/>
          </reference>
          <reference field="11" count="1" selected="0">
            <x v="11"/>
          </reference>
          <reference field="14" count="1" selected="0">
            <x v="640"/>
          </reference>
          <reference field="21" count="1">
            <x v="8"/>
          </reference>
        </references>
      </pivotArea>
    </format>
    <format dxfId="1891">
      <pivotArea dataOnly="0" labelOnly="1" outline="0" fieldPosition="0">
        <references count="5">
          <reference field="3" count="1" selected="0">
            <x v="1786"/>
          </reference>
          <reference field="4" count="1" selected="0">
            <x v="597"/>
          </reference>
          <reference field="11" count="1" selected="0">
            <x v="12"/>
          </reference>
          <reference field="14" count="1" selected="0">
            <x v="406"/>
          </reference>
          <reference field="21" count="1">
            <x v="11"/>
          </reference>
        </references>
      </pivotArea>
    </format>
    <format dxfId="1890">
      <pivotArea dataOnly="0" labelOnly="1" outline="0" fieldPosition="0">
        <references count="5">
          <reference field="3" count="1" selected="0">
            <x v="1789"/>
          </reference>
          <reference field="4" count="1" selected="0">
            <x v="7567"/>
          </reference>
          <reference field="11" count="1" selected="0">
            <x v="12"/>
          </reference>
          <reference field="14" count="1" selected="0">
            <x v="472"/>
          </reference>
          <reference field="21" count="1">
            <x v="10"/>
          </reference>
        </references>
      </pivotArea>
    </format>
    <format dxfId="1889">
      <pivotArea dataOnly="0" labelOnly="1" outline="0" fieldPosition="0">
        <references count="5">
          <reference field="3" count="1" selected="0">
            <x v="1790"/>
          </reference>
          <reference field="4" count="1" selected="0">
            <x v="1776"/>
          </reference>
          <reference field="11" count="1" selected="0">
            <x v="12"/>
          </reference>
          <reference field="14" count="1" selected="0">
            <x v="780"/>
          </reference>
          <reference field="21" count="1">
            <x v="31"/>
          </reference>
        </references>
      </pivotArea>
    </format>
    <format dxfId="1888">
      <pivotArea dataOnly="0" labelOnly="1" outline="0" fieldPosition="0">
        <references count="5">
          <reference field="3" count="1" selected="0">
            <x v="1804"/>
          </reference>
          <reference field="4" count="1" selected="0">
            <x v="1335"/>
          </reference>
          <reference field="11" count="1" selected="0">
            <x v="12"/>
          </reference>
          <reference field="14" count="1" selected="0">
            <x v="802"/>
          </reference>
          <reference field="21" count="1">
            <x v="21"/>
          </reference>
        </references>
      </pivotArea>
    </format>
    <format dxfId="1887">
      <pivotArea dataOnly="0" labelOnly="1" outline="0" fieldPosition="0">
        <references count="5">
          <reference field="3" count="1" selected="0">
            <x v="1827"/>
          </reference>
          <reference field="4" count="1" selected="0">
            <x v="4858"/>
          </reference>
          <reference field="11" count="1" selected="0">
            <x v="11"/>
          </reference>
          <reference field="14" count="1" selected="0">
            <x v="926"/>
          </reference>
          <reference field="21" count="1">
            <x v="16"/>
          </reference>
        </references>
      </pivotArea>
    </format>
    <format dxfId="1886">
      <pivotArea dataOnly="0" labelOnly="1" outline="0" fieldPosition="0">
        <references count="5">
          <reference field="3" count="1" selected="0">
            <x v="1840"/>
          </reference>
          <reference field="4" count="1" selected="0">
            <x v="6192"/>
          </reference>
          <reference field="11" count="1" selected="0">
            <x v="12"/>
          </reference>
          <reference field="14" count="1" selected="0">
            <x v="914"/>
          </reference>
          <reference field="21" count="1">
            <x v="18"/>
          </reference>
        </references>
      </pivotArea>
    </format>
    <format dxfId="1885">
      <pivotArea dataOnly="0" labelOnly="1" outline="0" fieldPosition="0">
        <references count="5">
          <reference field="3" count="1" selected="0">
            <x v="1851"/>
          </reference>
          <reference field="4" count="1" selected="0">
            <x v="6138"/>
          </reference>
          <reference field="11" count="1" selected="0">
            <x v="12"/>
          </reference>
          <reference field="14" count="1" selected="0">
            <x v="921"/>
          </reference>
          <reference field="21" count="1">
            <x v="17"/>
          </reference>
        </references>
      </pivotArea>
    </format>
    <format dxfId="1884">
      <pivotArea dataOnly="0" labelOnly="1" outline="0" fieldPosition="0">
        <references count="5">
          <reference field="3" count="1" selected="0">
            <x v="1853"/>
          </reference>
          <reference field="4" count="1" selected="0">
            <x v="6418"/>
          </reference>
          <reference field="11" count="1" selected="0">
            <x v="12"/>
          </reference>
          <reference field="14" count="1" selected="0">
            <x v="928"/>
          </reference>
          <reference field="21" count="1">
            <x v="3"/>
          </reference>
        </references>
      </pivotArea>
    </format>
    <format dxfId="1883">
      <pivotArea dataOnly="0" labelOnly="1" outline="0" fieldPosition="0">
        <references count="5">
          <reference field="3" count="1" selected="0">
            <x v="1894"/>
          </reference>
          <reference field="4" count="1" selected="0">
            <x v="5722"/>
          </reference>
          <reference field="11" count="1" selected="0">
            <x v="12"/>
          </reference>
          <reference field="14" count="1" selected="0">
            <x v="919"/>
          </reference>
          <reference field="21" count="1">
            <x v="12"/>
          </reference>
        </references>
      </pivotArea>
    </format>
    <format dxfId="1882">
      <pivotArea dataOnly="0" labelOnly="1" outline="0" fieldPosition="0">
        <references count="5">
          <reference field="3" count="1" selected="0">
            <x v="1903"/>
          </reference>
          <reference field="4" count="1" selected="0">
            <x v="3454"/>
          </reference>
          <reference field="11" count="1" selected="0">
            <x v="12"/>
          </reference>
          <reference field="14" count="1" selected="0">
            <x v="927"/>
          </reference>
          <reference field="21" count="1">
            <x v="8"/>
          </reference>
        </references>
      </pivotArea>
    </format>
    <format dxfId="1881">
      <pivotArea dataOnly="0" labelOnly="1" outline="0" fieldPosition="0">
        <references count="5">
          <reference field="3" count="1" selected="0">
            <x v="1905"/>
          </reference>
          <reference field="4" count="1" selected="0">
            <x v="5342"/>
          </reference>
          <reference field="11" count="1" selected="0">
            <x v="12"/>
          </reference>
          <reference field="14" count="1" selected="0">
            <x v="898"/>
          </reference>
          <reference field="21" count="1">
            <x v="5"/>
          </reference>
        </references>
      </pivotArea>
    </format>
    <format dxfId="1880">
      <pivotArea dataOnly="0" labelOnly="1" outline="0" fieldPosition="0">
        <references count="5">
          <reference field="3" count="1" selected="0">
            <x v="1906"/>
          </reference>
          <reference field="4" count="1" selected="0">
            <x v="6949"/>
          </reference>
          <reference field="11" count="1" selected="0">
            <x v="12"/>
          </reference>
          <reference field="14" count="1" selected="0">
            <x v="923"/>
          </reference>
          <reference field="21" count="1">
            <x v="30"/>
          </reference>
        </references>
      </pivotArea>
    </format>
    <format dxfId="1879">
      <pivotArea dataOnly="0" labelOnly="1" outline="0" fieldPosition="0">
        <references count="5">
          <reference field="3" count="1" selected="0">
            <x v="1911"/>
          </reference>
          <reference field="4" count="1" selected="0">
            <x v="6382"/>
          </reference>
          <reference field="11" count="1" selected="0">
            <x v="12"/>
          </reference>
          <reference field="14" count="1" selected="0">
            <x v="882"/>
          </reference>
          <reference field="21" count="1">
            <x v="11"/>
          </reference>
        </references>
      </pivotArea>
    </format>
    <format dxfId="1878">
      <pivotArea dataOnly="0" labelOnly="1" outline="0" fieldPosition="0">
        <references count="5">
          <reference field="3" count="1" selected="0">
            <x v="1916"/>
          </reference>
          <reference field="4" count="1" selected="0">
            <x v="1837"/>
          </reference>
          <reference field="11" count="1" selected="0">
            <x v="12"/>
          </reference>
          <reference field="14" count="1" selected="0">
            <x v="930"/>
          </reference>
          <reference field="21" count="1">
            <x v="17"/>
          </reference>
        </references>
      </pivotArea>
    </format>
    <format dxfId="1877">
      <pivotArea dataOnly="0" labelOnly="1" outline="0" fieldPosition="0">
        <references count="5">
          <reference field="3" count="1" selected="0">
            <x v="1917"/>
          </reference>
          <reference field="4" count="1" selected="0">
            <x v="2228"/>
          </reference>
          <reference field="11" count="1" selected="0">
            <x v="12"/>
          </reference>
          <reference field="14" count="1" selected="0">
            <x v="930"/>
          </reference>
          <reference field="21" count="1">
            <x v="34"/>
          </reference>
        </references>
      </pivotArea>
    </format>
    <format dxfId="1876">
      <pivotArea dataOnly="0" labelOnly="1" outline="0" fieldPosition="0">
        <references count="5">
          <reference field="3" count="1" selected="0">
            <x v="1918"/>
          </reference>
          <reference field="4" count="1" selected="0">
            <x v="3911"/>
          </reference>
          <reference field="11" count="1" selected="0">
            <x v="12"/>
          </reference>
          <reference field="14" count="1" selected="0">
            <x v="930"/>
          </reference>
          <reference field="21" count="1">
            <x v="24"/>
          </reference>
        </references>
      </pivotArea>
    </format>
    <format dxfId="1875">
      <pivotArea dataOnly="0" labelOnly="1" outline="0" fieldPosition="0">
        <references count="5">
          <reference field="3" count="1" selected="0">
            <x v="1937"/>
          </reference>
          <reference field="4" count="1" selected="0">
            <x v="7773"/>
          </reference>
          <reference field="11" count="1" selected="0">
            <x v="12"/>
          </reference>
          <reference field="14" count="1" selected="0">
            <x v="926"/>
          </reference>
          <reference field="21" count="1">
            <x v="28"/>
          </reference>
        </references>
      </pivotArea>
    </format>
    <format dxfId="1874">
      <pivotArea dataOnly="0" labelOnly="1" outline="0" fieldPosition="0">
        <references count="5">
          <reference field="3" count="1" selected="0">
            <x v="1949"/>
          </reference>
          <reference field="4" count="1" selected="0">
            <x v="6062"/>
          </reference>
          <reference field="11" count="1" selected="0">
            <x v="12"/>
          </reference>
          <reference field="14" count="1" selected="0">
            <x v="943"/>
          </reference>
          <reference field="21" count="1">
            <x v="30"/>
          </reference>
        </references>
      </pivotArea>
    </format>
    <format dxfId="1873">
      <pivotArea dataOnly="0" labelOnly="1" outline="0" fieldPosition="0">
        <references count="5">
          <reference field="3" count="1" selected="0">
            <x v="1950"/>
          </reference>
          <reference field="4" count="1" selected="0">
            <x v="3421"/>
          </reference>
          <reference field="11" count="1" selected="0">
            <x v="12"/>
          </reference>
          <reference field="14" count="1" selected="0">
            <x v="938"/>
          </reference>
          <reference field="21" count="1">
            <x v="0"/>
          </reference>
        </references>
      </pivotArea>
    </format>
    <format dxfId="1872">
      <pivotArea dataOnly="0" labelOnly="1" outline="0" fieldPosition="0">
        <references count="5">
          <reference field="3" count="1" selected="0">
            <x v="1964"/>
          </reference>
          <reference field="4" count="1" selected="0">
            <x v="4436"/>
          </reference>
          <reference field="11" count="1" selected="0">
            <x v="12"/>
          </reference>
          <reference field="14" count="1" selected="0">
            <x v="947"/>
          </reference>
          <reference field="21" count="1">
            <x v="17"/>
          </reference>
        </references>
      </pivotArea>
    </format>
    <format dxfId="1871">
      <pivotArea dataOnly="0" labelOnly="1" outline="0" fieldPosition="0">
        <references count="5">
          <reference field="3" count="1" selected="0">
            <x v="2040"/>
          </reference>
          <reference field="4" count="1" selected="0">
            <x v="814"/>
          </reference>
          <reference field="11" count="1" selected="0">
            <x v="12"/>
          </reference>
          <reference field="14" count="1" selected="0">
            <x v="853"/>
          </reference>
          <reference field="21" count="1">
            <x v="6"/>
          </reference>
        </references>
      </pivotArea>
    </format>
    <format dxfId="1870">
      <pivotArea dataOnly="0" labelOnly="1" outline="0" fieldPosition="0">
        <references count="5">
          <reference field="3" count="1" selected="0">
            <x v="2049"/>
          </reference>
          <reference field="4" count="1" selected="0">
            <x v="5797"/>
          </reference>
          <reference field="11" count="1" selected="0">
            <x v="12"/>
          </reference>
          <reference field="14" count="1" selected="0">
            <x v="906"/>
          </reference>
          <reference field="21" count="1">
            <x v="13"/>
          </reference>
        </references>
      </pivotArea>
    </format>
    <format dxfId="1869">
      <pivotArea dataOnly="0" labelOnly="1" outline="0" fieldPosition="0">
        <references count="5">
          <reference field="3" count="1" selected="0">
            <x v="2051"/>
          </reference>
          <reference field="4" count="1" selected="0">
            <x v="7737"/>
          </reference>
          <reference field="11" count="1" selected="0">
            <x v="12"/>
          </reference>
          <reference field="14" count="1" selected="0">
            <x v="918"/>
          </reference>
          <reference field="21" count="1">
            <x v="8"/>
          </reference>
        </references>
      </pivotArea>
    </format>
    <format dxfId="1868">
      <pivotArea dataOnly="0" labelOnly="1" outline="0" fieldPosition="0">
        <references count="5">
          <reference field="3" count="1" selected="0">
            <x v="2089"/>
          </reference>
          <reference field="4" count="1" selected="0">
            <x v="1064"/>
          </reference>
          <reference field="11" count="1" selected="0">
            <x v="12"/>
          </reference>
          <reference field="14" count="1" selected="0">
            <x v="959"/>
          </reference>
          <reference field="21" count="1">
            <x v="21"/>
          </reference>
        </references>
      </pivotArea>
    </format>
    <format dxfId="1867">
      <pivotArea dataOnly="0" labelOnly="1" outline="0" fieldPosition="0">
        <references count="5">
          <reference field="3" count="1" selected="0">
            <x v="2097"/>
          </reference>
          <reference field="4" count="1" selected="0">
            <x v="1103"/>
          </reference>
          <reference field="11" count="1" selected="0">
            <x v="12"/>
          </reference>
          <reference field="14" count="1" selected="0">
            <x v="947"/>
          </reference>
          <reference field="21" count="1">
            <x v="25"/>
          </reference>
        </references>
      </pivotArea>
    </format>
    <format dxfId="1866">
      <pivotArea dataOnly="0" labelOnly="1" outline="0" fieldPosition="0">
        <references count="5">
          <reference field="3" count="1" selected="0">
            <x v="2101"/>
          </reference>
          <reference field="4" count="1" selected="0">
            <x v="5470"/>
          </reference>
          <reference field="11" count="1" selected="0">
            <x v="12"/>
          </reference>
          <reference field="14" count="1" selected="0">
            <x v="957"/>
          </reference>
          <reference field="21" count="1">
            <x v="15"/>
          </reference>
        </references>
      </pivotArea>
    </format>
    <format dxfId="1865">
      <pivotArea dataOnly="0" labelOnly="1" outline="0" fieldPosition="0">
        <references count="5">
          <reference field="3" count="1" selected="0">
            <x v="2104"/>
          </reference>
          <reference field="4" count="1" selected="0">
            <x v="6191"/>
          </reference>
          <reference field="11" count="1" selected="0">
            <x v="12"/>
          </reference>
          <reference field="14" count="1" selected="0">
            <x v="987"/>
          </reference>
          <reference field="21" count="1">
            <x v="20"/>
          </reference>
        </references>
      </pivotArea>
    </format>
    <format dxfId="1864">
      <pivotArea dataOnly="0" labelOnly="1" outline="0" fieldPosition="0">
        <references count="5">
          <reference field="3" count="1" selected="0">
            <x v="2105"/>
          </reference>
          <reference field="4" count="1" selected="0">
            <x v="2516"/>
          </reference>
          <reference field="11" count="1" selected="0">
            <x v="12"/>
          </reference>
          <reference field="14" count="1" selected="0">
            <x v="965"/>
          </reference>
          <reference field="21" count="1">
            <x v="7"/>
          </reference>
        </references>
      </pivotArea>
    </format>
    <format dxfId="1863">
      <pivotArea dataOnly="0" labelOnly="1" outline="0" fieldPosition="0">
        <references count="5">
          <reference field="3" count="1" selected="0">
            <x v="2106"/>
          </reference>
          <reference field="4" count="1" selected="0">
            <x v="568"/>
          </reference>
          <reference field="11" count="1" selected="0">
            <x v="12"/>
          </reference>
          <reference field="14" count="1" selected="0">
            <x v="966"/>
          </reference>
          <reference field="21" count="1">
            <x v="20"/>
          </reference>
        </references>
      </pivotArea>
    </format>
    <format dxfId="1862">
      <pivotArea dataOnly="0" labelOnly="1" outline="0" fieldPosition="0">
        <references count="5">
          <reference field="3" count="1" selected="0">
            <x v="2122"/>
          </reference>
          <reference field="4" count="1" selected="0">
            <x v="2252"/>
          </reference>
          <reference field="11" count="1" selected="0">
            <x v="12"/>
          </reference>
          <reference field="14" count="1" selected="0">
            <x v="642"/>
          </reference>
          <reference field="21" count="1">
            <x v="18"/>
          </reference>
        </references>
      </pivotArea>
    </format>
    <format dxfId="1861">
      <pivotArea dataOnly="0" labelOnly="1" outline="0" fieldPosition="0">
        <references count="5">
          <reference field="3" count="1" selected="0">
            <x v="2144"/>
          </reference>
          <reference field="4" count="1" selected="0">
            <x v="7845"/>
          </reference>
          <reference field="11" count="1" selected="0">
            <x v="12"/>
          </reference>
          <reference field="14" count="1" selected="0">
            <x v="921"/>
          </reference>
          <reference field="21" count="1">
            <x v="18"/>
          </reference>
        </references>
      </pivotArea>
    </format>
    <format dxfId="1860">
      <pivotArea dataOnly="0" labelOnly="1" outline="0" fieldPosition="0">
        <references count="5">
          <reference field="3" count="1" selected="0">
            <x v="2163"/>
          </reference>
          <reference field="4" count="1" selected="0">
            <x v="6460"/>
          </reference>
          <reference field="11" count="1" selected="0">
            <x v="12"/>
          </reference>
          <reference field="14" count="1" selected="0">
            <x v="970"/>
          </reference>
          <reference field="21" count="1">
            <x v="26"/>
          </reference>
        </references>
      </pivotArea>
    </format>
    <format dxfId="1859">
      <pivotArea dataOnly="0" labelOnly="1" outline="0" fieldPosition="0">
        <references count="5">
          <reference field="3" count="1" selected="0">
            <x v="2197"/>
          </reference>
          <reference field="4" count="1" selected="0">
            <x v="1576"/>
          </reference>
          <reference field="11" count="1" selected="0">
            <x v="12"/>
          </reference>
          <reference field="14" count="1" selected="0">
            <x v="965"/>
          </reference>
          <reference field="21" count="1">
            <x v="8"/>
          </reference>
        </references>
      </pivotArea>
    </format>
    <format dxfId="1858">
      <pivotArea dataOnly="0" labelOnly="1" outline="0" fieldPosition="0">
        <references count="5">
          <reference field="3" count="1" selected="0">
            <x v="2201"/>
          </reference>
          <reference field="4" count="1" selected="0">
            <x v="7137"/>
          </reference>
          <reference field="11" count="1" selected="0">
            <x v="12"/>
          </reference>
          <reference field="14" count="1" selected="0">
            <x v="981"/>
          </reference>
          <reference field="21" count="1">
            <x v="20"/>
          </reference>
        </references>
      </pivotArea>
    </format>
    <format dxfId="1857">
      <pivotArea dataOnly="0" labelOnly="1" outline="0" fieldPosition="0">
        <references count="5">
          <reference field="3" count="1" selected="0">
            <x v="2222"/>
          </reference>
          <reference field="4" count="1" selected="0">
            <x v="5292"/>
          </reference>
          <reference field="11" count="1" selected="0">
            <x v="12"/>
          </reference>
          <reference field="14" count="1" selected="0">
            <x v="844"/>
          </reference>
          <reference field="21" count="1">
            <x v="21"/>
          </reference>
        </references>
      </pivotArea>
    </format>
    <format dxfId="1856">
      <pivotArea dataOnly="0" labelOnly="1" outline="0" fieldPosition="0">
        <references count="5">
          <reference field="3" count="1" selected="0">
            <x v="2232"/>
          </reference>
          <reference field="4" count="1" selected="0">
            <x v="3300"/>
          </reference>
          <reference field="11" count="1" selected="0">
            <x v="12"/>
          </reference>
          <reference field="14" count="1" selected="0">
            <x v="967"/>
          </reference>
          <reference field="21" count="1">
            <x v="4"/>
          </reference>
        </references>
      </pivotArea>
    </format>
    <format dxfId="1855">
      <pivotArea dataOnly="0" labelOnly="1" outline="0" fieldPosition="0">
        <references count="5">
          <reference field="3" count="1" selected="0">
            <x v="2234"/>
          </reference>
          <reference field="4" count="1" selected="0">
            <x v="3301"/>
          </reference>
          <reference field="11" count="1" selected="0">
            <x v="12"/>
          </reference>
          <reference field="14" count="1" selected="0">
            <x v="970"/>
          </reference>
          <reference field="21" count="1">
            <x v="2"/>
          </reference>
        </references>
      </pivotArea>
    </format>
    <format dxfId="1854">
      <pivotArea dataOnly="0" labelOnly="1" outline="0" fieldPosition="0">
        <references count="5">
          <reference field="3" count="1" selected="0">
            <x v="2235"/>
          </reference>
          <reference field="4" count="1" selected="0">
            <x v="7482"/>
          </reference>
          <reference field="11" count="1" selected="0">
            <x v="12"/>
          </reference>
          <reference field="14" count="1" selected="0">
            <x v="974"/>
          </reference>
          <reference field="21" count="1">
            <x v="4"/>
          </reference>
        </references>
      </pivotArea>
    </format>
    <format dxfId="1853">
      <pivotArea dataOnly="0" labelOnly="1" outline="0" fieldPosition="0">
        <references count="5">
          <reference field="3" count="1" selected="0">
            <x v="2236"/>
          </reference>
          <reference field="4" count="1" selected="0">
            <x v="3302"/>
          </reference>
          <reference field="11" count="1" selected="0">
            <x v="12"/>
          </reference>
          <reference field="14" count="1" selected="0">
            <x v="974"/>
          </reference>
          <reference field="21" count="1">
            <x v="2"/>
          </reference>
        </references>
      </pivotArea>
    </format>
    <format dxfId="1852">
      <pivotArea dataOnly="0" labelOnly="1" outline="0" fieldPosition="0">
        <references count="5">
          <reference field="3" count="1" selected="0">
            <x v="2243"/>
          </reference>
          <reference field="4" count="1" selected="0">
            <x v="7215"/>
          </reference>
          <reference field="11" count="1" selected="0">
            <x v="12"/>
          </reference>
          <reference field="14" count="1" selected="0">
            <x v="965"/>
          </reference>
          <reference field="21" count="1">
            <x v="27"/>
          </reference>
        </references>
      </pivotArea>
    </format>
    <format dxfId="1851">
      <pivotArea dataOnly="0" labelOnly="1" outline="0" fieldPosition="0">
        <references count="5">
          <reference field="3" count="1" selected="0">
            <x v="2251"/>
          </reference>
          <reference field="4" count="1" selected="0">
            <x v="4570"/>
          </reference>
          <reference field="11" count="1" selected="0">
            <x v="12"/>
          </reference>
          <reference field="14" count="1" selected="0">
            <x v="876"/>
          </reference>
          <reference field="21" count="1">
            <x v="14"/>
          </reference>
        </references>
      </pivotArea>
    </format>
    <format dxfId="1850">
      <pivotArea dataOnly="0" labelOnly="1" outline="0" fieldPosition="0">
        <references count="5">
          <reference field="3" count="1" selected="0">
            <x v="2261"/>
          </reference>
          <reference field="4" count="1" selected="0">
            <x v="6947"/>
          </reference>
          <reference field="11" count="1" selected="0">
            <x v="12"/>
          </reference>
          <reference field="14" count="1" selected="0">
            <x v="939"/>
          </reference>
          <reference field="21" count="1">
            <x v="17"/>
          </reference>
        </references>
      </pivotArea>
    </format>
    <format dxfId="1849">
      <pivotArea dataOnly="0" labelOnly="1" outline="0" fieldPosition="0">
        <references count="6">
          <reference field="3" count="1" selected="0">
            <x v="56"/>
          </reference>
          <reference field="4" count="1" selected="0">
            <x v="743"/>
          </reference>
          <reference field="11" count="1" selected="0">
            <x v="12"/>
          </reference>
          <reference field="14" count="1" selected="0">
            <x v="808"/>
          </reference>
          <reference field="21" count="1" selected="0">
            <x v="38"/>
          </reference>
          <reference field="22" count="1">
            <x v="4"/>
          </reference>
        </references>
      </pivotArea>
    </format>
    <format dxfId="1848">
      <pivotArea dataOnly="0" labelOnly="1" outline="0" fieldPosition="0">
        <references count="6">
          <reference field="3" count="1" selected="0">
            <x v="112"/>
          </reference>
          <reference field="4" count="1" selected="0">
            <x v="2075"/>
          </reference>
          <reference field="11" count="1" selected="0">
            <x v="12"/>
          </reference>
          <reference field="14" count="1" selected="0">
            <x v="656"/>
          </reference>
          <reference field="21" count="1" selected="0">
            <x v="29"/>
          </reference>
          <reference field="22" count="1">
            <x v="3"/>
          </reference>
        </references>
      </pivotArea>
    </format>
    <format dxfId="1847">
      <pivotArea dataOnly="0" labelOnly="1" outline="0" fieldPosition="0">
        <references count="6">
          <reference field="3" count="1" selected="0">
            <x v="153"/>
          </reference>
          <reference field="4" count="1" selected="0">
            <x v="4205"/>
          </reference>
          <reference field="11" count="1" selected="0">
            <x v="12"/>
          </reference>
          <reference field="14" count="1" selected="0">
            <x v="125"/>
          </reference>
          <reference field="21" count="1" selected="0">
            <x v="41"/>
          </reference>
          <reference field="22" count="1">
            <x v="5"/>
          </reference>
        </references>
      </pivotArea>
    </format>
    <format dxfId="1846">
      <pivotArea dataOnly="0" labelOnly="1" outline="0" fieldPosition="0">
        <references count="6">
          <reference field="3" count="1" selected="0">
            <x v="189"/>
          </reference>
          <reference field="4" count="1" selected="0">
            <x v="7661"/>
          </reference>
          <reference field="11" count="1" selected="0">
            <x v="12"/>
          </reference>
          <reference field="14" count="1" selected="0">
            <x v="350"/>
          </reference>
          <reference field="21" count="1" selected="0">
            <x v="36"/>
          </reference>
          <reference field="22" count="1">
            <x v="4"/>
          </reference>
        </references>
      </pivotArea>
    </format>
    <format dxfId="1845">
      <pivotArea dataOnly="0" labelOnly="1" outline="0" fieldPosition="0">
        <references count="6">
          <reference field="3" count="1" selected="0">
            <x v="190"/>
          </reference>
          <reference field="4" count="1" selected="0">
            <x v="3551"/>
          </reference>
          <reference field="11" count="1" selected="0">
            <x v="12"/>
          </reference>
          <reference field="14" count="1" selected="0">
            <x v="106"/>
          </reference>
          <reference field="21" count="1" selected="0">
            <x v="31"/>
          </reference>
          <reference field="22" count="1">
            <x v="3"/>
          </reference>
        </references>
      </pivotArea>
    </format>
    <format dxfId="1844">
      <pivotArea dataOnly="0" labelOnly="1" outline="0" fieldPosition="0">
        <references count="6">
          <reference field="3" count="1" selected="0">
            <x v="199"/>
          </reference>
          <reference field="4" count="1" selected="0">
            <x v="4077"/>
          </reference>
          <reference field="11" count="1" selected="0">
            <x v="12"/>
          </reference>
          <reference field="14" count="1" selected="0">
            <x v="629"/>
          </reference>
          <reference field="21" count="1" selected="0">
            <x v="34"/>
          </reference>
          <reference field="22" count="1">
            <x v="4"/>
          </reference>
        </references>
      </pivotArea>
    </format>
    <format dxfId="1843">
      <pivotArea dataOnly="0" labelOnly="1" outline="0" fieldPosition="0">
        <references count="6">
          <reference field="3" count="1" selected="0">
            <x v="234"/>
          </reference>
          <reference field="4" count="1" selected="0">
            <x v="231"/>
          </reference>
          <reference field="11" count="1" selected="0">
            <x v="11"/>
          </reference>
          <reference field="14" count="1" selected="0">
            <x v="678"/>
          </reference>
          <reference field="21" count="1" selected="0">
            <x v="27"/>
          </reference>
          <reference field="22" count="1">
            <x v="3"/>
          </reference>
        </references>
      </pivotArea>
    </format>
    <format dxfId="1842">
      <pivotArea dataOnly="0" labelOnly="1" outline="0" fieldPosition="0">
        <references count="6">
          <reference field="3" count="1" selected="0">
            <x v="251"/>
          </reference>
          <reference field="4" count="1" selected="0">
            <x v="4095"/>
          </reference>
          <reference field="11" count="1" selected="0">
            <x v="12"/>
          </reference>
          <reference field="14" count="1" selected="0">
            <x v="438"/>
          </reference>
          <reference field="21" count="1" selected="0">
            <x v="33"/>
          </reference>
          <reference field="22" count="1">
            <x v="4"/>
          </reference>
        </references>
      </pivotArea>
    </format>
    <format dxfId="1841">
      <pivotArea dataOnly="0" labelOnly="1" outline="0" fieldPosition="0">
        <references count="6">
          <reference field="3" count="1" selected="0">
            <x v="269"/>
          </reference>
          <reference field="4" count="1" selected="0">
            <x v="7152"/>
          </reference>
          <reference field="11" count="1" selected="0">
            <x v="12"/>
          </reference>
          <reference field="14" count="1" selected="0">
            <x v="338"/>
          </reference>
          <reference field="21" count="1" selected="0">
            <x v="29"/>
          </reference>
          <reference field="22" count="1">
            <x v="3"/>
          </reference>
        </references>
      </pivotArea>
    </format>
    <format dxfId="1840">
      <pivotArea dataOnly="0" labelOnly="1" outline="0" fieldPosition="0">
        <references count="6">
          <reference field="3" count="1" selected="0">
            <x v="360"/>
          </reference>
          <reference field="4" count="1" selected="0">
            <x v="7714"/>
          </reference>
          <reference field="11" count="1" selected="0">
            <x v="12"/>
          </reference>
          <reference field="14" count="1" selected="0">
            <x v="755"/>
          </reference>
          <reference field="21" count="1" selected="0">
            <x v="37"/>
          </reference>
          <reference field="22" count="1">
            <x v="4"/>
          </reference>
        </references>
      </pivotArea>
    </format>
    <format dxfId="1839">
      <pivotArea dataOnly="0" labelOnly="1" outline="0" fieldPosition="0">
        <references count="6">
          <reference field="3" count="1" selected="0">
            <x v="477"/>
          </reference>
          <reference field="4" count="1" selected="0">
            <x v="1442"/>
          </reference>
          <reference field="11" count="1" selected="0">
            <x v="12"/>
          </reference>
          <reference field="14" count="1" selected="0">
            <x v="684"/>
          </reference>
          <reference field="21" count="1" selected="0">
            <x v="22"/>
          </reference>
          <reference field="22" count="1">
            <x v="2"/>
          </reference>
        </references>
      </pivotArea>
    </format>
    <format dxfId="1838">
      <pivotArea dataOnly="0" labelOnly="1" outline="0" fieldPosition="0">
        <references count="6">
          <reference field="3" count="1" selected="0">
            <x v="492"/>
          </reference>
          <reference field="4" count="1" selected="0">
            <x v="11"/>
          </reference>
          <reference field="11" count="1" selected="0">
            <x v="11"/>
          </reference>
          <reference field="14" count="1" selected="0">
            <x v="3"/>
          </reference>
          <reference field="21" count="1" selected="0">
            <x v="25"/>
          </reference>
          <reference field="22" count="1">
            <x v="3"/>
          </reference>
        </references>
      </pivotArea>
    </format>
    <format dxfId="1837">
      <pivotArea dataOnly="0" labelOnly="1" outline="0" fieldPosition="0">
        <references count="6">
          <reference field="3" count="1" selected="0">
            <x v="503"/>
          </reference>
          <reference field="4" count="1" selected="0">
            <x v="1492"/>
          </reference>
          <reference field="11" count="1" selected="0">
            <x v="11"/>
          </reference>
          <reference field="14" count="1" selected="0">
            <x v="277"/>
          </reference>
          <reference field="21" count="1" selected="0">
            <x v="22"/>
          </reference>
          <reference field="22" count="1">
            <x v="2"/>
          </reference>
        </references>
      </pivotArea>
    </format>
    <format dxfId="1836">
      <pivotArea dataOnly="0" labelOnly="1" outline="0" fieldPosition="0">
        <references count="6">
          <reference field="3" count="1" selected="0">
            <x v="535"/>
          </reference>
          <reference field="4" count="1" selected="0">
            <x v="553"/>
          </reference>
          <reference field="11" count="1" selected="0">
            <x v="12"/>
          </reference>
          <reference field="14" count="1" selected="0">
            <x v="689"/>
          </reference>
          <reference field="21" count="1" selected="0">
            <x v="23"/>
          </reference>
          <reference field="22" count="1">
            <x v="3"/>
          </reference>
        </references>
      </pivotArea>
    </format>
    <format dxfId="1835">
      <pivotArea dataOnly="0" labelOnly="1" outline="0" fieldPosition="0">
        <references count="6">
          <reference field="3" count="1" selected="0">
            <x v="587"/>
          </reference>
          <reference field="4" count="1" selected="0">
            <x v="5225"/>
          </reference>
          <reference field="11" count="1" selected="0">
            <x v="11"/>
          </reference>
          <reference field="14" count="1" selected="0">
            <x v="450"/>
          </reference>
          <reference field="21" count="1" selected="0">
            <x v="24"/>
          </reference>
          <reference field="22" count="1">
            <x v="3"/>
          </reference>
        </references>
      </pivotArea>
    </format>
    <format dxfId="1834">
      <pivotArea dataOnly="0" labelOnly="1" outline="0" fieldPosition="0">
        <references count="6">
          <reference field="3" count="1" selected="0">
            <x v="599"/>
          </reference>
          <reference field="4" count="1" selected="0">
            <x v="7760"/>
          </reference>
          <reference field="11" count="1" selected="0">
            <x v="12"/>
          </reference>
          <reference field="14" count="1" selected="0">
            <x v="916"/>
          </reference>
          <reference field="21" count="1" selected="0">
            <x v="22"/>
          </reference>
          <reference field="22" count="1">
            <x v="2"/>
          </reference>
        </references>
      </pivotArea>
    </format>
    <format dxfId="1833">
      <pivotArea dataOnly="0" labelOnly="1" outline="0" fieldPosition="0">
        <references count="6">
          <reference field="3" count="1" selected="0">
            <x v="625"/>
          </reference>
          <reference field="4" count="1" selected="0">
            <x v="5737"/>
          </reference>
          <reference field="11" count="1" selected="0">
            <x v="12"/>
          </reference>
          <reference field="14" count="1" selected="0">
            <x v="852"/>
          </reference>
          <reference field="21" count="1" selected="0">
            <x v="25"/>
          </reference>
          <reference field="22" count="1">
            <x v="3"/>
          </reference>
        </references>
      </pivotArea>
    </format>
    <format dxfId="1832">
      <pivotArea dataOnly="0" labelOnly="1" outline="0" fieldPosition="0">
        <references count="6">
          <reference field="3" count="1" selected="0">
            <x v="997"/>
          </reference>
          <reference field="4" count="1" selected="0">
            <x v="1759"/>
          </reference>
          <reference field="11" count="1" selected="0">
            <x v="12"/>
          </reference>
          <reference field="14" count="1" selected="0">
            <x v="867"/>
          </reference>
          <reference field="21" count="1" selected="0">
            <x v="13"/>
          </reference>
          <reference field="22" count="1">
            <x v="1"/>
          </reference>
        </references>
      </pivotArea>
    </format>
    <format dxfId="1831">
      <pivotArea dataOnly="0" labelOnly="1" outline="0" fieldPosition="0">
        <references count="6">
          <reference field="3" count="1" selected="0">
            <x v="1003"/>
          </reference>
          <reference field="4" count="1" selected="0">
            <x v="961"/>
          </reference>
          <reference field="11" count="1" selected="0">
            <x v="12"/>
          </reference>
          <reference field="14" count="1" selected="0">
            <x v="899"/>
          </reference>
          <reference field="21" count="1" selected="0">
            <x v="14"/>
          </reference>
          <reference field="22" count="1">
            <x v="2"/>
          </reference>
        </references>
      </pivotArea>
    </format>
    <format dxfId="1830">
      <pivotArea dataOnly="0" labelOnly="1" outline="0" fieldPosition="0">
        <references count="6">
          <reference field="3" count="1" selected="0">
            <x v="1020"/>
          </reference>
          <reference field="4" count="1" selected="0">
            <x v="7538"/>
          </reference>
          <reference field="11" count="1" selected="0">
            <x v="12"/>
          </reference>
          <reference field="14" count="1" selected="0">
            <x v="457"/>
          </reference>
          <reference field="21" count="1" selected="0">
            <x v="13"/>
          </reference>
          <reference field="22" count="1">
            <x v="1"/>
          </reference>
        </references>
      </pivotArea>
    </format>
    <format dxfId="1829">
      <pivotArea dataOnly="0" labelOnly="1" outline="0" fieldPosition="0">
        <references count="6">
          <reference field="3" count="1" selected="0">
            <x v="1040"/>
          </reference>
          <reference field="4" count="1" selected="0">
            <x v="868"/>
          </reference>
          <reference field="11" count="1" selected="0">
            <x v="12"/>
          </reference>
          <reference field="14" count="1" selected="0">
            <x v="137"/>
          </reference>
          <reference field="21" count="1" selected="0">
            <x v="15"/>
          </reference>
          <reference field="22" count="1">
            <x v="2"/>
          </reference>
        </references>
      </pivotArea>
    </format>
    <format dxfId="1828">
      <pivotArea dataOnly="0" labelOnly="1" outline="0" fieldPosition="0">
        <references count="6">
          <reference field="3" count="1" selected="0">
            <x v="1069"/>
          </reference>
          <reference field="4" count="1" selected="0">
            <x v="3787"/>
          </reference>
          <reference field="11" count="1" selected="0">
            <x v="11"/>
          </reference>
          <reference field="14" count="1" selected="0">
            <x v="635"/>
          </reference>
          <reference field="21" count="1" selected="0">
            <x v="12"/>
          </reference>
          <reference field="22" count="1">
            <x v="1"/>
          </reference>
        </references>
      </pivotArea>
    </format>
    <format dxfId="1827">
      <pivotArea dataOnly="0" labelOnly="1" outline="0" fieldPosition="0">
        <references count="6">
          <reference field="3" count="1" selected="0">
            <x v="1129"/>
          </reference>
          <reference field="4" count="1" selected="0">
            <x v="1803"/>
          </reference>
          <reference field="11" count="1" selected="0">
            <x v="12"/>
          </reference>
          <reference field="14" count="1" selected="0">
            <x v="895"/>
          </reference>
          <reference field="21" count="1" selected="0">
            <x v="17"/>
          </reference>
          <reference field="22" count="1">
            <x v="2"/>
          </reference>
        </references>
      </pivotArea>
    </format>
    <format dxfId="1826">
      <pivotArea dataOnly="0" labelOnly="1" outline="0" fieldPosition="0">
        <references count="6">
          <reference field="3" count="1" selected="0">
            <x v="1141"/>
          </reference>
          <reference field="4" count="1" selected="0">
            <x v="962"/>
          </reference>
          <reference field="11" count="1" selected="0">
            <x v="12"/>
          </reference>
          <reference field="14" count="1" selected="0">
            <x v="902"/>
          </reference>
          <reference field="21" count="1" selected="0">
            <x v="12"/>
          </reference>
          <reference field="22" count="1">
            <x v="1"/>
          </reference>
        </references>
      </pivotArea>
    </format>
    <format dxfId="1825">
      <pivotArea dataOnly="0" labelOnly="1" outline="0" fieldPosition="0">
        <references count="6">
          <reference field="3" count="1" selected="0">
            <x v="1196"/>
          </reference>
          <reference field="4" count="1" selected="0">
            <x v="3719"/>
          </reference>
          <reference field="11" count="1" selected="0">
            <x v="11"/>
          </reference>
          <reference field="14" count="1" selected="0">
            <x v="875"/>
          </reference>
          <reference field="21" count="1" selected="0">
            <x v="3"/>
          </reference>
          <reference field="22" count="1">
            <x v="0"/>
          </reference>
        </references>
      </pivotArea>
    </format>
    <format dxfId="1824">
      <pivotArea dataOnly="0" labelOnly="1" outline="0" fieldPosition="0">
        <references count="6">
          <reference field="3" count="1" selected="0">
            <x v="1198"/>
          </reference>
          <reference field="4" count="1" selected="0">
            <x v="143"/>
          </reference>
          <reference field="11" count="1" selected="0">
            <x v="12"/>
          </reference>
          <reference field="14" count="1" selected="0">
            <x v="547"/>
          </reference>
          <reference field="21" count="1" selected="0">
            <x v="14"/>
          </reference>
          <reference field="22" count="1">
            <x v="2"/>
          </reference>
        </references>
      </pivotArea>
    </format>
    <format dxfId="1823">
      <pivotArea dataOnly="0" labelOnly="1" outline="0" fieldPosition="0">
        <references count="6">
          <reference field="3" count="1" selected="0">
            <x v="1204"/>
          </reference>
          <reference field="4" count="1" selected="0">
            <x v="2183"/>
          </reference>
          <reference field="11" count="1" selected="0">
            <x v="12"/>
          </reference>
          <reference field="14" count="1" selected="0">
            <x v="759"/>
          </reference>
          <reference field="21" count="1" selected="0">
            <x v="3"/>
          </reference>
          <reference field="22" count="1">
            <x v="0"/>
          </reference>
        </references>
      </pivotArea>
    </format>
    <format dxfId="1822">
      <pivotArea dataOnly="0" labelOnly="1" outline="0" fieldPosition="0">
        <references count="6">
          <reference field="3" count="1" selected="0">
            <x v="1210"/>
          </reference>
          <reference field="4" count="1" selected="0">
            <x v="4917"/>
          </reference>
          <reference field="11" count="1" selected="0">
            <x v="12"/>
          </reference>
          <reference field="14" count="1" selected="0">
            <x v="554"/>
          </reference>
          <reference field="21" count="1" selected="0">
            <x v="6"/>
          </reference>
          <reference field="22" count="1">
            <x v="1"/>
          </reference>
        </references>
      </pivotArea>
    </format>
    <format dxfId="1821">
      <pivotArea dataOnly="0" labelOnly="1" outline="0" fieldPosition="0">
        <references count="6">
          <reference field="3" count="1" selected="0">
            <x v="1222"/>
          </reference>
          <reference field="4" count="1" selected="0">
            <x v="2602"/>
          </reference>
          <reference field="11" count="1" selected="0">
            <x v="12"/>
          </reference>
          <reference field="14" count="1" selected="0">
            <x v="605"/>
          </reference>
          <reference field="21" count="1" selected="0">
            <x v="4"/>
          </reference>
          <reference field="22" count="1">
            <x v="0"/>
          </reference>
        </references>
      </pivotArea>
    </format>
    <format dxfId="1820">
      <pivotArea dataOnly="0" labelOnly="1" outline="0" fieldPosition="0">
        <references count="6">
          <reference field="3" count="1" selected="0">
            <x v="1226"/>
          </reference>
          <reference field="4" count="1" selected="0">
            <x v="3567"/>
          </reference>
          <reference field="11" count="1" selected="0">
            <x v="12"/>
          </reference>
          <reference field="14" count="1" selected="0">
            <x v="480"/>
          </reference>
          <reference field="21" count="1" selected="0">
            <x v="8"/>
          </reference>
          <reference field="22" count="1">
            <x v="1"/>
          </reference>
        </references>
      </pivotArea>
    </format>
    <format dxfId="1819">
      <pivotArea dataOnly="0" labelOnly="1" outline="0" fieldPosition="0">
        <references count="6">
          <reference field="3" count="1" selected="0">
            <x v="1262"/>
          </reference>
          <reference field="4" count="1" selected="0">
            <x v="6041"/>
          </reference>
          <reference field="11" count="1" selected="0">
            <x v="12"/>
          </reference>
          <reference field="14" count="1" selected="0">
            <x v="876"/>
          </reference>
          <reference field="21" count="1" selected="0">
            <x v="4"/>
          </reference>
          <reference field="22" count="1">
            <x v="0"/>
          </reference>
        </references>
      </pivotArea>
    </format>
    <format dxfId="1818">
      <pivotArea dataOnly="0" labelOnly="1" outline="0" fieldPosition="0">
        <references count="6">
          <reference field="3" count="1" selected="0">
            <x v="1285"/>
          </reference>
          <reference field="4" count="1" selected="0">
            <x v="4354"/>
          </reference>
          <reference field="11" count="1" selected="0">
            <x v="12"/>
          </reference>
          <reference field="14" count="1" selected="0">
            <x v="780"/>
          </reference>
          <reference field="21" count="1" selected="0">
            <x v="10"/>
          </reference>
          <reference field="22" count="1">
            <x v="1"/>
          </reference>
        </references>
      </pivotArea>
    </format>
    <format dxfId="1817">
      <pivotArea dataOnly="0" labelOnly="1" outline="0" fieldPosition="0">
        <references count="6">
          <reference field="3" count="1" selected="0">
            <x v="1343"/>
          </reference>
          <reference field="4" count="1" selected="0">
            <x v="4224"/>
          </reference>
          <reference field="11" count="1" selected="0">
            <x v="12"/>
          </reference>
          <reference field="14" count="1" selected="0">
            <x v="745"/>
          </reference>
          <reference field="21" count="1" selected="0">
            <x v="5"/>
          </reference>
          <reference field="22" count="1">
            <x v="0"/>
          </reference>
        </references>
      </pivotArea>
    </format>
    <format dxfId="1816">
      <pivotArea dataOnly="0" labelOnly="1" outline="0" fieldPosition="0">
        <references count="6">
          <reference field="3" count="1" selected="0">
            <x v="1353"/>
          </reference>
          <reference field="4" count="1" selected="0">
            <x v="7033"/>
          </reference>
          <reference field="11" count="1" selected="0">
            <x v="12"/>
          </reference>
          <reference field="14" count="1" selected="0">
            <x v="474"/>
          </reference>
          <reference field="21" count="1" selected="0">
            <x v="8"/>
          </reference>
          <reference field="22" count="1">
            <x v="1"/>
          </reference>
        </references>
      </pivotArea>
    </format>
    <format dxfId="1815">
      <pivotArea dataOnly="0" labelOnly="1" outline="0" fieldPosition="0">
        <references count="6">
          <reference field="3" count="1" selected="0">
            <x v="1383"/>
          </reference>
          <reference field="4" count="1" selected="0">
            <x v="3868"/>
          </reference>
          <reference field="11" count="1" selected="0">
            <x v="12"/>
          </reference>
          <reference field="14" count="1" selected="0">
            <x v="803"/>
          </reference>
          <reference field="21" count="1" selected="0">
            <x v="4"/>
          </reference>
          <reference field="22" count="1">
            <x v="0"/>
          </reference>
        </references>
      </pivotArea>
    </format>
    <format dxfId="1814">
      <pivotArea dataOnly="0" labelOnly="1" outline="0" fieldPosition="0">
        <references count="6">
          <reference field="3" count="1" selected="0">
            <x v="1415"/>
          </reference>
          <reference field="4" count="1" selected="0">
            <x v="65"/>
          </reference>
          <reference field="11" count="1" selected="0">
            <x v="12"/>
          </reference>
          <reference field="14" count="1" selected="0">
            <x v="899"/>
          </reference>
          <reference field="21" count="1" selected="0">
            <x v="11"/>
          </reference>
          <reference field="22" count="1">
            <x v="1"/>
          </reference>
        </references>
      </pivotArea>
    </format>
    <format dxfId="1813">
      <pivotArea dataOnly="0" labelOnly="1" outline="0" fieldPosition="0">
        <references count="6">
          <reference field="3" count="1" selected="0">
            <x v="1427"/>
          </reference>
          <reference field="4" count="1" selected="0">
            <x v="7919"/>
          </reference>
          <reference field="11" count="1" selected="0">
            <x v="12"/>
          </reference>
          <reference field="14" count="1" selected="0">
            <x v="829"/>
          </reference>
          <reference field="21" count="1" selected="0">
            <x v="6"/>
          </reference>
          <reference field="22" count="1">
            <x v="1"/>
          </reference>
        </references>
      </pivotArea>
    </format>
    <format dxfId="1812">
      <pivotArea dataOnly="0" labelOnly="1" outline="0" fieldPosition="0">
        <references count="6">
          <reference field="3" count="1" selected="0">
            <x v="1511"/>
          </reference>
          <reference field="4" count="1" selected="0">
            <x v="3546"/>
          </reference>
          <reference field="11" count="1" selected="0">
            <x v="12"/>
          </reference>
          <reference field="14" count="1" selected="0">
            <x v="537"/>
          </reference>
          <reference field="21" count="1" selected="0">
            <x v="3"/>
          </reference>
          <reference field="22" count="1">
            <x v="0"/>
          </reference>
        </references>
      </pivotArea>
    </format>
    <format dxfId="1811">
      <pivotArea dataOnly="0" labelOnly="1" outline="0" fieldPosition="0">
        <references count="6">
          <reference field="3" count="1" selected="0">
            <x v="1512"/>
          </reference>
          <reference field="4" count="1" selected="0">
            <x v="6736"/>
          </reference>
          <reference field="11" count="1" selected="0">
            <x v="12"/>
          </reference>
          <reference field="14" count="1" selected="0">
            <x v="529"/>
          </reference>
          <reference field="21" count="1" selected="0">
            <x v="9"/>
          </reference>
          <reference field="22" count="1">
            <x v="1"/>
          </reference>
        </references>
      </pivotArea>
    </format>
    <format dxfId="1810">
      <pivotArea dataOnly="0" labelOnly="1" outline="0" fieldPosition="0">
        <references count="6">
          <reference field="3" count="1" selected="0">
            <x v="1564"/>
          </reference>
          <reference field="4" count="1" selected="0">
            <x v="5654"/>
          </reference>
          <reference field="11" count="1" selected="0">
            <x v="12"/>
          </reference>
          <reference field="14" count="1" selected="0">
            <x v="855"/>
          </reference>
          <reference field="21" count="1" selected="0">
            <x v="4"/>
          </reference>
          <reference field="22" count="1">
            <x v="0"/>
          </reference>
        </references>
      </pivotArea>
    </format>
    <format dxfId="1809">
      <pivotArea dataOnly="0" labelOnly="1" outline="0" fieldPosition="0">
        <references count="6">
          <reference field="3" count="1" selected="0">
            <x v="1619"/>
          </reference>
          <reference field="4" count="1" selected="0">
            <x v="669"/>
          </reference>
          <reference field="11" count="1" selected="0">
            <x v="12"/>
          </reference>
          <reference field="14" count="1" selected="0">
            <x v="872"/>
          </reference>
          <reference field="21" count="1" selected="0">
            <x v="8"/>
          </reference>
          <reference field="22" count="1">
            <x v="1"/>
          </reference>
        </references>
      </pivotArea>
    </format>
    <format dxfId="1808">
      <pivotArea dataOnly="0" labelOnly="1" outline="0" fieldPosition="0">
        <references count="6">
          <reference field="3" count="1" selected="0">
            <x v="1712"/>
          </reference>
          <reference field="4" count="1" selected="0">
            <x v="5408"/>
          </reference>
          <reference field="11" count="1" selected="0">
            <x v="12"/>
          </reference>
          <reference field="14" count="1" selected="0">
            <x v="346"/>
          </reference>
          <reference field="21" count="1" selected="0">
            <x v="33"/>
          </reference>
          <reference field="22" count="1">
            <x v="4"/>
          </reference>
        </references>
      </pivotArea>
    </format>
    <format dxfId="1807">
      <pivotArea dataOnly="0" labelOnly="1" outline="0" fieldPosition="0">
        <references count="6">
          <reference field="3" count="1" selected="0">
            <x v="1715"/>
          </reference>
          <reference field="4" count="1" selected="0">
            <x v="1667"/>
          </reference>
          <reference field="11" count="1" selected="0">
            <x v="11"/>
          </reference>
          <reference field="14" count="1" selected="0">
            <x v="276"/>
          </reference>
          <reference field="21" count="1" selected="0">
            <x v="29"/>
          </reference>
          <reference field="22" count="1">
            <x v="3"/>
          </reference>
        </references>
      </pivotArea>
    </format>
    <format dxfId="1806">
      <pivotArea dataOnly="0" labelOnly="1" outline="0" fieldPosition="0">
        <references count="6">
          <reference field="3" count="1" selected="0">
            <x v="1717"/>
          </reference>
          <reference field="4" count="1" selected="0">
            <x v="7778"/>
          </reference>
          <reference field="11" count="1" selected="0">
            <x v="12"/>
          </reference>
          <reference field="14" count="1" selected="0">
            <x v="144"/>
          </reference>
          <reference field="21" count="1" selected="0">
            <x v="8"/>
          </reference>
          <reference field="22" count="1">
            <x v="1"/>
          </reference>
        </references>
      </pivotArea>
    </format>
    <format dxfId="1805">
      <pivotArea dataOnly="0" labelOnly="1" outline="0" fieldPosition="0">
        <references count="6">
          <reference field="3" count="1" selected="0">
            <x v="1746"/>
          </reference>
          <reference field="4" count="1" selected="0">
            <x v="274"/>
          </reference>
          <reference field="11" count="1" selected="0">
            <x v="11"/>
          </reference>
          <reference field="14" count="1" selected="0">
            <x v="429"/>
          </reference>
          <reference field="21" count="1" selected="0">
            <x v="31"/>
          </reference>
          <reference field="22" count="1">
            <x v="3"/>
          </reference>
        </references>
      </pivotArea>
    </format>
    <format dxfId="1804">
      <pivotArea dataOnly="0" labelOnly="1" outline="0" fieldPosition="0">
        <references count="6">
          <reference field="3" count="1" selected="0">
            <x v="1758"/>
          </reference>
          <reference field="4" count="1" selected="0">
            <x v="982"/>
          </reference>
          <reference field="11" count="1" selected="0">
            <x v="12"/>
          </reference>
          <reference field="14" count="1" selected="0">
            <x v="906"/>
          </reference>
          <reference field="21" count="1" selected="0">
            <x v="13"/>
          </reference>
          <reference field="22" count="1">
            <x v="1"/>
          </reference>
        </references>
      </pivotArea>
    </format>
    <format dxfId="1803">
      <pivotArea dataOnly="0" labelOnly="1" outline="0" fieldPosition="0">
        <references count="6">
          <reference field="3" count="1" selected="0">
            <x v="1761"/>
          </reference>
          <reference field="4" count="1" selected="0">
            <x v="737"/>
          </reference>
          <reference field="11" count="1" selected="0">
            <x v="12"/>
          </reference>
          <reference field="14" count="1" selected="0">
            <x v="293"/>
          </reference>
          <reference field="21" count="1" selected="0">
            <x v="17"/>
          </reference>
          <reference field="22" count="1">
            <x v="2"/>
          </reference>
        </references>
      </pivotArea>
    </format>
    <format dxfId="1802">
      <pivotArea dataOnly="0" labelOnly="1" outline="0" fieldPosition="0">
        <references count="6">
          <reference field="3" count="1" selected="0">
            <x v="1771"/>
          </reference>
          <reference field="4" count="1" selected="0">
            <x v="5981"/>
          </reference>
          <reference field="11" count="1" selected="0">
            <x v="12"/>
          </reference>
          <reference field="14" count="1" selected="0">
            <x v="819"/>
          </reference>
          <reference field="21" count="1" selected="0">
            <x v="5"/>
          </reference>
          <reference field="22" count="1">
            <x v="0"/>
          </reference>
        </references>
      </pivotArea>
    </format>
    <format dxfId="1801">
      <pivotArea dataOnly="0" labelOnly="1" outline="0" fieldPosition="0">
        <references count="6">
          <reference field="3" count="1" selected="0">
            <x v="1789"/>
          </reference>
          <reference field="4" count="1" selected="0">
            <x v="7567"/>
          </reference>
          <reference field="11" count="1" selected="0">
            <x v="12"/>
          </reference>
          <reference field="14" count="1" selected="0">
            <x v="472"/>
          </reference>
          <reference field="21" count="1" selected="0">
            <x v="10"/>
          </reference>
          <reference field="22" count="1">
            <x v="1"/>
          </reference>
        </references>
      </pivotArea>
    </format>
    <format dxfId="1800">
      <pivotArea dataOnly="0" labelOnly="1" outline="0" fieldPosition="0">
        <references count="6">
          <reference field="3" count="1" selected="0">
            <x v="1804"/>
          </reference>
          <reference field="4" count="1" selected="0">
            <x v="1335"/>
          </reference>
          <reference field="11" count="1" selected="0">
            <x v="12"/>
          </reference>
          <reference field="14" count="1" selected="0">
            <x v="802"/>
          </reference>
          <reference field="21" count="1" selected="0">
            <x v="21"/>
          </reference>
          <reference field="22" count="1">
            <x v="2"/>
          </reference>
        </references>
      </pivotArea>
    </format>
    <format dxfId="1799">
      <pivotArea dataOnly="0" labelOnly="1" outline="0" fieldPosition="0">
        <references count="6">
          <reference field="3" count="1" selected="0">
            <x v="1827"/>
          </reference>
          <reference field="4" count="1" selected="0">
            <x v="4858"/>
          </reference>
          <reference field="11" count="1" selected="0">
            <x v="11"/>
          </reference>
          <reference field="14" count="1" selected="0">
            <x v="926"/>
          </reference>
          <reference field="21" count="1" selected="0">
            <x v="16"/>
          </reference>
          <reference field="22" count="1">
            <x v="2"/>
          </reference>
        </references>
      </pivotArea>
    </format>
    <format dxfId="1798">
      <pivotArea dataOnly="0" labelOnly="1" outline="0" fieldPosition="0">
        <references count="6">
          <reference field="3" count="1" selected="0">
            <x v="1851"/>
          </reference>
          <reference field="4" count="1" selected="0">
            <x v="6138"/>
          </reference>
          <reference field="11" count="1" selected="0">
            <x v="12"/>
          </reference>
          <reference field="14" count="1" selected="0">
            <x v="921"/>
          </reference>
          <reference field="21" count="1" selected="0">
            <x v="17"/>
          </reference>
          <reference field="22" count="1">
            <x v="2"/>
          </reference>
        </references>
      </pivotArea>
    </format>
    <format dxfId="1797">
      <pivotArea dataOnly="0" labelOnly="1" outline="0" fieldPosition="0">
        <references count="6">
          <reference field="3" count="1" selected="0">
            <x v="1853"/>
          </reference>
          <reference field="4" count="1" selected="0">
            <x v="6418"/>
          </reference>
          <reference field="11" count="1" selected="0">
            <x v="12"/>
          </reference>
          <reference field="14" count="1" selected="0">
            <x v="928"/>
          </reference>
          <reference field="21" count="1" selected="0">
            <x v="3"/>
          </reference>
          <reference field="22" count="1">
            <x v="0"/>
          </reference>
        </references>
      </pivotArea>
    </format>
    <format dxfId="1796">
      <pivotArea dataOnly="0" labelOnly="1" outline="0" fieldPosition="0">
        <references count="6">
          <reference field="3" count="1" selected="0">
            <x v="1894"/>
          </reference>
          <reference field="4" count="1" selected="0">
            <x v="5722"/>
          </reference>
          <reference field="11" count="1" selected="0">
            <x v="12"/>
          </reference>
          <reference field="14" count="1" selected="0">
            <x v="919"/>
          </reference>
          <reference field="21" count="1" selected="0">
            <x v="12"/>
          </reference>
          <reference field="22" count="1">
            <x v="1"/>
          </reference>
        </references>
      </pivotArea>
    </format>
    <format dxfId="1795">
      <pivotArea dataOnly="0" labelOnly="1" outline="0" fieldPosition="0">
        <references count="6">
          <reference field="3" count="1" selected="0">
            <x v="1903"/>
          </reference>
          <reference field="4" count="1" selected="0">
            <x v="3454"/>
          </reference>
          <reference field="11" count="1" selected="0">
            <x v="12"/>
          </reference>
          <reference field="14" count="1" selected="0">
            <x v="927"/>
          </reference>
          <reference field="21" count="1" selected="0">
            <x v="8"/>
          </reference>
          <reference field="22" count="1">
            <x v="1"/>
          </reference>
        </references>
      </pivotArea>
    </format>
    <format dxfId="1794">
      <pivotArea dataOnly="0" labelOnly="1" outline="0" fieldPosition="0">
        <references count="6">
          <reference field="3" count="1" selected="0">
            <x v="1905"/>
          </reference>
          <reference field="4" count="1" selected="0">
            <x v="5342"/>
          </reference>
          <reference field="11" count="1" selected="0">
            <x v="12"/>
          </reference>
          <reference field="14" count="1" selected="0">
            <x v="898"/>
          </reference>
          <reference field="21" count="1" selected="0">
            <x v="5"/>
          </reference>
          <reference field="22" count="1">
            <x v="0"/>
          </reference>
        </references>
      </pivotArea>
    </format>
    <format dxfId="1793">
      <pivotArea dataOnly="0" labelOnly="1" outline="0" fieldPosition="0">
        <references count="6">
          <reference field="3" count="1" selected="0">
            <x v="1906"/>
          </reference>
          <reference field="4" count="1" selected="0">
            <x v="6949"/>
          </reference>
          <reference field="11" count="1" selected="0">
            <x v="12"/>
          </reference>
          <reference field="14" count="1" selected="0">
            <x v="923"/>
          </reference>
          <reference field="21" count="1" selected="0">
            <x v="30"/>
          </reference>
          <reference field="22" count="1">
            <x v="3"/>
          </reference>
        </references>
      </pivotArea>
    </format>
    <format dxfId="1792">
      <pivotArea dataOnly="0" labelOnly="1" outline="0" fieldPosition="0">
        <references count="6">
          <reference field="3" count="1" selected="0">
            <x v="1911"/>
          </reference>
          <reference field="4" count="1" selected="0">
            <x v="6382"/>
          </reference>
          <reference field="11" count="1" selected="0">
            <x v="12"/>
          </reference>
          <reference field="14" count="1" selected="0">
            <x v="882"/>
          </reference>
          <reference field="21" count="1" selected="0">
            <x v="11"/>
          </reference>
          <reference field="22" count="1">
            <x v="1"/>
          </reference>
        </references>
      </pivotArea>
    </format>
    <format dxfId="1791">
      <pivotArea dataOnly="0" labelOnly="1" outline="0" fieldPosition="0">
        <references count="6">
          <reference field="3" count="1" selected="0">
            <x v="1917"/>
          </reference>
          <reference field="4" count="1" selected="0">
            <x v="2228"/>
          </reference>
          <reference field="11" count="1" selected="0">
            <x v="12"/>
          </reference>
          <reference field="14" count="1" selected="0">
            <x v="930"/>
          </reference>
          <reference field="21" count="1" selected="0">
            <x v="34"/>
          </reference>
          <reference field="22" count="1">
            <x v="4"/>
          </reference>
        </references>
      </pivotArea>
    </format>
    <format dxfId="1790">
      <pivotArea dataOnly="0" labelOnly="1" outline="0" fieldPosition="0">
        <references count="6">
          <reference field="3" count="1" selected="0">
            <x v="1918"/>
          </reference>
          <reference field="4" count="1" selected="0">
            <x v="3911"/>
          </reference>
          <reference field="11" count="1" selected="0">
            <x v="12"/>
          </reference>
          <reference field="14" count="1" selected="0">
            <x v="930"/>
          </reference>
          <reference field="21" count="1" selected="0">
            <x v="24"/>
          </reference>
          <reference field="22" count="1">
            <x v="3"/>
          </reference>
        </references>
      </pivotArea>
    </format>
    <format dxfId="1789">
      <pivotArea dataOnly="0" labelOnly="1" outline="0" fieldPosition="0">
        <references count="6">
          <reference field="3" count="1" selected="0">
            <x v="1950"/>
          </reference>
          <reference field="4" count="1" selected="0">
            <x v="3421"/>
          </reference>
          <reference field="11" count="1" selected="0">
            <x v="12"/>
          </reference>
          <reference field="14" count="1" selected="0">
            <x v="938"/>
          </reference>
          <reference field="21" count="1" selected="0">
            <x v="0"/>
          </reference>
          <reference field="22" count="1">
            <x v="0"/>
          </reference>
        </references>
      </pivotArea>
    </format>
    <format dxfId="1788">
      <pivotArea dataOnly="0" labelOnly="1" outline="0" fieldPosition="0">
        <references count="6">
          <reference field="3" count="1" selected="0">
            <x v="1964"/>
          </reference>
          <reference field="4" count="1" selected="0">
            <x v="4436"/>
          </reference>
          <reference field="11" count="1" selected="0">
            <x v="12"/>
          </reference>
          <reference field="14" count="1" selected="0">
            <x v="947"/>
          </reference>
          <reference field="21" count="1" selected="0">
            <x v="17"/>
          </reference>
          <reference field="22" count="1">
            <x v="2"/>
          </reference>
        </references>
      </pivotArea>
    </format>
    <format dxfId="1787">
      <pivotArea dataOnly="0" labelOnly="1" outline="0" fieldPosition="0">
        <references count="6">
          <reference field="3" count="1" selected="0">
            <x v="2040"/>
          </reference>
          <reference field="4" count="1" selected="0">
            <x v="814"/>
          </reference>
          <reference field="11" count="1" selected="0">
            <x v="12"/>
          </reference>
          <reference field="14" count="1" selected="0">
            <x v="853"/>
          </reference>
          <reference field="21" count="1" selected="0">
            <x v="6"/>
          </reference>
          <reference field="22" count="1">
            <x v="1"/>
          </reference>
        </references>
      </pivotArea>
    </format>
    <format dxfId="1786">
      <pivotArea dataOnly="0" labelOnly="1" outline="0" fieldPosition="0">
        <references count="6">
          <reference field="3" count="1" selected="0">
            <x v="2049"/>
          </reference>
          <reference field="4" count="1" selected="0">
            <x v="5797"/>
          </reference>
          <reference field="11" count="1" selected="0">
            <x v="12"/>
          </reference>
          <reference field="14" count="1" selected="0">
            <x v="906"/>
          </reference>
          <reference field="21" count="1" selected="0">
            <x v="13"/>
          </reference>
          <reference field="22" count="1">
            <x v="1"/>
          </reference>
        </references>
      </pivotArea>
    </format>
    <format dxfId="1785">
      <pivotArea dataOnly="0" labelOnly="1" outline="0" fieldPosition="0">
        <references count="6">
          <reference field="3" count="1" selected="0">
            <x v="2089"/>
          </reference>
          <reference field="4" count="1" selected="0">
            <x v="1064"/>
          </reference>
          <reference field="11" count="1" selected="0">
            <x v="12"/>
          </reference>
          <reference field="14" count="1" selected="0">
            <x v="959"/>
          </reference>
          <reference field="21" count="1" selected="0">
            <x v="21"/>
          </reference>
          <reference field="22" count="1">
            <x v="2"/>
          </reference>
        </references>
      </pivotArea>
    </format>
    <format dxfId="1784">
      <pivotArea dataOnly="0" labelOnly="1" outline="0" fieldPosition="0">
        <references count="6">
          <reference field="3" count="1" selected="0">
            <x v="2097"/>
          </reference>
          <reference field="4" count="1" selected="0">
            <x v="1103"/>
          </reference>
          <reference field="11" count="1" selected="0">
            <x v="12"/>
          </reference>
          <reference field="14" count="1" selected="0">
            <x v="947"/>
          </reference>
          <reference field="21" count="1" selected="0">
            <x v="25"/>
          </reference>
          <reference field="22" count="1">
            <x v="3"/>
          </reference>
        </references>
      </pivotArea>
    </format>
    <format dxfId="1783">
      <pivotArea dataOnly="0" labelOnly="1" outline="0" fieldPosition="0">
        <references count="6">
          <reference field="3" count="1" selected="0">
            <x v="2105"/>
          </reference>
          <reference field="4" count="1" selected="0">
            <x v="2516"/>
          </reference>
          <reference field="11" count="1" selected="0">
            <x v="12"/>
          </reference>
          <reference field="14" count="1" selected="0">
            <x v="965"/>
          </reference>
          <reference field="21" count="1" selected="0">
            <x v="7"/>
          </reference>
          <reference field="22" count="1">
            <x v="1"/>
          </reference>
        </references>
      </pivotArea>
    </format>
    <format dxfId="1782">
      <pivotArea dataOnly="0" labelOnly="1" outline="0" fieldPosition="0">
        <references count="6">
          <reference field="3" count="1" selected="0">
            <x v="2106"/>
          </reference>
          <reference field="4" count="1" selected="0">
            <x v="568"/>
          </reference>
          <reference field="11" count="1" selected="0">
            <x v="12"/>
          </reference>
          <reference field="14" count="1" selected="0">
            <x v="966"/>
          </reference>
          <reference field="21" count="1" selected="0">
            <x v="20"/>
          </reference>
          <reference field="22" count="1">
            <x v="2"/>
          </reference>
        </references>
      </pivotArea>
    </format>
    <format dxfId="1781">
      <pivotArea dataOnly="0" labelOnly="1" outline="0" fieldPosition="0">
        <references count="6">
          <reference field="3" count="1" selected="0">
            <x v="2122"/>
          </reference>
          <reference field="4" count="1" selected="0">
            <x v="2252"/>
          </reference>
          <reference field="11" count="1" selected="0">
            <x v="12"/>
          </reference>
          <reference field="14" count="1" selected="0">
            <x v="642"/>
          </reference>
          <reference field="21" count="1" selected="0">
            <x v="18"/>
          </reference>
          <reference field="22" count="1">
            <x v="2"/>
          </reference>
        </references>
      </pivotArea>
    </format>
    <format dxfId="1780">
      <pivotArea dataOnly="0" labelOnly="1" outline="0" fieldPosition="0">
        <references count="6">
          <reference field="3" count="1" selected="0">
            <x v="2197"/>
          </reference>
          <reference field="4" count="1" selected="0">
            <x v="1576"/>
          </reference>
          <reference field="11" count="1" selected="0">
            <x v="12"/>
          </reference>
          <reference field="14" count="1" selected="0">
            <x v="965"/>
          </reference>
          <reference field="21" count="1" selected="0">
            <x v="8"/>
          </reference>
          <reference field="22" count="1">
            <x v="1"/>
          </reference>
        </references>
      </pivotArea>
    </format>
    <format dxfId="1779">
      <pivotArea dataOnly="0" labelOnly="1" outline="0" fieldPosition="0">
        <references count="6">
          <reference field="3" count="1" selected="0">
            <x v="2201"/>
          </reference>
          <reference field="4" count="1" selected="0">
            <x v="7137"/>
          </reference>
          <reference field="11" count="1" selected="0">
            <x v="12"/>
          </reference>
          <reference field="14" count="1" selected="0">
            <x v="981"/>
          </reference>
          <reference field="21" count="1" selected="0">
            <x v="20"/>
          </reference>
          <reference field="22" count="1">
            <x v="2"/>
          </reference>
        </references>
      </pivotArea>
    </format>
    <format dxfId="1778">
      <pivotArea dataOnly="0" labelOnly="1" outline="0" fieldPosition="0">
        <references count="6">
          <reference field="3" count="1" selected="0">
            <x v="2222"/>
          </reference>
          <reference field="4" count="1" selected="0">
            <x v="5292"/>
          </reference>
          <reference field="11" count="1" selected="0">
            <x v="12"/>
          </reference>
          <reference field="14" count="1" selected="0">
            <x v="844"/>
          </reference>
          <reference field="21" count="1" selected="0">
            <x v="21"/>
          </reference>
          <reference field="22" count="1">
            <x v="2"/>
          </reference>
        </references>
      </pivotArea>
    </format>
    <format dxfId="1777">
      <pivotArea dataOnly="0" labelOnly="1" outline="0" fieldPosition="0">
        <references count="6">
          <reference field="3" count="1" selected="0">
            <x v="2232"/>
          </reference>
          <reference field="4" count="1" selected="0">
            <x v="3300"/>
          </reference>
          <reference field="11" count="1" selected="0">
            <x v="12"/>
          </reference>
          <reference field="14" count="1" selected="0">
            <x v="967"/>
          </reference>
          <reference field="21" count="1" selected="0">
            <x v="4"/>
          </reference>
          <reference field="22" count="1">
            <x v="0"/>
          </reference>
        </references>
      </pivotArea>
    </format>
    <format dxfId="1776">
      <pivotArea dataOnly="0" labelOnly="1" outline="0" fieldPosition="0">
        <references count="6">
          <reference field="3" count="1" selected="0">
            <x v="2234"/>
          </reference>
          <reference field="4" count="1" selected="0">
            <x v="3301"/>
          </reference>
          <reference field="11" count="1" selected="0">
            <x v="12"/>
          </reference>
          <reference field="14" count="1" selected="0">
            <x v="970"/>
          </reference>
          <reference field="21" count="1" selected="0">
            <x v="2"/>
          </reference>
          <reference field="22" count="1">
            <x v="0"/>
          </reference>
        </references>
      </pivotArea>
    </format>
    <format dxfId="1775">
      <pivotArea dataOnly="0" labelOnly="1" outline="0" fieldPosition="0">
        <references count="6">
          <reference field="3" count="1" selected="0">
            <x v="2243"/>
          </reference>
          <reference field="4" count="1" selected="0">
            <x v="7215"/>
          </reference>
          <reference field="11" count="1" selected="0">
            <x v="12"/>
          </reference>
          <reference field="14" count="1" selected="0">
            <x v="965"/>
          </reference>
          <reference field="21" count="1" selected="0">
            <x v="27"/>
          </reference>
          <reference field="22" count="1">
            <x v="3"/>
          </reference>
        </references>
      </pivotArea>
    </format>
    <format dxfId="1774">
      <pivotArea dataOnly="0" labelOnly="1" outline="0" fieldPosition="0">
        <references count="6">
          <reference field="3" count="1" selected="0">
            <x v="2251"/>
          </reference>
          <reference field="4" count="1" selected="0">
            <x v="4570"/>
          </reference>
          <reference field="11" count="1" selected="0">
            <x v="12"/>
          </reference>
          <reference field="14" count="1" selected="0">
            <x v="876"/>
          </reference>
          <reference field="21" count="1" selected="0">
            <x v="14"/>
          </reference>
          <reference field="22" count="1">
            <x v="2"/>
          </reference>
        </references>
      </pivotArea>
    </format>
    <format dxfId="1773">
      <pivotArea dataOnly="0" labelOnly="1" outline="0" fieldPosition="0">
        <references count="6">
          <reference field="3" count="1" selected="0">
            <x v="2261"/>
          </reference>
          <reference field="4" count="1" selected="0">
            <x v="6947"/>
          </reference>
          <reference field="11" count="1" selected="0">
            <x v="12"/>
          </reference>
          <reference field="14" count="1" selected="0">
            <x v="939"/>
          </reference>
          <reference field="21" count="1" selected="0">
            <x v="17"/>
          </reference>
          <reference field="22" count="1">
            <x v="2"/>
          </reference>
        </references>
      </pivotArea>
    </format>
    <format dxfId="1772">
      <pivotArea dataOnly="0" labelOnly="1" outline="0" fieldPosition="0">
        <references count="7">
          <reference field="3" count="1" selected="0">
            <x v="56"/>
          </reference>
          <reference field="4" count="1" selected="0">
            <x v="743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808"/>
          </reference>
          <reference field="21" count="1" selected="0">
            <x v="38"/>
          </reference>
          <reference field="22" count="1" selected="0">
            <x v="4"/>
          </reference>
        </references>
      </pivotArea>
    </format>
    <format dxfId="1771">
      <pivotArea dataOnly="0" labelOnly="1" outline="0" fieldPosition="0">
        <references count="7">
          <reference field="3" count="1" selected="0">
            <x v="81"/>
          </reference>
          <reference field="4" count="1" selected="0">
            <x v="7610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217"/>
          </reference>
          <reference field="21" count="1" selected="0">
            <x v="34"/>
          </reference>
          <reference field="22" count="1" selected="0">
            <x v="4"/>
          </reference>
        </references>
      </pivotArea>
    </format>
    <format dxfId="1770">
      <pivotArea dataOnly="0" labelOnly="1" outline="0" fieldPosition="0">
        <references count="7">
          <reference field="3" count="1" selected="0">
            <x v="122"/>
          </reference>
          <reference field="4" count="1" selected="0">
            <x v="5331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369"/>
          </reference>
          <reference field="21" count="1" selected="0">
            <x v="29"/>
          </reference>
          <reference field="22" count="1" selected="0">
            <x v="3"/>
          </reference>
        </references>
      </pivotArea>
    </format>
    <format dxfId="1769">
      <pivotArea dataOnly="0" labelOnly="1" outline="0" fieldPosition="0">
        <references count="7">
          <reference field="3" count="1" selected="0">
            <x v="152"/>
          </reference>
          <reference field="4" count="1" selected="0">
            <x v="4449"/>
          </reference>
          <reference field="11" count="1" selected="0">
            <x v="12"/>
          </reference>
          <reference field="12" count="1">
            <x v="0"/>
          </reference>
          <reference field="14" count="1" selected="0">
            <x v="136"/>
          </reference>
          <reference field="21" count="1" selected="0">
            <x v="27"/>
          </reference>
          <reference field="22" count="1" selected="0">
            <x v="3"/>
          </reference>
        </references>
      </pivotArea>
    </format>
    <format dxfId="1768">
      <pivotArea dataOnly="0" labelOnly="1" outline="0" fieldPosition="0">
        <references count="7">
          <reference field="3" count="1" selected="0">
            <x v="153"/>
          </reference>
          <reference field="4" count="1" selected="0">
            <x v="4205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125"/>
          </reference>
          <reference field="21" count="1" selected="0">
            <x v="41"/>
          </reference>
          <reference field="22" count="1" selected="0">
            <x v="5"/>
          </reference>
        </references>
      </pivotArea>
    </format>
    <format dxfId="1767">
      <pivotArea dataOnly="0" labelOnly="1" outline="0" fieldPosition="0">
        <references count="7">
          <reference field="3" count="1" selected="0">
            <x v="174"/>
          </reference>
          <reference field="4" count="1" selected="0">
            <x v="7069"/>
          </reference>
          <reference field="11" count="1" selected="0">
            <x v="11"/>
          </reference>
          <reference field="12" count="1">
            <x v="1"/>
          </reference>
          <reference field="14" count="1" selected="0">
            <x v="412"/>
          </reference>
          <reference field="21" count="1" selected="0">
            <x v="28"/>
          </reference>
          <reference field="22" count="1" selected="0">
            <x v="3"/>
          </reference>
        </references>
      </pivotArea>
    </format>
    <format dxfId="1766">
      <pivotArea dataOnly="0" labelOnly="1" outline="0" fieldPosition="0">
        <references count="7">
          <reference field="3" count="1" selected="0">
            <x v="189"/>
          </reference>
          <reference field="4" count="1" selected="0">
            <x v="7661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350"/>
          </reference>
          <reference field="21" count="1" selected="0">
            <x v="36"/>
          </reference>
          <reference field="22" count="1" selected="0">
            <x v="4"/>
          </reference>
        </references>
      </pivotArea>
    </format>
    <format dxfId="1765">
      <pivotArea dataOnly="0" labelOnly="1" outline="0" fieldPosition="0">
        <references count="7">
          <reference field="3" count="1" selected="0">
            <x v="199"/>
          </reference>
          <reference field="4" count="1" selected="0">
            <x v="4077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629"/>
          </reference>
          <reference field="21" count="1" selected="0">
            <x v="34"/>
          </reference>
          <reference field="22" count="1" selected="0">
            <x v="4"/>
          </reference>
        </references>
      </pivotArea>
    </format>
    <format dxfId="1764">
      <pivotArea dataOnly="0" labelOnly="1" outline="0" fieldPosition="0">
        <references count="7">
          <reference field="3" count="1" selected="0">
            <x v="204"/>
          </reference>
          <reference field="4" count="1" selected="0">
            <x v="618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851"/>
          </reference>
          <reference field="21" count="1" selected="0">
            <x v="29"/>
          </reference>
          <reference field="22" count="1" selected="0">
            <x v="3"/>
          </reference>
        </references>
      </pivotArea>
    </format>
    <format dxfId="1763">
      <pivotArea dataOnly="0" labelOnly="1" outline="0" fieldPosition="0">
        <references count="7">
          <reference field="3" count="1" selected="0">
            <x v="206"/>
          </reference>
          <reference field="4" count="1" selected="0">
            <x v="6497"/>
          </reference>
          <reference field="11" count="1" selected="0">
            <x v="12"/>
          </reference>
          <reference field="12" count="1">
            <x v="0"/>
          </reference>
          <reference field="14" count="1" selected="0">
            <x v="135"/>
          </reference>
          <reference field="21" count="1" selected="0">
            <x v="30"/>
          </reference>
          <reference field="22" count="1" selected="0">
            <x v="3"/>
          </reference>
        </references>
      </pivotArea>
    </format>
    <format dxfId="1762">
      <pivotArea dataOnly="0" labelOnly="1" outline="0" fieldPosition="0">
        <references count="7">
          <reference field="3" count="1" selected="0">
            <x v="234"/>
          </reference>
          <reference field="4" count="1" selected="0">
            <x v="231"/>
          </reference>
          <reference field="11" count="1" selected="0">
            <x v="11"/>
          </reference>
          <reference field="12" count="1">
            <x v="31"/>
          </reference>
          <reference field="14" count="1" selected="0">
            <x v="678"/>
          </reference>
          <reference field="21" count="1" selected="0">
            <x v="27"/>
          </reference>
          <reference field="22" count="1" selected="0">
            <x v="3"/>
          </reference>
        </references>
      </pivotArea>
    </format>
    <format dxfId="1761">
      <pivotArea dataOnly="0" labelOnly="1" outline="0" fieldPosition="0">
        <references count="7">
          <reference field="3" count="1" selected="0">
            <x v="251"/>
          </reference>
          <reference field="4" count="1" selected="0">
            <x v="4095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438"/>
          </reference>
          <reference field="21" count="1" selected="0">
            <x v="33"/>
          </reference>
          <reference field="22" count="1" selected="0">
            <x v="4"/>
          </reference>
        </references>
      </pivotArea>
    </format>
    <format dxfId="1760">
      <pivotArea dataOnly="0" labelOnly="1" outline="0" fieldPosition="0">
        <references count="7">
          <reference field="3" count="1" selected="0">
            <x v="253"/>
          </reference>
          <reference field="4" count="1" selected="0">
            <x v="6532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763"/>
          </reference>
          <reference field="21" count="1" selected="0">
            <x v="39"/>
          </reference>
          <reference field="22" count="1" selected="0">
            <x v="4"/>
          </reference>
        </references>
      </pivotArea>
    </format>
    <format dxfId="1759">
      <pivotArea dataOnly="0" labelOnly="1" outline="0" fieldPosition="0">
        <references count="7">
          <reference field="3" count="1" selected="0">
            <x v="269"/>
          </reference>
          <reference field="4" count="1" selected="0">
            <x v="7152"/>
          </reference>
          <reference field="11" count="1" selected="0">
            <x v="12"/>
          </reference>
          <reference field="12" count="1">
            <x v="0"/>
          </reference>
          <reference field="14" count="1" selected="0">
            <x v="338"/>
          </reference>
          <reference field="21" count="1" selected="0">
            <x v="29"/>
          </reference>
          <reference field="22" count="1" selected="0">
            <x v="3"/>
          </reference>
        </references>
      </pivotArea>
    </format>
    <format dxfId="1758">
      <pivotArea dataOnly="0" labelOnly="1" outline="0" fieldPosition="0">
        <references count="7">
          <reference field="3" count="1" selected="0">
            <x v="276"/>
          </reference>
          <reference field="4" count="1" selected="0">
            <x v="7931"/>
          </reference>
          <reference field="11" count="1" selected="0">
            <x v="11"/>
          </reference>
          <reference field="12" count="1">
            <x v="31"/>
          </reference>
          <reference field="14" count="1" selected="0">
            <x v="279"/>
          </reference>
          <reference field="21" count="1" selected="0">
            <x v="27"/>
          </reference>
          <reference field="22" count="1" selected="0">
            <x v="3"/>
          </reference>
        </references>
      </pivotArea>
    </format>
    <format dxfId="1757">
      <pivotArea dataOnly="0" labelOnly="1" outline="0" fieldPosition="0">
        <references count="7">
          <reference field="3" count="1" selected="0">
            <x v="292"/>
          </reference>
          <reference field="4" count="1" selected="0">
            <x v="2680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981"/>
          </reference>
          <reference field="21" count="1" selected="0">
            <x v="32"/>
          </reference>
          <reference field="22" count="1" selected="0">
            <x v="4"/>
          </reference>
        </references>
      </pivotArea>
    </format>
    <format dxfId="1756">
      <pivotArea dataOnly="0" labelOnly="1" outline="0" fieldPosition="0">
        <references count="7">
          <reference field="3" count="1" selected="0">
            <x v="356"/>
          </reference>
          <reference field="4" count="1" selected="0">
            <x v="4512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428"/>
          </reference>
          <reference field="21" count="1" selected="0">
            <x v="26"/>
          </reference>
          <reference field="22" count="1" selected="0">
            <x v="3"/>
          </reference>
        </references>
      </pivotArea>
    </format>
    <format dxfId="1755">
      <pivotArea dataOnly="0" labelOnly="1" outline="0" fieldPosition="0">
        <references count="7">
          <reference field="3" count="1" selected="0">
            <x v="375"/>
          </reference>
          <reference field="4" count="1" selected="0">
            <x v="5837"/>
          </reference>
          <reference field="11" count="1" selected="0">
            <x v="11"/>
          </reference>
          <reference field="12" count="1">
            <x v="1"/>
          </reference>
          <reference field="14" count="1" selected="0">
            <x v="129"/>
          </reference>
          <reference field="21" count="1" selected="0">
            <x v="25"/>
          </reference>
          <reference field="22" count="1" selected="0">
            <x v="3"/>
          </reference>
        </references>
      </pivotArea>
    </format>
    <format dxfId="1754">
      <pivotArea dataOnly="0" labelOnly="1" outline="0" fieldPosition="0">
        <references count="7">
          <reference field="3" count="1" selected="0">
            <x v="398"/>
          </reference>
          <reference field="4" count="1" selected="0">
            <x v="3374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500"/>
          </reference>
          <reference field="21" count="1" selected="0">
            <x v="24"/>
          </reference>
          <reference field="22" count="1" selected="0">
            <x v="3"/>
          </reference>
        </references>
      </pivotArea>
    </format>
    <format dxfId="1753">
      <pivotArea dataOnly="0" labelOnly="1" outline="0" fieldPosition="0">
        <references count="7">
          <reference field="3" count="1" selected="0">
            <x v="458"/>
          </reference>
          <reference field="4" count="1" selected="0">
            <x v="4334"/>
          </reference>
          <reference field="11" count="1" selected="0">
            <x v="12"/>
          </reference>
          <reference field="12" count="1">
            <x v="0"/>
          </reference>
          <reference field="14" count="1" selected="0">
            <x v="402"/>
          </reference>
          <reference field="21" count="1" selected="0">
            <x v="23"/>
          </reference>
          <reference field="22" count="1" selected="0">
            <x v="3"/>
          </reference>
        </references>
      </pivotArea>
    </format>
    <format dxfId="1752">
      <pivotArea dataOnly="0" labelOnly="1" outline="0" fieldPosition="0">
        <references count="7">
          <reference field="3" count="1" selected="0">
            <x v="460"/>
          </reference>
          <reference field="4" count="1" selected="0">
            <x v="4064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373"/>
          </reference>
          <reference field="21" count="1" selected="0">
            <x v="23"/>
          </reference>
          <reference field="22" count="1" selected="0">
            <x v="3"/>
          </reference>
        </references>
      </pivotArea>
    </format>
    <format dxfId="1751">
      <pivotArea dataOnly="0" labelOnly="1" outline="0" fieldPosition="0">
        <references count="7">
          <reference field="3" count="1" selected="0">
            <x v="480"/>
          </reference>
          <reference field="4" count="1" selected="0">
            <x v="1050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119"/>
          </reference>
          <reference field="21" count="1" selected="0">
            <x v="16"/>
          </reference>
          <reference field="22" count="1" selected="0">
            <x v="2"/>
          </reference>
        </references>
      </pivotArea>
    </format>
    <format dxfId="1750">
      <pivotArea dataOnly="0" labelOnly="1" outline="0" fieldPosition="0">
        <references count="7">
          <reference field="3" count="1" selected="0">
            <x v="481"/>
          </reference>
          <reference field="4" count="1" selected="0">
            <x v="6290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757"/>
          </reference>
          <reference field="21" count="1" selected="0">
            <x v="17"/>
          </reference>
          <reference field="22" count="1" selected="0">
            <x v="2"/>
          </reference>
        </references>
      </pivotArea>
    </format>
    <format dxfId="1749">
      <pivotArea dataOnly="0" labelOnly="1" outline="0" fieldPosition="0">
        <references count="7">
          <reference field="3" count="1" selected="0">
            <x v="535"/>
          </reference>
          <reference field="4" count="1" selected="0">
            <x v="553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689"/>
          </reference>
          <reference field="21" count="1" selected="0">
            <x v="23"/>
          </reference>
          <reference field="22" count="1" selected="0">
            <x v="3"/>
          </reference>
        </references>
      </pivotArea>
    </format>
    <format dxfId="1748">
      <pivotArea dataOnly="0" labelOnly="1" outline="0" fieldPosition="0">
        <references count="7">
          <reference field="3" count="1" selected="0">
            <x v="541"/>
          </reference>
          <reference field="4" count="1" selected="0">
            <x v="7595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189"/>
          </reference>
          <reference field="21" count="1" selected="0">
            <x v="21"/>
          </reference>
          <reference field="22" count="1" selected="0">
            <x v="2"/>
          </reference>
        </references>
      </pivotArea>
    </format>
    <format dxfId="1747">
      <pivotArea dataOnly="0" labelOnly="1" outline="0" fieldPosition="0">
        <references count="7">
          <reference field="3" count="1" selected="0">
            <x v="558"/>
          </reference>
          <reference field="4" count="1" selected="0">
            <x v="4323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854"/>
          </reference>
          <reference field="21" count="1" selected="0">
            <x v="21"/>
          </reference>
          <reference field="22" count="1" selected="0">
            <x v="2"/>
          </reference>
        </references>
      </pivotArea>
    </format>
    <format dxfId="1746">
      <pivotArea dataOnly="0" labelOnly="1" outline="0" fieldPosition="0">
        <references count="7">
          <reference field="3" count="1" selected="0">
            <x v="599"/>
          </reference>
          <reference field="4" count="1" selected="0">
            <x v="7760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916"/>
          </reference>
          <reference field="21" count="1" selected="0">
            <x v="22"/>
          </reference>
          <reference field="22" count="1" selected="0">
            <x v="2"/>
          </reference>
        </references>
      </pivotArea>
    </format>
    <format dxfId="1745">
      <pivotArea dataOnly="0" labelOnly="1" outline="0" fieldPosition="0">
        <references count="7">
          <reference field="3" count="1" selected="0">
            <x v="683"/>
          </reference>
          <reference field="4" count="1" selected="0">
            <x v="4580"/>
          </reference>
          <reference field="11" count="1" selected="0">
            <x v="12"/>
          </reference>
          <reference field="12" count="1">
            <x v="0"/>
          </reference>
          <reference field="14" count="1" selected="0">
            <x v="365"/>
          </reference>
          <reference field="21" count="1" selected="0">
            <x v="20"/>
          </reference>
          <reference field="22" count="1" selected="0">
            <x v="2"/>
          </reference>
        </references>
      </pivotArea>
    </format>
    <format dxfId="1744">
      <pivotArea dataOnly="0" labelOnly="1" outline="0" fieldPosition="0">
        <references count="7">
          <reference field="3" count="1" selected="0">
            <x v="695"/>
          </reference>
          <reference field="4" count="1" selected="0">
            <x v="5188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721"/>
          </reference>
          <reference field="21" count="1" selected="0">
            <x v="19"/>
          </reference>
          <reference field="22" count="1" selected="0">
            <x v="2"/>
          </reference>
        </references>
      </pivotArea>
    </format>
    <format dxfId="1743">
      <pivotArea dataOnly="0" labelOnly="1" outline="0" fieldPosition="0">
        <references count="7">
          <reference field="3" count="1" selected="0">
            <x v="745"/>
          </reference>
          <reference field="4" count="1" selected="0">
            <x v="6562"/>
          </reference>
          <reference field="11" count="1" selected="0">
            <x v="12"/>
          </reference>
          <reference field="12" count="1">
            <x v="12"/>
          </reference>
          <reference field="14" count="1" selected="0">
            <x v="876"/>
          </reference>
          <reference field="21" count="1" selected="0">
            <x v="18"/>
          </reference>
          <reference field="22" count="1" selected="0">
            <x v="2"/>
          </reference>
        </references>
      </pivotArea>
    </format>
    <format dxfId="1742">
      <pivotArea dataOnly="0" labelOnly="1" outline="0" fieldPosition="0">
        <references count="7">
          <reference field="3" count="1" selected="0">
            <x v="756"/>
          </reference>
          <reference field="4" count="1" selected="0">
            <x v="4061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99"/>
          </reference>
          <reference field="21" count="1" selected="0">
            <x v="19"/>
          </reference>
          <reference field="22" count="1" selected="0">
            <x v="2"/>
          </reference>
        </references>
      </pivotArea>
    </format>
    <format dxfId="1741">
      <pivotArea dataOnly="0" labelOnly="1" outline="0" fieldPosition="0">
        <references count="7">
          <reference field="3" count="1" selected="0">
            <x v="759"/>
          </reference>
          <reference field="4" count="1" selected="0">
            <x v="805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107"/>
          </reference>
          <reference field="21" count="1" selected="0">
            <x v="18"/>
          </reference>
          <reference field="22" count="1" selected="0">
            <x v="2"/>
          </reference>
        </references>
      </pivotArea>
    </format>
    <format dxfId="1740">
      <pivotArea dataOnly="0" labelOnly="1" outline="0" fieldPosition="0">
        <references count="7">
          <reference field="3" count="1" selected="0">
            <x v="774"/>
          </reference>
          <reference field="4" count="1" selected="0">
            <x v="2379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468"/>
          </reference>
          <reference field="21" count="1" selected="0">
            <x v="17"/>
          </reference>
          <reference field="22" count="1" selected="0">
            <x v="2"/>
          </reference>
        </references>
      </pivotArea>
    </format>
    <format dxfId="1739">
      <pivotArea dataOnly="0" labelOnly="1" outline="0" fieldPosition="0">
        <references count="7">
          <reference field="3" count="1" selected="0">
            <x v="782"/>
          </reference>
          <reference field="4" count="1" selected="0">
            <x v="1293"/>
          </reference>
          <reference field="11" count="1" selected="0">
            <x v="11"/>
          </reference>
          <reference field="12" count="1">
            <x v="31"/>
          </reference>
          <reference field="14" count="1" selected="0">
            <x v="263"/>
          </reference>
          <reference field="21" count="1" selected="0">
            <x v="17"/>
          </reference>
          <reference field="22" count="1" selected="0">
            <x v="2"/>
          </reference>
        </references>
      </pivotArea>
    </format>
    <format dxfId="1738">
      <pivotArea dataOnly="0" labelOnly="1" outline="0" fieldPosition="0">
        <references count="7">
          <reference field="3" count="1" selected="0">
            <x v="809"/>
          </reference>
          <reference field="4" count="1" selected="0">
            <x v="6775"/>
          </reference>
          <reference field="11" count="1" selected="0">
            <x v="12"/>
          </reference>
          <reference field="12" count="1">
            <x v="0"/>
          </reference>
          <reference field="14" count="1" selected="0">
            <x v="116"/>
          </reference>
          <reference field="21" count="1" selected="0">
            <x v="17"/>
          </reference>
          <reference field="22" count="1" selected="0">
            <x v="2"/>
          </reference>
        </references>
      </pivotArea>
    </format>
    <format dxfId="1737">
      <pivotArea dataOnly="0" labelOnly="1" outline="0" fieldPosition="0">
        <references count="7">
          <reference field="3" count="1" selected="0">
            <x v="839"/>
          </reference>
          <reference field="4" count="1" selected="0">
            <x v="7371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219"/>
          </reference>
          <reference field="21" count="1" selected="0">
            <x v="17"/>
          </reference>
          <reference field="22" count="1" selected="0">
            <x v="2"/>
          </reference>
        </references>
      </pivotArea>
    </format>
    <format dxfId="1736">
      <pivotArea dataOnly="0" labelOnly="1" outline="0" fieldPosition="0">
        <references count="7">
          <reference field="3" count="1" selected="0">
            <x v="881"/>
          </reference>
          <reference field="4" count="1" selected="0">
            <x v="2711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291"/>
          </reference>
          <reference field="21" count="1" selected="0">
            <x v="16"/>
          </reference>
          <reference field="22" count="1" selected="0">
            <x v="2"/>
          </reference>
        </references>
      </pivotArea>
    </format>
    <format dxfId="1735">
      <pivotArea dataOnly="0" labelOnly="1" outline="0" fieldPosition="0">
        <references count="7">
          <reference field="3" count="1" selected="0">
            <x v="913"/>
          </reference>
          <reference field="4" count="1" selected="0">
            <x v="5242"/>
          </reference>
          <reference field="11" count="1" selected="0">
            <x v="12"/>
          </reference>
          <reference field="12" count="1">
            <x v="0"/>
          </reference>
          <reference field="14" count="1" selected="0">
            <x v="813"/>
          </reference>
          <reference field="21" count="1" selected="0">
            <x v="15"/>
          </reference>
          <reference field="22" count="1" selected="0">
            <x v="2"/>
          </reference>
        </references>
      </pivotArea>
    </format>
    <format dxfId="1734">
      <pivotArea dataOnly="0" labelOnly="1" outline="0" fieldPosition="0">
        <references count="7">
          <reference field="3" count="1" selected="0">
            <x v="948"/>
          </reference>
          <reference field="4" count="1" selected="0">
            <x v="1294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197"/>
          </reference>
          <reference field="21" count="1" selected="0">
            <x v="15"/>
          </reference>
          <reference field="22" count="1" selected="0">
            <x v="2"/>
          </reference>
        </references>
      </pivotArea>
    </format>
    <format dxfId="1733">
      <pivotArea dataOnly="0" labelOnly="1" outline="0" fieldPosition="0">
        <references count="7">
          <reference field="3" count="1" selected="0">
            <x v="971"/>
          </reference>
          <reference field="4" count="1" selected="0">
            <x v="3574"/>
          </reference>
          <reference field="11" count="1" selected="0">
            <x v="12"/>
          </reference>
          <reference field="12" count="1">
            <x v="0"/>
          </reference>
          <reference field="14" count="1" selected="0">
            <x v="180"/>
          </reference>
          <reference field="21" count="1" selected="0">
            <x v="14"/>
          </reference>
          <reference field="22" count="1" selected="0">
            <x v="2"/>
          </reference>
        </references>
      </pivotArea>
    </format>
    <format dxfId="1732">
      <pivotArea dataOnly="0" labelOnly="1" outline="0" fieldPosition="0">
        <references count="7">
          <reference field="3" count="1" selected="0">
            <x v="997"/>
          </reference>
          <reference field="4" count="1" selected="0">
            <x v="1759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867"/>
          </reference>
          <reference field="21" count="1" selected="0">
            <x v="13"/>
          </reference>
          <reference field="22" count="1" selected="0">
            <x v="1"/>
          </reference>
        </references>
      </pivotArea>
    </format>
    <format dxfId="1731">
      <pivotArea dataOnly="0" labelOnly="1" outline="0" fieldPosition="0">
        <references count="7">
          <reference field="3" count="1" selected="0">
            <x v="1003"/>
          </reference>
          <reference field="4" count="1" selected="0">
            <x v="961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899"/>
          </reference>
          <reference field="21" count="1" selected="0">
            <x v="14"/>
          </reference>
          <reference field="22" count="1" selected="0">
            <x v="2"/>
          </reference>
        </references>
      </pivotArea>
    </format>
    <format dxfId="1730">
      <pivotArea dataOnly="0" labelOnly="1" outline="0" fieldPosition="0">
        <references count="7">
          <reference field="3" count="1" selected="0">
            <x v="1011"/>
          </reference>
          <reference field="4" count="1" selected="0">
            <x v="5221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162"/>
          </reference>
          <reference field="21" count="1" selected="0">
            <x v="15"/>
          </reference>
          <reference field="22" count="1" selected="0">
            <x v="2"/>
          </reference>
        </references>
      </pivotArea>
    </format>
    <format dxfId="1729">
      <pivotArea dataOnly="0" labelOnly="1" outline="0" fieldPosition="0">
        <references count="7">
          <reference field="3" count="1" selected="0">
            <x v="1066"/>
          </reference>
          <reference field="4" count="1" selected="0">
            <x v="109"/>
          </reference>
          <reference field="11" count="1" selected="0">
            <x v="12"/>
          </reference>
          <reference field="12" count="1">
            <x v="0"/>
          </reference>
          <reference field="14" count="1" selected="0">
            <x v="535"/>
          </reference>
          <reference field="21" count="1" selected="0">
            <x v="14"/>
          </reference>
          <reference field="22" count="1" selected="0">
            <x v="2"/>
          </reference>
        </references>
      </pivotArea>
    </format>
    <format dxfId="1728">
      <pivotArea dataOnly="0" labelOnly="1" outline="0" fieldPosition="0">
        <references count="7">
          <reference field="3" count="1" selected="0">
            <x v="1069"/>
          </reference>
          <reference field="4" count="1" selected="0">
            <x v="3787"/>
          </reference>
          <reference field="11" count="1" selected="0">
            <x v="11"/>
          </reference>
          <reference field="12" count="1">
            <x v="1"/>
          </reference>
          <reference field="14" count="1" selected="0">
            <x v="635"/>
          </reference>
          <reference field="21" count="1" selected="0">
            <x v="12"/>
          </reference>
          <reference field="22" count="1" selected="0">
            <x v="1"/>
          </reference>
        </references>
      </pivotArea>
    </format>
    <format dxfId="1727">
      <pivotArea dataOnly="0" labelOnly="1" outline="0" fieldPosition="0">
        <references count="7">
          <reference field="3" count="1" selected="0">
            <x v="1113"/>
          </reference>
          <reference field="4" count="1" selected="0">
            <x v="112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974"/>
          </reference>
          <reference field="21" count="1" selected="0">
            <x v="11"/>
          </reference>
          <reference field="22" count="1" selected="0">
            <x v="1"/>
          </reference>
        </references>
      </pivotArea>
    </format>
    <format dxfId="1726">
      <pivotArea dataOnly="0" labelOnly="1" outline="0" fieldPosition="0">
        <references count="7">
          <reference field="3" count="1" selected="0">
            <x v="1189"/>
          </reference>
          <reference field="4" count="1" selected="0">
            <x v="3938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643"/>
          </reference>
          <reference field="21" count="1" selected="0">
            <x v="10"/>
          </reference>
          <reference field="22" count="1" selected="0">
            <x v="1"/>
          </reference>
        </references>
      </pivotArea>
    </format>
    <format dxfId="1725">
      <pivotArea dataOnly="0" labelOnly="1" outline="0" fieldPosition="0">
        <references count="7">
          <reference field="3" count="1" selected="0">
            <x v="1196"/>
          </reference>
          <reference field="4" count="1" selected="0">
            <x v="3719"/>
          </reference>
          <reference field="11" count="1" selected="0">
            <x v="11"/>
          </reference>
          <reference field="12" count="1">
            <x v="31"/>
          </reference>
          <reference field="14" count="1" selected="0">
            <x v="875"/>
          </reference>
          <reference field="21" count="1" selected="0">
            <x v="3"/>
          </reference>
          <reference field="22" count="1" selected="0">
            <x v="0"/>
          </reference>
        </references>
      </pivotArea>
    </format>
    <format dxfId="1724">
      <pivotArea dataOnly="0" labelOnly="1" outline="0" fieldPosition="0">
        <references count="7">
          <reference field="3" count="1" selected="0">
            <x v="1198"/>
          </reference>
          <reference field="4" count="1" selected="0">
            <x v="143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547"/>
          </reference>
          <reference field="21" count="1" selected="0">
            <x v="14"/>
          </reference>
          <reference field="22" count="1" selected="0">
            <x v="2"/>
          </reference>
        </references>
      </pivotArea>
    </format>
    <format dxfId="1723">
      <pivotArea dataOnly="0" labelOnly="1" outline="0" fieldPosition="0">
        <references count="7">
          <reference field="3" count="1" selected="0">
            <x v="1261"/>
          </reference>
          <reference field="4" count="1" selected="0">
            <x v="4852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423"/>
          </reference>
          <reference field="21" count="1" selected="0">
            <x v="10"/>
          </reference>
          <reference field="22" count="1" selected="0">
            <x v="1"/>
          </reference>
        </references>
      </pivotArea>
    </format>
    <format dxfId="1722">
      <pivotArea dataOnly="0" labelOnly="1" outline="0" fieldPosition="0">
        <references count="7">
          <reference field="3" count="1" selected="0">
            <x v="1262"/>
          </reference>
          <reference field="4" count="1" selected="0">
            <x v="6041"/>
          </reference>
          <reference field="11" count="1" selected="0">
            <x v="12"/>
          </reference>
          <reference field="12" count="1">
            <x v="19"/>
          </reference>
          <reference field="14" count="1" selected="0">
            <x v="876"/>
          </reference>
          <reference field="21" count="1" selected="0">
            <x v="4"/>
          </reference>
          <reference field="22" count="1" selected="0">
            <x v="0"/>
          </reference>
        </references>
      </pivotArea>
    </format>
    <format dxfId="1721">
      <pivotArea dataOnly="0" labelOnly="1" outline="0" fieldPosition="0">
        <references count="7">
          <reference field="3" count="1" selected="0">
            <x v="1285"/>
          </reference>
          <reference field="4" count="1" selected="0">
            <x v="4354"/>
          </reference>
          <reference field="11" count="1" selected="0">
            <x v="12"/>
          </reference>
          <reference field="12" count="1">
            <x v="0"/>
          </reference>
          <reference field="14" count="1" selected="0">
            <x v="780"/>
          </reference>
          <reference field="21" count="1" selected="0">
            <x v="10"/>
          </reference>
          <reference field="22" count="1" selected="0">
            <x v="1"/>
          </reference>
        </references>
      </pivotArea>
    </format>
    <format dxfId="1720">
      <pivotArea dataOnly="0" labelOnly="1" outline="0" fieldPosition="0">
        <references count="7">
          <reference field="3" count="1" selected="0">
            <x v="1343"/>
          </reference>
          <reference field="4" count="1" selected="0">
            <x v="4224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745"/>
          </reference>
          <reference field="21" count="1" selected="0">
            <x v="5"/>
          </reference>
          <reference field="22" count="1" selected="0">
            <x v="0"/>
          </reference>
        </references>
      </pivotArea>
    </format>
    <format dxfId="1719">
      <pivotArea dataOnly="0" labelOnly="1" outline="0" fieldPosition="0">
        <references count="7">
          <reference field="3" count="1" selected="0">
            <x v="1353"/>
          </reference>
          <reference field="4" count="1" selected="0">
            <x v="7033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474"/>
          </reference>
          <reference field="21" count="1" selected="0">
            <x v="8"/>
          </reference>
          <reference field="22" count="1" selected="0">
            <x v="1"/>
          </reference>
        </references>
      </pivotArea>
    </format>
    <format dxfId="1718">
      <pivotArea dataOnly="0" labelOnly="1" outline="0" fieldPosition="0">
        <references count="7">
          <reference field="3" count="1" selected="0">
            <x v="1391"/>
          </reference>
          <reference field="4" count="1" selected="0">
            <x v="3674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260"/>
          </reference>
          <reference field="21" count="1" selected="0">
            <x v="12"/>
          </reference>
          <reference field="22" count="1" selected="0">
            <x v="1"/>
          </reference>
        </references>
      </pivotArea>
    </format>
    <format dxfId="1717">
      <pivotArea dataOnly="0" labelOnly="1" outline="0" fieldPosition="0">
        <references count="7">
          <reference field="3" count="1" selected="0">
            <x v="1415"/>
          </reference>
          <reference field="4" count="1" selected="0">
            <x v="65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899"/>
          </reference>
          <reference field="21" count="1" selected="0">
            <x v="11"/>
          </reference>
          <reference field="22" count="1" selected="0">
            <x v="1"/>
          </reference>
        </references>
      </pivotArea>
    </format>
    <format dxfId="1716">
      <pivotArea dataOnly="0" labelOnly="1" outline="0" fieldPosition="0">
        <references count="7">
          <reference field="3" count="1" selected="0">
            <x v="1449"/>
          </reference>
          <reference field="4" count="1" selected="0">
            <x v="124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871"/>
          </reference>
          <reference field="21" count="1" selected="0">
            <x v="8"/>
          </reference>
          <reference field="22" count="1" selected="0">
            <x v="1"/>
          </reference>
        </references>
      </pivotArea>
    </format>
    <format dxfId="1715">
      <pivotArea dataOnly="0" labelOnly="1" outline="0" fieldPosition="0">
        <references count="7">
          <reference field="3" count="1" selected="0">
            <x v="1452"/>
          </reference>
          <reference field="4" count="1" selected="0">
            <x v="5876"/>
          </reference>
          <reference field="11" count="1" selected="0">
            <x v="12"/>
          </reference>
          <reference field="12" count="1">
            <x v="7"/>
          </reference>
          <reference field="14" count="1" selected="0">
            <x v="794"/>
          </reference>
          <reference field="21" count="1" selected="0">
            <x v="13"/>
          </reference>
          <reference field="22" count="1" selected="0">
            <x v="1"/>
          </reference>
        </references>
      </pivotArea>
    </format>
    <format dxfId="1714">
      <pivotArea dataOnly="0" labelOnly="1" outline="0" fieldPosition="0">
        <references count="7">
          <reference field="3" count="1" selected="0">
            <x v="1482"/>
          </reference>
          <reference field="4" count="1" selected="0">
            <x v="806"/>
          </reference>
          <reference field="11" count="1" selected="0">
            <x v="12"/>
          </reference>
          <reference field="12" count="1">
            <x v="0"/>
          </reference>
          <reference field="14" count="1" selected="0">
            <x v="346"/>
          </reference>
          <reference field="21" count="1" selected="0">
            <x v="6"/>
          </reference>
          <reference field="22" count="1" selected="0">
            <x v="1"/>
          </reference>
        </references>
      </pivotArea>
    </format>
    <format dxfId="1713">
      <pivotArea dataOnly="0" labelOnly="1" outline="0" fieldPosition="0">
        <references count="7">
          <reference field="3" count="1" selected="0">
            <x v="1534"/>
          </reference>
          <reference field="4" count="1" selected="0">
            <x v="5622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394"/>
          </reference>
          <reference field="21" count="1" selected="0">
            <x v="8"/>
          </reference>
          <reference field="22" count="1" selected="0">
            <x v="1"/>
          </reference>
        </references>
      </pivotArea>
    </format>
    <format dxfId="1712">
      <pivotArea dataOnly="0" labelOnly="1" outline="0" fieldPosition="0">
        <references count="7">
          <reference field="3" count="1" selected="0">
            <x v="1564"/>
          </reference>
          <reference field="4" count="1" selected="0">
            <x v="5654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855"/>
          </reference>
          <reference field="21" count="1" selected="0">
            <x v="4"/>
          </reference>
          <reference field="22" count="1" selected="0">
            <x v="0"/>
          </reference>
        </references>
      </pivotArea>
    </format>
    <format dxfId="1711">
      <pivotArea dataOnly="0" labelOnly="1" outline="0" fieldPosition="0">
        <references count="7">
          <reference field="3" count="1" selected="0">
            <x v="1626"/>
          </reference>
          <reference field="4" count="1" selected="0">
            <x v="2269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974"/>
          </reference>
          <reference field="21" count="1" selected="0">
            <x v="7"/>
          </reference>
          <reference field="22" count="1" selected="0">
            <x v="1"/>
          </reference>
        </references>
      </pivotArea>
    </format>
    <format dxfId="1710">
      <pivotArea dataOnly="0" labelOnly="1" outline="0" fieldPosition="0">
        <references count="7">
          <reference field="3" count="1" selected="0">
            <x v="1687"/>
          </reference>
          <reference field="4" count="1" selected="0">
            <x v="4075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849"/>
          </reference>
          <reference field="21" count="1" selected="0">
            <x v="3"/>
          </reference>
          <reference field="22" count="1" selected="0">
            <x v="0"/>
          </reference>
        </references>
      </pivotArea>
    </format>
    <format dxfId="1709">
      <pivotArea dataOnly="0" labelOnly="1" outline="0" fieldPosition="0">
        <references count="7">
          <reference field="3" count="1" selected="0">
            <x v="1712"/>
          </reference>
          <reference field="4" count="1" selected="0">
            <x v="5408"/>
          </reference>
          <reference field="11" count="1" selected="0">
            <x v="12"/>
          </reference>
          <reference field="12" count="1">
            <x v="0"/>
          </reference>
          <reference field="14" count="1" selected="0">
            <x v="346"/>
          </reference>
          <reference field="21" count="1" selected="0">
            <x v="33"/>
          </reference>
          <reference field="22" count="1" selected="0">
            <x v="4"/>
          </reference>
        </references>
      </pivotArea>
    </format>
    <format dxfId="1708">
      <pivotArea dataOnly="0" labelOnly="1" outline="0" fieldPosition="0">
        <references count="7">
          <reference field="3" count="1" selected="0">
            <x v="1715"/>
          </reference>
          <reference field="4" count="1" selected="0">
            <x v="1667"/>
          </reference>
          <reference field="11" count="1" selected="0">
            <x v="11"/>
          </reference>
          <reference field="12" count="1">
            <x v="31"/>
          </reference>
          <reference field="14" count="1" selected="0">
            <x v="276"/>
          </reference>
          <reference field="21" count="1" selected="0">
            <x v="29"/>
          </reference>
          <reference field="22" count="1" selected="0">
            <x v="3"/>
          </reference>
        </references>
      </pivotArea>
    </format>
    <format dxfId="1707">
      <pivotArea dataOnly="0" labelOnly="1" outline="0" fieldPosition="0">
        <references count="7">
          <reference field="3" count="1" selected="0">
            <x v="1717"/>
          </reference>
          <reference field="4" count="1" selected="0">
            <x v="7778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144"/>
          </reference>
          <reference field="21" count="1" selected="0">
            <x v="8"/>
          </reference>
          <reference field="22" count="1" selected="0">
            <x v="1"/>
          </reference>
        </references>
      </pivotArea>
    </format>
    <format dxfId="1706">
      <pivotArea dataOnly="0" labelOnly="1" outline="0" fieldPosition="0">
        <references count="7">
          <reference field="3" count="1" selected="0">
            <x v="1720"/>
          </reference>
          <reference field="4" count="1" selected="0">
            <x v="3488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981"/>
          </reference>
          <reference field="21" count="1" selected="0">
            <x v="27"/>
          </reference>
          <reference field="22" count="1" selected="0">
            <x v="3"/>
          </reference>
        </references>
      </pivotArea>
    </format>
    <format dxfId="1705">
      <pivotArea dataOnly="0" labelOnly="1" outline="0" fieldPosition="0">
        <references count="7">
          <reference field="3" count="1" selected="0">
            <x v="1761"/>
          </reference>
          <reference field="4" count="1" selected="0">
            <x v="737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293"/>
          </reference>
          <reference field="21" count="1" selected="0">
            <x v="17"/>
          </reference>
          <reference field="22" count="1" selected="0">
            <x v="2"/>
          </reference>
        </references>
      </pivotArea>
    </format>
    <format dxfId="1704">
      <pivotArea dataOnly="0" labelOnly="1" outline="0" fieldPosition="0">
        <references count="7">
          <reference field="3" count="1" selected="0">
            <x v="1853"/>
          </reference>
          <reference field="4" count="1" selected="0">
            <x v="6418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928"/>
          </reference>
          <reference field="21" count="1" selected="0">
            <x v="3"/>
          </reference>
          <reference field="22" count="1" selected="0">
            <x v="0"/>
          </reference>
        </references>
      </pivotArea>
    </format>
    <format dxfId="1703">
      <pivotArea dataOnly="0" labelOnly="1" outline="0" fieldPosition="0">
        <references count="7">
          <reference field="3" count="1" selected="0">
            <x v="1937"/>
          </reference>
          <reference field="4" count="1" selected="0">
            <x v="7773"/>
          </reference>
          <reference field="11" count="1" selected="0">
            <x v="12"/>
          </reference>
          <reference field="12" count="1">
            <x v="0"/>
          </reference>
          <reference field="14" count="1" selected="0">
            <x v="926"/>
          </reference>
          <reference field="21" count="1" selected="0">
            <x v="28"/>
          </reference>
          <reference field="22" count="1" selected="0">
            <x v="3"/>
          </reference>
        </references>
      </pivotArea>
    </format>
    <format dxfId="1702">
      <pivotArea dataOnly="0" labelOnly="1" outline="0" fieldPosition="0">
        <references count="7">
          <reference field="3" count="1" selected="0">
            <x v="2040"/>
          </reference>
          <reference field="4" count="1" selected="0">
            <x v="814"/>
          </reference>
          <reference field="11" count="1" selected="0">
            <x v="12"/>
          </reference>
          <reference field="12" count="1">
            <x v="0"/>
          </reference>
          <reference field="14" count="1" selected="0">
            <x v="853"/>
          </reference>
          <reference field="21" count="1" selected="0">
            <x v="6"/>
          </reference>
          <reference field="22" count="1" selected="0">
            <x v="1"/>
          </reference>
        </references>
      </pivotArea>
    </format>
    <format dxfId="1701">
      <pivotArea dataOnly="0" labelOnly="1" outline="0" fieldPosition="0">
        <references count="7">
          <reference field="3" count="1" selected="0">
            <x v="2106"/>
          </reference>
          <reference field="4" count="1" selected="0">
            <x v="568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966"/>
          </reference>
          <reference field="21" count="1" selected="0">
            <x v="20"/>
          </reference>
          <reference field="22" count="1" selected="0">
            <x v="2"/>
          </reference>
        </references>
      </pivotArea>
    </format>
    <format dxfId="1700">
      <pivotArea dataOnly="0" labelOnly="1" outline="0" fieldPosition="0">
        <references count="8">
          <reference field="3" count="1" selected="0">
            <x v="56"/>
          </reference>
          <reference field="4" count="1" selected="0">
            <x v="743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08"/>
          </reference>
          <reference field="19" count="1">
            <x v="1"/>
          </reference>
          <reference field="21" count="1" selected="0">
            <x v="38"/>
          </reference>
          <reference field="22" count="1" selected="0">
            <x v="4"/>
          </reference>
        </references>
      </pivotArea>
    </format>
    <format dxfId="1699">
      <pivotArea dataOnly="0" labelOnly="1" outline="0" fieldPosition="0">
        <references count="8">
          <reference field="3" count="1" selected="0">
            <x v="81"/>
          </reference>
          <reference field="4" count="1" selected="0">
            <x v="7610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217"/>
          </reference>
          <reference field="19" count="1">
            <x v="0"/>
          </reference>
          <reference field="21" count="1" selected="0">
            <x v="34"/>
          </reference>
          <reference field="22" count="1" selected="0">
            <x v="4"/>
          </reference>
        </references>
      </pivotArea>
    </format>
    <format dxfId="1698">
      <pivotArea dataOnly="0" labelOnly="1" outline="0" fieldPosition="0">
        <references count="8">
          <reference field="3" count="1" selected="0">
            <x v="152"/>
          </reference>
          <reference field="4" count="1" selected="0">
            <x v="4449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136"/>
          </reference>
          <reference field="19" count="1">
            <x v="0"/>
          </reference>
          <reference field="21" count="1" selected="0">
            <x v="27"/>
          </reference>
          <reference field="22" count="1" selected="0">
            <x v="3"/>
          </reference>
        </references>
      </pivotArea>
    </format>
    <format dxfId="1697">
      <pivotArea dataOnly="0" labelOnly="1" outline="0" fieldPosition="0">
        <references count="8">
          <reference field="3" count="1" selected="0">
            <x v="189"/>
          </reference>
          <reference field="4" count="1" selected="0">
            <x v="7661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350"/>
          </reference>
          <reference field="19" count="1">
            <x v="0"/>
          </reference>
          <reference field="21" count="1" selected="0">
            <x v="36"/>
          </reference>
          <reference field="22" count="1" selected="0">
            <x v="4"/>
          </reference>
        </references>
      </pivotArea>
    </format>
    <format dxfId="1696">
      <pivotArea dataOnly="0" labelOnly="1" outline="0" fieldPosition="0">
        <references count="8">
          <reference field="3" count="1" selected="0">
            <x v="204"/>
          </reference>
          <reference field="4" count="1" selected="0">
            <x v="618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51"/>
          </reference>
          <reference field="19" count="1">
            <x v="1"/>
          </reference>
          <reference field="21" count="1" selected="0">
            <x v="29"/>
          </reference>
          <reference field="22" count="1" selected="0">
            <x v="3"/>
          </reference>
        </references>
      </pivotArea>
    </format>
    <format dxfId="1695">
      <pivotArea dataOnly="0" labelOnly="1" outline="0" fieldPosition="0">
        <references count="8">
          <reference field="3" count="1" selected="0">
            <x v="206"/>
          </reference>
          <reference field="4" count="1" selected="0">
            <x v="6497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135"/>
          </reference>
          <reference field="19" count="1">
            <x v="0"/>
          </reference>
          <reference field="21" count="1" selected="0">
            <x v="30"/>
          </reference>
          <reference field="22" count="1" selected="0">
            <x v="3"/>
          </reference>
        </references>
      </pivotArea>
    </format>
    <format dxfId="1694">
      <pivotArea dataOnly="0" labelOnly="1" outline="0" fieldPosition="0">
        <references count="8">
          <reference field="3" count="1" selected="0">
            <x v="360"/>
          </reference>
          <reference field="4" count="1" selected="0">
            <x v="7714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755"/>
          </reference>
          <reference field="19" count="1">
            <x v="1"/>
          </reference>
          <reference field="21" count="1" selected="0">
            <x v="37"/>
          </reference>
          <reference field="22" count="1" selected="0">
            <x v="4"/>
          </reference>
        </references>
      </pivotArea>
    </format>
    <format dxfId="1693">
      <pivotArea dataOnly="0" labelOnly="1" outline="0" fieldPosition="0">
        <references count="8">
          <reference field="3" count="1" selected="0">
            <x v="481"/>
          </reference>
          <reference field="4" count="1" selected="0">
            <x v="6290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757"/>
          </reference>
          <reference field="19" count="1">
            <x v="1"/>
          </reference>
          <reference field="21" count="1" selected="0">
            <x v="17"/>
          </reference>
          <reference field="22" count="1" selected="0">
            <x v="2"/>
          </reference>
        </references>
      </pivotArea>
    </format>
    <format dxfId="1692">
      <pivotArea dataOnly="0" labelOnly="1" outline="0" fieldPosition="0">
        <references count="8">
          <reference field="3" count="1" selected="0">
            <x v="492"/>
          </reference>
          <reference field="4" count="1" selected="0">
            <x v="11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3"/>
          </reference>
          <reference field="19" count="1">
            <x v="0"/>
          </reference>
          <reference field="21" count="1" selected="0">
            <x v="25"/>
          </reference>
          <reference field="22" count="1" selected="0">
            <x v="3"/>
          </reference>
        </references>
      </pivotArea>
    </format>
    <format dxfId="1691">
      <pivotArea dataOnly="0" labelOnly="1" outline="0" fieldPosition="0">
        <references count="8">
          <reference field="3" count="1" selected="0">
            <x v="503"/>
          </reference>
          <reference field="4" count="1" selected="0">
            <x v="1492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277"/>
          </reference>
          <reference field="19" count="1">
            <x v="0"/>
          </reference>
          <reference field="21" count="1" selected="0">
            <x v="22"/>
          </reference>
          <reference field="22" count="1" selected="0">
            <x v="2"/>
          </reference>
        </references>
      </pivotArea>
    </format>
    <format dxfId="1690">
      <pivotArea dataOnly="0" labelOnly="1" outline="0" fieldPosition="0">
        <references count="8">
          <reference field="3" count="1" selected="0">
            <x v="625"/>
          </reference>
          <reference field="4" count="1" selected="0">
            <x v="5737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52"/>
          </reference>
          <reference field="19" count="1">
            <x v="0"/>
          </reference>
          <reference field="21" count="1" selected="0">
            <x v="25"/>
          </reference>
          <reference field="22" count="1" selected="0">
            <x v="3"/>
          </reference>
        </references>
      </pivotArea>
    </format>
    <format dxfId="1689">
      <pivotArea dataOnly="0" labelOnly="1" outline="0" fieldPosition="0">
        <references count="8">
          <reference field="3" count="1" selected="0">
            <x v="695"/>
          </reference>
          <reference field="4" count="1" selected="0">
            <x v="5188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721"/>
          </reference>
          <reference field="19" count="1">
            <x v="1"/>
          </reference>
          <reference field="21" count="1" selected="0">
            <x v="19"/>
          </reference>
          <reference field="22" count="1" selected="0">
            <x v="2"/>
          </reference>
        </references>
      </pivotArea>
    </format>
    <format dxfId="1688">
      <pivotArea dataOnly="0" labelOnly="1" outline="0" fieldPosition="0">
        <references count="8">
          <reference field="3" count="1" selected="0">
            <x v="759"/>
          </reference>
          <reference field="4" count="1" selected="0">
            <x v="805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07"/>
          </reference>
          <reference field="19" count="1">
            <x v="1"/>
          </reference>
          <reference field="21" count="1" selected="0">
            <x v="18"/>
          </reference>
          <reference field="22" count="1" selected="0">
            <x v="2"/>
          </reference>
        </references>
      </pivotArea>
    </format>
    <format dxfId="1687">
      <pivotArea dataOnly="0" labelOnly="1" outline="0" fieldPosition="0">
        <references count="8">
          <reference field="3" count="1" selected="0">
            <x v="774"/>
          </reference>
          <reference field="4" count="1" selected="0">
            <x v="2379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468"/>
          </reference>
          <reference field="19" count="1">
            <x v="0"/>
          </reference>
          <reference field="21" count="1" selected="0">
            <x v="17"/>
          </reference>
          <reference field="22" count="1" selected="0">
            <x v="2"/>
          </reference>
        </references>
      </pivotArea>
    </format>
    <format dxfId="1686">
      <pivotArea dataOnly="0" labelOnly="1" outline="0" fieldPosition="0">
        <references count="8">
          <reference field="3" count="1" selected="0">
            <x v="948"/>
          </reference>
          <reference field="4" count="1" selected="0">
            <x v="1294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97"/>
          </reference>
          <reference field="19" count="1">
            <x v="0"/>
          </reference>
          <reference field="21" count="1" selected="0">
            <x v="15"/>
          </reference>
          <reference field="22" count="1" selected="0">
            <x v="2"/>
          </reference>
        </references>
      </pivotArea>
    </format>
    <format dxfId="1685">
      <pivotArea dataOnly="0" labelOnly="1" outline="0" fieldPosition="0">
        <references count="8">
          <reference field="3" count="1" selected="0">
            <x v="997"/>
          </reference>
          <reference field="4" count="1" selected="0">
            <x v="1759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867"/>
          </reference>
          <reference field="19" count="1">
            <x v="0"/>
          </reference>
          <reference field="21" count="1" selected="0">
            <x v="13"/>
          </reference>
          <reference field="22" count="1" selected="0">
            <x v="1"/>
          </reference>
        </references>
      </pivotArea>
    </format>
    <format dxfId="1684">
      <pivotArea dataOnly="0" labelOnly="1" outline="0" fieldPosition="0">
        <references count="8">
          <reference field="3" count="1" selected="0">
            <x v="1066"/>
          </reference>
          <reference field="4" count="1" selected="0">
            <x v="109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535"/>
          </reference>
          <reference field="19" count="1">
            <x v="0"/>
          </reference>
          <reference field="21" count="1" selected="0">
            <x v="14"/>
          </reference>
          <reference field="22" count="1" selected="0">
            <x v="2"/>
          </reference>
        </references>
      </pivotArea>
    </format>
    <format dxfId="1683">
      <pivotArea dataOnly="0" labelOnly="1" outline="0" fieldPosition="0">
        <references count="8">
          <reference field="3" count="1" selected="0">
            <x v="1113"/>
          </reference>
          <reference field="4" count="1" selected="0">
            <x v="112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74"/>
          </reference>
          <reference field="19" count="1">
            <x v="1"/>
          </reference>
          <reference field="21" count="1" selected="0">
            <x v="11"/>
          </reference>
          <reference field="22" count="1" selected="0">
            <x v="1"/>
          </reference>
        </references>
      </pivotArea>
    </format>
    <format dxfId="1682">
      <pivotArea dataOnly="0" labelOnly="1" outline="0" fieldPosition="0">
        <references count="8">
          <reference field="3" count="1" selected="0">
            <x v="1129"/>
          </reference>
          <reference field="4" count="1" selected="0">
            <x v="1803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95"/>
          </reference>
          <reference field="19" count="1">
            <x v="0"/>
          </reference>
          <reference field="21" count="1" selected="0">
            <x v="17"/>
          </reference>
          <reference field="22" count="1" selected="0">
            <x v="2"/>
          </reference>
        </references>
      </pivotArea>
    </format>
    <format dxfId="1681">
      <pivotArea dataOnly="0" labelOnly="1" outline="0" fieldPosition="0">
        <references count="8">
          <reference field="3" count="1" selected="0">
            <x v="1144"/>
          </reference>
          <reference field="4" count="1" selected="0">
            <x v="4719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74"/>
          </reference>
          <reference field="19" count="1">
            <x v="1"/>
          </reference>
          <reference field="21" count="1" selected="0">
            <x v="12"/>
          </reference>
          <reference field="22" count="1" selected="0">
            <x v="1"/>
          </reference>
        </references>
      </pivotArea>
    </format>
    <format dxfId="1680">
      <pivotArea dataOnly="0" labelOnly="1" outline="0" fieldPosition="0">
        <references count="8">
          <reference field="3" count="1" selected="0">
            <x v="1167"/>
          </reference>
          <reference field="4" count="1" selected="0">
            <x v="6179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552"/>
          </reference>
          <reference field="19" count="1">
            <x v="0"/>
          </reference>
          <reference field="21" count="1" selected="0">
            <x v="13"/>
          </reference>
          <reference field="22" count="1" selected="0">
            <x v="1"/>
          </reference>
        </references>
      </pivotArea>
    </format>
    <format dxfId="1679">
      <pivotArea dataOnly="0" labelOnly="1" outline="0" fieldPosition="0">
        <references count="8">
          <reference field="3" count="1" selected="0">
            <x v="1261"/>
          </reference>
          <reference field="4" count="1" selected="0">
            <x v="4852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423"/>
          </reference>
          <reference field="19" count="1">
            <x v="0"/>
          </reference>
          <reference field="21" count="1" selected="0">
            <x v="10"/>
          </reference>
          <reference field="22" count="1" selected="0">
            <x v="1"/>
          </reference>
        </references>
      </pivotArea>
    </format>
    <format dxfId="1678">
      <pivotArea dataOnly="0" labelOnly="1" outline="0" fieldPosition="0">
        <references count="8">
          <reference field="3" count="1" selected="0">
            <x v="1427"/>
          </reference>
          <reference field="4" count="1" selected="0">
            <x v="7919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29"/>
          </reference>
          <reference field="19" count="1">
            <x v="1"/>
          </reference>
          <reference field="21" count="1" selected="0">
            <x v="6"/>
          </reference>
          <reference field="22" count="1" selected="0">
            <x v="1"/>
          </reference>
        </references>
      </pivotArea>
    </format>
    <format dxfId="1677">
      <pivotArea dataOnly="0" labelOnly="1" outline="0" fieldPosition="0">
        <references count="8">
          <reference field="3" count="1" selected="0">
            <x v="1435"/>
          </reference>
          <reference field="4" count="1" selected="0">
            <x v="3236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751"/>
          </reference>
          <reference field="19" count="1">
            <x v="0"/>
          </reference>
          <reference field="21" count="1" selected="0">
            <x v="10"/>
          </reference>
          <reference field="22" count="1" selected="0">
            <x v="1"/>
          </reference>
        </references>
      </pivotArea>
    </format>
    <format dxfId="1676">
      <pivotArea dataOnly="0" labelOnly="1" outline="0" fieldPosition="0">
        <references count="8">
          <reference field="3" count="1" selected="0">
            <x v="1452"/>
          </reference>
          <reference field="4" count="1" selected="0">
            <x v="5876"/>
          </reference>
          <reference field="11" count="1" selected="0">
            <x v="12"/>
          </reference>
          <reference field="12" count="1" selected="0">
            <x v="7"/>
          </reference>
          <reference field="14" count="1" selected="0">
            <x v="794"/>
          </reference>
          <reference field="19" count="1">
            <x v="1"/>
          </reference>
          <reference field="21" count="1" selected="0">
            <x v="13"/>
          </reference>
          <reference field="22" count="1" selected="0">
            <x v="1"/>
          </reference>
        </references>
      </pivotArea>
    </format>
    <format dxfId="1675">
      <pivotArea dataOnly="0" labelOnly="1" outline="0" fieldPosition="0">
        <references count="8">
          <reference field="3" count="1" selected="0">
            <x v="1482"/>
          </reference>
          <reference field="4" count="1" selected="0">
            <x v="806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346"/>
          </reference>
          <reference field="19" count="1">
            <x v="0"/>
          </reference>
          <reference field="21" count="1" selected="0">
            <x v="6"/>
          </reference>
          <reference field="22" count="1" selected="0">
            <x v="1"/>
          </reference>
        </references>
      </pivotArea>
    </format>
    <format dxfId="1674">
      <pivotArea dataOnly="0" labelOnly="1" outline="0" fieldPosition="0">
        <references count="8">
          <reference field="3" count="1" selected="0">
            <x v="1626"/>
          </reference>
          <reference field="4" count="1" selected="0">
            <x v="2269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74"/>
          </reference>
          <reference field="19" count="1">
            <x v="1"/>
          </reference>
          <reference field="21" count="1" selected="0">
            <x v="7"/>
          </reference>
          <reference field="22" count="1" selected="0">
            <x v="1"/>
          </reference>
        </references>
      </pivotArea>
    </format>
    <format dxfId="1673">
      <pivotArea dataOnly="0" labelOnly="1" outline="0" fieldPosition="0">
        <references count="8">
          <reference field="3" count="1" selected="0">
            <x v="1645"/>
          </reference>
          <reference field="4" count="1" selected="0">
            <x v="4209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57"/>
          </reference>
          <reference field="19" count="1">
            <x v="0"/>
          </reference>
          <reference field="21" count="1" selected="0">
            <x v="9"/>
          </reference>
          <reference field="22" count="1" selected="0">
            <x v="1"/>
          </reference>
        </references>
      </pivotArea>
    </format>
    <format dxfId="1672">
      <pivotArea dataOnly="0" labelOnly="1" outline="0" fieldPosition="0">
        <references count="8">
          <reference field="3" count="1" selected="0">
            <x v="1712"/>
          </reference>
          <reference field="4" count="1" selected="0">
            <x v="5408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346"/>
          </reference>
          <reference field="19" count="1">
            <x v="0"/>
          </reference>
          <reference field="21" count="1" selected="0">
            <x v="33"/>
          </reference>
          <reference field="22" count="1" selected="0">
            <x v="4"/>
          </reference>
        </references>
      </pivotArea>
    </format>
    <format dxfId="1671">
      <pivotArea dataOnly="0" labelOnly="1" outline="0" fieldPosition="0">
        <references count="8">
          <reference field="3" count="1" selected="0">
            <x v="1750"/>
          </reference>
          <reference field="4" count="1" selected="0">
            <x v="3711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417"/>
          </reference>
          <reference field="19" count="1">
            <x v="0"/>
          </reference>
          <reference field="21" count="1" selected="0">
            <x v="23"/>
          </reference>
          <reference field="22" count="1" selected="0">
            <x v="3"/>
          </reference>
        </references>
      </pivotArea>
    </format>
    <format dxfId="1670">
      <pivotArea dataOnly="0" labelOnly="1" outline="0" fieldPosition="0">
        <references count="8">
          <reference field="3" count="1" selected="0">
            <x v="1785"/>
          </reference>
          <reference field="4" count="1" selected="0">
            <x v="693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640"/>
          </reference>
          <reference field="19" count="1">
            <x v="0"/>
          </reference>
          <reference field="21" count="1" selected="0">
            <x v="8"/>
          </reference>
          <reference field="22" count="1" selected="0">
            <x v="1"/>
          </reference>
        </references>
      </pivotArea>
    </format>
    <format dxfId="1669">
      <pivotArea dataOnly="0" labelOnly="1" outline="0" fieldPosition="0">
        <references count="8">
          <reference field="3" count="1" selected="0">
            <x v="1789"/>
          </reference>
          <reference field="4" count="1" selected="0">
            <x v="7567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472"/>
          </reference>
          <reference field="19" count="1">
            <x v="0"/>
          </reference>
          <reference field="21" count="1" selected="0">
            <x v="10"/>
          </reference>
          <reference field="22" count="1" selected="0">
            <x v="1"/>
          </reference>
        </references>
      </pivotArea>
    </format>
    <format dxfId="1668">
      <pivotArea dataOnly="0" labelOnly="1" outline="0" fieldPosition="0">
        <references count="8">
          <reference field="3" count="1" selected="0">
            <x v="1790"/>
          </reference>
          <reference field="4" count="1" selected="0">
            <x v="1776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780"/>
          </reference>
          <reference field="19" count="1">
            <x v="0"/>
          </reference>
          <reference field="21" count="1" selected="0">
            <x v="31"/>
          </reference>
          <reference field="22" count="1" selected="0">
            <x v="3"/>
          </reference>
        </references>
      </pivotArea>
    </format>
    <format dxfId="1667">
      <pivotArea dataOnly="0" labelOnly="1" outline="0" fieldPosition="0">
        <references count="8">
          <reference field="3" count="1" selected="0">
            <x v="1851"/>
          </reference>
          <reference field="4" count="1" selected="0">
            <x v="6138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21"/>
          </reference>
          <reference field="19" count="1">
            <x v="0"/>
          </reference>
          <reference field="21" count="1" selected="0">
            <x v="17"/>
          </reference>
          <reference field="22" count="1" selected="0">
            <x v="2"/>
          </reference>
        </references>
      </pivotArea>
    </format>
    <format dxfId="1666">
      <pivotArea dataOnly="0" labelOnly="1" outline="0" fieldPosition="0">
        <references count="8">
          <reference field="3" count="1" selected="0">
            <x v="2122"/>
          </reference>
          <reference field="4" count="1" selected="0">
            <x v="2252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642"/>
          </reference>
          <reference field="19" count="1">
            <x v="0"/>
          </reference>
          <reference field="21" count="1" selected="0">
            <x v="18"/>
          </reference>
          <reference field="22" count="1" selected="0">
            <x v="2"/>
          </reference>
        </references>
      </pivotArea>
    </format>
    <format dxfId="1665">
      <pivotArea dataOnly="0" labelOnly="1" outline="0" fieldPosition="0">
        <references count="9">
          <reference field="3" count="1" selected="0">
            <x v="56"/>
          </reference>
          <reference field="4" count="1" selected="0">
            <x v="743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08"/>
          </reference>
          <reference field="19" count="1" selected="0">
            <x v="1"/>
          </reference>
          <reference field="21" count="1" selected="0">
            <x v="38"/>
          </reference>
          <reference field="22" count="1" selected="0">
            <x v="4"/>
          </reference>
          <reference field="24" count="1">
            <x v="0"/>
          </reference>
        </references>
      </pivotArea>
    </format>
    <format dxfId="1664">
      <pivotArea dataOnly="0" labelOnly="1" outline="0" fieldPosition="0">
        <references count="9">
          <reference field="3" count="1" selected="0">
            <x v="81"/>
          </reference>
          <reference field="4" count="1" selected="0">
            <x v="7610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217"/>
          </reference>
          <reference field="19" count="1" selected="0">
            <x v="0"/>
          </reference>
          <reference field="21" count="1" selected="0">
            <x v="34"/>
          </reference>
          <reference field="22" count="1" selected="0">
            <x v="4"/>
          </reference>
          <reference field="24" count="1">
            <x v="3"/>
          </reference>
        </references>
      </pivotArea>
    </format>
    <format dxfId="1663">
      <pivotArea dataOnly="0" labelOnly="1" outline="0" fieldPosition="0">
        <references count="9">
          <reference field="3" count="1" selected="0">
            <x v="112"/>
          </reference>
          <reference field="4" count="1" selected="0">
            <x v="2075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656"/>
          </reference>
          <reference field="19" count="1" selected="0">
            <x v="0"/>
          </reference>
          <reference field="21" count="1" selected="0">
            <x v="29"/>
          </reference>
          <reference field="22" count="1" selected="0">
            <x v="3"/>
          </reference>
          <reference field="24" count="1">
            <x v="0"/>
          </reference>
        </references>
      </pivotArea>
    </format>
    <format dxfId="1662">
      <pivotArea dataOnly="0" labelOnly="1" outline="0" fieldPosition="0">
        <references count="9">
          <reference field="3" count="1" selected="0">
            <x v="122"/>
          </reference>
          <reference field="4" count="1" selected="0">
            <x v="5331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369"/>
          </reference>
          <reference field="19" count="1" selected="0">
            <x v="0"/>
          </reference>
          <reference field="21" count="1" selected="0">
            <x v="29"/>
          </reference>
          <reference field="22" count="1" selected="0">
            <x v="3"/>
          </reference>
          <reference field="24" count="1">
            <x v="7"/>
          </reference>
        </references>
      </pivotArea>
    </format>
    <format dxfId="1661">
      <pivotArea dataOnly="0" labelOnly="1" outline="0" fieldPosition="0">
        <references count="9">
          <reference field="3" count="1" selected="0">
            <x v="152"/>
          </reference>
          <reference field="4" count="1" selected="0">
            <x v="4449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136"/>
          </reference>
          <reference field="19" count="1" selected="0">
            <x v="0"/>
          </reference>
          <reference field="21" count="1" selected="0">
            <x v="27"/>
          </reference>
          <reference field="22" count="1" selected="0">
            <x v="3"/>
          </reference>
          <reference field="24" count="1">
            <x v="0"/>
          </reference>
        </references>
      </pivotArea>
    </format>
    <format dxfId="1660">
      <pivotArea dataOnly="0" labelOnly="1" outline="0" fieldPosition="0">
        <references count="9">
          <reference field="3" count="1" selected="0">
            <x v="153"/>
          </reference>
          <reference field="4" count="1" selected="0">
            <x v="4205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125"/>
          </reference>
          <reference field="19" count="1" selected="0">
            <x v="0"/>
          </reference>
          <reference field="21" count="1" selected="0">
            <x v="41"/>
          </reference>
          <reference field="22" count="1" selected="0">
            <x v="5"/>
          </reference>
          <reference field="24" count="1">
            <x v="0"/>
          </reference>
        </references>
      </pivotArea>
    </format>
    <format dxfId="1659">
      <pivotArea dataOnly="0" labelOnly="1" outline="0" fieldPosition="0">
        <references count="9">
          <reference field="3" count="1" selected="0">
            <x v="174"/>
          </reference>
          <reference field="4" count="1" selected="0">
            <x v="7069"/>
          </reference>
          <reference field="11" count="1" selected="0">
            <x v="11"/>
          </reference>
          <reference field="12" count="1" selected="0">
            <x v="1"/>
          </reference>
          <reference field="14" count="1" selected="0">
            <x v="412"/>
          </reference>
          <reference field="19" count="1" selected="0">
            <x v="0"/>
          </reference>
          <reference field="21" count="1" selected="0">
            <x v="28"/>
          </reference>
          <reference field="22" count="1" selected="0">
            <x v="3"/>
          </reference>
          <reference field="24" count="1">
            <x v="3"/>
          </reference>
        </references>
      </pivotArea>
    </format>
    <format dxfId="1658">
      <pivotArea dataOnly="0" labelOnly="1" outline="0" fieldPosition="0">
        <references count="9">
          <reference field="3" count="1" selected="0">
            <x v="189"/>
          </reference>
          <reference field="4" count="1" selected="0">
            <x v="7661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350"/>
          </reference>
          <reference field="19" count="1" selected="0">
            <x v="0"/>
          </reference>
          <reference field="21" count="1" selected="0">
            <x v="36"/>
          </reference>
          <reference field="22" count="1" selected="0">
            <x v="4"/>
          </reference>
          <reference field="24" count="1">
            <x v="1"/>
          </reference>
        </references>
      </pivotArea>
    </format>
    <format dxfId="1657">
      <pivotArea dataOnly="0" labelOnly="1" outline="0" fieldPosition="0">
        <references count="9">
          <reference field="3" count="1" selected="0">
            <x v="190"/>
          </reference>
          <reference field="4" count="1" selected="0">
            <x v="3551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106"/>
          </reference>
          <reference field="19" count="1" selected="0">
            <x v="0"/>
          </reference>
          <reference field="21" count="1" selected="0">
            <x v="31"/>
          </reference>
          <reference field="22" count="1" selected="0">
            <x v="3"/>
          </reference>
          <reference field="24" count="1">
            <x v="7"/>
          </reference>
        </references>
      </pivotArea>
    </format>
    <format dxfId="1656">
      <pivotArea dataOnly="0" labelOnly="1" outline="0" fieldPosition="0">
        <references count="9">
          <reference field="3" count="1" selected="0">
            <x v="199"/>
          </reference>
          <reference field="4" count="1" selected="0">
            <x v="4077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629"/>
          </reference>
          <reference field="19" count="1" selected="0">
            <x v="0"/>
          </reference>
          <reference field="21" count="1" selected="0">
            <x v="34"/>
          </reference>
          <reference field="22" count="1" selected="0">
            <x v="4"/>
          </reference>
          <reference field="24" count="1">
            <x v="2"/>
          </reference>
        </references>
      </pivotArea>
    </format>
    <format dxfId="1655">
      <pivotArea dataOnly="0" labelOnly="1" outline="0" fieldPosition="0">
        <references count="9">
          <reference field="3" count="1" selected="0">
            <x v="204"/>
          </reference>
          <reference field="4" count="1" selected="0">
            <x v="618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51"/>
          </reference>
          <reference field="19" count="1" selected="0">
            <x v="1"/>
          </reference>
          <reference field="21" count="1" selected="0">
            <x v="29"/>
          </reference>
          <reference field="22" count="1" selected="0">
            <x v="3"/>
          </reference>
          <reference field="24" count="1">
            <x v="2"/>
          </reference>
        </references>
      </pivotArea>
    </format>
    <format dxfId="1654">
      <pivotArea dataOnly="0" labelOnly="1" outline="0" fieldPosition="0">
        <references count="9">
          <reference field="3" count="1" selected="0">
            <x v="206"/>
          </reference>
          <reference field="4" count="1" selected="0">
            <x v="6497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135"/>
          </reference>
          <reference field="19" count="1" selected="0">
            <x v="0"/>
          </reference>
          <reference field="21" count="1" selected="0">
            <x v="30"/>
          </reference>
          <reference field="22" count="1" selected="0">
            <x v="3"/>
          </reference>
          <reference field="24" count="1">
            <x v="2"/>
          </reference>
        </references>
      </pivotArea>
    </format>
    <format dxfId="1653">
      <pivotArea dataOnly="0" labelOnly="1" outline="0" fieldPosition="0">
        <references count="9">
          <reference field="3" count="1" selected="0">
            <x v="234"/>
          </reference>
          <reference field="4" count="1" selected="0">
            <x v="231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678"/>
          </reference>
          <reference field="19" count="1" selected="0">
            <x v="0"/>
          </reference>
          <reference field="21" count="1" selected="0">
            <x v="27"/>
          </reference>
          <reference field="22" count="1" selected="0">
            <x v="3"/>
          </reference>
          <reference field="24" count="1">
            <x v="0"/>
          </reference>
        </references>
      </pivotArea>
    </format>
    <format dxfId="1652">
      <pivotArea dataOnly="0" labelOnly="1" outline="0" fieldPosition="0">
        <references count="9">
          <reference field="3" count="1" selected="0">
            <x v="251"/>
          </reference>
          <reference field="4" count="1" selected="0">
            <x v="4095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438"/>
          </reference>
          <reference field="19" count="1" selected="0">
            <x v="0"/>
          </reference>
          <reference field="21" count="1" selected="0">
            <x v="33"/>
          </reference>
          <reference field="22" count="1" selected="0">
            <x v="4"/>
          </reference>
          <reference field="24" count="1">
            <x v="1"/>
          </reference>
        </references>
      </pivotArea>
    </format>
    <format dxfId="1651">
      <pivotArea dataOnly="0" labelOnly="1" outline="0" fieldPosition="0">
        <references count="9">
          <reference field="3" count="1" selected="0">
            <x v="253"/>
          </reference>
          <reference field="4" count="1" selected="0">
            <x v="6532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763"/>
          </reference>
          <reference field="19" count="1" selected="0">
            <x v="0"/>
          </reference>
          <reference field="21" count="1" selected="0">
            <x v="39"/>
          </reference>
          <reference field="22" count="1" selected="0">
            <x v="4"/>
          </reference>
          <reference field="24" count="1">
            <x v="2"/>
          </reference>
        </references>
      </pivotArea>
    </format>
    <format dxfId="1650">
      <pivotArea dataOnly="0" labelOnly="1" outline="0" fieldPosition="0">
        <references count="9">
          <reference field="3" count="1" selected="0">
            <x v="259"/>
          </reference>
          <reference field="4" count="1" selected="0">
            <x v="5021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15"/>
          </reference>
          <reference field="19" count="1" selected="0">
            <x v="0"/>
          </reference>
          <reference field="21" count="1" selected="0">
            <x v="52"/>
          </reference>
          <reference field="22" count="1" selected="0">
            <x v="5"/>
          </reference>
          <reference field="24" count="1">
            <x v="2"/>
          </reference>
        </references>
      </pivotArea>
    </format>
    <format dxfId="1649">
      <pivotArea dataOnly="0" labelOnly="1" outline="0" fieldPosition="0">
        <references count="9">
          <reference field="3" count="1" selected="0">
            <x v="269"/>
          </reference>
          <reference field="4" count="1" selected="0">
            <x v="7152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338"/>
          </reference>
          <reference field="19" count="1" selected="0">
            <x v="0"/>
          </reference>
          <reference field="21" count="1" selected="0">
            <x v="29"/>
          </reference>
          <reference field="22" count="1" selected="0">
            <x v="3"/>
          </reference>
          <reference field="24" count="1">
            <x v="2"/>
          </reference>
        </references>
      </pivotArea>
    </format>
    <format dxfId="1648">
      <pivotArea dataOnly="0" labelOnly="1" outline="0" fieldPosition="0">
        <references count="9">
          <reference field="3" count="1" selected="0">
            <x v="276"/>
          </reference>
          <reference field="4" count="1" selected="0">
            <x v="7931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279"/>
          </reference>
          <reference field="19" count="1" selected="0">
            <x v="0"/>
          </reference>
          <reference field="21" count="1" selected="0">
            <x v="27"/>
          </reference>
          <reference field="22" count="1" selected="0">
            <x v="3"/>
          </reference>
          <reference field="24" count="1">
            <x v="2"/>
          </reference>
        </references>
      </pivotArea>
    </format>
    <format dxfId="1647">
      <pivotArea dataOnly="0" labelOnly="1" outline="0" fieldPosition="0">
        <references count="9">
          <reference field="3" count="1" selected="0">
            <x v="292"/>
          </reference>
          <reference field="4" count="1" selected="0">
            <x v="2680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81"/>
          </reference>
          <reference field="19" count="1" selected="0">
            <x v="0"/>
          </reference>
          <reference field="21" count="1" selected="0">
            <x v="32"/>
          </reference>
          <reference field="22" count="1" selected="0">
            <x v="4"/>
          </reference>
          <reference field="24" count="1">
            <x v="2"/>
          </reference>
        </references>
      </pivotArea>
    </format>
    <format dxfId="1646">
      <pivotArea dataOnly="0" labelOnly="1" outline="0" fieldPosition="0">
        <references count="9">
          <reference field="3" count="1" selected="0">
            <x v="356"/>
          </reference>
          <reference field="4" count="1" selected="0">
            <x v="4512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428"/>
          </reference>
          <reference field="19" count="1" selected="0">
            <x v="0"/>
          </reference>
          <reference field="21" count="1" selected="0">
            <x v="26"/>
          </reference>
          <reference field="22" count="1" selected="0">
            <x v="3"/>
          </reference>
          <reference field="24" count="1">
            <x v="0"/>
          </reference>
        </references>
      </pivotArea>
    </format>
    <format dxfId="1645">
      <pivotArea dataOnly="0" labelOnly="1" outline="0" fieldPosition="0">
        <references count="9">
          <reference field="3" count="1" selected="0">
            <x v="360"/>
          </reference>
          <reference field="4" count="1" selected="0">
            <x v="7714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755"/>
          </reference>
          <reference field="19" count="1" selected="0">
            <x v="1"/>
          </reference>
          <reference field="21" count="1" selected="0">
            <x v="37"/>
          </reference>
          <reference field="22" count="1" selected="0">
            <x v="4"/>
          </reference>
          <reference field="24" count="1">
            <x v="0"/>
          </reference>
        </references>
      </pivotArea>
    </format>
    <format dxfId="1644">
      <pivotArea dataOnly="0" labelOnly="1" outline="0" fieldPosition="0">
        <references count="9">
          <reference field="3" count="1" selected="0">
            <x v="375"/>
          </reference>
          <reference field="4" count="1" selected="0">
            <x v="5837"/>
          </reference>
          <reference field="11" count="1" selected="0">
            <x v="11"/>
          </reference>
          <reference field="12" count="1" selected="0">
            <x v="1"/>
          </reference>
          <reference field="14" count="1" selected="0">
            <x v="129"/>
          </reference>
          <reference field="19" count="1" selected="0">
            <x v="0"/>
          </reference>
          <reference field="21" count="1" selected="0">
            <x v="25"/>
          </reference>
          <reference field="22" count="1" selected="0">
            <x v="3"/>
          </reference>
          <reference field="24" count="1">
            <x v="0"/>
          </reference>
        </references>
      </pivotArea>
    </format>
    <format dxfId="1643">
      <pivotArea dataOnly="0" labelOnly="1" outline="0" fieldPosition="0">
        <references count="9">
          <reference field="3" count="1" selected="0">
            <x v="379"/>
          </reference>
          <reference field="4" count="1" selected="0">
            <x v="3926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255"/>
          </reference>
          <reference field="19" count="1" selected="0">
            <x v="0"/>
          </reference>
          <reference field="21" count="1" selected="0">
            <x v="28"/>
          </reference>
          <reference field="22" count="1" selected="0">
            <x v="3"/>
          </reference>
          <reference field="24" count="1">
            <x v="7"/>
          </reference>
        </references>
      </pivotArea>
    </format>
    <format dxfId="1642">
      <pivotArea dataOnly="0" labelOnly="1" outline="0" fieldPosition="0">
        <references count="9">
          <reference field="3" count="1" selected="0">
            <x v="388"/>
          </reference>
          <reference field="4" count="1" selected="0">
            <x v="1359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204"/>
          </reference>
          <reference field="19" count="1" selected="0">
            <x v="0"/>
          </reference>
          <reference field="21" count="1" selected="0">
            <x v="27"/>
          </reference>
          <reference field="22" count="1" selected="0">
            <x v="3"/>
          </reference>
          <reference field="24" count="1">
            <x v="7"/>
          </reference>
        </references>
      </pivotArea>
    </format>
    <format dxfId="1641">
      <pivotArea dataOnly="0" labelOnly="1" outline="0" fieldPosition="0">
        <references count="9">
          <reference field="3" count="1" selected="0">
            <x v="398"/>
          </reference>
          <reference field="4" count="1" selected="0">
            <x v="3374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500"/>
          </reference>
          <reference field="19" count="1" selected="0">
            <x v="0"/>
          </reference>
          <reference field="21" count="1" selected="0">
            <x v="24"/>
          </reference>
          <reference field="22" count="1" selected="0">
            <x v="3"/>
          </reference>
          <reference field="24" count="1">
            <x v="3"/>
          </reference>
        </references>
      </pivotArea>
    </format>
    <format dxfId="1640">
      <pivotArea dataOnly="0" labelOnly="1" outline="0" fieldPosition="0">
        <references count="9">
          <reference field="3" count="1" selected="0">
            <x v="458"/>
          </reference>
          <reference field="4" count="1" selected="0">
            <x v="4334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402"/>
          </reference>
          <reference field="19" count="1" selected="0">
            <x v="0"/>
          </reference>
          <reference field="21" count="1" selected="0">
            <x v="23"/>
          </reference>
          <reference field="22" count="1" selected="0">
            <x v="3"/>
          </reference>
          <reference field="24" count="1">
            <x v="2"/>
          </reference>
        </references>
      </pivotArea>
    </format>
    <format dxfId="1639">
      <pivotArea dataOnly="0" labelOnly="1" outline="0" fieldPosition="0">
        <references count="9">
          <reference field="3" count="1" selected="0">
            <x v="460"/>
          </reference>
          <reference field="4" count="1" selected="0">
            <x v="4064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373"/>
          </reference>
          <reference field="19" count="1" selected="0">
            <x v="0"/>
          </reference>
          <reference field="21" count="1" selected="0">
            <x v="23"/>
          </reference>
          <reference field="22" count="1" selected="0">
            <x v="3"/>
          </reference>
          <reference field="24" count="1">
            <x v="0"/>
          </reference>
        </references>
      </pivotArea>
    </format>
    <format dxfId="1638">
      <pivotArea dataOnly="0" labelOnly="1" outline="0" fieldPosition="0">
        <references count="9">
          <reference field="3" count="1" selected="0">
            <x v="477"/>
          </reference>
          <reference field="4" count="1" selected="0">
            <x v="1442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684"/>
          </reference>
          <reference field="19" count="1" selected="0">
            <x v="0"/>
          </reference>
          <reference field="21" count="1" selected="0">
            <x v="22"/>
          </reference>
          <reference field="22" count="1" selected="0">
            <x v="2"/>
          </reference>
          <reference field="24" count="1">
            <x v="2"/>
          </reference>
        </references>
      </pivotArea>
    </format>
    <format dxfId="1637">
      <pivotArea dataOnly="0" labelOnly="1" outline="0" fieldPosition="0">
        <references count="9">
          <reference field="3" count="1" selected="0">
            <x v="480"/>
          </reference>
          <reference field="4" count="1" selected="0">
            <x v="1050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119"/>
          </reference>
          <reference field="19" count="1" selected="0">
            <x v="0"/>
          </reference>
          <reference field="21" count="1" selected="0">
            <x v="16"/>
          </reference>
          <reference field="22" count="1" selected="0">
            <x v="2"/>
          </reference>
          <reference field="24" count="1">
            <x v="0"/>
          </reference>
        </references>
      </pivotArea>
    </format>
    <format dxfId="1636">
      <pivotArea dataOnly="0" labelOnly="1" outline="0" fieldPosition="0">
        <references count="9">
          <reference field="3" count="1" selected="0">
            <x v="481"/>
          </reference>
          <reference field="4" count="1" selected="0">
            <x v="6290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757"/>
          </reference>
          <reference field="19" count="1" selected="0">
            <x v="1"/>
          </reference>
          <reference field="21" count="1" selected="0">
            <x v="17"/>
          </reference>
          <reference field="22" count="1" selected="0">
            <x v="2"/>
          </reference>
          <reference field="24" count="1">
            <x v="7"/>
          </reference>
        </references>
      </pivotArea>
    </format>
    <format dxfId="1635">
      <pivotArea dataOnly="0" labelOnly="1" outline="0" fieldPosition="0">
        <references count="9">
          <reference field="3" count="1" selected="0">
            <x v="492"/>
          </reference>
          <reference field="4" count="1" selected="0">
            <x v="11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3"/>
          </reference>
          <reference field="19" count="1" selected="0">
            <x v="0"/>
          </reference>
          <reference field="21" count="1" selected="0">
            <x v="25"/>
          </reference>
          <reference field="22" count="1" selected="0">
            <x v="3"/>
          </reference>
          <reference field="24" count="1">
            <x v="2"/>
          </reference>
        </references>
      </pivotArea>
    </format>
    <format dxfId="1634">
      <pivotArea dataOnly="0" labelOnly="1" outline="0" fieldPosition="0">
        <references count="9">
          <reference field="3" count="1" selected="0">
            <x v="503"/>
          </reference>
          <reference field="4" count="1" selected="0">
            <x v="1492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277"/>
          </reference>
          <reference field="19" count="1" selected="0">
            <x v="0"/>
          </reference>
          <reference field="21" count="1" selected="0">
            <x v="22"/>
          </reference>
          <reference field="22" count="1" selected="0">
            <x v="2"/>
          </reference>
          <reference field="24" count="1">
            <x v="2"/>
          </reference>
        </references>
      </pivotArea>
    </format>
    <format dxfId="1633">
      <pivotArea dataOnly="0" labelOnly="1" outline="0" fieldPosition="0">
        <references count="9">
          <reference field="3" count="1" selected="0">
            <x v="535"/>
          </reference>
          <reference field="4" count="1" selected="0">
            <x v="553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689"/>
          </reference>
          <reference field="19" count="1" selected="0">
            <x v="0"/>
          </reference>
          <reference field="21" count="1" selected="0">
            <x v="23"/>
          </reference>
          <reference field="22" count="1" selected="0">
            <x v="3"/>
          </reference>
          <reference field="24" count="1">
            <x v="7"/>
          </reference>
        </references>
      </pivotArea>
    </format>
    <format dxfId="1632">
      <pivotArea dataOnly="0" labelOnly="1" outline="0" fieldPosition="0">
        <references count="9">
          <reference field="3" count="1" selected="0">
            <x v="541"/>
          </reference>
          <reference field="4" count="1" selected="0">
            <x v="7595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189"/>
          </reference>
          <reference field="19" count="1" selected="0">
            <x v="0"/>
          </reference>
          <reference field="21" count="1" selected="0">
            <x v="21"/>
          </reference>
          <reference field="22" count="1" selected="0">
            <x v="2"/>
          </reference>
          <reference field="24" count="1">
            <x v="2"/>
          </reference>
        </references>
      </pivotArea>
    </format>
    <format dxfId="1631">
      <pivotArea dataOnly="0" labelOnly="1" outline="0" fieldPosition="0">
        <references count="9">
          <reference field="3" count="1" selected="0">
            <x v="558"/>
          </reference>
          <reference field="4" count="1" selected="0">
            <x v="4323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54"/>
          </reference>
          <reference field="19" count="1" selected="0">
            <x v="0"/>
          </reference>
          <reference field="21" count="1" selected="0">
            <x v="21"/>
          </reference>
          <reference field="22" count="1" selected="0">
            <x v="2"/>
          </reference>
          <reference field="24" count="1">
            <x v="3"/>
          </reference>
        </references>
      </pivotArea>
    </format>
    <format dxfId="1630">
      <pivotArea dataOnly="0" labelOnly="1" outline="0" fieldPosition="0">
        <references count="9">
          <reference field="3" count="1" selected="0">
            <x v="587"/>
          </reference>
          <reference field="4" count="1" selected="0">
            <x v="5225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450"/>
          </reference>
          <reference field="19" count="1" selected="0">
            <x v="0"/>
          </reference>
          <reference field="21" count="1" selected="0">
            <x v="24"/>
          </reference>
          <reference field="22" count="1" selected="0">
            <x v="3"/>
          </reference>
          <reference field="24" count="1">
            <x v="2"/>
          </reference>
        </references>
      </pivotArea>
    </format>
    <format dxfId="1629">
      <pivotArea dataOnly="0" labelOnly="1" outline="0" fieldPosition="0">
        <references count="9">
          <reference field="3" count="1" selected="0">
            <x v="599"/>
          </reference>
          <reference field="4" count="1" selected="0">
            <x v="7760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16"/>
          </reference>
          <reference field="19" count="1" selected="0">
            <x v="0"/>
          </reference>
          <reference field="21" count="1" selected="0">
            <x v="22"/>
          </reference>
          <reference field="22" count="1" selected="0">
            <x v="2"/>
          </reference>
          <reference field="24" count="1">
            <x v="0"/>
          </reference>
        </references>
      </pivotArea>
    </format>
    <format dxfId="1628">
      <pivotArea dataOnly="0" labelOnly="1" outline="0" fieldPosition="0">
        <references count="9">
          <reference field="3" count="1" selected="0">
            <x v="622"/>
          </reference>
          <reference field="4" count="1" selected="0">
            <x v="1430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7"/>
          </reference>
          <reference field="19" count="1" selected="0">
            <x v="0"/>
          </reference>
          <reference field="21" count="1" selected="0">
            <x v="21"/>
          </reference>
          <reference field="22" count="1" selected="0">
            <x v="2"/>
          </reference>
          <reference field="24" count="1">
            <x v="2"/>
          </reference>
        </references>
      </pivotArea>
    </format>
    <format dxfId="1627">
      <pivotArea dataOnly="0" labelOnly="1" outline="0" fieldPosition="0">
        <references count="9">
          <reference field="3" count="1" selected="0">
            <x v="625"/>
          </reference>
          <reference field="4" count="1" selected="0">
            <x v="5737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52"/>
          </reference>
          <reference field="19" count="1" selected="0">
            <x v="0"/>
          </reference>
          <reference field="21" count="1" selected="0">
            <x v="25"/>
          </reference>
          <reference field="22" count="1" selected="0">
            <x v="3"/>
          </reference>
          <reference field="24" count="1">
            <x v="4"/>
          </reference>
        </references>
      </pivotArea>
    </format>
    <format dxfId="1626">
      <pivotArea dataOnly="0" labelOnly="1" outline="0" fieldPosition="0">
        <references count="9">
          <reference field="3" count="1" selected="0">
            <x v="683"/>
          </reference>
          <reference field="4" count="1" selected="0">
            <x v="4580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365"/>
          </reference>
          <reference field="19" count="1" selected="0">
            <x v="0"/>
          </reference>
          <reference field="21" count="1" selected="0">
            <x v="20"/>
          </reference>
          <reference field="22" count="1" selected="0">
            <x v="2"/>
          </reference>
          <reference field="24" count="1">
            <x v="2"/>
          </reference>
        </references>
      </pivotArea>
    </format>
    <format dxfId="1625">
      <pivotArea dataOnly="0" labelOnly="1" outline="0" fieldPosition="0">
        <references count="9">
          <reference field="3" count="1" selected="0">
            <x v="695"/>
          </reference>
          <reference field="4" count="1" selected="0">
            <x v="5188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721"/>
          </reference>
          <reference field="19" count="1" selected="0">
            <x v="1"/>
          </reference>
          <reference field="21" count="1" selected="0">
            <x v="19"/>
          </reference>
          <reference field="22" count="1" selected="0">
            <x v="2"/>
          </reference>
          <reference field="24" count="1">
            <x v="0"/>
          </reference>
        </references>
      </pivotArea>
    </format>
    <format dxfId="1624">
      <pivotArea dataOnly="0" labelOnly="1" outline="0" fieldPosition="0">
        <references count="9">
          <reference field="3" count="1" selected="0">
            <x v="709"/>
          </reference>
          <reference field="4" count="1" selected="0">
            <x v="4898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95"/>
          </reference>
          <reference field="19" count="1" selected="0">
            <x v="0"/>
          </reference>
          <reference field="21" count="1" selected="0">
            <x v="18"/>
          </reference>
          <reference field="22" count="1" selected="0">
            <x v="2"/>
          </reference>
          <reference field="24" count="1">
            <x v="3"/>
          </reference>
        </references>
      </pivotArea>
    </format>
    <format dxfId="1623">
      <pivotArea dataOnly="0" labelOnly="1" outline="0" fieldPosition="0">
        <references count="9">
          <reference field="3" count="1" selected="0">
            <x v="718"/>
          </reference>
          <reference field="4" count="1" selected="0">
            <x v="92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62"/>
          </reference>
          <reference field="19" count="1" selected="0">
            <x v="0"/>
          </reference>
          <reference field="21" count="1" selected="0">
            <x v="22"/>
          </reference>
          <reference field="22" count="1" selected="0">
            <x v="2"/>
          </reference>
          <reference field="24" count="1">
            <x v="2"/>
          </reference>
        </references>
      </pivotArea>
    </format>
    <format dxfId="1622">
      <pivotArea dataOnly="0" labelOnly="1" outline="0" fieldPosition="0">
        <references count="9">
          <reference field="3" count="1" selected="0">
            <x v="730"/>
          </reference>
          <reference field="4" count="1" selected="0">
            <x v="6875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34"/>
          </reference>
          <reference field="19" count="1" selected="0">
            <x v="0"/>
          </reference>
          <reference field="21" count="1" selected="0">
            <x v="18"/>
          </reference>
          <reference field="22" count="1" selected="0">
            <x v="2"/>
          </reference>
          <reference field="24" count="1">
            <x v="0"/>
          </reference>
        </references>
      </pivotArea>
    </format>
    <format dxfId="1621">
      <pivotArea dataOnly="0" labelOnly="1" outline="0" fieldPosition="0">
        <references count="9">
          <reference field="3" count="1" selected="0">
            <x v="745"/>
          </reference>
          <reference field="4" count="1" selected="0">
            <x v="6562"/>
          </reference>
          <reference field="11" count="1" selected="0">
            <x v="12"/>
          </reference>
          <reference field="12" count="1" selected="0">
            <x v="12"/>
          </reference>
          <reference field="14" count="1" selected="0">
            <x v="876"/>
          </reference>
          <reference field="19" count="1" selected="0">
            <x v="0"/>
          </reference>
          <reference field="21" count="1" selected="0">
            <x v="18"/>
          </reference>
          <reference field="22" count="1" selected="0">
            <x v="2"/>
          </reference>
          <reference field="24" count="1">
            <x v="2"/>
          </reference>
        </references>
      </pivotArea>
    </format>
    <format dxfId="1620">
      <pivotArea dataOnly="0" labelOnly="1" outline="0" fieldPosition="0">
        <references count="9">
          <reference field="3" count="1" selected="0">
            <x v="756"/>
          </reference>
          <reference field="4" count="1" selected="0">
            <x v="4061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99"/>
          </reference>
          <reference field="19" count="1" selected="0">
            <x v="0"/>
          </reference>
          <reference field="21" count="1" selected="0">
            <x v="19"/>
          </reference>
          <reference field="22" count="1" selected="0">
            <x v="2"/>
          </reference>
          <reference field="24" count="1">
            <x v="3"/>
          </reference>
        </references>
      </pivotArea>
    </format>
    <format dxfId="1619">
      <pivotArea dataOnly="0" labelOnly="1" outline="0" fieldPosition="0">
        <references count="9">
          <reference field="3" count="1" selected="0">
            <x v="759"/>
          </reference>
          <reference field="4" count="1" selected="0">
            <x v="805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07"/>
          </reference>
          <reference field="19" count="1" selected="0">
            <x v="1"/>
          </reference>
          <reference field="21" count="1" selected="0">
            <x v="18"/>
          </reference>
          <reference field="22" count="1" selected="0">
            <x v="2"/>
          </reference>
          <reference field="24" count="1">
            <x v="2"/>
          </reference>
        </references>
      </pivotArea>
    </format>
    <format dxfId="1618">
      <pivotArea dataOnly="0" labelOnly="1" outline="0" fieldPosition="0">
        <references count="9">
          <reference field="3" count="1" selected="0">
            <x v="774"/>
          </reference>
          <reference field="4" count="1" selected="0">
            <x v="2379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468"/>
          </reference>
          <reference field="19" count="1" selected="0">
            <x v="0"/>
          </reference>
          <reference field="21" count="1" selected="0">
            <x v="17"/>
          </reference>
          <reference field="22" count="1" selected="0">
            <x v="2"/>
          </reference>
          <reference field="24" count="1">
            <x v="0"/>
          </reference>
        </references>
      </pivotArea>
    </format>
    <format dxfId="1617">
      <pivotArea dataOnly="0" labelOnly="1" outline="0" fieldPosition="0">
        <references count="9">
          <reference field="3" count="1" selected="0">
            <x v="782"/>
          </reference>
          <reference field="4" count="1" selected="0">
            <x v="1293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263"/>
          </reference>
          <reference field="19" count="1" selected="0">
            <x v="0"/>
          </reference>
          <reference field="21" count="1" selected="0">
            <x v="17"/>
          </reference>
          <reference field="22" count="1" selected="0">
            <x v="2"/>
          </reference>
          <reference field="24" count="1">
            <x v="0"/>
          </reference>
        </references>
      </pivotArea>
    </format>
    <format dxfId="1616">
      <pivotArea dataOnly="0" labelOnly="1" outline="0" fieldPosition="0">
        <references count="9">
          <reference field="3" count="1" selected="0">
            <x v="809"/>
          </reference>
          <reference field="4" count="1" selected="0">
            <x v="6775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116"/>
          </reference>
          <reference field="19" count="1" selected="0">
            <x v="0"/>
          </reference>
          <reference field="21" count="1" selected="0">
            <x v="17"/>
          </reference>
          <reference field="22" count="1" selected="0">
            <x v="2"/>
          </reference>
          <reference field="24" count="1">
            <x v="2"/>
          </reference>
        </references>
      </pivotArea>
    </format>
    <format dxfId="1615">
      <pivotArea dataOnly="0" labelOnly="1" outline="0" fieldPosition="0">
        <references count="9">
          <reference field="3" count="1" selected="0">
            <x v="839"/>
          </reference>
          <reference field="4" count="1" selected="0">
            <x v="7371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219"/>
          </reference>
          <reference field="19" count="1" selected="0">
            <x v="0"/>
          </reference>
          <reference field="21" count="1" selected="0">
            <x v="17"/>
          </reference>
          <reference field="22" count="1" selected="0">
            <x v="2"/>
          </reference>
          <reference field="24" count="1">
            <x v="3"/>
          </reference>
        </references>
      </pivotArea>
    </format>
    <format dxfId="1614">
      <pivotArea dataOnly="0" labelOnly="1" outline="0" fieldPosition="0">
        <references count="9">
          <reference field="3" count="1" selected="0">
            <x v="850"/>
          </reference>
          <reference field="4" count="1" selected="0">
            <x v="1239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73"/>
          </reference>
          <reference field="19" count="1" selected="0">
            <x v="0"/>
          </reference>
          <reference field="21" count="1" selected="0">
            <x v="16"/>
          </reference>
          <reference field="22" count="1" selected="0">
            <x v="2"/>
          </reference>
          <reference field="24" count="1">
            <x v="0"/>
          </reference>
        </references>
      </pivotArea>
    </format>
    <format dxfId="1613">
      <pivotArea dataOnly="0" labelOnly="1" outline="0" fieldPosition="0">
        <references count="9">
          <reference field="3" count="1" selected="0">
            <x v="873"/>
          </reference>
          <reference field="4" count="1" selected="0">
            <x v="6413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72"/>
          </reference>
          <reference field="19" count="1" selected="0">
            <x v="0"/>
          </reference>
          <reference field="21" count="1" selected="0">
            <x v="16"/>
          </reference>
          <reference field="22" count="1" selected="0">
            <x v="2"/>
          </reference>
          <reference field="24" count="1">
            <x v="0"/>
          </reference>
        </references>
      </pivotArea>
    </format>
    <format dxfId="1612">
      <pivotArea dataOnly="0" labelOnly="1" outline="0" fieldPosition="0">
        <references count="9">
          <reference field="3" count="1" selected="0">
            <x v="881"/>
          </reference>
          <reference field="4" count="1" selected="0">
            <x v="2711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291"/>
          </reference>
          <reference field="19" count="1" selected="0">
            <x v="0"/>
          </reference>
          <reference field="21" count="1" selected="0">
            <x v="16"/>
          </reference>
          <reference field="22" count="1" selected="0">
            <x v="2"/>
          </reference>
          <reference field="24" count="1">
            <x v="0"/>
          </reference>
        </references>
      </pivotArea>
    </format>
    <format dxfId="1611">
      <pivotArea dataOnly="0" labelOnly="1" outline="0" fieldPosition="0">
        <references count="9">
          <reference field="3" count="1" selected="0">
            <x v="884"/>
          </reference>
          <reference field="4" count="1" selected="0">
            <x v="6627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100"/>
          </reference>
          <reference field="19" count="1" selected="0">
            <x v="0"/>
          </reference>
          <reference field="21" count="1" selected="0">
            <x v="20"/>
          </reference>
          <reference field="22" count="1" selected="0">
            <x v="2"/>
          </reference>
          <reference field="24" count="1">
            <x v="1"/>
          </reference>
        </references>
      </pivotArea>
    </format>
    <format dxfId="1610">
      <pivotArea dataOnly="0" labelOnly="1" outline="0" fieldPosition="0">
        <references count="9">
          <reference field="3" count="1" selected="0">
            <x v="913"/>
          </reference>
          <reference field="4" count="1" selected="0">
            <x v="5242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813"/>
          </reference>
          <reference field="19" count="1" selected="0">
            <x v="0"/>
          </reference>
          <reference field="21" count="1" selected="0">
            <x v="15"/>
          </reference>
          <reference field="22" count="1" selected="0">
            <x v="2"/>
          </reference>
          <reference field="24" count="1">
            <x v="0"/>
          </reference>
        </references>
      </pivotArea>
    </format>
    <format dxfId="1609">
      <pivotArea dataOnly="0" labelOnly="1" outline="0" fieldPosition="0">
        <references count="9">
          <reference field="3" count="1" selected="0">
            <x v="948"/>
          </reference>
          <reference field="4" count="1" selected="0">
            <x v="1294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97"/>
          </reference>
          <reference field="19" count="1" selected="0">
            <x v="0"/>
          </reference>
          <reference field="21" count="1" selected="0">
            <x v="15"/>
          </reference>
          <reference field="22" count="1" selected="0">
            <x v="2"/>
          </reference>
          <reference field="24" count="1">
            <x v="0"/>
          </reference>
        </references>
      </pivotArea>
    </format>
    <format dxfId="1608">
      <pivotArea dataOnly="0" labelOnly="1" outline="0" fieldPosition="0">
        <references count="9">
          <reference field="3" count="1" selected="0">
            <x v="971"/>
          </reference>
          <reference field="4" count="1" selected="0">
            <x v="3574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180"/>
          </reference>
          <reference field="19" count="1" selected="0">
            <x v="0"/>
          </reference>
          <reference field="21" count="1" selected="0">
            <x v="14"/>
          </reference>
          <reference field="22" count="1" selected="0">
            <x v="2"/>
          </reference>
          <reference field="24" count="1">
            <x v="4"/>
          </reference>
        </references>
      </pivotArea>
    </format>
    <format dxfId="1607">
      <pivotArea dataOnly="0" labelOnly="1" outline="0" fieldPosition="0">
        <references count="9">
          <reference field="3" count="1" selected="0">
            <x v="997"/>
          </reference>
          <reference field="4" count="1" selected="0">
            <x v="1759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867"/>
          </reference>
          <reference field="19" count="1" selected="0">
            <x v="0"/>
          </reference>
          <reference field="21" count="1" selected="0">
            <x v="13"/>
          </reference>
          <reference field="22" count="1" selected="0">
            <x v="1"/>
          </reference>
          <reference field="24" count="1">
            <x v="3"/>
          </reference>
        </references>
      </pivotArea>
    </format>
    <format dxfId="1606">
      <pivotArea dataOnly="0" labelOnly="1" outline="0" fieldPosition="0">
        <references count="9">
          <reference field="3" count="1" selected="0">
            <x v="1003"/>
          </reference>
          <reference field="4" count="1" selected="0">
            <x v="961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99"/>
          </reference>
          <reference field="19" count="1" selected="0">
            <x v="0"/>
          </reference>
          <reference field="21" count="1" selected="0">
            <x v="14"/>
          </reference>
          <reference field="22" count="1" selected="0">
            <x v="2"/>
          </reference>
          <reference field="24" count="1">
            <x v="0"/>
          </reference>
        </references>
      </pivotArea>
    </format>
    <format dxfId="1605">
      <pivotArea dataOnly="0" labelOnly="1" outline="0" fieldPosition="0">
        <references count="9">
          <reference field="3" count="1" selected="0">
            <x v="1011"/>
          </reference>
          <reference field="4" count="1" selected="0">
            <x v="5221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162"/>
          </reference>
          <reference field="19" count="1" selected="0">
            <x v="0"/>
          </reference>
          <reference field="21" count="1" selected="0">
            <x v="15"/>
          </reference>
          <reference field="22" count="1" selected="0">
            <x v="2"/>
          </reference>
          <reference field="24" count="1">
            <x v="7"/>
          </reference>
        </references>
      </pivotArea>
    </format>
    <format dxfId="1604">
      <pivotArea dataOnly="0" labelOnly="1" outline="0" fieldPosition="0">
        <references count="9">
          <reference field="3" count="1" selected="0">
            <x v="1020"/>
          </reference>
          <reference field="4" count="1" selected="0">
            <x v="7538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457"/>
          </reference>
          <reference field="19" count="1" selected="0">
            <x v="0"/>
          </reference>
          <reference field="21" count="1" selected="0">
            <x v="13"/>
          </reference>
          <reference field="22" count="1" selected="0">
            <x v="1"/>
          </reference>
          <reference field="24" count="1">
            <x v="2"/>
          </reference>
        </references>
      </pivotArea>
    </format>
    <format dxfId="1603">
      <pivotArea dataOnly="0" labelOnly="1" outline="0" fieldPosition="0">
        <references count="9">
          <reference field="3" count="1" selected="0">
            <x v="1038"/>
          </reference>
          <reference field="4" count="1" selected="0">
            <x v="5758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291"/>
          </reference>
          <reference field="19" count="1" selected="0">
            <x v="0"/>
          </reference>
          <reference field="21" count="1" selected="0">
            <x v="13"/>
          </reference>
          <reference field="22" count="1" selected="0">
            <x v="1"/>
          </reference>
          <reference field="24" count="1">
            <x v="2"/>
          </reference>
        </references>
      </pivotArea>
    </format>
    <format dxfId="1602">
      <pivotArea dataOnly="0" labelOnly="1" outline="0" fieldPosition="0">
        <references count="9">
          <reference field="3" count="1" selected="0">
            <x v="1040"/>
          </reference>
          <reference field="4" count="1" selected="0">
            <x v="868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137"/>
          </reference>
          <reference field="19" count="1" selected="0">
            <x v="0"/>
          </reference>
          <reference field="21" count="1" selected="0">
            <x v="15"/>
          </reference>
          <reference field="22" count="1" selected="0">
            <x v="2"/>
          </reference>
          <reference field="24" count="1">
            <x v="7"/>
          </reference>
        </references>
      </pivotArea>
    </format>
    <format dxfId="1601">
      <pivotArea dataOnly="0" labelOnly="1" outline="0" fieldPosition="0">
        <references count="9">
          <reference field="3" count="1" selected="0">
            <x v="1066"/>
          </reference>
          <reference field="4" count="1" selected="0">
            <x v="109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535"/>
          </reference>
          <reference field="19" count="1" selected="0">
            <x v="0"/>
          </reference>
          <reference field="21" count="1" selected="0">
            <x v="14"/>
          </reference>
          <reference field="22" count="1" selected="0">
            <x v="2"/>
          </reference>
          <reference field="24" count="1">
            <x v="0"/>
          </reference>
        </references>
      </pivotArea>
    </format>
    <format dxfId="1600">
      <pivotArea dataOnly="0" labelOnly="1" outline="0" fieldPosition="0">
        <references count="9">
          <reference field="3" count="1" selected="0">
            <x v="1069"/>
          </reference>
          <reference field="4" count="1" selected="0">
            <x v="3787"/>
          </reference>
          <reference field="11" count="1" selected="0">
            <x v="11"/>
          </reference>
          <reference field="12" count="1" selected="0">
            <x v="1"/>
          </reference>
          <reference field="14" count="1" selected="0">
            <x v="635"/>
          </reference>
          <reference field="19" count="1" selected="0">
            <x v="0"/>
          </reference>
          <reference field="21" count="1" selected="0">
            <x v="12"/>
          </reference>
          <reference field="22" count="1" selected="0">
            <x v="1"/>
          </reference>
          <reference field="24" count="1">
            <x v="1"/>
          </reference>
        </references>
      </pivotArea>
    </format>
    <format dxfId="1599">
      <pivotArea dataOnly="0" labelOnly="1" outline="0" fieldPosition="0">
        <references count="9">
          <reference field="3" count="1" selected="0">
            <x v="1077"/>
          </reference>
          <reference field="4" count="1" selected="0">
            <x v="6845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289"/>
          </reference>
          <reference field="19" count="1" selected="0">
            <x v="0"/>
          </reference>
          <reference field="21" count="1" selected="0">
            <x v="12"/>
          </reference>
          <reference field="22" count="1" selected="0">
            <x v="1"/>
          </reference>
          <reference field="24" count="1">
            <x v="7"/>
          </reference>
        </references>
      </pivotArea>
    </format>
    <format dxfId="1598">
      <pivotArea dataOnly="0" labelOnly="1" outline="0" fieldPosition="0">
        <references count="9">
          <reference field="3" count="1" selected="0">
            <x v="1113"/>
          </reference>
          <reference field="4" count="1" selected="0">
            <x v="112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74"/>
          </reference>
          <reference field="19" count="1" selected="0">
            <x v="1"/>
          </reference>
          <reference field="21" count="1" selected="0">
            <x v="11"/>
          </reference>
          <reference field="22" count="1" selected="0">
            <x v="1"/>
          </reference>
          <reference field="24" count="1">
            <x v="0"/>
          </reference>
        </references>
      </pivotArea>
    </format>
    <format dxfId="1597">
      <pivotArea dataOnly="0" labelOnly="1" outline="0" fieldPosition="0">
        <references count="9">
          <reference field="3" count="1" selected="0">
            <x v="1129"/>
          </reference>
          <reference field="4" count="1" selected="0">
            <x v="1803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95"/>
          </reference>
          <reference field="19" count="1" selected="0">
            <x v="0"/>
          </reference>
          <reference field="21" count="1" selected="0">
            <x v="17"/>
          </reference>
          <reference field="22" count="1" selected="0">
            <x v="2"/>
          </reference>
          <reference field="24" count="1">
            <x v="0"/>
          </reference>
        </references>
      </pivotArea>
    </format>
    <format dxfId="1596">
      <pivotArea dataOnly="0" labelOnly="1" outline="0" fieldPosition="0">
        <references count="9">
          <reference field="3" count="1" selected="0">
            <x v="1141"/>
          </reference>
          <reference field="4" count="1" selected="0">
            <x v="962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02"/>
          </reference>
          <reference field="19" count="1" selected="0">
            <x v="0"/>
          </reference>
          <reference field="21" count="1" selected="0">
            <x v="12"/>
          </reference>
          <reference field="22" count="1" selected="0">
            <x v="1"/>
          </reference>
          <reference field="24" count="1">
            <x v="3"/>
          </reference>
        </references>
      </pivotArea>
    </format>
    <format dxfId="1595">
      <pivotArea dataOnly="0" labelOnly="1" outline="0" fieldPosition="0">
        <references count="9">
          <reference field="3" count="1" selected="0">
            <x v="1144"/>
          </reference>
          <reference field="4" count="1" selected="0">
            <x v="4719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74"/>
          </reference>
          <reference field="19" count="1" selected="0">
            <x v="1"/>
          </reference>
          <reference field="21" count="1" selected="0">
            <x v="12"/>
          </reference>
          <reference field="22" count="1" selected="0">
            <x v="1"/>
          </reference>
          <reference field="24" count="1">
            <x v="0"/>
          </reference>
        </references>
      </pivotArea>
    </format>
    <format dxfId="1594">
      <pivotArea dataOnly="0" labelOnly="1" outline="0" fieldPosition="0">
        <references count="9">
          <reference field="3" count="1" selected="0">
            <x v="1167"/>
          </reference>
          <reference field="4" count="1" selected="0">
            <x v="6179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552"/>
          </reference>
          <reference field="19" count="1" selected="0">
            <x v="0"/>
          </reference>
          <reference field="21" count="1" selected="0">
            <x v="13"/>
          </reference>
          <reference field="22" count="1" selected="0">
            <x v="1"/>
          </reference>
          <reference field="24" count="1">
            <x v="3"/>
          </reference>
        </references>
      </pivotArea>
    </format>
    <format dxfId="1593">
      <pivotArea dataOnly="0" labelOnly="1" outline="0" fieldPosition="0">
        <references count="9">
          <reference field="3" count="1" selected="0">
            <x v="1189"/>
          </reference>
          <reference field="4" count="1" selected="0">
            <x v="3938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643"/>
          </reference>
          <reference field="19" count="1" selected="0">
            <x v="0"/>
          </reference>
          <reference field="21" count="1" selected="0">
            <x v="10"/>
          </reference>
          <reference field="22" count="1" selected="0">
            <x v="1"/>
          </reference>
          <reference field="24" count="1">
            <x v="7"/>
          </reference>
        </references>
      </pivotArea>
    </format>
    <format dxfId="1592">
      <pivotArea dataOnly="0" labelOnly="1" outline="0" fieldPosition="0">
        <references count="9">
          <reference field="3" count="1" selected="0">
            <x v="1196"/>
          </reference>
          <reference field="4" count="1" selected="0">
            <x v="3719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875"/>
          </reference>
          <reference field="19" count="1" selected="0">
            <x v="0"/>
          </reference>
          <reference field="21" count="1" selected="0">
            <x v="3"/>
          </reference>
          <reference field="22" count="1" selected="0">
            <x v="0"/>
          </reference>
          <reference field="24" count="1">
            <x v="4"/>
          </reference>
        </references>
      </pivotArea>
    </format>
    <format dxfId="1591">
      <pivotArea dataOnly="0" labelOnly="1" outline="0" fieldPosition="0">
        <references count="9">
          <reference field="3" count="1" selected="0">
            <x v="1198"/>
          </reference>
          <reference field="4" count="1" selected="0">
            <x v="143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547"/>
          </reference>
          <reference field="19" count="1" selected="0">
            <x v="0"/>
          </reference>
          <reference field="21" count="1" selected="0">
            <x v="14"/>
          </reference>
          <reference field="22" count="1" selected="0">
            <x v="2"/>
          </reference>
          <reference field="24" count="1">
            <x v="0"/>
          </reference>
        </references>
      </pivotArea>
    </format>
    <format dxfId="1590">
      <pivotArea dataOnly="0" labelOnly="1" outline="0" fieldPosition="0">
        <references count="9">
          <reference field="3" count="1" selected="0">
            <x v="1204"/>
          </reference>
          <reference field="4" count="1" selected="0">
            <x v="2183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759"/>
          </reference>
          <reference field="19" count="1" selected="0">
            <x v="0"/>
          </reference>
          <reference field="21" count="1" selected="0">
            <x v="3"/>
          </reference>
          <reference field="22" count="1" selected="0">
            <x v="0"/>
          </reference>
          <reference field="24" count="1">
            <x v="3"/>
          </reference>
        </references>
      </pivotArea>
    </format>
    <format dxfId="1589">
      <pivotArea dataOnly="0" labelOnly="1" outline="0" fieldPosition="0">
        <references count="9">
          <reference field="3" count="1" selected="0">
            <x v="1210"/>
          </reference>
          <reference field="4" count="1" selected="0">
            <x v="4917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554"/>
          </reference>
          <reference field="19" count="1" selected="0">
            <x v="0"/>
          </reference>
          <reference field="21" count="1" selected="0">
            <x v="6"/>
          </reference>
          <reference field="22" count="1" selected="0">
            <x v="1"/>
          </reference>
          <reference field="24" count="1">
            <x v="7"/>
          </reference>
        </references>
      </pivotArea>
    </format>
    <format dxfId="1588">
      <pivotArea dataOnly="0" labelOnly="1" outline="0" fieldPosition="0">
        <references count="9">
          <reference field="3" count="1" selected="0">
            <x v="1222"/>
          </reference>
          <reference field="4" count="1" selected="0">
            <x v="2602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605"/>
          </reference>
          <reference field="19" count="1" selected="0">
            <x v="0"/>
          </reference>
          <reference field="21" count="1" selected="0">
            <x v="4"/>
          </reference>
          <reference field="22" count="1" selected="0">
            <x v="0"/>
          </reference>
          <reference field="24" count="1">
            <x v="1"/>
          </reference>
        </references>
      </pivotArea>
    </format>
    <format dxfId="1587">
      <pivotArea dataOnly="0" labelOnly="1" outline="0" fieldPosition="0">
        <references count="9">
          <reference field="3" count="1" selected="0">
            <x v="1226"/>
          </reference>
          <reference field="4" count="1" selected="0">
            <x v="3567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480"/>
          </reference>
          <reference field="19" count="1" selected="0">
            <x v="0"/>
          </reference>
          <reference field="21" count="1" selected="0">
            <x v="8"/>
          </reference>
          <reference field="22" count="1" selected="0">
            <x v="1"/>
          </reference>
          <reference field="24" count="1">
            <x v="0"/>
          </reference>
        </references>
      </pivotArea>
    </format>
    <format dxfId="1586">
      <pivotArea dataOnly="0" labelOnly="1" outline="0" fieldPosition="0">
        <references count="9">
          <reference field="3" count="1" selected="0">
            <x v="1261"/>
          </reference>
          <reference field="4" count="1" selected="0">
            <x v="4852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423"/>
          </reference>
          <reference field="19" count="1" selected="0">
            <x v="0"/>
          </reference>
          <reference field="21" count="1" selected="0">
            <x v="10"/>
          </reference>
          <reference field="22" count="1" selected="0">
            <x v="1"/>
          </reference>
          <reference field="24" count="1">
            <x v="3"/>
          </reference>
        </references>
      </pivotArea>
    </format>
    <format dxfId="1585">
      <pivotArea dataOnly="0" labelOnly="1" outline="0" fieldPosition="0">
        <references count="9">
          <reference field="3" count="1" selected="0">
            <x v="1262"/>
          </reference>
          <reference field="4" count="1" selected="0">
            <x v="6041"/>
          </reference>
          <reference field="11" count="1" selected="0">
            <x v="12"/>
          </reference>
          <reference field="12" count="1" selected="0">
            <x v="19"/>
          </reference>
          <reference field="14" count="1" selected="0">
            <x v="876"/>
          </reference>
          <reference field="19" count="1" selected="0">
            <x v="0"/>
          </reference>
          <reference field="21" count="1" selected="0">
            <x v="4"/>
          </reference>
          <reference field="22" count="1" selected="0">
            <x v="0"/>
          </reference>
          <reference field="24" count="1">
            <x v="2"/>
          </reference>
        </references>
      </pivotArea>
    </format>
    <format dxfId="1584">
      <pivotArea dataOnly="0" labelOnly="1" outline="0" fieldPosition="0">
        <references count="9">
          <reference field="3" count="1" selected="0">
            <x v="1285"/>
          </reference>
          <reference field="4" count="1" selected="0">
            <x v="4354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780"/>
          </reference>
          <reference field="19" count="1" selected="0">
            <x v="0"/>
          </reference>
          <reference field="21" count="1" selected="0">
            <x v="10"/>
          </reference>
          <reference field="22" count="1" selected="0">
            <x v="1"/>
          </reference>
          <reference field="24" count="1">
            <x v="2"/>
          </reference>
        </references>
      </pivotArea>
    </format>
    <format dxfId="1583">
      <pivotArea dataOnly="0" labelOnly="1" outline="0" fieldPosition="0">
        <references count="9">
          <reference field="3" count="1" selected="0">
            <x v="1288"/>
          </reference>
          <reference field="4" count="1" selected="0">
            <x v="7233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495"/>
          </reference>
          <reference field="19" count="1" selected="0">
            <x v="0"/>
          </reference>
          <reference field="21" count="1" selected="0">
            <x v="12"/>
          </reference>
          <reference field="22" count="1" selected="0">
            <x v="1"/>
          </reference>
          <reference field="24" count="1">
            <x v="4"/>
          </reference>
        </references>
      </pivotArea>
    </format>
    <format dxfId="1582">
      <pivotArea dataOnly="0" labelOnly="1" outline="0" fieldPosition="0">
        <references count="9">
          <reference field="3" count="1" selected="0">
            <x v="1291"/>
          </reference>
          <reference field="4" count="1" selected="0">
            <x v="2404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555"/>
          </reference>
          <reference field="19" count="1" selected="0">
            <x v="0"/>
          </reference>
          <reference field="21" count="1" selected="0">
            <x v="9"/>
          </reference>
          <reference field="22" count="1" selected="0">
            <x v="1"/>
          </reference>
          <reference field="24" count="1">
            <x v="2"/>
          </reference>
        </references>
      </pivotArea>
    </format>
    <format dxfId="1581">
      <pivotArea dataOnly="0" labelOnly="1" outline="0" fieldPosition="0">
        <references count="9">
          <reference field="3" count="1" selected="0">
            <x v="1318"/>
          </reference>
          <reference field="4" count="1" selected="0">
            <x v="4357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81"/>
          </reference>
          <reference field="19" count="1" selected="0">
            <x v="0"/>
          </reference>
          <reference field="21" count="1" selected="0">
            <x v="12"/>
          </reference>
          <reference field="22" count="1" selected="0">
            <x v="1"/>
          </reference>
          <reference field="24" count="1">
            <x v="2"/>
          </reference>
        </references>
      </pivotArea>
    </format>
    <format dxfId="1580">
      <pivotArea dataOnly="0" labelOnly="1" outline="0" fieldPosition="0">
        <references count="9">
          <reference field="3" count="1" selected="0">
            <x v="1343"/>
          </reference>
          <reference field="4" count="1" selected="0">
            <x v="4224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745"/>
          </reference>
          <reference field="19" count="1" selected="0">
            <x v="0"/>
          </reference>
          <reference field="21" count="1" selected="0">
            <x v="5"/>
          </reference>
          <reference field="22" count="1" selected="0">
            <x v="0"/>
          </reference>
          <reference field="24" count="1">
            <x v="7"/>
          </reference>
        </references>
      </pivotArea>
    </format>
    <format dxfId="1579">
      <pivotArea dataOnly="0" labelOnly="1" outline="0" fieldPosition="0">
        <references count="9">
          <reference field="3" count="1" selected="0">
            <x v="1353"/>
          </reference>
          <reference field="4" count="1" selected="0">
            <x v="7033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474"/>
          </reference>
          <reference field="19" count="1" selected="0">
            <x v="0"/>
          </reference>
          <reference field="21" count="1" selected="0">
            <x v="8"/>
          </reference>
          <reference field="22" count="1" selected="0">
            <x v="1"/>
          </reference>
          <reference field="24" count="1">
            <x v="2"/>
          </reference>
        </references>
      </pivotArea>
    </format>
    <format dxfId="1578">
      <pivotArea dataOnly="0" labelOnly="1" outline="0" fieldPosition="0">
        <references count="9">
          <reference field="3" count="1" selected="0">
            <x v="1383"/>
          </reference>
          <reference field="4" count="1" selected="0">
            <x v="3868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03"/>
          </reference>
          <reference field="19" count="1" selected="0">
            <x v="0"/>
          </reference>
          <reference field="21" count="1" selected="0">
            <x v="4"/>
          </reference>
          <reference field="22" count="1" selected="0">
            <x v="0"/>
          </reference>
          <reference field="24" count="1">
            <x v="2"/>
          </reference>
        </references>
      </pivotArea>
    </format>
    <format dxfId="1577">
      <pivotArea dataOnly="0" labelOnly="1" outline="0" fieldPosition="0">
        <references count="9">
          <reference field="3" count="1" selected="0">
            <x v="1391"/>
          </reference>
          <reference field="4" count="1" selected="0">
            <x v="3674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260"/>
          </reference>
          <reference field="19" count="1" selected="0">
            <x v="0"/>
          </reference>
          <reference field="21" count="1" selected="0">
            <x v="12"/>
          </reference>
          <reference field="22" count="1" selected="0">
            <x v="1"/>
          </reference>
          <reference field="24" count="1">
            <x v="7"/>
          </reference>
        </references>
      </pivotArea>
    </format>
    <format dxfId="1576">
      <pivotArea dataOnly="0" labelOnly="1" outline="0" fieldPosition="0">
        <references count="9">
          <reference field="3" count="1" selected="0">
            <x v="1415"/>
          </reference>
          <reference field="4" count="1" selected="0">
            <x v="65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99"/>
          </reference>
          <reference field="19" count="1" selected="0">
            <x v="0"/>
          </reference>
          <reference field="21" count="1" selected="0">
            <x v="11"/>
          </reference>
          <reference field="22" count="1" selected="0">
            <x v="1"/>
          </reference>
          <reference field="24" count="1">
            <x v="7"/>
          </reference>
        </references>
      </pivotArea>
    </format>
    <format dxfId="1575">
      <pivotArea dataOnly="0" labelOnly="1" outline="0" fieldPosition="0">
        <references count="9">
          <reference field="3" count="1" selected="0">
            <x v="1427"/>
          </reference>
          <reference field="4" count="1" selected="0">
            <x v="7919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29"/>
          </reference>
          <reference field="19" count="1" selected="0">
            <x v="1"/>
          </reference>
          <reference field="21" count="1" selected="0">
            <x v="6"/>
          </reference>
          <reference field="22" count="1" selected="0">
            <x v="1"/>
          </reference>
          <reference field="24" count="1">
            <x v="2"/>
          </reference>
        </references>
      </pivotArea>
    </format>
    <format dxfId="1574">
      <pivotArea dataOnly="0" labelOnly="1" outline="0" fieldPosition="0">
        <references count="9">
          <reference field="3" count="1" selected="0">
            <x v="1435"/>
          </reference>
          <reference field="4" count="1" selected="0">
            <x v="3236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751"/>
          </reference>
          <reference field="19" count="1" selected="0">
            <x v="0"/>
          </reference>
          <reference field="21" count="1" selected="0">
            <x v="10"/>
          </reference>
          <reference field="22" count="1" selected="0">
            <x v="1"/>
          </reference>
          <reference field="24" count="1">
            <x v="0"/>
          </reference>
        </references>
      </pivotArea>
    </format>
    <format dxfId="1573">
      <pivotArea dataOnly="0" labelOnly="1" outline="0" fieldPosition="0">
        <references count="9">
          <reference field="3" count="1" selected="0">
            <x v="1449"/>
          </reference>
          <reference field="4" count="1" selected="0">
            <x v="124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871"/>
          </reference>
          <reference field="19" count="1" selected="0">
            <x v="0"/>
          </reference>
          <reference field="21" count="1" selected="0">
            <x v="8"/>
          </reference>
          <reference field="22" count="1" selected="0">
            <x v="1"/>
          </reference>
          <reference field="24" count="1">
            <x v="7"/>
          </reference>
        </references>
      </pivotArea>
    </format>
    <format dxfId="1572">
      <pivotArea dataOnly="0" labelOnly="1" outline="0" fieldPosition="0">
        <references count="9">
          <reference field="3" count="1" selected="0">
            <x v="1452"/>
          </reference>
          <reference field="4" count="1" selected="0">
            <x v="5876"/>
          </reference>
          <reference field="11" count="1" selected="0">
            <x v="12"/>
          </reference>
          <reference field="12" count="1" selected="0">
            <x v="7"/>
          </reference>
          <reference field="14" count="1" selected="0">
            <x v="794"/>
          </reference>
          <reference field="19" count="1" selected="0">
            <x v="1"/>
          </reference>
          <reference field="21" count="1" selected="0">
            <x v="13"/>
          </reference>
          <reference field="22" count="1" selected="0">
            <x v="1"/>
          </reference>
          <reference field="24" count="1">
            <x v="0"/>
          </reference>
        </references>
      </pivotArea>
    </format>
    <format dxfId="1571">
      <pivotArea dataOnly="0" labelOnly="1" outline="0" fieldPosition="0">
        <references count="9">
          <reference field="3" count="1" selected="0">
            <x v="1482"/>
          </reference>
          <reference field="4" count="1" selected="0">
            <x v="806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346"/>
          </reference>
          <reference field="19" count="1" selected="0">
            <x v="0"/>
          </reference>
          <reference field="21" count="1" selected="0">
            <x v="6"/>
          </reference>
          <reference field="22" count="1" selected="0">
            <x v="1"/>
          </reference>
          <reference field="24" count="1">
            <x v="3"/>
          </reference>
        </references>
      </pivotArea>
    </format>
    <format dxfId="1570">
      <pivotArea dataOnly="0" labelOnly="1" outline="0" fieldPosition="0">
        <references count="9">
          <reference field="3" count="1" selected="0">
            <x v="1511"/>
          </reference>
          <reference field="4" count="1" selected="0">
            <x v="3546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537"/>
          </reference>
          <reference field="19" count="1" selected="0">
            <x v="0"/>
          </reference>
          <reference field="21" count="1" selected="0">
            <x v="3"/>
          </reference>
          <reference field="22" count="1" selected="0">
            <x v="0"/>
          </reference>
          <reference field="24" count="1">
            <x v="3"/>
          </reference>
        </references>
      </pivotArea>
    </format>
    <format dxfId="1569">
      <pivotArea dataOnly="0" labelOnly="1" outline="0" fieldPosition="0">
        <references count="9">
          <reference field="3" count="1" selected="0">
            <x v="1512"/>
          </reference>
          <reference field="4" count="1" selected="0">
            <x v="6736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529"/>
          </reference>
          <reference field="19" count="1" selected="0">
            <x v="0"/>
          </reference>
          <reference field="21" count="1" selected="0">
            <x v="9"/>
          </reference>
          <reference field="22" count="1" selected="0">
            <x v="1"/>
          </reference>
          <reference field="24" count="1">
            <x v="7"/>
          </reference>
        </references>
      </pivotArea>
    </format>
    <format dxfId="1568">
      <pivotArea dataOnly="0" labelOnly="1" outline="0" fieldPosition="0">
        <references count="9">
          <reference field="3" count="1" selected="0">
            <x v="1514"/>
          </reference>
          <reference field="4" count="1" selected="0">
            <x v="4979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864"/>
          </reference>
          <reference field="19" count="1" selected="0">
            <x v="0"/>
          </reference>
          <reference field="21" count="1" selected="0">
            <x v="9"/>
          </reference>
          <reference field="22" count="1" selected="0">
            <x v="1"/>
          </reference>
          <reference field="24" count="1">
            <x v="4"/>
          </reference>
        </references>
      </pivotArea>
    </format>
    <format dxfId="1567">
      <pivotArea dataOnly="0" labelOnly="1" outline="0" fieldPosition="0">
        <references count="9">
          <reference field="3" count="1" selected="0">
            <x v="1515"/>
          </reference>
          <reference field="4" count="1" selected="0">
            <x v="6928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442"/>
          </reference>
          <reference field="19" count="1" selected="0">
            <x v="0"/>
          </reference>
          <reference field="21" count="1" selected="0">
            <x v="6"/>
          </reference>
          <reference field="22" count="1" selected="0">
            <x v="1"/>
          </reference>
          <reference field="24" count="1">
            <x v="7"/>
          </reference>
        </references>
      </pivotArea>
    </format>
    <format dxfId="1566">
      <pivotArea dataOnly="0" labelOnly="1" outline="0" fieldPosition="0">
        <references count="9">
          <reference field="3" count="1" selected="0">
            <x v="1534"/>
          </reference>
          <reference field="4" count="1" selected="0">
            <x v="5622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394"/>
          </reference>
          <reference field="19" count="1" selected="0">
            <x v="0"/>
          </reference>
          <reference field="21" count="1" selected="0">
            <x v="8"/>
          </reference>
          <reference field="22" count="1" selected="0">
            <x v="1"/>
          </reference>
          <reference field="24" count="1">
            <x v="2"/>
          </reference>
        </references>
      </pivotArea>
    </format>
    <format dxfId="1565">
      <pivotArea dataOnly="0" labelOnly="1" outline="0" fieldPosition="0">
        <references count="9">
          <reference field="3" count="1" selected="0">
            <x v="1564"/>
          </reference>
          <reference field="4" count="1" selected="0">
            <x v="5654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855"/>
          </reference>
          <reference field="19" count="1" selected="0">
            <x v="0"/>
          </reference>
          <reference field="21" count="1" selected="0">
            <x v="4"/>
          </reference>
          <reference field="22" count="1" selected="0">
            <x v="0"/>
          </reference>
          <reference field="24" count="1">
            <x v="4"/>
          </reference>
        </references>
      </pivotArea>
    </format>
    <format dxfId="1564">
      <pivotArea dataOnly="0" labelOnly="1" outline="0" fieldPosition="0">
        <references count="9">
          <reference field="3" count="1" selected="0">
            <x v="1619"/>
          </reference>
          <reference field="4" count="1" selected="0">
            <x v="669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872"/>
          </reference>
          <reference field="19" count="1" selected="0">
            <x v="0"/>
          </reference>
          <reference field="21" count="1" selected="0">
            <x v="8"/>
          </reference>
          <reference field="22" count="1" selected="0">
            <x v="1"/>
          </reference>
          <reference field="24" count="1">
            <x v="4"/>
          </reference>
        </references>
      </pivotArea>
    </format>
    <format dxfId="1563">
      <pivotArea dataOnly="0" labelOnly="1" outline="0" fieldPosition="0">
        <references count="9">
          <reference field="3" count="1" selected="0">
            <x v="1626"/>
          </reference>
          <reference field="4" count="1" selected="0">
            <x v="2269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74"/>
          </reference>
          <reference field="19" count="1" selected="0">
            <x v="1"/>
          </reference>
          <reference field="21" count="1" selected="0">
            <x v="7"/>
          </reference>
          <reference field="22" count="1" selected="0">
            <x v="1"/>
          </reference>
          <reference field="24" count="1">
            <x v="0"/>
          </reference>
        </references>
      </pivotArea>
    </format>
    <format dxfId="1562">
      <pivotArea dataOnly="0" labelOnly="1" outline="0" fieldPosition="0">
        <references count="9">
          <reference field="3" count="1" selected="0">
            <x v="1645"/>
          </reference>
          <reference field="4" count="1" selected="0">
            <x v="4209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57"/>
          </reference>
          <reference field="19" count="1" selected="0">
            <x v="0"/>
          </reference>
          <reference field="21" count="1" selected="0">
            <x v="9"/>
          </reference>
          <reference field="22" count="1" selected="0">
            <x v="1"/>
          </reference>
          <reference field="24" count="1">
            <x v="4"/>
          </reference>
        </references>
      </pivotArea>
    </format>
    <format dxfId="1561">
      <pivotArea dataOnly="0" labelOnly="1" outline="0" fieldPosition="0">
        <references count="9">
          <reference field="3" count="1" selected="0">
            <x v="1647"/>
          </reference>
          <reference field="4" count="1" selected="0">
            <x v="7792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67"/>
          </reference>
          <reference field="19" count="1" selected="0">
            <x v="0"/>
          </reference>
          <reference field="21" count="1" selected="0">
            <x v="7"/>
          </reference>
          <reference field="22" count="1" selected="0">
            <x v="1"/>
          </reference>
          <reference field="24" count="1">
            <x v="0"/>
          </reference>
        </references>
      </pivotArea>
    </format>
    <format dxfId="1560">
      <pivotArea dataOnly="0" labelOnly="1" outline="0" fieldPosition="0">
        <references count="9">
          <reference field="3" count="1" selected="0">
            <x v="1687"/>
          </reference>
          <reference field="4" count="1" selected="0">
            <x v="4075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849"/>
          </reference>
          <reference field="19" count="1" selected="0">
            <x v="0"/>
          </reference>
          <reference field="21" count="1" selected="0">
            <x v="3"/>
          </reference>
          <reference field="22" count="1" selected="0">
            <x v="0"/>
          </reference>
          <reference field="24" count="1">
            <x v="7"/>
          </reference>
        </references>
      </pivotArea>
    </format>
    <format dxfId="1559">
      <pivotArea dataOnly="0" labelOnly="1" outline="0" fieldPosition="0">
        <references count="9">
          <reference field="3" count="1" selected="0">
            <x v="1712"/>
          </reference>
          <reference field="4" count="1" selected="0">
            <x v="5408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346"/>
          </reference>
          <reference field="19" count="1" selected="0">
            <x v="0"/>
          </reference>
          <reference field="21" count="1" selected="0">
            <x v="33"/>
          </reference>
          <reference field="22" count="1" selected="0">
            <x v="4"/>
          </reference>
          <reference field="24" count="1">
            <x v="2"/>
          </reference>
        </references>
      </pivotArea>
    </format>
    <format dxfId="1558">
      <pivotArea dataOnly="0" labelOnly="1" outline="0" fieldPosition="0">
        <references count="9">
          <reference field="3" count="1" selected="0">
            <x v="1715"/>
          </reference>
          <reference field="4" count="1" selected="0">
            <x v="1667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276"/>
          </reference>
          <reference field="19" count="1" selected="0">
            <x v="0"/>
          </reference>
          <reference field="21" count="1" selected="0">
            <x v="29"/>
          </reference>
          <reference field="22" count="1" selected="0">
            <x v="3"/>
          </reference>
          <reference field="24" count="1">
            <x v="2"/>
          </reference>
        </references>
      </pivotArea>
    </format>
    <format dxfId="1557">
      <pivotArea dataOnly="0" labelOnly="1" outline="0" fieldPosition="0">
        <references count="9">
          <reference field="3" count="1" selected="0">
            <x v="1717"/>
          </reference>
          <reference field="4" count="1" selected="0">
            <x v="7778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144"/>
          </reference>
          <reference field="19" count="1" selected="0">
            <x v="0"/>
          </reference>
          <reference field="21" count="1" selected="0">
            <x v="8"/>
          </reference>
          <reference field="22" count="1" selected="0">
            <x v="1"/>
          </reference>
          <reference field="24" count="1">
            <x v="7"/>
          </reference>
        </references>
      </pivotArea>
    </format>
    <format dxfId="1556">
      <pivotArea dataOnly="0" labelOnly="1" outline="0" fieldPosition="0">
        <references count="9">
          <reference field="3" count="1" selected="0">
            <x v="1720"/>
          </reference>
          <reference field="4" count="1" selected="0">
            <x v="3488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81"/>
          </reference>
          <reference field="19" count="1" selected="0">
            <x v="0"/>
          </reference>
          <reference field="21" count="1" selected="0">
            <x v="27"/>
          </reference>
          <reference field="22" count="1" selected="0">
            <x v="3"/>
          </reference>
          <reference field="24" count="1">
            <x v="2"/>
          </reference>
        </references>
      </pivotArea>
    </format>
    <format dxfId="1555">
      <pivotArea dataOnly="0" labelOnly="1" outline="0" fieldPosition="0">
        <references count="9">
          <reference field="3" count="1" selected="0">
            <x v="1741"/>
          </reference>
          <reference field="4" count="1" selected="0">
            <x v="3358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644"/>
          </reference>
          <reference field="19" count="1" selected="0">
            <x v="0"/>
          </reference>
          <reference field="21" count="1" selected="0">
            <x v="40"/>
          </reference>
          <reference field="22" count="1" selected="0">
            <x v="4"/>
          </reference>
          <reference field="24" count="1">
            <x v="7"/>
          </reference>
        </references>
      </pivotArea>
    </format>
    <format dxfId="1554">
      <pivotArea dataOnly="0" labelOnly="1" outline="0" fieldPosition="0">
        <references count="9">
          <reference field="3" count="1" selected="0">
            <x v="1746"/>
          </reference>
          <reference field="4" count="1" selected="0">
            <x v="274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429"/>
          </reference>
          <reference field="19" count="1" selected="0">
            <x v="0"/>
          </reference>
          <reference field="21" count="1" selected="0">
            <x v="31"/>
          </reference>
          <reference field="22" count="1" selected="0">
            <x v="3"/>
          </reference>
          <reference field="24" count="1">
            <x v="0"/>
          </reference>
        </references>
      </pivotArea>
    </format>
    <format dxfId="1553">
      <pivotArea dataOnly="0" labelOnly="1" outline="0" fieldPosition="0">
        <references count="9">
          <reference field="3" count="1" selected="0">
            <x v="1747"/>
          </reference>
          <reference field="4" count="1" selected="0">
            <x v="7928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69"/>
          </reference>
          <reference field="19" count="1" selected="0">
            <x v="0"/>
          </reference>
          <reference field="21" count="1" selected="0">
            <x v="27"/>
          </reference>
          <reference field="22" count="1" selected="0">
            <x v="3"/>
          </reference>
          <reference field="24" count="1">
            <x v="2"/>
          </reference>
        </references>
      </pivotArea>
    </format>
    <format dxfId="1552">
      <pivotArea dataOnly="0" labelOnly="1" outline="0" fieldPosition="0">
        <references count="9">
          <reference field="3" count="1" selected="0">
            <x v="1748"/>
          </reference>
          <reference field="4" count="1" selected="0">
            <x v="5673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73"/>
          </reference>
          <reference field="19" count="1" selected="0">
            <x v="0"/>
          </reference>
          <reference field="21" count="1" selected="0">
            <x v="26"/>
          </reference>
          <reference field="22" count="1" selected="0">
            <x v="3"/>
          </reference>
          <reference field="24" count="1">
            <x v="2"/>
          </reference>
        </references>
      </pivotArea>
    </format>
    <format dxfId="1551">
      <pivotArea dataOnly="0" labelOnly="1" outline="0" fieldPosition="0">
        <references count="9">
          <reference field="3" count="1" selected="0">
            <x v="1750"/>
          </reference>
          <reference field="4" count="1" selected="0">
            <x v="3711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417"/>
          </reference>
          <reference field="19" count="1" selected="0">
            <x v="0"/>
          </reference>
          <reference field="21" count="1" selected="0">
            <x v="23"/>
          </reference>
          <reference field="22" count="1" selected="0">
            <x v="3"/>
          </reference>
          <reference field="24" count="1">
            <x v="2"/>
          </reference>
        </references>
      </pivotArea>
    </format>
    <format dxfId="1550">
      <pivotArea dataOnly="0" labelOnly="1" outline="0" fieldPosition="0">
        <references count="9">
          <reference field="3" count="1" selected="0">
            <x v="1753"/>
          </reference>
          <reference field="4" count="1" selected="0">
            <x v="4606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324"/>
          </reference>
          <reference field="19" count="1" selected="0">
            <x v="0"/>
          </reference>
          <reference field="21" count="1" selected="0">
            <x v="19"/>
          </reference>
          <reference field="22" count="1" selected="0">
            <x v="2"/>
          </reference>
          <reference field="24" count="1">
            <x v="7"/>
          </reference>
        </references>
      </pivotArea>
    </format>
    <format dxfId="1549">
      <pivotArea dataOnly="0" labelOnly="1" outline="0" fieldPosition="0">
        <references count="9">
          <reference field="3" count="1" selected="0">
            <x v="1758"/>
          </reference>
          <reference field="4" count="1" selected="0">
            <x v="982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06"/>
          </reference>
          <reference field="19" count="1" selected="0">
            <x v="0"/>
          </reference>
          <reference field="21" count="1" selected="0">
            <x v="13"/>
          </reference>
          <reference field="22" count="1" selected="0">
            <x v="1"/>
          </reference>
          <reference field="24" count="1">
            <x v="0"/>
          </reference>
        </references>
      </pivotArea>
    </format>
    <format dxfId="1548">
      <pivotArea dataOnly="0" labelOnly="1" outline="0" fieldPosition="0">
        <references count="9">
          <reference field="3" count="1" selected="0">
            <x v="1761"/>
          </reference>
          <reference field="4" count="1" selected="0">
            <x v="737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293"/>
          </reference>
          <reference field="19" count="1" selected="0">
            <x v="0"/>
          </reference>
          <reference field="21" count="1" selected="0">
            <x v="17"/>
          </reference>
          <reference field="22" count="1" selected="0">
            <x v="2"/>
          </reference>
          <reference field="24" count="1">
            <x v="2"/>
          </reference>
        </references>
      </pivotArea>
    </format>
    <format dxfId="1547">
      <pivotArea dataOnly="0" labelOnly="1" outline="0" fieldPosition="0">
        <references count="9">
          <reference field="3" count="1" selected="0">
            <x v="1765"/>
          </reference>
          <reference field="4" count="1" selected="0">
            <x v="1864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771"/>
          </reference>
          <reference field="19" count="1" selected="0">
            <x v="0"/>
          </reference>
          <reference field="21" count="1" selected="0">
            <x v="10"/>
          </reference>
          <reference field="22" count="1" selected="0">
            <x v="1"/>
          </reference>
          <reference field="24" count="1">
            <x v="0"/>
          </reference>
        </references>
      </pivotArea>
    </format>
    <format dxfId="1546">
      <pivotArea dataOnly="0" labelOnly="1" outline="0" fieldPosition="0">
        <references count="9">
          <reference field="3" count="1" selected="0">
            <x v="1767"/>
          </reference>
          <reference field="4" count="1" selected="0">
            <x v="164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819"/>
          </reference>
          <reference field="19" count="1" selected="0">
            <x v="0"/>
          </reference>
          <reference field="21" count="1" selected="0">
            <x v="5"/>
          </reference>
          <reference field="22" count="1" selected="0">
            <x v="0"/>
          </reference>
          <reference field="24" count="1">
            <x v="2"/>
          </reference>
        </references>
      </pivotArea>
    </format>
    <format dxfId="1545">
      <pivotArea dataOnly="0" labelOnly="1" outline="0" fieldPosition="0">
        <references count="9">
          <reference field="3" count="1" selected="0">
            <x v="1771"/>
          </reference>
          <reference field="4" count="1" selected="0">
            <x v="5981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19"/>
          </reference>
          <reference field="19" count="1" selected="0">
            <x v="0"/>
          </reference>
          <reference field="21" count="1" selected="0">
            <x v="5"/>
          </reference>
          <reference field="22" count="1" selected="0">
            <x v="0"/>
          </reference>
          <reference field="24" count="1">
            <x v="2"/>
          </reference>
        </references>
      </pivotArea>
    </format>
    <format dxfId="1544">
      <pivotArea dataOnly="0" labelOnly="1" outline="0" fieldPosition="0">
        <references count="9">
          <reference field="3" count="1" selected="0">
            <x v="1783"/>
          </reference>
          <reference field="4" count="1" selected="0">
            <x v="2233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605"/>
          </reference>
          <reference field="19" count="1" selected="0">
            <x v="0"/>
          </reference>
          <reference field="21" count="1" selected="0">
            <x v="9"/>
          </reference>
          <reference field="22" count="1" selected="0">
            <x v="1"/>
          </reference>
          <reference field="24" count="1">
            <x v="2"/>
          </reference>
        </references>
      </pivotArea>
    </format>
    <format dxfId="1543">
      <pivotArea dataOnly="0" labelOnly="1" outline="0" fieldPosition="0">
        <references count="9">
          <reference field="3" count="1" selected="0">
            <x v="1784"/>
          </reference>
          <reference field="4" count="1" selected="0">
            <x v="6326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768"/>
          </reference>
          <reference field="19" count="1" selected="0">
            <x v="0"/>
          </reference>
          <reference field="21" count="1" selected="0">
            <x v="6"/>
          </reference>
          <reference field="22" count="1" selected="0">
            <x v="1"/>
          </reference>
          <reference field="24" count="1">
            <x v="3"/>
          </reference>
        </references>
      </pivotArea>
    </format>
    <format dxfId="1542">
      <pivotArea dataOnly="0" labelOnly="1" outline="0" fieldPosition="0">
        <references count="9">
          <reference field="3" count="1" selected="0">
            <x v="1785"/>
          </reference>
          <reference field="4" count="1" selected="0">
            <x v="693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640"/>
          </reference>
          <reference field="19" count="1" selected="0">
            <x v="0"/>
          </reference>
          <reference field="21" count="1" selected="0">
            <x v="8"/>
          </reference>
          <reference field="22" count="1" selected="0">
            <x v="1"/>
          </reference>
          <reference field="24" count="1">
            <x v="2"/>
          </reference>
        </references>
      </pivotArea>
    </format>
    <format dxfId="1541">
      <pivotArea dataOnly="0" labelOnly="1" outline="0" fieldPosition="0">
        <references count="9">
          <reference field="3" count="1" selected="0">
            <x v="1786"/>
          </reference>
          <reference field="4" count="1" selected="0">
            <x v="597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406"/>
          </reference>
          <reference field="19" count="1" selected="0">
            <x v="0"/>
          </reference>
          <reference field="21" count="1" selected="0">
            <x v="11"/>
          </reference>
          <reference field="22" count="1" selected="0">
            <x v="1"/>
          </reference>
          <reference field="24" count="1">
            <x v="0"/>
          </reference>
        </references>
      </pivotArea>
    </format>
    <format dxfId="1540">
      <pivotArea dataOnly="0" labelOnly="1" outline="0" fieldPosition="0">
        <references count="9">
          <reference field="3" count="1" selected="0">
            <x v="1789"/>
          </reference>
          <reference field="4" count="1" selected="0">
            <x v="7567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472"/>
          </reference>
          <reference field="19" count="1" selected="0">
            <x v="0"/>
          </reference>
          <reference field="21" count="1" selected="0">
            <x v="10"/>
          </reference>
          <reference field="22" count="1" selected="0">
            <x v="1"/>
          </reference>
          <reference field="24" count="1">
            <x v="0"/>
          </reference>
        </references>
      </pivotArea>
    </format>
    <format dxfId="1539">
      <pivotArea dataOnly="0" labelOnly="1" outline="0" fieldPosition="0">
        <references count="9">
          <reference field="3" count="1" selected="0">
            <x v="1790"/>
          </reference>
          <reference field="4" count="1" selected="0">
            <x v="1776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780"/>
          </reference>
          <reference field="19" count="1" selected="0">
            <x v="0"/>
          </reference>
          <reference field="21" count="1" selected="0">
            <x v="31"/>
          </reference>
          <reference field="22" count="1" selected="0">
            <x v="3"/>
          </reference>
          <reference field="24" count="1">
            <x v="3"/>
          </reference>
        </references>
      </pivotArea>
    </format>
    <format dxfId="1538">
      <pivotArea dataOnly="0" labelOnly="1" outline="0" fieldPosition="0">
        <references count="9">
          <reference field="3" count="1" selected="0">
            <x v="1804"/>
          </reference>
          <reference field="4" count="1" selected="0">
            <x v="1335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02"/>
          </reference>
          <reference field="19" count="1" selected="0">
            <x v="0"/>
          </reference>
          <reference field="21" count="1" selected="0">
            <x v="21"/>
          </reference>
          <reference field="22" count="1" selected="0">
            <x v="2"/>
          </reference>
          <reference field="24" count="1">
            <x v="1"/>
          </reference>
        </references>
      </pivotArea>
    </format>
    <format dxfId="1537">
      <pivotArea dataOnly="0" labelOnly="1" outline="0" fieldPosition="0">
        <references count="9">
          <reference field="3" count="1" selected="0">
            <x v="1827"/>
          </reference>
          <reference field="4" count="1" selected="0">
            <x v="4858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926"/>
          </reference>
          <reference field="19" count="1" selected="0">
            <x v="0"/>
          </reference>
          <reference field="21" count="1" selected="0">
            <x v="16"/>
          </reference>
          <reference field="22" count="1" selected="0">
            <x v="2"/>
          </reference>
          <reference field="24" count="1">
            <x v="2"/>
          </reference>
        </references>
      </pivotArea>
    </format>
    <format dxfId="1536">
      <pivotArea dataOnly="0" labelOnly="1" outline="0" fieldPosition="0">
        <references count="9">
          <reference field="3" count="1" selected="0">
            <x v="1840"/>
          </reference>
          <reference field="4" count="1" selected="0">
            <x v="6192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14"/>
          </reference>
          <reference field="19" count="1" selected="0">
            <x v="0"/>
          </reference>
          <reference field="21" count="1" selected="0">
            <x v="18"/>
          </reference>
          <reference field="22" count="1" selected="0">
            <x v="2"/>
          </reference>
          <reference field="24" count="1">
            <x v="0"/>
          </reference>
        </references>
      </pivotArea>
    </format>
    <format dxfId="1535">
      <pivotArea dataOnly="0" labelOnly="1" outline="0" fieldPosition="0">
        <references count="9">
          <reference field="3" count="1" selected="0">
            <x v="1851"/>
          </reference>
          <reference field="4" count="1" selected="0">
            <x v="6138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21"/>
          </reference>
          <reference field="19" count="1" selected="0">
            <x v="0"/>
          </reference>
          <reference field="21" count="1" selected="0">
            <x v="17"/>
          </reference>
          <reference field="22" count="1" selected="0">
            <x v="2"/>
          </reference>
          <reference field="24" count="1">
            <x v="1"/>
          </reference>
        </references>
      </pivotArea>
    </format>
    <format dxfId="1534">
      <pivotArea dataOnly="0" labelOnly="1" outline="0" fieldPosition="0">
        <references count="9">
          <reference field="3" count="1" selected="0">
            <x v="1853"/>
          </reference>
          <reference field="4" count="1" selected="0">
            <x v="6418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28"/>
          </reference>
          <reference field="19" count="1" selected="0">
            <x v="0"/>
          </reference>
          <reference field="21" count="1" selected="0">
            <x v="3"/>
          </reference>
          <reference field="22" count="1" selected="0">
            <x v="0"/>
          </reference>
          <reference field="24" count="1">
            <x v="2"/>
          </reference>
        </references>
      </pivotArea>
    </format>
    <format dxfId="1533">
      <pivotArea dataOnly="0" labelOnly="1" outline="0" fieldPosition="0">
        <references count="9">
          <reference field="3" count="1" selected="0">
            <x v="1894"/>
          </reference>
          <reference field="4" count="1" selected="0">
            <x v="5722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919"/>
          </reference>
          <reference field="19" count="1" selected="0">
            <x v="0"/>
          </reference>
          <reference field="21" count="1" selected="0">
            <x v="12"/>
          </reference>
          <reference field="22" count="1" selected="0">
            <x v="1"/>
          </reference>
          <reference field="24" count="1">
            <x v="1"/>
          </reference>
        </references>
      </pivotArea>
    </format>
    <format dxfId="1532">
      <pivotArea dataOnly="0" labelOnly="1" outline="0" fieldPosition="0">
        <references count="9">
          <reference field="3" count="1" selected="0">
            <x v="1903"/>
          </reference>
          <reference field="4" count="1" selected="0">
            <x v="3454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927"/>
          </reference>
          <reference field="19" count="1" selected="0">
            <x v="0"/>
          </reference>
          <reference field="21" count="1" selected="0">
            <x v="8"/>
          </reference>
          <reference field="22" count="1" selected="0">
            <x v="1"/>
          </reference>
          <reference field="24" count="1">
            <x v="7"/>
          </reference>
        </references>
      </pivotArea>
    </format>
    <format dxfId="1531">
      <pivotArea dataOnly="0" labelOnly="1" outline="0" fieldPosition="0">
        <references count="9">
          <reference field="3" count="1" selected="0">
            <x v="1905"/>
          </reference>
          <reference field="4" count="1" selected="0">
            <x v="5342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898"/>
          </reference>
          <reference field="19" count="1" selected="0">
            <x v="0"/>
          </reference>
          <reference field="21" count="1" selected="0">
            <x v="5"/>
          </reference>
          <reference field="22" count="1" selected="0">
            <x v="0"/>
          </reference>
          <reference field="24" count="1">
            <x v="4"/>
          </reference>
        </references>
      </pivotArea>
    </format>
    <format dxfId="1530">
      <pivotArea dataOnly="0" labelOnly="1" outline="0" fieldPosition="0">
        <references count="9">
          <reference field="3" count="1" selected="0">
            <x v="1906"/>
          </reference>
          <reference field="4" count="1" selected="0">
            <x v="6949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923"/>
          </reference>
          <reference field="19" count="1" selected="0">
            <x v="0"/>
          </reference>
          <reference field="21" count="1" selected="0">
            <x v="30"/>
          </reference>
          <reference field="22" count="1" selected="0">
            <x v="3"/>
          </reference>
          <reference field="24" count="1">
            <x v="4"/>
          </reference>
        </references>
      </pivotArea>
    </format>
    <format dxfId="1529">
      <pivotArea dataOnly="0" labelOnly="1" outline="0" fieldPosition="0">
        <references count="9">
          <reference field="3" count="1" selected="0">
            <x v="1911"/>
          </reference>
          <reference field="4" count="1" selected="0">
            <x v="6382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882"/>
          </reference>
          <reference field="19" count="1" selected="0">
            <x v="0"/>
          </reference>
          <reference field="21" count="1" selected="0">
            <x v="11"/>
          </reference>
          <reference field="22" count="1" selected="0">
            <x v="1"/>
          </reference>
          <reference field="24" count="1">
            <x v="4"/>
          </reference>
        </references>
      </pivotArea>
    </format>
    <format dxfId="1528">
      <pivotArea dataOnly="0" labelOnly="1" outline="0" fieldPosition="0">
        <references count="9">
          <reference field="3" count="1" selected="0">
            <x v="1916"/>
          </reference>
          <reference field="4" count="1" selected="0">
            <x v="1837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30"/>
          </reference>
          <reference field="19" count="1" selected="0">
            <x v="0"/>
          </reference>
          <reference field="21" count="1" selected="0">
            <x v="17"/>
          </reference>
          <reference field="22" count="1" selected="0">
            <x v="2"/>
          </reference>
          <reference field="24" count="1">
            <x v="0"/>
          </reference>
        </references>
      </pivotArea>
    </format>
    <format dxfId="1527">
      <pivotArea dataOnly="0" labelOnly="1" outline="0" fieldPosition="0">
        <references count="9">
          <reference field="3" count="1" selected="0">
            <x v="1917"/>
          </reference>
          <reference field="4" count="1" selected="0">
            <x v="2228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30"/>
          </reference>
          <reference field="19" count="1" selected="0">
            <x v="0"/>
          </reference>
          <reference field="21" count="1" selected="0">
            <x v="34"/>
          </reference>
          <reference field="22" count="1" selected="0">
            <x v="4"/>
          </reference>
          <reference field="24" count="1">
            <x v="2"/>
          </reference>
        </references>
      </pivotArea>
    </format>
    <format dxfId="1526">
      <pivotArea dataOnly="0" labelOnly="1" outline="0" fieldPosition="0">
        <references count="9">
          <reference field="3" count="1" selected="0">
            <x v="1918"/>
          </reference>
          <reference field="4" count="1" selected="0">
            <x v="3911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30"/>
          </reference>
          <reference field="19" count="1" selected="0">
            <x v="0"/>
          </reference>
          <reference field="21" count="1" selected="0">
            <x v="24"/>
          </reference>
          <reference field="22" count="1" selected="0">
            <x v="3"/>
          </reference>
          <reference field="24" count="1">
            <x v="2"/>
          </reference>
        </references>
      </pivotArea>
    </format>
    <format dxfId="1525">
      <pivotArea dataOnly="0" labelOnly="1" outline="0" fieldPosition="0">
        <references count="9">
          <reference field="3" count="1" selected="0">
            <x v="1937"/>
          </reference>
          <reference field="4" count="1" selected="0">
            <x v="7773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926"/>
          </reference>
          <reference field="19" count="1" selected="0">
            <x v="0"/>
          </reference>
          <reference field="21" count="1" selected="0">
            <x v="28"/>
          </reference>
          <reference field="22" count="1" selected="0">
            <x v="3"/>
          </reference>
          <reference field="24" count="1">
            <x v="2"/>
          </reference>
        </references>
      </pivotArea>
    </format>
    <format dxfId="1524">
      <pivotArea dataOnly="0" labelOnly="1" outline="0" fieldPosition="0">
        <references count="9">
          <reference field="3" count="1" selected="0">
            <x v="1949"/>
          </reference>
          <reference field="4" count="1" selected="0">
            <x v="6062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43"/>
          </reference>
          <reference field="19" count="1" selected="0">
            <x v="0"/>
          </reference>
          <reference field="21" count="1" selected="0">
            <x v="30"/>
          </reference>
          <reference field="22" count="1" selected="0">
            <x v="3"/>
          </reference>
          <reference field="24" count="1">
            <x v="3"/>
          </reference>
        </references>
      </pivotArea>
    </format>
    <format dxfId="1523">
      <pivotArea dataOnly="0" labelOnly="1" outline="0" fieldPosition="0">
        <references count="9">
          <reference field="3" count="1" selected="0">
            <x v="1950"/>
          </reference>
          <reference field="4" count="1" selected="0">
            <x v="3421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38"/>
          </reference>
          <reference field="19" count="1" selected="0">
            <x v="0"/>
          </reference>
          <reference field="21" count="1" selected="0">
            <x v="0"/>
          </reference>
          <reference field="22" count="1" selected="0">
            <x v="0"/>
          </reference>
          <reference field="24" count="1">
            <x v="2"/>
          </reference>
        </references>
      </pivotArea>
    </format>
    <format dxfId="1522">
      <pivotArea dataOnly="0" labelOnly="1" outline="0" fieldPosition="0">
        <references count="9">
          <reference field="3" count="1" selected="0">
            <x v="1964"/>
          </reference>
          <reference field="4" count="1" selected="0">
            <x v="4436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47"/>
          </reference>
          <reference field="19" count="1" selected="0">
            <x v="0"/>
          </reference>
          <reference field="21" count="1" selected="0">
            <x v="17"/>
          </reference>
          <reference field="22" count="1" selected="0">
            <x v="2"/>
          </reference>
          <reference field="24" count="1">
            <x v="0"/>
          </reference>
        </references>
      </pivotArea>
    </format>
    <format dxfId="1521">
      <pivotArea dataOnly="0" labelOnly="1" outline="0" fieldPosition="0">
        <references count="9">
          <reference field="3" count="1" selected="0">
            <x v="2040"/>
          </reference>
          <reference field="4" count="1" selected="0">
            <x v="814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853"/>
          </reference>
          <reference field="19" count="1" selected="0">
            <x v="0"/>
          </reference>
          <reference field="21" count="1" selected="0">
            <x v="6"/>
          </reference>
          <reference field="22" count="1" selected="0">
            <x v="1"/>
          </reference>
          <reference field="24" count="1">
            <x v="0"/>
          </reference>
        </references>
      </pivotArea>
    </format>
    <format dxfId="1520">
      <pivotArea dataOnly="0" labelOnly="1" outline="0" fieldPosition="0">
        <references count="9">
          <reference field="3" count="1" selected="0">
            <x v="2049"/>
          </reference>
          <reference field="4" count="1" selected="0">
            <x v="5797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06"/>
          </reference>
          <reference field="19" count="1" selected="0">
            <x v="0"/>
          </reference>
          <reference field="21" count="1" selected="0">
            <x v="13"/>
          </reference>
          <reference field="22" count="1" selected="0">
            <x v="1"/>
          </reference>
          <reference field="24" count="1">
            <x v="1"/>
          </reference>
        </references>
      </pivotArea>
    </format>
    <format dxfId="1519">
      <pivotArea dataOnly="0" labelOnly="1" outline="0" fieldPosition="0">
        <references count="9">
          <reference field="3" count="1" selected="0">
            <x v="2051"/>
          </reference>
          <reference field="4" count="1" selected="0">
            <x v="7737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18"/>
          </reference>
          <reference field="19" count="1" selected="0">
            <x v="0"/>
          </reference>
          <reference field="21" count="1" selected="0">
            <x v="8"/>
          </reference>
          <reference field="22" count="1" selected="0">
            <x v="1"/>
          </reference>
          <reference field="24" count="1">
            <x v="3"/>
          </reference>
        </references>
      </pivotArea>
    </format>
    <format dxfId="1518">
      <pivotArea dataOnly="0" labelOnly="1" outline="0" fieldPosition="0">
        <references count="9">
          <reference field="3" count="1" selected="0">
            <x v="2089"/>
          </reference>
          <reference field="4" count="1" selected="0">
            <x v="1064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59"/>
          </reference>
          <reference field="19" count="1" selected="0">
            <x v="0"/>
          </reference>
          <reference field="21" count="1" selected="0">
            <x v="21"/>
          </reference>
          <reference field="22" count="1" selected="0">
            <x v="2"/>
          </reference>
          <reference field="24" count="1">
            <x v="7"/>
          </reference>
        </references>
      </pivotArea>
    </format>
    <format dxfId="1517">
      <pivotArea dataOnly="0" labelOnly="1" outline="0" fieldPosition="0">
        <references count="9">
          <reference field="3" count="1" selected="0">
            <x v="2097"/>
          </reference>
          <reference field="4" count="1" selected="0">
            <x v="1103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947"/>
          </reference>
          <reference field="19" count="1" selected="0">
            <x v="0"/>
          </reference>
          <reference field="21" count="1" selected="0">
            <x v="25"/>
          </reference>
          <reference field="22" count="1" selected="0">
            <x v="3"/>
          </reference>
          <reference field="24" count="1">
            <x v="2"/>
          </reference>
        </references>
      </pivotArea>
    </format>
    <format dxfId="1516">
      <pivotArea dataOnly="0" labelOnly="1" outline="0" fieldPosition="0">
        <references count="9">
          <reference field="3" count="1" selected="0">
            <x v="2101"/>
          </reference>
          <reference field="4" count="1" selected="0">
            <x v="5470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957"/>
          </reference>
          <reference field="19" count="1" selected="0">
            <x v="0"/>
          </reference>
          <reference field="21" count="1" selected="0">
            <x v="15"/>
          </reference>
          <reference field="22" count="1" selected="0">
            <x v="2"/>
          </reference>
          <reference field="24" count="1">
            <x v="2"/>
          </reference>
        </references>
      </pivotArea>
    </format>
    <format dxfId="1515">
      <pivotArea dataOnly="0" labelOnly="1" outline="0" fieldPosition="0">
        <references count="9">
          <reference field="3" count="1" selected="0">
            <x v="2104"/>
          </reference>
          <reference field="4" count="1" selected="0">
            <x v="6191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87"/>
          </reference>
          <reference field="19" count="1" selected="0">
            <x v="0"/>
          </reference>
          <reference field="21" count="1" selected="0">
            <x v="20"/>
          </reference>
          <reference field="22" count="1" selected="0">
            <x v="2"/>
          </reference>
          <reference field="24" count="1">
            <x v="2"/>
          </reference>
        </references>
      </pivotArea>
    </format>
    <format dxfId="1514">
      <pivotArea dataOnly="0" labelOnly="1" outline="0" fieldPosition="0">
        <references count="9">
          <reference field="3" count="1" selected="0">
            <x v="2105"/>
          </reference>
          <reference field="4" count="1" selected="0">
            <x v="2516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65"/>
          </reference>
          <reference field="19" count="1" selected="0">
            <x v="0"/>
          </reference>
          <reference field="21" count="1" selected="0">
            <x v="7"/>
          </reference>
          <reference field="22" count="1" selected="0">
            <x v="1"/>
          </reference>
          <reference field="24" count="1">
            <x v="0"/>
          </reference>
        </references>
      </pivotArea>
    </format>
    <format dxfId="1513">
      <pivotArea dataOnly="0" labelOnly="1" outline="0" fieldPosition="0">
        <references count="9">
          <reference field="3" count="1" selected="0">
            <x v="2106"/>
          </reference>
          <reference field="4" count="1" selected="0">
            <x v="568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66"/>
          </reference>
          <reference field="19" count="1" selected="0">
            <x v="0"/>
          </reference>
          <reference field="21" count="1" selected="0">
            <x v="20"/>
          </reference>
          <reference field="22" count="1" selected="0">
            <x v="2"/>
          </reference>
          <reference field="24" count="1">
            <x v="2"/>
          </reference>
        </references>
      </pivotArea>
    </format>
    <format dxfId="1512">
      <pivotArea dataOnly="0" labelOnly="1" outline="0" fieldPosition="0">
        <references count="9">
          <reference field="3" count="1" selected="0">
            <x v="2122"/>
          </reference>
          <reference field="4" count="1" selected="0">
            <x v="2252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642"/>
          </reference>
          <reference field="19" count="1" selected="0">
            <x v="0"/>
          </reference>
          <reference field="21" count="1" selected="0">
            <x v="18"/>
          </reference>
          <reference field="22" count="1" selected="0">
            <x v="2"/>
          </reference>
          <reference field="24" count="1">
            <x v="3"/>
          </reference>
        </references>
      </pivotArea>
    </format>
    <format dxfId="1511">
      <pivotArea dataOnly="0" labelOnly="1" outline="0" fieldPosition="0">
        <references count="9">
          <reference field="3" count="1" selected="0">
            <x v="2144"/>
          </reference>
          <reference field="4" count="1" selected="0">
            <x v="7845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21"/>
          </reference>
          <reference field="19" count="1" selected="0">
            <x v="0"/>
          </reference>
          <reference field="21" count="1" selected="0">
            <x v="18"/>
          </reference>
          <reference field="22" count="1" selected="0">
            <x v="2"/>
          </reference>
          <reference field="24" count="1">
            <x v="3"/>
          </reference>
        </references>
      </pivotArea>
    </format>
    <format dxfId="1510">
      <pivotArea dataOnly="0" labelOnly="1" outline="0" fieldPosition="0">
        <references count="9">
          <reference field="3" count="1" selected="0">
            <x v="2163"/>
          </reference>
          <reference field="4" count="1" selected="0">
            <x v="6460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70"/>
          </reference>
          <reference field="19" count="1" selected="0">
            <x v="1"/>
          </reference>
          <reference field="21" count="1" selected="0">
            <x v="26"/>
          </reference>
          <reference field="22" count="1" selected="0">
            <x v="3"/>
          </reference>
          <reference field="24" count="1">
            <x v="2"/>
          </reference>
        </references>
      </pivotArea>
    </format>
    <format dxfId="1509">
      <pivotArea dataOnly="0" labelOnly="1" outline="0" fieldPosition="0">
        <references count="9">
          <reference field="3" count="1" selected="0">
            <x v="2197"/>
          </reference>
          <reference field="4" count="1" selected="0">
            <x v="1576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65"/>
          </reference>
          <reference field="19" count="1" selected="0">
            <x v="0"/>
          </reference>
          <reference field="21" count="1" selected="0">
            <x v="8"/>
          </reference>
          <reference field="22" count="1" selected="0">
            <x v="1"/>
          </reference>
          <reference field="24" count="1">
            <x v="6"/>
          </reference>
        </references>
      </pivotArea>
    </format>
    <format dxfId="1508">
      <pivotArea dataOnly="0" labelOnly="1" outline="0" fieldPosition="0">
        <references count="9">
          <reference field="3" count="1" selected="0">
            <x v="2201"/>
          </reference>
          <reference field="4" count="1" selected="0">
            <x v="7137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81"/>
          </reference>
          <reference field="19" count="1" selected="0">
            <x v="0"/>
          </reference>
          <reference field="21" count="1" selected="0">
            <x v="20"/>
          </reference>
          <reference field="22" count="1" selected="0">
            <x v="2"/>
          </reference>
          <reference field="24" count="1">
            <x v="2"/>
          </reference>
        </references>
      </pivotArea>
    </format>
    <format dxfId="1507">
      <pivotArea dataOnly="0" labelOnly="1" outline="0" fieldPosition="0">
        <references count="9">
          <reference field="3" count="1" selected="0">
            <x v="2222"/>
          </reference>
          <reference field="4" count="1" selected="0">
            <x v="5292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44"/>
          </reference>
          <reference field="19" count="1" selected="0">
            <x v="0"/>
          </reference>
          <reference field="21" count="1" selected="0">
            <x v="21"/>
          </reference>
          <reference field="22" count="1" selected="0">
            <x v="2"/>
          </reference>
          <reference field="24" count="1">
            <x v="3"/>
          </reference>
        </references>
      </pivotArea>
    </format>
    <format dxfId="1506">
      <pivotArea dataOnly="0" labelOnly="1" outline="0" fieldPosition="0">
        <references count="9">
          <reference field="3" count="1" selected="0">
            <x v="2232"/>
          </reference>
          <reference field="4" count="1" selected="0">
            <x v="3300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67"/>
          </reference>
          <reference field="19" count="1" selected="0">
            <x v="1"/>
          </reference>
          <reference field="21" count="1" selected="0">
            <x v="4"/>
          </reference>
          <reference field="22" count="1" selected="0">
            <x v="0"/>
          </reference>
          <reference field="24" count="1">
            <x v="2"/>
          </reference>
        </references>
      </pivotArea>
    </format>
    <format dxfId="1505">
      <pivotArea dataOnly="0" labelOnly="1" outline="0" fieldPosition="0">
        <references count="9">
          <reference field="3" count="1" selected="0">
            <x v="2234"/>
          </reference>
          <reference field="4" count="1" selected="0">
            <x v="3301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70"/>
          </reference>
          <reference field="19" count="1" selected="0">
            <x v="1"/>
          </reference>
          <reference field="21" count="1" selected="0">
            <x v="2"/>
          </reference>
          <reference field="22" count="1" selected="0">
            <x v="0"/>
          </reference>
          <reference field="24" count="1">
            <x v="2"/>
          </reference>
        </references>
      </pivotArea>
    </format>
    <format dxfId="1504">
      <pivotArea dataOnly="0" labelOnly="1" outline="0" fieldPosition="0">
        <references count="9">
          <reference field="3" count="1" selected="0">
            <x v="2235"/>
          </reference>
          <reference field="4" count="1" selected="0">
            <x v="7482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74"/>
          </reference>
          <reference field="19" count="1" selected="0">
            <x v="1"/>
          </reference>
          <reference field="21" count="1" selected="0">
            <x v="4"/>
          </reference>
          <reference field="22" count="1" selected="0">
            <x v="0"/>
          </reference>
          <reference field="24" count="1">
            <x v="0"/>
          </reference>
        </references>
      </pivotArea>
    </format>
    <format dxfId="1503">
      <pivotArea dataOnly="0" labelOnly="1" outline="0" fieldPosition="0">
        <references count="9">
          <reference field="3" count="1" selected="0">
            <x v="2236"/>
          </reference>
          <reference field="4" count="1" selected="0">
            <x v="3302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74"/>
          </reference>
          <reference field="19" count="1" selected="0">
            <x v="1"/>
          </reference>
          <reference field="21" count="1" selected="0">
            <x v="2"/>
          </reference>
          <reference field="22" count="1" selected="0">
            <x v="0"/>
          </reference>
          <reference field="24" count="1">
            <x v="2"/>
          </reference>
        </references>
      </pivotArea>
    </format>
    <format dxfId="1502">
      <pivotArea dataOnly="0" labelOnly="1" outline="0" fieldPosition="0">
        <references count="9">
          <reference field="3" count="1" selected="0">
            <x v="2243"/>
          </reference>
          <reference field="4" count="1" selected="0">
            <x v="7215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65"/>
          </reference>
          <reference field="19" count="1" selected="0">
            <x v="0"/>
          </reference>
          <reference field="21" count="1" selected="0">
            <x v="27"/>
          </reference>
          <reference field="22" count="1" selected="0">
            <x v="3"/>
          </reference>
          <reference field="24" count="1">
            <x v="2"/>
          </reference>
        </references>
      </pivotArea>
    </format>
    <format dxfId="1501">
      <pivotArea dataOnly="0" labelOnly="1" outline="0" fieldPosition="0">
        <references count="9">
          <reference field="3" count="1" selected="0">
            <x v="2251"/>
          </reference>
          <reference field="4" count="1" selected="0">
            <x v="4570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76"/>
          </reference>
          <reference field="19" count="1" selected="0">
            <x v="0"/>
          </reference>
          <reference field="21" count="1" selected="0">
            <x v="14"/>
          </reference>
          <reference field="22" count="1" selected="0">
            <x v="2"/>
          </reference>
          <reference field="24" count="1">
            <x v="2"/>
          </reference>
        </references>
      </pivotArea>
    </format>
    <format dxfId="1500">
      <pivotArea dataOnly="0" labelOnly="1" outline="0" fieldPosition="0">
        <references count="9">
          <reference field="3" count="1" selected="0">
            <x v="2261"/>
          </reference>
          <reference field="4" count="1" selected="0">
            <x v="6947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939"/>
          </reference>
          <reference field="19" count="1" selected="0">
            <x v="1"/>
          </reference>
          <reference field="21" count="1" selected="0">
            <x v="17"/>
          </reference>
          <reference field="22" count="1" selected="0">
            <x v="2"/>
          </reference>
          <reference field="24" count="1">
            <x v="0"/>
          </reference>
        </references>
      </pivotArea>
    </format>
    <format dxfId="1499">
      <pivotArea field="11" type="button" dataOnly="0" labelOnly="1" outline="0" axis="axisRow" fieldPosition="2"/>
    </format>
    <format dxfId="1498">
      <pivotArea field="14" type="button" dataOnly="0" labelOnly="1" outline="0" axis="axisRow" fieldPosition="3"/>
    </format>
    <format dxfId="1497">
      <pivotArea field="21" type="button" dataOnly="0" labelOnly="1" outline="0" axis="axisRow" fieldPosition="4"/>
    </format>
    <format dxfId="1496">
      <pivotArea field="22" type="button" dataOnly="0" labelOnly="1" outline="0" axis="axisRow" fieldPosition="5"/>
    </format>
    <format dxfId="1495">
      <pivotArea field="12" type="button" dataOnly="0" labelOnly="1" outline="0" axis="axisRow" fieldPosition="6"/>
    </format>
    <format dxfId="1494">
      <pivotArea field="19" type="button" dataOnly="0" labelOnly="1" outline="0" axis="axisRow" fieldPosition="7"/>
    </format>
    <format dxfId="1493">
      <pivotArea field="24" type="button" dataOnly="0" labelOnly="1" outline="0" axis="axisRow" fieldPosition="8"/>
    </format>
    <format dxfId="1492">
      <pivotArea field="11" type="button" dataOnly="0" labelOnly="1" outline="0" axis="axisRow" fieldPosition="2"/>
    </format>
    <format dxfId="1491">
      <pivotArea field="14" type="button" dataOnly="0" labelOnly="1" outline="0" axis="axisRow" fieldPosition="3"/>
    </format>
    <format dxfId="1490">
      <pivotArea field="21" type="button" dataOnly="0" labelOnly="1" outline="0" axis="axisRow" fieldPosition="4"/>
    </format>
    <format dxfId="1489">
      <pivotArea field="22" type="button" dataOnly="0" labelOnly="1" outline="0" axis="axisRow" fieldPosition="5"/>
    </format>
    <format dxfId="1488">
      <pivotArea field="12" type="button" dataOnly="0" labelOnly="1" outline="0" axis="axisRow" fieldPosition="6"/>
    </format>
    <format dxfId="1487">
      <pivotArea field="19" type="button" dataOnly="0" labelOnly="1" outline="0" axis="axisRow" fieldPosition="7"/>
    </format>
    <format dxfId="1486">
      <pivotArea field="24" type="button" dataOnly="0" labelOnly="1" outline="0" axis="axisRow" fieldPosition="8"/>
    </format>
    <format dxfId="1485">
      <pivotArea field="3" type="button" dataOnly="0" labelOnly="1" outline="0" axis="axisRow" fieldPosition="0"/>
    </format>
    <format dxfId="1484">
      <pivotArea field="4" type="button" dataOnly="0" labelOnly="1" outline="0" axis="axisRow" fieldPosition="1"/>
    </format>
    <format dxfId="1483">
      <pivotArea field="11" type="button" dataOnly="0" labelOnly="1" outline="0" axis="axisRow" fieldPosition="2"/>
    </format>
    <format dxfId="1482">
      <pivotArea field="14" type="button" dataOnly="0" labelOnly="1" outline="0" axis="axisRow" fieldPosition="3"/>
    </format>
    <format dxfId="1481">
      <pivotArea field="21" type="button" dataOnly="0" labelOnly="1" outline="0" axis="axisRow" fieldPosition="4"/>
    </format>
    <format dxfId="1480">
      <pivotArea field="22" type="button" dataOnly="0" labelOnly="1" outline="0" axis="axisRow" fieldPosition="5"/>
    </format>
    <format dxfId="1479">
      <pivotArea field="12" type="button" dataOnly="0" labelOnly="1" outline="0" axis="axisRow" fieldPosition="6"/>
    </format>
    <format dxfId="1478">
      <pivotArea field="19" type="button" dataOnly="0" labelOnly="1" outline="0" axis="axisRow" fieldPosition="7"/>
    </format>
    <format dxfId="1477">
      <pivotArea field="24" type="button" dataOnly="0" labelOnly="1" outline="0" axis="axisRow" fieldPosition="8"/>
    </format>
    <format dxfId="1476">
      <pivotArea field="3" type="button" dataOnly="0" labelOnly="1" outline="0" axis="axisRow" fieldPosition="0"/>
    </format>
    <format dxfId="1475">
      <pivotArea field="4" type="button" dataOnly="0" labelOnly="1" outline="0" axis="axisRow" fieldPosition="1"/>
    </format>
    <format dxfId="1474">
      <pivotArea field="11" type="button" dataOnly="0" labelOnly="1" outline="0" axis="axisRow" fieldPosition="2"/>
    </format>
    <format dxfId="1473">
      <pivotArea field="14" type="button" dataOnly="0" labelOnly="1" outline="0" axis="axisRow" fieldPosition="3"/>
    </format>
    <format dxfId="1472">
      <pivotArea field="21" type="button" dataOnly="0" labelOnly="1" outline="0" axis="axisRow" fieldPosition="4"/>
    </format>
    <format dxfId="1471">
      <pivotArea field="22" type="button" dataOnly="0" labelOnly="1" outline="0" axis="axisRow" fieldPosition="5"/>
    </format>
    <format dxfId="1470">
      <pivotArea field="12" type="button" dataOnly="0" labelOnly="1" outline="0" axis="axisRow" fieldPosition="6"/>
    </format>
    <format dxfId="1469">
      <pivotArea field="19" type="button" dataOnly="0" labelOnly="1" outline="0" axis="axisRow" fieldPosition="7"/>
    </format>
    <format dxfId="1468">
      <pivotArea field="24" type="button" dataOnly="0" labelOnly="1" outline="0" axis="axisRow" fieldPosition="8"/>
    </format>
    <format dxfId="1467">
      <pivotArea field="3" type="button" dataOnly="0" labelOnly="1" outline="0" axis="axisRow" fieldPosition="0"/>
    </format>
    <format dxfId="1466">
      <pivotArea field="4" type="button" dataOnly="0" labelOnly="1" outline="0" axis="axisRow" fieldPosition="1"/>
    </format>
    <format dxfId="1465">
      <pivotArea field="11" type="button" dataOnly="0" labelOnly="1" outline="0" axis="axisRow" fieldPosition="2"/>
    </format>
    <format dxfId="1464">
      <pivotArea field="14" type="button" dataOnly="0" labelOnly="1" outline="0" axis="axisRow" fieldPosition="3"/>
    </format>
    <format dxfId="1463">
      <pivotArea field="21" type="button" dataOnly="0" labelOnly="1" outline="0" axis="axisRow" fieldPosition="4"/>
    </format>
    <format dxfId="1462">
      <pivotArea field="22" type="button" dataOnly="0" labelOnly="1" outline="0" axis="axisRow" fieldPosition="5"/>
    </format>
    <format dxfId="1461">
      <pivotArea field="12" type="button" dataOnly="0" labelOnly="1" outline="0" axis="axisRow" fieldPosition="6"/>
    </format>
    <format dxfId="1460">
      <pivotArea field="19" type="button" dataOnly="0" labelOnly="1" outline="0" axis="axisRow" fieldPosition="7"/>
    </format>
    <format dxfId="1459">
      <pivotArea field="24" type="button" dataOnly="0" labelOnly="1" outline="0" axis="axisRow" fieldPosition="8"/>
    </format>
    <format dxfId="1458">
      <pivotArea field="3" type="button" dataOnly="0" labelOnly="1" outline="0" axis="axisRow" fieldPosition="0"/>
    </format>
    <format dxfId="1457">
      <pivotArea field="4" type="button" dataOnly="0" labelOnly="1" outline="0" axis="axisRow" fieldPosition="1"/>
    </format>
    <format dxfId="1456">
      <pivotArea field="11" type="button" dataOnly="0" labelOnly="1" outline="0" axis="axisRow" fieldPosition="2"/>
    </format>
    <format dxfId="1455">
      <pivotArea field="14" type="button" dataOnly="0" labelOnly="1" outline="0" axis="axisRow" fieldPosition="3"/>
    </format>
    <format dxfId="1454">
      <pivotArea field="21" type="button" dataOnly="0" labelOnly="1" outline="0" axis="axisRow" fieldPosition="4"/>
    </format>
    <format dxfId="1453">
      <pivotArea field="22" type="button" dataOnly="0" labelOnly="1" outline="0" axis="axisRow" fieldPosition="5"/>
    </format>
    <format dxfId="1452">
      <pivotArea field="12" type="button" dataOnly="0" labelOnly="1" outline="0" axis="axisRow" fieldPosition="6"/>
    </format>
    <format dxfId="1451">
      <pivotArea field="19" type="button" dataOnly="0" labelOnly="1" outline="0" axis="axisRow" fieldPosition="7"/>
    </format>
    <format dxfId="1450">
      <pivotArea field="24" type="button" dataOnly="0" labelOnly="1" outline="0" axis="axisRow" fieldPosition="8"/>
    </format>
    <format dxfId="1449">
      <pivotArea field="3" type="button" dataOnly="0" labelOnly="1" outline="0" axis="axisRow" fieldPosition="0"/>
    </format>
    <format dxfId="1448">
      <pivotArea field="4" type="button" dataOnly="0" labelOnly="1" outline="0" axis="axisRow" fieldPosition="1"/>
    </format>
    <format dxfId="1447">
      <pivotArea field="11" type="button" dataOnly="0" labelOnly="1" outline="0" axis="axisRow" fieldPosition="2"/>
    </format>
    <format dxfId="1446">
      <pivotArea field="14" type="button" dataOnly="0" labelOnly="1" outline="0" axis="axisRow" fieldPosition="3"/>
    </format>
    <format dxfId="1445">
      <pivotArea field="21" type="button" dataOnly="0" labelOnly="1" outline="0" axis="axisRow" fieldPosition="4"/>
    </format>
    <format dxfId="1444">
      <pivotArea field="22" type="button" dataOnly="0" labelOnly="1" outline="0" axis="axisRow" fieldPosition="5"/>
    </format>
    <format dxfId="1443">
      <pivotArea field="12" type="button" dataOnly="0" labelOnly="1" outline="0" axis="axisRow" fieldPosition="6"/>
    </format>
    <format dxfId="1442">
      <pivotArea field="19" type="button" dataOnly="0" labelOnly="1" outline="0" axis="axisRow" fieldPosition="7"/>
    </format>
    <format dxfId="1441">
      <pivotArea field="24" type="button" dataOnly="0" labelOnly="1" outline="0" axis="axisRow" fieldPosition="8"/>
    </format>
    <format dxfId="1440">
      <pivotArea grandRow="1" outline="0" collapsedLevelsAreSubtotals="1" fieldPosition="0"/>
    </format>
    <format dxfId="1439">
      <pivotArea outline="0" collapsedLevelsAreSubtotals="1" fieldPosition="0"/>
    </format>
    <format dxfId="1438">
      <pivotArea dataOnly="0" labelOnly="1" outline="0" fieldPosition="0">
        <references count="4">
          <reference field="3" count="1" selected="0">
            <x v="492"/>
          </reference>
          <reference field="4" count="1" selected="0">
            <x v="11"/>
          </reference>
          <reference field="11" count="1" selected="0">
            <x v="11"/>
          </reference>
          <reference field="14" count="1">
            <x v="3"/>
          </reference>
        </references>
      </pivotArea>
    </format>
    <format dxfId="1437">
      <pivotArea dataOnly="0" labelOnly="1" outline="0" fieldPosition="0">
        <references count="4">
          <reference field="3" count="1" selected="0">
            <x v="492"/>
          </reference>
          <reference field="4" count="1" selected="0">
            <x v="11"/>
          </reference>
          <reference field="11" count="1" selected="0">
            <x v="11"/>
          </reference>
          <reference field="14" count="1">
            <x v="3"/>
          </reference>
        </references>
      </pivotArea>
    </format>
    <format dxfId="1436">
      <pivotArea dataOnly="0" labelOnly="1" outline="0" offset="IV182:IV183" fieldPosition="0">
        <references count="7">
          <reference field="3" count="1" selected="0">
            <x v="2345"/>
          </reference>
          <reference field="4" count="1" selected="0">
            <x v="988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992"/>
          </reference>
          <reference field="21" count="1" selected="0">
            <x v="8"/>
          </reference>
          <reference field="22" count="1" selected="0">
            <x v="1"/>
          </reference>
        </references>
      </pivotArea>
    </format>
    <format dxfId="1435">
      <pivotArea outline="0" fieldPosition="0">
        <references count="9">
          <reference field="3" count="1" selected="0">
            <x v="2430"/>
          </reference>
          <reference field="4" count="1" selected="0">
            <x v="6354"/>
          </reference>
          <reference field="11" count="1" selected="0">
            <x v="12"/>
          </reference>
          <reference field="12" count="1" selected="0">
            <x v="31"/>
          </reference>
          <reference field="14" count="2" selected="0">
            <x v="806"/>
            <x v="1041"/>
          </reference>
          <reference field="19" count="0" selected="0"/>
          <reference field="21" count="1" selected="0">
            <x v="16"/>
          </reference>
          <reference field="22" count="1" selected="0">
            <x v="2"/>
          </reference>
          <reference field="24" count="1" selected="0">
            <x v="3"/>
          </reference>
        </references>
      </pivotArea>
    </format>
    <format dxfId="1434">
      <pivotArea dataOnly="0" labelOnly="1" outline="0" fieldPosition="0">
        <references count="1">
          <reference field="3" count="1">
            <x v="2430"/>
          </reference>
        </references>
      </pivotArea>
    </format>
    <format dxfId="1433">
      <pivotArea dataOnly="0" labelOnly="1" outline="0" fieldPosition="0">
        <references count="2">
          <reference field="3" count="1" selected="0">
            <x v="2430"/>
          </reference>
          <reference field="4" count="1">
            <x v="6354"/>
          </reference>
        </references>
      </pivotArea>
    </format>
    <format dxfId="1432">
      <pivotArea dataOnly="0" labelOnly="1" outline="0" fieldPosition="0">
        <references count="4">
          <reference field="3" count="1" selected="0">
            <x v="2430"/>
          </reference>
          <reference field="4" count="1" selected="0">
            <x v="6354"/>
          </reference>
          <reference field="11" count="1" selected="0">
            <x v="12"/>
          </reference>
          <reference field="14" count="1">
            <x v="1041"/>
          </reference>
        </references>
      </pivotArea>
    </format>
    <format dxfId="1431">
      <pivotArea dataOnly="0" labelOnly="1" outline="0" fieldPosition="0">
        <references count="5">
          <reference field="3" count="1" selected="0">
            <x v="2430"/>
          </reference>
          <reference field="4" count="1" selected="0">
            <x v="6354"/>
          </reference>
          <reference field="11" count="1" selected="0">
            <x v="12"/>
          </reference>
          <reference field="14" count="1" selected="0">
            <x v="1041"/>
          </reference>
          <reference field="21" count="1">
            <x v="16"/>
          </reference>
        </references>
      </pivotArea>
    </format>
    <format dxfId="1430">
      <pivotArea dataOnly="0" labelOnly="1" outline="0" fieldPosition="0">
        <references count="6">
          <reference field="3" count="1" selected="0">
            <x v="2430"/>
          </reference>
          <reference field="4" count="1" selected="0">
            <x v="6354"/>
          </reference>
          <reference field="11" count="1" selected="0">
            <x v="12"/>
          </reference>
          <reference field="14" count="1" selected="0">
            <x v="1041"/>
          </reference>
          <reference field="21" count="1" selected="0">
            <x v="16"/>
          </reference>
          <reference field="22" count="1">
            <x v="2"/>
          </reference>
        </references>
      </pivotArea>
    </format>
    <format dxfId="1429">
      <pivotArea dataOnly="0" labelOnly="1" outline="0" offset="IV187:IV188" fieldPosition="0">
        <references count="7">
          <reference field="3" count="1" selected="0">
            <x v="2345"/>
          </reference>
          <reference field="4" count="1" selected="0">
            <x v="988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992"/>
          </reference>
          <reference field="21" count="1" selected="0">
            <x v="8"/>
          </reference>
          <reference field="22" count="1" selected="0">
            <x v="1"/>
          </reference>
        </references>
      </pivotArea>
    </format>
    <format dxfId="1428">
      <pivotArea dataOnly="0" labelOnly="1" outline="0" fieldPosition="0">
        <references count="8">
          <reference field="3" count="1" selected="0">
            <x v="2430"/>
          </reference>
          <reference field="4" count="1" selected="0">
            <x v="6354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041"/>
          </reference>
          <reference field="19" count="1">
            <x v="0"/>
          </reference>
          <reference field="21" count="1" selected="0">
            <x v="16"/>
          </reference>
          <reference field="22" count="1" selected="0">
            <x v="2"/>
          </reference>
        </references>
      </pivotArea>
    </format>
    <format dxfId="1427">
      <pivotArea dataOnly="0" labelOnly="1" outline="0" fieldPosition="0">
        <references count="9">
          <reference field="3" count="1" selected="0">
            <x v="2430"/>
          </reference>
          <reference field="4" count="1" selected="0">
            <x v="6354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041"/>
          </reference>
          <reference field="19" count="1" selected="0">
            <x v="0"/>
          </reference>
          <reference field="21" count="1" selected="0">
            <x v="16"/>
          </reference>
          <reference field="22" count="1" selected="0">
            <x v="2"/>
          </reference>
          <reference field="24" count="1">
            <x v="3"/>
          </reference>
        </references>
      </pivotArea>
    </format>
    <format dxfId="1426">
      <pivotArea dataOnly="0" labelOnly="1" outline="0" fieldPosition="0">
        <references count="1">
          <reference field="3" count="1">
            <x v="2347"/>
          </reference>
        </references>
      </pivotArea>
    </format>
    <format dxfId="1425">
      <pivotArea dataOnly="0" labelOnly="1" outline="0" fieldPosition="0">
        <references count="2">
          <reference field="3" count="1" selected="0">
            <x v="2347"/>
          </reference>
          <reference field="4" count="0"/>
        </references>
      </pivotArea>
    </format>
    <format dxfId="1424">
      <pivotArea dataOnly="0" labelOnly="1" outline="0" fieldPosition="0">
        <references count="3">
          <reference field="3" count="1" selected="0">
            <x v="2347"/>
          </reference>
          <reference field="4" count="0" selected="0"/>
          <reference field="11" count="1">
            <x v="12"/>
          </reference>
        </references>
      </pivotArea>
    </format>
    <format dxfId="1423">
      <pivotArea dataOnly="0" labelOnly="1" outline="0" fieldPosition="0">
        <references count="4">
          <reference field="3" count="1" selected="0">
            <x v="2347"/>
          </reference>
          <reference field="4" count="0" selected="0"/>
          <reference field="11" count="1" selected="0">
            <x v="12"/>
          </reference>
          <reference field="14" count="1">
            <x v="1050"/>
          </reference>
        </references>
      </pivotArea>
    </format>
    <format dxfId="1422">
      <pivotArea dataOnly="0" labelOnly="1" outline="0" fieldPosition="0">
        <references count="5">
          <reference field="3" count="1" selected="0">
            <x v="2347"/>
          </reference>
          <reference field="4" count="0" selected="0"/>
          <reference field="11" count="1" selected="0">
            <x v="12"/>
          </reference>
          <reference field="14" count="1" selected="0">
            <x v="1050"/>
          </reference>
          <reference field="21" count="1">
            <x v="25"/>
          </reference>
        </references>
      </pivotArea>
    </format>
    <format dxfId="1421">
      <pivotArea dataOnly="0" labelOnly="1" outline="0" fieldPosition="0">
        <references count="6">
          <reference field="3" count="1" selected="0">
            <x v="2347"/>
          </reference>
          <reference field="4" count="0" selected="0"/>
          <reference field="11" count="1" selected="0">
            <x v="12"/>
          </reference>
          <reference field="14" count="1" selected="0">
            <x v="1050"/>
          </reference>
          <reference field="21" count="1" selected="0">
            <x v="25"/>
          </reference>
          <reference field="22" count="1">
            <x v="3"/>
          </reference>
        </references>
      </pivotArea>
    </format>
    <format dxfId="1420">
      <pivotArea dataOnly="0" labelOnly="1" outline="0" fieldPosition="0">
        <references count="7">
          <reference field="3" count="1" selected="0">
            <x v="2347"/>
          </reference>
          <reference field="4" count="0" selected="0"/>
          <reference field="11" count="1" selected="0">
            <x v="12"/>
          </reference>
          <reference field="12" count="1">
            <x v="31"/>
          </reference>
          <reference field="14" count="1" selected="0">
            <x v="1050"/>
          </reference>
          <reference field="21" count="1" selected="0">
            <x v="25"/>
          </reference>
          <reference field="22" count="1" selected="0">
            <x v="3"/>
          </reference>
        </references>
      </pivotArea>
    </format>
    <format dxfId="1419">
      <pivotArea dataOnly="0" labelOnly="1" outline="0" fieldPosition="0">
        <references count="8">
          <reference field="3" count="1" selected="0">
            <x v="2347"/>
          </reference>
          <reference field="4" count="0" selected="0"/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050"/>
          </reference>
          <reference field="19" count="1">
            <x v="1"/>
          </reference>
          <reference field="21" count="1" selected="0">
            <x v="25"/>
          </reference>
          <reference field="22" count="1" selected="0">
            <x v="3"/>
          </reference>
        </references>
      </pivotArea>
    </format>
    <format dxfId="1418">
      <pivotArea dataOnly="0" labelOnly="1" outline="0" fieldPosition="0">
        <references count="9">
          <reference field="3" count="1" selected="0">
            <x v="2347"/>
          </reference>
          <reference field="4" count="0" selected="0"/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050"/>
          </reference>
          <reference field="19" count="1" selected="0">
            <x v="1"/>
          </reference>
          <reference field="21" count="1" selected="0">
            <x v="25"/>
          </reference>
          <reference field="22" count="1" selected="0">
            <x v="3"/>
          </reference>
          <reference field="24" count="1">
            <x v="6"/>
          </reference>
        </references>
      </pivotArea>
    </format>
    <format dxfId="1417">
      <pivotArea outline="0" fieldPosition="0">
        <references count="9">
          <reference field="3" count="69" selected="0">
            <x v="255"/>
            <x v="292"/>
            <x v="404"/>
            <x v="461"/>
            <x v="625"/>
            <x v="697"/>
            <x v="716"/>
            <x v="810"/>
            <x v="1015"/>
            <x v="1051"/>
            <x v="1183"/>
            <x v="1306"/>
            <x v="1318"/>
            <x v="1484"/>
            <x v="1545"/>
            <x v="1720"/>
            <x v="1859"/>
            <x v="1868"/>
            <x v="2081"/>
            <x v="2127"/>
            <x v="2201"/>
            <x v="2338"/>
            <x v="2339"/>
            <x v="2341"/>
            <x v="2345"/>
            <x v="2347"/>
            <x v="2351"/>
            <x v="2352"/>
            <x v="2586"/>
            <x v="2588"/>
            <x v="2591"/>
            <x v="2594"/>
            <x v="2604"/>
            <x v="2606"/>
            <x v="2607"/>
            <x v="2608"/>
            <x v="2616"/>
            <x v="2714"/>
            <x v="2715"/>
            <x v="2717"/>
            <x v="2727"/>
            <x v="2728"/>
            <x v="2732"/>
            <x v="2734"/>
            <x v="2743"/>
            <x v="2744"/>
            <x v="2750"/>
            <x v="2753"/>
            <x v="2761"/>
            <x v="2766"/>
            <x v="2770"/>
            <x v="2771"/>
            <x v="2774"/>
            <x v="2775"/>
            <x v="2793"/>
            <x v="2795"/>
            <x v="2799"/>
            <x v="2800"/>
            <x v="2803"/>
            <x v="2804"/>
            <x v="2805"/>
            <x v="2807"/>
            <x v="2811"/>
            <x v="2813"/>
            <x v="2816"/>
            <x v="2826"/>
            <x v="2832"/>
            <x v="2852"/>
            <x v="2853"/>
          </reference>
          <reference field="4" count="82" selected="0">
            <x v="1"/>
            <x v="31"/>
            <x v="97"/>
            <x v="305"/>
            <x v="370"/>
            <x v="406"/>
            <x v="424"/>
            <x v="428"/>
            <x v="857"/>
            <x v="864"/>
            <x v="988"/>
            <x v="1250"/>
            <x v="1302"/>
            <x v="1553"/>
            <x v="1782"/>
            <x v="1825"/>
            <x v="1883"/>
            <x v="2108"/>
            <x v="2109"/>
            <x v="2119"/>
            <x v="2250"/>
            <x v="2436"/>
            <x v="2528"/>
            <x v="2575"/>
            <x v="2643"/>
            <x v="2680"/>
            <x v="2691"/>
            <x v="2844"/>
            <x v="3004"/>
            <x v="3139"/>
            <x v="3204"/>
            <x v="3279"/>
            <x v="3304"/>
            <x v="3348"/>
            <x v="3488"/>
            <x v="3510"/>
            <x v="3514"/>
            <x v="3578"/>
            <x v="3581"/>
            <x v="3599"/>
            <x v="3798"/>
            <x v="3823"/>
            <x v="3914"/>
            <x v="4022"/>
            <x v="4085"/>
            <x v="4108"/>
            <x v="4125"/>
            <x v="4165"/>
            <x v="4220"/>
            <x v="4357"/>
            <x v="4415"/>
            <x v="4548"/>
            <x v="4574"/>
            <x v="4595"/>
            <x v="4777"/>
            <x v="4954"/>
            <x v="5147"/>
            <x v="5354"/>
            <x v="5471"/>
            <x v="5737"/>
            <x v="5840"/>
            <x v="5878"/>
            <x v="5879"/>
            <x v="5922"/>
            <x v="5946"/>
            <x v="6176"/>
            <x v="6197"/>
            <x v="6232"/>
            <x v="6268"/>
            <x v="6440"/>
            <x v="6591"/>
            <x v="6793"/>
            <x v="6985"/>
            <x v="7137"/>
            <x v="7192"/>
            <x v="7210"/>
            <x v="7211"/>
            <x v="7237"/>
            <x v="7484"/>
            <x v="7527"/>
            <x v="7643"/>
            <x v="7792"/>
          </reference>
          <reference field="11" count="2" selected="0">
            <x v="11"/>
            <x v="12"/>
          </reference>
          <reference field="12" count="8" selected="0">
            <x v="31"/>
            <x v="221"/>
            <x v="223"/>
            <x v="231"/>
            <x v="235"/>
            <x v="236"/>
            <x v="237"/>
            <x v="249"/>
          </reference>
          <reference field="14" count="16" selected="0">
            <x v="1117"/>
            <x v="1118"/>
            <x v="1119"/>
            <x v="1120"/>
            <x v="1121"/>
            <x v="1123"/>
            <x v="1125"/>
            <x v="1126"/>
            <x v="1128"/>
            <x v="1129"/>
            <x v="1131"/>
            <x v="1132"/>
            <x v="1135"/>
            <x v="1136"/>
            <x v="1139"/>
            <x v="1141"/>
          </reference>
          <reference field="19" count="0" selected="0"/>
          <reference field="21" count="39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5"/>
            <x v="27"/>
            <x v="28"/>
            <x v="31"/>
            <x v="32"/>
            <x v="33"/>
            <x v="34"/>
            <x v="36"/>
            <x v="37"/>
            <x v="38"/>
            <x v="39"/>
            <x v="41"/>
            <x v="43"/>
            <x v="44"/>
            <x v="46"/>
          </reference>
          <reference field="22" count="0" selected="0"/>
          <reference field="24" count="0" selected="0"/>
        </references>
      </pivotArea>
    </format>
    <format dxfId="1416">
      <pivotArea dataOnly="0" labelOnly="1" outline="0" fieldPosition="0">
        <references count="1">
          <reference field="3" count="46">
            <x v="255"/>
            <x v="292"/>
            <x v="404"/>
            <x v="461"/>
            <x v="625"/>
            <x v="697"/>
            <x v="716"/>
            <x v="810"/>
            <x v="1015"/>
            <x v="1051"/>
            <x v="1183"/>
            <x v="1306"/>
            <x v="1318"/>
            <x v="1484"/>
            <x v="1545"/>
            <x v="1720"/>
            <x v="1859"/>
            <x v="1868"/>
            <x v="2081"/>
            <x v="2127"/>
            <x v="2201"/>
            <x v="2338"/>
            <x v="2339"/>
            <x v="2341"/>
            <x v="2345"/>
            <x v="2347"/>
            <x v="2351"/>
            <x v="2352"/>
            <x v="2586"/>
            <x v="2588"/>
            <x v="2591"/>
            <x v="2594"/>
            <x v="2604"/>
            <x v="2606"/>
            <x v="2607"/>
            <x v="2608"/>
            <x v="2616"/>
            <x v="2714"/>
            <x v="2715"/>
            <x v="2717"/>
            <x v="2727"/>
            <x v="2728"/>
            <x v="2732"/>
            <x v="2734"/>
            <x v="2743"/>
            <x v="2744"/>
          </reference>
        </references>
      </pivotArea>
    </format>
    <format dxfId="1415">
      <pivotArea dataOnly="0" labelOnly="1" outline="0" fieldPosition="0">
        <references count="1">
          <reference field="3" count="23">
            <x v="2750"/>
            <x v="2753"/>
            <x v="2761"/>
            <x v="2766"/>
            <x v="2770"/>
            <x v="2771"/>
            <x v="2774"/>
            <x v="2775"/>
            <x v="2793"/>
            <x v="2795"/>
            <x v="2799"/>
            <x v="2800"/>
            <x v="2803"/>
            <x v="2804"/>
            <x v="2805"/>
            <x v="2807"/>
            <x v="2811"/>
            <x v="2813"/>
            <x v="2816"/>
            <x v="2826"/>
            <x v="2832"/>
            <x v="2852"/>
            <x v="2853"/>
          </reference>
        </references>
      </pivotArea>
    </format>
    <format dxfId="1414">
      <pivotArea dataOnly="0" labelOnly="1" outline="0" fieldPosition="0">
        <references count="2">
          <reference field="3" count="1" selected="0">
            <x v="292"/>
          </reference>
          <reference field="4" count="1">
            <x v="2680"/>
          </reference>
        </references>
      </pivotArea>
    </format>
    <format dxfId="1413">
      <pivotArea dataOnly="0" labelOnly="1" outline="0" fieldPosition="0">
        <references count="2">
          <reference field="3" count="1" selected="0">
            <x v="404"/>
          </reference>
          <reference field="4" count="1">
            <x v="2436"/>
          </reference>
        </references>
      </pivotArea>
    </format>
    <format dxfId="1412">
      <pivotArea dataOnly="0" labelOnly="1" outline="0" fieldPosition="0">
        <references count="2">
          <reference field="3" count="1" selected="0">
            <x v="461"/>
          </reference>
          <reference field="4" count="1">
            <x v="2528"/>
          </reference>
        </references>
      </pivotArea>
    </format>
    <format dxfId="1411">
      <pivotArea dataOnly="0" labelOnly="1" outline="0" fieldPosition="0">
        <references count="2">
          <reference field="3" count="1" selected="0">
            <x v="625"/>
          </reference>
          <reference field="4" count="1">
            <x v="5737"/>
          </reference>
        </references>
      </pivotArea>
    </format>
    <format dxfId="1410">
      <pivotArea dataOnly="0" labelOnly="1" outline="0" fieldPosition="0">
        <references count="2">
          <reference field="3" count="1" selected="0">
            <x v="810"/>
          </reference>
          <reference field="4" count="1">
            <x v="3004"/>
          </reference>
        </references>
      </pivotArea>
    </format>
    <format dxfId="1409">
      <pivotArea dataOnly="0" labelOnly="1" outline="0" fieldPosition="0">
        <references count="2">
          <reference field="3" count="1" selected="0">
            <x v="1051"/>
          </reference>
          <reference field="4" count="1">
            <x v="2844"/>
          </reference>
        </references>
      </pivotArea>
    </format>
    <format dxfId="1408">
      <pivotArea dataOnly="0" labelOnly="1" outline="0" fieldPosition="0">
        <references count="2">
          <reference field="3" count="1" selected="0">
            <x v="1183"/>
          </reference>
          <reference field="4" count="1">
            <x v="3304"/>
          </reference>
        </references>
      </pivotArea>
    </format>
    <format dxfId="1407">
      <pivotArea dataOnly="0" labelOnly="1" outline="0" fieldPosition="0">
        <references count="2">
          <reference field="3" count="1" selected="0">
            <x v="1318"/>
          </reference>
          <reference field="4" count="1">
            <x v="4357"/>
          </reference>
        </references>
      </pivotArea>
    </format>
    <format dxfId="1406">
      <pivotArea dataOnly="0" labelOnly="1" outline="0" fieldPosition="0">
        <references count="2">
          <reference field="3" count="1" selected="0">
            <x v="1484"/>
          </reference>
          <reference field="4" count="1">
            <x v="6176"/>
          </reference>
        </references>
      </pivotArea>
    </format>
    <format dxfId="1405">
      <pivotArea dataOnly="0" labelOnly="1" outline="0" fieldPosition="0">
        <references count="2">
          <reference field="3" count="1" selected="0">
            <x v="1720"/>
          </reference>
          <reference field="4" count="1">
            <x v="3488"/>
          </reference>
        </references>
      </pivotArea>
    </format>
    <format dxfId="1404">
      <pivotArea dataOnly="0" labelOnly="1" outline="0" fieldPosition="0">
        <references count="2">
          <reference field="3" count="1" selected="0">
            <x v="1859"/>
          </reference>
          <reference field="4" count="1">
            <x v="2108"/>
          </reference>
        </references>
      </pivotArea>
    </format>
    <format dxfId="1403">
      <pivotArea dataOnly="0" labelOnly="1" outline="0" fieldPosition="0">
        <references count="2">
          <reference field="3" count="1" selected="0">
            <x v="1868"/>
          </reference>
          <reference field="4" count="1">
            <x v="6268"/>
          </reference>
        </references>
      </pivotArea>
    </format>
    <format dxfId="1402">
      <pivotArea dataOnly="0" labelOnly="1" outline="0" fieldPosition="0">
        <references count="2">
          <reference field="3" count="1" selected="0">
            <x v="2081"/>
          </reference>
          <reference field="4" count="1">
            <x v="5922"/>
          </reference>
        </references>
      </pivotArea>
    </format>
    <format dxfId="1401">
      <pivotArea dataOnly="0" labelOnly="1" outline="0" fieldPosition="0">
        <references count="2">
          <reference field="3" count="1" selected="0">
            <x v="2201"/>
          </reference>
          <reference field="4" count="1">
            <x v="7137"/>
          </reference>
        </references>
      </pivotArea>
    </format>
    <format dxfId="1400">
      <pivotArea dataOnly="0" labelOnly="1" outline="0" fieldPosition="0">
        <references count="2">
          <reference field="3" count="1" selected="0">
            <x v="2338"/>
          </reference>
          <reference field="4" count="1">
            <x v="4954"/>
          </reference>
        </references>
      </pivotArea>
    </format>
    <format dxfId="1399">
      <pivotArea dataOnly="0" labelOnly="1" outline="0" fieldPosition="0">
        <references count="2">
          <reference field="3" count="1" selected="0">
            <x v="2339"/>
          </reference>
          <reference field="4" count="1">
            <x v="5354"/>
          </reference>
        </references>
      </pivotArea>
    </format>
    <format dxfId="1398">
      <pivotArea dataOnly="0" labelOnly="1" outline="0" fieldPosition="0">
        <references count="2">
          <reference field="3" count="1" selected="0">
            <x v="2341"/>
          </reference>
          <reference field="4" count="1">
            <x v="7211"/>
          </reference>
        </references>
      </pivotArea>
    </format>
    <format dxfId="1397">
      <pivotArea dataOnly="0" labelOnly="1" outline="0" fieldPosition="0">
        <references count="2">
          <reference field="3" count="1" selected="0">
            <x v="2345"/>
          </reference>
          <reference field="4" count="1">
            <x v="988"/>
          </reference>
        </references>
      </pivotArea>
    </format>
    <format dxfId="1396">
      <pivotArea dataOnly="0" labelOnly="1" outline="0" fieldPosition="0">
        <references count="2">
          <reference field="3" count="1" selected="0">
            <x v="2347"/>
          </reference>
          <reference field="4" count="1">
            <x v="2575"/>
          </reference>
        </references>
      </pivotArea>
    </format>
    <format dxfId="1395">
      <pivotArea dataOnly="0" labelOnly="1" outline="0" fieldPosition="0">
        <references count="2">
          <reference field="3" count="1" selected="0">
            <x v="2351"/>
          </reference>
          <reference field="4" count="1">
            <x v="6591"/>
          </reference>
        </references>
      </pivotArea>
    </format>
    <format dxfId="1394">
      <pivotArea dataOnly="0" labelOnly="1" outline="0" fieldPosition="0">
        <references count="2">
          <reference field="3" count="1" selected="0">
            <x v="2352"/>
          </reference>
          <reference field="4" count="1">
            <x v="2119"/>
          </reference>
        </references>
      </pivotArea>
    </format>
    <format dxfId="1393">
      <pivotArea dataOnly="0" labelOnly="1" outline="0" fieldPosition="0">
        <references count="2">
          <reference field="3" count="1" selected="0">
            <x v="2586"/>
          </reference>
          <reference field="4" count="1">
            <x v="7210"/>
          </reference>
        </references>
      </pivotArea>
    </format>
    <format dxfId="1392">
      <pivotArea dataOnly="0" labelOnly="1" outline="0" fieldPosition="0">
        <references count="2">
          <reference field="3" count="1" selected="0">
            <x v="2588"/>
          </reference>
          <reference field="4" count="1">
            <x v="6793"/>
          </reference>
        </references>
      </pivotArea>
    </format>
    <format dxfId="1391">
      <pivotArea dataOnly="0" labelOnly="1" outline="0" fieldPosition="0">
        <references count="2">
          <reference field="3" count="1" selected="0">
            <x v="2591"/>
          </reference>
          <reference field="4" count="1">
            <x v="3348"/>
          </reference>
        </references>
      </pivotArea>
    </format>
    <format dxfId="1390">
      <pivotArea dataOnly="0" labelOnly="1" outline="0" fieldPosition="0">
        <references count="2">
          <reference field="3" count="1" selected="0">
            <x v="2594"/>
          </reference>
          <reference field="4" count="1">
            <x v="4022"/>
          </reference>
        </references>
      </pivotArea>
    </format>
    <format dxfId="1389">
      <pivotArea dataOnly="0" labelOnly="1" outline="0" fieldPosition="0">
        <references count="2">
          <reference field="3" count="1" selected="0">
            <x v="2604"/>
          </reference>
          <reference field="4" count="1">
            <x v="7484"/>
          </reference>
        </references>
      </pivotArea>
    </format>
    <format dxfId="1388">
      <pivotArea dataOnly="0" labelOnly="1" outline="0" fieldPosition="0">
        <references count="2">
          <reference field="3" count="1" selected="0">
            <x v="2606"/>
          </reference>
          <reference field="4" count="1">
            <x v="3798"/>
          </reference>
        </references>
      </pivotArea>
    </format>
    <format dxfId="1387">
      <pivotArea dataOnly="0" labelOnly="1" outline="0" fieldPosition="0">
        <references count="2">
          <reference field="3" count="1" selected="0">
            <x v="2607"/>
          </reference>
          <reference field="4" count="1">
            <x v="4085"/>
          </reference>
        </references>
      </pivotArea>
    </format>
    <format dxfId="1386">
      <pivotArea dataOnly="0" labelOnly="1" outline="0" fieldPosition="0">
        <references count="2">
          <reference field="3" count="1" selected="0">
            <x v="2608"/>
          </reference>
          <reference field="4" count="1">
            <x v="5946"/>
          </reference>
        </references>
      </pivotArea>
    </format>
    <format dxfId="1385">
      <pivotArea dataOnly="0" labelOnly="1" outline="0" fieldPosition="0">
        <references count="2">
          <reference field="3" count="1" selected="0">
            <x v="2616"/>
          </reference>
          <reference field="4" count="1">
            <x v="1782"/>
          </reference>
        </references>
      </pivotArea>
    </format>
    <format dxfId="1384">
      <pivotArea dataOnly="0" labelOnly="1" outline="0" fieldPosition="0">
        <references count="2">
          <reference field="3" count="1" selected="0">
            <x v="2714"/>
          </reference>
          <reference field="4" count="1">
            <x v="3578"/>
          </reference>
        </references>
      </pivotArea>
    </format>
    <format dxfId="1383">
      <pivotArea dataOnly="0" labelOnly="1" outline="0" fieldPosition="0">
        <references count="2">
          <reference field="3" count="1" selected="0">
            <x v="2715"/>
          </reference>
          <reference field="4" count="1">
            <x v="1"/>
          </reference>
        </references>
      </pivotArea>
    </format>
    <format dxfId="1382">
      <pivotArea dataOnly="0" labelOnly="1" outline="0" fieldPosition="0">
        <references count="2">
          <reference field="3" count="1" selected="0">
            <x v="2717"/>
          </reference>
          <reference field="4" count="1">
            <x v="370"/>
          </reference>
        </references>
      </pivotArea>
    </format>
    <format dxfId="1381">
      <pivotArea dataOnly="0" labelOnly="1" outline="0" fieldPosition="0">
        <references count="2">
          <reference field="3" count="1" selected="0">
            <x v="2727"/>
          </reference>
          <reference field="4" count="1">
            <x v="4165"/>
          </reference>
        </references>
      </pivotArea>
    </format>
    <format dxfId="1380">
      <pivotArea dataOnly="0" labelOnly="1" outline="0" fieldPosition="0">
        <references count="2">
          <reference field="3" count="1" selected="0">
            <x v="2728"/>
          </reference>
          <reference field="4" count="1">
            <x v="4548"/>
          </reference>
        </references>
      </pivotArea>
    </format>
    <format dxfId="1379">
      <pivotArea dataOnly="0" labelOnly="1" outline="0" fieldPosition="0">
        <references count="2">
          <reference field="3" count="1" selected="0">
            <x v="2732"/>
          </reference>
          <reference field="4" count="1">
            <x v="3139"/>
          </reference>
        </references>
      </pivotArea>
    </format>
    <format dxfId="1378">
      <pivotArea dataOnly="0" labelOnly="1" outline="0" fieldPosition="0">
        <references count="2">
          <reference field="3" count="1" selected="0">
            <x v="2734"/>
          </reference>
          <reference field="4" count="1">
            <x v="3914"/>
          </reference>
        </references>
      </pivotArea>
    </format>
    <format dxfId="1377">
      <pivotArea dataOnly="0" labelOnly="1" outline="0" fieldPosition="0">
        <references count="2">
          <reference field="3" count="1" selected="0">
            <x v="2743"/>
          </reference>
          <reference field="4" count="1">
            <x v="4125"/>
          </reference>
        </references>
      </pivotArea>
    </format>
    <format dxfId="1376">
      <pivotArea dataOnly="0" labelOnly="1" outline="0" fieldPosition="0">
        <references count="2">
          <reference field="3" count="1" selected="0">
            <x v="2744"/>
          </reference>
          <reference field="4" count="1">
            <x v="864"/>
          </reference>
        </references>
      </pivotArea>
    </format>
    <format dxfId="1375">
      <pivotArea dataOnly="0" labelOnly="1" outline="0" fieldPosition="0">
        <references count="2">
          <reference field="3" count="1" selected="0">
            <x v="2750"/>
          </reference>
          <reference field="4" count="1">
            <x v="3823"/>
          </reference>
        </references>
      </pivotArea>
    </format>
    <format dxfId="1374">
      <pivotArea dataOnly="0" labelOnly="1" outline="0" fieldPosition="0">
        <references count="2">
          <reference field="3" count="1" selected="0">
            <x v="2753"/>
          </reference>
          <reference field="4" count="1">
            <x v="3514"/>
          </reference>
        </references>
      </pivotArea>
    </format>
    <format dxfId="1373">
      <pivotArea dataOnly="0" labelOnly="1" outline="0" fieldPosition="0">
        <references count="2">
          <reference field="3" count="1" selected="0">
            <x v="2761"/>
          </reference>
          <reference field="4" count="1">
            <x v="4220"/>
          </reference>
        </references>
      </pivotArea>
    </format>
    <format dxfId="1372">
      <pivotArea dataOnly="0" labelOnly="1" outline="0" fieldPosition="0">
        <references count="2">
          <reference field="3" count="1" selected="0">
            <x v="2766"/>
          </reference>
          <reference field="4" count="1">
            <x v="2643"/>
          </reference>
        </references>
      </pivotArea>
    </format>
    <format dxfId="1371">
      <pivotArea dataOnly="0" labelOnly="1" outline="0" fieldPosition="0">
        <references count="2">
          <reference field="3" count="1" selected="0">
            <x v="2770"/>
          </reference>
          <reference field="4" count="1">
            <x v="4108"/>
          </reference>
        </references>
      </pivotArea>
    </format>
    <format dxfId="1370">
      <pivotArea dataOnly="0" labelOnly="1" outline="0" fieldPosition="0">
        <references count="2">
          <reference field="3" count="1" selected="0">
            <x v="2771"/>
          </reference>
          <reference field="4" count="1">
            <x v="2250"/>
          </reference>
        </references>
      </pivotArea>
    </format>
    <format dxfId="1369">
      <pivotArea dataOnly="0" labelOnly="1" outline="0" fieldPosition="0">
        <references count="2">
          <reference field="3" count="1" selected="0">
            <x v="2775"/>
          </reference>
          <reference field="4" count="1">
            <x v="406"/>
          </reference>
        </references>
      </pivotArea>
    </format>
    <format dxfId="1368">
      <pivotArea dataOnly="0" labelOnly="1" outline="0" fieldPosition="0">
        <references count="2">
          <reference field="3" count="1" selected="0">
            <x v="2793"/>
          </reference>
          <reference field="4" count="1">
            <x v="1302"/>
          </reference>
        </references>
      </pivotArea>
    </format>
    <format dxfId="1367">
      <pivotArea dataOnly="0" labelOnly="1" outline="0" fieldPosition="0">
        <references count="2">
          <reference field="3" count="1" selected="0">
            <x v="2795"/>
          </reference>
          <reference field="4" count="1">
            <x v="5147"/>
          </reference>
        </references>
      </pivotArea>
    </format>
    <format dxfId="1366">
      <pivotArea dataOnly="0" labelOnly="1" outline="0" fieldPosition="0">
        <references count="2">
          <reference field="3" count="1" selected="0">
            <x v="2799"/>
          </reference>
          <reference field="4" count="1">
            <x v="31"/>
          </reference>
        </references>
      </pivotArea>
    </format>
    <format dxfId="1365">
      <pivotArea dataOnly="0" labelOnly="1" outline="0" fieldPosition="0">
        <references count="2">
          <reference field="3" count="1" selected="0">
            <x v="2804"/>
          </reference>
          <reference field="4" count="1">
            <x v="3510"/>
          </reference>
        </references>
      </pivotArea>
    </format>
    <format dxfId="1364">
      <pivotArea dataOnly="0" labelOnly="1" outline="0" fieldPosition="0">
        <references count="2">
          <reference field="3" count="1" selected="0">
            <x v="2805"/>
          </reference>
          <reference field="4" count="1">
            <x v="3581"/>
          </reference>
        </references>
      </pivotArea>
    </format>
    <format dxfId="1363">
      <pivotArea dataOnly="0" labelOnly="1" outline="0" fieldPosition="0">
        <references count="2">
          <reference field="3" count="1" selected="0">
            <x v="2807"/>
          </reference>
          <reference field="4" count="1">
            <x v="6232"/>
          </reference>
        </references>
      </pivotArea>
    </format>
    <format dxfId="1362">
      <pivotArea dataOnly="0" labelOnly="1" outline="0" fieldPosition="0">
        <references count="2">
          <reference field="3" count="1" selected="0">
            <x v="2811"/>
          </reference>
          <reference field="4" count="1">
            <x v="3279"/>
          </reference>
        </references>
      </pivotArea>
    </format>
    <format dxfId="1361">
      <pivotArea dataOnly="0" labelOnly="1" outline="0" fieldPosition="0">
        <references count="2">
          <reference field="3" count="1" selected="0">
            <x v="2813"/>
          </reference>
          <reference field="4" count="1">
            <x v="6985"/>
          </reference>
        </references>
      </pivotArea>
    </format>
    <format dxfId="1360">
      <pivotArea dataOnly="0" labelOnly="1" outline="0" fieldPosition="0">
        <references count="2">
          <reference field="3" count="1" selected="0">
            <x v="2816"/>
          </reference>
          <reference field="4" count="1">
            <x v="4595"/>
          </reference>
        </references>
      </pivotArea>
    </format>
    <format dxfId="1359">
      <pivotArea dataOnly="0" labelOnly="1" outline="0" fieldPosition="0">
        <references count="2">
          <reference field="3" count="1" selected="0">
            <x v="2826"/>
          </reference>
          <reference field="4" count="1">
            <x v="428"/>
          </reference>
        </references>
      </pivotArea>
    </format>
    <format dxfId="1358">
      <pivotArea dataOnly="0" labelOnly="1" outline="0" fieldPosition="0">
        <references count="2">
          <reference field="3" count="1" selected="0">
            <x v="2832"/>
          </reference>
          <reference field="4" count="1">
            <x v="2691"/>
          </reference>
        </references>
      </pivotArea>
    </format>
    <format dxfId="1357">
      <pivotArea dataOnly="0" labelOnly="1" outline="0" fieldPosition="0">
        <references count="3">
          <reference field="3" count="1" selected="0">
            <x v="2813"/>
          </reference>
          <reference field="4" count="1" selected="0">
            <x v="6985"/>
          </reference>
          <reference field="11" count="1">
            <x v="11"/>
          </reference>
        </references>
      </pivotArea>
    </format>
    <format dxfId="1356">
      <pivotArea dataOnly="0" labelOnly="1" outline="0" offset="IV1:IV16" fieldPosition="0">
        <references count="3">
          <reference field="3" count="1" selected="0">
            <x v="2816"/>
          </reference>
          <reference field="4" count="1" selected="0">
            <x v="4595"/>
          </reference>
          <reference field="11" count="1">
            <x v="12"/>
          </reference>
        </references>
      </pivotArea>
    </format>
    <format dxfId="1355">
      <pivotArea dataOnly="0" labelOnly="1" outline="0" fieldPosition="0">
        <references count="4">
          <reference field="3" count="1" selected="0">
            <x v="404"/>
          </reference>
          <reference field="4" count="1" selected="0">
            <x v="2436"/>
          </reference>
          <reference field="11" count="1" selected="0">
            <x v="12"/>
          </reference>
          <reference field="14" count="1">
            <x v="1123"/>
          </reference>
        </references>
      </pivotArea>
    </format>
    <format dxfId="1354">
      <pivotArea dataOnly="0" labelOnly="1" outline="0" fieldPosition="0">
        <references count="4">
          <reference field="3" count="1" selected="0">
            <x v="461"/>
          </reference>
          <reference field="4" count="1" selected="0">
            <x v="2528"/>
          </reference>
          <reference field="11" count="1" selected="0">
            <x v="12"/>
          </reference>
          <reference field="14" count="1">
            <x v="1119"/>
          </reference>
        </references>
      </pivotArea>
    </format>
    <format dxfId="1353">
      <pivotArea dataOnly="0" labelOnly="1" outline="0" fieldPosition="0">
        <references count="4">
          <reference field="3" count="1" selected="0">
            <x v="625"/>
          </reference>
          <reference field="4" count="1" selected="0">
            <x v="5737"/>
          </reference>
          <reference field="11" count="1" selected="0">
            <x v="12"/>
          </reference>
          <reference field="14" count="1">
            <x v="1120"/>
          </reference>
        </references>
      </pivotArea>
    </format>
    <format dxfId="1352">
      <pivotArea dataOnly="0" labelOnly="1" outline="0" fieldPosition="0">
        <references count="4">
          <reference field="3" count="1" selected="0">
            <x v="810"/>
          </reference>
          <reference field="4" count="1" selected="0">
            <x v="3004"/>
          </reference>
          <reference field="11" count="1" selected="0">
            <x v="12"/>
          </reference>
          <reference field="14" count="1">
            <x v="1126"/>
          </reference>
        </references>
      </pivotArea>
    </format>
    <format dxfId="1351">
      <pivotArea dataOnly="0" labelOnly="1" outline="0" fieldPosition="0">
        <references count="4">
          <reference field="3" count="1" selected="0">
            <x v="1051"/>
          </reference>
          <reference field="4" count="1" selected="0">
            <x v="2844"/>
          </reference>
          <reference field="11" count="1" selected="0">
            <x v="12"/>
          </reference>
          <reference field="14" count="1">
            <x v="1117"/>
          </reference>
        </references>
      </pivotArea>
    </format>
    <format dxfId="1350">
      <pivotArea dataOnly="0" labelOnly="1" outline="0" fieldPosition="0">
        <references count="4">
          <reference field="3" count="1" selected="0">
            <x v="1484"/>
          </reference>
          <reference field="4" count="1" selected="0">
            <x v="6176"/>
          </reference>
          <reference field="11" count="1" selected="0">
            <x v="12"/>
          </reference>
          <reference field="14" count="1">
            <x v="1119"/>
          </reference>
        </references>
      </pivotArea>
    </format>
    <format dxfId="1349">
      <pivotArea dataOnly="0" labelOnly="1" outline="0" fieldPosition="0">
        <references count="4">
          <reference field="3" count="1" selected="0">
            <x v="1859"/>
          </reference>
          <reference field="4" count="1" selected="0">
            <x v="2108"/>
          </reference>
          <reference field="11" count="1" selected="0">
            <x v="12"/>
          </reference>
          <reference field="14" count="1">
            <x v="1120"/>
          </reference>
        </references>
      </pivotArea>
    </format>
    <format dxfId="1348">
      <pivotArea dataOnly="0" labelOnly="1" outline="0" fieldPosition="0">
        <references count="4">
          <reference field="3" count="1" selected="0">
            <x v="1868"/>
          </reference>
          <reference field="4" count="1" selected="0">
            <x v="6268"/>
          </reference>
          <reference field="11" count="1" selected="0">
            <x v="12"/>
          </reference>
          <reference field="14" count="1">
            <x v="1126"/>
          </reference>
        </references>
      </pivotArea>
    </format>
    <format dxfId="1347">
      <pivotArea dataOnly="0" labelOnly="1" outline="0" fieldPosition="0">
        <references count="4">
          <reference field="3" count="1" selected="0">
            <x v="2081"/>
          </reference>
          <reference field="4" count="1" selected="0">
            <x v="5922"/>
          </reference>
          <reference field="11" count="1" selected="0">
            <x v="12"/>
          </reference>
          <reference field="14" count="1">
            <x v="1117"/>
          </reference>
        </references>
      </pivotArea>
    </format>
    <format dxfId="1346">
      <pivotArea dataOnly="0" labelOnly="1" outline="0" fieldPosition="0">
        <references count="4">
          <reference field="3" count="1" selected="0">
            <x v="2201"/>
          </reference>
          <reference field="4" count="1" selected="0">
            <x v="7137"/>
          </reference>
          <reference field="11" count="1" selected="0">
            <x v="12"/>
          </reference>
          <reference field="14" count="1">
            <x v="1117"/>
          </reference>
        </references>
      </pivotArea>
    </format>
    <format dxfId="1345">
      <pivotArea dataOnly="0" labelOnly="1" outline="0" fieldPosition="0">
        <references count="4">
          <reference field="3" count="1" selected="0">
            <x v="2338"/>
          </reference>
          <reference field="4" count="1" selected="0">
            <x v="4954"/>
          </reference>
          <reference field="11" count="1" selected="0">
            <x v="12"/>
          </reference>
          <reference field="14" count="1">
            <x v="1123"/>
          </reference>
        </references>
      </pivotArea>
    </format>
    <format dxfId="1344">
      <pivotArea dataOnly="0" labelOnly="1" outline="0" fieldPosition="0">
        <references count="4">
          <reference field="3" count="1" selected="0">
            <x v="2586"/>
          </reference>
          <reference field="4" count="1" selected="0">
            <x v="7210"/>
          </reference>
          <reference field="11" count="1" selected="0">
            <x v="12"/>
          </reference>
          <reference field="14" count="1">
            <x v="1123"/>
          </reference>
        </references>
      </pivotArea>
    </format>
    <format dxfId="1343">
      <pivotArea dataOnly="0" labelOnly="1" outline="0" fieldPosition="0">
        <references count="4">
          <reference field="3" count="1" selected="0">
            <x v="2714"/>
          </reference>
          <reference field="4" count="1" selected="0">
            <x v="3578"/>
          </reference>
          <reference field="11" count="1" selected="0">
            <x v="12"/>
          </reference>
          <reference field="14" count="1">
            <x v="1117"/>
          </reference>
        </references>
      </pivotArea>
    </format>
    <format dxfId="1342">
      <pivotArea dataOnly="0" labelOnly="1" outline="0" fieldPosition="0">
        <references count="4">
          <reference field="3" count="1" selected="0">
            <x v="2727"/>
          </reference>
          <reference field="4" count="1" selected="0">
            <x v="4165"/>
          </reference>
          <reference field="11" count="1" selected="0">
            <x v="12"/>
          </reference>
          <reference field="14" count="1">
            <x v="1120"/>
          </reference>
        </references>
      </pivotArea>
    </format>
    <format dxfId="1341">
      <pivotArea dataOnly="0" labelOnly="1" outline="0" fieldPosition="0">
        <references count="4">
          <reference field="3" count="1" selected="0">
            <x v="2732"/>
          </reference>
          <reference field="4" count="1" selected="0">
            <x v="3139"/>
          </reference>
          <reference field="11" count="1" selected="0">
            <x v="12"/>
          </reference>
          <reference field="14" count="1">
            <x v="1121"/>
          </reference>
        </references>
      </pivotArea>
    </format>
    <format dxfId="1340">
      <pivotArea dataOnly="0" labelOnly="1" outline="0" fieldPosition="0">
        <references count="4">
          <reference field="3" count="1" selected="0">
            <x v="2743"/>
          </reference>
          <reference field="4" count="1" selected="0">
            <x v="4125"/>
          </reference>
          <reference field="11" count="1" selected="0">
            <x v="12"/>
          </reference>
          <reference field="14" count="1">
            <x v="1117"/>
          </reference>
        </references>
      </pivotArea>
    </format>
    <format dxfId="1339">
      <pivotArea dataOnly="0" labelOnly="1" outline="0" fieldPosition="0">
        <references count="4">
          <reference field="3" count="1" selected="0">
            <x v="2753"/>
          </reference>
          <reference field="4" count="1" selected="0">
            <x v="3514"/>
          </reference>
          <reference field="11" count="1" selected="0">
            <x v="12"/>
          </reference>
          <reference field="14" count="1">
            <x v="1117"/>
          </reference>
        </references>
      </pivotArea>
    </format>
    <format dxfId="1338">
      <pivotArea dataOnly="0" labelOnly="1" outline="0" fieldPosition="0">
        <references count="4">
          <reference field="3" count="1" selected="0">
            <x v="2766"/>
          </reference>
          <reference field="4" count="1" selected="0">
            <x v="2643"/>
          </reference>
          <reference field="11" count="1" selected="0">
            <x v="12"/>
          </reference>
          <reference field="14" count="1">
            <x v="1136"/>
          </reference>
        </references>
      </pivotArea>
    </format>
    <format dxfId="1337">
      <pivotArea dataOnly="0" labelOnly="1" outline="0" fieldPosition="0">
        <references count="4">
          <reference field="3" count="1" selected="0">
            <x v="2770"/>
          </reference>
          <reference field="4" count="1" selected="0">
            <x v="4108"/>
          </reference>
          <reference field="11" count="1" selected="0">
            <x v="12"/>
          </reference>
          <reference field="14" count="1">
            <x v="1132"/>
          </reference>
        </references>
      </pivotArea>
    </format>
    <format dxfId="1336">
      <pivotArea dataOnly="0" labelOnly="1" outline="0" fieldPosition="0">
        <references count="4">
          <reference field="3" count="1" selected="0">
            <x v="2775"/>
          </reference>
          <reference field="4" count="1" selected="0">
            <x v="406"/>
          </reference>
          <reference field="11" count="1" selected="0">
            <x v="12"/>
          </reference>
          <reference field="14" count="1">
            <x v="1123"/>
          </reference>
        </references>
      </pivotArea>
    </format>
    <format dxfId="1335">
      <pivotArea dataOnly="0" labelOnly="1" outline="0" fieldPosition="0">
        <references count="4">
          <reference field="3" count="1" selected="0">
            <x v="2793"/>
          </reference>
          <reference field="4" count="1" selected="0">
            <x v="1302"/>
          </reference>
          <reference field="11" count="1" selected="0">
            <x v="12"/>
          </reference>
          <reference field="14" count="1">
            <x v="1117"/>
          </reference>
        </references>
      </pivotArea>
    </format>
    <format dxfId="1334">
      <pivotArea dataOnly="0" labelOnly="1" outline="0" fieldPosition="0">
        <references count="4">
          <reference field="3" count="1" selected="0">
            <x v="2799"/>
          </reference>
          <reference field="4" count="1" selected="0">
            <x v="31"/>
          </reference>
          <reference field="11" count="1" selected="0">
            <x v="12"/>
          </reference>
          <reference field="14" count="1">
            <x v="1139"/>
          </reference>
        </references>
      </pivotArea>
    </format>
    <format dxfId="1333">
      <pivotArea dataOnly="0" labelOnly="1" outline="0" fieldPosition="0">
        <references count="4">
          <reference field="3" count="1" selected="0">
            <x v="2811"/>
          </reference>
          <reference field="4" count="1" selected="0">
            <x v="3279"/>
          </reference>
          <reference field="11" count="1" selected="0">
            <x v="12"/>
          </reference>
          <reference field="14" count="1">
            <x v="1132"/>
          </reference>
        </references>
      </pivotArea>
    </format>
    <format dxfId="1332">
      <pivotArea dataOnly="0" labelOnly="1" outline="0" fieldPosition="0">
        <references count="4">
          <reference field="3" count="1" selected="0">
            <x v="2813"/>
          </reference>
          <reference field="4" count="1" selected="0">
            <x v="6985"/>
          </reference>
          <reference field="11" count="1" selected="0">
            <x v="11"/>
          </reference>
          <reference field="14" count="1">
            <x v="1117"/>
          </reference>
        </references>
      </pivotArea>
    </format>
    <format dxfId="1331">
      <pivotArea dataOnly="0" labelOnly="1" outline="0" fieldPosition="0">
        <references count="4">
          <reference field="3" count="1" selected="0">
            <x v="2816"/>
          </reference>
          <reference field="4" count="1" selected="0">
            <x v="4595"/>
          </reference>
          <reference field="11" count="1" selected="0">
            <x v="12"/>
          </reference>
          <reference field="14" count="1">
            <x v="1120"/>
          </reference>
        </references>
      </pivotArea>
    </format>
    <format dxfId="1330">
      <pivotArea dataOnly="0" labelOnly="1" outline="0" fieldPosition="0">
        <references count="4">
          <reference field="3" count="1" selected="0">
            <x v="2826"/>
          </reference>
          <reference field="4" count="1" selected="0">
            <x v="428"/>
          </reference>
          <reference field="11" count="1" selected="0">
            <x v="12"/>
          </reference>
          <reference field="14" count="1">
            <x v="1117"/>
          </reference>
        </references>
      </pivotArea>
    </format>
    <format dxfId="1329">
      <pivotArea dataOnly="0" labelOnly="1" outline="0" fieldPosition="0">
        <references count="5">
          <reference field="3" count="1" selected="0">
            <x v="292"/>
          </reference>
          <reference field="4" count="1" selected="0">
            <x v="2680"/>
          </reference>
          <reference field="11" count="1" selected="0">
            <x v="12"/>
          </reference>
          <reference field="14" count="1" selected="0">
            <x v="1117"/>
          </reference>
          <reference field="21" count="1">
            <x v="32"/>
          </reference>
        </references>
      </pivotArea>
    </format>
    <format dxfId="1328">
      <pivotArea dataOnly="0" labelOnly="1" outline="0" fieldPosition="0">
        <references count="5">
          <reference field="3" count="1" selected="0">
            <x v="404"/>
          </reference>
          <reference field="4" count="1" selected="0">
            <x v="2436"/>
          </reference>
          <reference field="11" count="1" selected="0">
            <x v="12"/>
          </reference>
          <reference field="14" count="1" selected="0">
            <x v="1123"/>
          </reference>
          <reference field="21" count="1">
            <x v="25"/>
          </reference>
        </references>
      </pivotArea>
    </format>
    <format dxfId="1327">
      <pivotArea dataOnly="0" labelOnly="1" outline="0" fieldPosition="0">
        <references count="5">
          <reference field="3" count="1" selected="0">
            <x v="461"/>
          </reference>
          <reference field="4" count="1" selected="0">
            <x v="2528"/>
          </reference>
          <reference field="11" count="1" selected="0">
            <x v="12"/>
          </reference>
          <reference field="14" count="1" selected="0">
            <x v="1119"/>
          </reference>
          <reference field="21" count="1">
            <x v="27"/>
          </reference>
        </references>
      </pivotArea>
    </format>
    <format dxfId="1326">
      <pivotArea dataOnly="0" labelOnly="1" outline="0" fieldPosition="0">
        <references count="5">
          <reference field="3" count="1" selected="0">
            <x v="625"/>
          </reference>
          <reference field="4" count="1" selected="0">
            <x v="5737"/>
          </reference>
          <reference field="11" count="1" selected="0">
            <x v="12"/>
          </reference>
          <reference field="14" count="1" selected="0">
            <x v="1120"/>
          </reference>
          <reference field="21" count="1">
            <x v="25"/>
          </reference>
        </references>
      </pivotArea>
    </format>
    <format dxfId="1325">
      <pivotArea dataOnly="0" labelOnly="1" outline="0" fieldPosition="0">
        <references count="5">
          <reference field="3" count="1" selected="0">
            <x v="810"/>
          </reference>
          <reference field="4" count="1" selected="0">
            <x v="3004"/>
          </reference>
          <reference field="11" count="1" selected="0">
            <x v="12"/>
          </reference>
          <reference field="14" count="1" selected="0">
            <x v="1126"/>
          </reference>
          <reference field="21" count="1">
            <x v="21"/>
          </reference>
        </references>
      </pivotArea>
    </format>
    <format dxfId="1324">
      <pivotArea dataOnly="0" labelOnly="1" outline="0" fieldPosition="0">
        <references count="5">
          <reference field="3" count="1" selected="0">
            <x v="1051"/>
          </reference>
          <reference field="4" count="1" selected="0">
            <x v="2844"/>
          </reference>
          <reference field="11" count="1" selected="0">
            <x v="12"/>
          </reference>
          <reference field="14" count="1" selected="0">
            <x v="1117"/>
          </reference>
          <reference field="21" count="1">
            <x v="14"/>
          </reference>
        </references>
      </pivotArea>
    </format>
    <format dxfId="1323">
      <pivotArea dataOnly="0" labelOnly="1" outline="0" fieldPosition="0">
        <references count="5">
          <reference field="3" count="1" selected="0">
            <x v="1183"/>
          </reference>
          <reference field="4" count="1" selected="0">
            <x v="3304"/>
          </reference>
          <reference field="11" count="1" selected="0">
            <x v="12"/>
          </reference>
          <reference field="14" count="1" selected="0">
            <x v="1117"/>
          </reference>
          <reference field="21" count="1">
            <x v="3"/>
          </reference>
        </references>
      </pivotArea>
    </format>
    <format dxfId="1322">
      <pivotArea dataOnly="0" labelOnly="1" outline="0" fieldPosition="0">
        <references count="5">
          <reference field="3" count="1" selected="0">
            <x v="1318"/>
          </reference>
          <reference field="4" count="1" selected="0">
            <x v="4357"/>
          </reference>
          <reference field="11" count="1" selected="0">
            <x v="12"/>
          </reference>
          <reference field="14" count="1" selected="0">
            <x v="1117"/>
          </reference>
          <reference field="21" count="1">
            <x v="12"/>
          </reference>
        </references>
      </pivotArea>
    </format>
    <format dxfId="1321">
      <pivotArea dataOnly="0" labelOnly="1" outline="0" fieldPosition="0">
        <references count="5">
          <reference field="3" count="1" selected="0">
            <x v="1484"/>
          </reference>
          <reference field="4" count="1" selected="0">
            <x v="6176"/>
          </reference>
          <reference field="11" count="1" selected="0">
            <x v="12"/>
          </reference>
          <reference field="14" count="1" selected="0">
            <x v="1119"/>
          </reference>
          <reference field="21" count="1">
            <x v="7"/>
          </reference>
        </references>
      </pivotArea>
    </format>
    <format dxfId="1320">
      <pivotArea dataOnly="0" labelOnly="1" outline="0" fieldPosition="0">
        <references count="5">
          <reference field="3" count="1" selected="0">
            <x v="1720"/>
          </reference>
          <reference field="4" count="1" selected="0">
            <x v="3488"/>
          </reference>
          <reference field="11" count="1" selected="0">
            <x v="12"/>
          </reference>
          <reference field="14" count="1" selected="0">
            <x v="1117"/>
          </reference>
          <reference field="21" count="1">
            <x v="28"/>
          </reference>
        </references>
      </pivotArea>
    </format>
    <format dxfId="1319">
      <pivotArea dataOnly="0" labelOnly="1" outline="0" fieldPosition="0">
        <references count="5">
          <reference field="3" count="1" selected="0">
            <x v="1859"/>
          </reference>
          <reference field="4" count="1" selected="0">
            <x v="2108"/>
          </reference>
          <reference field="11" count="1" selected="0">
            <x v="12"/>
          </reference>
          <reference field="14" count="1" selected="0">
            <x v="1120"/>
          </reference>
          <reference field="21" count="1">
            <x v="6"/>
          </reference>
        </references>
      </pivotArea>
    </format>
    <format dxfId="1318">
      <pivotArea dataOnly="0" labelOnly="1" outline="0" fieldPosition="0">
        <references count="5">
          <reference field="3" count="1" selected="0">
            <x v="1868"/>
          </reference>
          <reference field="4" count="1" selected="0">
            <x v="6268"/>
          </reference>
          <reference field="11" count="1" selected="0">
            <x v="12"/>
          </reference>
          <reference field="14" count="1" selected="0">
            <x v="1126"/>
          </reference>
          <reference field="21" count="1">
            <x v="2"/>
          </reference>
        </references>
      </pivotArea>
    </format>
    <format dxfId="1317">
      <pivotArea dataOnly="0" labelOnly="1" outline="0" fieldPosition="0">
        <references count="5">
          <reference field="3" count="1" selected="0">
            <x v="2081"/>
          </reference>
          <reference field="4" count="1" selected="0">
            <x v="5922"/>
          </reference>
          <reference field="11" count="1" selected="0">
            <x v="12"/>
          </reference>
          <reference field="14" count="1" selected="0">
            <x v="1117"/>
          </reference>
          <reference field="21" count="1">
            <x v="9"/>
          </reference>
        </references>
      </pivotArea>
    </format>
    <format dxfId="1316">
      <pivotArea dataOnly="0" labelOnly="1" outline="0" fieldPosition="0">
        <references count="5">
          <reference field="3" count="1" selected="0">
            <x v="2201"/>
          </reference>
          <reference field="4" count="1" selected="0">
            <x v="7137"/>
          </reference>
          <reference field="11" count="1" selected="0">
            <x v="12"/>
          </reference>
          <reference field="14" count="1" selected="0">
            <x v="1117"/>
          </reference>
          <reference field="21" count="1">
            <x v="20"/>
          </reference>
        </references>
      </pivotArea>
    </format>
    <format dxfId="1315">
      <pivotArea dataOnly="0" labelOnly="1" outline="0" fieldPosition="0">
        <references count="5">
          <reference field="3" count="1" selected="0">
            <x v="2338"/>
          </reference>
          <reference field="4" count="1" selected="0">
            <x v="4954"/>
          </reference>
          <reference field="11" count="1" selected="0">
            <x v="12"/>
          </reference>
          <reference field="14" count="1" selected="0">
            <x v="1123"/>
          </reference>
          <reference field="21" count="1">
            <x v="13"/>
          </reference>
        </references>
      </pivotArea>
    </format>
    <format dxfId="1314">
      <pivotArea dataOnly="0" labelOnly="1" outline="0" fieldPosition="0">
        <references count="5">
          <reference field="3" count="1" selected="0">
            <x v="2339"/>
          </reference>
          <reference field="4" count="1" selected="0">
            <x v="5354"/>
          </reference>
          <reference field="11" count="1" selected="0">
            <x v="12"/>
          </reference>
          <reference field="14" count="1" selected="0">
            <x v="1123"/>
          </reference>
          <reference field="21" count="1">
            <x v="34"/>
          </reference>
        </references>
      </pivotArea>
    </format>
    <format dxfId="1313">
      <pivotArea dataOnly="0" labelOnly="1" outline="0" fieldPosition="0">
        <references count="5">
          <reference field="3" count="1" selected="0">
            <x v="2341"/>
          </reference>
          <reference field="4" count="1" selected="0">
            <x v="7211"/>
          </reference>
          <reference field="11" count="1" selected="0">
            <x v="12"/>
          </reference>
          <reference field="14" count="1" selected="0">
            <x v="1123"/>
          </reference>
          <reference field="21" count="1">
            <x v="27"/>
          </reference>
        </references>
      </pivotArea>
    </format>
    <format dxfId="1312">
      <pivotArea dataOnly="0" labelOnly="1" outline="0" fieldPosition="0">
        <references count="5">
          <reference field="3" count="1" selected="0">
            <x v="2345"/>
          </reference>
          <reference field="4" count="1" selected="0">
            <x v="988"/>
          </reference>
          <reference field="11" count="1" selected="0">
            <x v="12"/>
          </reference>
          <reference field="14" count="1" selected="0">
            <x v="1123"/>
          </reference>
          <reference field="21" count="1">
            <x v="8"/>
          </reference>
        </references>
      </pivotArea>
    </format>
    <format dxfId="1311">
      <pivotArea dataOnly="0" labelOnly="1" outline="0" fieldPosition="0">
        <references count="5">
          <reference field="3" count="1" selected="0">
            <x v="2347"/>
          </reference>
          <reference field="4" count="1" selected="0">
            <x v="2575"/>
          </reference>
          <reference field="11" count="1" selected="0">
            <x v="12"/>
          </reference>
          <reference field="14" count="1" selected="0">
            <x v="1123"/>
          </reference>
          <reference field="21" count="1">
            <x v="25"/>
          </reference>
        </references>
      </pivotArea>
    </format>
    <format dxfId="1310">
      <pivotArea dataOnly="0" labelOnly="1" outline="0" fieldPosition="0">
        <references count="5">
          <reference field="3" count="1" selected="0">
            <x v="2351"/>
          </reference>
          <reference field="4" count="1" selected="0">
            <x v="6591"/>
          </reference>
          <reference field="11" count="1" selected="0">
            <x v="12"/>
          </reference>
          <reference field="14" count="1" selected="0">
            <x v="1123"/>
          </reference>
          <reference field="21" count="1">
            <x v="2"/>
          </reference>
        </references>
      </pivotArea>
    </format>
    <format dxfId="1309">
      <pivotArea dataOnly="0" labelOnly="1" outline="0" fieldPosition="0">
        <references count="5">
          <reference field="3" count="1" selected="0">
            <x v="2352"/>
          </reference>
          <reference field="4" count="1" selected="0">
            <x v="2119"/>
          </reference>
          <reference field="11" count="1" selected="0">
            <x v="12"/>
          </reference>
          <reference field="14" count="1" selected="0">
            <x v="1123"/>
          </reference>
          <reference field="21" count="1">
            <x v="15"/>
          </reference>
        </references>
      </pivotArea>
    </format>
    <format dxfId="1308">
      <pivotArea dataOnly="0" labelOnly="1" outline="0" fieldPosition="0">
        <references count="5">
          <reference field="3" count="1" selected="0">
            <x v="2586"/>
          </reference>
          <reference field="4" count="1" selected="0">
            <x v="7210"/>
          </reference>
          <reference field="11" count="1" selected="0">
            <x v="12"/>
          </reference>
          <reference field="14" count="1" selected="0">
            <x v="1123"/>
          </reference>
          <reference field="21" count="1">
            <x v="12"/>
          </reference>
        </references>
      </pivotArea>
    </format>
    <format dxfId="1307">
      <pivotArea dataOnly="0" labelOnly="1" outline="0" fieldPosition="0">
        <references count="5">
          <reference field="3" count="1" selected="0">
            <x v="2588"/>
          </reference>
          <reference field="4" count="1" selected="0">
            <x v="6793"/>
          </reference>
          <reference field="11" count="1" selected="0">
            <x v="12"/>
          </reference>
          <reference field="14" count="1" selected="0">
            <x v="1123"/>
          </reference>
          <reference field="21" count="1">
            <x v="15"/>
          </reference>
        </references>
      </pivotArea>
    </format>
    <format dxfId="1306">
      <pivotArea dataOnly="0" labelOnly="1" outline="0" fieldPosition="0">
        <references count="5">
          <reference field="3" count="1" selected="0">
            <x v="2591"/>
          </reference>
          <reference field="4" count="1" selected="0">
            <x v="3348"/>
          </reference>
          <reference field="11" count="1" selected="0">
            <x v="12"/>
          </reference>
          <reference field="14" count="1" selected="0">
            <x v="1123"/>
          </reference>
          <reference field="21" count="1">
            <x v="14"/>
          </reference>
        </references>
      </pivotArea>
    </format>
    <format dxfId="1305">
      <pivotArea dataOnly="0" labelOnly="1" outline="0" fieldPosition="0">
        <references count="5">
          <reference field="3" count="1" selected="0">
            <x v="2594"/>
          </reference>
          <reference field="4" count="1" selected="0">
            <x v="4022"/>
          </reference>
          <reference field="11" count="1" selected="0">
            <x v="12"/>
          </reference>
          <reference field="14" count="1" selected="0">
            <x v="1123"/>
          </reference>
          <reference field="21" count="1">
            <x v="37"/>
          </reference>
        </references>
      </pivotArea>
    </format>
    <format dxfId="1304">
      <pivotArea dataOnly="0" labelOnly="1" outline="0" fieldPosition="0">
        <references count="5">
          <reference field="3" count="1" selected="0">
            <x v="2604"/>
          </reference>
          <reference field="4" count="1" selected="0">
            <x v="7484"/>
          </reference>
          <reference field="11" count="1" selected="0">
            <x v="12"/>
          </reference>
          <reference field="14" count="1" selected="0">
            <x v="1123"/>
          </reference>
          <reference field="21" count="1">
            <x v="19"/>
          </reference>
        </references>
      </pivotArea>
    </format>
    <format dxfId="1303">
      <pivotArea dataOnly="0" labelOnly="1" outline="0" fieldPosition="0">
        <references count="5">
          <reference field="3" count="1" selected="0">
            <x v="2606"/>
          </reference>
          <reference field="4" count="1" selected="0">
            <x v="3798"/>
          </reference>
          <reference field="11" count="1" selected="0">
            <x v="12"/>
          </reference>
          <reference field="14" count="1" selected="0">
            <x v="1123"/>
          </reference>
          <reference field="21" count="1">
            <x v="10"/>
          </reference>
        </references>
      </pivotArea>
    </format>
    <format dxfId="1302">
      <pivotArea dataOnly="0" labelOnly="1" outline="0" fieldPosition="0">
        <references count="5">
          <reference field="3" count="1" selected="0">
            <x v="2607"/>
          </reference>
          <reference field="4" count="1" selected="0">
            <x v="4085"/>
          </reference>
          <reference field="11" count="1" selected="0">
            <x v="12"/>
          </reference>
          <reference field="14" count="1" selected="0">
            <x v="1123"/>
          </reference>
          <reference field="21" count="1">
            <x v="5"/>
          </reference>
        </references>
      </pivotArea>
    </format>
    <format dxfId="1301">
      <pivotArea dataOnly="0" labelOnly="1" outline="0" fieldPosition="0">
        <references count="5">
          <reference field="3" count="1" selected="0">
            <x v="2608"/>
          </reference>
          <reference field="4" count="1" selected="0">
            <x v="5946"/>
          </reference>
          <reference field="11" count="1" selected="0">
            <x v="12"/>
          </reference>
          <reference field="14" count="1" selected="0">
            <x v="1123"/>
          </reference>
          <reference field="21" count="1">
            <x v="23"/>
          </reference>
        </references>
      </pivotArea>
    </format>
    <format dxfId="1300">
      <pivotArea dataOnly="0" labelOnly="1" outline="0" fieldPosition="0">
        <references count="5">
          <reference field="3" count="1" selected="0">
            <x v="2616"/>
          </reference>
          <reference field="4" count="1" selected="0">
            <x v="1782"/>
          </reference>
          <reference field="11" count="1" selected="0">
            <x v="12"/>
          </reference>
          <reference field="14" count="1" selected="0">
            <x v="1123"/>
          </reference>
          <reference field="21" count="1">
            <x v="11"/>
          </reference>
        </references>
      </pivotArea>
    </format>
    <format dxfId="1299">
      <pivotArea dataOnly="0" labelOnly="1" outline="0" fieldPosition="0">
        <references count="5">
          <reference field="3" count="1" selected="0">
            <x v="2714"/>
          </reference>
          <reference field="4" count="1" selected="0">
            <x v="3578"/>
          </reference>
          <reference field="11" count="1" selected="0">
            <x v="12"/>
          </reference>
          <reference field="14" count="1" selected="0">
            <x v="1117"/>
          </reference>
          <reference field="21" count="1">
            <x v="13"/>
          </reference>
        </references>
      </pivotArea>
    </format>
    <format dxfId="1298">
      <pivotArea dataOnly="0" labelOnly="1" outline="0" fieldPosition="0">
        <references count="5">
          <reference field="3" count="1" selected="0">
            <x v="2715"/>
          </reference>
          <reference field="4" count="1" selected="0">
            <x v="1"/>
          </reference>
          <reference field="11" count="1" selected="0">
            <x v="12"/>
          </reference>
          <reference field="14" count="1" selected="0">
            <x v="1117"/>
          </reference>
          <reference field="21" count="1">
            <x v="15"/>
          </reference>
        </references>
      </pivotArea>
    </format>
    <format dxfId="1297">
      <pivotArea dataOnly="0" labelOnly="1" outline="0" fieldPosition="0">
        <references count="5">
          <reference field="3" count="1" selected="0">
            <x v="2717"/>
          </reference>
          <reference field="4" count="1" selected="0">
            <x v="370"/>
          </reference>
          <reference field="11" count="1" selected="0">
            <x v="12"/>
          </reference>
          <reference field="14" count="1" selected="0">
            <x v="1117"/>
          </reference>
          <reference field="21" count="1">
            <x v="17"/>
          </reference>
        </references>
      </pivotArea>
    </format>
    <format dxfId="1296">
      <pivotArea dataOnly="0" labelOnly="1" outline="0" fieldPosition="0">
        <references count="5">
          <reference field="3" count="1" selected="0">
            <x v="2727"/>
          </reference>
          <reference field="4" count="1" selected="0">
            <x v="4165"/>
          </reference>
          <reference field="11" count="1" selected="0">
            <x v="12"/>
          </reference>
          <reference field="14" count="1" selected="0">
            <x v="1120"/>
          </reference>
          <reference field="21" count="1">
            <x v="16"/>
          </reference>
        </references>
      </pivotArea>
    </format>
    <format dxfId="1295">
      <pivotArea dataOnly="0" labelOnly="1" outline="0" fieldPosition="0">
        <references count="5">
          <reference field="3" count="1" selected="0">
            <x v="2728"/>
          </reference>
          <reference field="4" count="1" selected="0">
            <x v="4548"/>
          </reference>
          <reference field="11" count="1" selected="0">
            <x v="12"/>
          </reference>
          <reference field="14" count="1" selected="0">
            <x v="1120"/>
          </reference>
          <reference field="21" count="1">
            <x v="9"/>
          </reference>
        </references>
      </pivotArea>
    </format>
    <format dxfId="1294">
      <pivotArea dataOnly="0" labelOnly="1" outline="0" fieldPosition="0">
        <references count="5">
          <reference field="3" count="1" selected="0">
            <x v="2732"/>
          </reference>
          <reference field="4" count="1" selected="0">
            <x v="3139"/>
          </reference>
          <reference field="11" count="1" selected="0">
            <x v="12"/>
          </reference>
          <reference field="14" count="1" selected="0">
            <x v="1121"/>
          </reference>
          <reference field="21" count="1">
            <x v="17"/>
          </reference>
        </references>
      </pivotArea>
    </format>
    <format dxfId="1293">
      <pivotArea dataOnly="0" labelOnly="1" outline="0" fieldPosition="0">
        <references count="5">
          <reference field="3" count="1" selected="0">
            <x v="2734"/>
          </reference>
          <reference field="4" count="1" selected="0">
            <x v="3914"/>
          </reference>
          <reference field="11" count="1" selected="0">
            <x v="12"/>
          </reference>
          <reference field="14" count="1" selected="0">
            <x v="1121"/>
          </reference>
          <reference field="21" count="1">
            <x v="2"/>
          </reference>
        </references>
      </pivotArea>
    </format>
    <format dxfId="1292">
      <pivotArea dataOnly="0" labelOnly="1" outline="0" fieldPosition="0">
        <references count="5">
          <reference field="3" count="1" selected="0">
            <x v="2743"/>
          </reference>
          <reference field="4" count="1" selected="0">
            <x v="4125"/>
          </reference>
          <reference field="11" count="1" selected="0">
            <x v="12"/>
          </reference>
          <reference field="14" count="1" selected="0">
            <x v="1117"/>
          </reference>
          <reference field="21" count="1">
            <x v="14"/>
          </reference>
        </references>
      </pivotArea>
    </format>
    <format dxfId="1291">
      <pivotArea dataOnly="0" labelOnly="1" outline="0" fieldPosition="0">
        <references count="5">
          <reference field="3" count="1" selected="0">
            <x v="2744"/>
          </reference>
          <reference field="4" count="1" selected="0">
            <x v="864"/>
          </reference>
          <reference field="11" count="1" selected="0">
            <x v="12"/>
          </reference>
          <reference field="14" count="1" selected="0">
            <x v="1117"/>
          </reference>
          <reference field="21" count="1">
            <x v="27"/>
          </reference>
        </references>
      </pivotArea>
    </format>
    <format dxfId="1290">
      <pivotArea dataOnly="0" labelOnly="1" outline="0" fieldPosition="0">
        <references count="5">
          <reference field="3" count="1" selected="0">
            <x v="2750"/>
          </reference>
          <reference field="4" count="1" selected="0">
            <x v="3823"/>
          </reference>
          <reference field="11" count="1" selected="0">
            <x v="12"/>
          </reference>
          <reference field="14" count="1" selected="0">
            <x v="1121"/>
          </reference>
          <reference field="21" count="1">
            <x v="10"/>
          </reference>
        </references>
      </pivotArea>
    </format>
    <format dxfId="1289">
      <pivotArea dataOnly="0" labelOnly="1" outline="0" fieldPosition="0">
        <references count="5">
          <reference field="3" count="1" selected="0">
            <x v="2753"/>
          </reference>
          <reference field="4" count="1" selected="0">
            <x v="3514"/>
          </reference>
          <reference field="11" count="1" selected="0">
            <x v="12"/>
          </reference>
          <reference field="14" count="1" selected="0">
            <x v="1117"/>
          </reference>
          <reference field="21" count="1">
            <x v="6"/>
          </reference>
        </references>
      </pivotArea>
    </format>
    <format dxfId="1288">
      <pivotArea dataOnly="0" labelOnly="1" outline="0" fieldPosition="0">
        <references count="5">
          <reference field="3" count="1" selected="0">
            <x v="2761"/>
          </reference>
          <reference field="4" count="1" selected="0">
            <x v="4220"/>
          </reference>
          <reference field="11" count="1" selected="0">
            <x v="12"/>
          </reference>
          <reference field="14" count="1" selected="0">
            <x v="1117"/>
          </reference>
          <reference field="21" count="1">
            <x v="11"/>
          </reference>
        </references>
      </pivotArea>
    </format>
    <format dxfId="1287">
      <pivotArea dataOnly="0" labelOnly="1" outline="0" fieldPosition="0">
        <references count="5">
          <reference field="3" count="1" selected="0">
            <x v="2766"/>
          </reference>
          <reference field="4" count="1" selected="0">
            <x v="2643"/>
          </reference>
          <reference field="11" count="1" selected="0">
            <x v="12"/>
          </reference>
          <reference field="14" count="1" selected="0">
            <x v="1136"/>
          </reference>
          <reference field="21" count="1">
            <x v="28"/>
          </reference>
        </references>
      </pivotArea>
    </format>
    <format dxfId="1286">
      <pivotArea dataOnly="0" labelOnly="1" outline="0" fieldPosition="0">
        <references count="5">
          <reference field="3" count="1" selected="0">
            <x v="2770"/>
          </reference>
          <reference field="4" count="1" selected="0">
            <x v="4108"/>
          </reference>
          <reference field="11" count="1" selected="0">
            <x v="12"/>
          </reference>
          <reference field="14" count="1" selected="0">
            <x v="1132"/>
          </reference>
          <reference field="21" count="1">
            <x v="1"/>
          </reference>
        </references>
      </pivotArea>
    </format>
    <format dxfId="1285">
      <pivotArea dataOnly="0" labelOnly="1" outline="0" fieldPosition="0">
        <references count="5">
          <reference field="3" count="1" selected="0">
            <x v="2771"/>
          </reference>
          <reference field="4" count="1" selected="0">
            <x v="2250"/>
          </reference>
          <reference field="11" count="1" selected="0">
            <x v="12"/>
          </reference>
          <reference field="14" count="1" selected="0">
            <x v="1132"/>
          </reference>
          <reference field="21" count="1">
            <x v="0"/>
          </reference>
        </references>
      </pivotArea>
    </format>
    <format dxfId="1284">
      <pivotArea dataOnly="0" labelOnly="1" outline="0" fieldPosition="0">
        <references count="5">
          <reference field="3" count="1" selected="0">
            <x v="2775"/>
          </reference>
          <reference field="4" count="1" selected="0">
            <x v="406"/>
          </reference>
          <reference field="11" count="1" selected="0">
            <x v="12"/>
          </reference>
          <reference field="14" count="1" selected="0">
            <x v="1123"/>
          </reference>
          <reference field="21" count="1">
            <x v="25"/>
          </reference>
        </references>
      </pivotArea>
    </format>
    <format dxfId="1283">
      <pivotArea dataOnly="0" labelOnly="1" outline="0" fieldPosition="0">
        <references count="5">
          <reference field="3" count="1" selected="0">
            <x v="2793"/>
          </reference>
          <reference field="4" count="1" selected="0">
            <x v="1302"/>
          </reference>
          <reference field="11" count="1" selected="0">
            <x v="12"/>
          </reference>
          <reference field="14" count="1" selected="0">
            <x v="1117"/>
          </reference>
          <reference field="21" count="1">
            <x v="9"/>
          </reference>
        </references>
      </pivotArea>
    </format>
    <format dxfId="1282">
      <pivotArea dataOnly="0" labelOnly="1" outline="0" fieldPosition="0">
        <references count="5">
          <reference field="3" count="1" selected="0">
            <x v="2795"/>
          </reference>
          <reference field="4" count="1" selected="0">
            <x v="5147"/>
          </reference>
          <reference field="11" count="1" selected="0">
            <x v="12"/>
          </reference>
          <reference field="14" count="1" selected="0">
            <x v="1117"/>
          </reference>
          <reference field="21" count="1">
            <x v="22"/>
          </reference>
        </references>
      </pivotArea>
    </format>
    <format dxfId="1281">
      <pivotArea dataOnly="0" labelOnly="1" outline="0" fieldPosition="0">
        <references count="5">
          <reference field="3" count="1" selected="0">
            <x v="2799"/>
          </reference>
          <reference field="4" count="1" selected="0">
            <x v="31"/>
          </reference>
          <reference field="11" count="1" selected="0">
            <x v="12"/>
          </reference>
          <reference field="14" count="1" selected="0">
            <x v="1139"/>
          </reference>
          <reference field="21" count="1">
            <x v="13"/>
          </reference>
        </references>
      </pivotArea>
    </format>
    <format dxfId="1280">
      <pivotArea dataOnly="0" labelOnly="1" outline="0" fieldPosition="0">
        <references count="5">
          <reference field="3" count="1" selected="0">
            <x v="2804"/>
          </reference>
          <reference field="4" count="1" selected="0">
            <x v="3510"/>
          </reference>
          <reference field="11" count="1" selected="0">
            <x v="12"/>
          </reference>
          <reference field="14" count="1" selected="0">
            <x v="1131"/>
          </reference>
          <reference field="21" count="1">
            <x v="44"/>
          </reference>
        </references>
      </pivotArea>
    </format>
    <format dxfId="1279">
      <pivotArea dataOnly="0" labelOnly="1" outline="0" fieldPosition="0">
        <references count="5">
          <reference field="3" count="1" selected="0">
            <x v="2805"/>
          </reference>
          <reference field="4" count="1" selected="0">
            <x v="3581"/>
          </reference>
          <reference field="11" count="1" selected="0">
            <x v="12"/>
          </reference>
          <reference field="14" count="1" selected="0">
            <x v="1131"/>
          </reference>
          <reference field="21" count="1">
            <x v="22"/>
          </reference>
        </references>
      </pivotArea>
    </format>
    <format dxfId="1278">
      <pivotArea dataOnly="0" labelOnly="1" outline="0" fieldPosition="0">
        <references count="5">
          <reference field="3" count="1" selected="0">
            <x v="2807"/>
          </reference>
          <reference field="4" count="1" selected="0">
            <x v="6232"/>
          </reference>
          <reference field="11" count="1" selected="0">
            <x v="12"/>
          </reference>
          <reference field="14" count="1" selected="0">
            <x v="1131"/>
          </reference>
          <reference field="21" count="1">
            <x v="28"/>
          </reference>
        </references>
      </pivotArea>
    </format>
    <format dxfId="1277">
      <pivotArea dataOnly="0" labelOnly="1" outline="0" fieldPosition="0">
        <references count="5">
          <reference field="3" count="1" selected="0">
            <x v="2811"/>
          </reference>
          <reference field="4" count="1" selected="0">
            <x v="3279"/>
          </reference>
          <reference field="11" count="1" selected="0">
            <x v="12"/>
          </reference>
          <reference field="14" count="1" selected="0">
            <x v="1132"/>
          </reference>
          <reference field="21" count="1">
            <x v="1"/>
          </reference>
        </references>
      </pivotArea>
    </format>
    <format dxfId="1276">
      <pivotArea dataOnly="0" labelOnly="1" outline="0" fieldPosition="0">
        <references count="5">
          <reference field="3" count="1" selected="0">
            <x v="2813"/>
          </reference>
          <reference field="4" count="1" selected="0">
            <x v="6985"/>
          </reference>
          <reference field="11" count="1" selected="0">
            <x v="11"/>
          </reference>
          <reference field="14" count="1" selected="0">
            <x v="1117"/>
          </reference>
          <reference field="21" count="1">
            <x v="10"/>
          </reference>
        </references>
      </pivotArea>
    </format>
    <format dxfId="1275">
      <pivotArea dataOnly="0" labelOnly="1" outline="0" fieldPosition="0">
        <references count="5">
          <reference field="3" count="1" selected="0">
            <x v="2816"/>
          </reference>
          <reference field="4" count="1" selected="0">
            <x v="4595"/>
          </reference>
          <reference field="11" count="1" selected="0">
            <x v="12"/>
          </reference>
          <reference field="14" count="1" selected="0">
            <x v="1120"/>
          </reference>
          <reference field="21" count="1">
            <x v="43"/>
          </reference>
        </references>
      </pivotArea>
    </format>
    <format dxfId="1274">
      <pivotArea dataOnly="0" labelOnly="1" outline="0" fieldPosition="0">
        <references count="5">
          <reference field="3" count="1" selected="0">
            <x v="2826"/>
          </reference>
          <reference field="4" count="1" selected="0">
            <x v="428"/>
          </reference>
          <reference field="11" count="1" selected="0">
            <x v="12"/>
          </reference>
          <reference field="14" count="1" selected="0">
            <x v="1117"/>
          </reference>
          <reference field="21" count="1">
            <x v="14"/>
          </reference>
        </references>
      </pivotArea>
    </format>
    <format dxfId="1273">
      <pivotArea dataOnly="0" labelOnly="1" outline="0" fieldPosition="0">
        <references count="5">
          <reference field="3" count="1" selected="0">
            <x v="2832"/>
          </reference>
          <reference field="4" count="1" selected="0">
            <x v="2691"/>
          </reference>
          <reference field="11" count="1" selected="0">
            <x v="12"/>
          </reference>
          <reference field="14" count="1" selected="0">
            <x v="1117"/>
          </reference>
          <reference field="21" count="1">
            <x v="21"/>
          </reference>
        </references>
      </pivotArea>
    </format>
    <format dxfId="1272">
      <pivotArea dataOnly="0" labelOnly="1" outline="0" fieldPosition="0">
        <references count="6">
          <reference field="3" count="1" selected="0">
            <x v="292"/>
          </reference>
          <reference field="4" count="1" selected="0">
            <x v="2680"/>
          </reference>
          <reference field="11" count="1" selected="0">
            <x v="12"/>
          </reference>
          <reference field="14" count="1" selected="0">
            <x v="1117"/>
          </reference>
          <reference field="21" count="1" selected="0">
            <x v="32"/>
          </reference>
          <reference field="22" count="1">
            <x v="4"/>
          </reference>
        </references>
      </pivotArea>
    </format>
    <format dxfId="1271">
      <pivotArea dataOnly="0" labelOnly="1" outline="0" fieldPosition="0">
        <references count="6">
          <reference field="3" count="1" selected="0">
            <x v="404"/>
          </reference>
          <reference field="4" count="1" selected="0">
            <x v="2436"/>
          </reference>
          <reference field="11" count="1" selected="0">
            <x v="12"/>
          </reference>
          <reference field="14" count="1" selected="0">
            <x v="1123"/>
          </reference>
          <reference field="21" count="1" selected="0">
            <x v="25"/>
          </reference>
          <reference field="22" count="1">
            <x v="3"/>
          </reference>
        </references>
      </pivotArea>
    </format>
    <format dxfId="1270">
      <pivotArea dataOnly="0" labelOnly="1" outline="0" fieldPosition="0">
        <references count="6">
          <reference field="3" count="1" selected="0">
            <x v="1183"/>
          </reference>
          <reference field="4" count="1" selected="0">
            <x v="3304"/>
          </reference>
          <reference field="11" count="1" selected="0">
            <x v="12"/>
          </reference>
          <reference field="14" count="1" selected="0">
            <x v="1117"/>
          </reference>
          <reference field="21" count="1" selected="0">
            <x v="3"/>
          </reference>
          <reference field="22" count="1">
            <x v="0"/>
          </reference>
        </references>
      </pivotArea>
    </format>
    <format dxfId="1269">
      <pivotArea dataOnly="0" labelOnly="1" outline="0" fieldPosition="0">
        <references count="6">
          <reference field="3" count="1" selected="0">
            <x v="1720"/>
          </reference>
          <reference field="4" count="1" selected="0">
            <x v="3488"/>
          </reference>
          <reference field="11" count="1" selected="0">
            <x v="12"/>
          </reference>
          <reference field="14" count="1" selected="0">
            <x v="1117"/>
          </reference>
          <reference field="21" count="1" selected="0">
            <x v="28"/>
          </reference>
          <reference field="22" count="1">
            <x v="3"/>
          </reference>
        </references>
      </pivotArea>
    </format>
    <format dxfId="1268">
      <pivotArea dataOnly="0" labelOnly="1" outline="0" fieldPosition="0">
        <references count="6">
          <reference field="3" count="1" selected="0">
            <x v="1868"/>
          </reference>
          <reference field="4" count="1" selected="0">
            <x v="6268"/>
          </reference>
          <reference field="11" count="1" selected="0">
            <x v="12"/>
          </reference>
          <reference field="14" count="1" selected="0">
            <x v="1126"/>
          </reference>
          <reference field="21" count="1" selected="0">
            <x v="2"/>
          </reference>
          <reference field="22" count="1">
            <x v="0"/>
          </reference>
        </references>
      </pivotArea>
    </format>
    <format dxfId="1267">
      <pivotArea dataOnly="0" labelOnly="1" outline="0" fieldPosition="0">
        <references count="6">
          <reference field="3" count="1" selected="0">
            <x v="2081"/>
          </reference>
          <reference field="4" count="1" selected="0">
            <x v="5922"/>
          </reference>
          <reference field="11" count="1" selected="0">
            <x v="12"/>
          </reference>
          <reference field="14" count="1" selected="0">
            <x v="1117"/>
          </reference>
          <reference field="21" count="1" selected="0">
            <x v="9"/>
          </reference>
          <reference field="22" count="1">
            <x v="1"/>
          </reference>
        </references>
      </pivotArea>
    </format>
    <format dxfId="1266">
      <pivotArea dataOnly="0" labelOnly="1" outline="0" fieldPosition="0">
        <references count="6">
          <reference field="3" count="1" selected="0">
            <x v="2201"/>
          </reference>
          <reference field="4" count="1" selected="0">
            <x v="7137"/>
          </reference>
          <reference field="11" count="1" selected="0">
            <x v="12"/>
          </reference>
          <reference field="14" count="1" selected="0">
            <x v="1117"/>
          </reference>
          <reference field="21" count="1" selected="0">
            <x v="20"/>
          </reference>
          <reference field="22" count="1">
            <x v="2"/>
          </reference>
        </references>
      </pivotArea>
    </format>
    <format dxfId="1265">
      <pivotArea dataOnly="0" labelOnly="1" outline="0" fieldPosition="0">
        <references count="6">
          <reference field="3" count="1" selected="0">
            <x v="2338"/>
          </reference>
          <reference field="4" count="1" selected="0">
            <x v="4954"/>
          </reference>
          <reference field="11" count="1" selected="0">
            <x v="12"/>
          </reference>
          <reference field="14" count="1" selected="0">
            <x v="1123"/>
          </reference>
          <reference field="21" count="1" selected="0">
            <x v="13"/>
          </reference>
          <reference field="22" count="1">
            <x v="1"/>
          </reference>
        </references>
      </pivotArea>
    </format>
    <format dxfId="1264">
      <pivotArea dataOnly="0" labelOnly="1" outline="0" fieldPosition="0">
        <references count="6">
          <reference field="3" count="1" selected="0">
            <x v="2339"/>
          </reference>
          <reference field="4" count="1" selected="0">
            <x v="5354"/>
          </reference>
          <reference field="11" count="1" selected="0">
            <x v="12"/>
          </reference>
          <reference field="14" count="1" selected="0">
            <x v="1123"/>
          </reference>
          <reference field="21" count="1" selected="0">
            <x v="34"/>
          </reference>
          <reference field="22" count="1">
            <x v="4"/>
          </reference>
        </references>
      </pivotArea>
    </format>
    <format dxfId="1263">
      <pivotArea dataOnly="0" labelOnly="1" outline="0" fieldPosition="0">
        <references count="6">
          <reference field="3" count="1" selected="0">
            <x v="2341"/>
          </reference>
          <reference field="4" count="1" selected="0">
            <x v="7211"/>
          </reference>
          <reference field="11" count="1" selected="0">
            <x v="12"/>
          </reference>
          <reference field="14" count="1" selected="0">
            <x v="1123"/>
          </reference>
          <reference field="21" count="1" selected="0">
            <x v="27"/>
          </reference>
          <reference field="22" count="1">
            <x v="3"/>
          </reference>
        </references>
      </pivotArea>
    </format>
    <format dxfId="1262">
      <pivotArea dataOnly="0" labelOnly="1" outline="0" fieldPosition="0">
        <references count="6">
          <reference field="3" count="1" selected="0">
            <x v="2345"/>
          </reference>
          <reference field="4" count="1" selected="0">
            <x v="988"/>
          </reference>
          <reference field="11" count="1" selected="0">
            <x v="12"/>
          </reference>
          <reference field="14" count="1" selected="0">
            <x v="1123"/>
          </reference>
          <reference field="21" count="1" selected="0">
            <x v="8"/>
          </reference>
          <reference field="22" count="1">
            <x v="1"/>
          </reference>
        </references>
      </pivotArea>
    </format>
    <format dxfId="1261">
      <pivotArea dataOnly="0" labelOnly="1" outline="0" fieldPosition="0">
        <references count="6">
          <reference field="3" count="1" selected="0">
            <x v="2347"/>
          </reference>
          <reference field="4" count="1" selected="0">
            <x v="2575"/>
          </reference>
          <reference field="11" count="1" selected="0">
            <x v="12"/>
          </reference>
          <reference field="14" count="1" selected="0">
            <x v="1123"/>
          </reference>
          <reference field="21" count="1" selected="0">
            <x v="25"/>
          </reference>
          <reference field="22" count="1">
            <x v="3"/>
          </reference>
        </references>
      </pivotArea>
    </format>
    <format dxfId="1260">
      <pivotArea dataOnly="0" labelOnly="1" outline="0" fieldPosition="0">
        <references count="6">
          <reference field="3" count="1" selected="0">
            <x v="2351"/>
          </reference>
          <reference field="4" count="1" selected="0">
            <x v="6591"/>
          </reference>
          <reference field="11" count="1" selected="0">
            <x v="12"/>
          </reference>
          <reference field="14" count="1" selected="0">
            <x v="1123"/>
          </reference>
          <reference field="21" count="1" selected="0">
            <x v="2"/>
          </reference>
          <reference field="22" count="1">
            <x v="0"/>
          </reference>
        </references>
      </pivotArea>
    </format>
    <format dxfId="1259">
      <pivotArea dataOnly="0" labelOnly="1" outline="0" fieldPosition="0">
        <references count="6">
          <reference field="3" count="1" selected="0">
            <x v="2352"/>
          </reference>
          <reference field="4" count="1" selected="0">
            <x v="2119"/>
          </reference>
          <reference field="11" count="1" selected="0">
            <x v="12"/>
          </reference>
          <reference field="14" count="1" selected="0">
            <x v="1123"/>
          </reference>
          <reference field="21" count="1" selected="0">
            <x v="15"/>
          </reference>
          <reference field="22" count="1">
            <x v="2"/>
          </reference>
        </references>
      </pivotArea>
    </format>
    <format dxfId="1258">
      <pivotArea dataOnly="0" labelOnly="1" outline="0" fieldPosition="0">
        <references count="6">
          <reference field="3" count="1" selected="0">
            <x v="2588"/>
          </reference>
          <reference field="4" count="1" selected="0">
            <x v="6793"/>
          </reference>
          <reference field="11" count="1" selected="0">
            <x v="12"/>
          </reference>
          <reference field="14" count="1" selected="0">
            <x v="1123"/>
          </reference>
          <reference field="21" count="1" selected="0">
            <x v="15"/>
          </reference>
          <reference field="22" count="1">
            <x v="2"/>
          </reference>
        </references>
      </pivotArea>
    </format>
    <format dxfId="1257">
      <pivotArea dataOnly="0" labelOnly="1" outline="0" fieldPosition="0">
        <references count="6">
          <reference field="3" count="1" selected="0">
            <x v="2594"/>
          </reference>
          <reference field="4" count="1" selected="0">
            <x v="4022"/>
          </reference>
          <reference field="11" count="1" selected="0">
            <x v="12"/>
          </reference>
          <reference field="14" count="1" selected="0">
            <x v="1123"/>
          </reference>
          <reference field="21" count="1" selected="0">
            <x v="37"/>
          </reference>
          <reference field="22" count="1">
            <x v="4"/>
          </reference>
        </references>
      </pivotArea>
    </format>
    <format dxfId="1256">
      <pivotArea dataOnly="0" labelOnly="1" outline="0" fieldPosition="0">
        <references count="6">
          <reference field="3" count="1" selected="0">
            <x v="2604"/>
          </reference>
          <reference field="4" count="1" selected="0">
            <x v="7484"/>
          </reference>
          <reference field="11" count="1" selected="0">
            <x v="12"/>
          </reference>
          <reference field="14" count="1" selected="0">
            <x v="1123"/>
          </reference>
          <reference field="21" count="1" selected="0">
            <x v="19"/>
          </reference>
          <reference field="22" count="1">
            <x v="2"/>
          </reference>
        </references>
      </pivotArea>
    </format>
    <format dxfId="1255">
      <pivotArea dataOnly="0" labelOnly="1" outline="0" fieldPosition="0">
        <references count="6">
          <reference field="3" count="1" selected="0">
            <x v="2606"/>
          </reference>
          <reference field="4" count="1" selected="0">
            <x v="3798"/>
          </reference>
          <reference field="11" count="1" selected="0">
            <x v="12"/>
          </reference>
          <reference field="14" count="1" selected="0">
            <x v="1123"/>
          </reference>
          <reference field="21" count="1" selected="0">
            <x v="10"/>
          </reference>
          <reference field="22" count="1">
            <x v="1"/>
          </reference>
        </references>
      </pivotArea>
    </format>
    <format dxfId="1254">
      <pivotArea dataOnly="0" labelOnly="1" outline="0" fieldPosition="0">
        <references count="6">
          <reference field="3" count="1" selected="0">
            <x v="2607"/>
          </reference>
          <reference field="4" count="1" selected="0">
            <x v="4085"/>
          </reference>
          <reference field="11" count="1" selected="0">
            <x v="12"/>
          </reference>
          <reference field="14" count="1" selected="0">
            <x v="1123"/>
          </reference>
          <reference field="21" count="1" selected="0">
            <x v="5"/>
          </reference>
          <reference field="22" count="1">
            <x v="0"/>
          </reference>
        </references>
      </pivotArea>
    </format>
    <format dxfId="1253">
      <pivotArea dataOnly="0" labelOnly="1" outline="0" fieldPosition="0">
        <references count="6">
          <reference field="3" count="1" selected="0">
            <x v="2608"/>
          </reference>
          <reference field="4" count="1" selected="0">
            <x v="5946"/>
          </reference>
          <reference field="11" count="1" selected="0">
            <x v="12"/>
          </reference>
          <reference field="14" count="1" selected="0">
            <x v="1123"/>
          </reference>
          <reference field="21" count="1" selected="0">
            <x v="23"/>
          </reference>
          <reference field="22" count="1">
            <x v="3"/>
          </reference>
        </references>
      </pivotArea>
    </format>
    <format dxfId="1252">
      <pivotArea dataOnly="0" labelOnly="1" outline="0" fieldPosition="0">
        <references count="6">
          <reference field="3" count="1" selected="0">
            <x v="2616"/>
          </reference>
          <reference field="4" count="1" selected="0">
            <x v="1782"/>
          </reference>
          <reference field="11" count="1" selected="0">
            <x v="12"/>
          </reference>
          <reference field="14" count="1" selected="0">
            <x v="1123"/>
          </reference>
          <reference field="21" count="1" selected="0">
            <x v="11"/>
          </reference>
          <reference field="22" count="1">
            <x v="1"/>
          </reference>
        </references>
      </pivotArea>
    </format>
    <format dxfId="1251">
      <pivotArea dataOnly="0" labelOnly="1" outline="0" fieldPosition="0">
        <references count="6">
          <reference field="3" count="1" selected="0">
            <x v="2715"/>
          </reference>
          <reference field="4" count="1" selected="0">
            <x v="1"/>
          </reference>
          <reference field="11" count="1" selected="0">
            <x v="12"/>
          </reference>
          <reference field="14" count="1" selected="0">
            <x v="1117"/>
          </reference>
          <reference field="21" count="1" selected="0">
            <x v="15"/>
          </reference>
          <reference field="22" count="1">
            <x v="2"/>
          </reference>
        </references>
      </pivotArea>
    </format>
    <format dxfId="1250">
      <pivotArea dataOnly="0" labelOnly="1" outline="0" fieldPosition="0">
        <references count="6">
          <reference field="3" count="1" selected="0">
            <x v="2728"/>
          </reference>
          <reference field="4" count="1" selected="0">
            <x v="4548"/>
          </reference>
          <reference field="11" count="1" selected="0">
            <x v="12"/>
          </reference>
          <reference field="14" count="1" selected="0">
            <x v="1120"/>
          </reference>
          <reference field="21" count="1" selected="0">
            <x v="9"/>
          </reference>
          <reference field="22" count="1">
            <x v="1"/>
          </reference>
        </references>
      </pivotArea>
    </format>
    <format dxfId="1249">
      <pivotArea dataOnly="0" labelOnly="1" outline="0" fieldPosition="0">
        <references count="6">
          <reference field="3" count="1" selected="0">
            <x v="2732"/>
          </reference>
          <reference field="4" count="1" selected="0">
            <x v="3139"/>
          </reference>
          <reference field="11" count="1" selected="0">
            <x v="12"/>
          </reference>
          <reference field="14" count="1" selected="0">
            <x v="1121"/>
          </reference>
          <reference field="21" count="1" selected="0">
            <x v="17"/>
          </reference>
          <reference field="22" count="1">
            <x v="2"/>
          </reference>
        </references>
      </pivotArea>
    </format>
    <format dxfId="1248">
      <pivotArea dataOnly="0" labelOnly="1" outline="0" fieldPosition="0">
        <references count="6">
          <reference field="3" count="1" selected="0">
            <x v="2734"/>
          </reference>
          <reference field="4" count="1" selected="0">
            <x v="3914"/>
          </reference>
          <reference field="11" count="1" selected="0">
            <x v="12"/>
          </reference>
          <reference field="14" count="1" selected="0">
            <x v="1121"/>
          </reference>
          <reference field="21" count="1" selected="0">
            <x v="2"/>
          </reference>
          <reference field="22" count="1">
            <x v="0"/>
          </reference>
        </references>
      </pivotArea>
    </format>
    <format dxfId="1247">
      <pivotArea dataOnly="0" labelOnly="1" outline="0" fieldPosition="0">
        <references count="6">
          <reference field="3" count="1" selected="0">
            <x v="2743"/>
          </reference>
          <reference field="4" count="1" selected="0">
            <x v="4125"/>
          </reference>
          <reference field="11" count="1" selected="0">
            <x v="12"/>
          </reference>
          <reference field="14" count="1" selected="0">
            <x v="1117"/>
          </reference>
          <reference field="21" count="1" selected="0">
            <x v="14"/>
          </reference>
          <reference field="22" count="1">
            <x v="2"/>
          </reference>
        </references>
      </pivotArea>
    </format>
    <format dxfId="1246">
      <pivotArea dataOnly="0" labelOnly="1" outline="0" fieldPosition="0">
        <references count="6">
          <reference field="3" count="1" selected="0">
            <x v="2744"/>
          </reference>
          <reference field="4" count="1" selected="0">
            <x v="864"/>
          </reference>
          <reference field="11" count="1" selected="0">
            <x v="12"/>
          </reference>
          <reference field="14" count="1" selected="0">
            <x v="1117"/>
          </reference>
          <reference field="21" count="1" selected="0">
            <x v="27"/>
          </reference>
          <reference field="22" count="1">
            <x v="3"/>
          </reference>
        </references>
      </pivotArea>
    </format>
    <format dxfId="1245">
      <pivotArea dataOnly="0" labelOnly="1" outline="0" fieldPosition="0">
        <references count="6">
          <reference field="3" count="1" selected="0">
            <x v="2750"/>
          </reference>
          <reference field="4" count="1" selected="0">
            <x v="3823"/>
          </reference>
          <reference field="11" count="1" selected="0">
            <x v="12"/>
          </reference>
          <reference field="14" count="1" selected="0">
            <x v="1121"/>
          </reference>
          <reference field="21" count="1" selected="0">
            <x v="10"/>
          </reference>
          <reference field="22" count="1">
            <x v="1"/>
          </reference>
        </references>
      </pivotArea>
    </format>
    <format dxfId="1244">
      <pivotArea dataOnly="0" labelOnly="1" outline="0" fieldPosition="0">
        <references count="6">
          <reference field="3" count="1" selected="0">
            <x v="2766"/>
          </reference>
          <reference field="4" count="1" selected="0">
            <x v="2643"/>
          </reference>
          <reference field="11" count="1" selected="0">
            <x v="12"/>
          </reference>
          <reference field="14" count="1" selected="0">
            <x v="1136"/>
          </reference>
          <reference field="21" count="1" selected="0">
            <x v="28"/>
          </reference>
          <reference field="22" count="1">
            <x v="3"/>
          </reference>
        </references>
      </pivotArea>
    </format>
    <format dxfId="1243">
      <pivotArea dataOnly="0" labelOnly="1" outline="0" fieldPosition="0">
        <references count="6">
          <reference field="3" count="1" selected="0">
            <x v="2770"/>
          </reference>
          <reference field="4" count="1" selected="0">
            <x v="4108"/>
          </reference>
          <reference field="11" count="1" selected="0">
            <x v="12"/>
          </reference>
          <reference field="14" count="1" selected="0">
            <x v="1132"/>
          </reference>
          <reference field="21" count="1" selected="0">
            <x v="1"/>
          </reference>
          <reference field="22" count="1">
            <x v="0"/>
          </reference>
        </references>
      </pivotArea>
    </format>
    <format dxfId="1242">
      <pivotArea dataOnly="0" labelOnly="1" outline="0" fieldPosition="0">
        <references count="6">
          <reference field="3" count="1" selected="0">
            <x v="2775"/>
          </reference>
          <reference field="4" count="1" selected="0">
            <x v="406"/>
          </reference>
          <reference field="11" count="1" selected="0">
            <x v="12"/>
          </reference>
          <reference field="14" count="1" selected="0">
            <x v="1123"/>
          </reference>
          <reference field="21" count="1" selected="0">
            <x v="25"/>
          </reference>
          <reference field="22" count="1">
            <x v="3"/>
          </reference>
        </references>
      </pivotArea>
    </format>
    <format dxfId="1241">
      <pivotArea dataOnly="0" labelOnly="1" outline="0" fieldPosition="0">
        <references count="6">
          <reference field="3" count="1" selected="0">
            <x v="2793"/>
          </reference>
          <reference field="4" count="1" selected="0">
            <x v="1302"/>
          </reference>
          <reference field="11" count="1" selected="0">
            <x v="12"/>
          </reference>
          <reference field="14" count="1" selected="0">
            <x v="1117"/>
          </reference>
          <reference field="21" count="1" selected="0">
            <x v="9"/>
          </reference>
          <reference field="22" count="1">
            <x v="1"/>
          </reference>
        </references>
      </pivotArea>
    </format>
    <format dxfId="1240">
      <pivotArea dataOnly="0" labelOnly="1" outline="0" fieldPosition="0">
        <references count="6">
          <reference field="3" count="1" selected="0">
            <x v="2795"/>
          </reference>
          <reference field="4" count="1" selected="0">
            <x v="5147"/>
          </reference>
          <reference field="11" count="1" selected="0">
            <x v="12"/>
          </reference>
          <reference field="14" count="1" selected="0">
            <x v="1117"/>
          </reference>
          <reference field="21" count="1" selected="0">
            <x v="22"/>
          </reference>
          <reference field="22" count="1">
            <x v="2"/>
          </reference>
        </references>
      </pivotArea>
    </format>
    <format dxfId="1239">
      <pivotArea dataOnly="0" labelOnly="1" outline="0" fieldPosition="0">
        <references count="6">
          <reference field="3" count="1" selected="0">
            <x v="2799"/>
          </reference>
          <reference field="4" count="1" selected="0">
            <x v="31"/>
          </reference>
          <reference field="11" count="1" selected="0">
            <x v="12"/>
          </reference>
          <reference field="14" count="1" selected="0">
            <x v="1139"/>
          </reference>
          <reference field="21" count="1" selected="0">
            <x v="13"/>
          </reference>
          <reference field="22" count="1">
            <x v="1"/>
          </reference>
        </references>
      </pivotArea>
    </format>
    <format dxfId="1238">
      <pivotArea dataOnly="0" labelOnly="1" outline="0" fieldPosition="0">
        <references count="6">
          <reference field="3" count="1" selected="0">
            <x v="2804"/>
          </reference>
          <reference field="4" count="1" selected="0">
            <x v="3510"/>
          </reference>
          <reference field="11" count="1" selected="0">
            <x v="12"/>
          </reference>
          <reference field="14" count="1" selected="0">
            <x v="1131"/>
          </reference>
          <reference field="21" count="1" selected="0">
            <x v="44"/>
          </reference>
          <reference field="22" count="1">
            <x v="5"/>
          </reference>
        </references>
      </pivotArea>
    </format>
    <format dxfId="1237">
      <pivotArea dataOnly="0" labelOnly="1" outline="0" fieldPosition="0">
        <references count="6">
          <reference field="3" count="1" selected="0">
            <x v="2805"/>
          </reference>
          <reference field="4" count="1" selected="0">
            <x v="3581"/>
          </reference>
          <reference field="11" count="1" selected="0">
            <x v="12"/>
          </reference>
          <reference field="14" count="1" selected="0">
            <x v="1131"/>
          </reference>
          <reference field="21" count="1" selected="0">
            <x v="22"/>
          </reference>
          <reference field="22" count="1">
            <x v="2"/>
          </reference>
        </references>
      </pivotArea>
    </format>
    <format dxfId="1236">
      <pivotArea dataOnly="0" labelOnly="1" outline="0" fieldPosition="0">
        <references count="6">
          <reference field="3" count="1" selected="0">
            <x v="2807"/>
          </reference>
          <reference field="4" count="1" selected="0">
            <x v="6232"/>
          </reference>
          <reference field="11" count="1" selected="0">
            <x v="12"/>
          </reference>
          <reference field="14" count="1" selected="0">
            <x v="1131"/>
          </reference>
          <reference field="21" count="1" selected="0">
            <x v="28"/>
          </reference>
          <reference field="22" count="1">
            <x v="3"/>
          </reference>
        </references>
      </pivotArea>
    </format>
    <format dxfId="1235">
      <pivotArea dataOnly="0" labelOnly="1" outline="0" fieldPosition="0">
        <references count="6">
          <reference field="3" count="1" selected="0">
            <x v="2811"/>
          </reference>
          <reference field="4" count="1" selected="0">
            <x v="3279"/>
          </reference>
          <reference field="11" count="1" selected="0">
            <x v="12"/>
          </reference>
          <reference field="14" count="1" selected="0">
            <x v="1132"/>
          </reference>
          <reference field="21" count="1" selected="0">
            <x v="1"/>
          </reference>
          <reference field="22" count="1">
            <x v="0"/>
          </reference>
        </references>
      </pivotArea>
    </format>
    <format dxfId="1234">
      <pivotArea dataOnly="0" labelOnly="1" outline="0" fieldPosition="0">
        <references count="6">
          <reference field="3" count="1" selected="0">
            <x v="2816"/>
          </reference>
          <reference field="4" count="1" selected="0">
            <x v="4595"/>
          </reference>
          <reference field="11" count="1" selected="0">
            <x v="12"/>
          </reference>
          <reference field="14" count="1" selected="0">
            <x v="1120"/>
          </reference>
          <reference field="21" count="1" selected="0">
            <x v="43"/>
          </reference>
          <reference field="22" count="1">
            <x v="5"/>
          </reference>
        </references>
      </pivotArea>
    </format>
    <format dxfId="1233">
      <pivotArea dataOnly="0" labelOnly="1" outline="0" fieldPosition="0">
        <references count="6">
          <reference field="3" count="1" selected="0">
            <x v="2826"/>
          </reference>
          <reference field="4" count="1" selected="0">
            <x v="428"/>
          </reference>
          <reference field="11" count="1" selected="0">
            <x v="12"/>
          </reference>
          <reference field="14" count="1" selected="0">
            <x v="1117"/>
          </reference>
          <reference field="21" count="1" selected="0">
            <x v="14"/>
          </reference>
          <reference field="22" count="1">
            <x v="2"/>
          </reference>
        </references>
      </pivotArea>
    </format>
    <format dxfId="1232">
      <pivotArea dataOnly="0" labelOnly="1" outline="0" fieldPosition="0">
        <references count="7">
          <reference field="3" count="1" selected="0">
            <x v="1051"/>
          </reference>
          <reference field="4" count="1" selected="0">
            <x v="2844"/>
          </reference>
          <reference field="11" count="1" selected="0">
            <x v="12"/>
          </reference>
          <reference field="12" count="1">
            <x v="236"/>
          </reference>
          <reference field="14" count="1" selected="0">
            <x v="1117"/>
          </reference>
          <reference field="21" count="1" selected="0">
            <x v="14"/>
          </reference>
          <reference field="22" count="1" selected="0">
            <x v="2"/>
          </reference>
        </references>
      </pivotArea>
    </format>
    <format dxfId="1231">
      <pivotArea dataOnly="0" labelOnly="1" outline="0" fieldPosition="0">
        <references count="7">
          <reference field="3" count="1" selected="0">
            <x v="1183"/>
          </reference>
          <reference field="4" count="1" selected="0">
            <x v="3304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1117"/>
          </reference>
          <reference field="21" count="1" selected="0">
            <x v="3"/>
          </reference>
          <reference field="22" count="1" selected="0">
            <x v="0"/>
          </reference>
        </references>
      </pivotArea>
    </format>
    <format dxfId="1230">
      <pivotArea dataOnly="0" labelOnly="1" outline="0" fieldPosition="0">
        <references count="7">
          <reference field="3" count="1" selected="0">
            <x v="1484"/>
          </reference>
          <reference field="4" count="1" selected="0">
            <x v="6176"/>
          </reference>
          <reference field="11" count="1" selected="0">
            <x v="12"/>
          </reference>
          <reference field="12" count="1">
            <x v="221"/>
          </reference>
          <reference field="14" count="1" selected="0">
            <x v="1119"/>
          </reference>
          <reference field="21" count="1" selected="0">
            <x v="7"/>
          </reference>
          <reference field="22" count="1" selected="0">
            <x v="1"/>
          </reference>
        </references>
      </pivotArea>
    </format>
    <format dxfId="1229">
      <pivotArea dataOnly="0" labelOnly="1" outline="0" fieldPosition="0">
        <references count="7">
          <reference field="3" count="1" selected="0">
            <x v="2775"/>
          </reference>
          <reference field="4" count="1" selected="0">
            <x v="406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1123"/>
          </reference>
          <reference field="21" count="1" selected="0">
            <x v="25"/>
          </reference>
          <reference field="22" count="1" selected="0">
            <x v="3"/>
          </reference>
        </references>
      </pivotArea>
    </format>
    <format dxfId="1228">
      <pivotArea dataOnly="0" labelOnly="1" outline="0" fieldPosition="0">
        <references count="8">
          <reference field="3" count="1" selected="0">
            <x v="2775"/>
          </reference>
          <reference field="4" count="1" selected="0">
            <x v="406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123"/>
          </reference>
          <reference field="19" count="1">
            <x v="0"/>
          </reference>
          <reference field="21" count="1" selected="0">
            <x v="25"/>
          </reference>
          <reference field="22" count="1" selected="0">
            <x v="3"/>
          </reference>
        </references>
      </pivotArea>
    </format>
    <format dxfId="1227">
      <pivotArea dataOnly="0" labelOnly="1" outline="0" fieldPosition="0">
        <references count="9">
          <reference field="3" count="1" selected="0">
            <x v="292"/>
          </reference>
          <reference field="4" count="1" selected="0">
            <x v="2680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117"/>
          </reference>
          <reference field="19" count="1" selected="0">
            <x v="0"/>
          </reference>
          <reference field="21" count="1" selected="0">
            <x v="32"/>
          </reference>
          <reference field="22" count="1" selected="0">
            <x v="4"/>
          </reference>
          <reference field="24" count="1">
            <x v="2"/>
          </reference>
        </references>
      </pivotArea>
    </format>
    <format dxfId="1226">
      <pivotArea dataOnly="0" labelOnly="1" outline="0" fieldPosition="0">
        <references count="9">
          <reference field="3" count="1" selected="0">
            <x v="404"/>
          </reference>
          <reference field="4" count="1" selected="0">
            <x v="2436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123"/>
          </reference>
          <reference field="19" count="1" selected="0">
            <x v="0"/>
          </reference>
          <reference field="21" count="1" selected="0">
            <x v="25"/>
          </reference>
          <reference field="22" count="1" selected="0">
            <x v="3"/>
          </reference>
          <reference field="24" count="1">
            <x v="3"/>
          </reference>
        </references>
      </pivotArea>
    </format>
    <format dxfId="1225">
      <pivotArea dataOnly="0" labelOnly="1" outline="0" fieldPosition="0">
        <references count="9">
          <reference field="3" count="1" selected="0">
            <x v="461"/>
          </reference>
          <reference field="4" count="1" selected="0">
            <x v="2528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119"/>
          </reference>
          <reference field="19" count="1" selected="0">
            <x v="0"/>
          </reference>
          <reference field="21" count="1" selected="0">
            <x v="27"/>
          </reference>
          <reference field="22" count="1" selected="0">
            <x v="3"/>
          </reference>
          <reference field="24" count="1">
            <x v="2"/>
          </reference>
        </references>
      </pivotArea>
    </format>
    <format dxfId="1224">
      <pivotArea dataOnly="0" labelOnly="1" outline="0" fieldPosition="0">
        <references count="9">
          <reference field="3" count="1" selected="0">
            <x v="625"/>
          </reference>
          <reference field="4" count="1" selected="0">
            <x v="5737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120"/>
          </reference>
          <reference field="19" count="1" selected="0">
            <x v="0"/>
          </reference>
          <reference field="21" count="1" selected="0">
            <x v="25"/>
          </reference>
          <reference field="22" count="1" selected="0">
            <x v="3"/>
          </reference>
          <reference field="24" count="1">
            <x v="4"/>
          </reference>
        </references>
      </pivotArea>
    </format>
    <format dxfId="1223">
      <pivotArea dataOnly="0" labelOnly="1" outline="0" fieldPosition="0">
        <references count="9">
          <reference field="3" count="1" selected="0">
            <x v="810"/>
          </reference>
          <reference field="4" count="1" selected="0">
            <x v="3004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126"/>
          </reference>
          <reference field="19" count="1" selected="0">
            <x v="0"/>
          </reference>
          <reference field="21" count="1" selected="0">
            <x v="21"/>
          </reference>
          <reference field="22" count="1" selected="0">
            <x v="2"/>
          </reference>
          <reference field="24" count="1">
            <x v="2"/>
          </reference>
        </references>
      </pivotArea>
    </format>
    <format dxfId="1222">
      <pivotArea dataOnly="0" labelOnly="1" outline="0" fieldPosition="0">
        <references count="9">
          <reference field="3" count="1" selected="0">
            <x v="1051"/>
          </reference>
          <reference field="4" count="1" selected="0">
            <x v="2844"/>
          </reference>
          <reference field="11" count="1" selected="0">
            <x v="12"/>
          </reference>
          <reference field="12" count="1" selected="0">
            <x v="236"/>
          </reference>
          <reference field="14" count="1" selected="0">
            <x v="1117"/>
          </reference>
          <reference field="19" count="1" selected="0">
            <x v="0"/>
          </reference>
          <reference field="21" count="1" selected="0">
            <x v="14"/>
          </reference>
          <reference field="22" count="1" selected="0">
            <x v="2"/>
          </reference>
          <reference field="24" count="1">
            <x v="0"/>
          </reference>
        </references>
      </pivotArea>
    </format>
    <format dxfId="1221">
      <pivotArea dataOnly="0" labelOnly="1" outline="0" fieldPosition="0">
        <references count="9">
          <reference field="3" count="1" selected="0">
            <x v="1183"/>
          </reference>
          <reference field="4" count="1" selected="0">
            <x v="3304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117"/>
          </reference>
          <reference field="19" count="1" selected="0">
            <x v="0"/>
          </reference>
          <reference field="21" count="1" selected="0">
            <x v="3"/>
          </reference>
          <reference field="22" count="1" selected="0">
            <x v="0"/>
          </reference>
          <reference field="24" count="1">
            <x v="0"/>
          </reference>
        </references>
      </pivotArea>
    </format>
    <format dxfId="1220">
      <pivotArea dataOnly="0" labelOnly="1" outline="0" fieldPosition="0">
        <references count="9">
          <reference field="3" count="1" selected="0">
            <x v="1318"/>
          </reference>
          <reference field="4" count="1" selected="0">
            <x v="4357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117"/>
          </reference>
          <reference field="19" count="1" selected="0">
            <x v="0"/>
          </reference>
          <reference field="21" count="1" selected="0">
            <x v="12"/>
          </reference>
          <reference field="22" count="1" selected="0">
            <x v="1"/>
          </reference>
          <reference field="24" count="1">
            <x v="2"/>
          </reference>
        </references>
      </pivotArea>
    </format>
    <format dxfId="1219">
      <pivotArea dataOnly="0" labelOnly="1" outline="0" fieldPosition="0">
        <references count="9">
          <reference field="3" count="1" selected="0">
            <x v="1484"/>
          </reference>
          <reference field="4" count="1" selected="0">
            <x v="6176"/>
          </reference>
          <reference field="11" count="1" selected="0">
            <x v="12"/>
          </reference>
          <reference field="12" count="1" selected="0">
            <x v="221"/>
          </reference>
          <reference field="14" count="1" selected="0">
            <x v="1119"/>
          </reference>
          <reference field="19" count="1" selected="0">
            <x v="0"/>
          </reference>
          <reference field="21" count="1" selected="0">
            <x v="7"/>
          </reference>
          <reference field="22" count="1" selected="0">
            <x v="1"/>
          </reference>
          <reference field="24" count="1">
            <x v="0"/>
          </reference>
        </references>
      </pivotArea>
    </format>
    <format dxfId="1218">
      <pivotArea dataOnly="0" labelOnly="1" outline="0" fieldPosition="0">
        <references count="9">
          <reference field="3" count="1" selected="0">
            <x v="1720"/>
          </reference>
          <reference field="4" count="1" selected="0">
            <x v="3488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117"/>
          </reference>
          <reference field="19" count="1" selected="0">
            <x v="0"/>
          </reference>
          <reference field="21" count="1" selected="0">
            <x v="28"/>
          </reference>
          <reference field="22" count="1" selected="0">
            <x v="3"/>
          </reference>
          <reference field="24" count="1">
            <x v="2"/>
          </reference>
        </references>
      </pivotArea>
    </format>
    <format dxfId="1217">
      <pivotArea dataOnly="0" labelOnly="1" outline="0" fieldPosition="0">
        <references count="9">
          <reference field="3" count="1" selected="0">
            <x v="1859"/>
          </reference>
          <reference field="4" count="1" selected="0">
            <x v="2108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120"/>
          </reference>
          <reference field="19" count="1" selected="0">
            <x v="0"/>
          </reference>
          <reference field="21" count="1" selected="0">
            <x v="6"/>
          </reference>
          <reference field="22" count="1" selected="0">
            <x v="1"/>
          </reference>
          <reference field="24" count="1">
            <x v="2"/>
          </reference>
        </references>
      </pivotArea>
    </format>
    <format dxfId="1216">
      <pivotArea dataOnly="0" labelOnly="1" outline="0" fieldPosition="0">
        <references count="9">
          <reference field="3" count="1" selected="0">
            <x v="1868"/>
          </reference>
          <reference field="4" count="1" selected="0">
            <x v="6268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126"/>
          </reference>
          <reference field="19" count="1" selected="0">
            <x v="0"/>
          </reference>
          <reference field="21" count="1" selected="0">
            <x v="2"/>
          </reference>
          <reference field="22" count="1" selected="0">
            <x v="0"/>
          </reference>
          <reference field="24" count="1">
            <x v="0"/>
          </reference>
        </references>
      </pivotArea>
    </format>
    <format dxfId="1215">
      <pivotArea dataOnly="0" labelOnly="1" outline="0" fieldPosition="0">
        <references count="9">
          <reference field="3" count="1" selected="0">
            <x v="2081"/>
          </reference>
          <reference field="4" count="1" selected="0">
            <x v="5922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117"/>
          </reference>
          <reference field="19" count="1" selected="0">
            <x v="0"/>
          </reference>
          <reference field="21" count="1" selected="0">
            <x v="9"/>
          </reference>
          <reference field="22" count="1" selected="0">
            <x v="1"/>
          </reference>
          <reference field="24" count="1">
            <x v="0"/>
          </reference>
        </references>
      </pivotArea>
    </format>
    <format dxfId="1214">
      <pivotArea dataOnly="0" labelOnly="1" outline="0" fieldPosition="0">
        <references count="9">
          <reference field="3" count="1" selected="0">
            <x v="2201"/>
          </reference>
          <reference field="4" count="1" selected="0">
            <x v="7137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117"/>
          </reference>
          <reference field="19" count="1" selected="0">
            <x v="0"/>
          </reference>
          <reference field="21" count="1" selected="0">
            <x v="20"/>
          </reference>
          <reference field="22" count="1" selected="0">
            <x v="2"/>
          </reference>
          <reference field="24" count="1">
            <x v="2"/>
          </reference>
        </references>
      </pivotArea>
    </format>
    <format dxfId="1213">
      <pivotArea dataOnly="0" labelOnly="1" outline="0" fieldPosition="0">
        <references count="9">
          <reference field="3" count="1" selected="0">
            <x v="2338"/>
          </reference>
          <reference field="4" count="1" selected="0">
            <x v="4954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123"/>
          </reference>
          <reference field="19" count="1" selected="0">
            <x v="0"/>
          </reference>
          <reference field="21" count="1" selected="0">
            <x v="13"/>
          </reference>
          <reference field="22" count="1" selected="0">
            <x v="1"/>
          </reference>
          <reference field="24" count="1">
            <x v="2"/>
          </reference>
        </references>
      </pivotArea>
    </format>
    <format dxfId="1212">
      <pivotArea dataOnly="0" labelOnly="1" outline="0" fieldPosition="0">
        <references count="9">
          <reference field="3" count="1" selected="0">
            <x v="2339"/>
          </reference>
          <reference field="4" count="1" selected="0">
            <x v="5354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123"/>
          </reference>
          <reference field="19" count="1" selected="0">
            <x v="0"/>
          </reference>
          <reference field="21" count="1" selected="0">
            <x v="34"/>
          </reference>
          <reference field="22" count="1" selected="0">
            <x v="4"/>
          </reference>
          <reference field="24" count="1">
            <x v="2"/>
          </reference>
        </references>
      </pivotArea>
    </format>
    <format dxfId="1211">
      <pivotArea dataOnly="0" labelOnly="1" outline="0" fieldPosition="0">
        <references count="9">
          <reference field="3" count="1" selected="0">
            <x v="2341"/>
          </reference>
          <reference field="4" count="1" selected="0">
            <x v="7211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123"/>
          </reference>
          <reference field="19" count="1" selected="0">
            <x v="0"/>
          </reference>
          <reference field="21" count="1" selected="0">
            <x v="27"/>
          </reference>
          <reference field="22" count="1" selected="0">
            <x v="3"/>
          </reference>
          <reference field="24" count="1">
            <x v="2"/>
          </reference>
        </references>
      </pivotArea>
    </format>
    <format dxfId="1210">
      <pivotArea dataOnly="0" labelOnly="1" outline="0" fieldPosition="0">
        <references count="9">
          <reference field="3" count="1" selected="0">
            <x v="2345"/>
          </reference>
          <reference field="4" count="1" selected="0">
            <x v="988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123"/>
          </reference>
          <reference field="19" count="1" selected="0">
            <x v="0"/>
          </reference>
          <reference field="21" count="1" selected="0">
            <x v="8"/>
          </reference>
          <reference field="22" count="1" selected="0">
            <x v="1"/>
          </reference>
          <reference field="24" count="1">
            <x v="6"/>
          </reference>
        </references>
      </pivotArea>
    </format>
    <format dxfId="1209">
      <pivotArea dataOnly="0" labelOnly="1" outline="0" fieldPosition="0">
        <references count="9">
          <reference field="3" count="1" selected="0">
            <x v="2347"/>
          </reference>
          <reference field="4" count="1" selected="0">
            <x v="2575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123"/>
          </reference>
          <reference field="19" count="1" selected="0">
            <x v="0"/>
          </reference>
          <reference field="21" count="1" selected="0">
            <x v="25"/>
          </reference>
          <reference field="22" count="1" selected="0">
            <x v="3"/>
          </reference>
          <reference field="24" count="1">
            <x v="6"/>
          </reference>
        </references>
      </pivotArea>
    </format>
    <format dxfId="1208">
      <pivotArea dataOnly="0" labelOnly="1" outline="0" fieldPosition="0">
        <references count="9">
          <reference field="3" count="1" selected="0">
            <x v="2351"/>
          </reference>
          <reference field="4" count="1" selected="0">
            <x v="6591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123"/>
          </reference>
          <reference field="19" count="1" selected="0">
            <x v="0"/>
          </reference>
          <reference field="21" count="1" selected="0">
            <x v="2"/>
          </reference>
          <reference field="22" count="1" selected="0">
            <x v="0"/>
          </reference>
          <reference field="24" count="1">
            <x v="6"/>
          </reference>
        </references>
      </pivotArea>
    </format>
    <format dxfId="1207">
      <pivotArea dataOnly="0" labelOnly="1" outline="0" fieldPosition="0">
        <references count="9">
          <reference field="3" count="1" selected="0">
            <x v="2352"/>
          </reference>
          <reference field="4" count="1" selected="0">
            <x v="2119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123"/>
          </reference>
          <reference field="19" count="1" selected="0">
            <x v="0"/>
          </reference>
          <reference field="21" count="1" selected="0">
            <x v="15"/>
          </reference>
          <reference field="22" count="1" selected="0">
            <x v="2"/>
          </reference>
          <reference field="24" count="1">
            <x v="0"/>
          </reference>
        </references>
      </pivotArea>
    </format>
    <format dxfId="1206">
      <pivotArea dataOnly="0" labelOnly="1" outline="0" fieldPosition="0">
        <references count="9">
          <reference field="3" count="1" selected="0">
            <x v="2586"/>
          </reference>
          <reference field="4" count="1" selected="0">
            <x v="7210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123"/>
          </reference>
          <reference field="19" count="1" selected="0">
            <x v="0"/>
          </reference>
          <reference field="21" count="1" selected="0">
            <x v="12"/>
          </reference>
          <reference field="22" count="1" selected="0">
            <x v="1"/>
          </reference>
          <reference field="24" count="1">
            <x v="2"/>
          </reference>
        </references>
      </pivotArea>
    </format>
    <format dxfId="1205">
      <pivotArea dataOnly="0" labelOnly="1" outline="0" fieldPosition="0">
        <references count="9">
          <reference field="3" count="1" selected="0">
            <x v="2588"/>
          </reference>
          <reference field="4" count="1" selected="0">
            <x v="6793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123"/>
          </reference>
          <reference field="19" count="1" selected="0">
            <x v="0"/>
          </reference>
          <reference field="21" count="1" selected="0">
            <x v="15"/>
          </reference>
          <reference field="22" count="1" selected="0">
            <x v="2"/>
          </reference>
          <reference field="24" count="1">
            <x v="0"/>
          </reference>
        </references>
      </pivotArea>
    </format>
    <format dxfId="1204">
      <pivotArea dataOnly="0" labelOnly="1" outline="0" fieldPosition="0">
        <references count="9">
          <reference field="3" count="1" selected="0">
            <x v="2591"/>
          </reference>
          <reference field="4" count="1" selected="0">
            <x v="3348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123"/>
          </reference>
          <reference field="19" count="1" selected="0">
            <x v="0"/>
          </reference>
          <reference field="21" count="1" selected="0">
            <x v="14"/>
          </reference>
          <reference field="22" count="1" selected="0">
            <x v="2"/>
          </reference>
          <reference field="24" count="1">
            <x v="2"/>
          </reference>
        </references>
      </pivotArea>
    </format>
    <format dxfId="1203">
      <pivotArea dataOnly="0" labelOnly="1" outline="0" fieldPosition="0">
        <references count="9">
          <reference field="3" count="1" selected="0">
            <x v="2594"/>
          </reference>
          <reference field="4" count="1" selected="0">
            <x v="4022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123"/>
          </reference>
          <reference field="19" count="1" selected="0">
            <x v="0"/>
          </reference>
          <reference field="21" count="1" selected="0">
            <x v="37"/>
          </reference>
          <reference field="22" count="1" selected="0">
            <x v="4"/>
          </reference>
          <reference field="24" count="1">
            <x v="2"/>
          </reference>
        </references>
      </pivotArea>
    </format>
    <format dxfId="1202">
      <pivotArea dataOnly="0" labelOnly="1" outline="0" fieldPosition="0">
        <references count="9">
          <reference field="3" count="1" selected="0">
            <x v="2604"/>
          </reference>
          <reference field="4" count="1" selected="0">
            <x v="7484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123"/>
          </reference>
          <reference field="19" count="1" selected="0">
            <x v="0"/>
          </reference>
          <reference field="21" count="1" selected="0">
            <x v="19"/>
          </reference>
          <reference field="22" count="1" selected="0">
            <x v="2"/>
          </reference>
          <reference field="24" count="1">
            <x v="0"/>
          </reference>
        </references>
      </pivotArea>
    </format>
    <format dxfId="1201">
      <pivotArea dataOnly="0" labelOnly="1" outline="0" fieldPosition="0">
        <references count="9">
          <reference field="3" count="1" selected="0">
            <x v="2606"/>
          </reference>
          <reference field="4" count="1" selected="0">
            <x v="3798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123"/>
          </reference>
          <reference field="19" count="1" selected="0">
            <x v="0"/>
          </reference>
          <reference field="21" count="1" selected="0">
            <x v="10"/>
          </reference>
          <reference field="22" count="1" selected="0">
            <x v="1"/>
          </reference>
          <reference field="24" count="1">
            <x v="6"/>
          </reference>
        </references>
      </pivotArea>
    </format>
    <format dxfId="1200">
      <pivotArea dataOnly="0" labelOnly="1" outline="0" fieldPosition="0">
        <references count="9">
          <reference field="3" count="1" selected="0">
            <x v="2607"/>
          </reference>
          <reference field="4" count="1" selected="0">
            <x v="4085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123"/>
          </reference>
          <reference field="19" count="1" selected="0">
            <x v="0"/>
          </reference>
          <reference field="21" count="1" selected="0">
            <x v="5"/>
          </reference>
          <reference field="22" count="1" selected="0">
            <x v="0"/>
          </reference>
          <reference field="24" count="1">
            <x v="3"/>
          </reference>
        </references>
      </pivotArea>
    </format>
    <format dxfId="1199">
      <pivotArea dataOnly="0" labelOnly="1" outline="0" fieldPosition="0">
        <references count="9">
          <reference field="3" count="1" selected="0">
            <x v="2608"/>
          </reference>
          <reference field="4" count="1" selected="0">
            <x v="5946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123"/>
          </reference>
          <reference field="19" count="1" selected="0">
            <x v="0"/>
          </reference>
          <reference field="21" count="1" selected="0">
            <x v="23"/>
          </reference>
          <reference field="22" count="1" selected="0">
            <x v="3"/>
          </reference>
          <reference field="24" count="1">
            <x v="7"/>
          </reference>
        </references>
      </pivotArea>
    </format>
    <format dxfId="1198">
      <pivotArea dataOnly="0" labelOnly="1" outline="0" fieldPosition="0">
        <references count="9">
          <reference field="3" count="1" selected="0">
            <x v="2616"/>
          </reference>
          <reference field="4" count="1" selected="0">
            <x v="1782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123"/>
          </reference>
          <reference field="19" count="1" selected="0">
            <x v="0"/>
          </reference>
          <reference field="21" count="1" selected="0">
            <x v="11"/>
          </reference>
          <reference field="22" count="1" selected="0">
            <x v="1"/>
          </reference>
          <reference field="24" count="1">
            <x v="2"/>
          </reference>
        </references>
      </pivotArea>
    </format>
    <format dxfId="1197">
      <pivotArea dataOnly="0" labelOnly="1" outline="0" fieldPosition="0">
        <references count="9">
          <reference field="3" count="1" selected="0">
            <x v="2714"/>
          </reference>
          <reference field="4" count="1" selected="0">
            <x v="3578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117"/>
          </reference>
          <reference field="19" count="1" selected="0">
            <x v="0"/>
          </reference>
          <reference field="21" count="1" selected="0">
            <x v="13"/>
          </reference>
          <reference field="22" count="1" selected="0">
            <x v="1"/>
          </reference>
          <reference field="24" count="1">
            <x v="2"/>
          </reference>
        </references>
      </pivotArea>
    </format>
    <format dxfId="1196">
      <pivotArea dataOnly="0" labelOnly="1" outline="0" fieldPosition="0">
        <references count="9">
          <reference field="3" count="1" selected="0">
            <x v="2715"/>
          </reference>
          <reference field="4" count="1" selected="0">
            <x v="1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117"/>
          </reference>
          <reference field="19" count="1" selected="0">
            <x v="0"/>
          </reference>
          <reference field="21" count="1" selected="0">
            <x v="15"/>
          </reference>
          <reference field="22" count="1" selected="0">
            <x v="2"/>
          </reference>
          <reference field="24" count="1">
            <x v="2"/>
          </reference>
        </references>
      </pivotArea>
    </format>
    <format dxfId="1195">
      <pivotArea dataOnly="0" labelOnly="1" outline="0" fieldPosition="0">
        <references count="9">
          <reference field="3" count="1" selected="0">
            <x v="2717"/>
          </reference>
          <reference field="4" count="1" selected="0">
            <x v="370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117"/>
          </reference>
          <reference field="19" count="1" selected="0">
            <x v="0"/>
          </reference>
          <reference field="21" count="1" selected="0">
            <x v="17"/>
          </reference>
          <reference field="22" count="1" selected="0">
            <x v="2"/>
          </reference>
          <reference field="24" count="1">
            <x v="2"/>
          </reference>
        </references>
      </pivotArea>
    </format>
    <format dxfId="1194">
      <pivotArea dataOnly="0" labelOnly="1" outline="0" fieldPosition="0">
        <references count="9">
          <reference field="3" count="1" selected="0">
            <x v="2727"/>
          </reference>
          <reference field="4" count="1" selected="0">
            <x v="4165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120"/>
          </reference>
          <reference field="19" count="1" selected="0">
            <x v="0"/>
          </reference>
          <reference field="21" count="1" selected="0">
            <x v="16"/>
          </reference>
          <reference field="22" count="1" selected="0">
            <x v="2"/>
          </reference>
          <reference field="24" count="1">
            <x v="2"/>
          </reference>
        </references>
      </pivotArea>
    </format>
    <format dxfId="1193">
      <pivotArea dataOnly="0" labelOnly="1" outline="0" fieldPosition="0">
        <references count="9">
          <reference field="3" count="1" selected="0">
            <x v="2728"/>
          </reference>
          <reference field="4" count="1" selected="0">
            <x v="4548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120"/>
          </reference>
          <reference field="19" count="1" selected="0">
            <x v="0"/>
          </reference>
          <reference field="21" count="1" selected="0">
            <x v="9"/>
          </reference>
          <reference field="22" count="1" selected="0">
            <x v="1"/>
          </reference>
          <reference field="24" count="1">
            <x v="2"/>
          </reference>
        </references>
      </pivotArea>
    </format>
    <format dxfId="1192">
      <pivotArea dataOnly="0" labelOnly="1" outline="0" fieldPosition="0">
        <references count="9">
          <reference field="3" count="1" selected="0">
            <x v="2732"/>
          </reference>
          <reference field="4" count="1" selected="0">
            <x v="3139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121"/>
          </reference>
          <reference field="19" count="1" selected="0">
            <x v="0"/>
          </reference>
          <reference field="21" count="1" selected="0">
            <x v="17"/>
          </reference>
          <reference field="22" count="1" selected="0">
            <x v="2"/>
          </reference>
          <reference field="24" count="1">
            <x v="1"/>
          </reference>
        </references>
      </pivotArea>
    </format>
    <format dxfId="1191">
      <pivotArea dataOnly="0" labelOnly="1" outline="0" fieldPosition="0">
        <references count="9">
          <reference field="3" count="1" selected="0">
            <x v="2734"/>
          </reference>
          <reference field="4" count="1" selected="0">
            <x v="3914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121"/>
          </reference>
          <reference field="19" count="1" selected="0">
            <x v="0"/>
          </reference>
          <reference field="21" count="1" selected="0">
            <x v="2"/>
          </reference>
          <reference field="22" count="1" selected="0">
            <x v="0"/>
          </reference>
          <reference field="24" count="1">
            <x v="1"/>
          </reference>
        </references>
      </pivotArea>
    </format>
    <format dxfId="1190">
      <pivotArea dataOnly="0" labelOnly="1" outline="0" fieldPosition="0">
        <references count="9">
          <reference field="3" count="1" selected="0">
            <x v="2743"/>
          </reference>
          <reference field="4" count="1" selected="0">
            <x v="4125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117"/>
          </reference>
          <reference field="19" count="1" selected="0">
            <x v="0"/>
          </reference>
          <reference field="21" count="1" selected="0">
            <x v="14"/>
          </reference>
          <reference field="22" count="1" selected="0">
            <x v="2"/>
          </reference>
          <reference field="24" count="1">
            <x v="0"/>
          </reference>
        </references>
      </pivotArea>
    </format>
    <format dxfId="1189">
      <pivotArea dataOnly="0" labelOnly="1" outline="0" fieldPosition="0">
        <references count="9">
          <reference field="3" count="1" selected="0">
            <x v="2744"/>
          </reference>
          <reference field="4" count="1" selected="0">
            <x v="864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117"/>
          </reference>
          <reference field="19" count="1" selected="0">
            <x v="0"/>
          </reference>
          <reference field="21" count="1" selected="0">
            <x v="27"/>
          </reference>
          <reference field="22" count="1" selected="0">
            <x v="3"/>
          </reference>
          <reference field="24" count="1">
            <x v="3"/>
          </reference>
        </references>
      </pivotArea>
    </format>
    <format dxfId="1188">
      <pivotArea dataOnly="0" labelOnly="1" outline="0" fieldPosition="0">
        <references count="9">
          <reference field="3" count="1" selected="0">
            <x v="2750"/>
          </reference>
          <reference field="4" count="1" selected="0">
            <x v="3823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121"/>
          </reference>
          <reference field="19" count="1" selected="0">
            <x v="0"/>
          </reference>
          <reference field="21" count="1" selected="0">
            <x v="10"/>
          </reference>
          <reference field="22" count="1" selected="0">
            <x v="1"/>
          </reference>
          <reference field="24" count="1">
            <x v="4"/>
          </reference>
        </references>
      </pivotArea>
    </format>
    <format dxfId="1187">
      <pivotArea dataOnly="0" labelOnly="1" outline="0" fieldPosition="0">
        <references count="9">
          <reference field="3" count="1" selected="0">
            <x v="2753"/>
          </reference>
          <reference field="4" count="1" selected="0">
            <x v="3514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117"/>
          </reference>
          <reference field="19" count="1" selected="0">
            <x v="0"/>
          </reference>
          <reference field="21" count="1" selected="0">
            <x v="6"/>
          </reference>
          <reference field="22" count="1" selected="0">
            <x v="1"/>
          </reference>
          <reference field="24" count="1">
            <x v="0"/>
          </reference>
        </references>
      </pivotArea>
    </format>
    <format dxfId="1186">
      <pivotArea dataOnly="0" labelOnly="1" outline="0" fieldPosition="0">
        <references count="9">
          <reference field="3" count="1" selected="0">
            <x v="2761"/>
          </reference>
          <reference field="4" count="1" selected="0">
            <x v="4220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117"/>
          </reference>
          <reference field="19" count="1" selected="0">
            <x v="0"/>
          </reference>
          <reference field="21" count="1" selected="0">
            <x v="11"/>
          </reference>
          <reference field="22" count="1" selected="0">
            <x v="1"/>
          </reference>
          <reference field="24" count="1">
            <x v="3"/>
          </reference>
        </references>
      </pivotArea>
    </format>
    <format dxfId="1185">
      <pivotArea dataOnly="0" labelOnly="1" outline="0" fieldPosition="0">
        <references count="9">
          <reference field="3" count="1" selected="0">
            <x v="2766"/>
          </reference>
          <reference field="4" count="1" selected="0">
            <x v="2643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136"/>
          </reference>
          <reference field="19" count="1" selected="0">
            <x v="0"/>
          </reference>
          <reference field="21" count="1" selected="0">
            <x v="28"/>
          </reference>
          <reference field="22" count="1" selected="0">
            <x v="3"/>
          </reference>
          <reference field="24" count="1">
            <x v="0"/>
          </reference>
        </references>
      </pivotArea>
    </format>
    <format dxfId="1184">
      <pivotArea dataOnly="0" labelOnly="1" outline="0" fieldPosition="0">
        <references count="9">
          <reference field="3" count="1" selected="0">
            <x v="2770"/>
          </reference>
          <reference field="4" count="1" selected="0">
            <x v="4108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132"/>
          </reference>
          <reference field="19" count="1" selected="0">
            <x v="0"/>
          </reference>
          <reference field="21" count="1" selected="0">
            <x v="1"/>
          </reference>
          <reference field="22" count="1" selected="0">
            <x v="0"/>
          </reference>
          <reference field="24" count="1">
            <x v="7"/>
          </reference>
        </references>
      </pivotArea>
    </format>
    <format dxfId="1183">
      <pivotArea dataOnly="0" labelOnly="1" outline="0" fieldPosition="0">
        <references count="9">
          <reference field="3" count="1" selected="0">
            <x v="2771"/>
          </reference>
          <reference field="4" count="1" selected="0">
            <x v="2250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132"/>
          </reference>
          <reference field="19" count="1" selected="0">
            <x v="0"/>
          </reference>
          <reference field="21" count="1" selected="0">
            <x v="0"/>
          </reference>
          <reference field="22" count="1" selected="0">
            <x v="0"/>
          </reference>
          <reference field="24" count="1">
            <x v="7"/>
          </reference>
        </references>
      </pivotArea>
    </format>
    <format dxfId="1182">
      <pivotArea dataOnly="0" labelOnly="1" outline="0" fieldPosition="0">
        <references count="9">
          <reference field="3" count="1" selected="0">
            <x v="2775"/>
          </reference>
          <reference field="4" count="1" selected="0">
            <x v="406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123"/>
          </reference>
          <reference field="19" count="1" selected="0">
            <x v="0"/>
          </reference>
          <reference field="21" count="1" selected="0">
            <x v="25"/>
          </reference>
          <reference field="22" count="1" selected="0">
            <x v="3"/>
          </reference>
          <reference field="24" count="1">
            <x v="0"/>
          </reference>
        </references>
      </pivotArea>
    </format>
    <format dxfId="1181">
      <pivotArea dataOnly="0" labelOnly="1" outline="0" fieldPosition="0">
        <references count="9">
          <reference field="3" count="1" selected="0">
            <x v="2793"/>
          </reference>
          <reference field="4" count="1" selected="0">
            <x v="1302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117"/>
          </reference>
          <reference field="19" count="1" selected="0">
            <x v="0"/>
          </reference>
          <reference field="21" count="1" selected="0">
            <x v="9"/>
          </reference>
          <reference field="22" count="1" selected="0">
            <x v="1"/>
          </reference>
          <reference field="24" count="1">
            <x v="0"/>
          </reference>
        </references>
      </pivotArea>
    </format>
    <format dxfId="1180">
      <pivotArea dataOnly="0" labelOnly="1" outline="0" fieldPosition="0">
        <references count="9">
          <reference field="3" count="1" selected="0">
            <x v="2795"/>
          </reference>
          <reference field="4" count="1" selected="0">
            <x v="5147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117"/>
          </reference>
          <reference field="19" count="1" selected="0">
            <x v="0"/>
          </reference>
          <reference field="21" count="1" selected="0">
            <x v="22"/>
          </reference>
          <reference field="22" count="1" selected="0">
            <x v="2"/>
          </reference>
          <reference field="24" count="1">
            <x v="2"/>
          </reference>
        </references>
      </pivotArea>
    </format>
    <format dxfId="1179">
      <pivotArea dataOnly="0" labelOnly="1" outline="0" fieldPosition="0">
        <references count="9">
          <reference field="3" count="1" selected="0">
            <x v="2799"/>
          </reference>
          <reference field="4" count="1" selected="0">
            <x v="31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139"/>
          </reference>
          <reference field="19" count="1" selected="0">
            <x v="0"/>
          </reference>
          <reference field="21" count="1" selected="0">
            <x v="13"/>
          </reference>
          <reference field="22" count="1" selected="0">
            <x v="1"/>
          </reference>
          <reference field="24" count="1">
            <x v="2"/>
          </reference>
        </references>
      </pivotArea>
    </format>
    <format dxfId="1178">
      <pivotArea dataOnly="0" labelOnly="1" outline="0" fieldPosition="0">
        <references count="9">
          <reference field="3" count="1" selected="0">
            <x v="2804"/>
          </reference>
          <reference field="4" count="1" selected="0">
            <x v="3510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131"/>
          </reference>
          <reference field="19" count="1" selected="0">
            <x v="0"/>
          </reference>
          <reference field="21" count="1" selected="0">
            <x v="44"/>
          </reference>
          <reference field="22" count="1" selected="0">
            <x v="5"/>
          </reference>
          <reference field="24" count="1">
            <x v="2"/>
          </reference>
        </references>
      </pivotArea>
    </format>
    <format dxfId="1177">
      <pivotArea dataOnly="0" labelOnly="1" outline="0" fieldPosition="0">
        <references count="9">
          <reference field="3" count="1" selected="0">
            <x v="2805"/>
          </reference>
          <reference field="4" count="1" selected="0">
            <x v="3581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131"/>
          </reference>
          <reference field="19" count="1" selected="0">
            <x v="0"/>
          </reference>
          <reference field="21" count="1" selected="0">
            <x v="22"/>
          </reference>
          <reference field="22" count="1" selected="0">
            <x v="2"/>
          </reference>
          <reference field="24" count="1">
            <x v="2"/>
          </reference>
        </references>
      </pivotArea>
    </format>
    <format dxfId="1176">
      <pivotArea dataOnly="0" labelOnly="1" outline="0" fieldPosition="0">
        <references count="9">
          <reference field="3" count="1" selected="0">
            <x v="2807"/>
          </reference>
          <reference field="4" count="1" selected="0">
            <x v="6232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131"/>
          </reference>
          <reference field="19" count="1" selected="0">
            <x v="0"/>
          </reference>
          <reference field="21" count="1" selected="0">
            <x v="28"/>
          </reference>
          <reference field="22" count="1" selected="0">
            <x v="3"/>
          </reference>
          <reference field="24" count="1">
            <x v="2"/>
          </reference>
        </references>
      </pivotArea>
    </format>
    <format dxfId="1175">
      <pivotArea dataOnly="0" labelOnly="1" outline="0" fieldPosition="0">
        <references count="9">
          <reference field="3" count="1" selected="0">
            <x v="2811"/>
          </reference>
          <reference field="4" count="1" selected="0">
            <x v="3279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132"/>
          </reference>
          <reference field="19" count="1" selected="0">
            <x v="0"/>
          </reference>
          <reference field="21" count="1" selected="0">
            <x v="1"/>
          </reference>
          <reference field="22" count="1" selected="0">
            <x v="0"/>
          </reference>
          <reference field="24" count="1">
            <x v="2"/>
          </reference>
        </references>
      </pivotArea>
    </format>
    <format dxfId="1174">
      <pivotArea dataOnly="0" labelOnly="1" outline="0" fieldPosition="0">
        <references count="9">
          <reference field="3" count="1" selected="0">
            <x v="2813"/>
          </reference>
          <reference field="4" count="1" selected="0">
            <x v="6985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1117"/>
          </reference>
          <reference field="19" count="1" selected="0">
            <x v="0"/>
          </reference>
          <reference field="21" count="1" selected="0">
            <x v="10"/>
          </reference>
          <reference field="22" count="1" selected="0">
            <x v="1"/>
          </reference>
          <reference field="24" count="1">
            <x v="4"/>
          </reference>
        </references>
      </pivotArea>
    </format>
    <format dxfId="1173">
      <pivotArea dataOnly="0" labelOnly="1" outline="0" fieldPosition="0">
        <references count="9">
          <reference field="3" count="1" selected="0">
            <x v="2816"/>
          </reference>
          <reference field="4" count="1" selected="0">
            <x v="4595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120"/>
          </reference>
          <reference field="19" count="1" selected="0">
            <x v="0"/>
          </reference>
          <reference field="21" count="1" selected="0">
            <x v="43"/>
          </reference>
          <reference field="22" count="1" selected="0">
            <x v="5"/>
          </reference>
          <reference field="24" count="1">
            <x v="2"/>
          </reference>
        </references>
      </pivotArea>
    </format>
    <format dxfId="1172">
      <pivotArea dataOnly="0" labelOnly="1" outline="0" fieldPosition="0">
        <references count="9">
          <reference field="3" count="1" selected="0">
            <x v="2826"/>
          </reference>
          <reference field="4" count="1" selected="0">
            <x v="428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117"/>
          </reference>
          <reference field="19" count="1" selected="0">
            <x v="0"/>
          </reference>
          <reference field="21" count="1" selected="0">
            <x v="14"/>
          </reference>
          <reference field="22" count="1" selected="0">
            <x v="2"/>
          </reference>
          <reference field="24" count="1">
            <x v="2"/>
          </reference>
        </references>
      </pivotArea>
    </format>
    <format dxfId="1171">
      <pivotArea dataOnly="0" labelOnly="1" outline="0" fieldPosition="0">
        <references count="9">
          <reference field="3" count="1" selected="0">
            <x v="2832"/>
          </reference>
          <reference field="4" count="1" selected="0">
            <x v="2691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117"/>
          </reference>
          <reference field="19" count="1" selected="0">
            <x v="0"/>
          </reference>
          <reference field="21" count="1" selected="0">
            <x v="21"/>
          </reference>
          <reference field="22" count="1" selected="0">
            <x v="2"/>
          </reference>
          <reference field="24" count="1">
            <x v="2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4D87FD-574C-4108-A41D-2371CF623E7C}" name="PivotTable1" cacheId="51" applyNumberFormats="0" applyBorderFormats="0" applyFontFormats="0" applyPatternFormats="0" applyAlignmentFormats="0" applyWidthHeightFormats="1" dataCaption="Valores" grandTotalCaption="Total Bajas" updatedVersion="8" minRefreshableVersion="3" itemPrintTitles="1" createdVersion="6" indent="0" outline="1" outlineData="1" multipleFieldFilters="0" rowHeaderCaption="Zona de Influencia">
  <location ref="C37:F46" firstHeaderRow="1" firstDataRow="2" firstDataCol="1" rowPageCount="1" colPageCount="1"/>
  <pivotFields count="3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 sortType="ascending">
      <items count="16">
        <item m="1" x="9"/>
        <item m="1" x="6"/>
        <item m="1" x="14"/>
        <item m="1" x="13"/>
        <item m="1" x="4"/>
        <item m="1" x="5"/>
        <item m="1" x="12"/>
        <item m="1" x="11"/>
        <item m="1" x="8"/>
        <item m="1" x="7"/>
        <item m="1" x="10"/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axis="axisRow" multipleItemSelectionAllowed="1" showAll="0">
      <items count="10">
        <item x="1"/>
        <item x="3"/>
        <item x="2"/>
        <item x="7"/>
        <item x="4"/>
        <item h="1" x="0"/>
        <item x="6"/>
        <item x="5"/>
        <item h="1" m="1" x="8"/>
        <item t="default"/>
      </items>
    </pivotField>
    <pivotField showAll="0"/>
    <pivotField showAll="0"/>
    <pivotField showAll="0"/>
    <pivotField numFmtId="43" showAll="0"/>
    <pivotField numFmtId="43" showAll="0"/>
    <pivotField numFmtId="43" showAll="0"/>
    <pivotField dataField="1" showAll="0"/>
    <pivotField axis="axisPage" showAll="0">
      <items count="4">
        <item x="0"/>
        <item x="1"/>
        <item m="1" x="2"/>
        <item t="default"/>
      </items>
    </pivotField>
    <pivotField showAll="0"/>
    <pivotField showAll="0"/>
    <pivotField dragToRow="0" dragToCol="0" dragToPage="0" showAll="0" defaultSubtotal="0"/>
  </pivotFields>
  <rowFields count="1">
    <field x="24"/>
  </rowFields>
  <rowItems count="8">
    <i>
      <x/>
    </i>
    <i>
      <x v="1"/>
    </i>
    <i>
      <x v="2"/>
    </i>
    <i>
      <x v="3"/>
    </i>
    <i>
      <x v="4"/>
    </i>
    <i>
      <x v="6"/>
    </i>
    <i>
      <x v="7"/>
    </i>
    <i t="grand">
      <x/>
    </i>
  </rowItems>
  <colFields count="1">
    <field x="11"/>
  </colFields>
  <colItems count="3">
    <i>
      <x v="11"/>
    </i>
    <i>
      <x v="12"/>
    </i>
    <i t="grand">
      <x/>
    </i>
  </colItems>
  <pageFields count="1">
    <pageField fld="32" item="0" hier="-1"/>
  </pageFields>
  <dataFields count="1">
    <dataField name="Sum of Bajas Zona Influencia" fld="31" baseField="0" baseItem="0"/>
  </dataFields>
  <formats count="15">
    <format dxfId="2496">
      <pivotArea outline="0" collapsedLevelsAreSubtotals="1" fieldPosition="0"/>
    </format>
    <format dxfId="2495">
      <pivotArea dataOnly="0" labelOnly="1" grandCol="1" outline="0" fieldPosition="0"/>
    </format>
    <format dxfId="2494">
      <pivotArea field="24" type="button" dataOnly="0" labelOnly="1" outline="0" axis="axisRow" fieldPosition="0"/>
    </format>
    <format dxfId="2493">
      <pivotArea dataOnly="0" labelOnly="1" grandRow="1" outline="0" fieldPosition="0"/>
    </format>
    <format dxfId="2492">
      <pivotArea type="all" dataOnly="0" outline="0" fieldPosition="0"/>
    </format>
    <format dxfId="2491">
      <pivotArea outline="0" collapsedLevelsAreSubtotals="1" fieldPosition="0"/>
    </format>
    <format dxfId="2490">
      <pivotArea type="origin" dataOnly="0" labelOnly="1" outline="0" fieldPosition="0"/>
    </format>
    <format dxfId="2489">
      <pivotArea field="11" type="button" dataOnly="0" labelOnly="1" outline="0" axis="axisCol" fieldPosition="0"/>
    </format>
    <format dxfId="2488">
      <pivotArea type="topRight" dataOnly="0" labelOnly="1" outline="0" fieldPosition="0"/>
    </format>
    <format dxfId="2487">
      <pivotArea field="24" type="button" dataOnly="0" labelOnly="1" outline="0" axis="axisRow" fieldPosition="0"/>
    </format>
    <format dxfId="2486">
      <pivotArea dataOnly="0" labelOnly="1" fieldPosition="0">
        <references count="1">
          <reference field="24" count="0"/>
        </references>
      </pivotArea>
    </format>
    <format dxfId="2485">
      <pivotArea dataOnly="0" labelOnly="1" grandRow="1" outline="0" fieldPosition="0"/>
    </format>
    <format dxfId="2484">
      <pivotArea dataOnly="0" labelOnly="1" fieldPosition="0">
        <references count="1">
          <reference field="11" count="2">
            <x v="11"/>
            <x v="12"/>
          </reference>
        </references>
      </pivotArea>
    </format>
    <format dxfId="2483">
      <pivotArea dataOnly="0" labelOnly="1" grandCol="1" outline="0" fieldPosition="0"/>
    </format>
    <format dxfId="2482">
      <pivotArea collapsedLevelsAreSubtotals="1" fieldPosition="0">
        <references count="1">
          <reference field="24" count="0"/>
        </references>
      </pivotArea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4" cacheId="51" applyNumberFormats="0" applyBorderFormats="0" applyFontFormats="0" applyPatternFormats="0" applyAlignmentFormats="0" applyWidthHeightFormats="1" dataCaption="Valores" grandTotalCaption="Total" updatedVersion="8" minRefreshableVersion="3" itemPrintTitles="1" createdVersion="6" indent="0" outline="1" outlineData="1" multipleFieldFilters="0" rowHeaderCaption="Rango de Edades">
  <location ref="C21:F30" firstHeaderRow="1" firstDataRow="2" firstDataCol="1" rowPageCount="2" colPageCount="1"/>
  <pivotFields count="3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 sortType="ascending">
      <items count="16">
        <item m="1" x="9"/>
        <item m="1" x="6"/>
        <item m="1" x="14"/>
        <item m="1" x="13"/>
        <item m="1" x="4"/>
        <item m="1" x="5"/>
        <item m="1" x="12"/>
        <item m="1" x="11"/>
        <item m="1" x="8"/>
        <item m="1" x="7"/>
        <item m="1" x="10"/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m="1" x="7"/>
        <item t="default"/>
      </items>
    </pivotField>
    <pivotField showAll="0"/>
    <pivotField axis="axisPage" multipleItemSelectionAllowed="1" showAll="0">
      <items count="10">
        <item x="1"/>
        <item x="3"/>
        <item x="2"/>
        <item x="7"/>
        <item x="4"/>
        <item h="1" x="0"/>
        <item x="6"/>
        <item x="5"/>
        <item h="1" m="1" x="8"/>
        <item t="default"/>
      </items>
    </pivotField>
    <pivotField showAll="0"/>
    <pivotField showAll="0"/>
    <pivotField showAll="0"/>
    <pivotField numFmtId="43" showAll="0"/>
    <pivotField dataField="1" numFmtId="43" showAll="0"/>
    <pivotField numFmtId="43" showAll="0"/>
    <pivotField showAll="0"/>
    <pivotField axis="axisPage" showAll="0">
      <items count="4">
        <item x="0"/>
        <item x="1"/>
        <item m="1" x="2"/>
        <item t="default"/>
      </items>
    </pivotField>
    <pivotField showAll="0"/>
    <pivotField showAll="0"/>
    <pivotField dragToRow="0" dragToCol="0" dragToPage="0" showAll="0" defaultSubtotal="0"/>
  </pivotFields>
  <rowFields count="1">
    <field x="2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1"/>
  </colFields>
  <colItems count="3">
    <i>
      <x v="11"/>
    </i>
    <i>
      <x v="12"/>
    </i>
    <i t="grand">
      <x/>
    </i>
  </colItems>
  <pageFields count="2">
    <pageField fld="24" hier="-1"/>
    <pageField fld="32" item="0" hier="-1"/>
  </pageFields>
  <dataFields count="1">
    <dataField name="Sum of Trabajdores Unicos Zona Influencia" fld="29" baseField="0" baseItem="0" numFmtId="166"/>
  </dataFields>
  <formats count="25">
    <format dxfId="2521">
      <pivotArea outline="0" collapsedLevelsAreSubtotals="1" fieldPosition="0"/>
    </format>
    <format dxfId="2520">
      <pivotArea dataOnly="0" labelOnly="1" grandCol="1" outline="0" fieldPosition="0"/>
    </format>
    <format dxfId="2519">
      <pivotArea field="24" type="button" dataOnly="0" labelOnly="1" outline="0" axis="axisPage" fieldPosition="0"/>
    </format>
    <format dxfId="2518">
      <pivotArea dataOnly="0" labelOnly="1" grandRow="1" outline="0" fieldPosition="0"/>
    </format>
    <format dxfId="2517">
      <pivotArea type="all" dataOnly="0" outline="0" fieldPosition="0"/>
    </format>
    <format dxfId="2516">
      <pivotArea outline="0" collapsedLevelsAreSubtotals="1" fieldPosition="0"/>
    </format>
    <format dxfId="2515">
      <pivotArea type="origin" dataOnly="0" labelOnly="1" outline="0" fieldPosition="0"/>
    </format>
    <format dxfId="2514">
      <pivotArea field="11" type="button" dataOnly="0" labelOnly="1" outline="0" axis="axisCol" fieldPosition="0"/>
    </format>
    <format dxfId="2513">
      <pivotArea type="topRight" dataOnly="0" labelOnly="1" outline="0" fieldPosition="0"/>
    </format>
    <format dxfId="2512">
      <pivotArea field="22" type="button" dataOnly="0" labelOnly="1" outline="0" axis="axisRow" fieldPosition="0"/>
    </format>
    <format dxfId="2511">
      <pivotArea dataOnly="0" labelOnly="1" fieldPosition="0">
        <references count="1">
          <reference field="22" count="6">
            <x v="0"/>
            <x v="1"/>
            <x v="2"/>
            <x v="3"/>
            <x v="4"/>
            <x v="5"/>
          </reference>
        </references>
      </pivotArea>
    </format>
    <format dxfId="2510">
      <pivotArea dataOnly="0" labelOnly="1" grandRow="1" outline="0" fieldPosition="0"/>
    </format>
    <format dxfId="2509">
      <pivotArea dataOnly="0" labelOnly="1" fieldPosition="0">
        <references count="1">
          <reference field="11" count="2">
            <x v="11"/>
            <x v="12"/>
          </reference>
        </references>
      </pivotArea>
    </format>
    <format dxfId="2508">
      <pivotArea dataOnly="0" labelOnly="1" grandCol="1" outline="0" fieldPosition="0"/>
    </format>
    <format dxfId="2507">
      <pivotArea outline="0" collapsedLevelsAreSubtotals="1" fieldPosition="0"/>
    </format>
    <format dxfId="2506">
      <pivotArea type="all" dataOnly="0" outline="0" fieldPosition="0"/>
    </format>
    <format dxfId="2505">
      <pivotArea outline="0" collapsedLevelsAreSubtotals="1" fieldPosition="0"/>
    </format>
    <format dxfId="2504">
      <pivotArea type="origin" dataOnly="0" labelOnly="1" outline="0" fieldPosition="0"/>
    </format>
    <format dxfId="2503">
      <pivotArea field="11" type="button" dataOnly="0" labelOnly="1" outline="0" axis="axisCol" fieldPosition="0"/>
    </format>
    <format dxfId="2502">
      <pivotArea type="topRight" dataOnly="0" labelOnly="1" outline="0" fieldPosition="0"/>
    </format>
    <format dxfId="2501">
      <pivotArea field="22" type="button" dataOnly="0" labelOnly="1" outline="0" axis="axisRow" fieldPosition="0"/>
    </format>
    <format dxfId="2500">
      <pivotArea dataOnly="0" labelOnly="1" fieldPosition="0">
        <references count="1">
          <reference field="22" count="0"/>
        </references>
      </pivotArea>
    </format>
    <format dxfId="2499">
      <pivotArea dataOnly="0" labelOnly="1" grandRow="1" outline="0" fieldPosition="0"/>
    </format>
    <format dxfId="2498">
      <pivotArea dataOnly="0" labelOnly="1" fieldPosition="0">
        <references count="1">
          <reference field="11" count="2">
            <x v="11"/>
            <x v="12"/>
          </reference>
        </references>
      </pivotArea>
    </format>
    <format dxfId="2497">
      <pivotArea dataOnly="0" labelOnly="1" grandCol="1" outline="0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3" cacheId="51" applyNumberFormats="0" applyBorderFormats="0" applyFontFormats="0" applyPatternFormats="0" applyAlignmentFormats="0" applyWidthHeightFormats="1" dataCaption="Valores" grandTotalCaption="Total" updatedVersion="8" minRefreshableVersion="3" itemPrintTitles="1" createdVersion="6" indent="0" compact="0" compactData="0" gridDropZones="1" multipleFieldFilters="0" rowHeaderCaption="Zona de Influencia">
  <location ref="J6:S1144" firstHeaderRow="2" firstDataRow="2" firstDataCol="9" rowPageCount="1" colPageCount="1"/>
  <pivotFields count="36">
    <pivotField compact="0" outline="0" showAll="0"/>
    <pivotField compact="0" outline="0" showAll="0"/>
    <pivotField compact="0" outline="0" showAll="0"/>
    <pivotField axis="axisRow" compact="0" outline="0" showAll="0" defaultSubtotal="0">
      <items count="6549">
        <item m="1" x="6302"/>
        <item m="1" x="6331"/>
        <item m="1" x="6241"/>
        <item m="1" x="5887"/>
        <item m="1" x="5731"/>
        <item m="1" x="5987"/>
        <item m="1" x="5836"/>
        <item m="1" x="6183"/>
        <item m="1" x="6060"/>
        <item m="1" x="6381"/>
        <item m="1" x="5909"/>
        <item m="1" x="6498"/>
        <item m="1" x="6436"/>
        <item m="1" x="6199"/>
        <item m="1" x="6255"/>
        <item m="1" x="6154"/>
        <item m="1" x="6429"/>
        <item m="1" x="6538"/>
        <item m="1" x="6410"/>
        <item m="1" x="6443"/>
        <item m="1" x="6404"/>
        <item m="1" x="6159"/>
        <item m="1" x="5944"/>
        <item m="1" x="5957"/>
        <item m="1" x="6533"/>
        <item m="1" x="6017"/>
        <item m="1" x="6185"/>
        <item m="1" x="5747"/>
        <item m="1" x="5749"/>
        <item m="1" x="5797"/>
        <item m="1" x="5997"/>
        <item m="1" x="6276"/>
        <item m="1" x="5815"/>
        <item m="1" x="5817"/>
        <item m="1" x="6534"/>
        <item m="1" x="6091"/>
        <item m="1" x="6105"/>
        <item m="1" x="5477"/>
        <item m="1" x="6005"/>
        <item m="1" x="6297"/>
        <item m="1" x="6218"/>
        <item m="1" x="6245"/>
        <item m="1" x="6348"/>
        <item m="1" x="6028"/>
        <item m="1" x="6515"/>
        <item m="1" x="5924"/>
        <item m="1" x="6315"/>
        <item m="1" x="6038"/>
        <item m="1" x="5727"/>
        <item m="1" x="5908"/>
        <item m="1" x="6120"/>
        <item m="1" x="6454"/>
        <item m="1" x="6040"/>
        <item m="1" x="6077"/>
        <item m="1" x="6358"/>
        <item m="1" x="6070"/>
        <item m="1" x="5476"/>
        <item m="1" x="6422"/>
        <item m="1" x="5760"/>
        <item m="1" x="6208"/>
        <item m="1" x="6479"/>
        <item m="1" x="5701"/>
        <item m="1" x="6318"/>
        <item m="1" x="6435"/>
        <item m="1" x="6468"/>
        <item m="1" x="6198"/>
        <item m="1" x="5832"/>
        <item m="1" x="6230"/>
        <item m="1" x="6303"/>
        <item m="1" x="6165"/>
        <item m="1" x="6427"/>
        <item m="1" x="6464"/>
        <item m="1" x="6099"/>
        <item m="1" x="6434"/>
        <item m="1" x="3797"/>
        <item m="1" x="5978"/>
        <item m="1" x="4955"/>
        <item m="1" x="4948"/>
        <item m="1" x="4043"/>
        <item m="1" x="6076"/>
        <item x="3030"/>
        <item x="3009"/>
        <item m="1" x="4597"/>
        <item x="2742"/>
        <item x="3241"/>
        <item m="1" x="6490"/>
        <item m="1" x="5560"/>
        <item m="1" x="6289"/>
        <item m="1" x="5288"/>
        <item x="3063"/>
        <item m="1" x="3877"/>
        <item m="1" x="5823"/>
        <item m="1" x="4068"/>
        <item m="1" x="4065"/>
        <item x="3085"/>
        <item m="1" x="4951"/>
        <item m="1" x="4950"/>
        <item m="1" x="5615"/>
        <item m="1" x="5269"/>
        <item m="1" x="5712"/>
        <item m="1" x="5899"/>
        <item m="1" x="5916"/>
        <item m="1" x="5992"/>
        <item m="1" x="4949"/>
        <item m="1" x="5273"/>
        <item x="2461"/>
        <item m="1" x="5469"/>
        <item m="1" x="4958"/>
        <item m="1" x="5996"/>
        <item m="1" x="5820"/>
        <item m="1" x="6164"/>
        <item m="1" x="4424"/>
        <item x="2721"/>
        <item x="3015"/>
        <item m="1" x="4954"/>
        <item m="1" x="5802"/>
        <item m="1" x="5778"/>
        <item m="1" x="5272"/>
        <item x="2724"/>
        <item x="2734"/>
        <item m="1" x="4937"/>
        <item m="1" x="6224"/>
        <item x="2499"/>
        <item x="3010"/>
        <item x="2727"/>
        <item m="1" x="6162"/>
        <item m="1" x="6546"/>
        <item m="1" x="5920"/>
        <item m="1" x="4371"/>
        <item m="1" x="5612"/>
        <item m="1" x="5504"/>
        <item m="1" x="4927"/>
        <item m="1" x="6020"/>
        <item x="3095"/>
        <item m="1" x="3779"/>
        <item m="1" x="4936"/>
        <item m="1" x="4934"/>
        <item x="3016"/>
        <item m="1" x="5301"/>
        <item m="1" x="5498"/>
        <item x="3161"/>
        <item m="1" x="4939"/>
        <item x="3224"/>
        <item m="1" x="4953"/>
        <item m="1" x="6155"/>
        <item x="3082"/>
        <item m="1" x="6277"/>
        <item m="1" x="5544"/>
        <item m="1" x="4926"/>
        <item m="1" x="5287"/>
        <item m="1" x="6485"/>
        <item x="3090"/>
        <item x="2730"/>
        <item x="3217"/>
        <item x="2229"/>
        <item m="1" x="4931"/>
        <item m="1" x="5581"/>
        <item m="1" x="5341"/>
        <item m="1" x="3795"/>
        <item m="1" x="5692"/>
        <item m="1" x="5599"/>
        <item m="1" x="6317"/>
        <item m="1" x="4909"/>
        <item x="2320"/>
        <item m="1" x="5561"/>
        <item m="1" x="5499"/>
        <item m="1" x="5734"/>
        <item m="1" x="6269"/>
        <item m="1" x="6371"/>
        <item x="2459"/>
        <item m="1" x="6497"/>
        <item x="2492"/>
        <item m="1" x="5814"/>
        <item m="1" x="5061"/>
        <item x="2489"/>
        <item x="2723"/>
        <item x="2289"/>
        <item m="1" x="5489"/>
        <item x="2927"/>
        <item m="1" x="4857"/>
        <item m="1" x="6352"/>
        <item m="1" x="5792"/>
        <item m="1" x="5410"/>
        <item m="1" x="4914"/>
        <item m="1" x="5289"/>
        <item x="2731"/>
        <item m="1" x="4957"/>
        <item m="1" x="6380"/>
        <item x="3213"/>
        <item x="3007"/>
        <item x="3013"/>
        <item m="1" x="5296"/>
        <item m="1" x="5895"/>
        <item m="1" x="5719"/>
        <item m="1" x="6147"/>
        <item m="1" x="6408"/>
        <item m="1" x="5888"/>
        <item m="1" x="4066"/>
        <item m="1" x="6385"/>
        <item x="2979"/>
        <item x="3223"/>
        <item x="2122"/>
        <item m="1" x="6339"/>
        <item m="1" x="4946"/>
        <item m="1" x="5424"/>
        <item m="1" x="6156"/>
        <item x="2746"/>
        <item m="1" x="4945"/>
        <item m="1" x="4915"/>
        <item m="1" x="6411"/>
        <item m="1" x="5368"/>
        <item m="1" x="4952"/>
        <item m="1" x="6133"/>
        <item x="2485"/>
        <item m="1" x="6389"/>
        <item m="1" x="4962"/>
        <item x="2967"/>
        <item x="3226"/>
        <item m="1" x="6066"/>
        <item x="2750"/>
        <item m="1" x="6008"/>
        <item m="1" x="4063"/>
        <item m="1" x="4064"/>
        <item x="2988"/>
        <item m="1" x="5541"/>
        <item m="1" x="6377"/>
        <item m="1" x="6001"/>
        <item x="3215"/>
        <item m="1" x="6256"/>
        <item x="3061"/>
        <item m="1" x="5930"/>
        <item x="3017"/>
        <item m="1" x="6323"/>
        <item x="2719"/>
        <item m="1" x="3714"/>
        <item m="1" x="5683"/>
        <item m="1" x="6397"/>
        <item m="1" x="5748"/>
        <item m="1" x="5568"/>
        <item m="1" x="5572"/>
        <item m="1" x="5275"/>
        <item m="1" x="5306"/>
        <item m="1" x="3780"/>
        <item m="1" x="5377"/>
        <item x="2680"/>
        <item x="2945"/>
        <item m="1" x="4959"/>
        <item m="1" x="6437"/>
        <item m="1" x="6332"/>
        <item m="1" x="5551"/>
        <item m="1" x="6100"/>
        <item x="3014"/>
        <item m="1" x="6293"/>
        <item x="2981"/>
        <item m="1" x="5818"/>
        <item m="1" x="4965"/>
        <item m="1" x="5964"/>
        <item m="1" x="6413"/>
        <item m="1" x="6035"/>
        <item m="1" x="5363"/>
        <item m="1" x="3600"/>
        <item m="1" x="5512"/>
        <item m="1" x="5990"/>
        <item m="1" x="5138"/>
        <item m="1" x="6205"/>
        <item m="1" x="6325"/>
        <item m="1" x="5510"/>
        <item m="1" x="4956"/>
        <item m="1" x="5955"/>
        <item x="2748"/>
        <item m="1" x="3909"/>
        <item m="1" x="6236"/>
        <item m="1" x="6368"/>
        <item x="2720"/>
        <item m="1" x="5754"/>
        <item m="1" x="5798"/>
        <item x="2288"/>
        <item m="1" x="5120"/>
        <item m="1" x="6125"/>
        <item m="1" x="6306"/>
        <item m="1" x="5810"/>
        <item m="1" x="5537"/>
        <item m="1" x="6260"/>
        <item m="1" x="5785"/>
        <item m="1" x="5732"/>
        <item x="2831"/>
        <item m="1" x="6087"/>
        <item m="1" x="6527"/>
        <item m="1" x="6513"/>
        <item m="1" x="6345"/>
        <item m="1" x="6418"/>
        <item m="1" x="6167"/>
        <item x="2894"/>
        <item m="1" x="4947"/>
        <item x="2315"/>
        <item m="1" x="6190"/>
        <item m="1" x="6015"/>
        <item m="1" x="6341"/>
        <item m="1" x="5703"/>
        <item m="1" x="6067"/>
        <item m="1" x="5787"/>
        <item m="1" x="6294"/>
        <item m="1" x="5806"/>
        <item m="1" x="6113"/>
        <item m="1" x="5781"/>
        <item m="1" x="6184"/>
        <item m="1" x="6250"/>
        <item m="1" x="5883"/>
        <item m="1" x="6204"/>
        <item m="1" x="6268"/>
        <item m="1" x="6109"/>
        <item m="1" x="6401"/>
        <item m="1" x="6516"/>
        <item m="1" x="6173"/>
        <item m="1" x="6096"/>
        <item m="1" x="6242"/>
        <item m="1" x="6462"/>
        <item m="1" x="6466"/>
        <item m="1" x="4227"/>
        <item x="3220"/>
        <item x="3221"/>
        <item m="1" x="5538"/>
        <item m="1" x="4938"/>
        <item m="1" x="3778"/>
        <item m="1" x="6238"/>
        <item m="1" x="5556"/>
        <item m="1" x="5869"/>
        <item m="1" x="4923"/>
        <item m="1" x="4917"/>
        <item m="1" x="3586"/>
        <item m="1" x="5695"/>
        <item m="1" x="5144"/>
        <item m="1" x="4922"/>
        <item x="2124"/>
        <item m="1" x="4916"/>
        <item x="2503"/>
        <item m="1" x="4924"/>
        <item m="1" x="6386"/>
        <item m="1" x="4899"/>
        <item m="1" x="5526"/>
        <item m="1" x="4925"/>
        <item x="2645"/>
        <item m="1" x="5559"/>
        <item m="1" x="5545"/>
        <item x="2510"/>
        <item m="1" x="6121"/>
        <item m="1" x="4905"/>
        <item m="1" x="4918"/>
        <item m="1" x="4913"/>
        <item m="1" x="3587"/>
        <item x="2325"/>
        <item m="1" x="4495"/>
        <item m="1" x="4903"/>
        <item x="2488"/>
        <item m="1" x="5076"/>
        <item m="1" x="5723"/>
        <item m="1" x="5210"/>
        <item m="1" x="3886"/>
        <item x="2667"/>
        <item x="2506"/>
        <item m="1" x="4376"/>
        <item m="1" x="6203"/>
        <item m="1" x="6420"/>
        <item m="1" x="4541"/>
        <item m="1" x="6376"/>
        <item m="1" x="4901"/>
        <item m="1" x="5659"/>
        <item m="1" x="4057"/>
        <item m="1" x="6307"/>
        <item x="2128"/>
        <item m="1" x="4902"/>
        <item m="1" x="6334"/>
        <item x="2513"/>
        <item m="1" x="6476"/>
        <item x="2512"/>
        <item x="2508"/>
        <item x="2737"/>
        <item m="1" x="5770"/>
        <item m="1" x="4900"/>
        <item x="2504"/>
        <item m="1" x="6366"/>
        <item m="1" x="4895"/>
        <item m="1" x="6216"/>
        <item m="1" x="4890"/>
        <item m="1" x="4051"/>
        <item m="1" x="6098"/>
        <item m="1" x="6169"/>
        <item m="1" x="5580"/>
        <item x="2505"/>
        <item m="1" x="5680"/>
        <item m="1" x="4898"/>
        <item m="1" x="5509"/>
        <item m="1" x="6214"/>
        <item m="1" x="6299"/>
        <item m="1" x="6148"/>
        <item m="1" x="5761"/>
        <item m="1" x="5539"/>
        <item x="2735"/>
        <item x="2507"/>
        <item m="1" x="6460"/>
        <item x="2501"/>
        <item m="1" x="6457"/>
        <item m="1" x="6207"/>
        <item m="1" x="4670"/>
        <item m="1" x="4522"/>
        <item m="1" x="5877"/>
        <item m="1" x="5928"/>
        <item m="1" x="5745"/>
        <item m="1" x="5907"/>
        <item m="1" x="5938"/>
        <item m="1" x="3681"/>
        <item m="1" x="6021"/>
        <item m="1" x="5274"/>
        <item x="2713"/>
        <item x="2494"/>
        <item m="1" x="5837"/>
        <item x="2636"/>
        <item x="2677"/>
        <item m="1" x="6441"/>
        <item m="1" x="6426"/>
        <item m="1" x="3876"/>
        <item m="1" x="6050"/>
        <item m="1" x="5939"/>
        <item m="1" x="5623"/>
        <item m="1" x="5983"/>
        <item m="1" x="6045"/>
        <item m="1" x="6253"/>
        <item m="1" x="5570"/>
        <item m="1" x="6014"/>
        <item m="1" x="6529"/>
        <item m="1" x="6445"/>
        <item m="1" x="3513"/>
        <item x="2314"/>
        <item m="1" x="4854"/>
        <item m="1" x="5697"/>
        <item x="2414"/>
        <item m="1" x="5962"/>
        <item m="1" x="5238"/>
        <item m="1" x="6051"/>
        <item x="2511"/>
        <item x="2313"/>
        <item x="2296"/>
        <item m="1" x="6057"/>
        <item m="1" x="5922"/>
        <item m="1" x="4873"/>
        <item m="1" x="5529"/>
        <item x="2483"/>
        <item m="1" x="5034"/>
        <item x="2732"/>
        <item m="1" x="6143"/>
        <item m="1" x="6197"/>
        <item m="1" x="5857"/>
        <item m="1" x="5788"/>
        <item m="1" x="5880"/>
        <item m="1" x="4050"/>
        <item m="1" x="5671"/>
        <item m="1" x="6176"/>
        <item m="1" x="6023"/>
        <item x="2728"/>
        <item m="1" x="5549"/>
        <item x="2335"/>
        <item m="1" x="4183"/>
        <item x="2500"/>
        <item m="1" x="5546"/>
        <item x="2670"/>
        <item m="1" x="5369"/>
        <item m="1" x="4893"/>
        <item m="1" x="5767"/>
        <item m="1" x="5976"/>
        <item x="2123"/>
        <item m="1" x="4868"/>
        <item m="1" x="6496"/>
        <item m="1" x="6329"/>
        <item m="1" x="6423"/>
        <item m="1" x="5130"/>
        <item x="2502"/>
        <item m="1" x="6396"/>
        <item x="2718"/>
        <item x="3012"/>
        <item m="1" x="5854"/>
        <item m="1" x="4825"/>
        <item m="1" x="4498"/>
        <item x="2726"/>
        <item m="1" x="5776"/>
        <item m="1" x="4041"/>
        <item x="2470"/>
        <item x="2481"/>
        <item m="1" x="5718"/>
        <item m="1" x="5969"/>
        <item m="1" x="4039"/>
        <item m="1" x="6158"/>
        <item m="1" x="3680"/>
        <item x="2291"/>
        <item m="1" x="5794"/>
        <item m="1" x="6024"/>
        <item m="1" x="4361"/>
        <item m="1" x="5584"/>
        <item m="1" x="6084"/>
        <item m="1" x="5129"/>
        <item m="1" x="5654"/>
        <item m="1" x="4494"/>
        <item m="1" x="6543"/>
        <item m="1" x="5614"/>
        <item x="2287"/>
        <item m="1" x="5912"/>
        <item m="1" x="5942"/>
        <item x="2729"/>
        <item m="1" x="5598"/>
        <item m="1" x="4222"/>
        <item x="2474"/>
        <item m="1" x="6508"/>
        <item x="2121"/>
        <item m="1" x="5291"/>
        <item m="1" x="5710"/>
        <item m="1" x="6354"/>
        <item m="1" x="6461"/>
        <item m="1" x="6228"/>
        <item m="1" x="3585"/>
        <item m="1" x="5834"/>
        <item m="1" x="6473"/>
        <item m="1" x="4863"/>
        <item m="1" x="6221"/>
        <item m="1" x="5215"/>
        <item x="2749"/>
        <item m="1" x="6350"/>
        <item m="1" x="5929"/>
        <item m="1" x="5775"/>
        <item m="1" x="3692"/>
        <item m="1" x="5733"/>
        <item m="1" x="6540"/>
        <item m="1" x="4865"/>
        <item x="1628"/>
        <item m="1" x="5505"/>
        <item m="1" x="4864"/>
        <item m="1" x="6431"/>
        <item x="2509"/>
        <item x="2396"/>
        <item m="1" x="6193"/>
        <item m="1" x="5739"/>
        <item m="1" x="4867"/>
        <item m="1" x="6012"/>
        <item m="1" x="4016"/>
        <item m="1" x="6124"/>
        <item x="1995"/>
        <item x="2225"/>
        <item m="1" x="4878"/>
        <item m="1" x="6018"/>
        <item x="2725"/>
        <item m="1" x="6347"/>
        <item m="1" x="6532"/>
        <item m="1" x="4980"/>
        <item m="1" x="4872"/>
        <item m="1" x="6312"/>
        <item m="1" x="6144"/>
        <item m="1" x="4774"/>
        <item m="1" x="6080"/>
        <item x="1907"/>
        <item m="1" x="4022"/>
        <item m="1" x="4663"/>
        <item m="1" x="5809"/>
        <item m="1" x="4664"/>
        <item m="1" x="5898"/>
        <item m="1" x="6309"/>
        <item m="1" x="4560"/>
        <item x="2497"/>
        <item m="1" x="6126"/>
        <item m="1" x="3872"/>
        <item m="1" x="4076"/>
        <item x="3002"/>
        <item m="1" x="5799"/>
        <item m="1" x="5536"/>
        <item x="3312"/>
        <item m="1" x="6181"/>
        <item m="1" x="4855"/>
        <item m="1" x="5953"/>
        <item m="1" x="5271"/>
        <item m="1" x="5866"/>
        <item x="1993"/>
        <item m="1" x="6119"/>
        <item m="1" x="4235"/>
        <item m="1" x="4856"/>
        <item x="1551"/>
        <item m="1" x="4858"/>
        <item m="1" x="5893"/>
        <item m="1" x="5858"/>
        <item m="1" x="5500"/>
        <item m="1" x="6019"/>
        <item x="2292"/>
        <item m="1" x="5307"/>
        <item m="1" x="6194"/>
        <item m="1" x="6425"/>
        <item m="1" x="4669"/>
        <item m="1" x="6217"/>
        <item m="1" x="5610"/>
        <item m="1" x="4851"/>
        <item x="1577"/>
        <item m="1" x="4849"/>
        <item m="1" x="4891"/>
        <item x="1819"/>
        <item x="2336"/>
        <item m="1" x="3552"/>
        <item m="1" x="6200"/>
        <item m="1" x="5660"/>
        <item m="1" x="4874"/>
        <item m="1" x="5485"/>
        <item x="2013"/>
        <item m="1" x="4203"/>
        <item m="1" x="5340"/>
        <item m="1" x="3871"/>
        <item m="1" x="5443"/>
        <item m="1" x="3885"/>
        <item m="1" x="6210"/>
        <item m="1" x="6177"/>
        <item m="1" x="3996"/>
        <item m="1" x="5968"/>
        <item m="1" x="6042"/>
        <item m="1" x="6512"/>
        <item m="1" x="6382"/>
        <item m="1" x="5902"/>
        <item m="1" x="4846"/>
        <item m="1" x="6054"/>
        <item m="1" x="5943"/>
        <item x="1432"/>
        <item m="1" x="6535"/>
        <item m="1" x="5028"/>
        <item m="1" x="4216"/>
        <item m="1" x="6524"/>
        <item x="2232"/>
        <item x="2018"/>
        <item m="1" x="6117"/>
        <item m="1" x="5473"/>
        <item m="1" x="5728"/>
        <item m="1" x="5057"/>
        <item m="1" x="5981"/>
        <item x="1537"/>
        <item x="1565"/>
        <item m="1" x="3691"/>
        <item m="1" x="5756"/>
        <item m="1" x="5365"/>
        <item m="1" x="6537"/>
        <item x="1821"/>
        <item m="1" x="6379"/>
        <item m="1" x="5952"/>
        <item m="1" x="6545"/>
        <item m="1" x="5891"/>
        <item m="1" x="5579"/>
        <item x="2496"/>
        <item m="1" x="6116"/>
        <item m="1" x="5769"/>
        <item m="1" x="3551"/>
        <item m="1" x="6407"/>
        <item m="1" x="5293"/>
        <item m="1" x="6548"/>
        <item x="2743"/>
        <item m="1" x="6316"/>
        <item m="1" x="5904"/>
        <item m="1" x="5467"/>
        <item m="1" x="5833"/>
        <item m="1" x="5735"/>
        <item x="1845"/>
        <item m="1" x="6016"/>
        <item m="1" x="6346"/>
        <item x="1655"/>
        <item m="1" x="5582"/>
        <item m="1" x="6519"/>
        <item m="1" x="5650"/>
        <item m="1" x="5479"/>
        <item m="1" x="4964"/>
        <item m="1" x="6127"/>
        <item m="1" x="6374"/>
        <item m="1" x="6530"/>
        <item m="1" x="5988"/>
        <item m="1" x="5248"/>
        <item m="1" x="6101"/>
        <item m="1" x="6136"/>
        <item m="1" x="4839"/>
        <item m="1" x="6448"/>
        <item m="1" x="5860"/>
        <item m="1" x="5242"/>
        <item m="1" x="6547"/>
        <item m="1" x="6405"/>
        <item m="1" x="6469"/>
        <item m="1" x="5216"/>
        <item x="1999"/>
        <item m="1" x="5190"/>
        <item x="3295"/>
        <item x="1647"/>
        <item m="1" x="6160"/>
        <item m="1" x="5707"/>
        <item m="1" x="5601"/>
        <item m="1" x="5743"/>
        <item m="1" x="5484"/>
        <item m="1" x="5791"/>
        <item m="1" x="6335"/>
        <item m="1" x="6112"/>
        <item m="1" x="3730"/>
        <item m="1" x="4077"/>
        <item x="1292"/>
        <item m="1" x="4841"/>
        <item m="1" x="4006"/>
        <item m="1" x="5946"/>
        <item m="1" x="3775"/>
        <item m="1" x="4153"/>
        <item m="1" x="6336"/>
        <item x="1634"/>
        <item m="1" x="4328"/>
        <item m="1" x="6231"/>
        <item m="1" x="3999"/>
        <item x="2003"/>
        <item m="1" x="4837"/>
        <item m="1" x="4844"/>
        <item m="1" x="6179"/>
        <item m="1" x="5116"/>
        <item x="2493"/>
        <item m="1" x="5885"/>
        <item m="1" x="4842"/>
        <item x="1291"/>
        <item x="3308"/>
        <item m="1" x="4666"/>
        <item m="1" x="5297"/>
        <item m="1" x="6234"/>
        <item m="1" x="5466"/>
        <item x="1081"/>
        <item m="1" x="6472"/>
        <item m="1" x="5994"/>
        <item x="2495"/>
        <item m="1" x="6122"/>
        <item m="1" x="5626"/>
        <item m="1" x="5900"/>
        <item m="1" x="6531"/>
        <item x="1276"/>
        <item m="1" x="6419"/>
        <item m="1" x="6409"/>
        <item x="1915"/>
        <item m="1" x="5871"/>
        <item m="1" x="6261"/>
        <item m="1" x="5666"/>
        <item m="1" x="5175"/>
        <item x="3006"/>
        <item x="2290"/>
        <item m="1" x="4369"/>
        <item m="1" x="5578"/>
        <item m="1" x="5975"/>
        <item m="1" x="5503"/>
        <item m="1" x="5783"/>
        <item x="1849"/>
        <item m="1" x="5630"/>
        <item m="1" x="5367"/>
        <item m="1" x="4836"/>
        <item m="1" x="5468"/>
        <item m="1" x="3553"/>
        <item x="2286"/>
        <item m="1" x="5915"/>
        <item m="1" x="6541"/>
        <item x="2005"/>
        <item m="1" x="6428"/>
        <item x="1652"/>
        <item m="1" x="3556"/>
        <item m="1" x="6433"/>
        <item m="1" x="5425"/>
        <item x="1986"/>
        <item m="1" x="5993"/>
        <item m="1" x="6470"/>
        <item m="1" x="4339"/>
        <item m="1" x="6047"/>
        <item m="1" x="6402"/>
        <item m="1" x="5169"/>
        <item m="1" x="5270"/>
        <item m="1" x="5522"/>
        <item x="1654"/>
        <item m="1" x="5910"/>
        <item m="1" x="5600"/>
        <item m="1" x="4850"/>
        <item m="1" x="6141"/>
        <item x="1656"/>
        <item m="1" x="4493"/>
        <item m="1" x="6494"/>
        <item m="1" x="6239"/>
        <item m="1" x="6069"/>
        <item x="1574"/>
        <item x="1605"/>
        <item m="1" x="5831"/>
        <item m="1" x="4308"/>
        <item m="1" x="4425"/>
        <item m="1" x="5004"/>
        <item m="1" x="5786"/>
        <item m="1" x="6022"/>
        <item m="1" x="6195"/>
        <item x="2498"/>
        <item m="1" x="3762"/>
        <item m="1" x="5609"/>
        <item m="1" x="5784"/>
        <item m="1" x="4835"/>
        <item m="1" x="5941"/>
        <item x="1980"/>
        <item m="1" x="5894"/>
        <item m="1" x="6229"/>
        <item m="1" x="5055"/>
        <item m="1" x="5283"/>
        <item x="1646"/>
        <item m="1" x="5838"/>
        <item m="1" x="4834"/>
        <item m="1" x="4832"/>
        <item m="1" x="6128"/>
        <item m="1" x="5693"/>
        <item x="1211"/>
        <item m="1" x="5565"/>
        <item m="1" x="5972"/>
        <item m="1" x="5047"/>
        <item x="2012"/>
        <item x="1604"/>
        <item m="1" x="6152"/>
        <item m="1" x="6153"/>
        <item m="1" x="4020"/>
        <item m="1" x="6088"/>
        <item m="1" x="6149"/>
        <item m="1" x="6432"/>
        <item m="1" x="6330"/>
        <item m="1" x="5729"/>
        <item m="1" x="5738"/>
        <item m="1" x="6232"/>
        <item m="1" x="6314"/>
        <item x="1138"/>
        <item m="1" x="3854"/>
        <item m="1" x="5971"/>
        <item m="1" x="6290"/>
        <item m="1" x="6246"/>
        <item m="1" x="5724"/>
        <item m="1" x="5209"/>
        <item m="1" x="5673"/>
        <item m="1" x="3572"/>
        <item m="1" x="5017"/>
        <item m="1" x="6094"/>
        <item m="1" x="6489"/>
        <item m="1" x="6525"/>
        <item m="1" x="5777"/>
        <item m="1" x="6252"/>
        <item m="1" x="4830"/>
        <item m="1" x="3873"/>
        <item x="1648"/>
        <item m="1" x="6455"/>
        <item m="1" x="4201"/>
        <item x="1870"/>
        <item m="1" x="6064"/>
        <item x="2236"/>
        <item m="1" x="5029"/>
        <item m="1" x="4827"/>
        <item m="1" x="6243"/>
        <item m="1" x="5003"/>
        <item m="1" x="5592"/>
        <item m="1" x="4652"/>
        <item m="1" x="6090"/>
        <item m="1" x="6521"/>
        <item m="1" x="5828"/>
        <item m="1" x="5646"/>
        <item x="2007"/>
        <item m="1" x="5951"/>
        <item m="1" x="5813"/>
        <item m="1" x="6073"/>
        <item m="1" x="4234"/>
        <item m="1" x="4381"/>
        <item x="1140"/>
        <item m="1" x="6439"/>
        <item x="1820"/>
        <item m="1" x="5575"/>
        <item m="1" x="6206"/>
        <item m="1" x="5862"/>
        <item m="1" x="6093"/>
        <item m="1" x="4829"/>
        <item m="1" x="6212"/>
        <item m="1" x="6174"/>
        <item m="1" x="5681"/>
        <item x="2014"/>
        <item x="1435"/>
        <item m="1" x="6013"/>
        <item m="1" x="5704"/>
        <item m="1" x="4559"/>
        <item m="1" x="5123"/>
        <item m="1" x="6440"/>
        <item m="1" x="5852"/>
        <item x="1903"/>
        <item x="1649"/>
        <item m="1" x="3760"/>
        <item m="1" x="5746"/>
        <item x="1643"/>
        <item m="1" x="3903"/>
        <item m="1" x="6201"/>
        <item m="1" x="4814"/>
        <item m="1" x="6262"/>
        <item x="1653"/>
        <item m="1" x="5740"/>
        <item m="1" x="4018"/>
        <item m="1" x="6061"/>
        <item m="1" x="5995"/>
        <item x="1898"/>
        <item m="1" x="6129"/>
        <item m="1" x="5628"/>
        <item m="1" x="6416"/>
        <item m="1" x="5919"/>
        <item m="1" x="4822"/>
        <item m="1" x="5627"/>
        <item m="1" x="5682"/>
        <item m="1" x="5573"/>
        <item x="1872"/>
        <item m="1" x="5702"/>
        <item m="1" x="6263"/>
        <item m="1" x="6370"/>
        <item x="1622"/>
        <item m="1" x="5844"/>
        <item m="1" x="4816"/>
        <item m="1" x="5956"/>
        <item m="1" x="6356"/>
        <item m="1" x="4029"/>
        <item x="2002"/>
        <item x="2011"/>
        <item m="1" x="5741"/>
        <item m="1" x="4011"/>
        <item m="1" x="5698"/>
        <item m="1" x="5878"/>
        <item m="1" x="6272"/>
        <item m="1" x="6115"/>
        <item m="1" x="5892"/>
        <item m="1" x="4812"/>
        <item m="1" x="6055"/>
        <item m="1" x="4809"/>
        <item m="1" x="5808"/>
        <item m="1" x="3874"/>
        <item m="1" x="3675"/>
        <item m="1" x="6186"/>
        <item m="1" x="6505"/>
        <item m="1" x="4074"/>
        <item m="1" x="6046"/>
        <item m="1" x="6058"/>
        <item m="1" x="5629"/>
        <item m="1" x="5465"/>
        <item m="1" x="6326"/>
        <item m="1" x="6363"/>
        <item m="1" x="6266"/>
        <item m="1" x="5589"/>
        <item m="1" x="6220"/>
        <item m="1" x="4646"/>
        <item m="1" x="5979"/>
        <item m="1" x="5771"/>
        <item m="1" x="5606"/>
        <item m="1" x="6284"/>
        <item m="1" x="5290"/>
        <item m="1" x="6074"/>
        <item m="1" x="5736"/>
        <item m="1" x="4307"/>
        <item x="1507"/>
        <item m="1" x="3557"/>
        <item m="1" x="6337"/>
        <item m="1" x="5415"/>
        <item m="1" x="6351"/>
        <item m="1" x="4802"/>
        <item m="1" x="5625"/>
        <item m="1" x="5932"/>
        <item m="1" x="4309"/>
        <item m="1" x="6511"/>
        <item m="1" x="5903"/>
        <item m="1" x="5934"/>
        <item m="1" x="6081"/>
        <item m="1" x="5574"/>
        <item m="1" x="4565"/>
        <item m="1" x="6187"/>
        <item x="1869"/>
        <item m="1" x="5725"/>
        <item m="1" x="4233"/>
        <item m="1" x="6108"/>
        <item m="1" x="6175"/>
        <item m="1" x="6123"/>
        <item m="1" x="4803"/>
        <item m="1" x="5461"/>
        <item x="1822"/>
        <item m="1" x="6310"/>
        <item m="1" x="6349"/>
        <item m="1" x="4800"/>
        <item m="1" x="3875"/>
        <item m="1" x="5376"/>
        <item m="1" x="6415"/>
        <item m="1" x="4826"/>
        <item m="1" x="5970"/>
        <item m="1" x="5125"/>
        <item m="1" x="6361"/>
        <item m="1" x="5825"/>
        <item m="1" x="6522"/>
        <item m="1" x="4796"/>
        <item m="1" x="3520"/>
        <item m="1" x="6048"/>
        <item m="1" x="6041"/>
        <item m="1" x="4804"/>
        <item m="1" x="5963"/>
        <item x="1436"/>
        <item m="1" x="6412"/>
        <item m="1" x="6249"/>
        <item m="1" x="5759"/>
        <item m="1" x="6086"/>
        <item m="1" x="4595"/>
        <item x="1197"/>
        <item m="1" x="6279"/>
        <item m="1" x="3859"/>
        <item m="1" x="6486"/>
        <item m="1" x="6390"/>
        <item x="1511"/>
        <item m="1" x="5636"/>
        <item x="538"/>
        <item m="1" x="5861"/>
        <item m="1" x="5921"/>
        <item m="1" x="6514"/>
        <item m="1" x="6477"/>
        <item m="1" x="4807"/>
        <item m="1" x="4017"/>
        <item m="1" x="5126"/>
        <item m="1" x="6414"/>
        <item m="1" x="5819"/>
        <item m="1" x="4344"/>
        <item m="1" x="5082"/>
        <item m="1" x="5303"/>
        <item m="1" x="5540"/>
        <item m="1" x="5804"/>
        <item x="1561"/>
        <item x="1859"/>
        <item m="1" x="3742"/>
        <item m="1" x="5453"/>
        <item m="1" x="5122"/>
        <item m="1" x="6130"/>
        <item m="1" x="5298"/>
        <item x="1637"/>
        <item m="1" x="5774"/>
        <item m="1" x="5687"/>
        <item m="1" x="6452"/>
        <item m="1" x="5901"/>
        <item x="1851"/>
        <item m="1" x="5191"/>
        <item m="1" x="3554"/>
        <item m="1" x="5452"/>
        <item m="1" x="5696"/>
        <item m="1" x="5795"/>
        <item x="1645"/>
        <item m="1" x="5454"/>
        <item x="1629"/>
        <item m="1" x="5867"/>
        <item m="1" x="6357"/>
        <item m="1" x="4788"/>
        <item m="1" x="4785"/>
        <item m="1" x="4453"/>
        <item x="1987"/>
        <item m="1" x="6079"/>
        <item m="1" x="5811"/>
        <item m="1" x="3677"/>
        <item m="1" x="6542"/>
        <item x="1910"/>
        <item x="880"/>
        <item m="1" x="4995"/>
        <item m="1" x="5547"/>
        <item m="1" x="5458"/>
        <item m="1" x="5299"/>
        <item m="1" x="5534"/>
        <item m="1" x="5416"/>
        <item m="1" x="5803"/>
        <item m="1" x="5548"/>
        <item x="954"/>
        <item m="1" x="5911"/>
        <item m="1" x="6235"/>
        <item m="1" x="5876"/>
        <item m="1" x="6166"/>
        <item m="1" x="3555"/>
        <item m="1" x="5459"/>
        <item m="1" x="6071"/>
        <item x="707"/>
        <item m="1" x="5203"/>
        <item m="1" x="6171"/>
        <item m="1" x="4795"/>
        <item x="2009"/>
        <item m="1" x="4097"/>
        <item m="1" x="5502"/>
        <item m="1" x="5605"/>
        <item x="442"/>
        <item m="1" x="5889"/>
        <item m="1" x="3963"/>
        <item m="1" x="5201"/>
        <item m="1" x="6483"/>
        <item x="489"/>
        <item m="1" x="6000"/>
        <item m="1" x="6011"/>
        <item m="1" x="6353"/>
        <item x="486"/>
        <item m="1" x="5165"/>
        <item m="1" x="5119"/>
        <item m="1" x="5564"/>
        <item m="1" x="5237"/>
        <item m="1" x="3867"/>
        <item m="1" x="5124"/>
        <item m="1" x="4778"/>
        <item x="2643"/>
        <item m="1" x="6453"/>
        <item m="1" x="6137"/>
        <item m="1" x="5460"/>
        <item m="1" x="5595"/>
        <item m="1" x="5202"/>
        <item m="1" x="5949"/>
        <item m="1" x="6227"/>
        <item m="1" x="4394"/>
        <item m="1" x="3863"/>
        <item m="1" x="4636"/>
        <item m="1" x="5694"/>
        <item m="1" x="5824"/>
        <item m="1" x="6324"/>
        <item m="1" x="5918"/>
        <item x="488"/>
        <item m="1" x="5464"/>
        <item m="1" x="5744"/>
        <item x="1639"/>
        <item m="1" x="3965"/>
        <item m="1" x="5566"/>
        <item m="1" x="5848"/>
        <item m="1" x="5714"/>
        <item m="1" x="3655"/>
        <item m="1" x="4776"/>
        <item m="1" x="5840"/>
        <item m="1" x="6257"/>
        <item m="1" x="5843"/>
        <item m="1" x="6343"/>
        <item m="1" x="5780"/>
        <item m="1" x="5567"/>
        <item m="1" x="6135"/>
        <item x="1603"/>
        <item m="1" x="5588"/>
        <item m="1" x="6465"/>
        <item m="1" x="5159"/>
        <item m="1" x="5633"/>
        <item m="1" x="4777"/>
        <item m="1" x="6078"/>
        <item x="884"/>
        <item m="1" x="5897"/>
        <item m="1" x="5462"/>
        <item m="1" x="6488"/>
        <item x="3321"/>
        <item m="1" x="5620"/>
        <item m="1" x="5826"/>
        <item x="616"/>
        <item x="575"/>
        <item m="1" x="5917"/>
        <item m="1" x="6010"/>
        <item m="1" x="3964"/>
        <item m="1" x="5591"/>
        <item x="2640"/>
        <item m="1" x="6500"/>
        <item m="1" x="5966"/>
        <item m="1" x="3671"/>
        <item m="1" x="5635"/>
        <item x="3290"/>
        <item m="1" x="6375"/>
        <item m="1" x="5699"/>
        <item m="1" x="6240"/>
        <item x="477"/>
        <item m="1" x="5865"/>
        <item m="1" x="6134"/>
        <item m="1" x="6283"/>
        <item m="1" x="6059"/>
        <item m="1" x="5715"/>
        <item m="1" x="6383"/>
        <item m="1" x="6062"/>
        <item m="1" x="6273"/>
        <item m="1" x="6056"/>
        <item m="1" x="6478"/>
        <item m="1" x="5285"/>
        <item m="1" x="4437"/>
        <item m="1" x="5494"/>
        <item m="1" x="5863"/>
        <item m="1" x="4689"/>
        <item m="1" x="5373"/>
        <item x="1844"/>
        <item m="1" x="6518"/>
        <item m="1" x="4789"/>
        <item m="1" x="4723"/>
        <item m="1" x="5658"/>
        <item m="1" x="5801"/>
        <item m="1" x="5816"/>
        <item m="1" x="6145"/>
        <item m="1" x="5931"/>
        <item m="1" x="5737"/>
        <item m="1" x="5685"/>
        <item m="1" x="4090"/>
        <item m="1" x="5472"/>
        <item m="1" x="5634"/>
        <item m="1" x="5643"/>
        <item m="1" x="5583"/>
        <item m="1" x="4713"/>
        <item x="728"/>
        <item m="1" x="5493"/>
        <item m="1" x="6202"/>
        <item x="881"/>
        <item m="1" x="5864"/>
        <item x="677"/>
        <item m="1" x="5645"/>
        <item x="45"/>
        <item m="1" x="5856"/>
        <item m="1" x="4801"/>
        <item x="721"/>
        <item m="1" x="6225"/>
        <item m="1" x="3883"/>
        <item m="1" x="5796"/>
        <item m="1" x="3637"/>
        <item m="1" x="4704"/>
        <item m="1" x="4759"/>
        <item m="1" x="6365"/>
        <item m="1" x="5881"/>
        <item m="1" x="4613"/>
        <item m="1" x="5711"/>
        <item m="1" x="4594"/>
        <item m="1" x="6089"/>
        <item x="1894"/>
        <item m="1" x="5879"/>
        <item m="1" x="5647"/>
        <item m="1" x="5631"/>
        <item x="1618"/>
        <item m="1" x="5845"/>
        <item m="1" x="5550"/>
        <item m="1" x="4840"/>
        <item m="1" x="4751"/>
        <item m="1" x="4831"/>
        <item m="1" x="4706"/>
        <item x="2644"/>
        <item m="1" x="5033"/>
        <item m="1" x="6364"/>
        <item x="719"/>
        <item m="1" x="5722"/>
        <item m="1" x="6063"/>
        <item m="1" x="5772"/>
        <item m="1" x="4745"/>
        <item m="1" x="5577"/>
        <item m="1" x="5998"/>
        <item m="1" x="5401"/>
        <item m="1" x="6319"/>
        <item m="1" x="6438"/>
        <item m="1" x="6421"/>
        <item x="917"/>
        <item m="1" x="5596"/>
        <item m="1" x="6282"/>
        <item m="1" x="5700"/>
        <item m="1" x="6002"/>
        <item m="1" x="5302"/>
        <item m="1" x="5936"/>
        <item m="1" x="5765"/>
        <item m="1" x="4101"/>
        <item m="1" x="6475"/>
        <item m="1" x="5292"/>
        <item x="716"/>
        <item m="1" x="6528"/>
        <item m="1" x="6304"/>
        <item m="1" x="5859"/>
        <item m="1" x="6406"/>
        <item m="1" x="4635"/>
        <item m="1" x="4592"/>
        <item m="1" x="5948"/>
        <item m="1" x="6275"/>
        <item m="1" x="5593"/>
        <item m="1" x="6501"/>
        <item m="1" x="6372"/>
        <item m="1" x="6446"/>
        <item m="1" x="4766"/>
        <item m="1" x="4710"/>
        <item m="1" x="6311"/>
        <item m="1" x="6392"/>
        <item m="1" x="5958"/>
        <item m="1" x="6398"/>
        <item m="1" x="5959"/>
        <item x="487"/>
        <item x="3316"/>
        <item m="1" x="5317"/>
        <item m="1" x="5884"/>
        <item x="703"/>
        <item m="1" x="5515"/>
        <item m="1" x="4078"/>
        <item m="1" x="4404"/>
        <item m="1" x="4714"/>
        <item m="1" x="5982"/>
        <item m="1" x="5075"/>
        <item m="1" x="6026"/>
        <item m="1" x="5846"/>
        <item m="1" x="5501"/>
        <item m="1" x="3950"/>
        <item m="1" x="5372"/>
        <item m="1" x="3997"/>
        <item m="1" x="4767"/>
        <item m="1" x="6388"/>
        <item x="1650"/>
        <item x="1016"/>
        <item m="1" x="6172"/>
        <item m="1" x="5145"/>
        <item m="1" x="3519"/>
        <item m="1" x="6270"/>
        <item m="1" x="5689"/>
        <item m="1" x="5870"/>
        <item m="1" x="5083"/>
        <item m="1" x="4236"/>
        <item m="1" x="5950"/>
        <item m="1" x="5674"/>
        <item m="1" x="5686"/>
        <item x="722"/>
        <item m="1" x="5954"/>
        <item m="1" x="4728"/>
        <item m="1" x="6031"/>
        <item m="1" x="6373"/>
        <item m="1" x="5619"/>
        <item m="1" x="5001"/>
        <item m="1" x="5211"/>
        <item m="1" x="5652"/>
        <item m="1" x="5265"/>
        <item m="1" x="4285"/>
        <item m="1" x="6003"/>
        <item x="615"/>
        <item m="1" x="6251"/>
        <item m="1" x="5141"/>
        <item m="1" x="6103"/>
        <item m="1" x="4305"/>
        <item m="1" x="5773"/>
        <item m="1" x="4103"/>
        <item m="1" x="5030"/>
        <item m="1" x="4742"/>
        <item m="1" x="6085"/>
        <item m="1" x="5768"/>
        <item m="1" x="5127"/>
        <item m="1" x="5717"/>
        <item m="1" x="5655"/>
        <item m="1" x="6188"/>
        <item m="1" x="6150"/>
        <item m="1" x="4698"/>
        <item m="1" x="5463"/>
        <item m="1" x="6083"/>
        <item m="1" x="6138"/>
        <item m="1" x="5457"/>
        <item x="482"/>
        <item m="1" x="3870"/>
        <item x="44"/>
        <item m="1" x="5829"/>
        <item m="1" x="6285"/>
        <item m="1" x="5679"/>
        <item m="1" x="5896"/>
        <item m="1" x="6482"/>
        <item m="1" x="6082"/>
        <item m="1" x="5456"/>
        <item x="731"/>
        <item m="1" x="6178"/>
        <item m="1" x="5491"/>
        <item m="1" x="5286"/>
        <item m="1" x="4075"/>
        <item m="1" x="6036"/>
        <item m="1" x="4263"/>
        <item m="1" x="5835"/>
        <item m="1" x="5960"/>
        <item x="1989"/>
        <item x="916"/>
        <item m="1" x="4481"/>
        <item m="1" x="5160"/>
        <item x="3317"/>
        <item x="732"/>
        <item m="1" x="5557"/>
        <item x="50"/>
        <item m="1" x="6340"/>
        <item m="1" x="6492"/>
        <item m="1" x="5590"/>
        <item m="1" x="6009"/>
        <item m="1" x="6539"/>
        <item m="1" x="5342"/>
        <item m="1" x="3521"/>
        <item m="1" x="3544"/>
        <item x="459"/>
        <item m="1" x="5378"/>
        <item m="1" x="4593"/>
        <item m="1" x="6456"/>
        <item m="1" x="6484"/>
        <item m="1" x="6140"/>
        <item x="650"/>
        <item x="714"/>
        <item m="1" x="6029"/>
        <item m="1" x="4765"/>
        <item m="1" x="4815"/>
        <item m="1" x="5882"/>
        <item m="1" x="5675"/>
        <item x="88"/>
        <item m="1" x="5617"/>
        <item m="1" x="4709"/>
        <item m="1" x="5812"/>
        <item x="1824"/>
        <item m="1" x="6393"/>
        <item x="953"/>
        <item m="1" x="5406"/>
        <item m="1" x="6536"/>
        <item m="1" x="6192"/>
        <item x="718"/>
        <item m="1" x="5563"/>
        <item m="1" x="3517"/>
        <item m="1" x="6395"/>
        <item m="1" x="3522"/>
        <item m="1" x="5656"/>
        <item m="1" x="6168"/>
        <item m="1" x="5490"/>
        <item m="1" x="5616"/>
        <item m="1" x="5294"/>
        <item m="1" x="6006"/>
        <item m="1" x="3666"/>
        <item x="73"/>
        <item m="1" x="6291"/>
        <item m="1" x="6104"/>
        <item m="1" x="4758"/>
        <item m="1" x="4757"/>
        <item x="1017"/>
        <item m="1" x="4282"/>
        <item x="600"/>
        <item x="3314"/>
        <item m="1" x="6327"/>
        <item m="1" x="6157"/>
        <item m="1" x="5906"/>
        <item m="1" x="3855"/>
        <item m="1" x="6163"/>
        <item m="1" x="6355"/>
        <item m="1" x="5542"/>
        <item m="1" x="5925"/>
        <item m="1" x="5613"/>
        <item m="1" x="5973"/>
        <item m="1" x="4721"/>
        <item m="1" x="5409"/>
        <item m="1" x="6442"/>
        <item m="1" x="5678"/>
        <item m="1" x="5940"/>
        <item m="1" x="4719"/>
        <item m="1" x="3518"/>
        <item x="72"/>
        <item m="1" x="6025"/>
        <item m="1" x="5327"/>
        <item x="1280"/>
        <item m="1" x="5850"/>
        <item m="1" x="6043"/>
        <item x="484"/>
        <item m="1" x="4772"/>
        <item m="1" x="6450"/>
        <item m="1" x="5448"/>
        <item m="1" x="5868"/>
        <item m="1" x="5644"/>
        <item m="1" x="4073"/>
        <item m="1" x="6400"/>
        <item m="1" x="5821"/>
        <item m="1" x="5690"/>
        <item m="1" x="5873"/>
        <item m="1" x="6544"/>
        <item m="1" x="4264"/>
        <item m="1" x="5886"/>
        <item x="702"/>
        <item m="1" x="5128"/>
        <item m="1" x="5890"/>
        <item x="1888"/>
        <item m="1" x="3523"/>
        <item m="1" x="4474"/>
        <item m="1" x="5569"/>
        <item m="1" x="4976"/>
        <item m="1" x="6292"/>
        <item m="1" x="5597"/>
        <item m="1" x="5555"/>
        <item m="1" x="6459"/>
        <item m="1" x="5594"/>
        <item x="882"/>
        <item m="1" x="6180"/>
        <item m="1" x="6362"/>
        <item m="1" x="6295"/>
        <item m="1" x="6338"/>
        <item m="1" x="5677"/>
        <item m="1" x="4296"/>
        <item m="1" x="5793"/>
        <item m="1" x="5706"/>
        <item m="1" x="5842"/>
        <item x="717"/>
        <item m="1" x="5688"/>
        <item m="1" x="5002"/>
        <item m="1" x="5753"/>
        <item m="1" x="6151"/>
        <item m="1" x="5684"/>
        <item m="1" x="6474"/>
        <item m="1" x="5874"/>
        <item m="1" x="5805"/>
        <item m="1" x="6509"/>
        <item m="1" x="4724"/>
        <item m="1" x="4265"/>
        <item m="1" x="4303"/>
        <item m="1" x="6308"/>
        <item m="1" x="5585"/>
        <item m="1" x="6367"/>
        <item m="1" x="6333"/>
        <item m="1" x="6030"/>
        <item m="1" x="6161"/>
        <item m="1" x="6107"/>
        <item m="1" x="5657"/>
        <item m="1" x="5470"/>
        <item m="1" x="5853"/>
        <item m="1" x="6259"/>
        <item m="1" x="4738"/>
        <item x="614"/>
        <item m="1" x="5926"/>
        <item m="1" x="4460"/>
        <item m="1" x="6387"/>
        <item m="1" x="5533"/>
        <item m="1" x="4731"/>
        <item m="1" x="6480"/>
        <item m="1" x="5408"/>
        <item x="483"/>
        <item m="1" x="5282"/>
        <item m="1" x="5933"/>
        <item m="1" x="4727"/>
        <item m="1" x="5455"/>
        <item m="1" x="4605"/>
        <item m="1" x="4707"/>
        <item x="725"/>
        <item m="1" x="6321"/>
        <item m="1" x="4764"/>
        <item x="720"/>
        <item m="1" x="6360"/>
        <item m="1" x="6032"/>
        <item m="1" x="5937"/>
        <item m="1" x="5639"/>
        <item m="1" x="5604"/>
        <item x="90"/>
        <item m="1" x="6394"/>
        <item m="1" x="6209"/>
        <item m="1" x="4754"/>
        <item m="1" x="5757"/>
        <item m="1" x="4255"/>
        <item x="1013"/>
        <item m="1" x="5407"/>
        <item m="1" x="3801"/>
        <item m="1" x="5705"/>
        <item m="1" x="6503"/>
        <item x="926"/>
        <item m="1" x="5611"/>
        <item m="1" x="3891"/>
        <item m="1" x="6254"/>
        <item m="1" x="5913"/>
        <item m="1" x="5672"/>
        <item m="1" x="6102"/>
        <item m="1" x="6281"/>
        <item m="1" x="5607"/>
        <item m="1" x="6463"/>
        <item m="1" x="5851"/>
        <item m="1" x="5763"/>
        <item m="1" x="6300"/>
        <item x="375"/>
        <item x="460"/>
        <item m="1" x="5716"/>
        <item m="1" x="5800"/>
        <item m="1" x="6301"/>
        <item m="1" x="5985"/>
        <item m="1" x="6288"/>
        <item m="1" x="6114"/>
        <item m="1" x="5642"/>
        <item m="1" x="6033"/>
        <item m="1" x="4752"/>
        <item m="1" x="4733"/>
        <item m="1" x="5708"/>
        <item m="1" x="6305"/>
        <item m="1" x="6517"/>
        <item m="1" x="5571"/>
        <item m="1" x="5855"/>
        <item m="1" x="6222"/>
        <item m="1" x="5849"/>
        <item m="1" x="4712"/>
        <item x="715"/>
        <item m="1" x="6504"/>
        <item x="967"/>
        <item m="1" x="6320"/>
        <item m="1" x="5789"/>
        <item m="1" x="3866"/>
        <item m="1" x="4482"/>
        <item m="1" x="4722"/>
        <item m="1" x="4753"/>
        <item m="1" x="6481"/>
        <item m="1" x="6132"/>
        <item x="648"/>
        <item m="1" x="4739"/>
        <item m="1" x="5790"/>
        <item x="376"/>
        <item m="1" x="5986"/>
        <item m="1" x="6215"/>
        <item m="1" x="6068"/>
        <item m="1" x="5608"/>
        <item m="1" x="5839"/>
        <item m="1" x="5750"/>
        <item m="1" x="5168"/>
        <item m="1" x="4763"/>
        <item x="723"/>
        <item m="1" x="6072"/>
        <item m="1" x="5755"/>
        <item m="1" x="5641"/>
        <item x="727"/>
        <item x="730"/>
        <item m="1" x="6211"/>
        <item m="1" x="4720"/>
        <item m="1" x="6223"/>
        <item m="1" x="6095"/>
        <item m="1" x="4715"/>
        <item m="1" x="6271"/>
        <item m="1" x="6075"/>
        <item m="1" x="5709"/>
        <item x="27"/>
        <item m="1" x="4743"/>
        <item m="1" x="4395"/>
        <item x="461"/>
        <item m="1" x="5779"/>
        <item m="1" x="6118"/>
        <item x="930"/>
        <item m="1" x="4079"/>
        <item m="1" x="5558"/>
        <item m="1" x="6506"/>
        <item x="706"/>
        <item m="1" x="6139"/>
        <item m="1" x="6526"/>
        <item m="1" x="4717"/>
        <item m="1" x="5241"/>
        <item x="473"/>
        <item m="1" x="3800"/>
        <item x="696"/>
        <item m="1" x="5195"/>
        <item x="632"/>
        <item m="1" x="5905"/>
        <item m="1" x="5258"/>
        <item m="1" x="5492"/>
        <item m="1" x="6447"/>
        <item m="1" x="3928"/>
        <item m="1" x="5726"/>
        <item m="1" x="5576"/>
        <item m="1" x="5653"/>
        <item m="1" x="5402"/>
        <item m="1" x="6264"/>
        <item x="662"/>
        <item m="1" x="6444"/>
        <item m="1" x="6092"/>
        <item m="1" x="5847"/>
        <item m="1" x="4972"/>
        <item m="1" x="6097"/>
        <item m="1" x="5649"/>
        <item m="1" x="4484"/>
        <item m="1" x="6258"/>
        <item m="1" x="6111"/>
        <item m="1" x="6044"/>
        <item m="1" x="3688"/>
        <item m="1" x="5495"/>
        <item m="1" x="4761"/>
        <item x="925"/>
        <item m="1" x="4726"/>
        <item m="1" x="6458"/>
        <item m="1" x="5967"/>
        <item m="1" x="5935"/>
        <item x="946"/>
        <item x="193"/>
        <item m="1" x="5562"/>
        <item m="1" x="6502"/>
        <item m="1" x="6039"/>
        <item m="1" x="5059"/>
        <item m="1" x="5651"/>
        <item m="1" x="6369"/>
        <item m="1" x="5375"/>
        <item m="1" x="4244"/>
        <item m="1" x="5267"/>
        <item m="1" x="6065"/>
        <item m="1" x="5980"/>
        <item m="1" x="4266"/>
        <item m="1" x="6487"/>
        <item m="1" x="5758"/>
        <item m="1" x="5268"/>
        <item m="1" x="5989"/>
        <item m="1" x="5266"/>
        <item m="1" x="6182"/>
        <item m="1" x="3669"/>
        <item m="1" x="3516"/>
        <item m="1" x="5764"/>
        <item m="1" x="4483"/>
        <item m="1" x="4238"/>
        <item m="1" x="6328"/>
        <item x="458"/>
        <item m="1" x="5471"/>
        <item m="1" x="6219"/>
        <item m="1" x="4756"/>
        <item m="1" x="3914"/>
        <item m="1" x="5999"/>
        <item m="1" x="5586"/>
        <item m="1" x="4978"/>
        <item m="1" x="5822"/>
        <item m="1" x="5872"/>
        <item m="1" x="4702"/>
        <item m="1" x="3798"/>
        <item m="1" x="6523"/>
        <item x="17"/>
        <item m="1" x="5603"/>
        <item m="1" x="5648"/>
        <item m="1" x="4705"/>
        <item m="1" x="5587"/>
        <item m="1" x="6344"/>
        <item m="1" x="6146"/>
        <item m="1" x="6244"/>
        <item m="1" x="6189"/>
        <item m="1" x="5310"/>
        <item m="1" x="6359"/>
        <item m="1" x="4977"/>
        <item m="1" x="5751"/>
        <item m="1" x="6226"/>
        <item m="1" x="5284"/>
        <item m="1" x="6106"/>
        <item m="1" x="6342"/>
        <item m="1" x="5965"/>
        <item m="1" x="6247"/>
        <item m="1" x="5914"/>
        <item m="1" x="5143"/>
        <item m="1" x="6424"/>
        <item m="1" x="4232"/>
        <item m="1" x="6296"/>
        <item m="1" x="6322"/>
        <item x="2294"/>
        <item m="1" x="5827"/>
        <item x="708"/>
        <item m="1" x="5532"/>
        <item x="2231"/>
        <item x="2233"/>
        <item x="2487"/>
        <item m="1" x="5875"/>
        <item x="2671"/>
        <item m="1" x="5508"/>
        <item m="1" x="4882"/>
        <item m="1" x="6191"/>
        <item x="2626"/>
        <item m="1" x="6471"/>
        <item x="2321"/>
        <item m="1" x="6449"/>
        <item m="1" x="5977"/>
        <item x="3300"/>
        <item m="1" x="5927"/>
        <item m="1" x="4226"/>
        <item m="1" x="6110"/>
        <item m="1" x="6267"/>
        <item m="1" x="5721"/>
        <item m="1" x="5366"/>
        <item x="1555"/>
        <item x="2923"/>
        <item x="3174"/>
        <item x="2928"/>
        <item x="2925"/>
        <item x="2924"/>
        <item x="2930"/>
        <item x="2926"/>
        <item x="2297"/>
        <item x="2298"/>
        <item x="2295"/>
        <item x="2437"/>
        <item x="1430"/>
        <item x="1564"/>
        <item x="1391"/>
        <item x="1559"/>
        <item x="1392"/>
        <item x="1563"/>
        <item x="1560"/>
        <item x="1567"/>
        <item x="1556"/>
        <item x="627"/>
        <item x="1558"/>
        <item x="1557"/>
        <item x="619"/>
        <item x="618"/>
        <item x="625"/>
        <item x="635"/>
        <item x="631"/>
        <item x="609"/>
        <item x="443"/>
        <item x="1562"/>
        <item x="630"/>
        <item x="478"/>
        <item x="620"/>
        <item x="444"/>
        <item x="611"/>
        <item x="623"/>
        <item x="479"/>
        <item x="612"/>
        <item x="628"/>
        <item x="633"/>
        <item x="629"/>
        <item x="626"/>
        <item x="621"/>
        <item x="624"/>
        <item x="622"/>
        <item x="613"/>
        <item x="610"/>
        <item x="634"/>
        <item x="617"/>
        <item x="2929"/>
        <item m="1" x="6142"/>
        <item m="1" x="5961"/>
        <item m="1" x="6049"/>
        <item m="1" x="6499"/>
        <item m="1" x="5991"/>
        <item m="1" x="5602"/>
        <item m="1" x="6491"/>
        <item m="1" x="4346"/>
        <item m="1" x="5161"/>
        <item m="1" x="6391"/>
        <item m="1" x="4237"/>
        <item m="1" x="4278"/>
        <item x="3251"/>
        <item m="1" x="3683"/>
        <item m="1" x="4403"/>
        <item m="1" x="5192"/>
        <item m="1" x="5496"/>
        <item m="1" x="4107"/>
        <item m="1" x="6430"/>
        <item m="1" x="5497"/>
        <item m="1" x="5193"/>
        <item m="1" x="5194"/>
        <item m="1" x="3813"/>
        <item m="1" x="3823"/>
        <item m="1" x="3822"/>
        <item m="1" x="5328"/>
        <item m="1" x="5329"/>
        <item m="1" x="5742"/>
        <item m="1" x="4110"/>
        <item m="1" x="4003"/>
        <item m="1" x="3803"/>
        <item m="1" x="4156"/>
        <item m="1" x="5206"/>
        <item m="1" x="5330"/>
        <item m="1" x="5331"/>
        <item m="1" x="4206"/>
        <item x="1393"/>
        <item x="2299"/>
        <item m="1" x="3512"/>
        <item m="1" x="4497"/>
        <item m="1" x="6278"/>
        <item m="1" x="6213"/>
        <item x="2114"/>
        <item m="1" x="6053"/>
        <item m="1" x="6233"/>
        <item m="1" x="5766"/>
        <item m="1" x="5147"/>
        <item m="1" x="5513"/>
        <item x="2468"/>
        <item x="1434"/>
        <item m="1" x="5516"/>
        <item m="1" x="4773"/>
        <item m="1" x="4697"/>
        <item m="1" x="6313"/>
        <item m="1" x="5841"/>
        <item m="1" x="6403"/>
        <item m="1" x="6196"/>
        <item m="1" x="4334"/>
        <item m="1" x="3749"/>
        <item m="1" x="5229"/>
        <item m="1" x="5062"/>
        <item m="1" x="4439"/>
        <item m="1" x="3752"/>
        <item m="1" x="6417"/>
        <item m="1" x="5691"/>
        <item x="3297"/>
        <item m="1" x="4250"/>
        <item m="1" x="4468"/>
        <item m="1" x="4620"/>
        <item m="1" x="5437"/>
        <item m="1" x="5523"/>
        <item m="1" x="6131"/>
        <item m="1" x="4679"/>
        <item m="1" x="5438"/>
        <item x="3304"/>
        <item m="1" x="5244"/>
        <item m="1" x="6384"/>
        <item m="1" x="4405"/>
        <item m="1" x="4648"/>
        <item m="1" x="5521"/>
        <item m="1" x="5524"/>
        <item x="3318"/>
        <item m="1" x="4573"/>
        <item m="1" x="5441"/>
        <item m="1" x="5442"/>
        <item m="1" x="6007"/>
        <item m="1" x="6237"/>
        <item m="1" x="6451"/>
        <item m="1" x="5782"/>
        <item m="1" x="5984"/>
        <item m="1" x="4667"/>
        <item m="1" x="5446"/>
        <item m="1" x="4790"/>
        <item m="1" x="4845"/>
        <item m="1" x="4881"/>
        <item m="1" x="5947"/>
        <item m="1" x="5530"/>
        <item m="1" x="4015"/>
        <item m="1" x="3832"/>
        <item m="1" x="3830"/>
        <item x="700"/>
        <item m="1" x="5449"/>
        <item x="2479"/>
        <item m="1" x="4775"/>
        <item m="1" x="5450"/>
        <item m="1" x="5637"/>
        <item m="1" x="4732"/>
        <item m="1" x="5945"/>
        <item m="1" x="5807"/>
        <item m="1" x="5638"/>
        <item m="1" x="6495"/>
        <item m="1" x="5451"/>
        <item m="1" x="4749"/>
        <item m="1" x="5974"/>
        <item x="701"/>
        <item x="2480"/>
        <item x="87"/>
        <item m="1" x="4838"/>
        <item x="704"/>
        <item m="1" x="4791"/>
        <item x="705"/>
        <item x="1641"/>
        <item m="1" x="5640"/>
        <item m="1" x="6034"/>
        <item x="1696"/>
        <item x="1701"/>
        <item x="3036"/>
        <item x="2552"/>
        <item x="801"/>
        <item x="1714"/>
        <item m="1" x="6265"/>
        <item m="1" x="5720"/>
        <item m="1" x="6399"/>
        <item m="1" x="5474"/>
        <item m="1" x="6507"/>
        <item m="1" x="6004"/>
        <item m="1" x="6287"/>
        <item m="1" x="4744"/>
        <item m="1" x="4781"/>
        <item m="1" x="5730"/>
        <item m="1" x="5478"/>
        <item x="1984"/>
        <item x="3087"/>
        <item x="2739"/>
        <item x="2744"/>
        <item m="1" x="4608"/>
        <item x="1008"/>
        <item m="1" x="5370"/>
        <item m="1" x="5374"/>
        <item m="1" x="3624"/>
        <item x="2946"/>
        <item m="1" x="4746"/>
        <item m="1" x="5000"/>
        <item m="1" x="5661"/>
        <item m="1" x="5170"/>
        <item m="1" x="5171"/>
        <item m="1" x="5172"/>
        <item m="1" x="5311"/>
        <item m="1" x="3694"/>
        <item m="1" x="3687"/>
        <item m="1" x="5487"/>
        <item m="1" x="4624"/>
        <item m="1" x="4673"/>
        <item m="1" x="4961"/>
        <item m="1" x="5662"/>
        <item m="1" x="5312"/>
        <item m="1" x="5018"/>
        <item m="1" x="6027"/>
        <item m="1" x="5019"/>
        <item m="1" x="4525"/>
        <item m="1" x="5313"/>
        <item m="1" x="3689"/>
        <item m="1" x="5020"/>
        <item m="1" x="4819"/>
        <item m="1" x="5663"/>
        <item m="1" x="5486"/>
        <item m="1" x="5314"/>
        <item m="1" x="3693"/>
        <item m="1" x="5315"/>
        <item m="1" x="3953"/>
        <item m="1" x="5403"/>
        <item m="1" x="5488"/>
        <item m="1" x="5404"/>
        <item m="1" x="5405"/>
        <item m="1" x="5316"/>
        <item m="1" x="5318"/>
        <item m="1" x="3690"/>
        <item m="1" x="5664"/>
        <item m="1" x="5319"/>
        <item m="1" x="5665"/>
        <item m="1" x="3695"/>
        <item m="1" x="5326"/>
        <item m="1" x="5300"/>
        <item m="1" x="4879"/>
        <item m="1" x="5506"/>
        <item m="1" x="4438"/>
        <item m="1" x="4782"/>
        <item m="1" x="5038"/>
        <item m="1" x="5507"/>
        <item m="1" x="4847"/>
        <item m="1" x="5923"/>
        <item m="1" x="6298"/>
        <item m="1" x="6170"/>
        <item m="1" x="6274"/>
        <item m="1" x="6493"/>
        <item m="1" x="5713"/>
        <item m="1" x="6378"/>
        <item m="1" x="5752"/>
        <item m="1" x="5762"/>
        <item m="1" x="6248"/>
        <item m="1" x="6052"/>
        <item m="1" x="6286"/>
        <item m="1" x="6510"/>
        <item m="1" x="6520"/>
        <item m="1" x="6467"/>
        <item m="1" x="5618"/>
        <item m="1" x="6037"/>
        <item m="1" x="6280"/>
        <item m="1" x="5830"/>
        <item m="1" x="5428"/>
        <item m="1" x="5429"/>
        <item x="2333"/>
        <item m="1" x="5217"/>
        <item m="1" x="5667"/>
        <item m="1" x="5518"/>
        <item m="1" x="4330"/>
        <item m="1" x="4331"/>
        <item m="1" x="5632"/>
        <item m="1" x="5227"/>
        <item m="1" x="5060"/>
        <item m="1" x="4486"/>
        <item m="1" x="5228"/>
        <item m="1" x="4461"/>
        <item m="1" x="5520"/>
        <item m="1" x="5621"/>
        <item m="1" x="5624"/>
        <item m="1" x="5622"/>
        <item x="1470"/>
        <item m="1" x="5668"/>
        <item x="533"/>
        <item m="1" x="5669"/>
        <item m="1" x="5670"/>
        <item m="1" x="5184"/>
        <item m="1" x="5077"/>
        <item m="1" x="4290"/>
        <item m="1" x="5345"/>
        <item m="1" x="5078"/>
        <item m="1" x="5079"/>
        <item m="1" x="4467"/>
        <item m="1" x="4466"/>
        <item m="1" x="4699"/>
        <item m="1" x="4093"/>
        <item m="1" x="4092"/>
        <item m="1" x="4337"/>
        <item m="1" x="4336"/>
        <item m="1" x="5350"/>
        <item m="1" x="5247"/>
        <item m="1" x="5081"/>
        <item x="1566"/>
        <item m="1" x="4124"/>
        <item x="636"/>
        <item x="637"/>
        <item x="74"/>
        <item x="638"/>
        <item x="75"/>
        <item x="639"/>
        <item x="76"/>
        <item x="640"/>
        <item x="3324"/>
        <item m="1" x="5086"/>
        <item m="1" x="5087"/>
        <item x="3328"/>
        <item m="1" x="3782"/>
        <item m="1" x="5088"/>
        <item x="3325"/>
        <item m="1" x="4393"/>
        <item m="1" x="5089"/>
        <item x="3326"/>
        <item m="1" x="4083"/>
        <item m="1" x="5103"/>
        <item m="1" x="5527"/>
        <item m="1" x="5444"/>
        <item m="1" x="4586"/>
        <item m="1" x="5249"/>
        <item x="1971"/>
        <item m="1" x="5104"/>
        <item m="1" x="5445"/>
        <item m="1" x="5105"/>
        <item m="1" x="5250"/>
        <item m="1" x="5528"/>
        <item m="1" x="4114"/>
        <item m="1" x="4629"/>
        <item m="1" x="3799"/>
        <item m="1" x="5360"/>
        <item m="1" x="5254"/>
        <item m="1" x="5040"/>
        <item m="1" x="5255"/>
        <item x="1723"/>
        <item m="1" x="4342"/>
        <item x="1702"/>
        <item x="2557"/>
        <item x="808"/>
        <item x="145"/>
        <item m="1" x="5676"/>
        <item x="1893"/>
        <item x="2712"/>
        <item x="2717"/>
        <item x="1009"/>
        <item x="3091"/>
        <item x="1996"/>
        <item m="1" x="4817"/>
        <item x="2015"/>
        <item x="2017"/>
        <item m="1" x="5427"/>
        <item x="641"/>
        <item m="1" x="5032"/>
        <item m="1" x="5035"/>
        <item x="2537"/>
        <item m="1" x="5320"/>
        <item m="1" x="5042"/>
        <item m="1" x="5431"/>
        <item m="1" x="4162"/>
        <item m="1" x="5041"/>
        <item m="1" x="5511"/>
        <item m="1" x="5218"/>
        <item m="1" x="5219"/>
        <item m="1" x="4190"/>
        <item m="1" x="5043"/>
        <item m="1" x="5514"/>
        <item m="1" x="5044"/>
        <item m="1" x="5220"/>
        <item x="1141"/>
        <item x="293"/>
        <item m="1" x="4966"/>
        <item m="1" x="5434"/>
        <item m="1" x="5344"/>
        <item m="1" x="5072"/>
        <item m="1" x="5435"/>
        <item x="3298"/>
        <item m="1" x="5436"/>
        <item m="1" x="5074"/>
        <item m="1" x="4658"/>
        <item m="1" x="5240"/>
        <item m="1" x="4970"/>
        <item m="1" x="4691"/>
        <item m="1" x="5439"/>
        <item m="1" x="5440"/>
        <item m="1" x="4616"/>
        <item m="1" x="4251"/>
        <item x="2759"/>
        <item m="1" x="5525"/>
        <item m="1" x="3601"/>
        <item m="1" x="3558"/>
        <item m="1" x="3559"/>
        <item m="1" x="3602"/>
        <item m="1" x="3560"/>
        <item m="1" x="3588"/>
        <item m="1" x="3561"/>
        <item m="1" x="3524"/>
        <item m="1" x="3534"/>
        <item m="1" x="4455"/>
        <item m="1" x="3531"/>
        <item m="1" x="3537"/>
        <item m="1" x="3525"/>
        <item m="1" x="3530"/>
        <item m="1" x="3603"/>
        <item m="1" x="3573"/>
        <item m="1" x="4979"/>
        <item m="1" x="4410"/>
        <item m="1" x="3594"/>
        <item m="1" x="3918"/>
        <item m="1" x="3604"/>
        <item m="1" x="3595"/>
        <item m="1" x="3598"/>
        <item m="1" x="4940"/>
        <item m="1" x="3583"/>
        <item m="1" x="4906"/>
        <item m="1" x="5379"/>
        <item m="1" x="5380"/>
        <item m="1" x="5381"/>
        <item m="1" x="5382"/>
        <item m="1" x="5482"/>
        <item m="1" x="5383"/>
        <item m="1" x="5384"/>
        <item m="1" x="5385"/>
        <item m="1" x="5483"/>
        <item m="1" x="5386"/>
        <item m="1" x="5480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481"/>
        <item m="1" x="5397"/>
        <item m="1" x="5398"/>
        <item m="1" x="5399"/>
        <item x="200"/>
        <item m="1" x="5400"/>
        <item x="1778"/>
        <item m="1" x="5362"/>
        <item m="1" x="4601"/>
        <item m="1" x="5535"/>
        <item m="1" x="5475"/>
        <item x="2601"/>
        <item m="1" x="3658"/>
        <item m="1" x="3659"/>
        <item m="1" x="4935"/>
        <item m="1" x="4853"/>
        <item m="1" x="5131"/>
        <item m="1" x="5132"/>
        <item m="1" x="5133"/>
        <item m="1" x="5134"/>
        <item m="1" x="5135"/>
        <item m="1" x="5136"/>
        <item m="1" x="5137"/>
        <item x="3092"/>
        <item x="1012"/>
        <item m="1" x="5139"/>
        <item m="1" x="5140"/>
        <item x="3096"/>
        <item m="1" x="4886"/>
        <item m="1" x="5417"/>
        <item m="1" x="5418"/>
        <item m="1" x="5419"/>
        <item m="1" x="5420"/>
        <item m="1" x="5421"/>
        <item m="1" x="5422"/>
        <item x="2430"/>
        <item m="1" x="5423"/>
        <item m="1" x="5426"/>
        <item m="1" x="5519"/>
        <item m="1" x="5531"/>
        <item m="1" x="4021"/>
        <item m="1" x="4019"/>
        <item m="1" x="4023"/>
        <item m="1" x="3927"/>
        <item m="1" x="3924"/>
        <item m="1" x="3926"/>
        <item m="1" x="3923"/>
        <item m="1" x="3925"/>
        <item m="1" x="4353"/>
        <item m="1" x="5517"/>
        <item m="1" x="4880"/>
        <item x="2564"/>
        <item x="1715"/>
        <item m="1" x="4599"/>
        <item x="2565"/>
        <item x="813"/>
        <item x="1695"/>
        <item x="968"/>
        <item x="2659"/>
        <item x="3159"/>
        <item m="1" x="5364"/>
        <item m="1" x="3727"/>
        <item m="1" x="3724"/>
        <item m="1" x="5543"/>
        <item m="1" x="3819"/>
        <item m="1" x="5411"/>
        <item m="1" x="4280"/>
        <item m="1" x="5412"/>
        <item m="1" x="5413"/>
        <item m="1" x="5414"/>
        <item m="1" x="4677"/>
        <item m="1" x="4326"/>
        <item m="1" x="4002"/>
        <item m="1" x="4639"/>
        <item m="1" x="5037"/>
        <item m="1" x="5148"/>
        <item m="1" x="5149"/>
        <item m="1" x="5150"/>
        <item m="1" x="5151"/>
        <item m="1" x="5352"/>
        <item m="1" x="5353"/>
        <item m="1" x="5355"/>
        <item m="1" x="3892"/>
        <item m="1" x="4848"/>
        <item m="1" x="4943"/>
        <item m="1" x="5552"/>
        <item m="1" x="5553"/>
        <item m="1" x="5554"/>
        <item m="1" x="5146"/>
        <item m="1" x="4986"/>
        <item m="1" x="3639"/>
        <item x="1945"/>
        <item m="1" x="3729"/>
        <item x="1306"/>
        <item m="1" x="3704"/>
        <item x="2293"/>
        <item x="447"/>
        <item m="1" x="3725"/>
        <item m="1" x="3726"/>
        <item m="1" x="5036"/>
        <item m="1" x="4810"/>
        <item m="1" x="3732"/>
        <item m="1" x="5039"/>
        <item m="1" x="5430"/>
        <item m="1" x="5221"/>
        <item m="1" x="5432"/>
        <item m="1" x="5045"/>
        <item m="1" x="5046"/>
        <item m="1" x="5048"/>
        <item m="1" x="5049"/>
        <item m="1" x="5050"/>
        <item m="1" x="5433"/>
        <item x="2991"/>
        <item m="1" x="5051"/>
        <item x="2948"/>
        <item m="1" x="5232"/>
        <item x="568"/>
        <item m="1" x="5351"/>
        <item m="1" x="5361"/>
        <item m="1" x="5447"/>
        <item m="1" x="5113"/>
        <item m="1" x="3968"/>
        <item m="1" x="5256"/>
        <item m="1" x="5257"/>
        <item m="1" x="4024"/>
        <item m="1" x="5259"/>
        <item m="1" x="5260"/>
        <item m="1" x="5261"/>
        <item m="1" x="4053"/>
        <item x="1983"/>
        <item m="1" x="4056"/>
        <item x="2010"/>
        <item x="1213"/>
        <item m="1" x="3751"/>
        <item m="1" x="3739"/>
        <item m="1" x="3743"/>
        <item m="1" x="4676"/>
        <item m="1" x="3750"/>
        <item m="1" x="4487"/>
        <item m="1" x="3740"/>
        <item m="1" x="4678"/>
        <item m="1" x="5063"/>
        <item m="1" x="4121"/>
        <item m="1" x="4987"/>
        <item x="673"/>
        <item x="18"/>
        <item x="2184"/>
        <item x="2876"/>
        <item x="1220"/>
        <item m="1" x="4508"/>
        <item x="2852"/>
        <item x="2878"/>
        <item m="1" x="4672"/>
        <item m="1" x="4512"/>
        <item x="2197"/>
        <item m="1" x="4988"/>
        <item m="1" x="3944"/>
        <item m="1" x="4100"/>
        <item x="2181"/>
        <item m="1" x="5152"/>
        <item m="1" x="5153"/>
        <item m="1" x="4989"/>
        <item m="1" x="4480"/>
        <item x="1217"/>
        <item m="1" x="5154"/>
        <item x="2877"/>
        <item x="2160"/>
        <item x="1222"/>
        <item m="1" x="5305"/>
        <item m="1" x="4990"/>
        <item m="1" x="4208"/>
        <item m="1" x="5212"/>
        <item m="1" x="4783"/>
        <item m="1" x="5213"/>
        <item x="2021"/>
        <item m="1" x="5346"/>
        <item m="1" x="5347"/>
        <item m="1" x="5348"/>
        <item m="1" x="5349"/>
        <item m="1" x="4291"/>
        <item x="642"/>
        <item m="1" x="5142"/>
        <item m="1" x="4725"/>
        <item m="1" x="4974"/>
        <item x="1104"/>
        <item x="1026"/>
        <item m="1" x="5309"/>
        <item m="1" x="4843"/>
        <item m="1" x="3682"/>
        <item m="1" x="5166"/>
        <item m="1" x="4433"/>
        <item x="988"/>
        <item x="2707"/>
        <item m="1" x="4534"/>
        <item m="1" x="4400"/>
        <item x="2708"/>
        <item m="1" x="5021"/>
        <item m="1" x="5321"/>
        <item m="1" x="5173"/>
        <item m="1" x="4546"/>
        <item m="1" x="4660"/>
        <item m="1" x="4930"/>
        <item m="1" x="5322"/>
        <item m="1" x="3696"/>
        <item m="1" x="4630"/>
        <item m="1" x="4799"/>
        <item m="1" x="5022"/>
        <item m="1" x="4668"/>
        <item m="1" x="5174"/>
        <item m="1" x="4762"/>
        <item m="1" x="4545"/>
        <item m="1" x="5176"/>
        <item m="1" x="5189"/>
        <item m="1" x="5177"/>
        <item m="1" x="5178"/>
        <item m="1" x="5179"/>
        <item m="1" x="5180"/>
        <item m="1" x="5181"/>
        <item m="1" x="4402"/>
        <item m="1" x="3700"/>
        <item m="1" x="5182"/>
        <item m="1" x="3699"/>
        <item m="1" x="5183"/>
        <item m="1" x="5185"/>
        <item m="1" x="3698"/>
        <item m="1" x="5323"/>
        <item m="1" x="5324"/>
        <item m="1" x="5186"/>
        <item m="1" x="3697"/>
        <item m="1" x="5187"/>
        <item m="1" x="5188"/>
        <item m="1" x="3510"/>
        <item m="1" x="5325"/>
        <item m="1" x="4458"/>
        <item m="1" x="5197"/>
        <item m="1" x="5198"/>
        <item m="1" x="5199"/>
        <item m="1" x="5200"/>
        <item m="1" x="5204"/>
        <item m="1" x="5205"/>
        <item m="1" x="4204"/>
        <item x="1384"/>
        <item x="1570"/>
        <item m="1" x="5338"/>
        <item m="1" x="5339"/>
        <item x="3291"/>
        <item x="3292"/>
        <item x="1411"/>
        <item x="3197"/>
        <item x="2359"/>
        <item x="529"/>
        <item m="1" x="5234"/>
        <item m="1" x="5235"/>
        <item m="1" x="5236"/>
        <item m="1" x="4406"/>
        <item m="1" x="4419"/>
        <item m="1" x="5343"/>
        <item m="1" x="4463"/>
        <item m="1" x="5239"/>
        <item m="1" x="3988"/>
        <item m="1" x="5243"/>
        <item m="1" x="4365"/>
        <item m="1" x="5246"/>
        <item m="1" x="5092"/>
        <item m="1" x="4653"/>
        <item m="1" x="5106"/>
        <item m="1" x="4656"/>
        <item m="1" x="5107"/>
        <item m="1" x="5251"/>
        <item m="1" x="5252"/>
        <item m="1" x="5108"/>
        <item m="1" x="5109"/>
        <item m="1" x="4589"/>
        <item m="1" x="4588"/>
        <item m="1" x="4685"/>
        <item m="1" x="4770"/>
        <item m="1" x="5253"/>
        <item m="1" x="5110"/>
        <item x="1491"/>
        <item m="1" x="4654"/>
        <item m="1" x="4665"/>
        <item m="1" x="4675"/>
        <item m="1" x="4587"/>
        <item x="2984"/>
        <item m="1" x="4734"/>
        <item x="810"/>
        <item x="1716"/>
        <item x="812"/>
        <item x="1719"/>
        <item x="1720"/>
        <item x="815"/>
        <item x="817"/>
        <item x="796"/>
        <item x="806"/>
        <item x="3037"/>
        <item x="807"/>
        <item x="811"/>
        <item m="1" x="5114"/>
        <item x="794"/>
        <item x="1780"/>
        <item m="1" x="4302"/>
        <item m="1" x="4422"/>
        <item x="854"/>
        <item x="855"/>
        <item x="1841"/>
        <item x="1991"/>
        <item x="2000"/>
        <item x="2001"/>
        <item m="1" x="4377"/>
        <item x="3100"/>
        <item m="1" x="4859"/>
        <item m="1" x="4875"/>
        <item m="1" x="4876"/>
        <item m="1" x="4896"/>
        <item m="1" x="4818"/>
        <item m="1" x="4798"/>
        <item m="1" x="5304"/>
        <item m="1" x="5162"/>
        <item m="1" x="5163"/>
        <item m="1" x="5308"/>
        <item m="1" x="5164"/>
        <item m="1" x="3824"/>
        <item m="1" x="3804"/>
        <item m="1" x="3954"/>
        <item m="1" x="5207"/>
        <item m="1" x="5332"/>
        <item m="1" x="5333"/>
        <item m="1" x="5334"/>
        <item m="1" x="5335"/>
        <item m="1" x="5336"/>
        <item m="1" x="5337"/>
        <item m="1" x="5208"/>
        <item m="1" x="5052"/>
        <item m="1" x="5222"/>
        <item m="1" x="5223"/>
        <item m="1" x="5053"/>
        <item m="1" x="5224"/>
        <item m="1" x="5054"/>
        <item m="1" x="5056"/>
        <item m="1" x="5058"/>
        <item x="490"/>
        <item x="1437"/>
        <item x="1438"/>
        <item x="492"/>
        <item x="1439"/>
        <item m="1" x="3754"/>
        <item m="1" x="5233"/>
        <item x="1517"/>
        <item m="1" x="4173"/>
        <item m="1" x="4680"/>
        <item m="1" x="3773"/>
        <item x="2423"/>
        <item x="2386"/>
        <item m="1" x="5354"/>
        <item m="1" x="5356"/>
        <item m="1" x="4161"/>
        <item m="1" x="5357"/>
        <item m="1" x="5358"/>
        <item m="1" x="5359"/>
        <item x="3243"/>
        <item x="3240"/>
        <item x="2617"/>
        <item x="3239"/>
        <item x="2616"/>
        <item x="2615"/>
        <item m="1" x="5117"/>
        <item m="1" x="4883"/>
        <item m="1" x="4852"/>
        <item m="1" x="4306"/>
        <item m="1" x="3912"/>
        <item m="1" x="3911"/>
        <item m="1" x="4450"/>
        <item m="1" x="4451"/>
        <item x="2752"/>
        <item x="2753"/>
        <item x="3106"/>
        <item x="3107"/>
        <item x="2754"/>
        <item x="2019"/>
        <item x="1018"/>
        <item x="2020"/>
        <item x="1025"/>
        <item x="3253"/>
        <item x="2755"/>
        <item x="2040"/>
        <item m="1" x="5371"/>
        <item x="274"/>
        <item x="1347"/>
        <item x="1107"/>
        <item x="1108"/>
        <item x="1110"/>
        <item x="1383"/>
        <item x="1109"/>
        <item m="1" x="4975"/>
        <item m="1" x="4718"/>
        <item m="1" x="4981"/>
        <item m="1" x="4983"/>
        <item m="1" x="3613"/>
        <item m="1" x="4523"/>
        <item x="1233"/>
        <item m="1" x="5155"/>
        <item m="1" x="5156"/>
        <item x="1221"/>
        <item m="1" x="4529"/>
        <item x="2183"/>
        <item m="1" x="4991"/>
        <item m="1" x="4992"/>
        <item m="1" x="4513"/>
        <item x="336"/>
        <item x="2870"/>
        <item x="1176"/>
        <item x="2868"/>
        <item m="1" x="5157"/>
        <item m="1" x="4623"/>
        <item m="1" x="4524"/>
        <item x="1186"/>
        <item x="2198"/>
        <item m="1" x="4627"/>
        <item m="1" x="4505"/>
        <item m="1" x="4870"/>
        <item x="342"/>
        <item x="1235"/>
        <item m="1" x="4993"/>
        <item m="1" x="4354"/>
        <item m="1" x="4994"/>
        <item m="1" x="4252"/>
        <item m="1" x="4061"/>
        <item m="1" x="4270"/>
        <item m="1" x="5158"/>
        <item x="2872"/>
        <item m="1" x="3644"/>
        <item x="3068"/>
        <item m="1" x="5005"/>
        <item m="1" x="4279"/>
        <item x="1300"/>
        <item m="1" x="5007"/>
        <item m="1" x="3685"/>
        <item m="1" x="5008"/>
        <item m="1" x="4929"/>
        <item m="1" x="4877"/>
        <item m="1" x="5010"/>
        <item m="1" x="4281"/>
        <item m="1" x="4811"/>
        <item m="1" x="4696"/>
        <item m="1" x="4004"/>
        <item m="1" x="5214"/>
        <item m="1" x="4046"/>
        <item m="1" x="5226"/>
        <item x="2949"/>
        <item m="1" x="3744"/>
        <item m="1" x="5230"/>
        <item m="1" x="5231"/>
        <item m="1" x="3745"/>
        <item m="1" x="5064"/>
        <item m="1" x="5065"/>
        <item m="1" x="5066"/>
        <item m="1" x="5067"/>
        <item x="530"/>
        <item x="531"/>
        <item m="1" x="4571"/>
        <item m="1" x="4465"/>
        <item x="544"/>
        <item m="1" x="4364"/>
        <item m="1" x="5245"/>
        <item x="1568"/>
        <item m="1" x="5084"/>
        <item x="1569"/>
        <item x="77"/>
        <item x="643"/>
        <item m="1" x="3771"/>
        <item m="1" x="4368"/>
        <item x="2978"/>
        <item x="1573"/>
        <item x="2440"/>
        <item x="2982"/>
        <item m="1" x="5262"/>
        <item m="1" x="5263"/>
        <item m="1" x="4300"/>
        <item m="1" x="4299"/>
        <item m="1" x="5264"/>
        <item x="3242"/>
        <item m="1" x="5118"/>
        <item m="1" x="4475"/>
        <item m="1" x="4603"/>
        <item m="1" x="4492"/>
        <item x="192"/>
        <item x="3247"/>
        <item m="1" x="4026"/>
        <item m="1" x="4448"/>
        <item x="942"/>
        <item x="1861"/>
        <item x="1862"/>
        <item m="1" x="5295"/>
        <item m="1" x="4794"/>
        <item m="1" x="4828"/>
        <item m="1" x="4866"/>
        <item m="1" x="4787"/>
        <item m="1" x="4805"/>
        <item x="2740"/>
        <item m="1" x="4806"/>
        <item m="1" x="4797"/>
        <item m="1" x="5276"/>
        <item m="1" x="5277"/>
        <item m="1" x="5278"/>
        <item m="1" x="5279"/>
        <item m="1" x="5280"/>
        <item m="1" x="5281"/>
        <item m="1" x="5167"/>
        <item m="1" x="5011"/>
        <item x="1522"/>
        <item m="1" x="5012"/>
        <item m="1" x="5013"/>
        <item m="1" x="5024"/>
        <item m="1" x="5025"/>
        <item m="1" x="5023"/>
        <item m="1" x="3703"/>
        <item m="1" x="4708"/>
        <item m="1" x="4833"/>
        <item m="1" x="5026"/>
        <item m="1" x="5027"/>
        <item m="1" x="3969"/>
        <item m="1" x="4887"/>
        <item m="1" x="5196"/>
        <item m="1" x="4688"/>
        <item x="469"/>
        <item x="1415"/>
        <item x="1413"/>
        <item x="48"/>
        <item x="1414"/>
        <item m="1" x="4257"/>
        <item m="1" x="4286"/>
        <item m="1" x="4258"/>
        <item m="1" x="4287"/>
        <item m="1" x="5225"/>
        <item m="1" x="4973"/>
        <item m="1" x="3645"/>
        <item x="2136"/>
        <item m="1" x="4999"/>
        <item m="1" x="4151"/>
        <item m="1" x="3947"/>
        <item m="1" x="3660"/>
        <item m="1" x="4040"/>
        <item m="1" x="5006"/>
        <item x="1299"/>
        <item m="1" x="4398"/>
        <item m="1" x="4612"/>
        <item x="1916"/>
        <item m="1" x="4322"/>
        <item m="1" x="4538"/>
        <item m="1" x="5009"/>
        <item m="1" x="3915"/>
        <item x="2243"/>
        <item x="2899"/>
        <item m="1" x="3702"/>
        <item x="1305"/>
        <item x="2244"/>
        <item m="1" x="4444"/>
        <item x="2245"/>
        <item x="2316"/>
        <item m="1" x="3731"/>
        <item m="1" x="3733"/>
        <item m="1" x="3736"/>
        <item m="1" x="4163"/>
        <item m="1" x="4164"/>
        <item m="1" x="4618"/>
        <item x="521"/>
        <item m="1" x="4213"/>
        <item m="1" x="4214"/>
        <item m="1" x="4112"/>
        <item m="1" x="5068"/>
        <item m="1" x="4113"/>
        <item m="1" x="4115"/>
        <item x="526"/>
        <item m="1" x="4684"/>
        <item m="1" x="4165"/>
        <item m="1" x="4682"/>
        <item m="1" x="4659"/>
        <item x="2358"/>
        <item m="1" x="4166"/>
        <item m="1" x="4116"/>
        <item x="1469"/>
        <item m="1" x="4488"/>
        <item m="1" x="4091"/>
        <item x="2957"/>
        <item m="1" x="4569"/>
        <item m="1" x="5071"/>
        <item m="1" x="4248"/>
        <item m="1" x="4392"/>
        <item m="1" x="4967"/>
        <item m="1" x="5073"/>
        <item m="1" x="4968"/>
        <item x="2961"/>
        <item m="1" x="4969"/>
        <item x="2965"/>
        <item x="3305"/>
        <item m="1" x="4572"/>
        <item x="3306"/>
        <item m="1" x="4971"/>
        <item x="3310"/>
        <item x="3311"/>
        <item m="1" x="4335"/>
        <item m="1" x="4692"/>
        <item m="1" x="4693"/>
        <item m="1" x="5080"/>
        <item x="644"/>
        <item m="1" x="4577"/>
        <item m="1" x="4175"/>
        <item m="1" x="4094"/>
        <item x="1571"/>
        <item m="1" x="4338"/>
        <item m="1" x="4642"/>
        <item m="1" x="5085"/>
        <item m="1" x="4578"/>
        <item m="1" x="5111"/>
        <item m="1" x="5112"/>
        <item x="3252"/>
        <item m="1" x="4212"/>
        <item x="2455"/>
        <item x="2456"/>
        <item x="791"/>
        <item m="1" x="5115"/>
        <item x="1709"/>
        <item m="1" x="4695"/>
        <item x="1801"/>
        <item m="1" x="3856"/>
        <item m="1" x="4647"/>
        <item m="1" x="3860"/>
        <item m="1" x="4686"/>
        <item m="1" x="3857"/>
        <item m="1" x="3868"/>
        <item m="1" x="3869"/>
        <item m="1" x="3878"/>
        <item x="2756"/>
        <item x="2022"/>
        <item x="2757"/>
        <item x="1019"/>
        <item x="2758"/>
        <item x="2023"/>
        <item x="2024"/>
        <item x="2025"/>
        <item x="1020"/>
        <item m="1" x="4224"/>
        <item x="1021"/>
        <item x="2026"/>
        <item m="1" x="4496"/>
        <item x="2095"/>
        <item x="3160"/>
        <item x="258"/>
        <item x="1079"/>
        <item x="259"/>
        <item x="1080"/>
        <item x="3272"/>
        <item m="1" x="4982"/>
        <item m="1" x="4907"/>
        <item m="1" x="4808"/>
        <item m="1" x="4984"/>
        <item m="1" x="4869"/>
        <item m="1" x="4985"/>
        <item m="1" x="4548"/>
        <item m="1" x="4317"/>
        <item m="1" x="3630"/>
        <item m="1" x="4996"/>
        <item m="1" x="4530"/>
        <item m="1" x="4997"/>
        <item m="1" x="3631"/>
        <item m="1" x="3634"/>
        <item m="1" x="4998"/>
        <item m="1" x="3623"/>
        <item m="1" x="4563"/>
        <item m="1" x="4564"/>
        <item x="2367"/>
        <item m="1" x="4362"/>
        <item m="1" x="5069"/>
        <item m="1" x="4626"/>
        <item m="1" x="5070"/>
        <item m="1" x="4897"/>
        <item m="1" x="4920"/>
        <item m="1" x="4768"/>
        <item m="1" x="3753"/>
        <item m="1" x="4575"/>
        <item m="1" x="4295"/>
        <item m="1" x="4408"/>
        <item m="1" x="4420"/>
        <item m="1" x="4582"/>
        <item m="1" x="4579"/>
        <item m="1" x="4580"/>
        <item m="1" x="5093"/>
        <item m="1" x="5094"/>
        <item m="1" x="5095"/>
        <item m="1" x="5096"/>
        <item m="1" x="4585"/>
        <item x="1850"/>
        <item m="1" x="4583"/>
        <item m="1" x="5097"/>
        <item m="1" x="5098"/>
        <item x="332"/>
        <item m="1" x="5099"/>
        <item m="1" x="4581"/>
        <item m="1" x="4614"/>
        <item m="1" x="5100"/>
        <item m="1" x="5101"/>
        <item m="1" x="5102"/>
        <item m="1" x="4584"/>
        <item x="1781"/>
        <item x="1782"/>
        <item x="858"/>
        <item x="2625"/>
        <item x="1823"/>
        <item m="1" x="4632"/>
        <item x="920"/>
        <item m="1" x="5121"/>
        <item x="921"/>
        <item x="951"/>
        <item m="1" x="4476"/>
        <item m="1" x="4604"/>
        <item m="1" x="3930"/>
        <item x="1846"/>
        <item x="944"/>
        <item x="955"/>
        <item x="1892"/>
        <item x="966"/>
        <item x="3058"/>
        <item x="205"/>
        <item x="2714"/>
        <item m="1" x="4786"/>
        <item m="1" x="4884"/>
        <item m="1" x="4607"/>
        <item x="1011"/>
        <item m="1" x="4904"/>
        <item m="1" x="4928"/>
        <item m="1" x="4779"/>
        <item m="1" x="4894"/>
        <item m="1" x="4885"/>
        <item x="1416"/>
        <item x="2940"/>
        <item x="468"/>
        <item x="1417"/>
        <item m="1" x="4625"/>
        <item x="665"/>
        <item m="1" x="5031"/>
        <item m="1" x="4644"/>
        <item x="2319"/>
        <item x="1418"/>
        <item x="1440"/>
        <item x="496"/>
        <item x="497"/>
        <item m="1" x="5014"/>
        <item m="1" x="5015"/>
        <item m="1" x="5016"/>
        <item m="1" x="5090"/>
        <item m="1" x="5091"/>
        <item x="2096"/>
        <item m="1" x="4310"/>
        <item m="1" x="4427"/>
        <item m="1" x="3529"/>
        <item m="1" x="4499"/>
        <item m="1" x="4780"/>
        <item m="1" x="3976"/>
        <item m="1" x="4428"/>
        <item m="1" x="3574"/>
        <item m="1" x="4135"/>
        <item m="1" x="4503"/>
        <item m="1" x="4500"/>
        <item m="1" x="4501"/>
        <item m="1" x="3575"/>
        <item m="1" x="4502"/>
        <item x="1023"/>
        <item m="1" x="3607"/>
        <item m="1" x="3608"/>
        <item m="1" x="4504"/>
        <item m="1" x="4908"/>
        <item m="1" x="4760"/>
        <item m="1" x="3943"/>
        <item x="1218"/>
        <item x="1198"/>
        <item m="1" x="3625"/>
        <item m="1" x="3632"/>
        <item m="1" x="3626"/>
        <item m="1" x="3627"/>
        <item m="1" x="3638"/>
        <item m="1" x="3650"/>
        <item x="389"/>
        <item m="1" x="3684"/>
        <item m="1" x="4543"/>
        <item x="1946"/>
        <item m="1" x="4106"/>
        <item x="30"/>
        <item m="1" x="4640"/>
        <item x="2300"/>
        <item x="2939"/>
        <item x="3293"/>
        <item m="1" x="4941"/>
        <item m="1" x="4621"/>
        <item m="1" x="4611"/>
        <item m="1" x="3734"/>
        <item m="1" x="4225"/>
        <item m="1" x="4314"/>
        <item m="1" x="3955"/>
        <item m="1" x="4485"/>
        <item m="1" x="4820"/>
        <item x="1444"/>
        <item x="1445"/>
        <item x="2951"/>
        <item x="2346"/>
        <item x="528"/>
        <item x="57"/>
        <item m="1" x="4919"/>
        <item m="1" x="4860"/>
        <item m="1" x="4641"/>
        <item m="1" x="4249"/>
        <item m="1" x="3767"/>
        <item x="645"/>
        <item x="646"/>
        <item x="647"/>
        <item x="1506"/>
        <item x="2403"/>
        <item x="594"/>
        <item x="579"/>
        <item x="1549"/>
        <item m="1" x="4932"/>
        <item m="1" x="3772"/>
        <item m="1" x="4942"/>
        <item x="2995"/>
        <item x="1545"/>
        <item x="570"/>
        <item m="1" x="4674"/>
        <item x="1508"/>
        <item m="1" x="4340"/>
        <item x="2390"/>
        <item x="1514"/>
        <item x="2395"/>
        <item m="1" x="4047"/>
        <item m="1" x="4171"/>
        <item m="1" x="4294"/>
        <item m="1" x="4082"/>
        <item m="1" x="4729"/>
        <item x="599"/>
        <item m="1" x="4014"/>
        <item x="1550"/>
        <item x="1553"/>
        <item m="1" x="4070"/>
        <item m="1" x="4921"/>
        <item x="68"/>
        <item m="1" x="4217"/>
        <item m="1" x="4231"/>
        <item m="1" x="3781"/>
        <item m="1" x="3776"/>
        <item m="1" x="4769"/>
        <item x="2976"/>
        <item m="1" x="4048"/>
        <item m="1" x="4174"/>
        <item x="2378"/>
        <item m="1" x="4123"/>
        <item x="1596"/>
        <item m="1" x="4963"/>
        <item m="1" x="4823"/>
        <item m="1" x="4960"/>
        <item m="1" x="4910"/>
        <item m="1" x="4861"/>
        <item m="1" x="4862"/>
        <item m="1" x="4933"/>
        <item m="1" x="4747"/>
        <item m="1" x="3826"/>
        <item x="1630"/>
        <item x="693"/>
        <item x="2473"/>
        <item m="1" x="4700"/>
        <item m="1" x="4694"/>
        <item x="85"/>
        <item m="1" x="4590"/>
        <item m="1" x="4911"/>
        <item m="1" x="4622"/>
        <item x="1633"/>
        <item m="1" x="4730"/>
        <item m="1" x="4944"/>
        <item x="2475"/>
        <item x="2476"/>
        <item x="694"/>
        <item m="1" x="4711"/>
        <item x="695"/>
        <item m="1" x="4701"/>
        <item x="2477"/>
        <item m="1" x="4748"/>
        <item x="697"/>
        <item m="1" x="4735"/>
        <item x="86"/>
        <item m="1" x="4736"/>
        <item x="2478"/>
        <item x="1635"/>
        <item x="1636"/>
        <item x="698"/>
        <item x="699"/>
        <item m="1" x="4888"/>
        <item m="1" x="4771"/>
        <item x="2482"/>
        <item m="1" x="4469"/>
        <item x="1638"/>
        <item x="678"/>
        <item m="1" x="4443"/>
        <item m="1" x="4341"/>
        <item m="1" x="4813"/>
        <item x="709"/>
        <item x="2490"/>
        <item x="2491"/>
        <item x="3003"/>
        <item x="710"/>
        <item x="711"/>
        <item m="1" x="4824"/>
        <item m="1" x="4703"/>
        <item x="712"/>
        <item m="1" x="4737"/>
        <item x="1640"/>
        <item m="1" x="4591"/>
        <item x="89"/>
        <item x="713"/>
        <item x="1642"/>
        <item m="1" x="3962"/>
        <item x="1644"/>
        <item m="1" x="4750"/>
        <item m="1" x="4889"/>
        <item x="724"/>
        <item x="1651"/>
        <item m="1" x="4912"/>
        <item m="1" x="4784"/>
        <item x="729"/>
        <item m="1" x="4892"/>
        <item m="1" x="4470"/>
        <item x="2518"/>
        <item x="737"/>
        <item x="1659"/>
        <item x="104"/>
        <item m="1" x="4297"/>
        <item x="738"/>
        <item x="105"/>
        <item x="739"/>
        <item m="1" x="4421"/>
        <item m="1" x="4471"/>
        <item x="106"/>
        <item m="1" x="4472"/>
        <item x="2520"/>
        <item x="2521"/>
        <item x="785"/>
        <item x="2547"/>
        <item x="152"/>
        <item x="2548"/>
        <item x="2560"/>
        <item m="1" x="3827"/>
        <item m="1" x="4473"/>
        <item m="1" x="4423"/>
        <item m="1" x="4489"/>
        <item m="1" x="4445"/>
        <item m="1" x="4446"/>
        <item m="1" x="4645"/>
        <item m="1" x="4409"/>
        <item m="1" x="3861"/>
        <item m="1" x="3864"/>
        <item m="1" x="4649"/>
        <item m="1" x="4740"/>
        <item m="1" x="4631"/>
        <item m="1" x="4347"/>
        <item m="1" x="4178"/>
        <item x="1874"/>
        <item x="1875"/>
        <item x="1877"/>
        <item x="2648"/>
        <item x="959"/>
        <item x="1881"/>
        <item m="1" x="4792"/>
        <item x="3057"/>
        <item x="1882"/>
        <item x="1883"/>
        <item x="2651"/>
        <item m="1" x="4716"/>
        <item x="1884"/>
        <item x="1885"/>
        <item x="961"/>
        <item m="1" x="4755"/>
        <item x="2652"/>
        <item x="1886"/>
        <item x="1887"/>
        <item x="2653"/>
        <item x="963"/>
        <item x="1889"/>
        <item x="1890"/>
        <item x="2654"/>
        <item m="1" x="4741"/>
        <item x="1891"/>
        <item m="1" x="4793"/>
        <item x="964"/>
        <item m="1" x="4606"/>
        <item m="1" x="4348"/>
        <item m="1" x="4609"/>
        <item m="1" x="4349"/>
        <item m="1" x="4610"/>
        <item x="2762"/>
        <item x="2763"/>
        <item x="2042"/>
        <item m="1" x="4662"/>
        <item x="1027"/>
        <item x="1028"/>
        <item m="1" x="4683"/>
        <item x="2764"/>
        <item x="2043"/>
        <item x="2044"/>
        <item m="1" x="3993"/>
        <item m="1" x="3994"/>
        <item m="1" x="3995"/>
        <item m="1" x="4038"/>
        <item m="1" x="3998"/>
        <item m="1" x="3948"/>
        <item m="1" x="4200"/>
        <item m="1" x="3949"/>
        <item m="1" x="4000"/>
        <item m="1" x="4154"/>
        <item x="3409"/>
        <item x="3493"/>
        <item x="3410"/>
        <item m="1" x="3710"/>
        <item m="1" x="3715"/>
        <item m="1" x="4357"/>
        <item m="1" x="3711"/>
        <item m="1" x="3713"/>
        <item m="1" x="3712"/>
        <item x="2733"/>
        <item m="1" x="4821"/>
        <item m="1" x="4871"/>
        <item x="267"/>
        <item m="1" x="3511"/>
        <item x="377"/>
        <item m="1" x="4617"/>
        <item x="2239"/>
        <item x="1930"/>
        <item m="1" x="4202"/>
        <item x="984"/>
        <item x="1298"/>
        <item m="1" x="4254"/>
        <item m="1" x="4552"/>
        <item m="1" x="4553"/>
        <item m="1" x="4554"/>
        <item m="1" x="4555"/>
        <item m="1" x="4550"/>
        <item m="1" x="4549"/>
        <item m="1" x="4556"/>
        <item m="1" x="4551"/>
        <item m="1" x="3709"/>
        <item m="1" x="3706"/>
        <item m="1" x="4435"/>
        <item m="1" x="4558"/>
        <item m="1" x="4637"/>
        <item m="1" x="4638"/>
        <item m="1" x="4561"/>
        <item m="1" x="4655"/>
        <item m="1" x="4562"/>
        <item m="1" x="3707"/>
        <item m="1" x="4557"/>
        <item x="2301"/>
        <item m="1" x="4681"/>
        <item x="1431"/>
        <item m="1" x="4089"/>
        <item x="1441"/>
        <item x="494"/>
        <item x="495"/>
        <item x="1443"/>
        <item x="2342"/>
        <item x="1448"/>
        <item x="2343"/>
        <item x="2950"/>
        <item x="502"/>
        <item x="503"/>
        <item x="2344"/>
        <item x="504"/>
        <item x="2345"/>
        <item x="1449"/>
        <item x="1450"/>
        <item x="1451"/>
        <item x="1452"/>
        <item x="1453"/>
        <item x="505"/>
        <item x="506"/>
        <item x="53"/>
        <item m="1" x="4687"/>
        <item m="1" x="3747"/>
        <item m="1" x="4122"/>
        <item m="1" x="4440"/>
        <item x="3294"/>
        <item x="3180"/>
        <item m="1" x="4570"/>
        <item m="1" x="4650"/>
        <item m="1" x="4464"/>
        <item m="1" x="4574"/>
        <item x="649"/>
        <item x="573"/>
        <item x="1520"/>
        <item x="69"/>
        <item x="1524"/>
        <item x="1547"/>
        <item m="1" x="4172"/>
        <item m="1" x="3769"/>
        <item m="1" x="4576"/>
        <item m="1" x="4661"/>
        <item m="1" x="4657"/>
        <item m="1" x="4619"/>
        <item m="1" x="4615"/>
        <item x="148"/>
        <item x="1705"/>
        <item m="1" x="4378"/>
        <item m="1" x="4196"/>
        <item m="1" x="4370"/>
        <item m="1" x="4413"/>
        <item x="2874"/>
        <item x="337"/>
        <item x="1183"/>
        <item m="1" x="4318"/>
        <item x="1226"/>
        <item m="1" x="4316"/>
        <item x="2177"/>
        <item x="317"/>
        <item m="1" x="4430"/>
        <item m="1" x="4514"/>
        <item m="1" x="4319"/>
        <item m="1" x="4509"/>
        <item m="1" x="4651"/>
        <item x="1149"/>
        <item x="1142"/>
        <item x="2834"/>
        <item x="11"/>
        <item m="1" x="4456"/>
        <item m="1" x="4526"/>
        <item x="2135"/>
        <item m="1" x="4186"/>
        <item x="2162"/>
        <item m="1" x="4515"/>
        <item m="1" x="4516"/>
        <item m="1" x="4517"/>
        <item x="1144"/>
        <item m="1" x="4411"/>
        <item m="1" x="4628"/>
        <item m="1" x="4518"/>
        <item m="1" x="4506"/>
        <item x="2169"/>
        <item x="298"/>
        <item x="2133"/>
        <item x="2837"/>
        <item x="299"/>
        <item x="2125"/>
        <item m="1" x="4507"/>
        <item x="1145"/>
        <item x="296"/>
        <item x="2129"/>
        <item m="1" x="3920"/>
        <item x="297"/>
        <item m="1" x="4138"/>
        <item m="1" x="4519"/>
        <item x="2839"/>
        <item x="2130"/>
        <item m="1" x="4185"/>
        <item m="1" x="4510"/>
        <item m="1" x="4520"/>
        <item m="1" x="4137"/>
        <item m="1" x="4187"/>
        <item m="1" x="4643"/>
        <item x="2126"/>
        <item x="1146"/>
        <item x="1147"/>
        <item m="1" x="3940"/>
        <item x="2841"/>
        <item x="2127"/>
        <item x="1148"/>
        <item x="2131"/>
        <item m="1" x="4035"/>
        <item m="1" x="4521"/>
        <item x="1143"/>
        <item m="1" x="4230"/>
        <item m="1" x="4671"/>
        <item m="1" x="4690"/>
        <item m="1" x="4366"/>
        <item m="1" x="4598"/>
        <item m="1" x="4596"/>
        <item m="1" x="3835"/>
        <item m="1" x="3838"/>
        <item m="1" x="3841"/>
        <item m="1" x="3840"/>
        <item m="1" x="3836"/>
        <item m="1" x="3839"/>
        <item x="3331"/>
        <item x="3332"/>
        <item x="3333"/>
        <item x="3471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5"/>
        <item x="3376"/>
        <item x="3377"/>
        <item x="3379"/>
        <item x="3380"/>
        <item x="3381"/>
        <item x="3382"/>
        <item x="3496"/>
        <item x="3383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9"/>
        <item x="3400"/>
        <item x="3401"/>
        <item x="3402"/>
        <item x="3403"/>
        <item x="3489"/>
        <item x="3404"/>
        <item x="3405"/>
        <item x="3406"/>
        <item x="3407"/>
        <item x="3408"/>
        <item x="2624"/>
        <item x="2627"/>
        <item x="886"/>
        <item x="887"/>
        <item x="888"/>
        <item x="2628"/>
        <item x="2629"/>
        <item x="1825"/>
        <item x="889"/>
        <item x="890"/>
        <item x="891"/>
        <item x="892"/>
        <item x="163"/>
        <item x="893"/>
        <item x="1826"/>
        <item x="894"/>
        <item x="895"/>
        <item x="164"/>
        <item x="165"/>
        <item x="166"/>
        <item x="167"/>
        <item x="896"/>
        <item x="168"/>
        <item x="169"/>
        <item x="897"/>
        <item x="1827"/>
        <item x="898"/>
        <item x="901"/>
        <item x="900"/>
        <item x="903"/>
        <item x="899"/>
        <item x="170"/>
        <item x="902"/>
        <item x="2630"/>
        <item x="935"/>
        <item x="936"/>
        <item m="1" x="4477"/>
        <item x="941"/>
        <item m="1" x="3972"/>
        <item x="1856"/>
        <item x="1858"/>
        <item x="2639"/>
        <item x="933"/>
        <item x="2655"/>
        <item x="2656"/>
        <item x="965"/>
        <item x="2657"/>
        <item x="3249"/>
        <item m="1" x="3643"/>
        <item m="1" x="4253"/>
        <item m="1" x="3802"/>
        <item m="1" x="3817"/>
        <item m="1" x="3816"/>
        <item m="1" x="4108"/>
        <item m="1" x="3821"/>
        <item m="1" x="3812"/>
        <item m="1" x="4109"/>
        <item x="1679"/>
        <item x="3028"/>
        <item x="2531"/>
        <item x="3029"/>
        <item x="2532"/>
        <item x="2533"/>
        <item x="2538"/>
        <item x="1680"/>
        <item x="1681"/>
        <item x="3230"/>
        <item x="1683"/>
        <item x="2534"/>
        <item x="783"/>
        <item x="3231"/>
        <item x="3032"/>
        <item x="3031"/>
        <item x="1684"/>
        <item x="1682"/>
        <item x="2535"/>
        <item x="3034"/>
        <item x="1685"/>
        <item x="1686"/>
        <item x="2536"/>
        <item x="3232"/>
        <item x="2541"/>
        <item x="1687"/>
        <item x="1688"/>
        <item x="2540"/>
        <item x="1678"/>
        <item x="784"/>
        <item x="2539"/>
        <item x="3033"/>
        <item x="2542"/>
        <item m="1" x="3532"/>
        <item x="49"/>
        <item m="1" x="3533"/>
        <item x="472"/>
        <item m="1" x="4284"/>
        <item m="1" x="3550"/>
        <item m="1" x="3956"/>
        <item m="1" x="4633"/>
        <item m="1" x="4634"/>
        <item m="1" x="4459"/>
        <item m="1" x="3957"/>
        <item x="474"/>
        <item x="1847"/>
        <item m="1" x="4157"/>
        <item m="1" x="3576"/>
        <item m="1" x="4134"/>
        <item m="1" x="4005"/>
        <item m="1" x="3562"/>
        <item x="1429"/>
        <item x="1423"/>
        <item m="1" x="4044"/>
        <item x="2638"/>
        <item m="1" x="4042"/>
        <item x="2332"/>
        <item x="2187"/>
        <item x="2328"/>
        <item m="1" x="4358"/>
        <item x="3275"/>
        <item x="2942"/>
        <item x="2944"/>
        <item x="3175"/>
        <item x="3178"/>
        <item m="1" x="4102"/>
        <item m="1" x="3635"/>
        <item x="38"/>
        <item x="2302"/>
        <item x="657"/>
        <item x="485"/>
        <item x="493"/>
        <item x="1442"/>
        <item x="498"/>
        <item x="507"/>
        <item x="2952"/>
        <item m="1" x="4168"/>
        <item x="1475"/>
        <item m="1" x="4117"/>
        <item m="1" x="4169"/>
        <item m="1" x="4170"/>
        <item x="2362"/>
        <item m="1" x="3757"/>
        <item x="1474"/>
        <item m="1" x="4442"/>
        <item m="1" x="4176"/>
        <item x="78"/>
        <item m="1" x="4292"/>
        <item x="79"/>
        <item x="814"/>
        <item m="1" x="4600"/>
        <item x="3398"/>
        <item x="3411"/>
        <item x="3412"/>
        <item x="3413"/>
        <item x="3414"/>
        <item x="3415"/>
        <item x="906"/>
        <item x="904"/>
        <item x="171"/>
        <item x="1829"/>
        <item x="172"/>
        <item x="905"/>
        <item x="1828"/>
        <item x="2631"/>
        <item x="173"/>
        <item m="1" x="4491"/>
        <item m="1" x="4221"/>
        <item x="945"/>
        <item x="918"/>
        <item x="181"/>
        <item m="1" x="4449"/>
        <item m="1" x="3929"/>
        <item x="184"/>
        <item x="185"/>
        <item x="927"/>
        <item x="928"/>
        <item x="1854"/>
        <item x="1857"/>
        <item x="1852"/>
        <item m="1" x="3932"/>
        <item x="351"/>
        <item x="1022"/>
        <item x="2027"/>
        <item x="2028"/>
        <item x="2029"/>
        <item x="1029"/>
        <item x="2049"/>
        <item x="2766"/>
        <item x="1030"/>
        <item x="2050"/>
        <item x="2867"/>
        <item x="331"/>
        <item x="2865"/>
        <item x="2846"/>
        <item x="309"/>
        <item x="2864"/>
        <item x="2250"/>
        <item x="2186"/>
        <item x="2873"/>
        <item x="2850"/>
        <item x="2193"/>
        <item x="2356"/>
        <item x="2200"/>
        <item x="1244"/>
        <item x="2180"/>
        <item x="2192"/>
        <item x="1229"/>
        <item x="1228"/>
        <item x="2185"/>
        <item x="2366"/>
        <item x="2190"/>
        <item x="2179"/>
        <item x="2194"/>
        <item x="1499"/>
        <item x="3169"/>
        <item x="294"/>
        <item x="2832"/>
        <item x="295"/>
        <item x="12"/>
        <item x="2132"/>
        <item x="2833"/>
        <item x="2840"/>
        <item x="2835"/>
        <item x="1150"/>
        <item x="2836"/>
        <item x="322"/>
        <item x="300"/>
        <item x="23"/>
        <item x="1151"/>
        <item x="2842"/>
        <item x="13"/>
        <item x="2838"/>
        <item x="2134"/>
        <item m="1" x="4188"/>
        <item x="1154"/>
        <item x="2142"/>
        <item x="14"/>
        <item x="2137"/>
        <item x="3163"/>
        <item x="2138"/>
        <item x="1152"/>
        <item x="586"/>
        <item m="1" x="4032"/>
        <item x="2140"/>
        <item x="1153"/>
        <item x="2139"/>
        <item x="2141"/>
        <item x="1155"/>
        <item m="1" x="4350"/>
        <item x="2144"/>
        <item x="2143"/>
        <item x="301"/>
        <item x="1156"/>
        <item m="1" x="4193"/>
        <item x="1157"/>
        <item m="1" x="3615"/>
        <item x="2145"/>
        <item m="1" x="4267"/>
        <item x="302"/>
        <item m="1" x="4085"/>
        <item m="1" x="4142"/>
        <item m="1" x="4141"/>
        <item m="1" x="4144"/>
        <item m="1" x="4098"/>
        <item m="1" x="4189"/>
        <item m="1" x="4139"/>
        <item m="1" x="4192"/>
        <item m="1" x="4143"/>
        <item m="1" x="4191"/>
        <item m="1" x="4140"/>
        <item m="1" x="4351"/>
        <item m="1" x="4527"/>
        <item m="1" x="4511"/>
        <item m="1" x="4528"/>
        <item x="2226"/>
        <item x="361"/>
        <item x="1479"/>
        <item x="1270"/>
        <item x="362"/>
        <item x="363"/>
        <item x="1271"/>
        <item x="1272"/>
        <item x="25"/>
        <item m="1" x="4037"/>
        <item m="1" x="4532"/>
        <item m="1" x="4414"/>
        <item m="1" x="4531"/>
        <item m="1" x="3849"/>
        <item m="1" x="3921"/>
        <item x="2234"/>
        <item x="1293"/>
        <item x="378"/>
        <item x="2235"/>
        <item m="1" x="4533"/>
        <item m="1" x="4540"/>
        <item x="2896"/>
        <item x="2692"/>
        <item x="2660"/>
        <item x="2897"/>
        <item x="982"/>
        <item m="1" x="4001"/>
        <item x="2706"/>
        <item x="993"/>
        <item m="1" x="4382"/>
        <item m="1" x="4080"/>
        <item x="1958"/>
        <item m="1" x="4431"/>
        <item m="1" x="4239"/>
        <item m="1" x="4240"/>
        <item x="3288"/>
        <item m="1" x="3951"/>
        <item x="2693"/>
        <item x="1297"/>
        <item x="1931"/>
        <item x="3289"/>
        <item x="1933"/>
        <item m="1" x="4432"/>
        <item m="1" x="4535"/>
        <item m="1" x="4396"/>
        <item x="1934"/>
        <item m="1" x="4028"/>
        <item m="1" x="4383"/>
        <item x="2240"/>
        <item x="2666"/>
        <item x="3071"/>
        <item x="2695"/>
        <item x="2696"/>
        <item x="2697"/>
        <item m="1" x="4081"/>
        <item x="1899"/>
        <item m="1" x="3686"/>
        <item x="985"/>
        <item m="1" x="4415"/>
        <item x="1974"/>
        <item m="1" x="4397"/>
        <item m="1" x="4542"/>
        <item x="3074"/>
        <item x="1911"/>
        <item m="1" x="4537"/>
        <item x="1901"/>
        <item x="972"/>
        <item x="3059"/>
        <item m="1" x="4399"/>
        <item x="1938"/>
        <item m="1" x="4536"/>
        <item m="1" x="4228"/>
        <item m="1" x="4384"/>
        <item m="1" x="4241"/>
        <item x="1902"/>
        <item x="1940"/>
        <item x="1282"/>
        <item m="1" x="4385"/>
        <item x="1942"/>
        <item x="1943"/>
        <item x="1952"/>
        <item m="1" x="4386"/>
        <item x="1301"/>
        <item m="1" x="3952"/>
        <item x="1904"/>
        <item m="1" x="4401"/>
        <item x="1964"/>
        <item x="1302"/>
        <item x="2242"/>
        <item x="390"/>
        <item x="1917"/>
        <item m="1" x="4387"/>
        <item x="3073"/>
        <item m="1" x="4013"/>
        <item m="1" x="4155"/>
        <item x="2704"/>
        <item m="1" x="4544"/>
        <item x="1959"/>
        <item x="1923"/>
        <item m="1" x="4434"/>
        <item x="2661"/>
        <item x="2701"/>
        <item x="2709"/>
        <item m="1" x="4416"/>
        <item x="973"/>
        <item x="1303"/>
        <item m="1" x="4539"/>
        <item x="2663"/>
        <item m="1" x="4417"/>
        <item x="1955"/>
        <item m="1" x="3818"/>
        <item m="1" x="4436"/>
        <item m="1" x="3820"/>
        <item m="1" x="4325"/>
        <item m="1" x="4205"/>
        <item m="1" x="4418"/>
        <item x="1486"/>
        <item m="1" x="4160"/>
        <item m="1" x="4566"/>
        <item m="1" x="4159"/>
        <item m="1" x="4568"/>
        <item m="1" x="4363"/>
        <item m="1" x="4567"/>
        <item m="1" x="4332"/>
        <item m="1" x="4333"/>
        <item x="602"/>
        <item m="1" x="4462"/>
        <item m="1" x="3746"/>
        <item m="1" x="3777"/>
        <item x="1728"/>
        <item x="1729"/>
        <item x="1730"/>
        <item x="1731"/>
        <item x="818"/>
        <item x="3039"/>
        <item x="819"/>
        <item x="2567"/>
        <item x="820"/>
        <item x="2568"/>
        <item x="1732"/>
        <item x="821"/>
        <item x="1733"/>
        <item x="2569"/>
        <item x="1734"/>
        <item x="2570"/>
        <item x="1735"/>
        <item x="1736"/>
        <item x="1737"/>
        <item x="1738"/>
        <item x="1739"/>
        <item x="1740"/>
        <item x="2571"/>
        <item x="2572"/>
        <item x="822"/>
        <item x="2573"/>
        <item x="3233"/>
        <item x="1741"/>
        <item x="2574"/>
        <item x="823"/>
        <item x="824"/>
        <item x="2575"/>
        <item x="1742"/>
        <item x="1743"/>
        <item x="1744"/>
        <item x="825"/>
        <item x="826"/>
        <item x="827"/>
        <item x="828"/>
        <item x="1745"/>
        <item x="1746"/>
        <item x="1747"/>
        <item x="1748"/>
        <item x="1749"/>
        <item x="2576"/>
        <item x="1750"/>
        <item x="1751"/>
        <item x="2577"/>
        <item x="1752"/>
        <item x="3234"/>
        <item x="1753"/>
        <item x="1754"/>
        <item x="1755"/>
        <item x="1756"/>
        <item x="829"/>
        <item x="830"/>
        <item x="2578"/>
        <item x="1757"/>
        <item x="1758"/>
        <item x="1759"/>
        <item x="1760"/>
        <item x="831"/>
        <item x="1761"/>
        <item x="832"/>
        <item x="2579"/>
        <item x="2580"/>
        <item x="833"/>
        <item x="3235"/>
        <item x="1762"/>
        <item x="2581"/>
        <item x="1763"/>
        <item x="834"/>
        <item x="1764"/>
        <item x="2582"/>
        <item x="835"/>
        <item x="836"/>
        <item x="2583"/>
        <item x="837"/>
        <item x="1765"/>
        <item x="2584"/>
        <item x="1766"/>
        <item x="838"/>
        <item x="153"/>
        <item x="154"/>
        <item x="1767"/>
        <item x="2585"/>
        <item x="1768"/>
        <item x="2586"/>
        <item x="1769"/>
        <item x="839"/>
        <item x="1770"/>
        <item x="840"/>
        <item x="2587"/>
        <item x="841"/>
        <item x="842"/>
        <item x="843"/>
        <item x="1771"/>
        <item x="1772"/>
        <item x="844"/>
        <item x="3040"/>
        <item x="2588"/>
        <item x="2589"/>
        <item x="845"/>
        <item x="2590"/>
        <item x="846"/>
        <item x="1773"/>
        <item x="1774"/>
        <item x="847"/>
        <item x="1775"/>
        <item x="2591"/>
        <item x="667"/>
        <item x="848"/>
        <item x="2592"/>
        <item x="2593"/>
        <item x="2594"/>
        <item x="1776"/>
        <item x="849"/>
        <item x="850"/>
        <item x="2595"/>
        <item x="2596"/>
        <item x="2597"/>
        <item x="851"/>
        <item x="3041"/>
        <item x="2598"/>
        <item x="1777"/>
        <item x="2599"/>
        <item x="2600"/>
        <item x="852"/>
        <item x="2602"/>
        <item x="3042"/>
        <item x="853"/>
        <item x="1779"/>
        <item x="3236"/>
        <item x="3043"/>
        <item x="3044"/>
        <item x="856"/>
        <item x="857"/>
        <item x="3045"/>
        <item x="155"/>
        <item x="1783"/>
        <item x="1784"/>
        <item x="859"/>
        <item x="860"/>
        <item x="2603"/>
        <item x="861"/>
        <item x="1785"/>
        <item x="862"/>
        <item x="863"/>
        <item x="3237"/>
        <item x="1786"/>
        <item x="156"/>
        <item x="3046"/>
        <item x="3047"/>
        <item x="864"/>
        <item x="865"/>
        <item x="3244"/>
        <item x="2618"/>
        <item x="3245"/>
        <item x="3246"/>
        <item x="3049"/>
        <item x="1803"/>
        <item m="1" x="4262"/>
        <item m="1" x="4343"/>
        <item m="1" x="4345"/>
        <item m="1" x="3853"/>
        <item m="1" x="4602"/>
        <item m="1" x="3852"/>
        <item m="1" x="3850"/>
        <item x="3055"/>
        <item x="1876"/>
        <item x="957"/>
        <item x="958"/>
        <item x="1878"/>
        <item x="1879"/>
        <item x="2649"/>
        <item x="3056"/>
        <item x="960"/>
        <item x="1880"/>
        <item x="2650"/>
        <item x="198"/>
        <item x="962"/>
        <item x="199"/>
        <item m="1" x="4547"/>
        <item x="1007"/>
        <item x="1982"/>
        <item m="1" x="4452"/>
        <item x="1990"/>
        <item x="1992"/>
        <item x="1997"/>
        <item x="2008"/>
        <item x="2715"/>
        <item x="2716"/>
        <item m="1" x="4055"/>
        <item x="2738"/>
        <item x="3080"/>
        <item x="3081"/>
        <item x="3084"/>
        <item x="3089"/>
        <item x="3094"/>
        <item x="3099"/>
        <item x="3101"/>
        <item x="3102"/>
        <item x="3104"/>
        <item x="3105"/>
        <item m="1" x="4312"/>
        <item x="303"/>
        <item x="2843"/>
        <item m="1" x="4034"/>
        <item x="1158"/>
        <item x="1159"/>
        <item m="1" x="3621"/>
        <item x="1160"/>
        <item x="2146"/>
        <item x="1161"/>
        <item m="1" x="4313"/>
        <item m="1" x="4457"/>
        <item m="1" x="4412"/>
        <item x="1162"/>
        <item x="2147"/>
        <item x="2148"/>
        <item x="1163"/>
        <item m="1" x="3941"/>
        <item m="1" x="4060"/>
        <item x="1164"/>
        <item x="1166"/>
        <item x="2149"/>
        <item x="1165"/>
        <item x="304"/>
        <item x="2150"/>
        <item m="1" x="3985"/>
        <item x="305"/>
        <item m="1" x="4195"/>
        <item m="1" x="4149"/>
        <item m="1" x="4145"/>
        <item m="1" x="4146"/>
        <item m="1" x="4099"/>
        <item m="1" x="4194"/>
        <item m="1" x="4147"/>
        <item m="1" x="4148"/>
        <item x="1168"/>
        <item x="2844"/>
        <item x="2152"/>
        <item x="2154"/>
        <item x="15"/>
        <item x="1167"/>
        <item m="1" x="3616"/>
        <item x="3164"/>
        <item x="2178"/>
        <item x="2871"/>
        <item x="1230"/>
        <item x="1232"/>
        <item x="1294"/>
        <item x="380"/>
        <item m="1" x="4321"/>
        <item m="1" x="4274"/>
        <item m="1" x="4275"/>
        <item m="1" x="4276"/>
        <item m="1" x="4277"/>
        <item x="2238"/>
        <item x="3250"/>
        <item x="2898"/>
        <item x="3064"/>
        <item x="3077"/>
        <item x="3078"/>
        <item x="325"/>
        <item m="1" x="3916"/>
        <item x="2241"/>
        <item x="1962"/>
        <item x="39"/>
        <item x="2931"/>
        <item m="1" x="4359"/>
        <item m="1" x="4067"/>
        <item m="1" x="4088"/>
        <item x="1420"/>
        <item x="1421"/>
        <item m="1" x="4209"/>
        <item x="2322"/>
        <item x="2323"/>
        <item x="2324"/>
        <item x="470"/>
        <item m="1" x="3735"/>
        <item x="1422"/>
        <item x="2326"/>
        <item x="471"/>
        <item m="1" x="4360"/>
        <item x="2327"/>
        <item x="2347"/>
        <item x="2348"/>
        <item x="2339"/>
        <item x="508"/>
        <item x="2349"/>
        <item x="2350"/>
        <item x="54"/>
        <item x="509"/>
        <item x="1455"/>
        <item x="510"/>
        <item x="2351"/>
        <item x="511"/>
        <item x="512"/>
        <item x="1472"/>
        <item m="1" x="4119"/>
        <item m="1" x="4288"/>
        <item m="1" x="4289"/>
        <item m="1" x="4260"/>
        <item m="1" x="4261"/>
        <item m="1" x="4367"/>
        <item m="1" x="4293"/>
        <item x="2612"/>
        <item x="1597"/>
        <item x="2450"/>
        <item x="2556"/>
        <item x="2566"/>
        <item x="1700"/>
        <item x="2558"/>
        <item x="1727"/>
        <item m="1" x="3966"/>
        <item m="1" x="4298"/>
        <item m="1" x="3967"/>
        <item m="1" x="4301"/>
        <item m="1" x="4052"/>
        <item x="2604"/>
        <item x="2605"/>
        <item x="2606"/>
        <item x="1787"/>
        <item x="3416"/>
        <item x="3417"/>
        <item x="3418"/>
        <item x="3419"/>
        <item x="3420"/>
        <item x="3421"/>
        <item x="1707"/>
        <item x="3482"/>
        <item x="3422"/>
        <item x="3423"/>
        <item x="3424"/>
        <item x="3425"/>
        <item x="3426"/>
        <item x="3427"/>
        <item x="3428"/>
        <item x="3429"/>
        <item x="3430"/>
        <item x="3431"/>
        <item x="3433"/>
        <item x="3434"/>
        <item x="2281"/>
        <item x="3435"/>
        <item x="3436"/>
        <item x="3437"/>
        <item x="177"/>
        <item x="176"/>
        <item x="174"/>
        <item x="907"/>
        <item x="2632"/>
        <item x="908"/>
        <item x="175"/>
        <item m="1" x="3858"/>
        <item m="1" x="4490"/>
        <item m="1" x="4447"/>
        <item x="1897"/>
        <item x="971"/>
        <item x="1900"/>
        <item x="2662"/>
        <item x="2045"/>
        <item x="2765"/>
        <item x="2048"/>
        <item m="1" x="4426"/>
        <item x="1071"/>
        <item x="1064"/>
        <item x="252"/>
        <item m="1" x="4478"/>
        <item x="1066"/>
        <item m="1" x="4132"/>
        <item m="1" x="4479"/>
        <item x="234"/>
        <item x="254"/>
        <item x="5"/>
        <item m="1" x="4454"/>
        <item x="2093"/>
        <item m="1" x="3977"/>
        <item m="1" x="3935"/>
        <item m="1" x="3545"/>
        <item m="1" x="3596"/>
        <item m="1" x="3577"/>
        <item m="1" x="3546"/>
        <item m="1" x="3547"/>
        <item m="1" x="3578"/>
        <item m="1" x="3579"/>
        <item m="1" x="3548"/>
        <item m="1" x="3605"/>
        <item m="1" x="3580"/>
        <item m="1" x="3978"/>
        <item m="1" x="3549"/>
        <item m="1" x="4429"/>
        <item m="1" x="4031"/>
        <item m="1" x="3979"/>
        <item m="1" x="4136"/>
        <item m="1" x="3581"/>
        <item m="1" x="3597"/>
        <item m="1" x="3640"/>
        <item m="1" x="3641"/>
        <item m="1" x="3642"/>
        <item m="1" x="4320"/>
        <item m="1" x="4355"/>
        <item x="36"/>
        <item x="569"/>
        <item x="439"/>
        <item x="282"/>
        <item x="2431"/>
        <item x="795"/>
        <item x="997"/>
        <item x="1052"/>
        <item x="3113"/>
        <item x="3124"/>
        <item x="2785"/>
        <item x="2782"/>
        <item x="213"/>
        <item x="2057"/>
        <item x="2787"/>
        <item x="214"/>
        <item x="2803"/>
        <item x="3261"/>
        <item x="2069"/>
        <item x="3136"/>
        <item x="2061"/>
        <item x="2778"/>
        <item x="3264"/>
        <item x="1038"/>
        <item x="2805"/>
        <item x="2801"/>
        <item x="2794"/>
        <item x="222"/>
        <item x="1041"/>
        <item x="3129"/>
        <item x="2059"/>
        <item x="3296"/>
        <item x="1483"/>
        <item x="545"/>
        <item x="3299"/>
        <item x="548"/>
        <item m="1" x="4259"/>
        <item m="1" x="4407"/>
        <item x="3301"/>
        <item x="3302"/>
        <item x="552"/>
        <item x="3303"/>
        <item x="1249"/>
        <item x="3307"/>
        <item x="558"/>
        <item x="3309"/>
        <item m="1" x="4215"/>
        <item x="560"/>
        <item m="1" x="4441"/>
        <item m="1" x="4118"/>
        <item x="1498"/>
        <item x="3313"/>
        <item x="3315"/>
        <item x="566"/>
        <item x="3319"/>
        <item x="3320"/>
        <item x="3322"/>
        <item x="2963"/>
        <item x="572"/>
        <item x="2392"/>
        <item x="1956"/>
        <item x="2397"/>
        <item x="581"/>
        <item x="1967"/>
        <item x="593"/>
        <item m="1" x="4049"/>
        <item x="2429"/>
        <item x="1546"/>
        <item x="71"/>
        <item x="2917"/>
        <item x="2609"/>
        <item x="1575"/>
        <item x="1576"/>
        <item x="1578"/>
        <item x="1579"/>
        <item x="1580"/>
        <item x="2441"/>
        <item x="2442"/>
        <item x="1581"/>
        <item x="1582"/>
        <item x="1583"/>
        <item x="2980"/>
        <item x="1584"/>
        <item x="1585"/>
        <item x="663"/>
        <item x="1586"/>
        <item x="1587"/>
        <item x="2443"/>
        <item x="2444"/>
        <item x="1588"/>
        <item x="1589"/>
        <item x="664"/>
        <item x="2445"/>
        <item x="1590"/>
        <item x="1591"/>
        <item x="1592"/>
        <item x="2446"/>
        <item x="1593"/>
        <item x="2447"/>
        <item x="1838"/>
        <item x="1839"/>
        <item x="3051"/>
        <item x="3052"/>
        <item x="1833"/>
        <item x="1834"/>
        <item x="915"/>
        <item x="3054"/>
        <item x="1837"/>
        <item x="1842"/>
        <item x="3053"/>
        <item x="1868"/>
        <item x="922"/>
        <item m="1" x="3973"/>
        <item m="1" x="4025"/>
        <item x="937"/>
        <item m="1" x="4027"/>
        <item x="934"/>
        <item x="191"/>
        <item m="1" x="3879"/>
        <item x="947"/>
        <item x="1866"/>
        <item x="195"/>
        <item x="948"/>
        <item x="1864"/>
        <item x="190"/>
        <item m="1" x="3971"/>
        <item x="1853"/>
        <item x="943"/>
        <item x="194"/>
        <item x="196"/>
        <item x="2941"/>
        <item x="3116"/>
        <item x="3263"/>
        <item x="2797"/>
        <item x="227"/>
        <item x="2062"/>
        <item x="3133"/>
        <item x="223"/>
        <item x="2802"/>
        <item x="1054"/>
        <item x="2058"/>
        <item x="3123"/>
        <item x="3257"/>
        <item x="221"/>
        <item x="1046"/>
        <item x="1049"/>
        <item x="220"/>
        <item x="224"/>
        <item x="1036"/>
        <item x="3266"/>
        <item x="2786"/>
        <item x="2795"/>
        <item x="3132"/>
        <item x="2996"/>
        <item x="2997"/>
        <item x="2998"/>
        <item x="688"/>
        <item x="2471"/>
        <item x="689"/>
        <item x="690"/>
        <item x="2999"/>
        <item x="82"/>
        <item x="83"/>
        <item x="2472"/>
        <item x="691"/>
        <item x="692"/>
        <item x="1631"/>
        <item x="84"/>
        <item x="1632"/>
        <item x="3000"/>
        <item x="3001"/>
        <item x="3211"/>
        <item x="2484"/>
        <item x="3212"/>
        <item x="2486"/>
        <item x="3214"/>
        <item x="3004"/>
        <item x="3005"/>
        <item x="3008"/>
        <item x="3216"/>
        <item x="3218"/>
        <item x="3219"/>
        <item x="3222"/>
        <item x="3011"/>
        <item x="3225"/>
        <item x="726"/>
        <item x="3227"/>
        <item x="3018"/>
        <item x="3019"/>
        <item x="3228"/>
        <item x="3020"/>
        <item x="1657"/>
        <item x="2514"/>
        <item x="91"/>
        <item x="733"/>
        <item x="2515"/>
        <item x="2516"/>
        <item x="1658"/>
        <item x="92"/>
        <item x="734"/>
        <item x="3021"/>
        <item x="93"/>
        <item x="3022"/>
        <item x="94"/>
        <item x="2517"/>
        <item x="3023"/>
        <item x="95"/>
        <item x="96"/>
        <item x="97"/>
        <item x="98"/>
        <item x="3025"/>
        <item x="99"/>
        <item x="100"/>
        <item x="101"/>
        <item x="735"/>
        <item x="102"/>
        <item x="736"/>
        <item x="103"/>
        <item x="3026"/>
        <item x="2519"/>
        <item x="3027"/>
        <item x="740"/>
        <item x="741"/>
        <item x="742"/>
        <item x="743"/>
        <item x="744"/>
        <item x="2522"/>
        <item x="1660"/>
        <item x="107"/>
        <item x="108"/>
        <item x="109"/>
        <item x="110"/>
        <item x="2523"/>
        <item x="745"/>
        <item x="2524"/>
        <item x="111"/>
        <item x="1661"/>
        <item x="112"/>
        <item x="113"/>
        <item x="746"/>
        <item x="747"/>
        <item x="748"/>
        <item x="749"/>
        <item x="2525"/>
        <item x="750"/>
        <item x="751"/>
        <item x="752"/>
        <item x="1662"/>
        <item x="114"/>
        <item x="115"/>
        <item x="116"/>
        <item m="1" x="4311"/>
        <item m="1" x="4182"/>
        <item x="1068"/>
        <item m="1" x="3508"/>
        <item x="244"/>
        <item m="1" x="3933"/>
        <item x="247"/>
        <item x="1077"/>
        <item m="1" x="4084"/>
        <item x="232"/>
        <item x="249"/>
        <item m="1" x="3974"/>
        <item m="1" x="3934"/>
        <item x="2094"/>
        <item x="3162"/>
        <item x="2151"/>
        <item m="1" x="3986"/>
        <item x="306"/>
        <item m="1" x="3939"/>
        <item x="2153"/>
        <item x="2845"/>
        <item m="1" x="4059"/>
        <item x="307"/>
        <item x="308"/>
        <item m="1" x="4086"/>
        <item x="2851"/>
        <item x="2879"/>
        <item m="1" x="3987"/>
        <item x="2880"/>
        <item m="1" x="3989"/>
        <item m="1" x="3990"/>
        <item m="1" x="3942"/>
        <item m="1" x="4036"/>
        <item x="2881"/>
        <item x="1240"/>
        <item m="1" x="4352"/>
        <item m="1" x="4315"/>
        <item m="1" x="4268"/>
        <item m="1" x="4269"/>
        <item m="1" x="4087"/>
        <item x="1212"/>
        <item x="335"/>
        <item x="554"/>
        <item m="1" x="3945"/>
        <item x="1227"/>
        <item m="1" x="4150"/>
        <item m="1" x="4062"/>
        <item x="19"/>
        <item m="1" x="3946"/>
        <item m="1" x="4197"/>
        <item x="2176"/>
        <item x="28"/>
        <item x="373"/>
        <item m="1" x="3661"/>
        <item x="991"/>
        <item m="1" x="4375"/>
        <item m="1" x="4323"/>
        <item m="1" x="4380"/>
        <item m="1" x="4324"/>
        <item m="1" x="3808"/>
        <item m="1" x="3809"/>
        <item m="1" x="3807"/>
        <item m="1" x="3806"/>
        <item x="1320"/>
        <item x="1321"/>
        <item x="1322"/>
        <item x="1323"/>
        <item x="1324"/>
        <item x="1325"/>
        <item x="2903"/>
        <item x="1326"/>
        <item x="403"/>
        <item x="1327"/>
        <item x="404"/>
        <item x="2254"/>
        <item x="1328"/>
        <item x="1329"/>
        <item x="1330"/>
        <item x="2904"/>
        <item x="1331"/>
        <item x="1332"/>
        <item x="2905"/>
        <item x="2255"/>
        <item x="3172"/>
        <item x="1333"/>
        <item x="405"/>
        <item x="406"/>
        <item x="407"/>
        <item x="1334"/>
        <item x="1335"/>
        <item x="1336"/>
        <item x="1337"/>
        <item x="2906"/>
        <item x="2256"/>
        <item x="408"/>
        <item x="409"/>
        <item x="3173"/>
        <item x="410"/>
        <item x="2257"/>
        <item x="2258"/>
        <item x="2907"/>
        <item x="411"/>
        <item x="1338"/>
        <item x="412"/>
        <item x="1339"/>
        <item x="1340"/>
        <item x="413"/>
        <item x="1341"/>
        <item x="414"/>
        <item x="415"/>
        <item x="416"/>
        <item x="417"/>
        <item x="1342"/>
        <item x="2259"/>
        <item x="2260"/>
        <item x="1343"/>
        <item x="1344"/>
        <item x="1345"/>
        <item x="2261"/>
        <item x="418"/>
        <item x="419"/>
        <item x="420"/>
        <item x="1346"/>
        <item x="421"/>
        <item x="2262"/>
        <item x="2263"/>
        <item x="2264"/>
        <item x="2265"/>
        <item x="2266"/>
        <item x="2267"/>
        <item x="1348"/>
        <item x="1349"/>
        <item x="1350"/>
        <item x="1351"/>
        <item x="1352"/>
        <item x="2268"/>
        <item x="1353"/>
        <item x="1354"/>
        <item x="1355"/>
        <item x="1356"/>
        <item x="422"/>
        <item x="1357"/>
        <item x="1358"/>
        <item x="2269"/>
        <item x="2270"/>
        <item x="1359"/>
        <item x="1360"/>
        <item x="2908"/>
        <item x="1361"/>
        <item x="1362"/>
        <item x="2271"/>
        <item x="423"/>
        <item x="1363"/>
        <item x="1364"/>
        <item x="2272"/>
        <item x="1365"/>
        <item x="2273"/>
        <item x="2274"/>
        <item x="425"/>
        <item x="426"/>
        <item x="427"/>
        <item x="35"/>
        <item x="2909"/>
        <item x="1366"/>
        <item x="428"/>
        <item x="2910"/>
        <item x="2275"/>
        <item x="1367"/>
        <item x="1368"/>
        <item x="1369"/>
        <item x="1370"/>
        <item x="429"/>
        <item x="430"/>
        <item x="431"/>
        <item x="1371"/>
        <item x="2276"/>
        <item x="2911"/>
        <item x="432"/>
        <item x="2912"/>
        <item x="2913"/>
        <item x="2914"/>
        <item x="2915"/>
        <item x="2277"/>
        <item x="2278"/>
        <item x="1372"/>
        <item x="1373"/>
        <item x="1374"/>
        <item x="1375"/>
        <item x="1376"/>
        <item x="2916"/>
        <item x="2279"/>
        <item x="1377"/>
        <item x="1378"/>
        <item x="2918"/>
        <item x="2919"/>
        <item x="433"/>
        <item x="434"/>
        <item x="1379"/>
        <item x="435"/>
        <item x="1380"/>
        <item x="436"/>
        <item x="1381"/>
        <item x="1382"/>
        <item x="37"/>
        <item x="2920"/>
        <item x="2921"/>
        <item x="437"/>
        <item x="1385"/>
        <item x="438"/>
        <item x="2280"/>
        <item x="1386"/>
        <item x="2282"/>
        <item x="1387"/>
        <item x="1388"/>
        <item x="1389"/>
        <item x="440"/>
        <item x="1390"/>
        <item x="2922"/>
        <item x="441"/>
        <item x="2283"/>
        <item x="2284"/>
        <item x="2285"/>
        <item x="2932"/>
        <item x="462"/>
        <item x="463"/>
        <item x="464"/>
        <item x="465"/>
        <item x="46"/>
        <item x="47"/>
        <item m="1" x="4327"/>
        <item m="1" x="4283"/>
        <item m="1" x="4158"/>
        <item m="1" x="4210"/>
        <item m="1" x="4211"/>
        <item x="1425"/>
        <item m="1" x="4329"/>
        <item m="1" x="4256"/>
        <item x="680"/>
        <item m="1" x="4007"/>
        <item m="1" x="4008"/>
        <item x="480"/>
        <item m="1" x="3737"/>
        <item m="1" x="4111"/>
        <item m="1" x="3738"/>
        <item m="1" x="3958"/>
        <item x="1433"/>
        <item x="1456"/>
        <item x="1457"/>
        <item x="1458"/>
        <item x="2340"/>
        <item m="1" x="3741"/>
        <item x="3188"/>
        <item m="1" x="4242"/>
        <item m="1" x="4243"/>
        <item x="1623"/>
        <item m="1" x="4245"/>
        <item m="1" x="4388"/>
        <item m="1" x="4246"/>
        <item m="1" x="4247"/>
        <item m="1" x="3755"/>
        <item m="1" x="4389"/>
        <item m="1" x="4390"/>
        <item m="1" x="4391"/>
        <item m="1" x="3759"/>
        <item x="543"/>
        <item x="546"/>
        <item m="1" x="3761"/>
        <item x="2377"/>
        <item x="2370"/>
        <item x="553"/>
        <item x="2438"/>
        <item x="2439"/>
        <item x="1598"/>
        <item x="753"/>
        <item x="117"/>
        <item x="754"/>
        <item x="118"/>
        <item x="2543"/>
        <item x="1690"/>
        <item m="1" x="4125"/>
        <item m="1" x="3833"/>
        <item x="1691"/>
        <item x="800"/>
        <item x="1718"/>
        <item x="1704"/>
        <item x="3038"/>
        <item x="789"/>
        <item x="792"/>
        <item m="1" x="3846"/>
        <item m="1" x="3847"/>
        <item m="1" x="3848"/>
        <item m="1" x="3845"/>
        <item x="1788"/>
        <item x="866"/>
        <item x="157"/>
        <item x="3474"/>
        <item x="3438"/>
        <item x="3439"/>
        <item x="3440"/>
        <item x="3441"/>
        <item x="3442"/>
        <item x="3500"/>
        <item x="3444"/>
        <item x="3445"/>
        <item x="3446"/>
        <item x="3447"/>
        <item x="1804"/>
        <item x="1805"/>
        <item x="1806"/>
        <item x="3448"/>
        <item x="1807"/>
        <item x="878"/>
        <item x="1808"/>
        <item x="1831"/>
        <item x="1832"/>
        <item x="1830"/>
        <item x="910"/>
        <item x="909"/>
        <item m="1" x="3913"/>
        <item x="1895"/>
        <item x="2664"/>
        <item x="1905"/>
        <item x="2668"/>
        <item x="3060"/>
        <item x="2669"/>
        <item x="974"/>
        <item x="2672"/>
        <item x="1906"/>
        <item x="2673"/>
        <item x="2674"/>
        <item x="1908"/>
        <item x="1909"/>
        <item x="2675"/>
        <item x="2676"/>
        <item x="1977"/>
        <item x="3083"/>
        <item m="1" x="4054"/>
        <item x="2722"/>
        <item x="1988"/>
        <item x="2736"/>
        <item x="2004"/>
        <item x="2741"/>
        <item x="1015"/>
        <item m="1" x="4223"/>
        <item x="3097"/>
        <item x="3098"/>
        <item x="2030"/>
        <item x="2031"/>
        <item x="207"/>
        <item x="2032"/>
        <item x="2039"/>
        <item x="3111"/>
        <item x="2046"/>
        <item m="1" x="4379"/>
        <item x="3112"/>
        <item x="1031"/>
        <item x="1039"/>
        <item x="2780"/>
        <item x="2804"/>
        <item x="216"/>
        <item x="1051"/>
        <item x="2777"/>
        <item x="3118"/>
        <item x="2066"/>
        <item x="2065"/>
        <item x="217"/>
        <item x="2815"/>
        <item x="1035"/>
        <item x="3139"/>
        <item x="3131"/>
        <item x="2063"/>
        <item x="2799"/>
        <item x="3254"/>
        <item x="3117"/>
        <item x="3126"/>
        <item x="1040"/>
        <item x="3120"/>
        <item x="1045"/>
        <item x="2055"/>
        <item x="2796"/>
        <item x="2800"/>
        <item x="2067"/>
        <item x="2798"/>
        <item x="1047"/>
        <item x="2772"/>
        <item x="3127"/>
        <item x="2792"/>
        <item x="2073"/>
        <item x="3125"/>
        <item x="2060"/>
        <item x="1048"/>
        <item x="2791"/>
        <item x="3256"/>
        <item x="65"/>
        <item x="67"/>
        <item x="70"/>
        <item m="1" x="3931"/>
        <item x="188"/>
        <item x="197"/>
        <item m="1" x="3528"/>
        <item m="1" x="3569"/>
        <item m="1" x="3628"/>
        <item m="1" x="4271"/>
        <item m="1" x="4104"/>
        <item m="1" x="4272"/>
        <item m="1" x="4273"/>
        <item m="1" x="4105"/>
        <item x="571"/>
        <item x="1509"/>
        <item m="1" x="3768"/>
        <item x="576"/>
        <item x="577"/>
        <item x="578"/>
        <item x="580"/>
        <item m="1" x="3770"/>
        <item x="583"/>
        <item x="584"/>
        <item x="587"/>
        <item x="588"/>
        <item x="3327"/>
        <item x="589"/>
        <item x="1532"/>
        <item x="592"/>
        <item x="595"/>
        <item x="596"/>
        <item x="597"/>
        <item x="1510"/>
        <item x="2383"/>
        <item x="603"/>
        <item x="1544"/>
        <item x="604"/>
        <item x="605"/>
        <item x="606"/>
        <item x="607"/>
        <item x="608"/>
        <item m="1" x="3783"/>
        <item m="1" x="3784"/>
        <item m="1" x="3785"/>
        <item m="1" x="4304"/>
        <item m="1" x="4126"/>
        <item x="923"/>
        <item m="1" x="3970"/>
        <item m="1" x="3881"/>
        <item x="931"/>
        <item x="932"/>
        <item x="939"/>
        <item x="950"/>
        <item x="952"/>
        <item x="1873"/>
        <item x="956"/>
        <item x="949"/>
        <item m="1" x="3567"/>
        <item m="1" x="3568"/>
        <item m="1" x="3582"/>
        <item m="1" x="3584"/>
        <item x="1848"/>
        <item m="1" x="4152"/>
        <item x="1505"/>
        <item x="2385"/>
        <item x="1512"/>
        <item x="1513"/>
        <item x="1515"/>
        <item x="1518"/>
        <item x="1519"/>
        <item m="1" x="4012"/>
        <item x="1521"/>
        <item m="1" x="3774"/>
        <item x="1523"/>
        <item x="1527"/>
        <item x="1528"/>
        <item x="1529"/>
        <item x="1530"/>
        <item x="1531"/>
        <item x="1533"/>
        <item x="1534"/>
        <item x="1535"/>
        <item m="1" x="4218"/>
        <item x="1536"/>
        <item x="1538"/>
        <item x="1539"/>
        <item x="2079"/>
        <item x="1540"/>
        <item x="1542"/>
        <item x="1548"/>
        <item x="2435"/>
        <item x="1552"/>
        <item x="1554"/>
        <item m="1" x="3786"/>
        <item m="1" x="3787"/>
        <item m="1" x="3788"/>
        <item x="1855"/>
        <item x="1860"/>
        <item x="1863"/>
        <item x="1867"/>
        <item m="1" x="3884"/>
        <item m="1" x="3591"/>
        <item m="1" x="3592"/>
        <item m="1" x="3593"/>
        <item m="1" x="3599"/>
        <item m="1" x="4356"/>
        <item m="1" x="4199"/>
        <item m="1" x="4198"/>
        <item x="2374"/>
        <item x="2379"/>
        <item x="2380"/>
        <item x="2363"/>
        <item x="2381"/>
        <item x="2382"/>
        <item x="2384"/>
        <item x="2387"/>
        <item x="2388"/>
        <item x="2389"/>
        <item x="2391"/>
        <item x="2223"/>
        <item x="2393"/>
        <item x="2394"/>
        <item x="2398"/>
        <item x="2399"/>
        <item x="2400"/>
        <item x="2402"/>
        <item x="2405"/>
        <item x="2406"/>
        <item x="2407"/>
        <item x="2408"/>
        <item x="2410"/>
        <item x="2411"/>
        <item x="2412"/>
        <item x="2413"/>
        <item x="2415"/>
        <item x="2416"/>
        <item x="2417"/>
        <item x="2418"/>
        <item x="2420"/>
        <item x="2421"/>
        <item x="2424"/>
        <item x="2425"/>
        <item x="2426"/>
        <item x="2427"/>
        <item x="2428"/>
        <item x="2432"/>
        <item x="2434"/>
        <item x="2436"/>
        <item m="1" x="3791"/>
        <item m="1" x="3792"/>
        <item m="1" x="3793"/>
        <item m="1" x="3794"/>
        <item m="1" x="4220"/>
        <item x="2641"/>
        <item x="2642"/>
        <item x="2646"/>
        <item x="2647"/>
        <item m="1" x="3606"/>
        <item m="1" x="4372"/>
        <item m="1" x="4373"/>
        <item m="1" x="4374"/>
        <item x="2966"/>
        <item x="2969"/>
        <item x="2970"/>
        <item x="2971"/>
        <item x="2972"/>
        <item x="2973"/>
        <item x="2974"/>
        <item x="2975"/>
        <item x="3201"/>
        <item x="3202"/>
        <item x="3203"/>
        <item x="3205"/>
        <item x="3206"/>
        <item m="1" x="3796"/>
        <item x="3323"/>
        <item x="3329"/>
        <item x="3330"/>
        <item m="1" x="3917"/>
        <item m="1" x="3507"/>
        <item x="16"/>
        <item m="1" x="3612"/>
        <item x="347"/>
        <item x="348"/>
        <item m="1" x="3636"/>
        <item m="1" x="3922"/>
        <item x="3190"/>
        <item x="66"/>
        <item x="756"/>
        <item x="119"/>
        <item x="120"/>
        <item x="761"/>
        <item x="151"/>
        <item x="158"/>
        <item x="159"/>
        <item x="160"/>
        <item x="161"/>
        <item x="178"/>
        <item m="1" x="3851"/>
        <item m="1" x="4095"/>
        <item x="215"/>
        <item x="218"/>
        <item x="219"/>
        <item x="225"/>
        <item x="226"/>
        <item x="245"/>
        <item x="237"/>
        <item m="1" x="4096"/>
        <item x="251"/>
        <item x="310"/>
        <item x="311"/>
        <item x="312"/>
        <item x="313"/>
        <item x="314"/>
        <item x="1243"/>
        <item x="345"/>
        <item x="346"/>
        <item m="1" x="3629"/>
        <item x="374"/>
        <item x="1057"/>
        <item x="424"/>
        <item x="466"/>
        <item x="350"/>
        <item x="475"/>
        <item x="476"/>
        <item m="1" x="3959"/>
        <item m="1" x="3960"/>
        <item m="1" x="3961"/>
        <item x="499"/>
        <item x="515"/>
        <item x="500"/>
        <item x="3191"/>
        <item x="3192"/>
        <item x="3194"/>
        <item x="3195"/>
        <item x="532"/>
        <item x="534"/>
        <item x="536"/>
        <item x="547"/>
        <item x="549"/>
        <item x="551"/>
        <item x="555"/>
        <item x="564"/>
        <item m="1" x="4120"/>
        <item x="590"/>
        <item x="651"/>
        <item x="652"/>
        <item x="653"/>
        <item x="676"/>
        <item x="755"/>
        <item x="757"/>
        <item x="758"/>
        <item x="759"/>
        <item x="760"/>
        <item x="762"/>
        <item x="805"/>
        <item x="786"/>
        <item x="816"/>
        <item x="799"/>
        <item x="867"/>
        <item x="868"/>
        <item x="869"/>
        <item x="870"/>
        <item x="3480"/>
        <item m="1" x="4127"/>
        <item x="938"/>
        <item m="1" x="3882"/>
        <item m="1" x="4128"/>
        <item m="1" x="4129"/>
        <item m="1" x="4130"/>
        <item m="1" x="4131"/>
        <item x="969"/>
        <item x="975"/>
        <item x="976"/>
        <item x="977"/>
        <item x="978"/>
        <item x="979"/>
        <item x="1032"/>
        <item x="2051"/>
        <item x="2071"/>
        <item x="1037"/>
        <item x="2075"/>
        <item x="1042"/>
        <item x="1043"/>
        <item x="1044"/>
        <item x="1050"/>
        <item x="1053"/>
        <item m="1" x="3975"/>
        <item x="1062"/>
        <item x="1078"/>
        <item m="1" x="4133"/>
        <item m="1" x="3983"/>
        <item m="1" x="3617"/>
        <item m="1" x="3618"/>
        <item x="1169"/>
        <item m="1" x="3984"/>
        <item x="1170"/>
        <item x="1171"/>
        <item m="1" x="3619"/>
        <item x="1241"/>
        <item x="1242"/>
        <item x="1245"/>
        <item x="1246"/>
        <item x="1248"/>
        <item x="2204"/>
        <item x="1250"/>
        <item x="1251"/>
        <item x="1252"/>
        <item x="1253"/>
        <item x="1307"/>
        <item x="1424"/>
        <item x="1426"/>
        <item m="1" x="4009"/>
        <item m="1" x="4010"/>
        <item x="1454"/>
        <item x="1459"/>
        <item x="1460"/>
        <item x="1461"/>
        <item x="1462"/>
        <item x="3193"/>
        <item x="1473"/>
        <item m="1" x="4167"/>
        <item x="1476"/>
        <item x="1477"/>
        <item x="1478"/>
        <item x="1481"/>
        <item x="1501"/>
        <item x="1525"/>
        <item x="1601"/>
        <item x="1602"/>
        <item x="1606"/>
        <item x="1607"/>
        <item x="1663"/>
        <item x="1664"/>
        <item x="1694"/>
        <item x="1699"/>
        <item x="1721"/>
        <item x="1698"/>
        <item x="1726"/>
        <item x="1725"/>
        <item x="1789"/>
        <item m="1" x="4177"/>
        <item x="1790"/>
        <item x="1791"/>
        <item x="1809"/>
        <item x="1810"/>
        <item x="1811"/>
        <item x="1812"/>
        <item x="1813"/>
        <item x="1814"/>
        <item x="1815"/>
        <item x="1816"/>
        <item x="3495"/>
        <item x="1817"/>
        <item x="1836"/>
        <item m="1" x="4179"/>
        <item x="1865"/>
        <item m="1" x="4180"/>
        <item m="1" x="4181"/>
        <item x="1896"/>
        <item x="1912"/>
        <item x="1913"/>
        <item x="1914"/>
        <item x="1918"/>
        <item x="1919"/>
        <item x="1920"/>
        <item x="1921"/>
        <item x="1922"/>
        <item x="1979"/>
        <item x="2033"/>
        <item x="2056"/>
        <item x="2064"/>
        <item x="2068"/>
        <item x="2070"/>
        <item x="2072"/>
        <item x="2074"/>
        <item x="2089"/>
        <item m="1" x="4184"/>
        <item m="1" x="4033"/>
        <item x="2155"/>
        <item x="2156"/>
        <item m="1" x="3620"/>
        <item x="2201"/>
        <item x="2202"/>
        <item x="2203"/>
        <item x="2205"/>
        <item x="2206"/>
        <item x="2207"/>
        <item x="2694"/>
        <item m="1" x="4207"/>
        <item x="2329"/>
        <item x="2330"/>
        <item m="1" x="4045"/>
        <item x="2338"/>
        <item x="2341"/>
        <item x="2352"/>
        <item x="2353"/>
        <item x="2354"/>
        <item x="3196"/>
        <item x="2360"/>
        <item x="2361"/>
        <item x="2369"/>
        <item m="1" x="3764"/>
        <item x="2375"/>
        <item x="2404"/>
        <item x="2433"/>
        <item x="2448"/>
        <item x="2451"/>
        <item x="2452"/>
        <item x="2453"/>
        <item x="2454"/>
        <item m="1" x="4219"/>
        <item x="2526"/>
        <item x="2527"/>
        <item x="2563"/>
        <item x="2551"/>
        <item x="2561"/>
        <item x="2562"/>
        <item x="2553"/>
        <item x="2607"/>
        <item x="2608"/>
        <item x="2619"/>
        <item x="2620"/>
        <item x="3476"/>
        <item x="2621"/>
        <item x="2623"/>
        <item x="2634"/>
        <item x="2665"/>
        <item x="2678"/>
        <item x="2679"/>
        <item x="2681"/>
        <item x="2682"/>
        <item x="2683"/>
        <item x="2684"/>
        <item x="2685"/>
        <item x="2767"/>
        <item x="3122"/>
        <item x="2775"/>
        <item x="2776"/>
        <item x="2779"/>
        <item x="3128"/>
        <item x="2781"/>
        <item x="2783"/>
        <item x="2784"/>
        <item x="2788"/>
        <item x="2789"/>
        <item x="2790"/>
        <item x="2793"/>
        <item x="2806"/>
        <item x="2830"/>
        <item x="2847"/>
        <item x="2882"/>
        <item x="1247"/>
        <item m="1" x="3701"/>
        <item m="1" x="4229"/>
        <item m="1" x="4069"/>
        <item x="2953"/>
        <item m="1" x="3765"/>
        <item m="1" x="3766"/>
        <item x="2977"/>
        <item m="1" x="4071"/>
        <item x="2985"/>
        <item x="2986"/>
        <item x="2987"/>
        <item x="3024"/>
        <item x="3050"/>
        <item x="3062"/>
        <item x="3065"/>
        <item x="3066"/>
        <item x="3067"/>
        <item x="3108"/>
        <item x="3109"/>
        <item x="2992"/>
        <item x="3114"/>
        <item x="3115"/>
        <item x="3119"/>
        <item x="3121"/>
        <item x="3130"/>
        <item x="3134"/>
        <item x="3135"/>
        <item x="3137"/>
        <item x="3138"/>
        <item x="3140"/>
        <item x="3141"/>
        <item x="3142"/>
        <item x="3143"/>
        <item x="3144"/>
        <item x="236"/>
        <item x="3204"/>
        <item x="3177"/>
        <item x="3176"/>
        <item x="3179"/>
        <item x="3199"/>
        <item x="3207"/>
        <item x="3208"/>
        <item x="3248"/>
        <item m="1" x="4072"/>
        <item x="3255"/>
        <item x="3258"/>
        <item x="3259"/>
        <item x="3260"/>
        <item x="3262"/>
        <item x="3265"/>
        <item x="1963"/>
        <item x="3181"/>
        <item x="3449"/>
        <item x="3450"/>
        <item x="3479"/>
        <item x="3451"/>
        <item x="3452"/>
        <item x="3453"/>
        <item x="3473"/>
        <item x="3454"/>
        <item x="3455"/>
        <item x="3456"/>
        <item x="3484"/>
        <item x="3457"/>
        <item x="3458"/>
        <item x="3459"/>
        <item x="2"/>
        <item x="1"/>
        <item x="6"/>
        <item m="1" x="3919"/>
        <item x="22"/>
        <item x="29"/>
        <item x="40"/>
        <item x="52"/>
        <item x="55"/>
        <item x="56"/>
        <item x="61"/>
        <item m="1" x="3758"/>
        <item x="62"/>
        <item x="121"/>
        <item x="122"/>
        <item x="123"/>
        <item x="124"/>
        <item x="125"/>
        <item x="126"/>
        <item x="127"/>
        <item x="128"/>
        <item x="149"/>
        <item x="162"/>
        <item x="990"/>
        <item x="208"/>
        <item x="211"/>
        <item x="228"/>
        <item m="1" x="3509"/>
        <item x="246"/>
        <item x="257"/>
        <item x="242"/>
        <item x="238"/>
        <item x="250"/>
        <item x="1073"/>
        <item x="235"/>
        <item x="240"/>
        <item m="1" x="3936"/>
        <item m="1" x="3937"/>
        <item m="1" x="3938"/>
        <item x="316"/>
        <item x="315"/>
        <item x="352"/>
        <item x="370"/>
        <item x="391"/>
        <item x="392"/>
        <item x="394"/>
        <item x="395"/>
        <item x="467"/>
        <item x="513"/>
        <item x="514"/>
        <item x="522"/>
        <item x="523"/>
        <item x="524"/>
        <item x="525"/>
        <item x="527"/>
        <item x="3186"/>
        <item x="563"/>
        <item x="539"/>
        <item x="559"/>
        <item x="654"/>
        <item x="655"/>
        <item x="656"/>
        <item x="574"/>
        <item x="585"/>
        <item x="591"/>
        <item x="1594"/>
        <item x="669"/>
        <item x="763"/>
        <item x="764"/>
        <item x="765"/>
        <item x="766"/>
        <item x="767"/>
        <item x="768"/>
        <item x="790"/>
        <item x="1706"/>
        <item x="804"/>
        <item x="787"/>
        <item x="797"/>
        <item x="871"/>
        <item x="872"/>
        <item x="3346"/>
        <item x="3397"/>
        <item x="879"/>
        <item x="3462"/>
        <item x="3466"/>
        <item x="3468"/>
        <item x="3470"/>
        <item x="911"/>
        <item x="970"/>
        <item x="983"/>
        <item x="986"/>
        <item x="987"/>
        <item x="989"/>
        <item x="1014"/>
        <item x="1056"/>
        <item x="1058"/>
        <item x="1072"/>
        <item x="1069"/>
        <item x="1070"/>
        <item x="1074"/>
        <item x="1063"/>
        <item m="1" x="3980"/>
        <item m="1" x="3981"/>
        <item m="1" x="3982"/>
        <item x="1175"/>
        <item x="1172"/>
        <item x="1173"/>
        <item x="1174"/>
        <item x="1254"/>
        <item x="1255"/>
        <item x="1288"/>
        <item m="1" x="3633"/>
        <item m="1" x="3646"/>
        <item m="1" x="3991"/>
        <item m="1" x="3992"/>
        <item m="1" x="3647"/>
        <item x="1304"/>
        <item x="1309"/>
        <item x="1310"/>
        <item x="1311"/>
        <item x="1312"/>
        <item m="1" x="3810"/>
        <item m="1" x="3811"/>
        <item x="1427"/>
        <item x="1595"/>
        <item x="1465"/>
        <item x="1466"/>
        <item x="1467"/>
        <item x="1468"/>
        <item x="3184"/>
        <item x="3187"/>
        <item x="1482"/>
        <item x="1504"/>
        <item x="1488"/>
        <item x="1492"/>
        <item x="1503"/>
        <item x="1502"/>
        <item x="1484"/>
        <item x="1516"/>
        <item x="1526"/>
        <item x="1541"/>
        <item x="1543"/>
        <item x="1608"/>
        <item x="1610"/>
        <item x="1665"/>
        <item x="1666"/>
        <item x="1667"/>
        <item x="1668"/>
        <item x="1669"/>
        <item x="1670"/>
        <item x="1671"/>
        <item x="1724"/>
        <item x="1692"/>
        <item x="1712"/>
        <item x="1713"/>
        <item x="1697"/>
        <item x="1792"/>
        <item x="1793"/>
        <item x="1818"/>
        <item x="3460"/>
        <item x="3465"/>
        <item x="3467"/>
        <item m="1" x="3862"/>
        <item x="1929"/>
        <item x="1932"/>
        <item x="1935"/>
        <item x="1936"/>
        <item x="1937"/>
        <item x="1939"/>
        <item x="1941"/>
        <item x="1944"/>
        <item x="1947"/>
        <item x="1948"/>
        <item x="1978"/>
        <item x="1994"/>
        <item x="2016"/>
        <item x="2034"/>
        <item x="2035"/>
        <item x="2041"/>
        <item x="2076"/>
        <item x="2077"/>
        <item x="2078"/>
        <item x="2080"/>
        <item x="255"/>
        <item m="1" x="4030"/>
        <item x="2210"/>
        <item x="2211"/>
        <item x="2212"/>
        <item x="2213"/>
        <item x="2214"/>
        <item x="2215"/>
        <item m="1" x="3651"/>
        <item m="1" x="3652"/>
        <item x="2246"/>
        <item x="2249"/>
        <item x="2331"/>
        <item x="2355"/>
        <item x="2956"/>
        <item x="2357"/>
        <item x="3183"/>
        <item x="2371"/>
        <item x="2372"/>
        <item x="2373"/>
        <item x="2364"/>
        <item x="2959"/>
        <item x="2401"/>
        <item x="2409"/>
        <item x="2419"/>
        <item x="2422"/>
        <item x="2457"/>
        <item x="2458"/>
        <item x="2555"/>
        <item x="2554"/>
        <item x="2549"/>
        <item x="2550"/>
        <item x="2610"/>
        <item x="2611"/>
        <item x="2622"/>
        <item x="3463"/>
        <item x="3469"/>
        <item m="1" x="3865"/>
        <item x="2698"/>
        <item x="2699"/>
        <item x="2700"/>
        <item x="2702"/>
        <item x="2745"/>
        <item x="2747"/>
        <item x="2761"/>
        <item x="2807"/>
        <item x="3150"/>
        <item x="2808"/>
        <item x="2809"/>
        <item x="2817"/>
        <item x="2816"/>
        <item m="1" x="4058"/>
        <item x="2849"/>
        <item x="2848"/>
        <item x="2883"/>
        <item x="2900"/>
        <item x="2954"/>
        <item x="3182"/>
        <item x="2960"/>
        <item x="2964"/>
        <item x="2968"/>
        <item x="3464"/>
        <item x="3070"/>
        <item x="3086"/>
        <item x="3145"/>
        <item x="3146"/>
        <item x="3147"/>
        <item x="3148"/>
        <item x="3149"/>
        <item x="3158"/>
        <item x="3198"/>
        <item x="3461"/>
        <item x="3267"/>
        <item x="3268"/>
        <item x="3185"/>
        <item x="3189"/>
        <item x="0"/>
        <item x="239"/>
        <item x="241"/>
        <item x="1067"/>
        <item x="1076"/>
        <item x="2091"/>
        <item x="2092"/>
        <item x="2097"/>
        <item x="2098"/>
        <item x="1082"/>
        <item x="2099"/>
        <item x="2818"/>
        <item x="260"/>
        <item x="2100"/>
        <item x="1083"/>
        <item x="2819"/>
        <item x="261"/>
        <item x="2101"/>
        <item x="2102"/>
        <item x="262"/>
        <item x="1084"/>
        <item x="1085"/>
        <item x="1086"/>
        <item x="1087"/>
        <item x="1088"/>
        <item x="1089"/>
        <item x="1090"/>
        <item x="2103"/>
        <item x="2820"/>
        <item x="2104"/>
        <item x="2105"/>
        <item x="2106"/>
        <item x="263"/>
        <item x="2821"/>
        <item x="2107"/>
        <item x="264"/>
        <item x="2108"/>
        <item x="1091"/>
        <item x="1092"/>
        <item x="1093"/>
        <item x="1094"/>
        <item x="1095"/>
        <item x="1096"/>
        <item x="1097"/>
        <item x="1098"/>
        <item x="2822"/>
        <item x="1099"/>
        <item x="265"/>
        <item x="1100"/>
        <item x="1101"/>
        <item x="266"/>
        <item x="2823"/>
        <item x="268"/>
        <item x="269"/>
        <item x="1102"/>
        <item x="2109"/>
        <item x="270"/>
        <item x="7"/>
        <item x="1103"/>
        <item x="271"/>
        <item x="2110"/>
        <item x="1105"/>
        <item x="1106"/>
        <item x="2111"/>
        <item x="272"/>
        <item x="273"/>
        <item x="1111"/>
        <item x="275"/>
        <item x="276"/>
        <item x="1112"/>
        <item x="1113"/>
        <item x="277"/>
        <item x="278"/>
        <item x="1114"/>
        <item x="1115"/>
        <item x="1116"/>
        <item x="1117"/>
        <item x="279"/>
        <item x="1118"/>
        <item x="1119"/>
        <item x="1120"/>
        <item x="280"/>
        <item x="1121"/>
        <item x="8"/>
        <item x="9"/>
        <item x="2112"/>
        <item x="1122"/>
        <item x="281"/>
        <item x="1127"/>
        <item x="1128"/>
        <item x="2828"/>
        <item x="1129"/>
        <item x="1130"/>
        <item x="284"/>
        <item x="285"/>
        <item x="1131"/>
        <item x="286"/>
        <item x="2113"/>
        <item x="2829"/>
        <item x="1132"/>
        <item x="1133"/>
        <item x="287"/>
        <item x="1134"/>
        <item x="3273"/>
        <item x="2115"/>
        <item x="288"/>
        <item x="2116"/>
        <item x="289"/>
        <item x="290"/>
        <item x="1135"/>
        <item x="2117"/>
        <item x="2118"/>
        <item x="291"/>
        <item x="2119"/>
        <item x="292"/>
        <item x="1136"/>
        <item x="2120"/>
        <item x="1139"/>
        <item m="1" x="3514"/>
        <item m="1" x="3563"/>
        <item m="1" x="3589"/>
        <item m="1" x="3590"/>
        <item m="1" x="3564"/>
        <item m="1" x="3565"/>
        <item m="1" x="3526"/>
        <item m="1" x="3527"/>
        <item m="1" x="3566"/>
        <item m="1" x="3535"/>
        <item m="1" x="3536"/>
        <item m="1" x="3538"/>
        <item m="1" x="3539"/>
        <item m="1" x="3570"/>
        <item m="1" x="3540"/>
        <item m="1" x="3541"/>
        <item m="1" x="3515"/>
        <item m="1" x="3571"/>
        <item m="1" x="3542"/>
        <item m="1" x="3543"/>
        <item m="1" x="3609"/>
        <item m="1" x="3610"/>
        <item m="1" x="3611"/>
        <item x="2157"/>
        <item x="1177"/>
        <item x="318"/>
        <item x="2158"/>
        <item x="1178"/>
        <item x="1179"/>
        <item x="1180"/>
        <item m="1" x="3622"/>
        <item x="3165"/>
        <item x="2159"/>
        <item x="1181"/>
        <item x="319"/>
        <item x="1182"/>
        <item x="2161"/>
        <item x="320"/>
        <item x="1184"/>
        <item x="1185"/>
        <item x="1187"/>
        <item x="323"/>
        <item x="1190"/>
        <item x="2163"/>
        <item x="1191"/>
        <item x="324"/>
        <item x="1192"/>
        <item x="1193"/>
        <item x="1194"/>
        <item x="2855"/>
        <item x="3167"/>
        <item x="2860"/>
        <item x="1236"/>
        <item x="1237"/>
        <item x="1238"/>
        <item x="1239"/>
        <item x="344"/>
        <item x="2199"/>
        <item x="21"/>
        <item x="3170"/>
        <item x="2216"/>
        <item x="2217"/>
        <item x="2884"/>
        <item x="353"/>
        <item x="1257"/>
        <item x="1258"/>
        <item x="2219"/>
        <item x="1259"/>
        <item x="355"/>
        <item x="356"/>
        <item x="2886"/>
        <item x="357"/>
        <item x="358"/>
        <item x="24"/>
        <item x="1260"/>
        <item x="2887"/>
        <item x="1261"/>
        <item x="1209"/>
        <item x="3274"/>
        <item x="2863"/>
        <item x="1210"/>
        <item x="1219"/>
        <item x="3280"/>
        <item m="1" x="3614"/>
        <item x="2182"/>
        <item x="1223"/>
        <item x="338"/>
        <item x="3281"/>
        <item x="1224"/>
        <item x="1225"/>
        <item x="1214"/>
        <item x="339"/>
        <item x="1231"/>
        <item x="2195"/>
        <item x="2196"/>
        <item x="3276"/>
        <item x="3284"/>
        <item x="2866"/>
        <item x="3285"/>
        <item x="20"/>
        <item x="3286"/>
        <item x="341"/>
        <item x="3277"/>
        <item x="3287"/>
        <item x="3278"/>
        <item x="1234"/>
        <item x="340"/>
        <item x="343"/>
        <item x="3279"/>
        <item m="1" x="3656"/>
        <item m="1" x="3654"/>
        <item m="1" x="3657"/>
        <item x="379"/>
        <item m="1" x="3664"/>
        <item m="1" x="3662"/>
        <item m="1" x="3663"/>
        <item m="1" x="3673"/>
        <item m="1" x="3665"/>
        <item m="1" x="3678"/>
        <item m="1" x="3679"/>
        <item m="1" x="3667"/>
        <item m="1" x="3668"/>
        <item m="1" x="3674"/>
        <item m="1" x="3676"/>
        <item m="1" x="3670"/>
        <item m="1" x="3672"/>
        <item x="2248"/>
        <item x="1313"/>
        <item x="396"/>
        <item x="1314"/>
        <item x="397"/>
        <item x="398"/>
        <item m="1" x="3708"/>
        <item m="1" x="3705"/>
        <item x="445"/>
        <item x="2933"/>
        <item x="1394"/>
        <item x="2934"/>
        <item x="1395"/>
        <item x="2304"/>
        <item x="2935"/>
        <item x="1396"/>
        <item x="446"/>
        <item x="448"/>
        <item x="2317"/>
        <item x="2318"/>
        <item x="1412"/>
        <item m="1" x="3728"/>
        <item x="1428"/>
        <item x="2943"/>
        <item x="2334"/>
        <item x="481"/>
        <item x="1446"/>
        <item x="501"/>
        <item x="1447"/>
        <item x="516"/>
        <item x="517"/>
        <item x="1463"/>
        <item x="518"/>
        <item x="2955"/>
        <item x="1464"/>
        <item m="1" x="3748"/>
        <item m="1" x="3756"/>
        <item x="1471"/>
        <item x="58"/>
        <item x="535"/>
        <item x="59"/>
        <item x="540"/>
        <item x="2962"/>
        <item x="1485"/>
        <item x="556"/>
        <item x="557"/>
        <item x="1496"/>
        <item x="1497"/>
        <item x="561"/>
        <item x="63"/>
        <item x="1500"/>
        <item m="1" x="3763"/>
        <item x="567"/>
        <item x="658"/>
        <item x="1572"/>
        <item x="659"/>
        <item x="660"/>
        <item x="661"/>
        <item x="582"/>
        <item x="3075"/>
        <item x="598"/>
        <item x="601"/>
        <item x="666"/>
        <item x="2449"/>
        <item x="2983"/>
        <item m="1" x="3805"/>
        <item m="1" x="3814"/>
        <item m="1" x="3815"/>
        <item x="1599"/>
        <item x="1600"/>
        <item x="668"/>
        <item x="670"/>
        <item x="1609"/>
        <item x="671"/>
        <item x="1611"/>
        <item x="672"/>
        <item x="1612"/>
        <item m="1" x="3825"/>
        <item x="1613"/>
        <item x="2462"/>
        <item m="1" x="3829"/>
        <item m="1" x="3831"/>
        <item m="1" x="3828"/>
        <item x="769"/>
        <item x="1672"/>
        <item x="770"/>
        <item x="2528"/>
        <item x="129"/>
        <item x="1673"/>
        <item x="1674"/>
        <item x="130"/>
        <item x="131"/>
        <item x="2529"/>
        <item x="132"/>
        <item x="3229"/>
        <item x="133"/>
        <item x="134"/>
        <item x="135"/>
        <item x="771"/>
        <item x="772"/>
        <item x="136"/>
        <item x="137"/>
        <item x="773"/>
        <item x="138"/>
        <item x="2530"/>
        <item x="1675"/>
        <item x="1676"/>
        <item x="774"/>
        <item x="775"/>
        <item x="139"/>
        <item x="776"/>
        <item x="1689"/>
        <item x="3035"/>
        <item x="2545"/>
        <item x="1693"/>
        <item x="2546"/>
        <item x="788"/>
        <item x="793"/>
        <item x="798"/>
        <item x="1708"/>
        <item x="802"/>
        <item x="1710"/>
        <item x="150"/>
        <item x="1717"/>
        <item x="1722"/>
        <item m="1" x="3837"/>
        <item m="1" x="3834"/>
        <item x="1794"/>
        <item x="1795"/>
        <item x="873"/>
        <item x="2613"/>
        <item x="874"/>
        <item x="875"/>
        <item x="876"/>
        <item x="3238"/>
        <item x="877"/>
        <item x="1796"/>
        <item x="1802"/>
        <item x="3472"/>
        <item x="3475"/>
        <item x="3477"/>
        <item x="912"/>
        <item x="2633"/>
        <item x="913"/>
        <item x="914"/>
        <item x="179"/>
        <item x="180"/>
        <item x="919"/>
        <item x="183"/>
        <item x="924"/>
        <item x="186"/>
        <item x="187"/>
        <item x="929"/>
        <item x="189"/>
        <item x="940"/>
        <item m="1" x="3880"/>
        <item x="3504"/>
        <item x="2658"/>
        <item x="1924"/>
        <item x="1925"/>
        <item x="201"/>
        <item x="2686"/>
        <item x="202"/>
        <item x="2687"/>
        <item x="2688"/>
        <item x="1926"/>
        <item x="1927"/>
        <item x="2689"/>
        <item x="1928"/>
        <item x="2690"/>
        <item x="2691"/>
        <item x="3069"/>
        <item x="980"/>
        <item x="981"/>
        <item x="2703"/>
        <item x="1949"/>
        <item x="992"/>
        <item x="1950"/>
        <item x="1951"/>
        <item x="2705"/>
        <item x="1953"/>
        <item x="1954"/>
        <item x="1957"/>
        <item x="1960"/>
        <item x="1961"/>
        <item x="1965"/>
        <item x="3072"/>
        <item x="1966"/>
        <item x="3088"/>
        <item x="2036"/>
        <item x="1024"/>
        <item x="2037"/>
        <item x="2038"/>
        <item x="209"/>
        <item x="3110"/>
        <item x="1033"/>
        <item x="2810"/>
        <item x="2081"/>
        <item x="2811"/>
        <item x="3151"/>
        <item x="2082"/>
        <item x="3269"/>
        <item x="2812"/>
        <item x="3152"/>
        <item x="2084"/>
        <item x="229"/>
        <item x="26"/>
        <item x="364"/>
        <item x="365"/>
        <item x="366"/>
        <item x="367"/>
        <item x="368"/>
        <item x="369"/>
        <item x="1273"/>
        <item x="1274"/>
        <item x="1275"/>
        <item x="1277"/>
        <item x="1278"/>
        <item x="1279"/>
        <item x="1281"/>
        <item x="1283"/>
        <item x="1284"/>
        <item x="1285"/>
        <item x="1286"/>
        <item x="1287"/>
        <item x="1289"/>
        <item x="1290"/>
        <item x="2227"/>
        <item x="2228"/>
        <item x="2230"/>
        <item x="2892"/>
        <item x="2893"/>
        <item x="2902"/>
        <item m="1" x="3648"/>
        <item m="1" x="3649"/>
        <item m="1" x="3653"/>
        <item m="1" x="3716"/>
        <item m="1" x="3717"/>
        <item m="1" x="3718"/>
        <item m="1" x="3719"/>
        <item m="1" x="3720"/>
        <item m="1" x="3721"/>
        <item m="1" x="3722"/>
        <item m="1" x="3723"/>
        <item x="452"/>
        <item x="1405"/>
        <item x="456"/>
        <item x="1400"/>
        <item x="1401"/>
        <item x="1402"/>
        <item x="1403"/>
        <item x="1404"/>
        <item x="1406"/>
        <item x="2305"/>
        <item x="2307"/>
        <item x="2308"/>
        <item x="2309"/>
        <item x="2310"/>
        <item x="2936"/>
        <item x="2937"/>
        <item x="537"/>
        <item x="2958"/>
        <item m="1" x="3789"/>
        <item m="1" x="3790"/>
        <item m="1" x="3842"/>
        <item m="1" x="3843"/>
        <item m="1" x="3844"/>
        <item m="1" x="3887"/>
        <item m="1" x="3888"/>
        <item m="1" x="3889"/>
        <item m="1" x="3890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4"/>
        <item m="1" x="3905"/>
        <item m="1" x="3906"/>
        <item m="1" x="3907"/>
        <item m="1" x="3908"/>
        <item m="1" x="3910"/>
        <item x="2088"/>
        <item x="233"/>
        <item x="1065"/>
        <item x="2090"/>
        <item x="3"/>
        <item x="4"/>
        <item x="243"/>
        <item x="1075"/>
        <item x="248"/>
        <item x="253"/>
        <item x="256"/>
        <item x="1123"/>
        <item x="1124"/>
        <item x="1125"/>
        <item x="10"/>
        <item x="1126"/>
        <item x="2824"/>
        <item x="2825"/>
        <item x="2826"/>
        <item x="2827"/>
        <item x="283"/>
        <item x="1137"/>
        <item x="321"/>
        <item x="2853"/>
        <item x="2854"/>
        <item x="1188"/>
        <item x="1189"/>
        <item x="2164"/>
        <item x="2856"/>
        <item x="2165"/>
        <item x="1195"/>
        <item x="1196"/>
        <item x="2166"/>
        <item x="2857"/>
        <item x="2858"/>
        <item x="2167"/>
        <item x="2168"/>
        <item x="3166"/>
        <item x="2170"/>
        <item x="2171"/>
        <item x="1199"/>
        <item x="326"/>
        <item x="1200"/>
        <item x="1201"/>
        <item x="2859"/>
        <item x="2172"/>
        <item x="327"/>
        <item x="1202"/>
        <item x="1203"/>
        <item x="328"/>
        <item x="1204"/>
        <item x="329"/>
        <item x="2173"/>
        <item x="2861"/>
        <item x="2174"/>
        <item x="2862"/>
        <item x="2175"/>
        <item x="3168"/>
        <item x="1205"/>
        <item x="330"/>
        <item x="1206"/>
        <item x="1207"/>
        <item x="1208"/>
        <item x="1215"/>
        <item x="1216"/>
        <item x="333"/>
        <item x="2869"/>
        <item x="334"/>
        <item x="2875"/>
        <item x="3282"/>
        <item x="2188"/>
        <item x="2189"/>
        <item x="2191"/>
        <item x="3283"/>
        <item x="2208"/>
        <item x="2209"/>
        <item x="349"/>
        <item x="2218"/>
        <item x="1256"/>
        <item x="2885"/>
        <item x="354"/>
        <item x="359"/>
        <item x="2220"/>
        <item x="360"/>
        <item x="1262"/>
        <item x="2221"/>
        <item x="2222"/>
        <item x="1263"/>
        <item x="2224"/>
        <item x="1264"/>
        <item x="1265"/>
        <item x="1266"/>
        <item x="2888"/>
        <item x="2889"/>
        <item x="2890"/>
        <item x="1267"/>
        <item x="1268"/>
        <item x="1269"/>
        <item x="2891"/>
        <item x="371"/>
        <item x="372"/>
        <item x="381"/>
        <item x="1295"/>
        <item x="382"/>
        <item x="383"/>
        <item x="2237"/>
        <item x="2895"/>
        <item x="384"/>
        <item x="385"/>
        <item x="386"/>
        <item x="1296"/>
        <item x="387"/>
        <item x="388"/>
        <item x="393"/>
        <item x="1308"/>
        <item x="2247"/>
        <item x="3171"/>
        <item x="31"/>
        <item x="2251"/>
        <item x="2901"/>
        <item x="1315"/>
        <item x="399"/>
        <item x="2252"/>
        <item x="1316"/>
        <item x="32"/>
        <item x="2253"/>
        <item x="400"/>
        <item x="401"/>
        <item x="1317"/>
        <item x="402"/>
        <item x="33"/>
        <item x="1318"/>
        <item x="1319"/>
        <item x="34"/>
        <item x="41"/>
        <item x="2303"/>
        <item x="449"/>
        <item x="1397"/>
        <item x="450"/>
        <item x="451"/>
        <item x="1398"/>
        <item x="42"/>
        <item x="2306"/>
        <item x="1399"/>
        <item x="453"/>
        <item x="454"/>
        <item x="455"/>
        <item x="2311"/>
        <item x="2312"/>
        <item x="457"/>
        <item x="43"/>
        <item x="2938"/>
        <item x="1407"/>
        <item x="1408"/>
        <item x="1409"/>
        <item x="1410"/>
        <item x="1419"/>
        <item x="2947"/>
        <item x="491"/>
        <item x="2337"/>
        <item x="51"/>
        <item x="519"/>
        <item x="520"/>
        <item x="3200"/>
        <item x="1480"/>
        <item x="541"/>
        <item x="542"/>
        <item x="2365"/>
        <item x="550"/>
        <item x="2368"/>
        <item x="60"/>
        <item x="1487"/>
        <item x="1489"/>
        <item x="1490"/>
        <item x="1493"/>
        <item x="1494"/>
        <item x="1495"/>
        <item x="562"/>
        <item x="565"/>
        <item x="2376"/>
        <item x="64"/>
        <item x="80"/>
        <item x="2460"/>
        <item x="81"/>
        <item x="674"/>
        <item x="675"/>
        <item x="1614"/>
        <item x="1615"/>
        <item x="1616"/>
        <item x="2989"/>
        <item x="1617"/>
        <item x="2463"/>
        <item x="679"/>
        <item x="1619"/>
        <item x="681"/>
        <item x="2464"/>
        <item x="3209"/>
        <item x="1620"/>
        <item x="682"/>
        <item x="2465"/>
        <item x="683"/>
        <item x="3210"/>
        <item x="1621"/>
        <item x="2466"/>
        <item x="2990"/>
        <item x="1624"/>
        <item x="1625"/>
        <item x="684"/>
        <item x="1626"/>
        <item x="685"/>
        <item x="2467"/>
        <item x="686"/>
        <item x="1627"/>
        <item x="2469"/>
        <item x="2993"/>
        <item x="2994"/>
        <item x="687"/>
        <item x="777"/>
        <item x="140"/>
        <item x="141"/>
        <item x="778"/>
        <item x="779"/>
        <item x="142"/>
        <item x="143"/>
        <item x="780"/>
        <item x="1677"/>
        <item x="781"/>
        <item x="782"/>
        <item x="2544"/>
        <item x="1703"/>
        <item x="144"/>
        <item x="146"/>
        <item x="803"/>
        <item x="147"/>
        <item x="1711"/>
        <item x="2559"/>
        <item x="809"/>
        <item x="3048"/>
        <item x="2614"/>
        <item x="1797"/>
        <item x="1798"/>
        <item x="1799"/>
        <item x="1800"/>
        <item x="3374"/>
        <item x="3378"/>
        <item x="3384"/>
        <item x="3385"/>
        <item x="3432"/>
        <item x="3443"/>
        <item x="3478"/>
        <item x="3481"/>
        <item x="3483"/>
        <item x="3485"/>
        <item x="3486"/>
        <item x="3487"/>
        <item x="3488"/>
        <item x="3490"/>
        <item x="3491"/>
        <item x="3492"/>
        <item x="3494"/>
        <item x="3497"/>
        <item x="3498"/>
        <item x="3499"/>
        <item x="3501"/>
        <item x="3502"/>
        <item x="3503"/>
        <item x="883"/>
        <item x="885"/>
        <item x="1835"/>
        <item x="2635"/>
        <item x="1840"/>
        <item x="1843"/>
        <item x="2637"/>
        <item x="182"/>
        <item x="1871"/>
        <item x="3505"/>
        <item x="3506"/>
        <item x="994"/>
        <item x="995"/>
        <item x="996"/>
        <item x="998"/>
        <item x="1968"/>
        <item x="1969"/>
        <item x="999"/>
        <item x="1970"/>
        <item x="2710"/>
        <item x="1000"/>
        <item x="1001"/>
        <item x="1002"/>
        <item x="1003"/>
        <item x="2711"/>
        <item x="203"/>
        <item x="3076"/>
        <item x="1972"/>
        <item x="1004"/>
        <item x="204"/>
        <item x="1973"/>
        <item x="1005"/>
        <item x="1975"/>
        <item x="3079"/>
        <item x="1976"/>
        <item x="1006"/>
        <item x="1981"/>
        <item x="1985"/>
        <item x="1010"/>
        <item x="1998"/>
        <item x="3093"/>
        <item x="2006"/>
        <item x="206"/>
        <item x="2751"/>
        <item x="3103"/>
        <item x="2760"/>
        <item x="2047"/>
        <item x="210"/>
        <item x="2768"/>
        <item x="2769"/>
        <item x="2052"/>
        <item x="212"/>
        <item x="2770"/>
        <item x="2771"/>
        <item x="1034"/>
        <item x="2773"/>
        <item x="2774"/>
        <item x="2053"/>
        <item x="2054"/>
        <item x="1055"/>
        <item x="1059"/>
        <item x="2083"/>
        <item x="230"/>
        <item x="3153"/>
        <item x="231"/>
        <item x="1060"/>
        <item x="3154"/>
        <item x="3155"/>
        <item x="2085"/>
        <item x="3156"/>
        <item x="2813"/>
        <item x="3157"/>
        <item x="2814"/>
        <item x="2086"/>
        <item x="1061"/>
        <item x="3270"/>
        <item x="2087"/>
        <item x="3271"/>
      </items>
    </pivotField>
    <pivotField axis="axisRow" compact="0" outline="0" showAll="0" defaultSubtotal="0">
      <items count="8000">
        <item m="1" x="7640"/>
        <item x="2233"/>
        <item x="2298"/>
        <item x="2297"/>
        <item m="1" x="7471"/>
        <item x="2232"/>
        <item m="1" x="5718"/>
        <item m="1" x="7572"/>
        <item m="1" x="3884"/>
        <item m="1" x="6994"/>
        <item m="1" x="6822"/>
        <item m="1" x="4491"/>
        <item m="1" x="6819"/>
        <item x="2915"/>
        <item x="1511"/>
        <item x="2386"/>
        <item m="1" x="5667"/>
        <item m="1" x="7094"/>
        <item x="704"/>
        <item m="1" x="7121"/>
        <item m="1" x="5922"/>
        <item x="1750"/>
        <item m="1" x="7949"/>
        <item m="1" x="5203"/>
        <item m="1" x="4714"/>
        <item m="1" x="7184"/>
        <item x="633"/>
        <item x="1570"/>
        <item x="1247"/>
        <item m="1" x="6657"/>
        <item x="2068"/>
        <item x="3016"/>
        <item x="3360"/>
        <item m="1" x="5491"/>
        <item m="1" x="4429"/>
        <item m="1" x="5189"/>
        <item m="1" x="6604"/>
        <item x="2907"/>
        <item m="1" x="7865"/>
        <item x="725"/>
        <item m="1" x="3877"/>
        <item x="1853"/>
        <item m="1" x="5665"/>
        <item x="2937"/>
        <item x="893"/>
        <item m="1" x="7928"/>
        <item m="1" x="5744"/>
        <item m="1" x="5227"/>
        <item x="890"/>
        <item m="1" x="4519"/>
        <item x="2245"/>
        <item x="2130"/>
        <item x="2842"/>
        <item m="1" x="6810"/>
        <item x="1755"/>
        <item x="3019"/>
        <item m="1" x="5228"/>
        <item x="1085"/>
        <item x="611"/>
        <item m="1" x="6807"/>
        <item x="2857"/>
        <item x="3015"/>
        <item x="1866"/>
        <item m="1" x="6779"/>
        <item m="1" x="5788"/>
        <item x="830"/>
        <item m="1" x="5384"/>
        <item x="2989"/>
        <item m="1" x="5693"/>
        <item m="1" x="6461"/>
        <item x="2387"/>
        <item x="2388"/>
        <item x="733"/>
        <item m="1" x="4493"/>
        <item m="1" x="7615"/>
        <item m="1" x="6862"/>
        <item m="1" x="4623"/>
        <item x="2114"/>
        <item m="1" x="6262"/>
        <item m="1" x="6887"/>
        <item x="2502"/>
        <item x="3363"/>
        <item m="1" x="7877"/>
        <item x="1897"/>
        <item x="2832"/>
        <item x="3262"/>
        <item m="1" x="5229"/>
        <item m="1" x="6651"/>
        <item x="724"/>
        <item m="1" x="5861"/>
        <item x="3093"/>
        <item x="1131"/>
        <item x="2517"/>
        <item x="1757"/>
        <item x="3040"/>
        <item m="1" x="5572"/>
        <item m="1" x="5664"/>
        <item x="720"/>
        <item m="1" x="5890"/>
        <item m="1" x="4409"/>
        <item m="1" x="6963"/>
        <item x="614"/>
        <item x="2389"/>
        <item x="3336"/>
        <item x="730"/>
        <item x="1311"/>
        <item x="2289"/>
        <item x="2831"/>
        <item m="1" x="4833"/>
        <item m="1" x="5081"/>
        <item m="1" x="7828"/>
        <item m="1" x="4899"/>
        <item m="1" x="3808"/>
        <item x="715"/>
        <item m="1" x="3772"/>
        <item x="1748"/>
        <item x="2664"/>
        <item x="996"/>
        <item x="698"/>
        <item m="1" x="6713"/>
        <item m="1" x="5275"/>
        <item x="624"/>
        <item m="1" x="6253"/>
        <item x="2722"/>
        <item x="1840"/>
        <item x="2978"/>
        <item x="1579"/>
        <item m="1" x="6804"/>
        <item x="2113"/>
        <item x="1337"/>
        <item x="2390"/>
        <item m="1" x="5230"/>
        <item m="1" x="5689"/>
        <item x="1564"/>
        <item m="1" x="6658"/>
        <item m="1" x="6761"/>
        <item x="1766"/>
        <item m="1" x="5276"/>
        <item x="3358"/>
        <item x="2653"/>
        <item m="1" x="5277"/>
        <item m="1" x="5231"/>
        <item x="1516"/>
        <item m="1" x="6127"/>
        <item x="2216"/>
        <item x="1095"/>
        <item x="3462"/>
        <item m="1" x="5278"/>
        <item m="1" x="3791"/>
        <item m="1" x="7223"/>
        <item m="1" x="7216"/>
        <item m="1" x="4646"/>
        <item m="1" x="7914"/>
        <item m="1" x="5786"/>
        <item x="1392"/>
        <item m="1" x="7995"/>
        <item m="1" x="7904"/>
        <item x="575"/>
        <item m="1" x="7816"/>
        <item m="1" x="5320"/>
        <item x="3355"/>
        <item x="2510"/>
        <item x="2391"/>
        <item m="1" x="7710"/>
        <item x="1635"/>
        <item x="2128"/>
        <item m="1" x="5321"/>
        <item m="1" x="5691"/>
        <item m="1" x="7889"/>
        <item x="3226"/>
        <item x="3238"/>
        <item x="2449"/>
        <item x="708"/>
        <item x="406"/>
        <item m="1" x="4989"/>
        <item m="1" x="6727"/>
        <item x="2518"/>
        <item x="1580"/>
        <item x="1581"/>
        <item m="1" x="6780"/>
        <item m="1" x="7774"/>
        <item m="1" x="5279"/>
        <item x="631"/>
        <item m="1" x="5776"/>
        <item x="438"/>
        <item x="1517"/>
        <item x="576"/>
        <item m="1" x="4065"/>
        <item m="1" x="6220"/>
        <item m="1" x="4066"/>
        <item x="1841"/>
        <item m="1" x="4328"/>
        <item x="1573"/>
        <item m="1" x="5204"/>
        <item m="1" x="4301"/>
        <item x="2936"/>
        <item m="1" x="5909"/>
        <item x="1132"/>
        <item m="1" x="4975"/>
        <item x="3096"/>
        <item x="2724"/>
        <item m="1" x="5205"/>
        <item x="3062"/>
        <item m="1" x="6634"/>
        <item x="636"/>
        <item x="1963"/>
        <item m="1" x="7652"/>
        <item m="1" x="7981"/>
        <item x="2493"/>
        <item m="1" x="5663"/>
        <item m="1" x="6922"/>
        <item x="1340"/>
        <item x="1341"/>
        <item x="714"/>
        <item x="2725"/>
        <item m="1" x="7887"/>
        <item x="1583"/>
        <item m="1" x="5232"/>
        <item x="1648"/>
        <item m="1" x="4432"/>
        <item m="1" x="6850"/>
        <item m="1" x="5721"/>
        <item x="202"/>
        <item x="1148"/>
        <item x="2654"/>
        <item m="1" x="3550"/>
        <item m="1" x="4064"/>
        <item x="623"/>
        <item x="3263"/>
        <item x="2396"/>
        <item x="1661"/>
        <item m="1" x="3878"/>
        <item x="3069"/>
        <item x="264"/>
        <item x="2131"/>
        <item x="3300"/>
        <item m="1" x="4599"/>
        <item m="1" x="4311"/>
        <item x="1643"/>
        <item x="2541"/>
        <item m="1" x="5722"/>
        <item m="1" x="5280"/>
        <item m="1" x="5233"/>
        <item m="1" x="4177"/>
        <item m="1" x="7709"/>
        <item x="1850"/>
        <item x="2335"/>
        <item x="2499"/>
        <item x="3357"/>
        <item m="1" x="4810"/>
        <item m="1" x="7053"/>
        <item m="1" x="3805"/>
        <item x="894"/>
        <item m="1" x="6913"/>
        <item x="2450"/>
        <item m="1" x="7479"/>
        <item x="2513"/>
        <item x="409"/>
        <item x="1301"/>
        <item m="1" x="6739"/>
        <item x="3385"/>
        <item x="1325"/>
        <item m="1" x="6747"/>
        <item x="1584"/>
        <item x="2665"/>
        <item m="1" x="5519"/>
        <item m="1" x="5281"/>
        <item m="1" x="7814"/>
        <item x="1936"/>
        <item m="1" x="7791"/>
        <item x="3184"/>
        <item x="2727"/>
        <item x="1585"/>
        <item m="1" x="5893"/>
        <item m="1" x="5894"/>
        <item x="705"/>
        <item m="1" x="7985"/>
        <item x="2294"/>
        <item m="1" x="7878"/>
        <item x="2717"/>
        <item x="1991"/>
        <item x="2728"/>
        <item x="3301"/>
        <item m="1" x="5589"/>
        <item m="1" x="3635"/>
        <item m="1" x="5234"/>
        <item x="1660"/>
        <item x="968"/>
        <item x="1938"/>
        <item m="1" x="7745"/>
        <item x="262"/>
        <item x="2546"/>
        <item m="1" x="4320"/>
        <item x="2935"/>
        <item x="889"/>
        <item m="1" x="6924"/>
        <item m="1" x="5236"/>
        <item m="1" x="4412"/>
        <item x="635"/>
        <item m="1" x="5662"/>
        <item m="1" x="3606"/>
        <item x="2839"/>
        <item m="1" x="4456"/>
        <item m="1" x="6764"/>
        <item x="3237"/>
        <item x="2301"/>
        <item m="1" x="5466"/>
        <item m="1" x="4713"/>
        <item m="1" x="6715"/>
        <item m="1" x="3544"/>
        <item m="1" x="7857"/>
        <item m="1" x="7940"/>
        <item x="610"/>
        <item m="1" x="4315"/>
        <item x="1326"/>
        <item x="3224"/>
        <item m="1" x="5284"/>
        <item x="1133"/>
        <item m="1" x="5775"/>
        <item x="3060"/>
        <item m="1" x="6861"/>
        <item x="1686"/>
        <item m="1" x="7882"/>
        <item x="3013"/>
        <item x="2265"/>
        <item x="1605"/>
        <item m="1" x="7451"/>
        <item x="675"/>
        <item x="3209"/>
        <item m="1" x="5237"/>
        <item m="1" x="5207"/>
        <item x="1740"/>
        <item x="1435"/>
        <item x="2940"/>
        <item x="2293"/>
        <item m="1" x="7534"/>
        <item m="1" x="7225"/>
        <item m="1" x="7746"/>
        <item x="1586"/>
        <item m="1" x="4323"/>
        <item m="1" x="7452"/>
        <item m="1" x="4192"/>
        <item x="2938"/>
        <item m="1" x="5490"/>
        <item m="1" x="7488"/>
        <item x="1903"/>
        <item m="1" x="7209"/>
        <item x="326"/>
        <item x="1104"/>
        <item x="2104"/>
        <item x="1707"/>
        <item m="1" x="7711"/>
        <item x="2451"/>
        <item m="1" x="5976"/>
        <item x="2934"/>
        <item m="1" x="4961"/>
        <item x="1103"/>
        <item x="627"/>
        <item x="1342"/>
        <item x="3008"/>
        <item m="1" x="6818"/>
        <item x="2400"/>
        <item m="1" x="6792"/>
        <item m="1" x="4658"/>
        <item m="1" x="7117"/>
        <item x="1754"/>
        <item x="1656"/>
        <item m="1" x="4715"/>
        <item m="1" x="4711"/>
        <item m="1" x="4679"/>
        <item x="2902"/>
        <item x="1687"/>
        <item x="1134"/>
        <item x="2241"/>
        <item x="1910"/>
        <item x="549"/>
        <item m="1" x="5057"/>
        <item m="1" x="4985"/>
        <item m="1" x="7447"/>
        <item m="1" x="5661"/>
        <item m="1" x="3883"/>
        <item x="2506"/>
        <item x="2729"/>
        <item x="1343"/>
        <item x="3245"/>
        <item m="1" x="7793"/>
        <item x="2401"/>
        <item x="2496"/>
        <item m="1" x="5724"/>
        <item x="3242"/>
        <item x="2913"/>
        <item x="2129"/>
        <item m="1" x="7915"/>
        <item x="1587"/>
        <item m="1" x="3815"/>
        <item m="1" x="3551"/>
        <item x="2402"/>
        <item x="2730"/>
        <item m="1" x="6940"/>
        <item m="1" x="3831"/>
        <item m="1" x="3844"/>
        <item x="3230"/>
        <item m="1" x="6966"/>
        <item m="1" x="5488"/>
        <item x="1875"/>
        <item x="2679"/>
        <item m="1" x="5858"/>
        <item m="1" x="7408"/>
        <item m="1" x="7689"/>
        <item m="1" x="7917"/>
        <item x="285"/>
        <item x="2404"/>
        <item x="1089"/>
        <item m="1" x="7582"/>
        <item x="266"/>
        <item x="2503"/>
        <item m="1" x="5208"/>
        <item m="1" x="5784"/>
        <item m="1" x="3845"/>
        <item x="2643"/>
        <item m="1" x="5286"/>
        <item m="1" x="7798"/>
        <item m="1" x="6591"/>
        <item m="1" x="6109"/>
        <item x="2576"/>
        <item m="1" x="6816"/>
        <item m="1" x="7543"/>
        <item m="1" x="5062"/>
        <item x="415"/>
        <item m="1" x="5338"/>
        <item x="2954"/>
        <item x="1689"/>
        <item x="622"/>
        <item x="417"/>
        <item x="1645"/>
        <item m="1" x="7843"/>
        <item x="1876"/>
        <item m="1" x="6289"/>
        <item m="1" x="6129"/>
        <item m="1" x="6296"/>
        <item m="1" x="4760"/>
        <item m="1" x="5994"/>
        <item x="613"/>
        <item m="1" x="7217"/>
        <item x="3461"/>
        <item m="1" x="6740"/>
        <item x="90"/>
        <item x="821"/>
        <item m="1" x="5065"/>
        <item m="1" x="4407"/>
        <item x="2950"/>
        <item m="1" x="3538"/>
        <item x="2501"/>
        <item x="1954"/>
        <item m="1" x="6617"/>
        <item m="1" x="7503"/>
        <item x="1571"/>
        <item m="1" x="5238"/>
        <item x="1662"/>
        <item x="2968"/>
        <item m="1" x="3589"/>
        <item m="1" x="3692"/>
        <item x="887"/>
        <item x="1882"/>
        <item m="1" x="7987"/>
        <item x="1710"/>
        <item x="2406"/>
        <item x="1525"/>
        <item m="1" x="7210"/>
        <item x="2830"/>
        <item x="2105"/>
        <item m="1" x="4411"/>
        <item x="2296"/>
        <item x="1386"/>
        <item m="1" x="4421"/>
        <item m="1" x="6821"/>
        <item m="1" x="5071"/>
        <item x="2500"/>
        <item x="1747"/>
        <item x="31"/>
        <item x="2542"/>
        <item x="2603"/>
        <item x="1992"/>
        <item x="3100"/>
        <item m="1" x="3842"/>
        <item m="1" x="7635"/>
        <item m="1" x="7663"/>
        <item m="1" x="7980"/>
        <item m="1" x="4425"/>
        <item x="1100"/>
        <item m="1" x="5288"/>
        <item m="1" x="5897"/>
        <item m="1" x="5497"/>
        <item m="1" x="7804"/>
        <item m="1" x="5240"/>
        <item m="1" x="5692"/>
        <item m="1" x="5290"/>
        <item x="1297"/>
        <item x="1348"/>
        <item x="3454"/>
        <item m="1" x="5241"/>
        <item x="2637"/>
        <item x="265"/>
        <item m="1" x="3880"/>
        <item m="1" x="5430"/>
        <item m="1" x="3664"/>
        <item x="2905"/>
        <item x="727"/>
        <item x="2033"/>
        <item x="891"/>
        <item x="2634"/>
        <item m="1" x="5323"/>
        <item x="2247"/>
        <item m="1" x="4424"/>
        <item x="1655"/>
        <item m="1" x="5049"/>
        <item m="1" x="6317"/>
        <item m="1" x="4240"/>
        <item m="1" x="6781"/>
        <item m="1" x="4571"/>
        <item m="1" x="5210"/>
        <item x="2111"/>
        <item x="1387"/>
        <item x="3027"/>
        <item m="1" x="5242"/>
        <item m="1" x="5291"/>
        <item m="1" x="4302"/>
        <item m="1" x="4487"/>
        <item m="1" x="7218"/>
        <item x="1349"/>
        <item x="1994"/>
        <item x="1568"/>
        <item m="1" x="5660"/>
        <item x="786"/>
        <item x="3243"/>
        <item m="1" x="4712"/>
        <item m="1" x="4423"/>
        <item m="1" x="7185"/>
        <item x="2117"/>
        <item x="3075"/>
        <item x="892"/>
        <item x="3101"/>
        <item m="1" x="6706"/>
        <item x="1915"/>
        <item m="1" x="6305"/>
        <item m="1" x="5598"/>
        <item x="273"/>
        <item x="485"/>
        <item x="1741"/>
        <item x="1529"/>
        <item m="1" x="5066"/>
        <item m="1" x="6190"/>
        <item x="2618"/>
        <item m="1" x="4408"/>
        <item m="1" x="5324"/>
        <item m="1" x="4234"/>
        <item m="1" x="5078"/>
        <item m="1" x="7758"/>
        <item m="1" x="5479"/>
        <item x="1106"/>
        <item m="1" x="7477"/>
        <item x="2482"/>
        <item x="584"/>
        <item x="3484"/>
        <item m="1" x="4431"/>
        <item m="1" x="6993"/>
        <item m="1" x="6553"/>
        <item x="3234"/>
        <item x="2514"/>
        <item x="2706"/>
        <item m="1" x="3677"/>
        <item m="1" x="5836"/>
        <item x="2914"/>
        <item x="826"/>
        <item x="1904"/>
        <item m="1" x="5773"/>
        <item x="286"/>
        <item x="625"/>
        <item x="1098"/>
        <item m="1" x="5485"/>
        <item m="1" x="7809"/>
        <item m="1" x="5243"/>
        <item m="1" x="6468"/>
        <item x="822"/>
        <item m="1" x="5244"/>
        <item x="2953"/>
        <item m="1" x="4662"/>
        <item m="1" x="3881"/>
        <item x="1096"/>
        <item x="2225"/>
        <item m="1" x="6726"/>
        <item m="1" x="7770"/>
        <item x="617"/>
        <item x="2498"/>
        <item x="2314"/>
        <item m="1" x="6980"/>
        <item m="1" x="4406"/>
        <item x="1303"/>
        <item x="2947"/>
        <item x="2484"/>
        <item x="3042"/>
        <item m="1" x="4310"/>
        <item x="1652"/>
        <item x="1135"/>
        <item m="1" x="6385"/>
        <item x="1845"/>
        <item m="1" x="5471"/>
        <item x="259"/>
        <item x="2647"/>
        <item x="3023"/>
        <item x="918"/>
        <item m="1" x="6142"/>
        <item m="1" x="6971"/>
        <item m="1" x="6970"/>
        <item m="1" x="7231"/>
        <item x="1785"/>
        <item m="1" x="6011"/>
        <item x="2115"/>
        <item x="164"/>
        <item x="486"/>
        <item x="3366"/>
        <item m="1" x="4600"/>
        <item x="1927"/>
        <item x="2585"/>
        <item m="1" x="5339"/>
        <item m="1" x="7080"/>
        <item m="1" x="7950"/>
        <item m="1" x="5641"/>
        <item m="1" x="5782"/>
        <item m="1" x="7507"/>
        <item m="1" x="3693"/>
        <item m="1" x="6820"/>
        <item m="1" x="5070"/>
        <item x="2677"/>
        <item x="1273"/>
        <item x="362"/>
        <item x="423"/>
        <item m="1" x="3636"/>
        <item m="1" x="4488"/>
        <item x="1248"/>
        <item x="1102"/>
        <item m="1" x="5865"/>
        <item x="3185"/>
        <item x="2733"/>
        <item x="2931"/>
        <item x="2515"/>
        <item x="2734"/>
        <item m="1" x="7589"/>
        <item x="1476"/>
        <item m="1" x="3843"/>
        <item m="1" x="7190"/>
        <item x="445"/>
        <item x="1998"/>
        <item x="1979"/>
        <item x="3376"/>
        <item m="1" x="4455"/>
        <item m="1" x="7092"/>
        <item m="1" x="4460"/>
        <item x="2302"/>
        <item x="995"/>
        <item x="3072"/>
        <item x="735"/>
        <item x="2240"/>
        <item m="1" x="6700"/>
        <item x="2315"/>
        <item m="1" x="3568"/>
        <item m="1" x="3607"/>
        <item x="1101"/>
        <item m="1" x="7569"/>
        <item m="1" x="4664"/>
        <item x="1533"/>
        <item m="1" x="7805"/>
        <item x="3024"/>
        <item x="2735"/>
        <item m="1" x="6196"/>
        <item x="722"/>
        <item m="1" x="7954"/>
        <item m="1" x="5435"/>
        <item x="3085"/>
        <item x="1087"/>
        <item x="1226"/>
        <item x="3172"/>
        <item x="287"/>
        <item x="1916"/>
        <item m="1" x="7803"/>
        <item x="1688"/>
        <item x="199"/>
        <item x="479"/>
        <item m="1" x="7228"/>
        <item x="2120"/>
        <item m="1" x="7817"/>
        <item x="3362"/>
        <item m="1" x="7818"/>
        <item x="721"/>
        <item m="1" x="6863"/>
        <item x="1351"/>
        <item m="1" x="3754"/>
        <item x="3302"/>
        <item x="2446"/>
        <item m="1" x="6626"/>
        <item x="1737"/>
        <item x="45"/>
        <item x="897"/>
        <item m="1" x="6010"/>
        <item x="3026"/>
        <item x="896"/>
        <item m="1" x="5659"/>
        <item x="91"/>
        <item m="1" x="7825"/>
        <item x="717"/>
        <item x="710"/>
        <item m="1" x="5026"/>
        <item x="1906"/>
        <item m="1" x="7045"/>
        <item m="1" x="6702"/>
        <item x="1832"/>
        <item x="167"/>
        <item x="1828"/>
        <item x="2633"/>
        <item m="1" x="7317"/>
        <item x="2638"/>
        <item m="1" x="7810"/>
        <item m="1" x="4798"/>
        <item x="2495"/>
        <item x="3063"/>
        <item m="1" x="4316"/>
        <item x="718"/>
        <item x="1589"/>
        <item m="1" x="6799"/>
        <item x="1397"/>
        <item x="2512"/>
        <item m="1" x="5294"/>
        <item m="1" x="7941"/>
        <item m="1" x="6728"/>
        <item x="731"/>
        <item m="1" x="6842"/>
        <item m="1" x="5247"/>
        <item m="1" x="5096"/>
        <item x="442"/>
        <item x="2505"/>
        <item m="1" x="5295"/>
        <item x="2834"/>
        <item m="1" x="3694"/>
        <item m="1" x="5568"/>
        <item m="1" x="7211"/>
        <item x="1330"/>
        <item x="2000"/>
        <item m="1" x="7112"/>
        <item x="587"/>
        <item m="1" x="6704"/>
        <item x="1738"/>
        <item x="975"/>
        <item x="3070"/>
        <item m="1" x="5900"/>
        <item x="1395"/>
        <item m="1" x="5248"/>
        <item m="1" x="7994"/>
        <item m="1" x="7955"/>
        <item m="1" x="6197"/>
        <item m="1" x="3549"/>
        <item x="955"/>
        <item m="1" x="6434"/>
        <item x="1658"/>
        <item m="1" x="7229"/>
        <item m="1" x="4639"/>
        <item m="1" x="7796"/>
        <item x="2990"/>
        <item x="928"/>
        <item m="1" x="4327"/>
        <item m="1" x="6261"/>
        <item x="3025"/>
        <item x="2736"/>
        <item x="1851"/>
        <item x="1416"/>
        <item m="1" x="6701"/>
        <item m="1" x="7983"/>
        <item m="1" x="4317"/>
        <item m="1" x="6733"/>
        <item x="1083"/>
        <item x="3173"/>
        <item m="1" x="4366"/>
        <item x="1943"/>
        <item m="1" x="5881"/>
        <item x="3021"/>
        <item m="1" x="4427"/>
        <item m="1" x="4242"/>
        <item m="1" x="6893"/>
        <item m="1" x="5781"/>
        <item x="1535"/>
        <item x="260"/>
        <item m="1" x="4524"/>
        <item x="956"/>
        <item x="3229"/>
        <item x="2636"/>
        <item x="154"/>
        <item m="1" x="5640"/>
        <item x="634"/>
        <item m="1" x="4515"/>
        <item x="734"/>
        <item x="1084"/>
        <item x="2417"/>
        <item m="1" x="7065"/>
        <item x="3367"/>
        <item x="3348"/>
        <item x="843"/>
        <item x="3065"/>
        <item m="1" x="5780"/>
        <item m="1" x="6710"/>
        <item m="1" x="7469"/>
        <item x="2108"/>
        <item m="1" x="4130"/>
        <item m="1" x="6135"/>
        <item m="1" x="5639"/>
        <item x="2419"/>
        <item m="1" x="6255"/>
        <item m="1" x="5325"/>
        <item x="2737"/>
        <item x="74"/>
        <item x="716"/>
        <item m="1" x="6590"/>
        <item m="1" x="7899"/>
        <item x="455"/>
        <item x="629"/>
        <item x="620"/>
        <item x="2504"/>
        <item m="1" x="6016"/>
        <item x="2738"/>
        <item x="1228"/>
        <item m="1" x="6015"/>
        <item m="1" x="6811"/>
        <item x="2840"/>
        <item m="1" x="7033"/>
        <item x="2739"/>
        <item x="2740"/>
        <item x="2423"/>
        <item m="1" x="5901"/>
        <item m="1" x="3553"/>
        <item x="3304"/>
        <item x="3030"/>
        <item m="1" x="6975"/>
        <item m="1" x="6297"/>
        <item x="531"/>
        <item x="2577"/>
        <item x="3104"/>
        <item m="1" x="7700"/>
        <item m="1" x="5657"/>
        <item m="1" x="6254"/>
        <item x="2543"/>
        <item m="1" x="4193"/>
        <item m="1" x="5297"/>
        <item x="1878"/>
        <item x="2103"/>
        <item m="1" x="7906"/>
        <item m="1" x="5020"/>
        <item m="1" x="5250"/>
        <item m="1" x="4538"/>
        <item x="3356"/>
        <item m="1" x="5863"/>
        <item x="2741"/>
        <item m="1" x="6859"/>
        <item x="2586"/>
        <item x="1097"/>
        <item x="664"/>
        <item x="2112"/>
        <item x="2991"/>
        <item x="2004"/>
        <item x="2046"/>
        <item m="1" x="4977"/>
        <item m="1" x="7832"/>
        <item m="1" x="5212"/>
        <item m="1" x="5213"/>
        <item x="1396"/>
        <item x="874"/>
        <item m="1" x="3816"/>
        <item m="1" x="7612"/>
        <item x="1659"/>
        <item x="1143"/>
        <item x="1945"/>
        <item m="1" x="7623"/>
        <item m="1" x="4417"/>
        <item m="1" x="4717"/>
        <item x="1657"/>
        <item x="1357"/>
        <item m="1" x="7037"/>
        <item m="1" x="5935"/>
        <item m="1" x="5486"/>
        <item x="1016"/>
        <item x="3045"/>
        <item m="1" x="6415"/>
        <item m="1" x="7849"/>
        <item m="1" x="6110"/>
        <item x="416"/>
        <item m="1" x="6705"/>
        <item x="1590"/>
        <item m="1" x="6285"/>
        <item m="1" x="7643"/>
        <item m="1" x="6662"/>
        <item x="1947"/>
        <item m="1" x="7875"/>
        <item m="1" x="4812"/>
        <item m="1" x="3810"/>
        <item m="1" x="4643"/>
        <item m="1" x="7445"/>
        <item m="1" x="7969"/>
        <item m="1" x="5340"/>
        <item m="1" x="7576"/>
        <item x="1358"/>
        <item m="1" x="5300"/>
        <item m="1" x="7754"/>
        <item x="1957"/>
        <item m="1" x="4578"/>
        <item m="1" x="5725"/>
        <item m="1" x="6960"/>
        <item m="1" x="4802"/>
        <item m="1" x="7898"/>
        <item m="1" x="4484"/>
        <item x="1398"/>
        <item m="1" x="4828"/>
        <item x="1839"/>
        <item x="480"/>
        <item m="1" x="7379"/>
        <item m="1" x="4593"/>
        <item m="1" x="7633"/>
        <item m="1" x="6746"/>
        <item x="1921"/>
        <item x="1136"/>
        <item x="2426"/>
        <item x="2743"/>
        <item x="3232"/>
        <item m="1" x="7449"/>
        <item m="1" x="6258"/>
        <item m="1" x="4416"/>
        <item m="1" x="6293"/>
        <item x="1407"/>
        <item m="1" x="5253"/>
        <item x="1144"/>
        <item x="2933"/>
        <item x="2744"/>
        <item m="1" x="7896"/>
        <item x="3022"/>
        <item x="1331"/>
        <item m="1" x="6319"/>
        <item x="841"/>
        <item m="1" x="6895"/>
        <item x="1305"/>
        <item x="2684"/>
        <item m="1" x="5427"/>
        <item m="1" x="6593"/>
        <item x="3254"/>
        <item m="1" x="6777"/>
        <item m="1" x="7970"/>
        <item m="1" x="6946"/>
        <item x="424"/>
        <item m="1" x="6926"/>
        <item x="1140"/>
        <item m="1" x="4418"/>
        <item x="1408"/>
        <item x="1361"/>
        <item m="1" x="7212"/>
        <item m="1" x="5255"/>
        <item m="1" x="7971"/>
        <item m="1" x="6698"/>
        <item x="2427"/>
        <item m="1" x="5256"/>
        <item m="1" x="6803"/>
        <item m="1" x="5257"/>
        <item m="1" x="6649"/>
        <item x="1363"/>
        <item m="1" x="6105"/>
        <item m="1" x="7120"/>
        <item m="1" x="6843"/>
        <item m="1" x="6742"/>
        <item m="1" x="4402"/>
        <item m="1" x="4605"/>
        <item x="929"/>
        <item m="1" x="7220"/>
        <item m="1" x="5628"/>
        <item m="1" x="5302"/>
        <item m="1" x="5988"/>
        <item x="2299"/>
        <item x="2316"/>
        <item x="1691"/>
        <item x="1692"/>
        <item x="2007"/>
        <item x="2277"/>
        <item m="1" x="6888"/>
        <item m="1" x="4422"/>
        <item x="1093"/>
        <item m="1" x="5857"/>
        <item x="2008"/>
        <item x="2430"/>
        <item x="2327"/>
        <item x="593"/>
        <item x="1389"/>
        <item m="1" x="7681"/>
        <item x="1745"/>
        <item x="446"/>
        <item m="1" x="5327"/>
        <item x="709"/>
        <item m="1" x="6753"/>
        <item x="1569"/>
        <item x="2507"/>
        <item m="1" x="5654"/>
        <item m="1" x="5259"/>
        <item x="3340"/>
        <item x="3341"/>
        <item x="3347"/>
        <item x="2489"/>
        <item x="732"/>
        <item x="194"/>
        <item m="1" x="4945"/>
        <item x="2919"/>
        <item x="1950"/>
        <item x="2932"/>
        <item x="2519"/>
        <item m="1" x="6738"/>
        <item m="1" x="5653"/>
        <item x="1541"/>
        <item m="1" x="5860"/>
        <item m="1" x="7797"/>
        <item m="1" x="4190"/>
        <item x="2494"/>
        <item m="1" x="7478"/>
        <item m="1" x="6276"/>
        <item x="2509"/>
        <item m="1" x="4486"/>
        <item m="1" x="4239"/>
        <item x="3345"/>
        <item x="1367"/>
        <item x="2110"/>
        <item x="3225"/>
        <item m="1" x="6857"/>
        <item m="1" x="4428"/>
        <item x="2278"/>
        <item x="1112"/>
        <item x="1114"/>
        <item m="1" x="7446"/>
        <item m="1" x="6978"/>
        <item m="1" x="7509"/>
        <item m="1" x="6968"/>
        <item x="1109"/>
        <item m="1" x="7982"/>
        <item x="443"/>
        <item x="1137"/>
        <item x="2746"/>
        <item x="2491"/>
        <item x="1646"/>
        <item m="1" x="5482"/>
        <item x="1773"/>
        <item x="2109"/>
        <item x="3369"/>
        <item x="439"/>
        <item x="405"/>
        <item m="1" x="4902"/>
        <item x="2600"/>
        <item x="831"/>
        <item x="1591"/>
        <item m="1" x="5303"/>
        <item x="1099"/>
        <item x="3090"/>
        <item m="1" x="4457"/>
        <item m="1" x="4235"/>
        <item m="1" x="7815"/>
        <item x="1543"/>
        <item x="3308"/>
        <item m="1" x="4243"/>
        <item x="1306"/>
        <item m="1" x="4513"/>
        <item m="1" x="7771"/>
        <item x="2305"/>
        <item m="1" x="7537"/>
        <item x="3105"/>
        <item x="3106"/>
        <item m="1" x="5652"/>
        <item x="1561"/>
        <item x="1565"/>
        <item x="263"/>
        <item x="2492"/>
        <item x="2751"/>
        <item x="2434"/>
        <item x="457"/>
        <item m="1" x="6874"/>
        <item m="1" x="3554"/>
        <item x="2511"/>
        <item m="1" x="4716"/>
        <item m="1" x="4759"/>
        <item x="1651"/>
        <item x="2249"/>
        <item x="288"/>
        <item m="1" x="3817"/>
        <item m="1" x="7687"/>
        <item m="1" x="3609"/>
        <item x="1572"/>
        <item m="1" x="5260"/>
        <item m="1" x="5261"/>
        <item m="1" x="4829"/>
        <item m="1" x="6052"/>
        <item m="1" x="5304"/>
        <item m="1" x="4420"/>
        <item m="1" x="7822"/>
        <item x="969"/>
        <item m="1" x="6516"/>
        <item x="1912"/>
        <item x="2291"/>
        <item x="391"/>
        <item x="2516"/>
        <item m="1" x="5305"/>
        <item m="1" x="5306"/>
        <item x="3011"/>
        <item m="1" x="7864"/>
        <item x="1105"/>
        <item m="1" x="6664"/>
        <item x="1502"/>
        <item m="1" x="7036"/>
        <item m="1" x="4520"/>
        <item m="1" x="5650"/>
        <item m="1" x="5778"/>
        <item m="1" x="5648"/>
        <item x="2521"/>
        <item x="2674"/>
        <item m="1" x="4604"/>
        <item m="1" x="3755"/>
        <item x="1563"/>
        <item m="1" x="3555"/>
        <item x="1640"/>
        <item m="1" x="4321"/>
        <item m="1" x="5647"/>
        <item m="1" x="4245"/>
        <item m="1" x="6935"/>
        <item m="1" x="5201"/>
        <item m="1" x="6884"/>
        <item x="2583"/>
        <item x="3361"/>
        <item x="1749"/>
        <item m="1" x="5031"/>
        <item x="2752"/>
        <item x="599"/>
        <item m="1" x="5903"/>
        <item m="1" x="4477"/>
        <item x="463"/>
        <item x="2321"/>
        <item m="1" x="6732"/>
        <item m="1" x="7034"/>
        <item x="2010"/>
        <item x="632"/>
        <item m="1" x="6911"/>
        <item m="1" x="5904"/>
        <item x="1981"/>
        <item x="2676"/>
        <item m="1" x="5728"/>
        <item x="1138"/>
        <item m="1" x="6976"/>
        <item x="3306"/>
        <item x="3244"/>
        <item m="1" x="6518"/>
        <item x="6"/>
        <item x="601"/>
        <item m="1" x="3541"/>
        <item m="1" x="3830"/>
        <item x="481"/>
        <item m="1" x="7876"/>
        <item m="1" x="7448"/>
        <item m="1" x="7664"/>
        <item x="2012"/>
        <item m="1" x="6051"/>
        <item x="2948"/>
        <item x="1744"/>
        <item x="3343"/>
        <item m="1" x="5264"/>
        <item x="2121"/>
        <item x="1316"/>
        <item x="2028"/>
        <item m="1" x="3650"/>
        <item m="1" x="5265"/>
        <item m="1" x="5214"/>
        <item m="1" x="5329"/>
        <item m="1" x="6427"/>
        <item m="1" x="6869"/>
        <item m="1" x="7885"/>
        <item m="1" x="6525"/>
        <item x="3017"/>
        <item m="1" x="5645"/>
        <item m="1" x="5837"/>
        <item x="2548"/>
        <item m="1" x="6731"/>
        <item m="1" x="6318"/>
        <item m="1" x="7858"/>
        <item m="1" x="5266"/>
        <item m="1" x="6860"/>
        <item x="630"/>
        <item m="1" x="4480"/>
        <item m="1" x="7988"/>
        <item x="2508"/>
        <item x="2280"/>
        <item m="1" x="6691"/>
        <item x="2281"/>
        <item m="1" x="6743"/>
        <item m="1" x="7095"/>
        <item m="1" x="5805"/>
        <item x="282"/>
        <item m="1" x="3543"/>
        <item x="626"/>
        <item m="1" x="5268"/>
        <item x="637"/>
        <item m="1" x="5331"/>
        <item m="1" x="6306"/>
        <item x="1390"/>
        <item x="1371"/>
        <item m="1" x="4324"/>
        <item x="3228"/>
        <item x="430"/>
        <item x="46"/>
        <item x="2014"/>
        <item m="1" x="4304"/>
        <item x="1142"/>
        <item x="1562"/>
        <item m="1" x="6947"/>
        <item m="1" x="4483"/>
        <item x="726"/>
        <item m="1" x="7826"/>
        <item x="1279"/>
        <item m="1" x="4506"/>
        <item m="1" x="7827"/>
        <item m="1" x="5082"/>
        <item m="1" x="6189"/>
        <item x="606"/>
        <item m="1" x="7091"/>
        <item m="1" x="6750"/>
        <item x="3409"/>
        <item m="1" x="6304"/>
        <item x="2584"/>
        <item m="1" x="3832"/>
        <item x="2755"/>
        <item x="1734"/>
        <item m="1" x="7707"/>
        <item m="1" x="5483"/>
        <item x="2118"/>
        <item x="2317"/>
        <item m="1" x="6141"/>
        <item x="2833"/>
        <item x="2992"/>
        <item m="1" x="4489"/>
        <item x="1432"/>
        <item m="1" x="3665"/>
        <item m="1" x="5215"/>
        <item m="1" x="5927"/>
        <item x="1429"/>
        <item x="1742"/>
        <item x="1855"/>
        <item x="1856"/>
        <item x="1743"/>
        <item m="1" x="4194"/>
        <item x="3406"/>
        <item x="2921"/>
        <item x="2367"/>
        <item x="1964"/>
        <item x="2678"/>
        <item m="1" x="7989"/>
        <item x="2437"/>
        <item m="1" x="6426"/>
        <item m="1" x="6272"/>
        <item m="1" x="4495"/>
        <item x="1649"/>
        <item m="1" x="7866"/>
        <item m="1" x="5308"/>
        <item m="1" x="7739"/>
        <item m="1" x="4360"/>
        <item m="1" x="4767"/>
        <item x="1372"/>
        <item m="1" x="4279"/>
        <item m="1" x="4312"/>
        <item m="1" x="4231"/>
        <item m="1" x="6707"/>
        <item x="1410"/>
        <item m="1" x="6782"/>
        <item x="71"/>
        <item x="957"/>
        <item m="1" x="5637"/>
        <item x="3329"/>
        <item m="1" x="6871"/>
        <item x="458"/>
        <item m="1" x="6929"/>
        <item m="1" x="5341"/>
        <item x="3231"/>
        <item x="1086"/>
        <item m="1" x="5477"/>
        <item m="1" x="7879"/>
        <item m="1" x="7456"/>
        <item m="1" x="7859"/>
        <item m="1" x="6628"/>
        <item x="728"/>
        <item m="1" x="6714"/>
        <item m="1" x="5067"/>
        <item x="3285"/>
        <item x="3050"/>
        <item x="827"/>
        <item m="1" x="5571"/>
        <item x="2017"/>
        <item x="1094"/>
        <item x="2941"/>
        <item x="2303"/>
        <item x="3235"/>
        <item m="1" x="5270"/>
        <item m="1" x="7845"/>
        <item x="523"/>
        <item m="1" x="4195"/>
        <item m="1" x="5166"/>
        <item m="1" x="4523"/>
        <item x="2214"/>
        <item m="1" x="6808"/>
        <item m="1" x="4230"/>
        <item m="1" x="6741"/>
        <item m="1" x="3711"/>
        <item m="1" x="5622"/>
        <item x="444"/>
        <item m="1" x="4818"/>
        <item x="1958"/>
        <item x="2106"/>
        <item x="89"/>
        <item x="1092"/>
        <item m="1" x="6933"/>
        <item x="2018"/>
        <item x="440"/>
        <item x="1653"/>
        <item x="3303"/>
        <item x="1650"/>
        <item x="2283"/>
        <item m="1" x="6783"/>
        <item m="1" x="6889"/>
        <item x="2939"/>
        <item x="2019"/>
        <item x="723"/>
        <item x="2122"/>
        <item x="3330"/>
        <item m="1" x="4415"/>
        <item m="1" x="7958"/>
        <item x="1736"/>
        <item m="1" x="4478"/>
        <item m="1" x="4419"/>
        <item x="3227"/>
        <item x="1091"/>
        <item m="1" x="5342"/>
        <item m="1" x="4219"/>
        <item x="1110"/>
        <item x="612"/>
        <item m="1" x="7850"/>
        <item x="817"/>
        <item x="3457"/>
        <item x="289"/>
        <item x="2549"/>
        <item x="712"/>
        <item m="1" x="5636"/>
        <item x="3331"/>
        <item m="1" x="4326"/>
        <item m="1" x="6962"/>
        <item x="628"/>
        <item x="355"/>
        <item m="1" x="5310"/>
        <item m="1" x="6800"/>
        <item x="919"/>
        <item x="3029"/>
        <item x="1088"/>
        <item m="1" x="7931"/>
        <item x="2497"/>
        <item m="1" x="5219"/>
        <item m="1" x="6494"/>
        <item x="729"/>
        <item m="1" x="6886"/>
        <item m="1" x="6708"/>
        <item m="1" x="5312"/>
        <item m="1" x="5221"/>
        <item m="1" x="4608"/>
        <item x="3056"/>
        <item m="1" x="3610"/>
        <item m="1" x="5313"/>
        <item m="1" x="3563"/>
        <item m="1" x="3797"/>
        <item x="2123"/>
        <item m="1" x="5222"/>
        <item x="3028"/>
        <item x="2923"/>
        <item x="2924"/>
        <item x="3351"/>
        <item m="1" x="3666"/>
        <item x="2757"/>
        <item m="1" x="4305"/>
        <item m="1" x="7679"/>
        <item m="1" x="7624"/>
        <item m="1" x="5223"/>
        <item x="1693"/>
        <item x="3445"/>
        <item m="1" x="6724"/>
        <item m="1" x="4300"/>
        <item x="1694"/>
        <item x="3346"/>
        <item x="1020"/>
        <item x="290"/>
        <item x="2957"/>
        <item m="1" x="4319"/>
        <item m="1" x="5601"/>
        <item x="49"/>
        <item x="2332"/>
        <item m="1" x="6625"/>
        <item x="1753"/>
        <item x="713"/>
        <item x="1021"/>
        <item x="1554"/>
        <item m="1" x="7441"/>
        <item x="3236"/>
        <item x="2926"/>
        <item m="1" x="5475"/>
        <item x="3110"/>
        <item x="3334"/>
        <item m="1" x="5634"/>
        <item m="1" x="6737"/>
        <item m="1" x="5977"/>
        <item m="1" x="5332"/>
        <item x="3031"/>
        <item m="1" x="5474"/>
        <item x="2107"/>
        <item m="1" x="7457"/>
        <item m="1" x="4709"/>
        <item x="1654"/>
        <item x="2284"/>
        <item m="1" x="7089"/>
        <item x="3284"/>
        <item m="1" x="6256"/>
        <item m="1" x="4330"/>
        <item m="1" x="7886"/>
        <item x="970"/>
        <item m="1" x="6430"/>
        <item x="2581"/>
        <item m="1" x="5272"/>
        <item m="1" x="5224"/>
        <item x="3349"/>
        <item m="1" x="5908"/>
        <item x="1557"/>
        <item m="1" x="5315"/>
        <item m="1" x="5333"/>
        <item x="3233"/>
        <item x="1108"/>
        <item m="1" x="6891"/>
        <item m="1" x="5316"/>
        <item x="2758"/>
        <item x="2759"/>
        <item x="1332"/>
        <item x="1333"/>
        <item m="1" x="4768"/>
        <item m="1" x="6902"/>
        <item m="1" x="7897"/>
        <item x="1377"/>
        <item x="1567"/>
        <item x="3112"/>
        <item x="1558"/>
        <item x="2319"/>
        <item m="1" x="3611"/>
        <item x="2896"/>
        <item m="1" x="5317"/>
        <item x="618"/>
        <item x="3240"/>
        <item x="615"/>
        <item m="1" x="7909"/>
        <item m="1" x="3556"/>
        <item m="1" x="5318"/>
        <item m="1" x="5633"/>
        <item m="1" x="5627"/>
        <item x="1869"/>
        <item m="1" x="4325"/>
        <item x="272"/>
        <item x="2024"/>
        <item x="3020"/>
        <item m="1" x="4609"/>
        <item m="1" x="4306"/>
        <item m="1" x="6903"/>
        <item x="2288"/>
        <item m="1" x="6745"/>
        <item x="3113"/>
        <item m="1" x="7475"/>
        <item x="1865"/>
        <item x="1844"/>
        <item x="3018"/>
        <item m="1" x="7312"/>
        <item m="1" x="7326"/>
        <item x="2452"/>
        <item m="1" x="7927"/>
        <item m="1" x="3557"/>
        <item m="1" x="5334"/>
        <item m="1" x="5273"/>
        <item m="1" x="6633"/>
        <item m="1" x="4466"/>
        <item x="1560"/>
        <item x="619"/>
        <item m="1" x="5632"/>
        <item m="1" x="5510"/>
        <item x="2520"/>
        <item m="1" x="6730"/>
        <item m="1" x="4710"/>
        <item m="1" x="6749"/>
        <item x="3115"/>
        <item x="3116"/>
        <item x="711"/>
        <item m="1" x="5098"/>
        <item m="1" x="4308"/>
        <item x="1411"/>
        <item x="1634"/>
        <item x="73"/>
        <item x="1830"/>
        <item m="1" x="7318"/>
        <item x="2635"/>
        <item x="3364"/>
        <item m="1" x="3618"/>
        <item x="616"/>
        <item x="3423"/>
        <item x="3468"/>
        <item x="2651"/>
        <item m="1" x="4322"/>
        <item x="696"/>
        <item x="165"/>
        <item x="291"/>
        <item m="1" x="4364"/>
        <item m="1" x="7646"/>
        <item x="719"/>
        <item m="1" x="6771"/>
        <item m="1" x="4297"/>
        <item x="1566"/>
        <item m="1" x="5521"/>
        <item m="1" x="6639"/>
        <item m="1" x="7214"/>
        <item m="1" x="7991"/>
        <item m="1" x="6594"/>
        <item x="2304"/>
        <item x="2295"/>
        <item x="3239"/>
        <item m="1" x="5225"/>
        <item x="1391"/>
        <item m="1" x="5127"/>
        <item m="1" x="4382"/>
        <item x="665"/>
        <item m="1" x="5630"/>
        <item x="3170"/>
        <item x="267"/>
        <item m="1" x="6166"/>
        <item x="269"/>
        <item m="1" x="6079"/>
        <item x="270"/>
        <item m="1" x="6078"/>
        <item m="1" x="6080"/>
        <item m="1" x="6373"/>
        <item m="1" x="6292"/>
        <item x="1968"/>
        <item m="1" x="6682"/>
        <item m="1" x="6665"/>
        <item m="1" x="6663"/>
        <item m="1" x="4281"/>
        <item x="976"/>
        <item x="1969"/>
        <item m="1" x="7182"/>
        <item x="2672"/>
        <item m="1" x="4250"/>
        <item x="3084"/>
        <item m="1" x="6660"/>
        <item m="1" x="7180"/>
        <item m="1" x="5910"/>
        <item x="1948"/>
        <item m="1" x="6686"/>
        <item m="1" x="3529"/>
        <item m="1" x="3882"/>
        <item x="2306"/>
        <item m="1" x="3542"/>
        <item m="1" x="7090"/>
        <item x="2949"/>
        <item m="1" x="4482"/>
        <item x="2338"/>
        <item x="3051"/>
        <item m="1" x="7787"/>
        <item m="1" x="6703"/>
        <item m="1" x="6973"/>
        <item m="1" x="6813"/>
        <item m="1" x="7511"/>
        <item m="1" x="7748"/>
        <item x="3310"/>
        <item x="3466"/>
        <item m="1" x="7540"/>
        <item m="1" x="5916"/>
        <item m="1" x="4349"/>
        <item m="1" x="7400"/>
        <item x="3333"/>
        <item m="1" x="5432"/>
        <item m="1" x="6268"/>
        <item x="1201"/>
        <item x="639"/>
        <item x="1523"/>
        <item m="1" x="4673"/>
        <item m="1" x="6587"/>
        <item m="1" x="4072"/>
        <item x="527"/>
        <item m="1" x="4749"/>
        <item m="1" x="7668"/>
        <item m="1" x="4723"/>
        <item x="1582"/>
        <item m="1" x="3532"/>
        <item x="3222"/>
        <item m="1" x="4886"/>
        <item m="1" x="4888"/>
        <item m="1" x="4339"/>
        <item m="1" x="4892"/>
        <item m="1" x="5783"/>
        <item x="3223"/>
        <item x="702"/>
        <item x="2487"/>
        <item m="1" x="7913"/>
        <item m="1" x="7844"/>
        <item m="1" x="7874"/>
        <item x="703"/>
        <item x="2488"/>
        <item x="88"/>
        <item x="706"/>
        <item m="1" x="7934"/>
        <item x="707"/>
        <item x="1644"/>
        <item m="1" x="7967"/>
        <item x="3014"/>
        <item x="1647"/>
        <item x="2539"/>
        <item x="1685"/>
        <item x="1702"/>
        <item x="3047"/>
        <item x="2560"/>
        <item x="804"/>
        <item x="1720"/>
        <item x="1722"/>
        <item x="815"/>
        <item x="1725"/>
        <item x="1726"/>
        <item x="818"/>
        <item x="820"/>
        <item m="1" x="7516"/>
        <item x="1815"/>
        <item x="1816"/>
        <item x="2582"/>
        <item m="1" x="6423"/>
        <item x="845"/>
        <item x="844"/>
        <item x="846"/>
        <item x="2594"/>
        <item x="2595"/>
        <item x="1775"/>
        <item x="1774"/>
        <item x="1786"/>
        <item x="2596"/>
        <item m="1" x="7703"/>
        <item x="1776"/>
        <item x="1777"/>
        <item x="1778"/>
        <item m="1" x="7467"/>
        <item x="842"/>
        <item x="2597"/>
        <item x="2598"/>
        <item x="2599"/>
        <item x="849"/>
        <item m="1" x="5014"/>
        <item x="168"/>
        <item m="1" x="6916"/>
        <item m="1" x="4705"/>
        <item m="1" x="4283"/>
        <item m="1" x="7159"/>
        <item m="1" x="7670"/>
        <item m="1" x="7535"/>
        <item m="1" x="7618"/>
        <item m="1" x="3980"/>
        <item m="1" x="6920"/>
        <item m="1" x="6921"/>
        <item m="1" x="7997"/>
        <item m="1" x="7916"/>
        <item m="1" x="5282"/>
        <item m="1" x="5283"/>
        <item m="1" x="6635"/>
        <item m="1" x="5285"/>
        <item m="1" x="7998"/>
        <item m="1" x="5322"/>
        <item x="581"/>
        <item m="1" x="7951"/>
        <item m="1" x="5287"/>
        <item m="1" x="5289"/>
        <item m="1" x="7481"/>
        <item m="1" x="6840"/>
        <item m="1" x="5292"/>
        <item x="1186"/>
        <item m="1" x="7016"/>
        <item m="1" x="5245"/>
        <item m="1" x="5293"/>
        <item m="1" x="5200"/>
        <item m="1" x="5298"/>
        <item m="1" x="5252"/>
        <item m="1" x="7883"/>
        <item m="1" x="7017"/>
        <item m="1" x="6927"/>
        <item m="1" x="7863"/>
        <item m="1" x="6928"/>
        <item m="1" x="5262"/>
        <item m="1" x="5263"/>
        <item m="1" x="6766"/>
        <item m="1" x="5267"/>
        <item m="1" x="5307"/>
        <item m="1" x="5309"/>
        <item m="1" x="6930"/>
        <item m="1" x="7820"/>
        <item m="1" x="5220"/>
        <item m="1" x="7953"/>
        <item m="1" x="6235"/>
        <item m="1" x="6931"/>
        <item m="1" x="6638"/>
        <item m="1" x="5337"/>
        <item m="1" x="5226"/>
        <item x="1989"/>
        <item x="3098"/>
        <item x="2748"/>
        <item x="2753"/>
        <item m="1" x="7483"/>
        <item x="2761"/>
        <item x="2047"/>
        <item m="1" x="7085"/>
        <item m="1" x="7088"/>
        <item m="1" x="7084"/>
        <item m="1" x="7086"/>
        <item m="1" x="7087"/>
        <item x="2102"/>
        <item x="3171"/>
        <item m="1" x="6437"/>
        <item m="1" x="6438"/>
        <item m="1" x="5939"/>
        <item m="1" x="6439"/>
        <item m="1" x="6343"/>
        <item m="1" x="6344"/>
        <item m="1" x="6345"/>
        <item x="883"/>
        <item x="2116"/>
        <item x="7"/>
        <item m="1" x="3775"/>
        <item x="2575"/>
        <item m="1" x="7867"/>
        <item m="1" x="7181"/>
        <item m="1" x="3814"/>
        <item m="1" x="3847"/>
        <item m="1" x="3811"/>
        <item m="1" x="6784"/>
        <item m="1" x="7553"/>
        <item m="1" x="3855"/>
        <item m="1" x="3856"/>
        <item m="1" x="3821"/>
        <item m="1" x="7974"/>
        <item m="1" x="3834"/>
        <item m="1" x="5428"/>
        <item m="1" x="3850"/>
        <item m="1" x="3829"/>
        <item m="1" x="3851"/>
        <item m="1" x="7944"/>
        <item x="3252"/>
        <item m="1" x="5795"/>
        <item x="2624"/>
        <item x="3253"/>
        <item m="1" x="7226"/>
        <item x="3422"/>
        <item x="3442"/>
        <item x="3418"/>
        <item m="1" x="7907"/>
        <item m="1" x="6679"/>
        <item x="3413"/>
        <item m="1" x="6017"/>
        <item x="3498"/>
        <item x="3420"/>
        <item m="1" x="5003"/>
        <item m="1" x="5944"/>
        <item x="3414"/>
        <item m="1" x="6951"/>
        <item x="3450"/>
        <item m="1" x="4046"/>
        <item m="1" x="4047"/>
        <item m="1" x="4136"/>
        <item m="1" x="4137"/>
        <item m="1" x="4048"/>
        <item m="1" x="3951"/>
        <item m="1" x="3952"/>
        <item m="1" x="4049"/>
        <item m="1" x="4138"/>
        <item m="1" x="3953"/>
        <item m="1" x="4050"/>
        <item m="1" x="5736"/>
        <item m="1" x="4051"/>
        <item m="1" x="4052"/>
        <item x="2414"/>
        <item m="1" x="3893"/>
        <item m="1" x="3954"/>
        <item m="1" x="4053"/>
        <item m="1" x="4087"/>
        <item m="1" x="4054"/>
        <item m="1" x="4139"/>
        <item m="1" x="4055"/>
        <item m="1" x="3955"/>
        <item m="1" x="3894"/>
        <item m="1" x="3956"/>
        <item m="1" x="6611"/>
        <item m="1" x="4647"/>
        <item m="1" x="7753"/>
        <item m="1" x="3957"/>
        <item m="1" x="5885"/>
        <item m="1" x="4140"/>
        <item m="1" x="4135"/>
        <item m="1" x="3895"/>
        <item m="1" x="4141"/>
        <item x="2257"/>
        <item m="1" x="3958"/>
        <item m="1" x="3959"/>
        <item m="1" x="4142"/>
        <item m="1" x="6252"/>
        <item m="1" x="4057"/>
        <item m="1" x="4058"/>
        <item m="1" x="4143"/>
        <item m="1" x="3960"/>
        <item m="1" x="3961"/>
        <item m="1" x="3962"/>
        <item m="1" x="3963"/>
        <item m="1" x="4144"/>
        <item m="1" x="3899"/>
        <item m="1" x="3896"/>
        <item m="1" x="4170"/>
        <item m="1" x="4059"/>
        <item m="1" x="4145"/>
        <item m="1" x="4146"/>
        <item m="1" x="4060"/>
        <item m="1" x="4147"/>
        <item m="1" x="4061"/>
        <item m="1" x="3904"/>
        <item m="1" x="6786"/>
        <item m="1" x="4148"/>
        <item m="1" x="4062"/>
        <item m="1" x="3964"/>
        <item m="1" x="3965"/>
        <item m="1" x="3966"/>
        <item m="1" x="3967"/>
        <item m="1" x="3897"/>
        <item m="1" x="3968"/>
        <item m="1" x="7056"/>
        <item m="1" x="5737"/>
        <item m="1" x="5738"/>
        <item m="1" x="4063"/>
        <item m="1" x="3898"/>
        <item m="1" x="3969"/>
        <item m="1" x="4067"/>
        <item m="1" x="3970"/>
        <item x="23"/>
        <item m="1" x="3885"/>
        <item m="1" x="4261"/>
        <item m="1" x="3986"/>
        <item m="1" x="4075"/>
        <item x="2188"/>
        <item m="1" x="4078"/>
        <item m="1" x="4071"/>
        <item x="3305"/>
        <item m="1" x="7563"/>
        <item m="1" x="4246"/>
        <item m="1" x="4329"/>
        <item x="3177"/>
        <item m="1" x="6882"/>
        <item m="1" x="7922"/>
        <item m="1" x="5445"/>
        <item x="2331"/>
        <item m="1" x="7307"/>
        <item m="1" x="4074"/>
        <item x="470"/>
        <item x="1421"/>
        <item m="1" x="7788"/>
        <item m="1" x="7824"/>
        <item x="2341"/>
        <item m="1" x="7485"/>
        <item x="1437"/>
        <item x="484"/>
        <item x="2343"/>
        <item x="489"/>
        <item x="1439"/>
        <item x="2959"/>
        <item x="1440"/>
        <item m="1" x="6959"/>
        <item x="491"/>
        <item x="2344"/>
        <item x="1441"/>
        <item m="1" x="5750"/>
        <item x="492"/>
        <item x="1442"/>
        <item x="1443"/>
        <item x="493"/>
        <item x="494"/>
        <item x="1444"/>
        <item x="2345"/>
        <item m="1" x="5852"/>
        <item m="1" x="7386"/>
        <item x="51"/>
        <item m="1" x="5606"/>
        <item m="1" x="6711"/>
        <item m="1" x="6969"/>
        <item m="1" x="6974"/>
        <item m="1" x="6509"/>
        <item m="1" x="4551"/>
        <item m="1" x="4539"/>
        <item m="1" x="4546"/>
        <item m="1" x="6126"/>
        <item m="1" x="4594"/>
        <item m="1" x="7392"/>
        <item m="1" x="4572"/>
        <item m="1" x="7767"/>
        <item m="1" x="6404"/>
        <item m="1" x="6990"/>
        <item m="1" x="6989"/>
        <item m="1" x="5975"/>
        <item m="1" x="5974"/>
        <item m="1" x="6515"/>
        <item m="1" x="6053"/>
        <item x="638"/>
        <item x="75"/>
        <item x="640"/>
        <item x="76"/>
        <item x="641"/>
        <item m="1" x="6054"/>
        <item x="77"/>
        <item x="642"/>
        <item m="1" x="5920"/>
        <item m="1" x="4653"/>
        <item x="3342"/>
        <item m="1" x="4683"/>
        <item x="3338"/>
        <item x="1256"/>
        <item m="1" x="5921"/>
        <item x="3213"/>
        <item x="2399"/>
        <item m="1" x="4743"/>
        <item m="1" x="4751"/>
        <item m="1" x="4752"/>
        <item m="1" x="4731"/>
        <item m="1" x="4732"/>
        <item m="1" x="4757"/>
        <item m="1" x="4739"/>
        <item m="1" x="4736"/>
        <item m="1" x="4738"/>
        <item m="1" x="4745"/>
        <item m="1" x="4737"/>
        <item m="1" x="7692"/>
        <item m="1" x="7596"/>
        <item m="1" x="4722"/>
        <item m="1" x="7966"/>
        <item m="1" x="7528"/>
        <item m="1" x="7644"/>
        <item m="1" x="7607"/>
        <item m="1" x="7684"/>
        <item m="1" x="4727"/>
        <item m="1" x="7434"/>
        <item m="1" x="7565"/>
        <item m="1" x="4724"/>
        <item m="1" x="4725"/>
        <item x="1023"/>
        <item m="1" x="3759"/>
        <item x="697"/>
        <item m="1" x="7795"/>
        <item x="2485"/>
        <item x="701"/>
        <item x="3012"/>
        <item m="1" x="7905"/>
        <item m="1" x="5638"/>
        <item m="1" x="5631"/>
        <item x="3043"/>
        <item x="813"/>
        <item x="799"/>
        <item x="2555"/>
        <item x="1729"/>
        <item m="1" x="6526"/>
        <item x="1708"/>
        <item x="2565"/>
        <item x="811"/>
        <item x="146"/>
        <item x="809"/>
        <item x="3319"/>
        <item x="55"/>
        <item m="1" x="6988"/>
        <item x="2904"/>
        <item m="1" x="7911"/>
        <item m="1" x="4644"/>
        <item m="1" x="4307"/>
        <item x="546"/>
        <item m="1" x="6217"/>
        <item m="1" x="7890"/>
        <item m="1" x="6300"/>
        <item x="823"/>
        <item x="1751"/>
        <item m="1" x="7465"/>
        <item x="1752"/>
        <item x="1756"/>
        <item x="1758"/>
        <item x="3246"/>
        <item x="1760"/>
        <item x="1761"/>
        <item x="1762"/>
        <item x="832"/>
        <item x="833"/>
        <item x="2587"/>
        <item m="1" x="7638"/>
        <item x="1764"/>
        <item m="1" x="5793"/>
        <item m="1" x="7462"/>
        <item m="1" x="5018"/>
        <item x="1765"/>
        <item x="834"/>
        <item m="1" x="7669"/>
        <item x="1767"/>
        <item x="835"/>
        <item x="2588"/>
        <item x="2589"/>
        <item x="836"/>
        <item m="1" x="7566"/>
        <item x="1768"/>
        <item x="2590"/>
        <item x="1769"/>
        <item x="837"/>
        <item x="1770"/>
        <item x="2591"/>
        <item m="1" x="7661"/>
        <item m="1" x="6908"/>
        <item m="1" x="5019"/>
        <item x="2592"/>
        <item m="1" x="5012"/>
        <item x="840"/>
        <item x="1771"/>
        <item x="2593"/>
        <item x="1772"/>
        <item m="1" x="7617"/>
        <item x="155"/>
        <item x="847"/>
        <item m="1" x="5536"/>
        <item x="848"/>
        <item m="1" x="6229"/>
        <item x="1779"/>
        <item x="1780"/>
        <item m="1" x="7744"/>
        <item x="850"/>
        <item x="1798"/>
        <item x="1781"/>
        <item m="1" x="5013"/>
        <item x="851"/>
        <item x="2601"/>
        <item x="2602"/>
        <item m="1" x="6424"/>
        <item x="1782"/>
        <item x="852"/>
        <item x="853"/>
        <item x="2604"/>
        <item x="2605"/>
        <item m="1" x="4282"/>
        <item x="2606"/>
        <item x="854"/>
        <item x="3052"/>
        <item x="2607"/>
        <item x="1783"/>
        <item m="1" x="6652"/>
        <item x="3256"/>
        <item x="2627"/>
        <item m="1" x="6632"/>
        <item m="1" x="6653"/>
        <item m="1" x="6654"/>
        <item x="3257"/>
        <item x="3258"/>
        <item m="1" x="6528"/>
        <item m="1" x="4924"/>
        <item m="1" x="4960"/>
        <item m="1" x="4952"/>
        <item m="1" x="4925"/>
        <item m="1" x="7001"/>
        <item m="1" x="4926"/>
        <item m="1" x="4927"/>
        <item m="1" x="4953"/>
        <item m="1" x="4942"/>
        <item m="1" x="4959"/>
        <item m="1" x="4928"/>
        <item m="1" x="4929"/>
        <item m="1" x="4954"/>
        <item m="1" x="4943"/>
        <item m="1" x="7662"/>
        <item m="1" x="4944"/>
        <item m="1" x="4932"/>
        <item m="1" x="4962"/>
        <item m="1" x="4957"/>
        <item m="1" x="4958"/>
        <item m="1" x="4934"/>
        <item m="1" x="4935"/>
        <item m="1" x="4946"/>
        <item m="1" x="4949"/>
        <item m="1" x="4950"/>
        <item m="1" x="4933"/>
        <item m="1" x="6912"/>
        <item m="1" x="4940"/>
        <item x="1846"/>
        <item m="1" x="7621"/>
        <item m="1" x="4270"/>
        <item x="961"/>
        <item x="1898"/>
        <item m="1" x="6637"/>
        <item m="1" x="5258"/>
        <item m="1" x="7999"/>
        <item x="2721"/>
        <item x="1985"/>
        <item x="1987"/>
        <item m="1" x="7884"/>
        <item m="1" x="7830"/>
        <item x="2726"/>
        <item x="1012"/>
        <item m="1" x="6640"/>
        <item m="1" x="6536"/>
        <item x="3102"/>
        <item m="1" x="6537"/>
        <item x="2001"/>
        <item x="2002"/>
        <item m="1" x="7972"/>
        <item m="1" x="6436"/>
        <item x="2021"/>
        <item m="1" x="6642"/>
        <item x="2023"/>
        <item x="271"/>
        <item x="1107"/>
        <item m="1" x="7093"/>
        <item x="1139"/>
        <item x="585"/>
        <item m="1" x="6295"/>
        <item m="1" x="6661"/>
        <item m="1" x="6659"/>
        <item x="1899"/>
        <item x="1399"/>
        <item x="2945"/>
        <item x="1400"/>
        <item x="2311"/>
        <item x="2946"/>
        <item x="659"/>
        <item x="1401"/>
        <item x="1576"/>
        <item x="643"/>
        <item m="1" x="4947"/>
        <item x="1436"/>
        <item x="365"/>
        <item x="1285"/>
        <item x="1283"/>
        <item m="1" x="5564"/>
        <item x="2903"/>
        <item m="1" x="5419"/>
        <item m="1" x="7713"/>
        <item x="366"/>
        <item m="1" x="5835"/>
        <item x="2976"/>
        <item m="1" x="7678"/>
        <item x="332"/>
        <item x="1282"/>
        <item x="1277"/>
        <item x="3456"/>
        <item m="1" x="5557"/>
        <item x="1284"/>
        <item x="26"/>
        <item x="367"/>
        <item x="1278"/>
        <item m="1" x="6539"/>
        <item x="368"/>
        <item x="1291"/>
        <item x="2234"/>
        <item x="1280"/>
        <item x="1281"/>
        <item m="1" x="7372"/>
        <item m="1" x="4247"/>
        <item m="1" x="4433"/>
        <item x="2545"/>
        <item m="1" x="7961"/>
        <item m="1" x="3846"/>
        <item m="1" x="6192"/>
        <item m="1" x="3836"/>
        <item m="1" x="3818"/>
        <item m="1" x="3819"/>
        <item m="1" x="7891"/>
        <item m="1" x="3820"/>
        <item m="1" x="3849"/>
        <item m="1" x="4445"/>
        <item m="1" x="3835"/>
        <item m="1" x="3857"/>
        <item m="1" x="6193"/>
        <item m="1" x="7868"/>
        <item x="3344"/>
        <item x="3350"/>
        <item x="3352"/>
        <item x="3353"/>
        <item x="3354"/>
        <item m="1" x="4980"/>
        <item m="1" x="6307"/>
        <item m="1" x="4981"/>
        <item m="1" x="7778"/>
        <item m="1" x="4982"/>
        <item m="1" x="4983"/>
        <item x="3365"/>
        <item x="3511"/>
        <item x="3370"/>
        <item x="572"/>
        <item x="2424"/>
        <item x="600"/>
        <item x="602"/>
        <item m="1" x="7993"/>
        <item x="66"/>
        <item x="1551"/>
        <item m="1" x="5623"/>
        <item m="1" x="6841"/>
        <item m="1" x="5296"/>
        <item x="2995"/>
        <item m="1" x="7442"/>
        <item x="2467"/>
        <item x="1604"/>
        <item m="1" x="7438"/>
        <item m="1" x="7727"/>
        <item x="2996"/>
        <item x="2460"/>
        <item x="2469"/>
        <item x="2465"/>
        <item x="2462"/>
        <item x="2997"/>
        <item m="1" x="7440"/>
        <item x="1608"/>
        <item m="1" x="6151"/>
        <item x="2463"/>
        <item m="1" x="7963"/>
        <item x="882"/>
        <item m="1" x="6538"/>
        <item m="1" x="7492"/>
        <item x="1145"/>
        <item x="294"/>
        <item m="1" x="7705"/>
        <item x="3309"/>
        <item x="3311"/>
        <item x="2378"/>
        <item x="3317"/>
        <item x="3321"/>
        <item m="1" x="5918"/>
        <item x="564"/>
        <item x="3327"/>
        <item m="1" x="7776"/>
        <item m="1" x="3552"/>
        <item m="1" x="3608"/>
        <item m="1" x="3612"/>
        <item m="1" x="3613"/>
        <item m="1" x="3558"/>
        <item m="1" x="3614"/>
        <item m="1" x="3663"/>
        <item m="1" x="3559"/>
        <item m="1" x="3560"/>
        <item m="1" x="3561"/>
        <item m="1" x="3615"/>
        <item m="1" x="3667"/>
        <item m="1" x="3562"/>
        <item m="1" x="3616"/>
        <item m="1" x="3695"/>
        <item m="1" x="3617"/>
        <item m="1" x="3696"/>
        <item m="1" x="3619"/>
        <item m="1" x="3668"/>
        <item m="1" x="3620"/>
        <item m="1" x="3564"/>
        <item m="1" x="5400"/>
        <item m="1" x="3674"/>
        <item m="1" x="3676"/>
        <item m="1" x="3579"/>
        <item m="1" x="3675"/>
        <item m="1" x="3631"/>
        <item m="1" x="6941"/>
        <item m="1" x="3575"/>
        <item m="1" x="3582"/>
        <item m="1" x="3569"/>
        <item m="1" x="3574"/>
        <item m="1" x="3698"/>
        <item m="1" x="5823"/>
        <item m="1" x="3637"/>
        <item m="1" x="5535"/>
        <item m="1" x="3638"/>
        <item m="1" x="3590"/>
        <item m="1" x="3678"/>
        <item m="1" x="5995"/>
        <item m="1" x="3679"/>
        <item m="1" x="5996"/>
        <item m="1" x="3591"/>
        <item m="1" x="4124"/>
        <item m="1" x="6772"/>
        <item m="1" x="3680"/>
        <item m="1" x="5366"/>
        <item m="1" x="3699"/>
        <item m="1" x="3681"/>
        <item m="1" x="7634"/>
        <item m="1" x="3682"/>
        <item m="1" x="3639"/>
        <item m="1" x="7118"/>
        <item m="1" x="7113"/>
        <item m="1" x="3566"/>
        <item m="1" x="3916"/>
        <item x="856"/>
        <item m="1" x="3604"/>
        <item m="1" x="3656"/>
        <item m="1" x="3657"/>
        <item m="1" x="3605"/>
        <item m="1" x="3548"/>
        <item m="1" x="3658"/>
        <item m="1" x="3659"/>
        <item m="1" x="3660"/>
        <item m="1" x="3690"/>
        <item m="1" x="3661"/>
        <item m="1" x="3662"/>
        <item m="1" x="3691"/>
        <item m="1" x="5998"/>
        <item m="1" x="3702"/>
        <item m="1" x="4579"/>
        <item m="1" x="4580"/>
        <item m="1" x="4595"/>
        <item m="1" x="4581"/>
        <item m="1" x="4582"/>
        <item m="1" x="5840"/>
        <item x="2762"/>
        <item x="2763"/>
        <item x="3117"/>
        <item x="3118"/>
        <item x="2764"/>
        <item m="1" x="7695"/>
        <item x="2026"/>
        <item x="1022"/>
        <item x="2027"/>
        <item m="1" x="6069"/>
        <item x="3265"/>
        <item x="2765"/>
        <item x="3380"/>
        <item x="1784"/>
        <item m="1" x="7861"/>
        <item x="2609"/>
        <item m="1" x="7693"/>
        <item m="1" x="7463"/>
        <item x="2610"/>
        <item m="1" x="3776"/>
        <item x="1221"/>
        <item m="1" x="7590"/>
        <item m="1" x="7708"/>
        <item x="3103"/>
        <item m="1" x="6435"/>
        <item m="1" x="3874"/>
        <item x="1324"/>
        <item x="1327"/>
        <item x="1329"/>
        <item x="404"/>
        <item x="1334"/>
        <item x="1335"/>
        <item x="1336"/>
        <item x="2916"/>
        <item x="2262"/>
        <item x="3183"/>
        <item x="407"/>
        <item x="408"/>
        <item x="1338"/>
        <item x="1339"/>
        <item x="2917"/>
        <item x="2263"/>
        <item x="410"/>
        <item x="411"/>
        <item x="2264"/>
        <item x="2918"/>
        <item x="412"/>
        <item x="413"/>
        <item x="414"/>
        <item x="1344"/>
        <item x="1345"/>
        <item x="418"/>
        <item x="419"/>
        <item x="1346"/>
        <item x="2266"/>
        <item x="2267"/>
        <item x="1347"/>
        <item x="2268"/>
        <item x="420"/>
        <item x="421"/>
        <item x="422"/>
        <item x="1350"/>
        <item x="2269"/>
        <item x="2270"/>
        <item x="2271"/>
        <item x="2272"/>
        <item x="2273"/>
        <item x="2274"/>
        <item x="1352"/>
        <item x="1353"/>
        <item x="1354"/>
        <item x="1355"/>
        <item x="1356"/>
        <item x="2275"/>
        <item x="1359"/>
        <item x="1360"/>
        <item x="1362"/>
        <item x="2276"/>
        <item x="1364"/>
        <item x="1365"/>
        <item x="1366"/>
        <item x="425"/>
        <item x="1368"/>
        <item x="1369"/>
        <item x="2279"/>
        <item x="1370"/>
        <item x="427"/>
        <item x="428"/>
        <item x="429"/>
        <item x="35"/>
        <item x="2920"/>
        <item x="2282"/>
        <item x="1373"/>
        <item x="1374"/>
        <item x="1375"/>
        <item x="431"/>
        <item x="432"/>
        <item x="433"/>
        <item x="1376"/>
        <item x="2922"/>
        <item x="434"/>
        <item x="2925"/>
        <item x="2285"/>
        <item x="1378"/>
        <item x="1379"/>
        <item x="1380"/>
        <item x="1381"/>
        <item x="2927"/>
        <item x="2286"/>
        <item x="2928"/>
        <item x="1382"/>
        <item x="1383"/>
        <item x="2929"/>
        <item x="2930"/>
        <item x="435"/>
        <item x="436"/>
        <item x="1384"/>
        <item x="437"/>
        <item x="36"/>
        <item x="1385"/>
        <item x="1393"/>
        <item x="1394"/>
        <item x="2290"/>
        <item x="2292"/>
        <item x="2666"/>
        <item m="1" x="4613"/>
        <item m="1" x="7925"/>
        <item m="1" x="4611"/>
        <item m="1" x="7910"/>
        <item m="1" x="4615"/>
        <item m="1" x="4614"/>
        <item m="1" x="7812"/>
        <item m="1" x="7924"/>
        <item m="1" x="7823"/>
        <item m="1" x="7947"/>
        <item m="1" x="7933"/>
        <item m="1" x="7835"/>
        <item m="1" x="7965"/>
        <item m="1" x="7870"/>
        <item m="1" x="7792"/>
        <item m="1" x="7836"/>
        <item m="1" x="7871"/>
        <item m="1" x="7893"/>
        <item m="1" x="7837"/>
        <item m="1" x="7838"/>
        <item m="1" x="6979"/>
        <item m="1" x="6729"/>
        <item m="1" x="7044"/>
        <item m="1" x="6736"/>
        <item m="1" x="5489"/>
        <item m="1" x="5774"/>
        <item m="1" x="5635"/>
        <item m="1" x="5487"/>
        <item m="1" x="5383"/>
        <item m="1" x="5494"/>
        <item m="1" x="5668"/>
        <item m="1" x="5666"/>
        <item m="1" x="5658"/>
        <item m="1" x="5669"/>
        <item m="1" x="5382"/>
        <item m="1" x="5378"/>
        <item m="1" x="5787"/>
        <item m="1" x="5381"/>
        <item m="1" x="5377"/>
        <item m="1" x="5484"/>
        <item m="1" x="5380"/>
        <item x="3328"/>
        <item m="1" x="7567"/>
        <item m="1" x="5036"/>
        <item x="2572"/>
        <item x="1721"/>
        <item x="1727"/>
        <item x="2573"/>
        <item x="816"/>
        <item m="1" x="6834"/>
        <item x="1701"/>
        <item x="3048"/>
        <item x="2649"/>
        <item x="971"/>
        <item x="2668"/>
        <item m="1" x="4202"/>
        <item m="1" x="4203"/>
        <item m="1" x="4196"/>
        <item m="1" x="4204"/>
        <item m="1" x="4205"/>
        <item m="1" x="4206"/>
        <item m="1" x="4214"/>
        <item m="1" x="4207"/>
        <item m="1" x="4215"/>
        <item m="1" x="4208"/>
        <item m="1" x="4197"/>
        <item m="1" x="4209"/>
        <item m="1" x="4210"/>
        <item m="1" x="4198"/>
        <item m="1" x="4211"/>
        <item m="1" x="4212"/>
        <item m="1" x="4213"/>
        <item m="1" x="4199"/>
        <item m="1" x="4876"/>
        <item m="1" x="6374"/>
        <item m="1" x="4856"/>
        <item m="1" x="5879"/>
        <item m="1" x="5576"/>
        <item m="1" x="7122"/>
        <item m="1" x="3704"/>
        <item x="1724"/>
        <item m="1" x="3743"/>
        <item m="1" x="4093"/>
        <item m="1" x="5109"/>
        <item m="1" x="5173"/>
        <item m="1" x="5174"/>
        <item m="1" x="5154"/>
        <item m="1" x="5175"/>
        <item m="1" x="5155"/>
        <item m="1" x="5156"/>
        <item m="1" x="5110"/>
        <item m="1" x="5176"/>
        <item m="1" x="5177"/>
        <item m="1" x="5178"/>
        <item m="1" x="5184"/>
        <item m="1" x="5161"/>
        <item m="1" x="5136"/>
        <item m="1" x="5160"/>
        <item m="1" x="5124"/>
        <item m="1" x="5165"/>
        <item m="1" x="5120"/>
        <item m="1" x="5128"/>
        <item m="1" x="5118"/>
        <item m="1" x="5090"/>
        <item m="1" x="5116"/>
        <item x="1636"/>
        <item x="695"/>
        <item x="2481"/>
        <item m="1" x="7794"/>
        <item m="1" x="7782"/>
        <item m="1" x="4896"/>
        <item m="1" x="7513"/>
        <item m="1" x="7783"/>
        <item x="1116"/>
        <item m="1" x="6650"/>
        <item m="1" x="7760"/>
        <item x="1214"/>
        <item x="2878"/>
        <item m="1" x="7136"/>
        <item x="370"/>
        <item m="1" x="5719"/>
        <item m="1" x="4298"/>
        <item m="1" x="6466"/>
        <item x="258"/>
        <item m="1" x="7990"/>
        <item m="1" x="7962"/>
        <item m="1" x="7194"/>
        <item m="1" x="6948"/>
        <item m="1" x="3823"/>
        <item x="1310"/>
        <item x="384"/>
        <item m="1" x="7560"/>
        <item m="1" x="7230"/>
        <item m="1" x="5734"/>
        <item m="1" x="7665"/>
        <item m="1" x="5880"/>
        <item m="1" x="5841"/>
        <item m="1" x="5578"/>
        <item m="1" x="7673"/>
        <item m="1" x="5579"/>
        <item m="1" x="5735"/>
        <item m="1" x="4069"/>
        <item m="1" x="3900"/>
        <item m="1" x="3901"/>
        <item m="1" x="3971"/>
        <item m="1" x="3902"/>
        <item m="1" x="3903"/>
        <item m="1" x="7706"/>
        <item x="2300"/>
        <item x="1406"/>
        <item x="449"/>
        <item m="1" x="4200"/>
        <item m="1" x="4201"/>
        <item m="1" x="4233"/>
        <item m="1" x="4485"/>
        <item m="1" x="4309"/>
        <item m="1" x="4313"/>
        <item m="1" x="4314"/>
        <item m="1" x="4238"/>
        <item m="1" x="4241"/>
        <item m="1" x="4426"/>
        <item m="1" x="4494"/>
        <item m="1" x="4331"/>
        <item m="1" x="4248"/>
        <item x="2440"/>
        <item m="1" x="4249"/>
        <item m="1" x="4332"/>
        <item m="1" x="5742"/>
        <item m="1" x="4333"/>
        <item m="1" x="4434"/>
        <item m="1" x="7992"/>
        <item m="1" x="6624"/>
        <item m="1" x="4334"/>
        <item m="1" x="6875"/>
        <item m="1" x="4435"/>
        <item m="1" x="6793"/>
        <item m="1" x="7373"/>
        <item m="1" x="4436"/>
        <item m="1" x="4251"/>
        <item m="1" x="4492"/>
        <item m="1" x="6571"/>
        <item m="1" x="4404"/>
        <item x="1245"/>
        <item m="1" x="4475"/>
        <item x="50"/>
        <item x="488"/>
        <item m="1" x="7385"/>
        <item m="1" x="6576"/>
        <item m="1" x="7789"/>
        <item m="1" x="7802"/>
        <item m="1" x="7901"/>
        <item m="1" x="7530"/>
        <item m="1" x="6805"/>
        <item m="1" x="6748"/>
        <item m="1" x="7048"/>
        <item m="1" x="7040"/>
        <item m="1" x="7049"/>
        <item m="1" x="7052"/>
        <item m="1" x="6751"/>
        <item m="1" x="6972"/>
        <item m="1" x="6894"/>
        <item m="1" x="6716"/>
        <item m="1" x="7039"/>
        <item m="1" x="6709"/>
        <item m="1" x="6967"/>
        <item m="1" x="6890"/>
        <item m="1" x="7054"/>
        <item m="1" x="6896"/>
        <item m="1" x="7043"/>
        <item m="1" x="6712"/>
        <item m="1" x="6892"/>
        <item m="1" x="6699"/>
        <item m="1" x="6798"/>
        <item m="1" x="7894"/>
        <item m="1" x="4583"/>
        <item m="1" x="7976"/>
        <item m="1" x="7393"/>
        <item x="570"/>
        <item x="554"/>
        <item x="3326"/>
        <item x="3335"/>
        <item m="1" x="4685"/>
        <item m="1" x="4191"/>
        <item m="1" x="7423"/>
        <item m="1" x="7416"/>
        <item m="1" x="7431"/>
        <item m="1" x="6755"/>
        <item x="1588"/>
        <item x="678"/>
        <item m="1" x="5492"/>
        <item m="1" x="5646"/>
        <item m="1" x="5493"/>
        <item m="1" x="5651"/>
        <item m="1" x="5379"/>
        <item m="1" x="5656"/>
        <item m="1" x="5481"/>
        <item x="810"/>
        <item x="814"/>
        <item m="1" x="5501"/>
        <item m="1" x="5674"/>
        <item m="1" x="7935"/>
        <item x="1735"/>
        <item m="1" x="5017"/>
        <item x="824"/>
        <item x="1739"/>
        <item x="2578"/>
        <item x="2579"/>
        <item x="1746"/>
        <item x="2580"/>
        <item x="825"/>
        <item x="828"/>
        <item x="829"/>
        <item m="1" x="5792"/>
        <item x="1759"/>
        <item x="3247"/>
        <item x="855"/>
        <item x="2608"/>
        <item m="1" x="6631"/>
        <item m="1" x="7712"/>
        <item m="1" x="7639"/>
        <item x="2611"/>
        <item x="839"/>
        <item m="1" x="6909"/>
        <item x="1763"/>
        <item x="838"/>
        <item x="2993"/>
        <item x="3053"/>
        <item m="1" x="5675"/>
        <item m="1" x="7799"/>
        <item m="1" x="4931"/>
        <item m="1" x="4936"/>
        <item x="3368"/>
        <item x="3371"/>
        <item x="3372"/>
        <item x="3373"/>
        <item m="1" x="4984"/>
        <item m="1" x="5923"/>
        <item x="3374"/>
        <item m="1" x="7006"/>
        <item m="1" x="7076"/>
        <item m="1" x="7557"/>
        <item m="1" x="7597"/>
        <item m="1" x="5061"/>
        <item m="1" x="5068"/>
        <item m="1" x="5069"/>
        <item m="1" x="5072"/>
        <item m="1" x="7694"/>
        <item m="1" x="5801"/>
        <item m="1" x="5522"/>
        <item x="1988"/>
        <item m="1" x="5804"/>
        <item x="2015"/>
        <item m="1" x="3522"/>
        <item m="1" x="4554"/>
        <item m="1" x="4531"/>
        <item m="1" x="4532"/>
        <item m="1" x="4540"/>
        <item m="1" x="7726"/>
        <item m="1" x="4552"/>
        <item m="1" x="7055"/>
        <item m="1" x="4533"/>
        <item m="1" x="7729"/>
        <item m="1" x="7895"/>
        <item m="1" x="6139"/>
        <item m="1" x="6043"/>
        <item m="1" x="6219"/>
        <item m="1" x="6130"/>
        <item m="1" x="6046"/>
        <item m="1" x="5159"/>
        <item m="1" x="5130"/>
        <item m="1" x="5183"/>
        <item m="1" x="5162"/>
        <item m="1" x="5139"/>
        <item m="1" x="5099"/>
        <item m="1" x="5121"/>
        <item m="1" x="5125"/>
        <item m="1" x="7548"/>
        <item m="1" x="5137"/>
        <item m="1" x="5141"/>
        <item m="1" x="7881"/>
        <item m="1" x="5163"/>
        <item m="1" x="5131"/>
        <item m="1" x="5140"/>
        <item m="1" x="5129"/>
        <item m="1" x="5092"/>
        <item m="1" x="5122"/>
        <item m="1" x="5100"/>
        <item m="1" x="5135"/>
        <item m="1" x="7724"/>
        <item m="1" x="7647"/>
        <item m="1" x="5188"/>
        <item m="1" x="5172"/>
        <item m="1" x="5152"/>
        <item m="1" x="5153"/>
        <item m="1" x="7742"/>
        <item m="1" x="7137"/>
        <item x="18"/>
        <item x="1238"/>
        <item m="1" x="7158"/>
        <item m="1" x="7725"/>
        <item x="1229"/>
        <item x="341"/>
        <item x="2887"/>
        <item x="1224"/>
        <item m="1" x="7128"/>
        <item m="1" x="5832"/>
        <item x="2889"/>
        <item m="1" x="7717"/>
        <item m="1" x="7138"/>
        <item x="2204"/>
        <item m="1" x="5411"/>
        <item m="1" x="6004"/>
        <item m="1" x="7027"/>
        <item m="1" x="7743"/>
        <item m="1" x="6545"/>
        <item x="2187"/>
        <item m="1" x="3729"/>
        <item x="2193"/>
        <item x="2167"/>
        <item x="369"/>
        <item m="1" x="7376"/>
        <item m="1" x="4335"/>
        <item m="1" x="4336"/>
        <item m="1" x="6496"/>
        <item m="1" x="4216"/>
        <item m="1" x="6203"/>
        <item m="1" x="7923"/>
        <item m="1" x="4522"/>
        <item m="1" x="6405"/>
        <item x="644"/>
        <item m="1" x="5088"/>
        <item m="1" x="5119"/>
        <item m="1" x="5093"/>
        <item m="1" x="5111"/>
        <item m="1" x="7704"/>
        <item m="1" x="6440"/>
        <item x="2030"/>
        <item m="1" x="7831"/>
        <item m="1" x="5655"/>
        <item m="1" x="3804"/>
        <item m="1" x="6447"/>
        <item x="991"/>
        <item x="2716"/>
        <item m="1" x="3809"/>
        <item m="1" x="7179"/>
        <item m="1" x="4365"/>
        <item m="1" x="3859"/>
        <item m="1" x="7191"/>
        <item m="1" x="7672"/>
        <item m="1" x="3852"/>
        <item m="1" x="7568"/>
        <item m="1" x="7945"/>
        <item m="1" x="7702"/>
        <item m="1" x="7892"/>
        <item m="1" x="7187"/>
        <item m="1" x="5429"/>
        <item m="1" x="6683"/>
        <item m="1" x="6685"/>
        <item m="1" x="6684"/>
        <item m="1" x="3864"/>
        <item m="1" x="6950"/>
        <item m="1" x="7932"/>
        <item m="1" x="7215"/>
        <item m="1" x="7584"/>
        <item m="1" x="7585"/>
        <item m="1" x="7224"/>
        <item m="1" x="7808"/>
        <item m="1" x="7208"/>
        <item m="1" x="7680"/>
        <item m="1" x="7525"/>
        <item m="1" x="5731"/>
        <item m="1" x="7738"/>
        <item m="1" x="7227"/>
        <item m="1" x="6469"/>
        <item m="1" x="7232"/>
        <item m="1" x="7604"/>
        <item m="1" x="7561"/>
        <item m="1" x="7221"/>
        <item m="1" x="7690"/>
        <item m="1" x="7654"/>
        <item m="1" x="7222"/>
        <item m="1" x="6618"/>
        <item m="1" x="6387"/>
        <item m="1" x="6791"/>
        <item m="1" x="7047"/>
        <item m="1" x="6754"/>
        <item m="1" x="7051"/>
        <item m="1" x="6883"/>
        <item m="1" x="7674"/>
        <item m="1" x="6719"/>
        <item x="535"/>
        <item m="1" x="5760"/>
        <item m="1" x="6984"/>
        <item x="295"/>
        <item m="1" x="6513"/>
        <item m="1" x="7402"/>
        <item m="1" x="7948"/>
        <item m="1" x="4754"/>
        <item m="1" x="4742"/>
        <item m="1" x="7853"/>
        <item m="1" x="7659"/>
        <item m="1" x="7437"/>
        <item m="1" x="7978"/>
        <item m="1" x="7436"/>
        <item m="1" x="4756"/>
        <item m="1" x="4729"/>
        <item m="1" x="7629"/>
        <item m="1" x="7645"/>
        <item m="1" x="7685"/>
        <item m="1" x="7723"/>
        <item m="1" x="7435"/>
        <item x="1592"/>
        <item x="1593"/>
        <item x="2453"/>
        <item m="1" x="7854"/>
        <item m="1" x="5473"/>
        <item m="1" x="5476"/>
        <item m="1" x="5777"/>
        <item m="1" x="5785"/>
        <item x="797"/>
        <item x="3248"/>
        <item m="1" x="6425"/>
        <item x="857"/>
        <item x="858"/>
        <item x="3054"/>
        <item x="3375"/>
        <item m="1" x="5924"/>
        <item m="1" x="5925"/>
        <item m="1" x="6308"/>
        <item m="1" x="6692"/>
        <item m="1" x="4986"/>
        <item m="1" x="5926"/>
        <item x="3377"/>
        <item x="3378"/>
        <item x="3379"/>
        <item x="1829"/>
        <item x="899"/>
        <item x="169"/>
        <item x="170"/>
        <item x="900"/>
        <item m="1" x="7067"/>
        <item m="1" x="7003"/>
        <item m="1" x="7004"/>
        <item m="1" x="6915"/>
        <item m="1" x="7068"/>
        <item x="1843"/>
        <item x="1847"/>
        <item x="3095"/>
        <item x="1996"/>
        <item x="1997"/>
        <item x="1015"/>
        <item x="2005"/>
        <item x="2006"/>
        <item m="1" x="6641"/>
        <item m="1" x="7484"/>
        <item x="3111"/>
        <item m="1" x="5762"/>
        <item x="441"/>
        <item m="1" x="6647"/>
        <item m="1" x="4874"/>
        <item m="1" x="6375"/>
        <item m="1" x="4875"/>
        <item m="1" x="4879"/>
        <item m="1" x="6260"/>
        <item m="1" x="4867"/>
        <item m="1" x="4868"/>
        <item m="1" x="4869"/>
        <item m="1" x="6646"/>
        <item m="1" x="4872"/>
        <item m="1" x="4849"/>
        <item m="1" x="4236"/>
        <item x="2951"/>
        <item m="1" x="7501"/>
        <item x="1422"/>
        <item m="1" x="4596"/>
        <item m="1" x="4597"/>
        <item m="1" x="4573"/>
        <item m="1" x="4574"/>
        <item m="1" x="4598"/>
        <item m="1" x="4570"/>
        <item m="1" x="4612"/>
        <item m="1" x="4670"/>
        <item x="2981"/>
        <item x="2416"/>
        <item m="1" x="6048"/>
        <item m="1" x="6270"/>
        <item x="2977"/>
        <item x="2411"/>
        <item x="2433"/>
        <item x="1545"/>
        <item m="1" x="6133"/>
        <item x="156"/>
        <item m="1" x="6273"/>
        <item m="1" x="7546"/>
        <item m="1" x="7409"/>
        <item x="145"/>
        <item m="1" x="6759"/>
        <item m="1" x="7733"/>
        <item m="1" x="6128"/>
        <item x="2432"/>
        <item m="1" x="6221"/>
        <item x="1601"/>
        <item m="1" x="4631"/>
        <item m="1" x="5202"/>
        <item m="1" x="5274"/>
        <item m="1" x="6234"/>
        <item m="1" x="5239"/>
        <item m="1" x="5209"/>
        <item m="1" x="6765"/>
        <item m="1" x="5299"/>
        <item m="1" x="7968"/>
        <item m="1" x="5216"/>
        <item m="1" x="6433"/>
        <item m="1" x="5190"/>
        <item m="1" x="6932"/>
        <item x="37"/>
        <item x="1388"/>
        <item x="2287"/>
        <item m="1" x="7821"/>
        <item x="1507"/>
        <item m="1" x="7888"/>
        <item m="1" x="5418"/>
        <item m="1" x="7160"/>
        <item x="1237"/>
        <item m="1" x="7610"/>
        <item m="1" x="7174"/>
        <item x="2190"/>
        <item m="1" x="7170"/>
        <item m="1" x="7123"/>
        <item m="1" x="6944"/>
        <item m="1" x="7139"/>
        <item m="1" x="6356"/>
        <item x="2881"/>
        <item x="2884"/>
        <item m="1" x="5550"/>
        <item x="2879"/>
        <item m="1" x="5830"/>
        <item m="1" x="7551"/>
        <item m="1" x="7161"/>
        <item m="1" x="7140"/>
        <item m="1" x="7558"/>
        <item m="1" x="7522"/>
        <item x="2360"/>
        <item m="1" x="6361"/>
        <item x="1239"/>
        <item m="1" x="5829"/>
        <item m="1" x="7701"/>
        <item m="1" x="6602"/>
        <item x="2200"/>
        <item m="1" x="6550"/>
        <item x="20"/>
        <item m="1" x="6322"/>
        <item m="1" x="5831"/>
        <item x="342"/>
        <item x="2883"/>
        <item x="2909"/>
        <item m="1" x="6608"/>
        <item x="972"/>
        <item x="1304"/>
        <item m="1" x="3806"/>
        <item m="1" x="7651"/>
        <item m="1" x="7189"/>
        <item m="1" x="7946"/>
        <item m="1" x="3853"/>
        <item m="1" x="7554"/>
        <item m="1" x="4259"/>
        <item m="1" x="7869"/>
        <item m="1" x="6694"/>
        <item m="1" x="5729"/>
        <item m="1" x="5730"/>
        <item m="1" x="7714"/>
        <item m="1" x="7921"/>
        <item m="1" x="7653"/>
        <item m="1" x="7527"/>
        <item m="1" x="7213"/>
        <item m="1" x="7030"/>
        <item m="1" x="6555"/>
        <item m="1" x="5434"/>
        <item m="1" x="4070"/>
        <item m="1" x="4232"/>
        <item m="1" x="4414"/>
        <item m="1" x="4244"/>
        <item m="1" x="4496"/>
        <item m="1" x="4497"/>
        <item m="1" x="7588"/>
        <item m="1" x="4252"/>
        <item m="1" x="4217"/>
        <item m="1" x="4498"/>
        <item m="1" x="7851"/>
        <item m="1" x="4253"/>
        <item m="1" x="4218"/>
        <item m="1" x="4516"/>
        <item m="1" x="7720"/>
        <item m="1" x="6024"/>
        <item m="1" x="6956"/>
        <item m="1" x="4337"/>
        <item m="1" x="5438"/>
        <item m="1" x="4254"/>
        <item m="1" x="4262"/>
        <item m="1" x="4499"/>
        <item m="1" x="7964"/>
        <item m="1" x="7786"/>
        <item m="1" x="5597"/>
        <item m="1" x="7872"/>
        <item m="1" x="5751"/>
        <item x="495"/>
        <item x="2960"/>
        <item m="1" x="7625"/>
        <item m="1" x="4527"/>
        <item m="1" x="7046"/>
        <item m="1" x="6812"/>
        <item m="1" x="6735"/>
        <item m="1" x="6717"/>
        <item m="1" x="6814"/>
        <item m="1" x="6806"/>
        <item m="1" x="6815"/>
        <item m="1" x="6885"/>
        <item m="1" x="6964"/>
        <item m="1" x="6977"/>
        <item m="1" x="7041"/>
        <item m="1" x="7038"/>
        <item m="1" x="7042"/>
        <item m="1" x="4534"/>
        <item m="1" x="4541"/>
        <item m="1" x="6898"/>
        <item m="1" x="4542"/>
        <item m="1" x="4543"/>
        <item m="1" x="7790"/>
        <item x="532"/>
        <item x="533"/>
        <item x="540"/>
        <item m="1" x="7398"/>
        <item m="1" x="6583"/>
        <item m="1" x="6584"/>
        <item x="1574"/>
        <item x="1575"/>
        <item x="78"/>
        <item m="1" x="6406"/>
        <item x="645"/>
        <item m="1" x="7852"/>
        <item m="1" x="4680"/>
        <item m="1" x="6410"/>
        <item x="3086"/>
        <item m="1" x="7418"/>
        <item m="1" x="7419"/>
        <item m="1" x="7428"/>
        <item m="1" x="7518"/>
        <item m="1" x="7433"/>
        <item m="1" x="7421"/>
        <item m="1" x="7764"/>
        <item x="1594"/>
        <item x="1595"/>
        <item m="1" x="7926"/>
        <item m="1" x="5779"/>
        <item m="1" x="5649"/>
        <item m="1" x="5644"/>
        <item x="3039"/>
        <item x="2540"/>
        <item x="1690"/>
        <item m="1" x="4900"/>
        <item m="1" x="7455"/>
        <item m="1" x="7454"/>
        <item m="1" x="5448"/>
        <item m="1" x="6032"/>
        <item m="1" x="6421"/>
        <item m="1" x="6420"/>
        <item x="859"/>
        <item x="860"/>
        <item x="3055"/>
        <item m="1" x="7466"/>
        <item m="1" x="5794"/>
        <item x="3251"/>
        <item m="1" x="5882"/>
        <item x="1808"/>
        <item m="1" x="5928"/>
        <item x="3381"/>
        <item m="1" x="4987"/>
        <item m="1" x="5929"/>
        <item x="3382"/>
        <item x="3383"/>
        <item m="1" x="5930"/>
        <item x="3384"/>
        <item m="1" x="6309"/>
        <item m="1" x="4988"/>
        <item m="1" x="5931"/>
        <item x="3386"/>
        <item m="1" x="6838"/>
        <item m="1" x="7007"/>
        <item m="1" x="7473"/>
        <item m="1" x="7078"/>
        <item x="193"/>
        <item x="1873"/>
        <item x="2645"/>
        <item x="3259"/>
        <item m="1" x="5687"/>
        <item m="1" x="6918"/>
        <item x="2650"/>
        <item m="1" x="7575"/>
        <item x="945"/>
        <item x="1867"/>
        <item x="1868"/>
        <item x="2656"/>
        <item x="959"/>
        <item m="1" x="5249"/>
        <item m="1" x="5251"/>
        <item m="1" x="7480"/>
        <item m="1" x="7939"/>
        <item m="1" x="7986"/>
        <item m="1" x="7956"/>
        <item x="2749"/>
        <item x="3107"/>
        <item m="1" x="7957"/>
        <item x="1030"/>
        <item x="1528"/>
        <item m="1" x="5080"/>
        <item m="1" x="7360"/>
        <item m="1" x="4575"/>
        <item m="1" x="4585"/>
        <item m="1" x="4586"/>
        <item m="1" x="7721"/>
        <item m="1" x="4789"/>
        <item m="1" x="4787"/>
        <item m="1" x="4786"/>
        <item m="1" x="4781"/>
        <item m="1" x="6147"/>
        <item m="1" x="4777"/>
        <item m="1" x="4814"/>
        <item m="1" x="4808"/>
        <item m="1" x="4835"/>
        <item m="1" x="4803"/>
        <item m="1" x="4799"/>
        <item m="1" x="4800"/>
        <item m="1" x="5016"/>
        <item m="1" x="4778"/>
        <item m="1" x="4809"/>
        <item m="1" x="4788"/>
        <item m="1" x="4819"/>
        <item m="1" x="4764"/>
        <item x="86"/>
        <item m="1" x="7547"/>
        <item x="1639"/>
        <item m="1" x="7842"/>
        <item x="2483"/>
        <item m="1" x="7873"/>
        <item x="699"/>
        <item m="1" x="7855"/>
        <item x="87"/>
        <item m="1" x="7856"/>
        <item x="2486"/>
        <item x="1641"/>
        <item x="1642"/>
        <item x="700"/>
        <item x="2490"/>
        <item x="2252"/>
        <item m="1" x="3871"/>
        <item m="1" x="7807"/>
        <item x="3463"/>
        <item m="1" x="3869"/>
        <item m="1" x="3872"/>
        <item m="1" x="6298"/>
        <item m="1" x="7772"/>
        <item m="1" x="7773"/>
        <item x="1420"/>
        <item x="1418"/>
        <item x="48"/>
        <item x="1419"/>
        <item m="1" x="6504"/>
        <item m="1" x="6505"/>
        <item m="1" x="6396"/>
        <item m="1" x="6501"/>
        <item m="1" x="6502"/>
        <item m="1" x="6397"/>
        <item m="1" x="6577"/>
        <item m="1" x="6668"/>
        <item m="1" x="6398"/>
        <item m="1" x="6328"/>
        <item m="1" x="6399"/>
        <item m="1" x="6329"/>
        <item m="1" x="6400"/>
        <item m="1" x="6503"/>
        <item x="1445"/>
        <item x="498"/>
        <item m="1" x="7389"/>
        <item x="499"/>
        <item m="1" x="7531"/>
        <item x="1474"/>
        <item m="1" x="7656"/>
        <item m="1" x="7545"/>
        <item m="1" x="7682"/>
        <item m="1" x="7571"/>
        <item m="1" x="7683"/>
        <item m="1" x="7626"/>
        <item m="1" x="7840"/>
        <item x="2829"/>
        <item x="261"/>
        <item m="1" x="6165"/>
        <item x="377"/>
        <item m="1" x="6102"/>
        <item m="1" x="5420"/>
        <item m="1" x="3777"/>
        <item m="1" x="5727"/>
        <item m="1" x="6609"/>
        <item m="1" x="7502"/>
        <item m="1" x="6465"/>
        <item m="1" x="7183"/>
        <item x="2710"/>
        <item m="1" x="5195"/>
        <item x="2250"/>
        <item x="2910"/>
        <item m="1" x="3870"/>
        <item x="1309"/>
        <item x="2251"/>
        <item m="1" x="7784"/>
        <item m="1" x="7833"/>
        <item x="1713"/>
        <item m="1" x="3875"/>
        <item m="1" x="4149"/>
        <item m="1" x="3905"/>
        <item x="2323"/>
        <item m="1" x="4255"/>
        <item m="1" x="7908"/>
        <item m="1" x="4405"/>
        <item m="1" x="7839"/>
        <item m="1" x="4521"/>
        <item x="490"/>
        <item x="1471"/>
        <item x="1472"/>
        <item m="1" x="7532"/>
        <item x="2967"/>
        <item x="2365"/>
        <item x="524"/>
        <item x="525"/>
        <item x="526"/>
        <item x="3088"/>
        <item x="528"/>
        <item m="1" x="7751"/>
        <item x="1473"/>
        <item m="1" x="7735"/>
        <item m="1" x="7667"/>
        <item x="2366"/>
        <item x="529"/>
        <item x="1475"/>
        <item m="1" x="7730"/>
        <item x="56"/>
        <item m="1" x="7396"/>
        <item m="1" x="5614"/>
        <item x="3313"/>
        <item m="1" x="6689"/>
        <item x="2972"/>
        <item m="1" x="6690"/>
        <item x="3315"/>
        <item x="3318"/>
        <item m="1" x="7399"/>
        <item x="3323"/>
        <item x="3324"/>
        <item x="3332"/>
        <item m="1" x="6514"/>
        <item m="1" x="7777"/>
        <item m="1" x="7057"/>
        <item m="1" x="4627"/>
        <item m="1" x="7403"/>
        <item x="646"/>
        <item m="1" x="7413"/>
        <item m="1" x="6143"/>
        <item m="1" x="5978"/>
        <item x="1577"/>
        <item m="1" x="6517"/>
        <item m="1" x="7606"/>
        <item m="1" x="7414"/>
        <item m="1" x="4763"/>
        <item m="1" x="6524"/>
        <item x="666"/>
        <item x="2454"/>
        <item x="1596"/>
        <item x="1617"/>
        <item x="1631"/>
        <item x="2472"/>
        <item m="1" x="7444"/>
        <item m="1" x="5753"/>
        <item x="2464"/>
        <item m="1" x="5478"/>
        <item x="794"/>
        <item x="3476"/>
        <item x="1715"/>
        <item m="1" x="7785"/>
        <item x="1807"/>
        <item m="1" x="4990"/>
        <item x="3388"/>
        <item x="3389"/>
        <item m="1" x="5932"/>
        <item x="3391"/>
        <item x="3390"/>
        <item x="2142"/>
        <item m="1" x="5933"/>
        <item x="3392"/>
        <item x="3393"/>
        <item m="1" x="7779"/>
        <item m="1" x="6310"/>
        <item m="1" x="6311"/>
        <item x="3395"/>
        <item x="3510"/>
        <item x="683"/>
        <item x="3396"/>
        <item m="1" x="5030"/>
        <item m="1" x="7630"/>
        <item m="1" x="7521"/>
        <item m="1" x="7631"/>
        <item m="1" x="5037"/>
        <item m="1" x="7761"/>
        <item m="1" x="5063"/>
        <item m="1" x="5064"/>
        <item m="1" x="5073"/>
        <item m="1" x="5866"/>
        <item m="1" x="7019"/>
        <item x="2766"/>
        <item x="2029"/>
        <item m="1" x="7848"/>
        <item x="2767"/>
        <item x="2768"/>
        <item x="2031"/>
        <item x="2032"/>
        <item m="1" x="6240"/>
        <item m="1" x="7020"/>
        <item x="1025"/>
        <item m="1" x="7960"/>
        <item m="1" x="7800"/>
        <item x="2876"/>
        <item m="1" x="6454"/>
        <item m="1" x="5834"/>
        <item m="1" x="6359"/>
        <item x="2205"/>
        <item m="1" x="6355"/>
        <item m="1" x="7583"/>
        <item m="1" x="6949"/>
        <item m="1" x="3824"/>
        <item m="1" x="7920"/>
        <item m="1" x="7219"/>
        <item m="1" x="7801"/>
        <item m="1" x="7526"/>
        <item m="1" x="6566"/>
        <item m="1" x="6567"/>
        <item x="460"/>
        <item x="44"/>
        <item x="2320"/>
        <item x="461"/>
        <item x="462"/>
        <item m="1" x="7834"/>
        <item x="2322"/>
        <item m="1" x="6578"/>
        <item m="1" x="6725"/>
        <item m="1" x="6802"/>
        <item m="1" x="6734"/>
        <item m="1" x="6752"/>
        <item m="1" x="7050"/>
        <item m="1" x="6809"/>
        <item m="1" x="6817"/>
        <item m="1" x="6801"/>
        <item m="1" x="7841"/>
        <item m="1" x="7556"/>
        <item m="1" x="7902"/>
        <item m="1" x="4587"/>
        <item x="1544"/>
        <item x="1973"/>
        <item m="1" x="7813"/>
        <item x="1940"/>
        <item x="1534"/>
        <item x="1540"/>
        <item m="1" x="7410"/>
        <item m="1" x="6411"/>
        <item m="1" x="6760"/>
        <item m="1" x="6828"/>
        <item x="2409"/>
        <item x="1522"/>
        <item m="1" x="6224"/>
        <item x="1546"/>
        <item m="1" x="6225"/>
        <item x="1970"/>
        <item m="1" x="7564"/>
        <item x="1542"/>
        <item m="1" x="6138"/>
        <item m="1" x="7977"/>
        <item m="1" x="7407"/>
        <item m="1" x="6827"/>
        <item m="1" x="7417"/>
        <item m="1" x="7420"/>
        <item m="1" x="7432"/>
        <item m="1" x="7429"/>
        <item m="1" x="6146"/>
        <item m="1" x="4726"/>
        <item m="1" x="6413"/>
        <item m="1" x="7749"/>
        <item x="1787"/>
        <item x="1788"/>
        <item x="861"/>
        <item x="1827"/>
        <item m="1" x="6837"/>
        <item x="1831"/>
        <item x="895"/>
        <item m="1" x="7064"/>
        <item x="898"/>
        <item m="1" x="6914"/>
        <item x="166"/>
        <item m="1" x="7002"/>
        <item m="1" x="7066"/>
        <item x="1833"/>
        <item x="901"/>
        <item x="904"/>
        <item x="903"/>
        <item m="1" x="5509"/>
        <item x="902"/>
        <item x="171"/>
        <item m="1" x="7070"/>
        <item x="906"/>
        <item m="1" x="7071"/>
        <item m="1" x="7069"/>
        <item x="905"/>
        <item x="2639"/>
        <item m="1" x="7574"/>
        <item m="1" x="7476"/>
        <item x="923"/>
        <item x="924"/>
        <item x="954"/>
        <item m="1" x="7008"/>
        <item m="1" x="7474"/>
        <item m="1" x="5388"/>
        <item x="1852"/>
        <item x="947"/>
        <item x="958"/>
        <item m="1" x="6923"/>
        <item m="1" x="5206"/>
        <item m="1" x="7015"/>
        <item m="1" x="6839"/>
        <item m="1" x="7847"/>
        <item m="1" x="7686"/>
        <item m="1" x="6339"/>
        <item m="1" x="6925"/>
        <item m="1" x="7740"/>
        <item m="1" x="7952"/>
        <item m="1" x="5218"/>
        <item m="1" x="5314"/>
        <item m="1" x="5319"/>
        <item x="206"/>
        <item x="3092"/>
        <item x="2723"/>
        <item m="1" x="7929"/>
        <item m="1" x="7482"/>
        <item x="1014"/>
        <item x="471"/>
        <item m="1" x="7555"/>
        <item m="1" x="7536"/>
        <item m="1" x="7734"/>
        <item m="1" x="7613"/>
        <item x="2326"/>
        <item x="1423"/>
        <item m="1" x="6346"/>
        <item m="1" x="7959"/>
        <item x="2124"/>
        <item m="1" x="6851"/>
        <item m="1" x="7736"/>
        <item m="1" x="7732"/>
        <item m="1" x="7549"/>
        <item m="1" x="7649"/>
        <item m="1" x="7620"/>
        <item m="1" x="7697"/>
        <item m="1" x="7550"/>
        <item m="1" x="3573"/>
        <item m="1" x="7900"/>
        <item x="1515"/>
        <item m="1" x="6852"/>
        <item m="1" x="3640"/>
        <item m="1" x="6084"/>
        <item m="1" x="7741"/>
        <item m="1" x="7109"/>
        <item m="1" x="7104"/>
        <item m="1" x="3592"/>
        <item m="1" x="3547"/>
        <item m="1" x="3593"/>
        <item m="1" x="7105"/>
        <item m="1" x="7919"/>
        <item m="1" x="5997"/>
        <item m="1" x="7119"/>
        <item m="1" x="3594"/>
        <item m="1" x="3595"/>
        <item m="1" x="3683"/>
        <item m="1" x="5878"/>
        <item m="1" x="3641"/>
        <item m="1" x="7762"/>
        <item m="1" x="7110"/>
        <item m="1" x="3684"/>
        <item m="1" x="7106"/>
        <item m="1" x="7107"/>
        <item m="1" x="3642"/>
        <item m="1" x="7108"/>
        <item m="1" x="6853"/>
        <item m="1" x="7098"/>
        <item m="1" x="7099"/>
        <item m="1" x="7097"/>
        <item m="1" x="7100"/>
        <item m="1" x="7101"/>
        <item m="1" x="7102"/>
        <item m="1" x="3629"/>
        <item m="1" x="3572"/>
        <item m="1" x="3630"/>
        <item x="1027"/>
        <item m="1" x="3705"/>
        <item m="1" x="3712"/>
        <item m="1" x="3706"/>
        <item m="1" x="3713"/>
        <item m="1" x="6377"/>
        <item m="1" x="7973"/>
        <item m="1" x="7943"/>
        <item m="1" x="6357"/>
        <item x="520"/>
        <item x="1222"/>
        <item m="1" x="7650"/>
        <item m="1" x="5717"/>
        <item m="1" x="5416"/>
        <item m="1" x="5417"/>
        <item m="1" x="7542"/>
        <item m="1" x="7141"/>
        <item m="1" x="5414"/>
        <item m="1" x="6455"/>
        <item m="1" x="5716"/>
        <item m="1" x="6549"/>
        <item x="2203"/>
        <item m="1" x="6005"/>
        <item m="1" x="7142"/>
        <item m="1" x="6601"/>
        <item m="1" x="7552"/>
        <item m="1" x="5552"/>
        <item m="1" x="3741"/>
        <item m="1" x="3732"/>
        <item m="1" x="3733"/>
        <item m="1" x="3746"/>
        <item m="1" x="3742"/>
        <item m="1" x="3734"/>
        <item m="1" x="3736"/>
        <item m="1" x="3744"/>
        <item m="1" x="3747"/>
        <item m="1" x="3737"/>
        <item m="1" x="3738"/>
        <item m="1" x="7176"/>
        <item m="1" x="3751"/>
        <item m="1" x="3765"/>
        <item m="1" x="6462"/>
        <item x="1296"/>
        <item x="376"/>
        <item x="2238"/>
        <item x="1295"/>
        <item x="2908"/>
        <item m="1" x="5426"/>
        <item x="390"/>
        <item x="2720"/>
        <item m="1" x="7186"/>
        <item x="1951"/>
        <item m="1" x="4353"/>
        <item m="1" x="7195"/>
        <item m="1" x="6012"/>
        <item m="1" x="6013"/>
        <item m="1" x="7508"/>
        <item m="1" x="7603"/>
        <item x="2261"/>
        <item x="2307"/>
        <item m="1" x="7354"/>
        <item m="1" x="6621"/>
        <item m="1" x="6622"/>
        <item m="1" x="7370"/>
        <item m="1" x="6389"/>
        <item m="1" x="7500"/>
        <item x="385"/>
        <item m="1" x="4690"/>
        <item m="1" x="4490"/>
        <item m="1" x="4237"/>
        <item m="1" x="6022"/>
        <item m="1" x="6023"/>
        <item m="1" x="4437"/>
        <item m="1" x="7504"/>
        <item m="1" x="4256"/>
        <item m="1" x="4257"/>
        <item m="1" x="7715"/>
        <item m="1" x="7614"/>
        <item m="1" x="4258"/>
        <item m="1" x="5439"/>
        <item m="1" x="7377"/>
        <item m="1" x="7378"/>
        <item m="1" x="6794"/>
        <item m="1" x="4260"/>
        <item m="1" x="4338"/>
        <item m="1" x="4500"/>
        <item m="1" x="4340"/>
        <item m="1" x="5590"/>
        <item m="1" x="4501"/>
        <item m="1" x="4438"/>
        <item m="1" x="7380"/>
        <item m="1" x="4502"/>
        <item m="1" x="4341"/>
        <item m="1" x="4476"/>
        <item m="1" x="4403"/>
        <item m="1" x="7811"/>
        <item m="1" x="7384"/>
        <item m="1" x="6030"/>
        <item m="1" x="7383"/>
        <item x="3464"/>
        <item m="1" x="7975"/>
        <item x="2632"/>
        <item m="1" x="4461"/>
        <item m="1" x="6209"/>
        <item x="1449"/>
        <item x="1450"/>
        <item x="2962"/>
        <item m="1" x="5458"/>
        <item x="2354"/>
        <item m="1" x="7593"/>
        <item m="1" x="7636"/>
        <item m="1" x="7628"/>
        <item x="530"/>
        <item x="57"/>
        <item m="1" x="5459"/>
        <item m="1" x="7391"/>
        <item m="1" x="4556"/>
        <item m="1" x="4607"/>
        <item m="1" x="4278"/>
        <item m="1" x="7605"/>
        <item m="1" x="6301"/>
        <item m="1" x="4642"/>
        <item x="3316"/>
        <item x="3320"/>
        <item m="1" x="6674"/>
        <item m="1" x="7775"/>
        <item x="647"/>
        <item x="648"/>
        <item m="1" x="7912"/>
        <item m="1" x="6522"/>
        <item m="1" x="7658"/>
        <item m="1" x="6045"/>
        <item m="1" x="6050"/>
        <item x="2436"/>
        <item x="589"/>
        <item m="1" x="5767"/>
        <item x="590"/>
        <item x="605"/>
        <item x="2441"/>
        <item m="1" x="4660"/>
        <item x="607"/>
        <item x="1512"/>
        <item x="2412"/>
        <item x="595"/>
        <item x="1518"/>
        <item m="1" x="7533"/>
        <item x="580"/>
        <item m="1" x="6269"/>
        <item x="1555"/>
        <item x="609"/>
        <item x="2443"/>
        <item m="1" x="4671"/>
        <item x="3006"/>
        <item m="1" x="7722"/>
        <item m="1" x="4678"/>
        <item m="1" x="6826"/>
        <item m="1" x="6520"/>
        <item x="3337"/>
        <item x="2398"/>
        <item x="1520"/>
        <item x="2403"/>
        <item m="1" x="4473"/>
        <item x="1265"/>
        <item m="1" x="6409"/>
        <item m="1" x="6675"/>
        <item m="1" x="5856"/>
        <item x="3339"/>
        <item m="1" x="6047"/>
        <item m="1" x="6992"/>
        <item m="1" x="7406"/>
        <item x="1556"/>
        <item x="3218"/>
        <item x="1559"/>
        <item m="1" x="6267"/>
        <item m="1" x="4681"/>
        <item m="1" x="5919"/>
        <item x="2982"/>
        <item m="1" x="5769"/>
        <item x="69"/>
        <item m="1" x="6223"/>
        <item m="1" x="6271"/>
        <item x="2397"/>
        <item m="1" x="4682"/>
        <item m="1" x="7903"/>
        <item x="2987"/>
        <item x="3215"/>
        <item m="1" x="5766"/>
        <item x="1264"/>
        <item x="70"/>
        <item x="1526"/>
        <item m="1" x="6049"/>
        <item x="1597"/>
        <item m="1" x="7443"/>
        <item x="1602"/>
        <item m="1" x="7979"/>
        <item m="1" x="4881"/>
        <item m="1" x="7439"/>
        <item m="1" x="4883"/>
        <item m="1" x="5480"/>
        <item m="1" x="5642"/>
        <item m="1" x="5859"/>
        <item m="1" x="5643"/>
        <item x="2526"/>
        <item x="740"/>
        <item x="1665"/>
        <item x="3037"/>
        <item x="105"/>
        <item m="1" x="6416"/>
        <item x="741"/>
        <item x="106"/>
        <item x="742"/>
        <item m="1" x="6829"/>
        <item x="2527"/>
        <item m="1" x="6995"/>
        <item x="107"/>
        <item m="1" x="6996"/>
        <item x="2528"/>
        <item x="2529"/>
        <item x="788"/>
        <item x="3041"/>
        <item m="1" x="7860"/>
        <item m="1" x="7520"/>
        <item m="1" x="7060"/>
        <item x="2556"/>
        <item x="2568"/>
        <item x="1789"/>
        <item x="1790"/>
        <item m="1" x="6999"/>
        <item m="1" x="7000"/>
        <item m="1" x="6836"/>
        <item m="1" x="7061"/>
        <item m="1" x="6910"/>
        <item m="1" x="7062"/>
        <item m="1" x="7468"/>
        <item x="862"/>
        <item m="1" x="7470"/>
        <item m="1" x="7846"/>
        <item m="1" x="4938"/>
        <item m="1" x="4956"/>
        <item x="3399"/>
        <item x="3400"/>
        <item m="1" x="4991"/>
        <item x="3401"/>
        <item x="3402"/>
        <item x="3403"/>
        <item x="3404"/>
        <item x="3405"/>
        <item m="1" x="7780"/>
        <item x="3513"/>
        <item x="3407"/>
        <item m="1" x="4992"/>
        <item x="3408"/>
        <item m="1" x="5936"/>
        <item m="1" x="6677"/>
        <item m="1" x="5937"/>
        <item m="1" x="5060"/>
        <item x="3452"/>
        <item m="1" x="6763"/>
        <item m="1" x="5038"/>
        <item m="1" x="5050"/>
        <item m="1" x="7632"/>
        <item m="1" x="6027"/>
        <item m="1" x="7573"/>
        <item x="942"/>
        <item m="1" x="3840"/>
        <item m="1" x="6156"/>
        <item m="1" x="7079"/>
        <item x="1880"/>
        <item m="1" x="7806"/>
        <item x="3066"/>
        <item x="1881"/>
        <item x="960"/>
        <item x="1883"/>
        <item x="2657"/>
        <item x="1884"/>
        <item x="962"/>
        <item x="1887"/>
        <item m="1" x="7936"/>
        <item x="3068"/>
        <item x="1888"/>
        <item x="1889"/>
        <item x="2659"/>
        <item x="2660"/>
        <item m="1" x="7819"/>
        <item x="1890"/>
        <item x="1891"/>
        <item x="964"/>
        <item m="1" x="7880"/>
        <item x="2661"/>
        <item x="1892"/>
        <item x="1893"/>
        <item x="965"/>
        <item x="2662"/>
        <item x="966"/>
        <item m="1" x="7829"/>
        <item x="200"/>
        <item x="1894"/>
        <item x="1895"/>
        <item x="2663"/>
        <item m="1" x="7862"/>
        <item x="1896"/>
        <item m="1" x="7937"/>
        <item x="967"/>
        <item m="1" x="5246"/>
        <item m="1" x="5328"/>
        <item x="1024"/>
        <item m="1" x="7486"/>
        <item m="1" x="7490"/>
        <item m="1" x="6595"/>
        <item m="1" x="7491"/>
        <item m="1" x="7487"/>
        <item m="1" x="7489"/>
        <item x="2385"/>
        <item m="1" x="6540"/>
        <item x="2772"/>
        <item x="2773"/>
        <item x="2049"/>
        <item m="1" x="7677"/>
        <item x="1031"/>
        <item x="1032"/>
        <item x="3120"/>
        <item x="2774"/>
        <item x="2050"/>
        <item x="2051"/>
        <item m="1" x="5561"/>
        <item m="1" x="5888"/>
        <item m="1" x="5889"/>
        <item m="1" x="6187"/>
        <item m="1" x="5891"/>
        <item m="1" x="5562"/>
        <item m="1" x="5369"/>
        <item m="1" x="5892"/>
        <item m="1" x="5563"/>
        <item m="1" x="6858"/>
        <item m="1" x="7028"/>
        <item m="1" x="6288"/>
        <item m="1" x="5895"/>
        <item m="1" x="5896"/>
        <item m="1" x="5421"/>
        <item m="1" x="5723"/>
        <item m="1" x="5565"/>
        <item m="1" x="6290"/>
        <item m="1" x="5566"/>
        <item m="1" x="5567"/>
        <item m="1" x="6291"/>
        <item m="1" x="5898"/>
        <item m="1" x="5899"/>
        <item m="1" x="5422"/>
        <item m="1" x="6188"/>
        <item m="1" x="5423"/>
        <item m="1" x="5569"/>
        <item m="1" x="6369"/>
        <item m="1" x="6104"/>
        <item m="1" x="5902"/>
        <item m="1" x="6106"/>
        <item m="1" x="5424"/>
        <item m="1" x="6680"/>
        <item m="1" x="6294"/>
        <item m="1" x="5905"/>
        <item m="1" x="5906"/>
        <item m="1" x="5907"/>
        <item m="1" x="7029"/>
        <item m="1" x="6945"/>
        <item m="1" x="5726"/>
        <item m="1" x="5838"/>
        <item m="1" x="5425"/>
        <item x="569"/>
        <item m="1" x="6681"/>
        <item m="1" x="7267"/>
        <item m="1" x="7340"/>
        <item m="1" x="7268"/>
        <item m="1" x="7238"/>
        <item m="1" x="7308"/>
        <item m="1" x="7309"/>
        <item m="1" x="7269"/>
        <item m="1" x="7310"/>
        <item m="1" x="7233"/>
        <item m="1" x="7311"/>
        <item m="1" x="7239"/>
        <item m="1" x="7270"/>
        <item m="1" x="7341"/>
        <item m="1" x="7240"/>
        <item m="1" x="7241"/>
        <item m="1" x="7313"/>
        <item m="1" x="7314"/>
        <item m="1" x="7315"/>
        <item m="1" x="7242"/>
        <item m="1" x="7271"/>
        <item m="1" x="7272"/>
        <item m="1" x="7243"/>
        <item m="1" x="7273"/>
        <item m="1" x="7244"/>
        <item m="1" x="7342"/>
        <item m="1" x="7316"/>
        <item m="1" x="7274"/>
        <item m="1" x="7275"/>
        <item m="1" x="7276"/>
        <item m="1" x="7277"/>
        <item m="1" x="7343"/>
        <item m="1" x="7234"/>
        <item m="1" x="7278"/>
        <item x="454"/>
        <item m="1" x="7938"/>
        <item m="1" x="7996"/>
        <item m="1" x="7984"/>
        <item m="1" x="6592"/>
        <item m="1" x="5186"/>
        <item m="1" x="6655"/>
        <item m="1" x="7768"/>
        <item m="1" x="5138"/>
        <item m="1" x="7930"/>
        <item x="2742"/>
        <item m="1" x="7918"/>
        <item m="1" x="7942"/>
        <item x="268"/>
        <item x="1111"/>
        <item x="1113"/>
        <item m="1" x="6081"/>
        <item m="1" x="5989"/>
        <item m="1" x="3539"/>
        <item m="1" x="3540"/>
        <item m="1" x="6441"/>
        <item m="1" x="7175"/>
        <item x="378"/>
        <item x="379"/>
        <item m="1" x="7529"/>
        <item m="1" x="5560"/>
        <item m="1" x="4040"/>
        <item m="1" x="5570"/>
        <item x="2246"/>
        <item x="1935"/>
        <item m="1" x="6191"/>
        <item x="987"/>
        <item x="1302"/>
        <item x="210"/>
        <item m="1" x="7202"/>
        <item m="1" x="7203"/>
        <item m="1" x="7204"/>
        <item m="1" x="7205"/>
        <item m="1" x="7206"/>
        <item m="1" x="7200"/>
        <item m="1" x="7199"/>
        <item m="1" x="7207"/>
        <item m="1" x="7201"/>
        <item m="1" x="7245"/>
        <item m="1" x="7279"/>
        <item m="1" x="7246"/>
        <item m="1" x="7280"/>
        <item m="1" x="7281"/>
        <item m="1" x="7666"/>
        <item m="1" x="7247"/>
        <item m="1" x="7282"/>
        <item m="1" x="7570"/>
        <item m="1" x="7698"/>
        <item m="1" x="7319"/>
        <item m="1" x="7248"/>
        <item m="1" x="7249"/>
        <item m="1" x="7235"/>
        <item m="1" x="7283"/>
        <item m="1" x="7320"/>
        <item m="1" x="7321"/>
        <item m="1" x="7322"/>
        <item m="1" x="7284"/>
        <item m="1" x="7323"/>
        <item m="1" x="7250"/>
        <item m="1" x="7251"/>
        <item m="1" x="7324"/>
        <item m="1" x="7325"/>
        <item m="1" x="7285"/>
        <item m="1" x="7252"/>
        <item m="1" x="7286"/>
        <item m="1" x="7287"/>
        <item m="1" x="7288"/>
        <item m="1" x="7253"/>
        <item m="1" x="7254"/>
        <item m="1" x="7327"/>
        <item m="1" x="7255"/>
        <item m="1" x="7328"/>
        <item m="1" x="7344"/>
        <item m="1" x="7256"/>
        <item m="1" x="7289"/>
        <item m="1" x="7329"/>
        <item m="1" x="7290"/>
        <item m="1" x="7291"/>
        <item m="1" x="7350"/>
        <item m="1" x="7257"/>
        <item m="1" x="7330"/>
        <item m="1" x="7331"/>
        <item m="1" x="7345"/>
        <item m="1" x="7258"/>
        <item m="1" x="7292"/>
        <item m="1" x="7293"/>
        <item m="1" x="7259"/>
        <item m="1" x="7332"/>
        <item m="1" x="7236"/>
        <item m="1" x="7294"/>
        <item m="1" x="7333"/>
        <item m="1" x="7260"/>
        <item m="1" x="7655"/>
        <item x="2308"/>
        <item m="1" x="7353"/>
        <item m="1" x="7352"/>
        <item m="1" x="7356"/>
        <item m="1" x="7357"/>
        <item m="1" x="7355"/>
        <item m="1" x="7358"/>
        <item m="1" x="6489"/>
        <item m="1" x="6490"/>
        <item m="1" x="7031"/>
        <item m="1" x="6491"/>
        <item m="1" x="7368"/>
        <item m="1" x="7361"/>
        <item m="1" x="7364"/>
        <item x="1513"/>
        <item m="1" x="7365"/>
        <item m="1" x="7747"/>
        <item m="1" x="7719"/>
        <item m="1" x="7517"/>
        <item m="1" x="7369"/>
        <item m="1" x="6492"/>
        <item m="1" x="7587"/>
        <item m="1" x="3863"/>
        <item m="1" x="7366"/>
        <item m="1" x="7766"/>
        <item m="1" x="6872"/>
        <item m="1" x="7032"/>
        <item m="1" x="7362"/>
        <item m="1" x="7367"/>
        <item m="1" x="6955"/>
        <item m="1" x="6873"/>
        <item m="1" x="6546"/>
        <item m="1" x="7363"/>
        <item m="1" x="6568"/>
        <item m="1" x="7544"/>
        <item m="1" x="5969"/>
        <item m="1" x="5970"/>
        <item x="1446"/>
        <item x="496"/>
        <item x="497"/>
        <item x="1448"/>
        <item x="2350"/>
        <item x="1453"/>
        <item m="1" x="6897"/>
        <item x="2351"/>
        <item m="1" x="5457"/>
        <item x="2961"/>
        <item x="504"/>
        <item x="505"/>
        <item x="2352"/>
        <item x="506"/>
        <item x="2353"/>
        <item x="1454"/>
        <item x="1455"/>
        <item x="1456"/>
        <item x="1457"/>
        <item x="1458"/>
        <item m="1" x="7594"/>
        <item x="507"/>
        <item x="508"/>
        <item x="53"/>
        <item m="1" x="7627"/>
        <item m="1" x="7657"/>
        <item m="1" x="7510"/>
        <item m="1" x="4535"/>
        <item m="1" x="7763"/>
        <item m="1" x="4548"/>
        <item m="1" x="7595"/>
        <item m="1" x="4544"/>
        <item m="1" x="6899"/>
        <item m="1" x="6983"/>
        <item x="3307"/>
        <item x="3191"/>
        <item m="1" x="6117"/>
        <item m="1" x="6756"/>
        <item m="1" x="6688"/>
        <item m="1" x="4635"/>
        <item m="1" x="5912"/>
        <item m="1" x="7397"/>
        <item m="1" x="7637"/>
        <item m="1" x="6757"/>
        <item m="1" x="7395"/>
        <item m="1" x="7394"/>
        <item m="1" x="7401"/>
        <item x="649"/>
        <item x="650"/>
        <item m="1" x="6991"/>
        <item x="651"/>
        <item m="1" x="6519"/>
        <item x="574"/>
        <item x="604"/>
        <item x="2371"/>
        <item m="1" x="6588"/>
        <item m="1" x="7505"/>
        <item x="1530"/>
        <item m="1" x="7538"/>
        <item x="2392"/>
        <item x="1519"/>
        <item x="596"/>
        <item m="1" x="7405"/>
        <item x="2444"/>
        <item m="1" x="4656"/>
        <item m="1" x="7412"/>
        <item m="1" x="4665"/>
        <item m="1" x="4674"/>
        <item m="1" x="4650"/>
        <item x="1549"/>
        <item m="1" x="6132"/>
        <item m="1" x="5764"/>
        <item m="1" x="4649"/>
        <item m="1" x="6627"/>
        <item m="1" x="6333"/>
        <item m="1" x="6134"/>
        <item m="1" x="6137"/>
        <item x="598"/>
        <item m="1" x="7411"/>
        <item x="2425"/>
        <item m="1" x="6136"/>
        <item m="1" x="7675"/>
        <item m="1" x="7660"/>
        <item m="1" x="7539"/>
        <item m="1" x="7519"/>
        <item x="149"/>
        <item x="1711"/>
        <item m="1" x="6998"/>
        <item m="1" x="6676"/>
        <item x="863"/>
        <item m="1" x="7464"/>
        <item x="2612"/>
        <item x="864"/>
        <item x="1791"/>
        <item x="865"/>
        <item x="866"/>
        <item x="3249"/>
        <item x="1792"/>
        <item m="1" x="6762"/>
        <item x="157"/>
        <item m="1" x="5011"/>
        <item m="1" x="6182"/>
        <item x="2875"/>
        <item m="1" x="6603"/>
        <item m="1" x="6776"/>
        <item x="1218"/>
        <item m="1" x="6457"/>
        <item x="2885"/>
        <item x="338"/>
        <item m="1" x="5554"/>
        <item m="1" x="6458"/>
        <item x="1230"/>
        <item m="1" x="6453"/>
        <item m="1" x="7143"/>
        <item m="1" x="7144"/>
        <item m="1" x="7145"/>
        <item x="2199"/>
        <item x="1235"/>
        <item m="1" x="7125"/>
        <item x="1233"/>
        <item m="1" x="5412"/>
        <item m="1" x="7162"/>
        <item m="1" x="5715"/>
        <item x="339"/>
        <item x="1232"/>
        <item m="1" x="5966"/>
        <item m="1" x="6547"/>
        <item m="1" x="6360"/>
        <item m="1" x="7146"/>
        <item m="1" x="7737"/>
        <item x="2184"/>
        <item m="1" x="5410"/>
        <item m="1" x="6855"/>
        <item x="2192"/>
        <item m="1" x="7147"/>
        <item m="1" x="6459"/>
        <item m="1" x="7129"/>
        <item m="1" x="7148"/>
        <item x="1223"/>
        <item x="1227"/>
        <item x="2197"/>
        <item x="1188"/>
        <item m="1" x="7718"/>
        <item m="1" x="7602"/>
        <item m="1" x="7641"/>
        <item m="1" x="7515"/>
        <item m="1" x="7523"/>
        <item m="1" x="7622"/>
        <item x="344"/>
        <item m="1" x="7163"/>
        <item m="1" x="7171"/>
        <item m="1" x="7130"/>
        <item m="1" x="7164"/>
        <item m="1" x="7131"/>
        <item m="1" x="6181"/>
        <item m="1" x="7132"/>
        <item m="1" x="7172"/>
        <item x="2202"/>
        <item m="1" x="7133"/>
        <item m="1" x="7149"/>
        <item m="1" x="7150"/>
        <item m="1" x="7642"/>
        <item x="1153"/>
        <item x="2843"/>
        <item x="1146"/>
        <item x="296"/>
        <item m="1" x="7165"/>
        <item x="2845"/>
        <item x="11"/>
        <item m="1" x="6942"/>
        <item x="12"/>
        <item x="2139"/>
        <item m="1" x="7166"/>
        <item m="1" x="6168"/>
        <item x="2169"/>
        <item m="1" x="7151"/>
        <item m="1" x="7152"/>
        <item m="1" x="7153"/>
        <item x="2844"/>
        <item x="2135"/>
        <item m="1" x="6773"/>
        <item m="1" x="7559"/>
        <item m="1" x="7154"/>
        <item x="2851"/>
        <item m="1" x="7126"/>
        <item m="1" x="6541"/>
        <item x="2176"/>
        <item x="299"/>
        <item x="2140"/>
        <item x="2848"/>
        <item x="2846"/>
        <item x="1154"/>
        <item x="2847"/>
        <item x="300"/>
        <item x="2132"/>
        <item m="1" x="7127"/>
        <item x="1149"/>
        <item x="297"/>
        <item x="2136"/>
        <item x="21"/>
        <item x="298"/>
        <item m="1" x="6087"/>
        <item x="323"/>
        <item m="1" x="7155"/>
        <item x="301"/>
        <item x="2850"/>
        <item x="2137"/>
        <item m="1" x="6167"/>
        <item m="1" x="7134"/>
        <item m="1" x="7156"/>
        <item m="1" x="7167"/>
        <item m="1" x="6086"/>
        <item m="1" x="6169"/>
        <item m="1" x="7611"/>
        <item m="1" x="7173"/>
        <item x="1155"/>
        <item x="2853"/>
        <item x="2133"/>
        <item x="1150"/>
        <item x="1151"/>
        <item x="13"/>
        <item m="1" x="5406"/>
        <item m="1" x="5548"/>
        <item x="2852"/>
        <item x="2134"/>
        <item x="1152"/>
        <item x="2138"/>
        <item x="2849"/>
        <item m="1" x="5999"/>
        <item m="1" x="5714"/>
        <item m="1" x="7157"/>
        <item x="1147"/>
        <item x="2141"/>
        <item m="1" x="5408"/>
        <item m="1" x="6542"/>
        <item m="1" x="7192"/>
        <item m="1" x="7524"/>
        <item m="1" x="7359"/>
        <item m="1" x="5436"/>
        <item x="2475"/>
        <item m="1" x="6790"/>
        <item m="1" x="5437"/>
        <item x="571"/>
        <item x="1409"/>
        <item m="1" x="6495"/>
        <item m="1" x="4444"/>
        <item m="1" x="4269"/>
        <item m="1" x="4347"/>
        <item m="1" x="4267"/>
        <item m="1" x="4268"/>
        <item m="1" x="5371"/>
        <item m="1" x="4443"/>
        <item m="1" x="4503"/>
        <item m="1" x="6876"/>
        <item m="1" x="4346"/>
        <item m="1" x="7374"/>
        <item m="1" x="4345"/>
        <item m="1" x="7375"/>
        <item m="1" x="6795"/>
        <item m="1" x="4517"/>
        <item m="1" x="4441"/>
        <item m="1" x="4220"/>
        <item m="1" x="4342"/>
        <item m="1" x="4439"/>
        <item m="1" x="4440"/>
        <item m="1" x="6623"/>
        <item m="1" x="6391"/>
        <item m="1" x="6113"/>
        <item m="1" x="7381"/>
        <item m="1" x="4343"/>
        <item x="1246"/>
        <item m="1" x="4263"/>
        <item m="1" x="6025"/>
        <item m="1" x="6723"/>
        <item m="1" x="4264"/>
        <item m="1" x="4442"/>
        <item m="1" x="4344"/>
        <item m="1" x="4265"/>
        <item m="1" x="6569"/>
        <item m="1" x="4266"/>
        <item m="1" x="5591"/>
        <item m="1" x="4169"/>
        <item m="1" x="5743"/>
        <item m="1" x="6881"/>
        <item m="1" x="6029"/>
        <item m="1" x="7716"/>
        <item m="1" x="7699"/>
        <item m="1" x="7731"/>
        <item m="1" x="4636"/>
        <item x="3312"/>
        <item m="1" x="6585"/>
        <item m="1" x="7415"/>
        <item m="1" x="7424"/>
        <item m="1" x="7425"/>
        <item m="1" x="7430"/>
        <item m="1" x="7426"/>
        <item m="1" x="7427"/>
        <item x="3007"/>
        <item x="3009"/>
        <item x="690"/>
        <item m="1" x="7512"/>
        <item x="2479"/>
        <item x="691"/>
        <item x="692"/>
        <item x="3010"/>
        <item x="83"/>
        <item x="84"/>
        <item x="2480"/>
        <item m="1" x="7676"/>
        <item x="693"/>
        <item x="694"/>
        <item x="1637"/>
        <item x="85"/>
        <item m="1" x="6335"/>
        <item x="1638"/>
        <item x="1663"/>
        <item x="2522"/>
        <item m="1" x="6904"/>
        <item x="92"/>
        <item x="736"/>
        <item x="2523"/>
        <item x="2524"/>
        <item x="1664"/>
        <item x="93"/>
        <item x="737"/>
        <item x="3032"/>
        <item x="94"/>
        <item x="3033"/>
        <item x="95"/>
        <item x="2525"/>
        <item x="3034"/>
        <item x="96"/>
        <item x="97"/>
        <item x="98"/>
        <item x="99"/>
        <item x="3035"/>
        <item x="3036"/>
        <item x="100"/>
        <item m="1" x="7450"/>
        <item x="101"/>
        <item x="102"/>
        <item m="1" x="5979"/>
        <item x="738"/>
        <item m="1" x="5472"/>
        <item x="103"/>
        <item x="739"/>
        <item x="104"/>
        <item x="3038"/>
        <item m="1" x="6905"/>
        <item x="743"/>
        <item x="744"/>
        <item x="745"/>
        <item m="1" x="6153"/>
        <item m="1" x="6417"/>
        <item x="746"/>
        <item m="1" x="6906"/>
        <item x="747"/>
        <item x="2530"/>
        <item x="1666"/>
        <item x="108"/>
        <item x="109"/>
        <item x="110"/>
        <item x="111"/>
        <item m="1" x="6227"/>
        <item m="1" x="6907"/>
        <item m="1" x="4898"/>
        <item m="1" x="4908"/>
        <item m="1" x="4911"/>
        <item m="1" x="4914"/>
        <item m="1" x="6835"/>
        <item m="1" x="4909"/>
        <item m="1" x="4912"/>
        <item m="1" x="3521"/>
        <item m="1" x="3523"/>
        <item m="1" x="3524"/>
        <item m="1" x="3525"/>
        <item m="1" x="3526"/>
        <item m="1" x="3527"/>
        <item m="1" x="3528"/>
        <item m="1" x="3530"/>
        <item m="1" x="3531"/>
        <item m="1" x="7063"/>
        <item m="1" x="4939"/>
        <item m="1" x="4930"/>
        <item m="1" x="4994"/>
        <item m="1" x="6312"/>
        <item x="3412"/>
        <item m="1" x="5938"/>
        <item m="1" x="7458"/>
        <item m="1" x="4995"/>
        <item x="3415"/>
        <item m="1" x="7459"/>
        <item m="1" x="4996"/>
        <item x="3416"/>
        <item m="1" x="7781"/>
        <item m="1" x="6693"/>
        <item m="1" x="7460"/>
        <item m="1" x="6313"/>
        <item x="3503"/>
        <item x="3417"/>
        <item m="1" x="6695"/>
        <item x="3419"/>
        <item m="1" x="4997"/>
        <item x="3421"/>
        <item m="1" x="7461"/>
        <item x="3507"/>
        <item m="1" x="7072"/>
        <item m="1" x="7073"/>
        <item m="1" x="7074"/>
        <item m="1" x="7005"/>
        <item m="1" x="5025"/>
        <item x="938"/>
        <item x="939"/>
        <item m="1" x="7009"/>
        <item x="944"/>
        <item m="1" x="5516"/>
        <item x="933"/>
        <item x="935"/>
        <item x="1862"/>
        <item x="1864"/>
        <item x="2648"/>
        <item x="936"/>
        <item x="1861"/>
        <item x="934"/>
        <item m="1" x="7010"/>
        <item m="1" x="7011"/>
        <item m="1" x="7012"/>
        <item x="2655"/>
        <item m="1" x="7598"/>
        <item x="1885"/>
        <item x="2658"/>
        <item x="3067"/>
        <item x="963"/>
        <item x="1886"/>
        <item m="1" x="7619"/>
        <item m="1" x="5113"/>
        <item m="1" x="5114"/>
        <item m="1" x="5089"/>
        <item m="1" x="5115"/>
        <item m="1" x="7756"/>
        <item m="1" x="7506"/>
        <item m="1" x="7757"/>
        <item m="1" x="7759"/>
        <item m="1" x="7752"/>
        <item x="3261"/>
        <item m="1" x="5690"/>
        <item m="1" x="5344"/>
        <item m="1" x="5345"/>
        <item m="1" x="5524"/>
        <item x="236"/>
        <item m="1" x="5817"/>
        <item m="1" x="6277"/>
        <item m="1" x="6237"/>
        <item m="1" x="6238"/>
        <item x="1944"/>
        <item m="1" x="5703"/>
        <item m="1" x="5815"/>
        <item m="1" x="5706"/>
        <item m="1" x="7769"/>
        <item m="1" x="3750"/>
        <item m="1" x="3756"/>
        <item m="1" x="6323"/>
        <item m="1" x="4844"/>
        <item m="1" x="7562"/>
        <item m="1" x="6472"/>
        <item m="1" x="7728"/>
        <item m="1" x="4870"/>
        <item m="1" x="4877"/>
        <item m="1" x="4873"/>
        <item m="1" x="4862"/>
        <item m="1" x="4861"/>
        <item m="1" x="4850"/>
        <item m="1" x="5433"/>
        <item m="1" x="6018"/>
        <item m="1" x="7586"/>
        <item x="1684"/>
        <item x="787"/>
        <item m="1" x="6228"/>
        <item m="1" x="7453"/>
        <item x="2547"/>
        <item x="3044"/>
        <item m="1" x="5673"/>
        <item x="2550"/>
        <item m="1" x="7514"/>
        <item m="1" x="3576"/>
        <item m="1" x="3577"/>
        <item m="1" x="7096"/>
        <item m="1" x="6961"/>
        <item m="1" x="3567"/>
        <item m="1" x="7541"/>
        <item x="474"/>
        <item m="1" x="3578"/>
        <item m="1" x="3596"/>
        <item x="475"/>
        <item m="1" x="6965"/>
        <item m="1" x="3603"/>
        <item m="1" x="3565"/>
        <item m="1" x="3602"/>
        <item m="1" x="5446"/>
        <item m="1" x="6395"/>
        <item m="1" x="4576"/>
        <item m="1" x="7577"/>
        <item m="1" x="7578"/>
        <item m="1" x="7579"/>
        <item m="1" x="7580"/>
        <item m="1" x="7581"/>
        <item m="1" x="6958"/>
        <item m="1" x="5447"/>
        <item m="1" x="7591"/>
        <item m="1" x="7592"/>
        <item m="1" x="6981"/>
        <item m="1" x="7599"/>
        <item m="1" x="7600"/>
        <item m="1" x="7601"/>
        <item x="476"/>
        <item m="1" x="3655"/>
        <item m="1" x="7608"/>
        <item m="1" x="7609"/>
        <item m="1" x="7616"/>
        <item m="1" x="4590"/>
        <item x="1431"/>
        <item m="1" x="3622"/>
        <item m="1" x="3643"/>
        <item m="1" x="4584"/>
        <item m="1" x="4045"/>
        <item m="1" x="7111"/>
        <item m="1" x="7648"/>
        <item m="1" x="5600"/>
        <item m="1" x="4588"/>
        <item m="1" x="5599"/>
        <item m="1" x="4591"/>
        <item m="1" x="3621"/>
        <item m="1" x="3623"/>
        <item m="1" x="3632"/>
        <item m="1" x="7671"/>
        <item m="1" x="4589"/>
        <item m="1" x="3653"/>
        <item m="1" x="3654"/>
        <item x="1434"/>
        <item m="1" x="7688"/>
        <item x="1428"/>
        <item m="1" x="7691"/>
        <item m="1" x="4602"/>
        <item m="1" x="7696"/>
        <item m="1" x="6823"/>
        <item m="1" x="5745"/>
        <item m="1" x="4601"/>
        <item m="1" x="7115"/>
        <item m="1" x="7116"/>
        <item x="2339"/>
        <item m="1" x="4603"/>
        <item x="2340"/>
        <item m="1" x="5746"/>
        <item m="1" x="3689"/>
        <item m="1" x="6573"/>
        <item m="1" x="5747"/>
        <item m="1" x="3697"/>
        <item m="1" x="7114"/>
        <item m="1" x="5845"/>
        <item x="2955"/>
        <item m="1" x="3700"/>
        <item m="1" x="7750"/>
        <item m="1" x="6744"/>
        <item m="1" x="5844"/>
        <item x="3187"/>
        <item m="1" x="7755"/>
        <item x="3189"/>
        <item x="3188"/>
        <item m="1" x="7765"/>
        <item x="274"/>
        <item x="275"/>
        <item x="1115"/>
        <item m="1" x="5990"/>
        <item m="1" x="5961"/>
        <item x="276"/>
        <item x="277"/>
        <item m="1" x="6007"/>
        <item m="1" x="3748"/>
        <item m="1" x="7188"/>
        <item m="1" x="6194"/>
        <item m="1" x="6107"/>
        <item m="1" x="6108"/>
        <item m="1" x="3858"/>
        <item m="1" x="7193"/>
        <item m="1" x="6467"/>
        <item m="1" x="6554"/>
        <item m="1" x="6370"/>
        <item m="1" x="6371"/>
        <item x="38"/>
        <item x="2309"/>
        <item m="1" x="6384"/>
        <item m="1" x="6870"/>
        <item m="1" x="4189"/>
        <item x="1405"/>
        <item m="1" x="5586"/>
        <item m="1" x="6386"/>
        <item x="448"/>
        <item m="1" x="6954"/>
        <item x="2956"/>
        <item m="1" x="5846"/>
        <item m="1" x="5605"/>
        <item x="487"/>
        <item x="1447"/>
        <item x="500"/>
        <item m="1" x="6330"/>
        <item m="1" x="6982"/>
        <item m="1" x="7390"/>
        <item x="2963"/>
        <item m="1" x="4530"/>
        <item m="1" x="4529"/>
        <item m="1" x="6123"/>
        <item m="1" x="6511"/>
        <item m="1" x="6039"/>
        <item m="1" x="6124"/>
        <item m="1" x="6125"/>
        <item m="1" x="6581"/>
        <item m="1" x="6401"/>
        <item m="1" x="6512"/>
        <item m="1" x="6901"/>
        <item m="1" x="6144"/>
        <item x="652"/>
        <item x="79"/>
        <item m="1" x="6407"/>
        <item x="80"/>
        <item m="1" x="7422"/>
        <item m="1" x="4733"/>
        <item m="1" x="4753"/>
        <item m="1" x="4734"/>
        <item m="1" x="4735"/>
        <item m="1" x="4744"/>
        <item m="1" x="4728"/>
        <item x="1598"/>
        <item x="2455"/>
        <item m="1" x="4893"/>
        <item m="1" x="4887"/>
        <item m="1" x="4889"/>
        <item m="1" x="6830"/>
        <item m="1" x="5629"/>
        <item m="1" x="7058"/>
        <item x="2531"/>
        <item m="1" x="5376"/>
        <item m="1" x="6057"/>
        <item m="1" x="6831"/>
        <item x="748"/>
        <item x="2532"/>
        <item m="1" x="6832"/>
        <item x="112"/>
        <item m="1" x="6274"/>
        <item x="1667"/>
        <item x="113"/>
        <item x="114"/>
        <item m="1" x="7059"/>
        <item x="749"/>
        <item x="750"/>
        <item x="751"/>
        <item x="752"/>
        <item x="2533"/>
        <item m="1" x="6833"/>
        <item x="753"/>
        <item x="754"/>
        <item x="755"/>
        <item m="1" x="4937"/>
        <item x="3411"/>
        <item m="1" x="4993"/>
        <item m="1" x="6678"/>
        <item x="3424"/>
        <item x="3425"/>
        <item x="3426"/>
        <item m="1" x="6696"/>
        <item x="3427"/>
        <item m="1" x="4998"/>
        <item x="3428"/>
        <item x="909"/>
        <item x="907"/>
        <item x="172"/>
        <item x="1835"/>
        <item x="173"/>
        <item x="908"/>
        <item x="1834"/>
        <item x="2640"/>
        <item x="174"/>
        <item m="1" x="5683"/>
        <item m="1" x="5685"/>
        <item m="1" x="5511"/>
        <item m="1" x="5512"/>
        <item m="1" x="5958"/>
        <item m="1" x="7472"/>
        <item m="1" x="5513"/>
        <item m="1" x="7077"/>
        <item m="1" x="7013"/>
        <item m="1" x="6233"/>
        <item x="948"/>
        <item x="921"/>
        <item x="182"/>
        <item m="1" x="6919"/>
        <item m="1" x="5387"/>
        <item x="185"/>
        <item x="186"/>
        <item x="930"/>
        <item x="931"/>
        <item x="1860"/>
        <item x="1863"/>
        <item x="1858"/>
        <item m="1" x="5390"/>
        <item m="1" x="7018"/>
        <item m="1" x="6286"/>
        <item m="1" x="5694"/>
        <item m="1" x="6278"/>
        <item m="1" x="5809"/>
        <item m="1" x="5698"/>
        <item m="1" x="5870"/>
        <item m="1" x="5699"/>
        <item m="1" x="5700"/>
        <item m="1" x="6068"/>
        <item m="1" x="5871"/>
        <item m="1" x="5887"/>
        <item m="1" x="5981"/>
        <item x="352"/>
        <item m="1" x="5702"/>
        <item m="1" x="5812"/>
        <item x="160"/>
        <item m="1" x="6239"/>
        <item m="1" x="5872"/>
        <item m="1" x="6287"/>
        <item m="1" x="5526"/>
        <item m="1" x="5873"/>
        <item m="1" x="5527"/>
        <item m="1" x="5343"/>
        <item x="1026"/>
        <item x="2034"/>
        <item x="2035"/>
        <item x="2036"/>
        <item x="1033"/>
        <item x="2056"/>
        <item m="1" x="6596"/>
        <item x="2776"/>
        <item x="1034"/>
        <item x="2057"/>
        <item x="3514"/>
        <item x="3127"/>
        <item x="2783"/>
        <item m="1" x="5819"/>
        <item x="2792"/>
        <item m="1" x="6597"/>
        <item m="1" x="7021"/>
        <item x="3275"/>
        <item x="2797"/>
        <item x="2807"/>
        <item x="228"/>
        <item x="213"/>
        <item x="3159"/>
        <item x="223"/>
        <item m="1" x="7022"/>
        <item x="2815"/>
        <item m="1" x="7081"/>
        <item m="1" x="6598"/>
        <item m="1" x="6767"/>
        <item x="2069"/>
        <item x="3144"/>
        <item x="224"/>
        <item m="1" x="5531"/>
        <item x="1056"/>
        <item x="1045"/>
        <item m="1" x="6768"/>
        <item m="1" x="5360"/>
        <item m="1" x="6342"/>
        <item m="1" x="5820"/>
        <item x="2812"/>
        <item x="3135"/>
        <item x="1058"/>
        <item m="1" x="5356"/>
        <item x="3276"/>
        <item x="1063"/>
        <item x="3273"/>
        <item x="2065"/>
        <item x="3134"/>
        <item x="3147"/>
        <item x="2066"/>
        <item m="1" x="6844"/>
        <item x="2076"/>
        <item m="1" x="5530"/>
        <item m="1" x="6599"/>
        <item x="1042"/>
        <item x="2064"/>
        <item x="2779"/>
        <item x="1054"/>
        <item m="1" x="6936"/>
        <item x="2063"/>
        <item m="1" x="5355"/>
        <item x="3146"/>
        <item x="1047"/>
        <item x="3145"/>
        <item x="227"/>
        <item x="2079"/>
        <item x="2789"/>
        <item m="1" x="6280"/>
        <item m="1" x="7023"/>
        <item x="1041"/>
        <item x="2793"/>
        <item m="1" x="6073"/>
        <item x="3152"/>
        <item m="1" x="7082"/>
        <item m="1" x="5821"/>
        <item x="2778"/>
        <item x="3269"/>
        <item x="222"/>
        <item m="1" x="5346"/>
        <item m="1" x="7497"/>
        <item m="1" x="6161"/>
        <item x="1050"/>
        <item x="2781"/>
        <item x="1053"/>
        <item x="3139"/>
        <item m="1" x="6845"/>
        <item m="1" x="6769"/>
        <item x="2061"/>
        <item x="3132"/>
        <item x="1065"/>
        <item m="1" x="6656"/>
        <item x="221"/>
        <item m="1" x="6340"/>
        <item x="225"/>
        <item m="1" x="7024"/>
        <item m="1" x="5347"/>
        <item m="1" x="7083"/>
        <item m="1" x="6072"/>
        <item x="2816"/>
        <item m="1" x="6341"/>
        <item x="1040"/>
        <item m="1" x="5354"/>
        <item x="2060"/>
        <item m="1" x="6644"/>
        <item x="3278"/>
        <item m="1" x="7493"/>
        <item m="1" x="7494"/>
        <item m="1" x="7495"/>
        <item m="1" x="7498"/>
        <item m="1" x="7499"/>
        <item m="1" x="7496"/>
        <item m="1" x="5993"/>
        <item m="1" x="4640"/>
        <item m="1" x="6083"/>
        <item m="1" x="7103"/>
        <item x="2191"/>
        <item x="1225"/>
        <item m="1" x="7124"/>
        <item m="1" x="4453"/>
        <item m="1" x="6099"/>
        <item x="552"/>
        <item x="2186"/>
        <item m="1" x="6283"/>
        <item m="1" x="3723"/>
        <item x="2201"/>
        <item m="1" x="6358"/>
        <item x="1505"/>
        <item x="3180"/>
        <item m="1" x="6170"/>
        <item x="1158"/>
        <item x="2149"/>
        <item x="14"/>
        <item x="2144"/>
        <item x="2143"/>
        <item x="3174"/>
        <item x="2145"/>
        <item m="1" x="4161"/>
        <item x="1156"/>
        <item m="1" x="6000"/>
        <item m="1" x="5711"/>
        <item x="2147"/>
        <item x="1157"/>
        <item x="2146"/>
        <item x="2148"/>
        <item x="1159"/>
        <item m="1" x="6543"/>
        <item x="2151"/>
        <item x="2150"/>
        <item x="302"/>
        <item x="1160"/>
        <item m="1" x="6175"/>
        <item x="1161"/>
        <item m="1" x="3718"/>
        <item x="2152"/>
        <item m="1" x="6350"/>
        <item x="303"/>
        <item m="1" x="5963"/>
        <item m="1" x="6247"/>
        <item m="1" x="6282"/>
        <item m="1" x="6091"/>
        <item m="1" x="6090"/>
        <item m="1" x="6093"/>
        <item m="1" x="6001"/>
        <item m="1" x="6171"/>
        <item m="1" x="6088"/>
        <item m="1" x="6174"/>
        <item m="1" x="6092"/>
        <item m="1" x="6173"/>
        <item m="1" x="6248"/>
        <item m="1" x="6089"/>
        <item m="1" x="6172"/>
        <item m="1" x="6544"/>
        <item m="1" x="7168"/>
        <item m="1" x="7135"/>
        <item m="1" x="7169"/>
        <item x="1485"/>
        <item x="1274"/>
        <item x="363"/>
        <item x="364"/>
        <item x="1275"/>
        <item x="1276"/>
        <item x="25"/>
        <item m="1" x="3757"/>
        <item m="1" x="6551"/>
        <item m="1" x="5720"/>
        <item m="1" x="7178"/>
        <item m="1" x="6778"/>
        <item m="1" x="7177"/>
        <item x="2239"/>
        <item m="1" x="6101"/>
        <item m="1" x="6463"/>
        <item m="1" x="5368"/>
        <item x="2242"/>
        <item x="1298"/>
        <item x="2701"/>
        <item m="1" x="4367"/>
        <item x="2702"/>
        <item x="1286"/>
        <item m="1" x="5620"/>
        <item m="1" x="3807"/>
        <item x="1307"/>
        <item m="1" x="4857"/>
        <item m="1" x="4860"/>
        <item m="1" x="6198"/>
        <item m="1" x="6785"/>
        <item m="1" x="7295"/>
        <item m="1" x="7346"/>
        <item m="1" x="7296"/>
        <item m="1" x="7297"/>
        <item m="1" x="7261"/>
        <item m="1" x="7262"/>
        <item m="1" x="7298"/>
        <item m="1" x="7351"/>
        <item m="1" x="7347"/>
        <item m="1" x="7299"/>
        <item m="1" x="7348"/>
        <item m="1" x="7334"/>
        <item m="1" x="7300"/>
        <item m="1" x="7301"/>
        <item m="1" x="7335"/>
        <item m="1" x="7302"/>
        <item m="1" x="7303"/>
        <item m="1" x="7304"/>
        <item m="1" x="7237"/>
        <item m="1" x="7336"/>
        <item m="1" x="7305"/>
        <item m="1" x="7337"/>
        <item m="1" x="7263"/>
        <item m="1" x="7349"/>
        <item m="1" x="7264"/>
        <item m="1" x="7338"/>
        <item m="1" x="7265"/>
        <item m="1" x="7339"/>
        <item m="1" x="7266"/>
        <item m="1" x="7306"/>
        <item m="1" x="6498"/>
        <item m="1" x="4221"/>
        <item m="1" x="5440"/>
        <item m="1" x="4446"/>
        <item m="1" x="4348"/>
        <item m="1" x="4350"/>
        <item m="1" x="4271"/>
        <item m="1" x="4504"/>
        <item m="1" x="4447"/>
        <item m="1" x="6114"/>
        <item m="1" x="6796"/>
        <item m="1" x="4222"/>
        <item m="1" x="6877"/>
        <item m="1" x="6878"/>
        <item m="1" x="7382"/>
        <item m="1" x="4351"/>
        <item m="1" x="7371"/>
        <item m="1" x="6570"/>
        <item m="1" x="4505"/>
        <item m="1" x="6026"/>
        <item m="1" x="4507"/>
        <item m="1" x="4272"/>
        <item m="1" x="4273"/>
        <item m="1" x="6572"/>
        <item m="1" x="4352"/>
        <item m="1" x="5609"/>
        <item m="1" x="7387"/>
        <item m="1" x="5608"/>
        <item m="1" x="7388"/>
        <item m="1" x="6580"/>
        <item m="1" x="5455"/>
        <item m="1" x="6506"/>
        <item m="1" x="6507"/>
        <item m="1" x="6718"/>
        <item m="1" x="6824"/>
        <item x="603"/>
        <item m="1" x="4555"/>
        <item m="1" x="4545"/>
        <item m="1" x="4569"/>
        <item m="1" x="4606"/>
        <item m="1" x="4592"/>
        <item m="1" x="4577"/>
        <item m="1" x="5917"/>
        <item m="1" x="6302"/>
        <item x="3322"/>
        <item m="1" x="6303"/>
        <item x="597"/>
        <item x="3217"/>
        <item m="1" x="7404"/>
        <item x="1553"/>
        <item m="1" x="4676"/>
        <item m="1" x="4659"/>
        <item x="2422"/>
        <item m="1" x="5768"/>
        <item m="1" x="6060"/>
        <item x="3057"/>
        <item x="3058"/>
        <item x="867"/>
        <item x="868"/>
        <item m="1" x="6337"/>
        <item m="1" x="6530"/>
        <item m="1" x="6531"/>
        <item m="1" x="6532"/>
        <item m="1" x="6533"/>
        <item m="1" x="5024"/>
        <item m="1" x="6428"/>
        <item m="1" x="5021"/>
        <item x="1848"/>
        <item m="1" x="5798"/>
        <item x="3064"/>
        <item x="920"/>
        <item m="1" x="5867"/>
        <item m="1" x="7196"/>
        <item m="1" x="3862"/>
        <item m="1" x="7197"/>
        <item x="1010"/>
        <item m="1" x="6934"/>
        <item x="1995"/>
        <item x="2013"/>
        <item m="1" x="5803"/>
        <item x="2747"/>
        <item m="1" x="3865"/>
        <item m="1" x="3866"/>
        <item x="3091"/>
        <item m="1" x="7198"/>
        <item m="1" x="3868"/>
        <item x="1117"/>
        <item m="1" x="5962"/>
        <item x="2125"/>
        <item x="292"/>
        <item m="1" x="6443"/>
        <item x="304"/>
        <item x="2854"/>
        <item m="1" x="5713"/>
        <item x="1162"/>
        <item x="1163"/>
        <item m="1" x="3725"/>
        <item x="1164"/>
        <item x="2153"/>
        <item x="1165"/>
        <item m="1" x="6444"/>
        <item m="1" x="6943"/>
        <item m="1" x="6774"/>
        <item x="1166"/>
        <item x="2154"/>
        <item x="2155"/>
        <item x="1167"/>
        <item m="1" x="5407"/>
        <item m="1" x="5826"/>
        <item x="1168"/>
        <item x="1170"/>
        <item x="2156"/>
        <item x="1169"/>
        <item x="305"/>
        <item x="2157"/>
        <item m="1" x="5544"/>
        <item x="306"/>
        <item x="2254"/>
        <item m="1" x="6098"/>
        <item m="1" x="6094"/>
        <item m="1" x="6095"/>
        <item m="1" x="6002"/>
        <item m="1" x="6176"/>
        <item m="1" x="6096"/>
        <item m="1" x="6097"/>
        <item m="1" x="6249"/>
        <item m="1" x="6445"/>
        <item m="1" x="6446"/>
        <item x="1172"/>
        <item x="2855"/>
        <item m="1" x="6775"/>
        <item m="1" x="6351"/>
        <item m="1" x="5546"/>
        <item m="1" x="6321"/>
        <item m="1" x="6352"/>
        <item x="2159"/>
        <item m="1" x="5827"/>
        <item m="1" x="6003"/>
        <item x="2161"/>
        <item m="1" x="6448"/>
        <item m="1" x="6449"/>
        <item x="15"/>
        <item x="1171"/>
        <item m="1" x="6353"/>
        <item m="1" x="5545"/>
        <item m="1" x="6354"/>
        <item x="3175"/>
        <item m="1" x="6178"/>
        <item x="1213"/>
        <item x="2874"/>
        <item m="1" x="6452"/>
        <item x="2185"/>
        <item x="2882"/>
        <item m="1" x="5551"/>
        <item m="1" x="6456"/>
        <item m="1" x="6180"/>
        <item x="2189"/>
        <item m="1" x="6251"/>
        <item m="1" x="6856"/>
        <item m="1" x="6548"/>
        <item x="2198"/>
        <item x="1234"/>
        <item x="340"/>
        <item m="1" x="5415"/>
        <item m="1" x="5555"/>
        <item x="1236"/>
        <item m="1" x="6460"/>
        <item m="1" x="6184"/>
        <item m="1" x="5556"/>
        <item x="381"/>
        <item m="1" x="6464"/>
        <item m="1" x="6365"/>
        <item m="1" x="6366"/>
        <item m="1" x="6367"/>
        <item m="1" x="6368"/>
        <item m="1" x="5199"/>
        <item x="2248"/>
        <item x="1967"/>
        <item x="2258"/>
        <item m="1" x="4178"/>
        <item x="39"/>
        <item x="2942"/>
        <item m="1" x="6388"/>
        <item m="1" x="6666"/>
        <item m="1" x="6667"/>
        <item m="1" x="6797"/>
        <item m="1" x="5847"/>
        <item m="1" x="5848"/>
        <item m="1" x="5748"/>
        <item m="1" x="6204"/>
        <item m="1" x="5968"/>
        <item x="1425"/>
        <item x="1426"/>
        <item m="1" x="6205"/>
        <item x="2328"/>
        <item x="2329"/>
        <item x="2330"/>
        <item x="472"/>
        <item m="1" x="4518"/>
        <item x="1427"/>
        <item x="2333"/>
        <item x="473"/>
        <item m="1" x="6575"/>
        <item x="2334"/>
        <item m="1" x="5971"/>
        <item m="1" x="6579"/>
        <item x="2355"/>
        <item m="1" x="6508"/>
        <item x="688"/>
        <item x="2356"/>
        <item x="2347"/>
        <item m="1" x="6687"/>
        <item x="1459"/>
        <item x="510"/>
        <item x="2357"/>
        <item x="2358"/>
        <item x="54"/>
        <item x="511"/>
        <item x="1460"/>
        <item x="512"/>
        <item x="2359"/>
        <item m="1" x="5756"/>
        <item x="513"/>
        <item x="514"/>
        <item m="1" x="6985"/>
        <item m="1" x="6825"/>
        <item m="1" x="6986"/>
        <item x="1478"/>
        <item m="1" x="6900"/>
        <item m="1" x="6720"/>
        <item m="1" x="6987"/>
        <item m="1" x="6041"/>
        <item m="1" x="6402"/>
        <item m="1" x="6403"/>
        <item m="1" x="6331"/>
        <item m="1" x="6332"/>
        <item m="1" x="6586"/>
        <item m="1" x="6408"/>
        <item m="1" x="4718"/>
        <item m="1" x="4719"/>
        <item m="1" x="6523"/>
        <item m="1" x="4758"/>
        <item m="1" x="5470"/>
        <item m="1" x="4720"/>
        <item m="1" x="4746"/>
        <item m="1" x="4747"/>
        <item m="1" x="4748"/>
        <item m="1" x="6145"/>
        <item m="1" x="6414"/>
        <item m="1" x="4740"/>
        <item m="1" x="6589"/>
        <item x="2621"/>
        <item x="1603"/>
        <item x="2459"/>
        <item m="1" x="6629"/>
        <item x="2564"/>
        <item x="2574"/>
        <item m="1" x="6527"/>
        <item m="1" x="6630"/>
        <item x="1706"/>
        <item x="2566"/>
        <item m="1" x="6418"/>
        <item x="1733"/>
        <item x="1926"/>
        <item m="1" x="5499"/>
        <item m="1" x="6419"/>
        <item m="1" x="5500"/>
        <item m="1" x="6422"/>
        <item m="1" x="5791"/>
        <item x="2613"/>
        <item x="2614"/>
        <item x="2615"/>
        <item x="1793"/>
        <item m="1" x="4948"/>
        <item x="3429"/>
        <item x="3430"/>
        <item x="3431"/>
        <item m="1" x="6697"/>
        <item m="1" x="4999"/>
        <item m="1" x="5000"/>
        <item m="1" x="5940"/>
        <item x="3432"/>
        <item x="3433"/>
        <item x="3434"/>
        <item m="1" x="5001"/>
        <item x="3435"/>
        <item x="3436"/>
        <item m="1" x="6314"/>
        <item x="3501"/>
        <item x="3437"/>
        <item m="1" x="5002"/>
        <item x="3438"/>
        <item x="3439"/>
        <item m="1" x="5945"/>
        <item x="3440"/>
        <item x="3441"/>
        <item m="1" x="5946"/>
        <item m="1" x="5004"/>
        <item x="3443"/>
        <item m="1" x="5005"/>
        <item x="3444"/>
        <item m="1" x="3785"/>
        <item m="1" x="5947"/>
        <item x="3446"/>
        <item x="3447"/>
        <item x="3448"/>
        <item x="3449"/>
        <item m="1" x="6529"/>
        <item x="178"/>
        <item x="177"/>
        <item x="175"/>
        <item x="910"/>
        <item x="2641"/>
        <item x="911"/>
        <item m="1" x="7075"/>
        <item x="176"/>
        <item m="1" x="5034"/>
        <item m="1" x="5035"/>
        <item m="1" x="5029"/>
        <item m="1" x="5032"/>
        <item m="1" x="5027"/>
        <item m="1" x="6917"/>
        <item x="1902"/>
        <item x="974"/>
        <item x="2669"/>
        <item x="2675"/>
        <item x="1905"/>
        <item x="1907"/>
        <item x="1908"/>
        <item x="1909"/>
        <item x="2670"/>
        <item x="2671"/>
        <item m="1" x="5695"/>
        <item m="1" x="5869"/>
        <item m="1" x="5886"/>
        <item m="1" x="5816"/>
        <item m="1" x="6279"/>
        <item m="1" x="5808"/>
        <item m="1" x="5811"/>
        <item m="1" x="5813"/>
        <item m="1" x="5697"/>
        <item m="1" x="6065"/>
        <item m="1" x="6067"/>
        <item m="1" x="5810"/>
        <item m="1" x="5704"/>
        <item x="2052"/>
        <item x="2775"/>
        <item x="2055"/>
        <item m="1" x="6847"/>
        <item m="1" x="6937"/>
        <item x="1068"/>
        <item m="1" x="6938"/>
        <item m="1" x="7025"/>
        <item m="1" x="6848"/>
        <item m="1" x="6849"/>
        <item m="1" x="7026"/>
        <item x="235"/>
        <item x="255"/>
        <item x="5"/>
        <item m="1" x="6939"/>
        <item x="2100"/>
        <item m="1" x="3644"/>
        <item m="1" x="5401"/>
        <item m="1" x="3597"/>
        <item m="1" x="3685"/>
        <item m="1" x="3645"/>
        <item m="1" x="3598"/>
        <item m="1" x="3599"/>
        <item m="1" x="3646"/>
        <item m="1" x="3647"/>
        <item m="1" x="3600"/>
        <item m="1" x="3701"/>
        <item m="1" x="3648"/>
        <item m="1" x="5537"/>
        <item m="1" x="3601"/>
        <item m="1" x="6854"/>
        <item m="1" x="5710"/>
        <item m="1" x="5538"/>
        <item m="1" x="6085"/>
        <item m="1" x="3649"/>
        <item m="1" x="3686"/>
        <item m="1" x="3752"/>
        <item m="1" x="3758"/>
        <item m="1" x="3760"/>
        <item m="1" x="3753"/>
        <item m="1" x="4056"/>
        <item m="1" x="4068"/>
        <item m="1" x="4171"/>
        <item m="1" x="3972"/>
        <item m="1" x="3906"/>
        <item m="1" x="3973"/>
        <item m="1" x="4073"/>
        <item m="1" x="3886"/>
        <item m="1" x="3974"/>
        <item m="1" x="3975"/>
        <item m="1" x="4150"/>
        <item m="1" x="3907"/>
        <item m="1" x="3908"/>
        <item m="1" x="4076"/>
        <item m="1" x="6556"/>
        <item m="1" x="4151"/>
        <item m="1" x="3909"/>
        <item m="1" x="3976"/>
        <item m="1" x="3977"/>
        <item m="1" x="3910"/>
        <item m="1" x="3978"/>
        <item m="1" x="3911"/>
        <item m="1" x="4152"/>
        <item m="1" x="4077"/>
        <item m="1" x="6864"/>
        <item m="1" x="3979"/>
        <item m="1" x="6722"/>
        <item m="1" x="3887"/>
        <item m="1" x="3981"/>
        <item m="1" x="4079"/>
        <item m="1" x="3912"/>
        <item m="1" x="3982"/>
        <item m="1" x="3913"/>
        <item m="1" x="3983"/>
        <item m="1" x="3984"/>
        <item m="1" x="3914"/>
        <item m="1" x="3985"/>
        <item m="1" x="4080"/>
        <item m="1" x="3915"/>
        <item m="1" x="3888"/>
        <item m="1" x="4038"/>
        <item m="1" x="4081"/>
        <item m="1" x="4082"/>
        <item m="1" x="4083"/>
        <item m="1" x="6865"/>
        <item m="1" x="4084"/>
        <item m="1" x="3917"/>
        <item m="1" x="4085"/>
        <item m="1" x="4086"/>
        <item m="1" x="3918"/>
        <item m="1" x="3987"/>
        <item m="1" x="6866"/>
        <item m="1" x="3988"/>
        <item m="1" x="6376"/>
        <item m="1" x="6952"/>
        <item m="1" x="6787"/>
        <item m="1" x="3919"/>
        <item m="1" x="4088"/>
        <item m="1" x="4153"/>
        <item m="1" x="3989"/>
        <item m="1" x="3990"/>
        <item m="1" x="3721"/>
        <item m="1" x="4172"/>
        <item m="1" x="3920"/>
        <item m="1" x="6557"/>
        <item m="1" x="5739"/>
        <item m="1" x="4154"/>
        <item m="1" x="3921"/>
        <item m="1" x="3991"/>
        <item m="1" x="6953"/>
        <item m="1" x="4089"/>
        <item m="1" x="3889"/>
        <item m="1" x="6867"/>
        <item m="1" x="4090"/>
        <item m="1" x="3992"/>
        <item m="1" x="3993"/>
        <item m="1" x="3994"/>
        <item m="1" x="3922"/>
        <item m="1" x="6378"/>
        <item m="1" x="3995"/>
        <item x="3178"/>
        <item m="1" x="4173"/>
        <item m="1" x="3996"/>
        <item m="1" x="4155"/>
        <item m="1" x="6788"/>
        <item m="1" x="3997"/>
        <item m="1" x="4091"/>
        <item m="1" x="4092"/>
        <item m="1" x="5580"/>
        <item m="1" x="3998"/>
        <item m="1" x="3999"/>
        <item m="1" x="3890"/>
        <item m="1" x="4094"/>
        <item m="1" x="4156"/>
        <item m="1" x="3923"/>
        <item m="1" x="6612"/>
        <item m="1" x="3924"/>
        <item m="1" x="4095"/>
        <item m="1" x="3925"/>
        <item m="1" x="6558"/>
        <item m="1" x="3926"/>
        <item m="1" x="4000"/>
        <item m="1" x="4001"/>
        <item m="1" x="4002"/>
        <item m="1" x="4157"/>
        <item m="1" x="4097"/>
        <item m="1" x="6613"/>
        <item m="1" x="6868"/>
        <item m="1" x="4098"/>
        <item m="1" x="4099"/>
        <item m="1" x="4003"/>
        <item m="1" x="4004"/>
        <item m="1" x="3927"/>
        <item m="1" x="3928"/>
        <item m="1" x="4005"/>
        <item m="1" x="3929"/>
        <item m="1" x="4100"/>
        <item m="1" x="6789"/>
        <item m="1" x="4006"/>
        <item m="1" x="4101"/>
        <item m="1" x="4102"/>
        <item m="1" x="4103"/>
        <item m="1" x="5740"/>
        <item m="1" x="4514"/>
        <item m="1" x="4274"/>
        <item m="1" x="4275"/>
        <item m="1" x="6879"/>
        <item m="1" x="6393"/>
        <item m="1" x="4448"/>
        <item x="1000"/>
        <item m="1" x="5592"/>
        <item m="1" x="4276"/>
        <item m="1" x="4449"/>
        <item m="1" x="4354"/>
        <item m="1" x="4450"/>
        <item m="1" x="4451"/>
        <item m="1" x="4355"/>
        <item m="1" x="6392"/>
        <item m="1" x="4277"/>
        <item m="1" x="6497"/>
        <item m="1" x="4452"/>
        <item m="1" x="4356"/>
        <item m="1" x="6326"/>
        <item m="1" x="7035"/>
        <item m="1" x="6880"/>
        <item m="1" x="5441"/>
        <item m="1" x="6957"/>
        <item m="1" x="4677"/>
        <item m="1" x="4357"/>
        <item m="1" x="6201"/>
        <item m="1" x="4358"/>
        <item x="2381"/>
        <item m="1" x="4454"/>
        <item m="1" x="4359"/>
        <item m="1" x="6499"/>
        <item m="1" x="5442"/>
        <item x="351"/>
        <item x="1489"/>
        <item x="547"/>
        <item x="550"/>
        <item m="1" x="5028"/>
        <item m="1" x="6758"/>
        <item x="1253"/>
        <item x="560"/>
        <item x="1497"/>
        <item m="1" x="6216"/>
        <item x="562"/>
        <item m="1" x="5618"/>
        <item m="1" x="6040"/>
        <item x="1504"/>
        <item m="1" x="6582"/>
        <item x="568"/>
        <item x="2974"/>
        <item x="1514"/>
        <item x="573"/>
        <item x="2394"/>
        <item m="1" x="4657"/>
        <item x="579"/>
        <item m="1" x="6316"/>
        <item x="2405"/>
        <item x="582"/>
        <item x="2408"/>
        <item m="1" x="4672"/>
        <item x="2415"/>
        <item m="1" x="5617"/>
        <item m="1" x="4675"/>
        <item x="594"/>
        <item m="1" x="5770"/>
        <item x="2435"/>
        <item x="1548"/>
        <item x="2439"/>
        <item x="1552"/>
        <item x="72"/>
        <item m="1" x="6412"/>
        <item m="1" x="4780"/>
        <item m="1" x="6056"/>
        <item m="1" x="4807"/>
        <item m="1" x="4817"/>
        <item m="1" x="4779"/>
        <item m="1" x="4815"/>
        <item m="1" x="4813"/>
        <item m="1" x="5624"/>
        <item m="1" x="4765"/>
        <item m="1" x="4820"/>
        <item m="1" x="4816"/>
        <item m="1" x="4794"/>
        <item m="1" x="4792"/>
        <item m="1" x="4827"/>
        <item m="1" x="4823"/>
        <item m="1" x="4826"/>
        <item m="1" x="6149"/>
        <item m="1" x="4773"/>
        <item m="1" x="4838"/>
        <item m="1" x="4791"/>
        <item m="1" x="6334"/>
        <item x="1599"/>
        <item x="2456"/>
        <item x="667"/>
        <item m="1" x="6721"/>
        <item x="1874"/>
        <item x="925"/>
        <item m="1" x="5517"/>
        <item m="1" x="5686"/>
        <item x="940"/>
        <item m="1" x="5688"/>
        <item x="937"/>
        <item x="192"/>
        <item m="1" x="5074"/>
        <item x="950"/>
        <item x="1872"/>
        <item x="196"/>
        <item x="951"/>
        <item x="1870"/>
        <item x="191"/>
        <item m="1" x="5515"/>
        <item x="1859"/>
        <item x="946"/>
        <item x="195"/>
        <item x="197"/>
        <item m="1" x="7014"/>
        <item m="1" x="5083"/>
        <item m="1" x="5182"/>
        <item m="1" x="5091"/>
        <item m="1" x="5084"/>
        <item m="1" x="6431"/>
        <item m="1" x="5269"/>
        <item m="1" x="6770"/>
        <item x="3153"/>
        <item x="2796"/>
        <item x="2805"/>
        <item x="3270"/>
        <item x="3143"/>
        <item m="1" x="6846"/>
        <item m="1" x="6997"/>
        <item x="1668"/>
        <item x="115"/>
        <item x="116"/>
        <item x="117"/>
        <item m="1" x="6162"/>
        <item m="1" x="6600"/>
        <item m="1" x="6442"/>
        <item m="1" x="6163"/>
        <item m="1" x="6347"/>
        <item m="1" x="6320"/>
        <item m="1" x="5982"/>
        <item m="1" x="6164"/>
        <item m="1" x="6074"/>
        <item x="1072"/>
        <item m="1" x="5983"/>
        <item x="253"/>
        <item x="245"/>
        <item m="1" x="5397"/>
        <item m="1" x="6075"/>
        <item x="248"/>
        <item x="1081"/>
        <item m="1" x="5959"/>
        <item x="1070"/>
        <item m="1" x="6076"/>
        <item x="233"/>
        <item m="1" x="6348"/>
        <item m="1" x="5533"/>
        <item m="1" x="6349"/>
        <item x="2101"/>
        <item m="1" x="6177"/>
        <item x="2158"/>
        <item m="1" x="5547"/>
        <item x="307"/>
        <item m="1" x="5405"/>
        <item x="2160"/>
        <item x="2856"/>
        <item x="310"/>
        <item m="1" x="5825"/>
        <item x="308"/>
        <item x="309"/>
        <item m="1" x="5964"/>
        <item x="2862"/>
        <item x="2890"/>
        <item x="1240"/>
        <item x="2891"/>
        <item x="1241"/>
        <item x="1242"/>
        <item x="1243"/>
        <item x="345"/>
        <item x="2206"/>
        <item x="2892"/>
        <item x="1184"/>
        <item m="1" x="3716"/>
        <item x="1244"/>
        <item x="2207"/>
        <item x="2208"/>
        <item x="346"/>
        <item m="1" x="6450"/>
        <item m="1" x="6451"/>
        <item m="1" x="5965"/>
        <item m="1" x="6250"/>
        <item m="1" x="6179"/>
        <item x="1216"/>
        <item x="336"/>
        <item m="1" x="5553"/>
        <item m="1" x="6006"/>
        <item m="1" x="5413"/>
        <item x="1231"/>
        <item m="1" x="6100"/>
        <item m="1" x="5833"/>
        <item x="19"/>
        <item x="2877"/>
        <item m="1" x="6183"/>
        <item x="2183"/>
        <item x="28"/>
        <item x="374"/>
        <item m="1" x="3779"/>
        <item m="1" x="5193"/>
        <item x="994"/>
        <item m="1" x="3833"/>
        <item m="1" x="3848"/>
        <item m="1" x="3822"/>
        <item m="1" x="3854"/>
        <item m="1" x="3825"/>
        <item m="1" x="3837"/>
        <item m="1" x="3826"/>
        <item m="1" x="3838"/>
        <item m="1" x="3827"/>
        <item m="1" x="3839"/>
        <item m="1" x="3860"/>
        <item m="1" x="3861"/>
        <item m="1" x="6610"/>
        <item x="30"/>
        <item m="1" x="6372"/>
        <item m="1" x="6470"/>
        <item m="1" x="6471"/>
        <item m="1" x="5839"/>
        <item m="1" x="6259"/>
        <item m="1" x="6111"/>
        <item m="1" x="6324"/>
        <item m="1" x="4845"/>
        <item m="1" x="5732"/>
        <item m="1" x="6473"/>
        <item m="1" x="4851"/>
        <item m="1" x="6474"/>
        <item m="1" x="4853"/>
        <item m="1" x="6200"/>
        <item x="1328"/>
        <item x="2943"/>
        <item m="1" x="4176"/>
        <item x="464"/>
        <item x="465"/>
        <item x="466"/>
        <item x="467"/>
        <item x="47"/>
        <item x="1424"/>
        <item m="1" x="4467"/>
        <item m="1" x="4389"/>
        <item m="1" x="6390"/>
        <item m="1" x="4375"/>
        <item m="1" x="4469"/>
        <item m="1" x="4371"/>
        <item m="1" x="4468"/>
        <item m="1" x="4280"/>
        <item m="1" x="4286"/>
        <item m="1" x="4376"/>
        <item m="1" x="4368"/>
        <item m="1" x="4377"/>
        <item m="1" x="4378"/>
        <item m="1" x="4458"/>
        <item m="1" x="4381"/>
        <item m="1" x="4374"/>
        <item m="1" x="4462"/>
        <item m="1" x="6202"/>
        <item m="1" x="4284"/>
        <item m="1" x="4509"/>
        <item m="1" x="5594"/>
        <item m="1" x="4289"/>
        <item m="1" x="4379"/>
        <item m="1" x="4372"/>
        <item m="1" x="4373"/>
        <item m="1" x="4459"/>
        <item m="1" x="5593"/>
        <item m="1" x="4363"/>
        <item x="1962"/>
        <item m="1" x="4508"/>
        <item m="1" x="4362"/>
        <item m="1" x="6394"/>
        <item m="1" x="4465"/>
        <item m="1" x="4464"/>
        <item m="1" x="4380"/>
        <item m="1" x="4285"/>
        <item m="1" x="4463"/>
        <item m="1" x="4383"/>
        <item m="1" x="4223"/>
        <item m="1" x="4361"/>
        <item m="1" x="4288"/>
        <item m="1" x="4287"/>
        <item m="1" x="5372"/>
        <item m="1" x="4369"/>
        <item m="1" x="4224"/>
        <item m="1" x="4370"/>
        <item m="1" x="6574"/>
        <item x="2952"/>
        <item m="1" x="6115"/>
        <item m="1" x="6206"/>
        <item m="1" x="6207"/>
        <item x="1430"/>
        <item m="1" x="6500"/>
        <item m="1" x="6327"/>
        <item x="682"/>
        <item x="1121"/>
        <item m="1" x="5602"/>
        <item x="482"/>
        <item x="1438"/>
        <item x="509"/>
        <item x="1461"/>
        <item m="1" x="6265"/>
        <item m="1" x="6116"/>
        <item m="1" x="5757"/>
        <item x="1462"/>
        <item x="1463"/>
        <item m="1" x="5456"/>
        <item x="2348"/>
        <item m="1" x="5972"/>
        <item m="1" x="6510"/>
        <item m="1" x="4536"/>
        <item m="1" x="6210"/>
        <item m="1" x="4553"/>
        <item m="1" x="6669"/>
        <item m="1" x="6670"/>
        <item x="3200"/>
        <item m="1" x="6299"/>
        <item m="1" x="5913"/>
        <item m="1" x="5914"/>
        <item x="1629"/>
        <item m="1" x="5915"/>
        <item m="1" x="6671"/>
        <item x="565"/>
        <item x="3201"/>
        <item m="1" x="4616"/>
        <item m="1" x="6672"/>
        <item m="1" x="6673"/>
        <item m="1" x="4610"/>
        <item m="1" x="4624"/>
        <item x="545"/>
        <item x="548"/>
        <item m="1" x="4633"/>
        <item x="1492"/>
        <item x="555"/>
        <item m="1" x="4634"/>
        <item x="2447"/>
        <item x="2448"/>
        <item m="1" x="4622"/>
        <item m="1" x="4750"/>
        <item m="1" x="4721"/>
        <item m="1" x="6055"/>
        <item m="1" x="4741"/>
        <item m="1" x="4730"/>
        <item m="1" x="4755"/>
        <item m="1" x="6148"/>
        <item x="756"/>
        <item x="118"/>
        <item x="757"/>
        <item x="119"/>
        <item m="1" x="5789"/>
        <item m="1" x="5495"/>
        <item m="1" x="5670"/>
        <item m="1" x="5671"/>
        <item m="1" x="5496"/>
        <item m="1" x="5672"/>
        <item x="2551"/>
        <item x="1696"/>
        <item m="1" x="6058"/>
        <item m="1" x="4901"/>
        <item m="1" x="6336"/>
        <item x="1697"/>
        <item x="803"/>
        <item m="1" x="6059"/>
        <item x="3049"/>
        <item x="792"/>
        <item x="153"/>
        <item x="795"/>
        <item m="1" x="4921"/>
        <item m="1" x="4922"/>
        <item m="1" x="4923"/>
        <item m="1" x="4920"/>
        <item x="1794"/>
        <item x="869"/>
        <item x="158"/>
        <item m="1" x="4951"/>
        <item m="1" x="5676"/>
        <item m="1" x="4955"/>
        <item m="1" x="4963"/>
        <item m="1" x="4964"/>
        <item x="3487"/>
        <item m="1" x="4965"/>
        <item x="3451"/>
        <item m="1" x="5503"/>
        <item m="1" x="6155"/>
        <item x="3453"/>
        <item x="3455"/>
        <item x="3458"/>
        <item x="3459"/>
        <item x="3460"/>
        <item x="1810"/>
        <item x="1811"/>
        <item m="1" x="4966"/>
        <item x="1812"/>
        <item x="1813"/>
        <item x="881"/>
        <item m="1" x="4967"/>
        <item x="1814"/>
        <item m="1" x="4968"/>
        <item x="1837"/>
        <item m="1" x="5684"/>
        <item x="1838"/>
        <item x="1836"/>
        <item x="913"/>
        <item x="912"/>
        <item x="1842"/>
        <item m="1" x="6338"/>
        <item m="1" x="6432"/>
        <item m="1" x="5117"/>
        <item m="1" x="6534"/>
        <item m="1" x="6535"/>
        <item m="1" x="5097"/>
        <item m="1" x="5087"/>
        <item m="1" x="5086"/>
        <item m="1" x="5179"/>
        <item m="1" x="5180"/>
        <item m="1" x="5391"/>
        <item m="1" x="5181"/>
        <item m="1" x="5864"/>
        <item m="1" x="5211"/>
        <item m="1" x="6636"/>
        <item m="1" x="5326"/>
        <item m="1" x="5311"/>
        <item m="1" x="5800"/>
        <item m="1" x="5191"/>
        <item x="1900"/>
        <item x="2673"/>
        <item x="3071"/>
        <item x="977"/>
        <item x="2680"/>
        <item x="2681"/>
        <item x="1911"/>
        <item x="2682"/>
        <item x="2683"/>
        <item x="1913"/>
        <item x="201"/>
        <item x="1914"/>
        <item m="1" x="5196"/>
        <item x="1982"/>
        <item x="3094"/>
        <item m="1" x="5802"/>
        <item x="2731"/>
        <item x="1993"/>
        <item x="2745"/>
        <item x="2009"/>
        <item x="2750"/>
        <item x="1019"/>
        <item m="1" x="6236"/>
        <item x="3108"/>
        <item x="3109"/>
        <item m="1" x="5523"/>
        <item m="1" x="5807"/>
        <item m="1" x="5696"/>
        <item m="1" x="5393"/>
        <item m="1" x="5394"/>
        <item m="1" x="6066"/>
        <item m="1" x="5701"/>
        <item m="1" x="6158"/>
        <item m="1" x="5395"/>
        <item m="1" x="5525"/>
        <item m="1" x="5814"/>
        <item m="1" x="5705"/>
        <item x="2037"/>
        <item m="1" x="6159"/>
        <item m="1" x="5046"/>
        <item m="1" x="5055"/>
        <item m="1" x="6241"/>
        <item x="2038"/>
        <item m="1" x="5818"/>
        <item m="1" x="6160"/>
        <item x="208"/>
        <item x="2039"/>
        <item x="3122"/>
        <item x="2053"/>
        <item x="3003"/>
        <item x="3123"/>
        <item x="1035"/>
        <item x="1043"/>
        <item x="2804"/>
        <item m="1" x="5529"/>
        <item m="1" x="5349"/>
        <item m="1" x="5876"/>
        <item x="2790"/>
        <item x="2814"/>
        <item x="217"/>
        <item x="1055"/>
        <item x="3140"/>
        <item x="2787"/>
        <item m="1" x="5348"/>
        <item x="3129"/>
        <item m="1" x="5707"/>
        <item x="2811"/>
        <item x="2073"/>
        <item m="1" x="6242"/>
        <item x="2072"/>
        <item x="218"/>
        <item m="1" x="6246"/>
        <item x="2826"/>
        <item x="1039"/>
        <item x="3150"/>
        <item m="1" x="6643"/>
        <item x="215"/>
        <item x="2813"/>
        <item x="3142"/>
        <item x="2070"/>
        <item x="2809"/>
        <item x="3266"/>
        <item x="3128"/>
        <item x="3137"/>
        <item m="1" x="5358"/>
        <item x="1044"/>
        <item m="1" x="5351"/>
        <item x="3131"/>
        <item x="1049"/>
        <item x="2062"/>
        <item x="1038"/>
        <item x="2806"/>
        <item m="1" x="6071"/>
        <item x="2810"/>
        <item x="2074"/>
        <item x="2808"/>
        <item x="1051"/>
        <item x="2782"/>
        <item x="3138"/>
        <item m="1" x="5359"/>
        <item x="3124"/>
        <item m="1" x="6243"/>
        <item x="214"/>
        <item x="2802"/>
        <item m="1" x="5357"/>
        <item m="1" x="5875"/>
        <item x="2795"/>
        <item m="1" x="5352"/>
        <item x="2080"/>
        <item m="1" x="5822"/>
        <item x="3136"/>
        <item x="2067"/>
        <item m="1" x="6244"/>
        <item x="1052"/>
        <item x="2788"/>
        <item m="1" x="6281"/>
        <item x="2801"/>
        <item x="3268"/>
        <item m="1" x="6325"/>
        <item x="68"/>
        <item m="1" x="5389"/>
        <item x="189"/>
        <item x="198"/>
        <item m="1" x="3735"/>
        <item m="1" x="3739"/>
        <item m="1" x="6362"/>
        <item m="1" x="6008"/>
        <item m="1" x="6363"/>
        <item m="1" x="6364"/>
        <item m="1" x="6009"/>
        <item m="1" x="6379"/>
        <item m="1" x="6380"/>
        <item m="1" x="6381"/>
        <item m="1" x="6382"/>
        <item m="1" x="6383"/>
        <item m="1" x="6031"/>
        <item m="1" x="5610"/>
        <item m="1" x="5453"/>
        <item m="1" x="6044"/>
        <item m="1" x="4648"/>
        <item x="577"/>
        <item x="578"/>
        <item m="1" x="4651"/>
        <item m="1" x="4652"/>
        <item x="588"/>
        <item m="1" x="4654"/>
        <item x="592"/>
        <item x="1538"/>
        <item m="1" x="5467"/>
        <item x="1550"/>
        <item m="1" x="5469"/>
        <item m="1" x="4667"/>
        <item x="608"/>
        <item m="1" x="4692"/>
        <item m="1" x="4693"/>
        <item m="1" x="4694"/>
        <item m="1" x="6429"/>
        <item m="1" x="6062"/>
        <item x="926"/>
        <item m="1" x="5514"/>
        <item m="1" x="5076"/>
        <item x="953"/>
        <item x="1879"/>
        <item x="952"/>
        <item m="1" x="3628"/>
        <item m="1" x="3651"/>
        <item m="1" x="3652"/>
        <item x="1854"/>
        <item m="1" x="6103"/>
        <item m="1" x="4007"/>
        <item m="1" x="6475"/>
        <item m="1" x="6476"/>
        <item m="1" x="6477"/>
        <item m="1" x="6478"/>
        <item m="1" x="4012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93"/>
        <item m="1" x="5612"/>
        <item m="1" x="5611"/>
        <item m="1" x="5613"/>
        <item x="2393"/>
        <item m="1" x="6521"/>
        <item x="1521"/>
        <item x="1524"/>
        <item m="1" x="5615"/>
        <item m="1" x="5765"/>
        <item x="1527"/>
        <item m="1" x="4661"/>
        <item m="1" x="4663"/>
        <item m="1" x="6131"/>
        <item x="1532"/>
        <item x="1536"/>
        <item x="1537"/>
        <item x="1539"/>
        <item x="2431"/>
        <item m="1" x="5619"/>
        <item m="1" x="5621"/>
        <item m="1" x="4666"/>
        <item m="1" x="6140"/>
        <item m="1" x="4668"/>
        <item m="1" x="4695"/>
        <item m="1" x="4696"/>
        <item m="1" x="4697"/>
        <item x="1857"/>
        <item m="1" x="5079"/>
        <item m="1" x="3671"/>
        <item m="1" x="3672"/>
        <item m="1" x="3673"/>
        <item m="1" x="3687"/>
        <item m="1" x="3688"/>
        <item m="1" x="6552"/>
        <item m="1" x="6186"/>
        <item m="1" x="6185"/>
        <item m="1" x="6559"/>
        <item m="1" x="6560"/>
        <item m="1" x="6561"/>
        <item m="1" x="6562"/>
        <item m="1" x="6563"/>
        <item m="1" x="6564"/>
        <item m="1" x="4112"/>
        <item m="1" x="4113"/>
        <item m="1" x="6565"/>
        <item m="1" x="4115"/>
        <item m="1" x="6218"/>
        <item m="1" x="4669"/>
        <item x="2395"/>
        <item m="1" x="6222"/>
        <item x="2407"/>
        <item x="2418"/>
        <item x="2420"/>
        <item x="2421"/>
        <item x="2429"/>
        <item x="2438"/>
        <item x="2445"/>
        <item m="1" x="5771"/>
        <item m="1" x="4700"/>
        <item m="1" x="4701"/>
        <item m="1" x="4702"/>
        <item m="1" x="4703"/>
        <item m="1" x="6232"/>
        <item x="2652"/>
        <item m="1" x="3703"/>
        <item m="1" x="6605"/>
        <item m="1" x="6606"/>
        <item m="1" x="6607"/>
        <item m="1" x="6614"/>
        <item m="1" x="6615"/>
        <item m="1" x="6616"/>
        <item m="1" x="6619"/>
        <item m="1" x="6620"/>
        <item x="2980"/>
        <item x="2983"/>
        <item x="2984"/>
        <item x="2985"/>
        <item x="2986"/>
        <item m="1" x="4706"/>
        <item m="1" x="6645"/>
        <item m="1" x="6648"/>
        <item m="1" x="4117"/>
        <item x="3214"/>
        <item m="1" x="4708"/>
        <item m="1" x="5960"/>
        <item m="1" x="3533"/>
        <item x="16"/>
        <item m="1" x="3714"/>
        <item x="348"/>
        <item x="349"/>
        <item m="1" x="3749"/>
        <item m="1" x="3812"/>
        <item m="1" x="4846"/>
        <item m="1" x="5967"/>
        <item m="1" x="3891"/>
        <item m="1" x="3892"/>
        <item m="1" x="4188"/>
        <item m="1" x="4225"/>
        <item m="1" x="5373"/>
        <item m="1" x="4528"/>
        <item m="1" x="5375"/>
        <item m="1" x="5973"/>
        <item x="64"/>
        <item x="67"/>
        <item m="1" x="4691"/>
        <item x="759"/>
        <item x="120"/>
        <item x="121"/>
        <item x="764"/>
        <item x="152"/>
        <item x="159"/>
        <item x="161"/>
        <item x="162"/>
        <item x="179"/>
        <item m="1" x="5022"/>
        <item m="1" x="5085"/>
        <item m="1" x="5980"/>
        <item x="216"/>
        <item x="219"/>
        <item x="220"/>
        <item x="226"/>
        <item x="250"/>
        <item m="1" x="5984"/>
        <item m="1" x="5985"/>
        <item m="1" x="5986"/>
        <item x="238"/>
        <item m="1" x="5987"/>
        <item x="252"/>
        <item x="278"/>
        <item x="279"/>
        <item x="293"/>
        <item m="1" x="5991"/>
        <item m="1" x="5992"/>
        <item x="311"/>
        <item x="312"/>
        <item x="313"/>
        <item x="314"/>
        <item x="315"/>
        <item m="1" x="5409"/>
        <item x="347"/>
        <item m="1" x="3740"/>
        <item x="375"/>
        <item m="1" x="6014"/>
        <item m="1" x="4841"/>
        <item m="1" x="4842"/>
        <item m="1" x="4848"/>
        <item m="1" x="6019"/>
        <item m="1" x="4854"/>
        <item m="1" x="6020"/>
        <item m="1" x="6021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x="426"/>
        <item x="468"/>
        <item m="1" x="5443"/>
        <item m="1" x="5444"/>
        <item m="1" x="6028"/>
        <item m="1" x="4299"/>
        <item x="477"/>
        <item x="478"/>
        <item m="1" x="5449"/>
        <item m="1" x="5450"/>
        <item m="1" x="5451"/>
        <item m="1" x="5452"/>
        <item x="501"/>
        <item x="517"/>
        <item x="502"/>
        <item m="1" x="6033"/>
        <item m="1" x="6034"/>
        <item m="1" x="6035"/>
        <item m="1" x="6036"/>
        <item m="1" x="6120"/>
        <item m="1" x="6037"/>
        <item m="1" x="6038"/>
        <item x="534"/>
        <item m="1" x="5462"/>
        <item m="1" x="4618"/>
        <item x="538"/>
        <item x="539"/>
        <item m="1" x="4628"/>
        <item x="551"/>
        <item m="1" x="4625"/>
        <item x="553"/>
        <item m="1" x="5463"/>
        <item x="557"/>
        <item m="1" x="5464"/>
        <item x="566"/>
        <item m="1" x="6042"/>
        <item x="591"/>
        <item x="686"/>
        <item x="653"/>
        <item x="654"/>
        <item x="655"/>
        <item m="1" x="4686"/>
        <item x="1609"/>
        <item x="758"/>
        <item x="760"/>
        <item x="761"/>
        <item x="762"/>
        <item x="763"/>
        <item x="765"/>
        <item x="808"/>
        <item x="789"/>
        <item x="819"/>
        <item x="802"/>
        <item x="870"/>
        <item x="871"/>
        <item x="872"/>
        <item x="873"/>
        <item m="1" x="5504"/>
        <item m="1" x="5505"/>
        <item m="1" x="4969"/>
        <item m="1" x="4970"/>
        <item x="3494"/>
        <item m="1" x="5506"/>
        <item m="1" x="5507"/>
        <item m="1" x="5508"/>
        <item m="1" x="4971"/>
        <item x="3502"/>
        <item x="884"/>
        <item x="885"/>
        <item m="1" x="5023"/>
        <item m="1" x="6061"/>
        <item m="1" x="6063"/>
        <item x="941"/>
        <item x="949"/>
        <item m="1" x="5077"/>
        <item m="1" x="5187"/>
        <item m="1" x="5101"/>
        <item m="1" x="5518"/>
        <item m="1" x="5095"/>
        <item m="1" x="5102"/>
        <item m="1" x="5094"/>
        <item m="1" x="6064"/>
        <item x="978"/>
        <item x="979"/>
        <item x="980"/>
        <item x="981"/>
        <item x="982"/>
        <item x="1036"/>
        <item x="2058"/>
        <item x="2078"/>
        <item m="1" x="5350"/>
        <item m="1" x="5528"/>
        <item x="2082"/>
        <item x="1046"/>
        <item m="1" x="6070"/>
        <item x="1048"/>
        <item m="1" x="5353"/>
        <item x="1057"/>
        <item m="1" x="6077"/>
        <item x="1066"/>
        <item x="1082"/>
        <item m="1" x="6082"/>
        <item m="1" x="5542"/>
        <item m="1" x="3720"/>
        <item x="1173"/>
        <item m="1" x="5543"/>
        <item x="1174"/>
        <item x="1175"/>
        <item m="1" x="3722"/>
        <item m="1" x="5549"/>
        <item x="1249"/>
        <item x="1250"/>
        <item x="1252"/>
        <item x="2211"/>
        <item x="1254"/>
        <item x="1255"/>
        <item x="1257"/>
        <item x="1287"/>
        <item x="1288"/>
        <item x="1289"/>
        <item x="1290"/>
        <item m="1" x="4863"/>
        <item m="1" x="6112"/>
        <item m="1" x="5577"/>
        <item m="1" x="4008"/>
        <item m="1" x="4009"/>
        <item m="1" x="4010"/>
        <item m="1" x="4011"/>
        <item m="1" x="4013"/>
        <item m="1" x="4014"/>
        <item m="1" x="4108"/>
        <item m="1" x="5581"/>
        <item m="1" x="4110"/>
        <item m="1" x="4015"/>
        <item m="1" x="4016"/>
        <item m="1" x="4017"/>
        <item m="1" x="4018"/>
        <item m="1" x="4019"/>
        <item m="1" x="4020"/>
        <item m="1" x="4021"/>
        <item m="1" x="5582"/>
        <item m="1" x="4022"/>
        <item m="1" x="5583"/>
        <item m="1" x="5584"/>
        <item m="1" x="5585"/>
        <item m="1" x="4023"/>
        <item m="1" x="4024"/>
        <item m="1" x="4025"/>
        <item m="1" x="4026"/>
        <item m="1" x="5587"/>
        <item m="1" x="5588"/>
        <item m="1" x="5595"/>
        <item m="1" x="4384"/>
        <item m="1" x="4385"/>
        <item m="1" x="4386"/>
        <item m="1" x="4387"/>
        <item m="1" x="4388"/>
        <item m="1" x="4410"/>
        <item m="1" x="5603"/>
        <item m="1" x="5604"/>
        <item m="1" x="5607"/>
        <item x="1464"/>
        <item x="1465"/>
        <item x="1466"/>
        <item x="1467"/>
        <item x="1468"/>
        <item m="1" x="6118"/>
        <item m="1" x="6119"/>
        <item m="1" x="6121"/>
        <item x="1479"/>
        <item m="1" x="6122"/>
        <item x="1480"/>
        <item x="1481"/>
        <item x="1482"/>
        <item x="1483"/>
        <item x="1484"/>
        <item x="1487"/>
        <item m="1" x="4630"/>
        <item m="1" x="4632"/>
        <item x="1531"/>
        <item m="1" x="5616"/>
        <item m="1" x="6150"/>
        <item x="1607"/>
        <item x="1610"/>
        <item x="1612"/>
        <item x="1613"/>
        <item m="1" x="6152"/>
        <item x="1669"/>
        <item x="1670"/>
        <item x="1700"/>
        <item x="1705"/>
        <item x="1704"/>
        <item x="1732"/>
        <item x="1731"/>
        <item x="1795"/>
        <item m="1" x="6154"/>
        <item x="1796"/>
        <item x="1797"/>
        <item m="1" x="4973"/>
        <item m="1" x="5677"/>
        <item m="1" x="5678"/>
        <item x="3504"/>
        <item x="1817"/>
        <item x="1818"/>
        <item x="1819"/>
        <item x="3517"/>
        <item m="1" x="5679"/>
        <item x="1820"/>
        <item x="1821"/>
        <item x="1822"/>
        <item x="3509"/>
        <item m="1" x="4974"/>
        <item x="1823"/>
        <item x="1825"/>
        <item x="1826"/>
        <item m="1" x="5039"/>
        <item m="1" x="5040"/>
        <item m="1" x="5041"/>
        <item m="1" x="6157"/>
        <item x="1871"/>
        <item m="1" x="5133"/>
        <item m="1" x="5123"/>
        <item m="1" x="5134"/>
        <item m="1" x="5126"/>
        <item m="1" x="5132"/>
        <item m="1" x="5157"/>
        <item m="1" x="5235"/>
        <item m="1" x="5254"/>
        <item m="1" x="5271"/>
        <item x="1901"/>
        <item x="1917"/>
        <item x="1918"/>
        <item x="1919"/>
        <item x="1920"/>
        <item x="1922"/>
        <item x="1923"/>
        <item x="1924"/>
        <item x="1925"/>
        <item x="1928"/>
        <item x="1984"/>
        <item x="2040"/>
        <item x="2059"/>
        <item x="2071"/>
        <item x="2075"/>
        <item x="2077"/>
        <item x="2081"/>
        <item x="2096"/>
        <item x="2126"/>
        <item m="1" x="5712"/>
        <item x="2162"/>
        <item x="2163"/>
        <item m="1" x="3724"/>
        <item x="2209"/>
        <item x="2210"/>
        <item x="2212"/>
        <item x="2213"/>
        <item x="2235"/>
        <item x="2236"/>
        <item x="2237"/>
        <item x="2703"/>
        <item m="1" x="6195"/>
        <item m="1" x="4871"/>
        <item m="1" x="6199"/>
        <item m="1" x="5733"/>
        <item m="1" x="4096"/>
        <item m="1" x="4104"/>
        <item m="1" x="4105"/>
        <item m="1" x="4106"/>
        <item m="1" x="4107"/>
        <item m="1" x="4109"/>
        <item m="1" x="4111"/>
        <item m="1" x="4114"/>
        <item m="1" x="4116"/>
        <item m="1" x="4118"/>
        <item m="1" x="4119"/>
        <item m="1" x="4120"/>
        <item m="1" x="4121"/>
        <item x="2312"/>
        <item m="1" x="5741"/>
        <item m="1" x="4470"/>
        <item m="1" x="4479"/>
        <item x="2336"/>
        <item x="2337"/>
        <item m="1" x="5749"/>
        <item m="1" x="6208"/>
        <item x="2346"/>
        <item x="2349"/>
        <item m="1" x="5755"/>
        <item x="2361"/>
        <item x="2362"/>
        <item m="1" x="4561"/>
        <item m="1" x="6211"/>
        <item m="1" x="6212"/>
        <item m="1" x="6213"/>
        <item m="1" x="6214"/>
        <item x="2368"/>
        <item x="2370"/>
        <item x="2373"/>
        <item x="2374"/>
        <item x="2375"/>
        <item m="1" x="6215"/>
        <item x="2377"/>
        <item m="1" x="4638"/>
        <item m="1" x="5761"/>
        <item x="2382"/>
        <item x="2383"/>
        <item x="2413"/>
        <item x="2442"/>
        <item m="1" x="4704"/>
        <item m="1" x="4707"/>
        <item x="2457"/>
        <item m="1" x="6226"/>
        <item x="2534"/>
        <item x="2535"/>
        <item x="2571"/>
        <item x="2559"/>
        <item x="2569"/>
        <item x="2570"/>
        <item x="2561"/>
        <item m="1" x="4913"/>
        <item x="2616"/>
        <item x="2617"/>
        <item m="1" x="6230"/>
        <item x="2628"/>
        <item m="1" x="5796"/>
        <item x="2629"/>
        <item m="1" x="4976"/>
        <item x="3489"/>
        <item x="2630"/>
        <item m="1" x="4978"/>
        <item m="1" x="5051"/>
        <item m="1" x="6231"/>
        <item m="1" x="5164"/>
        <item m="1" x="5301"/>
        <item m="1" x="5192"/>
        <item x="2686"/>
        <item x="2687"/>
        <item x="2688"/>
        <item x="2689"/>
        <item x="2690"/>
        <item x="2691"/>
        <item x="2705"/>
        <item x="2692"/>
        <item x="2693"/>
        <item x="2694"/>
        <item x="2769"/>
        <item x="2777"/>
        <item x="2780"/>
        <item x="2784"/>
        <item x="3133"/>
        <item x="2785"/>
        <item x="2786"/>
        <item x="2791"/>
        <item x="2794"/>
        <item x="2798"/>
        <item x="2799"/>
        <item x="2800"/>
        <item x="2803"/>
        <item m="1" x="6245"/>
        <item m="1" x="5361"/>
        <item x="2841"/>
        <item m="1" x="3726"/>
        <item x="2858"/>
        <item x="2893"/>
        <item x="1251"/>
        <item m="1" x="3778"/>
        <item m="1" x="3867"/>
        <item m="1" x="6257"/>
        <item m="1" x="5842"/>
        <item m="1" x="4158"/>
        <item m="1" x="4159"/>
        <item m="1" x="4160"/>
        <item m="1" x="4162"/>
        <item m="1" x="4163"/>
        <item m="1" x="4164"/>
        <item m="1" x="4165"/>
        <item m="1" x="6263"/>
        <item m="1" x="6264"/>
        <item m="1" x="5849"/>
        <item m="1" x="5850"/>
        <item m="1" x="5851"/>
        <item x="2964"/>
        <item m="1" x="4560"/>
        <item m="1" x="6266"/>
        <item x="2969"/>
        <item m="1" x="4641"/>
        <item x="2988"/>
        <item m="1" x="5855"/>
        <item m="1" x="4882"/>
        <item x="2998"/>
        <item m="1" x="6275"/>
        <item x="3061"/>
        <item m="1" x="5862"/>
        <item m="1" x="5058"/>
        <item m="1" x="5330"/>
        <item m="1" x="5335"/>
        <item m="1" x="5336"/>
        <item x="3073"/>
        <item x="3074"/>
        <item x="3076"/>
        <item m="1" x="5198"/>
        <item x="3077"/>
        <item x="3078"/>
        <item x="3079"/>
        <item x="3119"/>
        <item x="3125"/>
        <item x="3126"/>
        <item m="1" x="5874"/>
        <item x="3130"/>
        <item m="1" x="5877"/>
        <item x="3141"/>
        <item x="3148"/>
        <item x="3149"/>
        <item x="3151"/>
        <item x="3154"/>
        <item x="3155"/>
        <item m="1" x="5532"/>
        <item x="237"/>
        <item x="3216"/>
        <item m="1" x="6284"/>
        <item m="1" x="4174"/>
        <item x="3186"/>
        <item x="3190"/>
        <item x="3211"/>
        <item x="3219"/>
        <item x="3220"/>
        <item m="1" x="5883"/>
        <item x="3260"/>
        <item m="1" x="5884"/>
        <item x="3267"/>
        <item x="3271"/>
        <item x="3272"/>
        <item x="3274"/>
        <item x="3277"/>
        <item m="1" x="5911"/>
        <item x="3192"/>
        <item m="1" x="5006"/>
        <item m="1" x="5948"/>
        <item x="3493"/>
        <item x="3465"/>
        <item m="1" x="5007"/>
        <item x="3486"/>
        <item m="1" x="5949"/>
        <item m="1" x="5950"/>
        <item m="1" x="5951"/>
        <item x="3467"/>
        <item m="1" x="5952"/>
        <item m="1" x="5953"/>
        <item m="1" x="5008"/>
        <item m="1" x="5954"/>
        <item m="1" x="5955"/>
        <item m="1" x="5009"/>
        <item x="3469"/>
        <item x="3500"/>
        <item x="3470"/>
        <item m="1" x="5956"/>
        <item x="3471"/>
        <item m="1" x="5957"/>
        <item x="3515"/>
        <item m="1" x="6315"/>
        <item x="3472"/>
        <item x="2"/>
        <item x="1"/>
        <item m="1" x="5365"/>
        <item m="1" x="5367"/>
        <item x="22"/>
        <item x="27"/>
        <item x="29"/>
        <item m="1" x="5370"/>
        <item x="40"/>
        <item m="1" x="4226"/>
        <item m="1" x="4227"/>
        <item m="1" x="4228"/>
        <item m="1" x="5374"/>
        <item x="52"/>
        <item x="3202"/>
        <item x="61"/>
        <item x="62"/>
        <item m="1" x="4645"/>
        <item x="122"/>
        <item x="123"/>
        <item x="124"/>
        <item x="125"/>
        <item x="126"/>
        <item x="127"/>
        <item x="128"/>
        <item x="129"/>
        <item x="150"/>
        <item m="1" x="4903"/>
        <item m="1" x="5385"/>
        <item m="1" x="5386"/>
        <item x="163"/>
        <item m="1" x="5392"/>
        <item x="993"/>
        <item x="209"/>
        <item x="212"/>
        <item x="229"/>
        <item m="1" x="3534"/>
        <item m="1" x="5396"/>
        <item m="1" x="3535"/>
        <item x="247"/>
        <item x="243"/>
        <item x="239"/>
        <item x="251"/>
        <item x="1077"/>
        <item m="1" x="5398"/>
        <item m="1" x="5399"/>
        <item x="246"/>
        <item x="241"/>
        <item m="1" x="5402"/>
        <item m="1" x="5403"/>
        <item m="1" x="5404"/>
        <item x="317"/>
        <item x="316"/>
        <item x="353"/>
        <item x="371"/>
        <item m="1" x="3828"/>
        <item x="392"/>
        <item x="393"/>
        <item x="395"/>
        <item x="396"/>
        <item m="1" x="5431"/>
        <item x="469"/>
        <item m="1" x="4290"/>
        <item x="1002"/>
        <item m="1" x="4291"/>
        <item m="1" x="4292"/>
        <item m="1" x="4293"/>
        <item m="1" x="4525"/>
        <item m="1" x="5454"/>
        <item x="515"/>
        <item x="516"/>
        <item x="3193"/>
        <item m="1" x="4557"/>
        <item x="3198"/>
        <item m="1" x="4559"/>
        <item m="1" x="5460"/>
        <item m="1" x="4563"/>
        <item m="1" x="5461"/>
        <item x="3203"/>
        <item m="1" x="4565"/>
        <item x="3207"/>
        <item x="541"/>
        <item m="1" x="5465"/>
        <item x="621"/>
        <item x="656"/>
        <item x="657"/>
        <item x="658"/>
        <item x="583"/>
        <item x="586"/>
        <item m="1" x="5468"/>
        <item x="1600"/>
        <item x="671"/>
        <item x="766"/>
        <item x="767"/>
        <item x="768"/>
        <item x="769"/>
        <item x="770"/>
        <item x="771"/>
        <item x="793"/>
        <item x="1712"/>
        <item x="807"/>
        <item x="790"/>
        <item x="800"/>
        <item m="1" x="5498"/>
        <item x="875"/>
        <item x="3359"/>
        <item x="3410"/>
        <item m="1" x="5502"/>
        <item m="1" x="4972"/>
        <item x="3475"/>
        <item x="3479"/>
        <item x="3481"/>
        <item x="3483"/>
        <item x="914"/>
        <item m="1" x="5033"/>
        <item m="1" x="5217"/>
        <item m="1" x="5520"/>
        <item x="973"/>
        <item x="985"/>
        <item x="986"/>
        <item x="988"/>
        <item x="989"/>
        <item x="990"/>
        <item x="992"/>
        <item x="1017"/>
        <item x="1059"/>
        <item x="1060"/>
        <item x="1061"/>
        <item x="1062"/>
        <item x="1075"/>
        <item x="1076"/>
        <item x="1073"/>
        <item x="1074"/>
        <item x="1078"/>
        <item m="1" x="5534"/>
        <item x="1067"/>
        <item m="1" x="5539"/>
        <item m="1" x="5540"/>
        <item m="1" x="5541"/>
        <item x="1179"/>
        <item x="1176"/>
        <item x="1177"/>
        <item x="1178"/>
        <item x="1258"/>
        <item x="1259"/>
        <item x="1292"/>
        <item m="1" x="3745"/>
        <item m="1" x="3761"/>
        <item m="1" x="5558"/>
        <item m="1" x="5559"/>
        <item m="1" x="3762"/>
        <item m="1" x="3841"/>
        <item m="1" x="5573"/>
        <item x="1308"/>
        <item x="1313"/>
        <item x="1314"/>
        <item x="1315"/>
        <item m="1" x="5574"/>
        <item m="1" x="5575"/>
        <item m="1" x="4858"/>
        <item m="1" x="4859"/>
        <item m="1" x="4864"/>
        <item m="1" x="4303"/>
        <item x="1972"/>
        <item m="1" x="4318"/>
        <item m="1" x="4390"/>
        <item m="1" x="5596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526"/>
        <item x="3196"/>
        <item x="3199"/>
        <item m="1" x="4564"/>
        <item x="3204"/>
        <item x="3205"/>
        <item x="1488"/>
        <item x="1510"/>
        <item x="1494"/>
        <item x="1498"/>
        <item x="1509"/>
        <item x="1508"/>
        <item x="1490"/>
        <item x="1547"/>
        <item x="1614"/>
        <item x="1616"/>
        <item m="1" x="5625"/>
        <item m="1" x="5626"/>
        <item x="1671"/>
        <item x="1672"/>
        <item x="1673"/>
        <item x="1674"/>
        <item x="1675"/>
        <item x="1676"/>
        <item x="1677"/>
        <item x="1730"/>
        <item m="1" x="4904"/>
        <item x="1698"/>
        <item x="1718"/>
        <item x="1719"/>
        <item x="1703"/>
        <item x="1799"/>
        <item m="1" x="5015"/>
        <item m="1" x="5680"/>
        <item x="1824"/>
        <item m="1" x="5681"/>
        <item x="3473"/>
        <item x="3478"/>
        <item m="1" x="5010"/>
        <item m="1" x="5682"/>
        <item x="3480"/>
        <item m="1" x="4043"/>
        <item m="1" x="5042"/>
        <item m="1" x="5043"/>
        <item m="1" x="5044"/>
        <item m="1" x="5045"/>
        <item x="1934"/>
        <item x="1937"/>
        <item x="1939"/>
        <item x="1941"/>
        <item x="1942"/>
        <item x="1946"/>
        <item x="1949"/>
        <item x="1952"/>
        <item x="1953"/>
        <item x="1983"/>
        <item x="1999"/>
        <item x="2022"/>
        <item x="2041"/>
        <item x="2042"/>
        <item x="2048"/>
        <item x="2083"/>
        <item x="2084"/>
        <item m="1" x="5708"/>
        <item x="2085"/>
        <item x="2086"/>
        <item x="2087"/>
        <item x="256"/>
        <item m="1" x="5709"/>
        <item x="2217"/>
        <item x="2218"/>
        <item x="2219"/>
        <item x="2220"/>
        <item x="2221"/>
        <item x="2222"/>
        <item m="1" x="3766"/>
        <item m="1" x="3767"/>
        <item m="1" x="3768"/>
        <item m="1" x="3769"/>
        <item x="2253"/>
        <item x="2255"/>
        <item x="2256"/>
        <item m="1" x="4413"/>
        <item m="1" x="4430"/>
        <item m="1" x="4471"/>
        <item m="1" x="4472"/>
        <item m="1" x="4512"/>
        <item m="1" x="4474"/>
        <item m="1" x="5752"/>
        <item m="1" x="5754"/>
        <item x="2363"/>
        <item x="3195"/>
        <item m="1" x="4558"/>
        <item m="1" x="4562"/>
        <item m="1" x="5758"/>
        <item m="1" x="5759"/>
        <item x="3208"/>
        <item x="2379"/>
        <item x="2380"/>
        <item m="1" x="5763"/>
        <item x="2970"/>
        <item x="2410"/>
        <item x="2428"/>
        <item x="2476"/>
        <item x="2466"/>
        <item m="1" x="5772"/>
        <item x="2563"/>
        <item m="1" x="4906"/>
        <item m="1" x="4905"/>
        <item x="2562"/>
        <item m="1" x="5790"/>
        <item x="2557"/>
        <item x="2558"/>
        <item x="2619"/>
        <item x="2620"/>
        <item x="3491"/>
        <item m="1" x="4979"/>
        <item x="2631"/>
        <item x="3482"/>
        <item m="1" x="5797"/>
        <item m="1" x="5052"/>
        <item m="1" x="5799"/>
        <item m="1" x="5053"/>
        <item m="1" x="5054"/>
        <item m="1" x="5056"/>
        <item x="2704"/>
        <item x="2707"/>
        <item x="2708"/>
        <item x="2709"/>
        <item x="2711"/>
        <item x="2754"/>
        <item m="1" x="5806"/>
        <item x="2771"/>
        <item m="1" x="5362"/>
        <item m="1" x="5363"/>
        <item x="2817"/>
        <item m="1" x="5364"/>
        <item x="2818"/>
        <item x="3161"/>
        <item x="2819"/>
        <item x="2820"/>
        <item x="2828"/>
        <item x="2827"/>
        <item m="1" x="5824"/>
        <item x="2860"/>
        <item x="2859"/>
        <item m="1" x="5828"/>
        <item x="2894"/>
        <item x="2911"/>
        <item m="1" x="5843"/>
        <item m="1" x="4510"/>
        <item m="1" x="4511"/>
        <item m="1" x="5853"/>
        <item x="2965"/>
        <item x="3194"/>
        <item m="1" x="4567"/>
        <item x="2971"/>
        <item x="2975"/>
        <item m="1" x="5854"/>
        <item x="2979"/>
        <item x="3477"/>
        <item x="3081"/>
        <item m="1" x="5868"/>
        <item x="3156"/>
        <item x="3157"/>
        <item x="3158"/>
        <item x="3160"/>
        <item x="3169"/>
        <item m="1" x="4880"/>
        <item x="3210"/>
        <item x="3474"/>
        <item x="3264"/>
        <item x="3279"/>
        <item x="3280"/>
        <item x="3197"/>
        <item m="1" x="5934"/>
        <item x="3394"/>
        <item m="1" x="5941"/>
        <item m="1" x="5942"/>
        <item m="1" x="5943"/>
        <item x="0"/>
        <item m="1" x="3536"/>
        <item x="240"/>
        <item x="242"/>
        <item m="1" x="3537"/>
        <item x="1071"/>
        <item x="1080"/>
        <item x="2098"/>
        <item x="2099"/>
        <item x="1118"/>
        <item x="1119"/>
        <item x="1120"/>
        <item x="280"/>
        <item x="1122"/>
        <item x="1123"/>
        <item x="1124"/>
        <item x="281"/>
        <item x="1125"/>
        <item x="8"/>
        <item x="9"/>
        <item x="2119"/>
        <item x="1126"/>
        <item x="2127"/>
        <item m="1" x="3545"/>
        <item m="1" x="3624"/>
        <item m="1" x="3669"/>
        <item m="1" x="3670"/>
        <item m="1" x="3625"/>
        <item m="1" x="3626"/>
        <item m="1" x="3570"/>
        <item m="1" x="3571"/>
        <item m="1" x="3627"/>
        <item m="1" x="3580"/>
        <item m="1" x="3581"/>
        <item m="1" x="3583"/>
        <item m="1" x="3584"/>
        <item m="1" x="3633"/>
        <item m="1" x="3585"/>
        <item m="1" x="3586"/>
        <item m="1" x="3546"/>
        <item m="1" x="3634"/>
        <item m="1" x="3587"/>
        <item m="1" x="3588"/>
        <item m="1" x="3707"/>
        <item m="1" x="3708"/>
        <item m="1" x="3709"/>
        <item m="1" x="3710"/>
        <item m="1" x="3719"/>
        <item x="2861"/>
        <item x="2164"/>
        <item x="318"/>
        <item x="1180"/>
        <item x="1181"/>
        <item x="319"/>
        <item x="2165"/>
        <item x="1182"/>
        <item x="1183"/>
        <item m="1" x="3727"/>
        <item x="3176"/>
        <item x="2166"/>
        <item x="1185"/>
        <item x="320"/>
        <item x="1187"/>
        <item x="2168"/>
        <item x="321"/>
        <item x="2863"/>
        <item x="1189"/>
        <item m="1" x="3715"/>
        <item x="1190"/>
        <item x="1191"/>
        <item x="324"/>
        <item x="1194"/>
        <item x="2170"/>
        <item x="1195"/>
        <item x="325"/>
        <item x="1196"/>
        <item x="1197"/>
        <item x="1198"/>
        <item x="2866"/>
        <item x="2871"/>
        <item x="3181"/>
        <item x="2223"/>
        <item x="2224"/>
        <item x="2895"/>
        <item x="354"/>
        <item x="1261"/>
        <item x="1262"/>
        <item x="2226"/>
        <item x="1263"/>
        <item x="356"/>
        <item x="357"/>
        <item x="2897"/>
        <item x="358"/>
        <item x="359"/>
        <item x="24"/>
        <item x="2898"/>
        <item x="3286"/>
        <item m="1" x="3728"/>
        <item x="3292"/>
        <item m="1" x="3717"/>
        <item x="3293"/>
        <item x="3287"/>
        <item x="3288"/>
        <item x="3296"/>
        <item x="3297"/>
        <item x="3298"/>
        <item x="3289"/>
        <item x="3299"/>
        <item x="3290"/>
        <item x="3291"/>
        <item m="1" x="3730"/>
        <item m="1" x="3731"/>
        <item m="1" x="3773"/>
        <item m="1" x="3771"/>
        <item m="1" x="3774"/>
        <item x="2243"/>
        <item m="1" x="3780"/>
        <item x="1300"/>
        <item m="1" x="3781"/>
        <item m="1" x="3782"/>
        <item m="1" x="3813"/>
        <item m="1" x="3793"/>
        <item m="1" x="3783"/>
        <item m="1" x="3784"/>
        <item m="1" x="3800"/>
        <item m="1" x="3801"/>
        <item m="1" x="3786"/>
        <item m="1" x="3787"/>
        <item m="1" x="3802"/>
        <item m="1" x="3794"/>
        <item m="1" x="3795"/>
        <item m="1" x="3796"/>
        <item m="1" x="3788"/>
        <item m="1" x="3789"/>
        <item m="1" x="3803"/>
        <item m="1" x="3790"/>
        <item m="1" x="3798"/>
        <item m="1" x="3799"/>
        <item m="1" x="3792"/>
        <item x="1317"/>
        <item x="397"/>
        <item x="1318"/>
        <item x="398"/>
        <item x="399"/>
        <item m="1" x="3873"/>
        <item m="1" x="3879"/>
        <item m="1" x="3876"/>
        <item x="447"/>
        <item x="2944"/>
        <item x="450"/>
        <item x="2324"/>
        <item x="2325"/>
        <item x="1417"/>
        <item m="1" x="4481"/>
        <item m="1" x="4294"/>
        <item m="1" x="4229"/>
        <item m="1" x="4295"/>
        <item m="1" x="4401"/>
        <item m="1" x="4296"/>
        <item x="1433"/>
        <item x="2342"/>
        <item x="483"/>
        <item x="1451"/>
        <item x="503"/>
        <item x="1452"/>
        <item x="518"/>
        <item x="519"/>
        <item x="1469"/>
        <item x="2364"/>
        <item x="2966"/>
        <item x="1470"/>
        <item m="1" x="4566"/>
        <item m="1" x="4568"/>
        <item m="1" x="4547"/>
        <item m="1" x="4549"/>
        <item m="1" x="4550"/>
        <item m="1" x="4537"/>
        <item m="1" x="4617"/>
        <item x="1477"/>
        <item x="58"/>
        <item x="2369"/>
        <item x="536"/>
        <item x="537"/>
        <item x="59"/>
        <item x="542"/>
        <item m="1" x="4629"/>
        <item x="2372"/>
        <item m="1" x="4619"/>
        <item m="1" x="4620"/>
        <item m="1" x="4621"/>
        <item x="2973"/>
        <item x="3314"/>
        <item m="1" x="4637"/>
        <item x="1491"/>
        <item m="1" x="4626"/>
        <item x="556"/>
        <item x="558"/>
        <item x="559"/>
        <item x="561"/>
        <item x="3325"/>
        <item x="1503"/>
        <item x="563"/>
        <item x="63"/>
        <item x="1506"/>
        <item m="1" x="4687"/>
        <item m="1" x="4689"/>
        <item m="1" x="4688"/>
        <item x="662"/>
        <item m="1" x="4684"/>
        <item m="1" x="4655"/>
        <item x="668"/>
        <item x="2458"/>
        <item x="2994"/>
        <item m="1" x="4839"/>
        <item m="1" x="4840"/>
        <item m="1" x="4843"/>
        <item m="1" x="4847"/>
        <item m="1" x="4878"/>
        <item m="1" x="4852"/>
        <item m="1" x="4865"/>
        <item m="1" x="4866"/>
        <item m="1" x="4855"/>
        <item x="1606"/>
        <item x="1611"/>
        <item x="670"/>
        <item x="672"/>
        <item x="1615"/>
        <item x="673"/>
        <item x="674"/>
        <item x="1618"/>
        <item x="3001"/>
        <item x="1619"/>
        <item x="2470"/>
        <item m="1" x="4884"/>
        <item m="1" x="4890"/>
        <item m="1" x="4894"/>
        <item m="1" x="4897"/>
        <item m="1" x="4895"/>
        <item m="1" x="4891"/>
        <item m="1" x="4885"/>
        <item x="772"/>
        <item x="1678"/>
        <item x="773"/>
        <item x="2536"/>
        <item x="130"/>
        <item x="1679"/>
        <item x="1680"/>
        <item x="131"/>
        <item x="132"/>
        <item x="2537"/>
        <item x="133"/>
        <item x="3241"/>
        <item x="134"/>
        <item x="135"/>
        <item x="136"/>
        <item x="774"/>
        <item x="775"/>
        <item x="137"/>
        <item x="138"/>
        <item x="776"/>
        <item x="139"/>
        <item x="2538"/>
        <item x="1681"/>
        <item x="1682"/>
        <item x="777"/>
        <item x="778"/>
        <item x="140"/>
        <item x="779"/>
        <item x="1695"/>
        <item x="3046"/>
        <item x="2553"/>
        <item x="1699"/>
        <item x="2554"/>
        <item x="791"/>
        <item x="796"/>
        <item x="801"/>
        <item x="1714"/>
        <item x="805"/>
        <item x="1716"/>
        <item x="151"/>
        <item x="1723"/>
        <item x="1728"/>
        <item m="1" x="4915"/>
        <item m="1" x="4916"/>
        <item m="1" x="4910"/>
        <item m="1" x="4907"/>
        <item x="1800"/>
        <item x="1801"/>
        <item x="876"/>
        <item x="2622"/>
        <item x="877"/>
        <item x="878"/>
        <item x="879"/>
        <item x="3250"/>
        <item x="880"/>
        <item x="1802"/>
        <item x="2625"/>
        <item x="2626"/>
        <item x="3255"/>
        <item m="1" x="4941"/>
        <item x="3485"/>
        <item x="3488"/>
        <item x="3490"/>
        <item x="915"/>
        <item x="2642"/>
        <item x="916"/>
        <item x="917"/>
        <item x="180"/>
        <item m="1" x="5047"/>
        <item m="1" x="5048"/>
        <item m="1" x="5059"/>
        <item x="181"/>
        <item x="922"/>
        <item x="184"/>
        <item x="927"/>
        <item x="187"/>
        <item x="188"/>
        <item x="932"/>
        <item x="190"/>
        <item x="943"/>
        <item m="1" x="5075"/>
        <item x="3518"/>
        <item x="2667"/>
        <item x="1929"/>
        <item x="1930"/>
        <item x="2695"/>
        <item x="203"/>
        <item x="2696"/>
        <item x="2697"/>
        <item x="1931"/>
        <item x="1932"/>
        <item x="2698"/>
        <item m="1" x="5197"/>
        <item x="1933"/>
        <item x="2699"/>
        <item x="2700"/>
        <item x="3080"/>
        <item x="983"/>
        <item x="984"/>
        <item m="1" x="5194"/>
        <item x="2712"/>
        <item x="2713"/>
        <item x="3082"/>
        <item x="1955"/>
        <item x="1956"/>
        <item x="2714"/>
        <item x="2715"/>
        <item x="1959"/>
        <item x="1960"/>
        <item x="1961"/>
        <item x="1965"/>
        <item x="1966"/>
        <item x="3083"/>
        <item x="1971"/>
        <item x="3097"/>
        <item x="1011"/>
        <item x="3099"/>
        <item x="1018"/>
        <item x="2756"/>
        <item x="2020"/>
        <item x="2025"/>
        <item x="2043"/>
        <item x="1028"/>
        <item x="2044"/>
        <item x="2045"/>
        <item x="3121"/>
        <item x="1037"/>
        <item x="2821"/>
        <item x="2088"/>
        <item x="2822"/>
        <item x="3162"/>
        <item x="2089"/>
        <item x="2090"/>
        <item x="3281"/>
        <item x="2823"/>
        <item x="3163"/>
        <item x="2091"/>
        <item x="230"/>
        <item x="1293"/>
        <item x="1294"/>
        <item m="1" x="3763"/>
        <item m="1" x="3764"/>
        <item m="1" x="3770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9"/>
        <item m="1" x="4041"/>
        <item m="1" x="4042"/>
        <item m="1" x="4044"/>
        <item m="1" x="4122"/>
        <item m="1" x="4123"/>
        <item m="1" x="4125"/>
        <item m="1" x="4126"/>
        <item m="1" x="4127"/>
        <item m="1" x="4128"/>
        <item m="1" x="4129"/>
        <item m="1" x="4131"/>
        <item m="1" x="4132"/>
        <item m="1" x="4133"/>
        <item m="1" x="4134"/>
        <item m="1" x="4166"/>
        <item m="1" x="4167"/>
        <item m="1" x="4168"/>
        <item m="1" x="4175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698"/>
        <item m="1" x="4699"/>
        <item m="1" x="4761"/>
        <item m="1" x="4762"/>
        <item m="1" x="4766"/>
        <item m="1" x="4769"/>
        <item m="1" x="4770"/>
        <item m="1" x="4771"/>
        <item m="1" x="4772"/>
        <item m="1" x="4774"/>
        <item m="1" x="4775"/>
        <item m="1" x="4776"/>
        <item m="1" x="4782"/>
        <item m="1" x="4783"/>
        <item m="1" x="4784"/>
        <item m="1" x="4785"/>
        <item m="1" x="4790"/>
        <item m="1" x="4793"/>
        <item m="1" x="4795"/>
        <item m="1" x="4796"/>
        <item m="1" x="4797"/>
        <item m="1" x="4801"/>
        <item m="1" x="4804"/>
        <item m="1" x="4805"/>
        <item m="1" x="4806"/>
        <item m="1" x="4811"/>
        <item m="1" x="4821"/>
        <item m="1" x="4822"/>
        <item m="1" x="4824"/>
        <item m="1" x="4825"/>
        <item m="1" x="4830"/>
        <item m="1" x="4831"/>
        <item m="1" x="4832"/>
        <item m="1" x="4834"/>
        <item m="1" x="4836"/>
        <item m="1" x="4837"/>
        <item m="1" x="4917"/>
        <item m="1" x="4918"/>
        <item m="1" x="4919"/>
        <item m="1" x="5103"/>
        <item m="1" x="5104"/>
        <item m="1" x="5105"/>
        <item m="1" x="5106"/>
        <item m="1" x="5107"/>
        <item m="1" x="5108"/>
        <item m="1" x="5112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8"/>
        <item m="1" x="5167"/>
        <item m="1" x="5168"/>
        <item m="1" x="5169"/>
        <item m="1" x="5170"/>
        <item m="1" x="5171"/>
        <item m="1" x="5185"/>
        <item x="2095"/>
        <item x="234"/>
        <item x="1069"/>
        <item x="2097"/>
        <item x="3"/>
        <item x="4"/>
        <item x="244"/>
        <item x="1079"/>
        <item x="249"/>
        <item x="254"/>
        <item x="257"/>
        <item x="1090"/>
        <item x="1127"/>
        <item x="1128"/>
        <item x="1129"/>
        <item x="10"/>
        <item x="283"/>
        <item x="1130"/>
        <item x="2835"/>
        <item x="2836"/>
        <item x="2837"/>
        <item x="2838"/>
        <item x="284"/>
        <item x="1141"/>
        <item x="322"/>
        <item x="2864"/>
        <item x="2865"/>
        <item x="1192"/>
        <item x="1193"/>
        <item x="2171"/>
        <item x="2867"/>
        <item x="2172"/>
        <item x="1199"/>
        <item x="1200"/>
        <item x="2173"/>
        <item x="2868"/>
        <item x="2869"/>
        <item x="2174"/>
        <item x="2175"/>
        <item x="1202"/>
        <item x="2177"/>
        <item x="2178"/>
        <item x="1203"/>
        <item x="327"/>
        <item x="1204"/>
        <item x="1205"/>
        <item x="2870"/>
        <item x="2179"/>
        <item x="328"/>
        <item x="1206"/>
        <item x="1207"/>
        <item x="329"/>
        <item x="1208"/>
        <item x="330"/>
        <item x="2180"/>
        <item x="2872"/>
        <item x="2181"/>
        <item x="2873"/>
        <item x="2182"/>
        <item x="17"/>
        <item x="3179"/>
        <item x="1209"/>
        <item x="331"/>
        <item x="1210"/>
        <item x="1211"/>
        <item x="1212"/>
        <item x="1215"/>
        <item x="1217"/>
        <item x="1219"/>
        <item x="1220"/>
        <item x="333"/>
        <item x="334"/>
        <item x="2880"/>
        <item x="335"/>
        <item x="337"/>
        <item x="2886"/>
        <item x="2888"/>
        <item x="2194"/>
        <item x="3294"/>
        <item x="2195"/>
        <item x="2196"/>
        <item x="3295"/>
        <item x="343"/>
        <item x="2215"/>
        <item x="350"/>
        <item x="1260"/>
        <item x="360"/>
        <item x="2227"/>
        <item x="361"/>
        <item x="1266"/>
        <item x="2228"/>
        <item x="2229"/>
        <item x="2230"/>
        <item x="1267"/>
        <item x="2231"/>
        <item x="1268"/>
        <item x="1269"/>
        <item x="1270"/>
        <item x="2899"/>
        <item x="2900"/>
        <item x="2901"/>
        <item x="1271"/>
        <item x="1272"/>
        <item x="372"/>
        <item x="373"/>
        <item x="380"/>
        <item x="382"/>
        <item x="1299"/>
        <item x="383"/>
        <item x="2244"/>
        <item x="2906"/>
        <item x="386"/>
        <item x="387"/>
        <item x="388"/>
        <item x="389"/>
        <item x="394"/>
        <item x="1312"/>
        <item x="3182"/>
        <item x="2912"/>
        <item x="1319"/>
        <item x="400"/>
        <item x="2259"/>
        <item x="1320"/>
        <item x="32"/>
        <item x="2260"/>
        <item x="401"/>
        <item x="402"/>
        <item x="1321"/>
        <item x="403"/>
        <item x="33"/>
        <item x="1322"/>
        <item x="1323"/>
        <item x="34"/>
        <item x="41"/>
        <item x="2310"/>
        <item x="451"/>
        <item x="1402"/>
        <item x="452"/>
        <item x="453"/>
        <item x="1403"/>
        <item x="42"/>
        <item x="2313"/>
        <item x="1404"/>
        <item x="456"/>
        <item x="2318"/>
        <item x="459"/>
        <item x="43"/>
        <item x="1412"/>
        <item x="1413"/>
        <item x="1414"/>
        <item x="1415"/>
        <item x="2958"/>
        <item x="521"/>
        <item x="522"/>
        <item x="3206"/>
        <item x="3212"/>
        <item x="1486"/>
        <item x="543"/>
        <item x="544"/>
        <item x="2376"/>
        <item x="60"/>
        <item x="1493"/>
        <item x="1495"/>
        <item x="1496"/>
        <item x="1499"/>
        <item x="1500"/>
        <item x="1501"/>
        <item x="567"/>
        <item x="2384"/>
        <item x="65"/>
        <item x="660"/>
        <item x="1578"/>
        <item x="661"/>
        <item x="663"/>
        <item x="81"/>
        <item x="669"/>
        <item x="2461"/>
        <item x="2468"/>
        <item x="82"/>
        <item x="676"/>
        <item x="677"/>
        <item x="2999"/>
        <item x="1620"/>
        <item x="679"/>
        <item x="1621"/>
        <item x="1622"/>
        <item x="680"/>
        <item x="3000"/>
        <item x="1623"/>
        <item x="1624"/>
        <item x="2471"/>
        <item x="681"/>
        <item x="1625"/>
        <item x="3221"/>
        <item x="1626"/>
        <item x="684"/>
        <item x="2473"/>
        <item x="685"/>
        <item x="1627"/>
        <item x="2474"/>
        <item x="1628"/>
        <item x="1630"/>
        <item x="1632"/>
        <item x="687"/>
        <item x="3002"/>
        <item x="1633"/>
        <item x="2477"/>
        <item x="3004"/>
        <item x="3005"/>
        <item x="689"/>
        <item x="2478"/>
        <item x="780"/>
        <item x="141"/>
        <item x="142"/>
        <item x="781"/>
        <item x="782"/>
        <item x="143"/>
        <item x="144"/>
        <item x="783"/>
        <item x="1683"/>
        <item x="784"/>
        <item x="785"/>
        <item x="2544"/>
        <item x="2552"/>
        <item x="1709"/>
        <item x="798"/>
        <item x="147"/>
        <item x="806"/>
        <item x="148"/>
        <item x="1717"/>
        <item x="2567"/>
        <item x="812"/>
        <item x="3059"/>
        <item x="2623"/>
        <item x="1803"/>
        <item x="1804"/>
        <item x="1805"/>
        <item x="1806"/>
        <item x="1809"/>
        <item x="3387"/>
        <item x="3397"/>
        <item x="3398"/>
        <item x="3492"/>
        <item x="3495"/>
        <item x="3496"/>
        <item x="3497"/>
        <item x="3499"/>
        <item x="3505"/>
        <item x="3506"/>
        <item x="3508"/>
        <item x="3512"/>
        <item x="3516"/>
        <item x="886"/>
        <item x="888"/>
        <item x="2644"/>
        <item x="1849"/>
        <item x="2646"/>
        <item x="183"/>
        <item x="1877"/>
        <item x="3519"/>
        <item x="3520"/>
        <item x="2685"/>
        <item x="997"/>
        <item x="998"/>
        <item x="2718"/>
        <item x="999"/>
        <item x="1001"/>
        <item x="1974"/>
        <item x="1975"/>
        <item x="1976"/>
        <item x="2719"/>
        <item x="1003"/>
        <item x="1004"/>
        <item x="1005"/>
        <item x="1006"/>
        <item x="204"/>
        <item x="3087"/>
        <item x="1977"/>
        <item x="1007"/>
        <item x="205"/>
        <item x="1978"/>
        <item x="3089"/>
        <item x="1008"/>
        <item x="1980"/>
        <item x="1009"/>
        <item x="1986"/>
        <item x="1990"/>
        <item x="1013"/>
        <item x="2732"/>
        <item x="2003"/>
        <item x="2011"/>
        <item x="2016"/>
        <item x="207"/>
        <item x="2760"/>
        <item x="3114"/>
        <item x="1029"/>
        <item x="2770"/>
        <item x="2054"/>
        <item x="211"/>
        <item x="231"/>
        <item x="3164"/>
        <item x="232"/>
        <item x="1064"/>
        <item x="3165"/>
        <item x="3166"/>
        <item x="2092"/>
        <item x="3167"/>
        <item x="2824"/>
        <item x="3168"/>
        <item x="2825"/>
        <item x="2093"/>
        <item x="3282"/>
        <item x="2094"/>
        <item x="3283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 defaultSubtotal="0">
      <items count="15">
        <item m="1" x="9"/>
        <item m="1" x="6"/>
        <item m="1" x="14"/>
        <item m="1" x="13"/>
        <item m="1" x="4"/>
        <item m="1" x="5"/>
        <item m="1" x="12"/>
        <item m="1" x="11"/>
        <item m="1" x="8"/>
        <item m="1" x="7"/>
        <item m="1" x="10"/>
        <item x="1"/>
        <item x="0"/>
        <item x="2"/>
        <item x="3"/>
      </items>
    </pivotField>
    <pivotField axis="axisRow" compact="0" outline="0" multipleItemSelectionAllowed="1" showAll="0" defaultSubtotal="0">
      <items count="522">
        <item x="6"/>
        <item x="9"/>
        <item m="1" x="371"/>
        <item m="1" x="489"/>
        <item m="1" x="515"/>
        <item m="1" x="517"/>
        <item m="1" x="516"/>
        <item m="1" x="471"/>
        <item m="1" x="448"/>
        <item m="1" x="470"/>
        <item m="1" x="505"/>
        <item m="1" x="473"/>
        <item m="1" x="509"/>
        <item m="1" x="519"/>
        <item m="1" x="391"/>
        <item m="1" x="496"/>
        <item m="1" x="520"/>
        <item m="1" x="510"/>
        <item m="1" x="511"/>
        <item m="1" x="452"/>
        <item m="1" x="512"/>
        <item m="1" x="421"/>
        <item m="1" x="518"/>
        <item m="1" x="467"/>
        <item m="1" x="513"/>
        <item m="1" x="474"/>
        <item m="1" x="521"/>
        <item m="1" x="514"/>
        <item m="1" x="87"/>
        <item m="1" x="125"/>
        <item m="1" x="469"/>
        <item x="0"/>
        <item m="1" x="494"/>
        <item m="1" x="495"/>
        <item m="1" x="497"/>
        <item m="1" x="498"/>
        <item m="1" x="132"/>
        <item m="1" x="387"/>
        <item m="1" x="499"/>
        <item m="1" x="500"/>
        <item m="1" x="455"/>
        <item m="1" x="130"/>
        <item m="1" x="501"/>
        <item m="1" x="131"/>
        <item m="1" x="127"/>
        <item m="1" x="502"/>
        <item m="1" x="121"/>
        <item m="1" x="373"/>
        <item m="1" x="439"/>
        <item m="1" x="503"/>
        <item m="1" x="454"/>
        <item m="1" x="443"/>
        <item m="1" x="504"/>
        <item m="1" x="506"/>
        <item m="1" x="86"/>
        <item m="1" x="122"/>
        <item m="1" x="445"/>
        <item m="1" x="475"/>
        <item m="1" x="507"/>
        <item m="1" x="476"/>
        <item m="1" x="109"/>
        <item m="1" x="133"/>
        <item m="1" x="508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354"/>
        <item m="1" x="468"/>
        <item m="1" x="372"/>
        <item x="14"/>
        <item m="1" x="449"/>
        <item m="1" x="388"/>
        <item m="1" x="88"/>
        <item m="1" x="472"/>
        <item m="1" x="106"/>
        <item m="1" x="488"/>
        <item m="1" x="487"/>
        <item m="1" x="409"/>
        <item m="1" x="482"/>
        <item m="1" x="123"/>
        <item m="1" x="85"/>
        <item m="1" x="486"/>
        <item m="1" x="376"/>
        <item m="1" x="382"/>
        <item m="1" x="456"/>
        <item m="1" x="397"/>
        <item m="1" x="386"/>
        <item m="1" x="491"/>
        <item m="1" x="492"/>
        <item m="1" x="493"/>
        <item m="1" x="89"/>
        <item m="1" x="477"/>
        <item m="1" x="104"/>
        <item m="1" x="483"/>
        <item m="1" x="484"/>
        <item m="1" x="485"/>
        <item m="1" x="375"/>
        <item m="1" x="490"/>
        <item m="1" x="378"/>
        <item m="1" x="110"/>
        <item m="1" x="398"/>
        <item m="1" x="385"/>
        <item m="1" x="481"/>
        <item m="1" x="377"/>
        <item m="1" x="337"/>
        <item m="1" x="327"/>
        <item m="1" x="331"/>
        <item m="1" x="338"/>
        <item m="1" x="339"/>
        <item m="1" x="328"/>
        <item m="1" x="329"/>
        <item m="1" x="330"/>
        <item m="1" x="332"/>
        <item m="1" x="333"/>
        <item m="1" x="334"/>
        <item m="1" x="335"/>
        <item m="1" x="336"/>
        <item m="1" x="343"/>
        <item m="1" x="124"/>
        <item m="1" x="344"/>
        <item m="1" x="345"/>
        <item m="1" x="346"/>
        <item m="1" x="347"/>
        <item m="1" x="340"/>
        <item m="1" x="348"/>
        <item m="1" x="342"/>
        <item m="1" x="341"/>
        <item m="1" x="326"/>
        <item m="1" x="380"/>
        <item m="1" x="381"/>
        <item m="1" x="136"/>
        <item m="1" x="383"/>
        <item m="1" x="384"/>
        <item m="1" x="349"/>
        <item m="1" x="350"/>
        <item m="1" x="351"/>
        <item m="1" x="352"/>
        <item m="1" x="295"/>
        <item m="1" x="353"/>
        <item m="1" x="355"/>
        <item m="1" x="356"/>
        <item m="1" x="357"/>
        <item m="1" x="358"/>
        <item m="1" x="359"/>
        <item m="1" x="360"/>
        <item m="1" x="361"/>
        <item m="1" x="364"/>
        <item m="1" x="362"/>
        <item m="1" x="416"/>
        <item m="1" x="478"/>
        <item m="1" x="363"/>
        <item m="1" x="365"/>
        <item m="1" x="366"/>
        <item m="1" x="408"/>
        <item m="1" x="367"/>
        <item m="1" x="368"/>
        <item m="1" x="369"/>
        <item m="1" x="370"/>
        <item m="1" x="479"/>
        <item m="1" x="374"/>
        <item m="1" x="480"/>
        <item m="1" x="379"/>
        <item m="1" x="451"/>
        <item m="1" x="453"/>
        <item m="1" x="389"/>
        <item m="1" x="390"/>
        <item m="1" x="392"/>
        <item m="1" x="393"/>
        <item m="1" x="394"/>
        <item m="1" x="395"/>
        <item m="1" x="396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10"/>
        <item m="1" x="411"/>
        <item m="1" x="412"/>
        <item m="1" x="413"/>
        <item m="1" x="414"/>
        <item m="1" x="415"/>
        <item m="1" x="417"/>
        <item m="1" x="418"/>
        <item m="1" x="419"/>
        <item m="1" x="420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40"/>
        <item m="1" x="441"/>
        <item m="1" x="442"/>
        <item m="1" x="444"/>
        <item m="1" x="446"/>
        <item m="1" x="447"/>
        <item m="1" x="450"/>
        <item m="1" x="298"/>
        <item m="1" x="297"/>
        <item m="1" x="311"/>
        <item m="1" x="299"/>
        <item m="1" x="304"/>
        <item m="1" x="312"/>
        <item m="1" x="313"/>
        <item m="1" x="84"/>
        <item m="1" x="306"/>
        <item m="1" x="319"/>
        <item m="1" x="318"/>
        <item m="1" x="315"/>
        <item m="1" x="322"/>
        <item m="1" x="317"/>
        <item m="1" x="309"/>
        <item m="1" x="323"/>
        <item m="1" x="307"/>
        <item m="1" x="324"/>
        <item m="1" x="321"/>
        <item m="1" x="314"/>
        <item m="1" x="301"/>
        <item m="1" x="320"/>
        <item m="1" x="305"/>
        <item m="1" x="325"/>
        <item m="1" x="300"/>
        <item m="1" x="302"/>
        <item m="1" x="303"/>
        <item m="1" x="308"/>
        <item m="1" x="310"/>
        <item m="1" x="316"/>
        <item m="1" x="271"/>
        <item m="1" x="279"/>
        <item m="1" x="291"/>
        <item m="1" x="275"/>
        <item m="1" x="282"/>
        <item m="1" x="277"/>
        <item m="1" x="278"/>
        <item m="1" x="281"/>
        <item m="1" x="283"/>
        <item m="1" x="107"/>
        <item m="1" x="274"/>
        <item m="1" x="288"/>
        <item m="1" x="296"/>
        <item m="1" x="294"/>
        <item m="1" x="285"/>
        <item m="1" x="284"/>
        <item m="1" x="273"/>
        <item m="1" x="286"/>
        <item m="1" x="276"/>
        <item m="1" x="280"/>
        <item m="1" x="272"/>
        <item m="1" x="217"/>
        <item m="1" x="290"/>
        <item m="1" x="292"/>
        <item m="1" x="212"/>
        <item m="1" x="287"/>
        <item m="1" x="293"/>
        <item m="1" x="103"/>
        <item x="30"/>
        <item m="1" x="213"/>
        <item m="1" x="289"/>
        <item m="1" x="255"/>
        <item m="1" x="252"/>
        <item m="1" x="258"/>
        <item m="1" x="222"/>
        <item m="1" x="219"/>
        <item m="1" x="254"/>
        <item m="1" x="233"/>
        <item m="1" x="235"/>
        <item m="1" x="263"/>
        <item m="1" x="261"/>
        <item m="1" x="257"/>
        <item m="1" x="260"/>
        <item m="1" x="256"/>
        <item m="1" x="264"/>
        <item m="1" x="268"/>
        <item m="1" x="267"/>
        <item m="1" x="262"/>
        <item m="1" x="251"/>
        <item m="1" x="253"/>
        <item m="1" x="230"/>
        <item m="1" x="266"/>
        <item m="1" x="265"/>
        <item m="1" x="259"/>
        <item m="1" x="248"/>
        <item m="1" x="105"/>
        <item m="1" x="220"/>
        <item m="1" x="270"/>
        <item m="1" x="128"/>
        <item m="1" x="269"/>
        <item m="1" x="225"/>
        <item m="1" x="223"/>
        <item m="1" x="226"/>
        <item m="1" x="224"/>
        <item m="1" x="214"/>
        <item m="1" x="231"/>
        <item m="1" x="227"/>
        <item m="1" x="244"/>
        <item m="1" x="245"/>
        <item m="1" x="240"/>
        <item m="1" x="241"/>
        <item m="1" x="246"/>
        <item m="1" x="232"/>
        <item m="1" x="236"/>
        <item m="1" x="234"/>
        <item m="1" x="108"/>
        <item m="1" x="229"/>
        <item m="1" x="238"/>
        <item m="1" x="247"/>
        <item m="1" x="218"/>
        <item m="1" x="249"/>
        <item m="1" x="242"/>
        <item m="1" x="175"/>
        <item m="1" x="243"/>
        <item m="1" x="250"/>
        <item m="1" x="239"/>
        <item m="1" x="228"/>
        <item m="1" x="237"/>
        <item m="1" x="194"/>
        <item m="1" x="202"/>
        <item m="1" x="199"/>
        <item m="1" x="198"/>
        <item m="1" x="205"/>
        <item m="1" x="191"/>
        <item m="1" x="196"/>
        <item m="1" x="209"/>
        <item m="1" x="193"/>
        <item m="1" x="174"/>
        <item m="1" x="200"/>
        <item m="1" x="185"/>
        <item m="1" x="187"/>
        <item m="1" x="186"/>
        <item m="1" x="129"/>
        <item m="1" x="192"/>
        <item m="1" x="210"/>
        <item m="1" x="201"/>
        <item m="1" x="208"/>
        <item m="1" x="189"/>
        <item m="1" x="203"/>
        <item m="1" x="216"/>
        <item m="1" x="188"/>
        <item m="1" x="204"/>
        <item m="1" x="195"/>
        <item m="1" x="211"/>
        <item m="1" x="197"/>
        <item m="1" x="221"/>
        <item m="1" x="206"/>
        <item m="1" x="215"/>
        <item m="1" x="71"/>
        <item m="1" x="176"/>
        <item m="1" x="190"/>
        <item m="1" x="207"/>
        <item m="1" x="159"/>
        <item m="1" x="165"/>
        <item m="1" x="161"/>
        <item m="1" x="172"/>
        <item m="1" x="166"/>
        <item m="1" x="171"/>
        <item m="1" x="160"/>
        <item m="1" x="170"/>
        <item m="1" x="162"/>
        <item m="1" x="180"/>
        <item m="1" x="181"/>
        <item m="1" x="177"/>
        <item m="1" x="164"/>
        <item m="1" x="173"/>
        <item m="1" x="102"/>
        <item m="1" x="42"/>
        <item m="1" x="182"/>
        <item m="1" x="158"/>
        <item m="1" x="184"/>
        <item m="1" x="168"/>
        <item m="1" x="163"/>
        <item m="1" x="169"/>
        <item m="1" x="126"/>
        <item m="1" x="178"/>
        <item m="1" x="179"/>
        <item m="1" x="154"/>
        <item m="1" x="183"/>
        <item m="1" x="167"/>
        <item m="1" x="150"/>
        <item m="1" x="115"/>
        <item m="1" x="137"/>
        <item m="1" x="138"/>
        <item m="1" x="98"/>
        <item m="1" x="72"/>
        <item m="1" x="74"/>
        <item m="1" x="139"/>
        <item m="1" x="140"/>
        <item m="1" x="116"/>
        <item m="1" x="141"/>
        <item m="1" x="142"/>
        <item m="1" x="99"/>
        <item m="1" x="143"/>
        <item m="1" x="144"/>
        <item m="1" x="145"/>
        <item m="1" x="134"/>
        <item m="1" x="73"/>
        <item m="1" x="146"/>
        <item m="1" x="147"/>
        <item m="1" x="148"/>
        <item m="1" x="70"/>
        <item m="1" x="149"/>
        <item m="1" x="120"/>
        <item m="1" x="151"/>
        <item m="1" x="152"/>
        <item m="1" x="117"/>
        <item m="1" x="153"/>
        <item m="1" x="155"/>
        <item m="1" x="156"/>
        <item m="1" x="135"/>
        <item m="1" x="157"/>
        <item m="1" x="76"/>
        <item m="1" x="77"/>
        <item m="1" x="78"/>
        <item m="1" x="79"/>
        <item m="1" x="68"/>
        <item m="1" x="57"/>
        <item m="1" x="80"/>
        <item m="1" x="81"/>
        <item m="1" x="82"/>
        <item m="1" x="83"/>
        <item m="1" x="90"/>
        <item m="1" x="91"/>
        <item m="1" x="92"/>
        <item m="1" x="93"/>
        <item m="1" x="94"/>
        <item m="1" x="95"/>
        <item m="1" x="41"/>
        <item m="1" x="96"/>
        <item m="1" x="97"/>
        <item x="28"/>
        <item m="1" x="66"/>
        <item m="1" x="67"/>
        <item m="1" x="75"/>
        <item m="1" x="100"/>
        <item m="1" x="101"/>
        <item m="1" x="69"/>
        <item m="1" x="111"/>
        <item m="1" x="112"/>
        <item m="1" x="113"/>
        <item m="1" x="114"/>
        <item m="1" x="118"/>
        <item m="1" x="119"/>
        <item m="1" x="36"/>
        <item m="1" x="37"/>
        <item m="1" x="39"/>
        <item m="1" x="38"/>
        <item m="1" x="40"/>
        <item m="1" x="45"/>
        <item m="1" x="48"/>
        <item m="1" x="43"/>
        <item m="1" x="46"/>
        <item m="1" x="47"/>
        <item m="1" x="49"/>
        <item m="1" x="44"/>
        <item m="1" x="52"/>
        <item m="1" x="53"/>
        <item m="1" x="50"/>
        <item m="1" x="51"/>
        <item m="1" x="55"/>
        <item m="1" x="54"/>
        <item m="1" x="56"/>
        <item m="1" x="59"/>
        <item m="1" x="62"/>
        <item m="1" x="60"/>
        <item m="1" x="61"/>
        <item m="1" x="63"/>
        <item m="1" x="64"/>
        <item m="1" x="65"/>
        <item x="8"/>
        <item m="1" x="58"/>
        <item x="32"/>
        <item x="15"/>
        <item x="16"/>
        <item x="10"/>
        <item x="22"/>
        <item x="2"/>
        <item x="7"/>
        <item x="1"/>
        <item x="13"/>
        <item x="5"/>
        <item x="23"/>
        <item x="27"/>
        <item x="17"/>
        <item x="18"/>
        <item x="24"/>
        <item x="19"/>
        <item x="33"/>
        <item x="4"/>
        <item x="20"/>
        <item x="3"/>
        <item x="29"/>
        <item x="21"/>
        <item x="12"/>
        <item x="11"/>
        <item x="25"/>
        <item x="26"/>
        <item x="35"/>
        <item x="31"/>
        <item x="34"/>
      </items>
    </pivotField>
    <pivotField compact="0" outline="0" showAll="0"/>
    <pivotField name="Fecha de Inicio" axis="axisRow" compact="0" outline="0" showAll="0" defaultSubtotal="0">
      <items count="1441">
        <item x="412"/>
        <item x="841"/>
        <item x="571"/>
        <item x="669"/>
        <item m="1" x="1123"/>
        <item m="1" x="1125"/>
        <item m="1" x="1092"/>
        <item m="1" x="1113"/>
        <item m="1" x="1249"/>
        <item m="1" x="1099"/>
        <item m="1" x="1122"/>
        <item m="1" x="1084"/>
        <item m="1" x="1111"/>
        <item m="1" x="1093"/>
        <item m="1" x="1399"/>
        <item m="1" x="1114"/>
        <item x="816"/>
        <item m="1" x="1339"/>
        <item m="1" x="1101"/>
        <item m="1" x="1138"/>
        <item m="1" x="1139"/>
        <item m="1" x="1134"/>
        <item m="1" x="1087"/>
        <item m="1" x="1086"/>
        <item m="1" x="1090"/>
        <item m="1" x="1112"/>
        <item m="1" x="1100"/>
        <item m="1" x="1344"/>
        <item m="1" x="1433"/>
        <item m="1" x="1106"/>
        <item x="694"/>
        <item m="1" x="1321"/>
        <item m="1" x="1089"/>
        <item x="488"/>
        <item m="1" x="1270"/>
        <item m="1" x="1115"/>
        <item m="1" x="965"/>
        <item m="1" x="967"/>
        <item m="1" x="942"/>
        <item m="1" x="1342"/>
        <item m="1" x="1107"/>
        <item x="785"/>
        <item m="1" x="1151"/>
        <item m="1" x="1091"/>
        <item x="654"/>
        <item m="1" x="1088"/>
        <item x="613"/>
        <item x="850"/>
        <item m="1" x="1105"/>
        <item m="1" x="955"/>
        <item m="1" x="1097"/>
        <item x="256"/>
        <item x="209"/>
        <item x="614"/>
        <item m="1" x="1400"/>
        <item m="1" x="1431"/>
        <item x="483"/>
        <item m="1" x="953"/>
        <item x="615"/>
        <item m="1" x="952"/>
        <item x="398"/>
        <item x="814"/>
        <item x="498"/>
        <item x="809"/>
        <item x="732"/>
        <item m="1" x="1257"/>
        <item x="754"/>
        <item x="489"/>
        <item m="1" x="1135"/>
        <item m="1" x="1094"/>
        <item m="1" x="1033"/>
        <item x="492"/>
        <item x="224"/>
        <item x="729"/>
        <item m="1" x="1340"/>
        <item m="1" x="1239"/>
        <item m="1" x="1014"/>
        <item m="1" x="1237"/>
        <item x="815"/>
        <item m="1" x="963"/>
        <item m="1" x="1275"/>
        <item m="1" x="1081"/>
        <item x="772"/>
        <item x="250"/>
        <item x="503"/>
        <item m="1" x="1401"/>
        <item x="745"/>
        <item x="522"/>
        <item x="400"/>
        <item m="1" x="1195"/>
        <item x="558"/>
        <item x="688"/>
        <item m="1" x="1403"/>
        <item m="1" x="1277"/>
        <item x="695"/>
        <item x="796"/>
        <item x="570"/>
        <item m="1" x="1119"/>
        <item x="555"/>
        <item x="568"/>
        <item x="561"/>
        <item m="1" x="1406"/>
        <item m="1" x="1108"/>
        <item x="788"/>
        <item x="512"/>
        <item x="740"/>
        <item x="798"/>
        <item x="510"/>
        <item m="1" x="1341"/>
        <item x="734"/>
        <item x="800"/>
        <item x="698"/>
        <item m="1" x="1133"/>
        <item m="1" x="904"/>
        <item m="1" x="1371"/>
        <item m="1" x="929"/>
        <item x="401"/>
        <item x="637"/>
        <item m="1" x="968"/>
        <item m="1" x="1224"/>
        <item x="331"/>
        <item m="1" x="1410"/>
        <item m="1" x="1271"/>
        <item x="829"/>
        <item m="1" x="1253"/>
        <item x="826"/>
        <item x="215"/>
        <item m="1" x="1262"/>
        <item x="795"/>
        <item x="711"/>
        <item m="1" x="1265"/>
        <item m="1" x="991"/>
        <item x="775"/>
        <item x="482"/>
        <item x="493"/>
        <item x="757"/>
        <item x="752"/>
        <item x="556"/>
        <item x="773"/>
        <item m="1" x="1015"/>
        <item m="1" x="933"/>
        <item m="1" x="988"/>
        <item m="1" x="1013"/>
        <item x="797"/>
        <item x="326"/>
        <item m="1" x="1064"/>
        <item x="496"/>
        <item m="1" x="1430"/>
        <item m="1" x="1036"/>
        <item x="491"/>
        <item x="402"/>
        <item x="497"/>
        <item x="776"/>
        <item x="499"/>
        <item x="210"/>
        <item x="477"/>
        <item x="661"/>
        <item x="469"/>
        <item m="1" x="1080"/>
        <item m="1" x="1061"/>
        <item m="1" x="1142"/>
        <item x="487"/>
        <item m="1" x="1027"/>
        <item x="790"/>
        <item m="1" x="1353"/>
        <item x="194"/>
        <item x="567"/>
        <item m="1" x="1317"/>
        <item m="1" x="1160"/>
        <item m="1" x="1149"/>
        <item x="774"/>
        <item m="1" x="1016"/>
        <item m="1" x="1259"/>
        <item m="1" x="1137"/>
        <item m="1" x="1241"/>
        <item m="1" x="984"/>
        <item m="1" x="1294"/>
        <item x="403"/>
        <item x="448"/>
        <item m="1" x="930"/>
        <item x="632"/>
        <item x="702"/>
        <item m="1" x="1315"/>
        <item m="1" x="1248"/>
        <item m="1" x="1219"/>
        <item x="580"/>
        <item x="581"/>
        <item x="404"/>
        <item x="445"/>
        <item x="767"/>
        <item x="367"/>
        <item x="444"/>
        <item x="582"/>
        <item x="368"/>
        <item m="1" x="987"/>
        <item x="717"/>
        <item x="502"/>
        <item x="662"/>
        <item m="1" x="1251"/>
        <item x="583"/>
        <item x="718"/>
        <item x="255"/>
        <item x="584"/>
        <item m="1" x="1161"/>
        <item x="709"/>
        <item m="1" x="1250"/>
        <item m="1" x="1254"/>
        <item x="760"/>
        <item m="1" x="985"/>
        <item x="449"/>
        <item m="1" x="970"/>
        <item x="631"/>
        <item x="585"/>
        <item m="1" x="1168"/>
        <item x="450"/>
        <item m="1" x="1246"/>
        <item m="1" x="1242"/>
        <item x="794"/>
        <item x="586"/>
        <item x="565"/>
        <item x="834"/>
        <item x="500"/>
        <item x="707"/>
        <item x="587"/>
        <item x="588"/>
        <item x="466"/>
        <item x="451"/>
        <item x="655"/>
        <item x="844"/>
        <item m="1" x="926"/>
        <item m="1" x="1170"/>
        <item m="1" x="1260"/>
        <item m="1" x="1247"/>
        <item x="719"/>
        <item x="333"/>
        <item x="653"/>
        <item m="1" x="1350"/>
        <item m="1" x="1264"/>
        <item m="1" x="1280"/>
        <item m="1" x="1204"/>
        <item m="1" x="1258"/>
        <item x="759"/>
        <item m="1" x="1361"/>
        <item m="1" x="1351"/>
        <item x="324"/>
        <item m="1" x="1232"/>
        <item m="1" x="1008"/>
        <item m="1" x="1096"/>
        <item m="1" x="1324"/>
        <item m="1" x="1363"/>
        <item x="494"/>
        <item x="369"/>
        <item x="674"/>
        <item m="1" x="999"/>
        <item m="1" x="1349"/>
        <item x="708"/>
        <item x="817"/>
        <item m="1" x="1329"/>
        <item m="1" x="1331"/>
        <item m="1" x="1428"/>
        <item x="334"/>
        <item m="1" x="1334"/>
        <item x="535"/>
        <item m="1" x="1073"/>
        <item m="1" x="1147"/>
        <item m="1" x="1325"/>
        <item m="1" x="1345"/>
        <item x="569"/>
        <item x="405"/>
        <item x="701"/>
        <item m="1" x="1322"/>
        <item x="347"/>
        <item x="216"/>
        <item x="536"/>
        <item m="1" x="1034"/>
        <item x="692"/>
        <item x="665"/>
        <item x="666"/>
        <item m="1" x="994"/>
        <item x="667"/>
        <item m="1" x="1398"/>
        <item x="706"/>
        <item x="804"/>
        <item m="1" x="934"/>
        <item m="1" x="887"/>
        <item m="1" x="943"/>
        <item m="1" x="1188"/>
        <item x="675"/>
        <item x="827"/>
        <item x="236"/>
        <item x="835"/>
        <item x="563"/>
        <item m="1" x="1407"/>
        <item x="291"/>
        <item m="1" x="1437"/>
        <item x="643"/>
        <item m="1" x="936"/>
        <item x="638"/>
        <item x="668"/>
        <item x="446"/>
        <item m="1" x="1415"/>
        <item m="1" x="1169"/>
        <item m="1" x="1261"/>
        <item x="778"/>
        <item m="1" x="877"/>
        <item x="837"/>
        <item m="1" x="923"/>
        <item x="589"/>
        <item x="644"/>
        <item x="157"/>
        <item m="1" x="1006"/>
        <item m="1" x="1267"/>
        <item m="1" x="1421"/>
        <item m="1" x="1256"/>
        <item m="1" x="1337"/>
        <item m="1" x="927"/>
        <item m="1" x="961"/>
        <item m="1" x="1438"/>
        <item x="720"/>
        <item x="452"/>
        <item x="370"/>
        <item m="1" x="1001"/>
        <item x="371"/>
        <item x="158"/>
        <item x="513"/>
        <item m="1" x="1010"/>
        <item x="159"/>
        <item m="1" x="935"/>
        <item m="1" x="1216"/>
        <item m="1" x="1374"/>
        <item m="1" x="1243"/>
        <item m="1" x="1332"/>
        <item x="714"/>
        <item m="1" x="1223"/>
        <item m="1" x="1209"/>
        <item x="704"/>
        <item m="1" x="1229"/>
        <item m="1" x="917"/>
        <item x="758"/>
        <item x="447"/>
        <item m="1" x="869"/>
        <item m="1" x="1328"/>
        <item x="828"/>
        <item m="1" x="1393"/>
        <item m="1" x="1012"/>
        <item m="1" x="1276"/>
        <item m="1" x="1063"/>
        <item m="1" x="1203"/>
        <item x="802"/>
        <item x="484"/>
        <item x="792"/>
        <item x="590"/>
        <item m="1" x="1227"/>
        <item m="1" x="881"/>
        <item x="779"/>
        <item m="1" x="1392"/>
        <item x="831"/>
        <item x="824"/>
        <item x="821"/>
        <item x="849"/>
        <item x="408"/>
        <item m="1" x="1424"/>
        <item x="690"/>
        <item m="1" x="1440"/>
        <item x="517"/>
        <item x="633"/>
        <item x="213"/>
        <item m="1" x="1439"/>
        <item m="1" x="1383"/>
        <item x="703"/>
        <item m="1" x="924"/>
        <item m="1" x="1380"/>
        <item m="1" x="1379"/>
        <item x="656"/>
        <item m="1" x="1375"/>
        <item m="1" x="1394"/>
        <item x="636"/>
        <item x="641"/>
        <item x="591"/>
        <item m="1" x="1116"/>
        <item m="1" x="998"/>
        <item x="337"/>
        <item m="1" x="1373"/>
        <item m="1" x="1336"/>
        <item m="1" x="1120"/>
        <item m="1" x="1390"/>
        <item m="1" x="1333"/>
        <item m="1" x="1429"/>
        <item m="1" x="959"/>
        <item x="372"/>
        <item m="1" x="1205"/>
        <item m="1" x="1362"/>
        <item m="1" x="958"/>
        <item m="1" x="1198"/>
        <item m="1" x="980"/>
        <item m="1" x="1082"/>
        <item x="373"/>
        <item x="253"/>
        <item m="1" x="1220"/>
        <item x="338"/>
        <item m="1" x="1384"/>
        <item x="645"/>
        <item x="292"/>
        <item x="651"/>
        <item x="374"/>
        <item x="693"/>
        <item x="293"/>
        <item x="537"/>
        <item m="1" x="1053"/>
        <item m="1" x="976"/>
        <item x="211"/>
        <item m="1" x="1311"/>
        <item x="696"/>
        <item x="566"/>
        <item x="755"/>
        <item m="1" x="1352"/>
        <item m="1" x="1297"/>
        <item x="436"/>
        <item m="1" x="1159"/>
        <item x="480"/>
        <item x="739"/>
        <item x="676"/>
        <item m="1" x="1157"/>
        <item x="801"/>
        <item m="1" x="1077"/>
        <item x="375"/>
        <item x="442"/>
        <item m="1" x="1318"/>
        <item m="1" x="920"/>
        <item x="780"/>
        <item x="342"/>
        <item m="1" x="1244"/>
        <item m="1" x="1127"/>
        <item m="1" x="921"/>
        <item m="1" x="1359"/>
        <item x="639"/>
        <item x="825"/>
        <item m="1" x="1269"/>
        <item x="799"/>
        <item m="1" x="962"/>
        <item m="1" x="1273"/>
        <item m="1" x="1330"/>
        <item x="335"/>
        <item m="1" x="1225"/>
        <item x="564"/>
        <item x="748"/>
        <item m="1" x="1217"/>
        <item m="1" x="1381"/>
        <item m="1" x="1019"/>
        <item x="58"/>
        <item x="501"/>
        <item m="1" x="1266"/>
        <item x="750"/>
        <item m="1" x="1319"/>
        <item x="358"/>
        <item m="1" x="992"/>
        <item x="406"/>
        <item x="538"/>
        <item x="294"/>
        <item x="812"/>
        <item m="1" x="1285"/>
        <item m="1" x="1002"/>
        <item x="345"/>
        <item m="1" x="1316"/>
        <item m="1" x="1179"/>
        <item m="1" x="1347"/>
        <item m="1" x="1162"/>
        <item m="1" x="1222"/>
        <item x="572"/>
        <item m="1" x="871"/>
        <item m="1" x="1131"/>
        <item m="1" x="966"/>
        <item x="295"/>
        <item x="592"/>
        <item x="409"/>
        <item x="593"/>
        <item m="1" x="1206"/>
        <item m="1" x="1117"/>
        <item m="1" x="1282"/>
        <item x="791"/>
        <item x="212"/>
        <item m="1" x="880"/>
        <item m="1" x="1283"/>
        <item m="1" x="964"/>
        <item m="1" x="1213"/>
        <item x="712"/>
        <item x="793"/>
        <item m="1" x="1312"/>
        <item m="1" x="873"/>
        <item x="646"/>
        <item x="768"/>
        <item m="1" x="1268"/>
        <item m="1" x="1233"/>
        <item m="1" x="1338"/>
        <item x="648"/>
        <item x="438"/>
        <item m="1" x="969"/>
        <item x="117"/>
        <item x="577"/>
        <item x="539"/>
        <item x="710"/>
        <item x="715"/>
        <item m="1" x="1255"/>
        <item x="670"/>
        <item m="1" x="1240"/>
        <item x="647"/>
        <item x="511"/>
        <item m="1" x="1427"/>
        <item m="1" x="1292"/>
        <item m="1" x="1310"/>
        <item m="1" x="996"/>
        <item x="700"/>
        <item x="594"/>
        <item m="1" x="995"/>
        <item x="705"/>
        <item m="1" x="1423"/>
        <item m="1" x="1191"/>
        <item m="1" x="1404"/>
        <item x="549"/>
        <item x="839"/>
        <item x="685"/>
        <item x="312"/>
        <item m="1" x="1228"/>
        <item x="296"/>
        <item m="1" x="1003"/>
        <item x="545"/>
        <item m="1" x="1231"/>
        <item x="808"/>
        <item m="1" x="1193"/>
        <item x="340"/>
        <item m="1" x="937"/>
        <item x="160"/>
        <item x="330"/>
        <item m="1" x="1130"/>
        <item m="1" x="1202"/>
        <item x="254"/>
        <item m="1" x="1412"/>
        <item m="1" x="1201"/>
        <item x="851"/>
        <item m="1" x="1417"/>
        <item m="1" x="1029"/>
        <item m="1" x="878"/>
        <item x="595"/>
        <item m="1" x="922"/>
        <item x="320"/>
        <item x="297"/>
        <item m="1" x="1153"/>
        <item x="659"/>
        <item m="1" x="1395"/>
        <item x="721"/>
        <item m="1" x="1212"/>
        <item m="1" x="1214"/>
        <item m="1" x="1144"/>
        <item x="769"/>
        <item m="1" x="1180"/>
        <item m="1" x="870"/>
        <item x="813"/>
        <item x="540"/>
        <item x="523"/>
        <item x="852"/>
        <item m="1" x="1051"/>
        <item m="1" x="1121"/>
        <item m="1" x="1043"/>
        <item m="1" x="867"/>
        <item x="596"/>
        <item x="551"/>
        <item m="1" x="866"/>
        <item x="830"/>
        <item m="1" x="1164"/>
        <item m="1" x="1235"/>
        <item m="1" x="1140"/>
        <item x="649"/>
        <item x="597"/>
        <item x="833"/>
        <item x="336"/>
        <item x="519"/>
        <item x="853"/>
        <item m="1" x="1148"/>
        <item m="1" x="1109"/>
        <item x="161"/>
        <item m="1" x="1313"/>
        <item m="1" x="1252"/>
        <item m="1" x="1174"/>
        <item m="1" x="1182"/>
        <item m="1" x="1009"/>
        <item m="1" x="1422"/>
        <item m="1" x="1226"/>
        <item x="840"/>
        <item x="854"/>
        <item m="1" x="1409"/>
        <item m="1" x="1074"/>
        <item x="832"/>
        <item m="1" x="1386"/>
        <item x="332"/>
        <item m="1" x="1405"/>
        <item m="1" x="1154"/>
        <item m="1" x="989"/>
        <item x="783"/>
        <item x="562"/>
        <item m="1" x="1426"/>
        <item m="1" x="1385"/>
        <item x="630"/>
        <item m="1" x="889"/>
        <item m="1" x="885"/>
        <item m="1" x="1378"/>
        <item x="298"/>
        <item m="1" x="1126"/>
        <item x="855"/>
        <item m="1" x="882"/>
        <item m="1" x="971"/>
        <item m="1" x="872"/>
        <item m="1" x="997"/>
        <item x="578"/>
        <item m="1" x="1234"/>
        <item m="1" x="1007"/>
        <item m="1" x="1326"/>
        <item m="1" x="1323"/>
        <item m="1" x="1004"/>
        <item x="299"/>
        <item m="1" x="1377"/>
        <item m="1" x="1194"/>
        <item m="1" x="1211"/>
        <item m="1" x="1436"/>
        <item x="862"/>
        <item x="598"/>
        <item m="1" x="1425"/>
        <item x="376"/>
        <item m="1" x="1281"/>
        <item m="1" x="1011"/>
        <item x="231"/>
        <item x="650"/>
        <item x="377"/>
        <item m="1" x="1145"/>
        <item m="1" x="886"/>
        <item x="713"/>
        <item x="74"/>
        <item x="722"/>
        <item m="1" x="1072"/>
        <item m="1" x="1389"/>
        <item x="781"/>
        <item x="226"/>
        <item x="509"/>
        <item x="470"/>
        <item x="343"/>
        <item x="217"/>
        <item x="599"/>
        <item m="1" x="1263"/>
        <item x="807"/>
        <item x="803"/>
        <item x="175"/>
        <item x="600"/>
        <item x="746"/>
        <item x="341"/>
        <item m="1" x="1376"/>
        <item m="1" x="1041"/>
        <item m="1" x="1183"/>
        <item x="747"/>
        <item x="541"/>
        <item x="601"/>
        <item x="197"/>
        <item m="1" x="940"/>
        <item m="1" x="982"/>
        <item m="1" x="876"/>
        <item x="664"/>
        <item x="602"/>
        <item x="378"/>
        <item x="603"/>
        <item m="1" x="1067"/>
        <item x="671"/>
        <item x="379"/>
        <item m="1" x="1288"/>
        <item m="1" x="1408"/>
        <item m="1" x="972"/>
        <item m="1" x="903"/>
        <item m="1" x="1175"/>
        <item x="723"/>
        <item m="1" x="931"/>
        <item x="453"/>
        <item m="1" x="912"/>
        <item x="454"/>
        <item x="455"/>
        <item m="1" x="1062"/>
        <item m="1" x="1414"/>
        <item x="485"/>
        <item x="744"/>
        <item m="1" x="993"/>
        <item m="1" x="1382"/>
        <item x="724"/>
        <item m="1" x="1284"/>
        <item x="266"/>
        <item x="456"/>
        <item x="418"/>
        <item x="749"/>
        <item x="838"/>
        <item x="604"/>
        <item x="72"/>
        <item x="457"/>
        <item x="605"/>
        <item m="1" x="1042"/>
        <item x="629"/>
        <item m="1" x="1419"/>
        <item m="1" x="939"/>
        <item m="1" x="1360"/>
        <item m="1" x="1181"/>
        <item x="458"/>
        <item m="1" x="1274"/>
        <item x="753"/>
        <item m="1" x="960"/>
        <item m="1" x="1218"/>
        <item x="575"/>
        <item x="836"/>
        <item x="624"/>
        <item x="237"/>
        <item x="380"/>
        <item m="1" x="919"/>
        <item x="514"/>
        <item x="625"/>
        <item x="811"/>
        <item m="1" x="913"/>
        <item m="1" x="1411"/>
        <item x="606"/>
        <item m="1" x="906"/>
        <item x="520"/>
        <item m="1" x="1057"/>
        <item m="1" x="907"/>
        <item m="1" x="1358"/>
        <item m="1" x="914"/>
        <item m="1" x="1129"/>
        <item m="1" x="1434"/>
        <item m="1" x="1327"/>
        <item m="1" x="941"/>
        <item x="381"/>
        <item x="428"/>
        <item x="251"/>
        <item m="1" x="1005"/>
        <item x="847"/>
        <item x="382"/>
        <item x="43"/>
        <item m="1" x="879"/>
        <item x="736"/>
        <item m="1" x="1210"/>
        <item x="618"/>
        <item m="1" x="868"/>
        <item x="699"/>
        <item m="1" x="1056"/>
        <item x="346"/>
        <item x="427"/>
        <item x="459"/>
        <item m="1" x="1104"/>
        <item x="735"/>
        <item x="220"/>
        <item x="252"/>
        <item m="1" x="908"/>
        <item x="339"/>
        <item x="507"/>
        <item x="547"/>
        <item x="697"/>
        <item x="162"/>
        <item x="383"/>
        <item x="233"/>
        <item x="218"/>
        <item x="419"/>
        <item x="777"/>
        <item x="546"/>
        <item x="490"/>
        <item m="1" x="1167"/>
        <item x="548"/>
        <item m="1" x="894"/>
        <item x="300"/>
        <item m="1" x="864"/>
        <item m="1" x="1031"/>
        <item x="301"/>
        <item x="576"/>
        <item x="311"/>
        <item x="770"/>
        <item m="1" x="1040"/>
        <item m="1" x="909"/>
        <item m="1" x="1314"/>
        <item x="206"/>
        <item x="508"/>
        <item x="467"/>
        <item m="1" x="954"/>
        <item x="196"/>
        <item m="1" x="1000"/>
        <item x="607"/>
        <item m="1" x="1413"/>
        <item m="1" x="1118"/>
        <item x="504"/>
        <item m="1" x="1200"/>
        <item x="344"/>
        <item x="842"/>
        <item m="1" x="895"/>
        <item m="1" x="1065"/>
        <item m="1" x="1021"/>
        <item m="1" x="981"/>
        <item m="1" x="986"/>
        <item x="219"/>
        <item m="1" x="1301"/>
        <item m="1" x="1066"/>
        <item x="845"/>
        <item m="1" x="1356"/>
        <item x="227"/>
        <item m="1" x="893"/>
        <item m="1" x="910"/>
        <item m="1" x="1432"/>
        <item m="1" x="1025"/>
        <item m="1" x="911"/>
        <item x="281"/>
        <item x="560"/>
        <item m="1" x="918"/>
        <item m="1" x="1047"/>
        <item x="234"/>
        <item m="1" x="1207"/>
        <item x="635"/>
        <item x="328"/>
        <item m="1" x="915"/>
        <item m="1" x="990"/>
        <item x="461"/>
        <item x="241"/>
        <item x="302"/>
        <item x="327"/>
        <item x="173"/>
        <item x="329"/>
        <item x="290"/>
        <item x="284"/>
        <item m="1" x="1396"/>
        <item m="1" x="1208"/>
        <item x="460"/>
        <item m="1" x="1049"/>
        <item x="163"/>
        <item x="751"/>
        <item x="533"/>
        <item m="1" x="1238"/>
        <item m="1" x="1230"/>
        <item x="260"/>
        <item x="478"/>
        <item m="1" x="865"/>
        <item x="528"/>
        <item x="167"/>
        <item x="73"/>
        <item x="559"/>
        <item x="534"/>
        <item m="1" x="1083"/>
        <item x="118"/>
        <item x="214"/>
        <item x="856"/>
        <item m="1" x="1402"/>
        <item m="1" x="944"/>
        <item x="532"/>
        <item x="238"/>
        <item x="495"/>
        <item x="222"/>
        <item m="1" x="1335"/>
        <item x="468"/>
        <item x="198"/>
        <item x="221"/>
        <item x="257"/>
        <item x="506"/>
        <item x="443"/>
        <item x="24"/>
        <item x="384"/>
        <item x="156"/>
        <item x="691"/>
        <item m="1" x="1364"/>
        <item m="1" x="1058"/>
        <item m="1" x="1189"/>
        <item m="1" x="1190"/>
        <item x="59"/>
        <item m="1" x="1020"/>
        <item x="622"/>
        <item x="223"/>
        <item x="322"/>
        <item x="119"/>
        <item x="672"/>
        <item m="1" x="1018"/>
        <item x="39"/>
        <item x="174"/>
        <item x="108"/>
        <item m="1" x="1348"/>
        <item m="1" x="949"/>
        <item m="1" x="896"/>
        <item x="69"/>
        <item x="323"/>
        <item m="1" x="1278"/>
        <item m="1" x="1152"/>
        <item x="109"/>
        <item m="1" x="1416"/>
        <item m="1" x="1035"/>
        <item x="208"/>
        <item m="1" x="899"/>
        <item x="131"/>
        <item m="1" x="1221"/>
        <item m="1" x="948"/>
        <item m="1" x="1037"/>
        <item x="680"/>
        <item m="1" x="897"/>
        <item m="1" x="1070"/>
        <item m="1" x="1028"/>
        <item x="321"/>
        <item x="325"/>
        <item m="1" x="890"/>
        <item m="1" x="1022"/>
        <item x="608"/>
        <item m="1" x="1050"/>
        <item x="782"/>
        <item m="1" x="1287"/>
        <item x="303"/>
        <item x="663"/>
        <item x="743"/>
        <item m="1" x="898"/>
        <item x="725"/>
        <item x="609"/>
        <item x="524"/>
        <item m="1" x="1420"/>
        <item x="44"/>
        <item x="225"/>
        <item x="679"/>
        <item m="1" x="884"/>
        <item x="235"/>
        <item m="1" x="1039"/>
        <item x="846"/>
        <item x="60"/>
        <item x="31"/>
        <item x="71"/>
        <item x="164"/>
        <item x="385"/>
        <item x="386"/>
        <item x="319"/>
        <item x="387"/>
        <item x="726"/>
        <item x="364"/>
        <item x="579"/>
        <item x="166"/>
        <item x="165"/>
        <item x="756"/>
        <item x="316"/>
        <item x="362"/>
        <item x="366"/>
        <item x="462"/>
        <item x="388"/>
        <item x="619"/>
        <item x="761"/>
        <item x="228"/>
        <item x="610"/>
        <item x="304"/>
        <item x="61"/>
        <item m="1" x="1052"/>
        <item x="361"/>
        <item x="433"/>
        <item m="1" x="900"/>
        <item x="229"/>
        <item x="62"/>
        <item x="848"/>
        <item x="279"/>
        <item x="465"/>
        <item m="1" x="863"/>
        <item x="57"/>
        <item x="6"/>
        <item x="687"/>
        <item x="102"/>
        <item x="32"/>
        <item m="1" x="901"/>
        <item m="1" x="1293"/>
        <item x="363"/>
        <item x="54"/>
        <item x="305"/>
        <item m="1" x="1176"/>
        <item x="727"/>
        <item m="1" x="1192"/>
        <item m="1" x="1435"/>
        <item x="557"/>
        <item x="810"/>
        <item m="1" x="925"/>
        <item x="515"/>
        <item x="287"/>
        <item m="1" x="1391"/>
        <item x="120"/>
        <item m="1" x="1290"/>
        <item m="1" x="947"/>
        <item m="1" x="902"/>
        <item m="1" x="1071"/>
        <item x="435"/>
        <item x="857"/>
        <item m="1" x="1236"/>
        <item x="275"/>
        <item m="1" x="905"/>
        <item m="1" x="1124"/>
        <item x="858"/>
        <item m="1" x="1030"/>
        <item x="463"/>
        <item x="516"/>
        <item m="1" x="1418"/>
        <item x="634"/>
        <item x="439"/>
        <item x="317"/>
        <item x="33"/>
        <item x="389"/>
        <item x="426"/>
        <item x="259"/>
        <item x="550"/>
        <item x="315"/>
        <item x="859"/>
        <item x="741"/>
        <item x="318"/>
        <item x="70"/>
        <item x="365"/>
        <item m="1" x="1055"/>
        <item x="689"/>
        <item x="85"/>
        <item m="1" x="945"/>
        <item x="351"/>
        <item x="530"/>
        <item x="84"/>
        <item m="1" x="1397"/>
        <item x="273"/>
        <item m="1" x="938"/>
        <item x="350"/>
        <item x="272"/>
        <item m="1" x="1132"/>
        <item m="1" x="1291"/>
        <item m="1" x="1102"/>
        <item m="1" x="1165"/>
        <item m="1" x="1095"/>
        <item m="1" x="1387"/>
        <item m="1" x="1150"/>
        <item m="1" x="1166"/>
        <item m="1" x="1388"/>
        <item m="1" x="1098"/>
        <item m="1" x="1085"/>
        <item x="232"/>
        <item m="1" x="1354"/>
        <item m="1" x="1355"/>
        <item m="1" x="1357"/>
        <item m="1" x="975"/>
        <item m="1" x="1185"/>
        <item m="1" x="1346"/>
        <item m="1" x="1300"/>
        <item x="621"/>
        <item m="1" x="1215"/>
        <item x="130"/>
        <item x="121"/>
        <item x="531"/>
        <item x="552"/>
        <item x="83"/>
        <item x="683"/>
        <item x="525"/>
        <item m="1" x="977"/>
        <item x="420"/>
        <item m="1" x="1024"/>
        <item x="352"/>
        <item m="1" x="979"/>
        <item x="360"/>
        <item x="805"/>
        <item x="789"/>
        <item x="249"/>
        <item x="306"/>
        <item m="1" x="1197"/>
        <item x="617"/>
        <item m="1" x="892"/>
        <item x="518"/>
        <item x="390"/>
        <item m="1" x="950"/>
        <item m="1" x="1343"/>
        <item m="1" x="1158"/>
        <item x="553"/>
        <item m="1" x="1365"/>
        <item m="1" x="1366"/>
        <item m="1" x="1367"/>
        <item m="1" x="951"/>
        <item m="1" x="1368"/>
        <item m="1" x="1369"/>
        <item m="1" x="1370"/>
        <item m="1" x="1320"/>
        <item m="1" x="1372"/>
        <item x="313"/>
        <item m="1" x="946"/>
        <item m="1" x="1060"/>
        <item x="230"/>
        <item x="505"/>
        <item x="542"/>
        <item x="110"/>
        <item x="391"/>
        <item x="806"/>
        <item x="274"/>
        <item x="678"/>
        <item m="1" x="874"/>
        <item x="543"/>
        <item x="269"/>
        <item x="737"/>
        <item x="423"/>
        <item x="63"/>
        <item x="289"/>
        <item m="1" x="932"/>
        <item m="1" x="1146"/>
        <item m="1" x="1173"/>
        <item m="1" x="1289"/>
        <item m="1" x="1143"/>
        <item x="267"/>
        <item m="1" x="916"/>
        <item x="349"/>
        <item x="307"/>
        <item x="626"/>
        <item m="1" x="973"/>
        <item m="1" x="1199"/>
        <item x="392"/>
        <item m="1" x="1136"/>
        <item m="1" x="1295"/>
        <item m="1" x="1298"/>
        <item m="1" x="1103"/>
        <item m="1" x="1296"/>
        <item x="554"/>
        <item x="544"/>
        <item m="1" x="1128"/>
        <item m="1" x="1245"/>
        <item m="1" x="1286"/>
        <item x="68"/>
        <item m="1" x="1187"/>
        <item x="41"/>
        <item x="75"/>
        <item m="1" x="1059"/>
        <item x="122"/>
        <item x="242"/>
        <item x="282"/>
        <item x="416"/>
        <item x="410"/>
        <item x="314"/>
        <item x="176"/>
        <item x="677"/>
        <item x="823"/>
        <item x="422"/>
        <item x="248"/>
        <item x="434"/>
        <item x="47"/>
        <item x="527"/>
        <item x="138"/>
        <item x="264"/>
        <item x="67"/>
        <item x="440"/>
        <item m="1" x="1178"/>
        <item x="417"/>
        <item m="1" x="1032"/>
        <item x="529"/>
        <item m="1" x="1302"/>
        <item m="1" x="1303"/>
        <item m="1" x="1304"/>
        <item m="1" x="1305"/>
        <item m="1" x="1306"/>
        <item m="1" x="1307"/>
        <item m="1" x="1044"/>
        <item m="1" x="1076"/>
        <item x="742"/>
        <item m="1" x="1110"/>
        <item m="1" x="1299"/>
        <item m="1" x="1272"/>
        <item x="393"/>
        <item x="730"/>
        <item x="397"/>
        <item x="612"/>
        <item x="731"/>
        <item m="1" x="1141"/>
        <item m="1" x="1155"/>
        <item x="399"/>
        <item x="733"/>
        <item x="616"/>
        <item x="116"/>
        <item x="407"/>
        <item m="1" x="1186"/>
        <item m="1" x="1177"/>
        <item m="1" x="1308"/>
        <item m="1" x="1309"/>
        <item m="1" x="983"/>
        <item x="425"/>
        <item x="10"/>
        <item x="738"/>
        <item x="657"/>
        <item x="472"/>
        <item x="611"/>
        <item m="1" x="1045"/>
        <item x="134"/>
        <item x="48"/>
        <item x="177"/>
        <item m="1" x="1172"/>
        <item m="1" x="1171"/>
        <item x="359"/>
        <item x="133"/>
        <item x="205"/>
        <item x="471"/>
        <item x="178"/>
        <item x="573"/>
        <item x="771"/>
        <item x="200"/>
        <item x="673"/>
        <item m="1" x="1079"/>
        <item x="784"/>
        <item x="843"/>
        <item x="11"/>
        <item x="309"/>
        <item x="56"/>
        <item m="1" x="928"/>
        <item x="526"/>
        <item x="265"/>
        <item x="308"/>
        <item x="12"/>
        <item x="421"/>
        <item m="1" x="1156"/>
        <item m="1" x="1046"/>
        <item m="1" x="1048"/>
        <item x="76"/>
        <item x="413"/>
        <item x="168"/>
        <item m="1" x="1279"/>
        <item x="261"/>
        <item x="79"/>
        <item x="78"/>
        <item x="45"/>
        <item x="414"/>
        <item x="244"/>
        <item x="258"/>
        <item x="394"/>
        <item x="81"/>
        <item x="424"/>
        <item x="348"/>
        <item x="195"/>
        <item x="104"/>
        <item x="82"/>
        <item x="13"/>
        <item x="42"/>
        <item x="623"/>
        <item x="285"/>
        <item x="819"/>
        <item x="80"/>
        <item x="686"/>
        <item x="77"/>
        <item m="1" x="1069"/>
        <item x="521"/>
        <item m="1" x="1196"/>
        <item x="86"/>
        <item m="1" x="978"/>
        <item x="353"/>
        <item x="716"/>
        <item x="169"/>
        <item x="144"/>
        <item x="123"/>
        <item x="170"/>
        <item x="354"/>
        <item x="202"/>
        <item x="141"/>
        <item x="34"/>
        <item x="199"/>
        <item x="262"/>
        <item x="822"/>
        <item x="681"/>
        <item x="143"/>
        <item x="23"/>
        <item x="64"/>
        <item x="65"/>
        <item x="87"/>
        <item m="1" x="1184"/>
        <item x="286"/>
        <item x="127"/>
        <item x="766"/>
        <item m="1" x="974"/>
        <item x="179"/>
        <item m="1" x="875"/>
        <item x="620"/>
        <item x="129"/>
        <item x="288"/>
        <item x="89"/>
        <item x="415"/>
        <item x="473"/>
        <item x="243"/>
        <item x="35"/>
        <item x="139"/>
        <item x="180"/>
        <item x="181"/>
        <item x="277"/>
        <item x="820"/>
        <item m="1" x="1078"/>
        <item x="429"/>
        <item x="124"/>
        <item x="270"/>
        <item x="684"/>
        <item x="660"/>
        <item m="1" x="1075"/>
        <item x="46"/>
        <item x="132"/>
        <item x="276"/>
        <item m="1" x="1023"/>
        <item x="88"/>
        <item x="154"/>
        <item m="1" x="883"/>
        <item x="765"/>
        <item m="1" x="1163"/>
        <item x="268"/>
        <item x="441"/>
        <item x="5"/>
        <item x="411"/>
        <item m="1" x="1068"/>
        <item x="147"/>
        <item x="183"/>
        <item x="14"/>
        <item x="182"/>
        <item x="135"/>
        <item x="860"/>
        <item x="19"/>
        <item x="90"/>
        <item x="191"/>
        <item x="278"/>
        <item x="486"/>
        <item x="111"/>
        <item x="112"/>
        <item x="395"/>
        <item x="430"/>
        <item x="437"/>
        <item x="15"/>
        <item x="55"/>
        <item x="40"/>
        <item x="280"/>
        <item x="107"/>
        <item m="1" x="957"/>
        <item x="479"/>
        <item x="355"/>
        <item x="431"/>
        <item x="125"/>
        <item x="475"/>
        <item x="283"/>
        <item x="114"/>
        <item x="106"/>
        <item x="16"/>
        <item x="1"/>
        <item x="52"/>
        <item x="25"/>
        <item x="762"/>
        <item x="152"/>
        <item x="184"/>
        <item x="142"/>
        <item x="91"/>
        <item x="92"/>
        <item x="113"/>
        <item x="185"/>
        <item x="149"/>
        <item x="245"/>
        <item x="246"/>
        <item x="271"/>
        <item m="1" x="1054"/>
        <item x="356"/>
        <item m="1" x="1026"/>
        <item x="190"/>
        <item m="1" x="1038"/>
        <item x="861"/>
        <item x="763"/>
        <item x="764"/>
        <item x="818"/>
        <item x="2"/>
        <item x="20"/>
        <item x="26"/>
        <item x="36"/>
        <item x="239"/>
        <item x="128"/>
        <item x="38"/>
        <item x="50"/>
        <item x="93"/>
        <item x="18"/>
        <item x="94"/>
        <item x="95"/>
        <item x="96"/>
        <item x="153"/>
        <item x="140"/>
        <item x="150"/>
        <item x="148"/>
        <item x="126"/>
        <item x="640"/>
        <item x="240"/>
        <item x="17"/>
        <item x="310"/>
        <item x="396"/>
        <item x="136"/>
        <item x="574"/>
        <item x="628"/>
        <item x="642"/>
        <item x="682"/>
        <item x="0"/>
        <item x="171"/>
        <item x="151"/>
        <item x="145"/>
        <item x="49"/>
        <item x="8"/>
        <item x="7"/>
        <item x="203"/>
        <item x="652"/>
        <item x="432"/>
        <item x="201"/>
        <item x="98"/>
        <item x="21"/>
        <item x="105"/>
        <item x="27"/>
        <item x="192"/>
        <item m="1" x="888"/>
        <item x="99"/>
        <item x="53"/>
        <item x="97"/>
        <item x="51"/>
        <item x="476"/>
        <item x="193"/>
        <item x="22"/>
        <item m="1" x="891"/>
        <item x="658"/>
        <item x="247"/>
        <item x="627"/>
        <item x="3"/>
        <item m="1" x="1017"/>
        <item x="4"/>
        <item m="1" x="956"/>
        <item x="37"/>
        <item x="30"/>
        <item x="188"/>
        <item x="155"/>
        <item x="100"/>
        <item x="137"/>
        <item x="464"/>
        <item x="9"/>
        <item x="172"/>
        <item x="263"/>
        <item x="186"/>
        <item x="103"/>
        <item x="101"/>
        <item x="187"/>
        <item x="474"/>
        <item x="115"/>
        <item x="28"/>
        <item x="357"/>
        <item x="29"/>
        <item x="189"/>
        <item x="204"/>
        <item x="66"/>
        <item x="207"/>
        <item x="481"/>
        <item x="146"/>
        <item x="786"/>
        <item x="787"/>
        <item x="728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3">
        <item x="1"/>
        <item x="0"/>
        <item m="1" x="2"/>
      </items>
    </pivotField>
    <pivotField compact="0" numFmtId="43" outline="0" showAll="0"/>
    <pivotField axis="axisRow" compact="0" outline="0" showAll="0" defaultSubtotal="0">
      <items count="60">
        <item x="5"/>
        <item x="0"/>
        <item x="1"/>
        <item x="4"/>
        <item x="2"/>
        <item x="3"/>
        <item x="13"/>
        <item x="7"/>
        <item x="10"/>
        <item x="6"/>
        <item x="8"/>
        <item x="9"/>
        <item x="12"/>
        <item x="11"/>
        <item x="19"/>
        <item x="15"/>
        <item x="20"/>
        <item x="16"/>
        <item x="14"/>
        <item x="18"/>
        <item x="17"/>
        <item x="21"/>
        <item x="22"/>
        <item x="24"/>
        <item x="23"/>
        <item x="26"/>
        <item x="28"/>
        <item x="27"/>
        <item x="31"/>
        <item x="30"/>
        <item x="29"/>
        <item x="25"/>
        <item x="39"/>
        <item x="35"/>
        <item x="33"/>
        <item x="36"/>
        <item x="40"/>
        <item x="32"/>
        <item x="37"/>
        <item x="34"/>
        <item x="38"/>
        <item x="41"/>
        <item x="47"/>
        <item x="45"/>
        <item x="48"/>
        <item x="43"/>
        <item x="44"/>
        <item x="49"/>
        <item x="46"/>
        <item x="50"/>
        <item x="52"/>
        <item m="1" x="58"/>
        <item x="54"/>
        <item x="51"/>
        <item m="1" x="59"/>
        <item x="42"/>
        <item m="1" x="56"/>
        <item m="1" x="57"/>
        <item x="53"/>
        <item x="55"/>
      </items>
    </pivotField>
    <pivotField axis="axisRow" compact="0" outline="0" showAll="0" defaultSubtotal="0">
      <items count="8">
        <item x="0"/>
        <item x="1"/>
        <item x="2"/>
        <item x="3"/>
        <item x="4"/>
        <item x="5"/>
        <item x="6"/>
        <item m="1" x="7"/>
      </items>
    </pivotField>
    <pivotField compact="0" outline="0" showAll="0"/>
    <pivotField name="Distrito" axis="axisRow" compact="0" outline="0" showAll="0" defaultSubtotal="0">
      <items count="9">
        <item x="1"/>
        <item x="3"/>
        <item x="2"/>
        <item x="7"/>
        <item x="4"/>
        <item h="1" x="0"/>
        <item x="6"/>
        <item x="5"/>
        <item h="1" m="1" x="8"/>
      </items>
    </pivotField>
    <pivotField compact="0" outline="0" showAll="0"/>
    <pivotField compact="0" outline="0" showAll="0"/>
    <pivotField compact="0" outline="0" showAll="0"/>
    <pivotField compact="0" numFmtId="43" outline="0" showAll="0"/>
    <pivotField dataField="1" compact="0" numFmtId="43" outline="0" showAll="0"/>
    <pivotField compact="0" numFmtId="43" outline="0" showAll="0"/>
    <pivotField compact="0" outline="0" showAll="0"/>
    <pivotField axis="axisPage" compact="0" outline="0" showAll="0">
      <items count="4">
        <item x="0"/>
        <item x="1"/>
        <item m="1" x="2"/>
        <item t="default"/>
      </items>
    </pivotField>
    <pivotField compact="0" outline="0" showAll="0"/>
    <pivotField compact="0" outline="0" showAll="0"/>
    <pivotField compact="0" outline="0" dragToRow="0" dragToCol="0" dragToPage="0" showAll="0" defaultSubtotal="0"/>
  </pivotFields>
  <rowFields count="9">
    <field x="3"/>
    <field x="4"/>
    <field x="11"/>
    <field x="14"/>
    <field x="21"/>
    <field x="22"/>
    <field x="12"/>
    <field x="19"/>
    <field x="24"/>
  </rowFields>
  <rowItems count="1137">
    <i>
      <x v="80"/>
      <x v="3807"/>
      <x v="12"/>
      <x v="1165"/>
      <x v="38"/>
      <x v="4"/>
      <x v="31"/>
      <x/>
      <x/>
    </i>
    <i>
      <x v="81"/>
      <x v="1470"/>
      <x v="12"/>
      <x v="217"/>
      <x v="35"/>
      <x v="4"/>
      <x v="1"/>
      <x/>
      <x v="3"/>
    </i>
    <i>
      <x v="112"/>
      <x v="397"/>
      <x v="12"/>
      <x v="656"/>
      <x v="30"/>
      <x v="3"/>
      <x/>
      <x/>
      <x/>
    </i>
    <i>
      <x v="113"/>
      <x v="704"/>
      <x v="12"/>
      <x v="462"/>
      <x v="33"/>
      <x v="4"/>
      <x v="1"/>
      <x/>
      <x/>
    </i>
    <i>
      <x v="122"/>
      <x v="1001"/>
      <x v="12"/>
      <x v="369"/>
      <x v="30"/>
      <x v="3"/>
      <x v="1"/>
      <x/>
      <x v="7"/>
    </i>
    <i>
      <x v="137"/>
      <x v="523"/>
      <x v="12"/>
      <x v="110"/>
      <x v="35"/>
      <x v="4"/>
      <x v="1"/>
      <x/>
      <x/>
    </i>
    <i>
      <x v="152"/>
      <x v="832"/>
      <x v="12"/>
      <x v="136"/>
      <x v="28"/>
      <x v="3"/>
      <x/>
      <x/>
      <x/>
    </i>
    <i>
      <x v="153"/>
      <x v="792"/>
      <x v="12"/>
      <x v="125"/>
      <x v="42"/>
      <x v="5"/>
      <x v="1"/>
      <x/>
      <x/>
    </i>
    <i>
      <x v="174"/>
      <x v="1363"/>
      <x v="11"/>
      <x v="412"/>
      <x v="29"/>
      <x v="3"/>
      <x v="1"/>
      <x/>
      <x v="3"/>
    </i>
    <i>
      <x v="188"/>
      <x v="1030"/>
      <x v="12"/>
      <x v="899"/>
      <x v="45"/>
      <x v="5"/>
      <x v="1"/>
      <x/>
      <x v="7"/>
    </i>
    <i>
      <x v="189"/>
      <x v="1480"/>
      <x v="12"/>
      <x v="350"/>
      <x v="37"/>
      <x v="4"/>
      <x v="1"/>
      <x/>
      <x v="1"/>
    </i>
    <i>
      <x v="190"/>
      <x v="672"/>
      <x v="12"/>
      <x v="106"/>
      <x v="32"/>
      <x v="4"/>
      <x v="1"/>
      <x/>
      <x v="7"/>
    </i>
    <i>
      <x v="199"/>
      <x v="766"/>
      <x v="12"/>
      <x v="999"/>
      <x v="35"/>
      <x v="4"/>
      <x v="31"/>
      <x/>
      <x v="2"/>
    </i>
    <i>
      <x v="206"/>
      <x v="1232"/>
      <x v="12"/>
      <x v="135"/>
      <x v="31"/>
      <x v="3"/>
      <x/>
      <x/>
      <x v="2"/>
    </i>
    <i>
      <x v="213"/>
      <x v="208"/>
      <x v="12"/>
      <x v="403"/>
      <x v="29"/>
      <x v="3"/>
      <x v="1"/>
      <x/>
      <x/>
    </i>
    <i>
      <x v="251"/>
      <x v="770"/>
      <x v="12"/>
      <x v="438"/>
      <x v="34"/>
      <x v="4"/>
      <x v="1"/>
      <x/>
      <x v="1"/>
    </i>
    <i>
      <x v="253"/>
      <x v="1240"/>
      <x v="12"/>
      <x v="763"/>
      <x v="40"/>
      <x v="4"/>
      <x v="31"/>
      <x/>
      <x v="2"/>
    </i>
    <i r="3">
      <x v="1332"/>
      <x v="40"/>
      <x v="4"/>
      <x v="31"/>
      <x v="1"/>
      <x v="2"/>
    </i>
    <i>
      <x v="269"/>
      <x v="1384"/>
      <x v="12"/>
      <x v="338"/>
      <x v="30"/>
      <x v="3"/>
      <x/>
      <x/>
      <x v="2"/>
    </i>
    <i>
      <x v="276"/>
      <x v="1531"/>
      <x v="11"/>
      <x v="279"/>
      <x v="28"/>
      <x v="3"/>
      <x v="31"/>
      <x/>
      <x v="2"/>
    </i>
    <i>
      <x v="292"/>
      <x v="506"/>
      <x v="12"/>
      <x v="851"/>
      <x v="33"/>
      <x v="4"/>
      <x v="31"/>
      <x/>
      <x v="2"/>
    </i>
    <i>
      <x v="358"/>
      <x v="1148"/>
      <x v="12"/>
      <x v="1278"/>
      <x v="27"/>
      <x v="3"/>
      <x v="31"/>
      <x/>
      <x v="4"/>
    </i>
    <i>
      <x v="375"/>
      <x v="1105"/>
      <x v="11"/>
      <x v="129"/>
      <x v="26"/>
      <x v="3"/>
      <x v="1"/>
      <x/>
      <x/>
    </i>
    <i>
      <x v="379"/>
      <x v="730"/>
      <x v="12"/>
      <x v="255"/>
      <x v="29"/>
      <x v="3"/>
      <x v="1"/>
      <x/>
      <x v="7"/>
    </i>
    <i>
      <x v="388"/>
      <x v="256"/>
      <x v="12"/>
      <x v="204"/>
      <x v="28"/>
      <x v="3"/>
      <x v="1"/>
      <x/>
      <x v="7"/>
    </i>
    <i>
      <x v="398"/>
      <x v="645"/>
      <x v="12"/>
      <x v="500"/>
      <x v="25"/>
      <x v="3"/>
      <x v="1"/>
      <x/>
      <x v="3"/>
    </i>
    <i>
      <x v="416"/>
      <x v="3177"/>
      <x v="12"/>
      <x v="1080"/>
      <x v="26"/>
      <x v="3"/>
      <x v="31"/>
      <x v="1"/>
      <x v="2"/>
    </i>
    <i>
      <x v="458"/>
      <x v="816"/>
      <x v="12"/>
      <x v="402"/>
      <x v="24"/>
      <x v="3"/>
      <x/>
      <x/>
      <x v="2"/>
    </i>
    <i>
      <x v="460"/>
      <x v="1877"/>
      <x v="12"/>
      <x v="373"/>
      <x v="24"/>
      <x v="3"/>
      <x v="31"/>
      <x/>
      <x/>
    </i>
    <i>
      <x v="477"/>
      <x v="271"/>
      <x v="12"/>
      <x v="684"/>
      <x v="23"/>
      <x v="3"/>
      <x/>
      <x/>
      <x v="2"/>
    </i>
    <i>
      <x v="492"/>
      <x v="2"/>
      <x v="11"/>
      <x v="3"/>
      <x v="26"/>
      <x v="3"/>
      <x v="31"/>
      <x/>
      <x v="2"/>
    </i>
    <i>
      <x v="503"/>
      <x v="277"/>
      <x v="11"/>
      <x v="277"/>
      <x v="23"/>
      <x v="3"/>
      <x v="31"/>
      <x/>
      <x v="2"/>
    </i>
    <i>
      <x v="531"/>
      <x v="1504"/>
      <x v="11"/>
      <x v="98"/>
      <x v="22"/>
      <x v="2"/>
      <x v="1"/>
      <x/>
      <x/>
    </i>
    <i>
      <x v="535"/>
      <x v="92"/>
      <x v="12"/>
      <x v="689"/>
      <x v="24"/>
      <x v="3"/>
      <x v="1"/>
      <x/>
      <x v="7"/>
    </i>
    <i>
      <x v="587"/>
      <x v="979"/>
      <x v="11"/>
      <x v="450"/>
      <x v="25"/>
      <x v="3"/>
      <x v="31"/>
      <x/>
      <x v="2"/>
    </i>
    <i>
      <x v="599"/>
      <x v="1884"/>
      <x v="12"/>
      <x v="916"/>
      <x v="23"/>
      <x v="3"/>
      <x v="31"/>
      <x/>
      <x/>
    </i>
    <i>
      <x v="622"/>
      <x v="1875"/>
      <x v="12"/>
      <x v="87"/>
      <x v="22"/>
      <x v="2"/>
      <x v="31"/>
      <x/>
      <x v="2"/>
    </i>
    <i>
      <x v="646"/>
      <x v="824"/>
      <x v="12"/>
      <x v="144"/>
      <x v="31"/>
      <x v="3"/>
      <x v="1"/>
      <x/>
      <x/>
    </i>
    <i>
      <x v="683"/>
      <x v="865"/>
      <x v="12"/>
      <x v="365"/>
      <x v="21"/>
      <x v="2"/>
      <x/>
      <x/>
      <x v="2"/>
    </i>
    <i>
      <x v="697"/>
      <x v="3630"/>
      <x v="12"/>
      <x v="821"/>
      <x v="20"/>
      <x v="2"/>
      <x v="31"/>
      <x/>
      <x v="2"/>
    </i>
    <i>
      <x v="716"/>
      <x v="3633"/>
      <x v="12"/>
      <x v="821"/>
      <x v="20"/>
      <x v="2"/>
      <x v="31"/>
      <x/>
      <x v="2"/>
    </i>
    <i>
      <x v="730"/>
      <x v="2167"/>
      <x v="12"/>
      <x v="834"/>
      <x v="19"/>
      <x v="2"/>
      <x v="31"/>
      <x/>
      <x/>
    </i>
    <i>
      <x v="745"/>
      <x v="1248"/>
      <x v="12"/>
      <x v="1326"/>
      <x v="19"/>
      <x v="2"/>
      <x v="31"/>
      <x v="1"/>
      <x v="2"/>
    </i>
    <i>
      <x v="756"/>
      <x v="762"/>
      <x v="12"/>
      <x v="99"/>
      <x v="20"/>
      <x v="2"/>
      <x v="1"/>
      <x/>
      <x v="3"/>
    </i>
    <i>
      <x v="774"/>
      <x v="458"/>
      <x v="12"/>
      <x v="468"/>
      <x v="18"/>
      <x v="2"/>
      <x v="1"/>
      <x/>
      <x/>
    </i>
    <i>
      <x v="805"/>
      <x v="7752"/>
      <x v="12"/>
      <x v="1421"/>
      <x v="18"/>
      <x v="2"/>
      <x v="31"/>
      <x/>
      <x/>
    </i>
    <i>
      <x v="809"/>
      <x v="1297"/>
      <x v="12"/>
      <x v="768"/>
      <x v="18"/>
      <x v="2"/>
      <x/>
      <x/>
      <x v="2"/>
    </i>
    <i>
      <x v="810"/>
      <x v="6554"/>
      <x v="12"/>
      <x v="1369"/>
      <x v="21"/>
      <x v="2"/>
      <x v="31"/>
      <x/>
      <x v="2"/>
    </i>
    <i>
      <x v="839"/>
      <x v="1422"/>
      <x v="12"/>
      <x v="219"/>
      <x v="18"/>
      <x v="2"/>
      <x v="1"/>
      <x/>
      <x v="3"/>
    </i>
    <i>
      <x v="873"/>
      <x v="1881"/>
      <x v="12"/>
      <x v="72"/>
      <x v="17"/>
      <x v="2"/>
      <x v="31"/>
      <x/>
      <x/>
    </i>
    <i>
      <x v="881"/>
      <x v="514"/>
      <x v="12"/>
      <x v="291"/>
      <x v="17"/>
      <x v="2"/>
      <x v="1"/>
      <x/>
      <x/>
    </i>
    <i>
      <x v="884"/>
      <x v="1262"/>
      <x v="12"/>
      <x v="100"/>
      <x v="21"/>
      <x v="2"/>
      <x v="1"/>
      <x/>
      <x v="1"/>
    </i>
    <i>
      <x v="889"/>
      <x v="875"/>
      <x v="12"/>
      <x v="267"/>
      <x v="20"/>
      <x v="2"/>
      <x v="1"/>
      <x/>
      <x/>
    </i>
    <i>
      <x v="894"/>
      <x v="345"/>
      <x v="12"/>
      <x v="1278"/>
      <x v="17"/>
      <x v="2"/>
      <x v="31"/>
      <x/>
      <x/>
    </i>
    <i>
      <x v="907"/>
      <x v="7886"/>
      <x v="12"/>
      <x v="1417"/>
      <x v="18"/>
      <x v="2"/>
      <x v="31"/>
      <x/>
      <x v="2"/>
    </i>
    <i>
      <x v="913"/>
      <x v="983"/>
      <x v="12"/>
      <x v="813"/>
      <x v="16"/>
      <x v="2"/>
      <x/>
      <x/>
      <x/>
    </i>
    <i>
      <x v="949"/>
      <x v="4101"/>
      <x v="12"/>
      <x v="1323"/>
      <x v="16"/>
      <x v="2"/>
      <x v="31"/>
      <x/>
      <x/>
    </i>
    <i>
      <x v="1005"/>
      <x v="3115"/>
      <x v="12"/>
      <x v="1097"/>
      <x v="8"/>
      <x v="1"/>
      <x/>
      <x/>
      <x v="2"/>
    </i>
    <i>
      <x v="1020"/>
      <x v="1451"/>
      <x v="12"/>
      <x v="457"/>
      <x v="14"/>
      <x v="2"/>
      <x v="31"/>
      <x/>
      <x v="2"/>
    </i>
    <i>
      <x v="1032"/>
      <x v="6238"/>
      <x v="12"/>
      <x v="1262"/>
      <x v="15"/>
      <x v="2"/>
      <x v="31"/>
      <x v="1"/>
      <x v="2"/>
    </i>
    <i>
      <x v="1038"/>
      <x v="1086"/>
      <x v="12"/>
      <x v="291"/>
      <x v="14"/>
      <x v="2"/>
      <x v="1"/>
      <x/>
      <x v="2"/>
    </i>
    <i>
      <x v="1040"/>
      <x v="164"/>
      <x v="12"/>
      <x v="137"/>
      <x v="16"/>
      <x v="2"/>
      <x v="1"/>
      <x/>
      <x v="7"/>
    </i>
    <i>
      <x v="1046"/>
      <x v="482"/>
      <x v="11"/>
      <x v="601"/>
      <x v="16"/>
      <x v="2"/>
      <x/>
      <x/>
      <x/>
    </i>
    <i>
      <x v="1051"/>
      <x v="543"/>
      <x v="12"/>
      <x v="1315"/>
      <x v="15"/>
      <x v="2"/>
      <x v="31"/>
      <x/>
      <x/>
    </i>
    <i>
      <x v="1069"/>
      <x v="710"/>
      <x v="11"/>
      <x v="635"/>
      <x v="13"/>
      <x v="1"/>
      <x v="1"/>
      <x/>
      <x v="1"/>
    </i>
    <i>
      <x v="1077"/>
      <x v="1314"/>
      <x v="11"/>
      <x v="289"/>
      <x v="13"/>
      <x v="1"/>
      <x v="31"/>
      <x/>
      <x v="7"/>
    </i>
    <i>
      <x v="1112"/>
      <x v="434"/>
      <x v="12"/>
      <x v="90"/>
      <x v="16"/>
      <x v="2"/>
      <x v="1"/>
      <x/>
      <x/>
    </i>
    <i>
      <x v="1126"/>
      <x v="6413"/>
      <x v="12"/>
      <x v="1322"/>
      <x v="14"/>
      <x v="2"/>
      <x v="31"/>
      <x/>
      <x v="3"/>
    </i>
    <i>
      <x v="1133"/>
      <x v="462"/>
      <x v="12"/>
      <x v="1156"/>
      <x v="13"/>
      <x v="1"/>
      <x v="31"/>
      <x/>
      <x v="6"/>
    </i>
    <i>
      <x v="1189"/>
      <x v="734"/>
      <x v="12"/>
      <x v="643"/>
      <x v="11"/>
      <x v="1"/>
      <x v="1"/>
      <x/>
      <x v="7"/>
    </i>
    <i>
      <x v="1196"/>
      <x v="701"/>
      <x v="11"/>
      <x v="875"/>
      <x v="4"/>
      <x/>
      <x v="31"/>
      <x/>
      <x v="4"/>
    </i>
    <i>
      <x v="1226"/>
      <x v="675"/>
      <x v="12"/>
      <x v="480"/>
      <x v="9"/>
      <x v="1"/>
      <x v="1"/>
      <x/>
      <x/>
    </i>
    <i>
      <x v="1288"/>
      <x v="1395"/>
      <x v="12"/>
      <x v="495"/>
      <x v="13"/>
      <x v="1"/>
      <x/>
      <x/>
      <x v="4"/>
    </i>
    <i>
      <x v="1343"/>
      <x v="798"/>
      <x v="12"/>
      <x v="745"/>
      <x v="6"/>
      <x v="1"/>
      <x v="1"/>
      <x/>
      <x v="7"/>
    </i>
    <i>
      <x v="1353"/>
      <x v="1359"/>
      <x v="12"/>
      <x v="474"/>
      <x v="9"/>
      <x v="1"/>
      <x v="31"/>
      <x/>
      <x v="2"/>
    </i>
    <i>
      <x v="1391"/>
      <x v="693"/>
      <x v="12"/>
      <x v="260"/>
      <x v="13"/>
      <x v="1"/>
      <x v="1"/>
      <x/>
      <x v="7"/>
    </i>
    <i>
      <x v="1410"/>
      <x v="1156"/>
      <x v="12"/>
      <x v="1195"/>
      <x v="9"/>
      <x v="1"/>
      <x v="499"/>
      <x/>
      <x v="2"/>
    </i>
    <i>
      <x v="1411"/>
      <x v="2241"/>
      <x v="12"/>
      <x v="668"/>
      <x v="7"/>
      <x v="1"/>
      <x/>
      <x/>
      <x/>
    </i>
    <i>
      <x v="1435"/>
      <x v="619"/>
      <x v="12"/>
      <x v="751"/>
      <x v="11"/>
      <x v="1"/>
      <x v="31"/>
      <x/>
      <x/>
    </i>
    <i>
      <x v="1449"/>
      <x v="18"/>
      <x v="12"/>
      <x v="871"/>
      <x v="9"/>
      <x v="1"/>
      <x v="1"/>
      <x/>
      <x v="7"/>
    </i>
    <i>
      <x v="1452"/>
      <x v="1112"/>
      <x v="12"/>
      <x v="1029"/>
      <x v="14"/>
      <x v="2"/>
      <x v="31"/>
      <x/>
      <x/>
    </i>
    <i>
      <x v="1472"/>
      <x v="97"/>
      <x v="12"/>
      <x v="234"/>
      <x v="9"/>
      <x v="1"/>
      <x v="503"/>
      <x/>
      <x/>
    </i>
    <i>
      <x v="1512"/>
      <x v="1290"/>
      <x v="12"/>
      <x v="529"/>
      <x v="10"/>
      <x v="1"/>
      <x v="1"/>
      <x/>
      <x v="7"/>
    </i>
    <i>
      <x v="1515"/>
      <x v="1331"/>
      <x v="12"/>
      <x v="442"/>
      <x v="7"/>
      <x v="1"/>
      <x v="1"/>
      <x/>
      <x v="7"/>
    </i>
    <i>
      <x v="1545"/>
      <x v="3631"/>
      <x v="12"/>
      <x v="821"/>
      <x v="10"/>
      <x v="1"/>
      <x v="31"/>
      <x/>
      <x v="2"/>
    </i>
    <i>
      <x v="1619"/>
      <x v="118"/>
      <x v="12"/>
      <x v="872"/>
      <x v="9"/>
      <x v="1"/>
      <x v="1"/>
      <x/>
      <x v="4"/>
    </i>
    <i>
      <x v="1677"/>
      <x v="3426"/>
      <x v="12"/>
      <x v="875"/>
      <x v="11"/>
      <x v="1"/>
      <x v="31"/>
      <x/>
      <x v="1"/>
    </i>
    <i>
      <x v="1715"/>
      <x v="305"/>
      <x v="11"/>
      <x v="276"/>
      <x v="30"/>
      <x v="3"/>
      <x v="31"/>
      <x/>
      <x v="2"/>
    </i>
    <i>
      <x v="1717"/>
      <x v="1500"/>
      <x v="12"/>
      <x v="144"/>
      <x v="9"/>
      <x v="1"/>
      <x v="1"/>
      <x/>
      <x v="7"/>
    </i>
    <i>
      <x v="1720"/>
      <x v="662"/>
      <x v="12"/>
      <x v="821"/>
      <x v="28"/>
      <x v="3"/>
      <x v="31"/>
      <x/>
      <x v="2"/>
    </i>
    <i>
      <x v="1729"/>
      <x v="5281"/>
      <x v="12"/>
      <x v="1265"/>
      <x v="28"/>
      <x v="3"/>
      <x v="31"/>
      <x/>
      <x v="4"/>
    </i>
    <i>
      <x v="1741"/>
      <x v="642"/>
      <x v="11"/>
      <x v="644"/>
      <x v="41"/>
      <x v="5"/>
      <x v="31"/>
      <x/>
      <x v="7"/>
    </i>
    <i>
      <x v="1742"/>
      <x v="1329"/>
      <x v="11"/>
      <x v="639"/>
      <x v="40"/>
      <x v="4"/>
      <x v="31"/>
      <x/>
      <x/>
    </i>
    <i>
      <x v="1746"/>
      <x v="43"/>
      <x v="11"/>
      <x v="429"/>
      <x v="32"/>
      <x v="4"/>
      <x v="31"/>
      <x/>
      <x/>
    </i>
    <i>
      <x v="1747"/>
      <x v="1530"/>
      <x v="12"/>
      <x v="869"/>
      <x v="28"/>
      <x v="3"/>
      <x v="509"/>
      <x/>
      <x v="2"/>
    </i>
    <i r="3">
      <x v="1417"/>
      <x v="28"/>
      <x v="3"/>
      <x/>
      <x/>
      <x v="2"/>
    </i>
    <i>
      <x v="1748"/>
      <x v="1069"/>
      <x v="12"/>
      <x v="873"/>
      <x v="27"/>
      <x v="3"/>
      <x v="31"/>
      <x/>
      <x v="2"/>
    </i>
    <i>
      <x v="1749"/>
      <x v="658"/>
      <x v="11"/>
      <x v="668"/>
      <x v="25"/>
      <x v="3"/>
      <x v="31"/>
      <x/>
      <x v="3"/>
    </i>
    <i>
      <x v="1750"/>
      <x v="698"/>
      <x v="11"/>
      <x v="417"/>
      <x v="24"/>
      <x v="3"/>
      <x v="31"/>
      <x/>
      <x v="2"/>
    </i>
    <i>
      <x v="1753"/>
      <x v="871"/>
      <x v="11"/>
      <x v="324"/>
      <x v="20"/>
      <x v="2"/>
      <x v="31"/>
      <x/>
      <x v="7"/>
    </i>
    <i>
      <x v="1758"/>
      <x v="192"/>
      <x v="12"/>
      <x v="906"/>
      <x v="14"/>
      <x v="2"/>
      <x v="31"/>
      <x/>
      <x/>
    </i>
    <i>
      <x v="1761"/>
      <x v="133"/>
      <x v="12"/>
      <x v="293"/>
      <x v="18"/>
      <x v="2"/>
      <x v="31"/>
      <x/>
      <x v="2"/>
    </i>
    <i>
      <x v="1765"/>
      <x v="357"/>
      <x v="12"/>
      <x v="771"/>
      <x v="11"/>
      <x v="1"/>
      <x v="31"/>
      <x/>
      <x/>
    </i>
    <i>
      <x v="1767"/>
      <x v="26"/>
      <x v="11"/>
      <x v="819"/>
      <x v="6"/>
      <x v="1"/>
      <x v="31"/>
      <x/>
      <x v="2"/>
    </i>
    <i>
      <x v="1771"/>
      <x v="1144"/>
      <x v="12"/>
      <x v="819"/>
      <x v="6"/>
      <x v="1"/>
      <x v="31"/>
      <x/>
      <x v="2"/>
    </i>
    <i>
      <x v="1783"/>
      <x v="432"/>
      <x v="12"/>
      <x v="605"/>
      <x v="10"/>
      <x v="1"/>
      <x v="31"/>
      <x/>
      <x v="2"/>
    </i>
    <i>
      <x v="1784"/>
      <x v="1201"/>
      <x v="12"/>
      <x v="768"/>
      <x v="7"/>
      <x v="1"/>
      <x v="31"/>
      <x/>
      <x v="3"/>
    </i>
    <i>
      <x v="1785"/>
      <x v="121"/>
      <x v="11"/>
      <x v="640"/>
      <x v="9"/>
      <x v="1"/>
      <x v="31"/>
      <x/>
      <x v="2"/>
    </i>
    <i>
      <x v="1786"/>
      <x v="101"/>
      <x v="12"/>
      <x v="406"/>
      <x v="12"/>
      <x v="1"/>
      <x v="31"/>
      <x/>
      <x/>
    </i>
    <i>
      <x v="1789"/>
      <x v="1458"/>
      <x v="12"/>
      <x v="472"/>
      <x v="11"/>
      <x v="1"/>
      <x v="31"/>
      <x/>
      <x/>
    </i>
    <i>
      <x v="1790"/>
      <x v="333"/>
      <x v="12"/>
      <x v="780"/>
      <x v="32"/>
      <x v="4"/>
      <x v="31"/>
      <x/>
      <x v="3"/>
    </i>
    <i>
      <x v="1827"/>
      <x v="916"/>
      <x v="11"/>
      <x v="926"/>
      <x v="17"/>
      <x v="2"/>
      <x v="31"/>
      <x/>
      <x v="2"/>
    </i>
    <i>
      <x v="1840"/>
      <x v="1879"/>
      <x v="12"/>
      <x v="914"/>
      <x v="19"/>
      <x v="2"/>
      <x v="31"/>
      <x/>
      <x/>
    </i>
    <i>
      <x v="1865"/>
      <x v="2237"/>
      <x v="12"/>
      <x v="933"/>
      <x v="14"/>
      <x v="2"/>
      <x/>
      <x/>
      <x/>
    </i>
    <i>
      <x v="1872"/>
      <x v="1352"/>
      <x v="12"/>
      <x v="924"/>
      <x v="20"/>
      <x v="2"/>
      <x/>
      <x/>
      <x/>
    </i>
    <i>
      <x v="1905"/>
      <x v="1613"/>
      <x v="12"/>
      <x v="898"/>
      <x v="6"/>
      <x v="1"/>
      <x v="1"/>
      <x/>
      <x v="4"/>
    </i>
    <i>
      <x v="1906"/>
      <x v="1614"/>
      <x v="12"/>
      <x v="923"/>
      <x v="31"/>
      <x v="3"/>
      <x v="1"/>
      <x/>
      <x v="4"/>
    </i>
    <i>
      <x v="1911"/>
      <x v="1618"/>
      <x v="12"/>
      <x v="882"/>
      <x v="12"/>
      <x v="1"/>
      <x v="1"/>
      <x/>
      <x v="4"/>
    </i>
    <i>
      <x v="1916"/>
      <x v="350"/>
      <x v="12"/>
      <x v="930"/>
      <x v="18"/>
      <x v="2"/>
      <x v="31"/>
      <x/>
      <x/>
    </i>
    <i>
      <x v="1917"/>
      <x v="1626"/>
      <x v="12"/>
      <x v="930"/>
      <x v="35"/>
      <x v="4"/>
      <x v="31"/>
      <x/>
      <x v="2"/>
    </i>
    <i>
      <x v="1918"/>
      <x v="1627"/>
      <x v="12"/>
      <x v="930"/>
      <x v="25"/>
      <x v="3"/>
      <x v="31"/>
      <x/>
      <x v="2"/>
    </i>
    <i>
      <x v="1937"/>
      <x v="1719"/>
      <x v="12"/>
      <x v="926"/>
      <x v="29"/>
      <x v="3"/>
      <x/>
      <x/>
      <x v="2"/>
    </i>
    <i r="1">
      <x v="7548"/>
      <x v="12"/>
      <x v="1399"/>
      <x v="18"/>
      <x v="2"/>
      <x/>
      <x/>
      <x v="2"/>
    </i>
    <i>
      <x v="2049"/>
      <x v="1092"/>
      <x v="12"/>
      <x v="906"/>
      <x v="14"/>
      <x v="2"/>
      <x v="31"/>
      <x/>
      <x v="1"/>
    </i>
    <i>
      <x v="2051"/>
      <x v="1917"/>
      <x v="12"/>
      <x v="918"/>
      <x v="9"/>
      <x v="1"/>
      <x v="31"/>
      <x/>
      <x v="3"/>
    </i>
    <i>
      <x v="2075"/>
      <x v="7955"/>
      <x v="12"/>
      <x v="1425"/>
      <x v="21"/>
      <x v="2"/>
      <x v="31"/>
      <x/>
      <x v="2"/>
    </i>
    <i>
      <x v="2097"/>
      <x v="2110"/>
      <x v="12"/>
      <x v="947"/>
      <x v="26"/>
      <x v="3"/>
      <x/>
      <x/>
      <x v="2"/>
    </i>
    <i>
      <x v="2105"/>
      <x v="2140"/>
      <x v="12"/>
      <x v="965"/>
      <x v="8"/>
      <x v="1"/>
      <x v="503"/>
      <x/>
      <x/>
    </i>
    <i>
      <x v="2122"/>
      <x v="2231"/>
      <x v="12"/>
      <x v="642"/>
      <x v="19"/>
      <x v="2"/>
      <x v="31"/>
      <x/>
      <x v="3"/>
    </i>
    <i>
      <x v="2193"/>
      <x v="6036"/>
      <x v="12"/>
      <x v="1302"/>
      <x v="4"/>
      <x/>
      <x v="31"/>
      <x/>
      <x v="2"/>
    </i>
    <i>
      <x v="2243"/>
      <x v="2492"/>
      <x v="12"/>
      <x v="965"/>
      <x v="28"/>
      <x v="3"/>
      <x v="31"/>
      <x/>
      <x v="2"/>
    </i>
    <i>
      <x v="2284"/>
      <x v="2593"/>
      <x v="11"/>
      <x v="503"/>
      <x v="25"/>
      <x v="3"/>
      <x v="31"/>
      <x/>
      <x/>
    </i>
    <i>
      <x v="2318"/>
      <x v="2734"/>
      <x v="12"/>
      <x v="994"/>
      <x v="14"/>
      <x v="2"/>
      <x/>
      <x/>
      <x/>
    </i>
    <i>
      <x v="2321"/>
      <x v="7753"/>
      <x v="11"/>
      <x v="1424"/>
      <x v="22"/>
      <x v="2"/>
      <x v="31"/>
      <x/>
      <x v="7"/>
    </i>
    <i>
      <x v="2339"/>
      <x v="7254"/>
      <x v="12"/>
      <x v="1384"/>
      <x v="35"/>
      <x v="4"/>
      <x v="31"/>
      <x/>
      <x v="2"/>
    </i>
    <i>
      <x v="2347"/>
      <x v="1855"/>
      <x v="12"/>
      <x v="1370"/>
      <x v="25"/>
      <x v="3"/>
      <x v="31"/>
      <x/>
      <x v="6"/>
    </i>
    <i>
      <x v="2352"/>
      <x v="2340"/>
      <x v="12"/>
      <x v="1359"/>
      <x v="16"/>
      <x v="2"/>
      <x v="31"/>
      <x/>
      <x/>
    </i>
    <i>
      <x v="2369"/>
      <x v="2814"/>
      <x v="12"/>
      <x v="1055"/>
      <x v="11"/>
      <x v="1"/>
      <x v="31"/>
      <x/>
      <x v="7"/>
    </i>
    <i>
      <x v="2373"/>
      <x v="1440"/>
      <x v="12"/>
      <x v="1039"/>
      <x v="21"/>
      <x v="2"/>
      <x v="31"/>
      <x/>
      <x/>
    </i>
    <i>
      <x v="2381"/>
      <x v="2827"/>
      <x v="12"/>
      <x v="1403"/>
      <x v="26"/>
      <x v="3"/>
      <x v="31"/>
      <x/>
      <x v="3"/>
    </i>
    <i>
      <x v="2384"/>
      <x v="279"/>
      <x v="12"/>
      <x v="1402"/>
      <x v="29"/>
      <x v="3"/>
      <x v="31"/>
      <x/>
      <x v="4"/>
    </i>
    <i>
      <x v="2430"/>
      <x v="1206"/>
      <x v="12"/>
      <x v="754"/>
      <x v="17"/>
      <x v="2"/>
      <x v="31"/>
      <x/>
      <x v="3"/>
    </i>
    <i r="1">
      <x v="6532"/>
      <x v="12"/>
      <x v="1338"/>
      <x v="17"/>
      <x v="2"/>
      <x v="31"/>
      <x/>
      <x v="3"/>
    </i>
    <i>
      <x v="2431"/>
      <x v="2139"/>
      <x v="12"/>
      <x v="1111"/>
      <x v="21"/>
      <x v="2"/>
      <x v="31"/>
      <x/>
      <x v="2"/>
    </i>
    <i>
      <x v="2434"/>
      <x v="837"/>
      <x v="12"/>
      <x v="365"/>
      <x v="24"/>
      <x v="3"/>
      <x v="31"/>
      <x/>
      <x v="2"/>
    </i>
    <i>
      <x v="2439"/>
      <x v="841"/>
      <x v="11"/>
      <x v="689"/>
      <x v="6"/>
      <x v="1"/>
      <x v="514"/>
      <x/>
      <x v="2"/>
    </i>
    <i>
      <x v="2467"/>
      <x v="5636"/>
      <x v="12"/>
      <x v="1269"/>
      <x v="15"/>
      <x v="2"/>
      <x/>
      <x/>
      <x v="2"/>
    </i>
    <i>
      <x v="2474"/>
      <x v="1969"/>
      <x v="12"/>
      <x v="930"/>
      <x v="13"/>
      <x v="1"/>
      <x v="31"/>
      <x/>
      <x/>
    </i>
    <i>
      <x v="2483"/>
      <x v="2496"/>
      <x v="12"/>
      <x v="981"/>
      <x v="40"/>
      <x v="4"/>
      <x v="31"/>
      <x/>
      <x v="2"/>
    </i>
    <i>
      <x v="2491"/>
      <x v="2907"/>
      <x v="12"/>
      <x v="1060"/>
      <x v="10"/>
      <x v="1"/>
      <x v="31"/>
      <x/>
      <x v="2"/>
    </i>
    <i>
      <x v="2492"/>
      <x v="2908"/>
      <x v="12"/>
      <x v="1060"/>
      <x v="6"/>
      <x v="1"/>
      <x v="31"/>
      <x/>
      <x v="2"/>
    </i>
    <i>
      <x v="2493"/>
      <x v="2931"/>
      <x v="12"/>
      <x v="1057"/>
      <x v="21"/>
      <x v="2"/>
      <x v="31"/>
      <x/>
      <x v="6"/>
    </i>
    <i>
      <x v="2496"/>
      <x v="2937"/>
      <x v="12"/>
      <x v="992"/>
      <x v="18"/>
      <x v="2"/>
      <x/>
      <x/>
      <x v="2"/>
    </i>
    <i>
      <x v="2536"/>
      <x v="1591"/>
      <x v="12"/>
      <x v="1041"/>
      <x v="21"/>
      <x v="2"/>
      <x v="31"/>
      <x/>
      <x v="2"/>
    </i>
    <i>
      <x v="2553"/>
      <x v="1759"/>
      <x v="12"/>
      <x v="1324"/>
      <x v="24"/>
      <x v="3"/>
      <x v="31"/>
      <x/>
      <x v="2"/>
    </i>
    <i>
      <x v="2565"/>
      <x v="2323"/>
      <x v="12"/>
      <x v="941"/>
      <x v="32"/>
      <x v="4"/>
      <x v="31"/>
      <x/>
      <x v="7"/>
    </i>
    <i>
      <x v="2570"/>
      <x v="6903"/>
      <x v="12"/>
      <x v="1328"/>
      <x v="55"/>
      <x v="5"/>
      <x v="509"/>
      <x/>
      <x v="3"/>
    </i>
    <i r="1">
      <x v="7981"/>
      <x v="12"/>
      <x v="1426"/>
      <x v="12"/>
      <x v="1"/>
      <x v="31"/>
      <x/>
      <x v="3"/>
    </i>
    <i>
      <x v="2573"/>
      <x v="1720"/>
      <x v="12"/>
      <x v="937"/>
      <x v="22"/>
      <x v="2"/>
      <x v="76"/>
      <x/>
      <x/>
    </i>
    <i>
      <x v="2580"/>
      <x v="3001"/>
      <x v="12"/>
      <x v="857"/>
      <x v="14"/>
      <x v="2"/>
      <x v="31"/>
      <x/>
      <x v="7"/>
    </i>
    <i>
      <x v="2581"/>
      <x v="993"/>
      <x v="12"/>
      <x v="915"/>
      <x v="22"/>
      <x v="2"/>
      <x v="31"/>
      <x/>
      <x v="2"/>
    </i>
    <i r="1">
      <x v="4004"/>
      <x v="12"/>
      <x v="1214"/>
      <x v="22"/>
      <x v="2"/>
      <x v="31"/>
      <x/>
      <x v="2"/>
    </i>
    <i>
      <x v="2588"/>
      <x v="3008"/>
      <x v="12"/>
      <x v="1362"/>
      <x v="15"/>
      <x v="2"/>
      <x v="31"/>
      <x/>
      <x/>
    </i>
    <i>
      <x v="2591"/>
      <x v="4968"/>
      <x v="12"/>
      <x v="1331"/>
      <x v="15"/>
      <x v="2"/>
      <x v="31"/>
      <x/>
      <x v="2"/>
    </i>
    <i>
      <x v="2604"/>
      <x v="7257"/>
      <x v="12"/>
      <x v="1384"/>
      <x v="19"/>
      <x v="2"/>
      <x v="31"/>
      <x/>
      <x/>
    </i>
    <i>
      <x v="2620"/>
      <x v="6774"/>
      <x v="12"/>
      <x v="1326"/>
      <x v="38"/>
      <x v="4"/>
      <x v="31"/>
      <x/>
      <x v="2"/>
    </i>
    <i>
      <x v="2653"/>
      <x v="3119"/>
      <x v="12"/>
      <x v="1079"/>
      <x v="18"/>
      <x v="2"/>
      <x v="31"/>
      <x/>
      <x/>
    </i>
    <i>
      <x v="2655"/>
      <x v="3120"/>
      <x v="12"/>
      <x v="1086"/>
      <x v="21"/>
      <x v="2"/>
      <x v="31"/>
      <x/>
      <x v="3"/>
    </i>
    <i>
      <x v="2660"/>
      <x v="67"/>
      <x v="12"/>
      <x v="518"/>
      <x v="36"/>
      <x v="4"/>
      <x v="31"/>
      <x/>
      <x v="2"/>
    </i>
    <i>
      <x v="2661"/>
      <x v="126"/>
      <x v="11"/>
      <x v="525"/>
      <x v="20"/>
      <x v="2"/>
      <x v="31"/>
      <x/>
      <x v="7"/>
    </i>
    <i>
      <x v="2663"/>
      <x v="2710"/>
      <x v="12"/>
      <x v="1080"/>
      <x v="40"/>
      <x v="4"/>
      <x v="31"/>
      <x/>
      <x v="2"/>
    </i>
    <i r="3">
      <x v="1381"/>
      <x v="40"/>
      <x v="4"/>
      <x v="31"/>
      <x/>
      <x v="2"/>
    </i>
    <i>
      <x v="2669"/>
      <x v="948"/>
      <x v="12"/>
      <x v="1324"/>
      <x v="53"/>
      <x v="5"/>
      <x v="31"/>
      <x/>
      <x v="2"/>
    </i>
    <i>
      <x v="2675"/>
      <x v="3178"/>
      <x v="12"/>
      <x v="1084"/>
      <x v="43"/>
      <x v="5"/>
      <x v="31"/>
      <x v="1"/>
      <x v="2"/>
    </i>
    <i>
      <x v="2698"/>
      <x v="3198"/>
      <x v="12"/>
      <x v="1224"/>
      <x v="14"/>
      <x v="2"/>
      <x v="499"/>
      <x/>
      <x v="2"/>
    </i>
    <i>
      <x v="2714"/>
      <x v="3247"/>
      <x v="12"/>
      <x v="1117"/>
      <x v="14"/>
      <x v="2"/>
      <x v="31"/>
      <x v="1"/>
      <x v="2"/>
    </i>
    <i>
      <x v="2715"/>
      <x v="3248"/>
      <x v="12"/>
      <x v="1117"/>
      <x v="16"/>
      <x v="2"/>
      <x v="31"/>
      <x v="1"/>
      <x v="2"/>
    </i>
    <i>
      <x v="2717"/>
      <x v="3250"/>
      <x v="12"/>
      <x v="1117"/>
      <x v="18"/>
      <x v="2"/>
      <x v="31"/>
      <x v="1"/>
      <x v="2"/>
    </i>
    <i>
      <x v="2725"/>
      <x v="4985"/>
      <x v="12"/>
      <x v="1225"/>
      <x v="27"/>
      <x v="3"/>
      <x v="31"/>
      <x/>
      <x v="2"/>
    </i>
    <i>
      <x v="2732"/>
      <x v="597"/>
      <x v="12"/>
      <x v="1121"/>
      <x v="18"/>
      <x v="2"/>
      <x v="498"/>
      <x/>
      <x v="1"/>
    </i>
    <i>
      <x v="2761"/>
      <x v="3319"/>
      <x v="12"/>
      <x v="1117"/>
      <x v="11"/>
      <x v="1"/>
      <x v="510"/>
      <x/>
      <x v="3"/>
    </i>
    <i>
      <x v="2766"/>
      <x v="3324"/>
      <x v="12"/>
      <x v="1133"/>
      <x v="29"/>
      <x v="3"/>
      <x v="502"/>
      <x/>
      <x/>
    </i>
    <i>
      <x v="2793"/>
      <x v="3346"/>
      <x v="12"/>
      <x v="1117"/>
      <x v="10"/>
      <x v="1"/>
      <x v="31"/>
      <x/>
      <x/>
    </i>
    <i>
      <x v="2804"/>
      <x v="7180"/>
      <x v="12"/>
      <x v="1370"/>
      <x v="44"/>
      <x v="5"/>
      <x v="31"/>
      <x/>
      <x v="2"/>
    </i>
    <i>
      <x v="2807"/>
      <x v="2220"/>
      <x v="12"/>
      <x v="1322"/>
      <x v="28"/>
      <x v="3"/>
      <x v="31"/>
      <x/>
      <x v="2"/>
    </i>
    <i>
      <x v="2826"/>
      <x v="2821"/>
      <x v="12"/>
      <x v="1117"/>
      <x v="15"/>
      <x v="2"/>
      <x v="31"/>
      <x/>
      <x v="2"/>
    </i>
    <i>
      <x v="2832"/>
      <x v="508"/>
      <x v="12"/>
      <x v="1117"/>
      <x v="22"/>
      <x v="2"/>
      <x v="31"/>
      <x/>
      <x v="2"/>
    </i>
    <i>
      <x v="2880"/>
      <x v="1249"/>
      <x v="12"/>
      <x v="1209"/>
      <x v="20"/>
      <x v="2"/>
      <x v="31"/>
      <x v="1"/>
      <x v="2"/>
    </i>
    <i>
      <x v="2884"/>
      <x v="7756"/>
      <x v="12"/>
      <x v="1432"/>
      <x v="12"/>
      <x v="1"/>
      <x v="31"/>
      <x/>
      <x v="2"/>
    </i>
    <i>
      <x v="2898"/>
      <x v="3504"/>
      <x v="12"/>
      <x v="1124"/>
      <x v="7"/>
      <x v="1"/>
      <x v="31"/>
      <x v="1"/>
      <x/>
    </i>
    <i>
      <x v="2901"/>
      <x v="3506"/>
      <x v="12"/>
      <x v="1139"/>
      <x v="8"/>
      <x v="1"/>
      <x v="31"/>
      <x v="1"/>
      <x v="7"/>
    </i>
    <i>
      <x v="2910"/>
      <x v="232"/>
      <x v="12"/>
      <x v="807"/>
      <x v="32"/>
      <x v="4"/>
      <x/>
      <x/>
      <x/>
    </i>
    <i>
      <x v="2916"/>
      <x v="3531"/>
      <x v="12"/>
      <x v="1131"/>
      <x v="6"/>
      <x v="1"/>
      <x/>
      <x/>
      <x/>
    </i>
    <i>
      <x v="2930"/>
      <x v="3537"/>
      <x v="12"/>
      <x v="1121"/>
      <x v="27"/>
      <x v="3"/>
      <x v="31"/>
      <x v="1"/>
      <x v="1"/>
    </i>
    <i>
      <x v="2962"/>
      <x v="3598"/>
      <x v="12"/>
      <x v="1372"/>
      <x v="21"/>
      <x v="2"/>
      <x v="31"/>
      <x/>
      <x v="3"/>
    </i>
    <i>
      <x v="2992"/>
      <x v="3696"/>
      <x v="12"/>
      <x v="1199"/>
      <x v="28"/>
      <x v="3"/>
      <x v="31"/>
      <x/>
      <x v="3"/>
    </i>
    <i>
      <x v="3007"/>
      <x v="3736"/>
      <x v="12"/>
      <x v="1195"/>
      <x v="18"/>
      <x v="2"/>
      <x v="31"/>
      <x/>
      <x v="2"/>
    </i>
    <i>
      <x v="3011"/>
      <x v="3740"/>
      <x v="12"/>
      <x v="1439"/>
      <x v="36"/>
      <x v="4"/>
      <x v="31"/>
      <x/>
      <x v="2"/>
    </i>
    <i>
      <x v="3013"/>
      <x v="2434"/>
      <x v="12"/>
      <x v="1083"/>
      <x v="13"/>
      <x v="1"/>
      <x v="31"/>
      <x/>
      <x v="2"/>
    </i>
    <i>
      <x v="3015"/>
      <x v="5645"/>
      <x v="12"/>
      <x v="1267"/>
      <x v="15"/>
      <x v="2"/>
      <x v="31"/>
      <x/>
      <x v="1"/>
    </i>
    <i>
      <x v="3027"/>
      <x v="3758"/>
      <x v="12"/>
      <x v="994"/>
      <x v="19"/>
      <x v="2"/>
      <x v="513"/>
      <x/>
      <x v="2"/>
    </i>
    <i>
      <x v="3031"/>
      <x v="3766"/>
      <x v="12"/>
      <x v="1197"/>
      <x v="3"/>
      <x/>
      <x v="499"/>
      <x/>
      <x v="2"/>
    </i>
    <i>
      <x v="3054"/>
      <x v="2552"/>
      <x v="12"/>
      <x v="958"/>
      <x v="29"/>
      <x v="3"/>
      <x v="1"/>
      <x/>
      <x/>
    </i>
    <i>
      <x v="3057"/>
      <x v="3223"/>
      <x v="12"/>
      <x v="881"/>
      <x v="4"/>
      <x/>
      <x v="1"/>
      <x/>
      <x v="7"/>
    </i>
    <i>
      <x v="3064"/>
      <x v="3227"/>
      <x v="12"/>
      <x v="1007"/>
      <x v="26"/>
      <x v="3"/>
      <x v="1"/>
      <x/>
      <x v="1"/>
    </i>
    <i>
      <x v="3068"/>
      <x v="1960"/>
      <x v="12"/>
      <x v="935"/>
      <x v="9"/>
      <x v="1"/>
      <x v="1"/>
      <x/>
      <x/>
    </i>
    <i>
      <x v="3079"/>
      <x v="3236"/>
      <x v="12"/>
      <x v="1003"/>
      <x v="7"/>
      <x v="1"/>
      <x v="1"/>
      <x/>
      <x v="7"/>
    </i>
    <i>
      <x v="3080"/>
      <x v="1963"/>
      <x v="12"/>
      <x v="927"/>
      <x v="8"/>
      <x v="1"/>
      <x v="1"/>
      <x/>
      <x v="7"/>
    </i>
    <i>
      <x v="3083"/>
      <x v="3237"/>
      <x v="12"/>
      <x v="1047"/>
      <x v="28"/>
      <x v="3"/>
      <x v="1"/>
      <x/>
      <x v="7"/>
    </i>
    <i>
      <x v="3086"/>
      <x v="998"/>
      <x v="12"/>
      <x v="899"/>
      <x v="6"/>
      <x v="1"/>
      <x v="1"/>
      <x/>
      <x v="4"/>
    </i>
    <i>
      <x v="3094"/>
      <x v="1404"/>
      <x v="12"/>
      <x v="814"/>
      <x v="7"/>
      <x v="1"/>
      <x v="1"/>
      <x/>
      <x/>
    </i>
    <i>
      <x v="3095"/>
      <x v="213"/>
      <x v="12"/>
      <x v="843"/>
      <x v="7"/>
      <x v="1"/>
      <x v="1"/>
      <x/>
      <x v="7"/>
    </i>
    <i>
      <x v="3100"/>
      <x v="1046"/>
      <x v="12"/>
      <x v="840"/>
      <x v="22"/>
      <x v="2"/>
      <x v="1"/>
      <x/>
      <x v="2"/>
    </i>
    <i>
      <x v="3103"/>
      <x v="818"/>
      <x v="12"/>
      <x v="822"/>
      <x v="11"/>
      <x v="1"/>
      <x v="1"/>
      <x/>
      <x v="1"/>
    </i>
    <i>
      <x v="3104"/>
      <x v="218"/>
      <x v="12"/>
      <x v="750"/>
      <x v="19"/>
      <x v="2"/>
      <x v="1"/>
      <x/>
      <x v="3"/>
    </i>
    <i>
      <x v="3109"/>
      <x v="507"/>
      <x v="12"/>
      <x v="753"/>
      <x v="12"/>
      <x v="1"/>
      <x v="1"/>
      <x/>
      <x v="1"/>
    </i>
    <i>
      <x v="3116"/>
      <x v="3790"/>
      <x v="12"/>
      <x v="1097"/>
      <x v="25"/>
      <x v="3"/>
      <x v="1"/>
      <x/>
      <x v="1"/>
    </i>
    <i>
      <x v="3121"/>
      <x v="3796"/>
      <x v="12"/>
      <x v="1115"/>
      <x v="7"/>
      <x v="1"/>
      <x v="1"/>
      <x/>
      <x v="1"/>
    </i>
    <i>
      <x v="3122"/>
      <x v="3797"/>
      <x v="12"/>
      <x v="1012"/>
      <x v="4"/>
      <x/>
      <x v="1"/>
      <x/>
      <x v="4"/>
    </i>
    <i>
      <x v="3123"/>
      <x v="3798"/>
      <x v="12"/>
      <x v="1099"/>
      <x v="8"/>
      <x v="1"/>
      <x v="1"/>
      <x/>
      <x v="4"/>
    </i>
    <i>
      <x v="3128"/>
      <x v="3804"/>
      <x v="12"/>
      <x v="1017"/>
      <x v="31"/>
      <x v="3"/>
      <x v="1"/>
      <x/>
      <x v="4"/>
    </i>
    <i>
      <x v="3129"/>
      <x v="3805"/>
      <x v="12"/>
      <x v="1008"/>
      <x v="23"/>
      <x v="3"/>
      <x v="1"/>
      <x/>
      <x v="4"/>
    </i>
    <i>
      <x v="3132"/>
      <x v="5967"/>
      <x v="12"/>
      <x v="1318"/>
      <x v="1"/>
      <x/>
      <x v="516"/>
      <x/>
      <x v="2"/>
    </i>
    <i>
      <x v="3150"/>
      <x v="3855"/>
      <x v="12"/>
      <x v="1080"/>
      <x v="17"/>
      <x v="2"/>
      <x v="31"/>
      <x/>
      <x/>
    </i>
    <i>
      <x v="3153"/>
      <x v="3861"/>
      <x v="11"/>
      <x v="1088"/>
      <x v="29"/>
      <x v="3"/>
      <x v="31"/>
      <x/>
      <x v="2"/>
    </i>
    <i>
      <x v="3154"/>
      <x v="3863"/>
      <x v="12"/>
      <x v="1089"/>
      <x v="12"/>
      <x v="1"/>
      <x v="31"/>
      <x/>
      <x v="2"/>
    </i>
    <i>
      <x v="3159"/>
      <x v="3868"/>
      <x v="12"/>
      <x v="1086"/>
      <x v="22"/>
      <x v="2"/>
      <x v="31"/>
      <x/>
      <x/>
    </i>
    <i>
      <x v="3166"/>
      <x v="3876"/>
      <x v="12"/>
      <x v="1004"/>
      <x v="23"/>
      <x v="3"/>
      <x v="31"/>
      <x/>
      <x v="2"/>
    </i>
    <i>
      <x v="3171"/>
      <x v="3884"/>
      <x v="12"/>
      <x v="1004"/>
      <x v="20"/>
      <x v="2"/>
      <x v="31"/>
      <x/>
      <x/>
    </i>
    <i>
      <x v="3190"/>
      <x v="3909"/>
      <x v="12"/>
      <x v="1150"/>
      <x v="25"/>
      <x v="3"/>
      <x v="76"/>
      <x v="1"/>
      <x v="2"/>
    </i>
    <i>
      <x v="3203"/>
      <x v="1762"/>
      <x v="12"/>
      <x v="1230"/>
      <x v="20"/>
      <x v="2"/>
      <x v="31"/>
      <x/>
      <x/>
    </i>
    <i>
      <x v="3223"/>
      <x v="4021"/>
      <x v="12"/>
      <x v="1219"/>
      <x v="20"/>
      <x v="2"/>
      <x v="498"/>
      <x/>
      <x/>
    </i>
    <i>
      <x v="3244"/>
      <x v="4087"/>
      <x v="11"/>
      <x v="1226"/>
      <x v="31"/>
      <x v="3"/>
      <x v="31"/>
      <x/>
      <x v="2"/>
    </i>
    <i>
      <x v="3246"/>
      <x v="2142"/>
      <x v="12"/>
      <x v="1195"/>
      <x v="22"/>
      <x v="2"/>
      <x v="31"/>
      <x/>
      <x v="7"/>
    </i>
    <i>
      <x v="3259"/>
      <x v="4137"/>
      <x v="12"/>
      <x v="1217"/>
      <x v="10"/>
      <x v="1"/>
      <x v="31"/>
      <x/>
      <x v="2"/>
    </i>
    <i>
      <x v="3262"/>
      <x v="4140"/>
      <x v="12"/>
      <x v="1214"/>
      <x v="22"/>
      <x v="2"/>
      <x v="31"/>
      <x/>
      <x v="2"/>
    </i>
    <i>
      <x v="3273"/>
      <x v="4158"/>
      <x v="12"/>
      <x v="1229"/>
      <x v="59"/>
      <x v="6"/>
      <x v="510"/>
      <x/>
      <x/>
    </i>
    <i>
      <x v="3281"/>
      <x v="3777"/>
      <x v="12"/>
      <x v="1195"/>
      <x v="19"/>
      <x v="2"/>
      <x v="499"/>
      <x/>
      <x v="2"/>
    </i>
    <i>
      <x v="3284"/>
      <x v="5136"/>
      <x v="12"/>
      <x v="1246"/>
      <x v="17"/>
      <x v="2"/>
      <x v="499"/>
      <x/>
      <x v="7"/>
    </i>
    <i>
      <x v="3304"/>
      <x v="4254"/>
      <x v="12"/>
      <x v="1373"/>
      <x v="29"/>
      <x v="3"/>
      <x v="31"/>
      <x/>
      <x v="1"/>
    </i>
    <i>
      <x v="3305"/>
      <x v="7239"/>
      <x v="12"/>
      <x v="1384"/>
      <x v="11"/>
      <x v="1"/>
      <x v="31"/>
      <x/>
      <x v="7"/>
    </i>
    <i>
      <x v="3314"/>
      <x v="4292"/>
      <x v="11"/>
      <x v="1172"/>
      <x v="3"/>
      <x/>
      <x v="31"/>
      <x/>
      <x v="2"/>
    </i>
    <i>
      <x v="3329"/>
      <x v="4311"/>
      <x v="12"/>
      <x v="1187"/>
      <x v="10"/>
      <x v="1"/>
      <x v="31"/>
      <x/>
      <x v="4"/>
    </i>
    <i>
      <x v="3335"/>
      <x v="4320"/>
      <x v="12"/>
      <x v="1175"/>
      <x v="19"/>
      <x v="2"/>
      <x v="31"/>
      <x/>
      <x/>
    </i>
    <i>
      <x v="3350"/>
      <x v="4341"/>
      <x v="12"/>
      <x v="1154"/>
      <x v="28"/>
      <x v="3"/>
      <x v="31"/>
      <x/>
      <x/>
    </i>
    <i>
      <x v="3351"/>
      <x v="4342"/>
      <x v="12"/>
      <x v="1175"/>
      <x v="22"/>
      <x v="2"/>
      <x v="31"/>
      <x/>
      <x v="2"/>
    </i>
    <i>
      <x v="3352"/>
      <x v="4343"/>
      <x v="11"/>
      <x v="1172"/>
      <x v="15"/>
      <x v="2"/>
      <x v="31"/>
      <x/>
      <x v="2"/>
    </i>
    <i>
      <x v="3357"/>
      <x v="4350"/>
      <x v="12"/>
      <x v="1172"/>
      <x v="28"/>
      <x v="3"/>
      <x v="31"/>
      <x/>
      <x/>
    </i>
    <i>
      <x v="3373"/>
      <x v="2187"/>
      <x v="12"/>
      <x v="359"/>
      <x v="20"/>
      <x v="2"/>
      <x v="31"/>
      <x/>
      <x/>
    </i>
    <i>
      <x v="3376"/>
      <x v="563"/>
      <x v="12"/>
      <x v="1396"/>
      <x v="21"/>
      <x v="2"/>
      <x v="31"/>
      <x/>
      <x v="2"/>
    </i>
    <i>
      <x v="3377"/>
      <x v="1006"/>
      <x v="12"/>
      <x v="559"/>
      <x v="12"/>
      <x v="1"/>
      <x v="491"/>
      <x/>
      <x v="3"/>
    </i>
    <i>
      <x v="3378"/>
      <x v="803"/>
      <x v="12"/>
      <x v="576"/>
      <x v="24"/>
      <x v="3"/>
      <x v="31"/>
      <x/>
      <x/>
    </i>
    <i>
      <x v="3379"/>
      <x v="1434"/>
      <x v="12"/>
      <x v="587"/>
      <x v="13"/>
      <x v="1"/>
      <x v="31"/>
      <x/>
      <x v="4"/>
    </i>
    <i>
      <x v="3383"/>
      <x v="2190"/>
      <x v="12"/>
      <x v="591"/>
      <x v="16"/>
      <x v="2"/>
      <x v="500"/>
      <x/>
      <x v="6"/>
    </i>
    <i>
      <x v="3386"/>
      <x v="856"/>
      <x v="11"/>
      <x v="750"/>
      <x v="22"/>
      <x v="2"/>
      <x v="31"/>
      <x/>
      <x/>
    </i>
    <i>
      <x v="3388"/>
      <x v="138"/>
      <x v="12"/>
      <x v="759"/>
      <x v="20"/>
      <x v="2"/>
      <x v="31"/>
      <x/>
      <x/>
    </i>
    <i>
      <x v="3393"/>
      <x v="1509"/>
      <x v="12"/>
      <x v="976"/>
      <x v="6"/>
      <x v="1"/>
      <x v="31"/>
      <x/>
      <x/>
    </i>
    <i>
      <x v="3394"/>
      <x v="2198"/>
      <x v="12"/>
      <x v="982"/>
      <x v="32"/>
      <x v="4"/>
      <x v="31"/>
      <x/>
      <x v="4"/>
    </i>
    <i>
      <x v="3396"/>
      <x v="802"/>
      <x v="12"/>
      <x v="987"/>
      <x v="21"/>
      <x v="2"/>
      <x v="31"/>
      <x/>
      <x/>
    </i>
    <i>
      <x v="3399"/>
      <x v="2200"/>
      <x v="12"/>
      <x v="987"/>
      <x v="15"/>
      <x v="2"/>
      <x v="31"/>
      <x/>
      <x/>
    </i>
    <i>
      <x v="3400"/>
      <x v="2717"/>
      <x v="12"/>
      <x v="998"/>
      <x v="33"/>
      <x v="4"/>
      <x v="31"/>
      <x/>
      <x v="2"/>
    </i>
    <i>
      <x v="3408"/>
      <x v="2919"/>
      <x v="12"/>
      <x v="1039"/>
      <x v="2"/>
      <x/>
      <x v="31"/>
      <x/>
      <x v="6"/>
    </i>
    <i>
      <x v="3409"/>
      <x v="2332"/>
      <x v="11"/>
      <x v="1101"/>
      <x v="5"/>
      <x/>
      <x v="31"/>
      <x/>
      <x v="2"/>
    </i>
    <i>
      <x v="3415"/>
      <x v="3170"/>
      <x v="12"/>
      <x v="1080"/>
      <x v="14"/>
      <x v="2"/>
      <x v="31"/>
      <x/>
      <x v="2"/>
    </i>
    <i>
      <x v="3424"/>
      <x v="3387"/>
      <x v="12"/>
      <x v="1135"/>
      <x v="12"/>
      <x v="1"/>
      <x v="31"/>
      <x/>
      <x v="2"/>
    </i>
    <i>
      <x v="3425"/>
      <x v="3827"/>
      <x v="12"/>
      <x v="1154"/>
      <x v="22"/>
      <x v="2"/>
      <x v="31"/>
      <x/>
      <x v="2"/>
    </i>
    <i>
      <x v="3426"/>
      <x v="3828"/>
      <x v="12"/>
      <x v="1200"/>
      <x v="22"/>
      <x v="2"/>
      <x v="31"/>
      <x/>
      <x v="2"/>
    </i>
    <i>
      <x v="3428"/>
      <x v="3831"/>
      <x v="12"/>
      <x v="1179"/>
      <x v="22"/>
      <x v="2"/>
      <x v="31"/>
      <x/>
      <x v="7"/>
    </i>
    <i>
      <x v="3429"/>
      <x v="3832"/>
      <x v="12"/>
      <x v="1199"/>
      <x v="22"/>
      <x v="2"/>
      <x v="31"/>
      <x/>
      <x v="2"/>
    </i>
    <i>
      <x v="3432"/>
      <x v="1252"/>
      <x v="12"/>
      <x v="1172"/>
      <x v="22"/>
      <x v="2"/>
      <x v="507"/>
      <x/>
      <x v="2"/>
    </i>
    <i>
      <x v="3436"/>
      <x v="4510"/>
      <x v="12"/>
      <x v="1207"/>
      <x v="28"/>
      <x v="3"/>
      <x v="31"/>
      <x/>
      <x v="4"/>
    </i>
    <i>
      <x v="3437"/>
      <x v="1767"/>
      <x v="12"/>
      <x v="1207"/>
      <x v="20"/>
      <x v="2"/>
      <x v="31"/>
      <x/>
      <x v="2"/>
    </i>
    <i>
      <x v="3439"/>
      <x v="4514"/>
      <x v="12"/>
      <x v="1208"/>
      <x v="17"/>
      <x v="2"/>
      <x v="31"/>
      <x/>
      <x/>
    </i>
    <i>
      <x v="3440"/>
      <x v="4517"/>
      <x v="12"/>
      <x v="1211"/>
      <x v="10"/>
      <x v="1"/>
      <x v="31"/>
      <x/>
      <x v="4"/>
    </i>
    <i>
      <x v="3441"/>
      <x v="4522"/>
      <x v="12"/>
      <x v="1434"/>
      <x v="34"/>
      <x v="4"/>
      <x v="31"/>
      <x/>
      <x v="2"/>
    </i>
    <i r="3">
      <x v="1435"/>
      <x v="34"/>
      <x v="4"/>
      <x v="504"/>
      <x/>
      <x v="2"/>
    </i>
    <i>
      <x v="3451"/>
      <x v="509"/>
      <x v="12"/>
      <x v="88"/>
      <x v="11"/>
      <x v="1"/>
      <x v="31"/>
      <x/>
      <x/>
    </i>
    <i>
      <x v="3455"/>
      <x v="540"/>
      <x v="12"/>
      <x v="116"/>
      <x v="8"/>
      <x v="1"/>
      <x v="31"/>
      <x/>
      <x/>
    </i>
    <i>
      <x v="3460"/>
      <x v="705"/>
      <x v="12"/>
      <x v="1164"/>
      <x v="10"/>
      <x v="1"/>
      <x v="31"/>
      <x/>
      <x v="2"/>
    </i>
    <i>
      <x v="3479"/>
      <x v="3500"/>
      <x v="12"/>
      <x v="1165"/>
      <x v="10"/>
      <x v="1"/>
      <x v="31"/>
      <x/>
      <x/>
    </i>
    <i>
      <x v="3488"/>
      <x v="4544"/>
      <x v="12"/>
      <x v="1225"/>
      <x v="27"/>
      <x v="3"/>
      <x v="31"/>
      <x v="1"/>
      <x v="4"/>
    </i>
    <i>
      <x v="3492"/>
      <x v="287"/>
      <x v="12"/>
      <x v="746"/>
      <x v="10"/>
      <x v="1"/>
      <x v="31"/>
      <x/>
      <x v="2"/>
    </i>
    <i>
      <x v="3494"/>
      <x v="4568"/>
      <x v="12"/>
      <x v="859"/>
      <x v="41"/>
      <x v="5"/>
      <x v="31"/>
      <x/>
      <x v="2"/>
    </i>
    <i>
      <x v="3504"/>
      <x v="1624"/>
      <x v="12"/>
      <x v="924"/>
      <x v="19"/>
      <x v="2"/>
      <x v="31"/>
      <x/>
      <x/>
    </i>
    <i>
      <x v="3505"/>
      <x v="3141"/>
      <x v="12"/>
      <x v="1081"/>
      <x v="33"/>
      <x v="4"/>
      <x v="31"/>
      <x/>
      <x/>
    </i>
    <i>
      <x v="3506"/>
      <x v="1623"/>
      <x v="12"/>
      <x v="924"/>
      <x v="27"/>
      <x v="3"/>
      <x v="31"/>
      <x/>
      <x/>
    </i>
    <i>
      <x v="3509"/>
      <x v="239"/>
      <x v="12"/>
      <x v="709"/>
      <x v="23"/>
      <x v="3"/>
      <x v="31"/>
      <x/>
      <x/>
    </i>
    <i>
      <x v="3512"/>
      <x v="371"/>
      <x v="12"/>
      <x v="709"/>
      <x v="21"/>
      <x v="2"/>
      <x v="31"/>
      <x/>
      <x/>
    </i>
    <i>
      <x v="3515"/>
      <x v="480"/>
      <x v="12"/>
      <x v="498"/>
      <x v="31"/>
      <x v="3"/>
      <x v="31"/>
      <x/>
      <x v="4"/>
    </i>
    <i>
      <x v="3516"/>
      <x v="533"/>
      <x v="12"/>
      <x v="454"/>
      <x v="8"/>
      <x v="1"/>
      <x v="31"/>
      <x/>
      <x/>
    </i>
    <i>
      <x v="3517"/>
      <x v="534"/>
      <x v="12"/>
      <x v="290"/>
      <x v="42"/>
      <x v="5"/>
      <x v="31"/>
      <x/>
      <x/>
    </i>
    <i>
      <x v="3518"/>
      <x v="1968"/>
      <x v="12"/>
      <x v="926"/>
      <x v="40"/>
      <x v="4"/>
      <x v="31"/>
      <x/>
      <x/>
    </i>
    <i>
      <x v="3520"/>
      <x v="3143"/>
      <x v="12"/>
      <x v="1081"/>
      <x v="20"/>
      <x v="2"/>
      <x v="31"/>
      <x/>
      <x v="2"/>
    </i>
    <i>
      <x v="3521"/>
      <x v="685"/>
      <x v="12"/>
      <x v="389"/>
      <x v="18"/>
      <x v="2"/>
      <x v="31"/>
      <x/>
      <x/>
    </i>
    <i>
      <x v="3522"/>
      <x v="847"/>
      <x v="12"/>
      <x v="498"/>
      <x v="26"/>
      <x v="3"/>
      <x v="31"/>
      <x/>
      <x/>
    </i>
    <i>
      <x v="3525"/>
      <x v="982"/>
      <x v="12"/>
      <x v="772"/>
      <x v="19"/>
      <x v="2"/>
      <x v="31"/>
      <x/>
      <x/>
    </i>
    <i>
      <x v="3526"/>
      <x v="7908"/>
      <x v="12"/>
      <x v="501"/>
      <x v="23"/>
      <x v="3"/>
      <x v="31"/>
      <x/>
      <x/>
    </i>
    <i>
      <x v="3529"/>
      <x v="1389"/>
      <x v="12"/>
      <x v="498"/>
      <x v="20"/>
      <x v="2"/>
      <x v="31"/>
      <x/>
      <x/>
    </i>
    <i>
      <x v="3533"/>
      <x v="4600"/>
      <x v="12"/>
      <x v="1222"/>
      <x v="7"/>
      <x v="1"/>
      <x v="31"/>
      <x/>
      <x/>
    </i>
    <i>
      <x v="3534"/>
      <x v="4603"/>
      <x v="12"/>
      <x v="1239"/>
      <x v="31"/>
      <x v="3"/>
      <x v="31"/>
      <x/>
      <x/>
    </i>
    <i>
      <x v="3536"/>
      <x v="4606"/>
      <x v="12"/>
      <x v="1218"/>
      <x v="23"/>
      <x v="3"/>
      <x v="31"/>
      <x/>
      <x v="1"/>
    </i>
    <i>
      <x v="3549"/>
      <x v="41"/>
      <x v="12"/>
      <x v="1370"/>
      <x v="16"/>
      <x v="2"/>
      <x v="31"/>
      <x v="1"/>
      <x v="2"/>
    </i>
    <i>
      <x v="3558"/>
      <x v="608"/>
      <x v="12"/>
      <x v="1370"/>
      <x v="27"/>
      <x v="3"/>
      <x v="31"/>
      <x v="1"/>
      <x v="2"/>
    </i>
    <i>
      <x v="3568"/>
      <x v="4690"/>
      <x v="12"/>
      <x v="1360"/>
      <x v="45"/>
      <x v="5"/>
      <x v="31"/>
      <x/>
      <x v="2"/>
    </i>
    <i>
      <x v="3571"/>
      <x v="4712"/>
      <x v="11"/>
      <x v="1247"/>
      <x v="1"/>
      <x/>
      <x v="31"/>
      <x/>
      <x/>
    </i>
    <i>
      <x v="3572"/>
      <x v="4713"/>
      <x v="11"/>
      <x v="1248"/>
      <x v="25"/>
      <x v="3"/>
      <x v="31"/>
      <x/>
      <x v="2"/>
    </i>
    <i>
      <x v="3579"/>
      <x v="4731"/>
      <x v="12"/>
      <x v="1249"/>
      <x v="36"/>
      <x v="4"/>
      <x v="31"/>
      <x/>
      <x/>
    </i>
    <i>
      <x v="3593"/>
      <x v="1346"/>
      <x v="12"/>
      <x v="1255"/>
      <x v="11"/>
      <x v="1"/>
      <x v="31"/>
      <x/>
      <x/>
    </i>
    <i>
      <x v="3595"/>
      <x v="4786"/>
      <x v="12"/>
      <x v="1197"/>
      <x v="22"/>
      <x v="2"/>
      <x v="31"/>
      <x/>
      <x v="2"/>
    </i>
    <i>
      <x v="3597"/>
      <x v="4790"/>
      <x v="12"/>
      <x v="1246"/>
      <x v="30"/>
      <x v="3"/>
      <x v="31"/>
      <x/>
      <x v="2"/>
    </i>
    <i>
      <x v="3598"/>
      <x v="4791"/>
      <x v="12"/>
      <x v="1249"/>
      <x v="22"/>
      <x v="2"/>
      <x v="31"/>
      <x/>
      <x v="2"/>
    </i>
    <i>
      <x v="3599"/>
      <x v="4793"/>
      <x v="12"/>
      <x v="1253"/>
      <x v="13"/>
      <x v="1"/>
      <x v="31"/>
      <x/>
      <x/>
    </i>
    <i>
      <x v="3602"/>
      <x v="4797"/>
      <x v="12"/>
      <x v="1242"/>
      <x v="11"/>
      <x v="1"/>
      <x v="31"/>
      <x/>
      <x v="2"/>
    </i>
    <i>
      <x v="3603"/>
      <x v="4798"/>
      <x v="12"/>
      <x v="1242"/>
      <x v="4"/>
      <x/>
      <x v="31"/>
      <x/>
      <x v="2"/>
    </i>
    <i>
      <x v="3605"/>
      <x v="4800"/>
      <x v="12"/>
      <x v="1242"/>
      <x v="2"/>
      <x/>
      <x v="496"/>
      <x/>
      <x v="2"/>
    </i>
    <i>
      <x v="3606"/>
      <x v="4801"/>
      <x v="12"/>
      <x v="1242"/>
      <x v="10"/>
      <x v="1"/>
      <x v="31"/>
      <x/>
      <x v="2"/>
    </i>
    <i>
      <x v="3608"/>
      <x v="4803"/>
      <x v="12"/>
      <x v="1242"/>
      <x v="25"/>
      <x v="3"/>
      <x v="31"/>
      <x/>
      <x v="2"/>
    </i>
    <i>
      <x v="3609"/>
      <x v="4804"/>
      <x v="12"/>
      <x v="1242"/>
      <x v="1"/>
      <x/>
      <x v="31"/>
      <x/>
      <x v="2"/>
    </i>
    <i>
      <x v="3617"/>
      <x v="4820"/>
      <x v="12"/>
      <x v="1259"/>
      <x v="4"/>
      <x/>
      <x v="31"/>
      <x v="1"/>
      <x v="2"/>
    </i>
    <i>
      <x v="3623"/>
      <x v="4826"/>
      <x v="11"/>
      <x v="1254"/>
      <x v="16"/>
      <x v="2"/>
      <x v="31"/>
      <x v="1"/>
      <x v="7"/>
    </i>
    <i>
      <x v="3625"/>
      <x v="4841"/>
      <x v="12"/>
      <x v="1353"/>
      <x v="12"/>
      <x v="1"/>
      <x v="31"/>
      <x/>
      <x v="2"/>
    </i>
    <i>
      <x v="3632"/>
      <x v="4859"/>
      <x v="12"/>
      <x v="1246"/>
      <x v="28"/>
      <x v="3"/>
      <x v="76"/>
      <x v="1"/>
      <x v="2"/>
    </i>
    <i>
      <x v="3640"/>
      <x v="4226"/>
      <x v="12"/>
      <x v="1370"/>
      <x v="32"/>
      <x v="4"/>
      <x v="31"/>
      <x/>
      <x v="2"/>
    </i>
    <i>
      <x v="3641"/>
      <x v="1810"/>
      <x v="12"/>
      <x v="1372"/>
      <x v="28"/>
      <x v="3"/>
      <x v="31"/>
      <x/>
      <x v="6"/>
    </i>
    <i>
      <x v="3643"/>
      <x v="3018"/>
      <x v="12"/>
      <x v="1356"/>
      <x v="40"/>
      <x v="4"/>
      <x v="31"/>
      <x/>
      <x/>
    </i>
    <i>
      <x v="3644"/>
      <x v="7237"/>
      <x v="12"/>
      <x v="1384"/>
      <x v="37"/>
      <x v="4"/>
      <x v="31"/>
      <x/>
      <x v="3"/>
    </i>
    <i>
      <x v="3646"/>
      <x v="7357"/>
      <x v="12"/>
      <x v="1407"/>
      <x v="31"/>
      <x v="3"/>
      <x v="31"/>
      <x/>
      <x v="6"/>
    </i>
    <i>
      <x v="3651"/>
      <x v="4243"/>
      <x v="12"/>
      <x v="1370"/>
      <x v="21"/>
      <x v="2"/>
      <x v="31"/>
      <x/>
      <x v="2"/>
    </i>
    <i>
      <x v="3652"/>
      <x v="4248"/>
      <x v="12"/>
      <x v="1357"/>
      <x v="20"/>
      <x v="2"/>
      <x v="31"/>
      <x/>
      <x v="4"/>
    </i>
    <i>
      <x v="3653"/>
      <x v="4257"/>
      <x v="12"/>
      <x v="1373"/>
      <x v="31"/>
      <x v="3"/>
      <x v="31"/>
      <x/>
      <x v="3"/>
    </i>
    <i>
      <x v="3657"/>
      <x v="4976"/>
      <x v="12"/>
      <x v="1367"/>
      <x v="28"/>
      <x v="3"/>
      <x v="31"/>
      <x/>
      <x v="6"/>
    </i>
    <i>
      <x v="3658"/>
      <x v="4978"/>
      <x v="12"/>
      <x v="1330"/>
      <x v="22"/>
      <x v="2"/>
      <x/>
      <x/>
      <x v="6"/>
    </i>
    <i>
      <x v="3661"/>
      <x v="4287"/>
      <x v="12"/>
      <x v="1120"/>
      <x v="34"/>
      <x v="4"/>
      <x v="31"/>
      <x/>
      <x/>
    </i>
    <i>
      <x v="3662"/>
      <x v="4289"/>
      <x v="12"/>
      <x v="1120"/>
      <x v="11"/>
      <x v="1"/>
      <x v="31"/>
      <x/>
      <x/>
    </i>
    <i>
      <x v="3665"/>
      <x v="4302"/>
      <x v="12"/>
      <x v="1132"/>
      <x v="40"/>
      <x v="4"/>
      <x v="31"/>
      <x/>
      <x/>
    </i>
    <i>
      <x v="3667"/>
      <x v="4314"/>
      <x v="12"/>
      <x v="1135"/>
      <x v="34"/>
      <x v="4"/>
      <x v="31"/>
      <x/>
      <x/>
    </i>
    <i>
      <x v="3668"/>
      <x v="4315"/>
      <x v="12"/>
      <x v="1212"/>
      <x v="15"/>
      <x v="2"/>
      <x v="31"/>
      <x/>
      <x/>
    </i>
    <i>
      <x v="3671"/>
      <x v="4328"/>
      <x v="12"/>
      <x v="1212"/>
      <x v="6"/>
      <x v="1"/>
      <x v="31"/>
      <x/>
      <x v="7"/>
    </i>
    <i>
      <x v="3672"/>
      <x v="1850"/>
      <x v="12"/>
      <x v="1393"/>
      <x v="5"/>
      <x/>
      <x v="31"/>
      <x/>
      <x v="2"/>
    </i>
    <i>
      <x v="3676"/>
      <x v="4351"/>
      <x v="12"/>
      <x v="1179"/>
      <x v="32"/>
      <x v="4"/>
      <x v="499"/>
      <x/>
      <x v="2"/>
    </i>
    <i>
      <x v="3677"/>
      <x v="4356"/>
      <x v="12"/>
      <x v="1212"/>
      <x v="25"/>
      <x v="3"/>
      <x v="31"/>
      <x/>
      <x v="2"/>
    </i>
    <i>
      <x v="3684"/>
      <x v="4987"/>
      <x v="12"/>
      <x v="1249"/>
      <x v="24"/>
      <x v="3"/>
      <x v="31"/>
      <x/>
      <x/>
    </i>
    <i>
      <x v="3689"/>
      <x v="4993"/>
      <x v="12"/>
      <x v="1254"/>
      <x v="16"/>
      <x v="2"/>
      <x v="31"/>
      <x/>
      <x/>
    </i>
    <i>
      <x v="3691"/>
      <x v="4995"/>
      <x v="12"/>
      <x v="1258"/>
      <x v="23"/>
      <x v="3"/>
      <x v="31"/>
      <x/>
      <x v="2"/>
    </i>
    <i>
      <x v="3695"/>
      <x v="4999"/>
      <x v="12"/>
      <x v="1255"/>
      <x v="23"/>
      <x v="3"/>
      <x v="31"/>
      <x/>
      <x/>
    </i>
    <i>
      <x v="3697"/>
      <x v="5001"/>
      <x v="12"/>
      <x v="1259"/>
      <x v="14"/>
      <x v="2"/>
      <x v="31"/>
      <x/>
      <x v="2"/>
    </i>
    <i>
      <x v="3742"/>
      <x v="5411"/>
      <x v="12"/>
      <x v="1272"/>
      <x v="30"/>
      <x v="3"/>
      <x v="31"/>
      <x/>
      <x v="7"/>
    </i>
    <i>
      <x v="3743"/>
      <x v="3634"/>
      <x v="12"/>
      <x v="1189"/>
      <x v="32"/>
      <x v="4"/>
      <x v="498"/>
      <x/>
      <x v="2"/>
    </i>
    <i r="3">
      <x v="1433"/>
      <x v="32"/>
      <x v="4"/>
      <x v="31"/>
      <x/>
      <x v="2"/>
    </i>
    <i>
      <x v="3746"/>
      <x v="7535"/>
      <x v="12"/>
      <x v="1395"/>
      <x v="25"/>
      <x v="3"/>
      <x v="31"/>
      <x/>
      <x v="7"/>
    </i>
    <i>
      <x v="3759"/>
      <x v="282"/>
      <x v="12"/>
      <x v="911"/>
      <x v="15"/>
      <x v="2"/>
      <x v="498"/>
      <x/>
      <x v="1"/>
    </i>
    <i>
      <x v="3767"/>
      <x v="512"/>
      <x v="11"/>
      <x v="1272"/>
      <x v="26"/>
      <x v="3"/>
      <x v="31"/>
      <x/>
      <x v="2"/>
    </i>
    <i r="3">
      <x v="1353"/>
      <x v="26"/>
      <x v="3"/>
      <x v="31"/>
      <x/>
      <x v="2"/>
    </i>
    <i>
      <x v="3769"/>
      <x v="7531"/>
      <x v="12"/>
      <x v="1390"/>
      <x v="33"/>
      <x v="4"/>
      <x v="31"/>
      <x/>
      <x v="7"/>
    </i>
    <i>
      <x v="3770"/>
      <x v="7134"/>
      <x v="12"/>
      <x v="1341"/>
      <x v="30"/>
      <x v="3"/>
      <x v="31"/>
      <x/>
      <x v="3"/>
    </i>
    <i>
      <x v="3771"/>
      <x v="6712"/>
      <x v="12"/>
      <x v="1358"/>
      <x v="28"/>
      <x v="3"/>
      <x v="31"/>
      <x/>
      <x/>
    </i>
    <i>
      <x v="3772"/>
      <x v="569"/>
      <x v="12"/>
      <x v="1353"/>
      <x v="25"/>
      <x v="3"/>
      <x v="31"/>
      <x/>
      <x v="1"/>
    </i>
    <i>
      <x v="3776"/>
      <x v="6952"/>
      <x v="12"/>
      <x v="1341"/>
      <x v="13"/>
      <x v="1"/>
      <x v="31"/>
      <x/>
      <x/>
    </i>
    <i>
      <x v="3778"/>
      <x v="653"/>
      <x v="12"/>
      <x v="1395"/>
      <x v="15"/>
      <x v="2"/>
      <x v="31"/>
      <x/>
      <x/>
    </i>
    <i>
      <x v="3788"/>
      <x v="781"/>
      <x v="12"/>
      <x v="1353"/>
      <x v="16"/>
      <x v="2"/>
      <x v="31"/>
      <x/>
      <x v="2"/>
    </i>
    <i>
      <x v="3803"/>
      <x v="5416"/>
      <x v="12"/>
      <x v="1278"/>
      <x v="14"/>
      <x v="2"/>
      <x v="31"/>
      <x/>
      <x/>
    </i>
    <i>
      <x v="3807"/>
      <x v="1087"/>
      <x v="12"/>
      <x v="771"/>
      <x v="26"/>
      <x v="3"/>
      <x v="507"/>
      <x/>
      <x v="2"/>
    </i>
    <i r="3">
      <x v="1421"/>
      <x v="26"/>
      <x v="3"/>
      <x v="31"/>
      <x/>
      <x v="2"/>
    </i>
    <i>
      <x v="3811"/>
      <x v="1559"/>
      <x v="12"/>
      <x v="1040"/>
      <x v="32"/>
      <x v="4"/>
      <x v="498"/>
      <x/>
      <x/>
    </i>
    <i r="3">
      <x v="1433"/>
      <x v="32"/>
      <x v="4"/>
      <x v="31"/>
      <x/>
      <x/>
    </i>
    <i>
      <x v="3817"/>
      <x v="6609"/>
      <x v="12"/>
      <x v="1331"/>
      <x v="20"/>
      <x v="2"/>
      <x v="31"/>
      <x/>
      <x/>
    </i>
    <i>
      <x v="3823"/>
      <x v="1554"/>
      <x v="12"/>
      <x v="1278"/>
      <x v="6"/>
      <x v="1"/>
      <x v="31"/>
      <x/>
      <x v="2"/>
    </i>
    <i>
      <x v="3835"/>
      <x v="5934"/>
      <x v="12"/>
      <x v="1317"/>
      <x v="18"/>
      <x v="2"/>
      <x/>
      <x/>
      <x/>
    </i>
    <i>
      <x v="3844"/>
      <x v="5122"/>
      <x v="12"/>
      <x v="1266"/>
      <x v="9"/>
      <x v="1"/>
      <x v="31"/>
      <x/>
      <x v="2"/>
    </i>
    <i>
      <x v="3851"/>
      <x v="700"/>
      <x v="12"/>
      <x v="190"/>
      <x v="22"/>
      <x v="2"/>
      <x v="31"/>
      <x/>
      <x v="2"/>
    </i>
    <i>
      <x v="3868"/>
      <x v="995"/>
      <x v="12"/>
      <x v="223"/>
      <x v="19"/>
      <x v="2"/>
      <x v="31"/>
      <x/>
      <x v="2"/>
    </i>
    <i>
      <x v="3871"/>
      <x v="1431"/>
      <x v="12"/>
      <x v="251"/>
      <x v="28"/>
      <x v="3"/>
      <x v="31"/>
      <x/>
      <x/>
    </i>
    <i>
      <x v="3879"/>
      <x v="1230"/>
      <x v="12"/>
      <x v="323"/>
      <x v="24"/>
      <x v="3"/>
      <x v="31"/>
      <x/>
      <x v="2"/>
    </i>
    <i>
      <x v="3893"/>
      <x v="1994"/>
      <x v="12"/>
      <x v="564"/>
      <x v="22"/>
      <x v="2"/>
      <x v="31"/>
      <x/>
      <x v="3"/>
    </i>
    <i>
      <x v="3896"/>
      <x v="1995"/>
      <x v="12"/>
      <x v="618"/>
      <x v="18"/>
      <x v="2"/>
      <x v="31"/>
      <x/>
      <x/>
    </i>
    <i>
      <x v="3902"/>
      <x v="2000"/>
      <x v="12"/>
      <x v="626"/>
      <x v="10"/>
      <x v="1"/>
      <x v="31"/>
      <x/>
      <x v="3"/>
    </i>
    <i>
      <x v="3910"/>
      <x v="2011"/>
      <x v="12"/>
      <x v="666"/>
      <x v="17"/>
      <x v="2"/>
      <x v="31"/>
      <x/>
      <x v="2"/>
    </i>
    <i>
      <x v="3918"/>
      <x v="2019"/>
      <x v="12"/>
      <x v="697"/>
      <x v="16"/>
      <x v="2"/>
      <x v="31"/>
      <x/>
      <x/>
    </i>
    <i>
      <x v="3932"/>
      <x v="1048"/>
      <x v="12"/>
      <x v="902"/>
      <x v="17"/>
      <x v="2"/>
      <x v="31"/>
      <x/>
      <x/>
    </i>
    <i>
      <x v="3935"/>
      <x v="1645"/>
      <x v="12"/>
      <x v="912"/>
      <x v="26"/>
      <x v="3"/>
      <x v="31"/>
      <x/>
      <x v="2"/>
    </i>
    <i>
      <x v="3937"/>
      <x v="1655"/>
      <x v="12"/>
      <x v="921"/>
      <x v="13"/>
      <x v="1"/>
      <x v="31"/>
      <x/>
      <x v="2"/>
    </i>
    <i>
      <x v="3939"/>
      <x v="804"/>
      <x v="11"/>
      <x v="924"/>
      <x v="12"/>
      <x v="1"/>
      <x v="31"/>
      <x/>
      <x v="2"/>
    </i>
    <i>
      <x v="3941"/>
      <x v="1642"/>
      <x v="12"/>
      <x v="925"/>
      <x v="8"/>
      <x v="1"/>
      <x v="31"/>
      <x/>
      <x v="2"/>
    </i>
    <i>
      <x v="3945"/>
      <x v="1653"/>
      <x v="12"/>
      <x v="927"/>
      <x v="15"/>
      <x v="2"/>
      <x v="31"/>
      <x/>
      <x v="2"/>
    </i>
    <i>
      <x v="3952"/>
      <x v="1659"/>
      <x v="12"/>
      <x v="936"/>
      <x v="10"/>
      <x v="1"/>
      <x v="31"/>
      <x/>
      <x v="6"/>
    </i>
    <i>
      <x v="3954"/>
      <x v="2039"/>
      <x v="12"/>
      <x v="938"/>
      <x v="14"/>
      <x v="2"/>
      <x v="501"/>
      <x/>
      <x/>
    </i>
    <i>
      <x v="3955"/>
      <x v="2041"/>
      <x v="12"/>
      <x v="939"/>
      <x v="6"/>
      <x v="1"/>
      <x v="31"/>
      <x/>
      <x v="1"/>
    </i>
    <i>
      <x v="3956"/>
      <x v="2043"/>
      <x v="12"/>
      <x v="943"/>
      <x v="14"/>
      <x v="2"/>
      <x v="31"/>
      <x v="1"/>
      <x v="4"/>
    </i>
    <i>
      <x v="3957"/>
      <x v="1054"/>
      <x v="12"/>
      <x v="945"/>
      <x v="25"/>
      <x v="3"/>
      <x v="31"/>
      <x/>
      <x v="2"/>
    </i>
    <i>
      <x v="3958"/>
      <x v="7861"/>
      <x v="12"/>
      <x v="1422"/>
      <x v="10"/>
      <x v="1"/>
      <x v="31"/>
      <x/>
      <x v="2"/>
    </i>
    <i>
      <x v="3961"/>
      <x v="2047"/>
      <x v="12"/>
      <x v="951"/>
      <x v="29"/>
      <x v="3"/>
      <x v="31"/>
      <x/>
      <x v="2"/>
    </i>
    <i>
      <x v="3969"/>
      <x v="2056"/>
      <x v="12"/>
      <x v="957"/>
      <x v="6"/>
      <x v="1"/>
      <x v="31"/>
      <x v="1"/>
      <x v="2"/>
    </i>
    <i>
      <x v="3970"/>
      <x v="2057"/>
      <x v="12"/>
      <x v="959"/>
      <x v="36"/>
      <x v="4"/>
      <x v="515"/>
      <x/>
      <x v="2"/>
    </i>
    <i>
      <x v="3972"/>
      <x v="2059"/>
      <x v="12"/>
      <x v="960"/>
      <x v="14"/>
      <x v="2"/>
      <x v="31"/>
      <x/>
      <x v="2"/>
    </i>
    <i>
      <x v="3973"/>
      <x v="2701"/>
      <x v="12"/>
      <x v="963"/>
      <x v="30"/>
      <x v="3"/>
      <x v="31"/>
      <x/>
      <x v="2"/>
    </i>
    <i>
      <x v="3977"/>
      <x v="2711"/>
      <x v="12"/>
      <x v="1007"/>
      <x v="35"/>
      <x v="4"/>
      <x v="31"/>
      <x/>
      <x/>
    </i>
    <i>
      <x v="3978"/>
      <x v="2299"/>
      <x v="12"/>
      <x v="996"/>
      <x v="9"/>
      <x v="1"/>
      <x v="500"/>
      <x/>
      <x v="2"/>
    </i>
    <i>
      <x v="3985"/>
      <x v="1372"/>
      <x v="12"/>
      <x v="1082"/>
      <x v="33"/>
      <x v="4"/>
      <x v="31"/>
      <x/>
      <x v="2"/>
    </i>
    <i>
      <x v="3992"/>
      <x v="4216"/>
      <x v="12"/>
      <x v="1218"/>
      <x v="10"/>
      <x v="1"/>
      <x v="31"/>
      <x/>
      <x v="2"/>
    </i>
    <i>
      <x v="3993"/>
      <x v="4217"/>
      <x v="12"/>
      <x v="1218"/>
      <x v="14"/>
      <x v="2"/>
      <x v="31"/>
      <x/>
      <x v="2"/>
    </i>
    <i>
      <x v="3996"/>
      <x v="4220"/>
      <x v="12"/>
      <x v="1216"/>
      <x v="45"/>
      <x v="5"/>
      <x v="31"/>
      <x/>
      <x v="2"/>
    </i>
    <i>
      <x v="4000"/>
      <x v="5143"/>
      <x v="12"/>
      <x v="1248"/>
      <x v="33"/>
      <x v="4"/>
      <x v="31"/>
      <x/>
      <x v="2"/>
    </i>
    <i>
      <x v="4001"/>
      <x v="5144"/>
      <x v="12"/>
      <x v="1252"/>
      <x v="8"/>
      <x v="1"/>
      <x v="31"/>
      <x/>
      <x v="2"/>
    </i>
    <i>
      <x v="4002"/>
      <x v="5145"/>
      <x v="12"/>
      <x v="1248"/>
      <x v="11"/>
      <x v="1"/>
      <x v="31"/>
      <x/>
      <x v="2"/>
    </i>
    <i>
      <x v="4016"/>
      <x v="3857"/>
      <x v="12"/>
      <x v="1121"/>
      <x v="32"/>
      <x v="4"/>
      <x v="31"/>
      <x/>
      <x v="2"/>
    </i>
    <i>
      <x v="4017"/>
      <x v="463"/>
      <x v="12"/>
      <x v="1126"/>
      <x v="15"/>
      <x v="2"/>
      <x v="31"/>
      <x/>
      <x v="2"/>
    </i>
    <i>
      <x v="4021"/>
      <x v="4553"/>
      <x v="12"/>
      <x v="1121"/>
      <x v="20"/>
      <x v="2"/>
      <x v="31"/>
      <x/>
      <x v="2"/>
    </i>
    <i>
      <x v="4023"/>
      <x v="4555"/>
      <x v="12"/>
      <x v="1220"/>
      <x v="32"/>
      <x v="4"/>
      <x v="31"/>
      <x/>
      <x v="2"/>
    </i>
    <i>
      <x v="4024"/>
      <x v="4556"/>
      <x v="12"/>
      <x v="1220"/>
      <x v="8"/>
      <x v="1"/>
      <x v="31"/>
      <x/>
      <x v="2"/>
    </i>
    <i>
      <x v="4025"/>
      <x v="4557"/>
      <x v="11"/>
      <x v="1220"/>
      <x v="16"/>
      <x v="2"/>
      <x v="31"/>
      <x/>
      <x v="7"/>
    </i>
    <i>
      <x v="4027"/>
      <x v="686"/>
      <x v="12"/>
      <x v="1184"/>
      <x v="3"/>
      <x/>
      <x v="31"/>
      <x/>
      <x/>
    </i>
    <i>
      <x v="4032"/>
      <x v="2107"/>
      <x v="12"/>
      <x v="956"/>
      <x v="20"/>
      <x v="2"/>
      <x/>
      <x/>
      <x v="2"/>
    </i>
    <i>
      <x v="4034"/>
      <x v="5164"/>
      <x v="12"/>
      <x v="1258"/>
      <x v="22"/>
      <x v="2"/>
      <x/>
      <x/>
      <x v="1"/>
    </i>
    <i>
      <x v="4036"/>
      <x v="2117"/>
      <x v="12"/>
      <x v="948"/>
      <x v="21"/>
      <x v="2"/>
      <x/>
      <x/>
      <x v="2"/>
    </i>
    <i>
      <x v="4037"/>
      <x v="5165"/>
      <x v="12"/>
      <x v="1258"/>
      <x v="15"/>
      <x v="2"/>
      <x/>
      <x/>
      <x v="2"/>
    </i>
    <i>
      <x v="4038"/>
      <x v="200"/>
      <x v="12"/>
      <x v="908"/>
      <x v="25"/>
      <x v="3"/>
      <x/>
      <x/>
      <x v="2"/>
    </i>
    <i>
      <x v="4041"/>
      <x v="5167"/>
      <x v="12"/>
      <x v="1258"/>
      <x v="25"/>
      <x v="3"/>
      <x/>
      <x/>
      <x v="2"/>
    </i>
    <i>
      <x v="4047"/>
      <x v="1411"/>
      <x v="12"/>
      <x v="556"/>
      <x v="35"/>
      <x v="4"/>
      <x/>
      <x/>
      <x v="2"/>
    </i>
    <i>
      <x v="4054"/>
      <x v="5179"/>
      <x v="12"/>
      <x v="1269"/>
      <x v="36"/>
      <x v="4"/>
      <x v="31"/>
      <x/>
      <x v="2"/>
    </i>
    <i>
      <x v="4061"/>
      <x v="5186"/>
      <x v="12"/>
      <x v="1268"/>
      <x v="22"/>
      <x v="2"/>
      <x v="501"/>
      <x/>
      <x v="2"/>
    </i>
    <i>
      <x v="4075"/>
      <x v="5200"/>
      <x v="12"/>
      <x v="1273"/>
      <x v="7"/>
      <x v="1"/>
      <x v="31"/>
      <x/>
      <x v="7"/>
    </i>
    <i>
      <x v="4076"/>
      <x v="5201"/>
      <x v="12"/>
      <x v="1273"/>
      <x v="30"/>
      <x v="3"/>
      <x v="31"/>
      <x/>
      <x v="2"/>
    </i>
    <i>
      <x v="4088"/>
      <x v="5216"/>
      <x v="12"/>
      <x v="1301"/>
      <x v="32"/>
      <x v="4"/>
      <x v="31"/>
      <x/>
      <x v="2"/>
    </i>
    <i>
      <x v="4089"/>
      <x v="5222"/>
      <x v="12"/>
      <x v="1300"/>
      <x v="23"/>
      <x v="3"/>
      <x v="31"/>
      <x/>
      <x v="2"/>
    </i>
    <i>
      <x v="4112"/>
      <x v="347"/>
      <x v="12"/>
      <x v="1429"/>
      <x v="8"/>
      <x v="1"/>
      <x v="31"/>
      <x/>
      <x v="1"/>
    </i>
    <i>
      <x v="4116"/>
      <x v="5267"/>
      <x v="11"/>
      <x v="1271"/>
      <x v="4"/>
      <x/>
      <x v="31"/>
      <x/>
      <x v="2"/>
    </i>
    <i>
      <x v="4117"/>
      <x v="5268"/>
      <x v="11"/>
      <x v="1281"/>
      <x v="33"/>
      <x v="4"/>
      <x v="31"/>
      <x/>
      <x v="2"/>
    </i>
    <i>
      <x v="4130"/>
      <x v="5287"/>
      <x v="12"/>
      <x v="1262"/>
      <x v="25"/>
      <x v="3"/>
      <x v="31"/>
      <x/>
      <x v="2"/>
    </i>
    <i>
      <x v="4134"/>
      <x v="5293"/>
      <x v="12"/>
      <x v="1270"/>
      <x v="30"/>
      <x v="3"/>
      <x v="31"/>
      <x/>
      <x v="3"/>
    </i>
    <i>
      <x v="4136"/>
      <x v="5297"/>
      <x v="12"/>
      <x v="1266"/>
      <x v="29"/>
      <x v="3"/>
      <x v="31"/>
      <x/>
      <x/>
    </i>
    <i>
      <x v="4142"/>
      <x v="5305"/>
      <x v="12"/>
      <x v="1284"/>
      <x v="18"/>
      <x v="2"/>
      <x v="31"/>
      <x/>
      <x v="2"/>
    </i>
    <i>
      <x v="4144"/>
      <x v="5307"/>
      <x v="12"/>
      <x v="1284"/>
      <x v="26"/>
      <x v="3"/>
      <x v="31"/>
      <x/>
      <x/>
    </i>
    <i>
      <x v="4145"/>
      <x v="5309"/>
      <x v="12"/>
      <x v="1284"/>
      <x v="12"/>
      <x v="1"/>
      <x v="31"/>
      <x/>
      <x/>
    </i>
    <i>
      <x v="4146"/>
      <x v="5310"/>
      <x v="12"/>
      <x v="1284"/>
      <x v="10"/>
      <x v="1"/>
      <x v="31"/>
      <x/>
      <x/>
    </i>
    <i>
      <x v="4155"/>
      <x v="5338"/>
      <x v="12"/>
      <x v="1384"/>
      <x v="25"/>
      <x v="3"/>
      <x v="31"/>
      <x/>
      <x v="2"/>
    </i>
    <i>
      <x v="4158"/>
      <x v="5342"/>
      <x v="12"/>
      <x v="1272"/>
      <x v="26"/>
      <x v="3"/>
      <x v="31"/>
      <x/>
      <x v="3"/>
    </i>
    <i>
      <x v="4172"/>
      <x v="5361"/>
      <x v="12"/>
      <x v="1259"/>
      <x v="13"/>
      <x v="1"/>
      <x v="31"/>
      <x/>
      <x/>
    </i>
    <i>
      <x v="4174"/>
      <x v="5363"/>
      <x v="12"/>
      <x v="1259"/>
      <x v="7"/>
      <x v="1"/>
      <x v="31"/>
      <x/>
      <x v="7"/>
    </i>
    <i>
      <x v="4175"/>
      <x v="5368"/>
      <x v="12"/>
      <x v="1276"/>
      <x v="9"/>
      <x v="1"/>
      <x v="31"/>
      <x/>
      <x v="2"/>
    </i>
    <i>
      <x v="4183"/>
      <x v="5378"/>
      <x v="12"/>
      <x v="1266"/>
      <x v="10"/>
      <x v="1"/>
      <x v="31"/>
      <x/>
      <x/>
    </i>
    <i>
      <x v="4185"/>
      <x v="5381"/>
      <x v="12"/>
      <x v="1266"/>
      <x v="24"/>
      <x v="3"/>
      <x v="31"/>
      <x/>
      <x v="2"/>
    </i>
    <i>
      <x v="4189"/>
      <x v="5387"/>
      <x v="12"/>
      <x v="1286"/>
      <x v="15"/>
      <x v="2"/>
      <x v="31"/>
      <x/>
      <x v="3"/>
    </i>
    <i>
      <x v="4192"/>
      <x v="1474"/>
      <x v="12"/>
      <x v="663"/>
      <x v="28"/>
      <x v="3"/>
      <x v="31"/>
      <x/>
      <x v="7"/>
    </i>
    <i r="1">
      <x v="1739"/>
      <x v="12"/>
      <x v="1386"/>
      <x v="28"/>
      <x v="3"/>
      <x v="31"/>
      <x/>
      <x v="7"/>
    </i>
    <i>
      <x v="4193"/>
      <x v="5392"/>
      <x v="12"/>
      <x v="1289"/>
      <x v="16"/>
      <x v="2"/>
      <x v="519"/>
      <x/>
      <x v="2"/>
    </i>
    <i>
      <x v="4194"/>
      <x v="5393"/>
      <x v="12"/>
      <x v="1289"/>
      <x v="8"/>
      <x v="1"/>
      <x v="31"/>
      <x/>
      <x v="2"/>
    </i>
    <i>
      <x v="4196"/>
      <x v="5395"/>
      <x v="12"/>
      <x v="1279"/>
      <x v="2"/>
      <x/>
      <x v="31"/>
      <x/>
      <x v="2"/>
    </i>
    <i>
      <x v="4197"/>
      <x v="5396"/>
      <x v="12"/>
      <x v="1279"/>
      <x v="2"/>
      <x/>
      <x v="31"/>
      <x/>
      <x v="2"/>
    </i>
    <i>
      <x v="4200"/>
      <x v="5399"/>
      <x v="12"/>
      <x v="1279"/>
      <x v="24"/>
      <x v="3"/>
      <x v="31"/>
      <x/>
      <x v="2"/>
    </i>
    <i>
      <x v="4201"/>
      <x v="5400"/>
      <x v="12"/>
      <x v="1279"/>
      <x v="7"/>
      <x v="1"/>
      <x v="31"/>
      <x/>
      <x v="2"/>
    </i>
    <i>
      <x v="4202"/>
      <x v="5402"/>
      <x v="12"/>
      <x v="1279"/>
      <x v="4"/>
      <x/>
      <x v="31"/>
      <x/>
      <x v="2"/>
    </i>
    <i>
      <x v="4206"/>
      <x v="5409"/>
      <x v="12"/>
      <x v="1278"/>
      <x v="14"/>
      <x v="2"/>
      <x v="31"/>
      <x/>
      <x/>
    </i>
    <i>
      <x v="4208"/>
      <x v="5413"/>
      <x v="12"/>
      <x v="1278"/>
      <x v="20"/>
      <x v="2"/>
      <x v="31"/>
      <x/>
      <x/>
    </i>
    <i>
      <x v="4214"/>
      <x v="6961"/>
      <x v="12"/>
      <x v="1242"/>
      <x v="19"/>
      <x v="2"/>
      <x v="31"/>
      <x v="1"/>
      <x v="1"/>
    </i>
    <i>
      <x v="4216"/>
      <x v="5741"/>
      <x v="12"/>
      <x v="1246"/>
      <x v="12"/>
      <x v="1"/>
      <x v="31"/>
      <x v="1"/>
      <x/>
    </i>
    <i>
      <x v="4222"/>
      <x v="5444"/>
      <x v="12"/>
      <x v="1207"/>
      <x v="6"/>
      <x v="1"/>
      <x v="31"/>
      <x v="1"/>
      <x v="7"/>
    </i>
    <i>
      <x v="4223"/>
      <x v="5445"/>
      <x v="12"/>
      <x v="1295"/>
      <x v="4"/>
      <x/>
      <x v="31"/>
      <x v="1"/>
      <x v="1"/>
    </i>
    <i>
      <x v="4251"/>
      <x v="2438"/>
      <x v="12"/>
      <x v="960"/>
      <x v="2"/>
      <x/>
      <x v="31"/>
      <x/>
      <x/>
    </i>
    <i r="1">
      <x v="6314"/>
      <x v="12"/>
      <x v="1330"/>
      <x v="2"/>
      <x/>
      <x/>
      <x/>
      <x/>
    </i>
    <i>
      <x v="4253"/>
      <x v="2942"/>
      <x v="12"/>
      <x v="759"/>
      <x v="7"/>
      <x v="1"/>
      <x v="31"/>
      <x/>
      <x v="4"/>
    </i>
    <i>
      <x v="4256"/>
      <x v="7911"/>
      <x v="12"/>
      <x v="1417"/>
      <x v="13"/>
      <x v="1"/>
      <x v="31"/>
      <x/>
      <x v="1"/>
    </i>
    <i>
      <x v="4260"/>
      <x v="4892"/>
      <x v="12"/>
      <x v="1246"/>
      <x v="32"/>
      <x v="4"/>
      <x/>
      <x/>
      <x v="2"/>
    </i>
    <i>
      <x v="4261"/>
      <x v="6132"/>
      <x v="12"/>
      <x v="1295"/>
      <x v="29"/>
      <x v="3"/>
      <x/>
      <x/>
      <x v="2"/>
    </i>
    <i>
      <x v="4262"/>
      <x v="4866"/>
      <x v="12"/>
      <x v="1246"/>
      <x v="31"/>
      <x v="3"/>
      <x/>
      <x/>
      <x v="2"/>
    </i>
    <i>
      <x v="4267"/>
      <x v="6103"/>
      <x v="12"/>
      <x v="1295"/>
      <x v="28"/>
      <x v="3"/>
      <x/>
      <x/>
      <x v="2"/>
    </i>
    <i>
      <x v="4268"/>
      <x v="4897"/>
      <x v="12"/>
      <x v="1246"/>
      <x v="41"/>
      <x v="5"/>
      <x/>
      <x/>
      <x v="2"/>
    </i>
    <i>
      <x v="4270"/>
      <x v="4900"/>
      <x v="12"/>
      <x v="1246"/>
      <x v="33"/>
      <x v="4"/>
      <x/>
      <x/>
      <x v="2"/>
    </i>
    <i>
      <x v="4273"/>
      <x v="4895"/>
      <x v="12"/>
      <x v="1246"/>
      <x v="48"/>
      <x v="5"/>
      <x/>
      <x/>
      <x v="2"/>
    </i>
    <i>
      <x v="4275"/>
      <x v="4877"/>
      <x v="12"/>
      <x v="1246"/>
      <x v="27"/>
      <x v="3"/>
      <x/>
      <x/>
      <x v="2"/>
    </i>
    <i>
      <x v="4276"/>
      <x v="6092"/>
      <x v="12"/>
      <x v="1295"/>
      <x v="24"/>
      <x v="3"/>
      <x/>
      <x/>
      <x v="2"/>
    </i>
    <i>
      <x v="4278"/>
      <x v="4875"/>
      <x v="12"/>
      <x v="1246"/>
      <x v="5"/>
      <x/>
      <x/>
      <x/>
      <x v="2"/>
    </i>
    <i>
      <x v="4280"/>
      <x v="6087"/>
      <x v="12"/>
      <x v="1295"/>
      <x v="35"/>
      <x v="4"/>
      <x/>
      <x/>
      <x v="2"/>
    </i>
    <i>
      <x v="4282"/>
      <x v="2234"/>
      <x v="12"/>
      <x v="668"/>
      <x v="18"/>
      <x v="2"/>
      <x/>
      <x/>
      <x/>
    </i>
    <i>
      <x v="4293"/>
      <x v="5634"/>
      <x v="12"/>
      <x v="1326"/>
      <x v="17"/>
      <x v="2"/>
      <x v="31"/>
      <x/>
      <x v="2"/>
    </i>
    <i>
      <x v="4296"/>
      <x v="5131"/>
      <x v="12"/>
      <x v="1250"/>
      <x v="4"/>
      <x/>
      <x/>
      <x/>
      <x v="7"/>
    </i>
    <i>
      <x v="4298"/>
      <x v="5638"/>
      <x v="12"/>
      <x v="1262"/>
      <x v="9"/>
      <x v="1"/>
      <x/>
      <x/>
      <x/>
    </i>
    <i>
      <x v="4307"/>
      <x v="2665"/>
      <x v="12"/>
      <x v="1011"/>
      <x v="6"/>
      <x v="1"/>
      <x/>
      <x/>
      <x/>
    </i>
    <i>
      <x v="4324"/>
      <x v="263"/>
      <x v="12"/>
      <x v="818"/>
      <x v="22"/>
      <x v="2"/>
      <x v="31"/>
      <x/>
      <x v="2"/>
    </i>
    <i>
      <x v="4327"/>
      <x v="254"/>
      <x v="12"/>
      <x v="1231"/>
      <x v="25"/>
      <x v="3"/>
      <x v="31"/>
      <x/>
      <x v="2"/>
    </i>
    <i>
      <x v="4328"/>
      <x v="352"/>
      <x v="12"/>
      <x v="998"/>
      <x v="29"/>
      <x v="3"/>
      <x v="31"/>
      <x/>
      <x/>
    </i>
    <i r="3">
      <x v="1356"/>
      <x v="29"/>
      <x v="3"/>
      <x v="31"/>
      <x/>
      <x/>
    </i>
    <i>
      <x v="4329"/>
      <x v="393"/>
      <x v="12"/>
      <x v="999"/>
      <x v="15"/>
      <x v="2"/>
      <x v="31"/>
      <x/>
      <x/>
    </i>
    <i r="3">
      <x v="1328"/>
      <x v="15"/>
      <x v="2"/>
      <x v="31"/>
      <x/>
      <x/>
    </i>
    <i>
      <x v="4330"/>
      <x v="2672"/>
      <x v="12"/>
      <x v="999"/>
      <x v="17"/>
      <x v="2"/>
      <x v="31"/>
      <x/>
      <x v="3"/>
    </i>
    <i r="3">
      <x v="1328"/>
      <x v="17"/>
      <x v="2"/>
      <x v="31"/>
      <x/>
      <x v="3"/>
    </i>
    <i>
      <x v="4335"/>
      <x v="1537"/>
      <x v="12"/>
      <x v="521"/>
      <x v="9"/>
      <x v="1"/>
      <x v="31"/>
      <x/>
      <x v="2"/>
    </i>
    <i>
      <x v="4338"/>
      <x v="1483"/>
      <x v="12"/>
      <x v="1042"/>
      <x v="26"/>
      <x v="3"/>
      <x v="31"/>
      <x/>
      <x v="2"/>
    </i>
    <i>
      <x v="4344"/>
      <x v="3358"/>
      <x v="12"/>
      <x v="1135"/>
      <x v="14"/>
      <x v="2"/>
      <x v="31"/>
      <x/>
      <x v="1"/>
    </i>
    <i>
      <x v="4346"/>
      <x v="4755"/>
      <x v="12"/>
      <x v="1242"/>
      <x v="14"/>
      <x v="2"/>
      <x v="31"/>
      <x/>
      <x v="2"/>
    </i>
    <i>
      <x v="4347"/>
      <x v="4756"/>
      <x v="12"/>
      <x v="1242"/>
      <x v="29"/>
      <x v="3"/>
      <x v="31"/>
      <x/>
      <x v="2"/>
    </i>
    <i>
      <x v="4348"/>
      <x v="5687"/>
      <x v="12"/>
      <x v="1360"/>
      <x v="16"/>
      <x v="2"/>
      <x v="31"/>
      <x/>
      <x v="2"/>
    </i>
    <i>
      <x v="4349"/>
      <x v="5688"/>
      <x v="12"/>
      <x v="1285"/>
      <x v="27"/>
      <x v="3"/>
      <x v="31"/>
      <x/>
      <x/>
    </i>
    <i r="3">
      <x v="1355"/>
      <x v="27"/>
      <x v="3"/>
      <x v="31"/>
      <x/>
      <x/>
    </i>
    <i>
      <x v="4351"/>
      <x v="605"/>
      <x v="11"/>
      <x v="741"/>
      <x v="14"/>
      <x v="2"/>
      <x v="31"/>
      <x/>
      <x/>
    </i>
    <i>
      <x v="4352"/>
      <x v="202"/>
      <x v="12"/>
      <x v="360"/>
      <x v="33"/>
      <x v="4"/>
      <x v="31"/>
      <x/>
      <x v="2"/>
    </i>
    <i>
      <x v="4356"/>
      <x v="610"/>
      <x v="11"/>
      <x v="360"/>
      <x v="10"/>
      <x v="1"/>
      <x v="31"/>
      <x/>
      <x v="2"/>
    </i>
    <i>
      <x v="4359"/>
      <x v="5154"/>
      <x v="11"/>
      <x v="1264"/>
      <x v="14"/>
      <x v="2"/>
      <x v="31"/>
      <x/>
      <x v="1"/>
    </i>
    <i>
      <x v="4360"/>
      <x v="5156"/>
      <x v="12"/>
      <x v="1253"/>
      <x v="38"/>
      <x v="4"/>
      <x v="31"/>
      <x/>
      <x v="4"/>
    </i>
    <i>
      <x v="4381"/>
      <x v="5889"/>
      <x v="12"/>
      <x v="1284"/>
      <x v="32"/>
      <x v="4"/>
      <x v="31"/>
      <x/>
      <x v="2"/>
    </i>
    <i>
      <x v="4383"/>
      <x v="4869"/>
      <x v="12"/>
      <x v="1246"/>
      <x v="41"/>
      <x v="5"/>
      <x/>
      <x/>
      <x v="2"/>
    </i>
    <i>
      <x v="4384"/>
      <x v="4871"/>
      <x v="12"/>
      <x v="1246"/>
      <x v="23"/>
      <x v="3"/>
      <x/>
      <x/>
      <x v="2"/>
    </i>
    <i>
      <x v="4385"/>
      <x v="4872"/>
      <x v="12"/>
      <x v="1246"/>
      <x v="1"/>
      <x/>
      <x/>
      <x/>
      <x v="2"/>
    </i>
    <i>
      <x v="4386"/>
      <x v="4881"/>
      <x v="12"/>
      <x v="1246"/>
      <x v="19"/>
      <x v="2"/>
      <x/>
      <x/>
      <x v="2"/>
    </i>
    <i>
      <x v="4387"/>
      <x v="4882"/>
      <x v="12"/>
      <x v="1246"/>
      <x v="34"/>
      <x v="4"/>
      <x/>
      <x/>
      <x v="2"/>
    </i>
    <i>
      <x v="4388"/>
      <x v="4883"/>
      <x v="12"/>
      <x v="1246"/>
      <x v="2"/>
      <x/>
      <x/>
      <x/>
      <x v="2"/>
    </i>
    <i>
      <x v="4391"/>
      <x v="4898"/>
      <x v="12"/>
      <x v="1246"/>
      <x v="20"/>
      <x v="2"/>
      <x/>
      <x/>
      <x v="2"/>
    </i>
    <i>
      <x v="4393"/>
      <x v="4928"/>
      <x v="12"/>
      <x v="1241"/>
      <x v="46"/>
      <x v="5"/>
      <x/>
      <x/>
      <x v="2"/>
    </i>
    <i>
      <x v="4396"/>
      <x v="4935"/>
      <x v="12"/>
      <x v="1241"/>
      <x v="10"/>
      <x v="1"/>
      <x/>
      <x/>
      <x v="2"/>
    </i>
    <i>
      <x v="4397"/>
      <x v="4943"/>
      <x v="12"/>
      <x v="1252"/>
      <x v="3"/>
      <x/>
      <x/>
      <x/>
      <x v="2"/>
    </i>
    <i>
      <x v="4398"/>
      <x v="4945"/>
      <x v="12"/>
      <x v="1252"/>
      <x v="2"/>
      <x/>
      <x v="498"/>
      <x/>
      <x v="2"/>
    </i>
    <i>
      <x v="4400"/>
      <x v="4956"/>
      <x v="12"/>
      <x v="1244"/>
      <x v="50"/>
      <x v="5"/>
      <x/>
      <x/>
      <x v="2"/>
    </i>
    <i>
      <x v="4401"/>
      <x v="5720"/>
      <x v="12"/>
      <x v="1291"/>
      <x v="30"/>
      <x v="3"/>
      <x/>
      <x/>
      <x v="2"/>
    </i>
    <i>
      <x v="4402"/>
      <x v="5721"/>
      <x v="12"/>
      <x v="1267"/>
      <x v="25"/>
      <x v="3"/>
      <x/>
      <x/>
      <x v="2"/>
    </i>
    <i>
      <x v="4403"/>
      <x v="5723"/>
      <x v="12"/>
      <x v="1278"/>
      <x v="36"/>
      <x v="4"/>
      <x/>
      <x/>
      <x v="2"/>
    </i>
    <i>
      <x v="4405"/>
      <x v="359"/>
      <x v="12"/>
      <x v="103"/>
      <x v="36"/>
      <x v="4"/>
      <x v="1"/>
      <x/>
      <x v="3"/>
    </i>
    <i>
      <x v="4407"/>
      <x v="4423"/>
      <x v="12"/>
      <x v="1118"/>
      <x v="9"/>
      <x v="1"/>
      <x v="1"/>
      <x/>
      <x/>
    </i>
    <i>
      <x v="4408"/>
      <x v="4425"/>
      <x v="12"/>
      <x v="1012"/>
      <x v="24"/>
      <x v="3"/>
      <x v="1"/>
      <x/>
      <x/>
    </i>
    <i>
      <x v="4411"/>
      <x v="4428"/>
      <x v="12"/>
      <x v="1139"/>
      <x v="36"/>
      <x v="4"/>
      <x v="1"/>
      <x/>
      <x/>
    </i>
    <i>
      <x v="4412"/>
      <x v="4429"/>
      <x v="12"/>
      <x v="1136"/>
      <x v="4"/>
      <x/>
      <x v="1"/>
      <x/>
      <x v="7"/>
    </i>
    <i>
      <x v="4414"/>
      <x v="4431"/>
      <x v="12"/>
      <x v="1213"/>
      <x v="27"/>
      <x v="3"/>
      <x v="1"/>
      <x/>
      <x v="3"/>
    </i>
    <i>
      <x v="4421"/>
      <x v="1964"/>
      <x v="11"/>
      <x v="751"/>
      <x v="36"/>
      <x v="4"/>
      <x v="1"/>
      <x/>
      <x v="7"/>
    </i>
    <i>
      <x v="4423"/>
      <x v="1077"/>
      <x v="12"/>
      <x v="275"/>
      <x v="31"/>
      <x v="3"/>
      <x v="1"/>
      <x/>
      <x/>
    </i>
    <i>
      <x v="4426"/>
      <x v="169"/>
      <x v="12"/>
      <x v="357"/>
      <x v="42"/>
      <x v="5"/>
      <x v="1"/>
      <x/>
      <x v="3"/>
    </i>
    <i>
      <x v="4428"/>
      <x v="31"/>
      <x v="12"/>
      <x v="743"/>
      <x v="37"/>
      <x v="4"/>
      <x v="1"/>
      <x/>
      <x v="7"/>
    </i>
    <i>
      <x v="4429"/>
      <x v="55"/>
      <x v="12"/>
      <x v="486"/>
      <x v="38"/>
      <x v="4"/>
      <x v="1"/>
      <x/>
      <x v="7"/>
    </i>
    <i>
      <x v="4432"/>
      <x v="1283"/>
      <x v="12"/>
      <x v="288"/>
      <x v="43"/>
      <x v="5"/>
      <x v="1"/>
      <x/>
      <x v="4"/>
    </i>
    <i>
      <x v="4434"/>
      <x v="939"/>
      <x v="12"/>
      <x v="95"/>
      <x v="35"/>
      <x v="4"/>
      <x v="1"/>
      <x/>
      <x v="3"/>
    </i>
    <i>
      <x v="4435"/>
      <x v="304"/>
      <x v="12"/>
      <x v="591"/>
      <x v="50"/>
      <x v="5"/>
      <x v="1"/>
      <x/>
      <x/>
    </i>
    <i>
      <x v="4439"/>
      <x v="838"/>
      <x v="12"/>
      <x v="348"/>
      <x v="40"/>
      <x v="4"/>
      <x v="1"/>
      <x/>
      <x v="1"/>
    </i>
    <i>
      <x v="4444"/>
      <x v="4442"/>
      <x v="12"/>
      <x v="1118"/>
      <x v="5"/>
      <x/>
      <x v="1"/>
      <x/>
      <x v="1"/>
    </i>
    <i>
      <x v="4445"/>
      <x v="4443"/>
      <x v="12"/>
      <x v="1118"/>
      <x v="10"/>
      <x v="1"/>
      <x v="1"/>
      <x/>
      <x v="4"/>
    </i>
    <i>
      <x v="4449"/>
      <x v="4447"/>
      <x v="12"/>
      <x v="1207"/>
      <x v="2"/>
      <x/>
      <x v="1"/>
      <x/>
      <x v="3"/>
    </i>
    <i>
      <x v="4453"/>
      <x v="4451"/>
      <x v="12"/>
      <x v="1213"/>
      <x v="36"/>
      <x v="4"/>
      <x v="1"/>
      <x/>
      <x v="7"/>
    </i>
    <i>
      <x v="4458"/>
      <x v="4456"/>
      <x v="12"/>
      <x v="1212"/>
      <x v="3"/>
      <x/>
      <x v="1"/>
      <x/>
      <x v="7"/>
    </i>
    <i>
      <x v="4460"/>
      <x v="4458"/>
      <x v="12"/>
      <x v="1213"/>
      <x v="5"/>
      <x/>
      <x v="1"/>
      <x/>
      <x v="3"/>
    </i>
    <i>
      <x v="4461"/>
      <x v="4460"/>
      <x v="12"/>
      <x v="1224"/>
      <x v="36"/>
      <x v="4"/>
      <x v="1"/>
      <x/>
      <x v="2"/>
    </i>
    <i>
      <x v="4464"/>
      <x v="4464"/>
      <x v="12"/>
      <x v="1224"/>
      <x v="5"/>
      <x/>
      <x v="1"/>
      <x/>
      <x v="3"/>
    </i>
    <i>
      <x v="4468"/>
      <x v="4470"/>
      <x v="12"/>
      <x v="1213"/>
      <x v="3"/>
      <x/>
      <x v="1"/>
      <x/>
      <x v="4"/>
    </i>
    <i>
      <x v="4470"/>
      <x v="3800"/>
      <x v="12"/>
      <x v="1054"/>
      <x v="30"/>
      <x v="3"/>
      <x v="1"/>
      <x/>
      <x v="4"/>
    </i>
    <i>
      <x v="4471"/>
      <x v="4471"/>
      <x v="12"/>
      <x v="103"/>
      <x v="35"/>
      <x v="4"/>
      <x v="1"/>
      <x/>
      <x/>
    </i>
    <i>
      <x v="4472"/>
      <x v="4473"/>
      <x v="12"/>
      <x v="1016"/>
      <x v="9"/>
      <x v="1"/>
      <x v="1"/>
      <x/>
      <x v="7"/>
    </i>
    <i>
      <x v="4478"/>
      <x v="4482"/>
      <x v="12"/>
      <x v="1136"/>
      <x v="19"/>
      <x v="2"/>
      <x v="1"/>
      <x/>
      <x/>
    </i>
    <i>
      <x v="4480"/>
      <x v="4484"/>
      <x v="12"/>
      <x v="1236"/>
      <x v="3"/>
      <x/>
      <x v="1"/>
      <x/>
      <x v="2"/>
    </i>
    <i>
      <x v="4482"/>
      <x v="4486"/>
      <x v="12"/>
      <x v="1236"/>
      <x v="3"/>
      <x/>
      <x v="1"/>
      <x/>
      <x v="2"/>
    </i>
    <i>
      <x v="4483"/>
      <x v="4763"/>
      <x v="12"/>
      <x v="1238"/>
      <x v="27"/>
      <x v="3"/>
      <x v="1"/>
      <x/>
      <x v="2"/>
    </i>
    <i>
      <x v="4484"/>
      <x v="4767"/>
      <x v="12"/>
      <x v="1238"/>
      <x v="9"/>
      <x v="1"/>
      <x v="1"/>
      <x/>
      <x v="2"/>
    </i>
    <i>
      <x v="4485"/>
      <x v="4768"/>
      <x v="12"/>
      <x v="1256"/>
      <x v="25"/>
      <x v="3"/>
      <x v="1"/>
      <x/>
      <x v="2"/>
    </i>
    <i>
      <x v="4486"/>
      <x v="4770"/>
      <x v="12"/>
      <x v="1256"/>
      <x v="3"/>
      <x/>
      <x v="1"/>
      <x/>
      <x v="2"/>
    </i>
    <i>
      <x v="4487"/>
      <x v="4772"/>
      <x v="12"/>
      <x v="1256"/>
      <x v="17"/>
      <x v="2"/>
      <x v="1"/>
      <x/>
      <x v="7"/>
    </i>
    <i>
      <x v="4488"/>
      <x v="4773"/>
      <x v="12"/>
      <x v="1256"/>
      <x v="5"/>
      <x/>
      <x v="1"/>
      <x/>
      <x v="2"/>
    </i>
    <i>
      <x v="4491"/>
      <x v="4777"/>
      <x v="12"/>
      <x v="1253"/>
      <x v="7"/>
      <x v="1"/>
      <x v="1"/>
      <x/>
      <x v="2"/>
    </i>
    <i>
      <x v="4492"/>
      <x v="4778"/>
      <x v="12"/>
      <x v="1253"/>
      <x v="10"/>
      <x v="1"/>
      <x v="1"/>
      <x/>
      <x v="2"/>
    </i>
    <i>
      <x v="4494"/>
      <x v="7146"/>
      <x v="12"/>
      <x v="1370"/>
      <x v="27"/>
      <x v="3"/>
      <x/>
      <x/>
      <x v="2"/>
    </i>
    <i>
      <x v="4496"/>
      <x v="4783"/>
      <x v="12"/>
      <x v="1244"/>
      <x v="6"/>
      <x v="1"/>
      <x v="1"/>
      <x/>
      <x v="1"/>
    </i>
    <i>
      <x v="4501"/>
      <x v="5729"/>
      <x v="12"/>
      <x v="1267"/>
      <x v="2"/>
      <x/>
      <x v="512"/>
      <x/>
      <x v="7"/>
    </i>
    <i>
      <x v="4504"/>
      <x v="5739"/>
      <x v="12"/>
      <x v="1295"/>
      <x v="19"/>
      <x v="2"/>
      <x v="31"/>
      <x v="1"/>
      <x/>
    </i>
    <i>
      <x v="4508"/>
      <x v="5745"/>
      <x v="12"/>
      <x v="1289"/>
      <x v="12"/>
      <x v="1"/>
      <x v="31"/>
      <x v="1"/>
      <x v="3"/>
    </i>
    <i>
      <x v="4509"/>
      <x v="5746"/>
      <x v="12"/>
      <x v="1307"/>
      <x v="15"/>
      <x v="2"/>
      <x v="31"/>
      <x v="1"/>
      <x v="2"/>
    </i>
    <i>
      <x v="4511"/>
      <x v="5750"/>
      <x v="12"/>
      <x v="1298"/>
      <x v="9"/>
      <x v="1"/>
      <x v="31"/>
      <x v="1"/>
      <x v="2"/>
    </i>
    <i>
      <x v="4512"/>
      <x v="6333"/>
      <x v="12"/>
      <x v="1298"/>
      <x v="8"/>
      <x v="1"/>
      <x v="495"/>
      <x v="1"/>
      <x v="2"/>
    </i>
    <i>
      <x v="4515"/>
      <x v="5754"/>
      <x v="12"/>
      <x v="1289"/>
      <x v="23"/>
      <x v="3"/>
      <x v="31"/>
      <x v="1"/>
      <x v="2"/>
    </i>
    <i>
      <x v="4516"/>
      <x v="779"/>
      <x v="12"/>
      <x v="16"/>
      <x v="41"/>
      <x v="5"/>
      <x v="31"/>
      <x/>
      <x/>
    </i>
    <i>
      <x v="4521"/>
      <x v="5760"/>
      <x v="12"/>
      <x v="1301"/>
      <x v="29"/>
      <x v="3"/>
      <x v="31"/>
      <x/>
      <x v="2"/>
    </i>
    <i>
      <x v="4525"/>
      <x v="5765"/>
      <x v="12"/>
      <x v="1299"/>
      <x v="11"/>
      <x v="1"/>
      <x v="31"/>
      <x/>
      <x v="2"/>
    </i>
    <i>
      <x v="4544"/>
      <x v="7384"/>
      <x v="12"/>
      <x v="1362"/>
      <x v="8"/>
      <x v="1"/>
      <x/>
      <x/>
      <x v="3"/>
    </i>
    <i>
      <x v="4553"/>
      <x v="5800"/>
      <x v="12"/>
      <x v="1295"/>
      <x v="2"/>
      <x/>
      <x v="31"/>
      <x/>
      <x v="2"/>
    </i>
    <i>
      <x v="4554"/>
      <x v="5801"/>
      <x v="12"/>
      <x v="1295"/>
      <x v="7"/>
      <x v="1"/>
      <x v="31"/>
      <x/>
      <x v="2"/>
    </i>
    <i>
      <x v="4565"/>
      <x v="2346"/>
      <x v="12"/>
      <x v="133"/>
      <x v="22"/>
      <x v="2"/>
      <x v="31"/>
      <x/>
      <x/>
    </i>
    <i>
      <x v="4573"/>
      <x v="2349"/>
      <x v="12"/>
      <x v="888"/>
      <x v="12"/>
      <x v="1"/>
      <x v="31"/>
      <x/>
      <x/>
    </i>
    <i>
      <x v="4579"/>
      <x v="2350"/>
      <x v="12"/>
      <x v="838"/>
      <x v="18"/>
      <x v="2"/>
      <x v="31"/>
      <x/>
      <x v="2"/>
    </i>
    <i>
      <x v="4584"/>
      <x v="2354"/>
      <x v="12"/>
      <x v="760"/>
      <x v="31"/>
      <x v="3"/>
      <x v="31"/>
      <x/>
      <x v="7"/>
    </i>
    <i>
      <x v="4587"/>
      <x v="173"/>
      <x v="12"/>
      <x v="154"/>
      <x v="10"/>
      <x v="1"/>
      <x v="31"/>
      <x/>
      <x v="7"/>
    </i>
    <i>
      <x v="4588"/>
      <x v="2356"/>
      <x v="12"/>
      <x v="410"/>
      <x v="8"/>
      <x v="1"/>
      <x v="31"/>
      <x/>
      <x v="7"/>
    </i>
    <i>
      <x v="4591"/>
      <x v="2359"/>
      <x v="12"/>
      <x v="922"/>
      <x v="22"/>
      <x v="2"/>
      <x v="31"/>
      <x/>
      <x v="2"/>
    </i>
    <i>
      <x v="4594"/>
      <x v="2360"/>
      <x v="12"/>
      <x v="757"/>
      <x v="33"/>
      <x v="4"/>
      <x v="31"/>
      <x/>
      <x v="2"/>
    </i>
    <i>
      <x v="4596"/>
      <x v="257"/>
      <x v="12"/>
      <x v="366"/>
      <x v="12"/>
      <x v="1"/>
      <x v="31"/>
      <x/>
      <x/>
    </i>
    <i>
      <x v="4597"/>
      <x v="2362"/>
      <x v="12"/>
      <x v="877"/>
      <x v="13"/>
      <x v="1"/>
      <x v="31"/>
      <x/>
      <x v="2"/>
    </i>
    <i>
      <x v="4601"/>
      <x v="324"/>
      <x v="12"/>
      <x v="150"/>
      <x v="27"/>
      <x v="3"/>
      <x v="31"/>
      <x/>
      <x v="2"/>
    </i>
    <i>
      <x v="4604"/>
      <x v="358"/>
      <x v="12"/>
      <x v="52"/>
      <x v="17"/>
      <x v="2"/>
      <x v="31"/>
      <x/>
      <x v="2"/>
    </i>
    <i>
      <x v="4605"/>
      <x v="2367"/>
      <x v="12"/>
      <x v="757"/>
      <x v="13"/>
      <x v="1"/>
      <x v="31"/>
      <x/>
      <x v="4"/>
    </i>
    <i>
      <x v="4616"/>
      <x v="2375"/>
      <x v="12"/>
      <x v="858"/>
      <x v="29"/>
      <x v="3"/>
      <x v="31"/>
      <x/>
      <x v="2"/>
    </i>
    <i>
      <x v="4622"/>
      <x v="2379"/>
      <x v="12"/>
      <x v="796"/>
      <x v="11"/>
      <x v="1"/>
      <x v="31"/>
      <x/>
      <x v="2"/>
    </i>
    <i>
      <x v="4623"/>
      <x v="2380"/>
      <x v="12"/>
      <x v="888"/>
      <x v="13"/>
      <x v="1"/>
      <x v="31"/>
      <x/>
      <x v="2"/>
    </i>
    <i>
      <x v="4625"/>
      <x v="636"/>
      <x v="12"/>
      <x v="922"/>
      <x v="10"/>
      <x v="1"/>
      <x v="31"/>
      <x/>
      <x v="2"/>
    </i>
    <i>
      <x v="4629"/>
      <x v="2385"/>
      <x v="12"/>
      <x v="760"/>
      <x v="27"/>
      <x v="3"/>
      <x v="31"/>
      <x/>
      <x v="2"/>
    </i>
    <i>
      <x v="4631"/>
      <x v="2387"/>
      <x v="12"/>
      <x v="870"/>
      <x v="28"/>
      <x v="3"/>
      <x v="31"/>
      <x/>
      <x v="2"/>
    </i>
    <i>
      <x v="4632"/>
      <x v="2388"/>
      <x v="12"/>
      <x v="644"/>
      <x v="19"/>
      <x v="2"/>
      <x v="31"/>
      <x/>
      <x/>
    </i>
    <i>
      <x v="4635"/>
      <x v="2391"/>
      <x v="12"/>
      <x v="858"/>
      <x v="19"/>
      <x v="2"/>
      <x v="31"/>
      <x/>
      <x v="6"/>
    </i>
    <i>
      <x v="4639"/>
      <x v="906"/>
      <x v="12"/>
      <x v="153"/>
      <x v="22"/>
      <x v="2"/>
      <x v="31"/>
      <x/>
      <x v="2"/>
    </i>
    <i>
      <x v="4640"/>
      <x v="2394"/>
      <x v="12"/>
      <x v="915"/>
      <x v="17"/>
      <x v="2"/>
      <x v="31"/>
      <x/>
      <x v="2"/>
    </i>
    <i>
      <x v="4643"/>
      <x v="957"/>
      <x v="12"/>
      <x v="221"/>
      <x v="22"/>
      <x v="2"/>
      <x v="31"/>
      <x/>
      <x v="7"/>
    </i>
    <i>
      <x v="4644"/>
      <x v="2396"/>
      <x v="12"/>
      <x v="450"/>
      <x v="21"/>
      <x v="2"/>
      <x v="31"/>
      <x/>
      <x/>
    </i>
    <i>
      <x v="4645"/>
      <x v="2397"/>
      <x v="12"/>
      <x v="855"/>
      <x v="26"/>
      <x v="3"/>
      <x v="31"/>
      <x/>
      <x v="2"/>
    </i>
    <i>
      <x v="4647"/>
      <x v="2398"/>
      <x v="12"/>
      <x v="844"/>
      <x v="22"/>
      <x v="2"/>
      <x v="31"/>
      <x/>
      <x v="3"/>
    </i>
    <i>
      <x v="4649"/>
      <x v="1011"/>
      <x v="12"/>
      <x v="170"/>
      <x v="32"/>
      <x v="4"/>
      <x v="31"/>
      <x/>
      <x v="7"/>
    </i>
    <i>
      <x v="4650"/>
      <x v="2400"/>
      <x v="12"/>
      <x v="196"/>
      <x v="19"/>
      <x v="2"/>
      <x v="31"/>
      <x/>
      <x v="7"/>
    </i>
    <i>
      <x v="4654"/>
      <x v="2402"/>
      <x v="12"/>
      <x v="760"/>
      <x v="18"/>
      <x v="2"/>
      <x v="31"/>
      <x/>
      <x v="4"/>
    </i>
    <i>
      <x v="4656"/>
      <x v="2404"/>
      <x v="12"/>
      <x v="855"/>
      <x v="31"/>
      <x v="3"/>
      <x v="31"/>
      <x/>
      <x v="2"/>
    </i>
    <i>
      <x v="4661"/>
      <x v="2407"/>
      <x v="12"/>
      <x v="760"/>
      <x v="11"/>
      <x v="1"/>
      <x v="31"/>
      <x/>
      <x v="2"/>
    </i>
    <i>
      <x v="4662"/>
      <x v="2408"/>
      <x v="12"/>
      <x v="870"/>
      <x v="7"/>
      <x v="1"/>
      <x v="31"/>
      <x/>
      <x v="6"/>
    </i>
    <i>
      <x v="4666"/>
      <x v="1210"/>
      <x v="12"/>
      <x v="72"/>
      <x v="12"/>
      <x v="1"/>
      <x v="31"/>
      <x/>
      <x v="2"/>
    </i>
    <i>
      <x v="4668"/>
      <x v="2411"/>
      <x v="12"/>
      <x v="760"/>
      <x v="27"/>
      <x v="3"/>
      <x v="31"/>
      <x/>
      <x v="2"/>
    </i>
    <i>
      <x v="4669"/>
      <x v="1268"/>
      <x v="12"/>
      <x v="644"/>
      <x v="19"/>
      <x v="2"/>
      <x v="31"/>
      <x/>
      <x/>
    </i>
    <i>
      <x v="4674"/>
      <x v="2416"/>
      <x v="12"/>
      <x v="757"/>
      <x v="13"/>
      <x v="1"/>
      <x v="31"/>
      <x/>
      <x v="2"/>
    </i>
    <i>
      <x v="4675"/>
      <x v="2417"/>
      <x v="12"/>
      <x v="640"/>
      <x v="6"/>
      <x v="1"/>
      <x v="31"/>
      <x/>
      <x v="2"/>
    </i>
    <i>
      <x v="4683"/>
      <x v="1409"/>
      <x v="12"/>
      <x v="152"/>
      <x v="40"/>
      <x v="4"/>
      <x v="31"/>
      <x/>
      <x v="2"/>
    </i>
    <i>
      <x v="4689"/>
      <x v="2425"/>
      <x v="12"/>
      <x v="915"/>
      <x v="18"/>
      <x v="2"/>
      <x v="31"/>
      <x/>
      <x v="2"/>
    </i>
    <i>
      <x v="4695"/>
      <x v="2432"/>
      <x v="12"/>
      <x v="936"/>
      <x v="34"/>
      <x v="4"/>
      <x v="31"/>
      <x/>
      <x v="2"/>
    </i>
    <i>
      <x v="4696"/>
      <x v="2433"/>
      <x v="12"/>
      <x v="936"/>
      <x v="34"/>
      <x v="4"/>
      <x v="31"/>
      <x/>
      <x v="2"/>
    </i>
    <i>
      <x v="4697"/>
      <x v="2434"/>
      <x v="12"/>
      <x v="942"/>
      <x v="13"/>
      <x v="1"/>
      <x v="31"/>
      <x/>
      <x v="2"/>
    </i>
    <i>
      <x v="4699"/>
      <x v="2436"/>
      <x v="12"/>
      <x v="950"/>
      <x v="18"/>
      <x v="2"/>
      <x v="31"/>
      <x/>
      <x v="2"/>
    </i>
    <i>
      <x v="4703"/>
      <x v="473"/>
      <x v="12"/>
      <x v="787"/>
      <x v="14"/>
      <x v="2"/>
      <x v="31"/>
      <x/>
      <x v="2"/>
    </i>
    <i>
      <x v="4705"/>
      <x v="3000"/>
      <x v="12"/>
      <x v="995"/>
      <x v="1"/>
      <x/>
      <x v="31"/>
      <x/>
      <x v="2"/>
    </i>
    <i>
      <x v="4706"/>
      <x v="644"/>
      <x v="12"/>
      <x v="1078"/>
      <x v="34"/>
      <x v="4"/>
      <x v="31"/>
      <x/>
      <x v="2"/>
    </i>
    <i>
      <x v="4713"/>
      <x v="106"/>
      <x v="12"/>
      <x v="851"/>
      <x v="30"/>
      <x v="3"/>
      <x v="31"/>
      <x v="1"/>
      <x v="2"/>
    </i>
    <i>
      <x v="4714"/>
      <x v="154"/>
      <x v="12"/>
      <x v="107"/>
      <x v="19"/>
      <x v="2"/>
      <x v="31"/>
      <x v="1"/>
      <x v="2"/>
    </i>
    <i>
      <x v="4721"/>
      <x v="2442"/>
      <x v="12"/>
      <x v="877"/>
      <x v="31"/>
      <x v="3"/>
      <x v="31"/>
      <x v="1"/>
      <x v="2"/>
    </i>
    <i>
      <x v="4724"/>
      <x v="5834"/>
      <x v="11"/>
      <x v="1299"/>
      <x v="38"/>
      <x v="4"/>
      <x v="31"/>
      <x/>
      <x v="2"/>
    </i>
    <i>
      <x v="4739"/>
      <x v="5896"/>
      <x v="12"/>
      <x v="1417"/>
      <x v="10"/>
      <x v="1"/>
      <x v="31"/>
      <x v="1"/>
      <x/>
    </i>
    <i>
      <x v="4747"/>
      <x v="5900"/>
      <x v="12"/>
      <x v="1309"/>
      <x v="16"/>
      <x v="2"/>
      <x v="31"/>
      <x/>
      <x/>
    </i>
    <i>
      <x v="4749"/>
      <x v="5906"/>
      <x v="12"/>
      <x v="1299"/>
      <x v="17"/>
      <x v="2"/>
      <x v="31"/>
      <x/>
      <x v="2"/>
    </i>
    <i>
      <x v="4753"/>
      <x v="5917"/>
      <x v="12"/>
      <x v="1276"/>
      <x v="55"/>
      <x v="5"/>
      <x v="31"/>
      <x/>
      <x v="2"/>
    </i>
    <i>
      <x v="4769"/>
      <x v="3900"/>
      <x v="12"/>
      <x v="1310"/>
      <x v="23"/>
      <x v="3"/>
      <x/>
      <x/>
      <x v="3"/>
    </i>
    <i>
      <x v="4773"/>
      <x v="5938"/>
      <x v="12"/>
      <x v="1313"/>
      <x v="30"/>
      <x v="3"/>
      <x v="31"/>
      <x/>
      <x v="6"/>
    </i>
    <i>
      <x v="4775"/>
      <x v="5947"/>
      <x v="12"/>
      <x v="1305"/>
      <x v="11"/>
      <x v="1"/>
      <x v="512"/>
      <x/>
      <x/>
    </i>
    <i>
      <x v="4779"/>
      <x v="5957"/>
      <x v="12"/>
      <x v="1306"/>
      <x v="23"/>
      <x v="3"/>
      <x v="31"/>
      <x/>
      <x v="7"/>
    </i>
    <i>
      <x v="4783"/>
      <x v="5962"/>
      <x v="12"/>
      <x v="1304"/>
      <x v="19"/>
      <x v="2"/>
      <x v="31"/>
      <x/>
      <x/>
    </i>
    <i>
      <x v="4784"/>
      <x v="5963"/>
      <x v="12"/>
      <x v="1309"/>
      <x v="12"/>
      <x v="1"/>
      <x v="31"/>
      <x/>
      <x/>
    </i>
    <i>
      <x v="4787"/>
      <x v="5965"/>
      <x v="12"/>
      <x v="1309"/>
      <x v="35"/>
      <x v="4"/>
      <x v="31"/>
      <x/>
      <x v="4"/>
    </i>
    <i>
      <x v="4789"/>
      <x v="5968"/>
      <x v="12"/>
      <x v="1318"/>
      <x v="10"/>
      <x v="1"/>
      <x v="518"/>
      <x/>
      <x v="2"/>
    </i>
    <i>
      <x v="4796"/>
      <x v="5975"/>
      <x v="12"/>
      <x v="1309"/>
      <x v="3"/>
      <x/>
      <x v="31"/>
      <x/>
      <x v="2"/>
    </i>
    <i>
      <x v="4797"/>
      <x v="5981"/>
      <x v="12"/>
      <x v="1394"/>
      <x v="17"/>
      <x v="2"/>
      <x v="31"/>
      <x/>
      <x/>
    </i>
    <i>
      <x v="4798"/>
      <x v="5983"/>
      <x v="12"/>
      <x v="1320"/>
      <x v="29"/>
      <x v="3"/>
      <x v="31"/>
      <x/>
      <x v="2"/>
    </i>
    <i>
      <x v="4800"/>
      <x v="5986"/>
      <x v="12"/>
      <x v="1313"/>
      <x v="45"/>
      <x v="5"/>
      <x v="31"/>
      <x/>
      <x v="3"/>
    </i>
    <i>
      <x v="4801"/>
      <x v="499"/>
      <x v="12"/>
      <x v="1313"/>
      <x v="25"/>
      <x v="3"/>
      <x v="31"/>
      <x/>
      <x v="7"/>
    </i>
    <i>
      <x v="4804"/>
      <x v="1347"/>
      <x v="12"/>
      <x v="1303"/>
      <x v="18"/>
      <x v="2"/>
      <x v="31"/>
      <x/>
      <x/>
    </i>
    <i>
      <x v="4810"/>
      <x v="5994"/>
      <x v="12"/>
      <x v="1309"/>
      <x v="18"/>
      <x v="2"/>
      <x v="31"/>
      <x/>
      <x/>
    </i>
    <i>
      <x v="4811"/>
      <x v="444"/>
      <x v="12"/>
      <x v="1309"/>
      <x v="12"/>
      <x v="1"/>
      <x v="495"/>
      <x/>
      <x/>
    </i>
    <i>
      <x v="4814"/>
      <x v="5998"/>
      <x v="12"/>
      <x v="1315"/>
      <x v="21"/>
      <x v="2"/>
      <x v="31"/>
      <x/>
      <x v="2"/>
    </i>
    <i>
      <x v="4815"/>
      <x v="6000"/>
      <x v="12"/>
      <x v="1300"/>
      <x v="14"/>
      <x v="2"/>
      <x v="31"/>
      <x/>
      <x v="2"/>
    </i>
    <i>
      <x v="4816"/>
      <x v="6002"/>
      <x v="12"/>
      <x v="1300"/>
      <x v="14"/>
      <x v="2"/>
      <x v="31"/>
      <x/>
      <x v="2"/>
    </i>
    <i>
      <x v="4817"/>
      <x v="6003"/>
      <x v="12"/>
      <x v="1300"/>
      <x v="16"/>
      <x v="2"/>
      <x v="31"/>
      <x/>
      <x v="2"/>
    </i>
    <i>
      <x v="4821"/>
      <x v="6026"/>
      <x v="12"/>
      <x v="1307"/>
      <x v="15"/>
      <x v="2"/>
      <x v="31"/>
      <x/>
      <x v="2"/>
    </i>
    <i>
      <x v="4824"/>
      <x v="633"/>
      <x v="12"/>
      <x v="1306"/>
      <x v="30"/>
      <x v="3"/>
      <x v="31"/>
      <x/>
      <x v="2"/>
    </i>
    <i>
      <x v="4825"/>
      <x v="6028"/>
      <x v="12"/>
      <x v="1293"/>
      <x v="32"/>
      <x v="4"/>
      <x v="31"/>
      <x/>
      <x v="6"/>
    </i>
    <i>
      <x v="4832"/>
      <x v="6035"/>
      <x v="12"/>
      <x v="1309"/>
      <x v="22"/>
      <x v="2"/>
      <x v="31"/>
      <x/>
      <x/>
    </i>
    <i>
      <x v="4833"/>
      <x v="6037"/>
      <x v="12"/>
      <x v="1302"/>
      <x v="18"/>
      <x v="2"/>
      <x v="31"/>
      <x/>
      <x v="2"/>
    </i>
    <i>
      <x v="4840"/>
      <x v="6043"/>
      <x v="12"/>
      <x v="1313"/>
      <x v="21"/>
      <x v="2"/>
      <x/>
      <x/>
      <x v="2"/>
    </i>
    <i>
      <x v="4842"/>
      <x v="6045"/>
      <x v="12"/>
      <x v="1313"/>
      <x v="20"/>
      <x v="2"/>
      <x/>
      <x/>
      <x v="2"/>
    </i>
    <i>
      <x v="4844"/>
      <x v="6047"/>
      <x v="12"/>
      <x v="1313"/>
      <x v="12"/>
      <x v="1"/>
      <x/>
      <x/>
      <x v="7"/>
    </i>
    <i>
      <x v="4847"/>
      <x v="6050"/>
      <x v="12"/>
      <x v="1313"/>
      <x v="34"/>
      <x v="4"/>
      <x/>
      <x/>
      <x v="2"/>
    </i>
    <i>
      <x v="4850"/>
      <x v="6071"/>
      <x v="12"/>
      <x v="1272"/>
      <x v="4"/>
      <x/>
      <x v="31"/>
      <x/>
      <x v="3"/>
    </i>
    <i>
      <x v="4859"/>
      <x v="6083"/>
      <x v="12"/>
      <x v="1295"/>
      <x v="31"/>
      <x v="3"/>
      <x/>
      <x/>
      <x v="2"/>
    </i>
    <i>
      <x v="4860"/>
      <x v="6084"/>
      <x v="12"/>
      <x v="1295"/>
      <x v="29"/>
      <x v="3"/>
      <x/>
      <x/>
      <x v="3"/>
    </i>
    <i>
      <x v="4861"/>
      <x v="6085"/>
      <x v="12"/>
      <x v="1295"/>
      <x v="5"/>
      <x/>
      <x/>
      <x/>
      <x v="2"/>
    </i>
    <i>
      <x v="4865"/>
      <x v="6093"/>
      <x v="12"/>
      <x v="1295"/>
      <x v="22"/>
      <x v="2"/>
      <x/>
      <x/>
      <x v="2"/>
    </i>
    <i>
      <x v="4866"/>
      <x v="6095"/>
      <x v="12"/>
      <x v="1295"/>
      <x v="19"/>
      <x v="2"/>
      <x/>
      <x/>
      <x v="2"/>
    </i>
    <i>
      <x v="4867"/>
      <x v="6096"/>
      <x v="12"/>
      <x v="1295"/>
      <x v="4"/>
      <x/>
      <x/>
      <x/>
      <x v="2"/>
    </i>
    <i>
      <x v="4869"/>
      <x v="6099"/>
      <x v="12"/>
      <x v="1296"/>
      <x v="13"/>
      <x v="1"/>
      <x/>
      <x/>
      <x v="2"/>
    </i>
    <i>
      <x v="4870"/>
      <x v="6100"/>
      <x v="12"/>
      <x v="1311"/>
      <x v="32"/>
      <x v="4"/>
      <x/>
      <x/>
      <x v="2"/>
    </i>
    <i>
      <x v="4871"/>
      <x v="6104"/>
      <x v="12"/>
      <x v="1295"/>
      <x v="37"/>
      <x v="4"/>
      <x/>
      <x/>
      <x v="2"/>
    </i>
    <i>
      <x v="4872"/>
      <x v="6105"/>
      <x v="12"/>
      <x v="1306"/>
      <x v="21"/>
      <x v="2"/>
      <x/>
      <x/>
      <x v="2"/>
    </i>
    <i>
      <x v="4873"/>
      <x v="6106"/>
      <x v="12"/>
      <x v="1311"/>
      <x v="25"/>
      <x v="3"/>
      <x/>
      <x/>
      <x v="2"/>
    </i>
    <i>
      <x v="4875"/>
      <x v="6108"/>
      <x v="12"/>
      <x v="1295"/>
      <x v="40"/>
      <x v="4"/>
      <x/>
      <x/>
      <x v="2"/>
    </i>
    <i>
      <x v="4876"/>
      <x v="6109"/>
      <x v="12"/>
      <x v="1295"/>
      <x v="37"/>
      <x v="4"/>
      <x/>
      <x/>
      <x v="2"/>
    </i>
    <i>
      <x v="4879"/>
      <x v="6114"/>
      <x v="12"/>
      <x v="1306"/>
      <x v="10"/>
      <x v="1"/>
      <x/>
      <x/>
      <x v="2"/>
    </i>
    <i>
      <x v="4882"/>
      <x v="6119"/>
      <x v="12"/>
      <x v="1295"/>
      <x v="25"/>
      <x v="3"/>
      <x/>
      <x/>
      <x v="2"/>
    </i>
    <i>
      <x v="4884"/>
      <x v="6121"/>
      <x v="12"/>
      <x v="1295"/>
      <x v="24"/>
      <x v="3"/>
      <x/>
      <x/>
      <x v="3"/>
    </i>
    <i>
      <x v="4885"/>
      <x v="6122"/>
      <x v="12"/>
      <x v="1294"/>
      <x v="8"/>
      <x v="1"/>
      <x/>
      <x/>
      <x v="2"/>
    </i>
    <i>
      <x v="4886"/>
      <x v="6123"/>
      <x v="12"/>
      <x v="973"/>
      <x v="30"/>
      <x v="3"/>
      <x/>
      <x/>
      <x v="3"/>
    </i>
    <i>
      <x v="4887"/>
      <x v="6124"/>
      <x v="12"/>
      <x v="1295"/>
      <x v="35"/>
      <x v="4"/>
      <x/>
      <x/>
      <x v="2"/>
    </i>
    <i>
      <x v="4888"/>
      <x v="6129"/>
      <x v="12"/>
      <x v="1295"/>
      <x v="25"/>
      <x v="3"/>
      <x/>
      <x/>
      <x v="2"/>
    </i>
    <i>
      <x v="4889"/>
      <x v="6134"/>
      <x v="12"/>
      <x v="1295"/>
      <x v="16"/>
      <x v="2"/>
      <x/>
      <x/>
      <x v="2"/>
    </i>
    <i>
      <x v="4890"/>
      <x v="6136"/>
      <x v="12"/>
      <x v="1295"/>
      <x v="34"/>
      <x v="4"/>
      <x/>
      <x/>
      <x v="2"/>
    </i>
    <i>
      <x v="4892"/>
      <x v="6139"/>
      <x v="12"/>
      <x v="1295"/>
      <x v="10"/>
      <x v="1"/>
      <x/>
      <x/>
      <x v="2"/>
    </i>
    <i>
      <x v="4893"/>
      <x v="6142"/>
      <x v="12"/>
      <x v="1295"/>
      <x v="25"/>
      <x v="3"/>
      <x/>
      <x/>
      <x v="2"/>
    </i>
    <i>
      <x v="4896"/>
      <x v="6145"/>
      <x v="12"/>
      <x v="1315"/>
      <x v="5"/>
      <x/>
      <x v="31"/>
      <x/>
      <x v="7"/>
    </i>
    <i>
      <x v="4899"/>
      <x v="6147"/>
      <x v="12"/>
      <x v="1300"/>
      <x v="5"/>
      <x/>
      <x v="31"/>
      <x v="1"/>
      <x v="2"/>
    </i>
    <i>
      <x v="4909"/>
      <x v="2201"/>
      <x v="12"/>
      <x v="984"/>
      <x v="13"/>
      <x v="1"/>
      <x v="31"/>
      <x/>
      <x/>
    </i>
    <i>
      <x v="4927"/>
      <x v="4201"/>
      <x v="12"/>
      <x v="1214"/>
      <x v="9"/>
      <x v="1"/>
      <x v="31"/>
      <x/>
      <x v="7"/>
    </i>
    <i>
      <x v="4929"/>
      <x v="162"/>
      <x v="12"/>
      <x v="974"/>
      <x v="24"/>
      <x v="3"/>
      <x v="31"/>
      <x/>
      <x v="2"/>
    </i>
    <i>
      <x v="4931"/>
      <x v="6175"/>
      <x v="12"/>
      <x v="973"/>
      <x v="14"/>
      <x v="2"/>
      <x v="31"/>
      <x/>
      <x v="1"/>
    </i>
    <i>
      <x v="4934"/>
      <x v="3728"/>
      <x v="12"/>
      <x v="807"/>
      <x v="13"/>
      <x v="1"/>
      <x v="31"/>
      <x/>
      <x/>
    </i>
    <i>
      <x v="4965"/>
      <x v="467"/>
      <x v="12"/>
      <x v="984"/>
      <x v="20"/>
      <x v="2"/>
      <x v="31"/>
      <x/>
      <x/>
    </i>
    <i>
      <x v="4981"/>
      <x v="2974"/>
      <x v="12"/>
      <x v="1041"/>
      <x v="14"/>
      <x v="2"/>
      <x v="31"/>
      <x/>
      <x v="2"/>
    </i>
    <i>
      <x v="4983"/>
      <x v="3459"/>
      <x v="12"/>
      <x v="1123"/>
      <x v="17"/>
      <x v="2"/>
      <x v="513"/>
      <x/>
      <x/>
    </i>
    <i>
      <x v="4985"/>
      <x v="1406"/>
      <x v="12"/>
      <x v="1041"/>
      <x v="22"/>
      <x v="2"/>
      <x v="31"/>
      <x/>
      <x v="4"/>
    </i>
    <i>
      <x v="4987"/>
      <x v="1453"/>
      <x v="12"/>
      <x v="841"/>
      <x v="20"/>
      <x v="2"/>
      <x v="513"/>
      <x/>
      <x/>
    </i>
    <i>
      <x v="4988"/>
      <x v="1490"/>
      <x v="12"/>
      <x v="823"/>
      <x v="17"/>
      <x v="2"/>
      <x v="31"/>
      <x/>
      <x/>
    </i>
    <i>
      <x v="4995"/>
      <x v="3176"/>
      <x v="12"/>
      <x v="716"/>
      <x v="14"/>
      <x v="2"/>
      <x v="31"/>
      <x v="1"/>
      <x v="2"/>
    </i>
    <i>
      <x v="5005"/>
      <x v="70"/>
      <x v="12"/>
      <x v="813"/>
      <x v="28"/>
      <x v="3"/>
      <x v="31"/>
      <x/>
      <x v="7"/>
    </i>
    <i>
      <x v="5006"/>
      <x v="71"/>
      <x v="12"/>
      <x v="813"/>
      <x v="24"/>
      <x v="3"/>
      <x v="31"/>
      <x/>
      <x v="7"/>
    </i>
    <i>
      <x v="5008"/>
      <x v="102"/>
      <x v="12"/>
      <x v="953"/>
      <x v="29"/>
      <x v="3"/>
      <x v="31"/>
      <x/>
      <x/>
    </i>
    <i>
      <x v="5012"/>
      <x v="229"/>
      <x v="12"/>
      <x v="1251"/>
      <x v="26"/>
      <x v="3"/>
      <x v="31"/>
      <x/>
      <x/>
    </i>
    <i>
      <x v="5016"/>
      <x v="386"/>
      <x v="12"/>
      <x v="1245"/>
      <x v="29"/>
      <x v="3"/>
      <x v="499"/>
      <x/>
      <x v="2"/>
    </i>
    <i>
      <x v="5020"/>
      <x v="5653"/>
      <x v="12"/>
      <x v="1286"/>
      <x v="26"/>
      <x v="3"/>
      <x v="499"/>
      <x/>
      <x v="2"/>
    </i>
    <i>
      <x v="5025"/>
      <x v="800"/>
      <x v="12"/>
      <x v="835"/>
      <x v="28"/>
      <x v="3"/>
      <x v="31"/>
      <x/>
      <x/>
    </i>
    <i>
      <x v="5040"/>
      <x v="6267"/>
      <x v="12"/>
      <x v="1315"/>
      <x v="28"/>
      <x v="3"/>
      <x v="31"/>
      <x/>
      <x/>
    </i>
    <i>
      <x v="5042"/>
      <x v="3738"/>
      <x v="12"/>
      <x v="1174"/>
      <x v="26"/>
      <x v="3"/>
      <x v="31"/>
      <x/>
      <x v="7"/>
    </i>
    <i>
      <x v="5058"/>
      <x v="6285"/>
      <x v="12"/>
      <x v="907"/>
      <x v="37"/>
      <x v="4"/>
      <x v="31"/>
      <x/>
      <x v="1"/>
    </i>
    <i>
      <x v="5060"/>
      <x v="3764"/>
      <x v="12"/>
      <x v="1272"/>
      <x v="36"/>
      <x v="4"/>
      <x v="499"/>
      <x/>
      <x v="2"/>
    </i>
    <i>
      <x v="5061"/>
      <x v="6286"/>
      <x v="12"/>
      <x v="1041"/>
      <x v="36"/>
      <x v="4"/>
      <x v="31"/>
      <x/>
      <x/>
    </i>
    <i>
      <x v="5063"/>
      <x v="6288"/>
      <x v="12"/>
      <x v="1314"/>
      <x v="32"/>
      <x v="4"/>
      <x v="499"/>
      <x/>
      <x v="2"/>
    </i>
    <i>
      <x v="5067"/>
      <x v="3773"/>
      <x v="12"/>
      <x v="1197"/>
      <x v="41"/>
      <x v="5"/>
      <x v="510"/>
      <x/>
      <x v="2"/>
    </i>
    <i>
      <x v="5073"/>
      <x v="1167"/>
      <x v="12"/>
      <x v="943"/>
      <x v="32"/>
      <x v="4"/>
      <x v="502"/>
      <x/>
      <x v="7"/>
    </i>
    <i>
      <x v="5078"/>
      <x v="6300"/>
      <x v="12"/>
      <x v="1323"/>
      <x v="6"/>
      <x v="1"/>
      <x v="31"/>
      <x/>
      <x v="2"/>
    </i>
    <i>
      <x v="5084"/>
      <x v="6317"/>
      <x v="12"/>
      <x v="1335"/>
      <x v="6"/>
      <x v="1"/>
      <x/>
      <x/>
      <x v="7"/>
    </i>
    <i>
      <x v="5085"/>
      <x v="6318"/>
      <x v="12"/>
      <x v="1336"/>
      <x v="2"/>
      <x/>
      <x/>
      <x/>
      <x v="3"/>
    </i>
    <i>
      <x v="5086"/>
      <x v="6319"/>
      <x v="12"/>
      <x v="1337"/>
      <x v="4"/>
      <x/>
      <x/>
      <x/>
      <x v="7"/>
    </i>
    <i>
      <x v="5087"/>
      <x v="6320"/>
      <x v="12"/>
      <x v="1337"/>
      <x v="6"/>
      <x v="1"/>
      <x/>
      <x/>
      <x/>
    </i>
    <i>
      <x v="5089"/>
      <x v="6322"/>
      <x v="12"/>
      <x v="1310"/>
      <x v="5"/>
      <x/>
      <x v="31"/>
      <x/>
      <x v="2"/>
    </i>
    <i>
      <x v="5090"/>
      <x v="4844"/>
      <x v="12"/>
      <x v="1330"/>
      <x v="5"/>
      <x/>
      <x v="501"/>
      <x/>
      <x v="2"/>
    </i>
    <i r="3">
      <x v="1429"/>
      <x v="5"/>
      <x/>
      <x v="31"/>
      <x/>
      <x v="2"/>
    </i>
    <i>
      <x v="5093"/>
      <x v="6325"/>
      <x v="12"/>
      <x v="1323"/>
      <x v="5"/>
      <x/>
      <x v="31"/>
      <x/>
      <x v="2"/>
    </i>
    <i>
      <x v="5096"/>
      <x v="6329"/>
      <x v="12"/>
      <x v="1329"/>
      <x v="3"/>
      <x/>
      <x/>
      <x/>
      <x v="2"/>
    </i>
    <i>
      <x v="5099"/>
      <x v="6332"/>
      <x v="12"/>
      <x v="1329"/>
      <x v="4"/>
      <x/>
      <x/>
      <x/>
      <x v="2"/>
    </i>
    <i>
      <x v="5102"/>
      <x v="6337"/>
      <x v="11"/>
      <x v="1329"/>
      <x v="9"/>
      <x v="1"/>
      <x v="31"/>
      <x v="1"/>
      <x v="2"/>
    </i>
    <i>
      <x v="5105"/>
      <x v="6345"/>
      <x v="12"/>
      <x v="1330"/>
      <x v="6"/>
      <x v="1"/>
      <x v="31"/>
      <x/>
      <x v="2"/>
    </i>
    <i>
      <x v="5111"/>
      <x v="5782"/>
      <x v="12"/>
      <x v="1310"/>
      <x v="9"/>
      <x v="1"/>
      <x v="31"/>
      <x/>
      <x v="2"/>
    </i>
    <i>
      <x v="5114"/>
      <x v="6353"/>
      <x v="12"/>
      <x v="1295"/>
      <x v="12"/>
      <x v="1"/>
      <x v="31"/>
      <x/>
      <x v="2"/>
    </i>
    <i>
      <x v="5116"/>
      <x v="6371"/>
      <x v="12"/>
      <x v="1339"/>
      <x v="8"/>
      <x v="1"/>
      <x v="31"/>
      <x/>
      <x v="2"/>
    </i>
    <i>
      <x v="5119"/>
      <x v="6377"/>
      <x v="12"/>
      <x v="1331"/>
      <x v="6"/>
      <x v="1"/>
      <x v="31"/>
      <x/>
      <x v="2"/>
    </i>
    <i>
      <x v="5128"/>
      <x v="7013"/>
      <x v="12"/>
      <x v="1322"/>
      <x v="55"/>
      <x v="5"/>
      <x v="509"/>
      <x/>
      <x v="3"/>
    </i>
    <i>
      <x v="5134"/>
      <x v="375"/>
      <x v="11"/>
      <x v="1331"/>
      <x v="10"/>
      <x v="1"/>
      <x/>
      <x/>
      <x/>
    </i>
    <i>
      <x v="5136"/>
      <x v="6401"/>
      <x v="12"/>
      <x v="1343"/>
      <x v="12"/>
      <x v="1"/>
      <x/>
      <x/>
      <x/>
    </i>
    <i>
      <x v="5137"/>
      <x v="6403"/>
      <x v="12"/>
      <x v="1331"/>
      <x v="10"/>
      <x v="1"/>
      <x/>
      <x/>
      <x v="4"/>
    </i>
    <i>
      <x v="5144"/>
      <x v="2673"/>
      <x v="12"/>
      <x v="1437"/>
      <x v="7"/>
      <x v="1"/>
      <x v="31"/>
      <x/>
      <x v="2"/>
    </i>
    <i>
      <x v="5145"/>
      <x v="6414"/>
      <x v="11"/>
      <x v="1321"/>
      <x v="8"/>
      <x v="1"/>
      <x/>
      <x/>
      <x v="2"/>
    </i>
    <i>
      <x v="5146"/>
      <x v="6415"/>
      <x v="12"/>
      <x v="1345"/>
      <x v="11"/>
      <x v="1"/>
      <x/>
      <x/>
      <x v="7"/>
    </i>
    <i>
      <x v="5147"/>
      <x v="6416"/>
      <x v="12"/>
      <x v="1336"/>
      <x v="7"/>
      <x v="1"/>
      <x/>
      <x/>
      <x/>
    </i>
    <i>
      <x v="5148"/>
      <x v="6417"/>
      <x v="12"/>
      <x v="1336"/>
      <x v="6"/>
      <x v="1"/>
      <x/>
      <x/>
      <x v="7"/>
    </i>
    <i>
      <x v="5149"/>
      <x v="6418"/>
      <x v="12"/>
      <x v="1337"/>
      <x v="8"/>
      <x v="1"/>
      <x/>
      <x/>
      <x/>
    </i>
    <i>
      <x v="5153"/>
      <x v="6422"/>
      <x v="12"/>
      <x v="1331"/>
      <x v="10"/>
      <x v="1"/>
      <x v="31"/>
      <x/>
      <x v="2"/>
    </i>
    <i>
      <x v="5156"/>
      <x v="6425"/>
      <x v="12"/>
      <x v="1334"/>
      <x v="7"/>
      <x v="1"/>
      <x v="31"/>
      <x/>
      <x v="2"/>
    </i>
    <i>
      <x v="5159"/>
      <x v="6432"/>
      <x v="12"/>
      <x v="1411"/>
      <x v="12"/>
      <x v="1"/>
      <x v="31"/>
      <x/>
      <x/>
    </i>
    <i>
      <x v="5161"/>
      <x v="6443"/>
      <x v="12"/>
      <x v="1326"/>
      <x v="12"/>
      <x v="1"/>
      <x v="31"/>
      <x v="1"/>
      <x v="2"/>
    </i>
    <i>
      <x v="5169"/>
      <x v="6454"/>
      <x v="12"/>
      <x v="1316"/>
      <x v="12"/>
      <x v="1"/>
      <x v="31"/>
      <x/>
      <x/>
    </i>
    <i>
      <x v="5172"/>
      <x v="6457"/>
      <x v="12"/>
      <x v="1322"/>
      <x v="6"/>
      <x v="1"/>
      <x v="452"/>
      <x/>
      <x/>
    </i>
    <i>
      <x v="5177"/>
      <x v="6463"/>
      <x v="12"/>
      <x v="1329"/>
      <x v="14"/>
      <x v="2"/>
      <x/>
      <x/>
      <x v="2"/>
    </i>
    <i>
      <x v="5178"/>
      <x v="6464"/>
      <x v="12"/>
      <x v="1326"/>
      <x v="13"/>
      <x v="1"/>
      <x/>
      <x/>
      <x v="2"/>
    </i>
    <i>
      <x v="5179"/>
      <x v="4914"/>
      <x v="12"/>
      <x v="1246"/>
      <x v="8"/>
      <x v="1"/>
      <x/>
      <x/>
      <x v="2"/>
    </i>
    <i>
      <x v="5180"/>
      <x v="6466"/>
      <x v="12"/>
      <x v="1329"/>
      <x v="11"/>
      <x v="1"/>
      <x/>
      <x/>
      <x v="2"/>
    </i>
    <i>
      <x v="5182"/>
      <x v="6468"/>
      <x v="12"/>
      <x v="1335"/>
      <x v="9"/>
      <x v="1"/>
      <x/>
      <x/>
      <x v="2"/>
    </i>
    <i>
      <x v="5196"/>
      <x v="4394"/>
      <x v="12"/>
      <x v="1310"/>
      <x v="17"/>
      <x v="2"/>
      <x v="31"/>
      <x/>
      <x v="2"/>
    </i>
    <i>
      <x v="5203"/>
      <x v="1930"/>
      <x v="12"/>
      <x v="1322"/>
      <x v="19"/>
      <x v="2"/>
      <x v="31"/>
      <x/>
      <x v="2"/>
    </i>
    <i>
      <x v="5204"/>
      <x v="6487"/>
      <x v="12"/>
      <x v="1324"/>
      <x v="22"/>
      <x v="2"/>
      <x v="31"/>
      <x/>
      <x/>
    </i>
    <i>
      <x v="5207"/>
      <x v="4644"/>
      <x v="12"/>
      <x v="1341"/>
      <x v="17"/>
      <x v="2"/>
      <x v="31"/>
      <x/>
      <x/>
    </i>
    <i>
      <x v="5212"/>
      <x v="6534"/>
      <x v="12"/>
      <x v="1333"/>
      <x v="19"/>
      <x v="2"/>
      <x v="31"/>
      <x/>
      <x v="2"/>
    </i>
    <i>
      <x v="5218"/>
      <x v="6544"/>
      <x v="12"/>
      <x v="1330"/>
      <x v="16"/>
      <x v="2"/>
      <x v="31"/>
      <x/>
      <x v="2"/>
    </i>
    <i>
      <x v="5222"/>
      <x v="3004"/>
      <x v="12"/>
      <x v="1327"/>
      <x v="22"/>
      <x v="2"/>
      <x/>
      <x/>
      <x/>
    </i>
    <i>
      <x v="5225"/>
      <x v="2224"/>
      <x v="12"/>
      <x v="1322"/>
      <x v="19"/>
      <x v="2"/>
      <x v="31"/>
      <x/>
      <x v="7"/>
    </i>
    <i>
      <x v="5226"/>
      <x v="6555"/>
      <x v="12"/>
      <x v="1369"/>
      <x v="16"/>
      <x v="2"/>
      <x v="501"/>
      <x/>
      <x v="2"/>
    </i>
    <i>
      <x v="5233"/>
      <x v="6562"/>
      <x v="12"/>
      <x v="1327"/>
      <x v="18"/>
      <x v="2"/>
      <x v="31"/>
      <x/>
      <x v="4"/>
    </i>
    <i>
      <x v="5240"/>
      <x v="1637"/>
      <x v="12"/>
      <x v="1336"/>
      <x v="17"/>
      <x v="2"/>
      <x v="520"/>
      <x/>
      <x/>
    </i>
    <i>
      <x v="5244"/>
      <x v="6575"/>
      <x v="12"/>
      <x v="1339"/>
      <x v="15"/>
      <x v="2"/>
      <x v="31"/>
      <x/>
      <x/>
    </i>
    <i>
      <x v="5249"/>
      <x v="6583"/>
      <x v="12"/>
      <x v="1322"/>
      <x v="16"/>
      <x v="2"/>
      <x v="31"/>
      <x/>
      <x v="2"/>
    </i>
    <i>
      <x v="5256"/>
      <x v="6601"/>
      <x v="12"/>
      <x v="1316"/>
      <x v="22"/>
      <x v="2"/>
      <x v="31"/>
      <x/>
      <x/>
    </i>
    <i>
      <x v="5257"/>
      <x v="6602"/>
      <x v="12"/>
      <x v="1316"/>
      <x v="15"/>
      <x v="2"/>
      <x v="31"/>
      <x/>
      <x/>
    </i>
    <i>
      <x v="5262"/>
      <x v="5350"/>
      <x v="12"/>
      <x v="1326"/>
      <x v="14"/>
      <x v="2"/>
      <x v="31"/>
      <x/>
      <x v="2"/>
    </i>
    <i>
      <x v="5263"/>
      <x v="622"/>
      <x v="12"/>
      <x v="1339"/>
      <x v="20"/>
      <x v="2"/>
      <x v="31"/>
      <x/>
      <x v="2"/>
    </i>
    <i>
      <x v="5266"/>
      <x v="4911"/>
      <x v="12"/>
      <x v="1246"/>
      <x v="22"/>
      <x v="2"/>
      <x/>
      <x/>
      <x v="2"/>
    </i>
    <i>
      <x v="5267"/>
      <x v="6613"/>
      <x v="12"/>
      <x v="1329"/>
      <x v="20"/>
      <x v="2"/>
      <x/>
      <x/>
      <x v="2"/>
    </i>
    <i>
      <x v="5270"/>
      <x v="4917"/>
      <x v="12"/>
      <x v="1246"/>
      <x v="16"/>
      <x v="2"/>
      <x/>
      <x/>
      <x v="2"/>
    </i>
    <i>
      <x v="5279"/>
      <x v="6623"/>
      <x v="11"/>
      <x v="1327"/>
      <x v="26"/>
      <x v="3"/>
      <x v="31"/>
      <x/>
      <x v="2"/>
    </i>
    <i>
      <x v="5286"/>
      <x v="6652"/>
      <x v="12"/>
      <x v="1286"/>
      <x v="31"/>
      <x v="3"/>
      <x v="31"/>
      <x/>
      <x v="2"/>
    </i>
    <i>
      <x v="5291"/>
      <x v="3027"/>
      <x v="12"/>
      <x v="1317"/>
      <x v="23"/>
      <x v="3"/>
      <x v="31"/>
      <x/>
      <x v="7"/>
    </i>
    <i>
      <x v="5302"/>
      <x v="6681"/>
      <x v="12"/>
      <x v="1336"/>
      <x v="23"/>
      <x v="3"/>
      <x v="31"/>
      <x/>
      <x v="2"/>
    </i>
    <i>
      <x v="5303"/>
      <x v="2218"/>
      <x v="12"/>
      <x v="1323"/>
      <x v="28"/>
      <x v="3"/>
      <x v="31"/>
      <x/>
      <x v="2"/>
    </i>
    <i>
      <x v="5304"/>
      <x v="7862"/>
      <x v="12"/>
      <x v="1323"/>
      <x v="29"/>
      <x v="3"/>
      <x v="31"/>
      <x/>
      <x v="2"/>
    </i>
    <i>
      <x v="5311"/>
      <x v="6686"/>
      <x v="12"/>
      <x v="1327"/>
      <x v="29"/>
      <x v="3"/>
      <x v="31"/>
      <x/>
      <x/>
    </i>
    <i>
      <x v="5312"/>
      <x v="6687"/>
      <x v="12"/>
      <x v="1339"/>
      <x v="25"/>
      <x v="3"/>
      <x v="31"/>
      <x/>
      <x v="2"/>
    </i>
    <i>
      <x v="5315"/>
      <x v="6691"/>
      <x v="12"/>
      <x v="1325"/>
      <x v="26"/>
      <x v="3"/>
      <x v="31"/>
      <x/>
      <x v="2"/>
    </i>
    <i>
      <x v="5317"/>
      <x v="6694"/>
      <x v="12"/>
      <x v="1338"/>
      <x v="24"/>
      <x v="3"/>
      <x v="31"/>
      <x/>
      <x v="6"/>
    </i>
    <i>
      <x v="5318"/>
      <x v="6696"/>
      <x v="12"/>
      <x v="1336"/>
      <x v="24"/>
      <x v="3"/>
      <x v="31"/>
      <x/>
      <x v="3"/>
    </i>
    <i>
      <x v="5319"/>
      <x v="6698"/>
      <x v="12"/>
      <x v="1394"/>
      <x v="29"/>
      <x v="3"/>
      <x v="31"/>
      <x/>
      <x v="4"/>
    </i>
    <i>
      <x v="5322"/>
      <x v="419"/>
      <x v="12"/>
      <x v="360"/>
      <x v="30"/>
      <x v="3"/>
      <x v="31"/>
      <x/>
      <x/>
    </i>
    <i>
      <x v="5330"/>
      <x v="6715"/>
      <x v="12"/>
      <x v="1322"/>
      <x v="25"/>
      <x v="3"/>
      <x v="31"/>
      <x/>
      <x v="7"/>
    </i>
    <i>
      <x v="5335"/>
      <x v="4918"/>
      <x v="12"/>
      <x v="1246"/>
      <x v="30"/>
      <x v="3"/>
      <x/>
      <x/>
      <x v="2"/>
    </i>
    <i>
      <x v="5336"/>
      <x v="4936"/>
      <x v="12"/>
      <x v="1241"/>
      <x v="32"/>
      <x v="4"/>
      <x/>
      <x/>
      <x v="2"/>
    </i>
    <i>
      <x v="5337"/>
      <x v="6723"/>
      <x v="12"/>
      <x v="1351"/>
      <x v="31"/>
      <x v="3"/>
      <x/>
      <x/>
      <x v="2"/>
    </i>
    <i>
      <x v="5338"/>
      <x v="4922"/>
      <x v="12"/>
      <x v="1246"/>
      <x v="30"/>
      <x v="3"/>
      <x/>
      <x/>
      <x v="2"/>
    </i>
    <i>
      <x v="5339"/>
      <x v="6724"/>
      <x v="12"/>
      <x v="1339"/>
      <x v="30"/>
      <x v="3"/>
      <x/>
      <x/>
      <x v="2"/>
    </i>
    <i>
      <x v="5340"/>
      <x v="6725"/>
      <x v="12"/>
      <x v="1326"/>
      <x v="26"/>
      <x v="3"/>
      <x/>
      <x/>
      <x v="2"/>
    </i>
    <i>
      <x v="5341"/>
      <x v="6726"/>
      <x v="12"/>
      <x v="1329"/>
      <x v="27"/>
      <x v="3"/>
      <x/>
      <x/>
      <x v="2"/>
    </i>
    <i>
      <x v="5346"/>
      <x v="6733"/>
      <x v="12"/>
      <x v="1340"/>
      <x v="34"/>
      <x v="4"/>
      <x v="31"/>
      <x/>
      <x v="1"/>
    </i>
    <i>
      <x v="5355"/>
      <x v="6757"/>
      <x v="12"/>
      <x v="1325"/>
      <x v="35"/>
      <x v="4"/>
      <x v="31"/>
      <x/>
      <x v="1"/>
    </i>
    <i>
      <x v="5359"/>
      <x v="6760"/>
      <x v="12"/>
      <x v="1369"/>
      <x v="38"/>
      <x v="4"/>
      <x v="31"/>
      <x/>
      <x/>
    </i>
    <i>
      <x v="5361"/>
      <x v="6762"/>
      <x v="12"/>
      <x v="1327"/>
      <x v="34"/>
      <x v="4"/>
      <x v="31"/>
      <x/>
      <x v="2"/>
    </i>
    <i>
      <x v="5362"/>
      <x v="6768"/>
      <x v="12"/>
      <x v="1310"/>
      <x v="35"/>
      <x v="4"/>
      <x v="31"/>
      <x/>
      <x v="2"/>
    </i>
    <i>
      <x v="5367"/>
      <x v="3908"/>
      <x v="12"/>
      <x v="1150"/>
      <x v="40"/>
      <x v="4"/>
      <x v="76"/>
      <x v="1"/>
      <x v="2"/>
    </i>
    <i>
      <x v="5369"/>
      <x v="6776"/>
      <x v="12"/>
      <x v="1335"/>
      <x v="35"/>
      <x v="4"/>
      <x/>
      <x/>
      <x v="2"/>
    </i>
    <i>
      <x v="5372"/>
      <x v="4940"/>
      <x v="12"/>
      <x v="1240"/>
      <x v="32"/>
      <x v="4"/>
      <x/>
      <x/>
      <x v="2"/>
    </i>
    <i>
      <x v="5373"/>
      <x v="6781"/>
      <x v="12"/>
      <x v="1325"/>
      <x v="39"/>
      <x v="4"/>
      <x/>
      <x/>
      <x v="2"/>
    </i>
    <i>
      <x v="5374"/>
      <x v="4915"/>
      <x v="12"/>
      <x v="1246"/>
      <x v="37"/>
      <x v="4"/>
      <x/>
      <x/>
      <x v="2"/>
    </i>
    <i>
      <x v="5375"/>
      <x v="4913"/>
      <x v="12"/>
      <x v="1246"/>
      <x v="33"/>
      <x v="4"/>
      <x/>
      <x/>
      <x v="2"/>
    </i>
    <i>
      <x v="5376"/>
      <x v="6782"/>
      <x v="12"/>
      <x v="1335"/>
      <x v="34"/>
      <x v="4"/>
      <x/>
      <x/>
      <x v="2"/>
    </i>
    <i>
      <x v="5377"/>
      <x v="6783"/>
      <x v="12"/>
      <x v="1329"/>
      <x v="32"/>
      <x v="4"/>
      <x/>
      <x/>
      <x v="2"/>
    </i>
    <i>
      <x v="5378"/>
      <x v="6784"/>
      <x v="12"/>
      <x v="1329"/>
      <x v="33"/>
      <x v="4"/>
      <x/>
      <x/>
      <x v="2"/>
    </i>
    <i>
      <x v="5379"/>
      <x v="4924"/>
      <x v="12"/>
      <x v="1246"/>
      <x v="36"/>
      <x v="4"/>
      <x/>
      <x/>
      <x v="2"/>
    </i>
    <i>
      <x v="5380"/>
      <x v="5719"/>
      <x v="12"/>
      <x v="1262"/>
      <x v="38"/>
      <x v="4"/>
      <x/>
      <x/>
      <x v="2"/>
    </i>
    <i>
      <x v="5381"/>
      <x v="6785"/>
      <x v="12"/>
      <x v="1335"/>
      <x v="34"/>
      <x v="4"/>
      <x/>
      <x/>
      <x v="2"/>
    </i>
    <i>
      <x v="5382"/>
      <x v="6786"/>
      <x v="12"/>
      <x v="1322"/>
      <x v="40"/>
      <x v="4"/>
      <x/>
      <x/>
      <x v="2"/>
    </i>
    <i>
      <x v="5388"/>
      <x v="6794"/>
      <x v="12"/>
      <x v="1385"/>
      <x v="44"/>
      <x v="5"/>
      <x v="498"/>
      <x v="1"/>
      <x v="2"/>
    </i>
    <i>
      <x v="5389"/>
      <x v="6795"/>
      <x v="12"/>
      <x v="1369"/>
      <x v="42"/>
      <x v="5"/>
      <x v="31"/>
      <x/>
      <x v="2"/>
    </i>
    <i>
      <x v="5390"/>
      <x v="6796"/>
      <x v="12"/>
      <x v="1369"/>
      <x v="41"/>
      <x v="5"/>
      <x v="31"/>
      <x/>
      <x/>
    </i>
    <i>
      <x v="5394"/>
      <x v="5722"/>
      <x v="12"/>
      <x v="1282"/>
      <x v="44"/>
      <x v="5"/>
      <x/>
      <x/>
      <x v="2"/>
    </i>
    <i>
      <x v="5395"/>
      <x v="6801"/>
      <x v="12"/>
      <x v="1332"/>
      <x v="41"/>
      <x v="5"/>
      <x/>
      <x/>
      <x v="3"/>
    </i>
    <i>
      <x v="5397"/>
      <x v="6803"/>
      <x v="12"/>
      <x v="1329"/>
      <x v="43"/>
      <x v="5"/>
      <x/>
      <x/>
      <x v="6"/>
    </i>
    <i>
      <x v="5398"/>
      <x v="6804"/>
      <x v="12"/>
      <x v="1322"/>
      <x v="41"/>
      <x v="5"/>
      <x/>
      <x/>
      <x v="2"/>
    </i>
    <i>
      <x v="5404"/>
      <x v="3687"/>
      <x v="12"/>
      <x v="1349"/>
      <x v="2"/>
      <x/>
      <x v="31"/>
      <x/>
      <x/>
    </i>
    <i>
      <x v="5405"/>
      <x v="6810"/>
      <x v="12"/>
      <x v="1349"/>
      <x v="31"/>
      <x v="3"/>
      <x v="31"/>
      <x/>
      <x v="4"/>
    </i>
    <i>
      <x v="5407"/>
      <x v="6812"/>
      <x v="12"/>
      <x v="1394"/>
      <x v="24"/>
      <x v="3"/>
      <x v="31"/>
      <x/>
      <x/>
    </i>
    <i>
      <x v="5408"/>
      <x v="6816"/>
      <x v="12"/>
      <x v="1349"/>
      <x v="13"/>
      <x v="1"/>
      <x v="31"/>
      <x/>
      <x v="2"/>
    </i>
    <i>
      <x v="5409"/>
      <x v="1513"/>
      <x v="12"/>
      <x v="1349"/>
      <x v="12"/>
      <x v="1"/>
      <x v="31"/>
      <x/>
      <x v="7"/>
    </i>
    <i>
      <x v="5412"/>
      <x v="6825"/>
      <x v="12"/>
      <x v="1325"/>
      <x v="24"/>
      <x v="3"/>
      <x v="31"/>
      <x/>
      <x v="3"/>
    </i>
    <i>
      <x v="5415"/>
      <x v="6832"/>
      <x v="12"/>
      <x v="1353"/>
      <x v="4"/>
      <x/>
      <x v="31"/>
      <x v="1"/>
      <x v="2"/>
    </i>
    <i>
      <x v="5416"/>
      <x v="6833"/>
      <x v="12"/>
      <x v="1329"/>
      <x v="2"/>
      <x/>
      <x v="31"/>
      <x v="1"/>
      <x/>
    </i>
    <i>
      <x v="5417"/>
      <x v="1155"/>
      <x v="12"/>
      <x v="1353"/>
      <x v="5"/>
      <x/>
      <x v="31"/>
      <x v="1"/>
      <x v="2"/>
    </i>
    <i>
      <x v="5419"/>
      <x v="6836"/>
      <x v="12"/>
      <x v="1354"/>
      <x v="5"/>
      <x/>
      <x v="31"/>
      <x/>
      <x v="2"/>
    </i>
    <i>
      <x v="5422"/>
      <x v="6845"/>
      <x v="12"/>
      <x v="1328"/>
      <x v="5"/>
      <x/>
      <x v="31"/>
      <x/>
      <x v="1"/>
    </i>
    <i>
      <x v="5423"/>
      <x v="1980"/>
      <x v="12"/>
      <x v="1117"/>
      <x v="3"/>
      <x/>
      <x v="510"/>
      <x/>
      <x/>
    </i>
    <i>
      <x v="5424"/>
      <x v="3328"/>
      <x v="12"/>
      <x v="1132"/>
      <x/>
      <x/>
      <x v="31"/>
      <x/>
      <x v="7"/>
    </i>
    <i>
      <x v="5425"/>
      <x v="6847"/>
      <x v="12"/>
      <x v="1355"/>
      <x v="2"/>
      <x/>
      <x/>
      <x/>
      <x/>
    </i>
    <i>
      <x v="5427"/>
      <x v="6848"/>
      <x v="12"/>
      <x v="1360"/>
      <x v="1"/>
      <x/>
      <x/>
      <x/>
      <x v="6"/>
    </i>
    <i>
      <x v="5430"/>
      <x v="6852"/>
      <x v="12"/>
      <x v="1363"/>
      <x v="3"/>
      <x/>
      <x/>
      <x/>
      <x/>
    </i>
    <i>
      <x v="5431"/>
      <x v="6853"/>
      <x v="12"/>
      <x v="1364"/>
      <x v="3"/>
      <x/>
      <x/>
      <x/>
      <x v="3"/>
    </i>
    <i>
      <x v="5432"/>
      <x v="6854"/>
      <x v="12"/>
      <x v="1365"/>
      <x v="4"/>
      <x/>
      <x/>
      <x/>
      <x v="2"/>
    </i>
    <i>
      <x v="5434"/>
      <x v="6856"/>
      <x v="12"/>
      <x v="1365"/>
      <x v="5"/>
      <x/>
      <x v="498"/>
      <x/>
      <x/>
    </i>
    <i>
      <x v="5436"/>
      <x v="6858"/>
      <x v="12"/>
      <x v="1353"/>
      <x v="4"/>
      <x/>
      <x v="31"/>
      <x/>
      <x v="3"/>
    </i>
    <i>
      <x v="5443"/>
      <x v="6871"/>
      <x v="12"/>
      <x v="1366"/>
      <x v="10"/>
      <x v="1"/>
      <x v="31"/>
      <x v="1"/>
      <x v="7"/>
    </i>
    <i>
      <x v="5444"/>
      <x v="2568"/>
      <x v="12"/>
      <x v="1360"/>
      <x v="11"/>
      <x v="1"/>
      <x v="31"/>
      <x v="1"/>
      <x v="2"/>
    </i>
    <i>
      <x v="5445"/>
      <x v="6872"/>
      <x v="12"/>
      <x v="1326"/>
      <x v="7"/>
      <x v="1"/>
      <x v="31"/>
      <x v="1"/>
      <x v="2"/>
    </i>
    <i>
      <x v="5446"/>
      <x v="6873"/>
      <x v="12"/>
      <x v="1368"/>
      <x v="13"/>
      <x v="1"/>
      <x v="31"/>
      <x v="1"/>
      <x v="2"/>
    </i>
    <i>
      <x v="5447"/>
      <x v="6874"/>
      <x v="12"/>
      <x v="1368"/>
      <x v="7"/>
      <x v="1"/>
      <x v="31"/>
      <x v="1"/>
      <x v="7"/>
    </i>
    <i>
      <x v="5448"/>
      <x v="6875"/>
      <x v="12"/>
      <x v="1309"/>
      <x v="14"/>
      <x v="2"/>
      <x v="31"/>
      <x v="1"/>
      <x v="2"/>
    </i>
    <i>
      <x v="5455"/>
      <x v="6884"/>
      <x v="12"/>
      <x v="1364"/>
      <x v="12"/>
      <x v="1"/>
      <x v="31"/>
      <x/>
      <x v="2"/>
    </i>
    <i>
      <x v="5460"/>
      <x v="6890"/>
      <x v="12"/>
      <x v="1328"/>
      <x v="12"/>
      <x v="1"/>
      <x v="31"/>
      <x/>
      <x v="2"/>
    </i>
    <i>
      <x v="5461"/>
      <x v="6891"/>
      <x v="12"/>
      <x v="1361"/>
      <x v="9"/>
      <x v="1"/>
      <x v="31"/>
      <x/>
      <x v="3"/>
    </i>
    <i>
      <x v="5467"/>
      <x v="3317"/>
      <x v="12"/>
      <x v="1117"/>
      <x v="10"/>
      <x v="1"/>
      <x v="510"/>
      <x/>
      <x/>
    </i>
    <i>
      <x v="5481"/>
      <x v="6923"/>
      <x v="12"/>
      <x v="1359"/>
      <x v="9"/>
      <x v="1"/>
      <x v="31"/>
      <x/>
      <x v="2"/>
    </i>
    <i>
      <x v="5482"/>
      <x v="6924"/>
      <x v="12"/>
      <x v="1361"/>
      <x v="10"/>
      <x v="1"/>
      <x/>
      <x/>
      <x v="3"/>
    </i>
    <i>
      <x v="5486"/>
      <x v="6928"/>
      <x v="12"/>
      <x v="1366"/>
      <x v="9"/>
      <x v="1"/>
      <x/>
      <x/>
      <x v="2"/>
    </i>
    <i>
      <x v="5487"/>
      <x v="6929"/>
      <x v="12"/>
      <x v="1365"/>
      <x v="9"/>
      <x v="1"/>
      <x/>
      <x/>
      <x v="1"/>
    </i>
    <i>
      <x v="5491"/>
      <x v="6933"/>
      <x v="12"/>
      <x v="1369"/>
      <x v="11"/>
      <x v="1"/>
      <x v="31"/>
      <x/>
      <x/>
    </i>
    <i>
      <x v="5494"/>
      <x v="6936"/>
      <x v="11"/>
      <x v="1358"/>
      <x v="8"/>
      <x v="1"/>
      <x v="31"/>
      <x/>
      <x v="2"/>
    </i>
    <i>
      <x v="5497"/>
      <x v="2228"/>
      <x v="12"/>
      <x v="1328"/>
      <x v="8"/>
      <x v="1"/>
      <x v="31"/>
      <x/>
      <x/>
    </i>
    <i>
      <x v="5498"/>
      <x v="6941"/>
      <x v="12"/>
      <x v="1360"/>
      <x v="11"/>
      <x v="1"/>
      <x v="31"/>
      <x/>
      <x v="2"/>
    </i>
    <i>
      <x v="5499"/>
      <x v="6942"/>
      <x v="12"/>
      <x v="1353"/>
      <x v="12"/>
      <x v="1"/>
      <x v="31"/>
      <x/>
      <x v="2"/>
    </i>
    <i>
      <x v="5500"/>
      <x v="6943"/>
      <x v="12"/>
      <x v="1359"/>
      <x v="34"/>
      <x v="4"/>
      <x v="31"/>
      <x/>
      <x v="2"/>
    </i>
    <i>
      <x v="5504"/>
      <x v="6951"/>
      <x v="12"/>
      <x v="1358"/>
      <x v="11"/>
      <x v="1"/>
      <x v="31"/>
      <x/>
      <x v="2"/>
    </i>
    <i>
      <x v="5509"/>
      <x v="6958"/>
      <x v="12"/>
      <x v="1328"/>
      <x v="9"/>
      <x v="1"/>
      <x/>
      <x/>
      <x v="2"/>
    </i>
    <i>
      <x v="5513"/>
      <x v="6964"/>
      <x v="12"/>
      <x v="1356"/>
      <x v="19"/>
      <x v="2"/>
      <x v="31"/>
      <x v="1"/>
      <x v="2"/>
    </i>
    <i>
      <x v="5514"/>
      <x v="6965"/>
      <x v="12"/>
      <x v="1357"/>
      <x v="19"/>
      <x v="2"/>
      <x v="31"/>
      <x v="1"/>
      <x v="2"/>
    </i>
    <i>
      <x v="5519"/>
      <x v="6971"/>
      <x v="12"/>
      <x v="1357"/>
      <x v="20"/>
      <x v="2"/>
      <x v="31"/>
      <x/>
      <x v="7"/>
    </i>
    <i>
      <x v="5520"/>
      <x v="6972"/>
      <x v="12"/>
      <x v="1354"/>
      <x v="15"/>
      <x v="2"/>
      <x v="31"/>
      <x/>
      <x v="2"/>
    </i>
    <i>
      <x v="5533"/>
      <x v="6987"/>
      <x v="12"/>
      <x v="1328"/>
      <x v="15"/>
      <x v="2"/>
      <x v="31"/>
      <x/>
      <x/>
    </i>
    <i>
      <x v="5538"/>
      <x v="1242"/>
      <x v="12"/>
      <x v="1359"/>
      <x v="21"/>
      <x v="2"/>
      <x v="31"/>
      <x/>
      <x/>
    </i>
    <i>
      <x v="5547"/>
      <x v="7016"/>
      <x v="12"/>
      <x v="1356"/>
      <x v="22"/>
      <x v="2"/>
      <x v="502"/>
      <x/>
      <x v="7"/>
    </i>
    <i>
      <x v="5549"/>
      <x v="7018"/>
      <x v="12"/>
      <x v="1359"/>
      <x v="19"/>
      <x v="2"/>
      <x/>
      <x/>
      <x v="4"/>
    </i>
    <i>
      <x v="5552"/>
      <x v="7021"/>
      <x v="12"/>
      <x v="1372"/>
      <x v="17"/>
      <x v="2"/>
      <x/>
      <x/>
      <x/>
    </i>
    <i>
      <x v="5554"/>
      <x v="3456"/>
      <x v="12"/>
      <x v="1137"/>
      <x v="25"/>
      <x v="3"/>
      <x v="31"/>
      <x/>
      <x v="2"/>
    </i>
    <i r="1">
      <x v="6225"/>
      <x v="12"/>
      <x v="1216"/>
      <x v="21"/>
      <x v="2"/>
      <x v="31"/>
      <x/>
      <x/>
    </i>
    <i>
      <x v="5555"/>
      <x v="7022"/>
      <x v="11"/>
      <x v="944"/>
      <x v="14"/>
      <x v="2"/>
      <x v="31"/>
      <x/>
      <x v="3"/>
    </i>
    <i>
      <x v="5558"/>
      <x v="7024"/>
      <x v="12"/>
      <x v="1357"/>
      <x v="21"/>
      <x v="2"/>
      <x v="31"/>
      <x/>
      <x v="2"/>
    </i>
    <i>
      <x v="5559"/>
      <x v="7027"/>
      <x v="12"/>
      <x v="1362"/>
      <x v="14"/>
      <x v="2"/>
      <x/>
      <x/>
      <x v="7"/>
    </i>
    <i>
      <x v="5563"/>
      <x v="7031"/>
      <x v="12"/>
      <x v="1377"/>
      <x v="14"/>
      <x v="2"/>
      <x/>
      <x/>
      <x v="1"/>
    </i>
    <i>
      <x v="5564"/>
      <x v="7032"/>
      <x v="12"/>
      <x v="1377"/>
      <x v="21"/>
      <x v="2"/>
      <x/>
      <x/>
      <x v="1"/>
    </i>
    <i>
      <x v="5570"/>
      <x v="7039"/>
      <x v="12"/>
      <x v="1372"/>
      <x v="15"/>
      <x v="2"/>
      <x v="31"/>
      <x/>
      <x v="2"/>
    </i>
    <i>
      <x v="5575"/>
      <x v="7046"/>
      <x v="12"/>
      <x v="1353"/>
      <x v="23"/>
      <x v="3"/>
      <x v="452"/>
      <x/>
      <x v="2"/>
    </i>
    <i>
      <x v="5583"/>
      <x v="4578"/>
      <x v="12"/>
      <x v="1357"/>
      <x v="19"/>
      <x v="2"/>
      <x v="31"/>
      <x/>
      <x v="2"/>
    </i>
    <i>
      <x v="5598"/>
      <x v="7076"/>
      <x v="12"/>
      <x v="1329"/>
      <x v="8"/>
      <x v="1"/>
      <x v="31"/>
      <x v="1"/>
      <x v="2"/>
    </i>
    <i>
      <x v="5600"/>
      <x v="7078"/>
      <x v="12"/>
      <x v="1354"/>
      <x v="31"/>
      <x v="3"/>
      <x v="31"/>
      <x/>
      <x v="2"/>
    </i>
    <i>
      <x v="5601"/>
      <x v="7079"/>
      <x v="12"/>
      <x v="1354"/>
      <x v="25"/>
      <x v="3"/>
      <x v="31"/>
      <x/>
      <x/>
    </i>
    <i>
      <x v="5603"/>
      <x v="7081"/>
      <x v="12"/>
      <x v="1356"/>
      <x v="26"/>
      <x v="3"/>
      <x v="501"/>
      <x/>
      <x v="2"/>
    </i>
    <i>
      <x v="5611"/>
      <x v="7099"/>
      <x v="12"/>
      <x v="1373"/>
      <x v="27"/>
      <x v="3"/>
      <x v="31"/>
      <x/>
      <x/>
    </i>
    <i>
      <x v="5614"/>
      <x v="7100"/>
      <x v="12"/>
      <x v="1362"/>
      <x v="55"/>
      <x v="5"/>
      <x v="510"/>
      <x/>
      <x v="1"/>
    </i>
    <i>
      <x v="5617"/>
      <x v="5623"/>
      <x v="12"/>
      <x v="1331"/>
      <x v="27"/>
      <x v="3"/>
      <x/>
      <x/>
      <x v="1"/>
    </i>
    <i>
      <x v="5621"/>
      <x v="6263"/>
      <x v="12"/>
      <x v="1137"/>
      <x v="27"/>
      <x v="3"/>
      <x v="31"/>
      <x/>
      <x v="2"/>
    </i>
    <i>
      <x v="5622"/>
      <x v="7111"/>
      <x v="12"/>
      <x v="1355"/>
      <x v="26"/>
      <x v="3"/>
      <x v="31"/>
      <x/>
      <x/>
    </i>
    <i>
      <x v="5626"/>
      <x v="7115"/>
      <x v="12"/>
      <x v="1369"/>
      <x v="28"/>
      <x v="3"/>
      <x v="31"/>
      <x/>
      <x/>
    </i>
    <i>
      <x v="5627"/>
      <x v="7118"/>
      <x v="12"/>
      <x v="1356"/>
      <x v="24"/>
      <x v="3"/>
      <x v="31"/>
      <x/>
      <x v="2"/>
    </i>
    <i>
      <x v="5630"/>
      <x v="7122"/>
      <x v="12"/>
      <x v="1361"/>
      <x v="24"/>
      <x v="3"/>
      <x v="31"/>
      <x/>
      <x v="2"/>
    </i>
    <i>
      <x v="5631"/>
      <x v="7123"/>
      <x v="12"/>
      <x v="1358"/>
      <x v="26"/>
      <x v="3"/>
      <x v="31"/>
      <x/>
      <x v="7"/>
    </i>
    <i>
      <x v="5632"/>
      <x v="7126"/>
      <x v="12"/>
      <x v="1328"/>
      <x v="26"/>
      <x v="3"/>
      <x v="31"/>
      <x/>
      <x v="6"/>
    </i>
    <i>
      <x v="5633"/>
      <x v="3367"/>
      <x v="12"/>
      <x v="1359"/>
      <x v="23"/>
      <x v="3"/>
      <x v="31"/>
      <x/>
      <x v="2"/>
    </i>
    <i>
      <x v="5637"/>
      <x v="7136"/>
      <x v="12"/>
      <x v="1372"/>
      <x v="30"/>
      <x v="3"/>
      <x v="31"/>
      <x/>
      <x v="2"/>
    </i>
    <i>
      <x v="5638"/>
      <x v="7137"/>
      <x v="12"/>
      <x v="1358"/>
      <x v="24"/>
      <x v="3"/>
      <x v="31"/>
      <x/>
      <x v="2"/>
    </i>
    <i>
      <x v="5641"/>
      <x v="7547"/>
      <x v="12"/>
      <x v="1372"/>
      <x v="23"/>
      <x v="3"/>
      <x/>
      <x/>
      <x/>
    </i>
    <i>
      <x v="5643"/>
      <x v="7144"/>
      <x v="12"/>
      <x v="1358"/>
      <x v="27"/>
      <x v="3"/>
      <x v="521"/>
      <x/>
      <x v="2"/>
    </i>
    <i>
      <x v="5645"/>
      <x v="7148"/>
      <x v="12"/>
      <x v="1370"/>
      <x v="26"/>
      <x v="3"/>
      <x/>
      <x/>
      <x v="2"/>
    </i>
    <i>
      <x v="5647"/>
      <x v="7150"/>
      <x v="12"/>
      <x v="1353"/>
      <x v="34"/>
      <x v="4"/>
      <x v="31"/>
      <x v="1"/>
      <x v="7"/>
    </i>
    <i>
      <x v="5648"/>
      <x v="7151"/>
      <x v="12"/>
      <x v="1356"/>
      <x v="37"/>
      <x v="4"/>
      <x v="493"/>
      <x v="1"/>
      <x v="7"/>
    </i>
    <i>
      <x v="5651"/>
      <x v="7154"/>
      <x v="12"/>
      <x v="1347"/>
      <x v="39"/>
      <x v="4"/>
      <x v="31"/>
      <x/>
      <x v="2"/>
    </i>
    <i>
      <x v="5652"/>
      <x v="7156"/>
      <x v="12"/>
      <x v="1379"/>
      <x v="35"/>
      <x v="4"/>
      <x v="31"/>
      <x/>
      <x v="7"/>
    </i>
    <i>
      <x v="5653"/>
      <x v="7157"/>
      <x v="12"/>
      <x v="1355"/>
      <x v="38"/>
      <x v="4"/>
      <x v="31"/>
      <x/>
      <x/>
    </i>
    <i>
      <x v="5662"/>
      <x v="7172"/>
      <x v="12"/>
      <x v="1328"/>
      <x v="39"/>
      <x v="4"/>
      <x/>
      <x/>
      <x v="2"/>
    </i>
    <i>
      <x v="5665"/>
      <x v="4874"/>
      <x v="12"/>
      <x v="1369"/>
      <x v="40"/>
      <x v="4"/>
      <x/>
      <x/>
      <x v="2"/>
    </i>
    <i>
      <x v="5666"/>
      <x v="7175"/>
      <x v="12"/>
      <x v="1358"/>
      <x v="35"/>
      <x v="4"/>
      <x/>
      <x/>
      <x v="2"/>
    </i>
    <i>
      <x v="5667"/>
      <x v="7176"/>
      <x v="12"/>
      <x v="1339"/>
      <x v="41"/>
      <x v="5"/>
      <x v="31"/>
      <x v="1"/>
      <x v="4"/>
    </i>
    <i>
      <x v="5669"/>
      <x v="7179"/>
      <x v="12"/>
      <x v="1356"/>
      <x v="41"/>
      <x v="5"/>
      <x v="31"/>
      <x/>
      <x v="4"/>
    </i>
    <i>
      <x v="5676"/>
      <x v="7192"/>
      <x v="12"/>
      <x v="1384"/>
      <x v="11"/>
      <x v="1"/>
      <x v="31"/>
      <x v="1"/>
      <x v="2"/>
    </i>
    <i>
      <x v="5679"/>
      <x v="7196"/>
      <x v="12"/>
      <x v="1384"/>
      <x v="24"/>
      <x v="3"/>
      <x v="31"/>
      <x v="1"/>
      <x v="2"/>
    </i>
    <i>
      <x v="5680"/>
      <x v="7197"/>
      <x v="12"/>
      <x v="1360"/>
      <x v="25"/>
      <x v="3"/>
      <x v="31"/>
      <x v="1"/>
      <x v="2"/>
    </i>
    <i>
      <x v="5681"/>
      <x v="349"/>
      <x v="12"/>
      <x v="188"/>
      <x v="23"/>
      <x v="3"/>
      <x v="31"/>
      <x/>
      <x v="7"/>
    </i>
    <i>
      <x v="5685"/>
      <x v="3278"/>
      <x v="12"/>
      <x v="189"/>
      <x v="39"/>
      <x v="4"/>
      <x v="31"/>
      <x/>
      <x v="2"/>
    </i>
    <i>
      <x v="5686"/>
      <x v="3279"/>
      <x v="12"/>
      <x v="309"/>
      <x v="11"/>
      <x v="1"/>
      <x v="31"/>
      <x/>
      <x/>
    </i>
    <i>
      <x v="5687"/>
      <x v="1419"/>
      <x v="11"/>
      <x v="308"/>
      <x v="30"/>
      <x v="3"/>
      <x v="31"/>
      <x/>
      <x v="2"/>
    </i>
    <i>
      <x v="5689"/>
      <x v="469"/>
      <x v="12"/>
      <x v="323"/>
      <x v="33"/>
      <x v="4"/>
      <x v="31"/>
      <x/>
      <x v="4"/>
    </i>
    <i>
      <x v="5690"/>
      <x v="290"/>
      <x v="12"/>
      <x v="323"/>
      <x v="10"/>
      <x v="1"/>
      <x v="31"/>
      <x/>
      <x v="6"/>
    </i>
    <i>
      <x v="5694"/>
      <x v="1361"/>
      <x v="12"/>
      <x v="339"/>
      <x v="19"/>
      <x v="2"/>
      <x v="31"/>
      <x/>
      <x/>
    </i>
    <i>
      <x v="5704"/>
      <x v="863"/>
      <x v="12"/>
      <x v="505"/>
      <x v="29"/>
      <x v="3"/>
      <x v="31"/>
      <x/>
      <x v="2"/>
    </i>
    <i>
      <x v="5706"/>
      <x v="233"/>
      <x v="12"/>
      <x v="531"/>
      <x v="13"/>
      <x v="1"/>
      <x v="31"/>
      <x/>
      <x v="2"/>
    </i>
    <i>
      <x v="5710"/>
      <x v="617"/>
      <x v="12"/>
      <x v="630"/>
      <x v="28"/>
      <x v="3"/>
      <x v="31"/>
      <x/>
      <x v="7"/>
    </i>
    <i>
      <x v="5711"/>
      <x v="145"/>
      <x v="12"/>
      <x v="677"/>
      <x v="15"/>
      <x v="2"/>
      <x v="31"/>
      <x/>
      <x/>
    </i>
    <i>
      <x v="5716"/>
      <x v="489"/>
      <x v="12"/>
      <x v="690"/>
      <x v="20"/>
      <x v="2"/>
      <x v="31"/>
      <x/>
      <x/>
    </i>
    <i>
      <x v="5717"/>
      <x v="667"/>
      <x v="12"/>
      <x v="696"/>
      <x v="19"/>
      <x v="2"/>
      <x v="31"/>
      <x/>
      <x v="2"/>
    </i>
    <i>
      <x v="5720"/>
      <x v="356"/>
      <x v="12"/>
      <x v="747"/>
      <x v="14"/>
      <x v="2"/>
      <x v="31"/>
      <x/>
      <x/>
    </i>
    <i>
      <x v="5726"/>
      <x v="1542"/>
      <x v="12"/>
      <x v="933"/>
      <x v="12"/>
      <x v="1"/>
      <x v="31"/>
      <x/>
      <x v="4"/>
    </i>
    <i>
      <x v="5731"/>
      <x v="1737"/>
      <x v="12"/>
      <x v="957"/>
      <x v="4"/>
      <x/>
      <x v="31"/>
      <x/>
      <x v="2"/>
    </i>
    <i>
      <x v="5733"/>
      <x v="1468"/>
      <x v="12"/>
      <x v="838"/>
      <x v="13"/>
      <x v="1"/>
      <x v="31"/>
      <x/>
      <x v="1"/>
    </i>
    <i>
      <x v="5734"/>
      <x v="538"/>
      <x v="12"/>
      <x v="1211"/>
      <x v="24"/>
      <x v="3"/>
      <x v="31"/>
      <x/>
      <x v="4"/>
    </i>
    <i>
      <x v="5735"/>
      <x v="1040"/>
      <x v="12"/>
      <x v="1212"/>
      <x v="14"/>
      <x v="2"/>
      <x v="31"/>
      <x/>
      <x/>
    </i>
    <i>
      <x v="5738"/>
      <x v="546"/>
      <x v="12"/>
      <x v="1209"/>
      <x v="12"/>
      <x v="1"/>
      <x v="31"/>
      <x/>
      <x v="2"/>
    </i>
    <i>
      <x v="5742"/>
      <x v="4699"/>
      <x v="12"/>
      <x v="1243"/>
      <x v="13"/>
      <x v="1"/>
      <x v="31"/>
      <x/>
      <x v="2"/>
    </i>
    <i>
      <x v="5745"/>
      <x v="6340"/>
      <x v="12"/>
      <x v="1300"/>
      <x v="13"/>
      <x v="1"/>
      <x v="31"/>
      <x/>
      <x v="2"/>
    </i>
    <i>
      <x v="5746"/>
      <x v="6341"/>
      <x v="12"/>
      <x v="1333"/>
      <x v="11"/>
      <x v="1"/>
      <x v="31"/>
      <x/>
      <x v="2"/>
    </i>
    <i>
      <x v="5754"/>
      <x v="7204"/>
      <x v="12"/>
      <x v="1386"/>
      <x v="21"/>
      <x v="2"/>
      <x v="31"/>
      <x/>
      <x v="2"/>
    </i>
    <i>
      <x v="5755"/>
      <x v="7205"/>
      <x v="12"/>
      <x v="1382"/>
      <x v="12"/>
      <x v="1"/>
      <x v="31"/>
      <x/>
      <x/>
    </i>
    <i>
      <x v="5778"/>
      <x v="1332"/>
      <x v="12"/>
      <x v="821"/>
      <x v="23"/>
      <x v="3"/>
      <x v="31"/>
      <x v="1"/>
      <x v="2"/>
    </i>
    <i>
      <x v="5785"/>
      <x v="5175"/>
      <x v="12"/>
      <x v="1266"/>
      <x v="23"/>
      <x v="3"/>
      <x v="31"/>
      <x v="1"/>
      <x/>
    </i>
    <i>
      <x v="5789"/>
      <x v="954"/>
      <x v="12"/>
      <x v="780"/>
      <x v="21"/>
      <x v="2"/>
      <x v="31"/>
      <x v="1"/>
      <x v="7"/>
    </i>
    <i>
      <x v="5790"/>
      <x v="7211"/>
      <x v="12"/>
      <x v="1389"/>
      <x v="25"/>
      <x v="3"/>
      <x v="498"/>
      <x v="1"/>
      <x/>
    </i>
    <i>
      <x v="5791"/>
      <x v="876"/>
      <x v="12"/>
      <x v="853"/>
      <x v="17"/>
      <x v="2"/>
      <x v="31"/>
      <x v="1"/>
      <x v="2"/>
    </i>
    <i>
      <x v="5816"/>
      <x v="7241"/>
      <x v="12"/>
      <x v="1390"/>
      <x v="20"/>
      <x v="2"/>
      <x v="31"/>
      <x/>
      <x v="2"/>
    </i>
    <i>
      <x v="5819"/>
      <x v="7244"/>
      <x v="12"/>
      <x v="1398"/>
      <x v="19"/>
      <x v="2"/>
      <x v="31"/>
      <x/>
      <x v="2"/>
    </i>
    <i>
      <x v="5824"/>
      <x v="7248"/>
      <x v="12"/>
      <x v="1384"/>
      <x v="26"/>
      <x v="3"/>
      <x v="31"/>
      <x/>
      <x v="1"/>
    </i>
    <i>
      <x v="5825"/>
      <x v="7249"/>
      <x v="12"/>
      <x v="1384"/>
      <x v="18"/>
      <x v="2"/>
      <x v="31"/>
      <x/>
      <x v="2"/>
    </i>
    <i>
      <x v="5827"/>
      <x v="1687"/>
      <x v="12"/>
      <x v="1395"/>
      <x v="14"/>
      <x v="2"/>
      <x v="502"/>
      <x/>
      <x v="2"/>
    </i>
    <i>
      <x v="5829"/>
      <x v="7253"/>
      <x v="12"/>
      <x v="1384"/>
      <x v="11"/>
      <x v="1"/>
      <x v="31"/>
      <x/>
      <x v="7"/>
    </i>
    <i>
      <x v="5830"/>
      <x v="4265"/>
      <x v="12"/>
      <x v="1384"/>
      <x v="16"/>
      <x v="2"/>
      <x v="31"/>
      <x/>
      <x v="7"/>
    </i>
    <i>
      <x v="5831"/>
      <x v="7255"/>
      <x v="12"/>
      <x v="1382"/>
      <x v="19"/>
      <x v="2"/>
      <x v="31"/>
      <x/>
      <x/>
    </i>
    <i>
      <x v="5834"/>
      <x v="7260"/>
      <x v="11"/>
      <x v="1399"/>
      <x v="15"/>
      <x v="2"/>
      <x v="31"/>
      <x/>
      <x v="2"/>
    </i>
    <i>
      <x v="5836"/>
      <x v="7262"/>
      <x v="12"/>
      <x v="1401"/>
      <x v="14"/>
      <x v="2"/>
      <x v="31"/>
      <x/>
      <x v="2"/>
    </i>
    <i>
      <x v="5837"/>
      <x v="7263"/>
      <x v="11"/>
      <x v="1385"/>
      <x v="8"/>
      <x v="1"/>
      <x v="31"/>
      <x/>
      <x/>
    </i>
    <i>
      <x v="5841"/>
      <x v="7267"/>
      <x v="12"/>
      <x v="1403"/>
      <x v="34"/>
      <x v="4"/>
      <x v="500"/>
      <x/>
      <x v="4"/>
    </i>
    <i>
      <x v="5845"/>
      <x v="5771"/>
      <x v="12"/>
      <x v="1307"/>
      <x v="19"/>
      <x v="2"/>
      <x v="31"/>
      <x/>
      <x v="2"/>
    </i>
    <i>
      <x v="5852"/>
      <x v="7270"/>
      <x v="12"/>
      <x v="1384"/>
      <x v="31"/>
      <x v="3"/>
      <x v="31"/>
      <x/>
      <x v="1"/>
    </i>
    <i>
      <x v="5856"/>
      <x v="7274"/>
      <x v="12"/>
      <x v="1385"/>
      <x v="19"/>
      <x v="2"/>
      <x v="31"/>
      <x/>
      <x v="2"/>
    </i>
    <i>
      <x v="5865"/>
      <x v="7283"/>
      <x v="12"/>
      <x v="1404"/>
      <x v="1"/>
      <x/>
      <x v="31"/>
      <x/>
      <x v="2"/>
    </i>
    <i>
      <x v="5868"/>
      <x v="3750"/>
      <x v="12"/>
      <x v="1399"/>
      <x v="17"/>
      <x v="2"/>
      <x v="31"/>
      <x/>
      <x v="3"/>
    </i>
    <i>
      <x v="5869"/>
      <x v="5235"/>
      <x v="12"/>
      <x v="1328"/>
      <x v="22"/>
      <x v="2"/>
      <x v="31"/>
      <x/>
      <x v="4"/>
    </i>
    <i>
      <x v="5879"/>
      <x v="7289"/>
      <x v="12"/>
      <x v="1390"/>
      <x v="8"/>
      <x v="1"/>
      <x v="31"/>
      <x/>
      <x v="2"/>
    </i>
    <i>
      <x v="5880"/>
      <x v="827"/>
      <x v="12"/>
      <x v="1331"/>
      <x v="21"/>
      <x v="2"/>
      <x v="31"/>
      <x/>
      <x v="6"/>
    </i>
    <i>
      <x v="5884"/>
      <x v="4241"/>
      <x v="12"/>
      <x v="1340"/>
      <x v="14"/>
      <x v="2"/>
      <x v="31"/>
      <x/>
      <x v="7"/>
    </i>
    <i>
      <x v="5886"/>
      <x v="3609"/>
      <x v="12"/>
      <x v="1362"/>
      <x v="28"/>
      <x v="3"/>
      <x v="31"/>
      <x/>
      <x/>
    </i>
    <i>
      <x v="5887"/>
      <x v="7291"/>
      <x v="12"/>
      <x v="1381"/>
      <x v="19"/>
      <x v="2"/>
      <x v="31"/>
      <x/>
      <x v="2"/>
    </i>
    <i>
      <x v="5888"/>
      <x v="7292"/>
      <x v="12"/>
      <x v="1381"/>
      <x v="18"/>
      <x v="2"/>
      <x v="31"/>
      <x/>
      <x/>
    </i>
    <i>
      <x v="5889"/>
      <x v="5797"/>
      <x v="12"/>
      <x v="1328"/>
      <x v="33"/>
      <x v="4"/>
      <x v="31"/>
      <x/>
      <x/>
    </i>
    <i>
      <x v="5890"/>
      <x v="7293"/>
      <x v="12"/>
      <x v="1394"/>
      <x v="11"/>
      <x v="1"/>
      <x v="31"/>
      <x/>
      <x v="2"/>
    </i>
    <i>
      <x v="5897"/>
      <x v="2782"/>
      <x v="12"/>
      <x v="1355"/>
      <x v="16"/>
      <x v="2"/>
      <x v="31"/>
      <x/>
      <x v="2"/>
    </i>
    <i>
      <x v="5920"/>
      <x v="7329"/>
      <x v="12"/>
      <x v="1399"/>
      <x v="6"/>
      <x v="1"/>
      <x v="31"/>
      <x/>
      <x/>
    </i>
    <i>
      <x v="5922"/>
      <x v="7331"/>
      <x v="12"/>
      <x v="1395"/>
      <x v="8"/>
      <x v="1"/>
      <x v="31"/>
      <x/>
      <x v="2"/>
    </i>
    <i>
      <x v="5923"/>
      <x v="7332"/>
      <x v="12"/>
      <x v="1395"/>
      <x v="8"/>
      <x v="1"/>
      <x v="31"/>
      <x/>
      <x v="2"/>
    </i>
    <i>
      <x v="5926"/>
      <x v="7336"/>
      <x v="11"/>
      <x v="1386"/>
      <x v="6"/>
      <x v="1"/>
      <x v="31"/>
      <x/>
      <x v="7"/>
    </i>
    <i>
      <x v="5927"/>
      <x v="7337"/>
      <x v="11"/>
      <x v="1381"/>
      <x v="32"/>
      <x v="4"/>
      <x v="31"/>
      <x/>
      <x v="2"/>
    </i>
    <i>
      <x v="5936"/>
      <x v="7339"/>
      <x v="12"/>
      <x v="1202"/>
      <x v="27"/>
      <x v="3"/>
      <x v="31"/>
      <x/>
      <x/>
    </i>
    <i>
      <x v="5942"/>
      <x v="7349"/>
      <x v="12"/>
      <x v="1391"/>
      <x v="26"/>
      <x v="3"/>
      <x v="31"/>
      <x/>
      <x/>
    </i>
    <i>
      <x v="5946"/>
      <x v="7353"/>
      <x v="12"/>
      <x v="1401"/>
      <x v="21"/>
      <x v="2"/>
      <x v="31"/>
      <x/>
      <x v="2"/>
    </i>
    <i>
      <x v="5949"/>
      <x v="7356"/>
      <x v="12"/>
      <x v="1407"/>
      <x v="22"/>
      <x v="2"/>
      <x v="31"/>
      <x/>
      <x v="3"/>
    </i>
    <i>
      <x v="5950"/>
      <x v="3597"/>
      <x v="12"/>
      <x v="1407"/>
      <x v="7"/>
      <x v="1"/>
      <x v="31"/>
      <x/>
      <x v="6"/>
    </i>
    <i>
      <x v="5961"/>
      <x v="7382"/>
      <x v="12"/>
      <x v="1388"/>
      <x v="20"/>
      <x v="2"/>
      <x/>
      <x/>
      <x v="2"/>
    </i>
    <i>
      <x v="5964"/>
      <x v="1112"/>
      <x v="12"/>
      <x v="1395"/>
      <x v="14"/>
      <x v="2"/>
      <x/>
      <x/>
      <x/>
    </i>
    <i>
      <x v="5970"/>
      <x v="3954"/>
      <x v="12"/>
      <x v="1391"/>
      <x v="9"/>
      <x v="1"/>
      <x/>
      <x/>
      <x v="4"/>
    </i>
    <i>
      <x v="5979"/>
      <x v="2204"/>
      <x v="12"/>
      <x v="974"/>
      <x v="12"/>
      <x v="1"/>
      <x v="31"/>
      <x/>
      <x v="2"/>
    </i>
    <i>
      <x v="5987"/>
      <x v="7411"/>
      <x v="12"/>
      <x v="1323"/>
      <x v="20"/>
      <x v="2"/>
      <x v="31"/>
      <x/>
      <x v="2"/>
    </i>
    <i>
      <x v="5989"/>
      <x v="7414"/>
      <x v="12"/>
      <x v="1357"/>
      <x v="12"/>
      <x v="1"/>
      <x v="31"/>
      <x/>
      <x v="2"/>
    </i>
    <i>
      <x v="5997"/>
      <x v="7421"/>
      <x v="12"/>
      <x v="1395"/>
      <x v="31"/>
      <x v="3"/>
      <x v="31"/>
      <x/>
      <x v="2"/>
    </i>
    <i>
      <x v="6002"/>
      <x v="7430"/>
      <x v="12"/>
      <x v="1400"/>
      <x v="15"/>
      <x v="2"/>
      <x/>
      <x/>
      <x/>
    </i>
    <i>
      <x v="6004"/>
      <x v="7432"/>
      <x v="12"/>
      <x v="1400"/>
      <x v="27"/>
      <x v="3"/>
      <x v="494"/>
      <x/>
      <x/>
    </i>
    <i>
      <x v="6010"/>
      <x v="7438"/>
      <x v="12"/>
      <x v="1387"/>
      <x v="23"/>
      <x v="3"/>
      <x/>
      <x/>
      <x v="1"/>
    </i>
    <i>
      <x v="6011"/>
      <x v="7439"/>
      <x v="12"/>
      <x v="1387"/>
      <x v="2"/>
      <x/>
      <x/>
      <x/>
      <x v="7"/>
    </i>
    <i>
      <x v="6012"/>
      <x v="7440"/>
      <x v="12"/>
      <x v="1392"/>
      <x v="55"/>
      <x v="5"/>
      <x/>
      <x/>
      <x/>
    </i>
    <i>
      <x v="6014"/>
      <x v="7442"/>
      <x v="12"/>
      <x v="1392"/>
      <x v="5"/>
      <x/>
      <x/>
      <x/>
      <x/>
    </i>
    <i>
      <x v="6017"/>
      <x v="7445"/>
      <x v="12"/>
      <x v="1398"/>
      <x v="9"/>
      <x v="1"/>
      <x/>
      <x/>
      <x v="7"/>
    </i>
    <i>
      <x v="6018"/>
      <x v="7446"/>
      <x v="12"/>
      <x v="1398"/>
      <x v="4"/>
      <x/>
      <x/>
      <x/>
      <x v="4"/>
    </i>
    <i>
      <x v="6019"/>
      <x v="7447"/>
      <x v="12"/>
      <x v="1398"/>
      <x v="5"/>
      <x/>
      <x/>
      <x/>
      <x v="2"/>
    </i>
    <i>
      <x v="6020"/>
      <x v="7448"/>
      <x v="12"/>
      <x v="1398"/>
      <x v="7"/>
      <x v="1"/>
      <x/>
      <x/>
      <x v="1"/>
    </i>
    <i>
      <x v="6022"/>
      <x v="7450"/>
      <x v="12"/>
      <x v="1398"/>
      <x v="28"/>
      <x v="3"/>
      <x/>
      <x/>
      <x v="2"/>
    </i>
    <i>
      <x v="6027"/>
      <x v="7455"/>
      <x v="12"/>
      <x v="1399"/>
      <x v="5"/>
      <x/>
      <x/>
      <x/>
      <x v="4"/>
    </i>
    <i>
      <x v="6030"/>
      <x v="7458"/>
      <x v="12"/>
      <x v="1391"/>
      <x v="35"/>
      <x v="4"/>
      <x v="31"/>
      <x/>
      <x v="2"/>
    </i>
    <i>
      <x v="6035"/>
      <x v="7463"/>
      <x v="12"/>
      <x v="1394"/>
      <x v="9"/>
      <x v="1"/>
      <x v="31"/>
      <x/>
      <x v="2"/>
    </i>
    <i>
      <x v="6045"/>
      <x v="7475"/>
      <x v="12"/>
      <x v="1357"/>
      <x v="21"/>
      <x v="2"/>
      <x v="31"/>
      <x/>
      <x v="6"/>
    </i>
    <i>
      <x v="6046"/>
      <x v="7476"/>
      <x v="12"/>
      <x v="1396"/>
      <x v="20"/>
      <x v="2"/>
      <x v="31"/>
      <x/>
      <x v="2"/>
    </i>
    <i>
      <x v="6049"/>
      <x v="7479"/>
      <x v="12"/>
      <x v="1388"/>
      <x v="9"/>
      <x v="1"/>
      <x v="31"/>
      <x/>
      <x v="2"/>
    </i>
    <i>
      <x v="6050"/>
      <x v="7480"/>
      <x v="12"/>
      <x v="1388"/>
      <x v="12"/>
      <x v="1"/>
      <x v="31"/>
      <x/>
      <x v="2"/>
    </i>
    <i>
      <x v="6051"/>
      <x v="7481"/>
      <x v="12"/>
      <x v="1392"/>
      <x v="12"/>
      <x v="1"/>
      <x v="31"/>
      <x/>
      <x v="2"/>
    </i>
    <i>
      <x v="6057"/>
      <x v="7490"/>
      <x v="12"/>
      <x v="1394"/>
      <x v="13"/>
      <x v="1"/>
      <x v="31"/>
      <x/>
      <x/>
    </i>
    <i>
      <x v="6060"/>
      <x v="7493"/>
      <x v="12"/>
      <x v="1395"/>
      <x v="27"/>
      <x v="3"/>
      <x v="31"/>
      <x/>
      <x v="2"/>
    </i>
    <i>
      <x v="6062"/>
      <x v="7495"/>
      <x v="12"/>
      <x v="1395"/>
      <x v="6"/>
      <x v="1"/>
      <x v="31"/>
      <x/>
      <x v="2"/>
    </i>
    <i>
      <x v="6063"/>
      <x v="7496"/>
      <x v="12"/>
      <x v="1395"/>
      <x/>
      <x/>
      <x v="31"/>
      <x/>
      <x v="2"/>
    </i>
    <i>
      <x v="6064"/>
      <x v="7500"/>
      <x v="12"/>
      <x v="1370"/>
      <x v="3"/>
      <x/>
      <x v="31"/>
      <x v="1"/>
      <x v="2"/>
    </i>
    <i>
      <x v="6065"/>
      <x v="7501"/>
      <x v="12"/>
      <x v="1368"/>
      <x v="7"/>
      <x v="1"/>
      <x v="31"/>
      <x v="1"/>
      <x v="2"/>
    </i>
    <i>
      <x v="6070"/>
      <x v="7506"/>
      <x v="12"/>
      <x v="1342"/>
      <x v="7"/>
      <x v="1"/>
      <x v="31"/>
      <x v="1"/>
      <x v="2"/>
    </i>
    <i>
      <x v="6075"/>
      <x v="7511"/>
      <x v="12"/>
      <x v="1002"/>
      <x v="28"/>
      <x v="3"/>
      <x/>
      <x/>
      <x/>
    </i>
    <i>
      <x v="6076"/>
      <x v="7512"/>
      <x v="12"/>
      <x v="1408"/>
      <x v="20"/>
      <x v="2"/>
      <x v="31"/>
      <x/>
      <x v="2"/>
    </i>
    <i>
      <x v="6077"/>
      <x v="7513"/>
      <x v="12"/>
      <x v="1376"/>
      <x v="16"/>
      <x v="2"/>
      <x v="31"/>
      <x/>
      <x v="2"/>
    </i>
    <i>
      <x v="6078"/>
      <x v="222"/>
      <x v="12"/>
      <x v="1376"/>
      <x v="2"/>
      <x/>
      <x v="31"/>
      <x/>
      <x v="1"/>
    </i>
    <i>
      <x v="6079"/>
      <x v="7514"/>
      <x v="12"/>
      <x v="1376"/>
      <x v="31"/>
      <x v="3"/>
      <x v="31"/>
      <x/>
      <x v="2"/>
    </i>
    <i>
      <x v="6080"/>
      <x v="7515"/>
      <x v="12"/>
      <x v="1376"/>
      <x v="3"/>
      <x/>
      <x v="31"/>
      <x/>
      <x v="2"/>
    </i>
    <i>
      <x v="6081"/>
      <x v="7516"/>
      <x v="12"/>
      <x v="1390"/>
      <x v="29"/>
      <x v="3"/>
      <x v="31"/>
      <x/>
      <x v="7"/>
    </i>
    <i>
      <x v="6082"/>
      <x v="7517"/>
      <x v="12"/>
      <x v="1390"/>
      <x v="28"/>
      <x v="3"/>
      <x v="31"/>
      <x/>
      <x v="2"/>
    </i>
    <i>
      <x v="6086"/>
      <x v="7522"/>
      <x v="12"/>
      <x v="1392"/>
      <x v="21"/>
      <x v="2"/>
      <x v="31"/>
      <x/>
      <x/>
    </i>
    <i>
      <x v="6087"/>
      <x v="7523"/>
      <x v="12"/>
      <x v="1392"/>
      <x v="26"/>
      <x v="3"/>
      <x v="31"/>
      <x/>
      <x/>
    </i>
    <i>
      <x v="6090"/>
      <x v="7526"/>
      <x v="12"/>
      <x v="1403"/>
      <x v="9"/>
      <x v="1"/>
      <x v="31"/>
      <x/>
      <x v="2"/>
    </i>
    <i>
      <x v="6093"/>
      <x v="453"/>
      <x v="11"/>
      <x v="1384"/>
      <x v="19"/>
      <x v="2"/>
      <x v="31"/>
      <x/>
      <x/>
    </i>
    <i>
      <x v="6095"/>
      <x v="7532"/>
      <x v="12"/>
      <x v="1388"/>
      <x v="22"/>
      <x v="2"/>
      <x v="31"/>
      <x/>
      <x v="6"/>
    </i>
    <i>
      <x v="6096"/>
      <x v="7533"/>
      <x v="12"/>
      <x v="1392"/>
      <x v="15"/>
      <x v="2"/>
      <x v="31"/>
      <x/>
      <x v="2"/>
    </i>
    <i>
      <x v="6098"/>
      <x v="1316"/>
      <x v="12"/>
      <x v="1403"/>
      <x v="19"/>
      <x v="2"/>
      <x v="31"/>
      <x/>
      <x/>
    </i>
    <i>
      <x v="6102"/>
      <x v="7540"/>
      <x v="12"/>
      <x v="1402"/>
      <x v="14"/>
      <x v="2"/>
      <x v="31"/>
      <x/>
      <x v="2"/>
    </i>
    <i>
      <x v="6105"/>
      <x v="7542"/>
      <x v="12"/>
      <x v="1402"/>
      <x v="21"/>
      <x v="2"/>
      <x v="31"/>
      <x/>
      <x v="2"/>
    </i>
    <i>
      <x v="6113"/>
      <x v="7555"/>
      <x v="12"/>
      <x v="1381"/>
      <x v="10"/>
      <x v="1"/>
      <x v="76"/>
      <x v="1"/>
      <x v="2"/>
    </i>
    <i>
      <x v="6114"/>
      <x v="7556"/>
      <x v="12"/>
      <x v="1384"/>
      <x v="27"/>
      <x v="3"/>
      <x/>
      <x/>
      <x v="2"/>
    </i>
    <i>
      <x v="6116"/>
      <x v="7558"/>
      <x v="12"/>
      <x v="1384"/>
      <x v="27"/>
      <x v="3"/>
      <x/>
      <x/>
      <x v="2"/>
    </i>
    <i>
      <x v="6117"/>
      <x v="7559"/>
      <x v="12"/>
      <x v="1400"/>
      <x v="34"/>
      <x v="4"/>
      <x/>
      <x/>
      <x v="2"/>
    </i>
    <i>
      <x v="6119"/>
      <x v="7562"/>
      <x v="12"/>
      <x v="1401"/>
      <x v="43"/>
      <x v="5"/>
      <x/>
      <x/>
      <x v="2"/>
    </i>
    <i>
      <x v="6120"/>
      <x v="7563"/>
      <x v="12"/>
      <x v="1387"/>
      <x v="31"/>
      <x v="3"/>
      <x/>
      <x/>
      <x v="1"/>
    </i>
    <i>
      <x v="6124"/>
      <x v="2160"/>
      <x v="11"/>
      <x v="859"/>
      <x v="5"/>
      <x/>
      <x v="31"/>
      <x/>
      <x/>
    </i>
    <i>
      <x v="6129"/>
      <x v="2804"/>
      <x v="12"/>
      <x v="1248"/>
      <x v="6"/>
      <x v="1"/>
      <x v="31"/>
      <x/>
      <x v="2"/>
    </i>
    <i>
      <x v="6131"/>
      <x v="2156"/>
      <x v="12"/>
      <x v="782"/>
      <x v="18"/>
      <x v="2"/>
      <x v="31"/>
      <x/>
      <x v="7"/>
    </i>
    <i>
      <x v="6140"/>
      <x v="6490"/>
      <x v="12"/>
      <x v="1312"/>
      <x v="19"/>
      <x v="2"/>
      <x v="31"/>
      <x/>
      <x/>
    </i>
    <i>
      <x v="6141"/>
      <x v="6491"/>
      <x v="12"/>
      <x v="1320"/>
      <x v="21"/>
      <x v="2"/>
      <x v="31"/>
      <x/>
      <x/>
    </i>
    <i>
      <x v="6144"/>
      <x v="7568"/>
      <x v="12"/>
      <x v="1388"/>
      <x v="19"/>
      <x v="2"/>
      <x v="31"/>
      <x/>
      <x/>
    </i>
    <i>
      <x v="6172"/>
      <x v="594"/>
      <x v="12"/>
      <x v="252"/>
      <x v="25"/>
      <x v="3"/>
      <x v="31"/>
      <x/>
      <x v="2"/>
    </i>
    <i>
      <x v="6206"/>
      <x v="7687"/>
      <x v="12"/>
      <x v="1413"/>
      <x v="7"/>
      <x v="1"/>
      <x v="31"/>
      <x v="1"/>
      <x v="2"/>
    </i>
    <i>
      <x v="6212"/>
      <x v="7693"/>
      <x v="12"/>
      <x v="1415"/>
      <x v="17"/>
      <x v="2"/>
      <x v="31"/>
      <x v="1"/>
      <x/>
    </i>
    <i>
      <x v="6215"/>
      <x v="7696"/>
      <x v="12"/>
      <x v="1417"/>
      <x v="8"/>
      <x v="1"/>
      <x v="31"/>
      <x v="1"/>
      <x v="2"/>
    </i>
    <i>
      <x v="6219"/>
      <x v="7701"/>
      <x v="12"/>
      <x v="1420"/>
      <x v="3"/>
      <x/>
      <x v="31"/>
      <x/>
      <x v="2"/>
    </i>
    <i>
      <x v="6221"/>
      <x v="7704"/>
      <x v="12"/>
      <x v="1414"/>
      <x v="37"/>
      <x v="4"/>
      <x v="31"/>
      <x/>
      <x v="3"/>
    </i>
    <i>
      <x v="6222"/>
      <x v="7705"/>
      <x v="12"/>
      <x v="1422"/>
      <x v="40"/>
      <x v="4"/>
      <x v="31"/>
      <x/>
      <x v="2"/>
    </i>
    <i>
      <x v="6228"/>
      <x v="7711"/>
      <x v="12"/>
      <x v="1423"/>
      <x v="33"/>
      <x v="4"/>
      <x v="31"/>
      <x/>
      <x v="2"/>
    </i>
    <i>
      <x v="6249"/>
      <x v="7732"/>
      <x v="12"/>
      <x v="1426"/>
      <x v="38"/>
      <x v="4"/>
      <x v="31"/>
      <x/>
      <x/>
    </i>
    <i>
      <x v="6252"/>
      <x v="7735"/>
      <x v="12"/>
      <x v="1418"/>
      <x v="20"/>
      <x v="2"/>
      <x v="31"/>
      <x/>
      <x v="3"/>
    </i>
    <i>
      <x v="6253"/>
      <x v="7736"/>
      <x v="12"/>
      <x v="1416"/>
      <x v="22"/>
      <x v="2"/>
      <x v="31"/>
      <x/>
      <x v="3"/>
    </i>
    <i r="3">
      <x v="1431"/>
      <x v="22"/>
      <x v="2"/>
      <x v="31"/>
      <x/>
      <x v="3"/>
    </i>
    <i>
      <x v="6269"/>
      <x v="7755"/>
      <x v="12"/>
      <x v="1421"/>
      <x v="14"/>
      <x v="2"/>
      <x v="31"/>
      <x/>
      <x/>
    </i>
    <i>
      <x v="6270"/>
      <x v="7757"/>
      <x v="12"/>
      <x v="1432"/>
      <x v="10"/>
      <x v="1"/>
      <x v="31"/>
      <x/>
      <x v="2"/>
    </i>
    <i>
      <x v="6273"/>
      <x v="7761"/>
      <x v="12"/>
      <x v="1423"/>
      <x v="33"/>
      <x v="4"/>
      <x v="31"/>
      <x/>
      <x v="2"/>
    </i>
    <i>
      <x v="6275"/>
      <x v="7765"/>
      <x v="12"/>
      <x v="1432"/>
      <x v="28"/>
      <x v="3"/>
      <x v="31"/>
      <x/>
      <x v="2"/>
    </i>
    <i>
      <x v="6276"/>
      <x v="7766"/>
      <x v="12"/>
      <x v="1433"/>
      <x v="31"/>
      <x v="3"/>
      <x v="503"/>
      <x/>
      <x v="2"/>
    </i>
    <i>
      <x v="6277"/>
      <x v="5247"/>
      <x v="12"/>
      <x v="1423"/>
      <x v="26"/>
      <x v="3"/>
      <x v="31"/>
      <x/>
      <x v="2"/>
    </i>
    <i>
      <x v="6282"/>
      <x v="589"/>
      <x v="12"/>
      <x v="1382"/>
      <x v="25"/>
      <x v="3"/>
      <x v="31"/>
      <x v="1"/>
      <x v="7"/>
    </i>
    <i>
      <x v="6285"/>
      <x v="1356"/>
      <x v="12"/>
      <x v="1398"/>
      <x v="12"/>
      <x v="1"/>
      <x v="31"/>
      <x v="1"/>
      <x v="7"/>
    </i>
    <i>
      <x v="6286"/>
      <x v="7772"/>
      <x v="12"/>
      <x v="1399"/>
      <x v="12"/>
      <x v="1"/>
      <x v="31"/>
      <x v="1"/>
      <x/>
    </i>
    <i>
      <x v="6292"/>
      <x v="7779"/>
      <x v="12"/>
      <x v="1431"/>
      <x v="14"/>
      <x v="2"/>
      <x v="31"/>
      <x/>
      <x v="1"/>
    </i>
    <i>
      <x v="6296"/>
      <x v="7783"/>
      <x v="11"/>
      <x v="1425"/>
      <x v="22"/>
      <x v="2"/>
      <x v="31"/>
      <x/>
      <x v="2"/>
    </i>
    <i>
      <x v="6297"/>
      <x v="7784"/>
      <x v="12"/>
      <x v="1419"/>
      <x v="32"/>
      <x v="4"/>
      <x v="31"/>
      <x/>
      <x v="2"/>
    </i>
    <i>
      <x v="6298"/>
      <x v="7785"/>
      <x v="12"/>
      <x v="1419"/>
      <x v="38"/>
      <x v="4"/>
      <x v="31"/>
      <x/>
      <x v="2"/>
    </i>
    <i>
      <x v="6299"/>
      <x v="7786"/>
      <x v="12"/>
      <x v="1414"/>
      <x v="34"/>
      <x v="4"/>
      <x v="31"/>
      <x/>
      <x v="3"/>
    </i>
    <i>
      <x v="6302"/>
      <x v="634"/>
      <x v="12"/>
      <x v="165"/>
      <x v="15"/>
      <x v="2"/>
      <x v="31"/>
      <x/>
      <x v="2"/>
    </i>
    <i>
      <x v="6307"/>
      <x v="7793"/>
      <x v="11"/>
      <x v="1434"/>
      <x v="15"/>
      <x v="2"/>
      <x v="31"/>
      <x/>
      <x v="2"/>
    </i>
    <i>
      <x v="6320"/>
      <x v="5204"/>
      <x v="12"/>
      <x v="1429"/>
      <x v="25"/>
      <x v="3"/>
      <x v="31"/>
      <x/>
      <x v="6"/>
    </i>
    <i>
      <x v="6321"/>
      <x v="7803"/>
      <x v="12"/>
      <x v="1424"/>
      <x v="41"/>
      <x v="5"/>
      <x v="31"/>
      <x/>
      <x v="2"/>
    </i>
    <i>
      <x v="6322"/>
      <x v="479"/>
      <x v="12"/>
      <x v="1429"/>
      <x v="2"/>
      <x/>
      <x v="31"/>
      <x/>
      <x v="2"/>
    </i>
    <i>
      <x v="6323"/>
      <x v="5265"/>
      <x v="12"/>
      <x v="1429"/>
      <x v="30"/>
      <x v="3"/>
      <x v="31"/>
      <x/>
      <x v="2"/>
    </i>
    <i>
      <x v="6333"/>
      <x v="7813"/>
      <x v="12"/>
      <x v="1433"/>
      <x v="21"/>
      <x v="2"/>
      <x v="31"/>
      <x/>
      <x/>
    </i>
    <i>
      <x v="6338"/>
      <x v="7818"/>
      <x v="12"/>
      <x v="1414"/>
      <x v="4"/>
      <x/>
      <x v="31"/>
      <x/>
      <x v="1"/>
    </i>
    <i>
      <x v="6339"/>
      <x v="7819"/>
      <x v="11"/>
      <x v="1413"/>
      <x v="3"/>
      <x/>
      <x v="31"/>
      <x/>
      <x v="2"/>
    </i>
    <i>
      <x v="6340"/>
      <x v="7820"/>
      <x v="12"/>
      <x v="1418"/>
      <x v="24"/>
      <x v="3"/>
      <x v="31"/>
      <x/>
      <x v="2"/>
    </i>
    <i>
      <x v="6344"/>
      <x v="7824"/>
      <x v="12"/>
      <x v="1372"/>
      <x v="11"/>
      <x v="1"/>
      <x v="31"/>
      <x/>
      <x v="2"/>
    </i>
    <i>
      <x v="6348"/>
      <x v="7828"/>
      <x v="12"/>
      <x v="1361"/>
      <x v="19"/>
      <x v="2"/>
      <x v="31"/>
      <x/>
      <x v="2"/>
    </i>
    <i>
      <x v="6349"/>
      <x v="821"/>
      <x v="12"/>
      <x v="1355"/>
      <x v="13"/>
      <x v="1"/>
      <x v="31"/>
      <x/>
      <x v="2"/>
    </i>
    <i>
      <x v="6350"/>
      <x v="7829"/>
      <x v="12"/>
      <x v="1359"/>
      <x v="9"/>
      <x v="1"/>
      <x v="31"/>
      <x/>
      <x v="2"/>
    </i>
    <i>
      <x v="6355"/>
      <x v="7832"/>
      <x v="12"/>
      <x v="1359"/>
      <x v="3"/>
      <x/>
      <x v="31"/>
      <x/>
      <x v="2"/>
    </i>
    <i>
      <x v="6361"/>
      <x v="5841"/>
      <x v="12"/>
      <x v="1234"/>
      <x v="17"/>
      <x v="2"/>
      <x v="31"/>
      <x v="1"/>
      <x v="1"/>
    </i>
    <i>
      <x v="6362"/>
      <x v="7837"/>
      <x v="12"/>
      <x v="1421"/>
      <x v="36"/>
      <x v="4"/>
      <x v="31"/>
      <x/>
      <x v="2"/>
    </i>
    <i>
      <x v="6364"/>
      <x v="1893"/>
      <x v="12"/>
      <x v="894"/>
      <x v="24"/>
      <x v="3"/>
      <x v="31"/>
      <x/>
      <x/>
    </i>
    <i>
      <x v="6369"/>
      <x v="7842"/>
      <x v="12"/>
      <x v="1424"/>
      <x v="18"/>
      <x v="2"/>
      <x/>
      <x/>
      <x/>
    </i>
    <i>
      <x v="6370"/>
      <x v="7843"/>
      <x v="12"/>
      <x v="1421"/>
      <x v="10"/>
      <x v="1"/>
      <x/>
      <x/>
      <x/>
    </i>
    <i>
      <x v="6373"/>
      <x v="4972"/>
      <x v="12"/>
      <x v="1429"/>
      <x v="9"/>
      <x v="1"/>
      <x/>
      <x/>
      <x v="7"/>
    </i>
    <i>
      <x v="6380"/>
      <x v="7851"/>
      <x v="12"/>
      <x v="1417"/>
      <x v="15"/>
      <x v="2"/>
      <x/>
      <x/>
      <x v="2"/>
    </i>
    <i>
      <x v="6385"/>
      <x v="7855"/>
      <x v="12"/>
      <x v="1399"/>
      <x v="1"/>
      <x/>
      <x/>
      <x/>
      <x v="2"/>
    </i>
    <i>
      <x v="6386"/>
      <x v="7860"/>
      <x v="12"/>
      <x v="1434"/>
      <x v="4"/>
      <x/>
      <x v="31"/>
      <x/>
      <x v="2"/>
    </i>
    <i>
      <x v="6389"/>
      <x v="7865"/>
      <x v="11"/>
      <x v="1417"/>
      <x v="13"/>
      <x v="1"/>
      <x v="31"/>
      <x/>
      <x/>
    </i>
    <i>
      <x v="6392"/>
      <x v="7870"/>
      <x v="12"/>
      <x v="1426"/>
      <x v="15"/>
      <x v="2"/>
      <x v="31"/>
      <x/>
      <x v="2"/>
    </i>
    <i>
      <x v="6399"/>
      <x v="3386"/>
      <x v="12"/>
      <x v="1426"/>
      <x v="6"/>
      <x v="1"/>
      <x v="31"/>
      <x/>
      <x/>
    </i>
    <i>
      <x v="6400"/>
      <x v="3361"/>
      <x v="12"/>
      <x v="1417"/>
      <x v="27"/>
      <x v="3"/>
      <x v="31"/>
      <x/>
      <x v="2"/>
    </i>
    <i>
      <x v="6404"/>
      <x v="7882"/>
      <x v="12"/>
      <x v="1435"/>
      <x v="31"/>
      <x v="3"/>
      <x v="31"/>
      <x/>
      <x v="6"/>
    </i>
    <i>
      <x v="6407"/>
      <x v="7884"/>
      <x v="12"/>
      <x v="1426"/>
      <x v="21"/>
      <x v="2"/>
      <x v="31"/>
      <x/>
      <x v="2"/>
    </i>
    <i>
      <x v="6409"/>
      <x v="7419"/>
      <x v="12"/>
      <x v="1417"/>
      <x v="38"/>
      <x v="4"/>
      <x v="31"/>
      <x/>
      <x v="2"/>
    </i>
    <i>
      <x v="6416"/>
      <x v="5295"/>
      <x v="12"/>
      <x v="1424"/>
      <x v="8"/>
      <x v="1"/>
      <x v="31"/>
      <x/>
      <x v="3"/>
    </i>
    <i>
      <x v="6417"/>
      <x v="7891"/>
      <x v="12"/>
      <x v="1424"/>
      <x v="21"/>
      <x v="2"/>
      <x v="31"/>
      <x/>
      <x v="7"/>
    </i>
    <i>
      <x v="6424"/>
      <x v="7899"/>
      <x v="12"/>
      <x v="1417"/>
      <x v="4"/>
      <x/>
      <x/>
      <x/>
      <x v="1"/>
    </i>
    <i>
      <x v="6426"/>
      <x v="7901"/>
      <x v="12"/>
      <x v="1417"/>
      <x v="11"/>
      <x v="1"/>
      <x/>
      <x/>
      <x v="3"/>
    </i>
    <i>
      <x v="6427"/>
      <x v="7902"/>
      <x v="12"/>
      <x v="1417"/>
      <x v="4"/>
      <x/>
      <x/>
      <x/>
      <x v="7"/>
    </i>
    <i>
      <x v="6436"/>
      <x v="7912"/>
      <x v="12"/>
      <x v="1424"/>
      <x v="5"/>
      <x/>
      <x v="31"/>
      <x/>
      <x/>
    </i>
    <i>
      <x v="6438"/>
      <x v="7914"/>
      <x v="12"/>
      <x v="1417"/>
      <x/>
      <x/>
      <x v="31"/>
      <x/>
      <x v="1"/>
    </i>
    <i>
      <x v="6439"/>
      <x v="7915"/>
      <x v="12"/>
      <x v="1420"/>
      <x v="18"/>
      <x v="2"/>
      <x v="31"/>
      <x/>
      <x v="2"/>
    </i>
    <i>
      <x v="6445"/>
      <x v="7921"/>
      <x v="12"/>
      <x v="1428"/>
      <x v="22"/>
      <x v="2"/>
      <x v="31"/>
      <x/>
      <x v="2"/>
    </i>
    <i>
      <x v="6448"/>
      <x v="7925"/>
      <x v="12"/>
      <x v="1110"/>
      <x v="13"/>
      <x v="1"/>
      <x v="31"/>
      <x/>
      <x v="2"/>
    </i>
    <i>
      <x v="6451"/>
      <x v="7927"/>
      <x v="12"/>
      <x v="1150"/>
      <x v="21"/>
      <x v="2"/>
      <x v="31"/>
      <x/>
      <x/>
    </i>
    <i>
      <x v="6452"/>
      <x v="1390"/>
      <x v="12"/>
      <x v="1286"/>
      <x v="17"/>
      <x v="2"/>
      <x v="31"/>
      <x/>
      <x v="6"/>
    </i>
    <i>
      <x v="6453"/>
      <x v="2157"/>
      <x v="12"/>
      <x v="1309"/>
      <x v="25"/>
      <x v="3"/>
      <x v="31"/>
      <x/>
      <x v="4"/>
    </i>
    <i>
      <x v="6460"/>
      <x v="6437"/>
      <x v="12"/>
      <x v="1435"/>
      <x v="10"/>
      <x v="1"/>
      <x v="31"/>
      <x/>
      <x v="6"/>
    </i>
    <i>
      <x v="6462"/>
      <x v="7933"/>
      <x v="12"/>
      <x v="1426"/>
      <x v="26"/>
      <x v="3"/>
      <x v="31"/>
      <x/>
      <x v="1"/>
    </i>
    <i>
      <x v="6465"/>
      <x v="2199"/>
      <x v="12"/>
      <x v="1425"/>
      <x v="24"/>
      <x v="3"/>
      <x v="31"/>
      <x/>
      <x v="6"/>
    </i>
    <i>
      <x v="6478"/>
      <x v="7943"/>
      <x v="12"/>
      <x v="1409"/>
      <x v="1"/>
      <x/>
      <x v="31"/>
      <x v="1"/>
      <x v="2"/>
    </i>
    <i>
      <x v="6479"/>
      <x v="7944"/>
      <x v="12"/>
      <x v="1425"/>
      <x v="21"/>
      <x v="2"/>
      <x v="31"/>
      <x v="1"/>
      <x v="7"/>
    </i>
    <i>
      <x v="6482"/>
      <x v="7948"/>
      <x v="12"/>
      <x v="1435"/>
      <x v="9"/>
      <x v="1"/>
      <x v="31"/>
      <x/>
      <x v="7"/>
    </i>
    <i>
      <x v="6483"/>
      <x v="7949"/>
      <x v="12"/>
      <x v="1435"/>
      <x v="12"/>
      <x v="1"/>
      <x v="31"/>
      <x/>
      <x v="1"/>
    </i>
    <i>
      <x v="6485"/>
      <x v="7952"/>
      <x v="12"/>
      <x v="1429"/>
      <x v="10"/>
      <x v="1"/>
      <x v="31"/>
      <x/>
      <x v="1"/>
    </i>
    <i>
      <x v="6489"/>
      <x v="7954"/>
      <x v="12"/>
      <x v="1425"/>
      <x v="17"/>
      <x v="2"/>
      <x v="31"/>
      <x/>
      <x v="2"/>
    </i>
    <i>
      <x v="6492"/>
      <x v="7958"/>
      <x v="12"/>
      <x v="1417"/>
      <x v="7"/>
      <x v="1"/>
      <x v="31"/>
      <x/>
      <x v="2"/>
    </i>
    <i>
      <x v="6499"/>
      <x v="7964"/>
      <x v="12"/>
      <x v="1411"/>
      <x v="9"/>
      <x v="1"/>
      <x v="31"/>
      <x/>
      <x v="2"/>
    </i>
    <i>
      <x v="6502"/>
      <x v="7968"/>
      <x v="12"/>
      <x v="1358"/>
      <x v="11"/>
      <x v="1"/>
      <x v="31"/>
      <x/>
      <x/>
    </i>
    <i>
      <x v="6504"/>
      <x v="1059"/>
      <x v="12"/>
      <x v="1358"/>
      <x v="38"/>
      <x v="4"/>
      <x v="31"/>
      <x/>
      <x/>
    </i>
    <i>
      <x v="6505"/>
      <x v="1147"/>
      <x v="12"/>
      <x v="1347"/>
      <x v="21"/>
      <x v="2"/>
      <x v="31"/>
      <x/>
      <x/>
    </i>
    <i>
      <x v="6513"/>
      <x v="7978"/>
      <x v="12"/>
      <x v="1418"/>
      <x v="2"/>
      <x/>
      <x/>
      <x/>
      <x v="2"/>
    </i>
    <i>
      <x v="6518"/>
      <x v="7984"/>
      <x v="12"/>
      <x v="1429"/>
      <x/>
      <x/>
      <x v="76"/>
      <x v="1"/>
      <x v="2"/>
    </i>
    <i>
      <x v="6519"/>
      <x v="4927"/>
      <x v="11"/>
      <x v="1241"/>
      <x v="31"/>
      <x v="3"/>
      <x/>
      <x/>
      <x v="2"/>
    </i>
    <i>
      <x v="6522"/>
      <x v="4873"/>
      <x v="12"/>
      <x v="1246"/>
      <x v="3"/>
      <x/>
      <x/>
      <x/>
      <x v="2"/>
    </i>
    <i>
      <x v="6524"/>
      <x v="4934"/>
      <x v="12"/>
      <x v="1241"/>
      <x v="26"/>
      <x v="3"/>
      <x/>
      <x/>
      <x v="2"/>
    </i>
    <i>
      <x v="6528"/>
      <x v="4954"/>
      <x v="12"/>
      <x v="1258"/>
      <x v="22"/>
      <x v="2"/>
      <x/>
      <x/>
      <x v="2"/>
    </i>
    <i>
      <x v="6529"/>
      <x v="4939"/>
      <x v="12"/>
      <x v="1240"/>
      <x v="20"/>
      <x v="2"/>
      <x/>
      <x/>
      <x v="2"/>
    </i>
    <i>
      <x v="6530"/>
      <x v="6957"/>
      <x v="12"/>
      <x v="1328"/>
      <x v="9"/>
      <x v="1"/>
      <x/>
      <x/>
      <x v="2"/>
    </i>
    <i>
      <x v="6531"/>
      <x v="4896"/>
      <x v="12"/>
      <x v="1358"/>
      <x v="7"/>
      <x v="1"/>
      <x/>
      <x/>
      <x v="2"/>
    </i>
    <i>
      <x v="6533"/>
      <x v="7985"/>
      <x v="12"/>
      <x v="1437"/>
      <x v="2"/>
      <x/>
      <x/>
      <x/>
      <x v="2"/>
    </i>
    <i>
      <x v="6535"/>
      <x v="7987"/>
      <x v="12"/>
      <x v="1437"/>
      <x v="1"/>
      <x/>
      <x/>
      <x/>
      <x v="2"/>
    </i>
    <i>
      <x v="6536"/>
      <x v="7988"/>
      <x v="12"/>
      <x v="1437"/>
      <x v="6"/>
      <x v="1"/>
      <x/>
      <x/>
      <x v="2"/>
    </i>
    <i>
      <x v="6537"/>
      <x v="7989"/>
      <x v="12"/>
      <x v="1435"/>
      <x v="35"/>
      <x v="4"/>
      <x/>
      <x/>
      <x v="2"/>
    </i>
    <i>
      <x v="6538"/>
      <x v="7990"/>
      <x v="12"/>
      <x v="1417"/>
      <x v="37"/>
      <x v="4"/>
      <x/>
      <x/>
      <x v="2"/>
    </i>
    <i>
      <x v="6542"/>
      <x v="7994"/>
      <x v="12"/>
      <x v="1428"/>
      <x v="35"/>
      <x v="4"/>
      <x/>
      <x/>
      <x v="2"/>
    </i>
    <i>
      <x v="6543"/>
      <x v="7995"/>
      <x v="12"/>
      <x v="1436"/>
      <x v="25"/>
      <x v="3"/>
      <x/>
      <x/>
      <x v="2"/>
    </i>
    <i>
      <x v="6544"/>
      <x v="7996"/>
      <x v="12"/>
      <x v="1436"/>
      <x v="22"/>
      <x v="2"/>
      <x/>
      <x/>
      <x v="2"/>
    </i>
    <i>
      <x v="6545"/>
      <x v="4941"/>
      <x v="12"/>
      <x v="1425"/>
      <x v="13"/>
      <x v="1"/>
      <x/>
      <x/>
      <x v="2"/>
    </i>
    <i>
      <x v="6547"/>
      <x v="7998"/>
      <x v="12"/>
      <x v="1430"/>
      <x v="18"/>
      <x v="2"/>
      <x/>
      <x/>
      <x v="2"/>
    </i>
    <i>
      <x v="6548"/>
      <x v="7999"/>
      <x v="12"/>
      <x v="1430"/>
      <x v="41"/>
      <x v="5"/>
      <x/>
      <x/>
      <x v="2"/>
    </i>
    <i t="grand">
      <x/>
    </i>
  </rowItems>
  <colItems count="1">
    <i/>
  </colItems>
  <pageFields count="1">
    <pageField fld="32" item="0" hier="-1"/>
  </pageFields>
  <dataFields count="1">
    <dataField name="Sum of Trabajdores Unicos Zona Influencia" fld="29" baseField="0" baseItem="0" numFmtId="1"/>
  </dataFields>
  <formats count="1064">
    <format dxfId="3585">
      <pivotArea outline="0" collapsedLevelsAreSubtotals="1" fieldPosition="0"/>
    </format>
    <format dxfId="3584">
      <pivotArea dataOnly="0" labelOnly="1" grandCol="1" outline="0" fieldPosition="0"/>
    </format>
    <format dxfId="3583">
      <pivotArea field="3" type="button" dataOnly="0" labelOnly="1" outline="0" axis="axisRow" fieldPosition="0"/>
    </format>
    <format dxfId="3582">
      <pivotArea field="4" type="button" dataOnly="0" labelOnly="1" outline="0" axis="axisRow" fieldPosition="1"/>
    </format>
    <format dxfId="3581">
      <pivotArea field="11" type="button" dataOnly="0" labelOnly="1" outline="0" axis="axisRow" fieldPosition="2"/>
    </format>
    <format dxfId="3580">
      <pivotArea field="24" type="button" dataOnly="0" labelOnly="1" outline="0" axis="axisRow" fieldPosition="8"/>
    </format>
    <format dxfId="3579">
      <pivotArea field="3" type="button" dataOnly="0" labelOnly="1" outline="0" axis="axisRow" fieldPosition="0"/>
    </format>
    <format dxfId="3578">
      <pivotArea field="4" type="button" dataOnly="0" labelOnly="1" outline="0" axis="axisRow" fieldPosition="1"/>
    </format>
    <format dxfId="3577">
      <pivotArea field="11" type="button" dataOnly="0" labelOnly="1" outline="0" axis="axisRow" fieldPosition="2"/>
    </format>
    <format dxfId="3576">
      <pivotArea field="24" type="button" dataOnly="0" labelOnly="1" outline="0" axis="axisRow" fieldPosition="8"/>
    </format>
    <format dxfId="3575">
      <pivotArea field="3" type="button" dataOnly="0" labelOnly="1" outline="0" axis="axisRow" fieldPosition="0"/>
    </format>
    <format dxfId="3574">
      <pivotArea field="4" type="button" dataOnly="0" labelOnly="1" outline="0" axis="axisRow" fieldPosition="1"/>
    </format>
    <format dxfId="3573">
      <pivotArea field="11" type="button" dataOnly="0" labelOnly="1" outline="0" axis="axisRow" fieldPosition="2"/>
    </format>
    <format dxfId="3572">
      <pivotArea field="24" type="button" dataOnly="0" labelOnly="1" outline="0" axis="axisRow" fieldPosition="8"/>
    </format>
    <format dxfId="3571">
      <pivotArea field="3" type="button" dataOnly="0" labelOnly="1" outline="0" axis="axisRow" fieldPosition="0"/>
    </format>
    <format dxfId="3570">
      <pivotArea field="4" type="button" dataOnly="0" labelOnly="1" outline="0" axis="axisRow" fieldPosition="1"/>
    </format>
    <format dxfId="3569">
      <pivotArea field="11" type="button" dataOnly="0" labelOnly="1" outline="0" axis="axisRow" fieldPosition="2"/>
    </format>
    <format dxfId="3568">
      <pivotArea field="24" type="button" dataOnly="0" labelOnly="1" outline="0" axis="axisRow" fieldPosition="8"/>
    </format>
    <format dxfId="3567">
      <pivotArea dataOnly="0" grandRow="1" outline="0" fieldPosition="0"/>
    </format>
    <format dxfId="3566">
      <pivotArea dataOnly="0" labelOnly="1" outline="0" fieldPosition="0">
        <references count="1">
          <reference field="11" count="0"/>
        </references>
      </pivotArea>
    </format>
    <format dxfId="3565">
      <pivotArea grandRow="1" outline="0" collapsedLevelsAreSubtotals="1" fieldPosition="0"/>
    </format>
    <format dxfId="3564">
      <pivotArea outline="0" collapsedLevelsAreSubtotals="1" fieldPosition="0"/>
    </format>
    <format dxfId="3563">
      <pivotArea dataOnly="0" labelOnly="1" outline="0" fieldPosition="0">
        <references count="1">
          <reference field="3" count="50">
            <x v="8"/>
            <x v="24"/>
            <x v="26"/>
            <x v="27"/>
            <x v="32"/>
            <x v="46"/>
            <x v="47"/>
            <x v="48"/>
            <x v="49"/>
            <x v="51"/>
            <x v="52"/>
            <x v="57"/>
            <x v="58"/>
            <x v="62"/>
            <x v="69"/>
            <x v="80"/>
            <x v="81"/>
            <x v="82"/>
            <x v="93"/>
            <x v="113"/>
            <x v="122"/>
            <x v="136"/>
            <x v="137"/>
            <x v="138"/>
            <x v="143"/>
            <x v="149"/>
            <x v="153"/>
            <x v="164"/>
            <x v="174"/>
            <x v="182"/>
            <x v="184"/>
            <x v="189"/>
            <x v="190"/>
            <x v="199"/>
            <x v="203"/>
            <x v="213"/>
            <x v="214"/>
            <x v="221"/>
            <x v="234"/>
            <x v="251"/>
            <x v="253"/>
            <x v="259"/>
            <x v="261"/>
            <x v="262"/>
            <x v="265"/>
            <x v="266"/>
            <x v="272"/>
            <x v="276"/>
            <x v="277"/>
            <x v="281"/>
          </reference>
        </references>
      </pivotArea>
    </format>
    <format dxfId="3562">
      <pivotArea dataOnly="0" labelOnly="1" outline="0" fieldPosition="0">
        <references count="1">
          <reference field="3" count="50">
            <x v="287"/>
            <x v="288"/>
            <x v="299"/>
            <x v="300"/>
            <x v="321"/>
            <x v="356"/>
            <x v="360"/>
            <x v="363"/>
            <x v="375"/>
            <x v="379"/>
            <x v="387"/>
            <x v="388"/>
            <x v="393"/>
            <x v="396"/>
            <x v="398"/>
            <x v="404"/>
            <x v="408"/>
            <x v="416"/>
            <x v="430"/>
            <x v="445"/>
            <x v="455"/>
            <x v="456"/>
            <x v="457"/>
            <x v="460"/>
            <x v="461"/>
            <x v="480"/>
            <x v="481"/>
            <x v="487"/>
            <x v="489"/>
            <x v="492"/>
            <x v="498"/>
            <x v="502"/>
            <x v="503"/>
            <x v="504"/>
            <x v="512"/>
            <x v="526"/>
            <x v="531"/>
            <x v="532"/>
            <x v="535"/>
            <x v="537"/>
            <x v="541"/>
            <x v="553"/>
            <x v="558"/>
            <x v="561"/>
            <x v="569"/>
            <x v="585"/>
            <x v="587"/>
            <x v="591"/>
            <x v="597"/>
            <x v="601"/>
          </reference>
        </references>
      </pivotArea>
    </format>
    <format dxfId="3561">
      <pivotArea dataOnly="0" labelOnly="1" outline="0" fieldPosition="0">
        <references count="1">
          <reference field="3" count="50">
            <x v="602"/>
            <x v="611"/>
            <x v="614"/>
            <x v="621"/>
            <x v="623"/>
            <x v="624"/>
            <x v="625"/>
            <x v="629"/>
            <x v="632"/>
            <x v="640"/>
            <x v="643"/>
            <x v="645"/>
            <x v="646"/>
            <x v="651"/>
            <x v="652"/>
            <x v="656"/>
            <x v="663"/>
            <x v="667"/>
            <x v="675"/>
            <x v="682"/>
            <x v="687"/>
            <x v="690"/>
            <x v="691"/>
            <x v="693"/>
            <x v="695"/>
            <x v="701"/>
            <x v="709"/>
            <x v="712"/>
            <x v="716"/>
            <x v="721"/>
            <x v="727"/>
            <x v="728"/>
            <x v="729"/>
            <x v="730"/>
            <x v="737"/>
            <x v="740"/>
            <x v="743"/>
            <x v="744"/>
            <x v="745"/>
            <x v="747"/>
            <x v="749"/>
            <x v="756"/>
            <x v="759"/>
            <x v="761"/>
            <x v="770"/>
            <x v="774"/>
            <x v="776"/>
            <x v="782"/>
            <x v="790"/>
            <x v="797"/>
          </reference>
        </references>
      </pivotArea>
    </format>
    <format dxfId="3560">
      <pivotArea dataOnly="0" labelOnly="1" outline="0" fieldPosition="0">
        <references count="1">
          <reference field="3" count="50">
            <x v="804"/>
            <x v="805"/>
            <x v="808"/>
            <x v="810"/>
            <x v="818"/>
            <x v="839"/>
            <x v="841"/>
            <x v="845"/>
            <x v="848"/>
            <x v="852"/>
            <x v="867"/>
            <x v="873"/>
            <x v="875"/>
            <x v="881"/>
            <x v="884"/>
            <x v="886"/>
            <x v="889"/>
            <x v="893"/>
            <x v="900"/>
            <x v="904"/>
            <x v="933"/>
            <x v="935"/>
            <x v="940"/>
            <x v="945"/>
            <x v="948"/>
            <x v="949"/>
            <x v="955"/>
            <x v="972"/>
            <x v="982"/>
            <x v="985"/>
            <x v="997"/>
            <x v="1001"/>
            <x v="1003"/>
            <x v="1011"/>
            <x v="1015"/>
            <x v="1018"/>
            <x v="1020"/>
            <x v="1023"/>
            <x v="1029"/>
            <x v="1035"/>
            <x v="1038"/>
            <x v="1040"/>
            <x v="1042"/>
            <x v="1055"/>
            <x v="1056"/>
            <x v="1058"/>
            <x v="1069"/>
            <x v="1075"/>
            <x v="1077"/>
            <x v="1078"/>
          </reference>
        </references>
      </pivotArea>
    </format>
    <format dxfId="3559">
      <pivotArea dataOnly="0" labelOnly="1" outline="0" fieldPosition="0">
        <references count="1">
          <reference field="3" count="50">
            <x v="1080"/>
            <x v="1088"/>
            <x v="1092"/>
            <x v="1099"/>
            <x v="1111"/>
            <x v="1112"/>
            <x v="1114"/>
            <x v="1126"/>
            <x v="1129"/>
            <x v="1141"/>
            <x v="1144"/>
            <x v="1145"/>
            <x v="1147"/>
            <x v="1150"/>
            <x v="1159"/>
            <x v="1167"/>
            <x v="1168"/>
            <x v="1185"/>
            <x v="1189"/>
            <x v="1196"/>
            <x v="1198"/>
            <x v="1202"/>
            <x v="1204"/>
            <x v="1209"/>
            <x v="1210"/>
            <x v="1222"/>
            <x v="1226"/>
            <x v="1231"/>
            <x v="1242"/>
            <x v="1244"/>
            <x v="1247"/>
            <x v="1257"/>
            <x v="1259"/>
            <x v="1261"/>
            <x v="1262"/>
            <x v="1263"/>
            <x v="1273"/>
            <x v="1274"/>
            <x v="1282"/>
            <x v="1286"/>
            <x v="1296"/>
            <x v="1297"/>
            <x v="1304"/>
            <x v="1305"/>
            <x v="1313"/>
            <x v="1318"/>
            <x v="1325"/>
            <x v="1343"/>
            <x v="1344"/>
            <x v="1355"/>
          </reference>
        </references>
      </pivotArea>
    </format>
    <format dxfId="3558">
      <pivotArea dataOnly="0" labelOnly="1" outline="0" fieldPosition="0">
        <references count="1">
          <reference field="3" count="50">
            <x v="1370"/>
            <x v="1372"/>
            <x v="1379"/>
            <x v="1383"/>
            <x v="1386"/>
            <x v="1391"/>
            <x v="1392"/>
            <x v="1396"/>
            <x v="1398"/>
            <x v="1401"/>
            <x v="1405"/>
            <x v="1410"/>
            <x v="1415"/>
            <x v="1418"/>
            <x v="1423"/>
            <x v="1425"/>
            <x v="1427"/>
            <x v="1430"/>
            <x v="1431"/>
            <x v="1435"/>
            <x v="1437"/>
            <x v="1449"/>
            <x v="1452"/>
            <x v="1455"/>
            <x v="1462"/>
            <x v="1470"/>
            <x v="1471"/>
            <x v="1472"/>
            <x v="1477"/>
            <x v="1484"/>
            <x v="1492"/>
            <x v="1493"/>
            <x v="1499"/>
            <x v="1500"/>
            <x v="1501"/>
            <x v="1509"/>
            <x v="1511"/>
            <x v="1512"/>
            <x v="1514"/>
            <x v="1515"/>
            <x v="1518"/>
            <x v="1519"/>
            <x v="1523"/>
            <x v="1526"/>
            <x v="1530"/>
            <x v="1534"/>
            <x v="1539"/>
            <x v="1542"/>
            <x v="1545"/>
            <x v="1548"/>
          </reference>
        </references>
      </pivotArea>
    </format>
    <format dxfId="3557">
      <pivotArea dataOnly="0" labelOnly="1" outline="0" fieldPosition="0">
        <references count="1">
          <reference field="3" count="36">
            <x v="1557"/>
            <x v="1564"/>
            <x v="1566"/>
            <x v="1585"/>
            <x v="1598"/>
            <x v="1600"/>
            <x v="1604"/>
            <x v="1606"/>
            <x v="1613"/>
            <x v="1619"/>
            <x v="1625"/>
            <x v="1628"/>
            <x v="1629"/>
            <x v="1634"/>
            <x v="1635"/>
            <x v="1637"/>
            <x v="1645"/>
            <x v="1647"/>
            <x v="1657"/>
            <x v="1675"/>
            <x v="1677"/>
            <x v="1678"/>
            <x v="1686"/>
            <x v="1687"/>
            <x v="1692"/>
            <x v="1694"/>
            <x v="1699"/>
            <x v="1704"/>
            <x v="1715"/>
            <x v="1717"/>
            <x v="1718"/>
            <x v="1725"/>
            <x v="1729"/>
            <x v="1731"/>
            <x v="1735"/>
            <x v="1738"/>
          </reference>
        </references>
      </pivotArea>
    </format>
    <format dxfId="3556">
      <pivotArea dataOnly="0" labelOnly="1" outline="0" fieldPosition="0">
        <references count="1">
          <reference field="3" count="2">
            <x v="1741"/>
            <x v="1742"/>
          </reference>
        </references>
      </pivotArea>
    </format>
    <format dxfId="3555">
      <pivotArea dataOnly="0" labelOnly="1" outline="0" fieldPosition="0">
        <references count="1">
          <reference field="3" count="1">
            <x v="1746"/>
          </reference>
        </references>
      </pivotArea>
    </format>
    <format dxfId="3554">
      <pivotArea dataOnly="0" labelOnly="1" outline="0" fieldPosition="0">
        <references count="1">
          <reference field="3" count="2">
            <x v="1747"/>
            <x v="1748"/>
          </reference>
        </references>
      </pivotArea>
    </format>
    <format dxfId="3553">
      <pivotArea dataOnly="0" labelOnly="1" outline="0" fieldPosition="0">
        <references count="1">
          <reference field="3" count="2">
            <x v="1749"/>
            <x v="1750"/>
          </reference>
        </references>
      </pivotArea>
    </format>
    <format dxfId="3552">
      <pivotArea dataOnly="0" labelOnly="1" outline="0" fieldPosition="0">
        <references count="1">
          <reference field="3" count="1">
            <x v="1753"/>
          </reference>
        </references>
      </pivotArea>
    </format>
    <format dxfId="3551">
      <pivotArea dataOnly="0" labelOnly="1" outline="0" fieldPosition="0">
        <references count="1">
          <reference field="3" count="1">
            <x v="1758"/>
          </reference>
        </references>
      </pivotArea>
    </format>
    <format dxfId="3550">
      <pivotArea dataOnly="0" labelOnly="1" outline="0" fieldPosition="0">
        <references count="1">
          <reference field="3" count="3">
            <x v="1765"/>
            <x v="1767"/>
            <x v="1771"/>
          </reference>
        </references>
      </pivotArea>
    </format>
    <format dxfId="3549">
      <pivotArea dataOnly="0" labelOnly="1" outline="0" fieldPosition="0">
        <references count="1">
          <reference field="3" count="5">
            <x v="1783"/>
            <x v="1784"/>
            <x v="1785"/>
            <x v="1786"/>
            <x v="1788"/>
          </reference>
        </references>
      </pivotArea>
    </format>
    <format dxfId="3548">
      <pivotArea dataOnly="0" labelOnly="1" grandRow="1" outline="0" fieldPosition="0"/>
    </format>
    <format dxfId="3547">
      <pivotArea dataOnly="0" labelOnly="1" outline="0" fieldPosition="0">
        <references count="2">
          <reference field="3" count="1" selected="0">
            <x v="27"/>
          </reference>
          <reference field="4" count="1">
            <x v="169"/>
          </reference>
        </references>
      </pivotArea>
    </format>
    <format dxfId="3546">
      <pivotArea dataOnly="0" labelOnly="1" outline="0" fieldPosition="0">
        <references count="2">
          <reference field="3" count="1" selected="0">
            <x v="32"/>
          </reference>
          <reference field="4" count="1">
            <x v="1077"/>
          </reference>
        </references>
      </pivotArea>
    </format>
    <format dxfId="3545">
      <pivotArea dataOnly="0" labelOnly="1" outline="0" fieldPosition="0">
        <references count="2">
          <reference field="3" count="1" selected="0">
            <x v="46"/>
          </reference>
          <reference field="4" count="1">
            <x v="304"/>
          </reference>
        </references>
      </pivotArea>
    </format>
    <format dxfId="3544">
      <pivotArea dataOnly="0" labelOnly="1" outline="0" fieldPosition="0">
        <references count="2">
          <reference field="3" count="1" selected="0">
            <x v="47"/>
          </reference>
          <reference field="4" count="1">
            <x v="1283"/>
          </reference>
        </references>
      </pivotArea>
    </format>
    <format dxfId="3543">
      <pivotArea dataOnly="0" labelOnly="1" outline="0" fieldPosition="0">
        <references count="2">
          <reference field="3" count="1" selected="0">
            <x v="52"/>
          </reference>
          <reference field="4" count="1">
            <x v="838"/>
          </reference>
        </references>
      </pivotArea>
    </format>
    <format dxfId="3542">
      <pivotArea dataOnly="0" labelOnly="1" outline="0" fieldPosition="0">
        <references count="2">
          <reference field="3" count="1" selected="0">
            <x v="62"/>
          </reference>
          <reference field="4" count="1">
            <x v="55"/>
          </reference>
        </references>
      </pivotArea>
    </format>
    <format dxfId="3541">
      <pivotArea dataOnly="0" labelOnly="1" outline="0" fieldPosition="0">
        <references count="2">
          <reference field="3" count="1" selected="0">
            <x v="69"/>
          </reference>
          <reference field="4" count="1">
            <x v="939"/>
          </reference>
        </references>
      </pivotArea>
    </format>
    <format dxfId="3540">
      <pivotArea dataOnly="0" labelOnly="1" outline="0" fieldPosition="0">
        <references count="2">
          <reference field="3" count="1" selected="0">
            <x v="82"/>
          </reference>
          <reference field="4" count="1">
            <x v="340"/>
          </reference>
        </references>
      </pivotArea>
    </format>
    <format dxfId="3539">
      <pivotArea dataOnly="0" labelOnly="1" outline="0" fieldPosition="0">
        <references count="2">
          <reference field="3" count="1" selected="0">
            <x v="113"/>
          </reference>
          <reference field="4" count="1">
            <x v="704"/>
          </reference>
        </references>
      </pivotArea>
    </format>
    <format dxfId="3538">
      <pivotArea dataOnly="0" labelOnly="1" outline="0" fieldPosition="0">
        <references count="2">
          <reference field="3" count="1" selected="0">
            <x v="137"/>
          </reference>
          <reference field="4" count="1">
            <x v="523"/>
          </reference>
        </references>
      </pivotArea>
    </format>
    <format dxfId="3537">
      <pivotArea dataOnly="0" labelOnly="1" outline="0" fieldPosition="0">
        <references count="2">
          <reference field="3" count="1" selected="0">
            <x v="213"/>
          </reference>
          <reference field="4" count="1">
            <x v="208"/>
          </reference>
        </references>
      </pivotArea>
    </format>
    <format dxfId="3536">
      <pivotArea dataOnly="0" labelOnly="1" outline="0" fieldPosition="0">
        <references count="2">
          <reference field="3" count="1" selected="0">
            <x v="221"/>
          </reference>
          <reference field="4" count="1">
            <x v="571"/>
          </reference>
        </references>
      </pivotArea>
    </format>
    <format dxfId="3535">
      <pivotArea dataOnly="0" labelOnly="1" outline="0" fieldPosition="0">
        <references count="2">
          <reference field="3" count="1" selected="0">
            <x v="287"/>
          </reference>
          <reference field="4" count="1">
            <x v="533"/>
          </reference>
        </references>
      </pivotArea>
    </format>
    <format dxfId="3534">
      <pivotArea dataOnly="0" labelOnly="1" outline="0" fieldPosition="0">
        <references count="2">
          <reference field="3" count="1" selected="0">
            <x v="288"/>
          </reference>
          <reference field="4" count="1">
            <x v="480"/>
          </reference>
        </references>
      </pivotArea>
    </format>
    <format dxfId="3533">
      <pivotArea dataOnly="0" labelOnly="1" outline="0" fieldPosition="0">
        <references count="2">
          <reference field="3" count="1" selected="0">
            <x v="299"/>
          </reference>
          <reference field="4" count="1">
            <x v="469"/>
          </reference>
        </references>
      </pivotArea>
    </format>
    <format dxfId="3532">
      <pivotArea dataOnly="0" labelOnly="1" outline="0" fieldPosition="0">
        <references count="2">
          <reference field="3" count="1" selected="0">
            <x v="300"/>
          </reference>
          <reference field="4" count="1">
            <x v="135"/>
          </reference>
        </references>
      </pivotArea>
    </format>
    <format dxfId="3531">
      <pivotArea dataOnly="0" labelOnly="1" outline="0" fieldPosition="0">
        <references count="2">
          <reference field="3" count="1" selected="0">
            <x v="363"/>
          </reference>
          <reference field="4" count="1">
            <x v="537"/>
          </reference>
        </references>
      </pivotArea>
    </format>
    <format dxfId="3530">
      <pivotArea dataOnly="0" labelOnly="1" outline="0" fieldPosition="0">
        <references count="2">
          <reference field="3" count="1" selected="0">
            <x v="393"/>
          </reference>
          <reference field="4" count="1">
            <x v="847"/>
          </reference>
        </references>
      </pivotArea>
    </format>
    <format dxfId="3529">
      <pivotArea dataOnly="0" labelOnly="1" outline="0" fieldPosition="0">
        <references count="2">
          <reference field="3" count="1" selected="0">
            <x v="455"/>
          </reference>
          <reference field="4" count="1">
            <x v="1483"/>
          </reference>
        </references>
      </pivotArea>
    </format>
    <format dxfId="3528">
      <pivotArea dataOnly="0" labelOnly="1" outline="0" fieldPosition="0">
        <references count="2">
          <reference field="3" count="1" selected="0">
            <x v="456"/>
          </reference>
          <reference field="4" count="1">
            <x v="837"/>
          </reference>
        </references>
      </pivotArea>
    </format>
    <format dxfId="3527">
      <pivotArea dataOnly="0" labelOnly="1" outline="0" fieldPosition="0">
        <references count="2">
          <reference field="3" count="1" selected="0">
            <x v="457"/>
          </reference>
          <reference field="4" count="1">
            <x v="1230"/>
          </reference>
        </references>
      </pivotArea>
    </format>
    <format dxfId="3526">
      <pivotArea dataOnly="0" labelOnly="1" outline="0" fieldPosition="0">
        <references count="2">
          <reference field="3" count="1" selected="0">
            <x v="489"/>
          </reference>
          <reference field="4" count="1">
            <x v="911"/>
          </reference>
        </references>
      </pivotArea>
    </format>
    <format dxfId="3525">
      <pivotArea dataOnly="0" labelOnly="1" outline="0" fieldPosition="0">
        <references count="2">
          <reference field="3" count="1" selected="0">
            <x v="531"/>
          </reference>
          <reference field="4" count="1">
            <x v="1504"/>
          </reference>
        </references>
      </pivotArea>
    </format>
    <format dxfId="3524">
      <pivotArea dataOnly="0" labelOnly="1" outline="0" fieldPosition="0">
        <references count="2">
          <reference field="3" count="1" selected="0">
            <x v="537"/>
          </reference>
          <reference field="4" count="1">
            <x v="1053"/>
          </reference>
        </references>
      </pivotArea>
    </format>
    <format dxfId="3523">
      <pivotArea dataOnly="0" labelOnly="1" outline="0" fieldPosition="0">
        <references count="2">
          <reference field="3" count="1" selected="0">
            <x v="553"/>
          </reference>
          <reference field="4" count="1">
            <x v="1349"/>
          </reference>
        </references>
      </pivotArea>
    </format>
    <format dxfId="3522">
      <pivotArea dataOnly="0" labelOnly="1" outline="0" fieldPosition="0">
        <references count="2">
          <reference field="3" count="1" selected="0">
            <x v="561"/>
          </reference>
          <reference field="4" count="1">
            <x v="239"/>
          </reference>
        </references>
      </pivotArea>
    </format>
    <format dxfId="3521">
      <pivotArea dataOnly="0" labelOnly="1" outline="0" fieldPosition="0">
        <references count="2">
          <reference field="3" count="1" selected="0">
            <x v="569"/>
          </reference>
          <reference field="4" count="1">
            <x v="856"/>
          </reference>
        </references>
      </pivotArea>
    </format>
    <format dxfId="3520">
      <pivotArea dataOnly="0" labelOnly="1" outline="0" fieldPosition="0">
        <references count="2">
          <reference field="3" count="1" selected="0">
            <x v="621"/>
          </reference>
          <reference field="4" count="1">
            <x v="371"/>
          </reference>
        </references>
      </pivotArea>
    </format>
    <format dxfId="3519">
      <pivotArea dataOnly="0" labelOnly="1" outline="0" fieldPosition="0">
        <references count="2">
          <reference field="3" count="1" selected="0">
            <x v="623"/>
          </reference>
          <reference field="4" count="1">
            <x v="349"/>
          </reference>
        </references>
      </pivotArea>
    </format>
    <format dxfId="3518">
      <pivotArea dataOnly="0" labelOnly="1" outline="0" fieldPosition="0">
        <references count="2">
          <reference field="3" count="1" selected="0">
            <x v="643"/>
          </reference>
          <reference field="4" count="1">
            <x v="489"/>
          </reference>
        </references>
      </pivotArea>
    </format>
    <format dxfId="3517">
      <pivotArea dataOnly="0" labelOnly="1" outline="0" fieldPosition="0">
        <references count="2">
          <reference field="3" count="1" selected="0">
            <x v="646"/>
          </reference>
          <reference field="4" count="1">
            <x v="824"/>
          </reference>
        </references>
      </pivotArea>
    </format>
    <format dxfId="3516">
      <pivotArea dataOnly="0" labelOnly="1" outline="0" fieldPosition="0">
        <references count="2">
          <reference field="3" count="1" selected="0">
            <x v="687"/>
          </reference>
          <reference field="4" count="1">
            <x v="138"/>
          </reference>
        </references>
      </pivotArea>
    </format>
    <format dxfId="3515">
      <pivotArea dataOnly="0" labelOnly="1" outline="0" fieldPosition="0">
        <references count="2">
          <reference field="3" count="1" selected="0">
            <x v="693"/>
          </reference>
          <reference field="4" count="1">
            <x v="1389"/>
          </reference>
        </references>
      </pivotArea>
    </format>
    <format dxfId="3514">
      <pivotArea dataOnly="0" labelOnly="1" outline="0" fieldPosition="0">
        <references count="2">
          <reference field="3" count="1" selected="0">
            <x v="701"/>
          </reference>
          <reference field="4" count="1">
            <x v="669"/>
          </reference>
        </references>
      </pivotArea>
    </format>
    <format dxfId="3513">
      <pivotArea dataOnly="0" labelOnly="1" outline="0" fieldPosition="0">
        <references count="2">
          <reference field="3" count="1" selected="0">
            <x v="729"/>
          </reference>
          <reference field="4" count="1">
            <x v="355"/>
          </reference>
        </references>
      </pivotArea>
    </format>
    <format dxfId="3512">
      <pivotArea dataOnly="0" labelOnly="1" outline="0" fieldPosition="0">
        <references count="2">
          <reference field="3" count="1" selected="0">
            <x v="740"/>
          </reference>
          <reference field="4" count="1">
            <x v="422"/>
          </reference>
        </references>
      </pivotArea>
    </format>
    <format dxfId="3511">
      <pivotArea dataOnly="0" labelOnly="1" outline="0" fieldPosition="0">
        <references count="2">
          <reference field="3" count="1" selected="0">
            <x v="776"/>
          </reference>
          <reference field="4" count="1">
            <x v="982"/>
          </reference>
        </references>
      </pivotArea>
    </format>
    <format dxfId="3510">
      <pivotArea dataOnly="0" labelOnly="1" outline="0" fieldPosition="0">
        <references count="2">
          <reference field="3" count="1" selected="0">
            <x v="790"/>
          </reference>
          <reference field="4" count="1">
            <x v="1535"/>
          </reference>
        </references>
      </pivotArea>
    </format>
    <format dxfId="3509">
      <pivotArea dataOnly="0" labelOnly="1" outline="0" fieldPosition="0">
        <references count="2">
          <reference field="3" count="1" selected="0">
            <x v="804"/>
          </reference>
          <reference field="4" count="1">
            <x v="685"/>
          </reference>
        </references>
      </pivotArea>
    </format>
    <format dxfId="3508">
      <pivotArea dataOnly="0" labelOnly="1" outline="0" fieldPosition="0">
        <references count="2">
          <reference field="3" count="1" selected="0">
            <x v="841"/>
          </reference>
          <reference field="4" count="1">
            <x v="1224"/>
          </reference>
        </references>
      </pivotArea>
    </format>
    <format dxfId="3507">
      <pivotArea dataOnly="0" labelOnly="1" outline="0" fieldPosition="0">
        <references count="2">
          <reference field="3" count="1" selected="0">
            <x v="875"/>
          </reference>
          <reference field="4" count="1">
            <x v="1361"/>
          </reference>
        </references>
      </pivotArea>
    </format>
    <format dxfId="3506">
      <pivotArea dataOnly="0" labelOnly="1" outline="0" fieldPosition="0">
        <references count="2">
          <reference field="3" count="1" selected="0">
            <x v="889"/>
          </reference>
          <reference field="4" count="1">
            <x v="875"/>
          </reference>
        </references>
      </pivotArea>
    </format>
    <format dxfId="3505">
      <pivotArea dataOnly="0" labelOnly="1" outline="0" fieldPosition="0">
        <references count="2">
          <reference field="3" count="1" selected="0">
            <x v="893"/>
          </reference>
          <reference field="4" count="1">
            <x v="802"/>
          </reference>
        </references>
      </pivotArea>
    </format>
    <format dxfId="3504">
      <pivotArea dataOnly="0" labelOnly="1" outline="0" fieldPosition="0">
        <references count="2">
          <reference field="3" count="1" selected="0">
            <x v="904"/>
          </reference>
          <reference field="4" count="1">
            <x v="1048"/>
          </reference>
        </references>
      </pivotArea>
    </format>
    <format dxfId="3503">
      <pivotArea dataOnly="0" labelOnly="1" outline="0" fieldPosition="0">
        <references count="2">
          <reference field="3" count="1" selected="0">
            <x v="940"/>
          </reference>
          <reference field="4" count="1">
            <x v="1387"/>
          </reference>
        </references>
      </pivotArea>
    </format>
    <format dxfId="3502">
      <pivotArea dataOnly="0" labelOnly="1" outline="0" fieldPosition="0">
        <references count="2">
          <reference field="3" count="1" selected="0">
            <x v="1001"/>
          </reference>
          <reference field="4" count="1">
            <x v="220"/>
          </reference>
        </references>
      </pivotArea>
    </format>
    <format dxfId="3501">
      <pivotArea dataOnly="0" labelOnly="1" outline="0" fieldPosition="0">
        <references count="2">
          <reference field="3" count="1" selected="0">
            <x v="1029"/>
          </reference>
          <reference field="4" count="1">
            <x v="1040"/>
          </reference>
        </references>
      </pivotArea>
    </format>
    <format dxfId="3500">
      <pivotArea dataOnly="0" labelOnly="1" outline="0" fieldPosition="0">
        <references count="2">
          <reference field="3" count="1" selected="0">
            <x v="1058"/>
          </reference>
          <reference field="4" count="1">
            <x v="745"/>
          </reference>
        </references>
      </pivotArea>
    </format>
    <format dxfId="3499">
      <pivotArea dataOnly="0" labelOnly="1" outline="0" fieldPosition="0">
        <references count="2">
          <reference field="3" count="1" selected="0">
            <x v="1112"/>
          </reference>
          <reference field="4" count="1">
            <x v="434"/>
          </reference>
        </references>
      </pivotArea>
    </format>
    <format dxfId="3498">
      <pivotArea dataOnly="0" labelOnly="1" outline="0" fieldPosition="0">
        <references count="2">
          <reference field="3" count="1" selected="0">
            <x v="1304"/>
          </reference>
          <reference field="4" count="1">
            <x v="290"/>
          </reference>
        </references>
      </pivotArea>
    </format>
    <format dxfId="3497">
      <pivotArea dataOnly="0" labelOnly="1" outline="0" fieldPosition="0">
        <references count="2">
          <reference field="3" count="1" selected="0">
            <x v="1305"/>
          </reference>
          <reference field="4" count="1">
            <x v="1346"/>
          </reference>
        </references>
      </pivotArea>
    </format>
    <format dxfId="3496">
      <pivotArea dataOnly="0" labelOnly="1" outline="0" fieldPosition="0">
        <references count="2">
          <reference field="3" count="1" selected="0">
            <x v="1370"/>
          </reference>
          <reference field="4" count="1">
            <x v="1161"/>
          </reference>
        </references>
      </pivotArea>
    </format>
    <format dxfId="3495">
      <pivotArea dataOnly="0" labelOnly="1" outline="0" fieldPosition="0">
        <references count="2">
          <reference field="3" count="1" selected="0">
            <x v="1410"/>
          </reference>
          <reference field="4" count="1">
            <x v="1156"/>
          </reference>
        </references>
      </pivotArea>
    </format>
    <format dxfId="3494">
      <pivotArea dataOnly="0" labelOnly="1" outline="0" fieldPosition="0">
        <references count="2">
          <reference field="3" count="1" selected="0">
            <x v="1430"/>
          </reference>
          <reference field="4" count="1">
            <x v="1434"/>
          </reference>
        </references>
      </pivotArea>
    </format>
    <format dxfId="3493">
      <pivotArea dataOnly="0" labelOnly="1" outline="0" fieldPosition="0">
        <references count="2">
          <reference field="3" count="1" selected="0">
            <x v="1472"/>
          </reference>
          <reference field="4" count="1">
            <x v="97"/>
          </reference>
        </references>
      </pivotArea>
    </format>
    <format dxfId="3492">
      <pivotArea dataOnly="0" labelOnly="1" outline="0" fieldPosition="0">
        <references count="2">
          <reference field="3" count="1" selected="0">
            <x v="1484"/>
          </reference>
          <reference field="4" count="1">
            <x v="1176"/>
          </reference>
        </references>
      </pivotArea>
    </format>
    <format dxfId="3491">
      <pivotArea dataOnly="0" labelOnly="1" outline="0" fieldPosition="0">
        <references count="2">
          <reference field="3" count="1" selected="0">
            <x v="1500"/>
          </reference>
          <reference field="4" count="1">
            <x v="1006"/>
          </reference>
        </references>
      </pivotArea>
    </format>
    <format dxfId="3490">
      <pivotArea dataOnly="0" labelOnly="1" outline="0" fieldPosition="0">
        <references count="2">
          <reference field="3" count="1" selected="0">
            <x v="1526"/>
          </reference>
          <reference field="4" count="1">
            <x v="479"/>
          </reference>
        </references>
      </pivotArea>
    </format>
    <format dxfId="3489">
      <pivotArea dataOnly="0" labelOnly="1" outline="0" fieldPosition="0">
        <references count="2">
          <reference field="3" count="1" selected="0">
            <x v="1585"/>
          </reference>
          <reference field="4" count="1">
            <x v="1509"/>
          </reference>
        </references>
      </pivotArea>
    </format>
    <format dxfId="3488">
      <pivotArea dataOnly="0" labelOnly="1" outline="0" fieldPosition="0">
        <references count="2">
          <reference field="3" count="1" selected="0">
            <x v="1598"/>
          </reference>
          <reference field="4" count="1">
            <x v="692"/>
          </reference>
        </references>
      </pivotArea>
    </format>
    <format dxfId="3487">
      <pivotArea dataOnly="0" labelOnly="1" outline="0" fieldPosition="0">
        <references count="2">
          <reference field="3" count="1" selected="0">
            <x v="1628"/>
          </reference>
          <reference field="4" count="1">
            <x v="426"/>
          </reference>
        </references>
      </pivotArea>
    </format>
    <format dxfId="3486">
      <pivotArea dataOnly="0" labelOnly="1" outline="0" fieldPosition="0">
        <references count="2">
          <reference field="3" count="1" selected="0">
            <x v="1634"/>
          </reference>
          <reference field="4" count="1">
            <x v="538"/>
          </reference>
        </references>
      </pivotArea>
    </format>
    <format dxfId="3485">
      <pivotArea dataOnly="0" labelOnly="1" outline="0" fieldPosition="0">
        <references count="2">
          <reference field="3" count="1" selected="0">
            <x v="1742"/>
          </reference>
          <reference field="4" count="1">
            <x v="1329"/>
          </reference>
        </references>
      </pivotArea>
    </format>
    <format dxfId="3484">
      <pivotArea dataOnly="0" labelOnly="1" outline="0" fieldPosition="0">
        <references count="2">
          <reference field="3" count="1" selected="0">
            <x v="1749"/>
          </reference>
          <reference field="4" count="1">
            <x v="658"/>
          </reference>
        </references>
      </pivotArea>
    </format>
    <format dxfId="3483">
      <pivotArea dataOnly="0" labelOnly="1" outline="0" fieldPosition="0">
        <references count="2">
          <reference field="3" count="1" selected="0">
            <x v="1788"/>
          </reference>
          <reference field="4" count="1">
            <x v="1092"/>
          </reference>
        </references>
      </pivotArea>
    </format>
    <format dxfId="3482">
      <pivotArea dataOnly="0" labelOnly="1" outline="0" fieldPosition="0">
        <references count="1">
          <reference field="3" count="0"/>
        </references>
      </pivotArea>
    </format>
    <format dxfId="3481">
      <pivotArea dataOnly="0" labelOnly="1" outline="0" fieldPosition="0">
        <references count="1">
          <reference field="3" count="0"/>
        </references>
      </pivotArea>
    </format>
    <format dxfId="3480">
      <pivotArea outline="0" fieldPosition="0">
        <references count="9">
          <reference field="3" count="304" selected="0">
            <x v="56"/>
            <x v="81"/>
            <x v="104"/>
            <x v="112"/>
            <x v="122"/>
            <x v="136"/>
            <x v="138"/>
            <x v="143"/>
            <x v="149"/>
            <x v="152"/>
            <x v="153"/>
            <x v="155"/>
            <x v="174"/>
            <x v="184"/>
            <x v="189"/>
            <x v="190"/>
            <x v="199"/>
            <x v="203"/>
            <x v="204"/>
            <x v="206"/>
            <x v="215"/>
            <x v="234"/>
            <x v="251"/>
            <x v="253"/>
            <x v="255"/>
            <x v="259"/>
            <x v="261"/>
            <x v="266"/>
            <x v="269"/>
            <x v="276"/>
            <x v="277"/>
            <x v="281"/>
            <x v="292"/>
            <x v="321"/>
            <x v="340"/>
            <x v="356"/>
            <x v="360"/>
            <x v="365"/>
            <x v="375"/>
            <x v="379"/>
            <x v="388"/>
            <x v="396"/>
            <x v="398"/>
            <x v="445"/>
            <x v="458"/>
            <x v="460"/>
            <x v="465"/>
            <x v="477"/>
            <x v="480"/>
            <x v="481"/>
            <x v="492"/>
            <x v="498"/>
            <x v="503"/>
            <x v="512"/>
            <x v="532"/>
            <x v="535"/>
            <x v="539"/>
            <x v="541"/>
            <x v="558"/>
            <x v="582"/>
            <x v="585"/>
            <x v="587"/>
            <x v="597"/>
            <x v="599"/>
            <x v="622"/>
            <x v="624"/>
            <x v="625"/>
            <x v="632"/>
            <x v="638"/>
            <x v="640"/>
            <x v="651"/>
            <x v="656"/>
            <x v="675"/>
            <x v="682"/>
            <x v="683"/>
            <x v="691"/>
            <x v="695"/>
            <x v="697"/>
            <x v="709"/>
            <x v="712"/>
            <x v="715"/>
            <x v="716"/>
            <x v="718"/>
            <x v="721"/>
            <x v="730"/>
            <x v="737"/>
            <x v="743"/>
            <x v="745"/>
            <x v="747"/>
            <x v="749"/>
            <x v="756"/>
            <x v="759"/>
            <x v="774"/>
            <x v="782"/>
            <x v="797"/>
            <x v="808"/>
            <x v="809"/>
            <x v="810"/>
            <x v="839"/>
            <x v="845"/>
            <x v="848"/>
            <x v="850"/>
            <x v="873"/>
            <x v="881"/>
            <x v="884"/>
            <x v="913"/>
            <x v="945"/>
            <x v="948"/>
            <x v="949"/>
            <x v="971"/>
            <x v="972"/>
            <x v="978"/>
            <x v="982"/>
            <x v="997"/>
            <x v="1003"/>
            <x v="1011"/>
            <x v="1018"/>
            <x v="1020"/>
            <x v="1032"/>
            <x v="1035"/>
            <x v="1038"/>
            <x v="1040"/>
            <x v="1055"/>
            <x v="1056"/>
            <x v="1066"/>
            <x v="1069"/>
            <x v="1075"/>
            <x v="1077"/>
            <x v="1080"/>
            <x v="1088"/>
            <x v="1092"/>
            <x v="1099"/>
            <x v="1113"/>
            <x v="1129"/>
            <x v="1141"/>
            <x v="1144"/>
            <x v="1167"/>
            <x v="1168"/>
            <x v="1189"/>
            <x v="1196"/>
            <x v="1198"/>
            <x v="1204"/>
            <x v="1210"/>
            <x v="1222"/>
            <x v="1226"/>
            <x v="1242"/>
            <x v="1247"/>
            <x v="1261"/>
            <x v="1262"/>
            <x v="1285"/>
            <x v="1288"/>
            <x v="1291"/>
            <x v="1306"/>
            <x v="1318"/>
            <x v="1343"/>
            <x v="1353"/>
            <x v="1355"/>
            <x v="1383"/>
            <x v="1388"/>
            <x v="1391"/>
            <x v="1398"/>
            <x v="1415"/>
            <x v="1418"/>
            <x v="1423"/>
            <x v="1427"/>
            <x v="1431"/>
            <x v="1435"/>
            <x v="1449"/>
            <x v="1452"/>
            <x v="1482"/>
            <x v="1493"/>
            <x v="1501"/>
            <x v="1509"/>
            <x v="1511"/>
            <x v="1512"/>
            <x v="1514"/>
            <x v="1515"/>
            <x v="1534"/>
            <x v="1545"/>
            <x v="1564"/>
            <x v="1619"/>
            <x v="1626"/>
            <x v="1645"/>
            <x v="1647"/>
            <x v="1677"/>
            <x v="1678"/>
            <x v="1687"/>
            <x v="1699"/>
            <x v="1701"/>
            <x v="1704"/>
            <x v="1712"/>
            <x v="1715"/>
            <x v="1717"/>
            <x v="1718"/>
            <x v="1720"/>
            <x v="1725"/>
            <x v="1729"/>
            <x v="1738"/>
            <x v="1741"/>
            <x v="1746"/>
            <x v="1747"/>
            <x v="1748"/>
            <x v="1750"/>
            <x v="1753"/>
            <x v="1758"/>
            <x v="1761"/>
            <x v="1765"/>
            <x v="1767"/>
            <x v="1771"/>
            <x v="1783"/>
            <x v="1784"/>
            <x v="1785"/>
            <x v="1786"/>
            <x v="1789"/>
            <x v="1790"/>
            <x v="1799"/>
            <x v="1804"/>
            <x v="1811"/>
            <x v="1812"/>
            <x v="1827"/>
            <x v="1838"/>
            <x v="1840"/>
            <x v="1851"/>
            <x v="1853"/>
            <x v="1871"/>
            <x v="1875"/>
            <x v="1889"/>
            <x v="1890"/>
            <x v="1894"/>
            <x v="1895"/>
            <x v="1902"/>
            <x v="1903"/>
            <x v="1905"/>
            <x v="1906"/>
            <x v="1911"/>
            <x v="1916"/>
            <x v="1917"/>
            <x v="1918"/>
            <x v="1937"/>
            <x v="1946"/>
            <x v="1947"/>
            <x v="1949"/>
            <x v="1950"/>
            <x v="1951"/>
            <x v="1963"/>
            <x v="1964"/>
            <x v="1971"/>
            <x v="1983"/>
            <x v="1990"/>
            <x v="2010"/>
            <x v="2024"/>
            <x v="2040"/>
            <x v="2048"/>
            <x v="2049"/>
            <x v="2051"/>
            <x v="2066"/>
            <x v="2069"/>
            <x v="2072"/>
            <x v="2075"/>
            <x v="2081"/>
            <x v="2085"/>
            <x v="2089"/>
            <x v="2097"/>
            <x v="2101"/>
            <x v="2104"/>
            <x v="2105"/>
            <x v="2106"/>
            <x v="2112"/>
            <x v="2118"/>
            <x v="2120"/>
            <x v="2122"/>
            <x v="2127"/>
            <x v="2137"/>
            <x v="2144"/>
            <x v="2163"/>
            <x v="2171"/>
            <x v="2173"/>
            <x v="2174"/>
            <x v="2178"/>
            <x v="2181"/>
            <x v="2182"/>
            <x v="2183"/>
            <x v="2185"/>
            <x v="2193"/>
            <x v="2194"/>
            <x v="2196"/>
            <x v="2197"/>
            <x v="2201"/>
            <x v="2205"/>
            <x v="2210"/>
            <x v="2222"/>
            <x v="2227"/>
            <x v="2232"/>
            <x v="2234"/>
            <x v="2235"/>
            <x v="2236"/>
            <x v="2243"/>
            <x v="2251"/>
            <x v="2259"/>
            <x v="2261"/>
            <x v="2264"/>
            <x v="2266"/>
            <x v="2268"/>
            <x v="2269"/>
          </reference>
          <reference field="4" count="673" selected="0">
            <x v="2"/>
            <x v="4"/>
            <x v="7"/>
            <x v="9"/>
            <x v="11"/>
            <x v="12"/>
            <x v="17"/>
            <x v="18"/>
            <x v="22"/>
            <x v="23"/>
            <x v="26"/>
            <x v="31"/>
            <x v="35"/>
            <x v="40"/>
            <x v="43"/>
            <x v="49"/>
            <x v="53"/>
            <x v="55"/>
            <x v="59"/>
            <x v="67"/>
            <x v="70"/>
            <x v="71"/>
            <x v="78"/>
            <x v="79"/>
            <x v="92"/>
            <x v="99"/>
            <x v="101"/>
            <x v="102"/>
            <x v="106"/>
            <x v="118"/>
            <x v="119"/>
            <x v="121"/>
            <x v="126"/>
            <x v="133"/>
            <x v="135"/>
            <x v="138"/>
            <x v="145"/>
            <x v="151"/>
            <x v="154"/>
            <x v="156"/>
            <x v="162"/>
            <x v="164"/>
            <x v="168"/>
            <x v="169"/>
            <x v="173"/>
            <x v="175"/>
            <x v="185"/>
            <x v="186"/>
            <x v="187"/>
            <x v="192"/>
            <x v="196"/>
            <x v="200"/>
            <x v="202"/>
            <x v="206"/>
            <x v="207"/>
            <x v="213"/>
            <x v="218"/>
            <x v="220"/>
            <x v="222"/>
            <x v="229"/>
            <x v="231"/>
            <x v="232"/>
            <x v="233"/>
            <x v="239"/>
            <x v="243"/>
            <x v="250"/>
            <x v="251"/>
            <x v="254"/>
            <x v="255"/>
            <x v="256"/>
            <x v="257"/>
            <x v="259"/>
            <x v="263"/>
            <x v="268"/>
            <x v="271"/>
            <x v="277"/>
            <x v="282"/>
            <x v="283"/>
            <x v="287"/>
            <x v="290"/>
            <x v="297"/>
            <x v="303"/>
            <x v="304"/>
            <x v="305"/>
            <x v="310"/>
            <x v="324"/>
            <x v="326"/>
            <x v="333"/>
            <x v="344"/>
            <x v="345"/>
            <x v="349"/>
            <x v="350"/>
            <x v="353"/>
            <x v="355"/>
            <x v="356"/>
            <x v="357"/>
            <x v="358"/>
            <x v="359"/>
            <x v="360"/>
            <x v="364"/>
            <x v="371"/>
            <x v="374"/>
            <x v="376"/>
            <x v="386"/>
            <x v="397"/>
            <x v="419"/>
            <x v="421"/>
            <x v="432"/>
            <x v="444"/>
            <x v="449"/>
            <x v="453"/>
            <x v="455"/>
            <x v="458"/>
            <x v="463"/>
            <x v="467"/>
            <x v="468"/>
            <x v="469"/>
            <x v="475"/>
            <x v="480"/>
            <x v="489"/>
            <x v="492"/>
            <x v="493"/>
            <x v="495"/>
            <x v="499"/>
            <x v="503"/>
            <x v="506"/>
            <x v="507"/>
            <x v="508"/>
            <x v="514"/>
            <x v="517"/>
            <x v="525"/>
            <x v="526"/>
            <x v="533"/>
            <x v="534"/>
            <x v="538"/>
            <x v="544"/>
            <x v="545"/>
            <x v="546"/>
            <x v="563"/>
            <x v="564"/>
            <x v="565"/>
            <x v="566"/>
            <x v="569"/>
            <x v="589"/>
            <x v="590"/>
            <x v="591"/>
            <x v="594"/>
            <x v="595"/>
            <x v="597"/>
            <x v="601"/>
            <x v="605"/>
            <x v="606"/>
            <x v="608"/>
            <x v="610"/>
            <x v="612"/>
            <x v="613"/>
            <x v="616"/>
            <x v="617"/>
            <x v="619"/>
            <x v="621"/>
            <x v="622"/>
            <x v="624"/>
            <x v="631"/>
            <x v="634"/>
            <x v="636"/>
            <x v="641"/>
            <x v="642"/>
            <x v="645"/>
            <x v="649"/>
            <x v="653"/>
            <x v="662"/>
            <x v="667"/>
            <x v="668"/>
            <x v="671"/>
            <x v="672"/>
            <x v="675"/>
            <x v="676"/>
            <x v="685"/>
            <x v="686"/>
            <x v="693"/>
            <x v="698"/>
            <x v="701"/>
            <x v="710"/>
            <x v="714"/>
            <x v="721"/>
            <x v="725"/>
            <x v="727"/>
            <x v="728"/>
            <x v="730"/>
            <x v="734"/>
            <x v="761"/>
            <x v="762"/>
            <x v="765"/>
            <x v="766"/>
            <x v="768"/>
            <x v="770"/>
            <x v="776"/>
            <x v="777"/>
            <x v="779"/>
            <x v="780"/>
            <x v="781"/>
            <x v="786"/>
            <x v="792"/>
            <x v="797"/>
            <x v="798"/>
            <x v="800"/>
            <x v="802"/>
            <x v="803"/>
            <x v="804"/>
            <x v="807"/>
            <x v="814"/>
            <x v="816"/>
            <x v="818"/>
            <x v="819"/>
            <x v="820"/>
            <x v="821"/>
            <x v="827"/>
            <x v="829"/>
            <x v="832"/>
            <x v="837"/>
            <x v="838"/>
            <x v="847"/>
            <x v="848"/>
            <x v="856"/>
            <x v="863"/>
            <x v="865"/>
            <x v="871"/>
            <x v="876"/>
            <x v="880"/>
            <x v="892"/>
            <x v="896"/>
            <x v="897"/>
            <x v="898"/>
            <x v="900"/>
            <x v="902"/>
            <x v="906"/>
            <x v="914"/>
            <x v="916"/>
            <x v="923"/>
            <x v="929"/>
            <x v="931"/>
            <x v="938"/>
            <x v="939"/>
            <x v="943"/>
            <x v="947"/>
            <x v="948"/>
            <x v="951"/>
            <x v="953"/>
            <x v="954"/>
            <x v="957"/>
            <x v="958"/>
            <x v="971"/>
            <x v="972"/>
            <x v="976"/>
            <x v="977"/>
            <x v="979"/>
            <x v="982"/>
            <x v="983"/>
            <x v="995"/>
            <x v="998"/>
            <x v="999"/>
            <x v="1001"/>
            <x v="1006"/>
            <x v="1011"/>
            <x v="1023"/>
            <x v="1025"/>
            <x v="1030"/>
            <x v="1038"/>
            <x v="1040"/>
            <x v="1046"/>
            <x v="1047"/>
            <x v="1048"/>
            <x v="1053"/>
            <x v="1054"/>
            <x v="1059"/>
            <x v="1062"/>
            <x v="1065"/>
            <x v="1067"/>
            <x v="1068"/>
            <x v="1069"/>
            <x v="1070"/>
            <x v="1073"/>
            <x v="1077"/>
            <x v="1086"/>
            <x v="1087"/>
            <x v="1090"/>
            <x v="1092"/>
            <x v="1096"/>
            <x v="1097"/>
            <x v="1099"/>
            <x v="1105"/>
            <x v="1106"/>
            <x v="1107"/>
            <x v="1109"/>
            <x v="1112"/>
            <x v="1113"/>
            <x v="1114"/>
            <x v="1121"/>
            <x v="1125"/>
            <x v="1138"/>
            <x v="1141"/>
            <x v="1144"/>
            <x v="1147"/>
            <x v="1148"/>
            <x v="1155"/>
            <x v="1156"/>
            <x v="1167"/>
            <x v="1175"/>
            <x v="1177"/>
            <x v="1179"/>
            <x v="1185"/>
            <x v="1197"/>
            <x v="1201"/>
            <x v="1208"/>
            <x v="1210"/>
            <x v="1213"/>
            <x v="1217"/>
            <x v="1227"/>
            <x v="1230"/>
            <x v="1232"/>
            <x v="1234"/>
            <x v="1240"/>
            <x v="1241"/>
            <x v="1242"/>
            <x v="1248"/>
            <x v="1252"/>
            <x v="1261"/>
            <x v="1262"/>
            <x v="1266"/>
            <x v="1268"/>
            <x v="1270"/>
            <x v="1271"/>
            <x v="1282"/>
            <x v="1283"/>
            <x v="1290"/>
            <x v="1297"/>
            <x v="1314"/>
            <x v="1315"/>
            <x v="1316"/>
            <x v="1320"/>
            <x v="1331"/>
            <x v="1332"/>
            <x v="1346"/>
            <x v="1353"/>
            <x v="1356"/>
            <x v="1357"/>
            <x v="1359"/>
            <x v="1361"/>
            <x v="1363"/>
            <x v="1368"/>
            <x v="1371"/>
            <x v="1384"/>
            <x v="1388"/>
            <x v="1389"/>
            <x v="1390"/>
            <x v="1395"/>
            <x v="1399"/>
            <x v="1409"/>
            <x v="1411"/>
            <x v="1415"/>
            <x v="1419"/>
            <x v="1422"/>
            <x v="1426"/>
            <x v="1431"/>
            <x v="1434"/>
            <x v="1442"/>
            <x v="1451"/>
            <x v="1453"/>
            <x v="1458"/>
            <x v="1463"/>
            <x v="1465"/>
            <x v="1468"/>
            <x v="1470"/>
            <x v="1471"/>
            <x v="1472"/>
            <x v="1473"/>
            <x v="1475"/>
            <x v="1480"/>
            <x v="1484"/>
            <x v="1488"/>
            <x v="1490"/>
            <x v="1493"/>
            <x v="1495"/>
            <x v="1500"/>
            <x v="1509"/>
            <x v="1510"/>
            <x v="1515"/>
            <x v="1519"/>
            <x v="1525"/>
            <x v="1527"/>
            <x v="1530"/>
            <x v="1531"/>
            <x v="1541"/>
            <x v="1542"/>
            <x v="1543"/>
            <x v="1552"/>
            <x v="1554"/>
            <x v="1557"/>
            <x v="1559"/>
            <x v="1560"/>
            <x v="1562"/>
            <x v="1565"/>
            <x v="1566"/>
            <x v="1577"/>
            <x v="1578"/>
            <x v="1587"/>
            <x v="1588"/>
            <x v="1591"/>
            <x v="1594"/>
            <x v="1597"/>
            <x v="1605"/>
            <x v="1610"/>
            <x v="1612"/>
            <x v="1613"/>
            <x v="1614"/>
            <x v="1618"/>
            <x v="1620"/>
            <x v="1623"/>
            <x v="1624"/>
            <x v="1626"/>
            <x v="1627"/>
            <x v="1640"/>
            <x v="1642"/>
            <x v="1645"/>
            <x v="1653"/>
            <x v="1654"/>
            <x v="1655"/>
            <x v="1659"/>
            <x v="1670"/>
            <x v="1673"/>
            <x v="1674"/>
            <x v="1677"/>
            <x v="1679"/>
            <x v="1681"/>
            <x v="1686"/>
            <x v="1687"/>
            <x v="1688"/>
            <x v="1692"/>
            <x v="1693"/>
            <x v="1697"/>
            <x v="1704"/>
            <x v="1719"/>
            <x v="1720"/>
            <x v="1722"/>
            <x v="1728"/>
            <x v="1729"/>
            <x v="1737"/>
            <x v="1738"/>
            <x v="1743"/>
            <x v="1744"/>
            <x v="1745"/>
            <x v="1750"/>
            <x v="1756"/>
            <x v="1761"/>
            <x v="1762"/>
            <x v="1766"/>
            <x v="1767"/>
            <x v="1777"/>
            <x v="1780"/>
            <x v="1787"/>
            <x v="1796"/>
            <x v="1797"/>
            <x v="1798"/>
            <x v="1802"/>
            <x v="1805"/>
            <x v="1806"/>
            <x v="1808"/>
            <x v="1810"/>
            <x v="1811"/>
            <x v="1814"/>
            <x v="1817"/>
            <x v="1827"/>
            <x v="1831"/>
            <x v="1834"/>
            <x v="1838"/>
            <x v="1841"/>
            <x v="1844"/>
            <x v="1846"/>
            <x v="1848"/>
            <x v="1849"/>
            <x v="1850"/>
            <x v="1855"/>
            <x v="1874"/>
            <x v="1875"/>
            <x v="1877"/>
            <x v="1879"/>
            <x v="1881"/>
            <x v="1884"/>
            <x v="1893"/>
            <x v="1897"/>
            <x v="1898"/>
            <x v="1900"/>
            <x v="1904"/>
            <x v="1907"/>
            <x v="1912"/>
            <x v="1917"/>
            <x v="1930"/>
            <x v="1931"/>
            <x v="1938"/>
            <x v="1945"/>
            <x v="1949"/>
            <x v="1950"/>
            <x v="1951"/>
            <x v="1960"/>
            <x v="1961"/>
            <x v="1963"/>
            <x v="1964"/>
            <x v="1968"/>
            <x v="1969"/>
            <x v="1973"/>
            <x v="1985"/>
            <x v="1987"/>
            <x v="1988"/>
            <x v="1989"/>
            <x v="1994"/>
            <x v="1995"/>
            <x v="2000"/>
            <x v="2007"/>
            <x v="2010"/>
            <x v="2011"/>
            <x v="2019"/>
            <x v="2035"/>
            <x v="2039"/>
            <x v="2041"/>
            <x v="2044"/>
            <x v="2047"/>
            <x v="2054"/>
            <x v="2056"/>
            <x v="2057"/>
            <x v="2059"/>
            <x v="2075"/>
            <x v="2081"/>
            <x v="2093"/>
            <x v="2096"/>
            <x v="2098"/>
            <x v="2099"/>
            <x v="2107"/>
            <x v="2109"/>
            <x v="2110"/>
            <x v="2117"/>
            <x v="2118"/>
            <x v="2128"/>
            <x v="2129"/>
            <x v="2139"/>
            <x v="2140"/>
            <x v="2142"/>
            <x v="2148"/>
            <x v="2152"/>
            <x v="2153"/>
            <x v="2156"/>
            <x v="2157"/>
            <x v="2160"/>
            <x v="2163"/>
            <x v="2167"/>
            <x v="2169"/>
            <x v="2176"/>
            <x v="2178"/>
            <x v="2184"/>
            <x v="2187"/>
            <x v="2190"/>
            <x v="2194"/>
            <x v="2195"/>
            <x v="2196"/>
            <x v="2198"/>
            <x v="2199"/>
            <x v="2200"/>
            <x v="2201"/>
            <x v="2204"/>
            <x v="2215"/>
            <x v="2218"/>
            <x v="2220"/>
            <x v="2223"/>
            <x v="2224"/>
            <x v="2225"/>
            <x v="2228"/>
            <x v="2231"/>
            <x v="2233"/>
            <x v="2246"/>
            <x v="2250"/>
            <x v="2268"/>
            <x v="2281"/>
            <x v="2291"/>
            <x v="2292"/>
            <x v="2298"/>
            <x v="2299"/>
            <x v="2304"/>
            <x v="2307"/>
            <x v="2309"/>
            <x v="2311"/>
            <x v="2312"/>
            <x v="2313"/>
            <x v="2317"/>
            <x v="2319"/>
            <x v="2323"/>
            <x v="2329"/>
            <x v="2332"/>
            <x v="2334"/>
            <x v="2337"/>
            <x v="2340"/>
            <x v="2342"/>
            <x v="2345"/>
            <x v="2349"/>
            <x v="2350"/>
            <x v="2354"/>
            <x v="2356"/>
            <x v="2359"/>
            <x v="2360"/>
            <x v="2362"/>
            <x v="2367"/>
            <x v="2375"/>
            <x v="2379"/>
            <x v="2380"/>
            <x v="2385"/>
            <x v="2387"/>
            <x v="2388"/>
            <x v="2391"/>
            <x v="2394"/>
            <x v="2396"/>
            <x v="2397"/>
            <x v="2398"/>
            <x v="2400"/>
            <x v="2402"/>
            <x v="2404"/>
            <x v="2407"/>
            <x v="2408"/>
            <x v="2411"/>
            <x v="2416"/>
            <x v="2417"/>
            <x v="2425"/>
            <x v="2432"/>
            <x v="2433"/>
            <x v="2434"/>
            <x v="2436"/>
            <x v="2438"/>
            <x v="2442"/>
            <x v="2451"/>
            <x v="2452"/>
            <x v="2455"/>
            <x v="2458"/>
            <x v="2468"/>
            <x v="2471"/>
            <x v="2472"/>
            <x v="2474"/>
            <x v="2479"/>
            <x v="2481"/>
            <x v="2482"/>
            <x v="2483"/>
            <x v="2484"/>
            <x v="2485"/>
            <x v="2488"/>
            <x v="2492"/>
            <x v="2494"/>
            <x v="2496"/>
            <x v="2501"/>
            <x v="2509"/>
            <x v="2510"/>
            <x v="2511"/>
            <x v="2512"/>
            <x v="2513"/>
            <x v="2514"/>
            <x v="2517"/>
            <x v="2522"/>
            <x v="2523"/>
            <x v="2524"/>
            <x v="2528"/>
            <x v="2530"/>
            <x v="2532"/>
            <x v="2534"/>
            <x v="2537"/>
            <x v="2538"/>
            <x v="2539"/>
            <x v="2544"/>
            <x v="2552"/>
          </reference>
          <reference field="11" count="2" selected="0">
            <x v="11"/>
            <x v="12"/>
          </reference>
          <reference field="12" count="26" selected="0">
            <x v="0"/>
            <x v="1"/>
            <x v="2"/>
            <x v="3"/>
            <x v="5"/>
            <x v="7"/>
            <x v="9"/>
            <x v="10"/>
            <x v="11"/>
            <x v="12"/>
            <x v="13"/>
            <x v="14"/>
            <x v="15"/>
            <x v="16"/>
            <x v="17"/>
            <x v="19"/>
            <x v="20"/>
            <x v="22"/>
            <x v="23"/>
            <x v="24"/>
            <x v="25"/>
            <x v="26"/>
            <x v="27"/>
            <x v="29"/>
            <x v="30"/>
            <x v="31"/>
          </reference>
          <reference field="14" count="498" selected="0">
            <x v="3"/>
            <x v="4"/>
            <x v="5"/>
            <x v="7"/>
            <x v="8"/>
            <x v="9"/>
            <x v="14"/>
            <x v="16"/>
            <x v="19"/>
            <x v="20"/>
            <x v="21"/>
            <x v="27"/>
            <x v="28"/>
            <x v="29"/>
            <x v="43"/>
            <x v="45"/>
            <x v="48"/>
            <x v="50"/>
            <x v="52"/>
            <x v="57"/>
            <x v="59"/>
            <x v="65"/>
            <x v="68"/>
            <x v="69"/>
            <x v="72"/>
            <x v="75"/>
            <x v="77"/>
            <x v="79"/>
            <x v="82"/>
            <x v="87"/>
            <x v="88"/>
            <x v="95"/>
            <x v="97"/>
            <x v="99"/>
            <x v="100"/>
            <x v="103"/>
            <x v="106"/>
            <x v="107"/>
            <x v="116"/>
            <x v="119"/>
            <x v="125"/>
            <x v="129"/>
            <x v="133"/>
            <x v="135"/>
            <x v="136"/>
            <x v="137"/>
            <x v="144"/>
            <x v="150"/>
            <x v="152"/>
            <x v="153"/>
            <x v="154"/>
            <x v="157"/>
            <x v="161"/>
            <x v="162"/>
            <x v="165"/>
            <x v="168"/>
            <x v="170"/>
            <x v="173"/>
            <x v="179"/>
            <x v="180"/>
            <x v="185"/>
            <x v="188"/>
            <x v="189"/>
            <x v="196"/>
            <x v="197"/>
            <x v="204"/>
            <x v="212"/>
            <x v="217"/>
            <x v="219"/>
            <x v="221"/>
            <x v="223"/>
            <x v="225"/>
            <x v="229"/>
            <x v="232"/>
            <x v="237"/>
            <x v="240"/>
            <x v="241"/>
            <x v="245"/>
            <x v="247"/>
            <x v="248"/>
            <x v="251"/>
            <x v="252"/>
            <x v="254"/>
            <x v="255"/>
            <x v="260"/>
            <x v="263"/>
            <x v="275"/>
            <x v="276"/>
            <x v="277"/>
            <x v="279"/>
            <x v="281"/>
            <x v="282"/>
            <x v="284"/>
            <x v="287"/>
            <x v="288"/>
            <x v="289"/>
            <x v="290"/>
            <x v="291"/>
            <x v="292"/>
            <x v="293"/>
            <x v="294"/>
            <x v="302"/>
            <x v="303"/>
            <x v="308"/>
            <x v="309"/>
            <x v="311"/>
            <x v="317"/>
            <x v="321"/>
            <x v="323"/>
            <x v="324"/>
            <x v="325"/>
            <x v="327"/>
            <x v="330"/>
            <x v="338"/>
            <x v="339"/>
            <x v="343"/>
            <x v="345"/>
            <x v="346"/>
            <x v="348"/>
            <x v="350"/>
            <x v="352"/>
            <x v="355"/>
            <x v="356"/>
            <x v="357"/>
            <x v="359"/>
            <x v="360"/>
            <x v="363"/>
            <x v="364"/>
            <x v="365"/>
            <x v="366"/>
            <x v="367"/>
            <x v="369"/>
            <x v="370"/>
            <x v="373"/>
            <x v="378"/>
            <x v="379"/>
            <x v="383"/>
            <x v="384"/>
            <x v="389"/>
            <x v="390"/>
            <x v="394"/>
            <x v="398"/>
            <x v="402"/>
            <x v="406"/>
            <x v="408"/>
            <x v="410"/>
            <x v="411"/>
            <x v="412"/>
            <x v="416"/>
            <x v="417"/>
            <x v="420"/>
            <x v="423"/>
            <x v="425"/>
            <x v="428"/>
            <x v="429"/>
            <x v="434"/>
            <x v="438"/>
            <x v="442"/>
            <x v="445"/>
            <x v="449"/>
            <x v="450"/>
            <x v="454"/>
            <x v="457"/>
            <x v="463"/>
            <x v="466"/>
            <x v="468"/>
            <x v="472"/>
            <x v="474"/>
            <x v="478"/>
            <x v="480"/>
            <x v="486"/>
            <x v="495"/>
            <x v="498"/>
            <x v="500"/>
            <x v="501"/>
            <x v="502"/>
            <x v="505"/>
            <x v="510"/>
            <x v="514"/>
            <x v="515"/>
            <x v="518"/>
            <x v="525"/>
            <x v="526"/>
            <x v="529"/>
            <x v="530"/>
            <x v="531"/>
            <x v="534"/>
            <x v="535"/>
            <x v="536"/>
            <x v="537"/>
            <x v="538"/>
            <x v="546"/>
            <x v="547"/>
            <x v="552"/>
            <x v="554"/>
            <x v="555"/>
            <x v="556"/>
            <x v="559"/>
            <x v="563"/>
            <x v="564"/>
            <x v="565"/>
            <x v="567"/>
            <x v="570"/>
            <x v="574"/>
            <x v="576"/>
            <x v="577"/>
            <x v="578"/>
            <x v="579"/>
            <x v="580"/>
            <x v="585"/>
            <x v="587"/>
            <x v="591"/>
            <x v="595"/>
            <x v="596"/>
            <x v="599"/>
            <x v="605"/>
            <x v="606"/>
            <x v="610"/>
            <x v="614"/>
            <x v="616"/>
            <x v="618"/>
            <x v="619"/>
            <x v="621"/>
            <x v="623"/>
            <x v="624"/>
            <x v="626"/>
            <x v="627"/>
            <x v="629"/>
            <x v="630"/>
            <x v="631"/>
            <x v="632"/>
            <x v="634"/>
            <x v="635"/>
            <x v="638"/>
            <x v="640"/>
            <x v="641"/>
            <x v="642"/>
            <x v="643"/>
            <x v="644"/>
            <x v="656"/>
            <x v="658"/>
            <x v="666"/>
            <x v="668"/>
            <x v="670"/>
            <x v="671"/>
            <x v="672"/>
            <x v="673"/>
            <x v="676"/>
            <x v="677"/>
            <x v="678"/>
            <x v="679"/>
            <x v="681"/>
            <x v="682"/>
            <x v="684"/>
            <x v="689"/>
            <x v="690"/>
            <x v="692"/>
            <x v="696"/>
            <x v="697"/>
            <x v="698"/>
            <x v="699"/>
            <x v="700"/>
            <x v="702"/>
            <x v="705"/>
            <x v="709"/>
            <x v="711"/>
            <x v="714"/>
            <x v="716"/>
            <x v="718"/>
            <x v="721"/>
            <x v="722"/>
            <x v="723"/>
            <x v="725"/>
            <x v="730"/>
            <x v="731"/>
            <x v="734"/>
            <x v="737"/>
            <x v="739"/>
            <x v="741"/>
            <x v="742"/>
            <x v="743"/>
            <x v="744"/>
            <x v="745"/>
            <x v="746"/>
            <x v="747"/>
            <x v="748"/>
            <x v="750"/>
            <x v="751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6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6"/>
            <x v="787"/>
            <x v="788"/>
            <x v="789"/>
            <x v="790"/>
            <x v="791"/>
            <x v="792"/>
            <x v="794"/>
            <x v="795"/>
            <x v="796"/>
            <x v="797"/>
            <x v="798"/>
            <x v="799"/>
            <x v="800"/>
            <x v="801"/>
            <x v="802"/>
            <x v="803"/>
            <x v="804"/>
            <x v="806"/>
            <x v="807"/>
            <x v="808"/>
            <x v="809"/>
            <x v="810"/>
            <x v="811"/>
            <x v="812"/>
            <x v="813"/>
            <x v="814"/>
            <x v="815"/>
            <x v="817"/>
            <x v="818"/>
            <x v="819"/>
            <x v="821"/>
            <x v="822"/>
            <x v="823"/>
            <x v="824"/>
            <x v="826"/>
            <x v="827"/>
            <x v="828"/>
            <x v="829"/>
            <x v="830"/>
            <x v="831"/>
            <x v="832"/>
            <x v="834"/>
            <x v="835"/>
            <x v="837"/>
            <x v="838"/>
            <x v="839"/>
            <x v="840"/>
            <x v="841"/>
            <x v="842"/>
            <x v="843"/>
            <x v="844"/>
            <x v="845"/>
            <x v="846"/>
            <x v="848"/>
            <x v="849"/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4"/>
            <x v="866"/>
            <x v="867"/>
            <x v="869"/>
            <x v="870"/>
            <x v="871"/>
            <x v="872"/>
            <x v="873"/>
            <x v="874"/>
            <x v="875"/>
            <x v="876"/>
            <x v="877"/>
            <x v="878"/>
            <x v="880"/>
            <x v="881"/>
            <x v="882"/>
            <x v="883"/>
            <x v="886"/>
            <x v="887"/>
            <x v="888"/>
            <x v="890"/>
            <x v="893"/>
            <x v="894"/>
            <x v="895"/>
            <x v="896"/>
            <x v="898"/>
            <x v="899"/>
            <x v="900"/>
            <x v="901"/>
            <x v="902"/>
            <x v="903"/>
            <x v="904"/>
            <x v="905"/>
            <x v="906"/>
            <x v="907"/>
            <x v="908"/>
            <x v="909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6"/>
            <x v="977"/>
            <x v="978"/>
            <x v="979"/>
            <x v="981"/>
            <x v="982"/>
            <x v="984"/>
            <x v="985"/>
            <x v="986"/>
            <x v="987"/>
            <x v="988"/>
            <x v="989"/>
            <x v="992"/>
          </reference>
          <reference field="19" count="0" selected="0"/>
          <reference field="21" count="51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9"/>
            <x v="52"/>
            <x v="53"/>
          </reference>
          <reference field="22" count="7" selected="0">
            <x v="0"/>
            <x v="1"/>
            <x v="2"/>
            <x v="3"/>
            <x v="4"/>
            <x v="5"/>
            <x v="6"/>
          </reference>
          <reference field="24" count="0" selected="0"/>
        </references>
      </pivotArea>
    </format>
    <format dxfId="3479">
      <pivotArea field="3" type="button" dataOnly="0" labelOnly="1" outline="0" axis="axisRow" fieldPosition="0"/>
    </format>
    <format dxfId="3478">
      <pivotArea field="4" type="button" dataOnly="0" labelOnly="1" outline="0" axis="axisRow" fieldPosition="1"/>
    </format>
    <format dxfId="3477">
      <pivotArea field="11" type="button" dataOnly="0" labelOnly="1" outline="0" axis="axisRow" fieldPosition="2"/>
    </format>
    <format dxfId="3476">
      <pivotArea field="14" type="button" dataOnly="0" labelOnly="1" outline="0" axis="axisRow" fieldPosition="3"/>
    </format>
    <format dxfId="3475">
      <pivotArea field="21" type="button" dataOnly="0" labelOnly="1" outline="0" axis="axisRow" fieldPosition="4"/>
    </format>
    <format dxfId="3474">
      <pivotArea field="22" type="button" dataOnly="0" labelOnly="1" outline="0" axis="axisRow" fieldPosition="5"/>
    </format>
    <format dxfId="3473">
      <pivotArea field="12" type="button" dataOnly="0" labelOnly="1" outline="0" axis="axisRow" fieldPosition="6"/>
    </format>
    <format dxfId="3472">
      <pivotArea field="19" type="button" dataOnly="0" labelOnly="1" outline="0" axis="axisRow" fieldPosition="7"/>
    </format>
    <format dxfId="3471">
      <pivotArea field="24" type="button" dataOnly="0" labelOnly="1" outline="0" axis="axisRow" fieldPosition="8"/>
    </format>
    <format dxfId="3470">
      <pivotArea dataOnly="0" labelOnly="1" outline="0" fieldPosition="0">
        <references count="1">
          <reference field="3" count="50">
            <x v="56"/>
            <x v="81"/>
            <x v="104"/>
            <x v="112"/>
            <x v="122"/>
            <x v="136"/>
            <x v="138"/>
            <x v="143"/>
            <x v="149"/>
            <x v="152"/>
            <x v="153"/>
            <x v="155"/>
            <x v="174"/>
            <x v="184"/>
            <x v="189"/>
            <x v="190"/>
            <x v="199"/>
            <x v="203"/>
            <x v="204"/>
            <x v="206"/>
            <x v="215"/>
            <x v="234"/>
            <x v="251"/>
            <x v="253"/>
            <x v="255"/>
            <x v="259"/>
            <x v="261"/>
            <x v="266"/>
            <x v="269"/>
            <x v="276"/>
            <x v="277"/>
            <x v="281"/>
            <x v="292"/>
            <x v="321"/>
            <x v="340"/>
            <x v="356"/>
            <x v="360"/>
            <x v="365"/>
            <x v="375"/>
            <x v="379"/>
            <x v="388"/>
            <x v="396"/>
            <x v="398"/>
            <x v="445"/>
            <x v="458"/>
            <x v="460"/>
            <x v="465"/>
            <x v="477"/>
            <x v="480"/>
            <x v="481"/>
          </reference>
        </references>
      </pivotArea>
    </format>
    <format dxfId="3469">
      <pivotArea dataOnly="0" labelOnly="1" outline="0" fieldPosition="0">
        <references count="1">
          <reference field="3" count="50">
            <x v="492"/>
            <x v="498"/>
            <x v="503"/>
            <x v="512"/>
            <x v="532"/>
            <x v="535"/>
            <x v="539"/>
            <x v="541"/>
            <x v="558"/>
            <x v="582"/>
            <x v="585"/>
            <x v="587"/>
            <x v="597"/>
            <x v="599"/>
            <x v="622"/>
            <x v="624"/>
            <x v="625"/>
            <x v="632"/>
            <x v="638"/>
            <x v="640"/>
            <x v="651"/>
            <x v="656"/>
            <x v="675"/>
            <x v="682"/>
            <x v="683"/>
            <x v="691"/>
            <x v="695"/>
            <x v="697"/>
            <x v="709"/>
            <x v="712"/>
            <x v="715"/>
            <x v="716"/>
            <x v="718"/>
            <x v="721"/>
            <x v="730"/>
            <x v="737"/>
            <x v="743"/>
            <x v="745"/>
            <x v="747"/>
            <x v="749"/>
            <x v="756"/>
            <x v="759"/>
            <x v="774"/>
            <x v="782"/>
            <x v="797"/>
            <x v="808"/>
            <x v="809"/>
            <x v="810"/>
            <x v="839"/>
            <x v="845"/>
          </reference>
        </references>
      </pivotArea>
    </format>
    <format dxfId="3468">
      <pivotArea dataOnly="0" labelOnly="1" outline="0" fieldPosition="0">
        <references count="1">
          <reference field="3" count="50">
            <x v="848"/>
            <x v="850"/>
            <x v="873"/>
            <x v="881"/>
            <x v="884"/>
            <x v="913"/>
            <x v="945"/>
            <x v="948"/>
            <x v="949"/>
            <x v="971"/>
            <x v="972"/>
            <x v="978"/>
            <x v="982"/>
            <x v="997"/>
            <x v="1003"/>
            <x v="1011"/>
            <x v="1018"/>
            <x v="1020"/>
            <x v="1032"/>
            <x v="1035"/>
            <x v="1038"/>
            <x v="1040"/>
            <x v="1055"/>
            <x v="1056"/>
            <x v="1066"/>
            <x v="1069"/>
            <x v="1075"/>
            <x v="1077"/>
            <x v="1080"/>
            <x v="1088"/>
            <x v="1092"/>
            <x v="1099"/>
            <x v="1113"/>
            <x v="1129"/>
            <x v="1141"/>
            <x v="1144"/>
            <x v="1167"/>
            <x v="1168"/>
            <x v="1189"/>
            <x v="1196"/>
            <x v="1198"/>
            <x v="1204"/>
            <x v="1210"/>
            <x v="1222"/>
            <x v="1226"/>
            <x v="1242"/>
            <x v="1247"/>
            <x v="1261"/>
            <x v="1262"/>
            <x v="1285"/>
          </reference>
        </references>
      </pivotArea>
    </format>
    <format dxfId="3467">
      <pivotArea dataOnly="0" labelOnly="1" outline="0" fieldPosition="0">
        <references count="1">
          <reference field="3" count="48">
            <x v="1288"/>
            <x v="1291"/>
            <x v="1306"/>
            <x v="1318"/>
            <x v="1343"/>
            <x v="1353"/>
            <x v="1355"/>
            <x v="1383"/>
            <x v="1388"/>
            <x v="1391"/>
            <x v="1398"/>
            <x v="1415"/>
            <x v="1418"/>
            <x v="1423"/>
            <x v="1427"/>
            <x v="1431"/>
            <x v="1435"/>
            <x v="1449"/>
            <x v="1452"/>
            <x v="1482"/>
            <x v="1493"/>
            <x v="1501"/>
            <x v="1509"/>
            <x v="1511"/>
            <x v="1512"/>
            <x v="1514"/>
            <x v="1515"/>
            <x v="1534"/>
            <x v="1545"/>
            <x v="1564"/>
            <x v="1619"/>
            <x v="1626"/>
            <x v="1645"/>
            <x v="1647"/>
            <x v="1677"/>
            <x v="1678"/>
            <x v="1687"/>
            <x v="1699"/>
            <x v="1701"/>
            <x v="1704"/>
            <x v="1712"/>
            <x v="1715"/>
            <x v="1717"/>
            <x v="1718"/>
            <x v="1720"/>
            <x v="1725"/>
            <x v="1729"/>
            <x v="1738"/>
          </reference>
        </references>
      </pivotArea>
    </format>
    <format dxfId="3466">
      <pivotArea dataOnly="0" labelOnly="1" outline="0" fieldPosition="0">
        <references count="1">
          <reference field="3" count="1">
            <x v="1741"/>
          </reference>
        </references>
      </pivotArea>
    </format>
    <format dxfId="3465">
      <pivotArea dataOnly="0" labelOnly="1" outline="0" fieldPosition="0">
        <references count="1">
          <reference field="3" count="1">
            <x v="1746"/>
          </reference>
        </references>
      </pivotArea>
    </format>
    <format dxfId="3464">
      <pivotArea dataOnly="0" labelOnly="1" outline="0" fieldPosition="0">
        <references count="1">
          <reference field="3" count="3">
            <x v="1747"/>
            <x v="1748"/>
            <x v="1750"/>
          </reference>
        </references>
      </pivotArea>
    </format>
    <format dxfId="3463">
      <pivotArea dataOnly="0" labelOnly="1" outline="0" fieldPosition="0">
        <references count="1">
          <reference field="3" count="1">
            <x v="1753"/>
          </reference>
        </references>
      </pivotArea>
    </format>
    <format dxfId="3462">
      <pivotArea dataOnly="0" labelOnly="1" outline="0" fieldPosition="0">
        <references count="1">
          <reference field="3" count="1">
            <x v="1758"/>
          </reference>
        </references>
      </pivotArea>
    </format>
    <format dxfId="3461">
      <pivotArea dataOnly="0" labelOnly="1" outline="0" fieldPosition="0">
        <references count="1">
          <reference field="3" count="1">
            <x v="1761"/>
          </reference>
        </references>
      </pivotArea>
    </format>
    <format dxfId="3460">
      <pivotArea dataOnly="0" labelOnly="1" outline="0" fieldPosition="0">
        <references count="1">
          <reference field="3" count="3">
            <x v="1765"/>
            <x v="1767"/>
            <x v="1771"/>
          </reference>
        </references>
      </pivotArea>
    </format>
    <format dxfId="3459">
      <pivotArea dataOnly="0" labelOnly="1" outline="0" fieldPosition="0">
        <references count="1">
          <reference field="3" count="6">
            <x v="1783"/>
            <x v="1784"/>
            <x v="1785"/>
            <x v="1786"/>
            <x v="1789"/>
            <x v="1790"/>
          </reference>
        </references>
      </pivotArea>
    </format>
    <format dxfId="3458">
      <pivotArea dataOnly="0" labelOnly="1" outline="0" fieldPosition="0">
        <references count="1">
          <reference field="3" count="11">
            <x v="1799"/>
            <x v="1804"/>
            <x v="1811"/>
            <x v="1812"/>
            <x v="1827"/>
            <x v="1838"/>
            <x v="1840"/>
            <x v="1851"/>
            <x v="1853"/>
            <x v="1871"/>
            <x v="1875"/>
          </reference>
        </references>
      </pivotArea>
    </format>
    <format dxfId="3457">
      <pivotArea dataOnly="0" labelOnly="1" outline="0" fieldPosition="0">
        <references count="1">
          <reference field="3" count="12">
            <x v="1889"/>
            <x v="1890"/>
            <x v="1894"/>
            <x v="1895"/>
            <x v="1902"/>
            <x v="1903"/>
            <x v="1905"/>
            <x v="1906"/>
            <x v="1911"/>
            <x v="1916"/>
            <x v="1917"/>
            <x v="1918"/>
          </reference>
        </references>
      </pivotArea>
    </format>
    <format dxfId="3456">
      <pivotArea dataOnly="0" labelOnly="1" outline="0" fieldPosition="0">
        <references count="1">
          <reference field="3" count="9">
            <x v="1937"/>
            <x v="1946"/>
            <x v="1947"/>
            <x v="1949"/>
            <x v="1950"/>
            <x v="1951"/>
            <x v="1963"/>
            <x v="1964"/>
            <x v="1971"/>
          </reference>
        </references>
      </pivotArea>
    </format>
    <format dxfId="3455">
      <pivotArea dataOnly="0" labelOnly="1" outline="0" fieldPosition="0">
        <references count="1">
          <reference field="3" count="12">
            <x v="1983"/>
            <x v="1990"/>
            <x v="2010"/>
            <x v="2024"/>
            <x v="2040"/>
            <x v="2048"/>
            <x v="2049"/>
            <x v="2051"/>
            <x v="2066"/>
            <x v="2069"/>
            <x v="2072"/>
            <x v="2075"/>
          </reference>
        </references>
      </pivotArea>
    </format>
    <format dxfId="3454">
      <pivotArea dataOnly="0" labelOnly="1" outline="0" fieldPosition="0">
        <references count="1">
          <reference field="3" count="5">
            <x v="2081"/>
            <x v="2085"/>
            <x v="2089"/>
            <x v="2097"/>
            <x v="2101"/>
          </reference>
        </references>
      </pivotArea>
    </format>
    <format dxfId="3453">
      <pivotArea dataOnly="0" labelOnly="1" outline="0" fieldPosition="0">
        <references count="1">
          <reference field="3" count="3">
            <x v="2104"/>
            <x v="2105"/>
            <x v="2106"/>
          </reference>
        </references>
      </pivotArea>
    </format>
    <format dxfId="3452">
      <pivotArea dataOnly="0" labelOnly="1" outline="0" fieldPosition="0">
        <references count="1">
          <reference field="3" count="18">
            <x v="2112"/>
            <x v="2118"/>
            <x v="2120"/>
            <x v="2122"/>
            <x v="2127"/>
            <x v="2137"/>
            <x v="2144"/>
            <x v="2163"/>
            <x v="2171"/>
            <x v="2173"/>
            <x v="2174"/>
            <x v="2178"/>
            <x v="2181"/>
            <x v="2182"/>
            <x v="2183"/>
            <x v="2185"/>
            <x v="2193"/>
            <x v="2194"/>
          </reference>
        </references>
      </pivotArea>
    </format>
    <format dxfId="3451">
      <pivotArea dataOnly="0" labelOnly="1" outline="0" fieldPosition="0">
        <references count="1">
          <reference field="3" count="6">
            <x v="2196"/>
            <x v="2197"/>
            <x v="2201"/>
            <x v="2205"/>
            <x v="2210"/>
            <x v="2222"/>
          </reference>
        </references>
      </pivotArea>
    </format>
    <format dxfId="3450">
      <pivotArea dataOnly="0" labelOnly="1" outline="0" fieldPosition="0">
        <references count="1">
          <reference field="3" count="13">
            <x v="2227"/>
            <x v="2232"/>
            <x v="2234"/>
            <x v="2235"/>
            <x v="2236"/>
            <x v="2243"/>
            <x v="2251"/>
            <x v="2259"/>
            <x v="2261"/>
            <x v="2264"/>
            <x v="2266"/>
            <x v="2268"/>
            <x v="2269"/>
          </reference>
        </references>
      </pivotArea>
    </format>
    <format dxfId="3449">
      <pivotArea dataOnly="0" labelOnly="1" outline="0" fieldPosition="0">
        <references count="2">
          <reference field="3" count="1" selected="0">
            <x v="56"/>
          </reference>
          <reference field="4" count="1">
            <x v="135"/>
          </reference>
        </references>
      </pivotArea>
    </format>
    <format dxfId="3448">
      <pivotArea dataOnly="0" labelOnly="1" outline="0" fieldPosition="0">
        <references count="2">
          <reference field="3" count="1" selected="0">
            <x v="81"/>
          </reference>
          <reference field="4" count="1">
            <x v="1470"/>
          </reference>
        </references>
      </pivotArea>
    </format>
    <format dxfId="3447">
      <pivotArea dataOnly="0" labelOnly="1" outline="0" fieldPosition="0">
        <references count="2">
          <reference field="3" count="1" selected="0">
            <x v="112"/>
          </reference>
          <reference field="4" count="1">
            <x v="397"/>
          </reference>
        </references>
      </pivotArea>
    </format>
    <format dxfId="3446">
      <pivotArea dataOnly="0" labelOnly="1" outline="0" fieldPosition="0">
        <references count="2">
          <reference field="3" count="1" selected="0">
            <x v="122"/>
          </reference>
          <reference field="4" count="1">
            <x v="1001"/>
          </reference>
        </references>
      </pivotArea>
    </format>
    <format dxfId="3445">
      <pivotArea dataOnly="0" labelOnly="1" outline="0" fieldPosition="0">
        <references count="2">
          <reference field="3" count="1" selected="0">
            <x v="152"/>
          </reference>
          <reference field="4" count="1">
            <x v="832"/>
          </reference>
        </references>
      </pivotArea>
    </format>
    <format dxfId="3444">
      <pivotArea dataOnly="0" labelOnly="1" outline="0" fieldPosition="0">
        <references count="2">
          <reference field="3" count="1" selected="0">
            <x v="153"/>
          </reference>
          <reference field="4" count="1">
            <x v="792"/>
          </reference>
        </references>
      </pivotArea>
    </format>
    <format dxfId="3443">
      <pivotArea dataOnly="0" labelOnly="1" outline="0" fieldPosition="0">
        <references count="2">
          <reference field="3" count="1" selected="0">
            <x v="174"/>
          </reference>
          <reference field="4" count="1">
            <x v="1363"/>
          </reference>
        </references>
      </pivotArea>
    </format>
    <format dxfId="3442">
      <pivotArea dataOnly="0" labelOnly="1" outline="0" fieldPosition="0">
        <references count="2">
          <reference field="3" count="1" selected="0">
            <x v="189"/>
          </reference>
          <reference field="4" count="1">
            <x v="1480"/>
          </reference>
        </references>
      </pivotArea>
    </format>
    <format dxfId="3441">
      <pivotArea dataOnly="0" labelOnly="1" outline="0" fieldPosition="0">
        <references count="2">
          <reference field="3" count="1" selected="0">
            <x v="190"/>
          </reference>
          <reference field="4" count="1">
            <x v="672"/>
          </reference>
        </references>
      </pivotArea>
    </format>
    <format dxfId="3440">
      <pivotArea dataOnly="0" labelOnly="1" outline="0" fieldPosition="0">
        <references count="2">
          <reference field="3" count="1" selected="0">
            <x v="199"/>
          </reference>
          <reference field="4" count="1">
            <x v="766"/>
          </reference>
        </references>
      </pivotArea>
    </format>
    <format dxfId="3439">
      <pivotArea dataOnly="0" labelOnly="1" outline="0" fieldPosition="0">
        <references count="2">
          <reference field="3" count="1" selected="0">
            <x v="204"/>
          </reference>
          <reference field="4" count="1">
            <x v="106"/>
          </reference>
        </references>
      </pivotArea>
    </format>
    <format dxfId="3438">
      <pivotArea dataOnly="0" labelOnly="1" outline="0" fieldPosition="0">
        <references count="2">
          <reference field="3" count="1" selected="0">
            <x v="206"/>
          </reference>
          <reference field="4" count="1">
            <x v="1232"/>
          </reference>
        </references>
      </pivotArea>
    </format>
    <format dxfId="3437">
      <pivotArea dataOnly="0" labelOnly="1" outline="0" fieldPosition="0">
        <references count="2">
          <reference field="3" count="1" selected="0">
            <x v="234"/>
          </reference>
          <reference field="4" count="1">
            <x v="1777"/>
          </reference>
        </references>
      </pivotArea>
    </format>
    <format dxfId="3436">
      <pivotArea dataOnly="0" labelOnly="1" outline="0" fieldPosition="0">
        <references count="2">
          <reference field="3" count="1" selected="0">
            <x v="251"/>
          </reference>
          <reference field="4" count="1">
            <x v="770"/>
          </reference>
        </references>
      </pivotArea>
    </format>
    <format dxfId="3435">
      <pivotArea dataOnly="0" labelOnly="1" outline="0" fieldPosition="0">
        <references count="2">
          <reference field="3" count="1" selected="0">
            <x v="253"/>
          </reference>
          <reference field="4" count="1">
            <x v="1240"/>
          </reference>
        </references>
      </pivotArea>
    </format>
    <format dxfId="3434">
      <pivotArea dataOnly="0" labelOnly="1" outline="0" fieldPosition="0">
        <references count="2">
          <reference field="3" count="1" selected="0">
            <x v="259"/>
          </reference>
          <reference field="4" count="1">
            <x v="948"/>
          </reference>
        </references>
      </pivotArea>
    </format>
    <format dxfId="3433">
      <pivotArea dataOnly="0" labelOnly="1" outline="0" fieldPosition="0">
        <references count="2">
          <reference field="3" count="1" selected="0">
            <x v="269"/>
          </reference>
          <reference field="4" count="1">
            <x v="1384"/>
          </reference>
        </references>
      </pivotArea>
    </format>
    <format dxfId="3432">
      <pivotArea dataOnly="0" labelOnly="1" outline="0" fieldPosition="0">
        <references count="2">
          <reference field="3" count="1" selected="0">
            <x v="276"/>
          </reference>
          <reference field="4" count="1">
            <x v="1531"/>
          </reference>
        </references>
      </pivotArea>
    </format>
    <format dxfId="3431">
      <pivotArea dataOnly="0" labelOnly="1" outline="0" fieldPosition="0">
        <references count="2">
          <reference field="3" count="1" selected="0">
            <x v="292"/>
          </reference>
          <reference field="4" count="1">
            <x v="506"/>
          </reference>
        </references>
      </pivotArea>
    </format>
    <format dxfId="3430">
      <pivotArea dataOnly="0" labelOnly="1" outline="0" fieldPosition="0">
        <references count="2">
          <reference field="3" count="1" selected="0">
            <x v="356"/>
          </reference>
          <reference field="4" count="1">
            <x v="848"/>
          </reference>
        </references>
      </pivotArea>
    </format>
    <format dxfId="3429">
      <pivotArea dataOnly="0" labelOnly="1" outline="0" fieldPosition="0">
        <references count="2">
          <reference field="3" count="1" selected="0">
            <x v="360"/>
          </reference>
          <reference field="4" count="1">
            <x v="1488"/>
          </reference>
        </references>
      </pivotArea>
    </format>
    <format dxfId="3428">
      <pivotArea dataOnly="0" labelOnly="1" outline="0" fieldPosition="0">
        <references count="2">
          <reference field="3" count="1" selected="0">
            <x v="375"/>
          </reference>
          <reference field="4" count="1">
            <x v="1105"/>
          </reference>
        </references>
      </pivotArea>
    </format>
    <format dxfId="3427">
      <pivotArea dataOnly="0" labelOnly="1" outline="0" fieldPosition="0">
        <references count="2">
          <reference field="3" count="1" selected="0">
            <x v="379"/>
          </reference>
          <reference field="4" count="1">
            <x v="730"/>
          </reference>
        </references>
      </pivotArea>
    </format>
    <format dxfId="3426">
      <pivotArea dataOnly="0" labelOnly="1" outline="0" fieldPosition="0">
        <references count="2">
          <reference field="3" count="1" selected="0">
            <x v="388"/>
          </reference>
          <reference field="4" count="1">
            <x v="256"/>
          </reference>
        </references>
      </pivotArea>
    </format>
    <format dxfId="3425">
      <pivotArea dataOnly="0" labelOnly="1" outline="0" fieldPosition="0">
        <references count="2">
          <reference field="3" count="1" selected="0">
            <x v="398"/>
          </reference>
          <reference field="4" count="1">
            <x v="645"/>
          </reference>
        </references>
      </pivotArea>
    </format>
    <format dxfId="3424">
      <pivotArea dataOnly="0" labelOnly="1" outline="0" fieldPosition="0">
        <references count="2">
          <reference field="3" count="1" selected="0">
            <x v="458"/>
          </reference>
          <reference field="4" count="1">
            <x v="816"/>
          </reference>
        </references>
      </pivotArea>
    </format>
    <format dxfId="3423">
      <pivotArea dataOnly="0" labelOnly="1" outline="0" fieldPosition="0">
        <references count="2">
          <reference field="3" count="1" selected="0">
            <x v="460"/>
          </reference>
          <reference field="4" count="1">
            <x v="1877"/>
          </reference>
        </references>
      </pivotArea>
    </format>
    <format dxfId="3422">
      <pivotArea dataOnly="0" labelOnly="1" outline="0" fieldPosition="0">
        <references count="2">
          <reference field="3" count="1" selected="0">
            <x v="477"/>
          </reference>
          <reference field="4" count="1">
            <x v="271"/>
          </reference>
        </references>
      </pivotArea>
    </format>
    <format dxfId="3421">
      <pivotArea dataOnly="0" labelOnly="1" outline="0" fieldPosition="0">
        <references count="2">
          <reference field="3" count="1" selected="0">
            <x v="480"/>
          </reference>
          <reference field="4" count="1">
            <x v="207"/>
          </reference>
        </references>
      </pivotArea>
    </format>
    <format dxfId="3420">
      <pivotArea dataOnly="0" labelOnly="1" outline="0" fieldPosition="0">
        <references count="2">
          <reference field="3" count="1" selected="0">
            <x v="481"/>
          </reference>
          <reference field="4" count="1">
            <x v="1197"/>
          </reference>
        </references>
      </pivotArea>
    </format>
    <format dxfId="3419">
      <pivotArea dataOnly="0" labelOnly="1" outline="0" fieldPosition="0">
        <references count="2">
          <reference field="3" count="1" selected="0">
            <x v="492"/>
          </reference>
          <reference field="4" count="1">
            <x v="2"/>
          </reference>
        </references>
      </pivotArea>
    </format>
    <format dxfId="3418">
      <pivotArea dataOnly="0" labelOnly="1" outline="0" fieldPosition="0">
        <references count="2">
          <reference field="3" count="1" selected="0">
            <x v="503"/>
          </reference>
          <reference field="4" count="1">
            <x v="277"/>
          </reference>
        </references>
      </pivotArea>
    </format>
    <format dxfId="3417">
      <pivotArea dataOnly="0" labelOnly="1" outline="0" fieldPosition="0">
        <references count="2">
          <reference field="3" count="1" selected="0">
            <x v="535"/>
          </reference>
          <reference field="4" count="1">
            <x v="92"/>
          </reference>
        </references>
      </pivotArea>
    </format>
    <format dxfId="3416">
      <pivotArea dataOnly="0" labelOnly="1" outline="0" fieldPosition="0">
        <references count="2">
          <reference field="3" count="1" selected="0">
            <x v="541"/>
          </reference>
          <reference field="4" count="1">
            <x v="1465"/>
          </reference>
        </references>
      </pivotArea>
    </format>
    <format dxfId="3415">
      <pivotArea dataOnly="0" labelOnly="1" outline="0" fieldPosition="0">
        <references count="2">
          <reference field="3" count="1" selected="0">
            <x v="558"/>
          </reference>
          <reference field="4" count="1">
            <x v="2153"/>
          </reference>
        </references>
      </pivotArea>
    </format>
    <format dxfId="3414">
      <pivotArea dataOnly="0" labelOnly="1" outline="0" fieldPosition="0">
        <references count="2">
          <reference field="3" count="1" selected="0">
            <x v="587"/>
          </reference>
          <reference field="4" count="1">
            <x v="979"/>
          </reference>
        </references>
      </pivotArea>
    </format>
    <format dxfId="3413">
      <pivotArea dataOnly="0" labelOnly="1" outline="0" fieldPosition="0">
        <references count="2">
          <reference field="3" count="1" selected="0">
            <x v="599"/>
          </reference>
          <reference field="4" count="1">
            <x v="1884"/>
          </reference>
        </references>
      </pivotArea>
    </format>
    <format dxfId="3412">
      <pivotArea dataOnly="0" labelOnly="1" outline="0" fieldPosition="0">
        <references count="2">
          <reference field="3" count="1" selected="0">
            <x v="622"/>
          </reference>
          <reference field="4" count="1">
            <x v="1875"/>
          </reference>
        </references>
      </pivotArea>
    </format>
    <format dxfId="3411">
      <pivotArea dataOnly="0" labelOnly="1" outline="0" fieldPosition="0">
        <references count="2">
          <reference field="3" count="1" selected="0">
            <x v="625"/>
          </reference>
          <reference field="4" count="1">
            <x v="1987"/>
          </reference>
        </references>
      </pivotArea>
    </format>
    <format dxfId="3410">
      <pivotArea dataOnly="0" labelOnly="1" outline="0" fieldPosition="0">
        <references count="2">
          <reference field="3" count="1" selected="0">
            <x v="683"/>
          </reference>
          <reference field="4" count="1">
            <x v="865"/>
          </reference>
        </references>
      </pivotArea>
    </format>
    <format dxfId="3409">
      <pivotArea dataOnly="0" labelOnly="1" outline="0" fieldPosition="0">
        <references count="2">
          <reference field="3" count="1" selected="0">
            <x v="695"/>
          </reference>
          <reference field="4" count="1">
            <x v="972"/>
          </reference>
        </references>
      </pivotArea>
    </format>
    <format dxfId="3408">
      <pivotArea dataOnly="0" labelOnly="1" outline="0" fieldPosition="0">
        <references count="2">
          <reference field="3" count="1" selected="0">
            <x v="709"/>
          </reference>
          <reference field="4" count="1">
            <x v="2176"/>
          </reference>
        </references>
      </pivotArea>
    </format>
    <format dxfId="3407">
      <pivotArea dataOnly="0" labelOnly="1" outline="0" fieldPosition="0">
        <references count="2">
          <reference field="3" count="1" selected="0">
            <x v="718"/>
          </reference>
          <reference field="4" count="1">
            <x v="1945"/>
          </reference>
        </references>
      </pivotArea>
    </format>
    <format dxfId="3406">
      <pivotArea dataOnly="0" labelOnly="1" outline="0" fieldPosition="0">
        <references count="2">
          <reference field="3" count="1" selected="0">
            <x v="730"/>
          </reference>
          <reference field="4" count="1">
            <x v="2167"/>
          </reference>
        </references>
      </pivotArea>
    </format>
    <format dxfId="3405">
      <pivotArea dataOnly="0" labelOnly="1" outline="0" fieldPosition="0">
        <references count="2">
          <reference field="3" count="1" selected="0">
            <x v="745"/>
          </reference>
          <reference field="4" count="1">
            <x v="1248"/>
          </reference>
        </references>
      </pivotArea>
    </format>
    <format dxfId="3404">
      <pivotArea dataOnly="0" labelOnly="1" outline="0" fieldPosition="0">
        <references count="2">
          <reference field="3" count="1" selected="0">
            <x v="756"/>
          </reference>
          <reference field="4" count="1">
            <x v="762"/>
          </reference>
        </references>
      </pivotArea>
    </format>
    <format dxfId="3403">
      <pivotArea dataOnly="0" labelOnly="1" outline="0" fieldPosition="0">
        <references count="2">
          <reference field="3" count="1" selected="0">
            <x v="759"/>
          </reference>
          <reference field="4" count="1">
            <x v="154"/>
          </reference>
        </references>
      </pivotArea>
    </format>
    <format dxfId="3402">
      <pivotArea dataOnly="0" labelOnly="1" outline="0" fieldPosition="0">
        <references count="2">
          <reference field="3" count="1" selected="0">
            <x v="774"/>
          </reference>
          <reference field="4" count="1">
            <x v="458"/>
          </reference>
        </references>
      </pivotArea>
    </format>
    <format dxfId="3401">
      <pivotArea dataOnly="0" labelOnly="1" outline="0" fieldPosition="0">
        <references count="2">
          <reference field="3" count="1" selected="0">
            <x v="782"/>
          </reference>
          <reference field="4" count="1">
            <x v="1729"/>
          </reference>
        </references>
      </pivotArea>
    </format>
    <format dxfId="3400">
      <pivotArea dataOnly="0" labelOnly="1" outline="0" fieldPosition="0">
        <references count="2">
          <reference field="3" count="1" selected="0">
            <x v="809"/>
          </reference>
          <reference field="4" count="1">
            <x v="1297"/>
          </reference>
        </references>
      </pivotArea>
    </format>
    <format dxfId="3399">
      <pivotArea dataOnly="0" labelOnly="1" outline="0" fieldPosition="0">
        <references count="2">
          <reference field="3" count="1" selected="0">
            <x v="839"/>
          </reference>
          <reference field="4" count="1">
            <x v="1422"/>
          </reference>
        </references>
      </pivotArea>
    </format>
    <format dxfId="3398">
      <pivotArea dataOnly="0" labelOnly="1" outline="0" fieldPosition="0">
        <references count="2">
          <reference field="3" count="1" selected="0">
            <x v="850"/>
          </reference>
          <reference field="4" count="1">
            <x v="1950"/>
          </reference>
        </references>
      </pivotArea>
    </format>
    <format dxfId="3397">
      <pivotArea dataOnly="0" labelOnly="1" outline="0" fieldPosition="0">
        <references count="2">
          <reference field="3" count="1" selected="0">
            <x v="873"/>
          </reference>
          <reference field="4" count="1">
            <x v="1881"/>
          </reference>
        </references>
      </pivotArea>
    </format>
    <format dxfId="3396">
      <pivotArea dataOnly="0" labelOnly="1" outline="0" fieldPosition="0">
        <references count="2">
          <reference field="3" count="1" selected="0">
            <x v="881"/>
          </reference>
          <reference field="4" count="1">
            <x v="514"/>
          </reference>
        </references>
      </pivotArea>
    </format>
    <format dxfId="3395">
      <pivotArea dataOnly="0" labelOnly="1" outline="0" fieldPosition="0">
        <references count="2">
          <reference field="3" count="1" selected="0">
            <x v="884"/>
          </reference>
          <reference field="4" count="1">
            <x v="1262"/>
          </reference>
        </references>
      </pivotArea>
    </format>
    <format dxfId="3394">
      <pivotArea dataOnly="0" labelOnly="1" outline="0" fieldPosition="0">
        <references count="2">
          <reference field="3" count="1" selected="0">
            <x v="913"/>
          </reference>
          <reference field="4" count="1">
            <x v="983"/>
          </reference>
        </references>
      </pivotArea>
    </format>
    <format dxfId="3393">
      <pivotArea dataOnly="0" labelOnly="1" outline="0" fieldPosition="0">
        <references count="2">
          <reference field="3" count="1" selected="0">
            <x v="948"/>
          </reference>
          <reference field="4" count="1">
            <x v="1728"/>
          </reference>
        </references>
      </pivotArea>
    </format>
    <format dxfId="3392">
      <pivotArea dataOnly="0" labelOnly="1" outline="0" fieldPosition="0">
        <references count="2">
          <reference field="3" count="1" selected="0">
            <x v="971"/>
          </reference>
          <reference field="4" count="1">
            <x v="676"/>
          </reference>
        </references>
      </pivotArea>
    </format>
    <format dxfId="3391">
      <pivotArea dataOnly="0" labelOnly="1" outline="0" fieldPosition="0">
        <references count="2">
          <reference field="3" count="1" selected="0">
            <x v="997"/>
          </reference>
          <reference field="4" count="1">
            <x v="326"/>
          </reference>
        </references>
      </pivotArea>
    </format>
    <format dxfId="3390">
      <pivotArea dataOnly="0" labelOnly="1" outline="0" fieldPosition="0">
        <references count="2">
          <reference field="3" count="1" selected="0">
            <x v="1003"/>
          </reference>
          <reference field="4" count="1">
            <x v="185"/>
          </reference>
        </references>
      </pivotArea>
    </format>
    <format dxfId="3389">
      <pivotArea dataOnly="0" labelOnly="1" outline="0" fieldPosition="0">
        <references count="2">
          <reference field="3" count="1" selected="0">
            <x v="1011"/>
          </reference>
          <reference field="4" count="1">
            <x v="976"/>
          </reference>
        </references>
      </pivotArea>
    </format>
    <format dxfId="3388">
      <pivotArea dataOnly="0" labelOnly="1" outline="0" fieldPosition="0">
        <references count="2">
          <reference field="3" count="1" selected="0">
            <x v="1020"/>
          </reference>
          <reference field="4" count="1">
            <x v="1451"/>
          </reference>
        </references>
      </pivotArea>
    </format>
    <format dxfId="3387">
      <pivotArea dataOnly="0" labelOnly="1" outline="0" fieldPosition="0">
        <references count="2">
          <reference field="3" count="1" selected="0">
            <x v="1038"/>
          </reference>
          <reference field="4" count="1">
            <x v="1086"/>
          </reference>
        </references>
      </pivotArea>
    </format>
    <format dxfId="3386">
      <pivotArea dataOnly="0" labelOnly="1" outline="0" fieldPosition="0">
        <references count="2">
          <reference field="3" count="1" selected="0">
            <x v="1040"/>
          </reference>
          <reference field="4" count="1">
            <x v="164"/>
          </reference>
        </references>
      </pivotArea>
    </format>
    <format dxfId="3385">
      <pivotArea dataOnly="0" labelOnly="1" outline="0" fieldPosition="0">
        <references count="2">
          <reference field="3" count="1" selected="0">
            <x v="1066"/>
          </reference>
          <reference field="4" count="1">
            <x v="2246"/>
          </reference>
        </references>
      </pivotArea>
    </format>
    <format dxfId="3384">
      <pivotArea dataOnly="0" labelOnly="1" outline="0" fieldPosition="0">
        <references count="2">
          <reference field="3" count="1" selected="0">
            <x v="1069"/>
          </reference>
          <reference field="4" count="1">
            <x v="710"/>
          </reference>
        </references>
      </pivotArea>
    </format>
    <format dxfId="3383">
      <pivotArea dataOnly="0" labelOnly="1" outline="0" fieldPosition="0">
        <references count="2">
          <reference field="3" count="1" selected="0">
            <x v="1077"/>
          </reference>
          <reference field="4" count="1">
            <x v="1314"/>
          </reference>
        </references>
      </pivotArea>
    </format>
    <format dxfId="3382">
      <pivotArea dataOnly="0" labelOnly="1" outline="0" fieldPosition="0">
        <references count="2">
          <reference field="3" count="1" selected="0">
            <x v="1113"/>
          </reference>
          <reference field="4" count="1">
            <x v="2474"/>
          </reference>
        </references>
      </pivotArea>
    </format>
    <format dxfId="3381">
      <pivotArea dataOnly="0" labelOnly="1" outline="0" fieldPosition="0">
        <references count="2">
          <reference field="3" count="1" selected="0">
            <x v="1129"/>
          </reference>
          <reference field="4" count="1">
            <x v="344"/>
          </reference>
        </references>
      </pivotArea>
    </format>
    <format dxfId="3380">
      <pivotArea dataOnly="0" labelOnly="1" outline="0" fieldPosition="0">
        <references count="2">
          <reference field="3" count="1" selected="0">
            <x v="1141"/>
          </reference>
          <reference field="4" count="1">
            <x v="186"/>
          </reference>
        </references>
      </pivotArea>
    </format>
    <format dxfId="3379">
      <pivotArea dataOnly="0" labelOnly="1" outline="0" fieldPosition="0">
        <references count="2">
          <reference field="3" count="1" selected="0">
            <x v="1144"/>
          </reference>
          <reference field="4" count="1">
            <x v="2484"/>
          </reference>
        </references>
      </pivotArea>
    </format>
    <format dxfId="3378">
      <pivotArea dataOnly="0" labelOnly="1" outline="0" fieldPosition="0">
        <references count="2">
          <reference field="3" count="1" selected="0">
            <x v="1167"/>
          </reference>
          <reference field="4" count="1">
            <x v="1177"/>
          </reference>
        </references>
      </pivotArea>
    </format>
    <format dxfId="3377">
      <pivotArea dataOnly="0" labelOnly="1" outline="0" fieldPosition="0">
        <references count="2">
          <reference field="3" count="1" selected="0">
            <x v="1189"/>
          </reference>
          <reference field="4" count="1">
            <x v="734"/>
          </reference>
        </references>
      </pivotArea>
    </format>
    <format dxfId="3376">
      <pivotArea dataOnly="0" labelOnly="1" outline="0" fieldPosition="0">
        <references count="2">
          <reference field="3" count="1" selected="0">
            <x v="1196"/>
          </reference>
          <reference field="4" count="1">
            <x v="701"/>
          </reference>
        </references>
      </pivotArea>
    </format>
    <format dxfId="3375">
      <pivotArea dataOnly="0" labelOnly="1" outline="0" fieldPosition="0">
        <references count="2">
          <reference field="3" count="1" selected="0">
            <x v="1198"/>
          </reference>
          <reference field="4" count="1">
            <x v="22"/>
          </reference>
        </references>
      </pivotArea>
    </format>
    <format dxfId="3374">
      <pivotArea dataOnly="0" labelOnly="1" outline="0" fieldPosition="0">
        <references count="2">
          <reference field="3" count="1" selected="0">
            <x v="1204"/>
          </reference>
          <reference field="4" count="1">
            <x v="421"/>
          </reference>
        </references>
      </pivotArea>
    </format>
    <format dxfId="3373">
      <pivotArea dataOnly="0" labelOnly="1" outline="0" fieldPosition="0">
        <references count="2">
          <reference field="3" count="1" selected="0">
            <x v="1210"/>
          </reference>
          <reference field="4" count="1">
            <x v="929"/>
          </reference>
        </references>
      </pivotArea>
    </format>
    <format dxfId="3372">
      <pivotArea dataOnly="0" labelOnly="1" outline="0" fieldPosition="0">
        <references count="2">
          <reference field="3" count="1" selected="0">
            <x v="1222"/>
          </reference>
          <reference field="4" count="1">
            <x v="493"/>
          </reference>
        </references>
      </pivotArea>
    </format>
    <format dxfId="3371">
      <pivotArea dataOnly="0" labelOnly="1" outline="0" fieldPosition="0">
        <references count="2">
          <reference field="3" count="1" selected="0">
            <x v="1226"/>
          </reference>
          <reference field="4" count="1">
            <x v="675"/>
          </reference>
        </references>
      </pivotArea>
    </format>
    <format dxfId="3370">
      <pivotArea dataOnly="0" labelOnly="1" outline="0" fieldPosition="0">
        <references count="2">
          <reference field="3" count="1" selected="0">
            <x v="1261"/>
          </reference>
          <reference field="4" count="1">
            <x v="914"/>
          </reference>
        </references>
      </pivotArea>
    </format>
    <format dxfId="3369">
      <pivotArea dataOnly="0" labelOnly="1" outline="0" fieldPosition="0">
        <references count="2">
          <reference field="3" count="1" selected="0">
            <x v="1262"/>
          </reference>
          <reference field="4" count="1">
            <x v="1155"/>
          </reference>
        </references>
      </pivotArea>
    </format>
    <format dxfId="3368">
      <pivotArea dataOnly="0" labelOnly="1" outline="0" fieldPosition="0">
        <references count="2">
          <reference field="3" count="1" selected="0">
            <x v="1285"/>
          </reference>
          <reference field="4" count="1">
            <x v="820"/>
          </reference>
        </references>
      </pivotArea>
    </format>
    <format dxfId="3367">
      <pivotArea dataOnly="0" labelOnly="1" outline="0" fieldPosition="0">
        <references count="2">
          <reference field="3" count="1" selected="0">
            <x v="1288"/>
          </reference>
          <reference field="4" count="1">
            <x v="1395"/>
          </reference>
        </references>
      </pivotArea>
    </format>
    <format dxfId="3366">
      <pivotArea dataOnly="0" labelOnly="1" outline="0" fieldPosition="0">
        <references count="2">
          <reference field="3" count="1" selected="0">
            <x v="1291"/>
          </reference>
          <reference field="4" count="1">
            <x v="2250"/>
          </reference>
        </references>
      </pivotArea>
    </format>
    <format dxfId="3365">
      <pivotArea dataOnly="0" labelOnly="1" outline="0" fieldPosition="0">
        <references count="2">
          <reference field="3" count="1" selected="0">
            <x v="1318"/>
          </reference>
          <reference field="4" count="1">
            <x v="821"/>
          </reference>
        </references>
      </pivotArea>
    </format>
    <format dxfId="3364">
      <pivotArea dataOnly="0" labelOnly="1" outline="0" fieldPosition="0">
        <references count="2">
          <reference field="3" count="1" selected="0">
            <x v="1343"/>
          </reference>
          <reference field="4" count="1">
            <x v="798"/>
          </reference>
        </references>
      </pivotArea>
    </format>
    <format dxfId="3363">
      <pivotArea dataOnly="0" labelOnly="1" outline="0" fieldPosition="0">
        <references count="2">
          <reference field="3" count="1" selected="0">
            <x v="1353"/>
          </reference>
          <reference field="4" count="1">
            <x v="1359"/>
          </reference>
        </references>
      </pivotArea>
    </format>
    <format dxfId="3362">
      <pivotArea dataOnly="0" labelOnly="1" outline="0" fieldPosition="0">
        <references count="2">
          <reference field="3" count="1" selected="0">
            <x v="1383"/>
          </reference>
          <reference field="4" count="1">
            <x v="721"/>
          </reference>
        </references>
      </pivotArea>
    </format>
    <format dxfId="3361">
      <pivotArea dataOnly="0" labelOnly="1" outline="0" fieldPosition="0">
        <references count="2">
          <reference field="3" count="1" selected="0">
            <x v="1391"/>
          </reference>
          <reference field="4" count="1">
            <x v="693"/>
          </reference>
        </references>
      </pivotArea>
    </format>
    <format dxfId="3360">
      <pivotArea dataOnly="0" labelOnly="1" outline="0" fieldPosition="0">
        <references count="2">
          <reference field="3" count="1" selected="0">
            <x v="1415"/>
          </reference>
          <reference field="4" count="1">
            <x v="7"/>
          </reference>
        </references>
      </pivotArea>
    </format>
    <format dxfId="3359">
      <pivotArea dataOnly="0" labelOnly="1" outline="0" fieldPosition="0">
        <references count="2">
          <reference field="3" count="1" selected="0">
            <x v="1427"/>
          </reference>
          <reference field="4" count="1">
            <x v="1527"/>
          </reference>
        </references>
      </pivotArea>
    </format>
    <format dxfId="3358">
      <pivotArea dataOnly="0" labelOnly="1" outline="0" fieldPosition="0">
        <references count="2">
          <reference field="3" count="1" selected="0">
            <x v="1435"/>
          </reference>
          <reference field="4" count="1">
            <x v="619"/>
          </reference>
        </references>
      </pivotArea>
    </format>
    <format dxfId="3357">
      <pivotArea dataOnly="0" labelOnly="1" outline="0" fieldPosition="0">
        <references count="2">
          <reference field="3" count="1" selected="0">
            <x v="1449"/>
          </reference>
          <reference field="4" count="1">
            <x v="18"/>
          </reference>
        </references>
      </pivotArea>
    </format>
    <format dxfId="3356">
      <pivotArea dataOnly="0" labelOnly="1" outline="0" fieldPosition="0">
        <references count="2">
          <reference field="3" count="1" selected="0">
            <x v="1452"/>
          </reference>
          <reference field="4" count="1">
            <x v="1112"/>
          </reference>
        </references>
      </pivotArea>
    </format>
    <format dxfId="3355">
      <pivotArea dataOnly="0" labelOnly="1" outline="0" fieldPosition="0">
        <references count="2">
          <reference field="3" count="1" selected="0">
            <x v="1482"/>
          </reference>
          <reference field="4" count="1">
            <x v="2109"/>
          </reference>
        </references>
      </pivotArea>
    </format>
    <format dxfId="3354">
      <pivotArea dataOnly="0" labelOnly="1" outline="0" fieldPosition="0">
        <references count="2">
          <reference field="3" count="1" selected="0">
            <x v="1511"/>
          </reference>
          <reference field="4" count="1">
            <x v="671"/>
          </reference>
        </references>
      </pivotArea>
    </format>
    <format dxfId="3353">
      <pivotArea dataOnly="0" labelOnly="1" outline="0" fieldPosition="0">
        <references count="2">
          <reference field="3" count="1" selected="0">
            <x v="1512"/>
          </reference>
          <reference field="4" count="1">
            <x v="1290"/>
          </reference>
        </references>
      </pivotArea>
    </format>
    <format dxfId="3352">
      <pivotArea dataOnly="0" labelOnly="1" outline="0" fieldPosition="0">
        <references count="2">
          <reference field="3" count="1" selected="0">
            <x v="1514"/>
          </reference>
          <reference field="4" count="1">
            <x v="938"/>
          </reference>
        </references>
      </pivotArea>
    </format>
    <format dxfId="3351">
      <pivotArea dataOnly="0" labelOnly="1" outline="0" fieldPosition="0">
        <references count="2">
          <reference field="3" count="1" selected="0">
            <x v="1515"/>
          </reference>
          <reference field="4" count="1">
            <x v="1331"/>
          </reference>
        </references>
      </pivotArea>
    </format>
    <format dxfId="3350">
      <pivotArea dataOnly="0" labelOnly="1" outline="0" fieldPosition="0">
        <references count="2">
          <reference field="3" count="1" selected="0">
            <x v="1534"/>
          </reference>
          <reference field="4" count="1">
            <x v="2528"/>
          </reference>
        </references>
      </pivotArea>
    </format>
    <format dxfId="3349">
      <pivotArea dataOnly="0" labelOnly="1" outline="0" fieldPosition="0">
        <references count="2">
          <reference field="3" count="1" selected="0">
            <x v="1564"/>
          </reference>
          <reference field="4" count="1">
            <x v="1062"/>
          </reference>
        </references>
      </pivotArea>
    </format>
    <format dxfId="3348">
      <pivotArea dataOnly="0" labelOnly="1" outline="0" fieldPosition="0">
        <references count="2">
          <reference field="3" count="1" selected="0">
            <x v="1619"/>
          </reference>
          <reference field="4" count="1">
            <x v="118"/>
          </reference>
        </references>
      </pivotArea>
    </format>
    <format dxfId="3347">
      <pivotArea dataOnly="0" labelOnly="1" outline="0" fieldPosition="0">
        <references count="2">
          <reference field="3" count="1" selected="0">
            <x v="1626"/>
          </reference>
          <reference field="4" count="1">
            <x v="2472"/>
          </reference>
        </references>
      </pivotArea>
    </format>
    <format dxfId="3346">
      <pivotArea dataOnly="0" labelOnly="1" outline="0" fieldPosition="0">
        <references count="2">
          <reference field="3" count="1" selected="0">
            <x v="1645"/>
          </reference>
          <reference field="4" count="1">
            <x v="1988"/>
          </reference>
        </references>
      </pivotArea>
    </format>
    <format dxfId="3345">
      <pivotArea dataOnly="0" labelOnly="1" outline="0" fieldPosition="0">
        <references count="2">
          <reference field="3" count="1" selected="0">
            <x v="1647"/>
          </reference>
          <reference field="4" count="1">
            <x v="2228"/>
          </reference>
        </references>
      </pivotArea>
    </format>
    <format dxfId="3344">
      <pivotArea dataOnly="0" labelOnly="1" outline="0" fieldPosition="0">
        <references count="2">
          <reference field="3" count="1" selected="0">
            <x v="1687"/>
          </reference>
          <reference field="4" count="1">
            <x v="765"/>
          </reference>
        </references>
      </pivotArea>
    </format>
    <format dxfId="3343">
      <pivotArea dataOnly="0" labelOnly="1" outline="0" fieldPosition="0">
        <references count="2">
          <reference field="3" count="1" selected="0">
            <x v="1712"/>
          </reference>
          <reference field="4" count="1">
            <x v="1023"/>
          </reference>
        </references>
      </pivotArea>
    </format>
    <format dxfId="3342">
      <pivotArea dataOnly="0" labelOnly="1" outline="0" fieldPosition="0">
        <references count="2">
          <reference field="3" count="1" selected="0">
            <x v="1715"/>
          </reference>
          <reference field="4" count="1">
            <x v="305"/>
          </reference>
        </references>
      </pivotArea>
    </format>
    <format dxfId="3341">
      <pivotArea dataOnly="0" labelOnly="1" outline="0" fieldPosition="0">
        <references count="2">
          <reference field="3" count="1" selected="0">
            <x v="1717"/>
          </reference>
          <reference field="4" count="1">
            <x v="1500"/>
          </reference>
        </references>
      </pivotArea>
    </format>
    <format dxfId="3340">
      <pivotArea dataOnly="0" labelOnly="1" outline="0" fieldPosition="0">
        <references count="2">
          <reference field="3" count="1" selected="0">
            <x v="1720"/>
          </reference>
          <reference field="4" count="1">
            <x v="662"/>
          </reference>
        </references>
      </pivotArea>
    </format>
    <format dxfId="3339">
      <pivotArea dataOnly="0" labelOnly="1" outline="0" fieldPosition="0">
        <references count="2">
          <reference field="3" count="1" selected="0">
            <x v="1741"/>
          </reference>
          <reference field="4" count="1">
            <x v="642"/>
          </reference>
        </references>
      </pivotArea>
    </format>
    <format dxfId="3338">
      <pivotArea dataOnly="0" labelOnly="1" outline="0" fieldPosition="0">
        <references count="2">
          <reference field="3" count="1" selected="0">
            <x v="1746"/>
          </reference>
          <reference field="4" count="1">
            <x v="43"/>
          </reference>
        </references>
      </pivotArea>
    </format>
    <format dxfId="3337">
      <pivotArea dataOnly="0" labelOnly="1" outline="0" fieldPosition="0">
        <references count="2">
          <reference field="3" count="1" selected="0">
            <x v="1747"/>
          </reference>
          <reference field="4" count="1">
            <x v="1530"/>
          </reference>
        </references>
      </pivotArea>
    </format>
    <format dxfId="3336">
      <pivotArea dataOnly="0" labelOnly="1" outline="0" fieldPosition="0">
        <references count="2">
          <reference field="3" count="1" selected="0">
            <x v="1748"/>
          </reference>
          <reference field="4" count="1">
            <x v="1069"/>
          </reference>
        </references>
      </pivotArea>
    </format>
    <format dxfId="3335">
      <pivotArea dataOnly="0" labelOnly="1" outline="0" fieldPosition="0">
        <references count="2">
          <reference field="3" count="1" selected="0">
            <x v="1750"/>
          </reference>
          <reference field="4" count="1">
            <x v="698"/>
          </reference>
        </references>
      </pivotArea>
    </format>
    <format dxfId="3334">
      <pivotArea dataOnly="0" labelOnly="1" outline="0" fieldPosition="0">
        <references count="2">
          <reference field="3" count="1" selected="0">
            <x v="1753"/>
          </reference>
          <reference field="4" count="1">
            <x v="871"/>
          </reference>
        </references>
      </pivotArea>
    </format>
    <format dxfId="3333">
      <pivotArea dataOnly="0" labelOnly="1" outline="0" fieldPosition="0">
        <references count="2">
          <reference field="3" count="1" selected="0">
            <x v="1758"/>
          </reference>
          <reference field="4" count="1">
            <x v="192"/>
          </reference>
        </references>
      </pivotArea>
    </format>
    <format dxfId="3332">
      <pivotArea dataOnly="0" labelOnly="1" outline="0" fieldPosition="0">
        <references count="2">
          <reference field="3" count="1" selected="0">
            <x v="1761"/>
          </reference>
          <reference field="4" count="1">
            <x v="133"/>
          </reference>
        </references>
      </pivotArea>
    </format>
    <format dxfId="3331">
      <pivotArea dataOnly="0" labelOnly="1" outline="0" fieldPosition="0">
        <references count="2">
          <reference field="3" count="1" selected="0">
            <x v="1765"/>
          </reference>
          <reference field="4" count="1">
            <x v="357"/>
          </reference>
        </references>
      </pivotArea>
    </format>
    <format dxfId="3330">
      <pivotArea dataOnly="0" labelOnly="1" outline="0" fieldPosition="0">
        <references count="2">
          <reference field="3" count="1" selected="0">
            <x v="1767"/>
          </reference>
          <reference field="4" count="1">
            <x v="26"/>
          </reference>
        </references>
      </pivotArea>
    </format>
    <format dxfId="3329">
      <pivotArea dataOnly="0" labelOnly="1" outline="0" fieldPosition="0">
        <references count="2">
          <reference field="3" count="1" selected="0">
            <x v="1771"/>
          </reference>
          <reference field="4" count="1">
            <x v="1144"/>
          </reference>
        </references>
      </pivotArea>
    </format>
    <format dxfId="3328">
      <pivotArea dataOnly="0" labelOnly="1" outline="0" fieldPosition="0">
        <references count="2">
          <reference field="3" count="1" selected="0">
            <x v="1783"/>
          </reference>
          <reference field="4" count="1">
            <x v="432"/>
          </reference>
        </references>
      </pivotArea>
    </format>
    <format dxfId="3327">
      <pivotArea dataOnly="0" labelOnly="1" outline="0" fieldPosition="0">
        <references count="2">
          <reference field="3" count="1" selected="0">
            <x v="1784"/>
          </reference>
          <reference field="4" count="1">
            <x v="1201"/>
          </reference>
        </references>
      </pivotArea>
    </format>
    <format dxfId="3326">
      <pivotArea dataOnly="0" labelOnly="1" outline="0" fieldPosition="0">
        <references count="2">
          <reference field="3" count="1" selected="0">
            <x v="1785"/>
          </reference>
          <reference field="4" count="1">
            <x v="121"/>
          </reference>
        </references>
      </pivotArea>
    </format>
    <format dxfId="3325">
      <pivotArea dataOnly="0" labelOnly="1" outline="0" fieldPosition="0">
        <references count="2">
          <reference field="3" count="1" selected="0">
            <x v="1786"/>
          </reference>
          <reference field="4" count="1">
            <x v="101"/>
          </reference>
        </references>
      </pivotArea>
    </format>
    <format dxfId="3324">
      <pivotArea dataOnly="0" labelOnly="1" outline="0" fieldPosition="0">
        <references count="2">
          <reference field="3" count="1" selected="0">
            <x v="1789"/>
          </reference>
          <reference field="4" count="1">
            <x v="1458"/>
          </reference>
        </references>
      </pivotArea>
    </format>
    <format dxfId="3323">
      <pivotArea dataOnly="0" labelOnly="1" outline="0" fieldPosition="0">
        <references count="2">
          <reference field="3" count="1" selected="0">
            <x v="1790"/>
          </reference>
          <reference field="4" count="1">
            <x v="333"/>
          </reference>
        </references>
      </pivotArea>
    </format>
    <format dxfId="3322">
      <pivotArea dataOnly="0" labelOnly="1" outline="0" fieldPosition="0">
        <references count="2">
          <reference field="3" count="1" selected="0">
            <x v="1804"/>
          </reference>
          <reference field="4" count="1">
            <x v="251"/>
          </reference>
        </references>
      </pivotArea>
    </format>
    <format dxfId="3321">
      <pivotArea dataOnly="0" labelOnly="1" outline="0" fieldPosition="0">
        <references count="2">
          <reference field="3" count="1" selected="0">
            <x v="1827"/>
          </reference>
          <reference field="4" count="1">
            <x v="916"/>
          </reference>
        </references>
      </pivotArea>
    </format>
    <format dxfId="3320">
      <pivotArea dataOnly="0" labelOnly="1" outline="0" fieldPosition="0">
        <references count="2">
          <reference field="3" count="1" selected="0">
            <x v="1840"/>
          </reference>
          <reference field="4" count="1">
            <x v="1879"/>
          </reference>
        </references>
      </pivotArea>
    </format>
    <format dxfId="3319">
      <pivotArea dataOnly="0" labelOnly="1" outline="0" fieldPosition="0">
        <references count="2">
          <reference field="3" count="1" selected="0">
            <x v="1851"/>
          </reference>
          <reference field="4" count="1">
            <x v="1904"/>
          </reference>
        </references>
      </pivotArea>
    </format>
    <format dxfId="3318">
      <pivotArea dataOnly="0" labelOnly="1" outline="0" fieldPosition="0">
        <references count="2">
          <reference field="3" count="1" selected="0">
            <x v="1853"/>
          </reference>
          <reference field="4" count="1">
            <x v="1578"/>
          </reference>
        </references>
      </pivotArea>
    </format>
    <format dxfId="3317">
      <pivotArea dataOnly="0" labelOnly="1" outline="0" fieldPosition="0">
        <references count="2">
          <reference field="3" count="1" selected="0">
            <x v="1890"/>
          </reference>
          <reference field="4" count="1">
            <x v="1605"/>
          </reference>
        </references>
      </pivotArea>
    </format>
    <format dxfId="3316">
      <pivotArea dataOnly="0" labelOnly="1" outline="0" fieldPosition="0">
        <references count="2">
          <reference field="3" count="1" selected="0">
            <x v="1894"/>
          </reference>
          <reference field="4" count="1">
            <x v="1610"/>
          </reference>
        </references>
      </pivotArea>
    </format>
    <format dxfId="3315">
      <pivotArea dataOnly="0" labelOnly="1" outline="0" fieldPosition="0">
        <references count="2">
          <reference field="3" count="1" selected="0">
            <x v="1903"/>
          </reference>
          <reference field="4" count="1">
            <x v="1612"/>
          </reference>
        </references>
      </pivotArea>
    </format>
    <format dxfId="3314">
      <pivotArea dataOnly="0" labelOnly="1" outline="0" fieldPosition="0">
        <references count="2">
          <reference field="3" count="1" selected="0">
            <x v="1905"/>
          </reference>
          <reference field="4" count="1">
            <x v="1613"/>
          </reference>
        </references>
      </pivotArea>
    </format>
    <format dxfId="3313">
      <pivotArea dataOnly="0" labelOnly="1" outline="0" fieldPosition="0">
        <references count="2">
          <reference field="3" count="1" selected="0">
            <x v="1906"/>
          </reference>
          <reference field="4" count="1">
            <x v="1614"/>
          </reference>
        </references>
      </pivotArea>
    </format>
    <format dxfId="3312">
      <pivotArea dataOnly="0" labelOnly="1" outline="0" fieldPosition="0">
        <references count="2">
          <reference field="3" count="1" selected="0">
            <x v="1911"/>
          </reference>
          <reference field="4" count="1">
            <x v="1618"/>
          </reference>
        </references>
      </pivotArea>
    </format>
    <format dxfId="3311">
      <pivotArea dataOnly="0" labelOnly="1" outline="0" fieldPosition="0">
        <references count="2">
          <reference field="3" count="1" selected="0">
            <x v="1916"/>
          </reference>
          <reference field="4" count="1">
            <x v="350"/>
          </reference>
        </references>
      </pivotArea>
    </format>
    <format dxfId="3310">
      <pivotArea dataOnly="0" labelOnly="1" outline="0" fieldPosition="0">
        <references count="2">
          <reference field="3" count="1" selected="0">
            <x v="1917"/>
          </reference>
          <reference field="4" count="1">
            <x v="1626"/>
          </reference>
        </references>
      </pivotArea>
    </format>
    <format dxfId="3309">
      <pivotArea dataOnly="0" labelOnly="1" outline="0" fieldPosition="0">
        <references count="2">
          <reference field="3" count="1" selected="0">
            <x v="1918"/>
          </reference>
          <reference field="4" count="1">
            <x v="1627"/>
          </reference>
        </references>
      </pivotArea>
    </format>
    <format dxfId="3308">
      <pivotArea dataOnly="0" labelOnly="1" outline="0" fieldPosition="0">
        <references count="2">
          <reference field="3" count="1" selected="0">
            <x v="1937"/>
          </reference>
          <reference field="4" count="1">
            <x v="1719"/>
          </reference>
        </references>
      </pivotArea>
    </format>
    <format dxfId="3307">
      <pivotArea dataOnly="0" labelOnly="1" outline="0" fieldPosition="0">
        <references count="2">
          <reference field="3" count="1" selected="0">
            <x v="1949"/>
          </reference>
          <reference field="4" count="1">
            <x v="1743"/>
          </reference>
        </references>
      </pivotArea>
    </format>
    <format dxfId="3306">
      <pivotArea dataOnly="0" labelOnly="1" outline="0" fieldPosition="0">
        <references count="2">
          <reference field="3" count="1" selected="0">
            <x v="1950"/>
          </reference>
          <reference field="4" count="1">
            <x v="1744"/>
          </reference>
        </references>
      </pivotArea>
    </format>
    <format dxfId="3305">
      <pivotArea dataOnly="0" labelOnly="1" outline="0" fieldPosition="0">
        <references count="2">
          <reference field="3" count="1" selected="0">
            <x v="1964"/>
          </reference>
          <reference field="4" count="1">
            <x v="1750"/>
          </reference>
        </references>
      </pivotArea>
    </format>
    <format dxfId="3304">
      <pivotArea dataOnly="0" labelOnly="1" outline="0" fieldPosition="0">
        <references count="2">
          <reference field="3" count="1" selected="0">
            <x v="2040"/>
          </reference>
          <reference field="4" count="1">
            <x v="1912"/>
          </reference>
        </references>
      </pivotArea>
    </format>
    <format dxfId="3303">
      <pivotArea dataOnly="0" labelOnly="1" outline="0" fieldPosition="0">
        <references count="2">
          <reference field="3" count="1" selected="0">
            <x v="2049"/>
          </reference>
          <reference field="4" count="1">
            <x v="1092"/>
          </reference>
        </references>
      </pivotArea>
    </format>
    <format dxfId="3302">
      <pivotArea dataOnly="0" labelOnly="1" outline="0" fieldPosition="0">
        <references count="2">
          <reference field="3" count="1" selected="0">
            <x v="2051"/>
          </reference>
          <reference field="4" count="1">
            <x v="1917"/>
          </reference>
        </references>
      </pivotArea>
    </format>
    <format dxfId="3301">
      <pivotArea dataOnly="0" labelOnly="1" outline="0" fieldPosition="0">
        <references count="2">
          <reference field="3" count="1" selected="0">
            <x v="2066"/>
          </reference>
          <reference field="4" count="1">
            <x v="1930"/>
          </reference>
        </references>
      </pivotArea>
    </format>
    <format dxfId="3300">
      <pivotArea dataOnly="0" labelOnly="1" outline="0" fieldPosition="0">
        <references count="2">
          <reference field="3" count="1" selected="0">
            <x v="2069"/>
          </reference>
          <reference field="4" count="1">
            <x v="1931"/>
          </reference>
        </references>
      </pivotArea>
    </format>
    <format dxfId="3299">
      <pivotArea dataOnly="0" labelOnly="1" outline="0" fieldPosition="0">
        <references count="2">
          <reference field="3" count="1" selected="0">
            <x v="2089"/>
          </reference>
          <reference field="4" count="1">
            <x v="1973"/>
          </reference>
        </references>
      </pivotArea>
    </format>
    <format dxfId="3298">
      <pivotArea dataOnly="0" labelOnly="1" outline="0" fieldPosition="0">
        <references count="2">
          <reference field="3" count="1" selected="0">
            <x v="2097"/>
          </reference>
          <reference field="4" count="1">
            <x v="2110"/>
          </reference>
        </references>
      </pivotArea>
    </format>
    <format dxfId="3297">
      <pivotArea dataOnly="0" labelOnly="1" outline="0" fieldPosition="0">
        <references count="2">
          <reference field="3" count="1" selected="0">
            <x v="2101"/>
          </reference>
          <reference field="4" count="1">
            <x v="2118"/>
          </reference>
        </references>
      </pivotArea>
    </format>
    <format dxfId="3296">
      <pivotArea dataOnly="0" labelOnly="1" outline="0" fieldPosition="0">
        <references count="2">
          <reference field="3" count="1" selected="0">
            <x v="2104"/>
          </reference>
          <reference field="4" count="1">
            <x v="2139"/>
          </reference>
        </references>
      </pivotArea>
    </format>
    <format dxfId="3295">
      <pivotArea dataOnly="0" labelOnly="1" outline="0" fieldPosition="0">
        <references count="2">
          <reference field="3" count="1" selected="0">
            <x v="2105"/>
          </reference>
          <reference field="4" count="1">
            <x v="2140"/>
          </reference>
        </references>
      </pivotArea>
    </format>
    <format dxfId="3294">
      <pivotArea dataOnly="0" labelOnly="1" outline="0" fieldPosition="0">
        <references count="2">
          <reference field="3" count="1" selected="0">
            <x v="2106"/>
          </reference>
          <reference field="4" count="1">
            <x v="2169"/>
          </reference>
        </references>
      </pivotArea>
    </format>
    <format dxfId="3293">
      <pivotArea dataOnly="0" labelOnly="1" outline="0" fieldPosition="0">
        <references count="2">
          <reference field="3" count="1" selected="0">
            <x v="2122"/>
          </reference>
          <reference field="4" count="1">
            <x v="2231"/>
          </reference>
        </references>
      </pivotArea>
    </format>
    <format dxfId="3292">
      <pivotArea dataOnly="0" labelOnly="1" outline="0" fieldPosition="0">
        <references count="2">
          <reference field="3" count="1" selected="0">
            <x v="2144"/>
          </reference>
          <reference field="4" count="1">
            <x v="1510"/>
          </reference>
        </references>
      </pivotArea>
    </format>
    <format dxfId="3291">
      <pivotArea dataOnly="0" labelOnly="1" outline="0" fieldPosition="0">
        <references count="2">
          <reference field="3" count="1" selected="0">
            <x v="2163"/>
          </reference>
          <reference field="4" count="1">
            <x v="2291"/>
          </reference>
        </references>
      </pivotArea>
    </format>
    <format dxfId="3290">
      <pivotArea dataOnly="0" labelOnly="1" outline="0" fieldPosition="0">
        <references count="2">
          <reference field="3" count="1" selected="0">
            <x v="2197"/>
          </reference>
          <reference field="4" count="1">
            <x v="2337"/>
          </reference>
        </references>
      </pivotArea>
    </format>
    <format dxfId="3289">
      <pivotArea dataOnly="0" labelOnly="1" outline="0" fieldPosition="0">
        <references count="2">
          <reference field="3" count="1" selected="0">
            <x v="2201"/>
          </reference>
          <reference field="4" count="1">
            <x v="1738"/>
          </reference>
        </references>
      </pivotArea>
    </format>
    <format dxfId="3288">
      <pivotArea dataOnly="0" labelOnly="1" outline="0" fieldPosition="0">
        <references count="2">
          <reference field="3" count="1" selected="0">
            <x v="2222"/>
          </reference>
          <reference field="4" count="1">
            <x v="2398"/>
          </reference>
        </references>
      </pivotArea>
    </format>
    <format dxfId="3287">
      <pivotArea dataOnly="0" labelOnly="1" outline="0" fieldPosition="0">
        <references count="2">
          <reference field="3" count="1" selected="0">
            <x v="2232"/>
          </reference>
          <reference field="4" count="1">
            <x v="2479"/>
          </reference>
        </references>
      </pivotArea>
    </format>
    <format dxfId="3286">
      <pivotArea dataOnly="0" labelOnly="1" outline="0" fieldPosition="0">
        <references count="2">
          <reference field="3" count="1" selected="0">
            <x v="2234"/>
          </reference>
          <reference field="4" count="1">
            <x v="2482"/>
          </reference>
        </references>
      </pivotArea>
    </format>
    <format dxfId="3285">
      <pivotArea dataOnly="0" labelOnly="1" outline="0" fieldPosition="0">
        <references count="2">
          <reference field="3" count="1" selected="0">
            <x v="2235"/>
          </reference>
          <reference field="4" count="1">
            <x v="2483"/>
          </reference>
        </references>
      </pivotArea>
    </format>
    <format dxfId="3284">
      <pivotArea dataOnly="0" labelOnly="1" outline="0" fieldPosition="0">
        <references count="2">
          <reference field="3" count="1" selected="0">
            <x v="2236"/>
          </reference>
          <reference field="4" count="1">
            <x v="2485"/>
          </reference>
        </references>
      </pivotArea>
    </format>
    <format dxfId="3283">
      <pivotArea dataOnly="0" labelOnly="1" outline="0" fieldPosition="0">
        <references count="2">
          <reference field="3" count="1" selected="0">
            <x v="2243"/>
          </reference>
          <reference field="4" count="1">
            <x v="2492"/>
          </reference>
        </references>
      </pivotArea>
    </format>
    <format dxfId="3282">
      <pivotArea dataOnly="0" labelOnly="1" outline="0" fieldPosition="0">
        <references count="2">
          <reference field="3" count="1" selected="0">
            <x v="2251"/>
          </reference>
          <reference field="4" count="1">
            <x v="2517"/>
          </reference>
        </references>
      </pivotArea>
    </format>
    <format dxfId="3281">
      <pivotArea dataOnly="0" labelOnly="1" outline="0" fieldPosition="0">
        <references count="2">
          <reference field="3" count="1" selected="0">
            <x v="2261"/>
          </reference>
          <reference field="4" count="1">
            <x v="2522"/>
          </reference>
        </references>
      </pivotArea>
    </format>
    <format dxfId="3280">
      <pivotArea dataOnly="0" labelOnly="1" outline="0" fieldPosition="0">
        <references count="3">
          <reference field="3" count="1" selected="0">
            <x v="56"/>
          </reference>
          <reference field="4" count="1" selected="0">
            <x v="135"/>
          </reference>
          <reference field="11" count="1">
            <x v="12"/>
          </reference>
        </references>
      </pivotArea>
    </format>
    <format dxfId="3279">
      <pivotArea dataOnly="0" labelOnly="1" outline="0" fieldPosition="0">
        <references count="3">
          <reference field="3" count="1" selected="0">
            <x v="174"/>
          </reference>
          <reference field="4" count="1" selected="0">
            <x v="1363"/>
          </reference>
          <reference field="11" count="1">
            <x v="11"/>
          </reference>
        </references>
      </pivotArea>
    </format>
    <format dxfId="3278">
      <pivotArea dataOnly="0" labelOnly="1" outline="0" fieldPosition="0">
        <references count="3">
          <reference field="3" count="1" selected="0">
            <x v="204"/>
          </reference>
          <reference field="4" count="1" selected="0">
            <x v="106"/>
          </reference>
          <reference field="11" count="1">
            <x v="12"/>
          </reference>
        </references>
      </pivotArea>
    </format>
    <format dxfId="3277">
      <pivotArea dataOnly="0" labelOnly="1" outline="0" fieldPosition="0">
        <references count="3">
          <reference field="3" count="1" selected="0">
            <x v="234"/>
          </reference>
          <reference field="4" count="1" selected="0">
            <x v="1777"/>
          </reference>
          <reference field="11" count="1">
            <x v="11"/>
          </reference>
        </references>
      </pivotArea>
    </format>
    <format dxfId="3276">
      <pivotArea dataOnly="0" labelOnly="1" outline="0" fieldPosition="0">
        <references count="3">
          <reference field="3" count="1" selected="0">
            <x v="251"/>
          </reference>
          <reference field="4" count="1" selected="0">
            <x v="770"/>
          </reference>
          <reference field="11" count="1">
            <x v="12"/>
          </reference>
        </references>
      </pivotArea>
    </format>
    <format dxfId="3275">
      <pivotArea dataOnly="0" labelOnly="1" outline="0" fieldPosition="0">
        <references count="3">
          <reference field="3" count="1" selected="0">
            <x v="276"/>
          </reference>
          <reference field="4" count="1" selected="0">
            <x v="1531"/>
          </reference>
          <reference field="11" count="1">
            <x v="11"/>
          </reference>
        </references>
      </pivotArea>
    </format>
    <format dxfId="3274">
      <pivotArea dataOnly="0" labelOnly="1" outline="0" fieldPosition="0">
        <references count="3">
          <reference field="3" count="1" selected="0">
            <x v="375"/>
          </reference>
          <reference field="4" count="1" selected="0">
            <x v="1105"/>
          </reference>
          <reference field="11" count="1">
            <x v="11"/>
          </reference>
        </references>
      </pivotArea>
    </format>
    <format dxfId="3273">
      <pivotArea dataOnly="0" labelOnly="1" outline="0" fieldPosition="0">
        <references count="3">
          <reference field="3" count="1" selected="0">
            <x v="379"/>
          </reference>
          <reference field="4" count="1" selected="0">
            <x v="730"/>
          </reference>
          <reference field="11" count="1">
            <x v="12"/>
          </reference>
        </references>
      </pivotArea>
    </format>
    <format dxfId="3272">
      <pivotArea dataOnly="0" labelOnly="1" outline="0" fieldPosition="0">
        <references count="3">
          <reference field="3" count="1" selected="0">
            <x v="492"/>
          </reference>
          <reference field="4" count="1" selected="0">
            <x v="2"/>
          </reference>
          <reference field="11" count="1">
            <x v="11"/>
          </reference>
        </references>
      </pivotArea>
    </format>
    <format dxfId="3271">
      <pivotArea dataOnly="0" labelOnly="1" outline="0" fieldPosition="0">
        <references count="3">
          <reference field="3" count="1" selected="0">
            <x v="503"/>
          </reference>
          <reference field="4" count="1" selected="0">
            <x v="277"/>
          </reference>
          <reference field="11" count="1">
            <x v="11"/>
          </reference>
        </references>
      </pivotArea>
    </format>
    <format dxfId="3270">
      <pivotArea dataOnly="0" labelOnly="1" outline="0" fieldPosition="0">
        <references count="3">
          <reference field="3" count="1" selected="0">
            <x v="745"/>
          </reference>
          <reference field="4" count="1" selected="0">
            <x v="1248"/>
          </reference>
          <reference field="11" count="1">
            <x v="12"/>
          </reference>
        </references>
      </pivotArea>
    </format>
    <format dxfId="3269">
      <pivotArea dataOnly="0" labelOnly="1" outline="0" fieldPosition="0">
        <references count="3">
          <reference field="3" count="1" selected="0">
            <x v="782"/>
          </reference>
          <reference field="4" count="1" selected="0">
            <x v="1729"/>
          </reference>
          <reference field="11" count="1">
            <x v="11"/>
          </reference>
        </references>
      </pivotArea>
    </format>
    <format dxfId="3268">
      <pivotArea dataOnly="0" labelOnly="1" outline="0" fieldPosition="0">
        <references count="3">
          <reference field="3" count="1" selected="0">
            <x v="1069"/>
          </reference>
          <reference field="4" count="1" selected="0">
            <x v="710"/>
          </reference>
          <reference field="11" count="1">
            <x v="11"/>
          </reference>
        </references>
      </pivotArea>
    </format>
    <format dxfId="3267">
      <pivotArea dataOnly="0" labelOnly="1" outline="0" fieldPosition="0">
        <references count="3">
          <reference field="3" count="1" selected="0">
            <x v="1167"/>
          </reference>
          <reference field="4" count="1" selected="0">
            <x v="1177"/>
          </reference>
          <reference field="11" count="1">
            <x v="11"/>
          </reference>
        </references>
      </pivotArea>
    </format>
    <format dxfId="3266">
      <pivotArea dataOnly="0" labelOnly="1" outline="0" fieldPosition="0">
        <references count="3">
          <reference field="3" count="1" selected="0">
            <x v="1196"/>
          </reference>
          <reference field="4" count="1" selected="0">
            <x v="701"/>
          </reference>
          <reference field="11" count="1">
            <x v="11"/>
          </reference>
        </references>
      </pivotArea>
    </format>
    <format dxfId="3265">
      <pivotArea dataOnly="0" labelOnly="1" outline="0" fieldPosition="0">
        <references count="3">
          <reference field="3" count="1" selected="0">
            <x v="1198"/>
          </reference>
          <reference field="4" count="1" selected="0">
            <x v="22"/>
          </reference>
          <reference field="11" count="1">
            <x v="12"/>
          </reference>
        </references>
      </pivotArea>
    </format>
    <format dxfId="3264">
      <pivotArea dataOnly="0" labelOnly="1" outline="0" fieldPosition="0">
        <references count="3">
          <reference field="3" count="1" selected="0">
            <x v="1715"/>
          </reference>
          <reference field="4" count="1" selected="0">
            <x v="305"/>
          </reference>
          <reference field="11" count="1">
            <x v="11"/>
          </reference>
        </references>
      </pivotArea>
    </format>
    <format dxfId="3263">
      <pivotArea dataOnly="0" labelOnly="1" outline="0" fieldPosition="0">
        <references count="3">
          <reference field="3" count="1" selected="0">
            <x v="1717"/>
          </reference>
          <reference field="4" count="1" selected="0">
            <x v="1500"/>
          </reference>
          <reference field="11" count="1">
            <x v="12"/>
          </reference>
        </references>
      </pivotArea>
    </format>
    <format dxfId="3262">
      <pivotArea dataOnly="0" labelOnly="1" outline="0" fieldPosition="0">
        <references count="3">
          <reference field="3" count="1" selected="0">
            <x v="1741"/>
          </reference>
          <reference field="4" count="1" selected="0">
            <x v="642"/>
          </reference>
          <reference field="11" count="1">
            <x v="11"/>
          </reference>
        </references>
      </pivotArea>
    </format>
    <format dxfId="3261">
      <pivotArea dataOnly="0" labelOnly="1" outline="0" fieldPosition="0">
        <references count="3">
          <reference field="3" count="1" selected="0">
            <x v="1746"/>
          </reference>
          <reference field="4" count="1" selected="0">
            <x v="43"/>
          </reference>
          <reference field="11" count="1">
            <x v="11"/>
          </reference>
        </references>
      </pivotArea>
    </format>
    <format dxfId="3260">
      <pivotArea dataOnly="0" labelOnly="1" outline="0" fieldPosition="0">
        <references count="3">
          <reference field="3" count="1" selected="0">
            <x v="1750"/>
          </reference>
          <reference field="4" count="1" selected="0">
            <x v="698"/>
          </reference>
          <reference field="11" count="1">
            <x v="11"/>
          </reference>
        </references>
      </pivotArea>
    </format>
    <format dxfId="3259">
      <pivotArea dataOnly="0" labelOnly="1" outline="0" fieldPosition="0">
        <references count="3">
          <reference field="3" count="1" selected="0">
            <x v="1753"/>
          </reference>
          <reference field="4" count="1" selected="0">
            <x v="871"/>
          </reference>
          <reference field="11" count="1">
            <x v="11"/>
          </reference>
        </references>
      </pivotArea>
    </format>
    <format dxfId="3258">
      <pivotArea dataOnly="0" labelOnly="1" outline="0" fieldPosition="0">
        <references count="3">
          <reference field="3" count="1" selected="0">
            <x v="1767"/>
          </reference>
          <reference field="4" count="1" selected="0">
            <x v="26"/>
          </reference>
          <reference field="11" count="1">
            <x v="11"/>
          </reference>
        </references>
      </pivotArea>
    </format>
    <format dxfId="3257">
      <pivotArea dataOnly="0" labelOnly="1" outline="0" fieldPosition="0">
        <references count="3">
          <reference field="3" count="1" selected="0">
            <x v="1785"/>
          </reference>
          <reference field="4" count="1" selected="0">
            <x v="121"/>
          </reference>
          <reference field="11" count="1">
            <x v="11"/>
          </reference>
        </references>
      </pivotArea>
    </format>
    <format dxfId="3256">
      <pivotArea dataOnly="0" labelOnly="1" outline="0" fieldPosition="0">
        <references count="3">
          <reference field="3" count="1" selected="0">
            <x v="1903"/>
          </reference>
          <reference field="4" count="1" selected="0">
            <x v="1612"/>
          </reference>
          <reference field="11" count="1">
            <x v="12"/>
          </reference>
        </references>
      </pivotArea>
    </format>
    <format dxfId="3255">
      <pivotArea dataOnly="0" labelOnly="1" outline="0" fieldPosition="0">
        <references count="3">
          <reference field="3" count="1" selected="0">
            <x v="2144"/>
          </reference>
          <reference field="4" count="1" selected="0">
            <x v="1510"/>
          </reference>
          <reference field="11" count="1">
            <x v="12"/>
          </reference>
        </references>
      </pivotArea>
    </format>
    <format dxfId="3254">
      <pivotArea dataOnly="0" labelOnly="1" outline="0" fieldPosition="0">
        <references count="4">
          <reference field="3" count="1" selected="0">
            <x v="56"/>
          </reference>
          <reference field="4" count="1" selected="0">
            <x v="135"/>
          </reference>
          <reference field="11" count="1" selected="0">
            <x v="12"/>
          </reference>
          <reference field="14" count="1">
            <x v="808"/>
          </reference>
        </references>
      </pivotArea>
    </format>
    <format dxfId="3253">
      <pivotArea dataOnly="0" labelOnly="1" outline="0" fieldPosition="0">
        <references count="4">
          <reference field="3" count="1" selected="0">
            <x v="81"/>
          </reference>
          <reference field="4" count="1" selected="0">
            <x v="1470"/>
          </reference>
          <reference field="11" count="1" selected="0">
            <x v="12"/>
          </reference>
          <reference field="14" count="1">
            <x v="217"/>
          </reference>
        </references>
      </pivotArea>
    </format>
    <format dxfId="3252">
      <pivotArea dataOnly="0" labelOnly="1" outline="0" fieldPosition="0">
        <references count="4">
          <reference field="3" count="1" selected="0">
            <x v="112"/>
          </reference>
          <reference field="4" count="1" selected="0">
            <x v="397"/>
          </reference>
          <reference field="11" count="1" selected="0">
            <x v="12"/>
          </reference>
          <reference field="14" count="1">
            <x v="656"/>
          </reference>
        </references>
      </pivotArea>
    </format>
    <format dxfId="3251">
      <pivotArea dataOnly="0" labelOnly="1" outline="0" fieldPosition="0">
        <references count="4">
          <reference field="3" count="1" selected="0">
            <x v="122"/>
          </reference>
          <reference field="4" count="1" selected="0">
            <x v="1001"/>
          </reference>
          <reference field="11" count="1" selected="0">
            <x v="12"/>
          </reference>
          <reference field="14" count="1">
            <x v="369"/>
          </reference>
        </references>
      </pivotArea>
    </format>
    <format dxfId="3250">
      <pivotArea dataOnly="0" labelOnly="1" outline="0" fieldPosition="0">
        <references count="4">
          <reference field="3" count="1" selected="0">
            <x v="152"/>
          </reference>
          <reference field="4" count="1" selected="0">
            <x v="832"/>
          </reference>
          <reference field="11" count="1" selected="0">
            <x v="12"/>
          </reference>
          <reference field="14" count="1">
            <x v="136"/>
          </reference>
        </references>
      </pivotArea>
    </format>
    <format dxfId="3249">
      <pivotArea dataOnly="0" labelOnly="1" outline="0" fieldPosition="0">
        <references count="4">
          <reference field="3" count="1" selected="0">
            <x v="153"/>
          </reference>
          <reference field="4" count="1" selected="0">
            <x v="792"/>
          </reference>
          <reference field="11" count="1" selected="0">
            <x v="12"/>
          </reference>
          <reference field="14" count="1">
            <x v="125"/>
          </reference>
        </references>
      </pivotArea>
    </format>
    <format dxfId="3248">
      <pivotArea dataOnly="0" labelOnly="1" outline="0" fieldPosition="0">
        <references count="4">
          <reference field="3" count="1" selected="0">
            <x v="174"/>
          </reference>
          <reference field="4" count="1" selected="0">
            <x v="1363"/>
          </reference>
          <reference field="11" count="1" selected="0">
            <x v="11"/>
          </reference>
          <reference field="14" count="1">
            <x v="412"/>
          </reference>
        </references>
      </pivotArea>
    </format>
    <format dxfId="3247">
      <pivotArea dataOnly="0" labelOnly="1" outline="0" fieldPosition="0">
        <references count="4">
          <reference field="3" count="1" selected="0">
            <x v="189"/>
          </reference>
          <reference field="4" count="1" selected="0">
            <x v="1480"/>
          </reference>
          <reference field="11" count="1" selected="0">
            <x v="12"/>
          </reference>
          <reference field="14" count="1">
            <x v="350"/>
          </reference>
        </references>
      </pivotArea>
    </format>
    <format dxfId="3246">
      <pivotArea dataOnly="0" labelOnly="1" outline="0" fieldPosition="0">
        <references count="4">
          <reference field="3" count="1" selected="0">
            <x v="190"/>
          </reference>
          <reference field="4" count="1" selected="0">
            <x v="672"/>
          </reference>
          <reference field="11" count="1" selected="0">
            <x v="12"/>
          </reference>
          <reference field="14" count="1">
            <x v="106"/>
          </reference>
        </references>
      </pivotArea>
    </format>
    <format dxfId="3245">
      <pivotArea dataOnly="0" labelOnly="1" outline="0" fieldPosition="0">
        <references count="4">
          <reference field="3" count="1" selected="0">
            <x v="199"/>
          </reference>
          <reference field="4" count="1" selected="0">
            <x v="766"/>
          </reference>
          <reference field="11" count="1" selected="0">
            <x v="12"/>
          </reference>
          <reference field="14" count="1">
            <x v="629"/>
          </reference>
        </references>
      </pivotArea>
    </format>
    <format dxfId="3244">
      <pivotArea dataOnly="0" labelOnly="1" outline="0" fieldPosition="0">
        <references count="4">
          <reference field="3" count="1" selected="0">
            <x v="204"/>
          </reference>
          <reference field="4" count="1" selected="0">
            <x v="106"/>
          </reference>
          <reference field="11" count="1" selected="0">
            <x v="12"/>
          </reference>
          <reference field="14" count="1">
            <x v="851"/>
          </reference>
        </references>
      </pivotArea>
    </format>
    <format dxfId="3243">
      <pivotArea dataOnly="0" labelOnly="1" outline="0" fieldPosition="0">
        <references count="4">
          <reference field="3" count="1" selected="0">
            <x v="206"/>
          </reference>
          <reference field="4" count="1" selected="0">
            <x v="1232"/>
          </reference>
          <reference field="11" count="1" selected="0">
            <x v="12"/>
          </reference>
          <reference field="14" count="1">
            <x v="135"/>
          </reference>
        </references>
      </pivotArea>
    </format>
    <format dxfId="3242">
      <pivotArea dataOnly="0" labelOnly="1" outline="0" fieldPosition="0">
        <references count="4">
          <reference field="3" count="1" selected="0">
            <x v="234"/>
          </reference>
          <reference field="4" count="1" selected="0">
            <x v="1777"/>
          </reference>
          <reference field="11" count="1" selected="0">
            <x v="11"/>
          </reference>
          <reference field="14" count="1">
            <x v="678"/>
          </reference>
        </references>
      </pivotArea>
    </format>
    <format dxfId="3241">
      <pivotArea dataOnly="0" labelOnly="1" outline="0" fieldPosition="0">
        <references count="4">
          <reference field="3" count="1" selected="0">
            <x v="251"/>
          </reference>
          <reference field="4" count="1" selected="0">
            <x v="770"/>
          </reference>
          <reference field="11" count="1" selected="0">
            <x v="12"/>
          </reference>
          <reference field="14" count="1">
            <x v="438"/>
          </reference>
        </references>
      </pivotArea>
    </format>
    <format dxfId="3240">
      <pivotArea dataOnly="0" labelOnly="1" outline="0" fieldPosition="0">
        <references count="4">
          <reference field="3" count="1" selected="0">
            <x v="253"/>
          </reference>
          <reference field="4" count="1" selected="0">
            <x v="1240"/>
          </reference>
          <reference field="11" count="1" selected="0">
            <x v="12"/>
          </reference>
          <reference field="14" count="1">
            <x v="763"/>
          </reference>
        </references>
      </pivotArea>
    </format>
    <format dxfId="3239">
      <pivotArea dataOnly="0" labelOnly="1" outline="0" fieldPosition="0">
        <references count="4">
          <reference field="3" count="1" selected="0">
            <x v="259"/>
          </reference>
          <reference field="4" count="1" selected="0">
            <x v="948"/>
          </reference>
          <reference field="11" count="1" selected="0">
            <x v="12"/>
          </reference>
          <reference field="14" count="1">
            <x v="815"/>
          </reference>
        </references>
      </pivotArea>
    </format>
    <format dxfId="3238">
      <pivotArea dataOnly="0" labelOnly="1" outline="0" fieldPosition="0">
        <references count="4">
          <reference field="3" count="1" selected="0">
            <x v="269"/>
          </reference>
          <reference field="4" count="1" selected="0">
            <x v="1384"/>
          </reference>
          <reference field="11" count="1" selected="0">
            <x v="12"/>
          </reference>
          <reference field="14" count="1">
            <x v="338"/>
          </reference>
        </references>
      </pivotArea>
    </format>
    <format dxfId="3237">
      <pivotArea dataOnly="0" labelOnly="1" outline="0" fieldPosition="0">
        <references count="4">
          <reference field="3" count="1" selected="0">
            <x v="276"/>
          </reference>
          <reference field="4" count="1" selected="0">
            <x v="1531"/>
          </reference>
          <reference field="11" count="1" selected="0">
            <x v="11"/>
          </reference>
          <reference field="14" count="1">
            <x v="279"/>
          </reference>
        </references>
      </pivotArea>
    </format>
    <format dxfId="3236">
      <pivotArea dataOnly="0" labelOnly="1" outline="0" fieldPosition="0">
        <references count="4">
          <reference field="3" count="1" selected="0">
            <x v="292"/>
          </reference>
          <reference field="4" count="1" selected="0">
            <x v="506"/>
          </reference>
          <reference field="11" count="1" selected="0">
            <x v="12"/>
          </reference>
          <reference field="14" count="1">
            <x v="981"/>
          </reference>
        </references>
      </pivotArea>
    </format>
    <format dxfId="3235">
      <pivotArea dataOnly="0" labelOnly="1" outline="0" fieldPosition="0">
        <references count="4">
          <reference field="3" count="1" selected="0">
            <x v="356"/>
          </reference>
          <reference field="4" count="1" selected="0">
            <x v="848"/>
          </reference>
          <reference field="11" count="1" selected="0">
            <x v="12"/>
          </reference>
          <reference field="14" count="1">
            <x v="428"/>
          </reference>
        </references>
      </pivotArea>
    </format>
    <format dxfId="3234">
      <pivotArea dataOnly="0" labelOnly="1" outline="0" fieldPosition="0">
        <references count="4">
          <reference field="3" count="1" selected="0">
            <x v="360"/>
          </reference>
          <reference field="4" count="1" selected="0">
            <x v="1488"/>
          </reference>
          <reference field="11" count="1" selected="0">
            <x v="12"/>
          </reference>
          <reference field="14" count="1">
            <x v="755"/>
          </reference>
        </references>
      </pivotArea>
    </format>
    <format dxfId="3233">
      <pivotArea dataOnly="0" labelOnly="1" outline="0" fieldPosition="0">
        <references count="4">
          <reference field="3" count="1" selected="0">
            <x v="375"/>
          </reference>
          <reference field="4" count="1" selected="0">
            <x v="1105"/>
          </reference>
          <reference field="11" count="1" selected="0">
            <x v="11"/>
          </reference>
          <reference field="14" count="1">
            <x v="129"/>
          </reference>
        </references>
      </pivotArea>
    </format>
    <format dxfId="3232">
      <pivotArea dataOnly="0" labelOnly="1" outline="0" fieldPosition="0">
        <references count="4">
          <reference field="3" count="1" selected="0">
            <x v="379"/>
          </reference>
          <reference field="4" count="1" selected="0">
            <x v="730"/>
          </reference>
          <reference field="11" count="1" selected="0">
            <x v="12"/>
          </reference>
          <reference field="14" count="1">
            <x v="255"/>
          </reference>
        </references>
      </pivotArea>
    </format>
    <format dxfId="3231">
      <pivotArea dataOnly="0" labelOnly="1" outline="0" fieldPosition="0">
        <references count="4">
          <reference field="3" count="1" selected="0">
            <x v="388"/>
          </reference>
          <reference field="4" count="1" selected="0">
            <x v="256"/>
          </reference>
          <reference field="11" count="1" selected="0">
            <x v="12"/>
          </reference>
          <reference field="14" count="1">
            <x v="204"/>
          </reference>
        </references>
      </pivotArea>
    </format>
    <format dxfId="3230">
      <pivotArea dataOnly="0" labelOnly="1" outline="0" fieldPosition="0">
        <references count="4">
          <reference field="3" count="1" selected="0">
            <x v="398"/>
          </reference>
          <reference field="4" count="1" selected="0">
            <x v="645"/>
          </reference>
          <reference field="11" count="1" selected="0">
            <x v="12"/>
          </reference>
          <reference field="14" count="1">
            <x v="500"/>
          </reference>
        </references>
      </pivotArea>
    </format>
    <format dxfId="3229">
      <pivotArea dataOnly="0" labelOnly="1" outline="0" fieldPosition="0">
        <references count="4">
          <reference field="3" count="1" selected="0">
            <x v="458"/>
          </reference>
          <reference field="4" count="1" selected="0">
            <x v="816"/>
          </reference>
          <reference field="11" count="1" selected="0">
            <x v="12"/>
          </reference>
          <reference field="14" count="1">
            <x v="402"/>
          </reference>
        </references>
      </pivotArea>
    </format>
    <format dxfId="3228">
      <pivotArea dataOnly="0" labelOnly="1" outline="0" fieldPosition="0">
        <references count="4">
          <reference field="3" count="1" selected="0">
            <x v="460"/>
          </reference>
          <reference field="4" count="1" selected="0">
            <x v="1877"/>
          </reference>
          <reference field="11" count="1" selected="0">
            <x v="12"/>
          </reference>
          <reference field="14" count="1">
            <x v="373"/>
          </reference>
        </references>
      </pivotArea>
    </format>
    <format dxfId="3227">
      <pivotArea dataOnly="0" labelOnly="1" outline="0" fieldPosition="0">
        <references count="4">
          <reference field="3" count="1" selected="0">
            <x v="477"/>
          </reference>
          <reference field="4" count="1" selected="0">
            <x v="271"/>
          </reference>
          <reference field="11" count="1" selected="0">
            <x v="12"/>
          </reference>
          <reference field="14" count="1">
            <x v="684"/>
          </reference>
        </references>
      </pivotArea>
    </format>
    <format dxfId="3226">
      <pivotArea dataOnly="0" labelOnly="1" outline="0" fieldPosition="0">
        <references count="4">
          <reference field="3" count="1" selected="0">
            <x v="480"/>
          </reference>
          <reference field="4" count="1" selected="0">
            <x v="207"/>
          </reference>
          <reference field="11" count="1" selected="0">
            <x v="12"/>
          </reference>
          <reference field="14" count="1">
            <x v="119"/>
          </reference>
        </references>
      </pivotArea>
    </format>
    <format dxfId="3225">
      <pivotArea dataOnly="0" labelOnly="1" outline="0" fieldPosition="0">
        <references count="4">
          <reference field="3" count="1" selected="0">
            <x v="481"/>
          </reference>
          <reference field="4" count="1" selected="0">
            <x v="1197"/>
          </reference>
          <reference field="11" count="1" selected="0">
            <x v="12"/>
          </reference>
          <reference field="14" count="1">
            <x v="757"/>
          </reference>
        </references>
      </pivotArea>
    </format>
    <format dxfId="3224">
      <pivotArea dataOnly="0" labelOnly="1" outline="0" fieldPosition="0">
        <references count="4">
          <reference field="3" count="1" selected="0">
            <x v="492"/>
          </reference>
          <reference field="4" count="1" selected="0">
            <x v="2"/>
          </reference>
          <reference field="11" count="1" selected="0">
            <x v="11"/>
          </reference>
          <reference field="14" count="1">
            <x v="3"/>
          </reference>
        </references>
      </pivotArea>
    </format>
    <format dxfId="3223">
      <pivotArea dataOnly="0" labelOnly="1" outline="0" fieldPosition="0">
        <references count="4">
          <reference field="3" count="1" selected="0">
            <x v="503"/>
          </reference>
          <reference field="4" count="1" selected="0">
            <x v="277"/>
          </reference>
          <reference field="11" count="1" selected="0">
            <x v="11"/>
          </reference>
          <reference field="14" count="1">
            <x v="277"/>
          </reference>
        </references>
      </pivotArea>
    </format>
    <format dxfId="3222">
      <pivotArea dataOnly="0" labelOnly="1" outline="0" fieldPosition="0">
        <references count="4">
          <reference field="3" count="1" selected="0">
            <x v="535"/>
          </reference>
          <reference field="4" count="1" selected="0">
            <x v="92"/>
          </reference>
          <reference field="11" count="1" selected="0">
            <x v="12"/>
          </reference>
          <reference field="14" count="1">
            <x v="689"/>
          </reference>
        </references>
      </pivotArea>
    </format>
    <format dxfId="3221">
      <pivotArea dataOnly="0" labelOnly="1" outline="0" fieldPosition="0">
        <references count="4">
          <reference field="3" count="1" selected="0">
            <x v="541"/>
          </reference>
          <reference field="4" count="1" selected="0">
            <x v="1465"/>
          </reference>
          <reference field="11" count="1" selected="0">
            <x v="12"/>
          </reference>
          <reference field="14" count="1">
            <x v="189"/>
          </reference>
        </references>
      </pivotArea>
    </format>
    <format dxfId="3220">
      <pivotArea dataOnly="0" labelOnly="1" outline="0" fieldPosition="0">
        <references count="4">
          <reference field="3" count="1" selected="0">
            <x v="558"/>
          </reference>
          <reference field="4" count="1" selected="0">
            <x v="2153"/>
          </reference>
          <reference field="11" count="1" selected="0">
            <x v="12"/>
          </reference>
          <reference field="14" count="1">
            <x v="854"/>
          </reference>
        </references>
      </pivotArea>
    </format>
    <format dxfId="3219">
      <pivotArea dataOnly="0" labelOnly="1" outline="0" fieldPosition="0">
        <references count="4">
          <reference field="3" count="1" selected="0">
            <x v="587"/>
          </reference>
          <reference field="4" count="1" selected="0">
            <x v="979"/>
          </reference>
          <reference field="11" count="1" selected="0">
            <x v="11"/>
          </reference>
          <reference field="14" count="1">
            <x v="450"/>
          </reference>
        </references>
      </pivotArea>
    </format>
    <format dxfId="3218">
      <pivotArea dataOnly="0" labelOnly="1" outline="0" fieldPosition="0">
        <references count="4">
          <reference field="3" count="1" selected="0">
            <x v="599"/>
          </reference>
          <reference field="4" count="1" selected="0">
            <x v="1884"/>
          </reference>
          <reference field="11" count="1" selected="0">
            <x v="12"/>
          </reference>
          <reference field="14" count="1">
            <x v="916"/>
          </reference>
        </references>
      </pivotArea>
    </format>
    <format dxfId="3217">
      <pivotArea dataOnly="0" labelOnly="1" outline="0" fieldPosition="0">
        <references count="4">
          <reference field="3" count="1" selected="0">
            <x v="622"/>
          </reference>
          <reference field="4" count="1" selected="0">
            <x v="1875"/>
          </reference>
          <reference field="11" count="1" selected="0">
            <x v="12"/>
          </reference>
          <reference field="14" count="1">
            <x v="87"/>
          </reference>
        </references>
      </pivotArea>
    </format>
    <format dxfId="3216">
      <pivotArea dataOnly="0" labelOnly="1" outline="0" fieldPosition="0">
        <references count="4">
          <reference field="3" count="1" selected="0">
            <x v="625"/>
          </reference>
          <reference field="4" count="1" selected="0">
            <x v="1987"/>
          </reference>
          <reference field="11" count="1" selected="0">
            <x v="12"/>
          </reference>
          <reference field="14" count="1">
            <x v="852"/>
          </reference>
        </references>
      </pivotArea>
    </format>
    <format dxfId="3215">
      <pivotArea dataOnly="0" labelOnly="1" outline="0" fieldPosition="0">
        <references count="4">
          <reference field="3" count="1" selected="0">
            <x v="683"/>
          </reference>
          <reference field="4" count="1" selected="0">
            <x v="865"/>
          </reference>
          <reference field="11" count="1" selected="0">
            <x v="12"/>
          </reference>
          <reference field="14" count="1">
            <x v="365"/>
          </reference>
        </references>
      </pivotArea>
    </format>
    <format dxfId="3214">
      <pivotArea dataOnly="0" labelOnly="1" outline="0" fieldPosition="0">
        <references count="4">
          <reference field="3" count="1" selected="0">
            <x v="695"/>
          </reference>
          <reference field="4" count="1" selected="0">
            <x v="972"/>
          </reference>
          <reference field="11" count="1" selected="0">
            <x v="12"/>
          </reference>
          <reference field="14" count="1">
            <x v="721"/>
          </reference>
        </references>
      </pivotArea>
    </format>
    <format dxfId="3213">
      <pivotArea dataOnly="0" labelOnly="1" outline="0" fieldPosition="0">
        <references count="4">
          <reference field="3" count="1" selected="0">
            <x v="709"/>
          </reference>
          <reference field="4" count="1" selected="0">
            <x v="2176"/>
          </reference>
          <reference field="11" count="1" selected="0">
            <x v="12"/>
          </reference>
          <reference field="14" count="1">
            <x v="895"/>
          </reference>
        </references>
      </pivotArea>
    </format>
    <format dxfId="3212">
      <pivotArea dataOnly="0" labelOnly="1" outline="0" fieldPosition="0">
        <references count="4">
          <reference field="3" count="1" selected="0">
            <x v="718"/>
          </reference>
          <reference field="4" count="1" selected="0">
            <x v="1945"/>
          </reference>
          <reference field="11" count="1" selected="0">
            <x v="12"/>
          </reference>
          <reference field="14" count="1">
            <x v="862"/>
          </reference>
        </references>
      </pivotArea>
    </format>
    <format dxfId="3211">
      <pivotArea dataOnly="0" labelOnly="1" outline="0" fieldPosition="0">
        <references count="4">
          <reference field="3" count="1" selected="0">
            <x v="730"/>
          </reference>
          <reference field="4" count="1" selected="0">
            <x v="2167"/>
          </reference>
          <reference field="11" count="1" selected="0">
            <x v="12"/>
          </reference>
          <reference field="14" count="1">
            <x v="834"/>
          </reference>
        </references>
      </pivotArea>
    </format>
    <format dxfId="3210">
      <pivotArea dataOnly="0" labelOnly="1" outline="0" fieldPosition="0">
        <references count="4">
          <reference field="3" count="1" selected="0">
            <x v="745"/>
          </reference>
          <reference field="4" count="1" selected="0">
            <x v="1248"/>
          </reference>
          <reference field="11" count="1" selected="0">
            <x v="12"/>
          </reference>
          <reference field="14" count="1">
            <x v="876"/>
          </reference>
        </references>
      </pivotArea>
    </format>
    <format dxfId="3209">
      <pivotArea dataOnly="0" labelOnly="1" outline="0" fieldPosition="0">
        <references count="4">
          <reference field="3" count="1" selected="0">
            <x v="756"/>
          </reference>
          <reference field="4" count="1" selected="0">
            <x v="762"/>
          </reference>
          <reference field="11" count="1" selected="0">
            <x v="12"/>
          </reference>
          <reference field="14" count="1">
            <x v="99"/>
          </reference>
        </references>
      </pivotArea>
    </format>
    <format dxfId="3208">
      <pivotArea dataOnly="0" labelOnly="1" outline="0" fieldPosition="0">
        <references count="4">
          <reference field="3" count="1" selected="0">
            <x v="759"/>
          </reference>
          <reference field="4" count="1" selected="0">
            <x v="154"/>
          </reference>
          <reference field="11" count="1" selected="0">
            <x v="12"/>
          </reference>
          <reference field="14" count="1">
            <x v="107"/>
          </reference>
        </references>
      </pivotArea>
    </format>
    <format dxfId="3207">
      <pivotArea dataOnly="0" labelOnly="1" outline="0" fieldPosition="0">
        <references count="4">
          <reference field="3" count="1" selected="0">
            <x v="774"/>
          </reference>
          <reference field="4" count="1" selected="0">
            <x v="458"/>
          </reference>
          <reference field="11" count="1" selected="0">
            <x v="12"/>
          </reference>
          <reference field="14" count="1">
            <x v="468"/>
          </reference>
        </references>
      </pivotArea>
    </format>
    <format dxfId="3206">
      <pivotArea dataOnly="0" labelOnly="1" outline="0" fieldPosition="0">
        <references count="4">
          <reference field="3" count="1" selected="0">
            <x v="782"/>
          </reference>
          <reference field="4" count="1" selected="0">
            <x v="1729"/>
          </reference>
          <reference field="11" count="1" selected="0">
            <x v="11"/>
          </reference>
          <reference field="14" count="1">
            <x v="263"/>
          </reference>
        </references>
      </pivotArea>
    </format>
    <format dxfId="3205">
      <pivotArea dataOnly="0" labelOnly="1" outline="0" fieldPosition="0">
        <references count="4">
          <reference field="3" count="1" selected="0">
            <x v="809"/>
          </reference>
          <reference field="4" count="1" selected="0">
            <x v="1297"/>
          </reference>
          <reference field="11" count="1" selected="0">
            <x v="12"/>
          </reference>
          <reference field="14" count="1">
            <x v="116"/>
          </reference>
        </references>
      </pivotArea>
    </format>
    <format dxfId="3204">
      <pivotArea dataOnly="0" labelOnly="1" outline="0" fieldPosition="0">
        <references count="4">
          <reference field="3" count="1" selected="0">
            <x v="839"/>
          </reference>
          <reference field="4" count="1" selected="0">
            <x v="1422"/>
          </reference>
          <reference field="11" count="1" selected="0">
            <x v="12"/>
          </reference>
          <reference field="14" count="1">
            <x v="219"/>
          </reference>
        </references>
      </pivotArea>
    </format>
    <format dxfId="3203">
      <pivotArea dataOnly="0" labelOnly="1" outline="0" fieldPosition="0">
        <references count="4">
          <reference field="3" count="1" selected="0">
            <x v="850"/>
          </reference>
          <reference field="4" count="1" selected="0">
            <x v="1950"/>
          </reference>
          <reference field="11" count="1" selected="0">
            <x v="12"/>
          </reference>
          <reference field="14" count="1">
            <x v="873"/>
          </reference>
        </references>
      </pivotArea>
    </format>
    <format dxfId="3202">
      <pivotArea dataOnly="0" labelOnly="1" outline="0" fieldPosition="0">
        <references count="4">
          <reference field="3" count="1" selected="0">
            <x v="873"/>
          </reference>
          <reference field="4" count="1" selected="0">
            <x v="1881"/>
          </reference>
          <reference field="11" count="1" selected="0">
            <x v="12"/>
          </reference>
          <reference field="14" count="1">
            <x v="72"/>
          </reference>
        </references>
      </pivotArea>
    </format>
    <format dxfId="3201">
      <pivotArea dataOnly="0" labelOnly="1" outline="0" fieldPosition="0">
        <references count="4">
          <reference field="3" count="1" selected="0">
            <x v="881"/>
          </reference>
          <reference field="4" count="1" selected="0">
            <x v="514"/>
          </reference>
          <reference field="11" count="1" selected="0">
            <x v="12"/>
          </reference>
          <reference field="14" count="1">
            <x v="291"/>
          </reference>
        </references>
      </pivotArea>
    </format>
    <format dxfId="3200">
      <pivotArea dataOnly="0" labelOnly="1" outline="0" fieldPosition="0">
        <references count="4">
          <reference field="3" count="1" selected="0">
            <x v="884"/>
          </reference>
          <reference field="4" count="1" selected="0">
            <x v="1262"/>
          </reference>
          <reference field="11" count="1" selected="0">
            <x v="12"/>
          </reference>
          <reference field="14" count="1">
            <x v="100"/>
          </reference>
        </references>
      </pivotArea>
    </format>
    <format dxfId="3199">
      <pivotArea dataOnly="0" labelOnly="1" outline="0" fieldPosition="0">
        <references count="4">
          <reference field="3" count="1" selected="0">
            <x v="913"/>
          </reference>
          <reference field="4" count="1" selected="0">
            <x v="983"/>
          </reference>
          <reference field="11" count="1" selected="0">
            <x v="12"/>
          </reference>
          <reference field="14" count="1">
            <x v="813"/>
          </reference>
        </references>
      </pivotArea>
    </format>
    <format dxfId="3198">
      <pivotArea dataOnly="0" labelOnly="1" outline="0" fieldPosition="0">
        <references count="4">
          <reference field="3" count="1" selected="0">
            <x v="948"/>
          </reference>
          <reference field="4" count="1" selected="0">
            <x v="1728"/>
          </reference>
          <reference field="11" count="1" selected="0">
            <x v="12"/>
          </reference>
          <reference field="14" count="1">
            <x v="197"/>
          </reference>
        </references>
      </pivotArea>
    </format>
    <format dxfId="3197">
      <pivotArea dataOnly="0" labelOnly="1" outline="0" fieldPosition="0">
        <references count="4">
          <reference field="3" count="1" selected="0">
            <x v="971"/>
          </reference>
          <reference field="4" count="1" selected="0">
            <x v="676"/>
          </reference>
          <reference field="11" count="1" selected="0">
            <x v="12"/>
          </reference>
          <reference field="14" count="1">
            <x v="180"/>
          </reference>
        </references>
      </pivotArea>
    </format>
    <format dxfId="3196">
      <pivotArea dataOnly="0" labelOnly="1" outline="0" fieldPosition="0">
        <references count="4">
          <reference field="3" count="1" selected="0">
            <x v="997"/>
          </reference>
          <reference field="4" count="1" selected="0">
            <x v="326"/>
          </reference>
          <reference field="11" count="1" selected="0">
            <x v="12"/>
          </reference>
          <reference field="14" count="1">
            <x v="867"/>
          </reference>
        </references>
      </pivotArea>
    </format>
    <format dxfId="3195">
      <pivotArea dataOnly="0" labelOnly="1" outline="0" fieldPosition="0">
        <references count="4">
          <reference field="3" count="1" selected="0">
            <x v="1003"/>
          </reference>
          <reference field="4" count="1" selected="0">
            <x v="185"/>
          </reference>
          <reference field="11" count="1" selected="0">
            <x v="12"/>
          </reference>
          <reference field="14" count="1">
            <x v="899"/>
          </reference>
        </references>
      </pivotArea>
    </format>
    <format dxfId="3194">
      <pivotArea dataOnly="0" labelOnly="1" outline="0" fieldPosition="0">
        <references count="4">
          <reference field="3" count="1" selected="0">
            <x v="1011"/>
          </reference>
          <reference field="4" count="1" selected="0">
            <x v="976"/>
          </reference>
          <reference field="11" count="1" selected="0">
            <x v="12"/>
          </reference>
          <reference field="14" count="1">
            <x v="162"/>
          </reference>
        </references>
      </pivotArea>
    </format>
    <format dxfId="3193">
      <pivotArea dataOnly="0" labelOnly="1" outline="0" fieldPosition="0">
        <references count="4">
          <reference field="3" count="1" selected="0">
            <x v="1020"/>
          </reference>
          <reference field="4" count="1" selected="0">
            <x v="1451"/>
          </reference>
          <reference field="11" count="1" selected="0">
            <x v="12"/>
          </reference>
          <reference field="14" count="1">
            <x v="457"/>
          </reference>
        </references>
      </pivotArea>
    </format>
    <format dxfId="3192">
      <pivotArea dataOnly="0" labelOnly="1" outline="0" fieldPosition="0">
        <references count="4">
          <reference field="3" count="1" selected="0">
            <x v="1038"/>
          </reference>
          <reference field="4" count="1" selected="0">
            <x v="1086"/>
          </reference>
          <reference field="11" count="1" selected="0">
            <x v="12"/>
          </reference>
          <reference field="14" count="1">
            <x v="291"/>
          </reference>
        </references>
      </pivotArea>
    </format>
    <format dxfId="3191">
      <pivotArea dataOnly="0" labelOnly="1" outline="0" fieldPosition="0">
        <references count="4">
          <reference field="3" count="1" selected="0">
            <x v="1040"/>
          </reference>
          <reference field="4" count="1" selected="0">
            <x v="164"/>
          </reference>
          <reference field="11" count="1" selected="0">
            <x v="12"/>
          </reference>
          <reference field="14" count="1">
            <x v="137"/>
          </reference>
        </references>
      </pivotArea>
    </format>
    <format dxfId="3190">
      <pivotArea dataOnly="0" labelOnly="1" outline="0" fieldPosition="0">
        <references count="4">
          <reference field="3" count="1" selected="0">
            <x v="1066"/>
          </reference>
          <reference field="4" count="1" selected="0">
            <x v="2246"/>
          </reference>
          <reference field="11" count="1" selected="0">
            <x v="12"/>
          </reference>
          <reference field="14" count="1">
            <x v="535"/>
          </reference>
        </references>
      </pivotArea>
    </format>
    <format dxfId="3189">
      <pivotArea dataOnly="0" labelOnly="1" outline="0" fieldPosition="0">
        <references count="4">
          <reference field="3" count="1" selected="0">
            <x v="1069"/>
          </reference>
          <reference field="4" count="1" selected="0">
            <x v="710"/>
          </reference>
          <reference field="11" count="1" selected="0">
            <x v="11"/>
          </reference>
          <reference field="14" count="1">
            <x v="635"/>
          </reference>
        </references>
      </pivotArea>
    </format>
    <format dxfId="3188">
      <pivotArea dataOnly="0" labelOnly="1" outline="0" fieldPosition="0">
        <references count="4">
          <reference field="3" count="1" selected="0">
            <x v="1077"/>
          </reference>
          <reference field="4" count="1" selected="0">
            <x v="1314"/>
          </reference>
          <reference field="11" count="1" selected="0">
            <x v="11"/>
          </reference>
          <reference field="14" count="1">
            <x v="289"/>
          </reference>
        </references>
      </pivotArea>
    </format>
    <format dxfId="3187">
      <pivotArea dataOnly="0" labelOnly="1" outline="0" fieldPosition="0">
        <references count="4">
          <reference field="3" count="1" selected="0">
            <x v="1113"/>
          </reference>
          <reference field="4" count="1" selected="0">
            <x v="2474"/>
          </reference>
          <reference field="11" count="1" selected="0">
            <x v="12"/>
          </reference>
          <reference field="14" count="1">
            <x v="974"/>
          </reference>
        </references>
      </pivotArea>
    </format>
    <format dxfId="3186">
      <pivotArea dataOnly="0" labelOnly="1" outline="0" fieldPosition="0">
        <references count="4">
          <reference field="3" count="1" selected="0">
            <x v="1129"/>
          </reference>
          <reference field="4" count="1" selected="0">
            <x v="344"/>
          </reference>
          <reference field="11" count="1" selected="0">
            <x v="12"/>
          </reference>
          <reference field="14" count="1">
            <x v="895"/>
          </reference>
        </references>
      </pivotArea>
    </format>
    <format dxfId="3185">
      <pivotArea dataOnly="0" labelOnly="1" outline="0" fieldPosition="0">
        <references count="4">
          <reference field="3" count="1" selected="0">
            <x v="1141"/>
          </reference>
          <reference field="4" count="1" selected="0">
            <x v="186"/>
          </reference>
          <reference field="11" count="1" selected="0">
            <x v="12"/>
          </reference>
          <reference field="14" count="1">
            <x v="902"/>
          </reference>
        </references>
      </pivotArea>
    </format>
    <format dxfId="3184">
      <pivotArea dataOnly="0" labelOnly="1" outline="0" fieldPosition="0">
        <references count="4">
          <reference field="3" count="1" selected="0">
            <x v="1144"/>
          </reference>
          <reference field="4" count="1" selected="0">
            <x v="2484"/>
          </reference>
          <reference field="11" count="1" selected="0">
            <x v="12"/>
          </reference>
          <reference field="14" count="1">
            <x v="974"/>
          </reference>
        </references>
      </pivotArea>
    </format>
    <format dxfId="3183">
      <pivotArea dataOnly="0" labelOnly="1" outline="0" fieldPosition="0">
        <references count="4">
          <reference field="3" count="1" selected="0">
            <x v="1167"/>
          </reference>
          <reference field="4" count="1" selected="0">
            <x v="1177"/>
          </reference>
          <reference field="11" count="1" selected="0">
            <x v="11"/>
          </reference>
          <reference field="14" count="1">
            <x v="552"/>
          </reference>
        </references>
      </pivotArea>
    </format>
    <format dxfId="3182">
      <pivotArea dataOnly="0" labelOnly="1" outline="0" fieldPosition="0">
        <references count="4">
          <reference field="3" count="1" selected="0">
            <x v="1189"/>
          </reference>
          <reference field="4" count="1" selected="0">
            <x v="734"/>
          </reference>
          <reference field="11" count="1" selected="0">
            <x v="12"/>
          </reference>
          <reference field="14" count="1">
            <x v="643"/>
          </reference>
        </references>
      </pivotArea>
    </format>
    <format dxfId="3181">
      <pivotArea dataOnly="0" labelOnly="1" outline="0" fieldPosition="0">
        <references count="4">
          <reference field="3" count="1" selected="0">
            <x v="1196"/>
          </reference>
          <reference field="4" count="1" selected="0">
            <x v="701"/>
          </reference>
          <reference field="11" count="1" selected="0">
            <x v="11"/>
          </reference>
          <reference field="14" count="1">
            <x v="875"/>
          </reference>
        </references>
      </pivotArea>
    </format>
    <format dxfId="3180">
      <pivotArea dataOnly="0" labelOnly="1" outline="0" fieldPosition="0">
        <references count="4">
          <reference field="3" count="1" selected="0">
            <x v="1198"/>
          </reference>
          <reference field="4" count="1" selected="0">
            <x v="22"/>
          </reference>
          <reference field="11" count="1" selected="0">
            <x v="12"/>
          </reference>
          <reference field="14" count="1">
            <x v="547"/>
          </reference>
        </references>
      </pivotArea>
    </format>
    <format dxfId="3179">
      <pivotArea dataOnly="0" labelOnly="1" outline="0" fieldPosition="0">
        <references count="4">
          <reference field="3" count="1" selected="0">
            <x v="1204"/>
          </reference>
          <reference field="4" count="1" selected="0">
            <x v="421"/>
          </reference>
          <reference field="11" count="1" selected="0">
            <x v="12"/>
          </reference>
          <reference field="14" count="1">
            <x v="759"/>
          </reference>
        </references>
      </pivotArea>
    </format>
    <format dxfId="3178">
      <pivotArea dataOnly="0" labelOnly="1" outline="0" fieldPosition="0">
        <references count="4">
          <reference field="3" count="1" selected="0">
            <x v="1210"/>
          </reference>
          <reference field="4" count="1" selected="0">
            <x v="929"/>
          </reference>
          <reference field="11" count="1" selected="0">
            <x v="12"/>
          </reference>
          <reference field="14" count="1">
            <x v="554"/>
          </reference>
        </references>
      </pivotArea>
    </format>
    <format dxfId="3177">
      <pivotArea dataOnly="0" labelOnly="1" outline="0" fieldPosition="0">
        <references count="4">
          <reference field="3" count="1" selected="0">
            <x v="1222"/>
          </reference>
          <reference field="4" count="1" selected="0">
            <x v="493"/>
          </reference>
          <reference field="11" count="1" selected="0">
            <x v="12"/>
          </reference>
          <reference field="14" count="1">
            <x v="605"/>
          </reference>
        </references>
      </pivotArea>
    </format>
    <format dxfId="3176">
      <pivotArea dataOnly="0" labelOnly="1" outline="0" fieldPosition="0">
        <references count="4">
          <reference field="3" count="1" selected="0">
            <x v="1226"/>
          </reference>
          <reference field="4" count="1" selected="0">
            <x v="675"/>
          </reference>
          <reference field="11" count="1" selected="0">
            <x v="12"/>
          </reference>
          <reference field="14" count="1">
            <x v="480"/>
          </reference>
        </references>
      </pivotArea>
    </format>
    <format dxfId="3175">
      <pivotArea dataOnly="0" labelOnly="1" outline="0" fieldPosition="0">
        <references count="4">
          <reference field="3" count="1" selected="0">
            <x v="1261"/>
          </reference>
          <reference field="4" count="1" selected="0">
            <x v="914"/>
          </reference>
          <reference field="11" count="1" selected="0">
            <x v="12"/>
          </reference>
          <reference field="14" count="1">
            <x v="423"/>
          </reference>
        </references>
      </pivotArea>
    </format>
    <format dxfId="3174">
      <pivotArea dataOnly="0" labelOnly="1" outline="0" fieldPosition="0">
        <references count="4">
          <reference field="3" count="1" selected="0">
            <x v="1262"/>
          </reference>
          <reference field="4" count="1" selected="0">
            <x v="1155"/>
          </reference>
          <reference field="11" count="1" selected="0">
            <x v="12"/>
          </reference>
          <reference field="14" count="1">
            <x v="876"/>
          </reference>
        </references>
      </pivotArea>
    </format>
    <format dxfId="3173">
      <pivotArea dataOnly="0" labelOnly="1" outline="0" fieldPosition="0">
        <references count="4">
          <reference field="3" count="1" selected="0">
            <x v="1285"/>
          </reference>
          <reference field="4" count="1" selected="0">
            <x v="820"/>
          </reference>
          <reference field="11" count="1" selected="0">
            <x v="12"/>
          </reference>
          <reference field="14" count="1">
            <x v="780"/>
          </reference>
        </references>
      </pivotArea>
    </format>
    <format dxfId="3172">
      <pivotArea dataOnly="0" labelOnly="1" outline="0" fieldPosition="0">
        <references count="4">
          <reference field="3" count="1" selected="0">
            <x v="1288"/>
          </reference>
          <reference field="4" count="1" selected="0">
            <x v="1395"/>
          </reference>
          <reference field="11" count="1" selected="0">
            <x v="12"/>
          </reference>
          <reference field="14" count="1">
            <x v="495"/>
          </reference>
        </references>
      </pivotArea>
    </format>
    <format dxfId="3171">
      <pivotArea dataOnly="0" labelOnly="1" outline="0" fieldPosition="0">
        <references count="4">
          <reference field="3" count="1" selected="0">
            <x v="1291"/>
          </reference>
          <reference field="4" count="1" selected="0">
            <x v="2250"/>
          </reference>
          <reference field="11" count="1" selected="0">
            <x v="12"/>
          </reference>
          <reference field="14" count="1">
            <x v="555"/>
          </reference>
        </references>
      </pivotArea>
    </format>
    <format dxfId="3170">
      <pivotArea dataOnly="0" labelOnly="1" outline="0" fieldPosition="0">
        <references count="4">
          <reference field="3" count="1" selected="0">
            <x v="1343"/>
          </reference>
          <reference field="4" count="1" selected="0">
            <x v="798"/>
          </reference>
          <reference field="11" count="1" selected="0">
            <x v="12"/>
          </reference>
          <reference field="14" count="1">
            <x v="745"/>
          </reference>
        </references>
      </pivotArea>
    </format>
    <format dxfId="3169">
      <pivotArea dataOnly="0" labelOnly="1" outline="0" fieldPosition="0">
        <references count="4">
          <reference field="3" count="1" selected="0">
            <x v="1353"/>
          </reference>
          <reference field="4" count="1" selected="0">
            <x v="1359"/>
          </reference>
          <reference field="11" count="1" selected="0">
            <x v="12"/>
          </reference>
          <reference field="14" count="1">
            <x v="474"/>
          </reference>
        </references>
      </pivotArea>
    </format>
    <format dxfId="3168">
      <pivotArea dataOnly="0" labelOnly="1" outline="0" fieldPosition="0">
        <references count="4">
          <reference field="3" count="1" selected="0">
            <x v="1383"/>
          </reference>
          <reference field="4" count="1" selected="0">
            <x v="721"/>
          </reference>
          <reference field="11" count="1" selected="0">
            <x v="12"/>
          </reference>
          <reference field="14" count="1">
            <x v="803"/>
          </reference>
        </references>
      </pivotArea>
    </format>
    <format dxfId="3167">
      <pivotArea dataOnly="0" labelOnly="1" outline="0" fieldPosition="0">
        <references count="4">
          <reference field="3" count="1" selected="0">
            <x v="1391"/>
          </reference>
          <reference field="4" count="1" selected="0">
            <x v="693"/>
          </reference>
          <reference field="11" count="1" selected="0">
            <x v="12"/>
          </reference>
          <reference field="14" count="1">
            <x v="260"/>
          </reference>
        </references>
      </pivotArea>
    </format>
    <format dxfId="3166">
      <pivotArea dataOnly="0" labelOnly="1" outline="0" fieldPosition="0">
        <references count="4">
          <reference field="3" count="1" selected="0">
            <x v="1415"/>
          </reference>
          <reference field="4" count="1" selected="0">
            <x v="7"/>
          </reference>
          <reference field="11" count="1" selected="0">
            <x v="12"/>
          </reference>
          <reference field="14" count="1">
            <x v="899"/>
          </reference>
        </references>
      </pivotArea>
    </format>
    <format dxfId="3165">
      <pivotArea dataOnly="0" labelOnly="1" outline="0" fieldPosition="0">
        <references count="4">
          <reference field="3" count="1" selected="0">
            <x v="1427"/>
          </reference>
          <reference field="4" count="1" selected="0">
            <x v="1527"/>
          </reference>
          <reference field="11" count="1" selected="0">
            <x v="12"/>
          </reference>
          <reference field="14" count="1">
            <x v="829"/>
          </reference>
        </references>
      </pivotArea>
    </format>
    <format dxfId="3164">
      <pivotArea dataOnly="0" labelOnly="1" outline="0" fieldPosition="0">
        <references count="4">
          <reference field="3" count="1" selected="0">
            <x v="1435"/>
          </reference>
          <reference field="4" count="1" selected="0">
            <x v="619"/>
          </reference>
          <reference field="11" count="1" selected="0">
            <x v="12"/>
          </reference>
          <reference field="14" count="1">
            <x v="751"/>
          </reference>
        </references>
      </pivotArea>
    </format>
    <format dxfId="3163">
      <pivotArea dataOnly="0" labelOnly="1" outline="0" fieldPosition="0">
        <references count="4">
          <reference field="3" count="1" selected="0">
            <x v="1449"/>
          </reference>
          <reference field="4" count="1" selected="0">
            <x v="18"/>
          </reference>
          <reference field="11" count="1" selected="0">
            <x v="12"/>
          </reference>
          <reference field="14" count="1">
            <x v="871"/>
          </reference>
        </references>
      </pivotArea>
    </format>
    <format dxfId="3162">
      <pivotArea dataOnly="0" labelOnly="1" outline="0" fieldPosition="0">
        <references count="4">
          <reference field="3" count="1" selected="0">
            <x v="1452"/>
          </reference>
          <reference field="4" count="1" selected="0">
            <x v="1112"/>
          </reference>
          <reference field="11" count="1" selected="0">
            <x v="12"/>
          </reference>
          <reference field="14" count="1">
            <x v="794"/>
          </reference>
        </references>
      </pivotArea>
    </format>
    <format dxfId="3161">
      <pivotArea dataOnly="0" labelOnly="1" outline="0" fieldPosition="0">
        <references count="4">
          <reference field="3" count="1" selected="0">
            <x v="1482"/>
          </reference>
          <reference field="4" count="1" selected="0">
            <x v="2109"/>
          </reference>
          <reference field="11" count="1" selected="0">
            <x v="12"/>
          </reference>
          <reference field="14" count="1">
            <x v="346"/>
          </reference>
        </references>
      </pivotArea>
    </format>
    <format dxfId="3160">
      <pivotArea dataOnly="0" labelOnly="1" outline="0" fieldPosition="0">
        <references count="4">
          <reference field="3" count="1" selected="0">
            <x v="1511"/>
          </reference>
          <reference field="4" count="1" selected="0">
            <x v="671"/>
          </reference>
          <reference field="11" count="1" selected="0">
            <x v="12"/>
          </reference>
          <reference field="14" count="1">
            <x v="537"/>
          </reference>
        </references>
      </pivotArea>
    </format>
    <format dxfId="3159">
      <pivotArea dataOnly="0" labelOnly="1" outline="0" fieldPosition="0">
        <references count="4">
          <reference field="3" count="1" selected="0">
            <x v="1512"/>
          </reference>
          <reference field="4" count="1" selected="0">
            <x v="1290"/>
          </reference>
          <reference field="11" count="1" selected="0">
            <x v="12"/>
          </reference>
          <reference field="14" count="1">
            <x v="529"/>
          </reference>
        </references>
      </pivotArea>
    </format>
    <format dxfId="3158">
      <pivotArea dataOnly="0" labelOnly="1" outline="0" fieldPosition="0">
        <references count="4">
          <reference field="3" count="1" selected="0">
            <x v="1514"/>
          </reference>
          <reference field="4" count="1" selected="0">
            <x v="938"/>
          </reference>
          <reference field="11" count="1" selected="0">
            <x v="12"/>
          </reference>
          <reference field="14" count="1">
            <x v="864"/>
          </reference>
        </references>
      </pivotArea>
    </format>
    <format dxfId="3157">
      <pivotArea dataOnly="0" labelOnly="1" outline="0" fieldPosition="0">
        <references count="4">
          <reference field="3" count="1" selected="0">
            <x v="1515"/>
          </reference>
          <reference field="4" count="1" selected="0">
            <x v="1331"/>
          </reference>
          <reference field="11" count="1" selected="0">
            <x v="12"/>
          </reference>
          <reference field="14" count="1">
            <x v="442"/>
          </reference>
        </references>
      </pivotArea>
    </format>
    <format dxfId="3156">
      <pivotArea dataOnly="0" labelOnly="1" outline="0" fieldPosition="0">
        <references count="4">
          <reference field="3" count="1" selected="0">
            <x v="1534"/>
          </reference>
          <reference field="4" count="1" selected="0">
            <x v="2528"/>
          </reference>
          <reference field="11" count="1" selected="0">
            <x v="12"/>
          </reference>
          <reference field="14" count="1">
            <x v="394"/>
          </reference>
        </references>
      </pivotArea>
    </format>
    <format dxfId="3155">
      <pivotArea dataOnly="0" labelOnly="1" outline="0" fieldPosition="0">
        <references count="4">
          <reference field="3" count="1" selected="0">
            <x v="1564"/>
          </reference>
          <reference field="4" count="1" selected="0">
            <x v="1062"/>
          </reference>
          <reference field="11" count="1" selected="0">
            <x v="12"/>
          </reference>
          <reference field="14" count="1">
            <x v="855"/>
          </reference>
        </references>
      </pivotArea>
    </format>
    <format dxfId="3154">
      <pivotArea dataOnly="0" labelOnly="1" outline="0" fieldPosition="0">
        <references count="4">
          <reference field="3" count="1" selected="0">
            <x v="1619"/>
          </reference>
          <reference field="4" count="1" selected="0">
            <x v="118"/>
          </reference>
          <reference field="11" count="1" selected="0">
            <x v="12"/>
          </reference>
          <reference field="14" count="1">
            <x v="872"/>
          </reference>
        </references>
      </pivotArea>
    </format>
    <format dxfId="3153">
      <pivotArea dataOnly="0" labelOnly="1" outline="0" fieldPosition="0">
        <references count="4">
          <reference field="3" count="1" selected="0">
            <x v="1626"/>
          </reference>
          <reference field="4" count="1" selected="0">
            <x v="2472"/>
          </reference>
          <reference field="11" count="1" selected="0">
            <x v="12"/>
          </reference>
          <reference field="14" count="1">
            <x v="974"/>
          </reference>
        </references>
      </pivotArea>
    </format>
    <format dxfId="3152">
      <pivotArea dataOnly="0" labelOnly="1" outline="0" fieldPosition="0">
        <references count="4">
          <reference field="3" count="1" selected="0">
            <x v="1645"/>
          </reference>
          <reference field="4" count="1" selected="0">
            <x v="1988"/>
          </reference>
          <reference field="11" count="1" selected="0">
            <x v="12"/>
          </reference>
          <reference field="14" count="1">
            <x v="857"/>
          </reference>
        </references>
      </pivotArea>
    </format>
    <format dxfId="3151">
      <pivotArea dataOnly="0" labelOnly="1" outline="0" fieldPosition="0">
        <references count="4">
          <reference field="3" count="1" selected="0">
            <x v="1647"/>
          </reference>
          <reference field="4" count="1" selected="0">
            <x v="2228"/>
          </reference>
          <reference field="11" count="1" selected="0">
            <x v="12"/>
          </reference>
          <reference field="14" count="1">
            <x v="967"/>
          </reference>
        </references>
      </pivotArea>
    </format>
    <format dxfId="3150">
      <pivotArea dataOnly="0" labelOnly="1" outline="0" fieldPosition="0">
        <references count="4">
          <reference field="3" count="1" selected="0">
            <x v="1712"/>
          </reference>
          <reference field="4" count="1" selected="0">
            <x v="1023"/>
          </reference>
          <reference field="11" count="1" selected="0">
            <x v="12"/>
          </reference>
          <reference field="14" count="1">
            <x v="346"/>
          </reference>
        </references>
      </pivotArea>
    </format>
    <format dxfId="3149">
      <pivotArea dataOnly="0" labelOnly="1" outline="0" fieldPosition="0">
        <references count="4">
          <reference field="3" count="1" selected="0">
            <x v="1715"/>
          </reference>
          <reference field="4" count="1" selected="0">
            <x v="305"/>
          </reference>
          <reference field="11" count="1" selected="0">
            <x v="11"/>
          </reference>
          <reference field="14" count="1">
            <x v="276"/>
          </reference>
        </references>
      </pivotArea>
    </format>
    <format dxfId="3148">
      <pivotArea dataOnly="0" labelOnly="1" outline="0" fieldPosition="0">
        <references count="4">
          <reference field="3" count="1" selected="0">
            <x v="1717"/>
          </reference>
          <reference field="4" count="1" selected="0">
            <x v="1500"/>
          </reference>
          <reference field="11" count="1" selected="0">
            <x v="12"/>
          </reference>
          <reference field="14" count="1">
            <x v="144"/>
          </reference>
        </references>
      </pivotArea>
    </format>
    <format dxfId="3147">
      <pivotArea dataOnly="0" labelOnly="1" outline="0" fieldPosition="0">
        <references count="4">
          <reference field="3" count="1" selected="0">
            <x v="1720"/>
          </reference>
          <reference field="4" count="1" selected="0">
            <x v="662"/>
          </reference>
          <reference field="11" count="1" selected="0">
            <x v="12"/>
          </reference>
          <reference field="14" count="1">
            <x v="981"/>
          </reference>
        </references>
      </pivotArea>
    </format>
    <format dxfId="3146">
      <pivotArea dataOnly="0" labelOnly="1" outline="0" fieldPosition="0">
        <references count="4">
          <reference field="3" count="1" selected="0">
            <x v="1741"/>
          </reference>
          <reference field="4" count="1" selected="0">
            <x v="642"/>
          </reference>
          <reference field="11" count="1" selected="0">
            <x v="11"/>
          </reference>
          <reference field="14" count="1">
            <x v="644"/>
          </reference>
        </references>
      </pivotArea>
    </format>
    <format dxfId="3145">
      <pivotArea dataOnly="0" labelOnly="1" outline="0" fieldPosition="0">
        <references count="4">
          <reference field="3" count="1" selected="0">
            <x v="1746"/>
          </reference>
          <reference field="4" count="1" selected="0">
            <x v="43"/>
          </reference>
          <reference field="11" count="1" selected="0">
            <x v="11"/>
          </reference>
          <reference field="14" count="1">
            <x v="429"/>
          </reference>
        </references>
      </pivotArea>
    </format>
    <format dxfId="3144">
      <pivotArea dataOnly="0" labelOnly="1" outline="0" fieldPosition="0">
        <references count="4">
          <reference field="3" count="1" selected="0">
            <x v="1747"/>
          </reference>
          <reference field="4" count="1" selected="0">
            <x v="1530"/>
          </reference>
          <reference field="11" count="1" selected="0">
            <x v="12"/>
          </reference>
          <reference field="14" count="1">
            <x v="869"/>
          </reference>
        </references>
      </pivotArea>
    </format>
    <format dxfId="3143">
      <pivotArea dataOnly="0" labelOnly="1" outline="0" fieldPosition="0">
        <references count="4">
          <reference field="3" count="1" selected="0">
            <x v="1748"/>
          </reference>
          <reference field="4" count="1" selected="0">
            <x v="1069"/>
          </reference>
          <reference field="11" count="1" selected="0">
            <x v="12"/>
          </reference>
          <reference field="14" count="1">
            <x v="873"/>
          </reference>
        </references>
      </pivotArea>
    </format>
    <format dxfId="3142">
      <pivotArea dataOnly="0" labelOnly="1" outline="0" fieldPosition="0">
        <references count="4">
          <reference field="3" count="1" selected="0">
            <x v="1750"/>
          </reference>
          <reference field="4" count="1" selected="0">
            <x v="698"/>
          </reference>
          <reference field="11" count="1" selected="0">
            <x v="11"/>
          </reference>
          <reference field="14" count="1">
            <x v="417"/>
          </reference>
        </references>
      </pivotArea>
    </format>
    <format dxfId="3141">
      <pivotArea dataOnly="0" labelOnly="1" outline="0" fieldPosition="0">
        <references count="4">
          <reference field="3" count="1" selected="0">
            <x v="1753"/>
          </reference>
          <reference field="4" count="1" selected="0">
            <x v="871"/>
          </reference>
          <reference field="11" count="1" selected="0">
            <x v="11"/>
          </reference>
          <reference field="14" count="1">
            <x v="324"/>
          </reference>
        </references>
      </pivotArea>
    </format>
    <format dxfId="3140">
      <pivotArea dataOnly="0" labelOnly="1" outline="0" fieldPosition="0">
        <references count="4">
          <reference field="3" count="1" selected="0">
            <x v="1758"/>
          </reference>
          <reference field="4" count="1" selected="0">
            <x v="192"/>
          </reference>
          <reference field="11" count="1" selected="0">
            <x v="12"/>
          </reference>
          <reference field="14" count="1">
            <x v="906"/>
          </reference>
        </references>
      </pivotArea>
    </format>
    <format dxfId="3139">
      <pivotArea dataOnly="0" labelOnly="1" outline="0" fieldPosition="0">
        <references count="4">
          <reference field="3" count="1" selected="0">
            <x v="1761"/>
          </reference>
          <reference field="4" count="1" selected="0">
            <x v="133"/>
          </reference>
          <reference field="11" count="1" selected="0">
            <x v="12"/>
          </reference>
          <reference field="14" count="1">
            <x v="293"/>
          </reference>
        </references>
      </pivotArea>
    </format>
    <format dxfId="3138">
      <pivotArea dataOnly="0" labelOnly="1" outline="0" fieldPosition="0">
        <references count="4">
          <reference field="3" count="1" selected="0">
            <x v="1765"/>
          </reference>
          <reference field="4" count="1" selected="0">
            <x v="357"/>
          </reference>
          <reference field="11" count="1" selected="0">
            <x v="12"/>
          </reference>
          <reference field="14" count="1">
            <x v="771"/>
          </reference>
        </references>
      </pivotArea>
    </format>
    <format dxfId="3137">
      <pivotArea dataOnly="0" labelOnly="1" outline="0" fieldPosition="0">
        <references count="4">
          <reference field="3" count="1" selected="0">
            <x v="1767"/>
          </reference>
          <reference field="4" count="1" selected="0">
            <x v="26"/>
          </reference>
          <reference field="11" count="1" selected="0">
            <x v="11"/>
          </reference>
          <reference field="14" count="1">
            <x v="819"/>
          </reference>
        </references>
      </pivotArea>
    </format>
    <format dxfId="3136">
      <pivotArea dataOnly="0" labelOnly="1" outline="0" fieldPosition="0">
        <references count="4">
          <reference field="3" count="1" selected="0">
            <x v="1771"/>
          </reference>
          <reference field="4" count="1" selected="0">
            <x v="1144"/>
          </reference>
          <reference field="11" count="1" selected="0">
            <x v="12"/>
          </reference>
          <reference field="14" count="1">
            <x v="819"/>
          </reference>
        </references>
      </pivotArea>
    </format>
    <format dxfId="3135">
      <pivotArea dataOnly="0" labelOnly="1" outline="0" fieldPosition="0">
        <references count="4">
          <reference field="3" count="1" selected="0">
            <x v="1783"/>
          </reference>
          <reference field="4" count="1" selected="0">
            <x v="432"/>
          </reference>
          <reference field="11" count="1" selected="0">
            <x v="12"/>
          </reference>
          <reference field="14" count="1">
            <x v="605"/>
          </reference>
        </references>
      </pivotArea>
    </format>
    <format dxfId="3134">
      <pivotArea dataOnly="0" labelOnly="1" outline="0" fieldPosition="0">
        <references count="4">
          <reference field="3" count="1" selected="0">
            <x v="1784"/>
          </reference>
          <reference field="4" count="1" selected="0">
            <x v="1201"/>
          </reference>
          <reference field="11" count="1" selected="0">
            <x v="12"/>
          </reference>
          <reference field="14" count="1">
            <x v="768"/>
          </reference>
        </references>
      </pivotArea>
    </format>
    <format dxfId="3133">
      <pivotArea dataOnly="0" labelOnly="1" outline="0" fieldPosition="0">
        <references count="4">
          <reference field="3" count="1" selected="0">
            <x v="1785"/>
          </reference>
          <reference field="4" count="1" selected="0">
            <x v="121"/>
          </reference>
          <reference field="11" count="1" selected="0">
            <x v="11"/>
          </reference>
          <reference field="14" count="1">
            <x v="640"/>
          </reference>
        </references>
      </pivotArea>
    </format>
    <format dxfId="3132">
      <pivotArea dataOnly="0" labelOnly="1" outline="0" fieldPosition="0">
        <references count="4">
          <reference field="3" count="1" selected="0">
            <x v="1786"/>
          </reference>
          <reference field="4" count="1" selected="0">
            <x v="101"/>
          </reference>
          <reference field="11" count="1" selected="0">
            <x v="12"/>
          </reference>
          <reference field="14" count="1">
            <x v="406"/>
          </reference>
        </references>
      </pivotArea>
    </format>
    <format dxfId="3131">
      <pivotArea dataOnly="0" labelOnly="1" outline="0" fieldPosition="0">
        <references count="4">
          <reference field="3" count="1" selected="0">
            <x v="1789"/>
          </reference>
          <reference field="4" count="1" selected="0">
            <x v="1458"/>
          </reference>
          <reference field="11" count="1" selected="0">
            <x v="12"/>
          </reference>
          <reference field="14" count="1">
            <x v="472"/>
          </reference>
        </references>
      </pivotArea>
    </format>
    <format dxfId="3130">
      <pivotArea dataOnly="0" labelOnly="1" outline="0" fieldPosition="0">
        <references count="4">
          <reference field="3" count="1" selected="0">
            <x v="1790"/>
          </reference>
          <reference field="4" count="1" selected="0">
            <x v="333"/>
          </reference>
          <reference field="11" count="1" selected="0">
            <x v="12"/>
          </reference>
          <reference field="14" count="1">
            <x v="780"/>
          </reference>
        </references>
      </pivotArea>
    </format>
    <format dxfId="3129">
      <pivotArea dataOnly="0" labelOnly="1" outline="0" fieldPosition="0">
        <references count="4">
          <reference field="3" count="1" selected="0">
            <x v="1804"/>
          </reference>
          <reference field="4" count="1" selected="0">
            <x v="251"/>
          </reference>
          <reference field="11" count="1" selected="0">
            <x v="12"/>
          </reference>
          <reference field="14" count="1">
            <x v="802"/>
          </reference>
        </references>
      </pivotArea>
    </format>
    <format dxfId="3128">
      <pivotArea dataOnly="0" labelOnly="1" outline="0" fieldPosition="0">
        <references count="4">
          <reference field="3" count="1" selected="0">
            <x v="1840"/>
          </reference>
          <reference field="4" count="1" selected="0">
            <x v="1879"/>
          </reference>
          <reference field="11" count="1" selected="0">
            <x v="12"/>
          </reference>
          <reference field="14" count="1">
            <x v="914"/>
          </reference>
        </references>
      </pivotArea>
    </format>
    <format dxfId="3127">
      <pivotArea dataOnly="0" labelOnly="1" outline="0" fieldPosition="0">
        <references count="4">
          <reference field="3" count="1" selected="0">
            <x v="1851"/>
          </reference>
          <reference field="4" count="1" selected="0">
            <x v="1904"/>
          </reference>
          <reference field="11" count="1" selected="0">
            <x v="12"/>
          </reference>
          <reference field="14" count="1">
            <x v="921"/>
          </reference>
        </references>
      </pivotArea>
    </format>
    <format dxfId="3126">
      <pivotArea dataOnly="0" labelOnly="1" outline="0" fieldPosition="0">
        <references count="4">
          <reference field="3" count="1" selected="0">
            <x v="1853"/>
          </reference>
          <reference field="4" count="1" selected="0">
            <x v="1578"/>
          </reference>
          <reference field="11" count="1" selected="0">
            <x v="12"/>
          </reference>
          <reference field="14" count="1">
            <x v="928"/>
          </reference>
        </references>
      </pivotArea>
    </format>
    <format dxfId="3125">
      <pivotArea dataOnly="0" labelOnly="1" outline="0" fieldPosition="0">
        <references count="4">
          <reference field="3" count="1" selected="0">
            <x v="1894"/>
          </reference>
          <reference field="4" count="1" selected="0">
            <x v="1610"/>
          </reference>
          <reference field="11" count="1" selected="0">
            <x v="12"/>
          </reference>
          <reference field="14" count="1">
            <x v="919"/>
          </reference>
        </references>
      </pivotArea>
    </format>
    <format dxfId="3124">
      <pivotArea dataOnly="0" labelOnly="1" outline="0" fieldPosition="0">
        <references count="4">
          <reference field="3" count="1" selected="0">
            <x v="1903"/>
          </reference>
          <reference field="4" count="1" selected="0">
            <x v="1612"/>
          </reference>
          <reference field="11" count="1" selected="0">
            <x v="12"/>
          </reference>
          <reference field="14" count="1">
            <x v="927"/>
          </reference>
        </references>
      </pivotArea>
    </format>
    <format dxfId="3123">
      <pivotArea dataOnly="0" labelOnly="1" outline="0" fieldPosition="0">
        <references count="4">
          <reference field="3" count="1" selected="0">
            <x v="1905"/>
          </reference>
          <reference field="4" count="1" selected="0">
            <x v="1613"/>
          </reference>
          <reference field="11" count="1" selected="0">
            <x v="12"/>
          </reference>
          <reference field="14" count="1">
            <x v="898"/>
          </reference>
        </references>
      </pivotArea>
    </format>
    <format dxfId="3122">
      <pivotArea dataOnly="0" labelOnly="1" outline="0" fieldPosition="0">
        <references count="4">
          <reference field="3" count="1" selected="0">
            <x v="1906"/>
          </reference>
          <reference field="4" count="1" selected="0">
            <x v="1614"/>
          </reference>
          <reference field="11" count="1" selected="0">
            <x v="12"/>
          </reference>
          <reference field="14" count="1">
            <x v="923"/>
          </reference>
        </references>
      </pivotArea>
    </format>
    <format dxfId="3121">
      <pivotArea dataOnly="0" labelOnly="1" outline="0" fieldPosition="0">
        <references count="4">
          <reference field="3" count="1" selected="0">
            <x v="1911"/>
          </reference>
          <reference field="4" count="1" selected="0">
            <x v="1618"/>
          </reference>
          <reference field="11" count="1" selected="0">
            <x v="12"/>
          </reference>
          <reference field="14" count="1">
            <x v="882"/>
          </reference>
        </references>
      </pivotArea>
    </format>
    <format dxfId="3120">
      <pivotArea dataOnly="0" labelOnly="1" outline="0" fieldPosition="0">
        <references count="4">
          <reference field="3" count="1" selected="0">
            <x v="1916"/>
          </reference>
          <reference field="4" count="1" selected="0">
            <x v="350"/>
          </reference>
          <reference field="11" count="1" selected="0">
            <x v="12"/>
          </reference>
          <reference field="14" count="1">
            <x v="930"/>
          </reference>
        </references>
      </pivotArea>
    </format>
    <format dxfId="3119">
      <pivotArea dataOnly="0" labelOnly="1" outline="0" fieldPosition="0">
        <references count="4">
          <reference field="3" count="1" selected="0">
            <x v="1937"/>
          </reference>
          <reference field="4" count="1" selected="0">
            <x v="1719"/>
          </reference>
          <reference field="11" count="1" selected="0">
            <x v="12"/>
          </reference>
          <reference field="14" count="1">
            <x v="926"/>
          </reference>
        </references>
      </pivotArea>
    </format>
    <format dxfId="3118">
      <pivotArea dataOnly="0" labelOnly="1" outline="0" fieldPosition="0">
        <references count="4">
          <reference field="3" count="1" selected="0">
            <x v="1949"/>
          </reference>
          <reference field="4" count="1" selected="0">
            <x v="1743"/>
          </reference>
          <reference field="11" count="1" selected="0">
            <x v="12"/>
          </reference>
          <reference field="14" count="1">
            <x v="943"/>
          </reference>
        </references>
      </pivotArea>
    </format>
    <format dxfId="3117">
      <pivotArea dataOnly="0" labelOnly="1" outline="0" fieldPosition="0">
        <references count="4">
          <reference field="3" count="1" selected="0">
            <x v="1950"/>
          </reference>
          <reference field="4" count="1" selected="0">
            <x v="1744"/>
          </reference>
          <reference field="11" count="1" selected="0">
            <x v="12"/>
          </reference>
          <reference field="14" count="1">
            <x v="938"/>
          </reference>
        </references>
      </pivotArea>
    </format>
    <format dxfId="3116">
      <pivotArea dataOnly="0" labelOnly="1" outline="0" fieldPosition="0">
        <references count="4">
          <reference field="3" count="1" selected="0">
            <x v="2040"/>
          </reference>
          <reference field="4" count="1" selected="0">
            <x v="1912"/>
          </reference>
          <reference field="11" count="1" selected="0">
            <x v="12"/>
          </reference>
          <reference field="14" count="1">
            <x v="853"/>
          </reference>
        </references>
      </pivotArea>
    </format>
    <format dxfId="3115">
      <pivotArea dataOnly="0" labelOnly="1" outline="0" fieldPosition="0">
        <references count="4">
          <reference field="3" count="1" selected="0">
            <x v="2049"/>
          </reference>
          <reference field="4" count="1" selected="0">
            <x v="1092"/>
          </reference>
          <reference field="11" count="1" selected="0">
            <x v="12"/>
          </reference>
          <reference field="14" count="1">
            <x v="906"/>
          </reference>
        </references>
      </pivotArea>
    </format>
    <format dxfId="3114">
      <pivotArea dataOnly="0" labelOnly="1" outline="0" fieldPosition="0">
        <references count="4">
          <reference field="3" count="1" selected="0">
            <x v="2051"/>
          </reference>
          <reference field="4" count="1" selected="0">
            <x v="1917"/>
          </reference>
          <reference field="11" count="1" selected="0">
            <x v="12"/>
          </reference>
          <reference field="14" count="1">
            <x v="918"/>
          </reference>
        </references>
      </pivotArea>
    </format>
    <format dxfId="3113">
      <pivotArea dataOnly="0" labelOnly="1" outline="0" fieldPosition="0">
        <references count="4">
          <reference field="3" count="1" selected="0">
            <x v="2066"/>
          </reference>
          <reference field="4" count="1" selected="0">
            <x v="1930"/>
          </reference>
          <reference field="11" count="1" selected="0">
            <x v="12"/>
          </reference>
          <reference field="14" count="1">
            <x v="953"/>
          </reference>
        </references>
      </pivotArea>
    </format>
    <format dxfId="3112">
      <pivotArea dataOnly="0" labelOnly="1" outline="0" fieldPosition="0">
        <references count="4">
          <reference field="3" count="1" selected="0">
            <x v="2089"/>
          </reference>
          <reference field="4" count="1" selected="0">
            <x v="1973"/>
          </reference>
          <reference field="11" count="1" selected="0">
            <x v="12"/>
          </reference>
          <reference field="14" count="1">
            <x v="959"/>
          </reference>
        </references>
      </pivotArea>
    </format>
    <format dxfId="3111">
      <pivotArea dataOnly="0" labelOnly="1" outline="0" fieldPosition="0">
        <references count="4">
          <reference field="3" count="1" selected="0">
            <x v="2097"/>
          </reference>
          <reference field="4" count="1" selected="0">
            <x v="2110"/>
          </reference>
          <reference field="11" count="1" selected="0">
            <x v="12"/>
          </reference>
          <reference field="14" count="1">
            <x v="947"/>
          </reference>
        </references>
      </pivotArea>
    </format>
    <format dxfId="3110">
      <pivotArea dataOnly="0" labelOnly="1" outline="0" fieldPosition="0">
        <references count="4">
          <reference field="3" count="1" selected="0">
            <x v="2101"/>
          </reference>
          <reference field="4" count="1" selected="0">
            <x v="2118"/>
          </reference>
          <reference field="11" count="1" selected="0">
            <x v="12"/>
          </reference>
          <reference field="14" count="1">
            <x v="957"/>
          </reference>
        </references>
      </pivotArea>
    </format>
    <format dxfId="3109">
      <pivotArea dataOnly="0" labelOnly="1" outline="0" fieldPosition="0">
        <references count="4">
          <reference field="3" count="1" selected="0">
            <x v="2104"/>
          </reference>
          <reference field="4" count="1" selected="0">
            <x v="2139"/>
          </reference>
          <reference field="11" count="1" selected="0">
            <x v="12"/>
          </reference>
          <reference field="14" count="1">
            <x v="987"/>
          </reference>
        </references>
      </pivotArea>
    </format>
    <format dxfId="3108">
      <pivotArea dataOnly="0" labelOnly="1" outline="0" fieldPosition="0">
        <references count="4">
          <reference field="3" count="1" selected="0">
            <x v="2105"/>
          </reference>
          <reference field="4" count="1" selected="0">
            <x v="2140"/>
          </reference>
          <reference field="11" count="1" selected="0">
            <x v="12"/>
          </reference>
          <reference field="14" count="1">
            <x v="965"/>
          </reference>
        </references>
      </pivotArea>
    </format>
    <format dxfId="3107">
      <pivotArea dataOnly="0" labelOnly="1" outline="0" fieldPosition="0">
        <references count="4">
          <reference field="3" count="1" selected="0">
            <x v="2106"/>
          </reference>
          <reference field="4" count="1" selected="0">
            <x v="2169"/>
          </reference>
          <reference field="11" count="1" selected="0">
            <x v="12"/>
          </reference>
          <reference field="14" count="1">
            <x v="966"/>
          </reference>
        </references>
      </pivotArea>
    </format>
    <format dxfId="3106">
      <pivotArea dataOnly="0" labelOnly="1" outline="0" fieldPosition="0">
        <references count="4">
          <reference field="3" count="1" selected="0">
            <x v="2122"/>
          </reference>
          <reference field="4" count="1" selected="0">
            <x v="2231"/>
          </reference>
          <reference field="11" count="1" selected="0">
            <x v="12"/>
          </reference>
          <reference field="14" count="1">
            <x v="642"/>
          </reference>
        </references>
      </pivotArea>
    </format>
    <format dxfId="3105">
      <pivotArea dataOnly="0" labelOnly="1" outline="0" fieldPosition="0">
        <references count="4">
          <reference field="3" count="1" selected="0">
            <x v="2144"/>
          </reference>
          <reference field="4" count="1" selected="0">
            <x v="1510"/>
          </reference>
          <reference field="11" count="1" selected="0">
            <x v="12"/>
          </reference>
          <reference field="14" count="1">
            <x v="921"/>
          </reference>
        </references>
      </pivotArea>
    </format>
    <format dxfId="3104">
      <pivotArea dataOnly="0" labelOnly="1" outline="0" fieldPosition="0">
        <references count="4">
          <reference field="3" count="1" selected="0">
            <x v="2163"/>
          </reference>
          <reference field="4" count="1" selected="0">
            <x v="2291"/>
          </reference>
          <reference field="11" count="1" selected="0">
            <x v="12"/>
          </reference>
          <reference field="14" count="1">
            <x v="970"/>
          </reference>
        </references>
      </pivotArea>
    </format>
    <format dxfId="3103">
      <pivotArea dataOnly="0" labelOnly="1" outline="0" fieldPosition="0">
        <references count="4">
          <reference field="3" count="1" selected="0">
            <x v="2197"/>
          </reference>
          <reference field="4" count="1" selected="0">
            <x v="2337"/>
          </reference>
          <reference field="11" count="1" selected="0">
            <x v="12"/>
          </reference>
          <reference field="14" count="1">
            <x v="965"/>
          </reference>
        </references>
      </pivotArea>
    </format>
    <format dxfId="3102">
      <pivotArea dataOnly="0" labelOnly="1" outline="0" fieldPosition="0">
        <references count="4">
          <reference field="3" count="1" selected="0">
            <x v="2222"/>
          </reference>
          <reference field="4" count="1" selected="0">
            <x v="2398"/>
          </reference>
          <reference field="11" count="1" selected="0">
            <x v="12"/>
          </reference>
          <reference field="14" count="1">
            <x v="844"/>
          </reference>
        </references>
      </pivotArea>
    </format>
    <format dxfId="3101">
      <pivotArea dataOnly="0" labelOnly="1" outline="0" fieldPosition="0">
        <references count="4">
          <reference field="3" count="1" selected="0">
            <x v="2232"/>
          </reference>
          <reference field="4" count="1" selected="0">
            <x v="2479"/>
          </reference>
          <reference field="11" count="1" selected="0">
            <x v="12"/>
          </reference>
          <reference field="14" count="1">
            <x v="967"/>
          </reference>
        </references>
      </pivotArea>
    </format>
    <format dxfId="3100">
      <pivotArea dataOnly="0" labelOnly="1" outline="0" fieldPosition="0">
        <references count="4">
          <reference field="3" count="1" selected="0">
            <x v="2235"/>
          </reference>
          <reference field="4" count="1" selected="0">
            <x v="2483"/>
          </reference>
          <reference field="11" count="1" selected="0">
            <x v="12"/>
          </reference>
          <reference field="14" count="1">
            <x v="974"/>
          </reference>
        </references>
      </pivotArea>
    </format>
    <format dxfId="3099">
      <pivotArea dataOnly="0" labelOnly="1" outline="0" fieldPosition="0">
        <references count="4">
          <reference field="3" count="1" selected="0">
            <x v="2243"/>
          </reference>
          <reference field="4" count="1" selected="0">
            <x v="2492"/>
          </reference>
          <reference field="11" count="1" selected="0">
            <x v="12"/>
          </reference>
          <reference field="14" count="1">
            <x v="965"/>
          </reference>
        </references>
      </pivotArea>
    </format>
    <format dxfId="3098">
      <pivotArea dataOnly="0" labelOnly="1" outline="0" fieldPosition="0">
        <references count="4">
          <reference field="3" count="1" selected="0">
            <x v="2251"/>
          </reference>
          <reference field="4" count="1" selected="0">
            <x v="2517"/>
          </reference>
          <reference field="11" count="1" selected="0">
            <x v="12"/>
          </reference>
          <reference field="14" count="1">
            <x v="876"/>
          </reference>
        </references>
      </pivotArea>
    </format>
    <format dxfId="3097">
      <pivotArea dataOnly="0" labelOnly="1" outline="0" fieldPosition="0">
        <references count="5">
          <reference field="3" count="1" selected="0">
            <x v="56"/>
          </reference>
          <reference field="4" count="1" selected="0">
            <x v="135"/>
          </reference>
          <reference field="11" count="1" selected="0">
            <x v="12"/>
          </reference>
          <reference field="14" count="1" selected="0">
            <x v="808"/>
          </reference>
          <reference field="21" count="1">
            <x v="38"/>
          </reference>
        </references>
      </pivotArea>
    </format>
    <format dxfId="3096">
      <pivotArea dataOnly="0" labelOnly="1" outline="0" fieldPosition="0">
        <references count="5">
          <reference field="3" count="1" selected="0">
            <x v="81"/>
          </reference>
          <reference field="4" count="1" selected="0">
            <x v="1470"/>
          </reference>
          <reference field="11" count="1" selected="0">
            <x v="12"/>
          </reference>
          <reference field="14" count="1" selected="0">
            <x v="217"/>
          </reference>
          <reference field="21" count="1">
            <x v="34"/>
          </reference>
        </references>
      </pivotArea>
    </format>
    <format dxfId="3095">
      <pivotArea dataOnly="0" labelOnly="1" outline="0" fieldPosition="0">
        <references count="5">
          <reference field="3" count="1" selected="0">
            <x v="112"/>
          </reference>
          <reference field="4" count="1" selected="0">
            <x v="397"/>
          </reference>
          <reference field="11" count="1" selected="0">
            <x v="12"/>
          </reference>
          <reference field="14" count="1" selected="0">
            <x v="656"/>
          </reference>
          <reference field="21" count="1">
            <x v="29"/>
          </reference>
        </references>
      </pivotArea>
    </format>
    <format dxfId="3094">
      <pivotArea dataOnly="0" labelOnly="1" outline="0" fieldPosition="0">
        <references count="5">
          <reference field="3" count="1" selected="0">
            <x v="152"/>
          </reference>
          <reference field="4" count="1" selected="0">
            <x v="832"/>
          </reference>
          <reference field="11" count="1" selected="0">
            <x v="12"/>
          </reference>
          <reference field="14" count="1" selected="0">
            <x v="136"/>
          </reference>
          <reference field="21" count="1">
            <x v="27"/>
          </reference>
        </references>
      </pivotArea>
    </format>
    <format dxfId="3093">
      <pivotArea dataOnly="0" labelOnly="1" outline="0" fieldPosition="0">
        <references count="5">
          <reference field="3" count="1" selected="0">
            <x v="153"/>
          </reference>
          <reference field="4" count="1" selected="0">
            <x v="792"/>
          </reference>
          <reference field="11" count="1" selected="0">
            <x v="12"/>
          </reference>
          <reference field="14" count="1" selected="0">
            <x v="125"/>
          </reference>
          <reference field="21" count="1">
            <x v="41"/>
          </reference>
        </references>
      </pivotArea>
    </format>
    <format dxfId="3092">
      <pivotArea dataOnly="0" labelOnly="1" outline="0" fieldPosition="0">
        <references count="5">
          <reference field="3" count="1" selected="0">
            <x v="174"/>
          </reference>
          <reference field="4" count="1" selected="0">
            <x v="1363"/>
          </reference>
          <reference field="11" count="1" selected="0">
            <x v="11"/>
          </reference>
          <reference field="14" count="1" selected="0">
            <x v="412"/>
          </reference>
          <reference field="21" count="1">
            <x v="28"/>
          </reference>
        </references>
      </pivotArea>
    </format>
    <format dxfId="3091">
      <pivotArea dataOnly="0" labelOnly="1" outline="0" fieldPosition="0">
        <references count="5">
          <reference field="3" count="1" selected="0">
            <x v="189"/>
          </reference>
          <reference field="4" count="1" selected="0">
            <x v="1480"/>
          </reference>
          <reference field="11" count="1" selected="0">
            <x v="12"/>
          </reference>
          <reference field="14" count="1" selected="0">
            <x v="350"/>
          </reference>
          <reference field="21" count="1">
            <x v="36"/>
          </reference>
        </references>
      </pivotArea>
    </format>
    <format dxfId="3090">
      <pivotArea dataOnly="0" labelOnly="1" outline="0" fieldPosition="0">
        <references count="5">
          <reference field="3" count="1" selected="0">
            <x v="190"/>
          </reference>
          <reference field="4" count="1" selected="0">
            <x v="672"/>
          </reference>
          <reference field="11" count="1" selected="0">
            <x v="12"/>
          </reference>
          <reference field="14" count="1" selected="0">
            <x v="106"/>
          </reference>
          <reference field="21" count="1">
            <x v="31"/>
          </reference>
        </references>
      </pivotArea>
    </format>
    <format dxfId="3089">
      <pivotArea dataOnly="0" labelOnly="1" outline="0" fieldPosition="0">
        <references count="5">
          <reference field="3" count="1" selected="0">
            <x v="199"/>
          </reference>
          <reference field="4" count="1" selected="0">
            <x v="766"/>
          </reference>
          <reference field="11" count="1" selected="0">
            <x v="12"/>
          </reference>
          <reference field="14" count="1" selected="0">
            <x v="629"/>
          </reference>
          <reference field="21" count="1">
            <x v="34"/>
          </reference>
        </references>
      </pivotArea>
    </format>
    <format dxfId="3088">
      <pivotArea dataOnly="0" labelOnly="1" outline="0" fieldPosition="0">
        <references count="5">
          <reference field="3" count="1" selected="0">
            <x v="204"/>
          </reference>
          <reference field="4" count="1" selected="0">
            <x v="106"/>
          </reference>
          <reference field="11" count="1" selected="0">
            <x v="12"/>
          </reference>
          <reference field="14" count="1" selected="0">
            <x v="851"/>
          </reference>
          <reference field="21" count="1">
            <x v="29"/>
          </reference>
        </references>
      </pivotArea>
    </format>
    <format dxfId="3087">
      <pivotArea dataOnly="0" labelOnly="1" outline="0" fieldPosition="0">
        <references count="5">
          <reference field="3" count="1" selected="0">
            <x v="206"/>
          </reference>
          <reference field="4" count="1" selected="0">
            <x v="1232"/>
          </reference>
          <reference field="11" count="1" selected="0">
            <x v="12"/>
          </reference>
          <reference field="14" count="1" selected="0">
            <x v="135"/>
          </reference>
          <reference field="21" count="1">
            <x v="30"/>
          </reference>
        </references>
      </pivotArea>
    </format>
    <format dxfId="3086">
      <pivotArea dataOnly="0" labelOnly="1" outline="0" fieldPosition="0">
        <references count="5">
          <reference field="3" count="1" selected="0">
            <x v="234"/>
          </reference>
          <reference field="4" count="1" selected="0">
            <x v="1777"/>
          </reference>
          <reference field="11" count="1" selected="0">
            <x v="11"/>
          </reference>
          <reference field="14" count="1" selected="0">
            <x v="678"/>
          </reference>
          <reference field="21" count="1">
            <x v="27"/>
          </reference>
        </references>
      </pivotArea>
    </format>
    <format dxfId="3085">
      <pivotArea dataOnly="0" labelOnly="1" outline="0" fieldPosition="0">
        <references count="5">
          <reference field="3" count="1" selected="0">
            <x v="251"/>
          </reference>
          <reference field="4" count="1" selected="0">
            <x v="770"/>
          </reference>
          <reference field="11" count="1" selected="0">
            <x v="12"/>
          </reference>
          <reference field="14" count="1" selected="0">
            <x v="438"/>
          </reference>
          <reference field="21" count="1">
            <x v="33"/>
          </reference>
        </references>
      </pivotArea>
    </format>
    <format dxfId="3084">
      <pivotArea dataOnly="0" labelOnly="1" outline="0" fieldPosition="0">
        <references count="5">
          <reference field="3" count="1" selected="0">
            <x v="253"/>
          </reference>
          <reference field="4" count="1" selected="0">
            <x v="1240"/>
          </reference>
          <reference field="11" count="1" selected="0">
            <x v="12"/>
          </reference>
          <reference field="14" count="1" selected="0">
            <x v="763"/>
          </reference>
          <reference field="21" count="1">
            <x v="39"/>
          </reference>
        </references>
      </pivotArea>
    </format>
    <format dxfId="3083">
      <pivotArea dataOnly="0" labelOnly="1" outline="0" fieldPosition="0">
        <references count="5">
          <reference field="3" count="1" selected="0">
            <x v="259"/>
          </reference>
          <reference field="4" count="1" selected="0">
            <x v="948"/>
          </reference>
          <reference field="11" count="1" selected="0">
            <x v="12"/>
          </reference>
          <reference field="14" count="1" selected="0">
            <x v="815"/>
          </reference>
          <reference field="21" count="1">
            <x v="52"/>
          </reference>
        </references>
      </pivotArea>
    </format>
    <format dxfId="3082">
      <pivotArea dataOnly="0" labelOnly="1" outline="0" fieldPosition="0">
        <references count="5">
          <reference field="3" count="1" selected="0">
            <x v="269"/>
          </reference>
          <reference field="4" count="1" selected="0">
            <x v="1384"/>
          </reference>
          <reference field="11" count="1" selected="0">
            <x v="12"/>
          </reference>
          <reference field="14" count="1" selected="0">
            <x v="338"/>
          </reference>
          <reference field="21" count="1">
            <x v="29"/>
          </reference>
        </references>
      </pivotArea>
    </format>
    <format dxfId="3081">
      <pivotArea dataOnly="0" labelOnly="1" outline="0" fieldPosition="0">
        <references count="5">
          <reference field="3" count="1" selected="0">
            <x v="276"/>
          </reference>
          <reference field="4" count="1" selected="0">
            <x v="1531"/>
          </reference>
          <reference field="11" count="1" selected="0">
            <x v="11"/>
          </reference>
          <reference field="14" count="1" selected="0">
            <x v="279"/>
          </reference>
          <reference field="21" count="1">
            <x v="27"/>
          </reference>
        </references>
      </pivotArea>
    </format>
    <format dxfId="3080">
      <pivotArea dataOnly="0" labelOnly="1" outline="0" fieldPosition="0">
        <references count="5">
          <reference field="3" count="1" selected="0">
            <x v="292"/>
          </reference>
          <reference field="4" count="1" selected="0">
            <x v="506"/>
          </reference>
          <reference field="11" count="1" selected="0">
            <x v="12"/>
          </reference>
          <reference field="14" count="1" selected="0">
            <x v="981"/>
          </reference>
          <reference field="21" count="1">
            <x v="32"/>
          </reference>
        </references>
      </pivotArea>
    </format>
    <format dxfId="3079">
      <pivotArea dataOnly="0" labelOnly="1" outline="0" fieldPosition="0">
        <references count="5">
          <reference field="3" count="1" selected="0">
            <x v="356"/>
          </reference>
          <reference field="4" count="1" selected="0">
            <x v="848"/>
          </reference>
          <reference field="11" count="1" selected="0">
            <x v="12"/>
          </reference>
          <reference field="14" count="1" selected="0">
            <x v="428"/>
          </reference>
          <reference field="21" count="1">
            <x v="26"/>
          </reference>
        </references>
      </pivotArea>
    </format>
    <format dxfId="3078">
      <pivotArea dataOnly="0" labelOnly="1" outline="0" fieldPosition="0">
        <references count="5">
          <reference field="3" count="1" selected="0">
            <x v="360"/>
          </reference>
          <reference field="4" count="1" selected="0">
            <x v="1488"/>
          </reference>
          <reference field="11" count="1" selected="0">
            <x v="12"/>
          </reference>
          <reference field="14" count="1" selected="0">
            <x v="755"/>
          </reference>
          <reference field="21" count="1">
            <x v="37"/>
          </reference>
        </references>
      </pivotArea>
    </format>
    <format dxfId="3077">
      <pivotArea dataOnly="0" labelOnly="1" outline="0" fieldPosition="0">
        <references count="5">
          <reference field="3" count="1" selected="0">
            <x v="379"/>
          </reference>
          <reference field="4" count="1" selected="0">
            <x v="730"/>
          </reference>
          <reference field="11" count="1" selected="0">
            <x v="12"/>
          </reference>
          <reference field="14" count="1" selected="0">
            <x v="255"/>
          </reference>
          <reference field="21" count="1">
            <x v="28"/>
          </reference>
        </references>
      </pivotArea>
    </format>
    <format dxfId="3076">
      <pivotArea dataOnly="0" labelOnly="1" outline="0" fieldPosition="0">
        <references count="5">
          <reference field="3" count="1" selected="0">
            <x v="388"/>
          </reference>
          <reference field="4" count="1" selected="0">
            <x v="256"/>
          </reference>
          <reference field="11" count="1" selected="0">
            <x v="12"/>
          </reference>
          <reference field="14" count="1" selected="0">
            <x v="204"/>
          </reference>
          <reference field="21" count="1">
            <x v="27"/>
          </reference>
        </references>
      </pivotArea>
    </format>
    <format dxfId="3075">
      <pivotArea dataOnly="0" labelOnly="1" outline="0" fieldPosition="0">
        <references count="5">
          <reference field="3" count="1" selected="0">
            <x v="398"/>
          </reference>
          <reference field="4" count="1" selected="0">
            <x v="645"/>
          </reference>
          <reference field="11" count="1" selected="0">
            <x v="12"/>
          </reference>
          <reference field="14" count="1" selected="0">
            <x v="500"/>
          </reference>
          <reference field="21" count="1">
            <x v="24"/>
          </reference>
        </references>
      </pivotArea>
    </format>
    <format dxfId="3074">
      <pivotArea dataOnly="0" labelOnly="1" outline="0" fieldPosition="0">
        <references count="5">
          <reference field="3" count="1" selected="0">
            <x v="477"/>
          </reference>
          <reference field="4" count="1" selected="0">
            <x v="271"/>
          </reference>
          <reference field="11" count="1" selected="0">
            <x v="12"/>
          </reference>
          <reference field="14" count="1" selected="0">
            <x v="684"/>
          </reference>
          <reference field="21" count="1">
            <x v="22"/>
          </reference>
        </references>
      </pivotArea>
    </format>
    <format dxfId="3073">
      <pivotArea dataOnly="0" labelOnly="1" outline="0" fieldPosition="0">
        <references count="5">
          <reference field="3" count="1" selected="0">
            <x v="480"/>
          </reference>
          <reference field="4" count="1" selected="0">
            <x v="207"/>
          </reference>
          <reference field="11" count="1" selected="0">
            <x v="12"/>
          </reference>
          <reference field="14" count="1" selected="0">
            <x v="119"/>
          </reference>
          <reference field="21" count="1">
            <x v="16"/>
          </reference>
        </references>
      </pivotArea>
    </format>
    <format dxfId="3072">
      <pivotArea dataOnly="0" labelOnly="1" outline="0" fieldPosition="0">
        <references count="5">
          <reference field="3" count="1" selected="0">
            <x v="481"/>
          </reference>
          <reference field="4" count="1" selected="0">
            <x v="1197"/>
          </reference>
          <reference field="11" count="1" selected="0">
            <x v="12"/>
          </reference>
          <reference field="14" count="1" selected="0">
            <x v="757"/>
          </reference>
          <reference field="21" count="1">
            <x v="17"/>
          </reference>
        </references>
      </pivotArea>
    </format>
    <format dxfId="3071">
      <pivotArea dataOnly="0" labelOnly="1" outline="0" fieldPosition="0">
        <references count="5">
          <reference field="3" count="1" selected="0">
            <x v="492"/>
          </reference>
          <reference field="4" count="1" selected="0">
            <x v="2"/>
          </reference>
          <reference field="11" count="1" selected="0">
            <x v="11"/>
          </reference>
          <reference field="14" count="1" selected="0">
            <x v="3"/>
          </reference>
          <reference field="21" count="1">
            <x v="25"/>
          </reference>
        </references>
      </pivotArea>
    </format>
    <format dxfId="3070">
      <pivotArea dataOnly="0" labelOnly="1" outline="0" fieldPosition="0">
        <references count="5">
          <reference field="3" count="1" selected="0">
            <x v="503"/>
          </reference>
          <reference field="4" count="1" selected="0">
            <x v="277"/>
          </reference>
          <reference field="11" count="1" selected="0">
            <x v="11"/>
          </reference>
          <reference field="14" count="1" selected="0">
            <x v="277"/>
          </reference>
          <reference field="21" count="1">
            <x v="22"/>
          </reference>
        </references>
      </pivotArea>
    </format>
    <format dxfId="3069">
      <pivotArea dataOnly="0" labelOnly="1" outline="0" fieldPosition="0">
        <references count="5">
          <reference field="3" count="1" selected="0">
            <x v="535"/>
          </reference>
          <reference field="4" count="1" selected="0">
            <x v="92"/>
          </reference>
          <reference field="11" count="1" selected="0">
            <x v="12"/>
          </reference>
          <reference field="14" count="1" selected="0">
            <x v="689"/>
          </reference>
          <reference field="21" count="1">
            <x v="23"/>
          </reference>
        </references>
      </pivotArea>
    </format>
    <format dxfId="3068">
      <pivotArea dataOnly="0" labelOnly="1" outline="0" fieldPosition="0">
        <references count="5">
          <reference field="3" count="1" selected="0">
            <x v="587"/>
          </reference>
          <reference field="4" count="1" selected="0">
            <x v="979"/>
          </reference>
          <reference field="11" count="1" selected="0">
            <x v="11"/>
          </reference>
          <reference field="14" count="1" selected="0">
            <x v="450"/>
          </reference>
          <reference field="21" count="1">
            <x v="24"/>
          </reference>
        </references>
      </pivotArea>
    </format>
    <format dxfId="3067">
      <pivotArea dataOnly="0" labelOnly="1" outline="0" fieldPosition="0">
        <references count="5">
          <reference field="3" count="1" selected="0">
            <x v="599"/>
          </reference>
          <reference field="4" count="1" selected="0">
            <x v="1884"/>
          </reference>
          <reference field="11" count="1" selected="0">
            <x v="12"/>
          </reference>
          <reference field="14" count="1" selected="0">
            <x v="916"/>
          </reference>
          <reference field="21" count="1">
            <x v="22"/>
          </reference>
        </references>
      </pivotArea>
    </format>
    <format dxfId="3066">
      <pivotArea dataOnly="0" labelOnly="1" outline="0" fieldPosition="0">
        <references count="5">
          <reference field="3" count="1" selected="0">
            <x v="622"/>
          </reference>
          <reference field="4" count="1" selected="0">
            <x v="1875"/>
          </reference>
          <reference field="11" count="1" selected="0">
            <x v="12"/>
          </reference>
          <reference field="14" count="1" selected="0">
            <x v="87"/>
          </reference>
          <reference field="21" count="1">
            <x v="21"/>
          </reference>
        </references>
      </pivotArea>
    </format>
    <format dxfId="3065">
      <pivotArea dataOnly="0" labelOnly="1" outline="0" fieldPosition="0">
        <references count="5">
          <reference field="3" count="1" selected="0">
            <x v="625"/>
          </reference>
          <reference field="4" count="1" selected="0">
            <x v="1987"/>
          </reference>
          <reference field="11" count="1" selected="0">
            <x v="12"/>
          </reference>
          <reference field="14" count="1" selected="0">
            <x v="852"/>
          </reference>
          <reference field="21" count="1">
            <x v="25"/>
          </reference>
        </references>
      </pivotArea>
    </format>
    <format dxfId="3064">
      <pivotArea dataOnly="0" labelOnly="1" outline="0" fieldPosition="0">
        <references count="5">
          <reference field="3" count="1" selected="0">
            <x v="683"/>
          </reference>
          <reference field="4" count="1" selected="0">
            <x v="865"/>
          </reference>
          <reference field="11" count="1" selected="0">
            <x v="12"/>
          </reference>
          <reference field="14" count="1" selected="0">
            <x v="365"/>
          </reference>
          <reference field="21" count="1">
            <x v="20"/>
          </reference>
        </references>
      </pivotArea>
    </format>
    <format dxfId="3063">
      <pivotArea dataOnly="0" labelOnly="1" outline="0" fieldPosition="0">
        <references count="5">
          <reference field="3" count="1" selected="0">
            <x v="709"/>
          </reference>
          <reference field="4" count="1" selected="0">
            <x v="2176"/>
          </reference>
          <reference field="11" count="1" selected="0">
            <x v="12"/>
          </reference>
          <reference field="14" count="1" selected="0">
            <x v="895"/>
          </reference>
          <reference field="21" count="1">
            <x v="18"/>
          </reference>
        </references>
      </pivotArea>
    </format>
    <format dxfId="3062">
      <pivotArea dataOnly="0" labelOnly="1" outline="0" fieldPosition="0">
        <references count="5">
          <reference field="3" count="1" selected="0">
            <x v="718"/>
          </reference>
          <reference field="4" count="1" selected="0">
            <x v="1945"/>
          </reference>
          <reference field="11" count="1" selected="0">
            <x v="12"/>
          </reference>
          <reference field="14" count="1" selected="0">
            <x v="862"/>
          </reference>
          <reference field="21" count="1">
            <x v="22"/>
          </reference>
        </references>
      </pivotArea>
    </format>
    <format dxfId="3061">
      <pivotArea dataOnly="0" labelOnly="1" outline="0" fieldPosition="0">
        <references count="5">
          <reference field="3" count="1" selected="0">
            <x v="730"/>
          </reference>
          <reference field="4" count="1" selected="0">
            <x v="2167"/>
          </reference>
          <reference field="11" count="1" selected="0">
            <x v="12"/>
          </reference>
          <reference field="14" count="1" selected="0">
            <x v="834"/>
          </reference>
          <reference field="21" count="1">
            <x v="18"/>
          </reference>
        </references>
      </pivotArea>
    </format>
    <format dxfId="3060">
      <pivotArea dataOnly="0" labelOnly="1" outline="0" fieldPosition="0">
        <references count="5">
          <reference field="3" count="1" selected="0">
            <x v="759"/>
          </reference>
          <reference field="4" count="1" selected="0">
            <x v="154"/>
          </reference>
          <reference field="11" count="1" selected="0">
            <x v="12"/>
          </reference>
          <reference field="14" count="1" selected="0">
            <x v="107"/>
          </reference>
          <reference field="21" count="1">
            <x v="18"/>
          </reference>
        </references>
      </pivotArea>
    </format>
    <format dxfId="3059">
      <pivotArea dataOnly="0" labelOnly="1" outline="0" fieldPosition="0">
        <references count="5">
          <reference field="3" count="1" selected="0">
            <x v="774"/>
          </reference>
          <reference field="4" count="1" selected="0">
            <x v="458"/>
          </reference>
          <reference field="11" count="1" selected="0">
            <x v="12"/>
          </reference>
          <reference field="14" count="1" selected="0">
            <x v="468"/>
          </reference>
          <reference field="21" count="1">
            <x v="17"/>
          </reference>
        </references>
      </pivotArea>
    </format>
    <format dxfId="3058">
      <pivotArea dataOnly="0" labelOnly="1" outline="0" fieldPosition="0">
        <references count="5">
          <reference field="3" count="1" selected="0">
            <x v="839"/>
          </reference>
          <reference field="4" count="1" selected="0">
            <x v="1422"/>
          </reference>
          <reference field="11" count="1" selected="0">
            <x v="12"/>
          </reference>
          <reference field="14" count="1" selected="0">
            <x v="219"/>
          </reference>
          <reference field="21" count="1">
            <x v="17"/>
          </reference>
        </references>
      </pivotArea>
    </format>
    <format dxfId="3057">
      <pivotArea dataOnly="0" labelOnly="1" outline="0" fieldPosition="0">
        <references count="5">
          <reference field="3" count="1" selected="0">
            <x v="850"/>
          </reference>
          <reference field="4" count="1" selected="0">
            <x v="1950"/>
          </reference>
          <reference field="11" count="1" selected="0">
            <x v="12"/>
          </reference>
          <reference field="14" count="1" selected="0">
            <x v="873"/>
          </reference>
          <reference field="21" count="1">
            <x v="16"/>
          </reference>
        </references>
      </pivotArea>
    </format>
    <format dxfId="3056">
      <pivotArea dataOnly="0" labelOnly="1" outline="0" fieldPosition="0">
        <references count="5">
          <reference field="3" count="1" selected="0">
            <x v="884"/>
          </reference>
          <reference field="4" count="1" selected="0">
            <x v="1262"/>
          </reference>
          <reference field="11" count="1" selected="0">
            <x v="12"/>
          </reference>
          <reference field="14" count="1" selected="0">
            <x v="100"/>
          </reference>
          <reference field="21" count="1">
            <x v="20"/>
          </reference>
        </references>
      </pivotArea>
    </format>
    <format dxfId="3055">
      <pivotArea dataOnly="0" labelOnly="1" outline="0" fieldPosition="0">
        <references count="5">
          <reference field="3" count="1" selected="0">
            <x v="913"/>
          </reference>
          <reference field="4" count="1" selected="0">
            <x v="983"/>
          </reference>
          <reference field="11" count="1" selected="0">
            <x v="12"/>
          </reference>
          <reference field="14" count="1" selected="0">
            <x v="813"/>
          </reference>
          <reference field="21" count="1">
            <x v="15"/>
          </reference>
        </references>
      </pivotArea>
    </format>
    <format dxfId="3054">
      <pivotArea dataOnly="0" labelOnly="1" outline="0" fieldPosition="0">
        <references count="5">
          <reference field="3" count="1" selected="0">
            <x v="948"/>
          </reference>
          <reference field="4" count="1" selected="0">
            <x v="1728"/>
          </reference>
          <reference field="11" count="1" selected="0">
            <x v="12"/>
          </reference>
          <reference field="14" count="1" selected="0">
            <x v="197"/>
          </reference>
          <reference field="21" count="1">
            <x v="15"/>
          </reference>
        </references>
      </pivotArea>
    </format>
    <format dxfId="3053">
      <pivotArea dataOnly="0" labelOnly="1" outline="0" fieldPosition="0">
        <references count="5">
          <reference field="3" count="1" selected="0">
            <x v="971"/>
          </reference>
          <reference field="4" count="1" selected="0">
            <x v="676"/>
          </reference>
          <reference field="11" count="1" selected="0">
            <x v="12"/>
          </reference>
          <reference field="14" count="1" selected="0">
            <x v="180"/>
          </reference>
          <reference field="21" count="1">
            <x v="14"/>
          </reference>
        </references>
      </pivotArea>
    </format>
    <format dxfId="3052">
      <pivotArea dataOnly="0" labelOnly="1" outline="0" fieldPosition="0">
        <references count="5">
          <reference field="3" count="1" selected="0">
            <x v="997"/>
          </reference>
          <reference field="4" count="1" selected="0">
            <x v="326"/>
          </reference>
          <reference field="11" count="1" selected="0">
            <x v="12"/>
          </reference>
          <reference field="14" count="1" selected="0">
            <x v="867"/>
          </reference>
          <reference field="21" count="1">
            <x v="13"/>
          </reference>
        </references>
      </pivotArea>
    </format>
    <format dxfId="3051">
      <pivotArea dataOnly="0" labelOnly="1" outline="0" fieldPosition="0">
        <references count="5">
          <reference field="3" count="1" selected="0">
            <x v="1003"/>
          </reference>
          <reference field="4" count="1" selected="0">
            <x v="185"/>
          </reference>
          <reference field="11" count="1" selected="0">
            <x v="12"/>
          </reference>
          <reference field="14" count="1" selected="0">
            <x v="899"/>
          </reference>
          <reference field="21" count="1">
            <x v="14"/>
          </reference>
        </references>
      </pivotArea>
    </format>
    <format dxfId="3050">
      <pivotArea dataOnly="0" labelOnly="1" outline="0" fieldPosition="0">
        <references count="5">
          <reference field="3" count="1" selected="0">
            <x v="1011"/>
          </reference>
          <reference field="4" count="1" selected="0">
            <x v="976"/>
          </reference>
          <reference field="11" count="1" selected="0">
            <x v="12"/>
          </reference>
          <reference field="14" count="1" selected="0">
            <x v="162"/>
          </reference>
          <reference field="21" count="1">
            <x v="15"/>
          </reference>
        </references>
      </pivotArea>
    </format>
    <format dxfId="3049">
      <pivotArea dataOnly="0" labelOnly="1" outline="0" fieldPosition="0">
        <references count="5">
          <reference field="3" count="1" selected="0">
            <x v="1020"/>
          </reference>
          <reference field="4" count="1" selected="0">
            <x v="1451"/>
          </reference>
          <reference field="11" count="1" selected="0">
            <x v="12"/>
          </reference>
          <reference field="14" count="1" selected="0">
            <x v="457"/>
          </reference>
          <reference field="21" count="1">
            <x v="13"/>
          </reference>
        </references>
      </pivotArea>
    </format>
    <format dxfId="3048">
      <pivotArea dataOnly="0" labelOnly="1" outline="0" fieldPosition="0">
        <references count="5">
          <reference field="3" count="1" selected="0">
            <x v="1040"/>
          </reference>
          <reference field="4" count="1" selected="0">
            <x v="164"/>
          </reference>
          <reference field="11" count="1" selected="0">
            <x v="12"/>
          </reference>
          <reference field="14" count="1" selected="0">
            <x v="137"/>
          </reference>
          <reference field="21" count="1">
            <x v="15"/>
          </reference>
        </references>
      </pivotArea>
    </format>
    <format dxfId="3047">
      <pivotArea dataOnly="0" labelOnly="1" outline="0" fieldPosition="0">
        <references count="5">
          <reference field="3" count="1" selected="0">
            <x v="1069"/>
          </reference>
          <reference field="4" count="1" selected="0">
            <x v="710"/>
          </reference>
          <reference field="11" count="1" selected="0">
            <x v="11"/>
          </reference>
          <reference field="14" count="1" selected="0">
            <x v="635"/>
          </reference>
          <reference field="21" count="1">
            <x v="12"/>
          </reference>
        </references>
      </pivotArea>
    </format>
    <format dxfId="3046">
      <pivotArea dataOnly="0" labelOnly="1" outline="0" fieldPosition="0">
        <references count="5">
          <reference field="3" count="1" selected="0">
            <x v="1077"/>
          </reference>
          <reference field="4" count="1" selected="0">
            <x v="1314"/>
          </reference>
          <reference field="11" count="1" selected="0">
            <x v="11"/>
          </reference>
          <reference field="14" count="1" selected="0">
            <x v="289"/>
          </reference>
          <reference field="21" count="1">
            <x v="12"/>
          </reference>
        </references>
      </pivotArea>
    </format>
    <format dxfId="3045">
      <pivotArea dataOnly="0" labelOnly="1" outline="0" fieldPosition="0">
        <references count="5">
          <reference field="3" count="1" selected="0">
            <x v="1113"/>
          </reference>
          <reference field="4" count="1" selected="0">
            <x v="2474"/>
          </reference>
          <reference field="11" count="1" selected="0">
            <x v="12"/>
          </reference>
          <reference field="14" count="1" selected="0">
            <x v="974"/>
          </reference>
          <reference field="21" count="1">
            <x v="11"/>
          </reference>
        </references>
      </pivotArea>
    </format>
    <format dxfId="3044">
      <pivotArea dataOnly="0" labelOnly="1" outline="0" fieldPosition="0">
        <references count="5">
          <reference field="3" count="1" selected="0">
            <x v="1129"/>
          </reference>
          <reference field="4" count="1" selected="0">
            <x v="344"/>
          </reference>
          <reference field="11" count="1" selected="0">
            <x v="12"/>
          </reference>
          <reference field="14" count="1" selected="0">
            <x v="895"/>
          </reference>
          <reference field="21" count="1">
            <x v="17"/>
          </reference>
        </references>
      </pivotArea>
    </format>
    <format dxfId="3043">
      <pivotArea dataOnly="0" labelOnly="1" outline="0" fieldPosition="0">
        <references count="5">
          <reference field="3" count="1" selected="0">
            <x v="1141"/>
          </reference>
          <reference field="4" count="1" selected="0">
            <x v="186"/>
          </reference>
          <reference field="11" count="1" selected="0">
            <x v="12"/>
          </reference>
          <reference field="14" count="1" selected="0">
            <x v="902"/>
          </reference>
          <reference field="21" count="1">
            <x v="12"/>
          </reference>
        </references>
      </pivotArea>
    </format>
    <format dxfId="3042">
      <pivotArea dataOnly="0" labelOnly="1" outline="0" fieldPosition="0">
        <references count="5">
          <reference field="3" count="1" selected="0">
            <x v="1167"/>
          </reference>
          <reference field="4" count="1" selected="0">
            <x v="1177"/>
          </reference>
          <reference field="11" count="1" selected="0">
            <x v="11"/>
          </reference>
          <reference field="14" count="1" selected="0">
            <x v="552"/>
          </reference>
          <reference field="21" count="1">
            <x v="13"/>
          </reference>
        </references>
      </pivotArea>
    </format>
    <format dxfId="3041">
      <pivotArea dataOnly="0" labelOnly="1" outline="0" fieldPosition="0">
        <references count="5">
          <reference field="3" count="1" selected="0">
            <x v="1189"/>
          </reference>
          <reference field="4" count="1" selected="0">
            <x v="734"/>
          </reference>
          <reference field="11" count="1" selected="0">
            <x v="12"/>
          </reference>
          <reference field="14" count="1" selected="0">
            <x v="643"/>
          </reference>
          <reference field="21" count="1">
            <x v="10"/>
          </reference>
        </references>
      </pivotArea>
    </format>
    <format dxfId="3040">
      <pivotArea dataOnly="0" labelOnly="1" outline="0" fieldPosition="0">
        <references count="5">
          <reference field="3" count="1" selected="0">
            <x v="1196"/>
          </reference>
          <reference field="4" count="1" selected="0">
            <x v="701"/>
          </reference>
          <reference field="11" count="1" selected="0">
            <x v="11"/>
          </reference>
          <reference field="14" count="1" selected="0">
            <x v="875"/>
          </reference>
          <reference field="21" count="1">
            <x v="3"/>
          </reference>
        </references>
      </pivotArea>
    </format>
    <format dxfId="3039">
      <pivotArea dataOnly="0" labelOnly="1" outline="0" fieldPosition="0">
        <references count="5">
          <reference field="3" count="1" selected="0">
            <x v="1198"/>
          </reference>
          <reference field="4" count="1" selected="0">
            <x v="22"/>
          </reference>
          <reference field="11" count="1" selected="0">
            <x v="12"/>
          </reference>
          <reference field="14" count="1" selected="0">
            <x v="547"/>
          </reference>
          <reference field="21" count="1">
            <x v="14"/>
          </reference>
        </references>
      </pivotArea>
    </format>
    <format dxfId="3038">
      <pivotArea dataOnly="0" labelOnly="1" outline="0" fieldPosition="0">
        <references count="5">
          <reference field="3" count="1" selected="0">
            <x v="1204"/>
          </reference>
          <reference field="4" count="1" selected="0">
            <x v="421"/>
          </reference>
          <reference field="11" count="1" selected="0">
            <x v="12"/>
          </reference>
          <reference field="14" count="1" selected="0">
            <x v="759"/>
          </reference>
          <reference field="21" count="1">
            <x v="3"/>
          </reference>
        </references>
      </pivotArea>
    </format>
    <format dxfId="3037">
      <pivotArea dataOnly="0" labelOnly="1" outline="0" fieldPosition="0">
        <references count="5">
          <reference field="3" count="1" selected="0">
            <x v="1210"/>
          </reference>
          <reference field="4" count="1" selected="0">
            <x v="929"/>
          </reference>
          <reference field="11" count="1" selected="0">
            <x v="12"/>
          </reference>
          <reference field="14" count="1" selected="0">
            <x v="554"/>
          </reference>
          <reference field="21" count="1">
            <x v="6"/>
          </reference>
        </references>
      </pivotArea>
    </format>
    <format dxfId="3036">
      <pivotArea dataOnly="0" labelOnly="1" outline="0" fieldPosition="0">
        <references count="5">
          <reference field="3" count="1" selected="0">
            <x v="1222"/>
          </reference>
          <reference field="4" count="1" selected="0">
            <x v="493"/>
          </reference>
          <reference field="11" count="1" selected="0">
            <x v="12"/>
          </reference>
          <reference field="14" count="1" selected="0">
            <x v="605"/>
          </reference>
          <reference field="21" count="1">
            <x v="4"/>
          </reference>
        </references>
      </pivotArea>
    </format>
    <format dxfId="3035">
      <pivotArea dataOnly="0" labelOnly="1" outline="0" fieldPosition="0">
        <references count="5">
          <reference field="3" count="1" selected="0">
            <x v="1226"/>
          </reference>
          <reference field="4" count="1" selected="0">
            <x v="675"/>
          </reference>
          <reference field="11" count="1" selected="0">
            <x v="12"/>
          </reference>
          <reference field="14" count="1" selected="0">
            <x v="480"/>
          </reference>
          <reference field="21" count="1">
            <x v="8"/>
          </reference>
        </references>
      </pivotArea>
    </format>
    <format dxfId="3034">
      <pivotArea dataOnly="0" labelOnly="1" outline="0" fieldPosition="0">
        <references count="5">
          <reference field="3" count="1" selected="0">
            <x v="1261"/>
          </reference>
          <reference field="4" count="1" selected="0">
            <x v="914"/>
          </reference>
          <reference field="11" count="1" selected="0">
            <x v="12"/>
          </reference>
          <reference field="14" count="1" selected="0">
            <x v="423"/>
          </reference>
          <reference field="21" count="1">
            <x v="10"/>
          </reference>
        </references>
      </pivotArea>
    </format>
    <format dxfId="3033">
      <pivotArea dataOnly="0" labelOnly="1" outline="0" fieldPosition="0">
        <references count="5">
          <reference field="3" count="1" selected="0">
            <x v="1262"/>
          </reference>
          <reference field="4" count="1" selected="0">
            <x v="1155"/>
          </reference>
          <reference field="11" count="1" selected="0">
            <x v="12"/>
          </reference>
          <reference field="14" count="1" selected="0">
            <x v="876"/>
          </reference>
          <reference field="21" count="1">
            <x v="4"/>
          </reference>
        </references>
      </pivotArea>
    </format>
    <format dxfId="3032">
      <pivotArea dataOnly="0" labelOnly="1" outline="0" fieldPosition="0">
        <references count="5">
          <reference field="3" count="1" selected="0">
            <x v="1285"/>
          </reference>
          <reference field="4" count="1" selected="0">
            <x v="820"/>
          </reference>
          <reference field="11" count="1" selected="0">
            <x v="12"/>
          </reference>
          <reference field="14" count="1" selected="0">
            <x v="780"/>
          </reference>
          <reference field="21" count="1">
            <x v="10"/>
          </reference>
        </references>
      </pivotArea>
    </format>
    <format dxfId="3031">
      <pivotArea dataOnly="0" labelOnly="1" outline="0" fieldPosition="0">
        <references count="5">
          <reference field="3" count="1" selected="0">
            <x v="1288"/>
          </reference>
          <reference field="4" count="1" selected="0">
            <x v="1395"/>
          </reference>
          <reference field="11" count="1" selected="0">
            <x v="12"/>
          </reference>
          <reference field="14" count="1" selected="0">
            <x v="495"/>
          </reference>
          <reference field="21" count="1">
            <x v="12"/>
          </reference>
        </references>
      </pivotArea>
    </format>
    <format dxfId="3030">
      <pivotArea dataOnly="0" labelOnly="1" outline="0" fieldPosition="0">
        <references count="5">
          <reference field="3" count="1" selected="0">
            <x v="1291"/>
          </reference>
          <reference field="4" count="1" selected="0">
            <x v="2250"/>
          </reference>
          <reference field="11" count="1" selected="0">
            <x v="12"/>
          </reference>
          <reference field="14" count="1" selected="0">
            <x v="555"/>
          </reference>
          <reference field="21" count="1">
            <x v="9"/>
          </reference>
        </references>
      </pivotArea>
    </format>
    <format dxfId="3029">
      <pivotArea dataOnly="0" labelOnly="1" outline="0" fieldPosition="0">
        <references count="5">
          <reference field="3" count="1" selected="0">
            <x v="1318"/>
          </reference>
          <reference field="4" count="1" selected="0">
            <x v="821"/>
          </reference>
          <reference field="11" count="1" selected="0">
            <x v="12"/>
          </reference>
          <reference field="14" count="1" selected="0">
            <x v="981"/>
          </reference>
          <reference field="21" count="1">
            <x v="12"/>
          </reference>
        </references>
      </pivotArea>
    </format>
    <format dxfId="3028">
      <pivotArea dataOnly="0" labelOnly="1" outline="0" fieldPosition="0">
        <references count="5">
          <reference field="3" count="1" selected="0">
            <x v="1343"/>
          </reference>
          <reference field="4" count="1" selected="0">
            <x v="798"/>
          </reference>
          <reference field="11" count="1" selected="0">
            <x v="12"/>
          </reference>
          <reference field="14" count="1" selected="0">
            <x v="745"/>
          </reference>
          <reference field="21" count="1">
            <x v="5"/>
          </reference>
        </references>
      </pivotArea>
    </format>
    <format dxfId="3027">
      <pivotArea dataOnly="0" labelOnly="1" outline="0" fieldPosition="0">
        <references count="5">
          <reference field="3" count="1" selected="0">
            <x v="1353"/>
          </reference>
          <reference field="4" count="1" selected="0">
            <x v="1359"/>
          </reference>
          <reference field="11" count="1" selected="0">
            <x v="12"/>
          </reference>
          <reference field="14" count="1" selected="0">
            <x v="474"/>
          </reference>
          <reference field="21" count="1">
            <x v="8"/>
          </reference>
        </references>
      </pivotArea>
    </format>
    <format dxfId="3026">
      <pivotArea dataOnly="0" labelOnly="1" outline="0" fieldPosition="0">
        <references count="5">
          <reference field="3" count="1" selected="0">
            <x v="1383"/>
          </reference>
          <reference field="4" count="1" selected="0">
            <x v="721"/>
          </reference>
          <reference field="11" count="1" selected="0">
            <x v="12"/>
          </reference>
          <reference field="14" count="1" selected="0">
            <x v="803"/>
          </reference>
          <reference field="21" count="1">
            <x v="4"/>
          </reference>
        </references>
      </pivotArea>
    </format>
    <format dxfId="3025">
      <pivotArea dataOnly="0" labelOnly="1" outline="0" fieldPosition="0">
        <references count="5">
          <reference field="3" count="1" selected="0">
            <x v="1391"/>
          </reference>
          <reference field="4" count="1" selected="0">
            <x v="693"/>
          </reference>
          <reference field="11" count="1" selected="0">
            <x v="12"/>
          </reference>
          <reference field="14" count="1" selected="0">
            <x v="260"/>
          </reference>
          <reference field="21" count="1">
            <x v="12"/>
          </reference>
        </references>
      </pivotArea>
    </format>
    <format dxfId="3024">
      <pivotArea dataOnly="0" labelOnly="1" outline="0" fieldPosition="0">
        <references count="5">
          <reference field="3" count="1" selected="0">
            <x v="1415"/>
          </reference>
          <reference field="4" count="1" selected="0">
            <x v="7"/>
          </reference>
          <reference field="11" count="1" selected="0">
            <x v="12"/>
          </reference>
          <reference field="14" count="1" selected="0">
            <x v="899"/>
          </reference>
          <reference field="21" count="1">
            <x v="11"/>
          </reference>
        </references>
      </pivotArea>
    </format>
    <format dxfId="3023">
      <pivotArea dataOnly="0" labelOnly="1" outline="0" fieldPosition="0">
        <references count="5">
          <reference field="3" count="1" selected="0">
            <x v="1427"/>
          </reference>
          <reference field="4" count="1" selected="0">
            <x v="1527"/>
          </reference>
          <reference field="11" count="1" selected="0">
            <x v="12"/>
          </reference>
          <reference field="14" count="1" selected="0">
            <x v="829"/>
          </reference>
          <reference field="21" count="1">
            <x v="6"/>
          </reference>
        </references>
      </pivotArea>
    </format>
    <format dxfId="3022">
      <pivotArea dataOnly="0" labelOnly="1" outline="0" fieldPosition="0">
        <references count="5">
          <reference field="3" count="1" selected="0">
            <x v="1435"/>
          </reference>
          <reference field="4" count="1" selected="0">
            <x v="619"/>
          </reference>
          <reference field="11" count="1" selected="0">
            <x v="12"/>
          </reference>
          <reference field="14" count="1" selected="0">
            <x v="751"/>
          </reference>
          <reference field="21" count="1">
            <x v="10"/>
          </reference>
        </references>
      </pivotArea>
    </format>
    <format dxfId="3021">
      <pivotArea dataOnly="0" labelOnly="1" outline="0" fieldPosition="0">
        <references count="5">
          <reference field="3" count="1" selected="0">
            <x v="1449"/>
          </reference>
          <reference field="4" count="1" selected="0">
            <x v="18"/>
          </reference>
          <reference field="11" count="1" selected="0">
            <x v="12"/>
          </reference>
          <reference field="14" count="1" selected="0">
            <x v="871"/>
          </reference>
          <reference field="21" count="1">
            <x v="8"/>
          </reference>
        </references>
      </pivotArea>
    </format>
    <format dxfId="3020">
      <pivotArea dataOnly="0" labelOnly="1" outline="0" fieldPosition="0">
        <references count="5">
          <reference field="3" count="1" selected="0">
            <x v="1452"/>
          </reference>
          <reference field="4" count="1" selected="0">
            <x v="1112"/>
          </reference>
          <reference field="11" count="1" selected="0">
            <x v="12"/>
          </reference>
          <reference field="14" count="1" selected="0">
            <x v="794"/>
          </reference>
          <reference field="21" count="1">
            <x v="13"/>
          </reference>
        </references>
      </pivotArea>
    </format>
    <format dxfId="3019">
      <pivotArea dataOnly="0" labelOnly="1" outline="0" fieldPosition="0">
        <references count="5">
          <reference field="3" count="1" selected="0">
            <x v="1482"/>
          </reference>
          <reference field="4" count="1" selected="0">
            <x v="2109"/>
          </reference>
          <reference field="11" count="1" selected="0">
            <x v="12"/>
          </reference>
          <reference field="14" count="1" selected="0">
            <x v="346"/>
          </reference>
          <reference field="21" count="1">
            <x v="6"/>
          </reference>
        </references>
      </pivotArea>
    </format>
    <format dxfId="3018">
      <pivotArea dataOnly="0" labelOnly="1" outline="0" fieldPosition="0">
        <references count="5">
          <reference field="3" count="1" selected="0">
            <x v="1511"/>
          </reference>
          <reference field="4" count="1" selected="0">
            <x v="671"/>
          </reference>
          <reference field="11" count="1" selected="0">
            <x v="12"/>
          </reference>
          <reference field="14" count="1" selected="0">
            <x v="537"/>
          </reference>
          <reference field="21" count="1">
            <x v="3"/>
          </reference>
        </references>
      </pivotArea>
    </format>
    <format dxfId="3017">
      <pivotArea dataOnly="0" labelOnly="1" outline="0" fieldPosition="0">
        <references count="5">
          <reference field="3" count="1" selected="0">
            <x v="1512"/>
          </reference>
          <reference field="4" count="1" selected="0">
            <x v="1290"/>
          </reference>
          <reference field="11" count="1" selected="0">
            <x v="12"/>
          </reference>
          <reference field="14" count="1" selected="0">
            <x v="529"/>
          </reference>
          <reference field="21" count="1">
            <x v="9"/>
          </reference>
        </references>
      </pivotArea>
    </format>
    <format dxfId="3016">
      <pivotArea dataOnly="0" labelOnly="1" outline="0" fieldPosition="0">
        <references count="5">
          <reference field="3" count="1" selected="0">
            <x v="1515"/>
          </reference>
          <reference field="4" count="1" selected="0">
            <x v="1331"/>
          </reference>
          <reference field="11" count="1" selected="0">
            <x v="12"/>
          </reference>
          <reference field="14" count="1" selected="0">
            <x v="442"/>
          </reference>
          <reference field="21" count="1">
            <x v="6"/>
          </reference>
        </references>
      </pivotArea>
    </format>
    <format dxfId="3015">
      <pivotArea dataOnly="0" labelOnly="1" outline="0" fieldPosition="0">
        <references count="5">
          <reference field="3" count="1" selected="0">
            <x v="1534"/>
          </reference>
          <reference field="4" count="1" selected="0">
            <x v="2528"/>
          </reference>
          <reference field="11" count="1" selected="0">
            <x v="12"/>
          </reference>
          <reference field="14" count="1" selected="0">
            <x v="394"/>
          </reference>
          <reference field="21" count="1">
            <x v="8"/>
          </reference>
        </references>
      </pivotArea>
    </format>
    <format dxfId="3014">
      <pivotArea dataOnly="0" labelOnly="1" outline="0" fieldPosition="0">
        <references count="5">
          <reference field="3" count="1" selected="0">
            <x v="1564"/>
          </reference>
          <reference field="4" count="1" selected="0">
            <x v="1062"/>
          </reference>
          <reference field="11" count="1" selected="0">
            <x v="12"/>
          </reference>
          <reference field="14" count="1" selected="0">
            <x v="855"/>
          </reference>
          <reference field="21" count="1">
            <x v="4"/>
          </reference>
        </references>
      </pivotArea>
    </format>
    <format dxfId="3013">
      <pivotArea dataOnly="0" labelOnly="1" outline="0" fieldPosition="0">
        <references count="5">
          <reference field="3" count="1" selected="0">
            <x v="1619"/>
          </reference>
          <reference field="4" count="1" selected="0">
            <x v="118"/>
          </reference>
          <reference field="11" count="1" selected="0">
            <x v="12"/>
          </reference>
          <reference field="14" count="1" selected="0">
            <x v="872"/>
          </reference>
          <reference field="21" count="1">
            <x v="8"/>
          </reference>
        </references>
      </pivotArea>
    </format>
    <format dxfId="3012">
      <pivotArea dataOnly="0" labelOnly="1" outline="0" fieldPosition="0">
        <references count="5">
          <reference field="3" count="1" selected="0">
            <x v="1626"/>
          </reference>
          <reference field="4" count="1" selected="0">
            <x v="2472"/>
          </reference>
          <reference field="11" count="1" selected="0">
            <x v="12"/>
          </reference>
          <reference field="14" count="1" selected="0">
            <x v="974"/>
          </reference>
          <reference field="21" count="1">
            <x v="7"/>
          </reference>
        </references>
      </pivotArea>
    </format>
    <format dxfId="3011">
      <pivotArea dataOnly="0" labelOnly="1" outline="0" fieldPosition="0">
        <references count="5">
          <reference field="3" count="1" selected="0">
            <x v="1645"/>
          </reference>
          <reference field="4" count="1" selected="0">
            <x v="1988"/>
          </reference>
          <reference field="11" count="1" selected="0">
            <x v="12"/>
          </reference>
          <reference field="14" count="1" selected="0">
            <x v="857"/>
          </reference>
          <reference field="21" count="1">
            <x v="9"/>
          </reference>
        </references>
      </pivotArea>
    </format>
    <format dxfId="3010">
      <pivotArea dataOnly="0" labelOnly="1" outline="0" fieldPosition="0">
        <references count="5">
          <reference field="3" count="1" selected="0">
            <x v="1647"/>
          </reference>
          <reference field="4" count="1" selected="0">
            <x v="2228"/>
          </reference>
          <reference field="11" count="1" selected="0">
            <x v="12"/>
          </reference>
          <reference field="14" count="1" selected="0">
            <x v="967"/>
          </reference>
          <reference field="21" count="1">
            <x v="7"/>
          </reference>
        </references>
      </pivotArea>
    </format>
    <format dxfId="3009">
      <pivotArea dataOnly="0" labelOnly="1" outline="0" fieldPosition="0">
        <references count="5">
          <reference field="3" count="1" selected="0">
            <x v="1712"/>
          </reference>
          <reference field="4" count="1" selected="0">
            <x v="1023"/>
          </reference>
          <reference field="11" count="1" selected="0">
            <x v="12"/>
          </reference>
          <reference field="14" count="1" selected="0">
            <x v="346"/>
          </reference>
          <reference field="21" count="1">
            <x v="33"/>
          </reference>
        </references>
      </pivotArea>
    </format>
    <format dxfId="3008">
      <pivotArea dataOnly="0" labelOnly="1" outline="0" fieldPosition="0">
        <references count="5">
          <reference field="3" count="1" selected="0">
            <x v="1715"/>
          </reference>
          <reference field="4" count="1" selected="0">
            <x v="305"/>
          </reference>
          <reference field="11" count="1" selected="0">
            <x v="11"/>
          </reference>
          <reference field="14" count="1" selected="0">
            <x v="276"/>
          </reference>
          <reference field="21" count="1">
            <x v="29"/>
          </reference>
        </references>
      </pivotArea>
    </format>
    <format dxfId="3007">
      <pivotArea dataOnly="0" labelOnly="1" outline="0" fieldPosition="0">
        <references count="5">
          <reference field="3" count="1" selected="0">
            <x v="1717"/>
          </reference>
          <reference field="4" count="1" selected="0">
            <x v="1500"/>
          </reference>
          <reference field="11" count="1" selected="0">
            <x v="12"/>
          </reference>
          <reference field="14" count="1" selected="0">
            <x v="144"/>
          </reference>
          <reference field="21" count="1">
            <x v="8"/>
          </reference>
        </references>
      </pivotArea>
    </format>
    <format dxfId="3006">
      <pivotArea dataOnly="0" labelOnly="1" outline="0" fieldPosition="0">
        <references count="5">
          <reference field="3" count="1" selected="0">
            <x v="1720"/>
          </reference>
          <reference field="4" count="1" selected="0">
            <x v="662"/>
          </reference>
          <reference field="11" count="1" selected="0">
            <x v="12"/>
          </reference>
          <reference field="14" count="1" selected="0">
            <x v="981"/>
          </reference>
          <reference field="21" count="1">
            <x v="27"/>
          </reference>
        </references>
      </pivotArea>
    </format>
    <format dxfId="3005">
      <pivotArea dataOnly="0" labelOnly="1" outline="0" fieldPosition="0">
        <references count="5">
          <reference field="3" count="1" selected="0">
            <x v="1746"/>
          </reference>
          <reference field="4" count="1" selected="0">
            <x v="43"/>
          </reference>
          <reference field="11" count="1" selected="0">
            <x v="11"/>
          </reference>
          <reference field="14" count="1" selected="0">
            <x v="429"/>
          </reference>
          <reference field="21" count="1">
            <x v="31"/>
          </reference>
        </references>
      </pivotArea>
    </format>
    <format dxfId="3004">
      <pivotArea dataOnly="0" labelOnly="1" outline="0" fieldPosition="0">
        <references count="5">
          <reference field="3" count="1" selected="0">
            <x v="1747"/>
          </reference>
          <reference field="4" count="1" selected="0">
            <x v="1530"/>
          </reference>
          <reference field="11" count="1" selected="0">
            <x v="12"/>
          </reference>
          <reference field="14" count="1" selected="0">
            <x v="869"/>
          </reference>
          <reference field="21" count="1">
            <x v="27"/>
          </reference>
        </references>
      </pivotArea>
    </format>
    <format dxfId="3003">
      <pivotArea dataOnly="0" labelOnly="1" outline="0" fieldPosition="0">
        <references count="5">
          <reference field="3" count="1" selected="0">
            <x v="1748"/>
          </reference>
          <reference field="4" count="1" selected="0">
            <x v="1069"/>
          </reference>
          <reference field="11" count="1" selected="0">
            <x v="12"/>
          </reference>
          <reference field="14" count="1" selected="0">
            <x v="873"/>
          </reference>
          <reference field="21" count="1">
            <x v="26"/>
          </reference>
        </references>
      </pivotArea>
    </format>
    <format dxfId="3002">
      <pivotArea dataOnly="0" labelOnly="1" outline="0" fieldPosition="0">
        <references count="5">
          <reference field="3" count="1" selected="0">
            <x v="1750"/>
          </reference>
          <reference field="4" count="1" selected="0">
            <x v="698"/>
          </reference>
          <reference field="11" count="1" selected="0">
            <x v="11"/>
          </reference>
          <reference field="14" count="1" selected="0">
            <x v="417"/>
          </reference>
          <reference field="21" count="1">
            <x v="23"/>
          </reference>
        </references>
      </pivotArea>
    </format>
    <format dxfId="3001">
      <pivotArea dataOnly="0" labelOnly="1" outline="0" fieldPosition="0">
        <references count="5">
          <reference field="3" count="1" selected="0">
            <x v="1758"/>
          </reference>
          <reference field="4" count="1" selected="0">
            <x v="192"/>
          </reference>
          <reference field="11" count="1" selected="0">
            <x v="12"/>
          </reference>
          <reference field="14" count="1" selected="0">
            <x v="906"/>
          </reference>
          <reference field="21" count="1">
            <x v="13"/>
          </reference>
        </references>
      </pivotArea>
    </format>
    <format dxfId="3000">
      <pivotArea dataOnly="0" labelOnly="1" outline="0" fieldPosition="0">
        <references count="5">
          <reference field="3" count="1" selected="0">
            <x v="1761"/>
          </reference>
          <reference field="4" count="1" selected="0">
            <x v="133"/>
          </reference>
          <reference field="11" count="1" selected="0">
            <x v="12"/>
          </reference>
          <reference field="14" count="1" selected="0">
            <x v="293"/>
          </reference>
          <reference field="21" count="1">
            <x v="17"/>
          </reference>
        </references>
      </pivotArea>
    </format>
    <format dxfId="2999">
      <pivotArea dataOnly="0" labelOnly="1" outline="0" fieldPosition="0">
        <references count="5">
          <reference field="3" count="1" selected="0">
            <x v="1767"/>
          </reference>
          <reference field="4" count="1" selected="0">
            <x v="26"/>
          </reference>
          <reference field="11" count="1" selected="0">
            <x v="11"/>
          </reference>
          <reference field="14" count="1" selected="0">
            <x v="819"/>
          </reference>
          <reference field="21" count="1">
            <x v="5"/>
          </reference>
        </references>
      </pivotArea>
    </format>
    <format dxfId="2998">
      <pivotArea dataOnly="0" labelOnly="1" outline="0" fieldPosition="0">
        <references count="5">
          <reference field="3" count="1" selected="0">
            <x v="1771"/>
          </reference>
          <reference field="4" count="1" selected="0">
            <x v="1144"/>
          </reference>
          <reference field="11" count="1" selected="0">
            <x v="12"/>
          </reference>
          <reference field="14" count="1" selected="0">
            <x v="819"/>
          </reference>
          <reference field="21" count="1">
            <x v="5"/>
          </reference>
        </references>
      </pivotArea>
    </format>
    <format dxfId="2997">
      <pivotArea dataOnly="0" labelOnly="1" outline="0" fieldPosition="0">
        <references count="5">
          <reference field="3" count="1" selected="0">
            <x v="1784"/>
          </reference>
          <reference field="4" count="1" selected="0">
            <x v="1201"/>
          </reference>
          <reference field="11" count="1" selected="0">
            <x v="12"/>
          </reference>
          <reference field="14" count="1" selected="0">
            <x v="768"/>
          </reference>
          <reference field="21" count="1">
            <x v="6"/>
          </reference>
        </references>
      </pivotArea>
    </format>
    <format dxfId="2996">
      <pivotArea dataOnly="0" labelOnly="1" outline="0" fieldPosition="0">
        <references count="5">
          <reference field="3" count="1" selected="0">
            <x v="1785"/>
          </reference>
          <reference field="4" count="1" selected="0">
            <x v="121"/>
          </reference>
          <reference field="11" count="1" selected="0">
            <x v="11"/>
          </reference>
          <reference field="14" count="1" selected="0">
            <x v="640"/>
          </reference>
          <reference field="21" count="1">
            <x v="8"/>
          </reference>
        </references>
      </pivotArea>
    </format>
    <format dxfId="2995">
      <pivotArea dataOnly="0" labelOnly="1" outline="0" fieldPosition="0">
        <references count="5">
          <reference field="3" count="1" selected="0">
            <x v="1786"/>
          </reference>
          <reference field="4" count="1" selected="0">
            <x v="101"/>
          </reference>
          <reference field="11" count="1" selected="0">
            <x v="12"/>
          </reference>
          <reference field="14" count="1" selected="0">
            <x v="406"/>
          </reference>
          <reference field="21" count="1">
            <x v="11"/>
          </reference>
        </references>
      </pivotArea>
    </format>
    <format dxfId="2994">
      <pivotArea dataOnly="0" labelOnly="1" outline="0" fieldPosition="0">
        <references count="5">
          <reference field="3" count="1" selected="0">
            <x v="1789"/>
          </reference>
          <reference field="4" count="1" selected="0">
            <x v="1458"/>
          </reference>
          <reference field="11" count="1" selected="0">
            <x v="12"/>
          </reference>
          <reference field="14" count="1" selected="0">
            <x v="472"/>
          </reference>
          <reference field="21" count="1">
            <x v="10"/>
          </reference>
        </references>
      </pivotArea>
    </format>
    <format dxfId="2993">
      <pivotArea dataOnly="0" labelOnly="1" outline="0" fieldPosition="0">
        <references count="5">
          <reference field="3" count="1" selected="0">
            <x v="1790"/>
          </reference>
          <reference field="4" count="1" selected="0">
            <x v="333"/>
          </reference>
          <reference field="11" count="1" selected="0">
            <x v="12"/>
          </reference>
          <reference field="14" count="1" selected="0">
            <x v="780"/>
          </reference>
          <reference field="21" count="1">
            <x v="31"/>
          </reference>
        </references>
      </pivotArea>
    </format>
    <format dxfId="2992">
      <pivotArea dataOnly="0" labelOnly="1" outline="0" fieldPosition="0">
        <references count="5">
          <reference field="3" count="1" selected="0">
            <x v="1804"/>
          </reference>
          <reference field="4" count="1" selected="0">
            <x v="251"/>
          </reference>
          <reference field="11" count="1" selected="0">
            <x v="12"/>
          </reference>
          <reference field="14" count="1" selected="0">
            <x v="802"/>
          </reference>
          <reference field="21" count="1">
            <x v="21"/>
          </reference>
        </references>
      </pivotArea>
    </format>
    <format dxfId="2991">
      <pivotArea dataOnly="0" labelOnly="1" outline="0" fieldPosition="0">
        <references count="5">
          <reference field="3" count="1" selected="0">
            <x v="1827"/>
          </reference>
          <reference field="4" count="1" selected="0">
            <x v="916"/>
          </reference>
          <reference field="11" count="1" selected="0">
            <x v="11"/>
          </reference>
          <reference field="14" count="1" selected="0">
            <x v="926"/>
          </reference>
          <reference field="21" count="1">
            <x v="16"/>
          </reference>
        </references>
      </pivotArea>
    </format>
    <format dxfId="2990">
      <pivotArea dataOnly="0" labelOnly="1" outline="0" fieldPosition="0">
        <references count="5">
          <reference field="3" count="1" selected="0">
            <x v="1840"/>
          </reference>
          <reference field="4" count="1" selected="0">
            <x v="1879"/>
          </reference>
          <reference field="11" count="1" selected="0">
            <x v="12"/>
          </reference>
          <reference field="14" count="1" selected="0">
            <x v="914"/>
          </reference>
          <reference field="21" count="1">
            <x v="18"/>
          </reference>
        </references>
      </pivotArea>
    </format>
    <format dxfId="2989">
      <pivotArea dataOnly="0" labelOnly="1" outline="0" fieldPosition="0">
        <references count="5">
          <reference field="3" count="1" selected="0">
            <x v="1851"/>
          </reference>
          <reference field="4" count="1" selected="0">
            <x v="1904"/>
          </reference>
          <reference field="11" count="1" selected="0">
            <x v="12"/>
          </reference>
          <reference field="14" count="1" selected="0">
            <x v="921"/>
          </reference>
          <reference field="21" count="1">
            <x v="17"/>
          </reference>
        </references>
      </pivotArea>
    </format>
    <format dxfId="2988">
      <pivotArea dataOnly="0" labelOnly="1" outline="0" fieldPosition="0">
        <references count="5">
          <reference field="3" count="1" selected="0">
            <x v="1853"/>
          </reference>
          <reference field="4" count="1" selected="0">
            <x v="1578"/>
          </reference>
          <reference field="11" count="1" selected="0">
            <x v="12"/>
          </reference>
          <reference field="14" count="1" selected="0">
            <x v="928"/>
          </reference>
          <reference field="21" count="1">
            <x v="3"/>
          </reference>
        </references>
      </pivotArea>
    </format>
    <format dxfId="2987">
      <pivotArea dataOnly="0" labelOnly="1" outline="0" fieldPosition="0">
        <references count="5">
          <reference field="3" count="1" selected="0">
            <x v="1894"/>
          </reference>
          <reference field="4" count="1" selected="0">
            <x v="1610"/>
          </reference>
          <reference field="11" count="1" selected="0">
            <x v="12"/>
          </reference>
          <reference field="14" count="1" selected="0">
            <x v="919"/>
          </reference>
          <reference field="21" count="1">
            <x v="12"/>
          </reference>
        </references>
      </pivotArea>
    </format>
    <format dxfId="2986">
      <pivotArea dataOnly="0" labelOnly="1" outline="0" fieldPosition="0">
        <references count="5">
          <reference field="3" count="1" selected="0">
            <x v="1903"/>
          </reference>
          <reference field="4" count="1" selected="0">
            <x v="1612"/>
          </reference>
          <reference field="11" count="1" selected="0">
            <x v="12"/>
          </reference>
          <reference field="14" count="1" selected="0">
            <x v="927"/>
          </reference>
          <reference field="21" count="1">
            <x v="8"/>
          </reference>
        </references>
      </pivotArea>
    </format>
    <format dxfId="2985">
      <pivotArea dataOnly="0" labelOnly="1" outline="0" fieldPosition="0">
        <references count="5">
          <reference field="3" count="1" selected="0">
            <x v="1905"/>
          </reference>
          <reference field="4" count="1" selected="0">
            <x v="1613"/>
          </reference>
          <reference field="11" count="1" selected="0">
            <x v="12"/>
          </reference>
          <reference field="14" count="1" selected="0">
            <x v="898"/>
          </reference>
          <reference field="21" count="1">
            <x v="5"/>
          </reference>
        </references>
      </pivotArea>
    </format>
    <format dxfId="2984">
      <pivotArea dataOnly="0" labelOnly="1" outline="0" fieldPosition="0">
        <references count="5">
          <reference field="3" count="1" selected="0">
            <x v="1906"/>
          </reference>
          <reference field="4" count="1" selected="0">
            <x v="1614"/>
          </reference>
          <reference field="11" count="1" selected="0">
            <x v="12"/>
          </reference>
          <reference field="14" count="1" selected="0">
            <x v="923"/>
          </reference>
          <reference field="21" count="1">
            <x v="30"/>
          </reference>
        </references>
      </pivotArea>
    </format>
    <format dxfId="2983">
      <pivotArea dataOnly="0" labelOnly="1" outline="0" fieldPosition="0">
        <references count="5">
          <reference field="3" count="1" selected="0">
            <x v="1911"/>
          </reference>
          <reference field="4" count="1" selected="0">
            <x v="1618"/>
          </reference>
          <reference field="11" count="1" selected="0">
            <x v="12"/>
          </reference>
          <reference field="14" count="1" selected="0">
            <x v="882"/>
          </reference>
          <reference field="21" count="1">
            <x v="11"/>
          </reference>
        </references>
      </pivotArea>
    </format>
    <format dxfId="2982">
      <pivotArea dataOnly="0" labelOnly="1" outline="0" fieldPosition="0">
        <references count="5">
          <reference field="3" count="1" selected="0">
            <x v="1916"/>
          </reference>
          <reference field="4" count="1" selected="0">
            <x v="350"/>
          </reference>
          <reference field="11" count="1" selected="0">
            <x v="12"/>
          </reference>
          <reference field="14" count="1" selected="0">
            <x v="930"/>
          </reference>
          <reference field="21" count="1">
            <x v="17"/>
          </reference>
        </references>
      </pivotArea>
    </format>
    <format dxfId="2981">
      <pivotArea dataOnly="0" labelOnly="1" outline="0" fieldPosition="0">
        <references count="5">
          <reference field="3" count="1" selected="0">
            <x v="1917"/>
          </reference>
          <reference field="4" count="1" selected="0">
            <x v="1626"/>
          </reference>
          <reference field="11" count="1" selected="0">
            <x v="12"/>
          </reference>
          <reference field="14" count="1" selected="0">
            <x v="930"/>
          </reference>
          <reference field="21" count="1">
            <x v="34"/>
          </reference>
        </references>
      </pivotArea>
    </format>
    <format dxfId="2980">
      <pivotArea dataOnly="0" labelOnly="1" outline="0" fieldPosition="0">
        <references count="5">
          <reference field="3" count="1" selected="0">
            <x v="1918"/>
          </reference>
          <reference field="4" count="1" selected="0">
            <x v="1627"/>
          </reference>
          <reference field="11" count="1" selected="0">
            <x v="12"/>
          </reference>
          <reference field="14" count="1" selected="0">
            <x v="930"/>
          </reference>
          <reference field="21" count="1">
            <x v="24"/>
          </reference>
        </references>
      </pivotArea>
    </format>
    <format dxfId="2979">
      <pivotArea dataOnly="0" labelOnly="1" outline="0" fieldPosition="0">
        <references count="5">
          <reference field="3" count="1" selected="0">
            <x v="1937"/>
          </reference>
          <reference field="4" count="1" selected="0">
            <x v="1719"/>
          </reference>
          <reference field="11" count="1" selected="0">
            <x v="12"/>
          </reference>
          <reference field="14" count="1" selected="0">
            <x v="926"/>
          </reference>
          <reference field="21" count="1">
            <x v="28"/>
          </reference>
        </references>
      </pivotArea>
    </format>
    <format dxfId="2978">
      <pivotArea dataOnly="0" labelOnly="1" outline="0" fieldPosition="0">
        <references count="5">
          <reference field="3" count="1" selected="0">
            <x v="1949"/>
          </reference>
          <reference field="4" count="1" selected="0">
            <x v="1743"/>
          </reference>
          <reference field="11" count="1" selected="0">
            <x v="12"/>
          </reference>
          <reference field="14" count="1" selected="0">
            <x v="943"/>
          </reference>
          <reference field="21" count="1">
            <x v="30"/>
          </reference>
        </references>
      </pivotArea>
    </format>
    <format dxfId="2977">
      <pivotArea dataOnly="0" labelOnly="1" outline="0" fieldPosition="0">
        <references count="5">
          <reference field="3" count="1" selected="0">
            <x v="1950"/>
          </reference>
          <reference field="4" count="1" selected="0">
            <x v="1744"/>
          </reference>
          <reference field="11" count="1" selected="0">
            <x v="12"/>
          </reference>
          <reference field="14" count="1" selected="0">
            <x v="938"/>
          </reference>
          <reference field="21" count="1">
            <x v="0"/>
          </reference>
        </references>
      </pivotArea>
    </format>
    <format dxfId="2976">
      <pivotArea dataOnly="0" labelOnly="1" outline="0" fieldPosition="0">
        <references count="5">
          <reference field="3" count="1" selected="0">
            <x v="1964"/>
          </reference>
          <reference field="4" count="1" selected="0">
            <x v="1750"/>
          </reference>
          <reference field="11" count="1" selected="0">
            <x v="12"/>
          </reference>
          <reference field="14" count="1" selected="0">
            <x v="947"/>
          </reference>
          <reference field="21" count="1">
            <x v="17"/>
          </reference>
        </references>
      </pivotArea>
    </format>
    <format dxfId="2975">
      <pivotArea dataOnly="0" labelOnly="1" outline="0" fieldPosition="0">
        <references count="5">
          <reference field="3" count="1" selected="0">
            <x v="2040"/>
          </reference>
          <reference field="4" count="1" selected="0">
            <x v="1912"/>
          </reference>
          <reference field="11" count="1" selected="0">
            <x v="12"/>
          </reference>
          <reference field="14" count="1" selected="0">
            <x v="853"/>
          </reference>
          <reference field="21" count="1">
            <x v="6"/>
          </reference>
        </references>
      </pivotArea>
    </format>
    <format dxfId="2974">
      <pivotArea dataOnly="0" labelOnly="1" outline="0" fieldPosition="0">
        <references count="5">
          <reference field="3" count="1" selected="0">
            <x v="2049"/>
          </reference>
          <reference field="4" count="1" selected="0">
            <x v="1092"/>
          </reference>
          <reference field="11" count="1" selected="0">
            <x v="12"/>
          </reference>
          <reference field="14" count="1" selected="0">
            <x v="906"/>
          </reference>
          <reference field="21" count="1">
            <x v="13"/>
          </reference>
        </references>
      </pivotArea>
    </format>
    <format dxfId="2973">
      <pivotArea dataOnly="0" labelOnly="1" outline="0" fieldPosition="0">
        <references count="5">
          <reference field="3" count="1" selected="0">
            <x v="2051"/>
          </reference>
          <reference field="4" count="1" selected="0">
            <x v="1917"/>
          </reference>
          <reference field="11" count="1" selected="0">
            <x v="12"/>
          </reference>
          <reference field="14" count="1" selected="0">
            <x v="918"/>
          </reference>
          <reference field="21" count="1">
            <x v="8"/>
          </reference>
        </references>
      </pivotArea>
    </format>
    <format dxfId="2972">
      <pivotArea dataOnly="0" labelOnly="1" outline="0" fieldPosition="0">
        <references count="5">
          <reference field="3" count="1" selected="0">
            <x v="2089"/>
          </reference>
          <reference field="4" count="1" selected="0">
            <x v="1973"/>
          </reference>
          <reference field="11" count="1" selected="0">
            <x v="12"/>
          </reference>
          <reference field="14" count="1" selected="0">
            <x v="959"/>
          </reference>
          <reference field="21" count="1">
            <x v="21"/>
          </reference>
        </references>
      </pivotArea>
    </format>
    <format dxfId="2971">
      <pivotArea dataOnly="0" labelOnly="1" outline="0" fieldPosition="0">
        <references count="5">
          <reference field="3" count="1" selected="0">
            <x v="2097"/>
          </reference>
          <reference field="4" count="1" selected="0">
            <x v="2110"/>
          </reference>
          <reference field="11" count="1" selected="0">
            <x v="12"/>
          </reference>
          <reference field="14" count="1" selected="0">
            <x v="947"/>
          </reference>
          <reference field="21" count="1">
            <x v="25"/>
          </reference>
        </references>
      </pivotArea>
    </format>
    <format dxfId="2970">
      <pivotArea dataOnly="0" labelOnly="1" outline="0" fieldPosition="0">
        <references count="5">
          <reference field="3" count="1" selected="0">
            <x v="2101"/>
          </reference>
          <reference field="4" count="1" selected="0">
            <x v="2118"/>
          </reference>
          <reference field="11" count="1" selected="0">
            <x v="12"/>
          </reference>
          <reference field="14" count="1" selected="0">
            <x v="957"/>
          </reference>
          <reference field="21" count="1">
            <x v="15"/>
          </reference>
        </references>
      </pivotArea>
    </format>
    <format dxfId="2969">
      <pivotArea dataOnly="0" labelOnly="1" outline="0" fieldPosition="0">
        <references count="5">
          <reference field="3" count="1" selected="0">
            <x v="2104"/>
          </reference>
          <reference field="4" count="1" selected="0">
            <x v="2139"/>
          </reference>
          <reference field="11" count="1" selected="0">
            <x v="12"/>
          </reference>
          <reference field="14" count="1" selected="0">
            <x v="987"/>
          </reference>
          <reference field="21" count="1">
            <x v="20"/>
          </reference>
        </references>
      </pivotArea>
    </format>
    <format dxfId="2968">
      <pivotArea dataOnly="0" labelOnly="1" outline="0" fieldPosition="0">
        <references count="5">
          <reference field="3" count="1" selected="0">
            <x v="2105"/>
          </reference>
          <reference field="4" count="1" selected="0">
            <x v="2140"/>
          </reference>
          <reference field="11" count="1" selected="0">
            <x v="12"/>
          </reference>
          <reference field="14" count="1" selected="0">
            <x v="965"/>
          </reference>
          <reference field="21" count="1">
            <x v="7"/>
          </reference>
        </references>
      </pivotArea>
    </format>
    <format dxfId="2967">
      <pivotArea dataOnly="0" labelOnly="1" outline="0" fieldPosition="0">
        <references count="5">
          <reference field="3" count="1" selected="0">
            <x v="2106"/>
          </reference>
          <reference field="4" count="1" selected="0">
            <x v="2169"/>
          </reference>
          <reference field="11" count="1" selected="0">
            <x v="12"/>
          </reference>
          <reference field="14" count="1" selected="0">
            <x v="966"/>
          </reference>
          <reference field="21" count="1">
            <x v="20"/>
          </reference>
        </references>
      </pivotArea>
    </format>
    <format dxfId="2966">
      <pivotArea dataOnly="0" labelOnly="1" outline="0" fieldPosition="0">
        <references count="5">
          <reference field="3" count="1" selected="0">
            <x v="2122"/>
          </reference>
          <reference field="4" count="1" selected="0">
            <x v="2231"/>
          </reference>
          <reference field="11" count="1" selected="0">
            <x v="12"/>
          </reference>
          <reference field="14" count="1" selected="0">
            <x v="642"/>
          </reference>
          <reference field="21" count="1">
            <x v="18"/>
          </reference>
        </references>
      </pivotArea>
    </format>
    <format dxfId="2965">
      <pivotArea dataOnly="0" labelOnly="1" outline="0" fieldPosition="0">
        <references count="5">
          <reference field="3" count="1" selected="0">
            <x v="2144"/>
          </reference>
          <reference field="4" count="1" selected="0">
            <x v="1510"/>
          </reference>
          <reference field="11" count="1" selected="0">
            <x v="12"/>
          </reference>
          <reference field="14" count="1" selected="0">
            <x v="921"/>
          </reference>
          <reference field="21" count="1">
            <x v="18"/>
          </reference>
        </references>
      </pivotArea>
    </format>
    <format dxfId="2964">
      <pivotArea dataOnly="0" labelOnly="1" outline="0" fieldPosition="0">
        <references count="5">
          <reference field="3" count="1" selected="0">
            <x v="2163"/>
          </reference>
          <reference field="4" count="1" selected="0">
            <x v="2291"/>
          </reference>
          <reference field="11" count="1" selected="0">
            <x v="12"/>
          </reference>
          <reference field="14" count="1" selected="0">
            <x v="970"/>
          </reference>
          <reference field="21" count="1">
            <x v="26"/>
          </reference>
        </references>
      </pivotArea>
    </format>
    <format dxfId="2963">
      <pivotArea dataOnly="0" labelOnly="1" outline="0" fieldPosition="0">
        <references count="5">
          <reference field="3" count="1" selected="0">
            <x v="2197"/>
          </reference>
          <reference field="4" count="1" selected="0">
            <x v="2337"/>
          </reference>
          <reference field="11" count="1" selected="0">
            <x v="12"/>
          </reference>
          <reference field="14" count="1" selected="0">
            <x v="965"/>
          </reference>
          <reference field="21" count="1">
            <x v="8"/>
          </reference>
        </references>
      </pivotArea>
    </format>
    <format dxfId="2962">
      <pivotArea dataOnly="0" labelOnly="1" outline="0" fieldPosition="0">
        <references count="5">
          <reference field="3" count="1" selected="0">
            <x v="2201"/>
          </reference>
          <reference field="4" count="1" selected="0">
            <x v="1738"/>
          </reference>
          <reference field="11" count="1" selected="0">
            <x v="12"/>
          </reference>
          <reference field="14" count="1" selected="0">
            <x v="981"/>
          </reference>
          <reference field="21" count="1">
            <x v="20"/>
          </reference>
        </references>
      </pivotArea>
    </format>
    <format dxfId="2961">
      <pivotArea dataOnly="0" labelOnly="1" outline="0" fieldPosition="0">
        <references count="5">
          <reference field="3" count="1" selected="0">
            <x v="2222"/>
          </reference>
          <reference field="4" count="1" selected="0">
            <x v="2398"/>
          </reference>
          <reference field="11" count="1" selected="0">
            <x v="12"/>
          </reference>
          <reference field="14" count="1" selected="0">
            <x v="844"/>
          </reference>
          <reference field="21" count="1">
            <x v="21"/>
          </reference>
        </references>
      </pivotArea>
    </format>
    <format dxfId="2960">
      <pivotArea dataOnly="0" labelOnly="1" outline="0" fieldPosition="0">
        <references count="5">
          <reference field="3" count="1" selected="0">
            <x v="2232"/>
          </reference>
          <reference field="4" count="1" selected="0">
            <x v="2479"/>
          </reference>
          <reference field="11" count="1" selected="0">
            <x v="12"/>
          </reference>
          <reference field="14" count="1" selected="0">
            <x v="967"/>
          </reference>
          <reference field="21" count="1">
            <x v="4"/>
          </reference>
        </references>
      </pivotArea>
    </format>
    <format dxfId="2959">
      <pivotArea dataOnly="0" labelOnly="1" outline="0" fieldPosition="0">
        <references count="5">
          <reference field="3" count="1" selected="0">
            <x v="2234"/>
          </reference>
          <reference field="4" count="1" selected="0">
            <x v="2482"/>
          </reference>
          <reference field="11" count="1" selected="0">
            <x v="12"/>
          </reference>
          <reference field="14" count="1" selected="0">
            <x v="970"/>
          </reference>
          <reference field="21" count="1">
            <x v="2"/>
          </reference>
        </references>
      </pivotArea>
    </format>
    <format dxfId="2958">
      <pivotArea dataOnly="0" labelOnly="1" outline="0" fieldPosition="0">
        <references count="5">
          <reference field="3" count="1" selected="0">
            <x v="2235"/>
          </reference>
          <reference field="4" count="1" selected="0">
            <x v="2483"/>
          </reference>
          <reference field="11" count="1" selected="0">
            <x v="12"/>
          </reference>
          <reference field="14" count="1" selected="0">
            <x v="974"/>
          </reference>
          <reference field="21" count="1">
            <x v="4"/>
          </reference>
        </references>
      </pivotArea>
    </format>
    <format dxfId="2957">
      <pivotArea dataOnly="0" labelOnly="1" outline="0" fieldPosition="0">
        <references count="5">
          <reference field="3" count="1" selected="0">
            <x v="2236"/>
          </reference>
          <reference field="4" count="1" selected="0">
            <x v="2485"/>
          </reference>
          <reference field="11" count="1" selected="0">
            <x v="12"/>
          </reference>
          <reference field="14" count="1" selected="0">
            <x v="974"/>
          </reference>
          <reference field="21" count="1">
            <x v="2"/>
          </reference>
        </references>
      </pivotArea>
    </format>
    <format dxfId="2956">
      <pivotArea dataOnly="0" labelOnly="1" outline="0" fieldPosition="0">
        <references count="5">
          <reference field="3" count="1" selected="0">
            <x v="2243"/>
          </reference>
          <reference field="4" count="1" selected="0">
            <x v="2492"/>
          </reference>
          <reference field="11" count="1" selected="0">
            <x v="12"/>
          </reference>
          <reference field="14" count="1" selected="0">
            <x v="965"/>
          </reference>
          <reference field="21" count="1">
            <x v="27"/>
          </reference>
        </references>
      </pivotArea>
    </format>
    <format dxfId="2955">
      <pivotArea dataOnly="0" labelOnly="1" outline="0" fieldPosition="0">
        <references count="5">
          <reference field="3" count="1" selected="0">
            <x v="2251"/>
          </reference>
          <reference field="4" count="1" selected="0">
            <x v="2517"/>
          </reference>
          <reference field="11" count="1" selected="0">
            <x v="12"/>
          </reference>
          <reference field="14" count="1" selected="0">
            <x v="876"/>
          </reference>
          <reference field="21" count="1">
            <x v="14"/>
          </reference>
        </references>
      </pivotArea>
    </format>
    <format dxfId="2954">
      <pivotArea dataOnly="0" labelOnly="1" outline="0" fieldPosition="0">
        <references count="5">
          <reference field="3" count="1" selected="0">
            <x v="2261"/>
          </reference>
          <reference field="4" count="1" selected="0">
            <x v="2522"/>
          </reference>
          <reference field="11" count="1" selected="0">
            <x v="12"/>
          </reference>
          <reference field="14" count="1" selected="0">
            <x v="939"/>
          </reference>
          <reference field="21" count="1">
            <x v="17"/>
          </reference>
        </references>
      </pivotArea>
    </format>
    <format dxfId="2953">
      <pivotArea dataOnly="0" labelOnly="1" outline="0" fieldPosition="0">
        <references count="6">
          <reference field="3" count="1" selected="0">
            <x v="56"/>
          </reference>
          <reference field="4" count="1" selected="0">
            <x v="135"/>
          </reference>
          <reference field="11" count="1" selected="0">
            <x v="12"/>
          </reference>
          <reference field="14" count="1" selected="0">
            <x v="808"/>
          </reference>
          <reference field="21" count="1" selected="0">
            <x v="38"/>
          </reference>
          <reference field="22" count="1">
            <x v="4"/>
          </reference>
        </references>
      </pivotArea>
    </format>
    <format dxfId="2952">
      <pivotArea dataOnly="0" labelOnly="1" outline="0" fieldPosition="0">
        <references count="6">
          <reference field="3" count="1" selected="0">
            <x v="112"/>
          </reference>
          <reference field="4" count="1" selected="0">
            <x v="397"/>
          </reference>
          <reference field="11" count="1" selected="0">
            <x v="12"/>
          </reference>
          <reference field="14" count="1" selected="0">
            <x v="656"/>
          </reference>
          <reference field="21" count="1" selected="0">
            <x v="29"/>
          </reference>
          <reference field="22" count="1">
            <x v="3"/>
          </reference>
        </references>
      </pivotArea>
    </format>
    <format dxfId="2951">
      <pivotArea dataOnly="0" labelOnly="1" outline="0" fieldPosition="0">
        <references count="6">
          <reference field="3" count="1" selected="0">
            <x v="153"/>
          </reference>
          <reference field="4" count="1" selected="0">
            <x v="792"/>
          </reference>
          <reference field="11" count="1" selected="0">
            <x v="12"/>
          </reference>
          <reference field="14" count="1" selected="0">
            <x v="125"/>
          </reference>
          <reference field="21" count="1" selected="0">
            <x v="41"/>
          </reference>
          <reference field="22" count="1">
            <x v="5"/>
          </reference>
        </references>
      </pivotArea>
    </format>
    <format dxfId="2950">
      <pivotArea dataOnly="0" labelOnly="1" outline="0" fieldPosition="0">
        <references count="6">
          <reference field="3" count="1" selected="0">
            <x v="189"/>
          </reference>
          <reference field="4" count="1" selected="0">
            <x v="1480"/>
          </reference>
          <reference field="11" count="1" selected="0">
            <x v="12"/>
          </reference>
          <reference field="14" count="1" selected="0">
            <x v="350"/>
          </reference>
          <reference field="21" count="1" selected="0">
            <x v="36"/>
          </reference>
          <reference field="22" count="1">
            <x v="4"/>
          </reference>
        </references>
      </pivotArea>
    </format>
    <format dxfId="2949">
      <pivotArea dataOnly="0" labelOnly="1" outline="0" fieldPosition="0">
        <references count="6">
          <reference field="3" count="1" selected="0">
            <x v="190"/>
          </reference>
          <reference field="4" count="1" selected="0">
            <x v="672"/>
          </reference>
          <reference field="11" count="1" selected="0">
            <x v="12"/>
          </reference>
          <reference field="14" count="1" selected="0">
            <x v="106"/>
          </reference>
          <reference field="21" count="1" selected="0">
            <x v="31"/>
          </reference>
          <reference field="22" count="1">
            <x v="3"/>
          </reference>
        </references>
      </pivotArea>
    </format>
    <format dxfId="2948">
      <pivotArea dataOnly="0" labelOnly="1" outline="0" fieldPosition="0">
        <references count="6">
          <reference field="3" count="1" selected="0">
            <x v="199"/>
          </reference>
          <reference field="4" count="1" selected="0">
            <x v="766"/>
          </reference>
          <reference field="11" count="1" selected="0">
            <x v="12"/>
          </reference>
          <reference field="14" count="1" selected="0">
            <x v="629"/>
          </reference>
          <reference field="21" count="1" selected="0">
            <x v="34"/>
          </reference>
          <reference field="22" count="1">
            <x v="4"/>
          </reference>
        </references>
      </pivotArea>
    </format>
    <format dxfId="2947">
      <pivotArea dataOnly="0" labelOnly="1" outline="0" fieldPosition="0">
        <references count="6">
          <reference field="3" count="1" selected="0">
            <x v="234"/>
          </reference>
          <reference field="4" count="1" selected="0">
            <x v="1777"/>
          </reference>
          <reference field="11" count="1" selected="0">
            <x v="11"/>
          </reference>
          <reference field="14" count="1" selected="0">
            <x v="678"/>
          </reference>
          <reference field="21" count="1" selected="0">
            <x v="27"/>
          </reference>
          <reference field="22" count="1">
            <x v="3"/>
          </reference>
        </references>
      </pivotArea>
    </format>
    <format dxfId="2946">
      <pivotArea dataOnly="0" labelOnly="1" outline="0" fieldPosition="0">
        <references count="6">
          <reference field="3" count="1" selected="0">
            <x v="251"/>
          </reference>
          <reference field="4" count="1" selected="0">
            <x v="770"/>
          </reference>
          <reference field="11" count="1" selected="0">
            <x v="12"/>
          </reference>
          <reference field="14" count="1" selected="0">
            <x v="438"/>
          </reference>
          <reference field="21" count="1" selected="0">
            <x v="33"/>
          </reference>
          <reference field="22" count="1">
            <x v="4"/>
          </reference>
        </references>
      </pivotArea>
    </format>
    <format dxfId="2945">
      <pivotArea dataOnly="0" labelOnly="1" outline="0" fieldPosition="0">
        <references count="6">
          <reference field="3" count="1" selected="0">
            <x v="269"/>
          </reference>
          <reference field="4" count="1" selected="0">
            <x v="1384"/>
          </reference>
          <reference field="11" count="1" selected="0">
            <x v="12"/>
          </reference>
          <reference field="14" count="1" selected="0">
            <x v="338"/>
          </reference>
          <reference field="21" count="1" selected="0">
            <x v="29"/>
          </reference>
          <reference field="22" count="1">
            <x v="3"/>
          </reference>
        </references>
      </pivotArea>
    </format>
    <format dxfId="2944">
      <pivotArea dataOnly="0" labelOnly="1" outline="0" fieldPosition="0">
        <references count="6">
          <reference field="3" count="1" selected="0">
            <x v="360"/>
          </reference>
          <reference field="4" count="1" selected="0">
            <x v="1488"/>
          </reference>
          <reference field="11" count="1" selected="0">
            <x v="12"/>
          </reference>
          <reference field="14" count="1" selected="0">
            <x v="755"/>
          </reference>
          <reference field="21" count="1" selected="0">
            <x v="37"/>
          </reference>
          <reference field="22" count="1">
            <x v="4"/>
          </reference>
        </references>
      </pivotArea>
    </format>
    <format dxfId="2943">
      <pivotArea dataOnly="0" labelOnly="1" outline="0" fieldPosition="0">
        <references count="6">
          <reference field="3" count="1" selected="0">
            <x v="477"/>
          </reference>
          <reference field="4" count="1" selected="0">
            <x v="271"/>
          </reference>
          <reference field="11" count="1" selected="0">
            <x v="12"/>
          </reference>
          <reference field="14" count="1" selected="0">
            <x v="684"/>
          </reference>
          <reference field="21" count="1" selected="0">
            <x v="22"/>
          </reference>
          <reference field="22" count="1">
            <x v="2"/>
          </reference>
        </references>
      </pivotArea>
    </format>
    <format dxfId="2942">
      <pivotArea dataOnly="0" labelOnly="1" outline="0" fieldPosition="0">
        <references count="6">
          <reference field="3" count="1" selected="0">
            <x v="492"/>
          </reference>
          <reference field="4" count="1" selected="0">
            <x v="2"/>
          </reference>
          <reference field="11" count="1" selected="0">
            <x v="11"/>
          </reference>
          <reference field="14" count="1" selected="0">
            <x v="3"/>
          </reference>
          <reference field="21" count="1" selected="0">
            <x v="25"/>
          </reference>
          <reference field="22" count="1">
            <x v="3"/>
          </reference>
        </references>
      </pivotArea>
    </format>
    <format dxfId="2941">
      <pivotArea dataOnly="0" labelOnly="1" outline="0" fieldPosition="0">
        <references count="6">
          <reference field="3" count="1" selected="0">
            <x v="503"/>
          </reference>
          <reference field="4" count="1" selected="0">
            <x v="277"/>
          </reference>
          <reference field="11" count="1" selected="0">
            <x v="11"/>
          </reference>
          <reference field="14" count="1" selected="0">
            <x v="277"/>
          </reference>
          <reference field="21" count="1" selected="0">
            <x v="22"/>
          </reference>
          <reference field="22" count="1">
            <x v="2"/>
          </reference>
        </references>
      </pivotArea>
    </format>
    <format dxfId="2940">
      <pivotArea dataOnly="0" labelOnly="1" outline="0" fieldPosition="0">
        <references count="6">
          <reference field="3" count="1" selected="0">
            <x v="535"/>
          </reference>
          <reference field="4" count="1" selected="0">
            <x v="92"/>
          </reference>
          <reference field="11" count="1" selected="0">
            <x v="12"/>
          </reference>
          <reference field="14" count="1" selected="0">
            <x v="689"/>
          </reference>
          <reference field="21" count="1" selected="0">
            <x v="23"/>
          </reference>
          <reference field="22" count="1">
            <x v="3"/>
          </reference>
        </references>
      </pivotArea>
    </format>
    <format dxfId="2939">
      <pivotArea dataOnly="0" labelOnly="1" outline="0" fieldPosition="0">
        <references count="6">
          <reference field="3" count="1" selected="0">
            <x v="587"/>
          </reference>
          <reference field="4" count="1" selected="0">
            <x v="979"/>
          </reference>
          <reference field="11" count="1" selected="0">
            <x v="11"/>
          </reference>
          <reference field="14" count="1" selected="0">
            <x v="450"/>
          </reference>
          <reference field="21" count="1" selected="0">
            <x v="24"/>
          </reference>
          <reference field="22" count="1">
            <x v="3"/>
          </reference>
        </references>
      </pivotArea>
    </format>
    <format dxfId="2938">
      <pivotArea dataOnly="0" labelOnly="1" outline="0" fieldPosition="0">
        <references count="6">
          <reference field="3" count="1" selected="0">
            <x v="599"/>
          </reference>
          <reference field="4" count="1" selected="0">
            <x v="1884"/>
          </reference>
          <reference field="11" count="1" selected="0">
            <x v="12"/>
          </reference>
          <reference field="14" count="1" selected="0">
            <x v="916"/>
          </reference>
          <reference field="21" count="1" selected="0">
            <x v="22"/>
          </reference>
          <reference field="22" count="1">
            <x v="2"/>
          </reference>
        </references>
      </pivotArea>
    </format>
    <format dxfId="2937">
      <pivotArea dataOnly="0" labelOnly="1" outline="0" fieldPosition="0">
        <references count="6">
          <reference field="3" count="1" selected="0">
            <x v="625"/>
          </reference>
          <reference field="4" count="1" selected="0">
            <x v="1987"/>
          </reference>
          <reference field="11" count="1" selected="0">
            <x v="12"/>
          </reference>
          <reference field="14" count="1" selected="0">
            <x v="852"/>
          </reference>
          <reference field="21" count="1" selected="0">
            <x v="25"/>
          </reference>
          <reference field="22" count="1">
            <x v="3"/>
          </reference>
        </references>
      </pivotArea>
    </format>
    <format dxfId="2936">
      <pivotArea dataOnly="0" labelOnly="1" outline="0" fieldPosition="0">
        <references count="6">
          <reference field="3" count="1" selected="0">
            <x v="997"/>
          </reference>
          <reference field="4" count="1" selected="0">
            <x v="326"/>
          </reference>
          <reference field="11" count="1" selected="0">
            <x v="12"/>
          </reference>
          <reference field="14" count="1" selected="0">
            <x v="867"/>
          </reference>
          <reference field="21" count="1" selected="0">
            <x v="13"/>
          </reference>
          <reference field="22" count="1">
            <x v="1"/>
          </reference>
        </references>
      </pivotArea>
    </format>
    <format dxfId="2935">
      <pivotArea dataOnly="0" labelOnly="1" outline="0" fieldPosition="0">
        <references count="6">
          <reference field="3" count="1" selected="0">
            <x v="1003"/>
          </reference>
          <reference field="4" count="1" selected="0">
            <x v="185"/>
          </reference>
          <reference field="11" count="1" selected="0">
            <x v="12"/>
          </reference>
          <reference field="14" count="1" selected="0">
            <x v="899"/>
          </reference>
          <reference field="21" count="1" selected="0">
            <x v="14"/>
          </reference>
          <reference field="22" count="1">
            <x v="2"/>
          </reference>
        </references>
      </pivotArea>
    </format>
    <format dxfId="2934">
      <pivotArea dataOnly="0" labelOnly="1" outline="0" fieldPosition="0">
        <references count="6">
          <reference field="3" count="1" selected="0">
            <x v="1020"/>
          </reference>
          <reference field="4" count="1" selected="0">
            <x v="1451"/>
          </reference>
          <reference field="11" count="1" selected="0">
            <x v="12"/>
          </reference>
          <reference field="14" count="1" selected="0">
            <x v="457"/>
          </reference>
          <reference field="21" count="1" selected="0">
            <x v="13"/>
          </reference>
          <reference field="22" count="1">
            <x v="1"/>
          </reference>
        </references>
      </pivotArea>
    </format>
    <format dxfId="2933">
      <pivotArea dataOnly="0" labelOnly="1" outline="0" fieldPosition="0">
        <references count="6">
          <reference field="3" count="1" selected="0">
            <x v="1040"/>
          </reference>
          <reference field="4" count="1" selected="0">
            <x v="164"/>
          </reference>
          <reference field="11" count="1" selected="0">
            <x v="12"/>
          </reference>
          <reference field="14" count="1" selected="0">
            <x v="137"/>
          </reference>
          <reference field="21" count="1" selected="0">
            <x v="15"/>
          </reference>
          <reference field="22" count="1">
            <x v="2"/>
          </reference>
        </references>
      </pivotArea>
    </format>
    <format dxfId="2932">
      <pivotArea dataOnly="0" labelOnly="1" outline="0" fieldPosition="0">
        <references count="6">
          <reference field="3" count="1" selected="0">
            <x v="1069"/>
          </reference>
          <reference field="4" count="1" selected="0">
            <x v="710"/>
          </reference>
          <reference field="11" count="1" selected="0">
            <x v="11"/>
          </reference>
          <reference field="14" count="1" selected="0">
            <x v="635"/>
          </reference>
          <reference field="21" count="1" selected="0">
            <x v="12"/>
          </reference>
          <reference field="22" count="1">
            <x v="1"/>
          </reference>
        </references>
      </pivotArea>
    </format>
    <format dxfId="2931">
      <pivotArea dataOnly="0" labelOnly="1" outline="0" fieldPosition="0">
        <references count="6">
          <reference field="3" count="1" selected="0">
            <x v="1129"/>
          </reference>
          <reference field="4" count="1" selected="0">
            <x v="344"/>
          </reference>
          <reference field="11" count="1" selected="0">
            <x v="12"/>
          </reference>
          <reference field="14" count="1" selected="0">
            <x v="895"/>
          </reference>
          <reference field="21" count="1" selected="0">
            <x v="17"/>
          </reference>
          <reference field="22" count="1">
            <x v="2"/>
          </reference>
        </references>
      </pivotArea>
    </format>
    <format dxfId="2930">
      <pivotArea dataOnly="0" labelOnly="1" outline="0" fieldPosition="0">
        <references count="6">
          <reference field="3" count="1" selected="0">
            <x v="1141"/>
          </reference>
          <reference field="4" count="1" selected="0">
            <x v="186"/>
          </reference>
          <reference field="11" count="1" selected="0">
            <x v="12"/>
          </reference>
          <reference field="14" count="1" selected="0">
            <x v="902"/>
          </reference>
          <reference field="21" count="1" selected="0">
            <x v="12"/>
          </reference>
          <reference field="22" count="1">
            <x v="1"/>
          </reference>
        </references>
      </pivotArea>
    </format>
    <format dxfId="2929">
      <pivotArea dataOnly="0" labelOnly="1" outline="0" fieldPosition="0">
        <references count="6">
          <reference field="3" count="1" selected="0">
            <x v="1196"/>
          </reference>
          <reference field="4" count="1" selected="0">
            <x v="701"/>
          </reference>
          <reference field="11" count="1" selected="0">
            <x v="11"/>
          </reference>
          <reference field="14" count="1" selected="0">
            <x v="875"/>
          </reference>
          <reference field="21" count="1" selected="0">
            <x v="3"/>
          </reference>
          <reference field="22" count="1">
            <x v="0"/>
          </reference>
        </references>
      </pivotArea>
    </format>
    <format dxfId="2928">
      <pivotArea dataOnly="0" labelOnly="1" outline="0" fieldPosition="0">
        <references count="6">
          <reference field="3" count="1" selected="0">
            <x v="1198"/>
          </reference>
          <reference field="4" count="1" selected="0">
            <x v="22"/>
          </reference>
          <reference field="11" count="1" selected="0">
            <x v="12"/>
          </reference>
          <reference field="14" count="1" selected="0">
            <x v="547"/>
          </reference>
          <reference field="21" count="1" selected="0">
            <x v="14"/>
          </reference>
          <reference field="22" count="1">
            <x v="2"/>
          </reference>
        </references>
      </pivotArea>
    </format>
    <format dxfId="2927">
      <pivotArea dataOnly="0" labelOnly="1" outline="0" fieldPosition="0">
        <references count="6">
          <reference field="3" count="1" selected="0">
            <x v="1204"/>
          </reference>
          <reference field="4" count="1" selected="0">
            <x v="421"/>
          </reference>
          <reference field="11" count="1" selected="0">
            <x v="12"/>
          </reference>
          <reference field="14" count="1" selected="0">
            <x v="759"/>
          </reference>
          <reference field="21" count="1" selected="0">
            <x v="3"/>
          </reference>
          <reference field="22" count="1">
            <x v="0"/>
          </reference>
        </references>
      </pivotArea>
    </format>
    <format dxfId="2926">
      <pivotArea dataOnly="0" labelOnly="1" outline="0" fieldPosition="0">
        <references count="6">
          <reference field="3" count="1" selected="0">
            <x v="1210"/>
          </reference>
          <reference field="4" count="1" selected="0">
            <x v="929"/>
          </reference>
          <reference field="11" count="1" selected="0">
            <x v="12"/>
          </reference>
          <reference field="14" count="1" selected="0">
            <x v="554"/>
          </reference>
          <reference field="21" count="1" selected="0">
            <x v="6"/>
          </reference>
          <reference field="22" count="1">
            <x v="1"/>
          </reference>
        </references>
      </pivotArea>
    </format>
    <format dxfId="2925">
      <pivotArea dataOnly="0" labelOnly="1" outline="0" fieldPosition="0">
        <references count="6">
          <reference field="3" count="1" selected="0">
            <x v="1222"/>
          </reference>
          <reference field="4" count="1" selected="0">
            <x v="493"/>
          </reference>
          <reference field="11" count="1" selected="0">
            <x v="12"/>
          </reference>
          <reference field="14" count="1" selected="0">
            <x v="605"/>
          </reference>
          <reference field="21" count="1" selected="0">
            <x v="4"/>
          </reference>
          <reference field="22" count="1">
            <x v="0"/>
          </reference>
        </references>
      </pivotArea>
    </format>
    <format dxfId="2924">
      <pivotArea dataOnly="0" labelOnly="1" outline="0" fieldPosition="0">
        <references count="6">
          <reference field="3" count="1" selected="0">
            <x v="1226"/>
          </reference>
          <reference field="4" count="1" selected="0">
            <x v="675"/>
          </reference>
          <reference field="11" count="1" selected="0">
            <x v="12"/>
          </reference>
          <reference field="14" count="1" selected="0">
            <x v="480"/>
          </reference>
          <reference field="21" count="1" selected="0">
            <x v="8"/>
          </reference>
          <reference field="22" count="1">
            <x v="1"/>
          </reference>
        </references>
      </pivotArea>
    </format>
    <format dxfId="2923">
      <pivotArea dataOnly="0" labelOnly="1" outline="0" fieldPosition="0">
        <references count="6">
          <reference field="3" count="1" selected="0">
            <x v="1262"/>
          </reference>
          <reference field="4" count="1" selected="0">
            <x v="1155"/>
          </reference>
          <reference field="11" count="1" selected="0">
            <x v="12"/>
          </reference>
          <reference field="14" count="1" selected="0">
            <x v="876"/>
          </reference>
          <reference field="21" count="1" selected="0">
            <x v="4"/>
          </reference>
          <reference field="22" count="1">
            <x v="0"/>
          </reference>
        </references>
      </pivotArea>
    </format>
    <format dxfId="2922">
      <pivotArea dataOnly="0" labelOnly="1" outline="0" fieldPosition="0">
        <references count="6">
          <reference field="3" count="1" selected="0">
            <x v="1285"/>
          </reference>
          <reference field="4" count="1" selected="0">
            <x v="820"/>
          </reference>
          <reference field="11" count="1" selected="0">
            <x v="12"/>
          </reference>
          <reference field="14" count="1" selected="0">
            <x v="780"/>
          </reference>
          <reference field="21" count="1" selected="0">
            <x v="10"/>
          </reference>
          <reference field="22" count="1">
            <x v="1"/>
          </reference>
        </references>
      </pivotArea>
    </format>
    <format dxfId="2921">
      <pivotArea dataOnly="0" labelOnly="1" outline="0" fieldPosition="0">
        <references count="6">
          <reference field="3" count="1" selected="0">
            <x v="1343"/>
          </reference>
          <reference field="4" count="1" selected="0">
            <x v="798"/>
          </reference>
          <reference field="11" count="1" selected="0">
            <x v="12"/>
          </reference>
          <reference field="14" count="1" selected="0">
            <x v="745"/>
          </reference>
          <reference field="21" count="1" selected="0">
            <x v="5"/>
          </reference>
          <reference field="22" count="1">
            <x v="0"/>
          </reference>
        </references>
      </pivotArea>
    </format>
    <format dxfId="2920">
      <pivotArea dataOnly="0" labelOnly="1" outline="0" fieldPosition="0">
        <references count="6">
          <reference field="3" count="1" selected="0">
            <x v="1353"/>
          </reference>
          <reference field="4" count="1" selected="0">
            <x v="1359"/>
          </reference>
          <reference field="11" count="1" selected="0">
            <x v="12"/>
          </reference>
          <reference field="14" count="1" selected="0">
            <x v="474"/>
          </reference>
          <reference field="21" count="1" selected="0">
            <x v="8"/>
          </reference>
          <reference field="22" count="1">
            <x v="1"/>
          </reference>
        </references>
      </pivotArea>
    </format>
    <format dxfId="2919">
      <pivotArea dataOnly="0" labelOnly="1" outline="0" fieldPosition="0">
        <references count="6">
          <reference field="3" count="1" selected="0">
            <x v="1383"/>
          </reference>
          <reference field="4" count="1" selected="0">
            <x v="721"/>
          </reference>
          <reference field="11" count="1" selected="0">
            <x v="12"/>
          </reference>
          <reference field="14" count="1" selected="0">
            <x v="803"/>
          </reference>
          <reference field="21" count="1" selected="0">
            <x v="4"/>
          </reference>
          <reference field="22" count="1">
            <x v="0"/>
          </reference>
        </references>
      </pivotArea>
    </format>
    <format dxfId="2918">
      <pivotArea dataOnly="0" labelOnly="1" outline="0" fieldPosition="0">
        <references count="6">
          <reference field="3" count="1" selected="0">
            <x v="1415"/>
          </reference>
          <reference field="4" count="1" selected="0">
            <x v="7"/>
          </reference>
          <reference field="11" count="1" selected="0">
            <x v="12"/>
          </reference>
          <reference field="14" count="1" selected="0">
            <x v="899"/>
          </reference>
          <reference field="21" count="1" selected="0">
            <x v="11"/>
          </reference>
          <reference field="22" count="1">
            <x v="1"/>
          </reference>
        </references>
      </pivotArea>
    </format>
    <format dxfId="2917">
      <pivotArea dataOnly="0" labelOnly="1" outline="0" fieldPosition="0">
        <references count="6">
          <reference field="3" count="1" selected="0">
            <x v="1427"/>
          </reference>
          <reference field="4" count="1" selected="0">
            <x v="1527"/>
          </reference>
          <reference field="11" count="1" selected="0">
            <x v="12"/>
          </reference>
          <reference field="14" count="1" selected="0">
            <x v="829"/>
          </reference>
          <reference field="21" count="1" selected="0">
            <x v="6"/>
          </reference>
          <reference field="22" count="1">
            <x v="1"/>
          </reference>
        </references>
      </pivotArea>
    </format>
    <format dxfId="2916">
      <pivotArea dataOnly="0" labelOnly="1" outline="0" fieldPosition="0">
        <references count="6">
          <reference field="3" count="1" selected="0">
            <x v="1511"/>
          </reference>
          <reference field="4" count="1" selected="0">
            <x v="671"/>
          </reference>
          <reference field="11" count="1" selected="0">
            <x v="12"/>
          </reference>
          <reference field="14" count="1" selected="0">
            <x v="537"/>
          </reference>
          <reference field="21" count="1" selected="0">
            <x v="3"/>
          </reference>
          <reference field="22" count="1">
            <x v="0"/>
          </reference>
        </references>
      </pivotArea>
    </format>
    <format dxfId="2915">
      <pivotArea dataOnly="0" labelOnly="1" outline="0" fieldPosition="0">
        <references count="6">
          <reference field="3" count="1" selected="0">
            <x v="1512"/>
          </reference>
          <reference field="4" count="1" selected="0">
            <x v="1290"/>
          </reference>
          <reference field="11" count="1" selected="0">
            <x v="12"/>
          </reference>
          <reference field="14" count="1" selected="0">
            <x v="529"/>
          </reference>
          <reference field="21" count="1" selected="0">
            <x v="9"/>
          </reference>
          <reference field="22" count="1">
            <x v="1"/>
          </reference>
        </references>
      </pivotArea>
    </format>
    <format dxfId="2914">
      <pivotArea dataOnly="0" labelOnly="1" outline="0" fieldPosition="0">
        <references count="6">
          <reference field="3" count="1" selected="0">
            <x v="1564"/>
          </reference>
          <reference field="4" count="1" selected="0">
            <x v="1062"/>
          </reference>
          <reference field="11" count="1" selected="0">
            <x v="12"/>
          </reference>
          <reference field="14" count="1" selected="0">
            <x v="855"/>
          </reference>
          <reference field="21" count="1" selected="0">
            <x v="4"/>
          </reference>
          <reference field="22" count="1">
            <x v="0"/>
          </reference>
        </references>
      </pivotArea>
    </format>
    <format dxfId="2913">
      <pivotArea dataOnly="0" labelOnly="1" outline="0" fieldPosition="0">
        <references count="6">
          <reference field="3" count="1" selected="0">
            <x v="1619"/>
          </reference>
          <reference field="4" count="1" selected="0">
            <x v="118"/>
          </reference>
          <reference field="11" count="1" selected="0">
            <x v="12"/>
          </reference>
          <reference field="14" count="1" selected="0">
            <x v="872"/>
          </reference>
          <reference field="21" count="1" selected="0">
            <x v="8"/>
          </reference>
          <reference field="22" count="1">
            <x v="1"/>
          </reference>
        </references>
      </pivotArea>
    </format>
    <format dxfId="2912">
      <pivotArea dataOnly="0" labelOnly="1" outline="0" fieldPosition="0">
        <references count="6">
          <reference field="3" count="1" selected="0">
            <x v="1712"/>
          </reference>
          <reference field="4" count="1" selected="0">
            <x v="1023"/>
          </reference>
          <reference field="11" count="1" selected="0">
            <x v="12"/>
          </reference>
          <reference field="14" count="1" selected="0">
            <x v="346"/>
          </reference>
          <reference field="21" count="1" selected="0">
            <x v="33"/>
          </reference>
          <reference field="22" count="1">
            <x v="4"/>
          </reference>
        </references>
      </pivotArea>
    </format>
    <format dxfId="2911">
      <pivotArea dataOnly="0" labelOnly="1" outline="0" fieldPosition="0">
        <references count="6">
          <reference field="3" count="1" selected="0">
            <x v="1715"/>
          </reference>
          <reference field="4" count="1" selected="0">
            <x v="305"/>
          </reference>
          <reference field="11" count="1" selected="0">
            <x v="11"/>
          </reference>
          <reference field="14" count="1" selected="0">
            <x v="276"/>
          </reference>
          <reference field="21" count="1" selected="0">
            <x v="29"/>
          </reference>
          <reference field="22" count="1">
            <x v="3"/>
          </reference>
        </references>
      </pivotArea>
    </format>
    <format dxfId="2910">
      <pivotArea dataOnly="0" labelOnly="1" outline="0" fieldPosition="0">
        <references count="6">
          <reference field="3" count="1" selected="0">
            <x v="1717"/>
          </reference>
          <reference field="4" count="1" selected="0">
            <x v="1500"/>
          </reference>
          <reference field="11" count="1" selected="0">
            <x v="12"/>
          </reference>
          <reference field="14" count="1" selected="0">
            <x v="144"/>
          </reference>
          <reference field="21" count="1" selected="0">
            <x v="8"/>
          </reference>
          <reference field="22" count="1">
            <x v="1"/>
          </reference>
        </references>
      </pivotArea>
    </format>
    <format dxfId="2909">
      <pivotArea dataOnly="0" labelOnly="1" outline="0" fieldPosition="0">
        <references count="6">
          <reference field="3" count="1" selected="0">
            <x v="1746"/>
          </reference>
          <reference field="4" count="1" selected="0">
            <x v="43"/>
          </reference>
          <reference field="11" count="1" selected="0">
            <x v="11"/>
          </reference>
          <reference field="14" count="1" selected="0">
            <x v="429"/>
          </reference>
          <reference field="21" count="1" selected="0">
            <x v="31"/>
          </reference>
          <reference field="22" count="1">
            <x v="3"/>
          </reference>
        </references>
      </pivotArea>
    </format>
    <format dxfId="2908">
      <pivotArea dataOnly="0" labelOnly="1" outline="0" fieldPosition="0">
        <references count="6">
          <reference field="3" count="1" selected="0">
            <x v="1758"/>
          </reference>
          <reference field="4" count="1" selected="0">
            <x v="192"/>
          </reference>
          <reference field="11" count="1" selected="0">
            <x v="12"/>
          </reference>
          <reference field="14" count="1" selected="0">
            <x v="906"/>
          </reference>
          <reference field="21" count="1" selected="0">
            <x v="13"/>
          </reference>
          <reference field="22" count="1">
            <x v="1"/>
          </reference>
        </references>
      </pivotArea>
    </format>
    <format dxfId="2907">
      <pivotArea dataOnly="0" labelOnly="1" outline="0" fieldPosition="0">
        <references count="6">
          <reference field="3" count="1" selected="0">
            <x v="1761"/>
          </reference>
          <reference field="4" count="1" selected="0">
            <x v="133"/>
          </reference>
          <reference field="11" count="1" selected="0">
            <x v="12"/>
          </reference>
          <reference field="14" count="1" selected="0">
            <x v="293"/>
          </reference>
          <reference field="21" count="1" selected="0">
            <x v="17"/>
          </reference>
          <reference field="22" count="1">
            <x v="2"/>
          </reference>
        </references>
      </pivotArea>
    </format>
    <format dxfId="2906">
      <pivotArea dataOnly="0" labelOnly="1" outline="0" fieldPosition="0">
        <references count="6">
          <reference field="3" count="1" selected="0">
            <x v="1771"/>
          </reference>
          <reference field="4" count="1" selected="0">
            <x v="1144"/>
          </reference>
          <reference field="11" count="1" selected="0">
            <x v="12"/>
          </reference>
          <reference field="14" count="1" selected="0">
            <x v="819"/>
          </reference>
          <reference field="21" count="1" selected="0">
            <x v="5"/>
          </reference>
          <reference field="22" count="1">
            <x v="0"/>
          </reference>
        </references>
      </pivotArea>
    </format>
    <format dxfId="2905">
      <pivotArea dataOnly="0" labelOnly="1" outline="0" fieldPosition="0">
        <references count="6">
          <reference field="3" count="1" selected="0">
            <x v="1789"/>
          </reference>
          <reference field="4" count="1" selected="0">
            <x v="1458"/>
          </reference>
          <reference field="11" count="1" selected="0">
            <x v="12"/>
          </reference>
          <reference field="14" count="1" selected="0">
            <x v="472"/>
          </reference>
          <reference field="21" count="1" selected="0">
            <x v="10"/>
          </reference>
          <reference field="22" count="1">
            <x v="1"/>
          </reference>
        </references>
      </pivotArea>
    </format>
    <format dxfId="2904">
      <pivotArea dataOnly="0" labelOnly="1" outline="0" fieldPosition="0">
        <references count="6">
          <reference field="3" count="1" selected="0">
            <x v="1804"/>
          </reference>
          <reference field="4" count="1" selected="0">
            <x v="251"/>
          </reference>
          <reference field="11" count="1" selected="0">
            <x v="12"/>
          </reference>
          <reference field="14" count="1" selected="0">
            <x v="802"/>
          </reference>
          <reference field="21" count="1" selected="0">
            <x v="21"/>
          </reference>
          <reference field="22" count="1">
            <x v="2"/>
          </reference>
        </references>
      </pivotArea>
    </format>
    <format dxfId="2903">
      <pivotArea dataOnly="0" labelOnly="1" outline="0" fieldPosition="0">
        <references count="6">
          <reference field="3" count="1" selected="0">
            <x v="1827"/>
          </reference>
          <reference field="4" count="1" selected="0">
            <x v="916"/>
          </reference>
          <reference field="11" count="1" selected="0">
            <x v="11"/>
          </reference>
          <reference field="14" count="1" selected="0">
            <x v="926"/>
          </reference>
          <reference field="21" count="1" selected="0">
            <x v="16"/>
          </reference>
          <reference field="22" count="1">
            <x v="2"/>
          </reference>
        </references>
      </pivotArea>
    </format>
    <format dxfId="2902">
      <pivotArea dataOnly="0" labelOnly="1" outline="0" fieldPosition="0">
        <references count="6">
          <reference field="3" count="1" selected="0">
            <x v="1851"/>
          </reference>
          <reference field="4" count="1" selected="0">
            <x v="1904"/>
          </reference>
          <reference field="11" count="1" selected="0">
            <x v="12"/>
          </reference>
          <reference field="14" count="1" selected="0">
            <x v="921"/>
          </reference>
          <reference field="21" count="1" selected="0">
            <x v="17"/>
          </reference>
          <reference field="22" count="1">
            <x v="2"/>
          </reference>
        </references>
      </pivotArea>
    </format>
    <format dxfId="2901">
      <pivotArea dataOnly="0" labelOnly="1" outline="0" fieldPosition="0">
        <references count="6">
          <reference field="3" count="1" selected="0">
            <x v="1853"/>
          </reference>
          <reference field="4" count="1" selected="0">
            <x v="1578"/>
          </reference>
          <reference field="11" count="1" selected="0">
            <x v="12"/>
          </reference>
          <reference field="14" count="1" selected="0">
            <x v="928"/>
          </reference>
          <reference field="21" count="1" selected="0">
            <x v="3"/>
          </reference>
          <reference field="22" count="1">
            <x v="0"/>
          </reference>
        </references>
      </pivotArea>
    </format>
    <format dxfId="2900">
      <pivotArea dataOnly="0" labelOnly="1" outline="0" fieldPosition="0">
        <references count="6">
          <reference field="3" count="1" selected="0">
            <x v="1894"/>
          </reference>
          <reference field="4" count="1" selected="0">
            <x v="1610"/>
          </reference>
          <reference field="11" count="1" selected="0">
            <x v="12"/>
          </reference>
          <reference field="14" count="1" selected="0">
            <x v="919"/>
          </reference>
          <reference field="21" count="1" selected="0">
            <x v="12"/>
          </reference>
          <reference field="22" count="1">
            <x v="1"/>
          </reference>
        </references>
      </pivotArea>
    </format>
    <format dxfId="2899">
      <pivotArea dataOnly="0" labelOnly="1" outline="0" fieldPosition="0">
        <references count="6">
          <reference field="3" count="1" selected="0">
            <x v="1903"/>
          </reference>
          <reference field="4" count="1" selected="0">
            <x v="1612"/>
          </reference>
          <reference field="11" count="1" selected="0">
            <x v="12"/>
          </reference>
          <reference field="14" count="1" selected="0">
            <x v="927"/>
          </reference>
          <reference field="21" count="1" selected="0">
            <x v="8"/>
          </reference>
          <reference field="22" count="1">
            <x v="1"/>
          </reference>
        </references>
      </pivotArea>
    </format>
    <format dxfId="2898">
      <pivotArea dataOnly="0" labelOnly="1" outline="0" fieldPosition="0">
        <references count="6">
          <reference field="3" count="1" selected="0">
            <x v="1905"/>
          </reference>
          <reference field="4" count="1" selected="0">
            <x v="1613"/>
          </reference>
          <reference field="11" count="1" selected="0">
            <x v="12"/>
          </reference>
          <reference field="14" count="1" selected="0">
            <x v="898"/>
          </reference>
          <reference field="21" count="1" selected="0">
            <x v="5"/>
          </reference>
          <reference field="22" count="1">
            <x v="0"/>
          </reference>
        </references>
      </pivotArea>
    </format>
    <format dxfId="2897">
      <pivotArea dataOnly="0" labelOnly="1" outline="0" fieldPosition="0">
        <references count="6">
          <reference field="3" count="1" selected="0">
            <x v="1906"/>
          </reference>
          <reference field="4" count="1" selected="0">
            <x v="1614"/>
          </reference>
          <reference field="11" count="1" selected="0">
            <x v="12"/>
          </reference>
          <reference field="14" count="1" selected="0">
            <x v="923"/>
          </reference>
          <reference field="21" count="1" selected="0">
            <x v="30"/>
          </reference>
          <reference field="22" count="1">
            <x v="3"/>
          </reference>
        </references>
      </pivotArea>
    </format>
    <format dxfId="2896">
      <pivotArea dataOnly="0" labelOnly="1" outline="0" fieldPosition="0">
        <references count="6">
          <reference field="3" count="1" selected="0">
            <x v="1911"/>
          </reference>
          <reference field="4" count="1" selected="0">
            <x v="1618"/>
          </reference>
          <reference field="11" count="1" selected="0">
            <x v="12"/>
          </reference>
          <reference field="14" count="1" selected="0">
            <x v="882"/>
          </reference>
          <reference field="21" count="1" selected="0">
            <x v="11"/>
          </reference>
          <reference field="22" count="1">
            <x v="1"/>
          </reference>
        </references>
      </pivotArea>
    </format>
    <format dxfId="2895">
      <pivotArea dataOnly="0" labelOnly="1" outline="0" fieldPosition="0">
        <references count="6">
          <reference field="3" count="1" selected="0">
            <x v="1917"/>
          </reference>
          <reference field="4" count="1" selected="0">
            <x v="1626"/>
          </reference>
          <reference field="11" count="1" selected="0">
            <x v="12"/>
          </reference>
          <reference field="14" count="1" selected="0">
            <x v="930"/>
          </reference>
          <reference field="21" count="1" selected="0">
            <x v="34"/>
          </reference>
          <reference field="22" count="1">
            <x v="4"/>
          </reference>
        </references>
      </pivotArea>
    </format>
    <format dxfId="2894">
      <pivotArea dataOnly="0" labelOnly="1" outline="0" fieldPosition="0">
        <references count="6">
          <reference field="3" count="1" selected="0">
            <x v="1918"/>
          </reference>
          <reference field="4" count="1" selected="0">
            <x v="1627"/>
          </reference>
          <reference field="11" count="1" selected="0">
            <x v="12"/>
          </reference>
          <reference field="14" count="1" selected="0">
            <x v="930"/>
          </reference>
          <reference field="21" count="1" selected="0">
            <x v="24"/>
          </reference>
          <reference field="22" count="1">
            <x v="3"/>
          </reference>
        </references>
      </pivotArea>
    </format>
    <format dxfId="2893">
      <pivotArea dataOnly="0" labelOnly="1" outline="0" fieldPosition="0">
        <references count="6">
          <reference field="3" count="1" selected="0">
            <x v="1950"/>
          </reference>
          <reference field="4" count="1" selected="0">
            <x v="1744"/>
          </reference>
          <reference field="11" count="1" selected="0">
            <x v="12"/>
          </reference>
          <reference field="14" count="1" selected="0">
            <x v="938"/>
          </reference>
          <reference field="21" count="1" selected="0">
            <x v="0"/>
          </reference>
          <reference field="22" count="1">
            <x v="0"/>
          </reference>
        </references>
      </pivotArea>
    </format>
    <format dxfId="2892">
      <pivotArea dataOnly="0" labelOnly="1" outline="0" fieldPosition="0">
        <references count="6">
          <reference field="3" count="1" selected="0">
            <x v="1964"/>
          </reference>
          <reference field="4" count="1" selected="0">
            <x v="1750"/>
          </reference>
          <reference field="11" count="1" selected="0">
            <x v="12"/>
          </reference>
          <reference field="14" count="1" selected="0">
            <x v="947"/>
          </reference>
          <reference field="21" count="1" selected="0">
            <x v="17"/>
          </reference>
          <reference field="22" count="1">
            <x v="2"/>
          </reference>
        </references>
      </pivotArea>
    </format>
    <format dxfId="2891">
      <pivotArea dataOnly="0" labelOnly="1" outline="0" fieldPosition="0">
        <references count="6">
          <reference field="3" count="1" selected="0">
            <x v="2040"/>
          </reference>
          <reference field="4" count="1" selected="0">
            <x v="1912"/>
          </reference>
          <reference field="11" count="1" selected="0">
            <x v="12"/>
          </reference>
          <reference field="14" count="1" selected="0">
            <x v="853"/>
          </reference>
          <reference field="21" count="1" selected="0">
            <x v="6"/>
          </reference>
          <reference field="22" count="1">
            <x v="1"/>
          </reference>
        </references>
      </pivotArea>
    </format>
    <format dxfId="2890">
      <pivotArea dataOnly="0" labelOnly="1" outline="0" fieldPosition="0">
        <references count="6">
          <reference field="3" count="1" selected="0">
            <x v="2049"/>
          </reference>
          <reference field="4" count="1" selected="0">
            <x v="1092"/>
          </reference>
          <reference field="11" count="1" selected="0">
            <x v="12"/>
          </reference>
          <reference field="14" count="1" selected="0">
            <x v="906"/>
          </reference>
          <reference field="21" count="1" selected="0">
            <x v="13"/>
          </reference>
          <reference field="22" count="1">
            <x v="1"/>
          </reference>
        </references>
      </pivotArea>
    </format>
    <format dxfId="2889">
      <pivotArea dataOnly="0" labelOnly="1" outline="0" fieldPosition="0">
        <references count="6">
          <reference field="3" count="1" selected="0">
            <x v="2089"/>
          </reference>
          <reference field="4" count="1" selected="0">
            <x v="1973"/>
          </reference>
          <reference field="11" count="1" selected="0">
            <x v="12"/>
          </reference>
          <reference field="14" count="1" selected="0">
            <x v="959"/>
          </reference>
          <reference field="21" count="1" selected="0">
            <x v="21"/>
          </reference>
          <reference field="22" count="1">
            <x v="2"/>
          </reference>
        </references>
      </pivotArea>
    </format>
    <format dxfId="2888">
      <pivotArea dataOnly="0" labelOnly="1" outline="0" fieldPosition="0">
        <references count="6">
          <reference field="3" count="1" selected="0">
            <x v="2097"/>
          </reference>
          <reference field="4" count="1" selected="0">
            <x v="2110"/>
          </reference>
          <reference field="11" count="1" selected="0">
            <x v="12"/>
          </reference>
          <reference field="14" count="1" selected="0">
            <x v="947"/>
          </reference>
          <reference field="21" count="1" selected="0">
            <x v="25"/>
          </reference>
          <reference field="22" count="1">
            <x v="3"/>
          </reference>
        </references>
      </pivotArea>
    </format>
    <format dxfId="2887">
      <pivotArea dataOnly="0" labelOnly="1" outline="0" fieldPosition="0">
        <references count="6">
          <reference field="3" count="1" selected="0">
            <x v="2105"/>
          </reference>
          <reference field="4" count="1" selected="0">
            <x v="2140"/>
          </reference>
          <reference field="11" count="1" selected="0">
            <x v="12"/>
          </reference>
          <reference field="14" count="1" selected="0">
            <x v="965"/>
          </reference>
          <reference field="21" count="1" selected="0">
            <x v="7"/>
          </reference>
          <reference field="22" count="1">
            <x v="1"/>
          </reference>
        </references>
      </pivotArea>
    </format>
    <format dxfId="2886">
      <pivotArea dataOnly="0" labelOnly="1" outline="0" fieldPosition="0">
        <references count="6">
          <reference field="3" count="1" selected="0">
            <x v="2106"/>
          </reference>
          <reference field="4" count="1" selected="0">
            <x v="2169"/>
          </reference>
          <reference field="11" count="1" selected="0">
            <x v="12"/>
          </reference>
          <reference field="14" count="1" selected="0">
            <x v="966"/>
          </reference>
          <reference field="21" count="1" selected="0">
            <x v="20"/>
          </reference>
          <reference field="22" count="1">
            <x v="2"/>
          </reference>
        </references>
      </pivotArea>
    </format>
    <format dxfId="2885">
      <pivotArea dataOnly="0" labelOnly="1" outline="0" fieldPosition="0">
        <references count="6">
          <reference field="3" count="1" selected="0">
            <x v="2122"/>
          </reference>
          <reference field="4" count="1" selected="0">
            <x v="2231"/>
          </reference>
          <reference field="11" count="1" selected="0">
            <x v="12"/>
          </reference>
          <reference field="14" count="1" selected="0">
            <x v="642"/>
          </reference>
          <reference field="21" count="1" selected="0">
            <x v="18"/>
          </reference>
          <reference field="22" count="1">
            <x v="2"/>
          </reference>
        </references>
      </pivotArea>
    </format>
    <format dxfId="2884">
      <pivotArea dataOnly="0" labelOnly="1" outline="0" fieldPosition="0">
        <references count="6">
          <reference field="3" count="1" selected="0">
            <x v="2197"/>
          </reference>
          <reference field="4" count="1" selected="0">
            <x v="2337"/>
          </reference>
          <reference field="11" count="1" selected="0">
            <x v="12"/>
          </reference>
          <reference field="14" count="1" selected="0">
            <x v="965"/>
          </reference>
          <reference field="21" count="1" selected="0">
            <x v="8"/>
          </reference>
          <reference field="22" count="1">
            <x v="1"/>
          </reference>
        </references>
      </pivotArea>
    </format>
    <format dxfId="2883">
      <pivotArea dataOnly="0" labelOnly="1" outline="0" fieldPosition="0">
        <references count="6">
          <reference field="3" count="1" selected="0">
            <x v="2201"/>
          </reference>
          <reference field="4" count="1" selected="0">
            <x v="1738"/>
          </reference>
          <reference field="11" count="1" selected="0">
            <x v="12"/>
          </reference>
          <reference field="14" count="1" selected="0">
            <x v="981"/>
          </reference>
          <reference field="21" count="1" selected="0">
            <x v="20"/>
          </reference>
          <reference field="22" count="1">
            <x v="2"/>
          </reference>
        </references>
      </pivotArea>
    </format>
    <format dxfId="2882">
      <pivotArea dataOnly="0" labelOnly="1" outline="0" fieldPosition="0">
        <references count="6">
          <reference field="3" count="1" selected="0">
            <x v="2222"/>
          </reference>
          <reference field="4" count="1" selected="0">
            <x v="2398"/>
          </reference>
          <reference field="11" count="1" selected="0">
            <x v="12"/>
          </reference>
          <reference field="14" count="1" selected="0">
            <x v="844"/>
          </reference>
          <reference field="21" count="1" selected="0">
            <x v="21"/>
          </reference>
          <reference field="22" count="1">
            <x v="2"/>
          </reference>
        </references>
      </pivotArea>
    </format>
    <format dxfId="2881">
      <pivotArea dataOnly="0" labelOnly="1" outline="0" fieldPosition="0">
        <references count="6">
          <reference field="3" count="1" selected="0">
            <x v="2232"/>
          </reference>
          <reference field="4" count="1" selected="0">
            <x v="2479"/>
          </reference>
          <reference field="11" count="1" selected="0">
            <x v="12"/>
          </reference>
          <reference field="14" count="1" selected="0">
            <x v="967"/>
          </reference>
          <reference field="21" count="1" selected="0">
            <x v="4"/>
          </reference>
          <reference field="22" count="1">
            <x v="0"/>
          </reference>
        </references>
      </pivotArea>
    </format>
    <format dxfId="2880">
      <pivotArea dataOnly="0" labelOnly="1" outline="0" fieldPosition="0">
        <references count="6">
          <reference field="3" count="1" selected="0">
            <x v="2234"/>
          </reference>
          <reference field="4" count="1" selected="0">
            <x v="2482"/>
          </reference>
          <reference field="11" count="1" selected="0">
            <x v="12"/>
          </reference>
          <reference field="14" count="1" selected="0">
            <x v="970"/>
          </reference>
          <reference field="21" count="1" selected="0">
            <x v="2"/>
          </reference>
          <reference field="22" count="1">
            <x v="0"/>
          </reference>
        </references>
      </pivotArea>
    </format>
    <format dxfId="2879">
      <pivotArea dataOnly="0" labelOnly="1" outline="0" fieldPosition="0">
        <references count="6">
          <reference field="3" count="1" selected="0">
            <x v="2243"/>
          </reference>
          <reference field="4" count="1" selected="0">
            <x v="2492"/>
          </reference>
          <reference field="11" count="1" selected="0">
            <x v="12"/>
          </reference>
          <reference field="14" count="1" selected="0">
            <x v="965"/>
          </reference>
          <reference field="21" count="1" selected="0">
            <x v="27"/>
          </reference>
          <reference field="22" count="1">
            <x v="3"/>
          </reference>
        </references>
      </pivotArea>
    </format>
    <format dxfId="2878">
      <pivotArea dataOnly="0" labelOnly="1" outline="0" fieldPosition="0">
        <references count="6">
          <reference field="3" count="1" selected="0">
            <x v="2251"/>
          </reference>
          <reference field="4" count="1" selected="0">
            <x v="2517"/>
          </reference>
          <reference field="11" count="1" selected="0">
            <x v="12"/>
          </reference>
          <reference field="14" count="1" selected="0">
            <x v="876"/>
          </reference>
          <reference field="21" count="1" selected="0">
            <x v="14"/>
          </reference>
          <reference field="22" count="1">
            <x v="2"/>
          </reference>
        </references>
      </pivotArea>
    </format>
    <format dxfId="2877">
      <pivotArea dataOnly="0" labelOnly="1" outline="0" fieldPosition="0">
        <references count="6">
          <reference field="3" count="1" selected="0">
            <x v="2261"/>
          </reference>
          <reference field="4" count="1" selected="0">
            <x v="2522"/>
          </reference>
          <reference field="11" count="1" selected="0">
            <x v="12"/>
          </reference>
          <reference field="14" count="1" selected="0">
            <x v="939"/>
          </reference>
          <reference field="21" count="1" selected="0">
            <x v="17"/>
          </reference>
          <reference field="22" count="1">
            <x v="2"/>
          </reference>
        </references>
      </pivotArea>
    </format>
    <format dxfId="2876">
      <pivotArea dataOnly="0" labelOnly="1" outline="0" fieldPosition="0">
        <references count="7">
          <reference field="3" count="1" selected="0">
            <x v="56"/>
          </reference>
          <reference field="4" count="1" selected="0">
            <x v="135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808"/>
          </reference>
          <reference field="21" count="1" selected="0">
            <x v="38"/>
          </reference>
          <reference field="22" count="1" selected="0">
            <x v="4"/>
          </reference>
        </references>
      </pivotArea>
    </format>
    <format dxfId="2875">
      <pivotArea dataOnly="0" labelOnly="1" outline="0" fieldPosition="0">
        <references count="7">
          <reference field="3" count="1" selected="0">
            <x v="81"/>
          </reference>
          <reference field="4" count="1" selected="0">
            <x v="1470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217"/>
          </reference>
          <reference field="21" count="1" selected="0">
            <x v="34"/>
          </reference>
          <reference field="22" count="1" selected="0">
            <x v="4"/>
          </reference>
        </references>
      </pivotArea>
    </format>
    <format dxfId="2874">
      <pivotArea dataOnly="0" labelOnly="1" outline="0" fieldPosition="0">
        <references count="7">
          <reference field="3" count="1" selected="0">
            <x v="122"/>
          </reference>
          <reference field="4" count="1" selected="0">
            <x v="1001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369"/>
          </reference>
          <reference field="21" count="1" selected="0">
            <x v="29"/>
          </reference>
          <reference field="22" count="1" selected="0">
            <x v="3"/>
          </reference>
        </references>
      </pivotArea>
    </format>
    <format dxfId="2873">
      <pivotArea dataOnly="0" labelOnly="1" outline="0" fieldPosition="0">
        <references count="7">
          <reference field="3" count="1" selected="0">
            <x v="152"/>
          </reference>
          <reference field="4" count="1" selected="0">
            <x v="832"/>
          </reference>
          <reference field="11" count="1" selected="0">
            <x v="12"/>
          </reference>
          <reference field="12" count="1">
            <x v="0"/>
          </reference>
          <reference field="14" count="1" selected="0">
            <x v="136"/>
          </reference>
          <reference field="21" count="1" selected="0">
            <x v="27"/>
          </reference>
          <reference field="22" count="1" selected="0">
            <x v="3"/>
          </reference>
        </references>
      </pivotArea>
    </format>
    <format dxfId="2872">
      <pivotArea dataOnly="0" labelOnly="1" outline="0" fieldPosition="0">
        <references count="7">
          <reference field="3" count="1" selected="0">
            <x v="153"/>
          </reference>
          <reference field="4" count="1" selected="0">
            <x v="792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125"/>
          </reference>
          <reference field="21" count="1" selected="0">
            <x v="41"/>
          </reference>
          <reference field="22" count="1" selected="0">
            <x v="5"/>
          </reference>
        </references>
      </pivotArea>
    </format>
    <format dxfId="2871">
      <pivotArea dataOnly="0" labelOnly="1" outline="0" fieldPosition="0">
        <references count="7">
          <reference field="3" count="1" selected="0">
            <x v="174"/>
          </reference>
          <reference field="4" count="1" selected="0">
            <x v="1363"/>
          </reference>
          <reference field="11" count="1" selected="0">
            <x v="11"/>
          </reference>
          <reference field="12" count="1">
            <x v="1"/>
          </reference>
          <reference field="14" count="1" selected="0">
            <x v="412"/>
          </reference>
          <reference field="21" count="1" selected="0">
            <x v="28"/>
          </reference>
          <reference field="22" count="1" selected="0">
            <x v="3"/>
          </reference>
        </references>
      </pivotArea>
    </format>
    <format dxfId="2870">
      <pivotArea dataOnly="0" labelOnly="1" outline="0" fieldPosition="0">
        <references count="7">
          <reference field="3" count="1" selected="0">
            <x v="189"/>
          </reference>
          <reference field="4" count="1" selected="0">
            <x v="1480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350"/>
          </reference>
          <reference field="21" count="1" selected="0">
            <x v="36"/>
          </reference>
          <reference field="22" count="1" selected="0">
            <x v="4"/>
          </reference>
        </references>
      </pivotArea>
    </format>
    <format dxfId="2869">
      <pivotArea dataOnly="0" labelOnly="1" outline="0" fieldPosition="0">
        <references count="7">
          <reference field="3" count="1" selected="0">
            <x v="199"/>
          </reference>
          <reference field="4" count="1" selected="0">
            <x v="766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629"/>
          </reference>
          <reference field="21" count="1" selected="0">
            <x v="34"/>
          </reference>
          <reference field="22" count="1" selected="0">
            <x v="4"/>
          </reference>
        </references>
      </pivotArea>
    </format>
    <format dxfId="2868">
      <pivotArea dataOnly="0" labelOnly="1" outline="0" fieldPosition="0">
        <references count="7">
          <reference field="3" count="1" selected="0">
            <x v="204"/>
          </reference>
          <reference field="4" count="1" selected="0">
            <x v="106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851"/>
          </reference>
          <reference field="21" count="1" selected="0">
            <x v="29"/>
          </reference>
          <reference field="22" count="1" selected="0">
            <x v="3"/>
          </reference>
        </references>
      </pivotArea>
    </format>
    <format dxfId="2867">
      <pivotArea dataOnly="0" labelOnly="1" outline="0" fieldPosition="0">
        <references count="7">
          <reference field="3" count="1" selected="0">
            <x v="206"/>
          </reference>
          <reference field="4" count="1" selected="0">
            <x v="1232"/>
          </reference>
          <reference field="11" count="1" selected="0">
            <x v="12"/>
          </reference>
          <reference field="12" count="1">
            <x v="0"/>
          </reference>
          <reference field="14" count="1" selected="0">
            <x v="135"/>
          </reference>
          <reference field="21" count="1" selected="0">
            <x v="30"/>
          </reference>
          <reference field="22" count="1" selected="0">
            <x v="3"/>
          </reference>
        </references>
      </pivotArea>
    </format>
    <format dxfId="2866">
      <pivotArea dataOnly="0" labelOnly="1" outline="0" fieldPosition="0">
        <references count="7">
          <reference field="3" count="1" selected="0">
            <x v="234"/>
          </reference>
          <reference field="4" count="1" selected="0">
            <x v="1777"/>
          </reference>
          <reference field="11" count="1" selected="0">
            <x v="11"/>
          </reference>
          <reference field="12" count="1">
            <x v="31"/>
          </reference>
          <reference field="14" count="1" selected="0">
            <x v="678"/>
          </reference>
          <reference field="21" count="1" selected="0">
            <x v="27"/>
          </reference>
          <reference field="22" count="1" selected="0">
            <x v="3"/>
          </reference>
        </references>
      </pivotArea>
    </format>
    <format dxfId="2865">
      <pivotArea dataOnly="0" labelOnly="1" outline="0" fieldPosition="0">
        <references count="7">
          <reference field="3" count="1" selected="0">
            <x v="251"/>
          </reference>
          <reference field="4" count="1" selected="0">
            <x v="770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438"/>
          </reference>
          <reference field="21" count="1" selected="0">
            <x v="33"/>
          </reference>
          <reference field="22" count="1" selected="0">
            <x v="4"/>
          </reference>
        </references>
      </pivotArea>
    </format>
    <format dxfId="2864">
      <pivotArea dataOnly="0" labelOnly="1" outline="0" fieldPosition="0">
        <references count="7">
          <reference field="3" count="1" selected="0">
            <x v="253"/>
          </reference>
          <reference field="4" count="1" selected="0">
            <x v="1240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763"/>
          </reference>
          <reference field="21" count="1" selected="0">
            <x v="39"/>
          </reference>
          <reference field="22" count="1" selected="0">
            <x v="4"/>
          </reference>
        </references>
      </pivotArea>
    </format>
    <format dxfId="2863">
      <pivotArea dataOnly="0" labelOnly="1" outline="0" fieldPosition="0">
        <references count="7">
          <reference field="3" count="1" selected="0">
            <x v="269"/>
          </reference>
          <reference field="4" count="1" selected="0">
            <x v="1384"/>
          </reference>
          <reference field="11" count="1" selected="0">
            <x v="12"/>
          </reference>
          <reference field="12" count="1">
            <x v="0"/>
          </reference>
          <reference field="14" count="1" selected="0">
            <x v="338"/>
          </reference>
          <reference field="21" count="1" selected="0">
            <x v="29"/>
          </reference>
          <reference field="22" count="1" selected="0">
            <x v="3"/>
          </reference>
        </references>
      </pivotArea>
    </format>
    <format dxfId="2862">
      <pivotArea dataOnly="0" labelOnly="1" outline="0" fieldPosition="0">
        <references count="7">
          <reference field="3" count="1" selected="0">
            <x v="276"/>
          </reference>
          <reference field="4" count="1" selected="0">
            <x v="1531"/>
          </reference>
          <reference field="11" count="1" selected="0">
            <x v="11"/>
          </reference>
          <reference field="12" count="1">
            <x v="31"/>
          </reference>
          <reference field="14" count="1" selected="0">
            <x v="279"/>
          </reference>
          <reference field="21" count="1" selected="0">
            <x v="27"/>
          </reference>
          <reference field="22" count="1" selected="0">
            <x v="3"/>
          </reference>
        </references>
      </pivotArea>
    </format>
    <format dxfId="2861">
      <pivotArea dataOnly="0" labelOnly="1" outline="0" fieldPosition="0">
        <references count="7">
          <reference field="3" count="1" selected="0">
            <x v="292"/>
          </reference>
          <reference field="4" count="1" selected="0">
            <x v="506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981"/>
          </reference>
          <reference field="21" count="1" selected="0">
            <x v="32"/>
          </reference>
          <reference field="22" count="1" selected="0">
            <x v="4"/>
          </reference>
        </references>
      </pivotArea>
    </format>
    <format dxfId="2860">
      <pivotArea dataOnly="0" labelOnly="1" outline="0" fieldPosition="0">
        <references count="7">
          <reference field="3" count="1" selected="0">
            <x v="356"/>
          </reference>
          <reference field="4" count="1" selected="0">
            <x v="848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428"/>
          </reference>
          <reference field="21" count="1" selected="0">
            <x v="26"/>
          </reference>
          <reference field="22" count="1" selected="0">
            <x v="3"/>
          </reference>
        </references>
      </pivotArea>
    </format>
    <format dxfId="2859">
      <pivotArea dataOnly="0" labelOnly="1" outline="0" fieldPosition="0">
        <references count="7">
          <reference field="3" count="1" selected="0">
            <x v="375"/>
          </reference>
          <reference field="4" count="1" selected="0">
            <x v="1105"/>
          </reference>
          <reference field="11" count="1" selected="0">
            <x v="11"/>
          </reference>
          <reference field="12" count="1">
            <x v="1"/>
          </reference>
          <reference field="14" count="1" selected="0">
            <x v="129"/>
          </reference>
          <reference field="21" count="1" selected="0">
            <x v="25"/>
          </reference>
          <reference field="22" count="1" selected="0">
            <x v="3"/>
          </reference>
        </references>
      </pivotArea>
    </format>
    <format dxfId="2858">
      <pivotArea dataOnly="0" labelOnly="1" outline="0" fieldPosition="0">
        <references count="7">
          <reference field="3" count="1" selected="0">
            <x v="398"/>
          </reference>
          <reference field="4" count="1" selected="0">
            <x v="645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500"/>
          </reference>
          <reference field="21" count="1" selected="0">
            <x v="24"/>
          </reference>
          <reference field="22" count="1" selected="0">
            <x v="3"/>
          </reference>
        </references>
      </pivotArea>
    </format>
    <format dxfId="2857">
      <pivotArea dataOnly="0" labelOnly="1" outline="0" fieldPosition="0">
        <references count="7">
          <reference field="3" count="1" selected="0">
            <x v="458"/>
          </reference>
          <reference field="4" count="1" selected="0">
            <x v="816"/>
          </reference>
          <reference field="11" count="1" selected="0">
            <x v="12"/>
          </reference>
          <reference field="12" count="1">
            <x v="0"/>
          </reference>
          <reference field="14" count="1" selected="0">
            <x v="402"/>
          </reference>
          <reference field="21" count="1" selected="0">
            <x v="23"/>
          </reference>
          <reference field="22" count="1" selected="0">
            <x v="3"/>
          </reference>
        </references>
      </pivotArea>
    </format>
    <format dxfId="2856">
      <pivotArea dataOnly="0" labelOnly="1" outline="0" fieldPosition="0">
        <references count="7">
          <reference field="3" count="1" selected="0">
            <x v="460"/>
          </reference>
          <reference field="4" count="1" selected="0">
            <x v="1877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373"/>
          </reference>
          <reference field="21" count="1" selected="0">
            <x v="23"/>
          </reference>
          <reference field="22" count="1" selected="0">
            <x v="3"/>
          </reference>
        </references>
      </pivotArea>
    </format>
    <format dxfId="2855">
      <pivotArea dataOnly="0" labelOnly="1" outline="0" fieldPosition="0">
        <references count="7">
          <reference field="3" count="1" selected="0">
            <x v="480"/>
          </reference>
          <reference field="4" count="1" selected="0">
            <x v="207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119"/>
          </reference>
          <reference field="21" count="1" selected="0">
            <x v="16"/>
          </reference>
          <reference field="22" count="1" selected="0">
            <x v="2"/>
          </reference>
        </references>
      </pivotArea>
    </format>
    <format dxfId="2854">
      <pivotArea dataOnly="0" labelOnly="1" outline="0" fieldPosition="0">
        <references count="7">
          <reference field="3" count="1" selected="0">
            <x v="481"/>
          </reference>
          <reference field="4" count="1" selected="0">
            <x v="1197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757"/>
          </reference>
          <reference field="21" count="1" selected="0">
            <x v="17"/>
          </reference>
          <reference field="22" count="1" selected="0">
            <x v="2"/>
          </reference>
        </references>
      </pivotArea>
    </format>
    <format dxfId="2853">
      <pivotArea dataOnly="0" labelOnly="1" outline="0" fieldPosition="0">
        <references count="7">
          <reference field="3" count="1" selected="0">
            <x v="535"/>
          </reference>
          <reference field="4" count="1" selected="0">
            <x v="92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689"/>
          </reference>
          <reference field="21" count="1" selected="0">
            <x v="23"/>
          </reference>
          <reference field="22" count="1" selected="0">
            <x v="3"/>
          </reference>
        </references>
      </pivotArea>
    </format>
    <format dxfId="2852">
      <pivotArea dataOnly="0" labelOnly="1" outline="0" fieldPosition="0">
        <references count="7">
          <reference field="3" count="1" selected="0">
            <x v="541"/>
          </reference>
          <reference field="4" count="1" selected="0">
            <x v="1465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189"/>
          </reference>
          <reference field="21" count="1" selected="0">
            <x v="21"/>
          </reference>
          <reference field="22" count="1" selected="0">
            <x v="2"/>
          </reference>
        </references>
      </pivotArea>
    </format>
    <format dxfId="2851">
      <pivotArea dataOnly="0" labelOnly="1" outline="0" fieldPosition="0">
        <references count="7">
          <reference field="3" count="1" selected="0">
            <x v="558"/>
          </reference>
          <reference field="4" count="1" selected="0">
            <x v="2153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854"/>
          </reference>
          <reference field="21" count="1" selected="0">
            <x v="21"/>
          </reference>
          <reference field="22" count="1" selected="0">
            <x v="2"/>
          </reference>
        </references>
      </pivotArea>
    </format>
    <format dxfId="2850">
      <pivotArea dataOnly="0" labelOnly="1" outline="0" fieldPosition="0">
        <references count="7">
          <reference field="3" count="1" selected="0">
            <x v="599"/>
          </reference>
          <reference field="4" count="1" selected="0">
            <x v="1884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916"/>
          </reference>
          <reference field="21" count="1" selected="0">
            <x v="22"/>
          </reference>
          <reference field="22" count="1" selected="0">
            <x v="2"/>
          </reference>
        </references>
      </pivotArea>
    </format>
    <format dxfId="2849">
      <pivotArea dataOnly="0" labelOnly="1" outline="0" fieldPosition="0">
        <references count="7">
          <reference field="3" count="1" selected="0">
            <x v="683"/>
          </reference>
          <reference field="4" count="1" selected="0">
            <x v="865"/>
          </reference>
          <reference field="11" count="1" selected="0">
            <x v="12"/>
          </reference>
          <reference field="12" count="1">
            <x v="0"/>
          </reference>
          <reference field="14" count="1" selected="0">
            <x v="365"/>
          </reference>
          <reference field="21" count="1" selected="0">
            <x v="20"/>
          </reference>
          <reference field="22" count="1" selected="0">
            <x v="2"/>
          </reference>
        </references>
      </pivotArea>
    </format>
    <format dxfId="2848">
      <pivotArea dataOnly="0" labelOnly="1" outline="0" fieldPosition="0">
        <references count="7">
          <reference field="3" count="1" selected="0">
            <x v="695"/>
          </reference>
          <reference field="4" count="1" selected="0">
            <x v="972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721"/>
          </reference>
          <reference field="21" count="1" selected="0">
            <x v="19"/>
          </reference>
          <reference field="22" count="1" selected="0">
            <x v="2"/>
          </reference>
        </references>
      </pivotArea>
    </format>
    <format dxfId="2847">
      <pivotArea dataOnly="0" labelOnly="1" outline="0" fieldPosition="0">
        <references count="7">
          <reference field="3" count="1" selected="0">
            <x v="745"/>
          </reference>
          <reference field="4" count="1" selected="0">
            <x v="1248"/>
          </reference>
          <reference field="11" count="1" selected="0">
            <x v="12"/>
          </reference>
          <reference field="12" count="1">
            <x v="12"/>
          </reference>
          <reference field="14" count="1" selected="0">
            <x v="876"/>
          </reference>
          <reference field="21" count="1" selected="0">
            <x v="18"/>
          </reference>
          <reference field="22" count="1" selected="0">
            <x v="2"/>
          </reference>
        </references>
      </pivotArea>
    </format>
    <format dxfId="2846">
      <pivotArea dataOnly="0" labelOnly="1" outline="0" fieldPosition="0">
        <references count="7">
          <reference field="3" count="1" selected="0">
            <x v="756"/>
          </reference>
          <reference field="4" count="1" selected="0">
            <x v="762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99"/>
          </reference>
          <reference field="21" count="1" selected="0">
            <x v="19"/>
          </reference>
          <reference field="22" count="1" selected="0">
            <x v="2"/>
          </reference>
        </references>
      </pivotArea>
    </format>
    <format dxfId="2845">
      <pivotArea dataOnly="0" labelOnly="1" outline="0" fieldPosition="0">
        <references count="7">
          <reference field="3" count="1" selected="0">
            <x v="759"/>
          </reference>
          <reference field="4" count="1" selected="0">
            <x v="154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107"/>
          </reference>
          <reference field="21" count="1" selected="0">
            <x v="18"/>
          </reference>
          <reference field="22" count="1" selected="0">
            <x v="2"/>
          </reference>
        </references>
      </pivotArea>
    </format>
    <format dxfId="2844">
      <pivotArea dataOnly="0" labelOnly="1" outline="0" fieldPosition="0">
        <references count="7">
          <reference field="3" count="1" selected="0">
            <x v="774"/>
          </reference>
          <reference field="4" count="1" selected="0">
            <x v="458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468"/>
          </reference>
          <reference field="21" count="1" selected="0">
            <x v="17"/>
          </reference>
          <reference field="22" count="1" selected="0">
            <x v="2"/>
          </reference>
        </references>
      </pivotArea>
    </format>
    <format dxfId="2843">
      <pivotArea dataOnly="0" labelOnly="1" outline="0" fieldPosition="0">
        <references count="7">
          <reference field="3" count="1" selected="0">
            <x v="782"/>
          </reference>
          <reference field="4" count="1" selected="0">
            <x v="1729"/>
          </reference>
          <reference field="11" count="1" selected="0">
            <x v="11"/>
          </reference>
          <reference field="12" count="1">
            <x v="31"/>
          </reference>
          <reference field="14" count="1" selected="0">
            <x v="263"/>
          </reference>
          <reference field="21" count="1" selected="0">
            <x v="17"/>
          </reference>
          <reference field="22" count="1" selected="0">
            <x v="2"/>
          </reference>
        </references>
      </pivotArea>
    </format>
    <format dxfId="2842">
      <pivotArea dataOnly="0" labelOnly="1" outline="0" fieldPosition="0">
        <references count="7">
          <reference field="3" count="1" selected="0">
            <x v="809"/>
          </reference>
          <reference field="4" count="1" selected="0">
            <x v="1297"/>
          </reference>
          <reference field="11" count="1" selected="0">
            <x v="12"/>
          </reference>
          <reference field="12" count="1">
            <x v="0"/>
          </reference>
          <reference field="14" count="1" selected="0">
            <x v="116"/>
          </reference>
          <reference field="21" count="1" selected="0">
            <x v="17"/>
          </reference>
          <reference field="22" count="1" selected="0">
            <x v="2"/>
          </reference>
        </references>
      </pivotArea>
    </format>
    <format dxfId="2841">
      <pivotArea dataOnly="0" labelOnly="1" outline="0" fieldPosition="0">
        <references count="7">
          <reference field="3" count="1" selected="0">
            <x v="839"/>
          </reference>
          <reference field="4" count="1" selected="0">
            <x v="1422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219"/>
          </reference>
          <reference field="21" count="1" selected="0">
            <x v="17"/>
          </reference>
          <reference field="22" count="1" selected="0">
            <x v="2"/>
          </reference>
        </references>
      </pivotArea>
    </format>
    <format dxfId="2840">
      <pivotArea dataOnly="0" labelOnly="1" outline="0" fieldPosition="0">
        <references count="7">
          <reference field="3" count="1" selected="0">
            <x v="881"/>
          </reference>
          <reference field="4" count="1" selected="0">
            <x v="514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291"/>
          </reference>
          <reference field="21" count="1" selected="0">
            <x v="16"/>
          </reference>
          <reference field="22" count="1" selected="0">
            <x v="2"/>
          </reference>
        </references>
      </pivotArea>
    </format>
    <format dxfId="2839">
      <pivotArea dataOnly="0" labelOnly="1" outline="0" fieldPosition="0">
        <references count="7">
          <reference field="3" count="1" selected="0">
            <x v="913"/>
          </reference>
          <reference field="4" count="1" selected="0">
            <x v="983"/>
          </reference>
          <reference field="11" count="1" selected="0">
            <x v="12"/>
          </reference>
          <reference field="12" count="1">
            <x v="0"/>
          </reference>
          <reference field="14" count="1" selected="0">
            <x v="813"/>
          </reference>
          <reference field="21" count="1" selected="0">
            <x v="15"/>
          </reference>
          <reference field="22" count="1" selected="0">
            <x v="2"/>
          </reference>
        </references>
      </pivotArea>
    </format>
    <format dxfId="2838">
      <pivotArea dataOnly="0" labelOnly="1" outline="0" fieldPosition="0">
        <references count="7">
          <reference field="3" count="1" selected="0">
            <x v="948"/>
          </reference>
          <reference field="4" count="1" selected="0">
            <x v="1728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197"/>
          </reference>
          <reference field="21" count="1" selected="0">
            <x v="15"/>
          </reference>
          <reference field="22" count="1" selected="0">
            <x v="2"/>
          </reference>
        </references>
      </pivotArea>
    </format>
    <format dxfId="2837">
      <pivotArea dataOnly="0" labelOnly="1" outline="0" fieldPosition="0">
        <references count="7">
          <reference field="3" count="1" selected="0">
            <x v="971"/>
          </reference>
          <reference field="4" count="1" selected="0">
            <x v="676"/>
          </reference>
          <reference field="11" count="1" selected="0">
            <x v="12"/>
          </reference>
          <reference field="12" count="1">
            <x v="0"/>
          </reference>
          <reference field="14" count="1" selected="0">
            <x v="180"/>
          </reference>
          <reference field="21" count="1" selected="0">
            <x v="14"/>
          </reference>
          <reference field="22" count="1" selected="0">
            <x v="2"/>
          </reference>
        </references>
      </pivotArea>
    </format>
    <format dxfId="2836">
      <pivotArea dataOnly="0" labelOnly="1" outline="0" fieldPosition="0">
        <references count="7">
          <reference field="3" count="1" selected="0">
            <x v="997"/>
          </reference>
          <reference field="4" count="1" selected="0">
            <x v="326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867"/>
          </reference>
          <reference field="21" count="1" selected="0">
            <x v="13"/>
          </reference>
          <reference field="22" count="1" selected="0">
            <x v="1"/>
          </reference>
        </references>
      </pivotArea>
    </format>
    <format dxfId="2835">
      <pivotArea dataOnly="0" labelOnly="1" outline="0" fieldPosition="0">
        <references count="7">
          <reference field="3" count="1" selected="0">
            <x v="1003"/>
          </reference>
          <reference field="4" count="1" selected="0">
            <x v="185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899"/>
          </reference>
          <reference field="21" count="1" selected="0">
            <x v="14"/>
          </reference>
          <reference field="22" count="1" selected="0">
            <x v="2"/>
          </reference>
        </references>
      </pivotArea>
    </format>
    <format dxfId="2834">
      <pivotArea dataOnly="0" labelOnly="1" outline="0" fieldPosition="0">
        <references count="7">
          <reference field="3" count="1" selected="0">
            <x v="1011"/>
          </reference>
          <reference field="4" count="1" selected="0">
            <x v="976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162"/>
          </reference>
          <reference field="21" count="1" selected="0">
            <x v="15"/>
          </reference>
          <reference field="22" count="1" selected="0">
            <x v="2"/>
          </reference>
        </references>
      </pivotArea>
    </format>
    <format dxfId="2833">
      <pivotArea dataOnly="0" labelOnly="1" outline="0" fieldPosition="0">
        <references count="7">
          <reference field="3" count="1" selected="0">
            <x v="1066"/>
          </reference>
          <reference field="4" count="1" selected="0">
            <x v="2246"/>
          </reference>
          <reference field="11" count="1" selected="0">
            <x v="12"/>
          </reference>
          <reference field="12" count="1">
            <x v="0"/>
          </reference>
          <reference field="14" count="1" selected="0">
            <x v="535"/>
          </reference>
          <reference field="21" count="1" selected="0">
            <x v="14"/>
          </reference>
          <reference field="22" count="1" selected="0">
            <x v="2"/>
          </reference>
        </references>
      </pivotArea>
    </format>
    <format dxfId="2832">
      <pivotArea dataOnly="0" labelOnly="1" outline="0" fieldPosition="0">
        <references count="7">
          <reference field="3" count="1" selected="0">
            <x v="1069"/>
          </reference>
          <reference field="4" count="1" selected="0">
            <x v="710"/>
          </reference>
          <reference field="11" count="1" selected="0">
            <x v="11"/>
          </reference>
          <reference field="12" count="1">
            <x v="1"/>
          </reference>
          <reference field="14" count="1" selected="0">
            <x v="635"/>
          </reference>
          <reference field="21" count="1" selected="0">
            <x v="12"/>
          </reference>
          <reference field="22" count="1" selected="0">
            <x v="1"/>
          </reference>
        </references>
      </pivotArea>
    </format>
    <format dxfId="2831">
      <pivotArea dataOnly="0" labelOnly="1" outline="0" fieldPosition="0">
        <references count="7">
          <reference field="3" count="1" selected="0">
            <x v="1113"/>
          </reference>
          <reference field="4" count="1" selected="0">
            <x v="2474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974"/>
          </reference>
          <reference field="21" count="1" selected="0">
            <x v="11"/>
          </reference>
          <reference field="22" count="1" selected="0">
            <x v="1"/>
          </reference>
        </references>
      </pivotArea>
    </format>
    <format dxfId="2830">
      <pivotArea dataOnly="0" labelOnly="1" outline="0" fieldPosition="0">
        <references count="7">
          <reference field="3" count="1" selected="0">
            <x v="1189"/>
          </reference>
          <reference field="4" count="1" selected="0">
            <x v="734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643"/>
          </reference>
          <reference field="21" count="1" selected="0">
            <x v="10"/>
          </reference>
          <reference field="22" count="1" selected="0">
            <x v="1"/>
          </reference>
        </references>
      </pivotArea>
    </format>
    <format dxfId="2829">
      <pivotArea dataOnly="0" labelOnly="1" outline="0" fieldPosition="0">
        <references count="7">
          <reference field="3" count="1" selected="0">
            <x v="1196"/>
          </reference>
          <reference field="4" count="1" selected="0">
            <x v="701"/>
          </reference>
          <reference field="11" count="1" selected="0">
            <x v="11"/>
          </reference>
          <reference field="12" count="1">
            <x v="31"/>
          </reference>
          <reference field="14" count="1" selected="0">
            <x v="875"/>
          </reference>
          <reference field="21" count="1" selected="0">
            <x v="3"/>
          </reference>
          <reference field="22" count="1" selected="0">
            <x v="0"/>
          </reference>
        </references>
      </pivotArea>
    </format>
    <format dxfId="2828">
      <pivotArea dataOnly="0" labelOnly="1" outline="0" fieldPosition="0">
        <references count="7">
          <reference field="3" count="1" selected="0">
            <x v="1198"/>
          </reference>
          <reference field="4" count="1" selected="0">
            <x v="22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547"/>
          </reference>
          <reference field="21" count="1" selected="0">
            <x v="14"/>
          </reference>
          <reference field="22" count="1" selected="0">
            <x v="2"/>
          </reference>
        </references>
      </pivotArea>
    </format>
    <format dxfId="2827">
      <pivotArea dataOnly="0" labelOnly="1" outline="0" fieldPosition="0">
        <references count="7">
          <reference field="3" count="1" selected="0">
            <x v="1261"/>
          </reference>
          <reference field="4" count="1" selected="0">
            <x v="914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423"/>
          </reference>
          <reference field="21" count="1" selected="0">
            <x v="10"/>
          </reference>
          <reference field="22" count="1" selected="0">
            <x v="1"/>
          </reference>
        </references>
      </pivotArea>
    </format>
    <format dxfId="2826">
      <pivotArea dataOnly="0" labelOnly="1" outline="0" fieldPosition="0">
        <references count="7">
          <reference field="3" count="1" selected="0">
            <x v="1262"/>
          </reference>
          <reference field="4" count="1" selected="0">
            <x v="1155"/>
          </reference>
          <reference field="11" count="1" selected="0">
            <x v="12"/>
          </reference>
          <reference field="12" count="1">
            <x v="19"/>
          </reference>
          <reference field="14" count="1" selected="0">
            <x v="876"/>
          </reference>
          <reference field="21" count="1" selected="0">
            <x v="4"/>
          </reference>
          <reference field="22" count="1" selected="0">
            <x v="0"/>
          </reference>
        </references>
      </pivotArea>
    </format>
    <format dxfId="2825">
      <pivotArea dataOnly="0" labelOnly="1" outline="0" fieldPosition="0">
        <references count="7">
          <reference field="3" count="1" selected="0">
            <x v="1285"/>
          </reference>
          <reference field="4" count="1" selected="0">
            <x v="820"/>
          </reference>
          <reference field="11" count="1" selected="0">
            <x v="12"/>
          </reference>
          <reference field="12" count="1">
            <x v="0"/>
          </reference>
          <reference field="14" count="1" selected="0">
            <x v="780"/>
          </reference>
          <reference field="21" count="1" selected="0">
            <x v="10"/>
          </reference>
          <reference field="22" count="1" selected="0">
            <x v="1"/>
          </reference>
        </references>
      </pivotArea>
    </format>
    <format dxfId="2824">
      <pivotArea dataOnly="0" labelOnly="1" outline="0" fieldPosition="0">
        <references count="7">
          <reference field="3" count="1" selected="0">
            <x v="1343"/>
          </reference>
          <reference field="4" count="1" selected="0">
            <x v="798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745"/>
          </reference>
          <reference field="21" count="1" selected="0">
            <x v="5"/>
          </reference>
          <reference field="22" count="1" selected="0">
            <x v="0"/>
          </reference>
        </references>
      </pivotArea>
    </format>
    <format dxfId="2823">
      <pivotArea dataOnly="0" labelOnly="1" outline="0" fieldPosition="0">
        <references count="7">
          <reference field="3" count="1" selected="0">
            <x v="1353"/>
          </reference>
          <reference field="4" count="1" selected="0">
            <x v="1359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474"/>
          </reference>
          <reference field="21" count="1" selected="0">
            <x v="8"/>
          </reference>
          <reference field="22" count="1" selected="0">
            <x v="1"/>
          </reference>
        </references>
      </pivotArea>
    </format>
    <format dxfId="2822">
      <pivotArea dataOnly="0" labelOnly="1" outline="0" fieldPosition="0">
        <references count="7">
          <reference field="3" count="1" selected="0">
            <x v="1391"/>
          </reference>
          <reference field="4" count="1" selected="0">
            <x v="693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260"/>
          </reference>
          <reference field="21" count="1" selected="0">
            <x v="12"/>
          </reference>
          <reference field="22" count="1" selected="0">
            <x v="1"/>
          </reference>
        </references>
      </pivotArea>
    </format>
    <format dxfId="2821">
      <pivotArea dataOnly="0" labelOnly="1" outline="0" fieldPosition="0">
        <references count="7">
          <reference field="3" count="1" selected="0">
            <x v="1415"/>
          </reference>
          <reference field="4" count="1" selected="0">
            <x v="7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899"/>
          </reference>
          <reference field="21" count="1" selected="0">
            <x v="11"/>
          </reference>
          <reference field="22" count="1" selected="0">
            <x v="1"/>
          </reference>
        </references>
      </pivotArea>
    </format>
    <format dxfId="2820">
      <pivotArea dataOnly="0" labelOnly="1" outline="0" fieldPosition="0">
        <references count="7">
          <reference field="3" count="1" selected="0">
            <x v="1449"/>
          </reference>
          <reference field="4" count="1" selected="0">
            <x v="18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871"/>
          </reference>
          <reference field="21" count="1" selected="0">
            <x v="8"/>
          </reference>
          <reference field="22" count="1" selected="0">
            <x v="1"/>
          </reference>
        </references>
      </pivotArea>
    </format>
    <format dxfId="2819">
      <pivotArea dataOnly="0" labelOnly="1" outline="0" fieldPosition="0">
        <references count="7">
          <reference field="3" count="1" selected="0">
            <x v="1452"/>
          </reference>
          <reference field="4" count="1" selected="0">
            <x v="1112"/>
          </reference>
          <reference field="11" count="1" selected="0">
            <x v="12"/>
          </reference>
          <reference field="12" count="1">
            <x v="7"/>
          </reference>
          <reference field="14" count="1" selected="0">
            <x v="794"/>
          </reference>
          <reference field="21" count="1" selected="0">
            <x v="13"/>
          </reference>
          <reference field="22" count="1" selected="0">
            <x v="1"/>
          </reference>
        </references>
      </pivotArea>
    </format>
    <format dxfId="2818">
      <pivotArea dataOnly="0" labelOnly="1" outline="0" fieldPosition="0">
        <references count="7">
          <reference field="3" count="1" selected="0">
            <x v="1482"/>
          </reference>
          <reference field="4" count="1" selected="0">
            <x v="2109"/>
          </reference>
          <reference field="11" count="1" selected="0">
            <x v="12"/>
          </reference>
          <reference field="12" count="1">
            <x v="0"/>
          </reference>
          <reference field="14" count="1" selected="0">
            <x v="346"/>
          </reference>
          <reference field="21" count="1" selected="0">
            <x v="6"/>
          </reference>
          <reference field="22" count="1" selected="0">
            <x v="1"/>
          </reference>
        </references>
      </pivotArea>
    </format>
    <format dxfId="2817">
      <pivotArea dataOnly="0" labelOnly="1" outline="0" fieldPosition="0">
        <references count="7">
          <reference field="3" count="1" selected="0">
            <x v="1534"/>
          </reference>
          <reference field="4" count="1" selected="0">
            <x v="2528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394"/>
          </reference>
          <reference field="21" count="1" selected="0">
            <x v="8"/>
          </reference>
          <reference field="22" count="1" selected="0">
            <x v="1"/>
          </reference>
        </references>
      </pivotArea>
    </format>
    <format dxfId="2816">
      <pivotArea dataOnly="0" labelOnly="1" outline="0" fieldPosition="0">
        <references count="7">
          <reference field="3" count="1" selected="0">
            <x v="1564"/>
          </reference>
          <reference field="4" count="1" selected="0">
            <x v="1062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855"/>
          </reference>
          <reference field="21" count="1" selected="0">
            <x v="4"/>
          </reference>
          <reference field="22" count="1" selected="0">
            <x v="0"/>
          </reference>
        </references>
      </pivotArea>
    </format>
    <format dxfId="2815">
      <pivotArea dataOnly="0" labelOnly="1" outline="0" fieldPosition="0">
        <references count="7">
          <reference field="3" count="1" selected="0">
            <x v="1626"/>
          </reference>
          <reference field="4" count="1" selected="0">
            <x v="2472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974"/>
          </reference>
          <reference field="21" count="1" selected="0">
            <x v="7"/>
          </reference>
          <reference field="22" count="1" selected="0">
            <x v="1"/>
          </reference>
        </references>
      </pivotArea>
    </format>
    <format dxfId="2814">
      <pivotArea dataOnly="0" labelOnly="1" outline="0" fieldPosition="0">
        <references count="7">
          <reference field="3" count="1" selected="0">
            <x v="1687"/>
          </reference>
          <reference field="4" count="1" selected="0">
            <x v="765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849"/>
          </reference>
          <reference field="21" count="1" selected="0">
            <x v="3"/>
          </reference>
          <reference field="22" count="1" selected="0">
            <x v="0"/>
          </reference>
        </references>
      </pivotArea>
    </format>
    <format dxfId="2813">
      <pivotArea dataOnly="0" labelOnly="1" outline="0" fieldPosition="0">
        <references count="7">
          <reference field="3" count="1" selected="0">
            <x v="1712"/>
          </reference>
          <reference field="4" count="1" selected="0">
            <x v="1023"/>
          </reference>
          <reference field="11" count="1" selected="0">
            <x v="12"/>
          </reference>
          <reference field="12" count="1">
            <x v="0"/>
          </reference>
          <reference field="14" count="1" selected="0">
            <x v="346"/>
          </reference>
          <reference field="21" count="1" selected="0">
            <x v="33"/>
          </reference>
          <reference field="22" count="1" selected="0">
            <x v="4"/>
          </reference>
        </references>
      </pivotArea>
    </format>
    <format dxfId="2812">
      <pivotArea dataOnly="0" labelOnly="1" outline="0" fieldPosition="0">
        <references count="7">
          <reference field="3" count="1" selected="0">
            <x v="1715"/>
          </reference>
          <reference field="4" count="1" selected="0">
            <x v="305"/>
          </reference>
          <reference field="11" count="1" selected="0">
            <x v="11"/>
          </reference>
          <reference field="12" count="1">
            <x v="31"/>
          </reference>
          <reference field="14" count="1" selected="0">
            <x v="276"/>
          </reference>
          <reference field="21" count="1" selected="0">
            <x v="29"/>
          </reference>
          <reference field="22" count="1" selected="0">
            <x v="3"/>
          </reference>
        </references>
      </pivotArea>
    </format>
    <format dxfId="2811">
      <pivotArea dataOnly="0" labelOnly="1" outline="0" fieldPosition="0">
        <references count="7">
          <reference field="3" count="1" selected="0">
            <x v="1717"/>
          </reference>
          <reference field="4" count="1" selected="0">
            <x v="1500"/>
          </reference>
          <reference field="11" count="1" selected="0">
            <x v="12"/>
          </reference>
          <reference field="12" count="1">
            <x v="1"/>
          </reference>
          <reference field="14" count="1" selected="0">
            <x v="144"/>
          </reference>
          <reference field="21" count="1" selected="0">
            <x v="8"/>
          </reference>
          <reference field="22" count="1" selected="0">
            <x v="1"/>
          </reference>
        </references>
      </pivotArea>
    </format>
    <format dxfId="2810">
      <pivotArea dataOnly="0" labelOnly="1" outline="0" fieldPosition="0">
        <references count="7">
          <reference field="3" count="1" selected="0">
            <x v="1720"/>
          </reference>
          <reference field="4" count="1" selected="0">
            <x v="662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981"/>
          </reference>
          <reference field="21" count="1" selected="0">
            <x v="27"/>
          </reference>
          <reference field="22" count="1" selected="0">
            <x v="3"/>
          </reference>
        </references>
      </pivotArea>
    </format>
    <format dxfId="2809">
      <pivotArea dataOnly="0" labelOnly="1" outline="0" fieldPosition="0">
        <references count="7">
          <reference field="3" count="1" selected="0">
            <x v="1761"/>
          </reference>
          <reference field="4" count="1" selected="0">
            <x v="133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293"/>
          </reference>
          <reference field="21" count="1" selected="0">
            <x v="17"/>
          </reference>
          <reference field="22" count="1" selected="0">
            <x v="2"/>
          </reference>
        </references>
      </pivotArea>
    </format>
    <format dxfId="2808">
      <pivotArea dataOnly="0" labelOnly="1" outline="0" fieldPosition="0">
        <references count="7">
          <reference field="3" count="1" selected="0">
            <x v="1853"/>
          </reference>
          <reference field="4" count="1" selected="0">
            <x v="1578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928"/>
          </reference>
          <reference field="21" count="1" selected="0">
            <x v="3"/>
          </reference>
          <reference field="22" count="1" selected="0">
            <x v="0"/>
          </reference>
        </references>
      </pivotArea>
    </format>
    <format dxfId="2807">
      <pivotArea dataOnly="0" labelOnly="1" outline="0" fieldPosition="0">
        <references count="7">
          <reference field="3" count="1" selected="0">
            <x v="1937"/>
          </reference>
          <reference field="4" count="1" selected="0">
            <x v="1719"/>
          </reference>
          <reference field="11" count="1" selected="0">
            <x v="12"/>
          </reference>
          <reference field="12" count="1">
            <x v="0"/>
          </reference>
          <reference field="14" count="1" selected="0">
            <x v="926"/>
          </reference>
          <reference field="21" count="1" selected="0">
            <x v="28"/>
          </reference>
          <reference field="22" count="1" selected="0">
            <x v="3"/>
          </reference>
        </references>
      </pivotArea>
    </format>
    <format dxfId="2806">
      <pivotArea dataOnly="0" labelOnly="1" outline="0" fieldPosition="0">
        <references count="7">
          <reference field="3" count="1" selected="0">
            <x v="2040"/>
          </reference>
          <reference field="4" count="1" selected="0">
            <x v="1912"/>
          </reference>
          <reference field="11" count="1" selected="0">
            <x v="12"/>
          </reference>
          <reference field="12" count="1">
            <x v="0"/>
          </reference>
          <reference field="14" count="1" selected="0">
            <x v="853"/>
          </reference>
          <reference field="21" count="1" selected="0">
            <x v="6"/>
          </reference>
          <reference field="22" count="1" selected="0">
            <x v="1"/>
          </reference>
        </references>
      </pivotArea>
    </format>
    <format dxfId="2805">
      <pivotArea dataOnly="0" labelOnly="1" outline="0" fieldPosition="0">
        <references count="7">
          <reference field="3" count="1" selected="0">
            <x v="2106"/>
          </reference>
          <reference field="4" count="1" selected="0">
            <x v="2169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966"/>
          </reference>
          <reference field="21" count="1" selected="0">
            <x v="20"/>
          </reference>
          <reference field="22" count="1" selected="0">
            <x v="2"/>
          </reference>
        </references>
      </pivotArea>
    </format>
    <format dxfId="2804">
      <pivotArea dataOnly="0" labelOnly="1" outline="0" fieldPosition="0">
        <references count="8">
          <reference field="3" count="1" selected="0">
            <x v="56"/>
          </reference>
          <reference field="4" count="1" selected="0">
            <x v="135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08"/>
          </reference>
          <reference field="19" count="1">
            <x v="1"/>
          </reference>
          <reference field="21" count="1" selected="0">
            <x v="38"/>
          </reference>
          <reference field="22" count="1" selected="0">
            <x v="4"/>
          </reference>
        </references>
      </pivotArea>
    </format>
    <format dxfId="2803">
      <pivotArea dataOnly="0" labelOnly="1" outline="0" fieldPosition="0">
        <references count="8">
          <reference field="3" count="1" selected="0">
            <x v="81"/>
          </reference>
          <reference field="4" count="1" selected="0">
            <x v="1470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217"/>
          </reference>
          <reference field="19" count="1">
            <x v="0"/>
          </reference>
          <reference field="21" count="1" selected="0">
            <x v="34"/>
          </reference>
          <reference field="22" count="1" selected="0">
            <x v="4"/>
          </reference>
        </references>
      </pivotArea>
    </format>
    <format dxfId="2802">
      <pivotArea dataOnly="0" labelOnly="1" outline="0" fieldPosition="0">
        <references count="8">
          <reference field="3" count="1" selected="0">
            <x v="152"/>
          </reference>
          <reference field="4" count="1" selected="0">
            <x v="832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136"/>
          </reference>
          <reference field="19" count="1">
            <x v="0"/>
          </reference>
          <reference field="21" count="1" selected="0">
            <x v="27"/>
          </reference>
          <reference field="22" count="1" selected="0">
            <x v="3"/>
          </reference>
        </references>
      </pivotArea>
    </format>
    <format dxfId="2801">
      <pivotArea dataOnly="0" labelOnly="1" outline="0" fieldPosition="0">
        <references count="8">
          <reference field="3" count="1" selected="0">
            <x v="189"/>
          </reference>
          <reference field="4" count="1" selected="0">
            <x v="1480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350"/>
          </reference>
          <reference field="19" count="1">
            <x v="0"/>
          </reference>
          <reference field="21" count="1" selected="0">
            <x v="36"/>
          </reference>
          <reference field="22" count="1" selected="0">
            <x v="4"/>
          </reference>
        </references>
      </pivotArea>
    </format>
    <format dxfId="2800">
      <pivotArea dataOnly="0" labelOnly="1" outline="0" fieldPosition="0">
        <references count="8">
          <reference field="3" count="1" selected="0">
            <x v="204"/>
          </reference>
          <reference field="4" count="1" selected="0">
            <x v="106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51"/>
          </reference>
          <reference field="19" count="1">
            <x v="1"/>
          </reference>
          <reference field="21" count="1" selected="0">
            <x v="29"/>
          </reference>
          <reference field="22" count="1" selected="0">
            <x v="3"/>
          </reference>
        </references>
      </pivotArea>
    </format>
    <format dxfId="2799">
      <pivotArea dataOnly="0" labelOnly="1" outline="0" fieldPosition="0">
        <references count="8">
          <reference field="3" count="1" selected="0">
            <x v="206"/>
          </reference>
          <reference field="4" count="1" selected="0">
            <x v="1232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135"/>
          </reference>
          <reference field="19" count="1">
            <x v="0"/>
          </reference>
          <reference field="21" count="1" selected="0">
            <x v="30"/>
          </reference>
          <reference field="22" count="1" selected="0">
            <x v="3"/>
          </reference>
        </references>
      </pivotArea>
    </format>
    <format dxfId="2798">
      <pivotArea dataOnly="0" labelOnly="1" outline="0" fieldPosition="0">
        <references count="8">
          <reference field="3" count="1" selected="0">
            <x v="360"/>
          </reference>
          <reference field="4" count="1" selected="0">
            <x v="1488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755"/>
          </reference>
          <reference field="19" count="1">
            <x v="1"/>
          </reference>
          <reference field="21" count="1" selected="0">
            <x v="37"/>
          </reference>
          <reference field="22" count="1" selected="0">
            <x v="4"/>
          </reference>
        </references>
      </pivotArea>
    </format>
    <format dxfId="2797">
      <pivotArea dataOnly="0" labelOnly="1" outline="0" fieldPosition="0">
        <references count="8">
          <reference field="3" count="1" selected="0">
            <x v="481"/>
          </reference>
          <reference field="4" count="1" selected="0">
            <x v="1197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757"/>
          </reference>
          <reference field="19" count="1">
            <x v="1"/>
          </reference>
          <reference field="21" count="1" selected="0">
            <x v="17"/>
          </reference>
          <reference field="22" count="1" selected="0">
            <x v="2"/>
          </reference>
        </references>
      </pivotArea>
    </format>
    <format dxfId="2796">
      <pivotArea dataOnly="0" labelOnly="1" outline="0" fieldPosition="0">
        <references count="8">
          <reference field="3" count="1" selected="0">
            <x v="492"/>
          </reference>
          <reference field="4" count="1" selected="0">
            <x v="2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3"/>
          </reference>
          <reference field="19" count="1">
            <x v="0"/>
          </reference>
          <reference field="21" count="1" selected="0">
            <x v="25"/>
          </reference>
          <reference field="22" count="1" selected="0">
            <x v="3"/>
          </reference>
        </references>
      </pivotArea>
    </format>
    <format dxfId="2795">
      <pivotArea dataOnly="0" labelOnly="1" outline="0" fieldPosition="0">
        <references count="8">
          <reference field="3" count="1" selected="0">
            <x v="503"/>
          </reference>
          <reference field="4" count="1" selected="0">
            <x v="277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277"/>
          </reference>
          <reference field="19" count="1">
            <x v="0"/>
          </reference>
          <reference field="21" count="1" selected="0">
            <x v="22"/>
          </reference>
          <reference field="22" count="1" selected="0">
            <x v="2"/>
          </reference>
        </references>
      </pivotArea>
    </format>
    <format dxfId="2794">
      <pivotArea dataOnly="0" labelOnly="1" outline="0" fieldPosition="0">
        <references count="8">
          <reference field="3" count="1" selected="0">
            <x v="625"/>
          </reference>
          <reference field="4" count="1" selected="0">
            <x v="1987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52"/>
          </reference>
          <reference field="19" count="1">
            <x v="0"/>
          </reference>
          <reference field="21" count="1" selected="0">
            <x v="25"/>
          </reference>
          <reference field="22" count="1" selected="0">
            <x v="3"/>
          </reference>
        </references>
      </pivotArea>
    </format>
    <format dxfId="2793">
      <pivotArea dataOnly="0" labelOnly="1" outline="0" fieldPosition="0">
        <references count="8">
          <reference field="3" count="1" selected="0">
            <x v="695"/>
          </reference>
          <reference field="4" count="1" selected="0">
            <x v="972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721"/>
          </reference>
          <reference field="19" count="1">
            <x v="1"/>
          </reference>
          <reference field="21" count="1" selected="0">
            <x v="19"/>
          </reference>
          <reference field="22" count="1" selected="0">
            <x v="2"/>
          </reference>
        </references>
      </pivotArea>
    </format>
    <format dxfId="2792">
      <pivotArea dataOnly="0" labelOnly="1" outline="0" fieldPosition="0">
        <references count="8">
          <reference field="3" count="1" selected="0">
            <x v="759"/>
          </reference>
          <reference field="4" count="1" selected="0">
            <x v="154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07"/>
          </reference>
          <reference field="19" count="1">
            <x v="1"/>
          </reference>
          <reference field="21" count="1" selected="0">
            <x v="18"/>
          </reference>
          <reference field="22" count="1" selected="0">
            <x v="2"/>
          </reference>
        </references>
      </pivotArea>
    </format>
    <format dxfId="2791">
      <pivotArea dataOnly="0" labelOnly="1" outline="0" fieldPosition="0">
        <references count="8">
          <reference field="3" count="1" selected="0">
            <x v="774"/>
          </reference>
          <reference field="4" count="1" selected="0">
            <x v="458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468"/>
          </reference>
          <reference field="19" count="1">
            <x v="0"/>
          </reference>
          <reference field="21" count="1" selected="0">
            <x v="17"/>
          </reference>
          <reference field="22" count="1" selected="0">
            <x v="2"/>
          </reference>
        </references>
      </pivotArea>
    </format>
    <format dxfId="2790">
      <pivotArea dataOnly="0" labelOnly="1" outline="0" fieldPosition="0">
        <references count="8">
          <reference field="3" count="1" selected="0">
            <x v="948"/>
          </reference>
          <reference field="4" count="1" selected="0">
            <x v="1728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97"/>
          </reference>
          <reference field="19" count="1">
            <x v="0"/>
          </reference>
          <reference field="21" count="1" selected="0">
            <x v="15"/>
          </reference>
          <reference field="22" count="1" selected="0">
            <x v="2"/>
          </reference>
        </references>
      </pivotArea>
    </format>
    <format dxfId="2789">
      <pivotArea dataOnly="0" labelOnly="1" outline="0" fieldPosition="0">
        <references count="8">
          <reference field="3" count="1" selected="0">
            <x v="997"/>
          </reference>
          <reference field="4" count="1" selected="0">
            <x v="326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867"/>
          </reference>
          <reference field="19" count="1">
            <x v="0"/>
          </reference>
          <reference field="21" count="1" selected="0">
            <x v="13"/>
          </reference>
          <reference field="22" count="1" selected="0">
            <x v="1"/>
          </reference>
        </references>
      </pivotArea>
    </format>
    <format dxfId="2788">
      <pivotArea dataOnly="0" labelOnly="1" outline="0" fieldPosition="0">
        <references count="8">
          <reference field="3" count="1" selected="0">
            <x v="1066"/>
          </reference>
          <reference field="4" count="1" selected="0">
            <x v="2246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535"/>
          </reference>
          <reference field="19" count="1">
            <x v="0"/>
          </reference>
          <reference field="21" count="1" selected="0">
            <x v="14"/>
          </reference>
          <reference field="22" count="1" selected="0">
            <x v="2"/>
          </reference>
        </references>
      </pivotArea>
    </format>
    <format dxfId="2787">
      <pivotArea dataOnly="0" labelOnly="1" outline="0" fieldPosition="0">
        <references count="8">
          <reference field="3" count="1" selected="0">
            <x v="1113"/>
          </reference>
          <reference field="4" count="1" selected="0">
            <x v="2474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74"/>
          </reference>
          <reference field="19" count="1">
            <x v="1"/>
          </reference>
          <reference field="21" count="1" selected="0">
            <x v="11"/>
          </reference>
          <reference field="22" count="1" selected="0">
            <x v="1"/>
          </reference>
        </references>
      </pivotArea>
    </format>
    <format dxfId="2786">
      <pivotArea dataOnly="0" labelOnly="1" outline="0" fieldPosition="0">
        <references count="8">
          <reference field="3" count="1" selected="0">
            <x v="1129"/>
          </reference>
          <reference field="4" count="1" selected="0">
            <x v="344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95"/>
          </reference>
          <reference field="19" count="1">
            <x v="0"/>
          </reference>
          <reference field="21" count="1" selected="0">
            <x v="17"/>
          </reference>
          <reference field="22" count="1" selected="0">
            <x v="2"/>
          </reference>
        </references>
      </pivotArea>
    </format>
    <format dxfId="2785">
      <pivotArea dataOnly="0" labelOnly="1" outline="0" fieldPosition="0">
        <references count="8">
          <reference field="3" count="1" selected="0">
            <x v="1144"/>
          </reference>
          <reference field="4" count="1" selected="0">
            <x v="2484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74"/>
          </reference>
          <reference field="19" count="1">
            <x v="1"/>
          </reference>
          <reference field="21" count="1" selected="0">
            <x v="12"/>
          </reference>
          <reference field="22" count="1" selected="0">
            <x v="1"/>
          </reference>
        </references>
      </pivotArea>
    </format>
    <format dxfId="2784">
      <pivotArea dataOnly="0" labelOnly="1" outline="0" fieldPosition="0">
        <references count="8">
          <reference field="3" count="1" selected="0">
            <x v="1167"/>
          </reference>
          <reference field="4" count="1" selected="0">
            <x v="1177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552"/>
          </reference>
          <reference field="19" count="1">
            <x v="0"/>
          </reference>
          <reference field="21" count="1" selected="0">
            <x v="13"/>
          </reference>
          <reference field="22" count="1" selected="0">
            <x v="1"/>
          </reference>
        </references>
      </pivotArea>
    </format>
    <format dxfId="2783">
      <pivotArea dataOnly="0" labelOnly="1" outline="0" fieldPosition="0">
        <references count="8">
          <reference field="3" count="1" selected="0">
            <x v="1261"/>
          </reference>
          <reference field="4" count="1" selected="0">
            <x v="914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423"/>
          </reference>
          <reference field="19" count="1">
            <x v="0"/>
          </reference>
          <reference field="21" count="1" selected="0">
            <x v="10"/>
          </reference>
          <reference field="22" count="1" selected="0">
            <x v="1"/>
          </reference>
        </references>
      </pivotArea>
    </format>
    <format dxfId="2782">
      <pivotArea dataOnly="0" labelOnly="1" outline="0" fieldPosition="0">
        <references count="8">
          <reference field="3" count="1" selected="0">
            <x v="1427"/>
          </reference>
          <reference field="4" count="1" selected="0">
            <x v="1527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29"/>
          </reference>
          <reference field="19" count="1">
            <x v="1"/>
          </reference>
          <reference field="21" count="1" selected="0">
            <x v="6"/>
          </reference>
          <reference field="22" count="1" selected="0">
            <x v="1"/>
          </reference>
        </references>
      </pivotArea>
    </format>
    <format dxfId="2781">
      <pivotArea dataOnly="0" labelOnly="1" outline="0" fieldPosition="0">
        <references count="8">
          <reference field="3" count="1" selected="0">
            <x v="1435"/>
          </reference>
          <reference field="4" count="1" selected="0">
            <x v="619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751"/>
          </reference>
          <reference field="19" count="1">
            <x v="0"/>
          </reference>
          <reference field="21" count="1" selected="0">
            <x v="10"/>
          </reference>
          <reference field="22" count="1" selected="0">
            <x v="1"/>
          </reference>
        </references>
      </pivotArea>
    </format>
    <format dxfId="2780">
      <pivotArea dataOnly="0" labelOnly="1" outline="0" fieldPosition="0">
        <references count="8">
          <reference field="3" count="1" selected="0">
            <x v="1452"/>
          </reference>
          <reference field="4" count="1" selected="0">
            <x v="1112"/>
          </reference>
          <reference field="11" count="1" selected="0">
            <x v="12"/>
          </reference>
          <reference field="12" count="1" selected="0">
            <x v="7"/>
          </reference>
          <reference field="14" count="1" selected="0">
            <x v="794"/>
          </reference>
          <reference field="19" count="1">
            <x v="1"/>
          </reference>
          <reference field="21" count="1" selected="0">
            <x v="13"/>
          </reference>
          <reference field="22" count="1" selected="0">
            <x v="1"/>
          </reference>
        </references>
      </pivotArea>
    </format>
    <format dxfId="2779">
      <pivotArea dataOnly="0" labelOnly="1" outline="0" fieldPosition="0">
        <references count="8">
          <reference field="3" count="1" selected="0">
            <x v="1482"/>
          </reference>
          <reference field="4" count="1" selected="0">
            <x v="2109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346"/>
          </reference>
          <reference field="19" count="1">
            <x v="0"/>
          </reference>
          <reference field="21" count="1" selected="0">
            <x v="6"/>
          </reference>
          <reference field="22" count="1" selected="0">
            <x v="1"/>
          </reference>
        </references>
      </pivotArea>
    </format>
    <format dxfId="2778">
      <pivotArea dataOnly="0" labelOnly="1" outline="0" fieldPosition="0">
        <references count="8">
          <reference field="3" count="1" selected="0">
            <x v="1626"/>
          </reference>
          <reference field="4" count="1" selected="0">
            <x v="2472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74"/>
          </reference>
          <reference field="19" count="1">
            <x v="1"/>
          </reference>
          <reference field="21" count="1" selected="0">
            <x v="7"/>
          </reference>
          <reference field="22" count="1" selected="0">
            <x v="1"/>
          </reference>
        </references>
      </pivotArea>
    </format>
    <format dxfId="2777">
      <pivotArea dataOnly="0" labelOnly="1" outline="0" fieldPosition="0">
        <references count="8">
          <reference field="3" count="1" selected="0">
            <x v="1645"/>
          </reference>
          <reference field="4" count="1" selected="0">
            <x v="1988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57"/>
          </reference>
          <reference field="19" count="1">
            <x v="0"/>
          </reference>
          <reference field="21" count="1" selected="0">
            <x v="9"/>
          </reference>
          <reference field="22" count="1" selected="0">
            <x v="1"/>
          </reference>
        </references>
      </pivotArea>
    </format>
    <format dxfId="2776">
      <pivotArea dataOnly="0" labelOnly="1" outline="0" fieldPosition="0">
        <references count="8">
          <reference field="3" count="1" selected="0">
            <x v="1712"/>
          </reference>
          <reference field="4" count="1" selected="0">
            <x v="1023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346"/>
          </reference>
          <reference field="19" count="1">
            <x v="0"/>
          </reference>
          <reference field="21" count="1" selected="0">
            <x v="33"/>
          </reference>
          <reference field="22" count="1" selected="0">
            <x v="4"/>
          </reference>
        </references>
      </pivotArea>
    </format>
    <format dxfId="2775">
      <pivotArea dataOnly="0" labelOnly="1" outline="0" fieldPosition="0">
        <references count="8">
          <reference field="3" count="1" selected="0">
            <x v="1750"/>
          </reference>
          <reference field="4" count="1" selected="0">
            <x v="698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417"/>
          </reference>
          <reference field="19" count="1">
            <x v="0"/>
          </reference>
          <reference field="21" count="1" selected="0">
            <x v="23"/>
          </reference>
          <reference field="22" count="1" selected="0">
            <x v="3"/>
          </reference>
        </references>
      </pivotArea>
    </format>
    <format dxfId="2774">
      <pivotArea dataOnly="0" labelOnly="1" outline="0" fieldPosition="0">
        <references count="8">
          <reference field="3" count="1" selected="0">
            <x v="1785"/>
          </reference>
          <reference field="4" count="1" selected="0">
            <x v="121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640"/>
          </reference>
          <reference field="19" count="1">
            <x v="0"/>
          </reference>
          <reference field="21" count="1" selected="0">
            <x v="8"/>
          </reference>
          <reference field="22" count="1" selected="0">
            <x v="1"/>
          </reference>
        </references>
      </pivotArea>
    </format>
    <format dxfId="2773">
      <pivotArea dataOnly="0" labelOnly="1" outline="0" fieldPosition="0">
        <references count="8">
          <reference field="3" count="1" selected="0">
            <x v="1789"/>
          </reference>
          <reference field="4" count="1" selected="0">
            <x v="1458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472"/>
          </reference>
          <reference field="19" count="1">
            <x v="0"/>
          </reference>
          <reference field="21" count="1" selected="0">
            <x v="10"/>
          </reference>
          <reference field="22" count="1" selected="0">
            <x v="1"/>
          </reference>
        </references>
      </pivotArea>
    </format>
    <format dxfId="2772">
      <pivotArea dataOnly="0" labelOnly="1" outline="0" fieldPosition="0">
        <references count="8">
          <reference field="3" count="1" selected="0">
            <x v="1790"/>
          </reference>
          <reference field="4" count="1" selected="0">
            <x v="333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780"/>
          </reference>
          <reference field="19" count="1">
            <x v="0"/>
          </reference>
          <reference field="21" count="1" selected="0">
            <x v="31"/>
          </reference>
          <reference field="22" count="1" selected="0">
            <x v="3"/>
          </reference>
        </references>
      </pivotArea>
    </format>
    <format dxfId="2771">
      <pivotArea dataOnly="0" labelOnly="1" outline="0" fieldPosition="0">
        <references count="8">
          <reference field="3" count="1" selected="0">
            <x v="1851"/>
          </reference>
          <reference field="4" count="1" selected="0">
            <x v="1904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21"/>
          </reference>
          <reference field="19" count="1">
            <x v="0"/>
          </reference>
          <reference field="21" count="1" selected="0">
            <x v="17"/>
          </reference>
          <reference field="22" count="1" selected="0">
            <x v="2"/>
          </reference>
        </references>
      </pivotArea>
    </format>
    <format dxfId="2770">
      <pivotArea dataOnly="0" labelOnly="1" outline="0" fieldPosition="0">
        <references count="8">
          <reference field="3" count="1" selected="0">
            <x v="2122"/>
          </reference>
          <reference field="4" count="1" selected="0">
            <x v="2231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642"/>
          </reference>
          <reference field="19" count="1">
            <x v="0"/>
          </reference>
          <reference field="21" count="1" selected="0">
            <x v="18"/>
          </reference>
          <reference field="22" count="1" selected="0">
            <x v="2"/>
          </reference>
        </references>
      </pivotArea>
    </format>
    <format dxfId="2769">
      <pivotArea dataOnly="0" labelOnly="1" outline="0" fieldPosition="0">
        <references count="9">
          <reference field="3" count="1" selected="0">
            <x v="56"/>
          </reference>
          <reference field="4" count="1" selected="0">
            <x v="135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08"/>
          </reference>
          <reference field="19" count="1" selected="0">
            <x v="1"/>
          </reference>
          <reference field="21" count="1" selected="0">
            <x v="38"/>
          </reference>
          <reference field="22" count="1" selected="0">
            <x v="4"/>
          </reference>
          <reference field="24" count="1">
            <x v="0"/>
          </reference>
        </references>
      </pivotArea>
    </format>
    <format dxfId="2768">
      <pivotArea dataOnly="0" labelOnly="1" outline="0" fieldPosition="0">
        <references count="9">
          <reference field="3" count="1" selected="0">
            <x v="81"/>
          </reference>
          <reference field="4" count="1" selected="0">
            <x v="1470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217"/>
          </reference>
          <reference field="19" count="1" selected="0">
            <x v="0"/>
          </reference>
          <reference field="21" count="1" selected="0">
            <x v="34"/>
          </reference>
          <reference field="22" count="1" selected="0">
            <x v="4"/>
          </reference>
          <reference field="24" count="1">
            <x v="3"/>
          </reference>
        </references>
      </pivotArea>
    </format>
    <format dxfId="2767">
      <pivotArea dataOnly="0" labelOnly="1" outline="0" fieldPosition="0">
        <references count="9">
          <reference field="3" count="1" selected="0">
            <x v="112"/>
          </reference>
          <reference field="4" count="1" selected="0">
            <x v="397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656"/>
          </reference>
          <reference field="19" count="1" selected="0">
            <x v="0"/>
          </reference>
          <reference field="21" count="1" selected="0">
            <x v="29"/>
          </reference>
          <reference field="22" count="1" selected="0">
            <x v="3"/>
          </reference>
          <reference field="24" count="1">
            <x v="0"/>
          </reference>
        </references>
      </pivotArea>
    </format>
    <format dxfId="2766">
      <pivotArea dataOnly="0" labelOnly="1" outline="0" fieldPosition="0">
        <references count="9">
          <reference field="3" count="1" selected="0">
            <x v="122"/>
          </reference>
          <reference field="4" count="1" selected="0">
            <x v="1001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369"/>
          </reference>
          <reference field="19" count="1" selected="0">
            <x v="0"/>
          </reference>
          <reference field="21" count="1" selected="0">
            <x v="29"/>
          </reference>
          <reference field="22" count="1" selected="0">
            <x v="3"/>
          </reference>
          <reference field="24" count="1">
            <x v="7"/>
          </reference>
        </references>
      </pivotArea>
    </format>
    <format dxfId="2765">
      <pivotArea dataOnly="0" labelOnly="1" outline="0" fieldPosition="0">
        <references count="9">
          <reference field="3" count="1" selected="0">
            <x v="152"/>
          </reference>
          <reference field="4" count="1" selected="0">
            <x v="832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136"/>
          </reference>
          <reference field="19" count="1" selected="0">
            <x v="0"/>
          </reference>
          <reference field="21" count="1" selected="0">
            <x v="27"/>
          </reference>
          <reference field="22" count="1" selected="0">
            <x v="3"/>
          </reference>
          <reference field="24" count="1">
            <x v="0"/>
          </reference>
        </references>
      </pivotArea>
    </format>
    <format dxfId="2764">
      <pivotArea dataOnly="0" labelOnly="1" outline="0" fieldPosition="0">
        <references count="9">
          <reference field="3" count="1" selected="0">
            <x v="153"/>
          </reference>
          <reference field="4" count="1" selected="0">
            <x v="792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125"/>
          </reference>
          <reference field="19" count="1" selected="0">
            <x v="0"/>
          </reference>
          <reference field="21" count="1" selected="0">
            <x v="41"/>
          </reference>
          <reference field="22" count="1" selected="0">
            <x v="5"/>
          </reference>
          <reference field="24" count="1">
            <x v="0"/>
          </reference>
        </references>
      </pivotArea>
    </format>
    <format dxfId="2763">
      <pivotArea dataOnly="0" labelOnly="1" outline="0" fieldPosition="0">
        <references count="9">
          <reference field="3" count="1" selected="0">
            <x v="174"/>
          </reference>
          <reference field="4" count="1" selected="0">
            <x v="1363"/>
          </reference>
          <reference field="11" count="1" selected="0">
            <x v="11"/>
          </reference>
          <reference field="12" count="1" selected="0">
            <x v="1"/>
          </reference>
          <reference field="14" count="1" selected="0">
            <x v="412"/>
          </reference>
          <reference field="19" count="1" selected="0">
            <x v="0"/>
          </reference>
          <reference field="21" count="1" selected="0">
            <x v="28"/>
          </reference>
          <reference field="22" count="1" selected="0">
            <x v="3"/>
          </reference>
          <reference field="24" count="1">
            <x v="3"/>
          </reference>
        </references>
      </pivotArea>
    </format>
    <format dxfId="2762">
      <pivotArea dataOnly="0" labelOnly="1" outline="0" fieldPosition="0">
        <references count="9">
          <reference field="3" count="1" selected="0">
            <x v="189"/>
          </reference>
          <reference field="4" count="1" selected="0">
            <x v="1480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350"/>
          </reference>
          <reference field="19" count="1" selected="0">
            <x v="0"/>
          </reference>
          <reference field="21" count="1" selected="0">
            <x v="36"/>
          </reference>
          <reference field="22" count="1" selected="0">
            <x v="4"/>
          </reference>
          <reference field="24" count="1">
            <x v="1"/>
          </reference>
        </references>
      </pivotArea>
    </format>
    <format dxfId="2761">
      <pivotArea dataOnly="0" labelOnly="1" outline="0" fieldPosition="0">
        <references count="9">
          <reference field="3" count="1" selected="0">
            <x v="190"/>
          </reference>
          <reference field="4" count="1" selected="0">
            <x v="672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106"/>
          </reference>
          <reference field="19" count="1" selected="0">
            <x v="0"/>
          </reference>
          <reference field="21" count="1" selected="0">
            <x v="31"/>
          </reference>
          <reference field="22" count="1" selected="0">
            <x v="3"/>
          </reference>
          <reference field="24" count="1">
            <x v="7"/>
          </reference>
        </references>
      </pivotArea>
    </format>
    <format dxfId="2760">
      <pivotArea dataOnly="0" labelOnly="1" outline="0" fieldPosition="0">
        <references count="9">
          <reference field="3" count="1" selected="0">
            <x v="199"/>
          </reference>
          <reference field="4" count="1" selected="0">
            <x v="766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629"/>
          </reference>
          <reference field="19" count="1" selected="0">
            <x v="0"/>
          </reference>
          <reference field="21" count="1" selected="0">
            <x v="34"/>
          </reference>
          <reference field="22" count="1" selected="0">
            <x v="4"/>
          </reference>
          <reference field="24" count="1">
            <x v="2"/>
          </reference>
        </references>
      </pivotArea>
    </format>
    <format dxfId="2759">
      <pivotArea dataOnly="0" labelOnly="1" outline="0" fieldPosition="0">
        <references count="9">
          <reference field="3" count="1" selected="0">
            <x v="204"/>
          </reference>
          <reference field="4" count="1" selected="0">
            <x v="106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51"/>
          </reference>
          <reference field="19" count="1" selected="0">
            <x v="1"/>
          </reference>
          <reference field="21" count="1" selected="0">
            <x v="29"/>
          </reference>
          <reference field="22" count="1" selected="0">
            <x v="3"/>
          </reference>
          <reference field="24" count="1">
            <x v="2"/>
          </reference>
        </references>
      </pivotArea>
    </format>
    <format dxfId="2758">
      <pivotArea dataOnly="0" labelOnly="1" outline="0" fieldPosition="0">
        <references count="9">
          <reference field="3" count="1" selected="0">
            <x v="206"/>
          </reference>
          <reference field="4" count="1" selected="0">
            <x v="1232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135"/>
          </reference>
          <reference field="19" count="1" selected="0">
            <x v="0"/>
          </reference>
          <reference field="21" count="1" selected="0">
            <x v="30"/>
          </reference>
          <reference field="22" count="1" selected="0">
            <x v="3"/>
          </reference>
          <reference field="24" count="1">
            <x v="2"/>
          </reference>
        </references>
      </pivotArea>
    </format>
    <format dxfId="2757">
      <pivotArea dataOnly="0" labelOnly="1" outline="0" fieldPosition="0">
        <references count="9">
          <reference field="3" count="1" selected="0">
            <x v="234"/>
          </reference>
          <reference field="4" count="1" selected="0">
            <x v="1777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678"/>
          </reference>
          <reference field="19" count="1" selected="0">
            <x v="0"/>
          </reference>
          <reference field="21" count="1" selected="0">
            <x v="27"/>
          </reference>
          <reference field="22" count="1" selected="0">
            <x v="3"/>
          </reference>
          <reference field="24" count="1">
            <x v="0"/>
          </reference>
        </references>
      </pivotArea>
    </format>
    <format dxfId="2756">
      <pivotArea dataOnly="0" labelOnly="1" outline="0" fieldPosition="0">
        <references count="9">
          <reference field="3" count="1" selected="0">
            <x v="251"/>
          </reference>
          <reference field="4" count="1" selected="0">
            <x v="770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438"/>
          </reference>
          <reference field="19" count="1" selected="0">
            <x v="0"/>
          </reference>
          <reference field="21" count="1" selected="0">
            <x v="33"/>
          </reference>
          <reference field="22" count="1" selected="0">
            <x v="4"/>
          </reference>
          <reference field="24" count="1">
            <x v="1"/>
          </reference>
        </references>
      </pivotArea>
    </format>
    <format dxfId="2755">
      <pivotArea dataOnly="0" labelOnly="1" outline="0" fieldPosition="0">
        <references count="9">
          <reference field="3" count="1" selected="0">
            <x v="253"/>
          </reference>
          <reference field="4" count="1" selected="0">
            <x v="1240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763"/>
          </reference>
          <reference field="19" count="1" selected="0">
            <x v="0"/>
          </reference>
          <reference field="21" count="1" selected="0">
            <x v="39"/>
          </reference>
          <reference field="22" count="1" selected="0">
            <x v="4"/>
          </reference>
          <reference field="24" count="1">
            <x v="2"/>
          </reference>
        </references>
      </pivotArea>
    </format>
    <format dxfId="2754">
      <pivotArea dataOnly="0" labelOnly="1" outline="0" fieldPosition="0">
        <references count="9">
          <reference field="3" count="1" selected="0">
            <x v="259"/>
          </reference>
          <reference field="4" count="1" selected="0">
            <x v="948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15"/>
          </reference>
          <reference field="19" count="1" selected="0">
            <x v="0"/>
          </reference>
          <reference field="21" count="1" selected="0">
            <x v="52"/>
          </reference>
          <reference field="22" count="1" selected="0">
            <x v="5"/>
          </reference>
          <reference field="24" count="1">
            <x v="2"/>
          </reference>
        </references>
      </pivotArea>
    </format>
    <format dxfId="2753">
      <pivotArea dataOnly="0" labelOnly="1" outline="0" fieldPosition="0">
        <references count="9">
          <reference field="3" count="1" selected="0">
            <x v="269"/>
          </reference>
          <reference field="4" count="1" selected="0">
            <x v="1384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338"/>
          </reference>
          <reference field="19" count="1" selected="0">
            <x v="0"/>
          </reference>
          <reference field="21" count="1" selected="0">
            <x v="29"/>
          </reference>
          <reference field="22" count="1" selected="0">
            <x v="3"/>
          </reference>
          <reference field="24" count="1">
            <x v="2"/>
          </reference>
        </references>
      </pivotArea>
    </format>
    <format dxfId="2752">
      <pivotArea dataOnly="0" labelOnly="1" outline="0" fieldPosition="0">
        <references count="9">
          <reference field="3" count="1" selected="0">
            <x v="276"/>
          </reference>
          <reference field="4" count="1" selected="0">
            <x v="1531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279"/>
          </reference>
          <reference field="19" count="1" selected="0">
            <x v="0"/>
          </reference>
          <reference field="21" count="1" selected="0">
            <x v="27"/>
          </reference>
          <reference field="22" count="1" selected="0">
            <x v="3"/>
          </reference>
          <reference field="24" count="1">
            <x v="2"/>
          </reference>
        </references>
      </pivotArea>
    </format>
    <format dxfId="2751">
      <pivotArea dataOnly="0" labelOnly="1" outline="0" fieldPosition="0">
        <references count="9">
          <reference field="3" count="1" selected="0">
            <x v="292"/>
          </reference>
          <reference field="4" count="1" selected="0">
            <x v="506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81"/>
          </reference>
          <reference field="19" count="1" selected="0">
            <x v="0"/>
          </reference>
          <reference field="21" count="1" selected="0">
            <x v="32"/>
          </reference>
          <reference field="22" count="1" selected="0">
            <x v="4"/>
          </reference>
          <reference field="24" count="1">
            <x v="2"/>
          </reference>
        </references>
      </pivotArea>
    </format>
    <format dxfId="2750">
      <pivotArea dataOnly="0" labelOnly="1" outline="0" fieldPosition="0">
        <references count="9">
          <reference field="3" count="1" selected="0">
            <x v="356"/>
          </reference>
          <reference field="4" count="1" selected="0">
            <x v="848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428"/>
          </reference>
          <reference field="19" count="1" selected="0">
            <x v="0"/>
          </reference>
          <reference field="21" count="1" selected="0">
            <x v="26"/>
          </reference>
          <reference field="22" count="1" selected="0">
            <x v="3"/>
          </reference>
          <reference field="24" count="1">
            <x v="0"/>
          </reference>
        </references>
      </pivotArea>
    </format>
    <format dxfId="2749">
      <pivotArea dataOnly="0" labelOnly="1" outline="0" fieldPosition="0">
        <references count="9">
          <reference field="3" count="1" selected="0">
            <x v="360"/>
          </reference>
          <reference field="4" count="1" selected="0">
            <x v="1488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755"/>
          </reference>
          <reference field="19" count="1" selected="0">
            <x v="1"/>
          </reference>
          <reference field="21" count="1" selected="0">
            <x v="37"/>
          </reference>
          <reference field="22" count="1" selected="0">
            <x v="4"/>
          </reference>
          <reference field="24" count="1">
            <x v="0"/>
          </reference>
        </references>
      </pivotArea>
    </format>
    <format dxfId="2748">
      <pivotArea dataOnly="0" labelOnly="1" outline="0" fieldPosition="0">
        <references count="9">
          <reference field="3" count="1" selected="0">
            <x v="375"/>
          </reference>
          <reference field="4" count="1" selected="0">
            <x v="1105"/>
          </reference>
          <reference field="11" count="1" selected="0">
            <x v="11"/>
          </reference>
          <reference field="12" count="1" selected="0">
            <x v="1"/>
          </reference>
          <reference field="14" count="1" selected="0">
            <x v="129"/>
          </reference>
          <reference field="19" count="1" selected="0">
            <x v="0"/>
          </reference>
          <reference field="21" count="1" selected="0">
            <x v="25"/>
          </reference>
          <reference field="22" count="1" selected="0">
            <x v="3"/>
          </reference>
          <reference field="24" count="1">
            <x v="0"/>
          </reference>
        </references>
      </pivotArea>
    </format>
    <format dxfId="2747">
      <pivotArea dataOnly="0" labelOnly="1" outline="0" fieldPosition="0">
        <references count="9">
          <reference field="3" count="1" selected="0">
            <x v="379"/>
          </reference>
          <reference field="4" count="1" selected="0">
            <x v="730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255"/>
          </reference>
          <reference field="19" count="1" selected="0">
            <x v="0"/>
          </reference>
          <reference field="21" count="1" selected="0">
            <x v="28"/>
          </reference>
          <reference field="22" count="1" selected="0">
            <x v="3"/>
          </reference>
          <reference field="24" count="1">
            <x v="7"/>
          </reference>
        </references>
      </pivotArea>
    </format>
    <format dxfId="2746">
      <pivotArea dataOnly="0" labelOnly="1" outline="0" fieldPosition="0">
        <references count="9">
          <reference field="3" count="1" selected="0">
            <x v="388"/>
          </reference>
          <reference field="4" count="1" selected="0">
            <x v="256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204"/>
          </reference>
          <reference field="19" count="1" selected="0">
            <x v="0"/>
          </reference>
          <reference field="21" count="1" selected="0">
            <x v="27"/>
          </reference>
          <reference field="22" count="1" selected="0">
            <x v="3"/>
          </reference>
          <reference field="24" count="1">
            <x v="7"/>
          </reference>
        </references>
      </pivotArea>
    </format>
    <format dxfId="2745">
      <pivotArea dataOnly="0" labelOnly="1" outline="0" fieldPosition="0">
        <references count="9">
          <reference field="3" count="1" selected="0">
            <x v="398"/>
          </reference>
          <reference field="4" count="1" selected="0">
            <x v="645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500"/>
          </reference>
          <reference field="19" count="1" selected="0">
            <x v="0"/>
          </reference>
          <reference field="21" count="1" selected="0">
            <x v="24"/>
          </reference>
          <reference field="22" count="1" selected="0">
            <x v="3"/>
          </reference>
          <reference field="24" count="1">
            <x v="3"/>
          </reference>
        </references>
      </pivotArea>
    </format>
    <format dxfId="2744">
      <pivotArea dataOnly="0" labelOnly="1" outline="0" fieldPosition="0">
        <references count="9">
          <reference field="3" count="1" selected="0">
            <x v="458"/>
          </reference>
          <reference field="4" count="1" selected="0">
            <x v="816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402"/>
          </reference>
          <reference field="19" count="1" selected="0">
            <x v="0"/>
          </reference>
          <reference field="21" count="1" selected="0">
            <x v="23"/>
          </reference>
          <reference field="22" count="1" selected="0">
            <x v="3"/>
          </reference>
          <reference field="24" count="1">
            <x v="2"/>
          </reference>
        </references>
      </pivotArea>
    </format>
    <format dxfId="2743">
      <pivotArea dataOnly="0" labelOnly="1" outline="0" fieldPosition="0">
        <references count="9">
          <reference field="3" count="1" selected="0">
            <x v="460"/>
          </reference>
          <reference field="4" count="1" selected="0">
            <x v="1877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373"/>
          </reference>
          <reference field="19" count="1" selected="0">
            <x v="0"/>
          </reference>
          <reference field="21" count="1" selected="0">
            <x v="23"/>
          </reference>
          <reference field="22" count="1" selected="0">
            <x v="3"/>
          </reference>
          <reference field="24" count="1">
            <x v="0"/>
          </reference>
        </references>
      </pivotArea>
    </format>
    <format dxfId="2742">
      <pivotArea dataOnly="0" labelOnly="1" outline="0" fieldPosition="0">
        <references count="9">
          <reference field="3" count="1" selected="0">
            <x v="477"/>
          </reference>
          <reference field="4" count="1" selected="0">
            <x v="271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684"/>
          </reference>
          <reference field="19" count="1" selected="0">
            <x v="0"/>
          </reference>
          <reference field="21" count="1" selected="0">
            <x v="22"/>
          </reference>
          <reference field="22" count="1" selected="0">
            <x v="2"/>
          </reference>
          <reference field="24" count="1">
            <x v="2"/>
          </reference>
        </references>
      </pivotArea>
    </format>
    <format dxfId="2741">
      <pivotArea dataOnly="0" labelOnly="1" outline="0" fieldPosition="0">
        <references count="9">
          <reference field="3" count="1" selected="0">
            <x v="480"/>
          </reference>
          <reference field="4" count="1" selected="0">
            <x v="207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119"/>
          </reference>
          <reference field="19" count="1" selected="0">
            <x v="0"/>
          </reference>
          <reference field="21" count="1" selected="0">
            <x v="16"/>
          </reference>
          <reference field="22" count="1" selected="0">
            <x v="2"/>
          </reference>
          <reference field="24" count="1">
            <x v="0"/>
          </reference>
        </references>
      </pivotArea>
    </format>
    <format dxfId="2740">
      <pivotArea dataOnly="0" labelOnly="1" outline="0" fieldPosition="0">
        <references count="9">
          <reference field="3" count="1" selected="0">
            <x v="481"/>
          </reference>
          <reference field="4" count="1" selected="0">
            <x v="1197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757"/>
          </reference>
          <reference field="19" count="1" selected="0">
            <x v="1"/>
          </reference>
          <reference field="21" count="1" selected="0">
            <x v="17"/>
          </reference>
          <reference field="22" count="1" selected="0">
            <x v="2"/>
          </reference>
          <reference field="24" count="1">
            <x v="7"/>
          </reference>
        </references>
      </pivotArea>
    </format>
    <format dxfId="2739">
      <pivotArea dataOnly="0" labelOnly="1" outline="0" fieldPosition="0">
        <references count="9">
          <reference field="3" count="1" selected="0">
            <x v="492"/>
          </reference>
          <reference field="4" count="1" selected="0">
            <x v="2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3"/>
          </reference>
          <reference field="19" count="1" selected="0">
            <x v="0"/>
          </reference>
          <reference field="21" count="1" selected="0">
            <x v="25"/>
          </reference>
          <reference field="22" count="1" selected="0">
            <x v="3"/>
          </reference>
          <reference field="24" count="1">
            <x v="2"/>
          </reference>
        </references>
      </pivotArea>
    </format>
    <format dxfId="2738">
      <pivotArea dataOnly="0" labelOnly="1" outline="0" fieldPosition="0">
        <references count="9">
          <reference field="3" count="1" selected="0">
            <x v="503"/>
          </reference>
          <reference field="4" count="1" selected="0">
            <x v="277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277"/>
          </reference>
          <reference field="19" count="1" selected="0">
            <x v="0"/>
          </reference>
          <reference field="21" count="1" selected="0">
            <x v="22"/>
          </reference>
          <reference field="22" count="1" selected="0">
            <x v="2"/>
          </reference>
          <reference field="24" count="1">
            <x v="2"/>
          </reference>
        </references>
      </pivotArea>
    </format>
    <format dxfId="2737">
      <pivotArea dataOnly="0" labelOnly="1" outline="0" fieldPosition="0">
        <references count="9">
          <reference field="3" count="1" selected="0">
            <x v="535"/>
          </reference>
          <reference field="4" count="1" selected="0">
            <x v="92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689"/>
          </reference>
          <reference field="19" count="1" selected="0">
            <x v="0"/>
          </reference>
          <reference field="21" count="1" selected="0">
            <x v="23"/>
          </reference>
          <reference field="22" count="1" selected="0">
            <x v="3"/>
          </reference>
          <reference field="24" count="1">
            <x v="7"/>
          </reference>
        </references>
      </pivotArea>
    </format>
    <format dxfId="2736">
      <pivotArea dataOnly="0" labelOnly="1" outline="0" fieldPosition="0">
        <references count="9">
          <reference field="3" count="1" selected="0">
            <x v="541"/>
          </reference>
          <reference field="4" count="1" selected="0">
            <x v="1465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189"/>
          </reference>
          <reference field="19" count="1" selected="0">
            <x v="0"/>
          </reference>
          <reference field="21" count="1" selected="0">
            <x v="21"/>
          </reference>
          <reference field="22" count="1" selected="0">
            <x v="2"/>
          </reference>
          <reference field="24" count="1">
            <x v="2"/>
          </reference>
        </references>
      </pivotArea>
    </format>
    <format dxfId="2735">
      <pivotArea dataOnly="0" labelOnly="1" outline="0" fieldPosition="0">
        <references count="9">
          <reference field="3" count="1" selected="0">
            <x v="558"/>
          </reference>
          <reference field="4" count="1" selected="0">
            <x v="2153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54"/>
          </reference>
          <reference field="19" count="1" selected="0">
            <x v="0"/>
          </reference>
          <reference field="21" count="1" selected="0">
            <x v="21"/>
          </reference>
          <reference field="22" count="1" selected="0">
            <x v="2"/>
          </reference>
          <reference field="24" count="1">
            <x v="3"/>
          </reference>
        </references>
      </pivotArea>
    </format>
    <format dxfId="2734">
      <pivotArea dataOnly="0" labelOnly="1" outline="0" fieldPosition="0">
        <references count="9">
          <reference field="3" count="1" selected="0">
            <x v="587"/>
          </reference>
          <reference field="4" count="1" selected="0">
            <x v="979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450"/>
          </reference>
          <reference field="19" count="1" selected="0">
            <x v="0"/>
          </reference>
          <reference field="21" count="1" selected="0">
            <x v="24"/>
          </reference>
          <reference field="22" count="1" selected="0">
            <x v="3"/>
          </reference>
          <reference field="24" count="1">
            <x v="2"/>
          </reference>
        </references>
      </pivotArea>
    </format>
    <format dxfId="2733">
      <pivotArea dataOnly="0" labelOnly="1" outline="0" fieldPosition="0">
        <references count="9">
          <reference field="3" count="1" selected="0">
            <x v="599"/>
          </reference>
          <reference field="4" count="1" selected="0">
            <x v="1884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16"/>
          </reference>
          <reference field="19" count="1" selected="0">
            <x v="0"/>
          </reference>
          <reference field="21" count="1" selected="0">
            <x v="22"/>
          </reference>
          <reference field="22" count="1" selected="0">
            <x v="2"/>
          </reference>
          <reference field="24" count="1">
            <x v="0"/>
          </reference>
        </references>
      </pivotArea>
    </format>
    <format dxfId="2732">
      <pivotArea dataOnly="0" labelOnly="1" outline="0" fieldPosition="0">
        <references count="9">
          <reference field="3" count="1" selected="0">
            <x v="622"/>
          </reference>
          <reference field="4" count="1" selected="0">
            <x v="1875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7"/>
          </reference>
          <reference field="19" count="1" selected="0">
            <x v="0"/>
          </reference>
          <reference field="21" count="1" selected="0">
            <x v="21"/>
          </reference>
          <reference field="22" count="1" selected="0">
            <x v="2"/>
          </reference>
          <reference field="24" count="1">
            <x v="2"/>
          </reference>
        </references>
      </pivotArea>
    </format>
    <format dxfId="2731">
      <pivotArea dataOnly="0" labelOnly="1" outline="0" fieldPosition="0">
        <references count="9">
          <reference field="3" count="1" selected="0">
            <x v="625"/>
          </reference>
          <reference field="4" count="1" selected="0">
            <x v="1987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52"/>
          </reference>
          <reference field="19" count="1" selected="0">
            <x v="0"/>
          </reference>
          <reference field="21" count="1" selected="0">
            <x v="25"/>
          </reference>
          <reference field="22" count="1" selected="0">
            <x v="3"/>
          </reference>
          <reference field="24" count="1">
            <x v="4"/>
          </reference>
        </references>
      </pivotArea>
    </format>
    <format dxfId="2730">
      <pivotArea dataOnly="0" labelOnly="1" outline="0" fieldPosition="0">
        <references count="9">
          <reference field="3" count="1" selected="0">
            <x v="683"/>
          </reference>
          <reference field="4" count="1" selected="0">
            <x v="865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365"/>
          </reference>
          <reference field="19" count="1" selected="0">
            <x v="0"/>
          </reference>
          <reference field="21" count="1" selected="0">
            <x v="20"/>
          </reference>
          <reference field="22" count="1" selected="0">
            <x v="2"/>
          </reference>
          <reference field="24" count="1">
            <x v="2"/>
          </reference>
        </references>
      </pivotArea>
    </format>
    <format dxfId="2729">
      <pivotArea dataOnly="0" labelOnly="1" outline="0" fieldPosition="0">
        <references count="9">
          <reference field="3" count="1" selected="0">
            <x v="695"/>
          </reference>
          <reference field="4" count="1" selected="0">
            <x v="972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721"/>
          </reference>
          <reference field="19" count="1" selected="0">
            <x v="1"/>
          </reference>
          <reference field="21" count="1" selected="0">
            <x v="19"/>
          </reference>
          <reference field="22" count="1" selected="0">
            <x v="2"/>
          </reference>
          <reference field="24" count="1">
            <x v="0"/>
          </reference>
        </references>
      </pivotArea>
    </format>
    <format dxfId="2728">
      <pivotArea dataOnly="0" labelOnly="1" outline="0" fieldPosition="0">
        <references count="9">
          <reference field="3" count="1" selected="0">
            <x v="709"/>
          </reference>
          <reference field="4" count="1" selected="0">
            <x v="2176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95"/>
          </reference>
          <reference field="19" count="1" selected="0">
            <x v="0"/>
          </reference>
          <reference field="21" count="1" selected="0">
            <x v="18"/>
          </reference>
          <reference field="22" count="1" selected="0">
            <x v="2"/>
          </reference>
          <reference field="24" count="1">
            <x v="3"/>
          </reference>
        </references>
      </pivotArea>
    </format>
    <format dxfId="2727">
      <pivotArea dataOnly="0" labelOnly="1" outline="0" fieldPosition="0">
        <references count="9">
          <reference field="3" count="1" selected="0">
            <x v="718"/>
          </reference>
          <reference field="4" count="1" selected="0">
            <x v="1945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62"/>
          </reference>
          <reference field="19" count="1" selected="0">
            <x v="0"/>
          </reference>
          <reference field="21" count="1" selected="0">
            <x v="22"/>
          </reference>
          <reference field="22" count="1" selected="0">
            <x v="2"/>
          </reference>
          <reference field="24" count="1">
            <x v="2"/>
          </reference>
        </references>
      </pivotArea>
    </format>
    <format dxfId="2726">
      <pivotArea dataOnly="0" labelOnly="1" outline="0" fieldPosition="0">
        <references count="9">
          <reference field="3" count="1" selected="0">
            <x v="730"/>
          </reference>
          <reference field="4" count="1" selected="0">
            <x v="2167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34"/>
          </reference>
          <reference field="19" count="1" selected="0">
            <x v="0"/>
          </reference>
          <reference field="21" count="1" selected="0">
            <x v="18"/>
          </reference>
          <reference field="22" count="1" selected="0">
            <x v="2"/>
          </reference>
          <reference field="24" count="1">
            <x v="0"/>
          </reference>
        </references>
      </pivotArea>
    </format>
    <format dxfId="2725">
      <pivotArea dataOnly="0" labelOnly="1" outline="0" fieldPosition="0">
        <references count="9">
          <reference field="3" count="1" selected="0">
            <x v="745"/>
          </reference>
          <reference field="4" count="1" selected="0">
            <x v="1248"/>
          </reference>
          <reference field="11" count="1" selected="0">
            <x v="12"/>
          </reference>
          <reference field="12" count="1" selected="0">
            <x v="12"/>
          </reference>
          <reference field="14" count="1" selected="0">
            <x v="876"/>
          </reference>
          <reference field="19" count="1" selected="0">
            <x v="0"/>
          </reference>
          <reference field="21" count="1" selected="0">
            <x v="18"/>
          </reference>
          <reference field="22" count="1" selected="0">
            <x v="2"/>
          </reference>
          <reference field="24" count="1">
            <x v="2"/>
          </reference>
        </references>
      </pivotArea>
    </format>
    <format dxfId="2724">
      <pivotArea dataOnly="0" labelOnly="1" outline="0" fieldPosition="0">
        <references count="9">
          <reference field="3" count="1" selected="0">
            <x v="756"/>
          </reference>
          <reference field="4" count="1" selected="0">
            <x v="762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99"/>
          </reference>
          <reference field="19" count="1" selected="0">
            <x v="0"/>
          </reference>
          <reference field="21" count="1" selected="0">
            <x v="19"/>
          </reference>
          <reference field="22" count="1" selected="0">
            <x v="2"/>
          </reference>
          <reference field="24" count="1">
            <x v="3"/>
          </reference>
        </references>
      </pivotArea>
    </format>
    <format dxfId="2723">
      <pivotArea dataOnly="0" labelOnly="1" outline="0" fieldPosition="0">
        <references count="9">
          <reference field="3" count="1" selected="0">
            <x v="759"/>
          </reference>
          <reference field="4" count="1" selected="0">
            <x v="154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07"/>
          </reference>
          <reference field="19" count="1" selected="0">
            <x v="1"/>
          </reference>
          <reference field="21" count="1" selected="0">
            <x v="18"/>
          </reference>
          <reference field="22" count="1" selected="0">
            <x v="2"/>
          </reference>
          <reference field="24" count="1">
            <x v="2"/>
          </reference>
        </references>
      </pivotArea>
    </format>
    <format dxfId="2722">
      <pivotArea dataOnly="0" labelOnly="1" outline="0" fieldPosition="0">
        <references count="9">
          <reference field="3" count="1" selected="0">
            <x v="774"/>
          </reference>
          <reference field="4" count="1" selected="0">
            <x v="458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468"/>
          </reference>
          <reference field="19" count="1" selected="0">
            <x v="0"/>
          </reference>
          <reference field="21" count="1" selected="0">
            <x v="17"/>
          </reference>
          <reference field="22" count="1" selected="0">
            <x v="2"/>
          </reference>
          <reference field="24" count="1">
            <x v="0"/>
          </reference>
        </references>
      </pivotArea>
    </format>
    <format dxfId="2721">
      <pivotArea dataOnly="0" labelOnly="1" outline="0" fieldPosition="0">
        <references count="9">
          <reference field="3" count="1" selected="0">
            <x v="782"/>
          </reference>
          <reference field="4" count="1" selected="0">
            <x v="1729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263"/>
          </reference>
          <reference field="19" count="1" selected="0">
            <x v="0"/>
          </reference>
          <reference field="21" count="1" selected="0">
            <x v="17"/>
          </reference>
          <reference field="22" count="1" selected="0">
            <x v="2"/>
          </reference>
          <reference field="24" count="1">
            <x v="0"/>
          </reference>
        </references>
      </pivotArea>
    </format>
    <format dxfId="2720">
      <pivotArea dataOnly="0" labelOnly="1" outline="0" fieldPosition="0">
        <references count="9">
          <reference field="3" count="1" selected="0">
            <x v="809"/>
          </reference>
          <reference field="4" count="1" selected="0">
            <x v="1297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116"/>
          </reference>
          <reference field="19" count="1" selected="0">
            <x v="0"/>
          </reference>
          <reference field="21" count="1" selected="0">
            <x v="17"/>
          </reference>
          <reference field="22" count="1" selected="0">
            <x v="2"/>
          </reference>
          <reference field="24" count="1">
            <x v="2"/>
          </reference>
        </references>
      </pivotArea>
    </format>
    <format dxfId="2719">
      <pivotArea dataOnly="0" labelOnly="1" outline="0" fieldPosition="0">
        <references count="9">
          <reference field="3" count="1" selected="0">
            <x v="839"/>
          </reference>
          <reference field="4" count="1" selected="0">
            <x v="1422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219"/>
          </reference>
          <reference field="19" count="1" selected="0">
            <x v="0"/>
          </reference>
          <reference field="21" count="1" selected="0">
            <x v="17"/>
          </reference>
          <reference field="22" count="1" selected="0">
            <x v="2"/>
          </reference>
          <reference field="24" count="1">
            <x v="3"/>
          </reference>
        </references>
      </pivotArea>
    </format>
    <format dxfId="2718">
      <pivotArea dataOnly="0" labelOnly="1" outline="0" fieldPosition="0">
        <references count="9">
          <reference field="3" count="1" selected="0">
            <x v="850"/>
          </reference>
          <reference field="4" count="1" selected="0">
            <x v="1950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73"/>
          </reference>
          <reference field="19" count="1" selected="0">
            <x v="0"/>
          </reference>
          <reference field="21" count="1" selected="0">
            <x v="16"/>
          </reference>
          <reference field="22" count="1" selected="0">
            <x v="2"/>
          </reference>
          <reference field="24" count="1">
            <x v="0"/>
          </reference>
        </references>
      </pivotArea>
    </format>
    <format dxfId="2717">
      <pivotArea dataOnly="0" labelOnly="1" outline="0" fieldPosition="0">
        <references count="9">
          <reference field="3" count="1" selected="0">
            <x v="873"/>
          </reference>
          <reference field="4" count="1" selected="0">
            <x v="1881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72"/>
          </reference>
          <reference field="19" count="1" selected="0">
            <x v="0"/>
          </reference>
          <reference field="21" count="1" selected="0">
            <x v="16"/>
          </reference>
          <reference field="22" count="1" selected="0">
            <x v="2"/>
          </reference>
          <reference field="24" count="1">
            <x v="0"/>
          </reference>
        </references>
      </pivotArea>
    </format>
    <format dxfId="2716">
      <pivotArea dataOnly="0" labelOnly="1" outline="0" fieldPosition="0">
        <references count="9">
          <reference field="3" count="1" selected="0">
            <x v="881"/>
          </reference>
          <reference field="4" count="1" selected="0">
            <x v="514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291"/>
          </reference>
          <reference field="19" count="1" selected="0">
            <x v="0"/>
          </reference>
          <reference field="21" count="1" selected="0">
            <x v="16"/>
          </reference>
          <reference field="22" count="1" selected="0">
            <x v="2"/>
          </reference>
          <reference field="24" count="1">
            <x v="0"/>
          </reference>
        </references>
      </pivotArea>
    </format>
    <format dxfId="2715">
      <pivotArea dataOnly="0" labelOnly="1" outline="0" fieldPosition="0">
        <references count="9">
          <reference field="3" count="1" selected="0">
            <x v="884"/>
          </reference>
          <reference field="4" count="1" selected="0">
            <x v="1262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100"/>
          </reference>
          <reference field="19" count="1" selected="0">
            <x v="0"/>
          </reference>
          <reference field="21" count="1" selected="0">
            <x v="20"/>
          </reference>
          <reference field="22" count="1" selected="0">
            <x v="2"/>
          </reference>
          <reference field="24" count="1">
            <x v="1"/>
          </reference>
        </references>
      </pivotArea>
    </format>
    <format dxfId="2714">
      <pivotArea dataOnly="0" labelOnly="1" outline="0" fieldPosition="0">
        <references count="9">
          <reference field="3" count="1" selected="0">
            <x v="913"/>
          </reference>
          <reference field="4" count="1" selected="0">
            <x v="983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813"/>
          </reference>
          <reference field="19" count="1" selected="0">
            <x v="0"/>
          </reference>
          <reference field="21" count="1" selected="0">
            <x v="15"/>
          </reference>
          <reference field="22" count="1" selected="0">
            <x v="2"/>
          </reference>
          <reference field="24" count="1">
            <x v="0"/>
          </reference>
        </references>
      </pivotArea>
    </format>
    <format dxfId="2713">
      <pivotArea dataOnly="0" labelOnly="1" outline="0" fieldPosition="0">
        <references count="9">
          <reference field="3" count="1" selected="0">
            <x v="948"/>
          </reference>
          <reference field="4" count="1" selected="0">
            <x v="1728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97"/>
          </reference>
          <reference field="19" count="1" selected="0">
            <x v="0"/>
          </reference>
          <reference field="21" count="1" selected="0">
            <x v="15"/>
          </reference>
          <reference field="22" count="1" selected="0">
            <x v="2"/>
          </reference>
          <reference field="24" count="1">
            <x v="0"/>
          </reference>
        </references>
      </pivotArea>
    </format>
    <format dxfId="2712">
      <pivotArea dataOnly="0" labelOnly="1" outline="0" fieldPosition="0">
        <references count="9">
          <reference field="3" count="1" selected="0">
            <x v="971"/>
          </reference>
          <reference field="4" count="1" selected="0">
            <x v="676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180"/>
          </reference>
          <reference field="19" count="1" selected="0">
            <x v="0"/>
          </reference>
          <reference field="21" count="1" selected="0">
            <x v="14"/>
          </reference>
          <reference field="22" count="1" selected="0">
            <x v="2"/>
          </reference>
          <reference field="24" count="1">
            <x v="4"/>
          </reference>
        </references>
      </pivotArea>
    </format>
    <format dxfId="2711">
      <pivotArea dataOnly="0" labelOnly="1" outline="0" fieldPosition="0">
        <references count="9">
          <reference field="3" count="1" selected="0">
            <x v="997"/>
          </reference>
          <reference field="4" count="1" selected="0">
            <x v="326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867"/>
          </reference>
          <reference field="19" count="1" selected="0">
            <x v="0"/>
          </reference>
          <reference field="21" count="1" selected="0">
            <x v="13"/>
          </reference>
          <reference field="22" count="1" selected="0">
            <x v="1"/>
          </reference>
          <reference field="24" count="1">
            <x v="3"/>
          </reference>
        </references>
      </pivotArea>
    </format>
    <format dxfId="2710">
      <pivotArea dataOnly="0" labelOnly="1" outline="0" fieldPosition="0">
        <references count="9">
          <reference field="3" count="1" selected="0">
            <x v="1003"/>
          </reference>
          <reference field="4" count="1" selected="0">
            <x v="185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99"/>
          </reference>
          <reference field="19" count="1" selected="0">
            <x v="0"/>
          </reference>
          <reference field="21" count="1" selected="0">
            <x v="14"/>
          </reference>
          <reference field="22" count="1" selected="0">
            <x v="2"/>
          </reference>
          <reference field="24" count="1">
            <x v="0"/>
          </reference>
        </references>
      </pivotArea>
    </format>
    <format dxfId="2709">
      <pivotArea dataOnly="0" labelOnly="1" outline="0" fieldPosition="0">
        <references count="9">
          <reference field="3" count="1" selected="0">
            <x v="1011"/>
          </reference>
          <reference field="4" count="1" selected="0">
            <x v="976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162"/>
          </reference>
          <reference field="19" count="1" selected="0">
            <x v="0"/>
          </reference>
          <reference field="21" count="1" selected="0">
            <x v="15"/>
          </reference>
          <reference field="22" count="1" selected="0">
            <x v="2"/>
          </reference>
          <reference field="24" count="1">
            <x v="7"/>
          </reference>
        </references>
      </pivotArea>
    </format>
    <format dxfId="2708">
      <pivotArea dataOnly="0" labelOnly="1" outline="0" fieldPosition="0">
        <references count="9">
          <reference field="3" count="1" selected="0">
            <x v="1020"/>
          </reference>
          <reference field="4" count="1" selected="0">
            <x v="1451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457"/>
          </reference>
          <reference field="19" count="1" selected="0">
            <x v="0"/>
          </reference>
          <reference field="21" count="1" selected="0">
            <x v="13"/>
          </reference>
          <reference field="22" count="1" selected="0">
            <x v="1"/>
          </reference>
          <reference field="24" count="1">
            <x v="2"/>
          </reference>
        </references>
      </pivotArea>
    </format>
    <format dxfId="2707">
      <pivotArea dataOnly="0" labelOnly="1" outline="0" fieldPosition="0">
        <references count="9">
          <reference field="3" count="1" selected="0">
            <x v="1038"/>
          </reference>
          <reference field="4" count="1" selected="0">
            <x v="1086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291"/>
          </reference>
          <reference field="19" count="1" selected="0">
            <x v="0"/>
          </reference>
          <reference field="21" count="1" selected="0">
            <x v="13"/>
          </reference>
          <reference field="22" count="1" selected="0">
            <x v="1"/>
          </reference>
          <reference field="24" count="1">
            <x v="2"/>
          </reference>
        </references>
      </pivotArea>
    </format>
    <format dxfId="2706">
      <pivotArea dataOnly="0" labelOnly="1" outline="0" fieldPosition="0">
        <references count="9">
          <reference field="3" count="1" selected="0">
            <x v="1040"/>
          </reference>
          <reference field="4" count="1" selected="0">
            <x v="164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137"/>
          </reference>
          <reference field="19" count="1" selected="0">
            <x v="0"/>
          </reference>
          <reference field="21" count="1" selected="0">
            <x v="15"/>
          </reference>
          <reference field="22" count="1" selected="0">
            <x v="2"/>
          </reference>
          <reference field="24" count="1">
            <x v="7"/>
          </reference>
        </references>
      </pivotArea>
    </format>
    <format dxfId="2705">
      <pivotArea dataOnly="0" labelOnly="1" outline="0" fieldPosition="0">
        <references count="9">
          <reference field="3" count="1" selected="0">
            <x v="1066"/>
          </reference>
          <reference field="4" count="1" selected="0">
            <x v="2246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535"/>
          </reference>
          <reference field="19" count="1" selected="0">
            <x v="0"/>
          </reference>
          <reference field="21" count="1" selected="0">
            <x v="14"/>
          </reference>
          <reference field="22" count="1" selected="0">
            <x v="2"/>
          </reference>
          <reference field="24" count="1">
            <x v="0"/>
          </reference>
        </references>
      </pivotArea>
    </format>
    <format dxfId="2704">
      <pivotArea dataOnly="0" labelOnly="1" outline="0" fieldPosition="0">
        <references count="9">
          <reference field="3" count="1" selected="0">
            <x v="1069"/>
          </reference>
          <reference field="4" count="1" selected="0">
            <x v="710"/>
          </reference>
          <reference field="11" count="1" selected="0">
            <x v="11"/>
          </reference>
          <reference field="12" count="1" selected="0">
            <x v="1"/>
          </reference>
          <reference field="14" count="1" selected="0">
            <x v="635"/>
          </reference>
          <reference field="19" count="1" selected="0">
            <x v="0"/>
          </reference>
          <reference field="21" count="1" selected="0">
            <x v="12"/>
          </reference>
          <reference field="22" count="1" selected="0">
            <x v="1"/>
          </reference>
          <reference field="24" count="1">
            <x v="1"/>
          </reference>
        </references>
      </pivotArea>
    </format>
    <format dxfId="2703">
      <pivotArea dataOnly="0" labelOnly="1" outline="0" fieldPosition="0">
        <references count="9">
          <reference field="3" count="1" selected="0">
            <x v="1077"/>
          </reference>
          <reference field="4" count="1" selected="0">
            <x v="1314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289"/>
          </reference>
          <reference field="19" count="1" selected="0">
            <x v="0"/>
          </reference>
          <reference field="21" count="1" selected="0">
            <x v="12"/>
          </reference>
          <reference field="22" count="1" selected="0">
            <x v="1"/>
          </reference>
          <reference field="24" count="1">
            <x v="7"/>
          </reference>
        </references>
      </pivotArea>
    </format>
    <format dxfId="2702">
      <pivotArea dataOnly="0" labelOnly="1" outline="0" fieldPosition="0">
        <references count="9">
          <reference field="3" count="1" selected="0">
            <x v="1113"/>
          </reference>
          <reference field="4" count="1" selected="0">
            <x v="2474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74"/>
          </reference>
          <reference field="19" count="1" selected="0">
            <x v="1"/>
          </reference>
          <reference field="21" count="1" selected="0">
            <x v="11"/>
          </reference>
          <reference field="22" count="1" selected="0">
            <x v="1"/>
          </reference>
          <reference field="24" count="1">
            <x v="0"/>
          </reference>
        </references>
      </pivotArea>
    </format>
    <format dxfId="2701">
      <pivotArea dataOnly="0" labelOnly="1" outline="0" fieldPosition="0">
        <references count="9">
          <reference field="3" count="1" selected="0">
            <x v="1129"/>
          </reference>
          <reference field="4" count="1" selected="0">
            <x v="344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95"/>
          </reference>
          <reference field="19" count="1" selected="0">
            <x v="0"/>
          </reference>
          <reference field="21" count="1" selected="0">
            <x v="17"/>
          </reference>
          <reference field="22" count="1" selected="0">
            <x v="2"/>
          </reference>
          <reference field="24" count="1">
            <x v="0"/>
          </reference>
        </references>
      </pivotArea>
    </format>
    <format dxfId="2700">
      <pivotArea dataOnly="0" labelOnly="1" outline="0" fieldPosition="0">
        <references count="9">
          <reference field="3" count="1" selected="0">
            <x v="1141"/>
          </reference>
          <reference field="4" count="1" selected="0">
            <x v="186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02"/>
          </reference>
          <reference field="19" count="1" selected="0">
            <x v="0"/>
          </reference>
          <reference field="21" count="1" selected="0">
            <x v="12"/>
          </reference>
          <reference field="22" count="1" selected="0">
            <x v="1"/>
          </reference>
          <reference field="24" count="1">
            <x v="3"/>
          </reference>
        </references>
      </pivotArea>
    </format>
    <format dxfId="2699">
      <pivotArea dataOnly="0" labelOnly="1" outline="0" fieldPosition="0">
        <references count="9">
          <reference field="3" count="1" selected="0">
            <x v="1144"/>
          </reference>
          <reference field="4" count="1" selected="0">
            <x v="2484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74"/>
          </reference>
          <reference field="19" count="1" selected="0">
            <x v="1"/>
          </reference>
          <reference field="21" count="1" selected="0">
            <x v="12"/>
          </reference>
          <reference field="22" count="1" selected="0">
            <x v="1"/>
          </reference>
          <reference field="24" count="1">
            <x v="0"/>
          </reference>
        </references>
      </pivotArea>
    </format>
    <format dxfId="2698">
      <pivotArea dataOnly="0" labelOnly="1" outline="0" fieldPosition="0">
        <references count="9">
          <reference field="3" count="1" selected="0">
            <x v="1167"/>
          </reference>
          <reference field="4" count="1" selected="0">
            <x v="1177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552"/>
          </reference>
          <reference field="19" count="1" selected="0">
            <x v="0"/>
          </reference>
          <reference field="21" count="1" selected="0">
            <x v="13"/>
          </reference>
          <reference field="22" count="1" selected="0">
            <x v="1"/>
          </reference>
          <reference field="24" count="1">
            <x v="3"/>
          </reference>
        </references>
      </pivotArea>
    </format>
    <format dxfId="2697">
      <pivotArea dataOnly="0" labelOnly="1" outline="0" fieldPosition="0">
        <references count="9">
          <reference field="3" count="1" selected="0">
            <x v="1189"/>
          </reference>
          <reference field="4" count="1" selected="0">
            <x v="734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643"/>
          </reference>
          <reference field="19" count="1" selected="0">
            <x v="0"/>
          </reference>
          <reference field="21" count="1" selected="0">
            <x v="10"/>
          </reference>
          <reference field="22" count="1" selected="0">
            <x v="1"/>
          </reference>
          <reference field="24" count="1">
            <x v="7"/>
          </reference>
        </references>
      </pivotArea>
    </format>
    <format dxfId="2696">
      <pivotArea dataOnly="0" labelOnly="1" outline="0" fieldPosition="0">
        <references count="9">
          <reference field="3" count="1" selected="0">
            <x v="1196"/>
          </reference>
          <reference field="4" count="1" selected="0">
            <x v="701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875"/>
          </reference>
          <reference field="19" count="1" selected="0">
            <x v="0"/>
          </reference>
          <reference field="21" count="1" selected="0">
            <x v="3"/>
          </reference>
          <reference field="22" count="1" selected="0">
            <x v="0"/>
          </reference>
          <reference field="24" count="1">
            <x v="4"/>
          </reference>
        </references>
      </pivotArea>
    </format>
    <format dxfId="2695">
      <pivotArea dataOnly="0" labelOnly="1" outline="0" fieldPosition="0">
        <references count="9">
          <reference field="3" count="1" selected="0">
            <x v="1198"/>
          </reference>
          <reference field="4" count="1" selected="0">
            <x v="22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547"/>
          </reference>
          <reference field="19" count="1" selected="0">
            <x v="0"/>
          </reference>
          <reference field="21" count="1" selected="0">
            <x v="14"/>
          </reference>
          <reference field="22" count="1" selected="0">
            <x v="2"/>
          </reference>
          <reference field="24" count="1">
            <x v="0"/>
          </reference>
        </references>
      </pivotArea>
    </format>
    <format dxfId="2694">
      <pivotArea dataOnly="0" labelOnly="1" outline="0" fieldPosition="0">
        <references count="9">
          <reference field="3" count="1" selected="0">
            <x v="1204"/>
          </reference>
          <reference field="4" count="1" selected="0">
            <x v="421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759"/>
          </reference>
          <reference field="19" count="1" selected="0">
            <x v="0"/>
          </reference>
          <reference field="21" count="1" selected="0">
            <x v="3"/>
          </reference>
          <reference field="22" count="1" selected="0">
            <x v="0"/>
          </reference>
          <reference field="24" count="1">
            <x v="3"/>
          </reference>
        </references>
      </pivotArea>
    </format>
    <format dxfId="2693">
      <pivotArea dataOnly="0" labelOnly="1" outline="0" fieldPosition="0">
        <references count="9">
          <reference field="3" count="1" selected="0">
            <x v="1210"/>
          </reference>
          <reference field="4" count="1" selected="0">
            <x v="929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554"/>
          </reference>
          <reference field="19" count="1" selected="0">
            <x v="0"/>
          </reference>
          <reference field="21" count="1" selected="0">
            <x v="6"/>
          </reference>
          <reference field="22" count="1" selected="0">
            <x v="1"/>
          </reference>
          <reference field="24" count="1">
            <x v="7"/>
          </reference>
        </references>
      </pivotArea>
    </format>
    <format dxfId="2692">
      <pivotArea dataOnly="0" labelOnly="1" outline="0" fieldPosition="0">
        <references count="9">
          <reference field="3" count="1" selected="0">
            <x v="1222"/>
          </reference>
          <reference field="4" count="1" selected="0">
            <x v="493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605"/>
          </reference>
          <reference field="19" count="1" selected="0">
            <x v="0"/>
          </reference>
          <reference field="21" count="1" selected="0">
            <x v="4"/>
          </reference>
          <reference field="22" count="1" selected="0">
            <x v="0"/>
          </reference>
          <reference field="24" count="1">
            <x v="1"/>
          </reference>
        </references>
      </pivotArea>
    </format>
    <format dxfId="2691">
      <pivotArea dataOnly="0" labelOnly="1" outline="0" fieldPosition="0">
        <references count="9">
          <reference field="3" count="1" selected="0">
            <x v="1226"/>
          </reference>
          <reference field="4" count="1" selected="0">
            <x v="675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480"/>
          </reference>
          <reference field="19" count="1" selected="0">
            <x v="0"/>
          </reference>
          <reference field="21" count="1" selected="0">
            <x v="8"/>
          </reference>
          <reference field="22" count="1" selected="0">
            <x v="1"/>
          </reference>
          <reference field="24" count="1">
            <x v="0"/>
          </reference>
        </references>
      </pivotArea>
    </format>
    <format dxfId="2690">
      <pivotArea dataOnly="0" labelOnly="1" outline="0" fieldPosition="0">
        <references count="9">
          <reference field="3" count="1" selected="0">
            <x v="1261"/>
          </reference>
          <reference field="4" count="1" selected="0">
            <x v="914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423"/>
          </reference>
          <reference field="19" count="1" selected="0">
            <x v="0"/>
          </reference>
          <reference field="21" count="1" selected="0">
            <x v="10"/>
          </reference>
          <reference field="22" count="1" selected="0">
            <x v="1"/>
          </reference>
          <reference field="24" count="1">
            <x v="3"/>
          </reference>
        </references>
      </pivotArea>
    </format>
    <format dxfId="2689">
      <pivotArea dataOnly="0" labelOnly="1" outline="0" fieldPosition="0">
        <references count="9">
          <reference field="3" count="1" selected="0">
            <x v="1262"/>
          </reference>
          <reference field="4" count="1" selected="0">
            <x v="1155"/>
          </reference>
          <reference field="11" count="1" selected="0">
            <x v="12"/>
          </reference>
          <reference field="12" count="1" selected="0">
            <x v="19"/>
          </reference>
          <reference field="14" count="1" selected="0">
            <x v="876"/>
          </reference>
          <reference field="19" count="1" selected="0">
            <x v="0"/>
          </reference>
          <reference field="21" count="1" selected="0">
            <x v="4"/>
          </reference>
          <reference field="22" count="1" selected="0">
            <x v="0"/>
          </reference>
          <reference field="24" count="1">
            <x v="2"/>
          </reference>
        </references>
      </pivotArea>
    </format>
    <format dxfId="2688">
      <pivotArea dataOnly="0" labelOnly="1" outline="0" fieldPosition="0">
        <references count="9">
          <reference field="3" count="1" selected="0">
            <x v="1285"/>
          </reference>
          <reference field="4" count="1" selected="0">
            <x v="820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780"/>
          </reference>
          <reference field="19" count="1" selected="0">
            <x v="0"/>
          </reference>
          <reference field="21" count="1" selected="0">
            <x v="10"/>
          </reference>
          <reference field="22" count="1" selected="0">
            <x v="1"/>
          </reference>
          <reference field="24" count="1">
            <x v="2"/>
          </reference>
        </references>
      </pivotArea>
    </format>
    <format dxfId="2687">
      <pivotArea dataOnly="0" labelOnly="1" outline="0" fieldPosition="0">
        <references count="9">
          <reference field="3" count="1" selected="0">
            <x v="1288"/>
          </reference>
          <reference field="4" count="1" selected="0">
            <x v="1395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495"/>
          </reference>
          <reference field="19" count="1" selected="0">
            <x v="0"/>
          </reference>
          <reference field="21" count="1" selected="0">
            <x v="12"/>
          </reference>
          <reference field="22" count="1" selected="0">
            <x v="1"/>
          </reference>
          <reference field="24" count="1">
            <x v="4"/>
          </reference>
        </references>
      </pivotArea>
    </format>
    <format dxfId="2686">
      <pivotArea dataOnly="0" labelOnly="1" outline="0" fieldPosition="0">
        <references count="9">
          <reference field="3" count="1" selected="0">
            <x v="1291"/>
          </reference>
          <reference field="4" count="1" selected="0">
            <x v="2250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555"/>
          </reference>
          <reference field="19" count="1" selected="0">
            <x v="0"/>
          </reference>
          <reference field="21" count="1" selected="0">
            <x v="9"/>
          </reference>
          <reference field="22" count="1" selected="0">
            <x v="1"/>
          </reference>
          <reference field="24" count="1">
            <x v="2"/>
          </reference>
        </references>
      </pivotArea>
    </format>
    <format dxfId="2685">
      <pivotArea dataOnly="0" labelOnly="1" outline="0" fieldPosition="0">
        <references count="9">
          <reference field="3" count="1" selected="0">
            <x v="1318"/>
          </reference>
          <reference field="4" count="1" selected="0">
            <x v="821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81"/>
          </reference>
          <reference field="19" count="1" selected="0">
            <x v="0"/>
          </reference>
          <reference field="21" count="1" selected="0">
            <x v="12"/>
          </reference>
          <reference field="22" count="1" selected="0">
            <x v="1"/>
          </reference>
          <reference field="24" count="1">
            <x v="2"/>
          </reference>
        </references>
      </pivotArea>
    </format>
    <format dxfId="2684">
      <pivotArea dataOnly="0" labelOnly="1" outline="0" fieldPosition="0">
        <references count="9">
          <reference field="3" count="1" selected="0">
            <x v="1343"/>
          </reference>
          <reference field="4" count="1" selected="0">
            <x v="798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745"/>
          </reference>
          <reference field="19" count="1" selected="0">
            <x v="0"/>
          </reference>
          <reference field="21" count="1" selected="0">
            <x v="5"/>
          </reference>
          <reference field="22" count="1" selected="0">
            <x v="0"/>
          </reference>
          <reference field="24" count="1">
            <x v="7"/>
          </reference>
        </references>
      </pivotArea>
    </format>
    <format dxfId="2683">
      <pivotArea dataOnly="0" labelOnly="1" outline="0" fieldPosition="0">
        <references count="9">
          <reference field="3" count="1" selected="0">
            <x v="1353"/>
          </reference>
          <reference field="4" count="1" selected="0">
            <x v="1359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474"/>
          </reference>
          <reference field="19" count="1" selected="0">
            <x v="0"/>
          </reference>
          <reference field="21" count="1" selected="0">
            <x v="8"/>
          </reference>
          <reference field="22" count="1" selected="0">
            <x v="1"/>
          </reference>
          <reference field="24" count="1">
            <x v="2"/>
          </reference>
        </references>
      </pivotArea>
    </format>
    <format dxfId="2682">
      <pivotArea dataOnly="0" labelOnly="1" outline="0" fieldPosition="0">
        <references count="9">
          <reference field="3" count="1" selected="0">
            <x v="1383"/>
          </reference>
          <reference field="4" count="1" selected="0">
            <x v="721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03"/>
          </reference>
          <reference field="19" count="1" selected="0">
            <x v="0"/>
          </reference>
          <reference field="21" count="1" selected="0">
            <x v="4"/>
          </reference>
          <reference field="22" count="1" selected="0">
            <x v="0"/>
          </reference>
          <reference field="24" count="1">
            <x v="2"/>
          </reference>
        </references>
      </pivotArea>
    </format>
    <format dxfId="2681">
      <pivotArea dataOnly="0" labelOnly="1" outline="0" fieldPosition="0">
        <references count="9">
          <reference field="3" count="1" selected="0">
            <x v="1391"/>
          </reference>
          <reference field="4" count="1" selected="0">
            <x v="693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260"/>
          </reference>
          <reference field="19" count="1" selected="0">
            <x v="0"/>
          </reference>
          <reference field="21" count="1" selected="0">
            <x v="12"/>
          </reference>
          <reference field="22" count="1" selected="0">
            <x v="1"/>
          </reference>
          <reference field="24" count="1">
            <x v="7"/>
          </reference>
        </references>
      </pivotArea>
    </format>
    <format dxfId="2680">
      <pivotArea dataOnly="0" labelOnly="1" outline="0" fieldPosition="0">
        <references count="9">
          <reference field="3" count="1" selected="0">
            <x v="1415"/>
          </reference>
          <reference field="4" count="1" selected="0">
            <x v="7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99"/>
          </reference>
          <reference field="19" count="1" selected="0">
            <x v="0"/>
          </reference>
          <reference field="21" count="1" selected="0">
            <x v="11"/>
          </reference>
          <reference field="22" count="1" selected="0">
            <x v="1"/>
          </reference>
          <reference field="24" count="1">
            <x v="7"/>
          </reference>
        </references>
      </pivotArea>
    </format>
    <format dxfId="2679">
      <pivotArea dataOnly="0" labelOnly="1" outline="0" fieldPosition="0">
        <references count="9">
          <reference field="3" count="1" selected="0">
            <x v="1427"/>
          </reference>
          <reference field="4" count="1" selected="0">
            <x v="1527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29"/>
          </reference>
          <reference field="19" count="1" selected="0">
            <x v="1"/>
          </reference>
          <reference field="21" count="1" selected="0">
            <x v="6"/>
          </reference>
          <reference field="22" count="1" selected="0">
            <x v="1"/>
          </reference>
          <reference field="24" count="1">
            <x v="2"/>
          </reference>
        </references>
      </pivotArea>
    </format>
    <format dxfId="2678">
      <pivotArea dataOnly="0" labelOnly="1" outline="0" fieldPosition="0">
        <references count="9">
          <reference field="3" count="1" selected="0">
            <x v="1435"/>
          </reference>
          <reference field="4" count="1" selected="0">
            <x v="619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751"/>
          </reference>
          <reference field="19" count="1" selected="0">
            <x v="0"/>
          </reference>
          <reference field="21" count="1" selected="0">
            <x v="10"/>
          </reference>
          <reference field="22" count="1" selected="0">
            <x v="1"/>
          </reference>
          <reference field="24" count="1">
            <x v="0"/>
          </reference>
        </references>
      </pivotArea>
    </format>
    <format dxfId="2677">
      <pivotArea dataOnly="0" labelOnly="1" outline="0" fieldPosition="0">
        <references count="9">
          <reference field="3" count="1" selected="0">
            <x v="1449"/>
          </reference>
          <reference field="4" count="1" selected="0">
            <x v="18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871"/>
          </reference>
          <reference field="19" count="1" selected="0">
            <x v="0"/>
          </reference>
          <reference field="21" count="1" selected="0">
            <x v="8"/>
          </reference>
          <reference field="22" count="1" selected="0">
            <x v="1"/>
          </reference>
          <reference field="24" count="1">
            <x v="7"/>
          </reference>
        </references>
      </pivotArea>
    </format>
    <format dxfId="2676">
      <pivotArea dataOnly="0" labelOnly="1" outline="0" fieldPosition="0">
        <references count="9">
          <reference field="3" count="1" selected="0">
            <x v="1452"/>
          </reference>
          <reference field="4" count="1" selected="0">
            <x v="1112"/>
          </reference>
          <reference field="11" count="1" selected="0">
            <x v="12"/>
          </reference>
          <reference field="12" count="1" selected="0">
            <x v="7"/>
          </reference>
          <reference field="14" count="1" selected="0">
            <x v="794"/>
          </reference>
          <reference field="19" count="1" selected="0">
            <x v="1"/>
          </reference>
          <reference field="21" count="1" selected="0">
            <x v="13"/>
          </reference>
          <reference field="22" count="1" selected="0">
            <x v="1"/>
          </reference>
          <reference field="24" count="1">
            <x v="0"/>
          </reference>
        </references>
      </pivotArea>
    </format>
    <format dxfId="2675">
      <pivotArea dataOnly="0" labelOnly="1" outline="0" fieldPosition="0">
        <references count="9">
          <reference field="3" count="1" selected="0">
            <x v="1482"/>
          </reference>
          <reference field="4" count="1" selected="0">
            <x v="2109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346"/>
          </reference>
          <reference field="19" count="1" selected="0">
            <x v="0"/>
          </reference>
          <reference field="21" count="1" selected="0">
            <x v="6"/>
          </reference>
          <reference field="22" count="1" selected="0">
            <x v="1"/>
          </reference>
          <reference field="24" count="1">
            <x v="3"/>
          </reference>
        </references>
      </pivotArea>
    </format>
    <format dxfId="2674">
      <pivotArea dataOnly="0" labelOnly="1" outline="0" fieldPosition="0">
        <references count="9">
          <reference field="3" count="1" selected="0">
            <x v="1511"/>
          </reference>
          <reference field="4" count="1" selected="0">
            <x v="671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537"/>
          </reference>
          <reference field="19" count="1" selected="0">
            <x v="0"/>
          </reference>
          <reference field="21" count="1" selected="0">
            <x v="3"/>
          </reference>
          <reference field="22" count="1" selected="0">
            <x v="0"/>
          </reference>
          <reference field="24" count="1">
            <x v="3"/>
          </reference>
        </references>
      </pivotArea>
    </format>
    <format dxfId="2673">
      <pivotArea dataOnly="0" labelOnly="1" outline="0" fieldPosition="0">
        <references count="9">
          <reference field="3" count="1" selected="0">
            <x v="1512"/>
          </reference>
          <reference field="4" count="1" selected="0">
            <x v="1290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529"/>
          </reference>
          <reference field="19" count="1" selected="0">
            <x v="0"/>
          </reference>
          <reference field="21" count="1" selected="0">
            <x v="9"/>
          </reference>
          <reference field="22" count="1" selected="0">
            <x v="1"/>
          </reference>
          <reference field="24" count="1">
            <x v="7"/>
          </reference>
        </references>
      </pivotArea>
    </format>
    <format dxfId="2672">
      <pivotArea dataOnly="0" labelOnly="1" outline="0" fieldPosition="0">
        <references count="9">
          <reference field="3" count="1" selected="0">
            <x v="1514"/>
          </reference>
          <reference field="4" count="1" selected="0">
            <x v="938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864"/>
          </reference>
          <reference field="19" count="1" selected="0">
            <x v="0"/>
          </reference>
          <reference field="21" count="1" selected="0">
            <x v="9"/>
          </reference>
          <reference field="22" count="1" selected="0">
            <x v="1"/>
          </reference>
          <reference field="24" count="1">
            <x v="4"/>
          </reference>
        </references>
      </pivotArea>
    </format>
    <format dxfId="2671">
      <pivotArea dataOnly="0" labelOnly="1" outline="0" fieldPosition="0">
        <references count="9">
          <reference field="3" count="1" selected="0">
            <x v="1515"/>
          </reference>
          <reference field="4" count="1" selected="0">
            <x v="1331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442"/>
          </reference>
          <reference field="19" count="1" selected="0">
            <x v="0"/>
          </reference>
          <reference field="21" count="1" selected="0">
            <x v="6"/>
          </reference>
          <reference field="22" count="1" selected="0">
            <x v="1"/>
          </reference>
          <reference field="24" count="1">
            <x v="7"/>
          </reference>
        </references>
      </pivotArea>
    </format>
    <format dxfId="2670">
      <pivotArea dataOnly="0" labelOnly="1" outline="0" fieldPosition="0">
        <references count="9">
          <reference field="3" count="1" selected="0">
            <x v="1534"/>
          </reference>
          <reference field="4" count="1" selected="0">
            <x v="2528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394"/>
          </reference>
          <reference field="19" count="1" selected="0">
            <x v="0"/>
          </reference>
          <reference field="21" count="1" selected="0">
            <x v="8"/>
          </reference>
          <reference field="22" count="1" selected="0">
            <x v="1"/>
          </reference>
          <reference field="24" count="1">
            <x v="2"/>
          </reference>
        </references>
      </pivotArea>
    </format>
    <format dxfId="2669">
      <pivotArea dataOnly="0" labelOnly="1" outline="0" fieldPosition="0">
        <references count="9">
          <reference field="3" count="1" selected="0">
            <x v="1564"/>
          </reference>
          <reference field="4" count="1" selected="0">
            <x v="1062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855"/>
          </reference>
          <reference field="19" count="1" selected="0">
            <x v="0"/>
          </reference>
          <reference field="21" count="1" selected="0">
            <x v="4"/>
          </reference>
          <reference field="22" count="1" selected="0">
            <x v="0"/>
          </reference>
          <reference field="24" count="1">
            <x v="4"/>
          </reference>
        </references>
      </pivotArea>
    </format>
    <format dxfId="2668">
      <pivotArea dataOnly="0" labelOnly="1" outline="0" fieldPosition="0">
        <references count="9">
          <reference field="3" count="1" selected="0">
            <x v="1619"/>
          </reference>
          <reference field="4" count="1" selected="0">
            <x v="118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872"/>
          </reference>
          <reference field="19" count="1" selected="0">
            <x v="0"/>
          </reference>
          <reference field="21" count="1" selected="0">
            <x v="8"/>
          </reference>
          <reference field="22" count="1" selected="0">
            <x v="1"/>
          </reference>
          <reference field="24" count="1">
            <x v="4"/>
          </reference>
        </references>
      </pivotArea>
    </format>
    <format dxfId="2667">
      <pivotArea dataOnly="0" labelOnly="1" outline="0" fieldPosition="0">
        <references count="9">
          <reference field="3" count="1" selected="0">
            <x v="1626"/>
          </reference>
          <reference field="4" count="1" selected="0">
            <x v="2472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74"/>
          </reference>
          <reference field="19" count="1" selected="0">
            <x v="1"/>
          </reference>
          <reference field="21" count="1" selected="0">
            <x v="7"/>
          </reference>
          <reference field="22" count="1" selected="0">
            <x v="1"/>
          </reference>
          <reference field="24" count="1">
            <x v="0"/>
          </reference>
        </references>
      </pivotArea>
    </format>
    <format dxfId="2666">
      <pivotArea dataOnly="0" labelOnly="1" outline="0" fieldPosition="0">
        <references count="9">
          <reference field="3" count="1" selected="0">
            <x v="1645"/>
          </reference>
          <reference field="4" count="1" selected="0">
            <x v="1988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57"/>
          </reference>
          <reference field="19" count="1" selected="0">
            <x v="0"/>
          </reference>
          <reference field="21" count="1" selected="0">
            <x v="9"/>
          </reference>
          <reference field="22" count="1" selected="0">
            <x v="1"/>
          </reference>
          <reference field="24" count="1">
            <x v="4"/>
          </reference>
        </references>
      </pivotArea>
    </format>
    <format dxfId="2665">
      <pivotArea dataOnly="0" labelOnly="1" outline="0" fieldPosition="0">
        <references count="9">
          <reference field="3" count="1" selected="0">
            <x v="1647"/>
          </reference>
          <reference field="4" count="1" selected="0">
            <x v="2228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67"/>
          </reference>
          <reference field="19" count="1" selected="0">
            <x v="0"/>
          </reference>
          <reference field="21" count="1" selected="0">
            <x v="7"/>
          </reference>
          <reference field="22" count="1" selected="0">
            <x v="1"/>
          </reference>
          <reference field="24" count="1">
            <x v="0"/>
          </reference>
        </references>
      </pivotArea>
    </format>
    <format dxfId="2664">
      <pivotArea dataOnly="0" labelOnly="1" outline="0" fieldPosition="0">
        <references count="9">
          <reference field="3" count="1" selected="0">
            <x v="1687"/>
          </reference>
          <reference field="4" count="1" selected="0">
            <x v="765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849"/>
          </reference>
          <reference field="19" count="1" selected="0">
            <x v="0"/>
          </reference>
          <reference field="21" count="1" selected="0">
            <x v="3"/>
          </reference>
          <reference field="22" count="1" selected="0">
            <x v="0"/>
          </reference>
          <reference field="24" count="1">
            <x v="7"/>
          </reference>
        </references>
      </pivotArea>
    </format>
    <format dxfId="2663">
      <pivotArea dataOnly="0" labelOnly="1" outline="0" fieldPosition="0">
        <references count="9">
          <reference field="3" count="1" selected="0">
            <x v="1712"/>
          </reference>
          <reference field="4" count="1" selected="0">
            <x v="1023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346"/>
          </reference>
          <reference field="19" count="1" selected="0">
            <x v="0"/>
          </reference>
          <reference field="21" count="1" selected="0">
            <x v="33"/>
          </reference>
          <reference field="22" count="1" selected="0">
            <x v="4"/>
          </reference>
          <reference field="24" count="1">
            <x v="2"/>
          </reference>
        </references>
      </pivotArea>
    </format>
    <format dxfId="2662">
      <pivotArea dataOnly="0" labelOnly="1" outline="0" fieldPosition="0">
        <references count="9">
          <reference field="3" count="1" selected="0">
            <x v="1715"/>
          </reference>
          <reference field="4" count="1" selected="0">
            <x v="305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276"/>
          </reference>
          <reference field="19" count="1" selected="0">
            <x v="0"/>
          </reference>
          <reference field="21" count="1" selected="0">
            <x v="29"/>
          </reference>
          <reference field="22" count="1" selected="0">
            <x v="3"/>
          </reference>
          <reference field="24" count="1">
            <x v="2"/>
          </reference>
        </references>
      </pivotArea>
    </format>
    <format dxfId="2661">
      <pivotArea dataOnly="0" labelOnly="1" outline="0" fieldPosition="0">
        <references count="9">
          <reference field="3" count="1" selected="0">
            <x v="1717"/>
          </reference>
          <reference field="4" count="1" selected="0">
            <x v="1500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144"/>
          </reference>
          <reference field="19" count="1" selected="0">
            <x v="0"/>
          </reference>
          <reference field="21" count="1" selected="0">
            <x v="8"/>
          </reference>
          <reference field="22" count="1" selected="0">
            <x v="1"/>
          </reference>
          <reference field="24" count="1">
            <x v="7"/>
          </reference>
        </references>
      </pivotArea>
    </format>
    <format dxfId="2660">
      <pivotArea dataOnly="0" labelOnly="1" outline="0" fieldPosition="0">
        <references count="9">
          <reference field="3" count="1" selected="0">
            <x v="1720"/>
          </reference>
          <reference field="4" count="1" selected="0">
            <x v="662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81"/>
          </reference>
          <reference field="19" count="1" selected="0">
            <x v="0"/>
          </reference>
          <reference field="21" count="1" selected="0">
            <x v="27"/>
          </reference>
          <reference field="22" count="1" selected="0">
            <x v="3"/>
          </reference>
          <reference field="24" count="1">
            <x v="2"/>
          </reference>
        </references>
      </pivotArea>
    </format>
    <format dxfId="2659">
      <pivotArea dataOnly="0" labelOnly="1" outline="0" fieldPosition="0">
        <references count="9">
          <reference field="3" count="1" selected="0">
            <x v="1741"/>
          </reference>
          <reference field="4" count="1" selected="0">
            <x v="642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644"/>
          </reference>
          <reference field="19" count="1" selected="0">
            <x v="0"/>
          </reference>
          <reference field="21" count="1" selected="0">
            <x v="40"/>
          </reference>
          <reference field="22" count="1" selected="0">
            <x v="4"/>
          </reference>
          <reference field="24" count="1">
            <x v="7"/>
          </reference>
        </references>
      </pivotArea>
    </format>
    <format dxfId="2658">
      <pivotArea dataOnly="0" labelOnly="1" outline="0" fieldPosition="0">
        <references count="9">
          <reference field="3" count="1" selected="0">
            <x v="1746"/>
          </reference>
          <reference field="4" count="1" selected="0">
            <x v="43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429"/>
          </reference>
          <reference field="19" count="1" selected="0">
            <x v="0"/>
          </reference>
          <reference field="21" count="1" selected="0">
            <x v="31"/>
          </reference>
          <reference field="22" count="1" selected="0">
            <x v="3"/>
          </reference>
          <reference field="24" count="1">
            <x v="0"/>
          </reference>
        </references>
      </pivotArea>
    </format>
    <format dxfId="2657">
      <pivotArea dataOnly="0" labelOnly="1" outline="0" fieldPosition="0">
        <references count="9">
          <reference field="3" count="1" selected="0">
            <x v="1747"/>
          </reference>
          <reference field="4" count="1" selected="0">
            <x v="1530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69"/>
          </reference>
          <reference field="19" count="1" selected="0">
            <x v="0"/>
          </reference>
          <reference field="21" count="1" selected="0">
            <x v="27"/>
          </reference>
          <reference field="22" count="1" selected="0">
            <x v="3"/>
          </reference>
          <reference field="24" count="1">
            <x v="2"/>
          </reference>
        </references>
      </pivotArea>
    </format>
    <format dxfId="2656">
      <pivotArea dataOnly="0" labelOnly="1" outline="0" fieldPosition="0">
        <references count="9">
          <reference field="3" count="1" selected="0">
            <x v="1748"/>
          </reference>
          <reference field="4" count="1" selected="0">
            <x v="1069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73"/>
          </reference>
          <reference field="19" count="1" selected="0">
            <x v="0"/>
          </reference>
          <reference field="21" count="1" selected="0">
            <x v="26"/>
          </reference>
          <reference field="22" count="1" selected="0">
            <x v="3"/>
          </reference>
          <reference field="24" count="1">
            <x v="2"/>
          </reference>
        </references>
      </pivotArea>
    </format>
    <format dxfId="2655">
      <pivotArea dataOnly="0" labelOnly="1" outline="0" fieldPosition="0">
        <references count="9">
          <reference field="3" count="1" selected="0">
            <x v="1750"/>
          </reference>
          <reference field="4" count="1" selected="0">
            <x v="698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417"/>
          </reference>
          <reference field="19" count="1" selected="0">
            <x v="0"/>
          </reference>
          <reference field="21" count="1" selected="0">
            <x v="23"/>
          </reference>
          <reference field="22" count="1" selected="0">
            <x v="3"/>
          </reference>
          <reference field="24" count="1">
            <x v="2"/>
          </reference>
        </references>
      </pivotArea>
    </format>
    <format dxfId="2654">
      <pivotArea dataOnly="0" labelOnly="1" outline="0" fieldPosition="0">
        <references count="9">
          <reference field="3" count="1" selected="0">
            <x v="1753"/>
          </reference>
          <reference field="4" count="1" selected="0">
            <x v="871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324"/>
          </reference>
          <reference field="19" count="1" selected="0">
            <x v="0"/>
          </reference>
          <reference field="21" count="1" selected="0">
            <x v="19"/>
          </reference>
          <reference field="22" count="1" selected="0">
            <x v="2"/>
          </reference>
          <reference field="24" count="1">
            <x v="7"/>
          </reference>
        </references>
      </pivotArea>
    </format>
    <format dxfId="2653">
      <pivotArea dataOnly="0" labelOnly="1" outline="0" fieldPosition="0">
        <references count="9">
          <reference field="3" count="1" selected="0">
            <x v="1758"/>
          </reference>
          <reference field="4" count="1" selected="0">
            <x v="192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06"/>
          </reference>
          <reference field="19" count="1" selected="0">
            <x v="0"/>
          </reference>
          <reference field="21" count="1" selected="0">
            <x v="13"/>
          </reference>
          <reference field="22" count="1" selected="0">
            <x v="1"/>
          </reference>
          <reference field="24" count="1">
            <x v="0"/>
          </reference>
        </references>
      </pivotArea>
    </format>
    <format dxfId="2652">
      <pivotArea dataOnly="0" labelOnly="1" outline="0" fieldPosition="0">
        <references count="9">
          <reference field="3" count="1" selected="0">
            <x v="1761"/>
          </reference>
          <reference field="4" count="1" selected="0">
            <x v="133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293"/>
          </reference>
          <reference field="19" count="1" selected="0">
            <x v="0"/>
          </reference>
          <reference field="21" count="1" selected="0">
            <x v="17"/>
          </reference>
          <reference field="22" count="1" selected="0">
            <x v="2"/>
          </reference>
          <reference field="24" count="1">
            <x v="2"/>
          </reference>
        </references>
      </pivotArea>
    </format>
    <format dxfId="2651">
      <pivotArea dataOnly="0" labelOnly="1" outline="0" fieldPosition="0">
        <references count="9">
          <reference field="3" count="1" selected="0">
            <x v="1765"/>
          </reference>
          <reference field="4" count="1" selected="0">
            <x v="357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771"/>
          </reference>
          <reference field="19" count="1" selected="0">
            <x v="0"/>
          </reference>
          <reference field="21" count="1" selected="0">
            <x v="10"/>
          </reference>
          <reference field="22" count="1" selected="0">
            <x v="1"/>
          </reference>
          <reference field="24" count="1">
            <x v="0"/>
          </reference>
        </references>
      </pivotArea>
    </format>
    <format dxfId="2650">
      <pivotArea dataOnly="0" labelOnly="1" outline="0" fieldPosition="0">
        <references count="9">
          <reference field="3" count="1" selected="0">
            <x v="1767"/>
          </reference>
          <reference field="4" count="1" selected="0">
            <x v="26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819"/>
          </reference>
          <reference field="19" count="1" selected="0">
            <x v="0"/>
          </reference>
          <reference field="21" count="1" selected="0">
            <x v="5"/>
          </reference>
          <reference field="22" count="1" selected="0">
            <x v="0"/>
          </reference>
          <reference field="24" count="1">
            <x v="2"/>
          </reference>
        </references>
      </pivotArea>
    </format>
    <format dxfId="2649">
      <pivotArea dataOnly="0" labelOnly="1" outline="0" fieldPosition="0">
        <references count="9">
          <reference field="3" count="1" selected="0">
            <x v="1771"/>
          </reference>
          <reference field="4" count="1" selected="0">
            <x v="1144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19"/>
          </reference>
          <reference field="19" count="1" selected="0">
            <x v="0"/>
          </reference>
          <reference field="21" count="1" selected="0">
            <x v="5"/>
          </reference>
          <reference field="22" count="1" selected="0">
            <x v="0"/>
          </reference>
          <reference field="24" count="1">
            <x v="2"/>
          </reference>
        </references>
      </pivotArea>
    </format>
    <format dxfId="2648">
      <pivotArea dataOnly="0" labelOnly="1" outline="0" fieldPosition="0">
        <references count="9">
          <reference field="3" count="1" selected="0">
            <x v="1783"/>
          </reference>
          <reference field="4" count="1" selected="0">
            <x v="432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605"/>
          </reference>
          <reference field="19" count="1" selected="0">
            <x v="0"/>
          </reference>
          <reference field="21" count="1" selected="0">
            <x v="9"/>
          </reference>
          <reference field="22" count="1" selected="0">
            <x v="1"/>
          </reference>
          <reference field="24" count="1">
            <x v="2"/>
          </reference>
        </references>
      </pivotArea>
    </format>
    <format dxfId="2647">
      <pivotArea dataOnly="0" labelOnly="1" outline="0" fieldPosition="0">
        <references count="9">
          <reference field="3" count="1" selected="0">
            <x v="1784"/>
          </reference>
          <reference field="4" count="1" selected="0">
            <x v="1201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768"/>
          </reference>
          <reference field="19" count="1" selected="0">
            <x v="0"/>
          </reference>
          <reference field="21" count="1" selected="0">
            <x v="6"/>
          </reference>
          <reference field="22" count="1" selected="0">
            <x v="1"/>
          </reference>
          <reference field="24" count="1">
            <x v="3"/>
          </reference>
        </references>
      </pivotArea>
    </format>
    <format dxfId="2646">
      <pivotArea dataOnly="0" labelOnly="1" outline="0" fieldPosition="0">
        <references count="9">
          <reference field="3" count="1" selected="0">
            <x v="1785"/>
          </reference>
          <reference field="4" count="1" selected="0">
            <x v="121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640"/>
          </reference>
          <reference field="19" count="1" selected="0">
            <x v="0"/>
          </reference>
          <reference field="21" count="1" selected="0">
            <x v="8"/>
          </reference>
          <reference field="22" count="1" selected="0">
            <x v="1"/>
          </reference>
          <reference field="24" count="1">
            <x v="2"/>
          </reference>
        </references>
      </pivotArea>
    </format>
    <format dxfId="2645">
      <pivotArea dataOnly="0" labelOnly="1" outline="0" fieldPosition="0">
        <references count="9">
          <reference field="3" count="1" selected="0">
            <x v="1786"/>
          </reference>
          <reference field="4" count="1" selected="0">
            <x v="101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406"/>
          </reference>
          <reference field="19" count="1" selected="0">
            <x v="0"/>
          </reference>
          <reference field="21" count="1" selected="0">
            <x v="11"/>
          </reference>
          <reference field="22" count="1" selected="0">
            <x v="1"/>
          </reference>
          <reference field="24" count="1">
            <x v="0"/>
          </reference>
        </references>
      </pivotArea>
    </format>
    <format dxfId="2644">
      <pivotArea dataOnly="0" labelOnly="1" outline="0" fieldPosition="0">
        <references count="9">
          <reference field="3" count="1" selected="0">
            <x v="1789"/>
          </reference>
          <reference field="4" count="1" selected="0">
            <x v="1458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472"/>
          </reference>
          <reference field="19" count="1" selected="0">
            <x v="0"/>
          </reference>
          <reference field="21" count="1" selected="0">
            <x v="10"/>
          </reference>
          <reference field="22" count="1" selected="0">
            <x v="1"/>
          </reference>
          <reference field="24" count="1">
            <x v="0"/>
          </reference>
        </references>
      </pivotArea>
    </format>
    <format dxfId="2643">
      <pivotArea dataOnly="0" labelOnly="1" outline="0" fieldPosition="0">
        <references count="9">
          <reference field="3" count="1" selected="0">
            <x v="1790"/>
          </reference>
          <reference field="4" count="1" selected="0">
            <x v="333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780"/>
          </reference>
          <reference field="19" count="1" selected="0">
            <x v="0"/>
          </reference>
          <reference field="21" count="1" selected="0">
            <x v="31"/>
          </reference>
          <reference field="22" count="1" selected="0">
            <x v="3"/>
          </reference>
          <reference field="24" count="1">
            <x v="3"/>
          </reference>
        </references>
      </pivotArea>
    </format>
    <format dxfId="2642">
      <pivotArea dataOnly="0" labelOnly="1" outline="0" fieldPosition="0">
        <references count="9">
          <reference field="3" count="1" selected="0">
            <x v="1804"/>
          </reference>
          <reference field="4" count="1" selected="0">
            <x v="251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02"/>
          </reference>
          <reference field="19" count="1" selected="0">
            <x v="0"/>
          </reference>
          <reference field="21" count="1" selected="0">
            <x v="21"/>
          </reference>
          <reference field="22" count="1" selected="0">
            <x v="2"/>
          </reference>
          <reference field="24" count="1">
            <x v="1"/>
          </reference>
        </references>
      </pivotArea>
    </format>
    <format dxfId="2641">
      <pivotArea dataOnly="0" labelOnly="1" outline="0" fieldPosition="0">
        <references count="9">
          <reference field="3" count="1" selected="0">
            <x v="1827"/>
          </reference>
          <reference field="4" count="1" selected="0">
            <x v="916"/>
          </reference>
          <reference field="11" count="1" selected="0">
            <x v="11"/>
          </reference>
          <reference field="12" count="1" selected="0">
            <x v="31"/>
          </reference>
          <reference field="14" count="1" selected="0">
            <x v="926"/>
          </reference>
          <reference field="19" count="1" selected="0">
            <x v="0"/>
          </reference>
          <reference field="21" count="1" selected="0">
            <x v="16"/>
          </reference>
          <reference field="22" count="1" selected="0">
            <x v="2"/>
          </reference>
          <reference field="24" count="1">
            <x v="2"/>
          </reference>
        </references>
      </pivotArea>
    </format>
    <format dxfId="2640">
      <pivotArea dataOnly="0" labelOnly="1" outline="0" fieldPosition="0">
        <references count="9">
          <reference field="3" count="1" selected="0">
            <x v="1840"/>
          </reference>
          <reference field="4" count="1" selected="0">
            <x v="1879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14"/>
          </reference>
          <reference field="19" count="1" selected="0">
            <x v="0"/>
          </reference>
          <reference field="21" count="1" selected="0">
            <x v="18"/>
          </reference>
          <reference field="22" count="1" selected="0">
            <x v="2"/>
          </reference>
          <reference field="24" count="1">
            <x v="0"/>
          </reference>
        </references>
      </pivotArea>
    </format>
    <format dxfId="2639">
      <pivotArea dataOnly="0" labelOnly="1" outline="0" fieldPosition="0">
        <references count="9">
          <reference field="3" count="1" selected="0">
            <x v="1851"/>
          </reference>
          <reference field="4" count="1" selected="0">
            <x v="1904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21"/>
          </reference>
          <reference field="19" count="1" selected="0">
            <x v="0"/>
          </reference>
          <reference field="21" count="1" selected="0">
            <x v="17"/>
          </reference>
          <reference field="22" count="1" selected="0">
            <x v="2"/>
          </reference>
          <reference field="24" count="1">
            <x v="1"/>
          </reference>
        </references>
      </pivotArea>
    </format>
    <format dxfId="2638">
      <pivotArea dataOnly="0" labelOnly="1" outline="0" fieldPosition="0">
        <references count="9">
          <reference field="3" count="1" selected="0">
            <x v="1853"/>
          </reference>
          <reference field="4" count="1" selected="0">
            <x v="1578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28"/>
          </reference>
          <reference field="19" count="1" selected="0">
            <x v="0"/>
          </reference>
          <reference field="21" count="1" selected="0">
            <x v="3"/>
          </reference>
          <reference field="22" count="1" selected="0">
            <x v="0"/>
          </reference>
          <reference field="24" count="1">
            <x v="2"/>
          </reference>
        </references>
      </pivotArea>
    </format>
    <format dxfId="2637">
      <pivotArea dataOnly="0" labelOnly="1" outline="0" fieldPosition="0">
        <references count="9">
          <reference field="3" count="1" selected="0">
            <x v="1894"/>
          </reference>
          <reference field="4" count="1" selected="0">
            <x v="1610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919"/>
          </reference>
          <reference field="19" count="1" selected="0">
            <x v="0"/>
          </reference>
          <reference field="21" count="1" selected="0">
            <x v="12"/>
          </reference>
          <reference field="22" count="1" selected="0">
            <x v="1"/>
          </reference>
          <reference field="24" count="1">
            <x v="1"/>
          </reference>
        </references>
      </pivotArea>
    </format>
    <format dxfId="2636">
      <pivotArea dataOnly="0" labelOnly="1" outline="0" fieldPosition="0">
        <references count="9">
          <reference field="3" count="1" selected="0">
            <x v="1903"/>
          </reference>
          <reference field="4" count="1" selected="0">
            <x v="1612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927"/>
          </reference>
          <reference field="19" count="1" selected="0">
            <x v="0"/>
          </reference>
          <reference field="21" count="1" selected="0">
            <x v="8"/>
          </reference>
          <reference field="22" count="1" selected="0">
            <x v="1"/>
          </reference>
          <reference field="24" count="1">
            <x v="7"/>
          </reference>
        </references>
      </pivotArea>
    </format>
    <format dxfId="2635">
      <pivotArea dataOnly="0" labelOnly="1" outline="0" fieldPosition="0">
        <references count="9">
          <reference field="3" count="1" selected="0">
            <x v="1905"/>
          </reference>
          <reference field="4" count="1" selected="0">
            <x v="1613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898"/>
          </reference>
          <reference field="19" count="1" selected="0">
            <x v="0"/>
          </reference>
          <reference field="21" count="1" selected="0">
            <x v="5"/>
          </reference>
          <reference field="22" count="1" selected="0">
            <x v="0"/>
          </reference>
          <reference field="24" count="1">
            <x v="4"/>
          </reference>
        </references>
      </pivotArea>
    </format>
    <format dxfId="2634">
      <pivotArea dataOnly="0" labelOnly="1" outline="0" fieldPosition="0">
        <references count="9">
          <reference field="3" count="1" selected="0">
            <x v="1906"/>
          </reference>
          <reference field="4" count="1" selected="0">
            <x v="1614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923"/>
          </reference>
          <reference field="19" count="1" selected="0">
            <x v="0"/>
          </reference>
          <reference field="21" count="1" selected="0">
            <x v="30"/>
          </reference>
          <reference field="22" count="1" selected="0">
            <x v="3"/>
          </reference>
          <reference field="24" count="1">
            <x v="4"/>
          </reference>
        </references>
      </pivotArea>
    </format>
    <format dxfId="2633">
      <pivotArea dataOnly="0" labelOnly="1" outline="0" fieldPosition="0">
        <references count="9">
          <reference field="3" count="1" selected="0">
            <x v="1911"/>
          </reference>
          <reference field="4" count="1" selected="0">
            <x v="1618"/>
          </reference>
          <reference field="11" count="1" selected="0">
            <x v="12"/>
          </reference>
          <reference field="12" count="1" selected="0">
            <x v="1"/>
          </reference>
          <reference field="14" count="1" selected="0">
            <x v="882"/>
          </reference>
          <reference field="19" count="1" selected="0">
            <x v="0"/>
          </reference>
          <reference field="21" count="1" selected="0">
            <x v="11"/>
          </reference>
          <reference field="22" count="1" selected="0">
            <x v="1"/>
          </reference>
          <reference field="24" count="1">
            <x v="4"/>
          </reference>
        </references>
      </pivotArea>
    </format>
    <format dxfId="2632">
      <pivotArea dataOnly="0" labelOnly="1" outline="0" fieldPosition="0">
        <references count="9">
          <reference field="3" count="1" selected="0">
            <x v="1916"/>
          </reference>
          <reference field="4" count="1" selected="0">
            <x v="350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30"/>
          </reference>
          <reference field="19" count="1" selected="0">
            <x v="0"/>
          </reference>
          <reference field="21" count="1" selected="0">
            <x v="17"/>
          </reference>
          <reference field="22" count="1" selected="0">
            <x v="2"/>
          </reference>
          <reference field="24" count="1">
            <x v="0"/>
          </reference>
        </references>
      </pivotArea>
    </format>
    <format dxfId="2631">
      <pivotArea dataOnly="0" labelOnly="1" outline="0" fieldPosition="0">
        <references count="9">
          <reference field="3" count="1" selected="0">
            <x v="1917"/>
          </reference>
          <reference field="4" count="1" selected="0">
            <x v="1626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30"/>
          </reference>
          <reference field="19" count="1" selected="0">
            <x v="0"/>
          </reference>
          <reference field="21" count="1" selected="0">
            <x v="34"/>
          </reference>
          <reference field="22" count="1" selected="0">
            <x v="4"/>
          </reference>
          <reference field="24" count="1">
            <x v="2"/>
          </reference>
        </references>
      </pivotArea>
    </format>
    <format dxfId="2630">
      <pivotArea dataOnly="0" labelOnly="1" outline="0" fieldPosition="0">
        <references count="9">
          <reference field="3" count="1" selected="0">
            <x v="1918"/>
          </reference>
          <reference field="4" count="1" selected="0">
            <x v="1627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30"/>
          </reference>
          <reference field="19" count="1" selected="0">
            <x v="0"/>
          </reference>
          <reference field="21" count="1" selected="0">
            <x v="24"/>
          </reference>
          <reference field="22" count="1" selected="0">
            <x v="3"/>
          </reference>
          <reference field="24" count="1">
            <x v="2"/>
          </reference>
        </references>
      </pivotArea>
    </format>
    <format dxfId="2629">
      <pivotArea dataOnly="0" labelOnly="1" outline="0" fieldPosition="0">
        <references count="9">
          <reference field="3" count="1" selected="0">
            <x v="1937"/>
          </reference>
          <reference field="4" count="1" selected="0">
            <x v="1719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926"/>
          </reference>
          <reference field="19" count="1" selected="0">
            <x v="0"/>
          </reference>
          <reference field="21" count="1" selected="0">
            <x v="28"/>
          </reference>
          <reference field="22" count="1" selected="0">
            <x v="3"/>
          </reference>
          <reference field="24" count="1">
            <x v="2"/>
          </reference>
        </references>
      </pivotArea>
    </format>
    <format dxfId="2628">
      <pivotArea dataOnly="0" labelOnly="1" outline="0" fieldPosition="0">
        <references count="9">
          <reference field="3" count="1" selected="0">
            <x v="1949"/>
          </reference>
          <reference field="4" count="1" selected="0">
            <x v="1743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43"/>
          </reference>
          <reference field="19" count="1" selected="0">
            <x v="0"/>
          </reference>
          <reference field="21" count="1" selected="0">
            <x v="30"/>
          </reference>
          <reference field="22" count="1" selected="0">
            <x v="3"/>
          </reference>
          <reference field="24" count="1">
            <x v="3"/>
          </reference>
        </references>
      </pivotArea>
    </format>
    <format dxfId="2627">
      <pivotArea dataOnly="0" labelOnly="1" outline="0" fieldPosition="0">
        <references count="9">
          <reference field="3" count="1" selected="0">
            <x v="1950"/>
          </reference>
          <reference field="4" count="1" selected="0">
            <x v="1744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38"/>
          </reference>
          <reference field="19" count="1" selected="0">
            <x v="0"/>
          </reference>
          <reference field="21" count="1" selected="0">
            <x v="0"/>
          </reference>
          <reference field="22" count="1" selected="0">
            <x v="0"/>
          </reference>
          <reference field="24" count="1">
            <x v="2"/>
          </reference>
        </references>
      </pivotArea>
    </format>
    <format dxfId="2626">
      <pivotArea dataOnly="0" labelOnly="1" outline="0" fieldPosition="0">
        <references count="9">
          <reference field="3" count="1" selected="0">
            <x v="1964"/>
          </reference>
          <reference field="4" count="1" selected="0">
            <x v="1750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47"/>
          </reference>
          <reference field="19" count="1" selected="0">
            <x v="0"/>
          </reference>
          <reference field="21" count="1" selected="0">
            <x v="17"/>
          </reference>
          <reference field="22" count="1" selected="0">
            <x v="2"/>
          </reference>
          <reference field="24" count="1">
            <x v="0"/>
          </reference>
        </references>
      </pivotArea>
    </format>
    <format dxfId="2625">
      <pivotArea dataOnly="0" labelOnly="1" outline="0" fieldPosition="0">
        <references count="9">
          <reference field="3" count="1" selected="0">
            <x v="2040"/>
          </reference>
          <reference field="4" count="1" selected="0">
            <x v="1912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853"/>
          </reference>
          <reference field="19" count="1" selected="0">
            <x v="0"/>
          </reference>
          <reference field="21" count="1" selected="0">
            <x v="6"/>
          </reference>
          <reference field="22" count="1" selected="0">
            <x v="1"/>
          </reference>
          <reference field="24" count="1">
            <x v="0"/>
          </reference>
        </references>
      </pivotArea>
    </format>
    <format dxfId="2624">
      <pivotArea dataOnly="0" labelOnly="1" outline="0" fieldPosition="0">
        <references count="9">
          <reference field="3" count="1" selected="0">
            <x v="2049"/>
          </reference>
          <reference field="4" count="1" selected="0">
            <x v="1092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06"/>
          </reference>
          <reference field="19" count="1" selected="0">
            <x v="0"/>
          </reference>
          <reference field="21" count="1" selected="0">
            <x v="13"/>
          </reference>
          <reference field="22" count="1" selected="0">
            <x v="1"/>
          </reference>
          <reference field="24" count="1">
            <x v="1"/>
          </reference>
        </references>
      </pivotArea>
    </format>
    <format dxfId="2623">
      <pivotArea dataOnly="0" labelOnly="1" outline="0" fieldPosition="0">
        <references count="9">
          <reference field="3" count="1" selected="0">
            <x v="2051"/>
          </reference>
          <reference field="4" count="1" selected="0">
            <x v="1917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18"/>
          </reference>
          <reference field="19" count="1" selected="0">
            <x v="0"/>
          </reference>
          <reference field="21" count="1" selected="0">
            <x v="8"/>
          </reference>
          <reference field="22" count="1" selected="0">
            <x v="1"/>
          </reference>
          <reference field="24" count="1">
            <x v="3"/>
          </reference>
        </references>
      </pivotArea>
    </format>
    <format dxfId="2622">
      <pivotArea dataOnly="0" labelOnly="1" outline="0" fieldPosition="0">
        <references count="9">
          <reference field="3" count="1" selected="0">
            <x v="2089"/>
          </reference>
          <reference field="4" count="1" selected="0">
            <x v="1973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59"/>
          </reference>
          <reference field="19" count="1" selected="0">
            <x v="0"/>
          </reference>
          <reference field="21" count="1" selected="0">
            <x v="21"/>
          </reference>
          <reference field="22" count="1" selected="0">
            <x v="2"/>
          </reference>
          <reference field="24" count="1">
            <x v="7"/>
          </reference>
        </references>
      </pivotArea>
    </format>
    <format dxfId="2621">
      <pivotArea dataOnly="0" labelOnly="1" outline="0" fieldPosition="0">
        <references count="9">
          <reference field="3" count="1" selected="0">
            <x v="2097"/>
          </reference>
          <reference field="4" count="1" selected="0">
            <x v="2110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947"/>
          </reference>
          <reference field="19" count="1" selected="0">
            <x v="0"/>
          </reference>
          <reference field="21" count="1" selected="0">
            <x v="25"/>
          </reference>
          <reference field="22" count="1" selected="0">
            <x v="3"/>
          </reference>
          <reference field="24" count="1">
            <x v="2"/>
          </reference>
        </references>
      </pivotArea>
    </format>
    <format dxfId="2620">
      <pivotArea dataOnly="0" labelOnly="1" outline="0" fieldPosition="0">
        <references count="9">
          <reference field="3" count="1" selected="0">
            <x v="2101"/>
          </reference>
          <reference field="4" count="1" selected="0">
            <x v="2118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957"/>
          </reference>
          <reference field="19" count="1" selected="0">
            <x v="0"/>
          </reference>
          <reference field="21" count="1" selected="0">
            <x v="15"/>
          </reference>
          <reference field="22" count="1" selected="0">
            <x v="2"/>
          </reference>
          <reference field="24" count="1">
            <x v="2"/>
          </reference>
        </references>
      </pivotArea>
    </format>
    <format dxfId="2619">
      <pivotArea dataOnly="0" labelOnly="1" outline="0" fieldPosition="0">
        <references count="9">
          <reference field="3" count="1" selected="0">
            <x v="2104"/>
          </reference>
          <reference field="4" count="1" selected="0">
            <x v="2139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87"/>
          </reference>
          <reference field="19" count="1" selected="0">
            <x v="0"/>
          </reference>
          <reference field="21" count="1" selected="0">
            <x v="20"/>
          </reference>
          <reference field="22" count="1" selected="0">
            <x v="2"/>
          </reference>
          <reference field="24" count="1">
            <x v="2"/>
          </reference>
        </references>
      </pivotArea>
    </format>
    <format dxfId="2618">
      <pivotArea dataOnly="0" labelOnly="1" outline="0" fieldPosition="0">
        <references count="9">
          <reference field="3" count="1" selected="0">
            <x v="2105"/>
          </reference>
          <reference field="4" count="1" selected="0">
            <x v="2140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65"/>
          </reference>
          <reference field="19" count="1" selected="0">
            <x v="0"/>
          </reference>
          <reference field="21" count="1" selected="0">
            <x v="7"/>
          </reference>
          <reference field="22" count="1" selected="0">
            <x v="1"/>
          </reference>
          <reference field="24" count="1">
            <x v="0"/>
          </reference>
        </references>
      </pivotArea>
    </format>
    <format dxfId="2617">
      <pivotArea dataOnly="0" labelOnly="1" outline="0" fieldPosition="0">
        <references count="9">
          <reference field="3" count="1" selected="0">
            <x v="2106"/>
          </reference>
          <reference field="4" count="1" selected="0">
            <x v="2169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66"/>
          </reference>
          <reference field="19" count="1" selected="0">
            <x v="0"/>
          </reference>
          <reference field="21" count="1" selected="0">
            <x v="20"/>
          </reference>
          <reference field="22" count="1" selected="0">
            <x v="2"/>
          </reference>
          <reference field="24" count="1">
            <x v="2"/>
          </reference>
        </references>
      </pivotArea>
    </format>
    <format dxfId="2616">
      <pivotArea dataOnly="0" labelOnly="1" outline="0" fieldPosition="0">
        <references count="9">
          <reference field="3" count="1" selected="0">
            <x v="2122"/>
          </reference>
          <reference field="4" count="1" selected="0">
            <x v="2231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642"/>
          </reference>
          <reference field="19" count="1" selected="0">
            <x v="0"/>
          </reference>
          <reference field="21" count="1" selected="0">
            <x v="18"/>
          </reference>
          <reference field="22" count="1" selected="0">
            <x v="2"/>
          </reference>
          <reference field="24" count="1">
            <x v="3"/>
          </reference>
        </references>
      </pivotArea>
    </format>
    <format dxfId="2615">
      <pivotArea dataOnly="0" labelOnly="1" outline="0" fieldPosition="0">
        <references count="9">
          <reference field="3" count="1" selected="0">
            <x v="2144"/>
          </reference>
          <reference field="4" count="1" selected="0">
            <x v="1510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21"/>
          </reference>
          <reference field="19" count="1" selected="0">
            <x v="0"/>
          </reference>
          <reference field="21" count="1" selected="0">
            <x v="18"/>
          </reference>
          <reference field="22" count="1" selected="0">
            <x v="2"/>
          </reference>
          <reference field="24" count="1">
            <x v="3"/>
          </reference>
        </references>
      </pivotArea>
    </format>
    <format dxfId="2614">
      <pivotArea dataOnly="0" labelOnly="1" outline="0" fieldPosition="0">
        <references count="9">
          <reference field="3" count="1" selected="0">
            <x v="2163"/>
          </reference>
          <reference field="4" count="1" selected="0">
            <x v="2291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70"/>
          </reference>
          <reference field="19" count="1" selected="0">
            <x v="1"/>
          </reference>
          <reference field="21" count="1" selected="0">
            <x v="26"/>
          </reference>
          <reference field="22" count="1" selected="0">
            <x v="3"/>
          </reference>
          <reference field="24" count="1">
            <x v="2"/>
          </reference>
        </references>
      </pivotArea>
    </format>
    <format dxfId="2613">
      <pivotArea dataOnly="0" labelOnly="1" outline="0" fieldPosition="0">
        <references count="9">
          <reference field="3" count="1" selected="0">
            <x v="2197"/>
          </reference>
          <reference field="4" count="1" selected="0">
            <x v="2337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65"/>
          </reference>
          <reference field="19" count="1" selected="0">
            <x v="0"/>
          </reference>
          <reference field="21" count="1" selected="0">
            <x v="8"/>
          </reference>
          <reference field="22" count="1" selected="0">
            <x v="1"/>
          </reference>
          <reference field="24" count="1">
            <x v="6"/>
          </reference>
        </references>
      </pivotArea>
    </format>
    <format dxfId="2612">
      <pivotArea dataOnly="0" labelOnly="1" outline="0" fieldPosition="0">
        <references count="9">
          <reference field="3" count="1" selected="0">
            <x v="2201"/>
          </reference>
          <reference field="4" count="1" selected="0">
            <x v="1738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81"/>
          </reference>
          <reference field="19" count="1" selected="0">
            <x v="0"/>
          </reference>
          <reference field="21" count="1" selected="0">
            <x v="20"/>
          </reference>
          <reference field="22" count="1" selected="0">
            <x v="2"/>
          </reference>
          <reference field="24" count="1">
            <x v="2"/>
          </reference>
        </references>
      </pivotArea>
    </format>
    <format dxfId="2611">
      <pivotArea dataOnly="0" labelOnly="1" outline="0" fieldPosition="0">
        <references count="9">
          <reference field="3" count="1" selected="0">
            <x v="2222"/>
          </reference>
          <reference field="4" count="1" selected="0">
            <x v="2398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44"/>
          </reference>
          <reference field="19" count="1" selected="0">
            <x v="0"/>
          </reference>
          <reference field="21" count="1" selected="0">
            <x v="21"/>
          </reference>
          <reference field="22" count="1" selected="0">
            <x v="2"/>
          </reference>
          <reference field="24" count="1">
            <x v="3"/>
          </reference>
        </references>
      </pivotArea>
    </format>
    <format dxfId="2610">
      <pivotArea dataOnly="0" labelOnly="1" outline="0" fieldPosition="0">
        <references count="9">
          <reference field="3" count="1" selected="0">
            <x v="2232"/>
          </reference>
          <reference field="4" count="1" selected="0">
            <x v="2479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67"/>
          </reference>
          <reference field="19" count="1" selected="0">
            <x v="1"/>
          </reference>
          <reference field="21" count="1" selected="0">
            <x v="4"/>
          </reference>
          <reference field="22" count="1" selected="0">
            <x v="0"/>
          </reference>
          <reference field="24" count="1">
            <x v="2"/>
          </reference>
        </references>
      </pivotArea>
    </format>
    <format dxfId="2609">
      <pivotArea dataOnly="0" labelOnly="1" outline="0" fieldPosition="0">
        <references count="9">
          <reference field="3" count="1" selected="0">
            <x v="2234"/>
          </reference>
          <reference field="4" count="1" selected="0">
            <x v="2482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70"/>
          </reference>
          <reference field="19" count="1" selected="0">
            <x v="1"/>
          </reference>
          <reference field="21" count="1" selected="0">
            <x v="2"/>
          </reference>
          <reference field="22" count="1" selected="0">
            <x v="0"/>
          </reference>
          <reference field="24" count="1">
            <x v="2"/>
          </reference>
        </references>
      </pivotArea>
    </format>
    <format dxfId="2608">
      <pivotArea dataOnly="0" labelOnly="1" outline="0" fieldPosition="0">
        <references count="9">
          <reference field="3" count="1" selected="0">
            <x v="2235"/>
          </reference>
          <reference field="4" count="1" selected="0">
            <x v="2483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74"/>
          </reference>
          <reference field="19" count="1" selected="0">
            <x v="1"/>
          </reference>
          <reference field="21" count="1" selected="0">
            <x v="4"/>
          </reference>
          <reference field="22" count="1" selected="0">
            <x v="0"/>
          </reference>
          <reference field="24" count="1">
            <x v="0"/>
          </reference>
        </references>
      </pivotArea>
    </format>
    <format dxfId="2607">
      <pivotArea dataOnly="0" labelOnly="1" outline="0" fieldPosition="0">
        <references count="9">
          <reference field="3" count="1" selected="0">
            <x v="2236"/>
          </reference>
          <reference field="4" count="1" selected="0">
            <x v="2485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74"/>
          </reference>
          <reference field="19" count="1" selected="0">
            <x v="1"/>
          </reference>
          <reference field="21" count="1" selected="0">
            <x v="2"/>
          </reference>
          <reference field="22" count="1" selected="0">
            <x v="0"/>
          </reference>
          <reference field="24" count="1">
            <x v="2"/>
          </reference>
        </references>
      </pivotArea>
    </format>
    <format dxfId="2606">
      <pivotArea dataOnly="0" labelOnly="1" outline="0" fieldPosition="0">
        <references count="9">
          <reference field="3" count="1" selected="0">
            <x v="2243"/>
          </reference>
          <reference field="4" count="1" selected="0">
            <x v="2492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965"/>
          </reference>
          <reference field="19" count="1" selected="0">
            <x v="0"/>
          </reference>
          <reference field="21" count="1" selected="0">
            <x v="27"/>
          </reference>
          <reference field="22" count="1" selected="0">
            <x v="3"/>
          </reference>
          <reference field="24" count="1">
            <x v="2"/>
          </reference>
        </references>
      </pivotArea>
    </format>
    <format dxfId="2605">
      <pivotArea dataOnly="0" labelOnly="1" outline="0" fieldPosition="0">
        <references count="9">
          <reference field="3" count="1" selected="0">
            <x v="2251"/>
          </reference>
          <reference field="4" count="1" selected="0">
            <x v="2517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876"/>
          </reference>
          <reference field="19" count="1" selected="0">
            <x v="0"/>
          </reference>
          <reference field="21" count="1" selected="0">
            <x v="14"/>
          </reference>
          <reference field="22" count="1" selected="0">
            <x v="2"/>
          </reference>
          <reference field="24" count="1">
            <x v="2"/>
          </reference>
        </references>
      </pivotArea>
    </format>
    <format dxfId="2604">
      <pivotArea dataOnly="0" labelOnly="1" outline="0" fieldPosition="0">
        <references count="9">
          <reference field="3" count="1" selected="0">
            <x v="2261"/>
          </reference>
          <reference field="4" count="1" selected="0">
            <x v="2522"/>
          </reference>
          <reference field="11" count="1" selected="0">
            <x v="12"/>
          </reference>
          <reference field="12" count="1" selected="0">
            <x v="0"/>
          </reference>
          <reference field="14" count="1" selected="0">
            <x v="939"/>
          </reference>
          <reference field="19" count="1" selected="0">
            <x v="1"/>
          </reference>
          <reference field="21" count="1" selected="0">
            <x v="17"/>
          </reference>
          <reference field="22" count="1" selected="0">
            <x v="2"/>
          </reference>
          <reference field="24" count="1">
            <x v="0"/>
          </reference>
        </references>
      </pivotArea>
    </format>
    <format dxfId="2603">
      <pivotArea field="11" type="button" dataOnly="0" labelOnly="1" outline="0" axis="axisRow" fieldPosition="2"/>
    </format>
    <format dxfId="2602">
      <pivotArea field="14" type="button" dataOnly="0" labelOnly="1" outline="0" axis="axisRow" fieldPosition="3"/>
    </format>
    <format dxfId="2601">
      <pivotArea field="21" type="button" dataOnly="0" labelOnly="1" outline="0" axis="axisRow" fieldPosition="4"/>
    </format>
    <format dxfId="2600">
      <pivotArea field="22" type="button" dataOnly="0" labelOnly="1" outline="0" axis="axisRow" fieldPosition="5"/>
    </format>
    <format dxfId="2599">
      <pivotArea field="12" type="button" dataOnly="0" labelOnly="1" outline="0" axis="axisRow" fieldPosition="6"/>
    </format>
    <format dxfId="2598">
      <pivotArea field="19" type="button" dataOnly="0" labelOnly="1" outline="0" axis="axisRow" fieldPosition="7"/>
    </format>
    <format dxfId="2597">
      <pivotArea field="24" type="button" dataOnly="0" labelOnly="1" outline="0" axis="axisRow" fieldPosition="8"/>
    </format>
    <format dxfId="2596">
      <pivotArea field="11" type="button" dataOnly="0" labelOnly="1" outline="0" axis="axisRow" fieldPosition="2"/>
    </format>
    <format dxfId="2595">
      <pivotArea field="14" type="button" dataOnly="0" labelOnly="1" outline="0" axis="axisRow" fieldPosition="3"/>
    </format>
    <format dxfId="2594">
      <pivotArea field="21" type="button" dataOnly="0" labelOnly="1" outline="0" axis="axisRow" fieldPosition="4"/>
    </format>
    <format dxfId="2593">
      <pivotArea field="22" type="button" dataOnly="0" labelOnly="1" outline="0" axis="axisRow" fieldPosition="5"/>
    </format>
    <format dxfId="2592">
      <pivotArea field="12" type="button" dataOnly="0" labelOnly="1" outline="0" axis="axisRow" fieldPosition="6"/>
    </format>
    <format dxfId="2591">
      <pivotArea field="19" type="button" dataOnly="0" labelOnly="1" outline="0" axis="axisRow" fieldPosition="7"/>
    </format>
    <format dxfId="2590">
      <pivotArea field="24" type="button" dataOnly="0" labelOnly="1" outline="0" axis="axisRow" fieldPosition="8"/>
    </format>
    <format dxfId="2589">
      <pivotArea field="3" type="button" dataOnly="0" labelOnly="1" outline="0" axis="axisRow" fieldPosition="0"/>
    </format>
    <format dxfId="2588">
      <pivotArea field="4" type="button" dataOnly="0" labelOnly="1" outline="0" axis="axisRow" fieldPosition="1"/>
    </format>
    <format dxfId="2587">
      <pivotArea field="11" type="button" dataOnly="0" labelOnly="1" outline="0" axis="axisRow" fieldPosition="2"/>
    </format>
    <format dxfId="2586">
      <pivotArea field="14" type="button" dataOnly="0" labelOnly="1" outline="0" axis="axisRow" fieldPosition="3"/>
    </format>
    <format dxfId="2585">
      <pivotArea field="21" type="button" dataOnly="0" labelOnly="1" outline="0" axis="axisRow" fieldPosition="4"/>
    </format>
    <format dxfId="2584">
      <pivotArea field="22" type="button" dataOnly="0" labelOnly="1" outline="0" axis="axisRow" fieldPosition="5"/>
    </format>
    <format dxfId="2583">
      <pivotArea field="12" type="button" dataOnly="0" labelOnly="1" outline="0" axis="axisRow" fieldPosition="6"/>
    </format>
    <format dxfId="2582">
      <pivotArea field="19" type="button" dataOnly="0" labelOnly="1" outline="0" axis="axisRow" fieldPosition="7"/>
    </format>
    <format dxfId="2581">
      <pivotArea field="24" type="button" dataOnly="0" labelOnly="1" outline="0" axis="axisRow" fieldPosition="8"/>
    </format>
    <format dxfId="2580">
      <pivotArea field="3" type="button" dataOnly="0" labelOnly="1" outline="0" axis="axisRow" fieldPosition="0"/>
    </format>
    <format dxfId="2579">
      <pivotArea field="4" type="button" dataOnly="0" labelOnly="1" outline="0" axis="axisRow" fieldPosition="1"/>
    </format>
    <format dxfId="2578">
      <pivotArea field="11" type="button" dataOnly="0" labelOnly="1" outline="0" axis="axisRow" fieldPosition="2"/>
    </format>
    <format dxfId="2577">
      <pivotArea field="14" type="button" dataOnly="0" labelOnly="1" outline="0" axis="axisRow" fieldPosition="3"/>
    </format>
    <format dxfId="2576">
      <pivotArea field="21" type="button" dataOnly="0" labelOnly="1" outline="0" axis="axisRow" fieldPosition="4"/>
    </format>
    <format dxfId="2575">
      <pivotArea field="22" type="button" dataOnly="0" labelOnly="1" outline="0" axis="axisRow" fieldPosition="5"/>
    </format>
    <format dxfId="2574">
      <pivotArea field="12" type="button" dataOnly="0" labelOnly="1" outline="0" axis="axisRow" fieldPosition="6"/>
    </format>
    <format dxfId="2573">
      <pivotArea field="19" type="button" dataOnly="0" labelOnly="1" outline="0" axis="axisRow" fieldPosition="7"/>
    </format>
    <format dxfId="2572">
      <pivotArea field="24" type="button" dataOnly="0" labelOnly="1" outline="0" axis="axisRow" fieldPosition="8"/>
    </format>
    <format dxfId="2571">
      <pivotArea field="3" type="button" dataOnly="0" labelOnly="1" outline="0" axis="axisRow" fieldPosition="0"/>
    </format>
    <format dxfId="2570">
      <pivotArea field="4" type="button" dataOnly="0" labelOnly="1" outline="0" axis="axisRow" fieldPosition="1"/>
    </format>
    <format dxfId="2569">
      <pivotArea field="11" type="button" dataOnly="0" labelOnly="1" outline="0" axis="axisRow" fieldPosition="2"/>
    </format>
    <format dxfId="2568">
      <pivotArea field="14" type="button" dataOnly="0" labelOnly="1" outline="0" axis="axisRow" fieldPosition="3"/>
    </format>
    <format dxfId="2567">
      <pivotArea field="21" type="button" dataOnly="0" labelOnly="1" outline="0" axis="axisRow" fieldPosition="4"/>
    </format>
    <format dxfId="2566">
      <pivotArea field="22" type="button" dataOnly="0" labelOnly="1" outline="0" axis="axisRow" fieldPosition="5"/>
    </format>
    <format dxfId="2565">
      <pivotArea field="12" type="button" dataOnly="0" labelOnly="1" outline="0" axis="axisRow" fieldPosition="6"/>
    </format>
    <format dxfId="2564">
      <pivotArea field="19" type="button" dataOnly="0" labelOnly="1" outline="0" axis="axisRow" fieldPosition="7"/>
    </format>
    <format dxfId="2563">
      <pivotArea field="24" type="button" dataOnly="0" labelOnly="1" outline="0" axis="axisRow" fieldPosition="8"/>
    </format>
    <format dxfId="2562">
      <pivotArea field="3" type="button" dataOnly="0" labelOnly="1" outline="0" axis="axisRow" fieldPosition="0"/>
    </format>
    <format dxfId="2561">
      <pivotArea field="4" type="button" dataOnly="0" labelOnly="1" outline="0" axis="axisRow" fieldPosition="1"/>
    </format>
    <format dxfId="2560">
      <pivotArea field="11" type="button" dataOnly="0" labelOnly="1" outline="0" axis="axisRow" fieldPosition="2"/>
    </format>
    <format dxfId="2559">
      <pivotArea field="14" type="button" dataOnly="0" labelOnly="1" outline="0" axis="axisRow" fieldPosition="3"/>
    </format>
    <format dxfId="2558">
      <pivotArea field="21" type="button" dataOnly="0" labelOnly="1" outline="0" axis="axisRow" fieldPosition="4"/>
    </format>
    <format dxfId="2557">
      <pivotArea field="22" type="button" dataOnly="0" labelOnly="1" outline="0" axis="axisRow" fieldPosition="5"/>
    </format>
    <format dxfId="2556">
      <pivotArea field="12" type="button" dataOnly="0" labelOnly="1" outline="0" axis="axisRow" fieldPosition="6"/>
    </format>
    <format dxfId="2555">
      <pivotArea field="19" type="button" dataOnly="0" labelOnly="1" outline="0" axis="axisRow" fieldPosition="7"/>
    </format>
    <format dxfId="2554">
      <pivotArea field="24" type="button" dataOnly="0" labelOnly="1" outline="0" axis="axisRow" fieldPosition="8"/>
    </format>
    <format dxfId="2553">
      <pivotArea field="3" type="button" dataOnly="0" labelOnly="1" outline="0" axis="axisRow" fieldPosition="0"/>
    </format>
    <format dxfId="2552">
      <pivotArea field="4" type="button" dataOnly="0" labelOnly="1" outline="0" axis="axisRow" fieldPosition="1"/>
    </format>
    <format dxfId="2551">
      <pivotArea field="11" type="button" dataOnly="0" labelOnly="1" outline="0" axis="axisRow" fieldPosition="2"/>
    </format>
    <format dxfId="2550">
      <pivotArea field="14" type="button" dataOnly="0" labelOnly="1" outline="0" axis="axisRow" fieldPosition="3"/>
    </format>
    <format dxfId="2549">
      <pivotArea field="21" type="button" dataOnly="0" labelOnly="1" outline="0" axis="axisRow" fieldPosition="4"/>
    </format>
    <format dxfId="2548">
      <pivotArea field="22" type="button" dataOnly="0" labelOnly="1" outline="0" axis="axisRow" fieldPosition="5"/>
    </format>
    <format dxfId="2547">
      <pivotArea field="12" type="button" dataOnly="0" labelOnly="1" outline="0" axis="axisRow" fieldPosition="6"/>
    </format>
    <format dxfId="2546">
      <pivotArea field="19" type="button" dataOnly="0" labelOnly="1" outline="0" axis="axisRow" fieldPosition="7"/>
    </format>
    <format dxfId="2545">
      <pivotArea field="24" type="button" dataOnly="0" labelOnly="1" outline="0" axis="axisRow" fieldPosition="8"/>
    </format>
    <format dxfId="2544">
      <pivotArea grandRow="1" outline="0" collapsedLevelsAreSubtotals="1" fieldPosition="0"/>
    </format>
    <format dxfId="2543">
      <pivotArea dataOnly="0" labelOnly="1" outline="0" fieldPosition="0">
        <references count="4">
          <reference field="3" count="1" selected="0">
            <x v="492"/>
          </reference>
          <reference field="4" count="1" selected="0">
            <x v="2"/>
          </reference>
          <reference field="11" count="1" selected="0">
            <x v="11"/>
          </reference>
          <reference field="14" count="1">
            <x v="3"/>
          </reference>
        </references>
      </pivotArea>
    </format>
    <format dxfId="2542">
      <pivotArea dataOnly="0" labelOnly="1" outline="0" fieldPosition="0">
        <references count="4">
          <reference field="3" count="1" selected="0">
            <x v="492"/>
          </reference>
          <reference field="4" count="1" selected="0">
            <x v="2"/>
          </reference>
          <reference field="11" count="1" selected="0">
            <x v="11"/>
          </reference>
          <reference field="14" count="1">
            <x v="3"/>
          </reference>
        </references>
      </pivotArea>
    </format>
    <format dxfId="2541">
      <pivotArea dataOnly="0" labelOnly="1" outline="0" offset="IV182:IV183" fieldPosition="0">
        <references count="7">
          <reference field="3" count="1" selected="0">
            <x v="2345"/>
          </reference>
          <reference field="4" count="1" selected="0">
            <x v="2795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992"/>
          </reference>
          <reference field="21" count="1" selected="0">
            <x v="8"/>
          </reference>
          <reference field="22" count="1" selected="0">
            <x v="1"/>
          </reference>
        </references>
      </pivotArea>
    </format>
    <format dxfId="2540">
      <pivotArea outline="0" fieldPosition="0">
        <references count="9">
          <reference field="3" count="1" selected="0">
            <x v="2430"/>
          </reference>
          <reference field="4" count="1" selected="0">
            <x v="1206"/>
          </reference>
          <reference field="11" count="1" selected="0">
            <x v="12"/>
          </reference>
          <reference field="12" count="1" selected="0">
            <x v="31"/>
          </reference>
          <reference field="14" count="2" selected="0">
            <x v="806"/>
            <x v="1041"/>
          </reference>
          <reference field="19" count="0" selected="0"/>
          <reference field="21" count="1" selected="0">
            <x v="16"/>
          </reference>
          <reference field="22" count="1" selected="0">
            <x v="2"/>
          </reference>
          <reference field="24" count="1" selected="0">
            <x v="3"/>
          </reference>
        </references>
      </pivotArea>
    </format>
    <format dxfId="2539">
      <pivotArea dataOnly="0" labelOnly="1" outline="0" fieldPosition="0">
        <references count="1">
          <reference field="3" count="1">
            <x v="2430"/>
          </reference>
        </references>
      </pivotArea>
    </format>
    <format dxfId="2538">
      <pivotArea dataOnly="0" labelOnly="1" outline="0" fieldPosition="0">
        <references count="2">
          <reference field="3" count="1" selected="0">
            <x v="2430"/>
          </reference>
          <reference field="4" count="1">
            <x v="1206"/>
          </reference>
        </references>
      </pivotArea>
    </format>
    <format dxfId="2537">
      <pivotArea dataOnly="0" labelOnly="1" outline="0" fieldPosition="0">
        <references count="4">
          <reference field="3" count="1" selected="0">
            <x v="2430"/>
          </reference>
          <reference field="4" count="1" selected="0">
            <x v="1206"/>
          </reference>
          <reference field="11" count="1" selected="0">
            <x v="12"/>
          </reference>
          <reference field="14" count="1">
            <x v="1041"/>
          </reference>
        </references>
      </pivotArea>
    </format>
    <format dxfId="2536">
      <pivotArea dataOnly="0" labelOnly="1" outline="0" fieldPosition="0">
        <references count="5">
          <reference field="3" count="1" selected="0">
            <x v="2430"/>
          </reference>
          <reference field="4" count="1" selected="0">
            <x v="1206"/>
          </reference>
          <reference field="11" count="1" selected="0">
            <x v="12"/>
          </reference>
          <reference field="14" count="1" selected="0">
            <x v="1041"/>
          </reference>
          <reference field="21" count="1">
            <x v="16"/>
          </reference>
        </references>
      </pivotArea>
    </format>
    <format dxfId="2535">
      <pivotArea dataOnly="0" labelOnly="1" outline="0" fieldPosition="0">
        <references count="6">
          <reference field="3" count="1" selected="0">
            <x v="2430"/>
          </reference>
          <reference field="4" count="1" selected="0">
            <x v="1206"/>
          </reference>
          <reference field="11" count="1" selected="0">
            <x v="12"/>
          </reference>
          <reference field="14" count="1" selected="0">
            <x v="1041"/>
          </reference>
          <reference field="21" count="1" selected="0">
            <x v="16"/>
          </reference>
          <reference field="22" count="1">
            <x v="2"/>
          </reference>
        </references>
      </pivotArea>
    </format>
    <format dxfId="2534">
      <pivotArea dataOnly="0" labelOnly="1" outline="0" offset="IV187:IV188" fieldPosition="0">
        <references count="7">
          <reference field="3" count="1" selected="0">
            <x v="2345"/>
          </reference>
          <reference field="4" count="1" selected="0">
            <x v="2795"/>
          </reference>
          <reference field="11" count="1" selected="0">
            <x v="12"/>
          </reference>
          <reference field="12" count="1">
            <x v="31"/>
          </reference>
          <reference field="14" count="1" selected="0">
            <x v="992"/>
          </reference>
          <reference field="21" count="1" selected="0">
            <x v="8"/>
          </reference>
          <reference field="22" count="1" selected="0">
            <x v="1"/>
          </reference>
        </references>
      </pivotArea>
    </format>
    <format dxfId="2533">
      <pivotArea dataOnly="0" labelOnly="1" outline="0" fieldPosition="0">
        <references count="8">
          <reference field="3" count="1" selected="0">
            <x v="2430"/>
          </reference>
          <reference field="4" count="1" selected="0">
            <x v="1206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041"/>
          </reference>
          <reference field="19" count="1">
            <x v="0"/>
          </reference>
          <reference field="21" count="1" selected="0">
            <x v="16"/>
          </reference>
          <reference field="22" count="1" selected="0">
            <x v="2"/>
          </reference>
        </references>
      </pivotArea>
    </format>
    <format dxfId="2532">
      <pivotArea dataOnly="0" labelOnly="1" outline="0" fieldPosition="0">
        <references count="9">
          <reference field="3" count="1" selected="0">
            <x v="2430"/>
          </reference>
          <reference field="4" count="1" selected="0">
            <x v="1206"/>
          </reference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041"/>
          </reference>
          <reference field="19" count="1" selected="0">
            <x v="0"/>
          </reference>
          <reference field="21" count="1" selected="0">
            <x v="16"/>
          </reference>
          <reference field="22" count="1" selected="0">
            <x v="2"/>
          </reference>
          <reference field="24" count="1">
            <x v="3"/>
          </reference>
        </references>
      </pivotArea>
    </format>
    <format dxfId="2531">
      <pivotArea dataOnly="0" labelOnly="1" outline="0" fieldPosition="0">
        <references count="1">
          <reference field="3" count="1">
            <x v="2347"/>
          </reference>
        </references>
      </pivotArea>
    </format>
    <format dxfId="2530">
      <pivotArea dataOnly="0" labelOnly="1" outline="0" fieldPosition="0">
        <references count="2">
          <reference field="3" count="1" selected="0">
            <x v="2347"/>
          </reference>
          <reference field="4" count="0"/>
        </references>
      </pivotArea>
    </format>
    <format dxfId="2529">
      <pivotArea dataOnly="0" labelOnly="1" outline="0" fieldPosition="0">
        <references count="3">
          <reference field="3" count="1" selected="0">
            <x v="2347"/>
          </reference>
          <reference field="4" count="0" selected="0"/>
          <reference field="11" count="1">
            <x v="12"/>
          </reference>
        </references>
      </pivotArea>
    </format>
    <format dxfId="2528">
      <pivotArea dataOnly="0" labelOnly="1" outline="0" fieldPosition="0">
        <references count="4">
          <reference field="3" count="1" selected="0">
            <x v="2347"/>
          </reference>
          <reference field="4" count="0" selected="0"/>
          <reference field="11" count="1" selected="0">
            <x v="12"/>
          </reference>
          <reference field="14" count="1">
            <x v="1050"/>
          </reference>
        </references>
      </pivotArea>
    </format>
    <format dxfId="2527">
      <pivotArea dataOnly="0" labelOnly="1" outline="0" fieldPosition="0">
        <references count="5">
          <reference field="3" count="1" selected="0">
            <x v="2347"/>
          </reference>
          <reference field="4" count="0" selected="0"/>
          <reference field="11" count="1" selected="0">
            <x v="12"/>
          </reference>
          <reference field="14" count="1" selected="0">
            <x v="1050"/>
          </reference>
          <reference field="21" count="1">
            <x v="25"/>
          </reference>
        </references>
      </pivotArea>
    </format>
    <format dxfId="2526">
      <pivotArea dataOnly="0" labelOnly="1" outline="0" fieldPosition="0">
        <references count="6">
          <reference field="3" count="1" selected="0">
            <x v="2347"/>
          </reference>
          <reference field="4" count="0" selected="0"/>
          <reference field="11" count="1" selected="0">
            <x v="12"/>
          </reference>
          <reference field="14" count="1" selected="0">
            <x v="1050"/>
          </reference>
          <reference field="21" count="1" selected="0">
            <x v="25"/>
          </reference>
          <reference field="22" count="1">
            <x v="3"/>
          </reference>
        </references>
      </pivotArea>
    </format>
    <format dxfId="2525">
      <pivotArea dataOnly="0" labelOnly="1" outline="0" fieldPosition="0">
        <references count="7">
          <reference field="3" count="1" selected="0">
            <x v="2347"/>
          </reference>
          <reference field="4" count="0" selected="0"/>
          <reference field="11" count="1" selected="0">
            <x v="12"/>
          </reference>
          <reference field="12" count="1">
            <x v="31"/>
          </reference>
          <reference field="14" count="1" selected="0">
            <x v="1050"/>
          </reference>
          <reference field="21" count="1" selected="0">
            <x v="25"/>
          </reference>
          <reference field="22" count="1" selected="0">
            <x v="3"/>
          </reference>
        </references>
      </pivotArea>
    </format>
    <format dxfId="2524">
      <pivotArea dataOnly="0" labelOnly="1" outline="0" fieldPosition="0">
        <references count="8">
          <reference field="3" count="1" selected="0">
            <x v="2347"/>
          </reference>
          <reference field="4" count="0" selected="0"/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050"/>
          </reference>
          <reference field="19" count="1">
            <x v="1"/>
          </reference>
          <reference field="21" count="1" selected="0">
            <x v="25"/>
          </reference>
          <reference field="22" count="1" selected="0">
            <x v="3"/>
          </reference>
        </references>
      </pivotArea>
    </format>
    <format dxfId="2523">
      <pivotArea dataOnly="0" labelOnly="1" outline="0" fieldPosition="0">
        <references count="9">
          <reference field="3" count="1" selected="0">
            <x v="2347"/>
          </reference>
          <reference field="4" count="0" selected="0"/>
          <reference field="11" count="1" selected="0">
            <x v="12"/>
          </reference>
          <reference field="12" count="1" selected="0">
            <x v="31"/>
          </reference>
          <reference field="14" count="1" selected="0">
            <x v="1050"/>
          </reference>
          <reference field="19" count="1" selected="0">
            <x v="1"/>
          </reference>
          <reference field="21" count="1" selected="0">
            <x v="25"/>
          </reference>
          <reference field="22" count="1" selected="0">
            <x v="3"/>
          </reference>
          <reference field="24" count="1">
            <x v="6"/>
          </reference>
        </references>
      </pivotArea>
    </format>
    <format dxfId="2522">
      <pivotArea outline="0" collapsedLevelsAreSubtotals="1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467C69-E370-4ED0-BFB2-2C91FF192304}" name="PivotTable2" cacheId="51" applyNumberFormats="0" applyBorderFormats="0" applyFontFormats="0" applyPatternFormats="0" applyAlignmentFormats="0" applyWidthHeightFormats="1" dataCaption="Valores" grandTotalCaption="Total Ingresos" updatedVersion="8" minRefreshableVersion="3" itemPrintTitles="1" createdVersion="6" indent="0" outline="1" outlineData="1" multipleFieldFilters="0" rowHeaderCaption="Zona de Influencia">
  <location ref="C51:F59" firstHeaderRow="1" firstDataRow="2" firstDataCol="1" rowPageCount="1" colPageCount="1"/>
  <pivotFields count="3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 sortType="ascending">
      <items count="16">
        <item m="1" x="9"/>
        <item m="1" x="6"/>
        <item m="1" x="14"/>
        <item m="1" x="13"/>
        <item m="1" x="4"/>
        <item m="1" x="5"/>
        <item m="1" x="12"/>
        <item m="1" x="11"/>
        <item m="1" x="8"/>
        <item m="1" x="7"/>
        <item m="1" x="10"/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axis="axisRow" multipleItemSelectionAllowed="1" showAll="0">
      <items count="10">
        <item x="1"/>
        <item x="3"/>
        <item x="2"/>
        <item x="7"/>
        <item x="4"/>
        <item h="1" x="0"/>
        <item x="6"/>
        <item x="5"/>
        <item h="1" m="1" x="8"/>
        <item t="default"/>
      </items>
    </pivotField>
    <pivotField showAll="0"/>
    <pivotField showAll="0"/>
    <pivotField showAll="0"/>
    <pivotField numFmtId="43" showAll="0"/>
    <pivotField numFmtId="43" showAll="0"/>
    <pivotField dataField="1" numFmtId="43" showAll="0"/>
    <pivotField showAll="0"/>
    <pivotField showAll="0"/>
    <pivotField showAll="0"/>
    <pivotField axis="axisPage" showAll="0">
      <items count="16">
        <item m="1" x="14"/>
        <item x="0"/>
        <item m="1" x="13"/>
        <item m="1" x="11"/>
        <item m="1" x="12"/>
        <item m="1" x="10"/>
        <item m="1" x="9"/>
        <item m="1" x="8"/>
        <item m="1" x="7"/>
        <item m="1" x="6"/>
        <item m="1" x="5"/>
        <item m="1" x="4"/>
        <item m="1" x="3"/>
        <item m="1" x="2"/>
        <item x="1"/>
        <item t="default"/>
      </items>
    </pivotField>
    <pivotField dragToRow="0" dragToCol="0" dragToPage="0" showAll="0" defaultSubtotal="0"/>
  </pivotFields>
  <rowFields count="1">
    <field x="24"/>
  </rowFields>
  <rowItems count="7">
    <i>
      <x/>
    </i>
    <i>
      <x v="1"/>
    </i>
    <i>
      <x v="2"/>
    </i>
    <i>
      <x v="3"/>
    </i>
    <i>
      <x v="6"/>
    </i>
    <i>
      <x v="7"/>
    </i>
    <i t="grand">
      <x/>
    </i>
  </rowItems>
  <colFields count="1">
    <field x="11"/>
  </colFields>
  <colItems count="3">
    <i>
      <x v="11"/>
    </i>
    <i>
      <x v="12"/>
    </i>
    <i t="grand">
      <x/>
    </i>
  </colItems>
  <pageFields count="1">
    <pageField fld="34" item="14" hier="-1"/>
  </pageFields>
  <dataFields count="1">
    <dataField name="Sum of Altas Zona de Influencia" fld="30" baseField="0" baseItem="0" numFmtId="1"/>
  </dataFields>
  <formats count="17">
    <format dxfId="3602">
      <pivotArea outline="0" collapsedLevelsAreSubtotals="1" fieldPosition="0"/>
    </format>
    <format dxfId="3601">
      <pivotArea dataOnly="0" labelOnly="1" grandCol="1" outline="0" fieldPosition="0"/>
    </format>
    <format dxfId="3600">
      <pivotArea field="24" type="button" dataOnly="0" labelOnly="1" outline="0" axis="axisRow" fieldPosition="0"/>
    </format>
    <format dxfId="3599">
      <pivotArea dataOnly="0" labelOnly="1" grandRow="1" outline="0" fieldPosition="0"/>
    </format>
    <format dxfId="3598">
      <pivotArea type="all" dataOnly="0" outline="0" fieldPosition="0"/>
    </format>
    <format dxfId="3597">
      <pivotArea outline="0" collapsedLevelsAreSubtotals="1" fieldPosition="0"/>
    </format>
    <format dxfId="3596">
      <pivotArea type="origin" dataOnly="0" labelOnly="1" outline="0" fieldPosition="0"/>
    </format>
    <format dxfId="3595">
      <pivotArea field="11" type="button" dataOnly="0" labelOnly="1" outline="0" axis="axisCol" fieldPosition="0"/>
    </format>
    <format dxfId="3594">
      <pivotArea type="topRight" dataOnly="0" labelOnly="1" outline="0" fieldPosition="0"/>
    </format>
    <format dxfId="3593">
      <pivotArea field="24" type="button" dataOnly="0" labelOnly="1" outline="0" axis="axisRow" fieldPosition="0"/>
    </format>
    <format dxfId="3592">
      <pivotArea dataOnly="0" labelOnly="1" fieldPosition="0">
        <references count="1">
          <reference field="24" count="0"/>
        </references>
      </pivotArea>
    </format>
    <format dxfId="3591">
      <pivotArea dataOnly="0" labelOnly="1" grandRow="1" outline="0" fieldPosition="0"/>
    </format>
    <format dxfId="3590">
      <pivotArea dataOnly="0" labelOnly="1" fieldPosition="0">
        <references count="1">
          <reference field="11" count="2">
            <x v="11"/>
            <x v="12"/>
          </reference>
        </references>
      </pivotArea>
    </format>
    <format dxfId="3589">
      <pivotArea dataOnly="0" labelOnly="1" grandCol="1" outline="0" fieldPosition="0"/>
    </format>
    <format dxfId="3588">
      <pivotArea collapsedLevelsAreSubtotals="1" fieldPosition="0">
        <references count="1">
          <reference field="24" count="0"/>
        </references>
      </pivotArea>
    </format>
    <format dxfId="3587">
      <pivotArea outline="0" collapsedLevelsAreSubtotals="1" fieldPosition="0"/>
    </format>
    <format dxfId="3586">
      <pivotArea collapsedLevelsAreSubtotals="1" fieldPosition="0">
        <references count="1">
          <reference field="24" count="0"/>
        </references>
      </pivotArea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6921C6-0A31-4E72-B382-ECA3389F4987}" name="PivotTable7" cacheId="51" applyNumberFormats="0" applyBorderFormats="0" applyFontFormats="0" applyPatternFormats="0" applyAlignmentFormats="0" applyWidthHeightFormats="1" dataCaption="Valores" grandTotalCaption="Total Trabajadores Activos" updatedVersion="8" minRefreshableVersion="3" itemPrintTitles="1" createdVersion="6" indent="0" outline="1" outlineData="1" multipleFieldFilters="0" rowHeaderCaption="CJV &amp; EPC">
  <location ref="B6:D9" firstHeaderRow="0" firstDataRow="1" firstDataCol="1" rowPageCount="2" colPageCount="1"/>
  <pivotFields count="3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ascending">
      <items count="16">
        <item m="1" x="9"/>
        <item m="1" x="6"/>
        <item m="1" x="14"/>
        <item m="1" x="13"/>
        <item m="1" x="4"/>
        <item m="1" x="5"/>
        <item m="1" x="12"/>
        <item m="1" x="11"/>
        <item m="1" x="8"/>
        <item m="1" x="7"/>
        <item m="1" x="10"/>
        <item x="1"/>
        <item x="0"/>
        <item x="2"/>
        <item x="3"/>
        <item t="default"/>
      </items>
    </pivotField>
    <pivotField showAll="0"/>
    <pivotField showAll="0"/>
    <pivotField showAll="0"/>
    <pivotField axis="axisPage" showAll="0">
      <items count="15">
        <item m="1" x="5"/>
        <item x="0"/>
        <item x="2"/>
        <item x="3"/>
        <item m="1" x="11"/>
        <item m="1" x="7"/>
        <item m="1" x="9"/>
        <item m="1" x="13"/>
        <item m="1" x="8"/>
        <item m="1" x="12"/>
        <item m="1" x="6"/>
        <item m="1" x="10"/>
        <item x="1"/>
        <item m="1" x="4"/>
        <item t="default"/>
      </items>
    </pivotField>
    <pivotField showAll="0"/>
    <pivotField dataField="1" showAll="0"/>
    <pivotField axis="axisRow" showAll="0">
      <items count="4">
        <item x="0"/>
        <item x="1"/>
        <item m="1" x="2"/>
        <item t="default"/>
      </items>
    </pivotField>
    <pivotField showAll="0"/>
    <pivotField numFmtId="43" showAll="0"/>
    <pivotField showAll="0"/>
    <pivotField showAll="0"/>
    <pivotField showAll="0"/>
    <pivotField multipleItemSelectionAllowed="1" showAll="0">
      <items count="10">
        <item x="1"/>
        <item x="3"/>
        <item x="2"/>
        <item x="7"/>
        <item x="4"/>
        <item x="0"/>
        <item x="6"/>
        <item x="5"/>
        <item h="1" m="1" x="8"/>
        <item t="default"/>
      </items>
    </pivotField>
    <pivotField showAll="0"/>
    <pivotField showAll="0"/>
    <pivotField showAll="0"/>
    <pivotField dataField="1" numFmtId="43" showAll="0"/>
    <pivotField numFmtId="43" showAll="0"/>
    <pivotField numFmtId="43" showAll="0"/>
    <pivotField showAll="0"/>
    <pivotField axis="axisPage" showAll="0">
      <items count="4">
        <item x="0"/>
        <item x="1"/>
        <item m="1" x="2"/>
        <item t="default"/>
      </items>
    </pivotField>
    <pivotField showAll="0"/>
    <pivotField showAll="0"/>
    <pivotField dragToRow="0" dragToCol="0" dragToPage="0" showAll="0" defaultSubtotal="0"/>
  </pivotFields>
  <rowFields count="1">
    <field x="18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2">
    <pageField fld="15" item="1" hier="-1"/>
    <pageField fld="32" item="0" hier="-1"/>
  </pageFields>
  <dataFields count="2">
    <dataField name="# Trabajadores" fld="28" baseField="0" baseItem="0"/>
    <dataField name="# Horas" fld="17" baseField="0" baseItem="0" numFmtId="43"/>
  </dataFields>
  <formats count="15">
    <format dxfId="56">
      <pivotArea outline="0" collapsedLevelsAreSubtotals="1" fieldPosition="0"/>
    </format>
    <format dxfId="55">
      <pivotArea dataOnly="0" labelOnly="1" grandCol="1" outline="0" fieldPosition="0"/>
    </format>
    <format dxfId="54">
      <pivotArea field="24" type="button" dataOnly="0" labelOnly="1" outline="0"/>
    </format>
    <format dxfId="53">
      <pivotArea dataOnly="0" labelOnly="1" grandRow="1" outline="0" fieldPosition="0"/>
    </format>
    <format dxfId="52">
      <pivotArea type="all" dataOnly="0" outline="0" fieldPosition="0"/>
    </format>
    <format dxfId="51">
      <pivotArea outline="0" collapsedLevelsAreSubtotals="1" fieldPosition="0"/>
    </format>
    <format dxfId="50">
      <pivotArea type="origin" dataOnly="0" labelOnly="1" outline="0" fieldPosition="0"/>
    </format>
    <format dxfId="49">
      <pivotArea field="11" type="button" dataOnly="0" labelOnly="1" outline="0"/>
    </format>
    <format dxfId="48">
      <pivotArea type="topRight" dataOnly="0" labelOnly="1" outline="0" fieldPosition="0"/>
    </format>
    <format dxfId="47">
      <pivotArea field="24" type="button" dataOnly="0" labelOnly="1" outline="0"/>
    </format>
    <format dxfId="46">
      <pivotArea dataOnly="0" labelOnly="1" grandRow="1" outline="0" fieldPosition="0"/>
    </format>
    <format dxfId="45">
      <pivotArea dataOnly="0" labelOnly="1" grandCol="1" outline="0" fieldPosition="0"/>
    </format>
    <format dxfId="44">
      <pivotArea outline="0" collapsedLevelsAreSubtotals="1" fieldPosition="0"/>
    </format>
    <format dxfId="4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ablaDinámica1" cacheId="51" applyNumberFormats="0" applyBorderFormats="0" applyFontFormats="0" applyPatternFormats="0" applyAlignmentFormats="0" applyWidthHeightFormats="1" dataCaption="Valores" updatedVersion="8" minRefreshableVersion="3" preserveFormatting="0" itemPrintTitles="1" createdVersion="6" indent="0" compact="0" compactData="0" gridDropZones="1" multipleFieldFilters="0">
  <location ref="A5:C57" firstHeaderRow="2" firstDataRow="2" firstDataCol="2" rowPageCount="2" colPageCount="1"/>
  <pivotFields count="36">
    <pivotField compact="0" outline="0" showAll="0"/>
    <pivotField axis="axisRow" compact="0" outline="0" showAll="0" defaultSubtotal="0">
      <items count="78">
        <item m="1" x="77"/>
        <item x="8"/>
        <item x="13"/>
        <item x="20"/>
        <item x="76"/>
        <item x="70"/>
        <item x="56"/>
        <item x="17"/>
        <item x="21"/>
        <item x="23"/>
        <item x="14"/>
        <item x="38"/>
        <item x="65"/>
        <item x="6"/>
        <item x="16"/>
        <item x="42"/>
        <item x="15"/>
        <item x="39"/>
        <item x="26"/>
        <item x="28"/>
        <item x="63"/>
        <item x="60"/>
        <item x="12"/>
        <item x="55"/>
        <item x="40"/>
        <item x="2"/>
        <item x="48"/>
        <item x="47"/>
        <item x="50"/>
        <item x="51"/>
        <item x="69"/>
        <item x="68"/>
        <item x="25"/>
        <item x="24"/>
        <item x="72"/>
        <item x="35"/>
        <item x="73"/>
        <item x="36"/>
        <item x="5"/>
        <item x="10"/>
        <item x="18"/>
        <item x="58"/>
        <item x="62"/>
        <item x="41"/>
        <item x="22"/>
        <item x="46"/>
        <item x="7"/>
        <item x="53"/>
        <item x="19"/>
        <item x="29"/>
        <item x="30"/>
        <item x="31"/>
        <item x="32"/>
        <item x="33"/>
        <item x="34"/>
        <item x="74"/>
        <item x="0"/>
        <item x="27"/>
        <item x="64"/>
        <item x="44"/>
        <item x="52"/>
        <item x="1"/>
        <item x="43"/>
        <item x="66"/>
        <item x="67"/>
        <item x="75"/>
        <item x="54"/>
        <item x="61"/>
        <item x="71"/>
        <item x="9"/>
        <item x="57"/>
        <item x="45"/>
        <item x="49"/>
        <item x="3"/>
        <item x="4"/>
        <item x="11"/>
        <item x="59"/>
        <item x="37"/>
      </items>
    </pivotField>
    <pivotField axis="axisRow" compact="0" outline="0" showAll="0" sortType="ascending" defaultSubtotal="0">
      <items count="352">
        <item h="1" sd="0" m="1" x="162"/>
        <item sd="0" m="1" x="314"/>
        <item m="1" x="51"/>
        <item m="1" x="143"/>
        <item sd="0" m="1" x="174"/>
        <item sd="0" m="1" x="128"/>
        <item m="1" x="111"/>
        <item m="1" x="114"/>
        <item m="1" x="52"/>
        <item sd="0" m="1" x="200"/>
        <item sd="0" x="35"/>
        <item sd="0" m="1" x="316"/>
        <item sd="0" x="1"/>
        <item sd="0" m="1" x="116"/>
        <item m="1" x="140"/>
        <item sd="0" m="1" x="291"/>
        <item sd="0" m="1" x="129"/>
        <item sd="0" m="1" x="193"/>
        <item m="1" x="90"/>
        <item sd="0" m="1" x="53"/>
        <item m="1" x="171"/>
        <item sd="0" x="36"/>
        <item m="1" x="112"/>
        <item sd="0" m="1" x="225"/>
        <item sd="0" m="1" x="332"/>
        <item sd="0" m="1" x="186"/>
        <item sd="0" m="1" x="191"/>
        <item sd="0" m="1" x="262"/>
        <item sd="0" m="1" x="54"/>
        <item sd="0" m="1" x="250"/>
        <item sd="0" m="1" x="350"/>
        <item sd="0" m="1" x="344"/>
        <item sd="0" m="1" x="138"/>
        <item m="1" x="93"/>
        <item sd="0" m="1" x="297"/>
        <item sd="0" x="2"/>
        <item m="1" x="172"/>
        <item sd="0" x="3"/>
        <item sd="0" m="1" x="144"/>
        <item m="1" x="108"/>
        <item m="1" x="139"/>
        <item x="4"/>
        <item m="1" x="94"/>
        <item m="1" x="55"/>
        <item sd="0" m="1" x="205"/>
        <item m="1" x="56"/>
        <item sd="0" m="1" x="178"/>
        <item m="1" x="145"/>
        <item sd="0" m="1" x="57"/>
        <item sd="0" m="1" x="335"/>
        <item sd="0" m="1" x="313"/>
        <item sd="0" m="1" x="230"/>
        <item sd="0" m="1" x="311"/>
        <item sd="0" x="5"/>
        <item sd="0" m="1" x="146"/>
        <item sd="0" m="1" x="187"/>
        <item x="0"/>
        <item sd="0" m="1" x="106"/>
        <item sd="0" m="1" x="179"/>
        <item m="1" x="117"/>
        <item sd="0" m="1" x="265"/>
        <item sd="0" m="1" x="324"/>
        <item sd="0" m="1" x="216"/>
        <item x="37"/>
        <item m="1" x="113"/>
        <item sd="0" m="1" x="203"/>
        <item sd="0" m="1" x="305"/>
        <item sd="0" m="1" x="147"/>
        <item sd="0" m="1" x="258"/>
        <item sd="0" m="1" x="237"/>
        <item sd="0" m="1" x="92"/>
        <item sd="0" m="1" x="184"/>
        <item sd="0" m="1" x="161"/>
        <item m="1" x="58"/>
        <item sd="0" m="1" x="153"/>
        <item sd="0" m="1" x="275"/>
        <item sd="0" m="1" x="190"/>
        <item sd="0" m="1" x="280"/>
        <item m="1" x="95"/>
        <item sd="0" m="1" x="204"/>
        <item sd="0" m="1" x="185"/>
        <item sd="0" x="38"/>
        <item m="1" x="123"/>
        <item sd="0" m="1" x="88"/>
        <item m="1" x="148"/>
        <item sd="0" m="1" x="288"/>
        <item sd="0" m="1" x="236"/>
        <item sd="0" m="1" x="281"/>
        <item m="1" x="152"/>
        <item sd="0" m="1" x="351"/>
        <item sd="0" m="1" x="173"/>
        <item sd="0" m="1" x="338"/>
        <item sd="0" m="1" x="339"/>
        <item sd="0" m="1" x="59"/>
        <item sd="0" m="1" x="308"/>
        <item sd="0" m="1" x="180"/>
        <item sd="0" m="1" x="166"/>
        <item sd="0" m="1" x="239"/>
        <item sd="0" m="1" x="60"/>
        <item x="39"/>
        <item sd="0" m="1" x="224"/>
        <item sd="0" m="1" x="310"/>
        <item m="1" x="130"/>
        <item sd="0" x="6"/>
        <item sd="0" m="1" x="334"/>
        <item m="1" x="122"/>
        <item sd="0" m="1" x="61"/>
        <item sd="0" m="1" x="294"/>
        <item sd="0" m="1" x="217"/>
        <item sd="0" m="1" x="337"/>
        <item sd="0" m="1" x="195"/>
        <item sd="0" m="1" x="317"/>
        <item sd="0" m="1" x="62"/>
        <item sd="0" m="1" x="290"/>
        <item sd="0" m="1" x="276"/>
        <item sd="0" m="1" x="198"/>
        <item sd="0" m="1" x="333"/>
        <item sd="0" m="1" x="247"/>
        <item sd="0" m="1" x="212"/>
        <item sd="0" m="1" x="213"/>
        <item sd="0" m="1" x="302"/>
        <item sd="0" m="1" x="328"/>
        <item sd="0" m="1" x="211"/>
        <item sd="0" m="1" x="329"/>
        <item sd="0" m="1" x="323"/>
        <item sd="0" m="1" x="342"/>
        <item sd="0" m="1" x="96"/>
        <item sd="0" m="1" x="254"/>
        <item sd="0" m="1" x="347"/>
        <item sd="0" m="1" x="155"/>
        <item sd="0" m="1" x="284"/>
        <item sd="0" m="1" x="214"/>
        <item sd="0" m="1" x="104"/>
        <item sd="0" m="1" x="331"/>
        <item sd="0" m="1" x="202"/>
        <item sd="0" m="1" x="63"/>
        <item sd="0" x="7"/>
        <item sd="0" m="1" x="215"/>
        <item sd="0" m="1" x="320"/>
        <item m="1" x="160"/>
        <item m="1" x="151"/>
        <item sd="0" m="1" x="261"/>
        <item sd="0" x="8"/>
        <item m="1" x="64"/>
        <item sd="0" m="1" x="293"/>
        <item sd="0" m="1" x="156"/>
        <item sd="0" m="1" x="243"/>
        <item sd="0" m="1" x="210"/>
        <item sd="0" m="1" x="222"/>
        <item sd="0" m="1" x="312"/>
        <item sd="0" m="1" x="208"/>
        <item sd="0" m="1" x="272"/>
        <item sd="0" x="40"/>
        <item sd="0" m="1" x="349"/>
        <item sd="0" m="1" x="287"/>
        <item sd="0" x="9"/>
        <item sd="0" m="1" x="285"/>
        <item sd="0" m="1" x="65"/>
        <item sd="0" m="1" x="181"/>
        <item m="1" x="136"/>
        <item m="1" x="118"/>
        <item sd="0" m="1" x="157"/>
        <item sd="0" m="1" x="242"/>
        <item sd="0" m="1" x="194"/>
        <item sd="0" x="10"/>
        <item sd="0" x="48"/>
        <item sd="0" m="1" x="170"/>
        <item sd="0" m="1" x="149"/>
        <item m="1" x="142"/>
        <item sd="0" m="1" x="109"/>
        <item sd="0" m="1" x="256"/>
        <item sd="0" m="1" x="201"/>
        <item sd="0" m="1" x="301"/>
        <item m="1" x="154"/>
        <item sd="0" m="1" x="66"/>
        <item sd="0" m="1" x="345"/>
        <item sd="0" m="1" x="226"/>
        <item sd="0" m="1" x="257"/>
        <item sd="0" x="12"/>
        <item sd="0" m="1" x="270"/>
        <item sd="0" m="1" x="283"/>
        <item sd="0" m="1" x="132"/>
        <item sd="0" x="41"/>
        <item sd="0" m="1" x="133"/>
        <item sd="0" m="1" x="197"/>
        <item sd="0" m="1" x="241"/>
        <item m="1" x="97"/>
        <item sd="0" m="1" x="150"/>
        <item sd="0" m="1" x="245"/>
        <item sd="0" m="1" x="304"/>
        <item sd="0" x="13"/>
        <item sd="0" m="1" x="240"/>
        <item sd="0" m="1" x="137"/>
        <item sd="0" m="1" x="277"/>
        <item sd="0" m="1" x="343"/>
        <item sd="0" m="1" x="115"/>
        <item sd="0" m="1" x="336"/>
        <item sd="0" m="1" x="278"/>
        <item sd="0" m="1" x="125"/>
        <item sd="0" m="1" x="163"/>
        <item sd="0" x="14"/>
        <item sd="0" m="1" x="126"/>
        <item sd="0" m="1" x="248"/>
        <item sd="0" m="1" x="268"/>
        <item m="1" x="98"/>
        <item sd="0" x="15"/>
        <item sd="0" m="1" x="232"/>
        <item sd="0" m="1" x="67"/>
        <item x="16"/>
        <item m="1" x="135"/>
        <item m="1" x="141"/>
        <item sd="0" m="1" x="68"/>
        <item sd="0" m="1" x="298"/>
        <item sd="0" m="1" x="69"/>
        <item sd="0" m="1" x="274"/>
        <item sd="0" x="17"/>
        <item x="42"/>
        <item sd="0" m="1" x="206"/>
        <item sd="0" m="1" x="158"/>
        <item x="18"/>
        <item sd="0" m="1" x="110"/>
        <item sd="0" m="1" x="266"/>
        <item sd="0" m="1" x="107"/>
        <item sd="0" m="1" x="346"/>
        <item sd="0" m="1" x="121"/>
        <item sd="0" m="1" x="223"/>
        <item sd="0" m="1" x="207"/>
        <item sd="0" m="1" x="244"/>
        <item sd="0" m="1" x="253"/>
        <item sd="0" m="1" x="220"/>
        <item sd="0" m="1" x="330"/>
        <item sd="0" m="1" x="164"/>
        <item m="1" x="175"/>
        <item sd="0" x="19"/>
        <item sd="0" m="1" x="286"/>
        <item sd="0" m="1" x="188"/>
        <item sd="0" x="20"/>
        <item sd="0" m="1" x="269"/>
        <item sd="0" m="1" x="134"/>
        <item sd="0" m="1" x="326"/>
        <item m="1" x="176"/>
        <item sd="0" m="1" x="131"/>
        <item sd="0" m="1" x="299"/>
        <item m="1" x="119"/>
        <item m="1" x="70"/>
        <item sd="0" m="1" x="71"/>
        <item sd="0" m="1" x="189"/>
        <item sd="0" m="1" x="315"/>
        <item m="1" x="72"/>
        <item sd="0" m="1" x="300"/>
        <item sd="0" m="1" x="246"/>
        <item sd="0" m="1" x="209"/>
        <item sd="0" m="1" x="73"/>
        <item sd="0" m="1" x="289"/>
        <item sd="0" m="1" x="192"/>
        <item sd="0" m="1" x="221"/>
        <item sd="0" x="43"/>
        <item m="1" x="74"/>
        <item sd="0" x="21"/>
        <item sd="0" m="1" x="229"/>
        <item sd="0" m="1" x="199"/>
        <item sd="0" m="1" x="91"/>
        <item m="1" x="75"/>
        <item sd="0" m="1" x="165"/>
        <item sd="0" m="1" x="309"/>
        <item sd="0" m="1" x="99"/>
        <item sd="0" x="22"/>
        <item sd="0" x="44"/>
        <item sd="0" m="1" x="273"/>
        <item sd="0" x="23"/>
        <item sd="0" m="1" x="295"/>
        <item m="1" x="76"/>
        <item m="1" x="77"/>
        <item sd="0" m="1" x="279"/>
        <item sd="0" m="1" x="167"/>
        <item sd="0" m="1" x="325"/>
        <item m="1" x="78"/>
        <item sd="0" m="1" x="234"/>
        <item sd="0" m="1" x="100"/>
        <item sd="0" m="1" x="238"/>
        <item sd="0" x="50"/>
        <item sd="0" m="1" x="228"/>
        <item sd="0" m="1" x="303"/>
        <item sd="0" m="1" x="348"/>
        <item sd="0" m="1" x="259"/>
        <item sd="0" m="1" x="263"/>
        <item x="49"/>
        <item sd="0" m="1" x="318"/>
        <item m="1" x="101"/>
        <item sd="0" m="1" x="322"/>
        <item sd="0" m="1" x="89"/>
        <item sd="0" m="1" x="79"/>
        <item sd="0" m="1" x="105"/>
        <item sd="0" x="25"/>
        <item sd="0" m="1" x="260"/>
        <item sd="0" x="24"/>
        <item x="26"/>
        <item sd="0" m="1" x="292"/>
        <item m="1" x="80"/>
        <item sd="0" x="27"/>
        <item sd="0" m="1" x="255"/>
        <item sd="0" x="45"/>
        <item sd="0" m="1" x="319"/>
        <item sd="0" m="1" x="219"/>
        <item sd="0" m="1" x="81"/>
        <item m="1" x="102"/>
        <item sd="0" m="1" x="82"/>
        <item sd="0" m="1" x="271"/>
        <item m="1" x="124"/>
        <item sd="0" m="1" x="264"/>
        <item sd="0" x="28"/>
        <item sd="0" m="1" x="321"/>
        <item x="29"/>
        <item sd="0" m="1" x="282"/>
        <item sd="0" m="1" x="83"/>
        <item sd="0" m="1" x="182"/>
        <item sd="0" m="1" x="340"/>
        <item sd="0" m="1" x="251"/>
        <item sd="0" m="1" x="235"/>
        <item sd="0" m="1" x="227"/>
        <item sd="0" m="1" x="84"/>
        <item sd="0" m="1" x="103"/>
        <item sd="0" m="1" x="218"/>
        <item sd="0" m="1" x="231"/>
        <item sd="0" x="46"/>
        <item sd="0" m="1" x="249"/>
        <item sd="0" x="47"/>
        <item m="1" x="177"/>
        <item m="1" x="127"/>
        <item sd="0" m="1" x="252"/>
        <item sd="0" m="1" x="233"/>
        <item sd="0" m="1" x="327"/>
        <item sd="0" m="1" x="168"/>
        <item sd="0" m="1" x="307"/>
        <item sd="0" m="1" x="120"/>
        <item sd="0" m="1" x="183"/>
        <item sd="0" m="1" x="341"/>
        <item x="30"/>
        <item sd="0" m="1" x="169"/>
        <item sd="0" m="1" x="159"/>
        <item sd="0" m="1" x="85"/>
        <item sd="0" m="1" x="267"/>
        <item sd="0" x="31"/>
        <item sd="0" m="1" x="86"/>
        <item m="1" x="87"/>
        <item sd="0" m="1" x="196"/>
        <item sd="0" m="1" x="306"/>
        <item sd="0" x="32"/>
        <item sd="0" m="1" x="296"/>
        <item sd="0" x="33"/>
        <item x="34"/>
        <item h="1" sd="0" x="11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6">
        <item m="1" x="9"/>
        <item m="1" x="6"/>
        <item m="1" x="14"/>
        <item m="1" x="4"/>
        <item m="1" x="11"/>
        <item m="1" x="8"/>
        <item m="1" x="7"/>
        <item m="1" x="12"/>
        <item m="1" x="10"/>
        <item m="1" x="13"/>
        <item m="1" x="5"/>
        <item x="0"/>
        <item x="1"/>
        <item x="2"/>
        <item x="3"/>
        <item t="default"/>
      </items>
    </pivotField>
    <pivotField compact="0" outline="0" showAll="0"/>
    <pivotField axis="axisPage" compact="0" outline="0" multipleItemSelectionAllowed="1" showAll="0">
      <items count="184">
        <item x="14"/>
        <item m="1" x="145"/>
        <item m="1" x="146"/>
        <item m="1" x="147"/>
        <item m="1" x="71"/>
        <item m="1" x="148"/>
        <item m="1" x="149"/>
        <item m="1" x="150"/>
        <item m="1" x="151"/>
        <item m="1" x="152"/>
        <item m="1" x="133"/>
        <item m="1" x="153"/>
        <item m="1" x="154"/>
        <item m="1" x="155"/>
        <item m="1" x="156"/>
        <item m="1" x="157"/>
        <item m="1" x="51"/>
        <item m="1" x="158"/>
        <item m="1" x="159"/>
        <item m="1" x="84"/>
        <item m="1" x="96"/>
        <item m="1" x="160"/>
        <item m="1" x="142"/>
        <item m="1" x="102"/>
        <item m="1" x="161"/>
        <item m="1" x="100"/>
        <item m="1" x="162"/>
        <item m="1" x="163"/>
        <item m="1" x="135"/>
        <item m="1" x="164"/>
        <item m="1" x="104"/>
        <item m="1" x="165"/>
        <item m="1" x="166"/>
        <item m="1" x="167"/>
        <item m="1" x="25"/>
        <item m="1" x="22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16"/>
        <item m="1" x="181"/>
        <item m="1" x="134"/>
        <item m="1" x="182"/>
        <item x="1"/>
        <item x="3"/>
        <item x="11"/>
        <item x="6"/>
        <item x="5"/>
        <item x="2"/>
        <item x="0"/>
        <item x="4"/>
        <item x="12"/>
        <item x="8"/>
        <item x="9"/>
        <item x="10"/>
        <item m="1" x="112"/>
        <item m="1" x="113"/>
        <item m="1" x="114"/>
        <item m="1" x="115"/>
        <item m="1" x="80"/>
        <item m="1" x="64"/>
        <item m="1" x="117"/>
        <item m="1" x="118"/>
        <item m="1" x="119"/>
        <item m="1" x="120"/>
        <item m="1" x="121"/>
        <item m="1" x="122"/>
        <item m="1" x="123"/>
        <item m="1" x="124"/>
        <item m="1" x="72"/>
        <item m="1" x="66"/>
        <item m="1" x="125"/>
        <item m="1" x="126"/>
        <item m="1" x="127"/>
        <item m="1" x="128"/>
        <item m="1" x="55"/>
        <item m="1" x="129"/>
        <item m="1" x="110"/>
        <item m="1" x="130"/>
        <item m="1" x="131"/>
        <item m="1" x="132"/>
        <item m="1" x="44"/>
        <item m="1" x="136"/>
        <item m="1" x="43"/>
        <item m="1" x="23"/>
        <item m="1" x="37"/>
        <item m="1" x="78"/>
        <item m="1" x="137"/>
        <item m="1" x="138"/>
        <item m="1" x="139"/>
        <item m="1" x="86"/>
        <item m="1" x="59"/>
        <item m="1" x="57"/>
        <item m="1" x="140"/>
        <item m="1" x="30"/>
        <item m="1" x="141"/>
        <item m="1" x="143"/>
        <item m="1" x="144"/>
        <item m="1" x="16"/>
        <item m="1" x="17"/>
        <item m="1" x="18"/>
        <item m="1" x="19"/>
        <item m="1" x="20"/>
        <item m="1" x="21"/>
        <item m="1" x="24"/>
        <item m="1" x="26"/>
        <item m="1" x="27"/>
        <item m="1" x="28"/>
        <item m="1" x="29"/>
        <item m="1" x="31"/>
        <item m="1" x="32"/>
        <item m="1" x="33"/>
        <item m="1" x="34"/>
        <item m="1" x="35"/>
        <item m="1" x="36"/>
        <item m="1" x="38"/>
        <item m="1" x="39"/>
        <item m="1" x="40"/>
        <item m="1" x="41"/>
        <item m="1" x="42"/>
        <item m="1" x="45"/>
        <item m="1" x="46"/>
        <item m="1" x="47"/>
        <item m="1" x="48"/>
        <item m="1" x="49"/>
        <item m="1" x="50"/>
        <item m="1" x="52"/>
        <item m="1" x="53"/>
        <item m="1" x="54"/>
        <item m="1" x="56"/>
        <item m="1" x="58"/>
        <item m="1" x="60"/>
        <item m="1" x="61"/>
        <item m="1" x="62"/>
        <item m="1" x="63"/>
        <item m="1" x="65"/>
        <item m="1" x="67"/>
        <item m="1" x="68"/>
        <item m="1" x="69"/>
        <item m="1" x="70"/>
        <item m="1" x="73"/>
        <item m="1" x="74"/>
        <item m="1" x="75"/>
        <item m="1" x="76"/>
        <item m="1" x="77"/>
        <item m="1" x="79"/>
        <item m="1" x="81"/>
        <item m="1" x="82"/>
        <item m="1" x="83"/>
        <item m="1" x="85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7"/>
        <item m="1" x="98"/>
        <item m="1" x="99"/>
        <item m="1" x="101"/>
        <item m="1" x="103"/>
        <item m="1" x="105"/>
        <item m="1" x="106"/>
        <item m="1" x="107"/>
        <item m="1" x="108"/>
        <item m="1" x="109"/>
        <item m="1" x="111"/>
        <item x="7"/>
        <item m="1" x="15"/>
        <item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3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dragToRow="0" dragToCol="0" dragToPage="0" showAll="0" defaultSubtotal="0"/>
  </pivotFields>
  <rowFields count="2">
    <field x="2"/>
    <field x="1"/>
  </rowFields>
  <rowItems count="51">
    <i>
      <x v="10"/>
    </i>
    <i>
      <x v="12"/>
    </i>
    <i>
      <x v="21"/>
    </i>
    <i>
      <x v="35"/>
    </i>
    <i>
      <x v="37"/>
    </i>
    <i>
      <x v="41"/>
      <x v="74"/>
    </i>
    <i>
      <x v="53"/>
    </i>
    <i>
      <x v="56"/>
      <x v="56"/>
    </i>
    <i>
      <x v="63"/>
      <x v="28"/>
    </i>
    <i>
      <x v="81"/>
    </i>
    <i>
      <x v="99"/>
      <x v="60"/>
    </i>
    <i>
      <x v="103"/>
    </i>
    <i>
      <x v="136"/>
    </i>
    <i>
      <x v="142"/>
    </i>
    <i>
      <x v="152"/>
    </i>
    <i>
      <x v="155"/>
    </i>
    <i>
      <x v="164"/>
    </i>
    <i>
      <x v="165"/>
    </i>
    <i>
      <x v="178"/>
    </i>
    <i>
      <x v="182"/>
    </i>
    <i>
      <x v="190"/>
    </i>
    <i>
      <x v="200"/>
    </i>
    <i>
      <x v="205"/>
    </i>
    <i>
      <x v="208"/>
      <x v="14"/>
    </i>
    <i>
      <x v="215"/>
    </i>
    <i>
      <x v="216"/>
      <x v="70"/>
    </i>
    <i>
      <x v="219"/>
      <x v="40"/>
    </i>
    <i>
      <x v="233"/>
    </i>
    <i>
      <x v="236"/>
    </i>
    <i>
      <x v="256"/>
    </i>
    <i>
      <x v="258"/>
    </i>
    <i>
      <x v="266"/>
    </i>
    <i>
      <x v="267"/>
    </i>
    <i>
      <x v="269"/>
    </i>
    <i>
      <x v="280"/>
    </i>
    <i>
      <x v="286"/>
      <x v="68"/>
    </i>
    <i>
      <x v="293"/>
    </i>
    <i>
      <x v="295"/>
    </i>
    <i>
      <x v="296"/>
      <x v="57"/>
    </i>
    <i>
      <x v="299"/>
    </i>
    <i>
      <x v="301"/>
    </i>
    <i>
      <x v="310"/>
    </i>
    <i>
      <x v="312"/>
      <x v="35"/>
    </i>
    <i>
      <x v="324"/>
    </i>
    <i>
      <x v="326"/>
    </i>
    <i>
      <x v="337"/>
      <x v="37"/>
    </i>
    <i>
      <x v="342"/>
    </i>
    <i>
      <x v="347"/>
    </i>
    <i>
      <x v="349"/>
    </i>
    <i>
      <x v="350"/>
      <x v="43"/>
    </i>
    <i t="grand">
      <x/>
    </i>
  </rowItems>
  <colItems count="1">
    <i/>
  </colItems>
  <pageFields count="2">
    <pageField fld="13" hier="-1"/>
    <pageField fld="11" hier="-1"/>
  </pageFields>
  <dataFields count="1">
    <dataField name="Suma de Contratistas" fld="20" baseField="0" baseItem="0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TablaDinámica1" cacheId="51" applyNumberFormats="0" applyBorderFormats="0" applyFontFormats="0" applyPatternFormats="0" applyAlignmentFormats="0" applyWidthHeightFormats="1" dataCaption="Valores" updatedVersion="8" minRefreshableVersion="3" preserveFormatting="0" itemPrintTitles="1" createdVersion="6" indent="0" compact="0" compactData="0" gridDropZones="1" multipleFieldFilters="0">
  <location ref="A9:G60" firstHeaderRow="1" firstDataRow="2" firstDataCol="3" rowPageCount="4" colPageCount="1"/>
  <pivotFields count="36">
    <pivotField compact="0" outline="0" showAll="0"/>
    <pivotField axis="axisRow" compact="0" outline="0" showAll="0" defaultSubtotal="0">
      <items count="78">
        <item sd="0" x="20"/>
        <item sd="0" m="1" x="77"/>
        <item sd="0" x="8"/>
        <item sd="0" x="13"/>
        <item sd="0" x="76"/>
        <item sd="0" x="70"/>
        <item sd="0" x="56"/>
        <item sd="0" x="17"/>
        <item sd="0" x="21"/>
        <item sd="0" x="23"/>
        <item sd="0" x="14"/>
        <item sd="0" x="38"/>
        <item sd="0" x="65"/>
        <item sd="0" x="6"/>
        <item x="16"/>
        <item x="42"/>
        <item x="15"/>
        <item x="39"/>
        <item x="26"/>
        <item x="28"/>
        <item x="63"/>
        <item x="60"/>
        <item x="12"/>
        <item x="55"/>
        <item x="40"/>
        <item x="2"/>
        <item x="48"/>
        <item x="47"/>
        <item x="50"/>
        <item x="51"/>
        <item x="69"/>
        <item x="68"/>
        <item x="25"/>
        <item x="24"/>
        <item x="72"/>
        <item x="35"/>
        <item x="73"/>
        <item x="36"/>
        <item x="5"/>
        <item x="10"/>
        <item x="18"/>
        <item x="58"/>
        <item x="62"/>
        <item x="41"/>
        <item x="22"/>
        <item x="46"/>
        <item x="7"/>
        <item x="53"/>
        <item x="19"/>
        <item x="29"/>
        <item x="30"/>
        <item x="31"/>
        <item x="32"/>
        <item x="33"/>
        <item x="34"/>
        <item x="74"/>
        <item x="0"/>
        <item x="27"/>
        <item x="64"/>
        <item x="44"/>
        <item x="52"/>
        <item x="1"/>
        <item x="43"/>
        <item x="66"/>
        <item x="67"/>
        <item x="75"/>
        <item x="54"/>
        <item x="61"/>
        <item x="71"/>
        <item x="9"/>
        <item x="57"/>
        <item x="45"/>
        <item x="49"/>
        <item x="3"/>
        <item x="4"/>
        <item x="11"/>
        <item x="59"/>
        <item x="37"/>
      </items>
    </pivotField>
    <pivotField axis="axisRow" compact="0" outline="0" showAll="0" sortType="ascending" defaultSubtotal="0">
      <items count="352">
        <item h="1" sd="0" m="1" x="162"/>
        <item sd="0" m="1" x="314"/>
        <item sd="0" m="1" x="51"/>
        <item sd="0" m="1" x="143"/>
        <item sd="0" m="1" x="174"/>
        <item sd="0" m="1" x="128"/>
        <item sd="0" m="1" x="111"/>
        <item sd="0" m="1" x="114"/>
        <item sd="0" m="1" x="52"/>
        <item sd="0" m="1" x="200"/>
        <item sd="0" x="35"/>
        <item sd="0" m="1" x="316"/>
        <item sd="0" x="1"/>
        <item sd="0" m="1" x="116"/>
        <item sd="0" m="1" x="140"/>
        <item sd="0" m="1" x="291"/>
        <item sd="0" m="1" x="129"/>
        <item sd="0" m="1" x="193"/>
        <item sd="0" m="1" x="90"/>
        <item sd="0" m="1" x="53"/>
        <item sd="0" m="1" x="171"/>
        <item sd="0" x="36"/>
        <item sd="0" m="1" x="112"/>
        <item sd="0" m="1" x="225"/>
        <item sd="0" m="1" x="332"/>
        <item sd="0" m="1" x="186"/>
        <item sd="0" m="1" x="191"/>
        <item sd="0" m="1" x="262"/>
        <item sd="0" m="1" x="54"/>
        <item sd="0" m="1" x="250"/>
        <item sd="0" m="1" x="350"/>
        <item sd="0" m="1" x="344"/>
        <item sd="0" m="1" x="138"/>
        <item sd="0" m="1" x="93"/>
        <item sd="0" m="1" x="297"/>
        <item sd="0" x="2"/>
        <item sd="0" m="1" x="172"/>
        <item sd="0" x="3"/>
        <item sd="0" m="1" x="144"/>
        <item sd="0" m="1" x="108"/>
        <item sd="0" m="1" x="139"/>
        <item sd="0" x="4"/>
        <item sd="0" m="1" x="94"/>
        <item sd="0" m="1" x="55"/>
        <item sd="0" m="1" x="205"/>
        <item sd="0" m="1" x="56"/>
        <item sd="0" m="1" x="178"/>
        <item sd="0" m="1" x="145"/>
        <item sd="0" m="1" x="57"/>
        <item sd="0" m="1" x="335"/>
        <item sd="0" m="1" x="313"/>
        <item sd="0" m="1" x="230"/>
        <item sd="0" m="1" x="311"/>
        <item sd="0" x="5"/>
        <item sd="0" m="1" x="146"/>
        <item sd="0" m="1" x="187"/>
        <item sd="0" x="0"/>
        <item sd="0" m="1" x="106"/>
        <item sd="0" m="1" x="179"/>
        <item sd="0" m="1" x="117"/>
        <item sd="0" m="1" x="265"/>
        <item sd="0" m="1" x="324"/>
        <item sd="0" m="1" x="216"/>
        <item sd="0" x="37"/>
        <item sd="0" m="1" x="113"/>
        <item sd="0" m="1" x="203"/>
        <item sd="0" m="1" x="305"/>
        <item sd="0" m="1" x="147"/>
        <item sd="0" m="1" x="258"/>
        <item sd="0" m="1" x="237"/>
        <item sd="0" m="1" x="92"/>
        <item sd="0" m="1" x="184"/>
        <item sd="0" m="1" x="161"/>
        <item sd="0" m="1" x="58"/>
        <item sd="0" m="1" x="153"/>
        <item sd="0" m="1" x="275"/>
        <item sd="0" m="1" x="190"/>
        <item sd="0" m="1" x="280"/>
        <item sd="0" m="1" x="95"/>
        <item sd="0" m="1" x="204"/>
        <item sd="0" m="1" x="185"/>
        <item sd="0" x="38"/>
        <item sd="0" m="1" x="123"/>
        <item sd="0" m="1" x="88"/>
        <item sd="0" m="1" x="148"/>
        <item sd="0" m="1" x="288"/>
        <item sd="0" m="1" x="236"/>
        <item sd="0" m="1" x="281"/>
        <item sd="0" m="1" x="152"/>
        <item sd="0" m="1" x="351"/>
        <item sd="0" m="1" x="173"/>
        <item sd="0" m="1" x="338"/>
        <item sd="0" m="1" x="339"/>
        <item sd="0" m="1" x="59"/>
        <item sd="0" m="1" x="308"/>
        <item sd="0" m="1" x="180"/>
        <item sd="0" m="1" x="166"/>
        <item sd="0" m="1" x="239"/>
        <item sd="0" m="1" x="60"/>
        <item sd="0" x="39"/>
        <item sd="0" m="1" x="224"/>
        <item sd="0" m="1" x="310"/>
        <item sd="0" m="1" x="130"/>
        <item sd="0" x="6"/>
        <item sd="0" m="1" x="334"/>
        <item sd="0" m="1" x="122"/>
        <item sd="0" m="1" x="61"/>
        <item sd="0" m="1" x="294"/>
        <item sd="0" m="1" x="217"/>
        <item sd="0" m="1" x="337"/>
        <item sd="0" m="1" x="195"/>
        <item sd="0" m="1" x="317"/>
        <item sd="0" m="1" x="62"/>
        <item sd="0" m="1" x="290"/>
        <item sd="0" m="1" x="276"/>
        <item sd="0" m="1" x="198"/>
        <item sd="0" m="1" x="333"/>
        <item sd="0" m="1" x="247"/>
        <item sd="0" m="1" x="212"/>
        <item sd="0" m="1" x="213"/>
        <item sd="0" m="1" x="302"/>
        <item sd="0" m="1" x="328"/>
        <item sd="0" m="1" x="211"/>
        <item sd="0" m="1" x="329"/>
        <item sd="0" m="1" x="323"/>
        <item sd="0" m="1" x="342"/>
        <item sd="0" m="1" x="96"/>
        <item sd="0" m="1" x="254"/>
        <item sd="0" m="1" x="347"/>
        <item sd="0" m="1" x="155"/>
        <item sd="0" m="1" x="284"/>
        <item sd="0" m="1" x="214"/>
        <item sd="0" m="1" x="104"/>
        <item sd="0" m="1" x="331"/>
        <item sd="0" m="1" x="202"/>
        <item sd="0" m="1" x="63"/>
        <item sd="0" x="7"/>
        <item sd="0" m="1" x="215"/>
        <item sd="0" m="1" x="320"/>
        <item sd="0" m="1" x="160"/>
        <item sd="0" m="1" x="151"/>
        <item sd="0" m="1" x="261"/>
        <item sd="0" x="8"/>
        <item sd="0" m="1" x="64"/>
        <item sd="0" m="1" x="293"/>
        <item sd="0" m="1" x="156"/>
        <item sd="0" m="1" x="243"/>
        <item sd="0" m="1" x="210"/>
        <item sd="0" m="1" x="222"/>
        <item sd="0" m="1" x="312"/>
        <item sd="0" m="1" x="208"/>
        <item sd="0" m="1" x="272"/>
        <item sd="0" x="40"/>
        <item sd="0" m="1" x="349"/>
        <item sd="0" m="1" x="287"/>
        <item sd="0" x="9"/>
        <item sd="0" m="1" x="285"/>
        <item sd="0" m="1" x="65"/>
        <item sd="0" m="1" x="181"/>
        <item sd="0" m="1" x="136"/>
        <item sd="0" m="1" x="118"/>
        <item sd="0" m="1" x="157"/>
        <item sd="0" m="1" x="242"/>
        <item sd="0" m="1" x="194"/>
        <item sd="0" x="10"/>
        <item sd="0" x="48"/>
        <item sd="0" m="1" x="170"/>
        <item sd="0" m="1" x="149"/>
        <item sd="0" m="1" x="142"/>
        <item sd="0" m="1" x="109"/>
        <item sd="0" m="1" x="256"/>
        <item sd="0" m="1" x="201"/>
        <item sd="0" m="1" x="301"/>
        <item sd="0" m="1" x="154"/>
        <item sd="0" m="1" x="66"/>
        <item sd="0" m="1" x="345"/>
        <item sd="0" m="1" x="226"/>
        <item sd="0" m="1" x="257"/>
        <item sd="0" x="12"/>
        <item sd="0" m="1" x="270"/>
        <item sd="0" m="1" x="283"/>
        <item sd="0" m="1" x="132"/>
        <item sd="0" x="41"/>
        <item sd="0" m="1" x="133"/>
        <item sd="0" m="1" x="197"/>
        <item sd="0" m="1" x="241"/>
        <item sd="0" m="1" x="97"/>
        <item sd="0" m="1" x="150"/>
        <item sd="0" m="1" x="245"/>
        <item sd="0" m="1" x="304"/>
        <item sd="0" x="13"/>
        <item sd="0" m="1" x="240"/>
        <item sd="0" m="1" x="137"/>
        <item sd="0" m="1" x="277"/>
        <item sd="0" m="1" x="343"/>
        <item sd="0" m="1" x="115"/>
        <item sd="0" m="1" x="336"/>
        <item sd="0" m="1" x="278"/>
        <item sd="0" m="1" x="125"/>
        <item sd="0" m="1" x="163"/>
        <item sd="0" x="14"/>
        <item sd="0" m="1" x="126"/>
        <item sd="0" m="1" x="248"/>
        <item sd="0" m="1" x="268"/>
        <item sd="0" m="1" x="98"/>
        <item sd="0" x="15"/>
        <item sd="0" m="1" x="232"/>
        <item sd="0" m="1" x="67"/>
        <item sd="0" x="16"/>
        <item sd="0" m="1" x="135"/>
        <item sd="0" m="1" x="141"/>
        <item sd="0" m="1" x="68"/>
        <item sd="0" m="1" x="298"/>
        <item sd="0" m="1" x="69"/>
        <item sd="0" m="1" x="274"/>
        <item sd="0" x="17"/>
        <item sd="0" x="42"/>
        <item sd="0" m="1" x="206"/>
        <item sd="0" m="1" x="158"/>
        <item sd="0" x="18"/>
        <item sd="0" m="1" x="110"/>
        <item sd="0" m="1" x="266"/>
        <item sd="0" m="1" x="107"/>
        <item sd="0" m="1" x="346"/>
        <item sd="0" m="1" x="121"/>
        <item sd="0" m="1" x="223"/>
        <item sd="0" m="1" x="207"/>
        <item sd="0" m="1" x="244"/>
        <item sd="0" m="1" x="253"/>
        <item sd="0" m="1" x="220"/>
        <item sd="0" m="1" x="330"/>
        <item sd="0" m="1" x="164"/>
        <item sd="0" m="1" x="175"/>
        <item sd="0" x="19"/>
        <item sd="0" m="1" x="286"/>
        <item sd="0" m="1" x="188"/>
        <item sd="0" x="20"/>
        <item sd="0" m="1" x="269"/>
        <item sd="0" m="1" x="134"/>
        <item sd="0" m="1" x="326"/>
        <item sd="0" m="1" x="176"/>
        <item sd="0" m="1" x="131"/>
        <item sd="0" m="1" x="299"/>
        <item sd="0" m="1" x="119"/>
        <item sd="0" m="1" x="70"/>
        <item sd="0" m="1" x="71"/>
        <item sd="0" m="1" x="189"/>
        <item sd="0" m="1" x="315"/>
        <item sd="0" m="1" x="72"/>
        <item sd="0" m="1" x="300"/>
        <item sd="0" m="1" x="246"/>
        <item sd="0" m="1" x="209"/>
        <item sd="0" m="1" x="73"/>
        <item sd="0" m="1" x="289"/>
        <item sd="0" m="1" x="192"/>
        <item sd="0" m="1" x="221"/>
        <item sd="0" x="43"/>
        <item sd="0" m="1" x="74"/>
        <item sd="0" x="21"/>
        <item sd="0" m="1" x="229"/>
        <item sd="0" m="1" x="199"/>
        <item sd="0" m="1" x="91"/>
        <item sd="0" m="1" x="75"/>
        <item sd="0" m="1" x="165"/>
        <item sd="0" m="1" x="309"/>
        <item sd="0" m="1" x="99"/>
        <item sd="0" x="22"/>
        <item sd="0" x="44"/>
        <item sd="0" m="1" x="273"/>
        <item sd="0" x="23"/>
        <item sd="0" m="1" x="295"/>
        <item sd="0" m="1" x="76"/>
        <item sd="0" m="1" x="77"/>
        <item sd="0" m="1" x="279"/>
        <item sd="0" m="1" x="167"/>
        <item sd="0" m="1" x="325"/>
        <item sd="0" m="1" x="78"/>
        <item sd="0" m="1" x="234"/>
        <item sd="0" m="1" x="100"/>
        <item sd="0" m="1" x="238"/>
        <item sd="0" x="50"/>
        <item sd="0" m="1" x="228"/>
        <item sd="0" m="1" x="303"/>
        <item sd="0" m="1" x="348"/>
        <item sd="0" m="1" x="259"/>
        <item sd="0" m="1" x="263"/>
        <item sd="0" x="49"/>
        <item sd="0" m="1" x="318"/>
        <item sd="0" m="1" x="101"/>
        <item sd="0" m="1" x="322"/>
        <item sd="0" m="1" x="89"/>
        <item sd="0" m="1" x="79"/>
        <item sd="0" m="1" x="105"/>
        <item sd="0" x="25"/>
        <item sd="0" m="1" x="260"/>
        <item sd="0" x="24"/>
        <item sd="0" x="26"/>
        <item sd="0" m="1" x="292"/>
        <item sd="0" m="1" x="80"/>
        <item sd="0" x="27"/>
        <item sd="0" m="1" x="255"/>
        <item sd="0" x="45"/>
        <item sd="0" m="1" x="319"/>
        <item sd="0" m="1" x="219"/>
        <item sd="0" m="1" x="81"/>
        <item sd="0" m="1" x="102"/>
        <item sd="0" m="1" x="82"/>
        <item sd="0" m="1" x="271"/>
        <item sd="0" m="1" x="124"/>
        <item sd="0" m="1" x="264"/>
        <item sd="0" x="28"/>
        <item sd="0" m="1" x="321"/>
        <item sd="0" x="29"/>
        <item sd="0" m="1" x="282"/>
        <item sd="0" m="1" x="83"/>
        <item sd="0" m="1" x="182"/>
        <item sd="0" m="1" x="340"/>
        <item sd="0" m="1" x="251"/>
        <item sd="0" m="1" x="235"/>
        <item sd="0" m="1" x="227"/>
        <item sd="0" m="1" x="84"/>
        <item sd="0" m="1" x="103"/>
        <item sd="0" m="1" x="218"/>
        <item sd="0" m="1" x="231"/>
        <item sd="0" x="46"/>
        <item sd="0" m="1" x="249"/>
        <item sd="0" x="47"/>
        <item sd="0" m="1" x="177"/>
        <item sd="0" m="1" x="127"/>
        <item sd="0" m="1" x="252"/>
        <item sd="0" m="1" x="233"/>
        <item sd="0" m="1" x="327"/>
        <item sd="0" m="1" x="168"/>
        <item sd="0" m="1" x="307"/>
        <item sd="0" m="1" x="120"/>
        <item sd="0" m="1" x="183"/>
        <item sd="0" m="1" x="341"/>
        <item sd="0" x="30"/>
        <item sd="0" m="1" x="169"/>
        <item sd="0" m="1" x="159"/>
        <item sd="0" m="1" x="85"/>
        <item sd="0" m="1" x="267"/>
        <item sd="0" x="31"/>
        <item sd="0" m="1" x="86"/>
        <item sd="0" m="1" x="87"/>
        <item sd="0" m="1" x="196"/>
        <item sd="0" m="1" x="306"/>
        <item sd="0" x="32"/>
        <item sd="0" m="1" x="296"/>
        <item sd="0" x="33"/>
        <item sd="0" x="34"/>
        <item h="1" sd="0" x="11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860">
        <item m="1" x="1119"/>
        <item m="1" x="882"/>
        <item m="1" x="1619"/>
        <item m="1" x="1511"/>
        <item m="1" x="1751"/>
        <item m="1" x="1747"/>
        <item m="1" x="1770"/>
        <item m="1" x="1427"/>
        <item m="1" x="1778"/>
        <item m="1" x="1711"/>
        <item m="1" x="1694"/>
        <item m="1" x="1687"/>
        <item m="1" x="1330"/>
        <item m="1" x="1586"/>
        <item m="1" x="1068"/>
        <item m="1" x="1070"/>
        <item m="1" x="1819"/>
        <item m="1" x="1072"/>
        <item m="1" x="1386"/>
        <item m="1" x="1071"/>
        <item m="1" x="1069"/>
        <item x="190"/>
        <item m="1" x="649"/>
        <item x="120"/>
        <item m="1" x="1418"/>
        <item x="387"/>
        <item x="217"/>
        <item m="1" x="1522"/>
        <item m="1" x="1835"/>
        <item x="32"/>
        <item m="1" x="616"/>
        <item x="205"/>
        <item m="1" x="1645"/>
        <item m="1" x="598"/>
        <item x="316"/>
        <item m="1" x="1629"/>
        <item x="379"/>
        <item m="1" x="1396"/>
        <item m="1" x="1250"/>
        <item x="210"/>
        <item x="209"/>
        <item x="52"/>
        <item m="1" x="1424"/>
        <item m="1" x="965"/>
        <item x="356"/>
        <item m="1" x="782"/>
        <item m="1" x="1503"/>
        <item m="1" x="1360"/>
        <item m="1" x="588"/>
        <item x="182"/>
        <item m="1" x="1350"/>
        <item x="218"/>
        <item x="181"/>
        <item m="1" x="736"/>
        <item m="1" x="1837"/>
        <item m="1" x="1677"/>
        <item m="1" x="1323"/>
        <item m="1" x="1648"/>
        <item m="1" x="1833"/>
        <item m="1" x="557"/>
        <item x="353"/>
        <item m="1" x="1649"/>
        <item x="324"/>
        <item m="1" x="526"/>
        <item m="1" x="1853"/>
        <item m="1" x="1034"/>
        <item m="1" x="854"/>
        <item x="6"/>
        <item m="1" x="1735"/>
        <item m="1" x="1441"/>
        <item x="28"/>
        <item m="1" x="857"/>
        <item m="1" x="1575"/>
        <item m="1" x="514"/>
        <item m="1" x="1304"/>
        <item m="1" x="1039"/>
        <item m="1" x="863"/>
        <item m="1" x="1047"/>
        <item x="69"/>
        <item x="90"/>
        <item m="1" x="516"/>
        <item m="1" x="1231"/>
        <item m="1" x="1186"/>
        <item x="158"/>
        <item m="1" x="1242"/>
        <item x="280"/>
        <item m="1" x="660"/>
        <item m="1" x="1292"/>
        <item m="1" x="1824"/>
        <item m="1" x="1342"/>
        <item m="1" x="1290"/>
        <item m="1" x="874"/>
        <item x="196"/>
        <item x="91"/>
        <item m="1" x="1325"/>
        <item x="173"/>
        <item m="1" x="1809"/>
        <item m="1" x="1748"/>
        <item m="1" x="1390"/>
        <item m="1" x="1101"/>
        <item m="1" x="1100"/>
        <item m="1" x="788"/>
        <item m="1" x="1495"/>
        <item x="197"/>
        <item m="1" x="1734"/>
        <item m="1" x="1719"/>
        <item m="1" x="790"/>
        <item m="1" x="901"/>
        <item x="271"/>
        <item m="1" x="1218"/>
        <item m="1" x="1839"/>
        <item m="1" x="1046"/>
        <item m="1" x="1681"/>
        <item m="1" x="897"/>
        <item x="291"/>
        <item m="1" x="881"/>
        <item m="1" x="894"/>
        <item m="1" x="1045"/>
        <item x="285"/>
        <item m="1" x="765"/>
        <item m="1" x="1571"/>
        <item m="1" x="1821"/>
        <item m="1" x="1244"/>
        <item m="1" x="1463"/>
        <item m="1" x="1608"/>
        <item m="1" x="1195"/>
        <item m="1" x="1043"/>
        <item x="252"/>
        <item m="1" x="566"/>
        <item x="153"/>
        <item x="331"/>
        <item x="372"/>
        <item m="1" x="888"/>
        <item m="1" x="1437"/>
        <item m="1" x="1205"/>
        <item m="1" x="1140"/>
        <item m="1" x="1737"/>
        <item m="1" x="1000"/>
        <item m="1" x="1561"/>
        <item x="64"/>
        <item m="1" x="716"/>
        <item m="1" x="1439"/>
        <item m="1" x="1305"/>
        <item m="1" x="1662"/>
        <item x="139"/>
        <item m="1" x="1690"/>
        <item m="1" x="1367"/>
        <item m="1" x="627"/>
        <item x="165"/>
        <item x="287"/>
        <item m="1" x="1287"/>
        <item m="1" x="1081"/>
        <item m="1" x="1031"/>
        <item m="1" x="1523"/>
        <item m="1" x="1207"/>
        <item m="1" x="787"/>
        <item m="1" x="1817"/>
        <item x="51"/>
        <item m="1" x="463"/>
        <item m="1" x="1264"/>
        <item m="1" x="967"/>
        <item m="1" x="908"/>
        <item m="1" x="1147"/>
        <item m="1" x="1076"/>
        <item x="317"/>
        <item x="371"/>
        <item m="1" x="886"/>
        <item m="1" x="1400"/>
        <item x="124"/>
        <item m="1" x="913"/>
        <item m="1" x="442"/>
        <item m="1" x="1556"/>
        <item x="248"/>
        <item m="1" x="1449"/>
        <item m="1" x="1803"/>
        <item x="315"/>
        <item x="123"/>
        <item m="1" x="849"/>
        <item m="1" x="1766"/>
        <item x="299"/>
        <item m="1" x="1029"/>
        <item x="239"/>
        <item m="1" x="1225"/>
        <item x="278"/>
        <item m="1" x="1526"/>
        <item m="1" x="1674"/>
        <item m="1" x="1631"/>
        <item x="257"/>
        <item m="1" x="1095"/>
        <item x="279"/>
        <item m="1" x="1413"/>
        <item m="1" x="878"/>
        <item x="338"/>
        <item x="35"/>
        <item x="172"/>
        <item x="163"/>
        <item x="164"/>
        <item m="1" x="425"/>
        <item m="1" x="1203"/>
        <item m="1" x="871"/>
        <item m="1" x="877"/>
        <item x="304"/>
        <item m="1" x="1035"/>
        <item m="1" x="597"/>
        <item x="79"/>
        <item x="149"/>
        <item m="1" x="1628"/>
        <item x="10"/>
        <item m="1" x="650"/>
        <item m="1" x="623"/>
        <item m="1" x="720"/>
        <item m="1" x="1324"/>
        <item m="1" x="1139"/>
        <item m="1" x="721"/>
        <item m="1" x="746"/>
        <item x="8"/>
        <item x="24"/>
        <item m="1" x="1579"/>
        <item m="1" x="1594"/>
        <item x="401"/>
        <item m="1" x="1077"/>
        <item x="18"/>
        <item m="1" x="1007"/>
        <item m="1" x="1574"/>
        <item m="1" x="1114"/>
        <item m="1" x="1705"/>
        <item m="1" x="645"/>
        <item x="138"/>
        <item m="1" x="905"/>
        <item m="1" x="1743"/>
        <item m="1" x="760"/>
        <item x="38"/>
        <item m="1" x="443"/>
        <item x="5"/>
        <item m="1" x="1291"/>
        <item x="15"/>
        <item x="92"/>
        <item m="1" x="1406"/>
        <item x="48"/>
        <item m="1" x="845"/>
        <item m="1" x="1849"/>
        <item m="1" x="961"/>
        <item m="1" x="428"/>
        <item m="1" x="1540"/>
        <item m="1" x="1716"/>
        <item m="1" x="668"/>
        <item x="140"/>
        <item x="349"/>
        <item x="350"/>
        <item x="276"/>
        <item x="77"/>
        <item m="1" x="1016"/>
        <item x="212"/>
        <item m="1" x="850"/>
        <item m="1" x="1528"/>
        <item x="351"/>
        <item m="1" x="1488"/>
        <item m="1" x="1064"/>
        <item m="1" x="1150"/>
        <item m="1" x="1294"/>
        <item m="1" x="1148"/>
        <item m="1" x="1037"/>
        <item m="1" x="1378"/>
        <item m="1" x="1307"/>
        <item m="1" x="1321"/>
        <item m="1" x="621"/>
        <item m="1" x="1301"/>
        <item x="19"/>
        <item m="1" x="1738"/>
        <item m="1" x="1529"/>
        <item x="76"/>
        <item m="1" x="1777"/>
        <item m="1" x="992"/>
        <item m="1" x="1026"/>
        <item m="1" x="1226"/>
        <item m="1" x="1373"/>
        <item m="1" x="1625"/>
        <item m="1" x="789"/>
        <item m="1" x="1393"/>
        <item m="1" x="1548"/>
        <item x="20"/>
        <item m="1" x="450"/>
        <item m="1" x="729"/>
        <item m="1" x="823"/>
        <item m="1" x="707"/>
        <item m="1" x="730"/>
        <item m="1" x="1851"/>
        <item m="1" x="759"/>
        <item x="11"/>
        <item x="220"/>
        <item m="1" x="1282"/>
        <item x="194"/>
        <item x="333"/>
        <item x="369"/>
        <item x="67"/>
        <item m="1" x="456"/>
        <item x="137"/>
        <item m="1" x="1634"/>
        <item m="1" x="749"/>
        <item m="1" x="1346"/>
        <item m="1" x="1831"/>
        <item x="12"/>
        <item x="109"/>
        <item x="345"/>
        <item m="1" x="524"/>
        <item x="4"/>
        <item m="1" x="1508"/>
        <item m="1" x="1539"/>
        <item m="1" x="885"/>
        <item x="246"/>
        <item m="1" x="628"/>
        <item x="157"/>
        <item x="244"/>
        <item m="1" x="1613"/>
        <item m="1" x="558"/>
        <item x="85"/>
        <item x="193"/>
        <item m="1" x="1375"/>
        <item m="1" x="1588"/>
        <item m="1" x="634"/>
        <item x="59"/>
        <item m="1" x="732"/>
        <item m="1" x="1404"/>
        <item m="1" x="1686"/>
        <item m="1" x="1699"/>
        <item x="183"/>
        <item x="93"/>
        <item m="1" x="997"/>
        <item x="2"/>
        <item x="3"/>
        <item x="342"/>
        <item m="1" x="1380"/>
        <item m="1" x="1485"/>
        <item m="1" x="1689"/>
        <item x="303"/>
        <item x="61"/>
        <item m="1" x="909"/>
        <item x="106"/>
        <item x="300"/>
        <item x="155"/>
        <item x="141"/>
        <item m="1" x="1056"/>
        <item m="1" x="1670"/>
        <item m="1" x="1762"/>
        <item x="66"/>
        <item m="1" x="1433"/>
        <item m="1" x="1768"/>
        <item x="98"/>
        <item m="1" x="1693"/>
        <item m="1" x="1435"/>
        <item m="1" x="796"/>
        <item x="335"/>
        <item m="1" x="1489"/>
        <item x="321"/>
        <item m="1" x="728"/>
        <item m="1" x="1445"/>
        <item m="1" x="1446"/>
        <item m="1" x="460"/>
        <item m="1" x="1695"/>
        <item x="75"/>
        <item x="7"/>
        <item m="1" x="946"/>
        <item m="1" x="625"/>
        <item x="88"/>
        <item m="1" x="580"/>
        <item m="1" x="1238"/>
        <item x="57"/>
        <item m="1" x="1394"/>
        <item m="1" x="613"/>
        <item m="1" x="1760"/>
        <item m="1" x="1316"/>
        <item m="1" x="1788"/>
        <item x="113"/>
        <item x="45"/>
        <item x="238"/>
        <item x="406"/>
        <item x="84"/>
        <item x="277"/>
        <item x="125"/>
        <item m="1" x="1281"/>
        <item m="1" x="1030"/>
        <item m="1" x="833"/>
        <item x="148"/>
        <item m="1" x="1038"/>
        <item m="1" x="776"/>
        <item m="1" x="431"/>
        <item x="198"/>
        <item m="1" x="1755"/>
        <item m="1" x="1779"/>
        <item x="115"/>
        <item x="60"/>
        <item m="1" x="1715"/>
        <item m="1" x="611"/>
        <item m="1" x="1276"/>
        <item m="1" x="936"/>
        <item m="1" x="1216"/>
        <item m="1" x="1852"/>
        <item x="13"/>
        <item m="1" x="1211"/>
        <item x="263"/>
        <item m="1" x="1273"/>
        <item m="1" x="1044"/>
        <item m="1" x="858"/>
        <item x="42"/>
        <item x="103"/>
        <item m="1" x="686"/>
        <item x="390"/>
        <item x="95"/>
        <item x="247"/>
        <item x="94"/>
        <item m="1" x="527"/>
        <item x="374"/>
        <item m="1" x="421"/>
        <item x="126"/>
        <item x="184"/>
        <item m="1" x="1338"/>
        <item x="258"/>
        <item m="1" x="1199"/>
        <item m="1" x="1506"/>
        <item x="264"/>
        <item m="1" x="1753"/>
        <item m="1" x="1284"/>
        <item x="185"/>
        <item m="1" x="602"/>
        <item x="269"/>
        <item x="161"/>
        <item x="96"/>
        <item m="1" x="1384"/>
        <item m="1" x="1534"/>
        <item m="1" x="1591"/>
        <item m="1" x="1536"/>
        <item m="1" x="1537"/>
        <item m="1" x="1486"/>
        <item m="1" x="1274"/>
        <item m="1" x="938"/>
        <item m="1" x="1336"/>
        <item m="1" x="822"/>
        <item m="1" x="848"/>
        <item m="1" x="581"/>
        <item m="1" x="1679"/>
        <item m="1" x="842"/>
        <item m="1" x="1053"/>
        <item m="1" x="1262"/>
        <item m="1" x="785"/>
        <item m="1" x="1165"/>
        <item m="1" x="1376"/>
        <item x="233"/>
        <item m="1" x="1838"/>
        <item m="1" x="1754"/>
        <item x="16"/>
        <item x="241"/>
        <item m="1" x="641"/>
        <item x="211"/>
        <item x="23"/>
        <item m="1" x="489"/>
        <item m="1" x="1847"/>
        <item m="1" x="1222"/>
        <item m="1" x="1192"/>
        <item x="9"/>
        <item m="1" x="551"/>
        <item m="1" x="1302"/>
        <item m="1" x="515"/>
        <item m="1" x="1567"/>
        <item m="1" x="1402"/>
        <item x="392"/>
        <item m="1" x="1580"/>
        <item m="1" x="1311"/>
        <item m="1" x="1780"/>
        <item m="1" x="1457"/>
        <item m="1" x="1796"/>
        <item m="1" x="1223"/>
        <item m="1" x="1469"/>
        <item m="1" x="1300"/>
        <item m="1" x="1517"/>
        <item m="1" x="1709"/>
        <item m="1" x="1106"/>
        <item m="1" x="1237"/>
        <item m="1" x="1830"/>
        <item x="0"/>
        <item x="175"/>
        <item m="1" x="1656"/>
        <item x="159"/>
        <item m="1" x="1213"/>
        <item m="1" x="1790"/>
        <item m="1" x="492"/>
        <item m="1" x="1810"/>
        <item m="1" x="1021"/>
        <item x="319"/>
        <item m="1" x="1569"/>
        <item m="1" x="509"/>
        <item m="1" x="508"/>
        <item x="200"/>
        <item m="1" x="483"/>
        <item x="29"/>
        <item m="1" x="1704"/>
        <item m="1" x="1701"/>
        <item m="1" x="1752"/>
        <item m="1" x="1587"/>
        <item m="1" x="1842"/>
        <item m="1" x="1615"/>
        <item m="1" x="1286"/>
        <item m="1" x="1480"/>
        <item m="1" x="510"/>
        <item m="1" x="1200"/>
        <item m="1" x="1822"/>
        <item m="1" x="1685"/>
        <item m="1" x="1340"/>
        <item m="1" x="1214"/>
        <item m="1" x="539"/>
        <item m="1" x="594"/>
        <item m="1" x="604"/>
        <item m="1" x="1365"/>
        <item x="368"/>
        <item m="1" x="1798"/>
        <item m="1" x="1364"/>
        <item m="1" x="1599"/>
        <item m="1" x="1855"/>
        <item m="1" x="1765"/>
        <item m="1" x="1270"/>
        <item m="1" x="1487"/>
        <item m="1" x="947"/>
        <item m="1" x="1815"/>
        <item m="1" x="1460"/>
        <item m="1" x="1414"/>
        <item m="1" x="1249"/>
        <item m="1" x="1551"/>
        <item m="1" x="1389"/>
        <item m="1" x="1492"/>
        <item m="1" x="667"/>
        <item m="1" x="1335"/>
        <item m="1" x="1576"/>
        <item m="1" x="691"/>
        <item m="1" x="1560"/>
        <item m="1" x="1061"/>
        <item m="1" x="1792"/>
        <item x="232"/>
        <item m="1" x="1722"/>
        <item x="234"/>
        <item m="1" x="1498"/>
        <item m="1" x="1818"/>
        <item m="1" x="1577"/>
        <item m="1" x="1758"/>
        <item m="1" x="683"/>
        <item m="1" x="545"/>
        <item m="1" x="1314"/>
        <item m="1" x="1133"/>
        <item m="1" x="521"/>
        <item x="199"/>
        <item m="1" x="1497"/>
        <item m="1" x="1729"/>
        <item x="102"/>
        <item x="237"/>
        <item m="1" x="1802"/>
        <item x="283"/>
        <item m="1" x="1279"/>
        <item m="1" x="1805"/>
        <item m="1" x="1196"/>
        <item m="1" x="1236"/>
        <item m="1" x="1255"/>
        <item m="1" x="1578"/>
        <item m="1" x="1456"/>
        <item m="1" x="1409"/>
        <item m="1" x="1510"/>
        <item m="1" x="1668"/>
        <item m="1" x="1845"/>
        <item m="1" x="1624"/>
        <item m="1" x="1793"/>
        <item m="1" x="1471"/>
        <item m="1" x="1680"/>
        <item m="1" x="1452"/>
        <item m="1" x="1399"/>
        <item m="1" x="1266"/>
        <item m="1" x="813"/>
        <item m="1" x="1355"/>
        <item m="1" x="1638"/>
        <item m="1" x="1612"/>
        <item m="1" x="1245"/>
        <item m="1" x="1303"/>
        <item x="275"/>
        <item x="273"/>
        <item x="383"/>
        <item m="1" x="1622"/>
        <item m="1" x="1502"/>
        <item m="1" x="430"/>
        <item m="1" x="1644"/>
        <item m="1" x="1443"/>
        <item m="1" x="1565"/>
        <item x="251"/>
        <item m="1" x="1125"/>
        <item x="33"/>
        <item m="1" x="1531"/>
        <item m="1" x="688"/>
        <item m="1" x="1407"/>
        <item m="1" x="981"/>
        <item m="1" x="979"/>
        <item m="1" x="1425"/>
        <item m="1" x="722"/>
        <item m="1" x="1563"/>
        <item m="1" x="1745"/>
        <item m="1" x="1362"/>
        <item m="1" x="1057"/>
        <item m="1" x="1538"/>
        <item m="1" x="1423"/>
        <item m="1" x="1391"/>
        <item m="1" x="1369"/>
        <item m="1" x="525"/>
        <item m="1" x="1807"/>
        <item x="330"/>
        <item m="1" x="1466"/>
        <item m="1" x="1596"/>
        <item m="1" x="1641"/>
        <item m="1" x="1267"/>
        <item m="1" x="1723"/>
        <item m="1" x="1455"/>
        <item m="1" x="1315"/>
        <item m="1" x="1675"/>
        <item m="1" x="1515"/>
        <item m="1" x="1230"/>
        <item m="1" x="1451"/>
        <item m="1" x="1698"/>
        <item m="1" x="642"/>
        <item x="375"/>
        <item m="1" x="1271"/>
        <item x="127"/>
        <item x="17"/>
        <item m="1" x="1651"/>
        <item x="389"/>
        <item x="380"/>
        <item m="1" x="1331"/>
        <item m="1" x="1233"/>
        <item m="1" x="1623"/>
        <item m="1" x="1666"/>
        <item m="1" x="665"/>
        <item m="1" x="819"/>
        <item m="1" x="1657"/>
        <item m="1" x="1782"/>
        <item m="1" x="601"/>
        <item m="1" x="1520"/>
        <item m="1" x="1272"/>
        <item m="1" x="1055"/>
        <item x="323"/>
        <item m="1" x="1827"/>
        <item x="82"/>
        <item x="286"/>
        <item x="266"/>
        <item m="1" x="1258"/>
        <item m="1" x="1728"/>
        <item m="1" x="662"/>
        <item m="1" x="1440"/>
        <item m="1" x="550"/>
        <item m="1" x="1769"/>
        <item m="1" x="1461"/>
        <item m="1" x="1368"/>
        <item m="1" x="1801"/>
        <item m="1" x="1478"/>
        <item m="1" x="1504"/>
        <item m="1" x="1521"/>
        <item m="1" x="976"/>
        <item m="1" x="1756"/>
        <item m="1" x="1339"/>
        <item m="1" x="973"/>
        <item m="1" x="969"/>
        <item m="1" x="1535"/>
        <item m="1" x="1277"/>
        <item m="1" x="1763"/>
        <item m="1" x="570"/>
        <item m="1" x="1671"/>
        <item m="1" x="1669"/>
        <item m="1" x="975"/>
        <item m="1" x="1618"/>
        <item m="1" x="1334"/>
        <item m="1" x="1828"/>
        <item x="297"/>
        <item m="1" x="1757"/>
        <item m="1" x="1395"/>
        <item m="1" x="1593"/>
        <item m="1" x="1377"/>
        <item m="1" x="576"/>
        <item m="1" x="1217"/>
        <item m="1" x="1667"/>
        <item m="1" x="926"/>
        <item m="1" x="1371"/>
        <item m="1" x="1786"/>
        <item m="1" x="1326"/>
        <item m="1" x="1265"/>
        <item m="1" x="1464"/>
        <item m="1" x="1257"/>
        <item m="1" x="1614"/>
        <item x="329"/>
        <item m="1" x="1611"/>
        <item m="1" x="1381"/>
        <item m="1" x="1562"/>
        <item m="1" x="1473"/>
        <item m="1" x="1202"/>
        <item m="1" x="1309"/>
        <item m="1" x="1543"/>
        <item m="1" x="1397"/>
        <item m="1" x="1518"/>
        <item m="1" x="1541"/>
        <item m="1" x="970"/>
        <item m="1" x="1673"/>
        <item m="1" x="1341"/>
        <item m="1" x="1616"/>
        <item m="1" x="1514"/>
        <item m="1" x="1410"/>
        <item m="1" x="1003"/>
        <item m="1" x="1836"/>
        <item m="1" x="1764"/>
        <item m="1" x="1564"/>
        <item m="1" x="1714"/>
        <item m="1" x="1856"/>
        <item m="1" x="1846"/>
        <item m="1" x="1706"/>
        <item m="1" x="744"/>
        <item x="86"/>
        <item m="1" x="884"/>
        <item m="1" x="575"/>
        <item m="1" x="1727"/>
        <item m="1" x="1639"/>
        <item m="1" x="1585"/>
        <item m="1" x="1740"/>
        <item m="1" x="1422"/>
        <item m="1" x="1363"/>
        <item x="223"/>
        <item m="1" x="1319"/>
        <item m="1" x="1549"/>
        <item m="1" x="1605"/>
        <item m="1" x="1343"/>
        <item m="1" x="779"/>
        <item m="1" x="862"/>
        <item m="1" x="893"/>
        <item m="1" x="589"/>
        <item m="1" x="771"/>
        <item m="1" x="1109"/>
        <item m="1" x="1431"/>
        <item m="1" x="648"/>
        <item m="1" x="1490"/>
        <item m="1" x="1054"/>
        <item x="413"/>
        <item m="1" x="950"/>
        <item m="1" x="945"/>
        <item m="1" x="839"/>
        <item m="1" x="420"/>
        <item m="1" x="530"/>
        <item m="1" x="1572"/>
        <item m="1" x="794"/>
        <item m="1" x="1476"/>
        <item m="1" x="1370"/>
        <item m="1" x="1235"/>
        <item m="1" x="1243"/>
        <item m="1" x="415"/>
        <item m="1" x="549"/>
        <item m="1" x="1359"/>
        <item x="219"/>
        <item m="1" x="1372"/>
        <item x="74"/>
        <item m="1" x="1204"/>
        <item x="143"/>
        <item m="1" x="1206"/>
        <item m="1" x="1417"/>
        <item m="1" x="1703"/>
        <item x="288"/>
        <item m="1" x="458"/>
        <item m="1" x="1176"/>
        <item m="1" x="1345"/>
        <item m="1" x="1617"/>
        <item m="1" x="1447"/>
        <item m="1" x="1263"/>
        <item m="1" x="1354"/>
        <item m="1" x="1252"/>
        <item m="1" x="1581"/>
        <item m="1" x="1632"/>
        <item m="1" x="1626"/>
        <item m="1" x="682"/>
        <item m="1" x="1227"/>
        <item m="1" x="1022"/>
        <item m="1" x="1261"/>
        <item m="1" x="1467"/>
        <item m="1" x="1468"/>
        <item m="1" x="1023"/>
        <item x="256"/>
        <item x="27"/>
        <item m="1" x="1293"/>
        <item m="1" x="1545"/>
        <item m="1" x="1592"/>
        <item m="1" x="1516"/>
        <item m="1" x="1519"/>
        <item m="1" x="1387"/>
        <item x="26"/>
        <item m="1" x="1840"/>
        <item x="191"/>
        <item m="1" x="1481"/>
        <item m="1" x="1285"/>
        <item m="1" x="1356"/>
        <item m="1" x="748"/>
        <item x="240"/>
        <item m="1" x="1241"/>
        <item x="178"/>
        <item m="1" x="1797"/>
        <item m="1" x="555"/>
        <item m="1" x="1254"/>
        <item m="1" x="1826"/>
        <item m="1" x="1500"/>
        <item x="58"/>
        <item m="1" x="1320"/>
        <item m="1" x="1759"/>
        <item m="1" x="1426"/>
        <item m="1" x="1169"/>
        <item m="1" x="960"/>
        <item m="1" x="1429"/>
        <item m="1" x="1684"/>
        <item m="1" x="1640"/>
        <item m="1" x="1552"/>
        <item m="1" x="1825"/>
        <item m="1" x="1739"/>
        <item x="261"/>
        <item x="229"/>
        <item m="1" x="523"/>
        <item m="1" x="1078"/>
        <item m="1" x="1761"/>
        <item m="1" x="1329"/>
        <item m="1" x="1630"/>
        <item m="1" x="1720"/>
        <item x="112"/>
        <item m="1" x="846"/>
        <item m="1" x="1493"/>
        <item m="1" x="1496"/>
        <item m="1" x="1816"/>
        <item m="1" x="1507"/>
        <item m="1" x="1800"/>
        <item m="1" x="809"/>
        <item m="1" x="1239"/>
        <item m="1" x="1130"/>
        <item m="1" x="1411"/>
        <item m="1" x="1269"/>
        <item m="1" x="1004"/>
        <item m="1" x="1005"/>
        <item m="1" x="1568"/>
        <item m="1" x="875"/>
        <item x="151"/>
        <item x="352"/>
        <item m="1" x="1707"/>
        <item m="1" x="1650"/>
        <item m="1" x="1509"/>
        <item m="1" x="949"/>
        <item m="1" x="1708"/>
        <item m="1" x="1215"/>
        <item m="1" x="513"/>
        <item m="1" x="1635"/>
        <item x="341"/>
        <item m="1" x="1332"/>
        <item m="1" x="1212"/>
        <item m="1" x="1832"/>
        <item m="1" x="1421"/>
        <item m="1" x="1672"/>
        <item m="1" x="1858"/>
        <item x="87"/>
        <item m="1" x="574"/>
        <item m="1" x="1741"/>
        <item m="1" x="1811"/>
        <item m="1" x="778"/>
        <item m="1" x="1696"/>
        <item m="1" x="653"/>
        <item m="1" x="1337"/>
        <item m="1" x="1774"/>
        <item m="1" x="1432"/>
        <item m="1" x="1775"/>
        <item m="1" x="811"/>
        <item m="1" x="1251"/>
        <item m="1" x="1602"/>
        <item m="1" x="1724"/>
        <item m="1" x="1646"/>
        <item m="1" x="609"/>
        <item m="1" x="1512"/>
        <item m="1" x="1361"/>
        <item m="1" x="1353"/>
        <item m="1" x="1655"/>
        <item m="1" x="1483"/>
        <item m="1" x="1532"/>
        <item m="1" x="1573"/>
        <item m="1" x="1412"/>
        <item x="363"/>
        <item m="1" x="1725"/>
        <item m="1" x="1344"/>
        <item m="1" x="494"/>
        <item m="1" x="1312"/>
        <item m="1" x="1559"/>
        <item x="395"/>
        <item m="1" x="1643"/>
        <item m="1" x="1547"/>
        <item x="346"/>
        <item m="1" x="1812"/>
        <item m="1" x="1773"/>
        <item m="1" x="1850"/>
        <item x="282"/>
        <item m="1" x="1197"/>
        <item m="1" x="1636"/>
        <item m="1" x="1166"/>
        <item m="1" x="1220"/>
        <item m="1" x="1201"/>
        <item m="1" x="1794"/>
        <item m="1" x="1633"/>
        <item m="1" x="1771"/>
        <item m="1" x="1484"/>
        <item m="1" x="416"/>
        <item m="1" x="1544"/>
        <item m="1" x="1791"/>
        <item m="1" x="1420"/>
        <item m="1" x="1465"/>
        <item m="1" x="1721"/>
        <item x="129"/>
        <item m="1" x="1118"/>
        <item m="1" x="872"/>
        <item m="1" x="1659"/>
        <item m="1" x="1444"/>
        <item m="1" x="1193"/>
        <item m="1" x="1784"/>
        <item m="1" x="1240"/>
        <item m="1" x="1700"/>
        <item x="104"/>
        <item m="1" x="1808"/>
        <item m="1" x="1746"/>
        <item m="1" x="957"/>
        <item x="34"/>
        <item m="1" x="1208"/>
        <item x="373"/>
        <item x="63"/>
        <item x="326"/>
        <item m="1" x="1299"/>
        <item m="1" x="1012"/>
        <item x="215"/>
        <item m="1" x="427"/>
        <item m="1" x="1475"/>
        <item m="1" x="692"/>
        <item m="1" x="1841"/>
        <item m="1" x="1848"/>
        <item m="1" x="1347"/>
        <item m="1" x="587"/>
        <item m="1" x="1530"/>
        <item m="1" x="1844"/>
        <item m="1" x="1665"/>
        <item m="1" x="1472"/>
        <item m="1" x="1642"/>
        <item m="1" x="998"/>
        <item m="1" x="1006"/>
        <item m="1" x="1374"/>
        <item m="1" x="855"/>
        <item m="1" x="1352"/>
        <item m="1" x="1806"/>
        <item m="1" x="1691"/>
        <item m="1" x="1442"/>
        <item m="1" x="1198"/>
        <item m="1" x="1653"/>
        <item m="1" x="1785"/>
        <item m="1" x="1550"/>
        <item m="1" x="977"/>
        <item m="1" x="1600"/>
        <item m="1" x="805"/>
        <item m="1" x="1137"/>
        <item m="1" x="1138"/>
        <item m="1" x="1470"/>
        <item x="136"/>
        <item m="1" x="1652"/>
        <item m="1" x="1260"/>
        <item m="1" x="1154"/>
        <item m="1" x="1040"/>
        <item m="1" x="1156"/>
        <item m="1" x="1248"/>
        <item m="1" x="1453"/>
        <item x="160"/>
        <item m="1" x="1403"/>
        <item x="162"/>
        <item m="1" x="816"/>
        <item x="281"/>
        <item x="284"/>
        <item x="166"/>
        <item x="289"/>
        <item m="1" x="1349"/>
        <item m="1" x="1458"/>
        <item m="1" x="1795"/>
        <item m="1" x="1718"/>
        <item m="1" x="1683"/>
        <item m="1" x="1450"/>
        <item m="1" x="1783"/>
        <item m="1" x="847"/>
        <item m="1" x="1256"/>
        <item m="1" x="761"/>
        <item m="1" x="831"/>
        <item m="1" x="674"/>
        <item m="1" x="1333"/>
        <item m="1" x="1610"/>
        <item m="1" x="1351"/>
        <item m="1" x="1494"/>
        <item m="1" x="1434"/>
        <item m="1" x="1177"/>
        <item x="272"/>
        <item x="128"/>
        <item x="30"/>
        <item m="1" x="552"/>
        <item m="1" x="553"/>
        <item m="1" x="1789"/>
        <item m="1" x="865"/>
        <item m="1" x="1306"/>
        <item m="1" x="1731"/>
        <item m="1" x="1533"/>
        <item m="1" x="1152"/>
        <item m="1" x="1462"/>
        <item m="1" x="817"/>
        <item m="1" x="1408"/>
        <item x="170"/>
        <item x="167"/>
        <item x="168"/>
        <item m="1" x="1820"/>
        <item m="1" x="1436"/>
        <item m="1" x="1048"/>
        <item m="1" x="599"/>
        <item m="1" x="595"/>
        <item m="1" x="735"/>
        <item m="1" x="1513"/>
        <item m="1" x="1823"/>
        <item m="1" x="895"/>
        <item m="1" x="1288"/>
        <item m="1" x="1750"/>
        <item m="1" x="1246"/>
        <item m="1" x="452"/>
        <item m="1" x="1392"/>
        <item m="1" x="1692"/>
        <item x="249"/>
        <item m="1" x="1609"/>
        <item m="1" x="899"/>
        <item m="1" x="1322"/>
        <item m="1" x="1283"/>
        <item m="1" x="583"/>
        <item m="1" x="1555"/>
        <item m="1" x="1637"/>
        <item m="1" x="1210"/>
        <item m="1" x="1229"/>
        <item m="1" x="1834"/>
        <item m="1" x="1857"/>
        <item x="255"/>
        <item m="1" x="1188"/>
        <item m="1" x="1405"/>
        <item m="1" x="1448"/>
        <item m="1" x="1430"/>
        <item m="1" x="1597"/>
        <item x="259"/>
        <item m="1" x="1232"/>
        <item x="169"/>
        <item x="391"/>
        <item m="1" x="1096"/>
        <item m="1" x="1097"/>
        <item m="1" x="1253"/>
        <item m="1" x="1110"/>
        <item x="307"/>
        <item m="1" x="815"/>
        <item m="1" x="1416"/>
        <item m="1" x="1647"/>
        <item m="1" x="1388"/>
        <item m="1" x="1621"/>
        <item m="1" x="1606"/>
        <item m="1" x="1717"/>
        <item m="1" x="1062"/>
        <item m="1" x="1228"/>
        <item m="1" x="711"/>
        <item m="1" x="1713"/>
        <item m="1" x="1710"/>
        <item m="1" x="1658"/>
        <item m="1" x="1566"/>
        <item m="1" x="898"/>
        <item m="1" x="999"/>
        <item m="1" x="1749"/>
        <item x="270"/>
        <item m="1" x="1247"/>
        <item m="1" x="1366"/>
        <item m="1" x="1383"/>
        <item m="1" x="1379"/>
        <item m="1" x="1772"/>
        <item m="1" x="1601"/>
        <item m="1" x="1049"/>
        <item m="1" x="944"/>
        <item x="188"/>
        <item x="192"/>
        <item m="1" x="466"/>
        <item m="1" x="1051"/>
        <item m="1" x="1854"/>
        <item m="1" x="1415"/>
        <item m="1" x="1296"/>
        <item m="1" x="1654"/>
        <item m="1" x="1584"/>
        <item m="1" x="915"/>
        <item m="1" x="1590"/>
        <item m="1" x="1280"/>
        <item m="1" x="1128"/>
        <item m="1" x="1787"/>
        <item m="1" x="1570"/>
        <item m="1" x="1063"/>
        <item m="1" x="462"/>
        <item m="1" x="461"/>
        <item m="1" x="1732"/>
        <item m="1" x="1702"/>
        <item m="1" x="1676"/>
        <item m="1" x="499"/>
        <item m="1" x="1829"/>
        <item m="1" x="1781"/>
        <item m="1" x="484"/>
        <item m="1" x="1505"/>
        <item m="1" x="1357"/>
        <item m="1" x="1454"/>
        <item m="1" x="1814"/>
        <item m="1" x="1318"/>
        <item m="1" x="1191"/>
        <item m="1" x="1459"/>
        <item m="1" x="445"/>
        <item m="1" x="654"/>
        <item m="1" x="640"/>
        <item m="1" x="655"/>
        <item m="1" x="652"/>
        <item m="1" x="1120"/>
        <item m="1" x="1736"/>
        <item x="403"/>
        <item m="1" x="942"/>
        <item m="1" x="1164"/>
        <item m="1" x="1168"/>
        <item m="1" x="615"/>
        <item m="1" x="859"/>
        <item x="370"/>
        <item m="1" x="1604"/>
        <item m="1" x="1358"/>
        <item m="1" x="1682"/>
        <item m="1" x="1385"/>
        <item m="1" x="1546"/>
        <item m="1" x="1554"/>
        <item m="1" x="1289"/>
        <item m="1" x="1697"/>
        <item m="1" x="966"/>
        <item m="1" x="1129"/>
        <item m="1" x="803"/>
        <item m="1" x="1767"/>
        <item m="1" x="467"/>
        <item m="1" x="1313"/>
        <item m="1" x="1132"/>
        <item m="1" x="1730"/>
        <item m="1" x="453"/>
        <item m="1" x="1317"/>
        <item m="1" x="1001"/>
        <item m="1" x="1002"/>
        <item m="1" x="643"/>
        <item m="1" x="579"/>
        <item m="1" x="1799"/>
        <item m="1" x="1499"/>
        <item x="213"/>
        <item m="1" x="1102"/>
        <item m="1" x="713"/>
        <item x="308"/>
        <item x="334"/>
        <item x="81"/>
        <item m="1" x="1595"/>
        <item m="1" x="1234"/>
        <item m="1" x="980"/>
        <item m="1" x="971"/>
        <item m="1" x="972"/>
        <item m="1" x="448"/>
        <item m="1" x="1066"/>
        <item m="1" x="900"/>
        <item m="1" x="1428"/>
        <item m="1" x="620"/>
        <item x="310"/>
        <item m="1" x="1190"/>
        <item m="1" x="1259"/>
        <item m="1" x="1298"/>
        <item m="1" x="1278"/>
        <item m="1" x="486"/>
        <item m="1" x="488"/>
        <item x="327"/>
        <item m="1" x="1136"/>
        <item x="337"/>
        <item m="1" x="1135"/>
        <item x="118"/>
        <item m="1" x="1149"/>
        <item m="1" x="1151"/>
        <item x="142"/>
        <item x="268"/>
        <item m="1" x="1157"/>
        <item m="1" x="675"/>
        <item m="1" x="656"/>
        <item m="1" x="1121"/>
        <item m="1" x="1042"/>
        <item x="290"/>
        <item m="1" x="861"/>
        <item m="1" x="1348"/>
        <item x="208"/>
        <item x="214"/>
        <item m="1" x="1297"/>
        <item m="1" x="1180"/>
        <item m="1" x="1181"/>
        <item m="1" x="677"/>
        <item m="1" x="678"/>
        <item m="1" x="1712"/>
        <item m="1" x="647"/>
        <item m="1" x="679"/>
        <item m="1" x="680"/>
        <item m="1" x="1219"/>
        <item m="1" x="681"/>
        <item m="1" x="1328"/>
        <item m="1" x="968"/>
        <item m="1" x="1660"/>
        <item m="1" x="804"/>
        <item m="1" x="1275"/>
        <item m="1" x="800"/>
        <item m="1" x="1175"/>
        <item m="1" x="1661"/>
        <item m="1" x="1111"/>
        <item m="1" x="1525"/>
        <item m="1" x="1726"/>
        <item m="1" x="1607"/>
        <item m="1" x="1482"/>
        <item m="1" x="1295"/>
        <item m="1" x="440"/>
        <item m="1" x="501"/>
        <item m="1" x="1804"/>
        <item m="1" x="1327"/>
        <item m="1" x="887"/>
        <item m="1" x="1419"/>
        <item m="1" x="1143"/>
        <item x="358"/>
        <item m="1" x="1813"/>
        <item m="1" x="1744"/>
        <item m="1" x="1664"/>
        <item m="1" x="1224"/>
        <item m="1" x="1189"/>
        <item m="1" x="772"/>
        <item m="1" x="1742"/>
        <item m="1" x="873"/>
        <item m="1" x="870"/>
        <item m="1" x="860"/>
        <item x="318"/>
        <item m="1" x="1598"/>
        <item m="1" x="1310"/>
        <item m="1" x="902"/>
        <item m="1" x="1678"/>
        <item x="122"/>
        <item m="1" x="963"/>
        <item m="1" x="912"/>
        <item m="1" x="801"/>
        <item m="1" x="1174"/>
        <item m="1" x="1558"/>
        <item m="1" x="468"/>
        <item m="1" x="1627"/>
        <item m="1" x="441"/>
        <item m="1" x="990"/>
        <item m="1" x="1524"/>
        <item m="1" x="763"/>
        <item m="1" x="1776"/>
        <item m="1" x="1268"/>
        <item m="1" x="1401"/>
        <item x="378"/>
        <item m="1" x="1553"/>
        <item m="1" x="927"/>
        <item m="1" x="1527"/>
        <item m="1" x="928"/>
        <item m="1" x="1024"/>
        <item m="1" x="714"/>
        <item m="1" x="1025"/>
        <item m="1" x="554"/>
        <item m="1" x="742"/>
        <item m="1" x="568"/>
        <item m="1" x="1209"/>
        <item m="1" x="1474"/>
        <item m="1" x="1663"/>
        <item x="274"/>
        <item m="1" x="1194"/>
        <item m="1" x="1589"/>
        <item x="309"/>
        <item m="1" x="1542"/>
        <item m="1" x="1438"/>
        <item m="1" x="1090"/>
        <item m="1" x="1091"/>
        <item m="1" x="1092"/>
        <item m="1" x="1093"/>
        <item x="130"/>
        <item m="1" x="1583"/>
        <item m="1" x="795"/>
        <item m="1" x="1126"/>
        <item m="1" x="1582"/>
        <item m="1" x="1398"/>
        <item m="1" x="1058"/>
        <item m="1" x="1107"/>
        <item m="1" x="993"/>
        <item m="1" x="994"/>
        <item m="1" x="995"/>
        <item m="1" x="996"/>
        <item m="1" x="1116"/>
        <item m="1" x="1179"/>
        <item m="1" x="1079"/>
        <item m="1" x="1221"/>
        <item m="1" x="1557"/>
        <item m="1" x="1080"/>
        <item m="1" x="1733"/>
        <item m="1" x="879"/>
        <item m="1" x="695"/>
        <item m="1" x="1144"/>
        <item x="144"/>
        <item m="1" x="828"/>
        <item m="1" x="838"/>
        <item m="1" x="1033"/>
        <item m="1" x="1182"/>
        <item m="1" x="773"/>
        <item x="62"/>
        <item x="14"/>
        <item m="1" x="1688"/>
        <item m="1" x="1603"/>
        <item m="1" x="1308"/>
        <item m="1" x="705"/>
        <item x="25"/>
        <item m="1" x="864"/>
        <item m="1" x="783"/>
        <item m="1" x="920"/>
        <item m="1" x="1131"/>
        <item m="1" x="517"/>
        <item m="1" x="518"/>
        <item x="99"/>
        <item m="1" x="1009"/>
        <item m="1" x="1008"/>
        <item x="100"/>
        <item m="1" x="1501"/>
        <item m="1" x="1142"/>
        <item m="1" x="1161"/>
        <item m="1" x="1160"/>
        <item m="1" x="856"/>
        <item m="1" x="592"/>
        <item m="1" x="590"/>
        <item m="1" x="1491"/>
        <item m="1" x="1477"/>
        <item m="1" x="1843"/>
        <item m="1" x="974"/>
        <item m="1" x="978"/>
        <item m="1" x="690"/>
        <item m="1" x="571"/>
        <item m="1" x="572"/>
        <item m="1" x="1065"/>
        <item m="1" x="1620"/>
        <item m="1" x="1172"/>
        <item m="1" x="989"/>
        <item m="1" x="954"/>
        <item m="1" x="955"/>
        <item m="1" x="1479"/>
        <item m="1" x="1141"/>
        <item m="1" x="591"/>
        <item m="1" x="925"/>
        <item m="1" x="528"/>
        <item m="1" x="1382"/>
        <item m="1" x="1028"/>
        <item m="1" x="1153"/>
        <item x="260"/>
        <item x="154"/>
        <item m="1" x="1122"/>
        <item x="174"/>
        <item m="1" x="1159"/>
        <item m="1" x="1098"/>
        <item m="1" x="1178"/>
        <item m="1" x="876"/>
        <item m="1" x="757"/>
        <item m="1" x="1167"/>
        <item m="1" x="747"/>
        <item m="1" x="889"/>
        <item m="1" x="752"/>
        <item m="1" x="758"/>
        <item m="1" x="629"/>
        <item x="314"/>
        <item m="1" x="1052"/>
        <item x="207"/>
        <item m="1" x="1173"/>
        <item m="1" x="837"/>
        <item m="1" x="1108"/>
        <item m="1" x="836"/>
        <item m="1" x="457"/>
        <item m="1" x="454"/>
        <item m="1" x="672"/>
        <item m="1" x="1183"/>
        <item m="1" x="982"/>
        <item m="1" x="918"/>
        <item m="1" x="983"/>
        <item m="1" x="1184"/>
        <item m="1" x="666"/>
        <item x="301"/>
        <item m="1" x="1127"/>
        <item m="1" x="482"/>
        <item m="1" x="1171"/>
        <item m="1" x="500"/>
        <item m="1" x="1170"/>
        <item m="1" x="485"/>
        <item m="1" x="921"/>
        <item m="1" x="487"/>
        <item m="1" x="502"/>
        <item m="1" x="1185"/>
        <item x="242"/>
        <item m="1" x="825"/>
        <item x="243"/>
        <item m="1" x="1187"/>
        <item m="1" x="826"/>
        <item m="1" x="1010"/>
        <item m="1" x="1011"/>
        <item m="1" x="1014"/>
        <item m="1" x="1015"/>
        <item x="131"/>
        <item m="1" x="563"/>
        <item m="1" x="939"/>
        <item m="1" x="827"/>
        <item m="1" x="1145"/>
        <item m="1" x="1086"/>
        <item m="1" x="1146"/>
        <item m="1" x="1155"/>
        <item m="1" x="1089"/>
        <item x="152"/>
        <item x="156"/>
        <item m="1" x="727"/>
        <item x="292"/>
        <item x="176"/>
        <item x="354"/>
        <item x="355"/>
        <item x="293"/>
        <item m="1" x="610"/>
        <item m="1" x="614"/>
        <item x="245"/>
        <item x="132"/>
        <item m="1" x="669"/>
        <item m="1" x="1134"/>
        <item m="1" x="455"/>
        <item x="402"/>
        <item m="1" x="1041"/>
        <item x="381"/>
        <item m="1" x="930"/>
        <item m="1" x="701"/>
        <item m="1" x="684"/>
        <item m="1" x="820"/>
        <item x="397"/>
        <item x="400"/>
        <item x="399"/>
        <item x="398"/>
        <item m="1" x="543"/>
        <item m="1" x="422"/>
        <item m="1" x="426"/>
        <item m="1" x="1124"/>
        <item m="1" x="1123"/>
        <item m="1" x="414"/>
        <item m="1" x="418"/>
        <item m="1" x="1103"/>
        <item x="53"/>
        <item m="1" x="1104"/>
        <item m="1" x="1105"/>
        <item m="1" x="709"/>
        <item m="1" x="423"/>
        <item m="1" x="419"/>
        <item m="1" x="424"/>
        <item m="1" x="661"/>
        <item x="177"/>
        <item m="1" x="962"/>
        <item m="1" x="952"/>
        <item m="1" x="953"/>
        <item m="1" x="986"/>
        <item x="89"/>
        <item m="1" x="1067"/>
        <item m="1" x="541"/>
        <item m="1" x="664"/>
        <item m="1" x="632"/>
        <item m="1" x="1050"/>
        <item m="1" x="1162"/>
        <item m="1" x="1163"/>
        <item m="1" x="1112"/>
        <item m="1" x="1113"/>
        <item m="1" x="573"/>
        <item x="202"/>
        <item m="1" x="1158"/>
        <item m="1" x="1083"/>
        <item m="1" x="1084"/>
        <item x="216"/>
        <item m="1" x="1059"/>
        <item m="1" x="798"/>
        <item m="1" x="469"/>
        <item m="1" x="987"/>
        <item m="1" x="1115"/>
        <item m="1" x="1117"/>
        <item m="1" x="1017"/>
        <item m="1" x="546"/>
        <item m="1" x="812"/>
        <item m="1" x="1082"/>
        <item m="1" x="1088"/>
        <item x="262"/>
        <item m="1" x="1094"/>
        <item m="1" x="756"/>
        <item m="1" x="841"/>
        <item m="1" x="832"/>
        <item x="357"/>
        <item x="171"/>
        <item x="46"/>
        <item m="1" x="637"/>
        <item m="1" x="924"/>
        <item m="1" x="931"/>
        <item m="1" x="932"/>
        <item m="1" x="933"/>
        <item m="1" x="934"/>
        <item m="1" x="700"/>
        <item m="1" x="896"/>
        <item m="1" x="717"/>
        <item x="222"/>
        <item m="1" x="958"/>
        <item m="1" x="959"/>
        <item m="1" x="904"/>
        <item m="1" x="906"/>
        <item m="1" x="519"/>
        <item m="1" x="1075"/>
        <item m="1" x="596"/>
        <item m="1" x="593"/>
        <item m="1" x="449"/>
        <item m="1" x="919"/>
        <item m="1" x="985"/>
        <item m="1" x="1060"/>
        <item m="1" x="984"/>
        <item m="1" x="799"/>
        <item m="1" x="802"/>
        <item m="1" x="737"/>
        <item m="1" x="1073"/>
        <item m="1" x="1074"/>
        <item x="114"/>
        <item m="1" x="851"/>
        <item x="72"/>
        <item m="1" x="869"/>
        <item m="1" x="940"/>
        <item m="1" x="834"/>
        <item x="407"/>
        <item x="302"/>
        <item x="36"/>
        <item x="37"/>
        <item m="1" x="883"/>
        <item m="1" x="964"/>
        <item m="1" x="712"/>
        <item m="1" x="988"/>
        <item m="1" x="923"/>
        <item m="1" x="935"/>
        <item m="1" x="937"/>
        <item m="1" x="1085"/>
        <item m="1" x="731"/>
        <item m="1" x="1099"/>
        <item m="1" x="1087"/>
        <item m="1" x="903"/>
        <item m="1" x="956"/>
        <item m="1" x="464"/>
        <item m="1" x="459"/>
        <item m="1" x="1013"/>
        <item x="111"/>
        <item m="1" x="818"/>
        <item m="1" x="1027"/>
        <item x="101"/>
        <item m="1" x="943"/>
        <item m="1" x="914"/>
        <item m="1" x="769"/>
        <item m="1" x="991"/>
        <item m="1" x="1018"/>
        <item m="1" x="1019"/>
        <item m="1" x="1020"/>
        <item m="1" x="867"/>
        <item m="1" x="1032"/>
        <item m="1" x="1036"/>
        <item m="1" x="432"/>
        <item m="1" x="600"/>
        <item x="107"/>
        <item x="39"/>
        <item m="1" x="830"/>
        <item m="1" x="766"/>
        <item m="1" x="775"/>
        <item x="366"/>
        <item m="1" x="781"/>
        <item m="1" x="670"/>
        <item m="1" x="470"/>
        <item x="376"/>
        <item x="340"/>
        <item x="253"/>
        <item m="1" x="929"/>
        <item x="133"/>
        <item m="1" x="941"/>
        <item m="1" x="880"/>
        <item x="409"/>
        <item m="1" x="578"/>
        <item x="408"/>
        <item m="1" x="584"/>
        <item m="1" x="821"/>
        <item m="1" x="948"/>
        <item m="1" x="951"/>
        <item m="1" x="753"/>
        <item m="1" x="907"/>
        <item m="1" x="910"/>
        <item m="1" x="911"/>
        <item m="1" x="784"/>
        <item m="1" x="754"/>
        <item m="1" x="740"/>
        <item m="1" x="725"/>
        <item m="1" x="741"/>
        <item m="1" x="786"/>
        <item m="1" x="808"/>
        <item m="1" x="922"/>
        <item m="1" x="531"/>
        <item m="1" x="532"/>
        <item m="1" x="534"/>
        <item m="1" x="866"/>
        <item m="1" x="533"/>
        <item m="1" x="535"/>
        <item m="1" x="844"/>
        <item m="1" x="536"/>
        <item x="121"/>
        <item m="1" x="868"/>
        <item m="1" x="814"/>
        <item x="294"/>
        <item x="295"/>
        <item x="40"/>
        <item x="305"/>
        <item x="187"/>
        <item x="189"/>
        <item m="1" x="916"/>
        <item m="1" x="917"/>
        <item m="1" x="435"/>
        <item m="1" x="436"/>
        <item m="1" x="437"/>
        <item m="1" x="438"/>
        <item m="1" x="829"/>
        <item m="1" x="689"/>
        <item x="250"/>
        <item m="1" x="544"/>
        <item x="344"/>
        <item m="1" x="843"/>
        <item m="1" x="891"/>
        <item x="405"/>
        <item x="44"/>
        <item x="50"/>
        <item m="1" x="503"/>
        <item m="1" x="892"/>
        <item m="1" x="890"/>
        <item x="336"/>
        <item m="1" x="471"/>
        <item m="1" x="490"/>
        <item m="1" x="472"/>
        <item m="1" x="806"/>
        <item m="1" x="777"/>
        <item x="21"/>
        <item x="105"/>
        <item x="108"/>
        <item m="1" x="529"/>
        <item x="254"/>
        <item m="1" x="764"/>
        <item m="1" x="770"/>
        <item m="1" x="824"/>
        <item x="73"/>
        <item m="1" x="734"/>
        <item x="65"/>
        <item m="1" x="797"/>
        <item m="1" x="807"/>
        <item m="1" x="853"/>
        <item x="150"/>
        <item m="1" x="577"/>
        <item x="410"/>
        <item x="41"/>
        <item x="43"/>
        <item m="1" x="852"/>
        <item m="1" x="630"/>
        <item m="1" x="631"/>
        <item m="1" x="512"/>
        <item m="1" x="840"/>
        <item m="1" x="708"/>
        <item m="1" x="835"/>
        <item m="1" x="738"/>
        <item m="1" x="791"/>
        <item x="97"/>
        <item m="1" x="792"/>
        <item x="70"/>
        <item m="1" x="538"/>
        <item m="1" x="793"/>
        <item m="1" x="537"/>
        <item x="228"/>
        <item m="1" x="540"/>
        <item m="1" x="810"/>
        <item m="1" x="751"/>
        <item m="1" x="750"/>
        <item m="1" x="724"/>
        <item x="22"/>
        <item x="134"/>
        <item m="1" x="559"/>
        <item m="1" x="762"/>
        <item x="320"/>
        <item m="1" x="733"/>
        <item m="1" x="710"/>
        <item m="1" x="715"/>
        <item m="1" x="696"/>
        <item m="1" x="694"/>
        <item m="1" x="687"/>
        <item x="80"/>
        <item m="1" x="704"/>
        <item m="1" x="569"/>
        <item m="1" x="767"/>
        <item x="313"/>
        <item m="1" x="473"/>
        <item m="1" x="768"/>
        <item m="1" x="511"/>
        <item m="1" x="474"/>
        <item m="1" x="475"/>
        <item m="1" x="718"/>
        <item m="1" x="698"/>
        <item m="1" x="719"/>
        <item x="195"/>
        <item x="339"/>
        <item m="1" x="706"/>
        <item x="312"/>
        <item m="1" x="745"/>
        <item m="1" x="567"/>
        <item m="1" x="639"/>
        <item m="1" x="556"/>
        <item m="1" x="564"/>
        <item m="1" x="560"/>
        <item m="1" x="561"/>
        <item m="1" x="565"/>
        <item m="1" x="702"/>
        <item m="1" x="562"/>
        <item m="1" x="726"/>
        <item m="1" x="663"/>
        <item x="265"/>
        <item m="1" x="755"/>
        <item m="1" x="659"/>
        <item x="311"/>
        <item x="362"/>
        <item m="1" x="774"/>
        <item m="1" x="780"/>
        <item m="1" x="491"/>
        <item m="1" x="476"/>
        <item m="1" x="504"/>
        <item m="1" x="493"/>
        <item x="116"/>
        <item x="119"/>
        <item x="347"/>
        <item x="186"/>
        <item m="1" x="603"/>
        <item x="201"/>
        <item x="54"/>
        <item x="203"/>
        <item x="56"/>
        <item x="68"/>
        <item m="1" x="451"/>
        <item m="1" x="685"/>
        <item m="1" x="697"/>
        <item m="1" x="520"/>
        <item m="1" x="636"/>
        <item m="1" x="644"/>
        <item m="1" x="657"/>
        <item m="1" x="658"/>
        <item m="1" x="693"/>
        <item x="364"/>
        <item x="365"/>
        <item m="1" x="676"/>
        <item m="1" x="703"/>
        <item x="49"/>
        <item x="47"/>
        <item m="1" x="465"/>
        <item m="1" x="439"/>
        <item m="1" x="723"/>
        <item m="1" x="478"/>
        <item m="1" x="547"/>
        <item m="1" x="495"/>
        <item m="1" x="739"/>
        <item m="1" x="743"/>
        <item m="1" x="699"/>
        <item m="1" x="548"/>
        <item m="1" x="671"/>
        <item m="1" x="496"/>
        <item m="1" x="633"/>
        <item m="1" x="582"/>
        <item x="71"/>
        <item m="1" x="477"/>
        <item m="1" x="635"/>
        <item x="110"/>
        <item m="1" x="638"/>
        <item x="179"/>
        <item m="1" x="607"/>
        <item m="1" x="608"/>
        <item m="1" x="646"/>
        <item x="206"/>
        <item m="1" x="434"/>
        <item m="1" x="497"/>
        <item m="1" x="481"/>
        <item m="1" x="522"/>
        <item m="1" x="585"/>
        <item m="1" x="612"/>
        <item m="1" x="617"/>
        <item m="1" x="618"/>
        <item x="322"/>
        <item x="325"/>
        <item x="332"/>
        <item m="1" x="505"/>
        <item m="1" x="506"/>
        <item x="359"/>
        <item x="361"/>
        <item m="1" x="619"/>
        <item m="1" x="622"/>
        <item x="367"/>
        <item m="1" x="624"/>
        <item m="1" x="626"/>
        <item x="384"/>
        <item x="1"/>
        <item x="55"/>
        <item x="388"/>
        <item x="135"/>
        <item x="180"/>
        <item x="404"/>
        <item x="412"/>
        <item x="204"/>
        <item x="221"/>
        <item m="1" x="651"/>
        <item x="296"/>
        <item x="343"/>
        <item x="411"/>
        <item m="1" x="586"/>
        <item m="1" x="673"/>
        <item x="377"/>
        <item x="382"/>
        <item x="386"/>
        <item m="1" x="417"/>
        <item m="1" x="429"/>
        <item x="328"/>
        <item x="385"/>
        <item x="235"/>
        <item m="1" x="433"/>
        <item x="396"/>
        <item x="393"/>
        <item x="394"/>
        <item m="1" x="447"/>
        <item m="1" x="446"/>
        <item m="1" x="444"/>
        <item m="1" x="542"/>
        <item x="348"/>
        <item x="146"/>
        <item x="267"/>
        <item x="360"/>
        <item x="306"/>
        <item m="1" x="605"/>
        <item m="1" x="606"/>
        <item m="1" x="479"/>
        <item m="1" x="480"/>
        <item m="1" x="498"/>
        <item m="1" x="507"/>
        <item x="224"/>
        <item x="225"/>
        <item x="226"/>
        <item x="227"/>
        <item x="230"/>
        <item x="231"/>
        <item x="78"/>
        <item x="236"/>
        <item x="83"/>
        <item x="117"/>
        <item x="31"/>
        <item x="145"/>
        <item x="147"/>
        <item x="298"/>
        <item t="default"/>
      </items>
    </pivotField>
    <pivotField compact="0" outline="0" showAll="0"/>
    <pivotField compact="0" outline="0" showAll="0"/>
    <pivotField axis="axisPage" compact="0" outline="0" showAll="0">
      <items count="1438">
        <item m="1" x="966"/>
        <item m="1" x="1303"/>
        <item m="1" x="691"/>
        <item m="1" x="1006"/>
        <item m="1" x="883"/>
        <item m="1" x="683"/>
        <item m="1" x="875"/>
        <item m="1" x="402"/>
        <item m="1" x="669"/>
        <item m="1" x="1054"/>
        <item x="259"/>
        <item m="1" x="415"/>
        <item x="62"/>
        <item x="338"/>
        <item m="1" x="403"/>
        <item x="230"/>
        <item x="1"/>
        <item x="287"/>
        <item x="34"/>
        <item x="204"/>
        <item x="279"/>
        <item x="132"/>
        <item x="17"/>
        <item x="151"/>
        <item m="1" x="1313"/>
        <item x="5"/>
        <item m="1" x="1233"/>
        <item x="307"/>
        <item m="1" x="971"/>
        <item m="1" x="1180"/>
        <item x="6"/>
        <item m="1" x="1272"/>
        <item x="362"/>
        <item x="278"/>
        <item x="254"/>
        <item x="54"/>
        <item x="182"/>
        <item m="1" x="1063"/>
        <item m="1" x="1351"/>
        <item x="185"/>
        <item x="260"/>
        <item x="158"/>
        <item x="45"/>
        <item m="1" x="1204"/>
        <item m="1" x="728"/>
        <item m="1" x="1290"/>
        <item x="156"/>
        <item x="52"/>
        <item x="152"/>
        <item m="1" x="623"/>
        <item m="1" x="727"/>
        <item x="101"/>
        <item x="217"/>
        <item x="98"/>
        <item x="212"/>
        <item m="1" x="594"/>
        <item x="149"/>
        <item m="1" x="953"/>
        <item x="38"/>
        <item m="1" x="809"/>
        <item m="1" x="473"/>
        <item m="1" x="562"/>
        <item x="119"/>
        <item x="381"/>
        <item x="159"/>
        <item m="1" x="1032"/>
        <item m="1" x="420"/>
        <item m="1" x="916"/>
        <item x="0"/>
        <item m="1" x="421"/>
        <item m="1" x="1064"/>
        <item m="1" x="786"/>
        <item m="1" x="1080"/>
        <item x="46"/>
        <item x="247"/>
        <item x="142"/>
        <item x="193"/>
        <item m="1" x="659"/>
        <item m="1" x="1394"/>
        <item x="331"/>
        <item x="268"/>
        <item x="200"/>
        <item m="1" x="962"/>
        <item x="293"/>
        <item m="1" x="1038"/>
        <item x="80"/>
        <item x="329"/>
        <item x="100"/>
        <item x="180"/>
        <item x="60"/>
        <item m="1" x="474"/>
        <item x="252"/>
        <item m="1" x="791"/>
        <item x="92"/>
        <item m="1" x="924"/>
        <item m="1" x="898"/>
        <item m="1" x="706"/>
        <item x="44"/>
        <item m="1" x="493"/>
        <item x="23"/>
        <item x="264"/>
        <item m="1" x="1135"/>
        <item m="1" x="1434"/>
        <item x="51"/>
        <item m="1" x="942"/>
        <item m="1" x="592"/>
        <item m="1" x="407"/>
        <item m="1" x="488"/>
        <item m="1" x="1217"/>
        <item m="1" x="816"/>
        <item m="1" x="1302"/>
        <item m="1" x="912"/>
        <item m="1" x="456"/>
        <item m="1" x="1334"/>
        <item x="47"/>
        <item x="89"/>
        <item m="1" x="629"/>
        <item x="256"/>
        <item x="25"/>
        <item x="135"/>
        <item m="1" x="1261"/>
        <item m="1" x="896"/>
        <item x="10"/>
        <item m="1" x="476"/>
        <item m="1" x="1057"/>
        <item m="1" x="1070"/>
        <item m="1" x="964"/>
        <item m="1" x="980"/>
        <item m="1" x="1076"/>
        <item m="1" x="1342"/>
        <item x="155"/>
        <item x="197"/>
        <item m="1" x="1387"/>
        <item x="49"/>
        <item x="50"/>
        <item x="91"/>
        <item x="162"/>
        <item x="198"/>
        <item x="231"/>
        <item x="121"/>
        <item x="295"/>
        <item x="41"/>
        <item m="1" x="1352"/>
        <item x="336"/>
        <item m="1" x="1375"/>
        <item x="36"/>
        <item x="146"/>
        <item m="1" x="987"/>
        <item m="1" x="1208"/>
        <item x="161"/>
        <item x="170"/>
        <item m="1" x="574"/>
        <item m="1" x="1239"/>
        <item x="226"/>
        <item x="58"/>
        <item m="1" x="1097"/>
        <item m="1" x="1084"/>
        <item m="1" x="532"/>
        <item x="343"/>
        <item x="90"/>
        <item m="1" x="406"/>
        <item m="1" x="930"/>
        <item x="371"/>
        <item x="205"/>
        <item x="79"/>
        <item x="7"/>
        <item m="1" x="1008"/>
        <item m="1" x="974"/>
        <item m="1" x="1124"/>
        <item m="1" x="902"/>
        <item x="123"/>
        <item x="118"/>
        <item m="1" x="1330"/>
        <item x="327"/>
        <item m="1" x="1087"/>
        <item x="4"/>
        <item x="296"/>
        <item x="294"/>
        <item x="219"/>
        <item m="1" x="513"/>
        <item m="1" x="1246"/>
        <item m="1" x="711"/>
        <item m="1" x="976"/>
        <item x="317"/>
        <item x="13"/>
        <item x="368"/>
        <item x="253"/>
        <item m="1" x="1256"/>
        <item x="369"/>
        <item x="95"/>
        <item x="24"/>
        <item x="144"/>
        <item x="143"/>
        <item x="15"/>
        <item x="53"/>
        <item x="171"/>
        <item x="325"/>
        <item x="78"/>
        <item x="96"/>
        <item x="3"/>
        <item x="270"/>
        <item m="1" x="1154"/>
        <item x="28"/>
        <item m="1" x="695"/>
        <item x="246"/>
        <item x="27"/>
        <item x="94"/>
        <item m="1" x="904"/>
        <item m="1" x="487"/>
        <item x="213"/>
        <item x="18"/>
        <item x="285"/>
        <item x="14"/>
        <item x="379"/>
        <item m="1" x="877"/>
        <item m="1" x="1137"/>
        <item m="1" x="1196"/>
        <item x="76"/>
        <item x="75"/>
        <item m="1" x="954"/>
        <item x="88"/>
        <item x="354"/>
        <item m="1" x="1368"/>
        <item x="77"/>
        <item x="86"/>
        <item m="1" x="918"/>
        <item x="163"/>
        <item m="1" x="1341"/>
        <item x="84"/>
        <item m="1" x="1211"/>
        <item m="1" x="578"/>
        <item m="1" x="539"/>
        <item x="131"/>
        <item x="272"/>
        <item m="1" x="1218"/>
        <item m="1" x="943"/>
        <item x="2"/>
        <item x="19"/>
        <item x="8"/>
        <item x="148"/>
        <item x="174"/>
        <item x="72"/>
        <item x="137"/>
        <item x="141"/>
        <item m="1" x="409"/>
        <item x="225"/>
        <item x="69"/>
        <item m="1" x="895"/>
        <item m="1" x="919"/>
        <item m="1" x="620"/>
        <item m="1" x="958"/>
        <item m="1" x="1103"/>
        <item m="1" x="1257"/>
        <item x="184"/>
        <item m="1" x="1307"/>
        <item m="1" x="1333"/>
        <item m="1" x="1243"/>
        <item m="1" x="1002"/>
        <item m="1" x="1377"/>
        <item m="1" x="890"/>
        <item m="1" x="1321"/>
        <item m="1" x="940"/>
        <item m="1" x="1075"/>
        <item m="1" x="1336"/>
        <item m="1" x="1405"/>
        <item m="1" x="1416"/>
        <item m="1" x="1104"/>
        <item x="157"/>
        <item x="120"/>
        <item x="147"/>
        <item m="1" x="1396"/>
        <item m="1" x="631"/>
        <item x="179"/>
        <item m="1" x="1083"/>
        <item m="1" x="873"/>
        <item m="1" x="1287"/>
        <item m="1" x="1397"/>
        <item m="1" x="514"/>
        <item m="1" x="458"/>
        <item m="1" x="939"/>
        <item m="1" x="505"/>
        <item m="1" x="632"/>
        <item m="1" x="1077"/>
        <item m="1" x="1418"/>
        <item m="1" x="882"/>
        <item m="1" x="981"/>
        <item x="271"/>
        <item m="1" x="640"/>
        <item x="177"/>
        <item m="1" x="606"/>
        <item m="1" x="1025"/>
        <item m="1" x="563"/>
        <item x="81"/>
        <item x="194"/>
        <item m="1" x="717"/>
        <item m="1" x="931"/>
        <item m="1" x="1130"/>
        <item x="169"/>
        <item x="33"/>
        <item x="258"/>
        <item x="164"/>
        <item x="165"/>
        <item x="57"/>
        <item x="265"/>
        <item x="167"/>
        <item x="87"/>
        <item m="1" x="932"/>
        <item x="243"/>
        <item x="321"/>
        <item m="1" x="1317"/>
        <item m="1" x="1049"/>
        <item m="1" x="906"/>
        <item x="267"/>
        <item m="1" x="1085"/>
        <item m="1" x="1173"/>
        <item x="251"/>
        <item m="1" x="1340"/>
        <item x="209"/>
        <item m="1" x="813"/>
        <item m="1" x="1192"/>
        <item m="1" x="814"/>
        <item m="1" x="938"/>
        <item m="1" x="1324"/>
        <item m="1" x="1323"/>
        <item m="1" x="1390"/>
        <item m="1" x="1150"/>
        <item x="232"/>
        <item m="1" x="1365"/>
        <item m="1" x="856"/>
        <item m="1" x="1155"/>
        <item m="1" x="1015"/>
        <item m="1" x="480"/>
        <item m="1" x="496"/>
        <item m="1" x="783"/>
        <item m="1" x="1329"/>
        <item m="1" x="672"/>
        <item m="1" x="686"/>
        <item m="1" x="741"/>
        <item m="1" x="679"/>
        <item x="298"/>
        <item m="1" x="1353"/>
        <item m="1" x="1166"/>
        <item m="1" x="885"/>
        <item m="1" x="530"/>
        <item m="1" x="718"/>
        <item m="1" x="1245"/>
        <item x="363"/>
        <item x="250"/>
        <item m="1" x="1153"/>
        <item m="1" x="1319"/>
        <item m="1" x="903"/>
        <item m="1" x="484"/>
        <item m="1" x="1232"/>
        <item m="1" x="995"/>
        <item m="1" x="907"/>
        <item m="1" x="1018"/>
        <item m="1" x="1203"/>
        <item m="1" x="1407"/>
        <item m="1" x="517"/>
        <item m="1" x="1370"/>
        <item m="1" x="1174"/>
        <item x="48"/>
        <item m="1" x="937"/>
        <item m="1" x="908"/>
        <item m="1" x="1014"/>
        <item m="1" x="1410"/>
        <item m="1" x="1332"/>
        <item x="347"/>
        <item m="1" x="1029"/>
        <item m="1" x="941"/>
        <item m="1" x="925"/>
        <item m="1" x="970"/>
        <item x="110"/>
        <item m="1" x="490"/>
        <item m="1" x="1156"/>
        <item m="1" x="1271"/>
        <item m="1" x="1177"/>
        <item m="1" x="489"/>
        <item m="1" x="1139"/>
        <item m="1" x="788"/>
        <item m="1" x="1309"/>
        <item m="1" x="946"/>
        <item m="1" x="774"/>
        <item m="1" x="1194"/>
        <item m="1" x="1281"/>
        <item m="1" x="1376"/>
        <item m="1" x="1016"/>
        <item m="1" x="1079"/>
        <item m="1" x="947"/>
        <item m="1" x="1219"/>
        <item x="11"/>
        <item m="1" x="1404"/>
        <item m="1" x="1408"/>
        <item x="319"/>
        <item x="29"/>
        <item m="1" x="1421"/>
        <item m="1" x="1310"/>
        <item m="1" x="1384"/>
        <item m="1" x="1372"/>
        <item m="1" x="1267"/>
        <item m="1" x="1415"/>
        <item m="1" x="1260"/>
        <item m="1" x="1071"/>
        <item m="1" x="1131"/>
        <item m="1" x="1198"/>
        <item m="1" x="1118"/>
        <item m="1" x="1273"/>
        <item m="1" x="483"/>
        <item m="1" x="1147"/>
        <item x="377"/>
        <item m="1" x="1371"/>
        <item m="1" x="628"/>
        <item m="1" x="1348"/>
        <item x="333"/>
        <item m="1" x="1206"/>
        <item m="1" x="876"/>
        <item m="1" x="1399"/>
        <item x="335"/>
        <item m="1" x="870"/>
        <item x="186"/>
        <item x="220"/>
        <item m="1" x="1259"/>
        <item m="1" x="1162"/>
        <item x="21"/>
        <item m="1" x="1048"/>
        <item m="1" x="650"/>
        <item x="224"/>
        <item m="1" x="978"/>
        <item m="1" x="569"/>
        <item m="1" x="1294"/>
        <item m="1" x="1430"/>
        <item m="1" x="1432"/>
        <item m="1" x="1179"/>
        <item m="1" x="1121"/>
        <item m="1" x="1184"/>
        <item m="1" x="1041"/>
        <item m="1" x="878"/>
        <item m="1" x="1213"/>
        <item m="1" x="990"/>
        <item m="1" x="892"/>
        <item m="1" x="963"/>
        <item m="1" x="1300"/>
        <item m="1" x="1284"/>
        <item m="1" x="1391"/>
        <item m="1" x="1419"/>
        <item m="1" x="1381"/>
        <item m="1" x="1411"/>
        <item x="67"/>
        <item m="1" x="1382"/>
        <item m="1" x="894"/>
        <item m="1" x="1264"/>
        <item x="70"/>
        <item m="1" x="805"/>
        <item m="1" x="1052"/>
        <item m="1" x="1328"/>
        <item m="1" x="1301"/>
        <item m="1" x="1058"/>
        <item m="1" x="1262"/>
        <item m="1" x="871"/>
        <item m="1" x="1056"/>
        <item m="1" x="852"/>
        <item m="1" x="665"/>
        <item m="1" x="905"/>
        <item m="1" x="799"/>
        <item m="1" x="397"/>
        <item m="1" x="1188"/>
        <item m="1" x="960"/>
        <item m="1" x="1373"/>
        <item x="114"/>
        <item x="235"/>
        <item m="1" x="1347"/>
        <item m="1" x="1413"/>
        <item x="355"/>
        <item m="1" x="910"/>
        <item x="111"/>
        <item m="1" x="1017"/>
        <item m="1" x="1102"/>
        <item x="233"/>
        <item m="1" x="1028"/>
        <item x="234"/>
        <item x="113"/>
        <item m="1" x="795"/>
        <item m="1" x="1248"/>
        <item x="129"/>
        <item m="1" x="1182"/>
        <item m="1" x="1428"/>
        <item x="218"/>
        <item m="1" x="1403"/>
        <item x="288"/>
        <item m="1" x="1292"/>
        <item x="189"/>
        <item m="1" x="1268"/>
        <item x="176"/>
        <item m="1" x="443"/>
        <item m="1" x="610"/>
        <item x="192"/>
        <item m="1" x="639"/>
        <item m="1" x="1000"/>
        <item m="1" x="1224"/>
        <item x="20"/>
        <item m="1" x="1171"/>
        <item m="1" x="1123"/>
        <item m="1" x="389"/>
        <item x="282"/>
        <item m="1" x="607"/>
        <item x="9"/>
        <item m="1" x="1354"/>
        <item m="1" x="1314"/>
        <item m="1" x="1414"/>
        <item m="1" x="1193"/>
        <item m="1" x="1031"/>
        <item m="1" x="1061"/>
        <item m="1" x="733"/>
        <item m="1" x="888"/>
        <item m="1" x="1120"/>
        <item m="1" x="929"/>
        <item m="1" x="1327"/>
        <item m="1" x="1312"/>
        <item m="1" x="534"/>
        <item m="1" x="851"/>
        <item x="297"/>
        <item m="1" x="1210"/>
        <item m="1" x="1214"/>
        <item x="349"/>
        <item m="1" x="988"/>
        <item m="1" x="393"/>
        <item m="1" x="961"/>
        <item m="1" x="1022"/>
        <item x="168"/>
        <item x="150"/>
        <item x="35"/>
        <item m="1" x="1385"/>
        <item m="1" x="1361"/>
        <item m="1" x="1357"/>
        <item x="352"/>
        <item x="202"/>
        <item m="1" x="1141"/>
        <item x="324"/>
        <item m="1" x="1116"/>
        <item x="93"/>
        <item m="1" x="868"/>
        <item x="112"/>
        <item m="1" x="411"/>
        <item m="1" x="1093"/>
        <item x="63"/>
        <item m="1" x="1163"/>
        <item m="1" x="1100"/>
        <item x="308"/>
        <item x="31"/>
        <item x="242"/>
        <item m="1" x="414"/>
        <item m="1" x="643"/>
        <item m="1" x="1276"/>
        <item m="1" x="1144"/>
        <item m="1" x="1425"/>
        <item m="1" x="1308"/>
        <item m="1" x="793"/>
        <item x="300"/>
        <item m="1" x="398"/>
        <item m="1" x="872"/>
        <item m="1" x="459"/>
        <item m="1" x="1426"/>
        <item m="1" x="1326"/>
        <item m="1" x="1152"/>
        <item x="203"/>
        <item m="1" x="1082"/>
        <item m="1" x="586"/>
        <item m="1" x="394"/>
        <item m="1" x="581"/>
        <item m="1" x="1095"/>
        <item m="1" x="922"/>
        <item m="1" x="464"/>
        <item x="350"/>
        <item x="190"/>
        <item x="334"/>
        <item m="1" x="1393"/>
        <item m="1" x="1073"/>
        <item x="305"/>
        <item m="1" x="1311"/>
        <item m="1" x="874"/>
        <item m="1" x="1278"/>
        <item x="323"/>
        <item m="1" x="1138"/>
        <item m="1" x="537"/>
        <item x="339"/>
        <item m="1" x="1251"/>
        <item x="223"/>
        <item m="1" x="1305"/>
        <item m="1" x="742"/>
        <item x="145"/>
        <item m="1" x="1275"/>
        <item m="1" x="1055"/>
        <item m="1" x="900"/>
        <item m="1" x="1088"/>
        <item m="1" x="1304"/>
        <item m="1" x="1288"/>
        <item m="1" x="1383"/>
        <item m="1" x="936"/>
        <item x="22"/>
        <item m="1" x="1255"/>
        <item m="1" x="735"/>
        <item m="1" x="1380"/>
        <item m="1" x="1045"/>
        <item m="1" x="1269"/>
        <item m="1" x="1158"/>
        <item m="1" x="1356"/>
        <item m="1" x="1367"/>
        <item m="1" x="609"/>
        <item x="42"/>
        <item m="1" x="1035"/>
        <item x="361"/>
        <item m="1" x="1024"/>
        <item m="1" x="1059"/>
        <item m="1" x="1023"/>
        <item m="1" x="1050"/>
        <item m="1" x="1169"/>
        <item m="1" x="1345"/>
        <item m="1" x="1250"/>
        <item m="1" x="935"/>
        <item m="1" x="989"/>
        <item m="1" x="472"/>
        <item m="1" x="1274"/>
        <item m="1" x="554"/>
        <item x="348"/>
        <item m="1" x="1277"/>
        <item m="1" x="1110"/>
        <item m="1" x="1151"/>
        <item m="1" x="1266"/>
        <item m="1" x="1338"/>
        <item m="1" x="1244"/>
        <item m="1" x="1067"/>
        <item m="1" x="1392"/>
        <item m="1" x="1186"/>
        <item m="1" x="1117"/>
        <item m="1" x="1030"/>
        <item m="1" x="1216"/>
        <item m="1" x="968"/>
        <item x="115"/>
        <item m="1" x="1164"/>
        <item m="1" x="1337"/>
        <item m="1" x="1366"/>
        <item m="1" x="1099"/>
        <item m="1" x="1074"/>
        <item m="1" x="1355"/>
        <item x="228"/>
        <item x="229"/>
        <item m="1" x="1122"/>
        <item m="1" x="1019"/>
        <item m="1" x="1207"/>
        <item m="1" x="944"/>
        <item m="1" x="899"/>
        <item m="1" x="959"/>
        <item m="1" x="1004"/>
        <item m="1" x="1127"/>
        <item m="1" x="1136"/>
        <item m="1" x="1115"/>
        <item m="1" x="1316"/>
        <item m="1" x="1161"/>
        <item m="1" x="979"/>
        <item m="1" x="1033"/>
        <item m="1" x="1178"/>
        <item m="1" x="1279"/>
        <item m="1" x="1362"/>
        <item m="1" x="1254"/>
        <item m="1" x="1282"/>
        <item m="1" x="1249"/>
        <item m="1" x="1021"/>
        <item m="1" x="1078"/>
        <item m="1" x="1237"/>
        <item m="1" x="957"/>
        <item m="1" x="1094"/>
        <item m="1" x="997"/>
        <item m="1" x="1228"/>
        <item m="1" x="1036"/>
        <item m="1" x="1241"/>
        <item m="1" x="1165"/>
        <item m="1" x="1119"/>
        <item m="1" x="1167"/>
        <item m="1" x="1195"/>
        <item m="1" x="969"/>
        <item m="1" x="951"/>
        <item m="1" x="1090"/>
        <item m="1" x="897"/>
        <item m="1" x="1220"/>
        <item x="277"/>
        <item m="1" x="598"/>
        <item x="32"/>
        <item m="1" x="1109"/>
        <item m="1" x="869"/>
        <item m="1" x="1183"/>
        <item m="1" x="1318"/>
        <item m="1" x="887"/>
        <item m="1" x="1409"/>
        <item m="1" x="1026"/>
        <item m="1" x="1200"/>
        <item m="1" x="965"/>
        <item m="1" x="1129"/>
        <item m="1" x="1181"/>
        <item m="1" x="536"/>
        <item m="1" x="1142"/>
        <item m="1" x="1315"/>
        <item x="356"/>
        <item m="1" x="983"/>
        <item m="1" x="1297"/>
        <item m="1" x="800"/>
        <item x="261"/>
        <item x="166"/>
        <item x="340"/>
        <item x="303"/>
        <item m="1" x="955"/>
        <item m="1" x="538"/>
        <item m="1" x="1388"/>
        <item m="1" x="926"/>
        <item m="1" x="1320"/>
        <item m="1" x="1212"/>
        <item m="1" x="994"/>
        <item m="1" x="1143"/>
        <item m="1" x="1040"/>
        <item m="1" x="956"/>
        <item m="1" x="1046"/>
        <item m="1" x="702"/>
        <item m="1" x="1170"/>
        <item m="1" x="1229"/>
        <item m="1" x="1291"/>
        <item m="1" x="1270"/>
        <item x="116"/>
        <item m="1" x="1125"/>
        <item m="1" x="1280"/>
        <item m="1" x="1389"/>
        <item m="1" x="1422"/>
        <item x="311"/>
        <item m="1" x="909"/>
        <item m="1" x="1145"/>
        <item m="1" x="1128"/>
        <item m="1" x="977"/>
        <item m="1" x="1349"/>
        <item m="1" x="500"/>
        <item m="1" x="556"/>
        <item x="262"/>
        <item m="1" x="986"/>
        <item x="56"/>
        <item x="341"/>
        <item m="1" x="881"/>
        <item x="136"/>
        <item x="140"/>
        <item m="1" x="1435"/>
        <item m="1" x="388"/>
        <item m="1" x="1012"/>
        <item m="1" x="761"/>
        <item x="328"/>
        <item x="154"/>
        <item x="117"/>
        <item m="1" x="844"/>
        <item m="1" x="845"/>
        <item m="1" x="999"/>
        <item m="1" x="1325"/>
        <item m="1" x="494"/>
        <item m="1" x="1235"/>
        <item m="1" x="1047"/>
        <item m="1" x="1417"/>
        <item m="1" x="1286"/>
        <item m="1" x="1140"/>
        <item x="172"/>
        <item x="263"/>
        <item m="1" x="1010"/>
        <item m="1" x="893"/>
        <item m="1" x="1339"/>
        <item m="1" x="1159"/>
        <item m="1" x="1108"/>
        <item m="1" x="1005"/>
        <item x="286"/>
        <item m="1" x="1209"/>
        <item m="1" x="540"/>
        <item m="1" x="884"/>
        <item m="1" x="948"/>
        <item m="1" x="725"/>
        <item m="1" x="1105"/>
        <item x="237"/>
        <item m="1" x="889"/>
        <item m="1" x="1072"/>
        <item m="1" x="714"/>
        <item m="1" x="1189"/>
        <item m="1" x="952"/>
        <item m="1" x="626"/>
        <item m="1" x="1335"/>
        <item m="1" x="1176"/>
        <item x="275"/>
        <item m="1" x="525"/>
        <item m="1" x="993"/>
        <item m="1" x="453"/>
        <item m="1" x="1101"/>
        <item m="1" x="1299"/>
        <item m="1" x="785"/>
        <item m="1" x="933"/>
        <item x="384"/>
        <item m="1" x="1044"/>
        <item m="1" x="531"/>
        <item m="1" x="1106"/>
        <item m="1" x="1098"/>
        <item m="1" x="1306"/>
        <item x="175"/>
        <item m="1" x="461"/>
        <item m="1" x="1221"/>
        <item m="1" x="471"/>
        <item m="1" x="462"/>
        <item m="1" x="982"/>
        <item m="1" x="1412"/>
        <item m="1" x="886"/>
        <item m="1" x="1081"/>
        <item m="1" x="1001"/>
        <item m="1" x="1227"/>
        <item m="1" x="1107"/>
        <item m="1" x="1132"/>
        <item m="1" x="1066"/>
        <item m="1" x="1157"/>
        <item m="1" x="927"/>
        <item m="1" x="1427"/>
        <item m="1" x="1424"/>
        <item m="1" x="470"/>
        <item m="1" x="575"/>
        <item m="1" x="1187"/>
        <item m="1" x="553"/>
        <item m="1" x="1009"/>
        <item x="108"/>
        <item m="1" x="780"/>
        <item m="1" x="1386"/>
        <item m="1" x="1436"/>
        <item m="1" x="998"/>
        <item m="1" x="1215"/>
        <item m="1" x="841"/>
        <item m="1" x="826"/>
        <item m="1" x="1234"/>
        <item m="1" x="1065"/>
        <item m="1" x="817"/>
        <item m="1" x="1265"/>
        <item x="337"/>
        <item m="1" x="560"/>
        <item m="1" x="1363"/>
        <item m="1" x="830"/>
        <item m="1" x="920"/>
        <item m="1" x="709"/>
        <item x="16"/>
        <item m="1" x="1222"/>
        <item m="1" x="1258"/>
        <item x="127"/>
        <item x="105"/>
        <item m="1" x="804"/>
        <item m="1" x="444"/>
        <item m="1" x="860"/>
        <item m="1" x="779"/>
        <item m="1" x="1236"/>
        <item m="1" x="660"/>
        <item m="1" x="862"/>
        <item m="1" x="996"/>
        <item m="1" x="1263"/>
        <item m="1" x="468"/>
        <item m="1" x="1322"/>
        <item m="1" x="790"/>
        <item m="1" x="815"/>
        <item m="1" x="1168"/>
        <item m="1" x="1160"/>
        <item m="1" x="1331"/>
        <item x="245"/>
        <item m="1" x="1369"/>
        <item x="376"/>
        <item m="1" x="1060"/>
        <item m="1" x="1296"/>
        <item m="1" x="568"/>
        <item x="214"/>
        <item m="1" x="1053"/>
        <item x="82"/>
        <item m="1" x="1358"/>
        <item x="83"/>
        <item x="201"/>
        <item x="199"/>
        <item m="1" x="390"/>
        <item m="1" x="597"/>
        <item x="139"/>
        <item m="1" x="1092"/>
        <item m="1" x="1231"/>
        <item m="1" x="1398"/>
        <item x="125"/>
        <item m="1" x="857"/>
        <item m="1" x="541"/>
        <item m="1" x="638"/>
        <item m="1" x="839"/>
        <item m="1" x="497"/>
        <item m="1" x="661"/>
        <item m="1" x="1133"/>
        <item x="378"/>
        <item m="1" x="753"/>
        <item x="104"/>
        <item x="73"/>
        <item m="1" x="522"/>
        <item m="1" x="1374"/>
        <item m="1" x="712"/>
        <item m="1" x="1126"/>
        <item m="1" x="572"/>
        <item m="1" x="567"/>
        <item m="1" x="798"/>
        <item m="1" x="721"/>
        <item m="1" x="867"/>
        <item m="1" x="507"/>
        <item m="1" x="832"/>
        <item m="1" x="724"/>
        <item m="1" x="1423"/>
        <item m="1" x="1007"/>
        <item m="1" x="1197"/>
        <item x="59"/>
        <item x="222"/>
        <item x="221"/>
        <item m="1" x="1346"/>
        <item x="106"/>
        <item m="1" x="776"/>
        <item m="1" x="801"/>
        <item m="1" x="1013"/>
        <item m="1" x="749"/>
        <item m="1" x="1285"/>
        <item m="1" x="854"/>
        <item m="1" x="855"/>
        <item m="1" x="454"/>
        <item m="1" x="789"/>
        <item m="1" x="1298"/>
        <item m="1" x="1146"/>
        <item m="1" x="843"/>
        <item m="1" x="495"/>
        <item m="1" x="975"/>
        <item m="1" x="635"/>
        <item x="12"/>
        <item m="1" x="1148"/>
        <item m="1" x="1395"/>
        <item m="1" x="1096"/>
        <item x="241"/>
        <item x="40"/>
        <item x="236"/>
        <item x="61"/>
        <item m="1" x="934"/>
        <item m="1" x="1037"/>
        <item m="1" x="1293"/>
        <item m="1" x="1226"/>
        <item m="1" x="1191"/>
        <item m="1" x="973"/>
        <item m="1" x="880"/>
        <item m="1" x="972"/>
        <item m="1" x="1289"/>
        <item m="1" x="1190"/>
        <item m="1" x="1359"/>
        <item m="1" x="1378"/>
        <item m="1" x="1350"/>
        <item m="1" x="1201"/>
        <item m="1" x="1134"/>
        <item m="1" x="921"/>
        <item m="1" x="1431"/>
        <item m="1" x="1112"/>
        <item m="1" x="1068"/>
        <item m="1" x="950"/>
        <item m="1" x="1020"/>
        <item m="1" x="1406"/>
        <item m="1" x="1283"/>
        <item m="1" x="1175"/>
        <item m="1" x="1295"/>
        <item m="1" x="879"/>
        <item m="1" x="1202"/>
        <item m="1" x="1360"/>
        <item m="1" x="1043"/>
        <item m="1" x="923"/>
        <item m="1" x="985"/>
        <item m="1" x="1149"/>
        <item m="1" x="915"/>
        <item m="1" x="1247"/>
        <item m="1" x="1051"/>
        <item m="1" x="1011"/>
        <item m="1" x="949"/>
        <item m="1" x="1238"/>
        <item m="1" x="992"/>
        <item m="1" x="1062"/>
        <item m="1" x="1069"/>
        <item m="1" x="1433"/>
        <item m="1" x="1379"/>
        <item m="1" x="1042"/>
        <item m="1" x="1223"/>
        <item m="1" x="1089"/>
        <item m="1" x="1401"/>
        <item m="1" x="1343"/>
        <item m="1" x="1172"/>
        <item m="1" x="917"/>
        <item m="1" x="1039"/>
        <item m="1" x="1344"/>
        <item m="1" x="1225"/>
        <item m="1" x="1230"/>
        <item m="1" x="991"/>
        <item m="1" x="1003"/>
        <item m="1" x="984"/>
        <item m="1" x="1420"/>
        <item m="1" x="1402"/>
        <item m="1" x="1400"/>
        <item m="1" x="1091"/>
        <item m="1" x="502"/>
        <item m="1" x="1027"/>
        <item x="274"/>
        <item m="1" x="1086"/>
        <item m="1" x="1199"/>
        <item x="207"/>
        <item m="1" x="853"/>
        <item m="1" x="754"/>
        <item m="1" x="1242"/>
        <item m="1" x="1252"/>
        <item m="1" x="1114"/>
        <item m="1" x="1429"/>
        <item m="1" x="911"/>
        <item m="1" x="615"/>
        <item m="1" x="777"/>
        <item m="1" x="840"/>
        <item m="1" x="627"/>
        <item m="1" x="914"/>
        <item m="1" x="1034"/>
        <item m="1" x="529"/>
        <item x="240"/>
        <item m="1" x="408"/>
        <item m="1" x="945"/>
        <item m="1" x="865"/>
        <item m="1" x="400"/>
        <item m="1" x="593"/>
        <item x="383"/>
        <item m="1" x="823"/>
        <item m="1" x="1185"/>
        <item m="1" x="589"/>
        <item x="375"/>
        <item m="1" x="463"/>
        <item m="1" x="891"/>
        <item m="1" x="447"/>
        <item m="1" x="967"/>
        <item m="1" x="781"/>
        <item m="1" x="782"/>
        <item m="1" x="835"/>
        <item m="1" x="836"/>
        <item m="1" x="837"/>
        <item m="1" x="716"/>
        <item m="1" x="475"/>
        <item m="1" x="481"/>
        <item m="1" x="901"/>
        <item m="1" x="827"/>
        <item x="124"/>
        <item m="1" x="757"/>
        <item m="1" x="499"/>
        <item m="1" x="622"/>
        <item m="1" x="825"/>
        <item m="1" x="838"/>
        <item m="1" x="732"/>
        <item m="1" x="913"/>
        <item m="1" x="521"/>
        <item m="1" x="613"/>
        <item m="1" x="1111"/>
        <item x="210"/>
        <item m="1" x="726"/>
        <item m="1" x="707"/>
        <item m="1" x="828"/>
        <item m="1" x="829"/>
        <item m="1" x="770"/>
        <item m="1" x="850"/>
        <item m="1" x="831"/>
        <item m="1" x="641"/>
        <item m="1" x="596"/>
        <item x="351"/>
        <item m="1" x="858"/>
        <item m="1" x="859"/>
        <item m="1" x="824"/>
        <item m="1" x="700"/>
        <item m="1" x="834"/>
        <item m="1" x="740"/>
        <item m="1" x="713"/>
        <item m="1" x="448"/>
        <item m="1" x="806"/>
        <item m="1" x="549"/>
        <item m="1" x="807"/>
        <item m="1" x="446"/>
        <item m="1" x="664"/>
        <item m="1" x="810"/>
        <item m="1" x="584"/>
        <item m="1" x="861"/>
        <item m="1" x="460"/>
        <item x="316"/>
        <item m="1" x="863"/>
        <item m="1" x="485"/>
        <item m="1" x="1364"/>
        <item m="1" x="1113"/>
        <item m="1" x="1253"/>
        <item m="1" x="928"/>
        <item m="1" x="1205"/>
        <item m="1" x="1240"/>
        <item m="1" x="846"/>
        <item m="1" x="847"/>
        <item m="1" x="848"/>
        <item m="1" x="792"/>
        <item m="1" x="864"/>
        <item m="1" x="819"/>
        <item m="1" x="820"/>
        <item m="1" x="465"/>
        <item m="1" x="768"/>
        <item m="1" x="399"/>
        <item m="1" x="866"/>
        <item m="1" x="849"/>
        <item x="128"/>
        <item m="1" x="477"/>
        <item m="1" x="808"/>
        <item m="1" x="744"/>
        <item x="269"/>
        <item m="1" x="637"/>
        <item m="1" x="392"/>
        <item m="1" x="734"/>
        <item m="1" x="418"/>
        <item m="1" x="417"/>
        <item m="1" x="842"/>
        <item m="1" x="772"/>
        <item x="227"/>
        <item x="109"/>
        <item x="314"/>
        <item x="315"/>
        <item x="102"/>
        <item m="1" x="555"/>
        <item x="74"/>
        <item x="359"/>
        <item m="1" x="822"/>
        <item x="345"/>
        <item m="1" x="775"/>
        <item m="1" x="482"/>
        <item m="1" x="833"/>
        <item m="1" x="821"/>
        <item m="1" x="745"/>
        <item m="1" x="445"/>
        <item m="1" x="784"/>
        <item m="1" x="748"/>
        <item m="1" x="662"/>
        <item m="1" x="758"/>
        <item x="26"/>
        <item m="1" x="767"/>
        <item m="1" x="708"/>
        <item x="43"/>
        <item m="1" x="666"/>
        <item m="1" x="491"/>
        <item m="1" x="710"/>
        <item m="1" x="765"/>
        <item m="1" x="766"/>
        <item m="1" x="585"/>
        <item m="1" x="591"/>
        <item m="1" x="526"/>
        <item x="97"/>
        <item m="1" x="698"/>
        <item m="1" x="811"/>
        <item m="1" x="697"/>
        <item m="1" x="778"/>
        <item m="1" x="720"/>
        <item m="1" x="450"/>
        <item x="64"/>
        <item m="1" x="750"/>
        <item m="1" x="752"/>
        <item m="1" x="604"/>
        <item m="1" x="812"/>
        <item x="244"/>
        <item x="130"/>
        <item x="37"/>
        <item x="292"/>
        <item x="364"/>
        <item m="1" x="796"/>
        <item m="1" x="802"/>
        <item m="1" x="803"/>
        <item m="1" x="511"/>
        <item m="1" x="621"/>
        <item m="1" x="759"/>
        <item m="1" x="818"/>
        <item x="326"/>
        <item m="1" x="773"/>
        <item m="1" x="533"/>
        <item m="1" x="535"/>
        <item m="1" x="608"/>
        <item m="1" x="723"/>
        <item m="1" x="719"/>
        <item x="306"/>
        <item m="1" x="739"/>
        <item m="1" x="449"/>
        <item m="1" x="746"/>
        <item x="181"/>
        <item m="1" x="751"/>
        <item m="1" x="787"/>
        <item m="1" x="731"/>
        <item m="1" x="492"/>
        <item m="1" x="760"/>
        <item m="1" x="762"/>
        <item m="1" x="763"/>
        <item m="1" x="764"/>
        <item m="1" x="715"/>
        <item m="1" x="619"/>
        <item m="1" x="668"/>
        <item x="39"/>
        <item x="68"/>
        <item x="276"/>
        <item m="1" x="797"/>
        <item m="1" x="743"/>
        <item m="1" x="756"/>
        <item m="1" x="794"/>
        <item m="1" x="747"/>
        <item x="122"/>
        <item m="1" x="605"/>
        <item m="1" x="599"/>
        <item m="1" x="451"/>
        <item m="1" x="667"/>
        <item m="1" x="769"/>
        <item x="160"/>
        <item x="257"/>
        <item m="1" x="771"/>
        <item x="187"/>
        <item m="1" x="736"/>
        <item m="1" x="737"/>
        <item m="1" x="738"/>
        <item m="1" x="729"/>
        <item m="1" x="755"/>
        <item m="1" x="618"/>
        <item m="1" x="730"/>
        <item x="133"/>
        <item m="1" x="696"/>
        <item x="178"/>
        <item x="273"/>
        <item m="1" x="722"/>
        <item m="1" x="705"/>
        <item m="1" x="645"/>
        <item m="1" x="404"/>
        <item m="1" x="405"/>
        <item m="1" x="410"/>
        <item m="1" x="419"/>
        <item m="1" x="587"/>
        <item m="1" x="647"/>
        <item m="1" x="432"/>
        <item m="1" x="423"/>
        <item m="1" x="424"/>
        <item m="1" x="437"/>
        <item m="1" x="433"/>
        <item m="1" x="425"/>
        <item m="1" x="427"/>
        <item m="1" x="435"/>
        <item m="1" x="438"/>
        <item m="1" x="428"/>
        <item m="1" x="429"/>
        <item m="1" x="649"/>
        <item m="1" x="704"/>
        <item m="1" x="583"/>
        <item x="313"/>
        <item x="380"/>
        <item x="183"/>
        <item x="71"/>
        <item m="1" x="703"/>
        <item x="291"/>
        <item m="1" x="547"/>
        <item m="1" x="557"/>
        <item m="1" x="603"/>
        <item m="1" x="590"/>
        <item x="374"/>
        <item m="1" x="527"/>
        <item m="1" x="426"/>
        <item m="1" x="434"/>
        <item m="1" x="654"/>
        <item m="1" x="655"/>
        <item m="1" x="656"/>
        <item m="1" x="657"/>
        <item m="1" x="658"/>
        <item m="1" x="652"/>
        <item m="1" x="651"/>
        <item m="1" x="653"/>
        <item m="1" x="457"/>
        <item m="1" x="642"/>
        <item m="1" x="633"/>
        <item m="1" x="663"/>
        <item m="1" x="701"/>
        <item x="173"/>
        <item m="1" x="601"/>
        <item x="284"/>
        <item m="1" x="694"/>
        <item x="99"/>
        <item m="1" x="648"/>
        <item m="1" x="646"/>
        <item x="299"/>
        <item m="1" x="479"/>
        <item m="1" x="544"/>
        <item m="1" x="486"/>
        <item m="1" x="634"/>
        <item m="1" x="617"/>
        <item m="1" x="478"/>
        <item m="1" x="515"/>
        <item m="1" x="519"/>
        <item x="344"/>
        <item m="1" x="561"/>
        <item m="1" x="699"/>
        <item m="1" x="580"/>
        <item m="1" x="439"/>
        <item x="357"/>
        <item x="126"/>
        <item m="1" x="576"/>
        <item x="332"/>
        <item x="65"/>
        <item m="1" x="546"/>
        <item x="66"/>
        <item m="1" x="542"/>
        <item x="289"/>
        <item m="1" x="684"/>
        <item m="1" x="671"/>
        <item m="1" x="677"/>
        <item m="1" x="670"/>
        <item m="1" x="673"/>
        <item m="1" x="680"/>
        <item m="1" x="689"/>
        <item m="1" x="685"/>
        <item m="1" x="692"/>
        <item m="1" x="690"/>
        <item m="1" x="687"/>
        <item m="1" x="681"/>
        <item x="367"/>
        <item m="1" x="674"/>
        <item m="1" x="682"/>
        <item m="1" x="675"/>
        <item m="1" x="688"/>
        <item m="1" x="693"/>
        <item m="1" x="676"/>
        <item m="1" x="678"/>
        <item m="1" x="577"/>
        <item m="1" x="616"/>
        <item m="1" x="469"/>
        <item m="1" x="625"/>
        <item m="1" x="636"/>
        <item x="365"/>
        <item m="1" x="614"/>
        <item x="85"/>
        <item x="301"/>
        <item m="1" x="579"/>
        <item m="1" x="630"/>
        <item x="312"/>
        <item m="1" x="644"/>
        <item m="1" x="501"/>
        <item x="342"/>
        <item x="382"/>
        <item x="385"/>
        <item x="188"/>
        <item m="1" x="412"/>
        <item m="1" x="413"/>
        <item m="1" x="440"/>
        <item x="134"/>
        <item x="138"/>
        <item x="153"/>
        <item x="366"/>
        <item x="191"/>
        <item m="1" x="600"/>
        <item x="353"/>
        <item x="216"/>
        <item x="215"/>
        <item m="1" x="548"/>
        <item m="1" x="508"/>
        <item m="1" x="595"/>
        <item m="1" x="624"/>
        <item x="322"/>
        <item m="1" x="573"/>
        <item m="1" x="524"/>
        <item x="346"/>
        <item x="372"/>
        <item m="1" x="430"/>
        <item m="1" x="602"/>
        <item m="1" x="582"/>
        <item m="1" x="588"/>
        <item m="1" x="611"/>
        <item m="1" x="612"/>
        <item m="1" x="498"/>
        <item m="1" x="416"/>
        <item m="1" x="455"/>
        <item m="1" x="545"/>
        <item x="55"/>
        <item m="1" x="431"/>
        <item m="1" x="509"/>
        <item m="1" x="550"/>
        <item m="1" x="551"/>
        <item m="1" x="552"/>
        <item x="206"/>
        <item m="1" x="558"/>
        <item m="1" x="559"/>
        <item x="238"/>
        <item x="239"/>
        <item x="255"/>
        <item x="266"/>
        <item x="304"/>
        <item x="302"/>
        <item m="1" x="512"/>
        <item m="1" x="564"/>
        <item x="318"/>
        <item x="320"/>
        <item m="1" x="570"/>
        <item m="1" x="571"/>
        <item x="358"/>
        <item m="1" x="543"/>
        <item x="195"/>
        <item x="208"/>
        <item m="1" x="436"/>
        <item m="1" x="520"/>
        <item x="280"/>
        <item x="281"/>
        <item x="283"/>
        <item x="309"/>
        <item m="1" x="565"/>
        <item m="1" x="566"/>
        <item m="1" x="523"/>
        <item x="196"/>
        <item m="1" x="395"/>
        <item m="1" x="396"/>
        <item m="1" x="401"/>
        <item m="1" x="391"/>
        <item x="103"/>
        <item x="373"/>
        <item m="1" x="422"/>
        <item m="1" x="441"/>
        <item m="1" x="442"/>
        <item m="1" x="452"/>
        <item x="30"/>
        <item x="360"/>
        <item m="1" x="506"/>
        <item m="1" x="510"/>
        <item x="370"/>
        <item x="290"/>
        <item m="1" x="466"/>
        <item m="1" x="467"/>
        <item m="1" x="503"/>
        <item m="1" x="504"/>
        <item m="1" x="516"/>
        <item m="1" x="518"/>
        <item m="1" x="528"/>
        <item m="1" x="386"/>
        <item m="1" x="387"/>
        <item x="211"/>
        <item x="310"/>
        <item x="107"/>
        <item x="248"/>
        <item x="330"/>
        <item x="249"/>
        <item t="default"/>
      </items>
    </pivotField>
    <pivotField axis="axisPage" compact="0" outline="0" showAll="0">
      <items count="16">
        <item m="1" x="9"/>
        <item m="1" x="6"/>
        <item m="1" x="14"/>
        <item m="1" x="4"/>
        <item m="1" x="11"/>
        <item m="1" x="8"/>
        <item m="1" x="7"/>
        <item m="1" x="12"/>
        <item m="1" x="10"/>
        <item m="1" x="13"/>
        <item m="1" x="5"/>
        <item x="0"/>
        <item x="1"/>
        <item x="2"/>
        <item x="3"/>
        <item t="default"/>
      </items>
    </pivotField>
    <pivotField compact="0" outline="0" showAll="0"/>
    <pivotField axis="axisPage" compact="0" outline="0" multipleItemSelectionAllowed="1" showAll="0">
      <items count="184">
        <item x="14"/>
        <item m="1" x="145"/>
        <item m="1" x="146"/>
        <item m="1" x="147"/>
        <item m="1" x="71"/>
        <item m="1" x="148"/>
        <item m="1" x="149"/>
        <item m="1" x="150"/>
        <item m="1" x="151"/>
        <item m="1" x="152"/>
        <item m="1" x="133"/>
        <item m="1" x="153"/>
        <item m="1" x="154"/>
        <item m="1" x="155"/>
        <item m="1" x="156"/>
        <item m="1" x="157"/>
        <item m="1" x="51"/>
        <item m="1" x="158"/>
        <item m="1" x="159"/>
        <item m="1" x="84"/>
        <item m="1" x="96"/>
        <item m="1" x="160"/>
        <item m="1" x="142"/>
        <item m="1" x="102"/>
        <item m="1" x="161"/>
        <item m="1" x="100"/>
        <item m="1" x="162"/>
        <item m="1" x="163"/>
        <item m="1" x="135"/>
        <item m="1" x="164"/>
        <item m="1" x="104"/>
        <item m="1" x="165"/>
        <item m="1" x="166"/>
        <item m="1" x="167"/>
        <item m="1" x="25"/>
        <item m="1" x="22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16"/>
        <item m="1" x="181"/>
        <item m="1" x="134"/>
        <item m="1" x="182"/>
        <item x="1"/>
        <item x="3"/>
        <item x="11"/>
        <item x="6"/>
        <item x="5"/>
        <item x="2"/>
        <item x="0"/>
        <item x="4"/>
        <item x="12"/>
        <item x="8"/>
        <item x="9"/>
        <item x="10"/>
        <item m="1" x="112"/>
        <item m="1" x="113"/>
        <item m="1" x="114"/>
        <item m="1" x="115"/>
        <item m="1" x="80"/>
        <item m="1" x="64"/>
        <item m="1" x="117"/>
        <item m="1" x="118"/>
        <item m="1" x="119"/>
        <item m="1" x="120"/>
        <item m="1" x="121"/>
        <item m="1" x="122"/>
        <item m="1" x="123"/>
        <item m="1" x="124"/>
        <item m="1" x="72"/>
        <item m="1" x="66"/>
        <item m="1" x="125"/>
        <item m="1" x="126"/>
        <item m="1" x="127"/>
        <item m="1" x="128"/>
        <item m="1" x="55"/>
        <item m="1" x="129"/>
        <item m="1" x="110"/>
        <item m="1" x="130"/>
        <item m="1" x="131"/>
        <item m="1" x="132"/>
        <item m="1" x="44"/>
        <item m="1" x="136"/>
        <item m="1" x="43"/>
        <item m="1" x="23"/>
        <item m="1" x="37"/>
        <item m="1" x="78"/>
        <item m="1" x="137"/>
        <item m="1" x="138"/>
        <item m="1" x="139"/>
        <item m="1" x="86"/>
        <item m="1" x="59"/>
        <item m="1" x="57"/>
        <item m="1" x="140"/>
        <item m="1" x="30"/>
        <item m="1" x="141"/>
        <item m="1" x="143"/>
        <item m="1" x="144"/>
        <item m="1" x="16"/>
        <item m="1" x="17"/>
        <item m="1" x="18"/>
        <item m="1" x="19"/>
        <item m="1" x="20"/>
        <item m="1" x="21"/>
        <item m="1" x="24"/>
        <item m="1" x="26"/>
        <item m="1" x="27"/>
        <item m="1" x="28"/>
        <item m="1" x="29"/>
        <item m="1" x="31"/>
        <item m="1" x="32"/>
        <item m="1" x="33"/>
        <item m="1" x="34"/>
        <item m="1" x="35"/>
        <item m="1" x="36"/>
        <item m="1" x="38"/>
        <item m="1" x="39"/>
        <item m="1" x="40"/>
        <item m="1" x="41"/>
        <item m="1" x="42"/>
        <item m="1" x="45"/>
        <item m="1" x="46"/>
        <item m="1" x="47"/>
        <item m="1" x="48"/>
        <item m="1" x="49"/>
        <item m="1" x="50"/>
        <item m="1" x="52"/>
        <item m="1" x="53"/>
        <item m="1" x="54"/>
        <item m="1" x="56"/>
        <item m="1" x="58"/>
        <item m="1" x="60"/>
        <item m="1" x="61"/>
        <item m="1" x="62"/>
        <item m="1" x="63"/>
        <item m="1" x="65"/>
        <item m="1" x="67"/>
        <item m="1" x="68"/>
        <item m="1" x="69"/>
        <item m="1" x="70"/>
        <item m="1" x="73"/>
        <item m="1" x="74"/>
        <item m="1" x="75"/>
        <item m="1" x="76"/>
        <item m="1" x="77"/>
        <item m="1" x="79"/>
        <item m="1" x="81"/>
        <item m="1" x="82"/>
        <item m="1" x="83"/>
        <item m="1" x="85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7"/>
        <item m="1" x="98"/>
        <item m="1" x="99"/>
        <item m="1" x="101"/>
        <item m="1" x="103"/>
        <item m="1" x="105"/>
        <item m="1" x="106"/>
        <item m="1" x="107"/>
        <item m="1" x="108"/>
        <item m="1" x="109"/>
        <item m="1" x="111"/>
        <item x="7"/>
        <item m="1" x="15"/>
        <item x="13"/>
        <item t="default"/>
      </items>
    </pivotField>
    <pivotField compact="0" outline="0" showAll="0"/>
    <pivotField axis="axisCol" compact="0" outline="0" showAll="0">
      <items count="15">
        <item x="0"/>
        <item x="2"/>
        <item x="3"/>
        <item h="1" x="1"/>
        <item m="1" x="13"/>
        <item m="1" x="8"/>
        <item m="1" x="10"/>
        <item m="1" x="12"/>
        <item m="1" x="7"/>
        <item m="1" x="6"/>
        <item m="1" x="11"/>
        <item m="1" x="9"/>
        <item m="1" x="5"/>
        <item h="1" m="1"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43" outline="0" showAll="0"/>
    <pivotField compact="0" numFmtId="43" outline="0" showAll="0"/>
    <pivotField compact="0" numFmtId="43" outline="0" showAll="0"/>
    <pivotField compact="0" outline="0" showAll="0"/>
    <pivotField axis="axisPage" compact="0" outline="0" showAll="0">
      <items count="4">
        <item x="0"/>
        <item x="1"/>
        <item m="1" x="2"/>
        <item t="default"/>
      </items>
    </pivotField>
    <pivotField compact="0" outline="0" showAll="0"/>
    <pivotField compact="0" outline="0" showAll="0"/>
    <pivotField compact="0" outline="0" dragToRow="0" dragToCol="0" dragToPage="0" showAll="0" defaultSubtotal="0"/>
  </pivotFields>
  <rowFields count="3">
    <field x="2"/>
    <field x="1"/>
    <field x="7"/>
  </rowFields>
  <rowItems count="50">
    <i>
      <x v="10"/>
    </i>
    <i>
      <x v="12"/>
    </i>
    <i>
      <x v="21"/>
    </i>
    <i>
      <x v="35"/>
    </i>
    <i>
      <x v="37"/>
    </i>
    <i>
      <x v="41"/>
    </i>
    <i>
      <x v="53"/>
    </i>
    <i>
      <x v="56"/>
    </i>
    <i>
      <x v="63"/>
    </i>
    <i>
      <x v="81"/>
    </i>
    <i>
      <x v="103"/>
    </i>
    <i>
      <x v="136"/>
    </i>
    <i>
      <x v="142"/>
    </i>
    <i>
      <x v="152"/>
    </i>
    <i>
      <x v="155"/>
    </i>
    <i>
      <x v="164"/>
    </i>
    <i>
      <x v="165"/>
    </i>
    <i>
      <x v="178"/>
    </i>
    <i>
      <x v="182"/>
    </i>
    <i>
      <x v="190"/>
    </i>
    <i>
      <x v="200"/>
    </i>
    <i>
      <x v="205"/>
    </i>
    <i>
      <x v="208"/>
    </i>
    <i>
      <x v="215"/>
    </i>
    <i>
      <x v="216"/>
    </i>
    <i>
      <x v="219"/>
    </i>
    <i>
      <x v="233"/>
    </i>
    <i>
      <x v="236"/>
    </i>
    <i>
      <x v="256"/>
    </i>
    <i>
      <x v="258"/>
    </i>
    <i>
      <x v="266"/>
    </i>
    <i>
      <x v="267"/>
    </i>
    <i>
      <x v="269"/>
    </i>
    <i>
      <x v="280"/>
    </i>
    <i>
      <x v="286"/>
    </i>
    <i>
      <x v="293"/>
    </i>
    <i>
      <x v="295"/>
    </i>
    <i>
      <x v="296"/>
    </i>
    <i>
      <x v="299"/>
    </i>
    <i>
      <x v="301"/>
    </i>
    <i>
      <x v="310"/>
    </i>
    <i>
      <x v="312"/>
    </i>
    <i>
      <x v="324"/>
    </i>
    <i>
      <x v="326"/>
    </i>
    <i>
      <x v="337"/>
    </i>
    <i>
      <x v="342"/>
    </i>
    <i>
      <x v="347"/>
    </i>
    <i>
      <x v="349"/>
    </i>
    <i>
      <x v="350"/>
    </i>
    <i t="grand">
      <x/>
    </i>
  </rowItems>
  <colFields count="1">
    <field x="15"/>
  </colFields>
  <colItems count="4">
    <i>
      <x/>
    </i>
    <i>
      <x v="1"/>
    </i>
    <i>
      <x v="2"/>
    </i>
    <i t="grand">
      <x/>
    </i>
  </colItems>
  <pageFields count="4">
    <pageField fld="13" hier="-1"/>
    <pageField fld="11" hier="-1"/>
    <pageField fld="10" hier="-1"/>
    <pageField fld="32" item="0" hier="-1"/>
  </pageFields>
  <dataFields count="1">
    <dataField name="Sum of Trabajadores Unicos" fld="28" baseField="0" baseItem="0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TablaDinámica1" cacheId="51" applyNumberFormats="0" applyBorderFormats="0" applyFontFormats="0" applyPatternFormats="0" applyAlignmentFormats="0" applyWidthHeightFormats="1" dataCaption="Valores" updatedVersion="8" minRefreshableVersion="3" preserveFormatting="0" itemPrintTitles="1" createdVersion="6" indent="0" compact="0" compactData="0" gridDropZones="1" multipleFieldFilters="0">
  <location ref="A5:K54" firstHeaderRow="2" firstDataRow="2" firstDataCol="5" rowPageCount="2" colPageCount="1"/>
  <pivotFields count="36">
    <pivotField compact="0" outline="0" showAll="0"/>
    <pivotField axis="axisRow" compact="0" outline="0" showAll="0" defaultSubtotal="0">
      <items count="78">
        <item m="1" x="77"/>
        <item x="8"/>
        <item x="13"/>
        <item x="20"/>
        <item x="76"/>
        <item x="70"/>
        <item x="56"/>
        <item x="17"/>
        <item x="21"/>
        <item x="23"/>
        <item x="14"/>
        <item x="38"/>
        <item x="65"/>
        <item x="6"/>
        <item x="16"/>
        <item x="42"/>
        <item x="15"/>
        <item x="39"/>
        <item x="26"/>
        <item x="28"/>
        <item x="63"/>
        <item x="60"/>
        <item x="12"/>
        <item x="55"/>
        <item x="40"/>
        <item x="2"/>
        <item x="48"/>
        <item x="47"/>
        <item x="50"/>
        <item x="51"/>
        <item x="69"/>
        <item x="68"/>
        <item x="25"/>
        <item x="24"/>
        <item x="72"/>
        <item x="35"/>
        <item x="73"/>
        <item x="36"/>
        <item x="5"/>
        <item x="10"/>
        <item x="18"/>
        <item x="58"/>
        <item x="62"/>
        <item x="41"/>
        <item x="22"/>
        <item x="46"/>
        <item x="7"/>
        <item x="53"/>
        <item x="19"/>
        <item x="29"/>
        <item x="30"/>
        <item x="31"/>
        <item x="32"/>
        <item x="33"/>
        <item x="34"/>
        <item x="74"/>
        <item x="0"/>
        <item x="27"/>
        <item x="64"/>
        <item x="44"/>
        <item x="52"/>
        <item x="1"/>
        <item x="43"/>
        <item x="66"/>
        <item x="67"/>
        <item x="75"/>
        <item x="54"/>
        <item x="61"/>
        <item x="71"/>
        <item x="9"/>
        <item x="57"/>
        <item x="45"/>
        <item x="49"/>
        <item x="3"/>
        <item x="4"/>
        <item x="11"/>
        <item x="59"/>
        <item x="37"/>
      </items>
    </pivotField>
    <pivotField axis="axisRow" compact="0" outline="0" showAll="0" sortType="ascending" defaultSubtotal="0">
      <items count="352">
        <item m="1" x="162"/>
        <item m="1" x="314"/>
        <item m="1" x="51"/>
        <item m="1" x="143"/>
        <item m="1" x="174"/>
        <item m="1" x="128"/>
        <item m="1" x="111"/>
        <item m="1" x="114"/>
        <item m="1" x="52"/>
        <item m="1" x="200"/>
        <item x="35"/>
        <item m="1" x="316"/>
        <item x="1"/>
        <item m="1" x="116"/>
        <item m="1" x="140"/>
        <item m="1" x="291"/>
        <item m="1" x="129"/>
        <item m="1" x="193"/>
        <item m="1" x="90"/>
        <item m="1" x="53"/>
        <item m="1" x="171"/>
        <item x="36"/>
        <item m="1" x="112"/>
        <item m="1" x="225"/>
        <item m="1" x="332"/>
        <item m="1" x="186"/>
        <item m="1" x="191"/>
        <item m="1" x="262"/>
        <item m="1" x="54"/>
        <item m="1" x="250"/>
        <item m="1" x="350"/>
        <item m="1" x="344"/>
        <item m="1" x="138"/>
        <item m="1" x="93"/>
        <item m="1" x="297"/>
        <item x="2"/>
        <item m="1" x="172"/>
        <item x="3"/>
        <item m="1" x="144"/>
        <item m="1" x="108"/>
        <item m="1" x="139"/>
        <item x="4"/>
        <item m="1" x="94"/>
        <item m="1" x="55"/>
        <item m="1" x="205"/>
        <item m="1" x="56"/>
        <item m="1" x="178"/>
        <item m="1" x="145"/>
        <item m="1" x="57"/>
        <item m="1" x="335"/>
        <item m="1" x="313"/>
        <item m="1" x="230"/>
        <item m="1" x="311"/>
        <item x="5"/>
        <item m="1" x="146"/>
        <item m="1" x="187"/>
        <item x="0"/>
        <item m="1" x="106"/>
        <item m="1" x="179"/>
        <item m="1" x="117"/>
        <item m="1" x="265"/>
        <item m="1" x="324"/>
        <item m="1" x="216"/>
        <item x="37"/>
        <item m="1" x="113"/>
        <item m="1" x="203"/>
        <item m="1" x="305"/>
        <item m="1" x="147"/>
        <item m="1" x="258"/>
        <item m="1" x="237"/>
        <item m="1" x="92"/>
        <item m="1" x="184"/>
        <item m="1" x="161"/>
        <item m="1" x="58"/>
        <item m="1" x="153"/>
        <item m="1" x="275"/>
        <item m="1" x="190"/>
        <item m="1" x="280"/>
        <item m="1" x="95"/>
        <item m="1" x="204"/>
        <item m="1" x="185"/>
        <item x="38"/>
        <item m="1" x="123"/>
        <item m="1" x="88"/>
        <item m="1" x="148"/>
        <item m="1" x="288"/>
        <item m="1" x="236"/>
        <item m="1" x="281"/>
        <item m="1" x="152"/>
        <item m="1" x="351"/>
        <item m="1" x="173"/>
        <item m="1" x="338"/>
        <item m="1" x="339"/>
        <item m="1" x="59"/>
        <item m="1" x="308"/>
        <item m="1" x="180"/>
        <item m="1" x="166"/>
        <item m="1" x="239"/>
        <item m="1" x="60"/>
        <item x="39"/>
        <item m="1" x="224"/>
        <item m="1" x="310"/>
        <item m="1" x="130"/>
        <item x="6"/>
        <item m="1" x="334"/>
        <item m="1" x="122"/>
        <item m="1" x="61"/>
        <item m="1" x="294"/>
        <item m="1" x="217"/>
        <item m="1" x="337"/>
        <item m="1" x="195"/>
        <item m="1" x="317"/>
        <item m="1" x="62"/>
        <item m="1" x="290"/>
        <item m="1" x="276"/>
        <item m="1" x="198"/>
        <item m="1" x="333"/>
        <item m="1" x="247"/>
        <item m="1" x="212"/>
        <item m="1" x="213"/>
        <item m="1" x="302"/>
        <item m="1" x="328"/>
        <item m="1" x="211"/>
        <item m="1" x="329"/>
        <item m="1" x="323"/>
        <item m="1" x="342"/>
        <item m="1" x="96"/>
        <item m="1" x="254"/>
        <item m="1" x="347"/>
        <item m="1" x="155"/>
        <item m="1" x="284"/>
        <item m="1" x="214"/>
        <item m="1" x="104"/>
        <item m="1" x="331"/>
        <item m="1" x="202"/>
        <item m="1" x="63"/>
        <item x="7"/>
        <item m="1" x="215"/>
        <item m="1" x="320"/>
        <item m="1" x="160"/>
        <item m="1" x="151"/>
        <item m="1" x="261"/>
        <item x="8"/>
        <item m="1" x="64"/>
        <item m="1" x="293"/>
        <item m="1" x="156"/>
        <item m="1" x="243"/>
        <item m="1" x="210"/>
        <item m="1" x="222"/>
        <item m="1" x="312"/>
        <item m="1" x="208"/>
        <item m="1" x="272"/>
        <item x="40"/>
        <item m="1" x="349"/>
        <item m="1" x="287"/>
        <item x="9"/>
        <item m="1" x="285"/>
        <item m="1" x="65"/>
        <item m="1" x="181"/>
        <item m="1" x="136"/>
        <item m="1" x="118"/>
        <item m="1" x="157"/>
        <item m="1" x="242"/>
        <item m="1" x="194"/>
        <item x="10"/>
        <item x="48"/>
        <item m="1" x="170"/>
        <item m="1" x="149"/>
        <item m="1" x="142"/>
        <item m="1" x="109"/>
        <item m="1" x="256"/>
        <item m="1" x="201"/>
        <item m="1" x="301"/>
        <item m="1" x="154"/>
        <item m="1" x="66"/>
        <item m="1" x="345"/>
        <item m="1" x="226"/>
        <item m="1" x="257"/>
        <item x="12"/>
        <item m="1" x="270"/>
        <item m="1" x="283"/>
        <item m="1" x="132"/>
        <item x="41"/>
        <item m="1" x="133"/>
        <item m="1" x="197"/>
        <item m="1" x="241"/>
        <item m="1" x="97"/>
        <item m="1" x="150"/>
        <item m="1" x="245"/>
        <item m="1" x="304"/>
        <item x="13"/>
        <item m="1" x="240"/>
        <item m="1" x="137"/>
        <item m="1" x="277"/>
        <item m="1" x="343"/>
        <item m="1" x="115"/>
        <item m="1" x="336"/>
        <item m="1" x="278"/>
        <item m="1" x="125"/>
        <item m="1" x="163"/>
        <item x="14"/>
        <item m="1" x="126"/>
        <item m="1" x="248"/>
        <item m="1" x="268"/>
        <item m="1" x="98"/>
        <item x="15"/>
        <item m="1" x="232"/>
        <item m="1" x="67"/>
        <item x="16"/>
        <item m="1" x="135"/>
        <item m="1" x="141"/>
        <item m="1" x="68"/>
        <item m="1" x="298"/>
        <item m="1" x="69"/>
        <item m="1" x="274"/>
        <item x="17"/>
        <item x="42"/>
        <item m="1" x="206"/>
        <item m="1" x="158"/>
        <item x="18"/>
        <item m="1" x="110"/>
        <item m="1" x="266"/>
        <item m="1" x="107"/>
        <item m="1" x="346"/>
        <item m="1" x="121"/>
        <item m="1" x="223"/>
        <item m="1" x="207"/>
        <item m="1" x="244"/>
        <item m="1" x="253"/>
        <item m="1" x="220"/>
        <item m="1" x="330"/>
        <item m="1" x="164"/>
        <item m="1" x="175"/>
        <item x="19"/>
        <item m="1" x="286"/>
        <item m="1" x="188"/>
        <item x="20"/>
        <item m="1" x="269"/>
        <item m="1" x="134"/>
        <item m="1" x="326"/>
        <item m="1" x="176"/>
        <item m="1" x="131"/>
        <item m="1" x="299"/>
        <item m="1" x="119"/>
        <item m="1" x="70"/>
        <item m="1" x="71"/>
        <item m="1" x="189"/>
        <item m="1" x="315"/>
        <item m="1" x="72"/>
        <item m="1" x="300"/>
        <item m="1" x="246"/>
        <item m="1" x="209"/>
        <item m="1" x="73"/>
        <item m="1" x="289"/>
        <item m="1" x="192"/>
        <item m="1" x="221"/>
        <item x="43"/>
        <item m="1" x="74"/>
        <item x="21"/>
        <item m="1" x="229"/>
        <item m="1" x="199"/>
        <item m="1" x="91"/>
        <item m="1" x="75"/>
        <item m="1" x="165"/>
        <item m="1" x="309"/>
        <item m="1" x="99"/>
        <item x="22"/>
        <item x="44"/>
        <item m="1" x="273"/>
        <item x="23"/>
        <item m="1" x="295"/>
        <item m="1" x="76"/>
        <item m="1" x="77"/>
        <item m="1" x="279"/>
        <item m="1" x="167"/>
        <item m="1" x="325"/>
        <item m="1" x="78"/>
        <item m="1" x="234"/>
        <item m="1" x="100"/>
        <item m="1" x="238"/>
        <item x="50"/>
        <item m="1" x="228"/>
        <item m="1" x="303"/>
        <item m="1" x="348"/>
        <item m="1" x="259"/>
        <item m="1" x="263"/>
        <item x="49"/>
        <item m="1" x="318"/>
        <item m="1" x="101"/>
        <item m="1" x="322"/>
        <item m="1" x="89"/>
        <item m="1" x="79"/>
        <item m="1" x="105"/>
        <item x="25"/>
        <item m="1" x="260"/>
        <item x="24"/>
        <item x="26"/>
        <item m="1" x="292"/>
        <item m="1" x="80"/>
        <item x="27"/>
        <item m="1" x="255"/>
        <item x="45"/>
        <item m="1" x="319"/>
        <item m="1" x="219"/>
        <item m="1" x="81"/>
        <item m="1" x="102"/>
        <item m="1" x="82"/>
        <item m="1" x="271"/>
        <item m="1" x="124"/>
        <item m="1" x="264"/>
        <item x="28"/>
        <item m="1" x="321"/>
        <item x="29"/>
        <item m="1" x="282"/>
        <item m="1" x="83"/>
        <item m="1" x="182"/>
        <item m="1" x="340"/>
        <item m="1" x="251"/>
        <item m="1" x="235"/>
        <item m="1" x="227"/>
        <item m="1" x="84"/>
        <item m="1" x="103"/>
        <item m="1" x="218"/>
        <item m="1" x="231"/>
        <item x="46"/>
        <item m="1" x="249"/>
        <item x="47"/>
        <item m="1" x="177"/>
        <item m="1" x="127"/>
        <item m="1" x="252"/>
        <item m="1" x="233"/>
        <item m="1" x="327"/>
        <item m="1" x="168"/>
        <item m="1" x="307"/>
        <item m="1" x="120"/>
        <item m="1" x="183"/>
        <item m="1" x="341"/>
        <item x="30"/>
        <item m="1" x="169"/>
        <item m="1" x="159"/>
        <item m="1" x="85"/>
        <item m="1" x="267"/>
        <item x="31"/>
        <item m="1" x="86"/>
        <item m="1" x="87"/>
        <item m="1" x="196"/>
        <item m="1" x="306"/>
        <item x="32"/>
        <item m="1" x="296"/>
        <item x="33"/>
        <item x="34"/>
        <item x="11"/>
      </items>
    </pivotField>
    <pivotField compact="0" outline="0" showAll="0"/>
    <pivotField axis="axisRow" compact="0" outline="0" showAll="0" defaultSubtotal="0">
      <items count="8000">
        <item m="1" x="7640"/>
        <item x="2233"/>
        <item x="2298"/>
        <item x="2297"/>
        <item m="1" x="7471"/>
        <item x="2232"/>
        <item m="1" x="5718"/>
        <item m="1" x="7572"/>
        <item m="1" x="3884"/>
        <item m="1" x="6994"/>
        <item m="1" x="6822"/>
        <item m="1" x="4491"/>
        <item m="1" x="6819"/>
        <item x="2915"/>
        <item x="1511"/>
        <item x="2386"/>
        <item m="1" x="5667"/>
        <item m="1" x="7094"/>
        <item x="704"/>
        <item m="1" x="7121"/>
        <item m="1" x="3980"/>
        <item m="1" x="5922"/>
        <item x="1750"/>
        <item m="1" x="7949"/>
        <item m="1" x="5203"/>
        <item m="1" x="4714"/>
        <item m="1" x="7184"/>
        <item x="633"/>
        <item x="1570"/>
        <item x="1247"/>
        <item m="1" x="6657"/>
        <item x="2068"/>
        <item x="3016"/>
        <item x="3360"/>
        <item m="1" x="5491"/>
        <item m="1" x="4429"/>
        <item m="1" x="5189"/>
        <item m="1" x="6703"/>
        <item m="1" x="6604"/>
        <item x="2907"/>
        <item m="1" x="7865"/>
        <item x="725"/>
        <item x="1685"/>
        <item m="1" x="3877"/>
        <item m="1" x="6920"/>
        <item x="1853"/>
        <item m="1" x="5665"/>
        <item x="2937"/>
        <item x="1644"/>
        <item x="893"/>
        <item m="1" x="7928"/>
        <item m="1" x="5744"/>
        <item m="1" x="5227"/>
        <item x="890"/>
        <item m="1" x="4519"/>
        <item x="2245"/>
        <item x="2130"/>
        <item x="2842"/>
        <item m="1" x="6810"/>
        <item x="2539"/>
        <item x="1755"/>
        <item x="3019"/>
        <item m="1" x="5228"/>
        <item x="1085"/>
        <item x="611"/>
        <item m="1" x="6807"/>
        <item x="2857"/>
        <item x="3015"/>
        <item x="1866"/>
        <item m="1" x="6779"/>
        <item m="1" x="4886"/>
        <item m="1" x="5788"/>
        <item x="830"/>
        <item m="1" x="5384"/>
        <item x="2989"/>
        <item m="1" x="5693"/>
        <item m="1" x="6461"/>
        <item x="2387"/>
        <item x="2388"/>
        <item x="733"/>
        <item m="1" x="4493"/>
        <item m="1" x="7615"/>
        <item m="1" x="6862"/>
        <item m="1" x="4623"/>
        <item x="2114"/>
        <item m="1" x="6262"/>
        <item m="1" x="6887"/>
        <item x="2502"/>
        <item x="3363"/>
        <item m="1" x="7877"/>
        <item x="1897"/>
        <item x="2832"/>
        <item x="3262"/>
        <item m="1" x="5229"/>
        <item m="1" x="6651"/>
        <item x="724"/>
        <item m="1" x="5861"/>
        <item x="3093"/>
        <item x="1131"/>
        <item m="1" x="6682"/>
        <item x="2517"/>
        <item x="1757"/>
        <item x="3040"/>
        <item m="1" x="5572"/>
        <item m="1" x="5664"/>
        <item x="720"/>
        <item m="1" x="5890"/>
        <item m="1" x="4409"/>
        <item m="1" x="6963"/>
        <item x="614"/>
        <item x="2389"/>
        <item x="3336"/>
        <item x="730"/>
        <item x="1311"/>
        <item x="2289"/>
        <item x="2831"/>
        <item m="1" x="4833"/>
        <item m="1" x="5081"/>
        <item m="1" x="7828"/>
        <item m="1" x="4899"/>
        <item m="1" x="3808"/>
        <item x="715"/>
        <item m="1" x="3772"/>
        <item x="1748"/>
        <item x="2664"/>
        <item x="996"/>
        <item x="698"/>
        <item x="1968"/>
        <item m="1" x="6713"/>
        <item m="1" x="5275"/>
        <item x="624"/>
        <item m="1" x="6253"/>
        <item x="2722"/>
        <item x="1840"/>
        <item x="2978"/>
        <item x="1579"/>
        <item m="1" x="6804"/>
        <item x="2338"/>
        <item x="2113"/>
        <item x="1337"/>
        <item x="2390"/>
        <item m="1" x="5230"/>
        <item m="1" x="5689"/>
        <item x="1564"/>
        <item m="1" x="6658"/>
        <item m="1" x="6761"/>
        <item x="1766"/>
        <item m="1" x="5276"/>
        <item x="3358"/>
        <item x="2653"/>
        <item m="1" x="5277"/>
        <item m="1" x="5231"/>
        <item x="1516"/>
        <item m="1" x="6127"/>
        <item x="2216"/>
        <item x="1095"/>
        <item x="3462"/>
        <item m="1" x="5278"/>
        <item m="1" x="3791"/>
        <item m="1" x="7223"/>
        <item m="1" x="7216"/>
        <item m="1" x="7967"/>
        <item m="1" x="4646"/>
        <item m="1" x="7914"/>
        <item m="1" x="5786"/>
        <item x="1392"/>
        <item m="1" x="7995"/>
        <item m="1" x="7904"/>
        <item x="575"/>
        <item m="1" x="7816"/>
        <item x="1702"/>
        <item m="1" x="5320"/>
        <item x="3355"/>
        <item x="2510"/>
        <item x="2391"/>
        <item m="1" x="7710"/>
        <item x="1635"/>
        <item x="2128"/>
        <item m="1" x="5321"/>
        <item m="1" x="5691"/>
        <item m="1" x="7889"/>
        <item x="3226"/>
        <item x="3238"/>
        <item x="2449"/>
        <item x="708"/>
        <item x="406"/>
        <item m="1" x="4989"/>
        <item m="1" x="6727"/>
        <item x="2518"/>
        <item x="1580"/>
        <item x="2597"/>
        <item x="1581"/>
        <item m="1" x="6780"/>
        <item m="1" x="7774"/>
        <item m="1" x="4283"/>
        <item m="1" x="5279"/>
        <item x="631"/>
        <item m="1" x="5776"/>
        <item x="438"/>
        <item x="1517"/>
        <item x="576"/>
        <item m="1" x="4065"/>
        <item x="3014"/>
        <item m="1" x="6220"/>
        <item m="1" x="4066"/>
        <item x="1841"/>
        <item m="1" x="4328"/>
        <item x="1573"/>
        <item m="1" x="5204"/>
        <item m="1" x="4301"/>
        <item x="2936"/>
        <item x="1582"/>
        <item m="1" x="5909"/>
        <item x="1132"/>
        <item m="1" x="4975"/>
        <item x="3096"/>
        <item x="2724"/>
        <item m="1" x="4482"/>
        <item m="1" x="5205"/>
        <item m="1" x="6921"/>
        <item x="3062"/>
        <item m="1" x="6634"/>
        <item x="636"/>
        <item x="1963"/>
        <item m="1" x="7652"/>
        <item m="1" x="7981"/>
        <item x="2493"/>
        <item m="1" x="5663"/>
        <item m="1" x="6922"/>
        <item m="1" x="6166"/>
        <item x="1340"/>
        <item x="1341"/>
        <item x="714"/>
        <item x="2725"/>
        <item m="1" x="7887"/>
        <item x="1583"/>
        <item m="1" x="5232"/>
        <item x="1648"/>
        <item m="1" x="4432"/>
        <item m="1" x="6850"/>
        <item m="1" x="5721"/>
        <item x="202"/>
        <item x="1148"/>
        <item x="2654"/>
        <item m="1" x="3550"/>
        <item m="1" x="4064"/>
        <item x="623"/>
        <item x="3263"/>
        <item x="2396"/>
        <item x="1989"/>
        <item x="1661"/>
        <item m="1" x="3878"/>
        <item x="3069"/>
        <item x="264"/>
        <item x="2131"/>
        <item x="269"/>
        <item x="3300"/>
        <item m="1" x="4599"/>
        <item m="1" x="4311"/>
        <item m="1" x="6916"/>
        <item x="1643"/>
        <item x="2541"/>
        <item m="1" x="5722"/>
        <item m="1" x="5280"/>
        <item m="1" x="7997"/>
        <item m="1" x="5233"/>
        <item m="1" x="4177"/>
        <item m="1" x="7709"/>
        <item x="1850"/>
        <item x="2335"/>
        <item x="2499"/>
        <item x="3357"/>
        <item m="1" x="4810"/>
        <item m="1" x="7053"/>
        <item m="1" x="6686"/>
        <item m="1" x="3805"/>
        <item x="894"/>
        <item m="1" x="6913"/>
        <item x="2450"/>
        <item m="1" x="7479"/>
        <item x="2513"/>
        <item x="409"/>
        <item x="1301"/>
        <item m="1" x="6739"/>
        <item x="3385"/>
        <item x="1325"/>
        <item m="1" x="6747"/>
        <item x="1584"/>
        <item x="2665"/>
        <item m="1" x="5519"/>
        <item m="1" x="5281"/>
        <item m="1" x="7814"/>
        <item x="1936"/>
        <item m="1" x="7791"/>
        <item x="3184"/>
        <item x="2727"/>
        <item x="1585"/>
        <item m="1" x="5893"/>
        <item m="1" x="5894"/>
        <item x="705"/>
        <item m="1" x="7985"/>
        <item m="1" x="7916"/>
        <item x="2294"/>
        <item x="88"/>
        <item m="1" x="7878"/>
        <item x="2717"/>
        <item x="1991"/>
        <item x="2728"/>
        <item x="3223"/>
        <item x="3301"/>
        <item m="1" x="5589"/>
        <item m="1" x="3635"/>
        <item m="1" x="5234"/>
        <item m="1" x="5282"/>
        <item x="1660"/>
        <item m="1" x="7467"/>
        <item x="968"/>
        <item x="1938"/>
        <item m="1" x="7745"/>
        <item x="3310"/>
        <item x="3051"/>
        <item x="262"/>
        <item m="1" x="5283"/>
        <item x="2546"/>
        <item m="1" x="4320"/>
        <item x="2935"/>
        <item x="889"/>
        <item m="1" x="6924"/>
        <item m="1" x="5236"/>
        <item x="2599"/>
        <item m="1" x="4412"/>
        <item x="635"/>
        <item m="1" x="5662"/>
        <item m="1" x="3606"/>
        <item x="2839"/>
        <item m="1" x="4456"/>
        <item m="1" x="6764"/>
        <item x="3237"/>
        <item x="2301"/>
        <item m="1" x="5466"/>
        <item m="1" x="4713"/>
        <item m="1" x="6715"/>
        <item m="1" x="3544"/>
        <item m="1" x="7857"/>
        <item m="1" x="7940"/>
        <item x="610"/>
        <item m="1" x="4315"/>
        <item x="1326"/>
        <item x="3224"/>
        <item m="1" x="5284"/>
        <item x="1133"/>
        <item x="3098"/>
        <item m="1" x="5775"/>
        <item x="3060"/>
        <item m="1" x="6861"/>
        <item x="1686"/>
        <item m="1" x="7882"/>
        <item x="3013"/>
        <item x="2265"/>
        <item x="1201"/>
        <item x="1605"/>
        <item m="1" x="7451"/>
        <item x="675"/>
        <item x="3209"/>
        <item m="1" x="5237"/>
        <item m="1" x="5207"/>
        <item x="2594"/>
        <item x="1740"/>
        <item x="1435"/>
        <item x="2940"/>
        <item x="2293"/>
        <item m="1" x="7534"/>
        <item m="1" x="7225"/>
        <item m="1" x="7746"/>
        <item x="1523"/>
        <item x="1586"/>
        <item m="1" x="4323"/>
        <item m="1" x="7452"/>
        <item m="1" x="4192"/>
        <item x="2938"/>
        <item m="1" x="3542"/>
        <item m="1" x="5490"/>
        <item m="1" x="7488"/>
        <item x="3466"/>
        <item x="1903"/>
        <item m="1" x="7209"/>
        <item m="1" x="6635"/>
        <item x="326"/>
        <item x="1104"/>
        <item x="2104"/>
        <item x="1707"/>
        <item m="1" x="7711"/>
        <item x="2451"/>
        <item m="1" x="5976"/>
        <item x="2934"/>
        <item m="1" x="4961"/>
        <item x="1103"/>
        <item x="627"/>
        <item x="1342"/>
        <item x="706"/>
        <item x="3008"/>
        <item m="1" x="6818"/>
        <item m="1" x="3532"/>
        <item x="2400"/>
        <item m="1" x="6792"/>
        <item m="1" x="4658"/>
        <item m="1" x="7117"/>
        <item x="1754"/>
        <item x="1656"/>
        <item m="1" x="4715"/>
        <item m="1" x="4711"/>
        <item m="1" x="5285"/>
        <item m="1" x="4679"/>
        <item x="2902"/>
        <item m="1" x="7180"/>
        <item x="1687"/>
        <item x="1134"/>
        <item x="2241"/>
        <item x="1910"/>
        <item x="549"/>
        <item m="1" x="5057"/>
        <item m="1" x="4985"/>
        <item m="1" x="7447"/>
        <item m="1" x="5661"/>
        <item m="1" x="3883"/>
        <item x="2506"/>
        <item x="2729"/>
        <item x="1343"/>
        <item x="3245"/>
        <item m="1" x="7793"/>
        <item x="2401"/>
        <item x="2496"/>
        <item m="1" x="5724"/>
        <item x="3242"/>
        <item x="2913"/>
        <item x="2129"/>
        <item m="1" x="7915"/>
        <item m="1" x="6587"/>
        <item x="1587"/>
        <item m="1" x="3815"/>
        <item m="1" x="3551"/>
        <item x="2402"/>
        <item x="2730"/>
        <item m="1" x="6940"/>
        <item m="1" x="3831"/>
        <item m="1" x="3844"/>
        <item x="3230"/>
        <item m="1" x="6966"/>
        <item m="1" x="5488"/>
        <item x="1875"/>
        <item x="2679"/>
        <item m="1" x="7540"/>
        <item m="1" x="5858"/>
        <item m="1" x="7408"/>
        <item m="1" x="6268"/>
        <item m="1" x="7689"/>
        <item m="1" x="7917"/>
        <item m="1" x="7998"/>
        <item x="285"/>
        <item x="2404"/>
        <item x="1089"/>
        <item m="1" x="7582"/>
        <item x="266"/>
        <item x="2503"/>
        <item m="1" x="5208"/>
        <item m="1" x="5322"/>
        <item m="1" x="5784"/>
        <item m="1" x="3845"/>
        <item x="2643"/>
        <item m="1" x="5286"/>
        <item m="1" x="7798"/>
        <item m="1" x="6591"/>
        <item m="1" x="6109"/>
        <item x="2576"/>
        <item m="1" x="6816"/>
        <item m="1" x="7543"/>
        <item m="1" x="5062"/>
        <item x="415"/>
        <item m="1" x="5338"/>
        <item x="3047"/>
        <item x="2954"/>
        <item x="1689"/>
        <item x="622"/>
        <item x="417"/>
        <item x="1645"/>
        <item m="1" x="7843"/>
        <item x="1876"/>
        <item m="1" x="6289"/>
        <item m="1" x="6129"/>
        <item m="1" x="6296"/>
        <item m="1" x="4760"/>
        <item m="1" x="5994"/>
        <item x="613"/>
        <item m="1" x="7217"/>
        <item x="3461"/>
        <item m="1" x="4072"/>
        <item m="1" x="6740"/>
        <item x="90"/>
        <item x="821"/>
        <item m="1" x="5065"/>
        <item m="1" x="4407"/>
        <item x="2950"/>
        <item m="1" x="3538"/>
        <item x="2501"/>
        <item x="1954"/>
        <item m="1" x="6617"/>
        <item m="1" x="7503"/>
        <item x="1571"/>
        <item m="1" x="5238"/>
        <item x="1662"/>
        <item x="2968"/>
        <item m="1" x="3589"/>
        <item m="1" x="3692"/>
        <item x="887"/>
        <item m="1" x="7159"/>
        <item x="1882"/>
        <item m="1" x="7987"/>
        <item x="1710"/>
        <item x="2406"/>
        <item x="1525"/>
        <item m="1" x="7210"/>
        <item x="2830"/>
        <item x="2105"/>
        <item x="581"/>
        <item m="1" x="7951"/>
        <item m="1" x="4411"/>
        <item x="2296"/>
        <item x="1386"/>
        <item m="1" x="4421"/>
        <item m="1" x="6821"/>
        <item m="1" x="5071"/>
        <item x="2500"/>
        <item x="1747"/>
        <item x="31"/>
        <item x="2542"/>
        <item x="2603"/>
        <item m="1" x="5287"/>
        <item x="1992"/>
        <item x="3100"/>
        <item m="1" x="3842"/>
        <item m="1" x="7635"/>
        <item m="1" x="7663"/>
        <item m="1" x="7980"/>
        <item m="1" x="4425"/>
        <item x="1100"/>
        <item m="1" x="5288"/>
        <item m="1" x="5897"/>
        <item m="1" x="5497"/>
        <item m="1" x="7804"/>
        <item m="1" x="5240"/>
        <item m="1" x="5289"/>
        <item m="1" x="5692"/>
        <item m="1" x="5290"/>
        <item x="1297"/>
        <item x="1348"/>
        <item x="3454"/>
        <item m="1" x="5241"/>
        <item x="2637"/>
        <item x="265"/>
        <item m="1" x="3880"/>
        <item m="1" x="5430"/>
        <item m="1" x="3664"/>
        <item x="2905"/>
        <item x="727"/>
        <item x="2033"/>
        <item x="891"/>
        <item x="2634"/>
        <item m="1" x="5323"/>
        <item x="2247"/>
        <item m="1" x="4424"/>
        <item x="1655"/>
        <item m="1" x="5049"/>
        <item m="1" x="6317"/>
        <item x="2306"/>
        <item m="1" x="4240"/>
        <item m="1" x="6781"/>
        <item m="1" x="4571"/>
        <item m="1" x="5210"/>
        <item x="2111"/>
        <item x="1387"/>
        <item x="3027"/>
        <item m="1" x="5242"/>
        <item m="1" x="5291"/>
        <item m="1" x="4302"/>
        <item x="1777"/>
        <item m="1" x="4487"/>
        <item m="1" x="7218"/>
        <item x="1349"/>
        <item x="1994"/>
        <item x="1568"/>
        <item m="1" x="5660"/>
        <item x="786"/>
        <item x="3243"/>
        <item m="1" x="4712"/>
        <item m="1" x="4423"/>
        <item m="1" x="7185"/>
        <item x="2117"/>
        <item x="3075"/>
        <item x="892"/>
        <item x="3101"/>
        <item m="1" x="6706"/>
        <item x="1915"/>
        <item m="1" x="6305"/>
        <item m="1" x="5598"/>
        <item x="273"/>
        <item x="485"/>
        <item x="1778"/>
        <item x="1741"/>
        <item x="1529"/>
        <item m="1" x="5066"/>
        <item m="1" x="6660"/>
        <item m="1" x="6190"/>
        <item x="2618"/>
        <item m="1" x="4408"/>
        <item m="1" x="5324"/>
        <item m="1" x="4234"/>
        <item m="1" x="5078"/>
        <item m="1" x="7758"/>
        <item m="1" x="5479"/>
        <item x="1106"/>
        <item m="1" x="7477"/>
        <item x="1647"/>
        <item x="2482"/>
        <item x="584"/>
        <item x="3484"/>
        <item m="1" x="4431"/>
        <item x="3222"/>
        <item m="1" x="6993"/>
        <item m="1" x="6553"/>
        <item x="3234"/>
        <item x="2514"/>
        <item x="2706"/>
        <item m="1" x="3677"/>
        <item m="1" x="5836"/>
        <item x="2914"/>
        <item m="1" x="5910"/>
        <item x="826"/>
        <item x="1904"/>
        <item m="1" x="5773"/>
        <item x="286"/>
        <item x="625"/>
        <item x="168"/>
        <item x="1098"/>
        <item m="1" x="5485"/>
        <item m="1" x="7809"/>
        <item m="1" x="5243"/>
        <item m="1" x="6468"/>
        <item x="822"/>
        <item m="1" x="5244"/>
        <item x="2953"/>
        <item x="527"/>
        <item m="1" x="5783"/>
        <item m="1" x="4662"/>
        <item m="1" x="3881"/>
        <item x="1096"/>
        <item x="2225"/>
        <item m="1" x="6726"/>
        <item m="1" x="7770"/>
        <item x="617"/>
        <item x="2498"/>
        <item x="2314"/>
        <item m="1" x="5916"/>
        <item m="1" x="6980"/>
        <item m="1" x="4406"/>
        <item x="1303"/>
        <item x="2947"/>
        <item x="2484"/>
        <item x="3042"/>
        <item m="1" x="4310"/>
        <item x="1652"/>
        <item x="1135"/>
        <item m="1" x="6385"/>
        <item x="1845"/>
        <item m="1" x="5471"/>
        <item x="259"/>
        <item x="2647"/>
        <item x="3023"/>
        <item x="918"/>
        <item m="1" x="6142"/>
        <item m="1" x="6971"/>
        <item m="1" x="6970"/>
        <item m="1" x="7231"/>
        <item m="1" x="6840"/>
        <item x="1785"/>
        <item m="1" x="6011"/>
        <item x="2115"/>
        <item x="164"/>
        <item x="486"/>
        <item x="3366"/>
        <item m="1" x="4600"/>
        <item x="1927"/>
        <item x="2585"/>
        <item m="1" x="5339"/>
        <item m="1" x="7080"/>
        <item m="1" x="7950"/>
        <item m="1" x="5641"/>
        <item m="1" x="5782"/>
        <item m="1" x="7481"/>
        <item m="1" x="7507"/>
        <item m="1" x="5292"/>
        <item m="1" x="3693"/>
        <item m="1" x="6820"/>
        <item m="1" x="5070"/>
        <item x="2677"/>
        <item x="702"/>
        <item x="1273"/>
        <item m="1" x="4339"/>
        <item x="362"/>
        <item x="423"/>
        <item m="1" x="3636"/>
        <item m="1" x="4488"/>
        <item x="1248"/>
        <item x="1102"/>
        <item m="1" x="5865"/>
        <item x="3185"/>
        <item x="2733"/>
        <item x="2931"/>
        <item x="2515"/>
        <item x="2734"/>
        <item m="1" x="7589"/>
        <item x="1186"/>
        <item m="1" x="7016"/>
        <item x="1476"/>
        <item m="1" x="3843"/>
        <item m="1" x="7190"/>
        <item x="445"/>
        <item x="1998"/>
        <item x="1979"/>
        <item m="1" x="4250"/>
        <item x="3376"/>
        <item m="1" x="4455"/>
        <item m="1" x="7092"/>
        <item m="1" x="7874"/>
        <item m="1" x="4460"/>
        <item x="2302"/>
        <item x="995"/>
        <item x="3072"/>
        <item x="735"/>
        <item x="2240"/>
        <item m="1" x="6700"/>
        <item x="2315"/>
        <item m="1" x="3568"/>
        <item m="1" x="3607"/>
        <item x="1101"/>
        <item m="1" x="7569"/>
        <item m="1" x="5245"/>
        <item m="1" x="4664"/>
        <item x="1533"/>
        <item m="1" x="7805"/>
        <item x="3024"/>
        <item x="2735"/>
        <item m="1" x="6196"/>
        <item x="722"/>
        <item m="1" x="7954"/>
        <item m="1" x="5293"/>
        <item m="1" x="5435"/>
        <item x="3085"/>
        <item x="1087"/>
        <item x="1226"/>
        <item x="3172"/>
        <item x="287"/>
        <item m="1" x="4349"/>
        <item x="1916"/>
        <item m="1" x="7803"/>
        <item x="1688"/>
        <item x="199"/>
        <item x="479"/>
        <item m="1" x="4749"/>
        <item m="1" x="7228"/>
        <item x="2120"/>
        <item m="1" x="7817"/>
        <item x="3362"/>
        <item m="1" x="7818"/>
        <item x="721"/>
        <item m="1" x="6863"/>
        <item x="2596"/>
        <item x="1351"/>
        <item m="1" x="3754"/>
        <item m="1" x="7182"/>
        <item x="3302"/>
        <item x="2446"/>
        <item m="1" x="6626"/>
        <item x="1737"/>
        <item x="45"/>
        <item x="897"/>
        <item m="1" x="6010"/>
        <item x="3026"/>
        <item x="896"/>
        <item m="1" x="5659"/>
        <item x="91"/>
        <item m="1" x="7825"/>
        <item x="717"/>
        <item x="710"/>
        <item m="1" x="5026"/>
        <item x="1906"/>
        <item m="1" x="7045"/>
        <item m="1" x="6702"/>
        <item x="1832"/>
        <item x="167"/>
        <item x="1828"/>
        <item x="2633"/>
        <item m="1" x="7317"/>
        <item x="2638"/>
        <item m="1" x="7810"/>
        <item m="1" x="4673"/>
        <item m="1" x="4798"/>
        <item x="2495"/>
        <item x="3063"/>
        <item m="1" x="4316"/>
        <item x="718"/>
        <item x="2560"/>
        <item x="1589"/>
        <item m="1" x="6799"/>
        <item x="1397"/>
        <item x="2512"/>
        <item m="1" x="5294"/>
        <item m="1" x="7941"/>
        <item m="1" x="6728"/>
        <item x="731"/>
        <item m="1" x="6842"/>
        <item m="1" x="5247"/>
        <item m="1" x="5096"/>
        <item x="442"/>
        <item x="2505"/>
        <item m="1" x="5295"/>
        <item x="2834"/>
        <item m="1" x="3694"/>
        <item m="1" x="5568"/>
        <item m="1" x="7211"/>
        <item x="1330"/>
        <item x="2000"/>
        <item m="1" x="7112"/>
        <item x="587"/>
        <item m="1" x="6704"/>
        <item x="1738"/>
        <item x="975"/>
        <item x="3070"/>
        <item m="1" x="5900"/>
        <item x="1395"/>
        <item m="1" x="5248"/>
        <item m="1" x="7994"/>
        <item m="1" x="7955"/>
        <item m="1" x="6197"/>
        <item m="1" x="3549"/>
        <item x="955"/>
        <item m="1" x="5200"/>
        <item m="1" x="6434"/>
        <item x="1658"/>
        <item m="1" x="7229"/>
        <item m="1" x="4639"/>
        <item m="1" x="7796"/>
        <item x="2990"/>
        <item m="1" x="6373"/>
        <item x="928"/>
        <item m="1" x="4327"/>
        <item m="1" x="6261"/>
        <item x="3025"/>
        <item x="2736"/>
        <item x="1851"/>
        <item x="1416"/>
        <item m="1" x="6701"/>
        <item m="1" x="7983"/>
        <item m="1" x="6292"/>
        <item m="1" x="4317"/>
        <item m="1" x="6733"/>
        <item x="1083"/>
        <item x="3173"/>
        <item m="1" x="4366"/>
        <item x="1943"/>
        <item m="1" x="5881"/>
        <item x="3021"/>
        <item m="1" x="4427"/>
        <item m="1" x="4242"/>
        <item m="1" x="6893"/>
        <item m="1" x="5781"/>
        <item x="1535"/>
        <item x="260"/>
        <item m="1" x="4524"/>
        <item x="956"/>
        <item x="3229"/>
        <item x="2636"/>
        <item x="154"/>
        <item m="1" x="5640"/>
        <item x="634"/>
        <item m="1" x="4515"/>
        <item x="734"/>
        <item x="1084"/>
        <item x="2417"/>
        <item m="1" x="7065"/>
        <item x="3367"/>
        <item x="3348"/>
        <item x="843"/>
        <item x="3065"/>
        <item m="1" x="5780"/>
        <item x="845"/>
        <item m="1" x="6710"/>
        <item m="1" x="7469"/>
        <item x="2108"/>
        <item m="1" x="4130"/>
        <item m="1" x="6135"/>
        <item m="1" x="5639"/>
        <item x="2419"/>
        <item m="1" x="6255"/>
        <item m="1" x="5325"/>
        <item x="2737"/>
        <item x="74"/>
        <item x="716"/>
        <item m="1" x="6590"/>
        <item m="1" x="7899"/>
        <item x="455"/>
        <item x="629"/>
        <item x="620"/>
        <item x="2047"/>
        <item x="2504"/>
        <item m="1" x="6016"/>
        <item x="2738"/>
        <item x="1228"/>
        <item m="1" x="6015"/>
        <item m="1" x="6811"/>
        <item x="2840"/>
        <item m="1" x="7033"/>
        <item x="2487"/>
        <item x="804"/>
        <item x="2739"/>
        <item m="1" x="7516"/>
        <item x="2740"/>
        <item x="2423"/>
        <item m="1" x="5901"/>
        <item m="1" x="3553"/>
        <item x="3304"/>
        <item x="3030"/>
        <item m="1" x="6975"/>
        <item m="1" x="6297"/>
        <item x="531"/>
        <item x="2577"/>
        <item x="3104"/>
        <item m="1" x="7700"/>
        <item m="1" x="5657"/>
        <item m="1" x="6254"/>
        <item x="2543"/>
        <item m="1" x="4193"/>
        <item m="1" x="5297"/>
        <item x="1878"/>
        <item x="2103"/>
        <item m="1" x="7906"/>
        <item m="1" x="5020"/>
        <item m="1" x="5250"/>
        <item m="1" x="4538"/>
        <item x="3356"/>
        <item m="1" x="5863"/>
        <item x="2741"/>
        <item m="1" x="6859"/>
        <item x="2586"/>
        <item x="1097"/>
        <item x="664"/>
        <item x="2112"/>
        <item x="2991"/>
        <item x="2004"/>
        <item x="2046"/>
        <item m="1" x="4977"/>
        <item m="1" x="7832"/>
        <item m="1" x="5212"/>
        <item m="1" x="5213"/>
        <item x="1396"/>
        <item x="874"/>
        <item m="1" x="3816"/>
        <item m="1" x="7612"/>
        <item x="1659"/>
        <item x="1143"/>
        <item x="1945"/>
        <item m="1" x="7623"/>
        <item m="1" x="4892"/>
        <item m="1" x="4417"/>
        <item m="1" x="4717"/>
        <item x="1657"/>
        <item x="1357"/>
        <item m="1" x="7037"/>
        <item m="1" x="5935"/>
        <item m="1" x="5486"/>
        <item x="1016"/>
        <item x="3045"/>
        <item m="1" x="6415"/>
        <item m="1" x="7849"/>
        <item m="1" x="6110"/>
        <item x="416"/>
        <item m="1" x="6705"/>
        <item x="1590"/>
        <item m="1" x="6285"/>
        <item m="1" x="7643"/>
        <item m="1" x="6662"/>
        <item x="1947"/>
        <item m="1" x="5298"/>
        <item m="1" x="7875"/>
        <item m="1" x="4812"/>
        <item m="1" x="3810"/>
        <item m="1" x="4643"/>
        <item m="1" x="7618"/>
        <item m="1" x="7445"/>
        <item m="1" x="7535"/>
        <item m="1" x="7969"/>
        <item m="1" x="5340"/>
        <item m="1" x="7576"/>
        <item x="1358"/>
        <item m="1" x="5300"/>
        <item m="1" x="7754"/>
        <item x="1948"/>
        <item x="1957"/>
        <item m="1" x="4578"/>
        <item m="1" x="5725"/>
        <item m="1" x="6960"/>
        <item m="1" x="4802"/>
        <item m="1" x="7898"/>
        <item m="1" x="4484"/>
        <item m="1" x="7668"/>
        <item x="1398"/>
        <item m="1" x="4828"/>
        <item x="1839"/>
        <item x="480"/>
        <item m="1" x="7379"/>
        <item m="1" x="4593"/>
        <item m="1" x="7633"/>
        <item x="1815"/>
        <item m="1" x="6746"/>
        <item x="1921"/>
        <item x="1136"/>
        <item m="1" x="3529"/>
        <item m="1" x="5252"/>
        <item x="2426"/>
        <item x="2743"/>
        <item x="3232"/>
        <item m="1" x="7449"/>
        <item m="1" x="6258"/>
        <item m="1" x="6079"/>
        <item m="1" x="4416"/>
        <item m="1" x="6293"/>
        <item x="1407"/>
        <item m="1" x="5253"/>
        <item x="1144"/>
        <item x="2933"/>
        <item x="270"/>
        <item x="2744"/>
        <item m="1" x="7896"/>
        <item x="3022"/>
        <item m="1" x="6663"/>
        <item x="1331"/>
        <item m="1" x="6319"/>
        <item x="841"/>
        <item m="1" x="7090"/>
        <item m="1" x="6895"/>
        <item x="1305"/>
        <item x="2684"/>
        <item m="1" x="5427"/>
        <item m="1" x="6593"/>
        <item x="3254"/>
        <item m="1" x="6423"/>
        <item m="1" x="6777"/>
        <item m="1" x="7748"/>
        <item m="1" x="7970"/>
        <item m="1" x="6946"/>
        <item x="424"/>
        <item m="1" x="6926"/>
        <item x="1140"/>
        <item m="1" x="4418"/>
        <item x="1408"/>
        <item x="1361"/>
        <item m="1" x="7883"/>
        <item m="1" x="7212"/>
        <item m="1" x="5255"/>
        <item m="1" x="7017"/>
        <item m="1" x="7971"/>
        <item x="1776"/>
        <item m="1" x="6698"/>
        <item x="2427"/>
        <item m="1" x="5256"/>
        <item m="1" x="6803"/>
        <item m="1" x="5257"/>
        <item m="1" x="6649"/>
        <item x="1363"/>
        <item m="1" x="6105"/>
        <item m="1" x="7120"/>
        <item m="1" x="6843"/>
        <item m="1" x="6742"/>
        <item m="1" x="4402"/>
        <item m="1" x="4605"/>
        <item x="929"/>
        <item m="1" x="7220"/>
        <item m="1" x="5628"/>
        <item m="1" x="5302"/>
        <item m="1" x="5988"/>
        <item x="2299"/>
        <item x="2316"/>
        <item x="1691"/>
        <item x="1692"/>
        <item x="2007"/>
        <item x="2277"/>
        <item m="1" x="6888"/>
        <item m="1" x="4422"/>
        <item x="1093"/>
        <item m="1" x="5857"/>
        <item x="2008"/>
        <item x="2430"/>
        <item x="2327"/>
        <item x="593"/>
        <item m="1" x="6927"/>
        <item x="1389"/>
        <item x="842"/>
        <item m="1" x="7681"/>
        <item x="1745"/>
        <item x="446"/>
        <item m="1" x="5327"/>
        <item x="1720"/>
        <item x="709"/>
        <item m="1" x="6753"/>
        <item x="1569"/>
        <item x="2507"/>
        <item m="1" x="5654"/>
        <item m="1" x="5259"/>
        <item x="3340"/>
        <item x="3341"/>
        <item x="3347"/>
        <item x="2489"/>
        <item x="732"/>
        <item x="194"/>
        <item x="703"/>
        <item m="1" x="4945"/>
        <item x="2919"/>
        <item x="1950"/>
        <item x="2932"/>
        <item x="2519"/>
        <item m="1" x="6738"/>
        <item m="1" x="5653"/>
        <item m="1" x="7863"/>
        <item m="1" x="6928"/>
        <item x="1541"/>
        <item m="1" x="5860"/>
        <item m="1" x="3882"/>
        <item m="1" x="7797"/>
        <item m="1" x="4190"/>
        <item x="2494"/>
        <item m="1" x="7478"/>
        <item m="1" x="6276"/>
        <item x="2509"/>
        <item m="1" x="4486"/>
        <item m="1" x="4239"/>
        <item x="3345"/>
        <item x="1367"/>
        <item x="2110"/>
        <item x="3225"/>
        <item m="1" x="6857"/>
        <item m="1" x="4428"/>
        <item x="2278"/>
        <item x="1112"/>
        <item x="1114"/>
        <item m="1" x="7446"/>
        <item m="1" x="6978"/>
        <item m="1" x="7509"/>
        <item m="1" x="6968"/>
        <item x="1109"/>
        <item m="1" x="7982"/>
        <item x="443"/>
        <item x="1137"/>
        <item x="2746"/>
        <item x="2491"/>
        <item x="1646"/>
        <item m="1" x="5482"/>
        <item x="1773"/>
        <item x="2109"/>
        <item x="3369"/>
        <item x="439"/>
        <item x="405"/>
        <item m="1" x="4902"/>
        <item x="639"/>
        <item x="2600"/>
        <item x="831"/>
        <item x="1591"/>
        <item x="2748"/>
        <item m="1" x="5303"/>
        <item x="1099"/>
        <item x="3090"/>
        <item m="1" x="4457"/>
        <item m="1" x="4235"/>
        <item m="1" x="7815"/>
        <item x="1543"/>
        <item x="3308"/>
        <item m="1" x="4243"/>
        <item x="1969"/>
        <item x="1306"/>
        <item m="1" x="4513"/>
        <item m="1" x="7771"/>
        <item x="2305"/>
        <item m="1" x="7537"/>
        <item x="3105"/>
        <item x="3106"/>
        <item m="1" x="5652"/>
        <item x="1561"/>
        <item x="1565"/>
        <item x="263"/>
        <item x="2492"/>
        <item x="844"/>
        <item m="1" x="7913"/>
        <item x="2751"/>
        <item x="2434"/>
        <item x="1786"/>
        <item x="457"/>
        <item m="1" x="6874"/>
        <item m="1" x="3554"/>
        <item x="2511"/>
        <item m="1" x="4716"/>
        <item m="1" x="4759"/>
        <item x="1651"/>
        <item x="2249"/>
        <item x="288"/>
        <item m="1" x="6078"/>
        <item m="1" x="3817"/>
        <item m="1" x="7687"/>
        <item m="1" x="3609"/>
        <item x="1572"/>
        <item m="1" x="5260"/>
        <item m="1" x="5261"/>
        <item m="1" x="5262"/>
        <item m="1" x="4829"/>
        <item m="1" x="6052"/>
        <item m="1" x="5304"/>
        <item m="1" x="4420"/>
        <item m="1" x="7822"/>
        <item x="969"/>
        <item m="1" x="6516"/>
        <item x="1912"/>
        <item x="2291"/>
        <item x="391"/>
        <item x="2516"/>
        <item m="1" x="5305"/>
        <item m="1" x="5306"/>
        <item x="3011"/>
        <item m="1" x="7864"/>
        <item x="1105"/>
        <item m="1" x="6664"/>
        <item x="1502"/>
        <item m="1" x="7036"/>
        <item m="1" x="4520"/>
        <item m="1" x="5650"/>
        <item m="1" x="5778"/>
        <item m="1" x="5648"/>
        <item x="2521"/>
        <item x="2674"/>
        <item m="1" x="4604"/>
        <item m="1" x="3755"/>
        <item x="1563"/>
        <item x="3084"/>
        <item m="1" x="3555"/>
        <item x="1640"/>
        <item m="1" x="4321"/>
        <item m="1" x="5647"/>
        <item m="1" x="4245"/>
        <item m="1" x="6935"/>
        <item m="1" x="5201"/>
        <item m="1" x="6884"/>
        <item x="2583"/>
        <item x="3361"/>
        <item x="1749"/>
        <item m="1" x="5031"/>
        <item x="2752"/>
        <item x="599"/>
        <item m="1" x="5903"/>
        <item m="1" x="4477"/>
        <item x="463"/>
        <item x="2321"/>
        <item m="1" x="6732"/>
        <item m="1" x="7034"/>
        <item x="2010"/>
        <item x="632"/>
        <item m="1" x="6911"/>
        <item m="1" x="5904"/>
        <item x="1981"/>
        <item x="2676"/>
        <item m="1" x="5728"/>
        <item x="1138"/>
        <item x="2595"/>
        <item m="1" x="6976"/>
        <item x="3306"/>
        <item x="3244"/>
        <item m="1" x="6518"/>
        <item x="6"/>
        <item x="601"/>
        <item m="1" x="3541"/>
        <item m="1" x="3830"/>
        <item m="1" x="5263"/>
        <item x="481"/>
        <item m="1" x="7876"/>
        <item m="1" x="7448"/>
        <item m="1" x="7664"/>
        <item x="2012"/>
        <item m="1" x="6051"/>
        <item x="2948"/>
        <item x="1744"/>
        <item x="3343"/>
        <item m="1" x="5264"/>
        <item x="2121"/>
        <item x="1316"/>
        <item x="2028"/>
        <item m="1" x="3650"/>
        <item m="1" x="5265"/>
        <item m="1" x="5214"/>
        <item m="1" x="5329"/>
        <item m="1" x="6427"/>
        <item x="2753"/>
        <item m="1" x="6869"/>
        <item m="1" x="7885"/>
        <item m="1" x="6525"/>
        <item x="3017"/>
        <item m="1" x="5645"/>
        <item m="1" x="5837"/>
        <item x="2548"/>
        <item m="1" x="6731"/>
        <item m="1" x="6318"/>
        <item m="1" x="7858"/>
        <item m="1" x="5266"/>
        <item m="1" x="6860"/>
        <item m="1" x="5267"/>
        <item x="630"/>
        <item m="1" x="4480"/>
        <item m="1" x="7988"/>
        <item x="2508"/>
        <item x="2280"/>
        <item m="1" x="6691"/>
        <item x="2281"/>
        <item m="1" x="6766"/>
        <item m="1" x="6743"/>
        <item m="1" x="7095"/>
        <item m="1" x="5805"/>
        <item x="282"/>
        <item m="1" x="3543"/>
        <item x="626"/>
        <item m="1" x="5268"/>
        <item x="637"/>
        <item m="1" x="5331"/>
        <item m="1" x="6306"/>
        <item x="1722"/>
        <item x="1390"/>
        <item x="1371"/>
        <item m="1" x="4324"/>
        <item x="3228"/>
        <item x="430"/>
        <item m="1" x="5014"/>
        <item x="46"/>
        <item x="707"/>
        <item x="815"/>
        <item x="2014"/>
        <item m="1" x="4304"/>
        <item x="1142"/>
        <item m="1" x="6973"/>
        <item x="1562"/>
        <item m="1" x="6947"/>
        <item m="1" x="7511"/>
        <item m="1" x="4483"/>
        <item x="726"/>
        <item m="1" x="7826"/>
        <item x="1279"/>
        <item m="1" x="4506"/>
        <item m="1" x="7827"/>
        <item m="1" x="5082"/>
        <item m="1" x="6189"/>
        <item x="606"/>
        <item m="1" x="7091"/>
        <item m="1" x="6750"/>
        <item x="3409"/>
        <item m="1" x="6304"/>
        <item x="2584"/>
        <item m="1" x="3832"/>
        <item x="2755"/>
        <item x="1734"/>
        <item m="1" x="7707"/>
        <item m="1" x="5483"/>
        <item x="2118"/>
        <item x="2317"/>
        <item m="1" x="6141"/>
        <item x="2833"/>
        <item x="2992"/>
        <item m="1" x="4489"/>
        <item x="1432"/>
        <item m="1" x="3665"/>
        <item m="1" x="5215"/>
        <item m="1" x="5927"/>
        <item x="1429"/>
        <item x="1742"/>
        <item x="1855"/>
        <item x="1856"/>
        <item x="1743"/>
        <item m="1" x="4194"/>
        <item x="3406"/>
        <item m="1" x="5307"/>
        <item x="2921"/>
        <item x="2367"/>
        <item x="1964"/>
        <item x="2678"/>
        <item m="1" x="7989"/>
        <item x="2437"/>
        <item m="1" x="6426"/>
        <item m="1" x="6272"/>
        <item m="1" x="4495"/>
        <item x="1649"/>
        <item m="1" x="7866"/>
        <item m="1" x="5308"/>
        <item m="1" x="6665"/>
        <item m="1" x="7739"/>
        <item m="1" x="4360"/>
        <item m="1" x="4767"/>
        <item x="1372"/>
        <item m="1" x="4279"/>
        <item m="1" x="4312"/>
        <item m="1" x="4231"/>
        <item m="1" x="6707"/>
        <item x="1410"/>
        <item m="1" x="6782"/>
        <item x="71"/>
        <item x="957"/>
        <item m="1" x="5637"/>
        <item x="3329"/>
        <item m="1" x="6871"/>
        <item x="458"/>
        <item m="1" x="6929"/>
        <item m="1" x="5341"/>
        <item x="3231"/>
        <item x="1086"/>
        <item m="1" x="5477"/>
        <item m="1" x="7879"/>
        <item m="1" x="7456"/>
        <item m="1" x="7859"/>
        <item m="1" x="6628"/>
        <item x="728"/>
        <item m="1" x="6714"/>
        <item m="1" x="5067"/>
        <item x="3285"/>
        <item x="3050"/>
        <item x="827"/>
        <item m="1" x="5571"/>
        <item x="2017"/>
        <item x="1094"/>
        <item x="2941"/>
        <item x="2303"/>
        <item x="3235"/>
        <item m="1" x="5270"/>
        <item m="1" x="7845"/>
        <item x="523"/>
        <item x="846"/>
        <item m="1" x="4195"/>
        <item m="1" x="5166"/>
        <item m="1" x="7934"/>
        <item m="1" x="4523"/>
        <item x="2214"/>
        <item m="1" x="6808"/>
        <item m="1" x="4230"/>
        <item m="1" x="6741"/>
        <item m="1" x="3711"/>
        <item m="1" x="5622"/>
        <item x="444"/>
        <item m="1" x="4888"/>
        <item m="1" x="4818"/>
        <item x="1958"/>
        <item x="1775"/>
        <item x="2106"/>
        <item x="89"/>
        <item x="1092"/>
        <item m="1" x="6933"/>
        <item x="2018"/>
        <item x="440"/>
        <item x="1653"/>
        <item x="2598"/>
        <item x="3303"/>
        <item m="1" x="5309"/>
        <item m="1" x="7844"/>
        <item x="1650"/>
        <item x="2283"/>
        <item m="1" x="6783"/>
        <item m="1" x="6889"/>
        <item x="2939"/>
        <item x="2019"/>
        <item x="723"/>
        <item x="2122"/>
        <item x="3330"/>
        <item m="1" x="4415"/>
        <item x="976"/>
        <item m="1" x="7483"/>
        <item m="1" x="7958"/>
        <item x="1736"/>
        <item x="2488"/>
        <item m="1" x="4478"/>
        <item m="1" x="4419"/>
        <item x="3227"/>
        <item x="1091"/>
        <item m="1" x="5342"/>
        <item m="1" x="4219"/>
        <item x="1110"/>
        <item x="612"/>
        <item m="1" x="7850"/>
        <item x="817"/>
        <item x="3457"/>
        <item x="289"/>
        <item x="2549"/>
        <item m="1" x="7670"/>
        <item x="712"/>
        <item m="1" x="5636"/>
        <item x="3331"/>
        <item m="1" x="4326"/>
        <item m="1" x="6962"/>
        <item x="628"/>
        <item x="355"/>
        <item m="1" x="5310"/>
        <item m="1" x="6800"/>
        <item x="919"/>
        <item x="3029"/>
        <item m="1" x="6930"/>
        <item x="1088"/>
        <item x="1725"/>
        <item m="1" x="7931"/>
        <item x="2497"/>
        <item x="1726"/>
        <item x="818"/>
        <item m="1" x="7820"/>
        <item m="1" x="5219"/>
        <item m="1" x="6494"/>
        <item x="729"/>
        <item m="1" x="6886"/>
        <item m="1" x="6708"/>
        <item m="1" x="5220"/>
        <item m="1" x="5312"/>
        <item m="1" x="5221"/>
        <item m="1" x="4608"/>
        <item x="3056"/>
        <item m="1" x="3610"/>
        <item m="1" x="5313"/>
        <item m="1" x="3563"/>
        <item m="1" x="3797"/>
        <item x="849"/>
        <item x="2123"/>
        <item m="1" x="5222"/>
        <item x="3028"/>
        <item x="2923"/>
        <item x="2924"/>
        <item x="3351"/>
        <item m="1" x="3666"/>
        <item x="2757"/>
        <item m="1" x="4305"/>
        <item m="1" x="7400"/>
        <item m="1" x="7679"/>
        <item m="1" x="7624"/>
        <item m="1" x="5223"/>
        <item x="1693"/>
        <item x="3445"/>
        <item m="1" x="6724"/>
        <item m="1" x="4300"/>
        <item x="1694"/>
        <item x="3346"/>
        <item x="1020"/>
        <item x="290"/>
        <item x="2957"/>
        <item m="1" x="4319"/>
        <item m="1" x="5601"/>
        <item x="49"/>
        <item x="2332"/>
        <item m="1" x="6625"/>
        <item x="1753"/>
        <item x="3333"/>
        <item x="713"/>
        <item x="1021"/>
        <item x="1554"/>
        <item m="1" x="7953"/>
        <item m="1" x="7441"/>
        <item x="3236"/>
        <item x="2926"/>
        <item m="1" x="5475"/>
        <item m="1" x="7787"/>
        <item x="3110"/>
        <item x="3334"/>
        <item m="1" x="5634"/>
        <item m="1" x="7703"/>
        <item m="1" x="6737"/>
        <item m="1" x="5977"/>
        <item m="1" x="5332"/>
        <item x="3031"/>
        <item m="1" x="5474"/>
        <item x="2107"/>
        <item m="1" x="6235"/>
        <item m="1" x="7457"/>
        <item m="1" x="4709"/>
        <item x="1654"/>
        <item x="2284"/>
        <item m="1" x="7089"/>
        <item x="3284"/>
        <item m="1" x="6256"/>
        <item m="1" x="4330"/>
        <item x="1816"/>
        <item m="1" x="7886"/>
        <item x="267"/>
        <item m="1" x="6931"/>
        <item x="970"/>
        <item m="1" x="6430"/>
        <item x="2581"/>
        <item m="1" x="5272"/>
        <item m="1" x="5224"/>
        <item m="1" x="4723"/>
        <item x="3349"/>
        <item m="1" x="5908"/>
        <item x="1557"/>
        <item m="1" x="5315"/>
        <item m="1" x="5333"/>
        <item x="3233"/>
        <item x="1108"/>
        <item m="1" x="6891"/>
        <item m="1" x="5316"/>
        <item x="2582"/>
        <item x="2758"/>
        <item m="1" x="4281"/>
        <item x="2759"/>
        <item x="1332"/>
        <item x="1333"/>
        <item m="1" x="4768"/>
        <item m="1" x="6902"/>
        <item m="1" x="7897"/>
        <item x="1377"/>
        <item x="2672"/>
        <item x="1567"/>
        <item x="3112"/>
        <item x="1558"/>
        <item x="2319"/>
        <item m="1" x="3611"/>
        <item x="2896"/>
        <item m="1" x="5317"/>
        <item x="618"/>
        <item x="3240"/>
        <item x="615"/>
        <item m="1" x="7909"/>
        <item m="1" x="3556"/>
        <item m="1" x="5318"/>
        <item m="1" x="5633"/>
        <item m="1" x="5627"/>
        <item x="1869"/>
        <item m="1" x="4325"/>
        <item x="272"/>
        <item x="2024"/>
        <item x="3020"/>
        <item m="1" x="4609"/>
        <item m="1" x="4306"/>
        <item m="1" x="6903"/>
        <item x="2288"/>
        <item m="1" x="6745"/>
        <item x="3113"/>
        <item m="1" x="7475"/>
        <item x="1865"/>
        <item x="1844"/>
        <item x="3018"/>
        <item m="1" x="7312"/>
        <item m="1" x="7326"/>
        <item m="1" x="6813"/>
        <item x="2452"/>
        <item m="1" x="7927"/>
        <item m="1" x="3557"/>
        <item m="1" x="5334"/>
        <item m="1" x="5273"/>
        <item m="1" x="6633"/>
        <item m="1" x="4466"/>
        <item x="1560"/>
        <item x="619"/>
        <item m="1" x="5632"/>
        <item m="1" x="5510"/>
        <item x="2520"/>
        <item x="1774"/>
        <item m="1" x="6730"/>
        <item m="1" x="4710"/>
        <item m="1" x="6749"/>
        <item x="3115"/>
        <item x="3116"/>
        <item x="2761"/>
        <item m="1" x="6638"/>
        <item x="711"/>
        <item m="1" x="5432"/>
        <item m="1" x="5098"/>
        <item m="1" x="4308"/>
        <item x="1411"/>
        <item x="1634"/>
        <item x="2949"/>
        <item m="1" x="6080"/>
        <item x="73"/>
        <item x="1830"/>
        <item m="1" x="7318"/>
        <item x="2635"/>
        <item x="3364"/>
        <item m="1" x="4705"/>
        <item m="1" x="3618"/>
        <item x="616"/>
        <item x="3423"/>
        <item x="3468"/>
        <item x="2651"/>
        <item m="1" x="4322"/>
        <item x="696"/>
        <item x="820"/>
        <item x="165"/>
        <item x="291"/>
        <item m="1" x="4364"/>
        <item m="1" x="7646"/>
        <item x="719"/>
        <item m="1" x="6771"/>
        <item m="1" x="4297"/>
        <item x="1566"/>
        <item m="1" x="5521"/>
        <item m="1" x="6639"/>
        <item m="1" x="7214"/>
        <item m="1" x="7991"/>
        <item m="1" x="6594"/>
        <item x="2304"/>
        <item x="2295"/>
        <item x="3239"/>
        <item m="1" x="5225"/>
        <item m="1" x="5337"/>
        <item x="1391"/>
        <item m="1" x="5127"/>
        <item m="1" x="4382"/>
        <item m="1" x="5226"/>
        <item x="665"/>
        <item m="1" x="5630"/>
        <item x="3170"/>
        <item m="1" x="7085"/>
        <item m="1" x="7088"/>
        <item m="1" x="7084"/>
        <item m="1" x="7086"/>
        <item m="1" x="7087"/>
        <item x="2102"/>
        <item x="3171"/>
        <item m="1" x="6437"/>
        <item m="1" x="6438"/>
        <item m="1" x="5939"/>
        <item m="1" x="6439"/>
        <item m="1" x="6343"/>
        <item m="1" x="6344"/>
        <item m="1" x="6345"/>
        <item x="883"/>
        <item x="2116"/>
        <item x="7"/>
        <item m="1" x="3775"/>
        <item x="2575"/>
        <item m="1" x="7867"/>
        <item m="1" x="7181"/>
        <item m="1" x="3814"/>
        <item m="1" x="3847"/>
        <item m="1" x="3811"/>
        <item m="1" x="6784"/>
        <item m="1" x="7553"/>
        <item m="1" x="3855"/>
        <item m="1" x="3856"/>
        <item m="1" x="3821"/>
        <item m="1" x="7974"/>
        <item m="1" x="3834"/>
        <item m="1" x="5428"/>
        <item m="1" x="3850"/>
        <item m="1" x="3829"/>
        <item m="1" x="3851"/>
        <item m="1" x="7944"/>
        <item x="3252"/>
        <item m="1" x="5795"/>
        <item x="2624"/>
        <item x="3253"/>
        <item m="1" x="7226"/>
        <item x="3422"/>
        <item x="3442"/>
        <item x="3418"/>
        <item m="1" x="7907"/>
        <item m="1" x="6679"/>
        <item x="3413"/>
        <item m="1" x="6017"/>
        <item x="3498"/>
        <item x="3420"/>
        <item m="1" x="5003"/>
        <item m="1" x="5944"/>
        <item x="3414"/>
        <item m="1" x="6951"/>
        <item x="3450"/>
        <item m="1" x="4046"/>
        <item m="1" x="4047"/>
        <item m="1" x="4136"/>
        <item m="1" x="4137"/>
        <item m="1" x="4048"/>
        <item m="1" x="3951"/>
        <item m="1" x="3952"/>
        <item m="1" x="4049"/>
        <item m="1" x="4138"/>
        <item m="1" x="3953"/>
        <item m="1" x="4050"/>
        <item m="1" x="5736"/>
        <item m="1" x="4051"/>
        <item m="1" x="4052"/>
        <item x="2414"/>
        <item m="1" x="3893"/>
        <item m="1" x="3954"/>
        <item m="1" x="4053"/>
        <item m="1" x="4087"/>
        <item m="1" x="4054"/>
        <item m="1" x="4139"/>
        <item m="1" x="4055"/>
        <item m="1" x="3955"/>
        <item m="1" x="3894"/>
        <item m="1" x="3956"/>
        <item m="1" x="6611"/>
        <item m="1" x="4647"/>
        <item m="1" x="7753"/>
        <item m="1" x="3957"/>
        <item m="1" x="5885"/>
        <item m="1" x="4140"/>
        <item m="1" x="4135"/>
        <item m="1" x="3895"/>
        <item m="1" x="4141"/>
        <item x="2257"/>
        <item m="1" x="3958"/>
        <item m="1" x="3959"/>
        <item m="1" x="4142"/>
        <item m="1" x="6252"/>
        <item m="1" x="4057"/>
        <item m="1" x="4058"/>
        <item m="1" x="4143"/>
        <item m="1" x="3960"/>
        <item m="1" x="3961"/>
        <item m="1" x="3962"/>
        <item m="1" x="3963"/>
        <item m="1" x="4144"/>
        <item m="1" x="3899"/>
        <item m="1" x="3896"/>
        <item m="1" x="4170"/>
        <item m="1" x="4059"/>
        <item m="1" x="4145"/>
        <item m="1" x="4146"/>
        <item m="1" x="4060"/>
        <item m="1" x="4147"/>
        <item m="1" x="4061"/>
        <item m="1" x="3904"/>
        <item m="1" x="6786"/>
        <item m="1" x="4148"/>
        <item m="1" x="4062"/>
        <item m="1" x="3964"/>
        <item m="1" x="3965"/>
        <item m="1" x="3966"/>
        <item m="1" x="3967"/>
        <item m="1" x="3897"/>
        <item m="1" x="3968"/>
        <item m="1" x="7056"/>
        <item m="1" x="5737"/>
        <item m="1" x="5738"/>
        <item m="1" x="4063"/>
        <item m="1" x="3898"/>
        <item m="1" x="3969"/>
        <item m="1" x="4067"/>
        <item m="1" x="3970"/>
        <item x="23"/>
        <item m="1" x="3885"/>
        <item m="1" x="4261"/>
        <item m="1" x="3986"/>
        <item m="1" x="4075"/>
        <item x="2188"/>
        <item m="1" x="4078"/>
        <item m="1" x="4071"/>
        <item x="3305"/>
        <item m="1" x="7563"/>
        <item m="1" x="4246"/>
        <item m="1" x="4329"/>
        <item x="3177"/>
        <item m="1" x="6882"/>
        <item m="1" x="7922"/>
        <item m="1" x="5445"/>
        <item x="2331"/>
        <item m="1" x="7307"/>
        <item m="1" x="4074"/>
        <item x="470"/>
        <item x="1421"/>
        <item m="1" x="7788"/>
        <item m="1" x="7824"/>
        <item x="2341"/>
        <item m="1" x="7485"/>
        <item x="1437"/>
        <item x="484"/>
        <item x="2343"/>
        <item x="489"/>
        <item x="1439"/>
        <item x="2959"/>
        <item x="1440"/>
        <item m="1" x="6959"/>
        <item x="491"/>
        <item x="2344"/>
        <item x="1441"/>
        <item m="1" x="5750"/>
        <item x="492"/>
        <item x="1442"/>
        <item x="1443"/>
        <item x="493"/>
        <item x="494"/>
        <item x="1444"/>
        <item x="2345"/>
        <item m="1" x="5852"/>
        <item m="1" x="7386"/>
        <item x="51"/>
        <item m="1" x="5606"/>
        <item m="1" x="6711"/>
        <item m="1" x="6969"/>
        <item m="1" x="6974"/>
        <item m="1" x="6509"/>
        <item m="1" x="4551"/>
        <item m="1" x="4539"/>
        <item m="1" x="4546"/>
        <item m="1" x="6126"/>
        <item m="1" x="4594"/>
        <item m="1" x="7392"/>
        <item m="1" x="4572"/>
        <item m="1" x="7767"/>
        <item m="1" x="6404"/>
        <item m="1" x="6990"/>
        <item m="1" x="6989"/>
        <item m="1" x="5975"/>
        <item m="1" x="5974"/>
        <item m="1" x="6515"/>
        <item m="1" x="6053"/>
        <item x="638"/>
        <item x="75"/>
        <item x="640"/>
        <item x="76"/>
        <item x="641"/>
        <item m="1" x="6054"/>
        <item x="77"/>
        <item x="642"/>
        <item m="1" x="5920"/>
        <item m="1" x="4653"/>
        <item x="3342"/>
        <item m="1" x="4683"/>
        <item x="3338"/>
        <item x="1256"/>
        <item m="1" x="5921"/>
        <item x="3213"/>
        <item x="2399"/>
        <item m="1" x="4743"/>
        <item m="1" x="4751"/>
        <item m="1" x="4752"/>
        <item m="1" x="4731"/>
        <item m="1" x="4732"/>
        <item m="1" x="4757"/>
        <item m="1" x="4739"/>
        <item m="1" x="4736"/>
        <item m="1" x="4738"/>
        <item m="1" x="4745"/>
        <item m="1" x="4737"/>
        <item m="1" x="7692"/>
        <item m="1" x="7596"/>
        <item m="1" x="4722"/>
        <item m="1" x="7966"/>
        <item m="1" x="7528"/>
        <item m="1" x="7644"/>
        <item m="1" x="7607"/>
        <item m="1" x="7684"/>
        <item m="1" x="4727"/>
        <item m="1" x="7434"/>
        <item m="1" x="7565"/>
        <item m="1" x="4724"/>
        <item m="1" x="4725"/>
        <item x="1023"/>
        <item m="1" x="3759"/>
        <item x="697"/>
        <item m="1" x="7795"/>
        <item x="2485"/>
        <item x="701"/>
        <item x="3012"/>
        <item m="1" x="7905"/>
        <item m="1" x="5638"/>
        <item m="1" x="5631"/>
        <item x="3043"/>
        <item x="813"/>
        <item x="799"/>
        <item x="2555"/>
        <item x="1729"/>
        <item m="1" x="6526"/>
        <item x="1708"/>
        <item x="2565"/>
        <item x="811"/>
        <item x="146"/>
        <item x="809"/>
        <item x="3319"/>
        <item x="55"/>
        <item m="1" x="6988"/>
        <item x="2904"/>
        <item m="1" x="7911"/>
        <item m="1" x="4644"/>
        <item m="1" x="4307"/>
        <item x="546"/>
        <item m="1" x="6217"/>
        <item m="1" x="7890"/>
        <item m="1" x="6300"/>
        <item x="823"/>
        <item x="1751"/>
        <item m="1" x="7465"/>
        <item x="1752"/>
        <item x="1756"/>
        <item x="1758"/>
        <item x="3246"/>
        <item x="1760"/>
        <item x="1761"/>
        <item x="1762"/>
        <item x="832"/>
        <item x="833"/>
        <item x="2587"/>
        <item m="1" x="7638"/>
        <item x="1764"/>
        <item m="1" x="5793"/>
        <item m="1" x="7462"/>
        <item m="1" x="5018"/>
        <item x="1765"/>
        <item x="834"/>
        <item m="1" x="7669"/>
        <item x="1767"/>
        <item x="835"/>
        <item x="2588"/>
        <item x="2589"/>
        <item x="836"/>
        <item m="1" x="7566"/>
        <item x="1768"/>
        <item x="2590"/>
        <item x="1769"/>
        <item x="837"/>
        <item x="1770"/>
        <item x="2591"/>
        <item m="1" x="7661"/>
        <item m="1" x="6908"/>
        <item m="1" x="5019"/>
        <item x="2592"/>
        <item m="1" x="5012"/>
        <item x="840"/>
        <item x="1771"/>
        <item x="2593"/>
        <item x="1772"/>
        <item m="1" x="7617"/>
        <item x="155"/>
        <item x="847"/>
        <item m="1" x="5536"/>
        <item x="848"/>
        <item m="1" x="6229"/>
        <item x="1779"/>
        <item x="1780"/>
        <item m="1" x="7744"/>
        <item x="850"/>
        <item x="1798"/>
        <item x="1781"/>
        <item m="1" x="5013"/>
        <item x="851"/>
        <item x="2601"/>
        <item x="2602"/>
        <item m="1" x="6424"/>
        <item x="1782"/>
        <item x="852"/>
        <item x="853"/>
        <item x="2604"/>
        <item x="2605"/>
        <item m="1" x="4282"/>
        <item x="2606"/>
        <item x="854"/>
        <item x="3052"/>
        <item x="2607"/>
        <item x="1783"/>
        <item m="1" x="6652"/>
        <item x="3256"/>
        <item x="2627"/>
        <item m="1" x="6632"/>
        <item m="1" x="6653"/>
        <item m="1" x="6654"/>
        <item x="3257"/>
        <item x="3258"/>
        <item m="1" x="6528"/>
        <item m="1" x="4924"/>
        <item m="1" x="4960"/>
        <item m="1" x="4952"/>
        <item m="1" x="4925"/>
        <item m="1" x="7001"/>
        <item m="1" x="4926"/>
        <item m="1" x="4927"/>
        <item m="1" x="4953"/>
        <item m="1" x="4942"/>
        <item m="1" x="4959"/>
        <item m="1" x="4928"/>
        <item m="1" x="4929"/>
        <item m="1" x="4954"/>
        <item m="1" x="4943"/>
        <item m="1" x="7662"/>
        <item m="1" x="4944"/>
        <item m="1" x="4932"/>
        <item m="1" x="4962"/>
        <item m="1" x="4957"/>
        <item m="1" x="4958"/>
        <item m="1" x="4934"/>
        <item m="1" x="4935"/>
        <item m="1" x="4946"/>
        <item m="1" x="4949"/>
        <item m="1" x="4950"/>
        <item m="1" x="4933"/>
        <item m="1" x="6912"/>
        <item m="1" x="4940"/>
        <item x="1846"/>
        <item m="1" x="7621"/>
        <item m="1" x="4270"/>
        <item x="961"/>
        <item x="1898"/>
        <item m="1" x="6637"/>
        <item m="1" x="5258"/>
        <item m="1" x="7999"/>
        <item x="2721"/>
        <item x="1985"/>
        <item x="1987"/>
        <item m="1" x="7884"/>
        <item m="1" x="7830"/>
        <item x="2726"/>
        <item x="1012"/>
        <item m="1" x="6640"/>
        <item m="1" x="6536"/>
        <item x="3102"/>
        <item m="1" x="6537"/>
        <item x="2001"/>
        <item x="2002"/>
        <item m="1" x="7972"/>
        <item m="1" x="6436"/>
        <item x="2021"/>
        <item m="1" x="6642"/>
        <item x="2023"/>
        <item x="271"/>
        <item x="1107"/>
        <item m="1" x="7093"/>
        <item x="1139"/>
        <item x="585"/>
        <item m="1" x="6295"/>
        <item m="1" x="6661"/>
        <item m="1" x="6659"/>
        <item x="1899"/>
        <item x="1399"/>
        <item x="2945"/>
        <item x="1400"/>
        <item x="2311"/>
        <item x="2946"/>
        <item x="659"/>
        <item x="1401"/>
        <item x="1576"/>
        <item x="643"/>
        <item m="1" x="4947"/>
        <item x="1436"/>
        <item x="365"/>
        <item x="1285"/>
        <item x="1283"/>
        <item m="1" x="5564"/>
        <item x="2903"/>
        <item m="1" x="5419"/>
        <item m="1" x="7713"/>
        <item x="366"/>
        <item m="1" x="5835"/>
        <item x="2976"/>
        <item m="1" x="7678"/>
        <item x="332"/>
        <item x="1282"/>
        <item x="1277"/>
        <item x="3456"/>
        <item m="1" x="5557"/>
        <item x="1284"/>
        <item x="26"/>
        <item x="367"/>
        <item x="1278"/>
        <item m="1" x="6539"/>
        <item x="368"/>
        <item x="1291"/>
        <item x="2234"/>
        <item x="1280"/>
        <item x="1281"/>
        <item m="1" x="7372"/>
        <item m="1" x="4247"/>
        <item m="1" x="4433"/>
        <item x="2545"/>
        <item m="1" x="7961"/>
        <item m="1" x="3846"/>
        <item m="1" x="6192"/>
        <item m="1" x="3836"/>
        <item m="1" x="3818"/>
        <item m="1" x="3819"/>
        <item m="1" x="7891"/>
        <item m="1" x="3820"/>
        <item m="1" x="3849"/>
        <item m="1" x="4445"/>
        <item m="1" x="3835"/>
        <item m="1" x="3857"/>
        <item m="1" x="6193"/>
        <item m="1" x="7868"/>
        <item x="3344"/>
        <item x="3350"/>
        <item x="3352"/>
        <item x="3353"/>
        <item x="3354"/>
        <item m="1" x="4980"/>
        <item m="1" x="6307"/>
        <item m="1" x="4981"/>
        <item m="1" x="7778"/>
        <item m="1" x="4982"/>
        <item m="1" x="4983"/>
        <item x="3365"/>
        <item x="3511"/>
        <item x="3370"/>
        <item x="572"/>
        <item x="2424"/>
        <item x="600"/>
        <item x="602"/>
        <item m="1" x="7993"/>
        <item x="66"/>
        <item x="1551"/>
        <item m="1" x="5623"/>
        <item m="1" x="6841"/>
        <item m="1" x="5296"/>
        <item x="2995"/>
        <item m="1" x="7442"/>
        <item x="2467"/>
        <item x="1604"/>
        <item m="1" x="7438"/>
        <item m="1" x="7727"/>
        <item x="2996"/>
        <item x="2460"/>
        <item x="2469"/>
        <item x="2465"/>
        <item x="2462"/>
        <item x="2997"/>
        <item m="1" x="7440"/>
        <item x="1608"/>
        <item m="1" x="6151"/>
        <item x="2463"/>
        <item m="1" x="7963"/>
        <item x="882"/>
        <item m="1" x="6538"/>
        <item m="1" x="7492"/>
        <item x="1145"/>
        <item x="294"/>
        <item m="1" x="7705"/>
        <item x="3309"/>
        <item x="3311"/>
        <item x="2378"/>
        <item x="3317"/>
        <item x="3321"/>
        <item m="1" x="5918"/>
        <item x="564"/>
        <item x="3327"/>
        <item m="1" x="7776"/>
        <item m="1" x="3552"/>
        <item m="1" x="3608"/>
        <item m="1" x="3612"/>
        <item m="1" x="3613"/>
        <item m="1" x="3558"/>
        <item m="1" x="3614"/>
        <item m="1" x="3663"/>
        <item m="1" x="3559"/>
        <item m="1" x="3560"/>
        <item m="1" x="3561"/>
        <item m="1" x="3615"/>
        <item m="1" x="3667"/>
        <item m="1" x="3562"/>
        <item m="1" x="3616"/>
        <item m="1" x="3695"/>
        <item m="1" x="3617"/>
        <item m="1" x="3696"/>
        <item m="1" x="3619"/>
        <item m="1" x="3668"/>
        <item m="1" x="3620"/>
        <item m="1" x="3564"/>
        <item m="1" x="5400"/>
        <item m="1" x="3674"/>
        <item m="1" x="3676"/>
        <item m="1" x="3579"/>
        <item m="1" x="3675"/>
        <item m="1" x="3631"/>
        <item m="1" x="6941"/>
        <item m="1" x="3575"/>
        <item m="1" x="3582"/>
        <item m="1" x="3569"/>
        <item m="1" x="3574"/>
        <item m="1" x="3698"/>
        <item m="1" x="5823"/>
        <item m="1" x="3637"/>
        <item m="1" x="5535"/>
        <item m="1" x="3638"/>
        <item m="1" x="3590"/>
        <item m="1" x="3678"/>
        <item m="1" x="5995"/>
        <item m="1" x="3679"/>
        <item m="1" x="5996"/>
        <item m="1" x="3591"/>
        <item m="1" x="4124"/>
        <item m="1" x="6772"/>
        <item m="1" x="3680"/>
        <item m="1" x="5366"/>
        <item m="1" x="3699"/>
        <item m="1" x="3681"/>
        <item m="1" x="7634"/>
        <item m="1" x="3682"/>
        <item m="1" x="3639"/>
        <item m="1" x="7118"/>
        <item m="1" x="7113"/>
        <item m="1" x="3566"/>
        <item m="1" x="3916"/>
        <item x="856"/>
        <item m="1" x="3604"/>
        <item m="1" x="3656"/>
        <item m="1" x="3657"/>
        <item m="1" x="3605"/>
        <item m="1" x="3548"/>
        <item m="1" x="3658"/>
        <item m="1" x="3659"/>
        <item m="1" x="3660"/>
        <item m="1" x="3690"/>
        <item m="1" x="3661"/>
        <item m="1" x="3662"/>
        <item m="1" x="3691"/>
        <item m="1" x="5998"/>
        <item m="1" x="3702"/>
        <item m="1" x="4579"/>
        <item m="1" x="4580"/>
        <item m="1" x="4595"/>
        <item m="1" x="4581"/>
        <item m="1" x="4582"/>
        <item m="1" x="5840"/>
        <item x="2762"/>
        <item x="2763"/>
        <item x="3117"/>
        <item x="3118"/>
        <item x="2764"/>
        <item m="1" x="7695"/>
        <item x="2026"/>
        <item x="1022"/>
        <item x="2027"/>
        <item m="1" x="6069"/>
        <item x="3265"/>
        <item x="2765"/>
        <item x="3380"/>
        <item x="1784"/>
        <item m="1" x="7861"/>
        <item x="2609"/>
        <item m="1" x="7693"/>
        <item m="1" x="7463"/>
        <item x="2610"/>
        <item m="1" x="3776"/>
        <item x="1221"/>
        <item m="1" x="7590"/>
        <item m="1" x="7708"/>
        <item x="3103"/>
        <item m="1" x="6435"/>
        <item m="1" x="3874"/>
        <item x="1324"/>
        <item x="1327"/>
        <item x="1329"/>
        <item x="404"/>
        <item x="1334"/>
        <item x="1335"/>
        <item x="1336"/>
        <item x="2916"/>
        <item x="2262"/>
        <item x="3183"/>
        <item x="407"/>
        <item x="408"/>
        <item x="1338"/>
        <item x="1339"/>
        <item x="2917"/>
        <item x="2263"/>
        <item x="410"/>
        <item x="411"/>
        <item x="2264"/>
        <item x="2918"/>
        <item x="412"/>
        <item x="413"/>
        <item x="414"/>
        <item x="1344"/>
        <item x="1345"/>
        <item x="418"/>
        <item x="419"/>
        <item x="1346"/>
        <item x="2266"/>
        <item x="2267"/>
        <item x="1347"/>
        <item x="2268"/>
        <item x="420"/>
        <item x="421"/>
        <item x="422"/>
        <item x="1350"/>
        <item x="2269"/>
        <item x="2270"/>
        <item x="2271"/>
        <item x="2272"/>
        <item x="2273"/>
        <item x="2274"/>
        <item x="1352"/>
        <item x="1353"/>
        <item x="1354"/>
        <item x="1355"/>
        <item x="1356"/>
        <item x="2275"/>
        <item x="1359"/>
        <item x="1360"/>
        <item x="1362"/>
        <item x="2276"/>
        <item x="1364"/>
        <item x="1365"/>
        <item x="1366"/>
        <item x="425"/>
        <item x="1368"/>
        <item x="1369"/>
        <item x="2279"/>
        <item x="1370"/>
        <item x="427"/>
        <item x="428"/>
        <item x="429"/>
        <item x="35"/>
        <item x="2920"/>
        <item x="2282"/>
        <item x="1373"/>
        <item x="1374"/>
        <item x="1375"/>
        <item x="431"/>
        <item x="432"/>
        <item x="433"/>
        <item x="1376"/>
        <item x="2922"/>
        <item x="434"/>
        <item x="2925"/>
        <item x="2285"/>
        <item x="1378"/>
        <item x="1379"/>
        <item x="1380"/>
        <item x="1381"/>
        <item x="2927"/>
        <item x="2286"/>
        <item x="2928"/>
        <item x="1382"/>
        <item x="1383"/>
        <item x="2929"/>
        <item x="2930"/>
        <item x="435"/>
        <item x="436"/>
        <item x="1384"/>
        <item x="437"/>
        <item x="36"/>
        <item x="1385"/>
        <item x="1393"/>
        <item x="1394"/>
        <item x="2290"/>
        <item x="2292"/>
        <item x="2666"/>
        <item m="1" x="4613"/>
        <item m="1" x="7925"/>
        <item m="1" x="4611"/>
        <item m="1" x="7910"/>
        <item m="1" x="4615"/>
        <item m="1" x="4614"/>
        <item m="1" x="7812"/>
        <item m="1" x="7924"/>
        <item m="1" x="7823"/>
        <item m="1" x="7947"/>
        <item m="1" x="7933"/>
        <item m="1" x="7835"/>
        <item m="1" x="7965"/>
        <item m="1" x="7870"/>
        <item m="1" x="7792"/>
        <item m="1" x="7836"/>
        <item m="1" x="7871"/>
        <item m="1" x="7893"/>
        <item m="1" x="7837"/>
        <item m="1" x="7838"/>
        <item m="1" x="6979"/>
        <item m="1" x="6729"/>
        <item m="1" x="7044"/>
        <item m="1" x="6736"/>
        <item m="1" x="5489"/>
        <item m="1" x="5774"/>
        <item m="1" x="5635"/>
        <item m="1" x="5487"/>
        <item m="1" x="5383"/>
        <item m="1" x="5494"/>
        <item m="1" x="5668"/>
        <item m="1" x="5666"/>
        <item m="1" x="5658"/>
        <item m="1" x="5669"/>
        <item m="1" x="5382"/>
        <item m="1" x="5378"/>
        <item m="1" x="5787"/>
        <item m="1" x="5381"/>
        <item m="1" x="5377"/>
        <item m="1" x="5484"/>
        <item m="1" x="5380"/>
        <item x="3328"/>
        <item m="1" x="7567"/>
        <item m="1" x="5036"/>
        <item x="2572"/>
        <item x="1721"/>
        <item x="1727"/>
        <item x="2573"/>
        <item x="816"/>
        <item m="1" x="6834"/>
        <item x="1701"/>
        <item x="3048"/>
        <item x="2649"/>
        <item x="971"/>
        <item x="2668"/>
        <item m="1" x="4202"/>
        <item m="1" x="4203"/>
        <item m="1" x="4196"/>
        <item m="1" x="4204"/>
        <item m="1" x="4205"/>
        <item m="1" x="4206"/>
        <item m="1" x="4214"/>
        <item m="1" x="4207"/>
        <item m="1" x="4215"/>
        <item m="1" x="4208"/>
        <item m="1" x="4197"/>
        <item m="1" x="4209"/>
        <item m="1" x="4210"/>
        <item m="1" x="4198"/>
        <item m="1" x="4211"/>
        <item m="1" x="4212"/>
        <item m="1" x="4213"/>
        <item m="1" x="4199"/>
        <item m="1" x="4876"/>
        <item m="1" x="6374"/>
        <item m="1" x="4856"/>
        <item m="1" x="5879"/>
        <item m="1" x="5576"/>
        <item m="1" x="7122"/>
        <item m="1" x="3704"/>
        <item x="1724"/>
        <item m="1" x="3743"/>
        <item m="1" x="4093"/>
        <item m="1" x="5109"/>
        <item m="1" x="5173"/>
        <item m="1" x="5174"/>
        <item m="1" x="5154"/>
        <item m="1" x="5175"/>
        <item m="1" x="5155"/>
        <item m="1" x="5156"/>
        <item m="1" x="5110"/>
        <item m="1" x="5176"/>
        <item m="1" x="5177"/>
        <item m="1" x="5178"/>
        <item m="1" x="5184"/>
        <item m="1" x="5161"/>
        <item m="1" x="5136"/>
        <item m="1" x="5160"/>
        <item m="1" x="5124"/>
        <item m="1" x="5165"/>
        <item m="1" x="5120"/>
        <item m="1" x="5128"/>
        <item m="1" x="5118"/>
        <item m="1" x="5090"/>
        <item m="1" x="5116"/>
        <item x="1636"/>
        <item x="695"/>
        <item x="2481"/>
        <item m="1" x="7794"/>
        <item m="1" x="7782"/>
        <item m="1" x="4896"/>
        <item m="1" x="7513"/>
        <item m="1" x="7783"/>
        <item x="1116"/>
        <item m="1" x="6650"/>
        <item m="1" x="7760"/>
        <item x="1214"/>
        <item x="2878"/>
        <item m="1" x="7136"/>
        <item x="370"/>
        <item m="1" x="5719"/>
        <item m="1" x="4298"/>
        <item m="1" x="6466"/>
        <item x="258"/>
        <item m="1" x="7990"/>
        <item m="1" x="7962"/>
        <item m="1" x="7194"/>
        <item m="1" x="6948"/>
        <item m="1" x="3823"/>
        <item x="1310"/>
        <item x="384"/>
        <item m="1" x="7560"/>
        <item m="1" x="7230"/>
        <item m="1" x="5734"/>
        <item m="1" x="7665"/>
        <item m="1" x="5880"/>
        <item m="1" x="5841"/>
        <item m="1" x="5578"/>
        <item m="1" x="7673"/>
        <item m="1" x="5579"/>
        <item m="1" x="5735"/>
        <item m="1" x="4069"/>
        <item m="1" x="3900"/>
        <item m="1" x="3901"/>
        <item m="1" x="3971"/>
        <item m="1" x="3902"/>
        <item m="1" x="3903"/>
        <item m="1" x="7706"/>
        <item x="2300"/>
        <item x="1406"/>
        <item x="449"/>
        <item m="1" x="4200"/>
        <item m="1" x="4201"/>
        <item m="1" x="4233"/>
        <item m="1" x="4485"/>
        <item m="1" x="4309"/>
        <item m="1" x="4313"/>
        <item m="1" x="4314"/>
        <item m="1" x="4238"/>
        <item m="1" x="4241"/>
        <item m="1" x="4426"/>
        <item m="1" x="4494"/>
        <item m="1" x="4331"/>
        <item m="1" x="4248"/>
        <item x="2440"/>
        <item m="1" x="4249"/>
        <item m="1" x="4332"/>
        <item m="1" x="5742"/>
        <item m="1" x="4333"/>
        <item m="1" x="4434"/>
        <item m="1" x="7992"/>
        <item m="1" x="6624"/>
        <item m="1" x="4334"/>
        <item m="1" x="6875"/>
        <item m="1" x="4435"/>
        <item m="1" x="6793"/>
        <item m="1" x="7373"/>
        <item m="1" x="4436"/>
        <item m="1" x="4251"/>
        <item m="1" x="4492"/>
        <item m="1" x="6571"/>
        <item m="1" x="4404"/>
        <item x="1245"/>
        <item m="1" x="4475"/>
        <item x="50"/>
        <item x="488"/>
        <item m="1" x="7385"/>
        <item m="1" x="6576"/>
        <item m="1" x="7789"/>
        <item m="1" x="7802"/>
        <item m="1" x="7901"/>
        <item m="1" x="7530"/>
        <item m="1" x="6805"/>
        <item m="1" x="6748"/>
        <item m="1" x="7048"/>
        <item m="1" x="7040"/>
        <item m="1" x="7049"/>
        <item m="1" x="7052"/>
        <item m="1" x="6751"/>
        <item m="1" x="6972"/>
        <item m="1" x="6894"/>
        <item m="1" x="6716"/>
        <item m="1" x="7039"/>
        <item m="1" x="6709"/>
        <item m="1" x="6967"/>
        <item m="1" x="6890"/>
        <item m="1" x="7054"/>
        <item m="1" x="6896"/>
        <item m="1" x="7043"/>
        <item m="1" x="6712"/>
        <item m="1" x="6892"/>
        <item m="1" x="6699"/>
        <item m="1" x="6798"/>
        <item m="1" x="7894"/>
        <item m="1" x="4583"/>
        <item m="1" x="7976"/>
        <item m="1" x="7393"/>
        <item x="570"/>
        <item x="554"/>
        <item x="3326"/>
        <item x="3335"/>
        <item m="1" x="4685"/>
        <item m="1" x="4191"/>
        <item m="1" x="7423"/>
        <item m="1" x="7416"/>
        <item m="1" x="7431"/>
        <item m="1" x="6755"/>
        <item x="1588"/>
        <item x="678"/>
        <item m="1" x="5492"/>
        <item m="1" x="5646"/>
        <item m="1" x="5493"/>
        <item m="1" x="5651"/>
        <item m="1" x="5379"/>
        <item m="1" x="5656"/>
        <item m="1" x="5481"/>
        <item x="810"/>
        <item x="814"/>
        <item m="1" x="5501"/>
        <item m="1" x="5674"/>
        <item m="1" x="7935"/>
        <item x="1735"/>
        <item m="1" x="5017"/>
        <item x="824"/>
        <item x="1739"/>
        <item x="2578"/>
        <item x="2579"/>
        <item x="1746"/>
        <item x="2580"/>
        <item x="825"/>
        <item x="828"/>
        <item x="829"/>
        <item m="1" x="5792"/>
        <item x="1759"/>
        <item x="3247"/>
        <item x="855"/>
        <item x="2608"/>
        <item m="1" x="6631"/>
        <item m="1" x="7712"/>
        <item m="1" x="7639"/>
        <item x="2611"/>
        <item x="839"/>
        <item m="1" x="6909"/>
        <item x="1763"/>
        <item x="838"/>
        <item x="2993"/>
        <item x="3053"/>
        <item m="1" x="5675"/>
        <item m="1" x="7799"/>
        <item m="1" x="4931"/>
        <item m="1" x="4936"/>
        <item x="3368"/>
        <item x="3371"/>
        <item x="3372"/>
        <item x="3373"/>
        <item m="1" x="4984"/>
        <item m="1" x="5923"/>
        <item x="3374"/>
        <item m="1" x="7006"/>
        <item m="1" x="7076"/>
        <item m="1" x="7557"/>
        <item m="1" x="7597"/>
        <item m="1" x="5061"/>
        <item m="1" x="5068"/>
        <item m="1" x="5069"/>
        <item m="1" x="5072"/>
        <item m="1" x="7694"/>
        <item m="1" x="5801"/>
        <item m="1" x="5522"/>
        <item x="1988"/>
        <item m="1" x="5804"/>
        <item x="2015"/>
        <item m="1" x="3522"/>
        <item m="1" x="4554"/>
        <item m="1" x="4531"/>
        <item m="1" x="4532"/>
        <item m="1" x="4540"/>
        <item m="1" x="7726"/>
        <item m="1" x="4552"/>
        <item m="1" x="7055"/>
        <item m="1" x="4533"/>
        <item m="1" x="7729"/>
        <item m="1" x="7895"/>
        <item m="1" x="6139"/>
        <item m="1" x="6043"/>
        <item m="1" x="6219"/>
        <item m="1" x="6130"/>
        <item m="1" x="6046"/>
        <item m="1" x="5159"/>
        <item m="1" x="5130"/>
        <item m="1" x="5183"/>
        <item m="1" x="5162"/>
        <item m="1" x="5139"/>
        <item m="1" x="5099"/>
        <item m="1" x="5121"/>
        <item m="1" x="5125"/>
        <item m="1" x="7548"/>
        <item m="1" x="5137"/>
        <item m="1" x="5141"/>
        <item m="1" x="7881"/>
        <item m="1" x="5163"/>
        <item m="1" x="5131"/>
        <item m="1" x="5140"/>
        <item m="1" x="5129"/>
        <item m="1" x="5092"/>
        <item m="1" x="5122"/>
        <item m="1" x="5100"/>
        <item m="1" x="5135"/>
        <item m="1" x="7724"/>
        <item m="1" x="7647"/>
        <item m="1" x="5188"/>
        <item m="1" x="5172"/>
        <item m="1" x="5152"/>
        <item m="1" x="5153"/>
        <item m="1" x="7742"/>
        <item m="1" x="7137"/>
        <item x="18"/>
        <item x="1238"/>
        <item m="1" x="7158"/>
        <item m="1" x="7725"/>
        <item x="1229"/>
        <item x="341"/>
        <item x="2887"/>
        <item x="1224"/>
        <item m="1" x="7128"/>
        <item m="1" x="5832"/>
        <item x="2889"/>
        <item m="1" x="7717"/>
        <item m="1" x="7138"/>
        <item x="2204"/>
        <item m="1" x="5411"/>
        <item m="1" x="6004"/>
        <item m="1" x="7027"/>
        <item m="1" x="7743"/>
        <item m="1" x="6545"/>
        <item x="2187"/>
        <item m="1" x="3729"/>
        <item x="2193"/>
        <item x="2167"/>
        <item x="369"/>
        <item m="1" x="7376"/>
        <item m="1" x="4335"/>
        <item m="1" x="4336"/>
        <item m="1" x="6496"/>
        <item m="1" x="4216"/>
        <item m="1" x="6203"/>
        <item m="1" x="7923"/>
        <item m="1" x="4522"/>
        <item m="1" x="6405"/>
        <item x="644"/>
        <item m="1" x="5088"/>
        <item m="1" x="5119"/>
        <item m="1" x="5093"/>
        <item m="1" x="5111"/>
        <item m="1" x="7704"/>
        <item m="1" x="6440"/>
        <item x="2030"/>
        <item m="1" x="7831"/>
        <item m="1" x="5655"/>
        <item m="1" x="3804"/>
        <item m="1" x="6447"/>
        <item x="991"/>
        <item x="2716"/>
        <item m="1" x="3809"/>
        <item m="1" x="7179"/>
        <item m="1" x="4365"/>
        <item m="1" x="3859"/>
        <item m="1" x="7191"/>
        <item m="1" x="7672"/>
        <item m="1" x="3852"/>
        <item m="1" x="7568"/>
        <item m="1" x="7945"/>
        <item m="1" x="7702"/>
        <item m="1" x="7892"/>
        <item m="1" x="7187"/>
        <item m="1" x="5429"/>
        <item m="1" x="6683"/>
        <item m="1" x="6685"/>
        <item m="1" x="6684"/>
        <item m="1" x="3864"/>
        <item m="1" x="6950"/>
        <item m="1" x="7932"/>
        <item m="1" x="7215"/>
        <item m="1" x="7584"/>
        <item m="1" x="7585"/>
        <item m="1" x="7224"/>
        <item m="1" x="7808"/>
        <item m="1" x="7208"/>
        <item m="1" x="7680"/>
        <item m="1" x="7525"/>
        <item m="1" x="5731"/>
        <item m="1" x="7738"/>
        <item m="1" x="7227"/>
        <item m="1" x="6469"/>
        <item m="1" x="7232"/>
        <item m="1" x="7604"/>
        <item m="1" x="7561"/>
        <item m="1" x="7221"/>
        <item m="1" x="7690"/>
        <item m="1" x="7654"/>
        <item m="1" x="7222"/>
        <item m="1" x="6618"/>
        <item m="1" x="6387"/>
        <item m="1" x="6791"/>
        <item m="1" x="7047"/>
        <item m="1" x="6754"/>
        <item m="1" x="7051"/>
        <item m="1" x="6883"/>
        <item m="1" x="7674"/>
        <item m="1" x="6719"/>
        <item x="535"/>
        <item m="1" x="5760"/>
        <item m="1" x="6984"/>
        <item x="295"/>
        <item m="1" x="6513"/>
        <item m="1" x="7402"/>
        <item m="1" x="7948"/>
        <item m="1" x="4754"/>
        <item m="1" x="4742"/>
        <item m="1" x="7853"/>
        <item m="1" x="7659"/>
        <item m="1" x="7437"/>
        <item m="1" x="7978"/>
        <item m="1" x="7436"/>
        <item m="1" x="4756"/>
        <item m="1" x="4729"/>
        <item m="1" x="7629"/>
        <item m="1" x="7645"/>
        <item m="1" x="7685"/>
        <item m="1" x="7723"/>
        <item m="1" x="7435"/>
        <item x="1592"/>
        <item x="1593"/>
        <item x="2453"/>
        <item m="1" x="7854"/>
        <item m="1" x="5473"/>
        <item m="1" x="5476"/>
        <item m="1" x="5777"/>
        <item m="1" x="5785"/>
        <item x="797"/>
        <item x="3248"/>
        <item m="1" x="6425"/>
        <item x="857"/>
        <item x="858"/>
        <item x="3054"/>
        <item x="3375"/>
        <item m="1" x="5924"/>
        <item m="1" x="5925"/>
        <item m="1" x="6308"/>
        <item m="1" x="6692"/>
        <item m="1" x="4986"/>
        <item m="1" x="5926"/>
        <item x="3377"/>
        <item x="3378"/>
        <item x="3379"/>
        <item x="1829"/>
        <item x="899"/>
        <item x="169"/>
        <item x="170"/>
        <item x="900"/>
        <item m="1" x="7067"/>
        <item m="1" x="7003"/>
        <item m="1" x="7004"/>
        <item m="1" x="6915"/>
        <item m="1" x="7068"/>
        <item x="1843"/>
        <item x="1847"/>
        <item x="3095"/>
        <item x="1996"/>
        <item x="1997"/>
        <item x="1015"/>
        <item x="2005"/>
        <item x="2006"/>
        <item m="1" x="6641"/>
        <item m="1" x="7484"/>
        <item x="3111"/>
        <item m="1" x="5762"/>
        <item x="441"/>
        <item m="1" x="6647"/>
        <item m="1" x="4874"/>
        <item m="1" x="6375"/>
        <item m="1" x="4875"/>
        <item m="1" x="4879"/>
        <item m="1" x="6260"/>
        <item m="1" x="4867"/>
        <item m="1" x="4868"/>
        <item m="1" x="4869"/>
        <item m="1" x="6646"/>
        <item m="1" x="4872"/>
        <item m="1" x="4849"/>
        <item m="1" x="4236"/>
        <item x="2951"/>
        <item m="1" x="7501"/>
        <item x="1422"/>
        <item m="1" x="4596"/>
        <item m="1" x="4597"/>
        <item m="1" x="4573"/>
        <item m="1" x="4574"/>
        <item m="1" x="4598"/>
        <item m="1" x="4570"/>
        <item m="1" x="4612"/>
        <item m="1" x="4670"/>
        <item x="2981"/>
        <item x="2416"/>
        <item m="1" x="6048"/>
        <item m="1" x="6270"/>
        <item x="2977"/>
        <item x="2411"/>
        <item x="2433"/>
        <item x="1545"/>
        <item m="1" x="6133"/>
        <item x="156"/>
        <item m="1" x="6273"/>
        <item m="1" x="7546"/>
        <item m="1" x="7409"/>
        <item x="145"/>
        <item m="1" x="6759"/>
        <item m="1" x="7733"/>
        <item m="1" x="6128"/>
        <item x="2432"/>
        <item m="1" x="6221"/>
        <item x="1601"/>
        <item m="1" x="4631"/>
        <item m="1" x="5202"/>
        <item m="1" x="5274"/>
        <item m="1" x="6234"/>
        <item m="1" x="5239"/>
        <item m="1" x="5209"/>
        <item m="1" x="6765"/>
        <item m="1" x="5299"/>
        <item m="1" x="7968"/>
        <item m="1" x="5216"/>
        <item m="1" x="6433"/>
        <item m="1" x="5190"/>
        <item m="1" x="6932"/>
        <item x="37"/>
        <item x="1388"/>
        <item x="2287"/>
        <item m="1" x="7821"/>
        <item x="1507"/>
        <item m="1" x="7888"/>
        <item m="1" x="5418"/>
        <item m="1" x="7160"/>
        <item x="1237"/>
        <item m="1" x="7610"/>
        <item m="1" x="7174"/>
        <item x="2190"/>
        <item m="1" x="7170"/>
        <item m="1" x="7123"/>
        <item m="1" x="6944"/>
        <item m="1" x="7139"/>
        <item m="1" x="6356"/>
        <item x="2881"/>
        <item x="2884"/>
        <item m="1" x="5550"/>
        <item x="2879"/>
        <item m="1" x="5830"/>
        <item m="1" x="7551"/>
        <item m="1" x="7161"/>
        <item m="1" x="7140"/>
        <item m="1" x="7558"/>
        <item m="1" x="7522"/>
        <item x="2360"/>
        <item m="1" x="6361"/>
        <item x="1239"/>
        <item m="1" x="5829"/>
        <item m="1" x="7701"/>
        <item m="1" x="6602"/>
        <item x="2200"/>
        <item m="1" x="6550"/>
        <item x="20"/>
        <item m="1" x="6322"/>
        <item m="1" x="5831"/>
        <item x="342"/>
        <item x="2883"/>
        <item x="2909"/>
        <item m="1" x="6608"/>
        <item x="972"/>
        <item x="1304"/>
        <item m="1" x="3806"/>
        <item m="1" x="7651"/>
        <item m="1" x="7189"/>
        <item m="1" x="7946"/>
        <item m="1" x="3853"/>
        <item m="1" x="7554"/>
        <item m="1" x="4259"/>
        <item m="1" x="7869"/>
        <item m="1" x="6694"/>
        <item m="1" x="5729"/>
        <item m="1" x="5730"/>
        <item m="1" x="7714"/>
        <item m="1" x="7921"/>
        <item m="1" x="7653"/>
        <item m="1" x="7527"/>
        <item m="1" x="7213"/>
        <item m="1" x="7030"/>
        <item m="1" x="6555"/>
        <item m="1" x="5434"/>
        <item m="1" x="4070"/>
        <item m="1" x="4232"/>
        <item m="1" x="4414"/>
        <item m="1" x="4244"/>
        <item m="1" x="4496"/>
        <item m="1" x="4497"/>
        <item m="1" x="7588"/>
        <item m="1" x="4252"/>
        <item m="1" x="4217"/>
        <item m="1" x="4498"/>
        <item m="1" x="7851"/>
        <item m="1" x="4253"/>
        <item m="1" x="4218"/>
        <item m="1" x="4516"/>
        <item m="1" x="7720"/>
        <item m="1" x="6024"/>
        <item m="1" x="6956"/>
        <item m="1" x="4337"/>
        <item m="1" x="5438"/>
        <item m="1" x="4254"/>
        <item m="1" x="4262"/>
        <item m="1" x="4499"/>
        <item m="1" x="7964"/>
        <item m="1" x="7786"/>
        <item m="1" x="5597"/>
        <item m="1" x="7872"/>
        <item m="1" x="5751"/>
        <item x="495"/>
        <item x="2960"/>
        <item m="1" x="7625"/>
        <item m="1" x="4527"/>
        <item m="1" x="7046"/>
        <item m="1" x="6812"/>
        <item m="1" x="6735"/>
        <item m="1" x="6717"/>
        <item m="1" x="6814"/>
        <item m="1" x="6806"/>
        <item m="1" x="6815"/>
        <item m="1" x="6885"/>
        <item m="1" x="6964"/>
        <item m="1" x="6977"/>
        <item m="1" x="7041"/>
        <item m="1" x="7038"/>
        <item m="1" x="7042"/>
        <item m="1" x="4534"/>
        <item m="1" x="4541"/>
        <item m="1" x="6898"/>
        <item m="1" x="4542"/>
        <item m="1" x="4543"/>
        <item m="1" x="7790"/>
        <item x="532"/>
        <item x="533"/>
        <item x="540"/>
        <item m="1" x="7398"/>
        <item m="1" x="6583"/>
        <item m="1" x="6584"/>
        <item x="1574"/>
        <item x="1575"/>
        <item x="78"/>
        <item m="1" x="6406"/>
        <item x="645"/>
        <item m="1" x="7852"/>
        <item m="1" x="4680"/>
        <item m="1" x="6410"/>
        <item x="3086"/>
        <item m="1" x="7418"/>
        <item m="1" x="7419"/>
        <item m="1" x="7428"/>
        <item m="1" x="7518"/>
        <item m="1" x="7433"/>
        <item m="1" x="7421"/>
        <item m="1" x="7764"/>
        <item x="1594"/>
        <item x="1595"/>
        <item m="1" x="7926"/>
        <item m="1" x="5779"/>
        <item m="1" x="5649"/>
        <item m="1" x="5644"/>
        <item x="3039"/>
        <item x="2540"/>
        <item x="1690"/>
        <item m="1" x="4900"/>
        <item m="1" x="7455"/>
        <item m="1" x="7454"/>
        <item m="1" x="5448"/>
        <item m="1" x="6032"/>
        <item m="1" x="6421"/>
        <item m="1" x="6420"/>
        <item x="859"/>
        <item x="860"/>
        <item x="3055"/>
        <item m="1" x="7466"/>
        <item m="1" x="5794"/>
        <item x="3251"/>
        <item m="1" x="5882"/>
        <item x="1808"/>
        <item m="1" x="5928"/>
        <item x="3381"/>
        <item m="1" x="4987"/>
        <item m="1" x="5929"/>
        <item x="3382"/>
        <item x="3383"/>
        <item m="1" x="5930"/>
        <item x="3384"/>
        <item m="1" x="6309"/>
        <item m="1" x="4988"/>
        <item m="1" x="5931"/>
        <item x="3386"/>
        <item m="1" x="6838"/>
        <item m="1" x="7007"/>
        <item m="1" x="7473"/>
        <item m="1" x="7078"/>
        <item x="193"/>
        <item x="1873"/>
        <item x="2645"/>
        <item x="3259"/>
        <item m="1" x="5687"/>
        <item m="1" x="6918"/>
        <item x="2650"/>
        <item m="1" x="7575"/>
        <item x="945"/>
        <item x="1867"/>
        <item x="1868"/>
        <item x="2656"/>
        <item x="959"/>
        <item m="1" x="5249"/>
        <item m="1" x="5251"/>
        <item m="1" x="7480"/>
        <item m="1" x="7939"/>
        <item m="1" x="7986"/>
        <item m="1" x="7956"/>
        <item x="2749"/>
        <item x="3107"/>
        <item m="1" x="7957"/>
        <item x="1030"/>
        <item x="1528"/>
        <item m="1" x="5080"/>
        <item m="1" x="7360"/>
        <item m="1" x="4575"/>
        <item m="1" x="4585"/>
        <item m="1" x="4586"/>
        <item m="1" x="7721"/>
        <item m="1" x="4789"/>
        <item m="1" x="4787"/>
        <item m="1" x="4786"/>
        <item m="1" x="4781"/>
        <item m="1" x="6147"/>
        <item m="1" x="4777"/>
        <item m="1" x="4814"/>
        <item m="1" x="4808"/>
        <item m="1" x="4835"/>
        <item m="1" x="4803"/>
        <item m="1" x="4799"/>
        <item m="1" x="4800"/>
        <item m="1" x="5016"/>
        <item m="1" x="4778"/>
        <item m="1" x="4809"/>
        <item m="1" x="4788"/>
        <item m="1" x="4819"/>
        <item m="1" x="4764"/>
        <item x="86"/>
        <item m="1" x="7547"/>
        <item x="1639"/>
        <item m="1" x="7842"/>
        <item x="2483"/>
        <item m="1" x="7873"/>
        <item x="699"/>
        <item m="1" x="7855"/>
        <item x="87"/>
        <item m="1" x="7856"/>
        <item x="2486"/>
        <item x="1641"/>
        <item x="1642"/>
        <item x="700"/>
        <item x="2490"/>
        <item x="2252"/>
        <item m="1" x="3871"/>
        <item m="1" x="7807"/>
        <item x="3463"/>
        <item m="1" x="3869"/>
        <item m="1" x="3872"/>
        <item m="1" x="6298"/>
        <item m="1" x="7772"/>
        <item m="1" x="7773"/>
        <item x="1420"/>
        <item x="1418"/>
        <item x="48"/>
        <item x="1419"/>
        <item m="1" x="6504"/>
        <item m="1" x="6505"/>
        <item m="1" x="6396"/>
        <item m="1" x="6501"/>
        <item m="1" x="6502"/>
        <item m="1" x="6397"/>
        <item m="1" x="6577"/>
        <item m="1" x="6668"/>
        <item m="1" x="6398"/>
        <item m="1" x="6328"/>
        <item m="1" x="6399"/>
        <item m="1" x="6329"/>
        <item m="1" x="6400"/>
        <item m="1" x="6503"/>
        <item x="1445"/>
        <item x="498"/>
        <item m="1" x="7389"/>
        <item x="499"/>
        <item m="1" x="7531"/>
        <item x="1474"/>
        <item m="1" x="7656"/>
        <item m="1" x="7545"/>
        <item m="1" x="7682"/>
        <item m="1" x="7571"/>
        <item m="1" x="7683"/>
        <item m="1" x="7626"/>
        <item m="1" x="7840"/>
        <item x="2829"/>
        <item x="261"/>
        <item m="1" x="6165"/>
        <item x="377"/>
        <item m="1" x="6102"/>
        <item m="1" x="5420"/>
        <item m="1" x="3777"/>
        <item m="1" x="5727"/>
        <item m="1" x="6609"/>
        <item m="1" x="7502"/>
        <item m="1" x="6465"/>
        <item m="1" x="7183"/>
        <item x="2710"/>
        <item m="1" x="5195"/>
        <item x="2250"/>
        <item x="2910"/>
        <item m="1" x="3870"/>
        <item x="1309"/>
        <item x="2251"/>
        <item m="1" x="7784"/>
        <item m="1" x="7833"/>
        <item x="1713"/>
        <item m="1" x="3875"/>
        <item m="1" x="4149"/>
        <item m="1" x="3905"/>
        <item x="2323"/>
        <item m="1" x="4255"/>
        <item m="1" x="7908"/>
        <item m="1" x="4405"/>
        <item m="1" x="7839"/>
        <item m="1" x="4521"/>
        <item x="490"/>
        <item x="1471"/>
        <item x="1472"/>
        <item m="1" x="7532"/>
        <item x="2967"/>
        <item x="2365"/>
        <item x="524"/>
        <item x="525"/>
        <item x="526"/>
        <item x="3088"/>
        <item x="528"/>
        <item m="1" x="7751"/>
        <item x="1473"/>
        <item m="1" x="7735"/>
        <item m="1" x="7667"/>
        <item x="2366"/>
        <item x="529"/>
        <item x="1475"/>
        <item m="1" x="7730"/>
        <item x="56"/>
        <item m="1" x="7396"/>
        <item m="1" x="5614"/>
        <item x="3313"/>
        <item m="1" x="6689"/>
        <item x="2972"/>
        <item m="1" x="6690"/>
        <item x="3315"/>
        <item x="3318"/>
        <item m="1" x="7399"/>
        <item x="3323"/>
        <item x="3324"/>
        <item x="3332"/>
        <item m="1" x="6514"/>
        <item m="1" x="7777"/>
        <item m="1" x="7057"/>
        <item m="1" x="4627"/>
        <item m="1" x="7403"/>
        <item x="646"/>
        <item m="1" x="7413"/>
        <item m="1" x="6143"/>
        <item m="1" x="5978"/>
        <item x="1577"/>
        <item m="1" x="6517"/>
        <item m="1" x="7606"/>
        <item m="1" x="7414"/>
        <item m="1" x="4763"/>
        <item m="1" x="6524"/>
        <item x="666"/>
        <item x="2454"/>
        <item x="1596"/>
        <item x="1617"/>
        <item x="1631"/>
        <item x="2472"/>
        <item m="1" x="7444"/>
        <item m="1" x="5753"/>
        <item x="2464"/>
        <item m="1" x="5478"/>
        <item x="794"/>
        <item x="3476"/>
        <item x="1715"/>
        <item m="1" x="7785"/>
        <item x="1807"/>
        <item m="1" x="4990"/>
        <item x="3388"/>
        <item x="3389"/>
        <item m="1" x="5932"/>
        <item x="3391"/>
        <item x="3390"/>
        <item x="2142"/>
        <item m="1" x="5933"/>
        <item x="3392"/>
        <item x="3393"/>
        <item m="1" x="7779"/>
        <item m="1" x="6310"/>
        <item m="1" x="6311"/>
        <item x="3395"/>
        <item x="3510"/>
        <item x="683"/>
        <item x="3396"/>
        <item m="1" x="5030"/>
        <item m="1" x="7630"/>
        <item m="1" x="7521"/>
        <item m="1" x="7631"/>
        <item m="1" x="5037"/>
        <item m="1" x="7761"/>
        <item m="1" x="5063"/>
        <item m="1" x="5064"/>
        <item m="1" x="5073"/>
        <item m="1" x="5866"/>
        <item m="1" x="7019"/>
        <item x="2766"/>
        <item x="2029"/>
        <item m="1" x="7848"/>
        <item x="2767"/>
        <item x="2768"/>
        <item x="2031"/>
        <item x="2032"/>
        <item m="1" x="6240"/>
        <item m="1" x="7020"/>
        <item x="1025"/>
        <item m="1" x="7960"/>
        <item m="1" x="7800"/>
        <item x="2876"/>
        <item m="1" x="6454"/>
        <item m="1" x="5834"/>
        <item m="1" x="6359"/>
        <item x="2205"/>
        <item m="1" x="6355"/>
        <item m="1" x="7583"/>
        <item m="1" x="6949"/>
        <item m="1" x="3824"/>
        <item m="1" x="7920"/>
        <item m="1" x="7219"/>
        <item m="1" x="7801"/>
        <item m="1" x="7526"/>
        <item m="1" x="6566"/>
        <item m="1" x="6567"/>
        <item x="460"/>
        <item x="44"/>
        <item x="2320"/>
        <item x="461"/>
        <item x="462"/>
        <item m="1" x="7834"/>
        <item x="2322"/>
        <item m="1" x="6578"/>
        <item m="1" x="6725"/>
        <item m="1" x="6802"/>
        <item m="1" x="6734"/>
        <item m="1" x="6752"/>
        <item m="1" x="7050"/>
        <item m="1" x="6809"/>
        <item m="1" x="6817"/>
        <item m="1" x="6801"/>
        <item m="1" x="7841"/>
        <item m="1" x="7556"/>
        <item m="1" x="7902"/>
        <item m="1" x="4587"/>
        <item x="1544"/>
        <item x="1973"/>
        <item m="1" x="7813"/>
        <item x="1940"/>
        <item x="1534"/>
        <item x="1540"/>
        <item m="1" x="7410"/>
        <item m="1" x="6411"/>
        <item m="1" x="6760"/>
        <item m="1" x="6828"/>
        <item x="2409"/>
        <item x="1522"/>
        <item m="1" x="6224"/>
        <item x="1546"/>
        <item m="1" x="6225"/>
        <item x="1970"/>
        <item m="1" x="7564"/>
        <item x="1542"/>
        <item m="1" x="6138"/>
        <item m="1" x="7977"/>
        <item m="1" x="7407"/>
        <item m="1" x="6827"/>
        <item m="1" x="7417"/>
        <item m="1" x="7420"/>
        <item m="1" x="7432"/>
        <item m="1" x="7429"/>
        <item m="1" x="6146"/>
        <item m="1" x="4726"/>
        <item m="1" x="6413"/>
        <item m="1" x="7749"/>
        <item x="1787"/>
        <item x="1788"/>
        <item x="861"/>
        <item x="1827"/>
        <item m="1" x="6837"/>
        <item x="1831"/>
        <item x="895"/>
        <item m="1" x="7064"/>
        <item x="898"/>
        <item m="1" x="6914"/>
        <item x="166"/>
        <item m="1" x="7002"/>
        <item m="1" x="7066"/>
        <item x="1833"/>
        <item x="901"/>
        <item x="904"/>
        <item x="903"/>
        <item m="1" x="5509"/>
        <item x="902"/>
        <item x="171"/>
        <item m="1" x="7070"/>
        <item x="906"/>
        <item m="1" x="7071"/>
        <item m="1" x="7069"/>
        <item x="905"/>
        <item x="2639"/>
        <item m="1" x="7574"/>
        <item m="1" x="7476"/>
        <item x="923"/>
        <item x="924"/>
        <item x="954"/>
        <item m="1" x="7008"/>
        <item m="1" x="7474"/>
        <item m="1" x="5388"/>
        <item x="1852"/>
        <item x="947"/>
        <item x="958"/>
        <item m="1" x="6923"/>
        <item m="1" x="5206"/>
        <item m="1" x="7015"/>
        <item m="1" x="6839"/>
        <item m="1" x="7847"/>
        <item m="1" x="7686"/>
        <item m="1" x="6339"/>
        <item m="1" x="6925"/>
        <item m="1" x="7740"/>
        <item m="1" x="7952"/>
        <item m="1" x="5218"/>
        <item m="1" x="5314"/>
        <item m="1" x="5319"/>
        <item x="206"/>
        <item x="3092"/>
        <item x="2723"/>
        <item m="1" x="7929"/>
        <item m="1" x="7482"/>
        <item x="1014"/>
        <item x="471"/>
        <item m="1" x="7555"/>
        <item m="1" x="7536"/>
        <item m="1" x="7734"/>
        <item m="1" x="7613"/>
        <item x="2326"/>
        <item x="1423"/>
        <item m="1" x="6346"/>
        <item m="1" x="7959"/>
        <item x="2124"/>
        <item m="1" x="6851"/>
        <item m="1" x="7736"/>
        <item m="1" x="7732"/>
        <item m="1" x="7549"/>
        <item m="1" x="7649"/>
        <item m="1" x="7620"/>
        <item m="1" x="7697"/>
        <item m="1" x="7550"/>
        <item m="1" x="3573"/>
        <item m="1" x="7900"/>
        <item x="1515"/>
        <item m="1" x="6852"/>
        <item m="1" x="3640"/>
        <item m="1" x="6084"/>
        <item m="1" x="7741"/>
        <item m="1" x="7109"/>
        <item m="1" x="7104"/>
        <item m="1" x="3592"/>
        <item m="1" x="3547"/>
        <item m="1" x="3593"/>
        <item m="1" x="7105"/>
        <item m="1" x="7919"/>
        <item m="1" x="5997"/>
        <item m="1" x="7119"/>
        <item m="1" x="3594"/>
        <item m="1" x="3595"/>
        <item m="1" x="3683"/>
        <item m="1" x="5878"/>
        <item m="1" x="3641"/>
        <item m="1" x="7762"/>
        <item m="1" x="7110"/>
        <item m="1" x="3684"/>
        <item m="1" x="7106"/>
        <item m="1" x="7107"/>
        <item m="1" x="3642"/>
        <item m="1" x="7108"/>
        <item m="1" x="6853"/>
        <item m="1" x="7098"/>
        <item m="1" x="7099"/>
        <item m="1" x="7097"/>
        <item m="1" x="7100"/>
        <item m="1" x="7101"/>
        <item m="1" x="7102"/>
        <item m="1" x="3629"/>
        <item m="1" x="3572"/>
        <item m="1" x="3630"/>
        <item x="1027"/>
        <item m="1" x="3705"/>
        <item m="1" x="3712"/>
        <item m="1" x="3706"/>
        <item m="1" x="3713"/>
        <item m="1" x="6377"/>
        <item m="1" x="7973"/>
        <item m="1" x="7943"/>
        <item m="1" x="6357"/>
        <item x="520"/>
        <item x="1222"/>
        <item m="1" x="7650"/>
        <item m="1" x="5717"/>
        <item m="1" x="5416"/>
        <item m="1" x="5417"/>
        <item m="1" x="7542"/>
        <item m="1" x="7141"/>
        <item m="1" x="5414"/>
        <item m="1" x="6455"/>
        <item m="1" x="5716"/>
        <item m="1" x="6549"/>
        <item x="2203"/>
        <item m="1" x="6005"/>
        <item m="1" x="7142"/>
        <item m="1" x="6601"/>
        <item m="1" x="7552"/>
        <item m="1" x="5552"/>
        <item m="1" x="3741"/>
        <item m="1" x="3732"/>
        <item m="1" x="3733"/>
        <item m="1" x="3746"/>
        <item m="1" x="3742"/>
        <item m="1" x="3734"/>
        <item m="1" x="3736"/>
        <item m="1" x="3744"/>
        <item m="1" x="3747"/>
        <item m="1" x="3737"/>
        <item m="1" x="3738"/>
        <item m="1" x="7176"/>
        <item m="1" x="3751"/>
        <item m="1" x="3765"/>
        <item m="1" x="6462"/>
        <item x="1296"/>
        <item x="376"/>
        <item x="2238"/>
        <item x="1295"/>
        <item x="2908"/>
        <item m="1" x="5426"/>
        <item x="390"/>
        <item x="2720"/>
        <item m="1" x="7186"/>
        <item x="1951"/>
        <item m="1" x="4353"/>
        <item m="1" x="7195"/>
        <item m="1" x="6012"/>
        <item m="1" x="6013"/>
        <item m="1" x="7508"/>
        <item m="1" x="7603"/>
        <item x="2261"/>
        <item x="2307"/>
        <item m="1" x="7354"/>
        <item m="1" x="6621"/>
        <item m="1" x="6622"/>
        <item m="1" x="7370"/>
        <item m="1" x="6389"/>
        <item m="1" x="7500"/>
        <item x="385"/>
        <item m="1" x="4690"/>
        <item m="1" x="4490"/>
        <item m="1" x="4237"/>
        <item m="1" x="6022"/>
        <item m="1" x="6023"/>
        <item m="1" x="4437"/>
        <item m="1" x="7504"/>
        <item m="1" x="4256"/>
        <item m="1" x="4257"/>
        <item m="1" x="7715"/>
        <item m="1" x="7614"/>
        <item m="1" x="4258"/>
        <item m="1" x="5439"/>
        <item m="1" x="7377"/>
        <item m="1" x="7378"/>
        <item m="1" x="6794"/>
        <item m="1" x="4260"/>
        <item m="1" x="4338"/>
        <item m="1" x="4500"/>
        <item m="1" x="4340"/>
        <item m="1" x="5590"/>
        <item m="1" x="4501"/>
        <item m="1" x="4438"/>
        <item m="1" x="7380"/>
        <item m="1" x="4502"/>
        <item m="1" x="4341"/>
        <item m="1" x="4476"/>
        <item m="1" x="4403"/>
        <item m="1" x="7811"/>
        <item m="1" x="7384"/>
        <item m="1" x="6030"/>
        <item m="1" x="7383"/>
        <item x="3464"/>
        <item m="1" x="7975"/>
        <item x="2632"/>
        <item m="1" x="4461"/>
        <item m="1" x="6209"/>
        <item x="1449"/>
        <item x="1450"/>
        <item x="2962"/>
        <item m="1" x="5458"/>
        <item x="2354"/>
        <item m="1" x="7593"/>
        <item m="1" x="7636"/>
        <item m="1" x="7628"/>
        <item x="530"/>
        <item x="57"/>
        <item m="1" x="5459"/>
        <item m="1" x="7391"/>
        <item m="1" x="4556"/>
        <item m="1" x="4607"/>
        <item m="1" x="4278"/>
        <item m="1" x="7605"/>
        <item m="1" x="6301"/>
        <item m="1" x="4642"/>
        <item x="3316"/>
        <item x="3320"/>
        <item m="1" x="6674"/>
        <item m="1" x="7775"/>
        <item x="647"/>
        <item x="648"/>
        <item m="1" x="7912"/>
        <item m="1" x="6522"/>
        <item m="1" x="7658"/>
        <item m="1" x="6045"/>
        <item m="1" x="6050"/>
        <item x="2436"/>
        <item x="589"/>
        <item m="1" x="5767"/>
        <item x="590"/>
        <item x="605"/>
        <item x="2441"/>
        <item m="1" x="4660"/>
        <item x="607"/>
        <item x="1512"/>
        <item x="2412"/>
        <item x="595"/>
        <item x="1518"/>
        <item m="1" x="7533"/>
        <item x="580"/>
        <item m="1" x="6269"/>
        <item x="1555"/>
        <item x="609"/>
        <item x="2443"/>
        <item m="1" x="4671"/>
        <item x="3006"/>
        <item m="1" x="7722"/>
        <item m="1" x="4678"/>
        <item m="1" x="6826"/>
        <item m="1" x="6520"/>
        <item x="3337"/>
        <item x="2398"/>
        <item x="1520"/>
        <item x="2403"/>
        <item m="1" x="4473"/>
        <item x="1265"/>
        <item m="1" x="6409"/>
        <item m="1" x="6675"/>
        <item m="1" x="5856"/>
        <item x="3339"/>
        <item m="1" x="6047"/>
        <item m="1" x="6992"/>
        <item m="1" x="7406"/>
        <item x="1556"/>
        <item x="3218"/>
        <item x="1559"/>
        <item m="1" x="6267"/>
        <item m="1" x="4681"/>
        <item m="1" x="5919"/>
        <item x="2982"/>
        <item m="1" x="5769"/>
        <item x="69"/>
        <item m="1" x="6223"/>
        <item m="1" x="6271"/>
        <item x="2397"/>
        <item m="1" x="4682"/>
        <item m="1" x="7903"/>
        <item x="2987"/>
        <item x="3215"/>
        <item m="1" x="5766"/>
        <item x="1264"/>
        <item x="70"/>
        <item x="1526"/>
        <item m="1" x="6049"/>
        <item x="1597"/>
        <item m="1" x="7443"/>
        <item x="1602"/>
        <item m="1" x="7979"/>
        <item m="1" x="4881"/>
        <item m="1" x="7439"/>
        <item m="1" x="4883"/>
        <item m="1" x="5480"/>
        <item m="1" x="5642"/>
        <item m="1" x="5859"/>
        <item m="1" x="5643"/>
        <item x="2526"/>
        <item x="740"/>
        <item x="1665"/>
        <item x="3037"/>
        <item x="105"/>
        <item m="1" x="6416"/>
        <item x="741"/>
        <item x="106"/>
        <item x="742"/>
        <item m="1" x="6829"/>
        <item x="2527"/>
        <item m="1" x="6995"/>
        <item x="107"/>
        <item m="1" x="6996"/>
        <item x="2528"/>
        <item x="2529"/>
        <item x="788"/>
        <item x="3041"/>
        <item m="1" x="7860"/>
        <item m="1" x="7520"/>
        <item m="1" x="7060"/>
        <item x="2556"/>
        <item x="2568"/>
        <item x="1789"/>
        <item x="1790"/>
        <item m="1" x="6999"/>
        <item m="1" x="7000"/>
        <item m="1" x="6836"/>
        <item m="1" x="7061"/>
        <item m="1" x="6910"/>
        <item m="1" x="7062"/>
        <item m="1" x="7468"/>
        <item x="862"/>
        <item m="1" x="7470"/>
        <item m="1" x="7846"/>
        <item m="1" x="4938"/>
        <item m="1" x="4956"/>
        <item x="3399"/>
        <item x="3400"/>
        <item m="1" x="4991"/>
        <item x="3401"/>
        <item x="3402"/>
        <item x="3403"/>
        <item x="3404"/>
        <item x="3405"/>
        <item m="1" x="7780"/>
        <item x="3513"/>
        <item x="3407"/>
        <item m="1" x="4992"/>
        <item x="3408"/>
        <item m="1" x="5936"/>
        <item m="1" x="6677"/>
        <item m="1" x="5937"/>
        <item m="1" x="5060"/>
        <item x="3452"/>
        <item m="1" x="6763"/>
        <item m="1" x="5038"/>
        <item m="1" x="5050"/>
        <item m="1" x="7632"/>
        <item m="1" x="6027"/>
        <item m="1" x="7573"/>
        <item x="942"/>
        <item m="1" x="3840"/>
        <item m="1" x="6156"/>
        <item m="1" x="7079"/>
        <item x="1880"/>
        <item m="1" x="7806"/>
        <item x="3066"/>
        <item x="1881"/>
        <item x="960"/>
        <item x="1883"/>
        <item x="2657"/>
        <item x="1884"/>
        <item x="962"/>
        <item x="1887"/>
        <item m="1" x="7936"/>
        <item x="3068"/>
        <item x="1888"/>
        <item x="1889"/>
        <item x="2659"/>
        <item x="2660"/>
        <item m="1" x="7819"/>
        <item x="1890"/>
        <item x="1891"/>
        <item x="964"/>
        <item m="1" x="7880"/>
        <item x="2661"/>
        <item x="1892"/>
        <item x="1893"/>
        <item x="965"/>
        <item x="2662"/>
        <item x="966"/>
        <item m="1" x="7829"/>
        <item x="200"/>
        <item x="1894"/>
        <item x="1895"/>
        <item x="2663"/>
        <item m="1" x="7862"/>
        <item x="1896"/>
        <item m="1" x="7937"/>
        <item x="967"/>
        <item m="1" x="5246"/>
        <item m="1" x="5328"/>
        <item x="1024"/>
        <item m="1" x="7486"/>
        <item m="1" x="7490"/>
        <item m="1" x="6595"/>
        <item m="1" x="7491"/>
        <item m="1" x="7487"/>
        <item m="1" x="7489"/>
        <item x="2385"/>
        <item m="1" x="6540"/>
        <item x="2772"/>
        <item x="2773"/>
        <item x="2049"/>
        <item m="1" x="7677"/>
        <item x="1031"/>
        <item x="1032"/>
        <item x="3120"/>
        <item x="2774"/>
        <item x="2050"/>
        <item x="2051"/>
        <item m="1" x="5561"/>
        <item m="1" x="5888"/>
        <item m="1" x="5889"/>
        <item m="1" x="6187"/>
        <item m="1" x="5891"/>
        <item m="1" x="5562"/>
        <item m="1" x="5369"/>
        <item m="1" x="5892"/>
        <item m="1" x="5563"/>
        <item m="1" x="6858"/>
        <item m="1" x="7028"/>
        <item m="1" x="6288"/>
        <item m="1" x="5895"/>
        <item m="1" x="5896"/>
        <item m="1" x="5421"/>
        <item m="1" x="5723"/>
        <item m="1" x="5565"/>
        <item m="1" x="6290"/>
        <item m="1" x="5566"/>
        <item m="1" x="5567"/>
        <item m="1" x="6291"/>
        <item m="1" x="5898"/>
        <item m="1" x="5899"/>
        <item m="1" x="5422"/>
        <item m="1" x="6188"/>
        <item m="1" x="5423"/>
        <item m="1" x="5569"/>
        <item m="1" x="6369"/>
        <item m="1" x="6104"/>
        <item m="1" x="5902"/>
        <item m="1" x="6106"/>
        <item m="1" x="5424"/>
        <item m="1" x="6680"/>
        <item m="1" x="6294"/>
        <item m="1" x="5905"/>
        <item m="1" x="5906"/>
        <item m="1" x="5907"/>
        <item m="1" x="7029"/>
        <item m="1" x="6945"/>
        <item m="1" x="5726"/>
        <item m="1" x="5838"/>
        <item m="1" x="5425"/>
        <item x="569"/>
        <item m="1" x="6681"/>
        <item m="1" x="7267"/>
        <item m="1" x="7340"/>
        <item m="1" x="7268"/>
        <item m="1" x="7238"/>
        <item m="1" x="7308"/>
        <item m="1" x="7309"/>
        <item m="1" x="7269"/>
        <item m="1" x="7310"/>
        <item m="1" x="7233"/>
        <item m="1" x="7311"/>
        <item m="1" x="7239"/>
        <item m="1" x="7270"/>
        <item m="1" x="7341"/>
        <item m="1" x="7240"/>
        <item m="1" x="7241"/>
        <item m="1" x="7313"/>
        <item m="1" x="7314"/>
        <item m="1" x="7315"/>
        <item m="1" x="7242"/>
        <item m="1" x="7271"/>
        <item m="1" x="7272"/>
        <item m="1" x="7243"/>
        <item m="1" x="7273"/>
        <item m="1" x="7244"/>
        <item m="1" x="7342"/>
        <item m="1" x="7316"/>
        <item m="1" x="7274"/>
        <item m="1" x="7275"/>
        <item m="1" x="7276"/>
        <item m="1" x="7277"/>
        <item m="1" x="7343"/>
        <item m="1" x="7234"/>
        <item m="1" x="7278"/>
        <item x="454"/>
        <item m="1" x="7938"/>
        <item m="1" x="7996"/>
        <item m="1" x="7984"/>
        <item m="1" x="6592"/>
        <item m="1" x="5186"/>
        <item m="1" x="6655"/>
        <item m="1" x="7768"/>
        <item m="1" x="5138"/>
        <item m="1" x="7930"/>
        <item x="2742"/>
        <item m="1" x="7918"/>
        <item m="1" x="7942"/>
        <item x="268"/>
        <item x="1111"/>
        <item x="1113"/>
        <item m="1" x="6081"/>
        <item m="1" x="5989"/>
        <item m="1" x="3539"/>
        <item m="1" x="3540"/>
        <item m="1" x="6441"/>
        <item m="1" x="7175"/>
        <item x="378"/>
        <item x="379"/>
        <item m="1" x="7529"/>
        <item m="1" x="5560"/>
        <item m="1" x="4040"/>
        <item m="1" x="5570"/>
        <item x="2246"/>
        <item x="1935"/>
        <item m="1" x="6191"/>
        <item x="987"/>
        <item x="1302"/>
        <item x="210"/>
        <item m="1" x="7202"/>
        <item m="1" x="7203"/>
        <item m="1" x="7204"/>
        <item m="1" x="7205"/>
        <item m="1" x="7206"/>
        <item m="1" x="7200"/>
        <item m="1" x="7199"/>
        <item m="1" x="7207"/>
        <item m="1" x="7201"/>
        <item m="1" x="7245"/>
        <item m="1" x="7279"/>
        <item m="1" x="7246"/>
        <item m="1" x="7280"/>
        <item m="1" x="7281"/>
        <item m="1" x="7666"/>
        <item m="1" x="7247"/>
        <item m="1" x="7282"/>
        <item m="1" x="7570"/>
        <item m="1" x="7698"/>
        <item m="1" x="7319"/>
        <item m="1" x="7248"/>
        <item m="1" x="7249"/>
        <item m="1" x="7235"/>
        <item m="1" x="7283"/>
        <item m="1" x="7320"/>
        <item m="1" x="7321"/>
        <item m="1" x="7322"/>
        <item m="1" x="7284"/>
        <item m="1" x="7323"/>
        <item m="1" x="7250"/>
        <item m="1" x="7251"/>
        <item m="1" x="7324"/>
        <item m="1" x="7325"/>
        <item m="1" x="7285"/>
        <item m="1" x="7252"/>
        <item m="1" x="7286"/>
        <item m="1" x="7287"/>
        <item m="1" x="7288"/>
        <item m="1" x="7253"/>
        <item m="1" x="7254"/>
        <item m="1" x="7327"/>
        <item m="1" x="7255"/>
        <item m="1" x="7328"/>
        <item m="1" x="7344"/>
        <item m="1" x="7256"/>
        <item m="1" x="7289"/>
        <item m="1" x="7329"/>
        <item m="1" x="7290"/>
        <item m="1" x="7291"/>
        <item m="1" x="7350"/>
        <item m="1" x="7257"/>
        <item m="1" x="7330"/>
        <item m="1" x="7331"/>
        <item m="1" x="7345"/>
        <item m="1" x="7258"/>
        <item m="1" x="7292"/>
        <item m="1" x="7293"/>
        <item m="1" x="7259"/>
        <item m="1" x="7332"/>
        <item m="1" x="7236"/>
        <item m="1" x="7294"/>
        <item m="1" x="7333"/>
        <item m="1" x="7260"/>
        <item m="1" x="7655"/>
        <item x="2308"/>
        <item m="1" x="7353"/>
        <item m="1" x="7352"/>
        <item m="1" x="7356"/>
        <item m="1" x="7357"/>
        <item m="1" x="7355"/>
        <item m="1" x="7358"/>
        <item m="1" x="6489"/>
        <item m="1" x="6490"/>
        <item m="1" x="7031"/>
        <item m="1" x="6491"/>
        <item m="1" x="7368"/>
        <item m="1" x="7361"/>
        <item m="1" x="7364"/>
        <item x="1513"/>
        <item m="1" x="7365"/>
        <item m="1" x="7747"/>
        <item m="1" x="7719"/>
        <item m="1" x="7517"/>
        <item m="1" x="7369"/>
        <item m="1" x="6492"/>
        <item m="1" x="7587"/>
        <item m="1" x="3863"/>
        <item m="1" x="7366"/>
        <item m="1" x="7766"/>
        <item m="1" x="6872"/>
        <item m="1" x="7032"/>
        <item m="1" x="7362"/>
        <item m="1" x="7367"/>
        <item m="1" x="6955"/>
        <item m="1" x="6873"/>
        <item m="1" x="6546"/>
        <item m="1" x="7363"/>
        <item m="1" x="6568"/>
        <item m="1" x="7544"/>
        <item m="1" x="5969"/>
        <item m="1" x="5970"/>
        <item x="1446"/>
        <item x="496"/>
        <item x="497"/>
        <item x="1448"/>
        <item x="2350"/>
        <item x="1453"/>
        <item m="1" x="6897"/>
        <item x="2351"/>
        <item m="1" x="5457"/>
        <item x="2961"/>
        <item x="504"/>
        <item x="505"/>
        <item x="2352"/>
        <item x="506"/>
        <item x="2353"/>
        <item x="1454"/>
        <item x="1455"/>
        <item x="1456"/>
        <item x="1457"/>
        <item x="1458"/>
        <item m="1" x="7594"/>
        <item x="507"/>
        <item x="508"/>
        <item x="53"/>
        <item m="1" x="7627"/>
        <item m="1" x="7657"/>
        <item m="1" x="7510"/>
        <item m="1" x="4535"/>
        <item m="1" x="7763"/>
        <item m="1" x="4548"/>
        <item m="1" x="7595"/>
        <item m="1" x="4544"/>
        <item m="1" x="6899"/>
        <item m="1" x="6983"/>
        <item x="3307"/>
        <item x="3191"/>
        <item m="1" x="6117"/>
        <item m="1" x="6756"/>
        <item m="1" x="6688"/>
        <item m="1" x="4635"/>
        <item m="1" x="5912"/>
        <item m="1" x="7397"/>
        <item m="1" x="7637"/>
        <item m="1" x="6757"/>
        <item m="1" x="7395"/>
        <item m="1" x="7394"/>
        <item m="1" x="7401"/>
        <item x="649"/>
        <item x="650"/>
        <item m="1" x="6991"/>
        <item x="651"/>
        <item m="1" x="6519"/>
        <item x="574"/>
        <item x="604"/>
        <item x="2371"/>
        <item m="1" x="6588"/>
        <item m="1" x="7505"/>
        <item x="1530"/>
        <item m="1" x="7538"/>
        <item x="2392"/>
        <item x="1519"/>
        <item x="596"/>
        <item m="1" x="7405"/>
        <item x="2444"/>
        <item m="1" x="4656"/>
        <item m="1" x="7412"/>
        <item m="1" x="4665"/>
        <item m="1" x="4674"/>
        <item m="1" x="4650"/>
        <item x="1549"/>
        <item m="1" x="6132"/>
        <item m="1" x="5764"/>
        <item m="1" x="4649"/>
        <item m="1" x="6627"/>
        <item m="1" x="6333"/>
        <item m="1" x="6134"/>
        <item m="1" x="6137"/>
        <item x="598"/>
        <item m="1" x="7411"/>
        <item x="2425"/>
        <item m="1" x="6136"/>
        <item m="1" x="7675"/>
        <item m="1" x="7660"/>
        <item m="1" x="7539"/>
        <item m="1" x="7519"/>
        <item x="149"/>
        <item x="1711"/>
        <item m="1" x="6998"/>
        <item m="1" x="6676"/>
        <item x="863"/>
        <item m="1" x="7464"/>
        <item x="2612"/>
        <item x="864"/>
        <item x="1791"/>
        <item x="865"/>
        <item x="866"/>
        <item x="3249"/>
        <item x="1792"/>
        <item m="1" x="6762"/>
        <item x="157"/>
        <item m="1" x="5011"/>
        <item m="1" x="6182"/>
        <item x="2875"/>
        <item m="1" x="6603"/>
        <item m="1" x="6776"/>
        <item x="1218"/>
        <item m="1" x="6457"/>
        <item x="2885"/>
        <item x="338"/>
        <item m="1" x="5554"/>
        <item m="1" x="6458"/>
        <item x="1230"/>
        <item m="1" x="6453"/>
        <item m="1" x="7143"/>
        <item m="1" x="7144"/>
        <item m="1" x="7145"/>
        <item x="2199"/>
        <item x="1235"/>
        <item m="1" x="7125"/>
        <item x="1233"/>
        <item m="1" x="5412"/>
        <item m="1" x="7162"/>
        <item m="1" x="5715"/>
        <item x="339"/>
        <item x="1232"/>
        <item m="1" x="5966"/>
        <item m="1" x="6547"/>
        <item m="1" x="6360"/>
        <item m="1" x="7146"/>
        <item m="1" x="7737"/>
        <item x="2184"/>
        <item m="1" x="5410"/>
        <item m="1" x="6855"/>
        <item x="2192"/>
        <item m="1" x="7147"/>
        <item m="1" x="6459"/>
        <item m="1" x="7129"/>
        <item m="1" x="7148"/>
        <item x="1223"/>
        <item x="1227"/>
        <item x="2197"/>
        <item x="1188"/>
        <item m="1" x="7718"/>
        <item m="1" x="7602"/>
        <item m="1" x="7641"/>
        <item m="1" x="7515"/>
        <item m="1" x="7523"/>
        <item m="1" x="7622"/>
        <item x="344"/>
        <item m="1" x="7163"/>
        <item m="1" x="7171"/>
        <item m="1" x="7130"/>
        <item m="1" x="7164"/>
        <item m="1" x="7131"/>
        <item m="1" x="6181"/>
        <item m="1" x="7132"/>
        <item m="1" x="7172"/>
        <item x="2202"/>
        <item m="1" x="7133"/>
        <item m="1" x="7149"/>
        <item m="1" x="7150"/>
        <item m="1" x="7642"/>
        <item x="1153"/>
        <item x="2843"/>
        <item x="1146"/>
        <item x="296"/>
        <item m="1" x="7165"/>
        <item x="2845"/>
        <item x="11"/>
        <item m="1" x="6942"/>
        <item x="12"/>
        <item x="2139"/>
        <item m="1" x="7166"/>
        <item m="1" x="6168"/>
        <item x="2169"/>
        <item m="1" x="7151"/>
        <item m="1" x="7152"/>
        <item m="1" x="7153"/>
        <item x="2844"/>
        <item x="2135"/>
        <item m="1" x="6773"/>
        <item m="1" x="7559"/>
        <item m="1" x="7154"/>
        <item x="2851"/>
        <item m="1" x="7126"/>
        <item m="1" x="6541"/>
        <item x="2176"/>
        <item x="299"/>
        <item x="2140"/>
        <item x="2848"/>
        <item x="2846"/>
        <item x="1154"/>
        <item x="2847"/>
        <item x="300"/>
        <item x="2132"/>
        <item m="1" x="7127"/>
        <item x="1149"/>
        <item x="297"/>
        <item x="2136"/>
        <item x="21"/>
        <item x="298"/>
        <item m="1" x="6087"/>
        <item x="323"/>
        <item m="1" x="7155"/>
        <item x="301"/>
        <item x="2850"/>
        <item x="2137"/>
        <item m="1" x="6167"/>
        <item m="1" x="7134"/>
        <item m="1" x="7156"/>
        <item m="1" x="7167"/>
        <item m="1" x="6086"/>
        <item m="1" x="6169"/>
        <item m="1" x="7611"/>
        <item m="1" x="7173"/>
        <item x="1155"/>
        <item x="2853"/>
        <item x="2133"/>
        <item x="1150"/>
        <item x="1151"/>
        <item x="13"/>
        <item m="1" x="5406"/>
        <item m="1" x="5548"/>
        <item x="2852"/>
        <item x="2134"/>
        <item x="1152"/>
        <item x="2138"/>
        <item x="2849"/>
        <item m="1" x="5999"/>
        <item m="1" x="5714"/>
        <item m="1" x="7157"/>
        <item x="1147"/>
        <item x="2141"/>
        <item m="1" x="5408"/>
        <item m="1" x="6542"/>
        <item m="1" x="7192"/>
        <item m="1" x="7524"/>
        <item m="1" x="7359"/>
        <item m="1" x="5436"/>
        <item x="2475"/>
        <item m="1" x="6790"/>
        <item m="1" x="5437"/>
        <item x="571"/>
        <item x="1409"/>
        <item m="1" x="6495"/>
        <item m="1" x="4444"/>
        <item m="1" x="4269"/>
        <item m="1" x="4347"/>
        <item m="1" x="4267"/>
        <item m="1" x="4268"/>
        <item m="1" x="5371"/>
        <item m="1" x="4443"/>
        <item m="1" x="4503"/>
        <item m="1" x="6876"/>
        <item m="1" x="4346"/>
        <item m="1" x="7374"/>
        <item m="1" x="4345"/>
        <item m="1" x="7375"/>
        <item m="1" x="6795"/>
        <item m="1" x="4517"/>
        <item m="1" x="4441"/>
        <item m="1" x="4220"/>
        <item m="1" x="4342"/>
        <item m="1" x="4439"/>
        <item m="1" x="4440"/>
        <item m="1" x="6623"/>
        <item m="1" x="6391"/>
        <item m="1" x="6113"/>
        <item m="1" x="7381"/>
        <item m="1" x="4343"/>
        <item x="1246"/>
        <item m="1" x="4263"/>
        <item m="1" x="6025"/>
        <item m="1" x="6723"/>
        <item m="1" x="4264"/>
        <item m="1" x="4442"/>
        <item m="1" x="4344"/>
        <item m="1" x="4265"/>
        <item m="1" x="6569"/>
        <item m="1" x="4266"/>
        <item m="1" x="5591"/>
        <item m="1" x="4169"/>
        <item m="1" x="5743"/>
        <item m="1" x="6881"/>
        <item m="1" x="6029"/>
        <item m="1" x="7716"/>
        <item m="1" x="7699"/>
        <item m="1" x="7731"/>
        <item m="1" x="4636"/>
        <item x="3312"/>
        <item m="1" x="6585"/>
        <item m="1" x="7415"/>
        <item m="1" x="7424"/>
        <item m="1" x="7425"/>
        <item m="1" x="7430"/>
        <item m="1" x="7426"/>
        <item m="1" x="7427"/>
        <item x="3007"/>
        <item x="3009"/>
        <item x="690"/>
        <item m="1" x="7512"/>
        <item x="2479"/>
        <item x="691"/>
        <item x="692"/>
        <item x="3010"/>
        <item x="83"/>
        <item x="84"/>
        <item x="2480"/>
        <item m="1" x="7676"/>
        <item x="693"/>
        <item x="694"/>
        <item x="1637"/>
        <item x="85"/>
        <item m="1" x="6335"/>
        <item x="1638"/>
        <item x="1663"/>
        <item x="2522"/>
        <item m="1" x="6904"/>
        <item x="92"/>
        <item x="736"/>
        <item x="2523"/>
        <item x="2524"/>
        <item x="1664"/>
        <item x="93"/>
        <item x="737"/>
        <item x="3032"/>
        <item x="94"/>
        <item x="3033"/>
        <item x="95"/>
        <item x="2525"/>
        <item x="3034"/>
        <item x="96"/>
        <item x="97"/>
        <item x="98"/>
        <item x="99"/>
        <item x="3035"/>
        <item x="3036"/>
        <item x="100"/>
        <item m="1" x="7450"/>
        <item x="101"/>
        <item x="102"/>
        <item m="1" x="5979"/>
        <item x="738"/>
        <item m="1" x="5472"/>
        <item x="103"/>
        <item x="739"/>
        <item x="104"/>
        <item x="3038"/>
        <item m="1" x="6905"/>
        <item x="743"/>
        <item x="744"/>
        <item x="745"/>
        <item m="1" x="6153"/>
        <item m="1" x="6417"/>
        <item x="746"/>
        <item m="1" x="6906"/>
        <item x="747"/>
        <item x="2530"/>
        <item x="1666"/>
        <item x="108"/>
        <item x="109"/>
        <item x="110"/>
        <item x="111"/>
        <item m="1" x="6227"/>
        <item m="1" x="6907"/>
        <item m="1" x="4898"/>
        <item m="1" x="4908"/>
        <item m="1" x="4911"/>
        <item m="1" x="4914"/>
        <item m="1" x="6835"/>
        <item m="1" x="4909"/>
        <item m="1" x="4912"/>
        <item m="1" x="3521"/>
        <item m="1" x="3523"/>
        <item m="1" x="3524"/>
        <item m="1" x="3525"/>
        <item m="1" x="3526"/>
        <item m="1" x="3527"/>
        <item m="1" x="3528"/>
        <item m="1" x="3530"/>
        <item m="1" x="3531"/>
        <item m="1" x="7063"/>
        <item m="1" x="4939"/>
        <item m="1" x="4930"/>
        <item m="1" x="4994"/>
        <item m="1" x="6312"/>
        <item x="3412"/>
        <item m="1" x="5938"/>
        <item m="1" x="7458"/>
        <item m="1" x="4995"/>
        <item x="3415"/>
        <item m="1" x="7459"/>
        <item m="1" x="4996"/>
        <item x="3416"/>
        <item m="1" x="7781"/>
        <item m="1" x="6693"/>
        <item m="1" x="7460"/>
        <item m="1" x="6313"/>
        <item x="3503"/>
        <item x="3417"/>
        <item m="1" x="6695"/>
        <item x="3419"/>
        <item m="1" x="4997"/>
        <item x="3421"/>
        <item m="1" x="7461"/>
        <item x="3507"/>
        <item m="1" x="7072"/>
        <item m="1" x="7073"/>
        <item m="1" x="7074"/>
        <item m="1" x="7005"/>
        <item m="1" x="5025"/>
        <item x="938"/>
        <item x="939"/>
        <item m="1" x="7009"/>
        <item x="944"/>
        <item m="1" x="5516"/>
        <item x="933"/>
        <item x="935"/>
        <item x="1862"/>
        <item x="1864"/>
        <item x="2648"/>
        <item x="936"/>
        <item x="1861"/>
        <item x="934"/>
        <item m="1" x="7010"/>
        <item m="1" x="7011"/>
        <item m="1" x="7012"/>
        <item x="2655"/>
        <item m="1" x="7598"/>
        <item x="1885"/>
        <item x="2658"/>
        <item x="3067"/>
        <item x="963"/>
        <item x="1886"/>
        <item m="1" x="7619"/>
        <item m="1" x="5113"/>
        <item m="1" x="5114"/>
        <item m="1" x="5089"/>
        <item m="1" x="5115"/>
        <item m="1" x="7756"/>
        <item m="1" x="7506"/>
        <item m="1" x="7757"/>
        <item m="1" x="7759"/>
        <item m="1" x="7752"/>
        <item x="3261"/>
        <item m="1" x="5690"/>
        <item m="1" x="5344"/>
        <item m="1" x="5345"/>
        <item m="1" x="5524"/>
        <item x="236"/>
        <item m="1" x="5817"/>
        <item m="1" x="6277"/>
        <item m="1" x="6237"/>
        <item m="1" x="6238"/>
        <item x="1944"/>
        <item m="1" x="5703"/>
        <item m="1" x="5815"/>
        <item m="1" x="5706"/>
        <item m="1" x="7769"/>
        <item m="1" x="3750"/>
        <item m="1" x="3756"/>
        <item m="1" x="6323"/>
        <item m="1" x="4844"/>
        <item m="1" x="7562"/>
        <item m="1" x="6472"/>
        <item m="1" x="7728"/>
        <item m="1" x="4870"/>
        <item m="1" x="4877"/>
        <item m="1" x="4873"/>
        <item m="1" x="4862"/>
        <item m="1" x="4861"/>
        <item m="1" x="4850"/>
        <item m="1" x="5433"/>
        <item m="1" x="6018"/>
        <item m="1" x="7586"/>
        <item x="1684"/>
        <item x="787"/>
        <item m="1" x="6228"/>
        <item m="1" x="7453"/>
        <item x="2547"/>
        <item x="3044"/>
        <item m="1" x="5673"/>
        <item x="2550"/>
        <item m="1" x="7514"/>
        <item m="1" x="3576"/>
        <item m="1" x="3577"/>
        <item m="1" x="7096"/>
        <item m="1" x="6961"/>
        <item m="1" x="3567"/>
        <item m="1" x="7541"/>
        <item x="474"/>
        <item m="1" x="3578"/>
        <item m="1" x="3596"/>
        <item x="475"/>
        <item m="1" x="6965"/>
        <item m="1" x="3603"/>
        <item m="1" x="3565"/>
        <item m="1" x="3602"/>
        <item m="1" x="5446"/>
        <item m="1" x="6395"/>
        <item m="1" x="4576"/>
        <item m="1" x="7577"/>
        <item m="1" x="7578"/>
        <item m="1" x="7579"/>
        <item m="1" x="7580"/>
        <item m="1" x="7581"/>
        <item m="1" x="6958"/>
        <item m="1" x="5447"/>
        <item m="1" x="7591"/>
        <item m="1" x="7592"/>
        <item m="1" x="6981"/>
        <item m="1" x="7599"/>
        <item m="1" x="7600"/>
        <item m="1" x="7601"/>
        <item x="476"/>
        <item m="1" x="3655"/>
        <item m="1" x="7608"/>
        <item m="1" x="7609"/>
        <item m="1" x="7616"/>
        <item m="1" x="4590"/>
        <item x="1431"/>
        <item m="1" x="3622"/>
        <item m="1" x="3643"/>
        <item m="1" x="4584"/>
        <item m="1" x="4045"/>
        <item m="1" x="7111"/>
        <item m="1" x="7648"/>
        <item m="1" x="5600"/>
        <item m="1" x="4588"/>
        <item m="1" x="5599"/>
        <item m="1" x="4591"/>
        <item m="1" x="3621"/>
        <item m="1" x="3623"/>
        <item m="1" x="3632"/>
        <item m="1" x="7671"/>
        <item m="1" x="4589"/>
        <item m="1" x="3653"/>
        <item m="1" x="3654"/>
        <item x="1434"/>
        <item m="1" x="7688"/>
        <item x="1428"/>
        <item m="1" x="7691"/>
        <item m="1" x="4602"/>
        <item m="1" x="7696"/>
        <item m="1" x="6823"/>
        <item m="1" x="5745"/>
        <item m="1" x="4601"/>
        <item m="1" x="7115"/>
        <item m="1" x="7116"/>
        <item x="2339"/>
        <item m="1" x="4603"/>
        <item x="2340"/>
        <item m="1" x="5746"/>
        <item m="1" x="3689"/>
        <item m="1" x="6573"/>
        <item m="1" x="5747"/>
        <item m="1" x="3697"/>
        <item m="1" x="7114"/>
        <item m="1" x="5845"/>
        <item x="2955"/>
        <item m="1" x="3700"/>
        <item m="1" x="7750"/>
        <item m="1" x="6744"/>
        <item m="1" x="5844"/>
        <item x="3187"/>
        <item m="1" x="7755"/>
        <item x="3189"/>
        <item x="3188"/>
        <item m="1" x="7765"/>
        <item x="274"/>
        <item x="275"/>
        <item x="1115"/>
        <item m="1" x="5990"/>
        <item m="1" x="5961"/>
        <item x="276"/>
        <item x="277"/>
        <item m="1" x="6007"/>
        <item m="1" x="3748"/>
        <item m="1" x="7188"/>
        <item m="1" x="6194"/>
        <item m="1" x="6107"/>
        <item m="1" x="6108"/>
        <item m="1" x="3858"/>
        <item m="1" x="7193"/>
        <item m="1" x="6467"/>
        <item m="1" x="6554"/>
        <item m="1" x="6370"/>
        <item m="1" x="6371"/>
        <item x="38"/>
        <item x="2309"/>
        <item m="1" x="6384"/>
        <item m="1" x="6870"/>
        <item m="1" x="4189"/>
        <item x="1405"/>
        <item m="1" x="5586"/>
        <item m="1" x="6386"/>
        <item x="448"/>
        <item m="1" x="6954"/>
        <item x="2956"/>
        <item m="1" x="5846"/>
        <item m="1" x="5605"/>
        <item x="487"/>
        <item x="1447"/>
        <item x="500"/>
        <item m="1" x="6330"/>
        <item m="1" x="6982"/>
        <item m="1" x="7390"/>
        <item x="2963"/>
        <item m="1" x="4530"/>
        <item m="1" x="4529"/>
        <item m="1" x="6123"/>
        <item m="1" x="6511"/>
        <item m="1" x="6039"/>
        <item m="1" x="6124"/>
        <item m="1" x="6125"/>
        <item m="1" x="6581"/>
        <item m="1" x="6401"/>
        <item m="1" x="6512"/>
        <item m="1" x="6901"/>
        <item m="1" x="6144"/>
        <item x="652"/>
        <item x="79"/>
        <item m="1" x="6407"/>
        <item x="80"/>
        <item m="1" x="7422"/>
        <item m="1" x="4733"/>
        <item m="1" x="4753"/>
        <item m="1" x="4734"/>
        <item m="1" x="4735"/>
        <item m="1" x="4744"/>
        <item m="1" x="4728"/>
        <item x="1598"/>
        <item x="2455"/>
        <item m="1" x="4893"/>
        <item m="1" x="4887"/>
        <item m="1" x="4889"/>
        <item m="1" x="6830"/>
        <item m="1" x="5629"/>
        <item m="1" x="7058"/>
        <item x="2531"/>
        <item m="1" x="5376"/>
        <item m="1" x="6057"/>
        <item m="1" x="6831"/>
        <item x="748"/>
        <item x="2532"/>
        <item m="1" x="6832"/>
        <item x="112"/>
        <item m="1" x="6274"/>
        <item x="1667"/>
        <item x="113"/>
        <item x="114"/>
        <item m="1" x="7059"/>
        <item x="749"/>
        <item x="750"/>
        <item x="751"/>
        <item x="752"/>
        <item x="2533"/>
        <item m="1" x="6833"/>
        <item x="753"/>
        <item x="754"/>
        <item x="755"/>
        <item m="1" x="4937"/>
        <item x="3411"/>
        <item m="1" x="4993"/>
        <item m="1" x="6678"/>
        <item x="3424"/>
        <item x="3425"/>
        <item x="3426"/>
        <item m="1" x="6696"/>
        <item x="3427"/>
        <item m="1" x="4998"/>
        <item x="3428"/>
        <item x="909"/>
        <item x="907"/>
        <item x="172"/>
        <item x="1835"/>
        <item x="173"/>
        <item x="908"/>
        <item x="1834"/>
        <item x="2640"/>
        <item x="174"/>
        <item m="1" x="5683"/>
        <item m="1" x="5685"/>
        <item m="1" x="5511"/>
        <item m="1" x="5512"/>
        <item m="1" x="5958"/>
        <item m="1" x="7472"/>
        <item m="1" x="5513"/>
        <item m="1" x="7077"/>
        <item m="1" x="7013"/>
        <item m="1" x="6233"/>
        <item x="948"/>
        <item x="921"/>
        <item x="182"/>
        <item m="1" x="6919"/>
        <item m="1" x="5387"/>
        <item x="185"/>
        <item x="186"/>
        <item x="930"/>
        <item x="931"/>
        <item x="1860"/>
        <item x="1863"/>
        <item x="1858"/>
        <item m="1" x="5390"/>
        <item m="1" x="7018"/>
        <item m="1" x="6286"/>
        <item m="1" x="5694"/>
        <item m="1" x="6278"/>
        <item m="1" x="5809"/>
        <item m="1" x="5698"/>
        <item m="1" x="5870"/>
        <item m="1" x="5699"/>
        <item m="1" x="5700"/>
        <item m="1" x="6068"/>
        <item m="1" x="5871"/>
        <item m="1" x="5887"/>
        <item m="1" x="5981"/>
        <item x="352"/>
        <item m="1" x="5702"/>
        <item m="1" x="5812"/>
        <item x="160"/>
        <item m="1" x="6239"/>
        <item m="1" x="5872"/>
        <item m="1" x="6287"/>
        <item m="1" x="5526"/>
        <item m="1" x="5873"/>
        <item m="1" x="5527"/>
        <item m="1" x="5343"/>
        <item x="1026"/>
        <item x="2034"/>
        <item x="2035"/>
        <item x="2036"/>
        <item x="1033"/>
        <item x="2056"/>
        <item m="1" x="6596"/>
        <item x="2776"/>
        <item x="1034"/>
        <item x="2057"/>
        <item x="3514"/>
        <item x="3127"/>
        <item x="2783"/>
        <item m="1" x="5819"/>
        <item x="2792"/>
        <item m="1" x="6597"/>
        <item m="1" x="7021"/>
        <item x="3275"/>
        <item x="2797"/>
        <item x="2807"/>
        <item x="228"/>
        <item x="213"/>
        <item x="3159"/>
        <item x="223"/>
        <item m="1" x="7022"/>
        <item x="2815"/>
        <item m="1" x="7081"/>
        <item m="1" x="6598"/>
        <item m="1" x="6767"/>
        <item x="2069"/>
        <item x="3144"/>
        <item x="224"/>
        <item m="1" x="5531"/>
        <item x="1056"/>
        <item x="1045"/>
        <item m="1" x="6768"/>
        <item m="1" x="5360"/>
        <item m="1" x="6342"/>
        <item m="1" x="5820"/>
        <item x="2812"/>
        <item x="3135"/>
        <item x="1058"/>
        <item m="1" x="5356"/>
        <item x="3276"/>
        <item x="1063"/>
        <item x="3273"/>
        <item x="2065"/>
        <item x="3134"/>
        <item x="3147"/>
        <item x="2066"/>
        <item m="1" x="6844"/>
        <item x="2076"/>
        <item m="1" x="5530"/>
        <item m="1" x="6599"/>
        <item x="1042"/>
        <item x="2064"/>
        <item x="2779"/>
        <item x="1054"/>
        <item m="1" x="6936"/>
        <item x="2063"/>
        <item m="1" x="5355"/>
        <item x="3146"/>
        <item x="1047"/>
        <item x="3145"/>
        <item x="227"/>
        <item x="2079"/>
        <item x="2789"/>
        <item m="1" x="6280"/>
        <item m="1" x="7023"/>
        <item x="1041"/>
        <item x="2793"/>
        <item m="1" x="6073"/>
        <item x="3152"/>
        <item m="1" x="7082"/>
        <item m="1" x="5821"/>
        <item x="2778"/>
        <item x="3269"/>
        <item x="222"/>
        <item m="1" x="5346"/>
        <item m="1" x="7497"/>
        <item m="1" x="6161"/>
        <item x="1050"/>
        <item x="2781"/>
        <item x="1053"/>
        <item x="3139"/>
        <item m="1" x="6845"/>
        <item m="1" x="6769"/>
        <item x="2061"/>
        <item x="3132"/>
        <item x="1065"/>
        <item m="1" x="6656"/>
        <item x="221"/>
        <item m="1" x="6340"/>
        <item x="225"/>
        <item m="1" x="7024"/>
        <item m="1" x="5347"/>
        <item m="1" x="7083"/>
        <item m="1" x="6072"/>
        <item x="2816"/>
        <item m="1" x="6341"/>
        <item x="1040"/>
        <item m="1" x="5354"/>
        <item x="2060"/>
        <item m="1" x="6644"/>
        <item x="3278"/>
        <item m="1" x="7493"/>
        <item m="1" x="7494"/>
        <item m="1" x="7495"/>
        <item m="1" x="7498"/>
        <item m="1" x="7499"/>
        <item m="1" x="7496"/>
        <item m="1" x="5993"/>
        <item m="1" x="4640"/>
        <item m="1" x="6083"/>
        <item m="1" x="7103"/>
        <item x="2191"/>
        <item x="1225"/>
        <item m="1" x="7124"/>
        <item m="1" x="4453"/>
        <item m="1" x="6099"/>
        <item x="552"/>
        <item x="2186"/>
        <item m="1" x="6283"/>
        <item m="1" x="3723"/>
        <item x="2201"/>
        <item m="1" x="6358"/>
        <item x="1505"/>
        <item x="3180"/>
        <item m="1" x="6170"/>
        <item x="1158"/>
        <item x="2149"/>
        <item x="14"/>
        <item x="2144"/>
        <item x="2143"/>
        <item x="3174"/>
        <item x="2145"/>
        <item m="1" x="4161"/>
        <item x="1156"/>
        <item m="1" x="6000"/>
        <item m="1" x="5711"/>
        <item x="2147"/>
        <item x="1157"/>
        <item x="2146"/>
        <item x="2148"/>
        <item x="1159"/>
        <item m="1" x="6543"/>
        <item x="2151"/>
        <item x="2150"/>
        <item x="302"/>
        <item x="1160"/>
        <item m="1" x="6175"/>
        <item x="1161"/>
        <item m="1" x="3718"/>
        <item x="2152"/>
        <item m="1" x="6350"/>
        <item x="303"/>
        <item m="1" x="5963"/>
        <item m="1" x="6247"/>
        <item m="1" x="6282"/>
        <item m="1" x="6091"/>
        <item m="1" x="6090"/>
        <item m="1" x="6093"/>
        <item m="1" x="6001"/>
        <item m="1" x="6171"/>
        <item m="1" x="6088"/>
        <item m="1" x="6174"/>
        <item m="1" x="6092"/>
        <item m="1" x="6173"/>
        <item m="1" x="6248"/>
        <item m="1" x="6089"/>
        <item m="1" x="6172"/>
        <item m="1" x="6544"/>
        <item m="1" x="7168"/>
        <item m="1" x="7135"/>
        <item m="1" x="7169"/>
        <item x="1485"/>
        <item x="1274"/>
        <item x="363"/>
        <item x="364"/>
        <item x="1275"/>
        <item x="1276"/>
        <item x="25"/>
        <item m="1" x="3757"/>
        <item m="1" x="6551"/>
        <item m="1" x="5720"/>
        <item m="1" x="7178"/>
        <item m="1" x="6778"/>
        <item m="1" x="7177"/>
        <item x="2239"/>
        <item m="1" x="6101"/>
        <item m="1" x="6463"/>
        <item m="1" x="5368"/>
        <item x="2242"/>
        <item x="1298"/>
        <item x="2701"/>
        <item m="1" x="4367"/>
        <item x="2702"/>
        <item x="1286"/>
        <item m="1" x="5620"/>
        <item m="1" x="3807"/>
        <item x="1307"/>
        <item m="1" x="4857"/>
        <item m="1" x="4860"/>
        <item m="1" x="6198"/>
        <item m="1" x="6785"/>
        <item m="1" x="7295"/>
        <item m="1" x="7346"/>
        <item m="1" x="7296"/>
        <item m="1" x="7297"/>
        <item m="1" x="7261"/>
        <item m="1" x="7262"/>
        <item m="1" x="7298"/>
        <item m="1" x="7351"/>
        <item m="1" x="7347"/>
        <item m="1" x="7299"/>
        <item m="1" x="7348"/>
        <item m="1" x="7334"/>
        <item m="1" x="7300"/>
        <item m="1" x="7301"/>
        <item m="1" x="7335"/>
        <item m="1" x="7302"/>
        <item m="1" x="7303"/>
        <item m="1" x="7304"/>
        <item m="1" x="7237"/>
        <item m="1" x="7336"/>
        <item m="1" x="7305"/>
        <item m="1" x="7337"/>
        <item m="1" x="7263"/>
        <item m="1" x="7349"/>
        <item m="1" x="7264"/>
        <item m="1" x="7338"/>
        <item m="1" x="7265"/>
        <item m="1" x="7339"/>
        <item m="1" x="7266"/>
        <item m="1" x="7306"/>
        <item m="1" x="6498"/>
        <item m="1" x="4221"/>
        <item m="1" x="5440"/>
        <item m="1" x="4446"/>
        <item m="1" x="4348"/>
        <item m="1" x="4350"/>
        <item m="1" x="4271"/>
        <item m="1" x="4504"/>
        <item m="1" x="4447"/>
        <item m="1" x="6114"/>
        <item m="1" x="6796"/>
        <item m="1" x="4222"/>
        <item m="1" x="6877"/>
        <item m="1" x="6878"/>
        <item m="1" x="7382"/>
        <item m="1" x="4351"/>
        <item m="1" x="7371"/>
        <item m="1" x="6570"/>
        <item m="1" x="4505"/>
        <item m="1" x="6026"/>
        <item m="1" x="4507"/>
        <item m="1" x="4272"/>
        <item m="1" x="4273"/>
        <item m="1" x="6572"/>
        <item m="1" x="4352"/>
        <item m="1" x="5609"/>
        <item m="1" x="7387"/>
        <item m="1" x="5608"/>
        <item m="1" x="7388"/>
        <item m="1" x="6580"/>
        <item m="1" x="5455"/>
        <item m="1" x="6506"/>
        <item m="1" x="6507"/>
        <item m="1" x="6718"/>
        <item m="1" x="6824"/>
        <item x="603"/>
        <item m="1" x="4555"/>
        <item m="1" x="4545"/>
        <item m="1" x="4569"/>
        <item m="1" x="4606"/>
        <item m="1" x="4592"/>
        <item m="1" x="4577"/>
        <item m="1" x="5917"/>
        <item m="1" x="6302"/>
        <item x="3322"/>
        <item m="1" x="6303"/>
        <item x="597"/>
        <item x="3217"/>
        <item m="1" x="7404"/>
        <item x="1553"/>
        <item m="1" x="4676"/>
        <item m="1" x="4659"/>
        <item x="2422"/>
        <item m="1" x="5768"/>
        <item m="1" x="6060"/>
        <item x="3057"/>
        <item x="3058"/>
        <item x="867"/>
        <item x="868"/>
        <item m="1" x="6337"/>
        <item m="1" x="6530"/>
        <item m="1" x="6531"/>
        <item m="1" x="6532"/>
        <item m="1" x="6533"/>
        <item m="1" x="5024"/>
        <item m="1" x="6428"/>
        <item m="1" x="5021"/>
        <item x="1848"/>
        <item m="1" x="5798"/>
        <item x="3064"/>
        <item x="920"/>
        <item m="1" x="5867"/>
        <item m="1" x="7196"/>
        <item m="1" x="3862"/>
        <item m="1" x="7197"/>
        <item x="1010"/>
        <item m="1" x="6934"/>
        <item x="1995"/>
        <item x="2013"/>
        <item m="1" x="5803"/>
        <item x="2747"/>
        <item m="1" x="3865"/>
        <item m="1" x="3866"/>
        <item x="3091"/>
        <item m="1" x="7198"/>
        <item m="1" x="3868"/>
        <item x="1117"/>
        <item m="1" x="5962"/>
        <item x="2125"/>
        <item x="292"/>
        <item m="1" x="6443"/>
        <item x="304"/>
        <item x="2854"/>
        <item m="1" x="5713"/>
        <item x="1162"/>
        <item x="1163"/>
        <item m="1" x="3725"/>
        <item x="1164"/>
        <item x="2153"/>
        <item x="1165"/>
        <item m="1" x="6444"/>
        <item m="1" x="6943"/>
        <item m="1" x="6774"/>
        <item x="1166"/>
        <item x="2154"/>
        <item x="2155"/>
        <item x="1167"/>
        <item m="1" x="5407"/>
        <item m="1" x="5826"/>
        <item x="1168"/>
        <item x="1170"/>
        <item x="2156"/>
        <item x="1169"/>
        <item x="305"/>
        <item x="2157"/>
        <item m="1" x="5544"/>
        <item x="306"/>
        <item x="2254"/>
        <item m="1" x="6098"/>
        <item m="1" x="6094"/>
        <item m="1" x="6095"/>
        <item m="1" x="6002"/>
        <item m="1" x="6176"/>
        <item m="1" x="6096"/>
        <item m="1" x="6097"/>
        <item m="1" x="6249"/>
        <item m="1" x="6445"/>
        <item m="1" x="6446"/>
        <item x="1172"/>
        <item x="2855"/>
        <item m="1" x="6775"/>
        <item m="1" x="6351"/>
        <item m="1" x="5546"/>
        <item m="1" x="6321"/>
        <item m="1" x="6352"/>
        <item x="2159"/>
        <item m="1" x="5827"/>
        <item m="1" x="6003"/>
        <item x="2161"/>
        <item m="1" x="6448"/>
        <item m="1" x="6449"/>
        <item x="15"/>
        <item x="1171"/>
        <item m="1" x="6353"/>
        <item m="1" x="5545"/>
        <item m="1" x="6354"/>
        <item x="3175"/>
        <item m="1" x="6178"/>
        <item x="1213"/>
        <item x="2874"/>
        <item m="1" x="6452"/>
        <item x="2185"/>
        <item x="2882"/>
        <item m="1" x="5551"/>
        <item m="1" x="6456"/>
        <item m="1" x="6180"/>
        <item x="2189"/>
        <item m="1" x="6251"/>
        <item m="1" x="6856"/>
        <item m="1" x="6548"/>
        <item x="2198"/>
        <item x="1234"/>
        <item x="340"/>
        <item m="1" x="5415"/>
        <item m="1" x="5555"/>
        <item x="1236"/>
        <item m="1" x="6460"/>
        <item m="1" x="6184"/>
        <item m="1" x="5556"/>
        <item x="381"/>
        <item m="1" x="6464"/>
        <item m="1" x="6365"/>
        <item m="1" x="6366"/>
        <item m="1" x="6367"/>
        <item m="1" x="6368"/>
        <item m="1" x="5199"/>
        <item x="2248"/>
        <item x="1967"/>
        <item x="2258"/>
        <item m="1" x="4178"/>
        <item x="39"/>
        <item x="2942"/>
        <item m="1" x="6388"/>
        <item m="1" x="6666"/>
        <item m="1" x="6667"/>
        <item m="1" x="6797"/>
        <item m="1" x="5847"/>
        <item m="1" x="5848"/>
        <item m="1" x="5748"/>
        <item m="1" x="6204"/>
        <item m="1" x="5968"/>
        <item x="1425"/>
        <item x="1426"/>
        <item m="1" x="6205"/>
        <item x="2328"/>
        <item x="2329"/>
        <item x="2330"/>
        <item x="472"/>
        <item m="1" x="4518"/>
        <item x="1427"/>
        <item x="2333"/>
        <item x="473"/>
        <item m="1" x="6575"/>
        <item x="2334"/>
        <item m="1" x="5971"/>
        <item m="1" x="6579"/>
        <item x="2355"/>
        <item m="1" x="6508"/>
        <item x="688"/>
        <item x="2356"/>
        <item x="2347"/>
        <item m="1" x="6687"/>
        <item x="1459"/>
        <item x="510"/>
        <item x="2357"/>
        <item x="2358"/>
        <item x="54"/>
        <item x="511"/>
        <item x="1460"/>
        <item x="512"/>
        <item x="2359"/>
        <item m="1" x="5756"/>
        <item x="513"/>
        <item x="514"/>
        <item m="1" x="6985"/>
        <item m="1" x="6825"/>
        <item m="1" x="6986"/>
        <item x="1478"/>
        <item m="1" x="6900"/>
        <item m="1" x="6720"/>
        <item m="1" x="6987"/>
        <item m="1" x="6041"/>
        <item m="1" x="6402"/>
        <item m="1" x="6403"/>
        <item m="1" x="6331"/>
        <item m="1" x="6332"/>
        <item m="1" x="6586"/>
        <item m="1" x="6408"/>
        <item m="1" x="4718"/>
        <item m="1" x="4719"/>
        <item m="1" x="6523"/>
        <item m="1" x="4758"/>
        <item m="1" x="5470"/>
        <item m="1" x="4720"/>
        <item m="1" x="4746"/>
        <item m="1" x="4747"/>
        <item m="1" x="4748"/>
        <item m="1" x="6145"/>
        <item m="1" x="6414"/>
        <item m="1" x="4740"/>
        <item m="1" x="6589"/>
        <item x="2621"/>
        <item x="1603"/>
        <item x="2459"/>
        <item m="1" x="6629"/>
        <item x="2564"/>
        <item x="2574"/>
        <item m="1" x="6527"/>
        <item m="1" x="6630"/>
        <item x="1706"/>
        <item x="2566"/>
        <item m="1" x="6418"/>
        <item x="1733"/>
        <item x="1926"/>
        <item m="1" x="5499"/>
        <item m="1" x="6419"/>
        <item m="1" x="5500"/>
        <item m="1" x="6422"/>
        <item m="1" x="5791"/>
        <item x="2613"/>
        <item x="2614"/>
        <item x="2615"/>
        <item x="1793"/>
        <item m="1" x="4948"/>
        <item x="3429"/>
        <item x="3430"/>
        <item x="3431"/>
        <item m="1" x="6697"/>
        <item m="1" x="4999"/>
        <item m="1" x="5000"/>
        <item m="1" x="5940"/>
        <item x="3432"/>
        <item x="3433"/>
        <item x="3434"/>
        <item m="1" x="5001"/>
        <item x="3435"/>
        <item x="3436"/>
        <item m="1" x="6314"/>
        <item x="3501"/>
        <item x="3437"/>
        <item m="1" x="5002"/>
        <item x="3438"/>
        <item x="3439"/>
        <item m="1" x="5945"/>
        <item x="3440"/>
        <item x="3441"/>
        <item m="1" x="5946"/>
        <item m="1" x="5004"/>
        <item x="3443"/>
        <item m="1" x="5005"/>
        <item x="3444"/>
        <item m="1" x="3785"/>
        <item m="1" x="5947"/>
        <item x="3446"/>
        <item x="3447"/>
        <item x="3448"/>
        <item x="3449"/>
        <item m="1" x="6529"/>
        <item x="178"/>
        <item x="177"/>
        <item x="175"/>
        <item x="910"/>
        <item x="2641"/>
        <item x="911"/>
        <item m="1" x="7075"/>
        <item x="176"/>
        <item m="1" x="5034"/>
        <item m="1" x="5035"/>
        <item m="1" x="5029"/>
        <item m="1" x="5032"/>
        <item m="1" x="5027"/>
        <item m="1" x="6917"/>
        <item x="1902"/>
        <item x="974"/>
        <item x="2669"/>
        <item x="2675"/>
        <item x="1905"/>
        <item x="1907"/>
        <item x="1908"/>
        <item x="1909"/>
        <item x="2670"/>
        <item x="2671"/>
        <item m="1" x="5695"/>
        <item m="1" x="5869"/>
        <item m="1" x="5886"/>
        <item m="1" x="5816"/>
        <item m="1" x="6279"/>
        <item m="1" x="5808"/>
        <item m="1" x="5811"/>
        <item m="1" x="5813"/>
        <item m="1" x="5697"/>
        <item m="1" x="6065"/>
        <item m="1" x="6067"/>
        <item m="1" x="5810"/>
        <item m="1" x="5704"/>
        <item x="2052"/>
        <item x="2775"/>
        <item x="2055"/>
        <item m="1" x="6847"/>
        <item m="1" x="6937"/>
        <item x="1068"/>
        <item m="1" x="6938"/>
        <item m="1" x="7025"/>
        <item m="1" x="6848"/>
        <item m="1" x="6849"/>
        <item m="1" x="7026"/>
        <item x="235"/>
        <item x="255"/>
        <item x="5"/>
        <item m="1" x="6939"/>
        <item x="2100"/>
        <item m="1" x="3644"/>
        <item m="1" x="5401"/>
        <item m="1" x="3597"/>
        <item m="1" x="3685"/>
        <item m="1" x="3645"/>
        <item m="1" x="3598"/>
        <item m="1" x="3599"/>
        <item m="1" x="3646"/>
        <item m="1" x="3647"/>
        <item m="1" x="3600"/>
        <item m="1" x="3701"/>
        <item m="1" x="3648"/>
        <item m="1" x="5537"/>
        <item m="1" x="3601"/>
        <item m="1" x="6854"/>
        <item m="1" x="5710"/>
        <item m="1" x="5538"/>
        <item m="1" x="6085"/>
        <item m="1" x="3649"/>
        <item m="1" x="3686"/>
        <item m="1" x="3752"/>
        <item m="1" x="3758"/>
        <item m="1" x="3760"/>
        <item m="1" x="3753"/>
        <item m="1" x="4056"/>
        <item m="1" x="4068"/>
        <item m="1" x="4171"/>
        <item m="1" x="3972"/>
        <item m="1" x="3906"/>
        <item m="1" x="3973"/>
        <item m="1" x="4073"/>
        <item m="1" x="3886"/>
        <item m="1" x="3974"/>
        <item m="1" x="3975"/>
        <item m="1" x="4150"/>
        <item m="1" x="3907"/>
        <item m="1" x="3908"/>
        <item m="1" x="4076"/>
        <item m="1" x="6556"/>
        <item m="1" x="4151"/>
        <item m="1" x="3909"/>
        <item m="1" x="3976"/>
        <item m="1" x="3977"/>
        <item m="1" x="3910"/>
        <item m="1" x="3978"/>
        <item m="1" x="3911"/>
        <item m="1" x="4152"/>
        <item m="1" x="4077"/>
        <item m="1" x="6864"/>
        <item m="1" x="3979"/>
        <item m="1" x="6722"/>
        <item m="1" x="3887"/>
        <item m="1" x="3981"/>
        <item m="1" x="4079"/>
        <item m="1" x="3912"/>
        <item m="1" x="3982"/>
        <item m="1" x="3913"/>
        <item m="1" x="3983"/>
        <item m="1" x="3984"/>
        <item m="1" x="3914"/>
        <item m="1" x="3985"/>
        <item m="1" x="4080"/>
        <item m="1" x="3915"/>
        <item m="1" x="3888"/>
        <item m="1" x="4038"/>
        <item m="1" x="4081"/>
        <item m="1" x="4082"/>
        <item m="1" x="4083"/>
        <item m="1" x="6865"/>
        <item m="1" x="4084"/>
        <item m="1" x="3917"/>
        <item m="1" x="4085"/>
        <item m="1" x="4086"/>
        <item m="1" x="3918"/>
        <item m="1" x="3987"/>
        <item m="1" x="6866"/>
        <item m="1" x="3988"/>
        <item m="1" x="6376"/>
        <item m="1" x="6952"/>
        <item m="1" x="6787"/>
        <item m="1" x="3919"/>
        <item m="1" x="4088"/>
        <item m="1" x="4153"/>
        <item m="1" x="3989"/>
        <item m="1" x="3990"/>
        <item m="1" x="3721"/>
        <item m="1" x="4172"/>
        <item m="1" x="3920"/>
        <item m="1" x="6557"/>
        <item m="1" x="5739"/>
        <item m="1" x="4154"/>
        <item m="1" x="3921"/>
        <item m="1" x="3991"/>
        <item m="1" x="6953"/>
        <item m="1" x="4089"/>
        <item m="1" x="3889"/>
        <item m="1" x="6867"/>
        <item m="1" x="4090"/>
        <item m="1" x="3992"/>
        <item m="1" x="3993"/>
        <item m="1" x="3994"/>
        <item m="1" x="3922"/>
        <item m="1" x="6378"/>
        <item m="1" x="3995"/>
        <item x="3178"/>
        <item m="1" x="4173"/>
        <item m="1" x="3996"/>
        <item m="1" x="4155"/>
        <item m="1" x="6788"/>
        <item m="1" x="3997"/>
        <item m="1" x="4091"/>
        <item m="1" x="4092"/>
        <item m="1" x="5580"/>
        <item m="1" x="3998"/>
        <item m="1" x="3999"/>
        <item m="1" x="3890"/>
        <item m="1" x="4094"/>
        <item m="1" x="4156"/>
        <item m="1" x="3923"/>
        <item m="1" x="6612"/>
        <item m="1" x="3924"/>
        <item m="1" x="4095"/>
        <item m="1" x="3925"/>
        <item m="1" x="6558"/>
        <item m="1" x="3926"/>
        <item m="1" x="4000"/>
        <item m="1" x="4001"/>
        <item m="1" x="4002"/>
        <item m="1" x="4157"/>
        <item m="1" x="4097"/>
        <item m="1" x="6613"/>
        <item m="1" x="6868"/>
        <item m="1" x="4098"/>
        <item m="1" x="4099"/>
        <item m="1" x="4003"/>
        <item m="1" x="4004"/>
        <item m="1" x="3927"/>
        <item m="1" x="3928"/>
        <item m="1" x="4005"/>
        <item m="1" x="3929"/>
        <item m="1" x="4100"/>
        <item m="1" x="6789"/>
        <item m="1" x="4006"/>
        <item m="1" x="4101"/>
        <item m="1" x="4102"/>
        <item m="1" x="4103"/>
        <item m="1" x="5740"/>
        <item m="1" x="4514"/>
        <item m="1" x="4274"/>
        <item m="1" x="4275"/>
        <item m="1" x="6879"/>
        <item m="1" x="6393"/>
        <item m="1" x="4448"/>
        <item x="1000"/>
        <item m="1" x="5592"/>
        <item m="1" x="4276"/>
        <item m="1" x="4449"/>
        <item m="1" x="4354"/>
        <item m="1" x="4450"/>
        <item m="1" x="4451"/>
        <item m="1" x="4355"/>
        <item m="1" x="6392"/>
        <item m="1" x="4277"/>
        <item m="1" x="6497"/>
        <item m="1" x="4452"/>
        <item m="1" x="4356"/>
        <item m="1" x="6326"/>
        <item m="1" x="7035"/>
        <item m="1" x="6880"/>
        <item m="1" x="5441"/>
        <item m="1" x="6957"/>
        <item m="1" x="4677"/>
        <item m="1" x="4357"/>
        <item m="1" x="6201"/>
        <item m="1" x="4358"/>
        <item x="2381"/>
        <item m="1" x="4454"/>
        <item m="1" x="4359"/>
        <item m="1" x="6499"/>
        <item m="1" x="5442"/>
        <item x="351"/>
        <item x="1489"/>
        <item x="547"/>
        <item x="550"/>
        <item m="1" x="5028"/>
        <item m="1" x="6758"/>
        <item x="1253"/>
        <item x="560"/>
        <item x="1497"/>
        <item m="1" x="6216"/>
        <item x="562"/>
        <item m="1" x="5618"/>
        <item m="1" x="6040"/>
        <item x="1504"/>
        <item m="1" x="6582"/>
        <item x="568"/>
        <item x="2974"/>
        <item x="1514"/>
        <item x="573"/>
        <item x="2394"/>
        <item m="1" x="4657"/>
        <item x="579"/>
        <item m="1" x="6316"/>
        <item x="2405"/>
        <item x="582"/>
        <item x="2408"/>
        <item m="1" x="4672"/>
        <item x="2415"/>
        <item m="1" x="5617"/>
        <item m="1" x="4675"/>
        <item x="594"/>
        <item m="1" x="5770"/>
        <item x="2435"/>
        <item x="1548"/>
        <item x="2439"/>
        <item x="1552"/>
        <item x="72"/>
        <item m="1" x="6412"/>
        <item m="1" x="4780"/>
        <item m="1" x="6056"/>
        <item m="1" x="4807"/>
        <item m="1" x="4817"/>
        <item m="1" x="4779"/>
        <item m="1" x="4815"/>
        <item m="1" x="4813"/>
        <item m="1" x="5624"/>
        <item m="1" x="4765"/>
        <item m="1" x="4820"/>
        <item m="1" x="4816"/>
        <item m="1" x="4794"/>
        <item m="1" x="4792"/>
        <item m="1" x="4827"/>
        <item m="1" x="4823"/>
        <item m="1" x="4826"/>
        <item m="1" x="6149"/>
        <item m="1" x="4773"/>
        <item m="1" x="4838"/>
        <item m="1" x="4791"/>
        <item m="1" x="6334"/>
        <item x="1599"/>
        <item x="2456"/>
        <item x="667"/>
        <item m="1" x="6721"/>
        <item x="1874"/>
        <item x="925"/>
        <item m="1" x="5517"/>
        <item m="1" x="5686"/>
        <item x="940"/>
        <item m="1" x="5688"/>
        <item x="937"/>
        <item x="192"/>
        <item m="1" x="5074"/>
        <item x="950"/>
        <item x="1872"/>
        <item x="196"/>
        <item x="951"/>
        <item x="1870"/>
        <item x="191"/>
        <item m="1" x="5515"/>
        <item x="1859"/>
        <item x="946"/>
        <item x="195"/>
        <item x="197"/>
        <item m="1" x="7014"/>
        <item m="1" x="5083"/>
        <item m="1" x="5182"/>
        <item m="1" x="5091"/>
        <item m="1" x="5084"/>
        <item m="1" x="6431"/>
        <item m="1" x="5269"/>
        <item m="1" x="6770"/>
        <item x="3153"/>
        <item x="2796"/>
        <item x="2805"/>
        <item x="3270"/>
        <item x="3143"/>
        <item m="1" x="6846"/>
        <item m="1" x="6997"/>
        <item x="1668"/>
        <item x="115"/>
        <item x="116"/>
        <item x="117"/>
        <item m="1" x="6162"/>
        <item m="1" x="6600"/>
        <item m="1" x="6442"/>
        <item m="1" x="6163"/>
        <item m="1" x="6347"/>
        <item m="1" x="6320"/>
        <item m="1" x="5982"/>
        <item m="1" x="6164"/>
        <item m="1" x="6074"/>
        <item x="1072"/>
        <item m="1" x="5983"/>
        <item x="253"/>
        <item x="245"/>
        <item m="1" x="5397"/>
        <item m="1" x="6075"/>
        <item x="248"/>
        <item x="1081"/>
        <item m="1" x="5959"/>
        <item x="1070"/>
        <item m="1" x="6076"/>
        <item x="233"/>
        <item m="1" x="6348"/>
        <item m="1" x="5533"/>
        <item m="1" x="6349"/>
        <item x="2101"/>
        <item m="1" x="6177"/>
        <item x="2158"/>
        <item m="1" x="5547"/>
        <item x="307"/>
        <item m="1" x="5405"/>
        <item x="2160"/>
        <item x="2856"/>
        <item x="310"/>
        <item m="1" x="5825"/>
        <item x="308"/>
        <item x="309"/>
        <item m="1" x="5964"/>
        <item x="2862"/>
        <item x="2890"/>
        <item x="1240"/>
        <item x="2891"/>
        <item x="1241"/>
        <item x="1242"/>
        <item x="1243"/>
        <item x="345"/>
        <item x="2206"/>
        <item x="2892"/>
        <item x="1184"/>
        <item m="1" x="3716"/>
        <item x="1244"/>
        <item x="2207"/>
        <item x="2208"/>
        <item x="346"/>
        <item m="1" x="6450"/>
        <item m="1" x="6451"/>
        <item m="1" x="5965"/>
        <item m="1" x="6250"/>
        <item m="1" x="6179"/>
        <item x="1216"/>
        <item x="336"/>
        <item m="1" x="5553"/>
        <item m="1" x="6006"/>
        <item m="1" x="5413"/>
        <item x="1231"/>
        <item m="1" x="6100"/>
        <item m="1" x="5833"/>
        <item x="19"/>
        <item x="2877"/>
        <item m="1" x="6183"/>
        <item x="2183"/>
        <item x="28"/>
        <item x="374"/>
        <item m="1" x="3779"/>
        <item m="1" x="5193"/>
        <item x="994"/>
        <item m="1" x="3833"/>
        <item m="1" x="3848"/>
        <item m="1" x="3822"/>
        <item m="1" x="3854"/>
        <item m="1" x="3825"/>
        <item m="1" x="3837"/>
        <item m="1" x="3826"/>
        <item m="1" x="3838"/>
        <item m="1" x="3827"/>
        <item m="1" x="3839"/>
        <item m="1" x="3860"/>
        <item m="1" x="3861"/>
        <item m="1" x="6610"/>
        <item x="30"/>
        <item m="1" x="6372"/>
        <item m="1" x="6470"/>
        <item m="1" x="6471"/>
        <item m="1" x="5839"/>
        <item m="1" x="6259"/>
        <item m="1" x="6111"/>
        <item m="1" x="6324"/>
        <item m="1" x="4845"/>
        <item m="1" x="5732"/>
        <item m="1" x="6473"/>
        <item m="1" x="4851"/>
        <item m="1" x="6474"/>
        <item m="1" x="4853"/>
        <item m="1" x="6200"/>
        <item x="1328"/>
        <item x="2943"/>
        <item m="1" x="4176"/>
        <item x="464"/>
        <item x="465"/>
        <item x="466"/>
        <item x="467"/>
        <item x="47"/>
        <item x="1424"/>
        <item m="1" x="4467"/>
        <item m="1" x="4389"/>
        <item m="1" x="6390"/>
        <item m="1" x="4375"/>
        <item m="1" x="4469"/>
        <item m="1" x="4371"/>
        <item m="1" x="4468"/>
        <item m="1" x="4280"/>
        <item m="1" x="4286"/>
        <item m="1" x="4376"/>
        <item m="1" x="4368"/>
        <item m="1" x="4377"/>
        <item m="1" x="4378"/>
        <item m="1" x="4458"/>
        <item m="1" x="4381"/>
        <item m="1" x="4374"/>
        <item m="1" x="4462"/>
        <item m="1" x="6202"/>
        <item m="1" x="4284"/>
        <item m="1" x="4509"/>
        <item m="1" x="5594"/>
        <item m="1" x="4289"/>
        <item m="1" x="4379"/>
        <item m="1" x="4372"/>
        <item m="1" x="4373"/>
        <item m="1" x="4459"/>
        <item m="1" x="5593"/>
        <item m="1" x="4363"/>
        <item x="1962"/>
        <item m="1" x="4508"/>
        <item m="1" x="4362"/>
        <item m="1" x="6394"/>
        <item m="1" x="4465"/>
        <item m="1" x="4464"/>
        <item m="1" x="4380"/>
        <item m="1" x="4285"/>
        <item m="1" x="4463"/>
        <item m="1" x="4383"/>
        <item m="1" x="4223"/>
        <item m="1" x="4361"/>
        <item m="1" x="4288"/>
        <item m="1" x="4287"/>
        <item m="1" x="5372"/>
        <item m="1" x="4369"/>
        <item m="1" x="4224"/>
        <item m="1" x="4370"/>
        <item m="1" x="6574"/>
        <item x="2952"/>
        <item m="1" x="6115"/>
        <item m="1" x="6206"/>
        <item m="1" x="6207"/>
        <item x="1430"/>
        <item m="1" x="6500"/>
        <item m="1" x="6327"/>
        <item x="682"/>
        <item x="1121"/>
        <item m="1" x="5602"/>
        <item x="482"/>
        <item x="1438"/>
        <item x="509"/>
        <item x="1461"/>
        <item m="1" x="6265"/>
        <item m="1" x="6116"/>
        <item m="1" x="5757"/>
        <item x="1462"/>
        <item x="1463"/>
        <item m="1" x="5456"/>
        <item x="2348"/>
        <item m="1" x="5972"/>
        <item m="1" x="6510"/>
        <item m="1" x="4536"/>
        <item m="1" x="6210"/>
        <item m="1" x="4553"/>
        <item m="1" x="6669"/>
        <item m="1" x="6670"/>
        <item x="3200"/>
        <item m="1" x="6299"/>
        <item m="1" x="5913"/>
        <item m="1" x="5914"/>
        <item x="1629"/>
        <item m="1" x="5915"/>
        <item m="1" x="6671"/>
        <item x="565"/>
        <item x="3201"/>
        <item m="1" x="4616"/>
        <item m="1" x="6672"/>
        <item m="1" x="6673"/>
        <item m="1" x="4610"/>
        <item m="1" x="4624"/>
        <item x="545"/>
        <item x="548"/>
        <item m="1" x="4633"/>
        <item x="1492"/>
        <item x="555"/>
        <item m="1" x="4634"/>
        <item x="2447"/>
        <item x="2448"/>
        <item m="1" x="4622"/>
        <item m="1" x="4750"/>
        <item m="1" x="4721"/>
        <item m="1" x="6055"/>
        <item m="1" x="4741"/>
        <item m="1" x="4730"/>
        <item m="1" x="4755"/>
        <item m="1" x="6148"/>
        <item x="756"/>
        <item x="118"/>
        <item x="757"/>
        <item x="119"/>
        <item m="1" x="5789"/>
        <item m="1" x="5495"/>
        <item m="1" x="5670"/>
        <item m="1" x="5671"/>
        <item m="1" x="5496"/>
        <item m="1" x="5672"/>
        <item x="2551"/>
        <item x="1696"/>
        <item m="1" x="6058"/>
        <item m="1" x="4901"/>
        <item m="1" x="6336"/>
        <item x="1697"/>
        <item x="803"/>
        <item m="1" x="6059"/>
        <item x="3049"/>
        <item x="792"/>
        <item x="153"/>
        <item x="795"/>
        <item m="1" x="4921"/>
        <item m="1" x="4922"/>
        <item m="1" x="4923"/>
        <item m="1" x="4920"/>
        <item x="1794"/>
        <item x="869"/>
        <item x="158"/>
        <item m="1" x="4951"/>
        <item m="1" x="5676"/>
        <item m="1" x="4955"/>
        <item m="1" x="4963"/>
        <item m="1" x="4964"/>
        <item x="3487"/>
        <item m="1" x="4965"/>
        <item x="3451"/>
        <item m="1" x="5503"/>
        <item m="1" x="6155"/>
        <item x="3453"/>
        <item x="3455"/>
        <item x="3458"/>
        <item x="3459"/>
        <item x="3460"/>
        <item x="1810"/>
        <item x="1811"/>
        <item m="1" x="4966"/>
        <item x="1812"/>
        <item x="1813"/>
        <item x="881"/>
        <item m="1" x="4967"/>
        <item x="1814"/>
        <item m="1" x="4968"/>
        <item x="1837"/>
        <item m="1" x="5684"/>
        <item x="1838"/>
        <item x="1836"/>
        <item x="913"/>
        <item x="912"/>
        <item x="1842"/>
        <item m="1" x="6338"/>
        <item m="1" x="6432"/>
        <item m="1" x="5117"/>
        <item m="1" x="6534"/>
        <item m="1" x="6535"/>
        <item m="1" x="5097"/>
        <item m="1" x="5087"/>
        <item m="1" x="5086"/>
        <item m="1" x="5179"/>
        <item m="1" x="5180"/>
        <item m="1" x="5391"/>
        <item m="1" x="5181"/>
        <item m="1" x="5864"/>
        <item m="1" x="5211"/>
        <item m="1" x="6636"/>
        <item m="1" x="5326"/>
        <item m="1" x="5311"/>
        <item m="1" x="5800"/>
        <item m="1" x="5191"/>
        <item x="1900"/>
        <item x="2673"/>
        <item x="3071"/>
        <item x="977"/>
        <item x="2680"/>
        <item x="2681"/>
        <item x="1911"/>
        <item x="2682"/>
        <item x="2683"/>
        <item x="1913"/>
        <item x="201"/>
        <item x="1914"/>
        <item m="1" x="5196"/>
        <item x="1982"/>
        <item x="3094"/>
        <item m="1" x="5802"/>
        <item x="2731"/>
        <item x="1993"/>
        <item x="2745"/>
        <item x="2009"/>
        <item x="2750"/>
        <item x="1019"/>
        <item m="1" x="6236"/>
        <item x="3108"/>
        <item x="3109"/>
        <item m="1" x="5523"/>
        <item m="1" x="5807"/>
        <item m="1" x="5696"/>
        <item m="1" x="5393"/>
        <item m="1" x="5394"/>
        <item m="1" x="6066"/>
        <item m="1" x="5701"/>
        <item m="1" x="6158"/>
        <item m="1" x="5395"/>
        <item m="1" x="5525"/>
        <item m="1" x="5814"/>
        <item m="1" x="5705"/>
        <item x="2037"/>
        <item m="1" x="6159"/>
        <item m="1" x="5046"/>
        <item m="1" x="5055"/>
        <item m="1" x="6241"/>
        <item x="2038"/>
        <item m="1" x="5818"/>
        <item m="1" x="6160"/>
        <item x="208"/>
        <item x="2039"/>
        <item x="3122"/>
        <item x="2053"/>
        <item x="3003"/>
        <item x="3123"/>
        <item x="1035"/>
        <item x="1043"/>
        <item x="2804"/>
        <item m="1" x="5529"/>
        <item m="1" x="5349"/>
        <item m="1" x="5876"/>
        <item x="2790"/>
        <item x="2814"/>
        <item x="217"/>
        <item x="1055"/>
        <item x="3140"/>
        <item x="2787"/>
        <item m="1" x="5348"/>
        <item x="3129"/>
        <item m="1" x="5707"/>
        <item x="2811"/>
        <item x="2073"/>
        <item m="1" x="6242"/>
        <item x="2072"/>
        <item x="218"/>
        <item m="1" x="6246"/>
        <item x="2826"/>
        <item x="1039"/>
        <item x="3150"/>
        <item m="1" x="6643"/>
        <item x="215"/>
        <item x="2813"/>
        <item x="3142"/>
        <item x="2070"/>
        <item x="2809"/>
        <item x="3266"/>
        <item x="3128"/>
        <item x="3137"/>
        <item m="1" x="5358"/>
        <item x="1044"/>
        <item m="1" x="5351"/>
        <item x="3131"/>
        <item x="1049"/>
        <item x="2062"/>
        <item x="1038"/>
        <item x="2806"/>
        <item m="1" x="6071"/>
        <item x="2810"/>
        <item x="2074"/>
        <item x="2808"/>
        <item x="1051"/>
        <item x="2782"/>
        <item x="3138"/>
        <item m="1" x="5359"/>
        <item x="3124"/>
        <item m="1" x="6243"/>
        <item x="214"/>
        <item x="2802"/>
        <item m="1" x="5357"/>
        <item m="1" x="5875"/>
        <item x="2795"/>
        <item m="1" x="5352"/>
        <item x="2080"/>
        <item m="1" x="5822"/>
        <item x="3136"/>
        <item x="2067"/>
        <item m="1" x="6244"/>
        <item x="1052"/>
        <item x="2788"/>
        <item m="1" x="6281"/>
        <item x="2801"/>
        <item x="3268"/>
        <item m="1" x="6325"/>
        <item x="68"/>
        <item m="1" x="5389"/>
        <item x="189"/>
        <item x="198"/>
        <item m="1" x="3735"/>
        <item m="1" x="3739"/>
        <item m="1" x="6362"/>
        <item m="1" x="6008"/>
        <item m="1" x="6363"/>
        <item m="1" x="6364"/>
        <item m="1" x="6009"/>
        <item m="1" x="6379"/>
        <item m="1" x="6380"/>
        <item m="1" x="6381"/>
        <item m="1" x="6382"/>
        <item m="1" x="6383"/>
        <item m="1" x="6031"/>
        <item m="1" x="5610"/>
        <item m="1" x="5453"/>
        <item m="1" x="6044"/>
        <item m="1" x="4648"/>
        <item x="577"/>
        <item x="578"/>
        <item m="1" x="4651"/>
        <item m="1" x="4652"/>
        <item x="588"/>
        <item m="1" x="4654"/>
        <item x="592"/>
        <item x="1538"/>
        <item m="1" x="5467"/>
        <item x="1550"/>
        <item m="1" x="5469"/>
        <item m="1" x="4667"/>
        <item x="608"/>
        <item m="1" x="4692"/>
        <item m="1" x="4693"/>
        <item m="1" x="4694"/>
        <item m="1" x="6429"/>
        <item m="1" x="6062"/>
        <item x="926"/>
        <item m="1" x="5514"/>
        <item m="1" x="5076"/>
        <item x="953"/>
        <item x="1879"/>
        <item x="952"/>
        <item m="1" x="3628"/>
        <item m="1" x="3651"/>
        <item m="1" x="3652"/>
        <item x="1854"/>
        <item m="1" x="6103"/>
        <item m="1" x="4007"/>
        <item m="1" x="6475"/>
        <item m="1" x="6476"/>
        <item m="1" x="6477"/>
        <item m="1" x="6478"/>
        <item m="1" x="4012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93"/>
        <item m="1" x="5612"/>
        <item m="1" x="5611"/>
        <item m="1" x="5613"/>
        <item x="2393"/>
        <item m="1" x="6521"/>
        <item x="1521"/>
        <item x="1524"/>
        <item m="1" x="5615"/>
        <item m="1" x="5765"/>
        <item x="1527"/>
        <item m="1" x="4661"/>
        <item m="1" x="4663"/>
        <item m="1" x="6131"/>
        <item x="1532"/>
        <item x="1536"/>
        <item x="1537"/>
        <item x="1539"/>
        <item x="2431"/>
        <item m="1" x="5619"/>
        <item m="1" x="5621"/>
        <item m="1" x="4666"/>
        <item m="1" x="6140"/>
        <item m="1" x="4668"/>
        <item m="1" x="4695"/>
        <item m="1" x="4696"/>
        <item m="1" x="4697"/>
        <item x="1857"/>
        <item m="1" x="5079"/>
        <item m="1" x="3671"/>
        <item m="1" x="3672"/>
        <item m="1" x="3673"/>
        <item m="1" x="3687"/>
        <item m="1" x="3688"/>
        <item m="1" x="6552"/>
        <item m="1" x="6186"/>
        <item m="1" x="6185"/>
        <item m="1" x="6559"/>
        <item m="1" x="6560"/>
        <item m="1" x="6561"/>
        <item m="1" x="6562"/>
        <item m="1" x="6563"/>
        <item m="1" x="6564"/>
        <item m="1" x="4112"/>
        <item m="1" x="4113"/>
        <item m="1" x="6565"/>
        <item m="1" x="4115"/>
        <item m="1" x="6218"/>
        <item m="1" x="4669"/>
        <item x="2395"/>
        <item m="1" x="6222"/>
        <item x="2407"/>
        <item x="2418"/>
        <item x="2420"/>
        <item x="2421"/>
        <item x="2429"/>
        <item x="2438"/>
        <item x="2445"/>
        <item m="1" x="5771"/>
        <item m="1" x="4700"/>
        <item m="1" x="4701"/>
        <item m="1" x="4702"/>
        <item m="1" x="4703"/>
        <item m="1" x="6232"/>
        <item x="2652"/>
        <item m="1" x="3703"/>
        <item m="1" x="6605"/>
        <item m="1" x="6606"/>
        <item m="1" x="6607"/>
        <item m="1" x="6614"/>
        <item m="1" x="6615"/>
        <item m="1" x="6616"/>
        <item m="1" x="6619"/>
        <item m="1" x="6620"/>
        <item x="2980"/>
        <item x="2983"/>
        <item x="2984"/>
        <item x="2985"/>
        <item x="2986"/>
        <item m="1" x="4706"/>
        <item m="1" x="6645"/>
        <item m="1" x="6648"/>
        <item m="1" x="4117"/>
        <item x="3214"/>
        <item m="1" x="4708"/>
        <item m="1" x="5960"/>
        <item m="1" x="3533"/>
        <item x="16"/>
        <item m="1" x="3714"/>
        <item x="348"/>
        <item x="349"/>
        <item m="1" x="3749"/>
        <item m="1" x="3812"/>
        <item m="1" x="4846"/>
        <item m="1" x="5967"/>
        <item m="1" x="3891"/>
        <item m="1" x="3892"/>
        <item m="1" x="4188"/>
        <item m="1" x="4225"/>
        <item m="1" x="5373"/>
        <item m="1" x="4528"/>
        <item m="1" x="5375"/>
        <item m="1" x="5973"/>
        <item x="64"/>
        <item x="67"/>
        <item m="1" x="4691"/>
        <item x="759"/>
        <item x="120"/>
        <item x="121"/>
        <item x="764"/>
        <item x="152"/>
        <item x="159"/>
        <item x="161"/>
        <item x="162"/>
        <item x="179"/>
        <item m="1" x="5022"/>
        <item m="1" x="5085"/>
        <item m="1" x="5980"/>
        <item x="216"/>
        <item x="219"/>
        <item x="220"/>
        <item x="226"/>
        <item x="250"/>
        <item m="1" x="5984"/>
        <item m="1" x="5985"/>
        <item m="1" x="5986"/>
        <item x="238"/>
        <item m="1" x="5987"/>
        <item x="252"/>
        <item x="278"/>
        <item x="279"/>
        <item x="293"/>
        <item m="1" x="5991"/>
        <item m="1" x="5992"/>
        <item x="311"/>
        <item x="312"/>
        <item x="313"/>
        <item x="314"/>
        <item x="315"/>
        <item m="1" x="5409"/>
        <item x="347"/>
        <item m="1" x="3740"/>
        <item x="375"/>
        <item m="1" x="6014"/>
        <item m="1" x="4841"/>
        <item m="1" x="4842"/>
        <item m="1" x="4848"/>
        <item m="1" x="6019"/>
        <item m="1" x="4854"/>
        <item m="1" x="6020"/>
        <item m="1" x="6021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x="426"/>
        <item x="468"/>
        <item m="1" x="5443"/>
        <item m="1" x="5444"/>
        <item m="1" x="6028"/>
        <item m="1" x="4299"/>
        <item x="477"/>
        <item x="478"/>
        <item m="1" x="5449"/>
        <item m="1" x="5450"/>
        <item m="1" x="5451"/>
        <item m="1" x="5452"/>
        <item x="501"/>
        <item x="517"/>
        <item x="502"/>
        <item m="1" x="6033"/>
        <item m="1" x="6034"/>
        <item m="1" x="6035"/>
        <item m="1" x="6036"/>
        <item m="1" x="6120"/>
        <item m="1" x="6037"/>
        <item m="1" x="6038"/>
        <item x="534"/>
        <item m="1" x="5462"/>
        <item m="1" x="4618"/>
        <item x="538"/>
        <item x="539"/>
        <item m="1" x="4628"/>
        <item x="551"/>
        <item m="1" x="4625"/>
        <item x="553"/>
        <item m="1" x="5463"/>
        <item x="557"/>
        <item m="1" x="5464"/>
        <item x="566"/>
        <item m="1" x="6042"/>
        <item x="591"/>
        <item x="686"/>
        <item x="653"/>
        <item x="654"/>
        <item x="655"/>
        <item m="1" x="4686"/>
        <item x="1609"/>
        <item x="758"/>
        <item x="760"/>
        <item x="761"/>
        <item x="762"/>
        <item x="763"/>
        <item x="765"/>
        <item x="808"/>
        <item x="789"/>
        <item x="819"/>
        <item x="802"/>
        <item x="870"/>
        <item x="871"/>
        <item x="872"/>
        <item x="873"/>
        <item m="1" x="5504"/>
        <item m="1" x="5505"/>
        <item m="1" x="4969"/>
        <item m="1" x="4970"/>
        <item x="3494"/>
        <item m="1" x="5506"/>
        <item m="1" x="5507"/>
        <item m="1" x="5508"/>
        <item m="1" x="4971"/>
        <item x="3502"/>
        <item x="884"/>
        <item x="885"/>
        <item m="1" x="5023"/>
        <item m="1" x="6061"/>
        <item m="1" x="6063"/>
        <item x="941"/>
        <item x="949"/>
        <item m="1" x="5077"/>
        <item m="1" x="5187"/>
        <item m="1" x="5101"/>
        <item m="1" x="5518"/>
        <item m="1" x="5095"/>
        <item m="1" x="5102"/>
        <item m="1" x="5094"/>
        <item m="1" x="6064"/>
        <item x="978"/>
        <item x="979"/>
        <item x="980"/>
        <item x="981"/>
        <item x="982"/>
        <item x="1036"/>
        <item x="2058"/>
        <item x="2078"/>
        <item m="1" x="5350"/>
        <item m="1" x="5528"/>
        <item x="2082"/>
        <item x="1046"/>
        <item m="1" x="6070"/>
        <item x="1048"/>
        <item m="1" x="5353"/>
        <item x="1057"/>
        <item m="1" x="6077"/>
        <item x="1066"/>
        <item x="1082"/>
        <item m="1" x="6082"/>
        <item m="1" x="5542"/>
        <item m="1" x="3720"/>
        <item x="1173"/>
        <item m="1" x="5543"/>
        <item x="1174"/>
        <item x="1175"/>
        <item m="1" x="3722"/>
        <item m="1" x="5549"/>
        <item x="1249"/>
        <item x="1250"/>
        <item x="1252"/>
        <item x="2211"/>
        <item x="1254"/>
        <item x="1255"/>
        <item x="1257"/>
        <item x="1287"/>
        <item x="1288"/>
        <item x="1289"/>
        <item x="1290"/>
        <item m="1" x="4863"/>
        <item m="1" x="6112"/>
        <item m="1" x="5577"/>
        <item m="1" x="4008"/>
        <item m="1" x="4009"/>
        <item m="1" x="4010"/>
        <item m="1" x="4011"/>
        <item m="1" x="4013"/>
        <item m="1" x="4014"/>
        <item m="1" x="4108"/>
        <item m="1" x="5581"/>
        <item m="1" x="4110"/>
        <item m="1" x="4015"/>
        <item m="1" x="4016"/>
        <item m="1" x="4017"/>
        <item m="1" x="4018"/>
        <item m="1" x="4019"/>
        <item m="1" x="4020"/>
        <item m="1" x="4021"/>
        <item m="1" x="5582"/>
        <item m="1" x="4022"/>
        <item m="1" x="5583"/>
        <item m="1" x="5584"/>
        <item m="1" x="5585"/>
        <item m="1" x="4023"/>
        <item m="1" x="4024"/>
        <item m="1" x="4025"/>
        <item m="1" x="4026"/>
        <item m="1" x="5587"/>
        <item m="1" x="5588"/>
        <item m="1" x="5595"/>
        <item m="1" x="4384"/>
        <item m="1" x="4385"/>
        <item m="1" x="4386"/>
        <item m="1" x="4387"/>
        <item m="1" x="4388"/>
        <item m="1" x="4410"/>
        <item m="1" x="5603"/>
        <item m="1" x="5604"/>
        <item m="1" x="5607"/>
        <item x="1464"/>
        <item x="1465"/>
        <item x="1466"/>
        <item x="1467"/>
        <item x="1468"/>
        <item m="1" x="6118"/>
        <item m="1" x="6119"/>
        <item m="1" x="6121"/>
        <item x="1479"/>
        <item m="1" x="6122"/>
        <item x="1480"/>
        <item x="1481"/>
        <item x="1482"/>
        <item x="1483"/>
        <item x="1484"/>
        <item x="1487"/>
        <item m="1" x="4630"/>
        <item m="1" x="4632"/>
        <item x="1531"/>
        <item m="1" x="5616"/>
        <item m="1" x="6150"/>
        <item x="1607"/>
        <item x="1610"/>
        <item x="1612"/>
        <item x="1613"/>
        <item m="1" x="6152"/>
        <item x="1669"/>
        <item x="1670"/>
        <item x="1700"/>
        <item x="1705"/>
        <item x="1704"/>
        <item x="1732"/>
        <item x="1731"/>
        <item x="1795"/>
        <item m="1" x="6154"/>
        <item x="1796"/>
        <item x="1797"/>
        <item m="1" x="4973"/>
        <item m="1" x="5677"/>
        <item m="1" x="5678"/>
        <item x="3504"/>
        <item x="1817"/>
        <item x="1818"/>
        <item x="1819"/>
        <item x="3517"/>
        <item m="1" x="5679"/>
        <item x="1820"/>
        <item x="1821"/>
        <item x="1822"/>
        <item x="3509"/>
        <item m="1" x="4974"/>
        <item x="1823"/>
        <item x="1825"/>
        <item x="1826"/>
        <item m="1" x="5039"/>
        <item m="1" x="5040"/>
        <item m="1" x="5041"/>
        <item m="1" x="6157"/>
        <item x="1871"/>
        <item m="1" x="5133"/>
        <item m="1" x="5123"/>
        <item m="1" x="5134"/>
        <item m="1" x="5126"/>
        <item m="1" x="5132"/>
        <item m="1" x="5157"/>
        <item m="1" x="5235"/>
        <item m="1" x="5254"/>
        <item m="1" x="5271"/>
        <item x="1901"/>
        <item x="1917"/>
        <item x="1918"/>
        <item x="1919"/>
        <item x="1920"/>
        <item x="1922"/>
        <item x="1923"/>
        <item x="1924"/>
        <item x="1925"/>
        <item x="1928"/>
        <item x="1984"/>
        <item x="2040"/>
        <item x="2059"/>
        <item x="2071"/>
        <item x="2075"/>
        <item x="2077"/>
        <item x="2081"/>
        <item x="2096"/>
        <item x="2126"/>
        <item m="1" x="5712"/>
        <item x="2162"/>
        <item x="2163"/>
        <item m="1" x="3724"/>
        <item x="2209"/>
        <item x="2210"/>
        <item x="2212"/>
        <item x="2213"/>
        <item x="2235"/>
        <item x="2236"/>
        <item x="2237"/>
        <item x="2703"/>
        <item m="1" x="6195"/>
        <item m="1" x="4871"/>
        <item m="1" x="6199"/>
        <item m="1" x="5733"/>
        <item m="1" x="4096"/>
        <item m="1" x="4104"/>
        <item m="1" x="4105"/>
        <item m="1" x="4106"/>
        <item m="1" x="4107"/>
        <item m="1" x="4109"/>
        <item m="1" x="4111"/>
        <item m="1" x="4114"/>
        <item m="1" x="4116"/>
        <item m="1" x="4118"/>
        <item m="1" x="4119"/>
        <item m="1" x="4120"/>
        <item m="1" x="4121"/>
        <item x="2312"/>
        <item m="1" x="5741"/>
        <item m="1" x="4470"/>
        <item m="1" x="4479"/>
        <item x="2336"/>
        <item x="2337"/>
        <item m="1" x="5749"/>
        <item m="1" x="6208"/>
        <item x="2346"/>
        <item x="2349"/>
        <item m="1" x="5755"/>
        <item x="2361"/>
        <item x="2362"/>
        <item m="1" x="4561"/>
        <item m="1" x="6211"/>
        <item m="1" x="6212"/>
        <item m="1" x="6213"/>
        <item m="1" x="6214"/>
        <item x="2368"/>
        <item x="2370"/>
        <item x="2373"/>
        <item x="2374"/>
        <item x="2375"/>
        <item m="1" x="6215"/>
        <item x="2377"/>
        <item m="1" x="4638"/>
        <item m="1" x="5761"/>
        <item x="2382"/>
        <item x="2383"/>
        <item x="2413"/>
        <item x="2442"/>
        <item m="1" x="4704"/>
        <item m="1" x="4707"/>
        <item x="2457"/>
        <item m="1" x="6226"/>
        <item x="2534"/>
        <item x="2535"/>
        <item x="2571"/>
        <item x="2559"/>
        <item x="2569"/>
        <item x="2570"/>
        <item x="2561"/>
        <item m="1" x="4913"/>
        <item x="2616"/>
        <item x="2617"/>
        <item m="1" x="6230"/>
        <item x="2628"/>
        <item m="1" x="5796"/>
        <item x="2629"/>
        <item m="1" x="4976"/>
        <item x="3489"/>
        <item x="2630"/>
        <item m="1" x="4978"/>
        <item m="1" x="5051"/>
        <item m="1" x="6231"/>
        <item m="1" x="5164"/>
        <item m="1" x="5301"/>
        <item m="1" x="5192"/>
        <item x="2686"/>
        <item x="2687"/>
        <item x="2688"/>
        <item x="2689"/>
        <item x="2690"/>
        <item x="2691"/>
        <item x="2705"/>
        <item x="2692"/>
        <item x="2693"/>
        <item x="2694"/>
        <item x="2769"/>
        <item x="2777"/>
        <item x="2780"/>
        <item x="2784"/>
        <item x="3133"/>
        <item x="2785"/>
        <item x="2786"/>
        <item x="2791"/>
        <item x="2794"/>
        <item x="2798"/>
        <item x="2799"/>
        <item x="2800"/>
        <item x="2803"/>
        <item m="1" x="6245"/>
        <item m="1" x="5361"/>
        <item x="2841"/>
        <item m="1" x="3726"/>
        <item x="2858"/>
        <item x="2893"/>
        <item x="1251"/>
        <item m="1" x="3778"/>
        <item m="1" x="3867"/>
        <item m="1" x="6257"/>
        <item m="1" x="5842"/>
        <item m="1" x="4158"/>
        <item m="1" x="4159"/>
        <item m="1" x="4160"/>
        <item m="1" x="4162"/>
        <item m="1" x="4163"/>
        <item m="1" x="4164"/>
        <item m="1" x="4165"/>
        <item m="1" x="6263"/>
        <item m="1" x="6264"/>
        <item m="1" x="5849"/>
        <item m="1" x="5850"/>
        <item m="1" x="5851"/>
        <item x="2964"/>
        <item m="1" x="4560"/>
        <item m="1" x="6266"/>
        <item x="2969"/>
        <item m="1" x="4641"/>
        <item x="2988"/>
        <item m="1" x="5855"/>
        <item m="1" x="4882"/>
        <item x="2998"/>
        <item m="1" x="6275"/>
        <item x="3061"/>
        <item m="1" x="5862"/>
        <item m="1" x="5058"/>
        <item m="1" x="5330"/>
        <item m="1" x="5335"/>
        <item m="1" x="5336"/>
        <item x="3073"/>
        <item x="3074"/>
        <item x="3076"/>
        <item m="1" x="5198"/>
        <item x="3077"/>
        <item x="3078"/>
        <item x="3079"/>
        <item x="3119"/>
        <item x="3125"/>
        <item x="3126"/>
        <item m="1" x="5874"/>
        <item x="3130"/>
        <item m="1" x="5877"/>
        <item x="3141"/>
        <item x="3148"/>
        <item x="3149"/>
        <item x="3151"/>
        <item x="3154"/>
        <item x="3155"/>
        <item m="1" x="5532"/>
        <item x="237"/>
        <item x="3216"/>
        <item m="1" x="6284"/>
        <item m="1" x="4174"/>
        <item x="3186"/>
        <item x="3190"/>
        <item x="3211"/>
        <item x="3219"/>
        <item x="3220"/>
        <item m="1" x="5883"/>
        <item x="3260"/>
        <item m="1" x="5884"/>
        <item x="3267"/>
        <item x="3271"/>
        <item x="3272"/>
        <item x="3274"/>
        <item x="3277"/>
        <item m="1" x="5911"/>
        <item x="3192"/>
        <item m="1" x="5006"/>
        <item m="1" x="5948"/>
        <item x="3493"/>
        <item x="3465"/>
        <item m="1" x="5007"/>
        <item x="3486"/>
        <item m="1" x="5949"/>
        <item m="1" x="5950"/>
        <item m="1" x="5951"/>
        <item x="3467"/>
        <item m="1" x="5952"/>
        <item m="1" x="5953"/>
        <item m="1" x="5008"/>
        <item m="1" x="5954"/>
        <item m="1" x="5955"/>
        <item m="1" x="5009"/>
        <item x="3469"/>
        <item x="3500"/>
        <item x="3470"/>
        <item m="1" x="5956"/>
        <item x="3471"/>
        <item m="1" x="5957"/>
        <item x="3515"/>
        <item m="1" x="6315"/>
        <item x="3472"/>
        <item x="2"/>
        <item x="1"/>
        <item m="1" x="5365"/>
        <item m="1" x="5367"/>
        <item x="22"/>
        <item x="27"/>
        <item x="29"/>
        <item m="1" x="5370"/>
        <item x="40"/>
        <item m="1" x="4226"/>
        <item m="1" x="4227"/>
        <item m="1" x="4228"/>
        <item m="1" x="5374"/>
        <item x="52"/>
        <item x="3202"/>
        <item x="61"/>
        <item x="62"/>
        <item m="1" x="4645"/>
        <item x="122"/>
        <item x="123"/>
        <item x="124"/>
        <item x="125"/>
        <item x="126"/>
        <item x="127"/>
        <item x="128"/>
        <item x="129"/>
        <item x="150"/>
        <item m="1" x="4903"/>
        <item m="1" x="5385"/>
        <item m="1" x="5386"/>
        <item x="163"/>
        <item m="1" x="5392"/>
        <item x="993"/>
        <item x="209"/>
        <item x="212"/>
        <item x="229"/>
        <item m="1" x="3534"/>
        <item m="1" x="5396"/>
        <item m="1" x="3535"/>
        <item x="247"/>
        <item x="243"/>
        <item x="239"/>
        <item x="251"/>
        <item x="1077"/>
        <item m="1" x="5398"/>
        <item m="1" x="5399"/>
        <item x="246"/>
        <item x="241"/>
        <item m="1" x="5402"/>
        <item m="1" x="5403"/>
        <item m="1" x="5404"/>
        <item x="317"/>
        <item x="316"/>
        <item x="353"/>
        <item x="371"/>
        <item m="1" x="3828"/>
        <item x="392"/>
        <item x="393"/>
        <item x="395"/>
        <item x="396"/>
        <item m="1" x="5431"/>
        <item x="469"/>
        <item m="1" x="4290"/>
        <item x="1002"/>
        <item m="1" x="4291"/>
        <item m="1" x="4292"/>
        <item m="1" x="4293"/>
        <item m="1" x="4525"/>
        <item m="1" x="5454"/>
        <item x="515"/>
        <item x="516"/>
        <item x="3193"/>
        <item m="1" x="4557"/>
        <item x="3198"/>
        <item m="1" x="4559"/>
        <item m="1" x="5460"/>
        <item m="1" x="4563"/>
        <item m="1" x="5461"/>
        <item x="3203"/>
        <item m="1" x="4565"/>
        <item x="3207"/>
        <item x="541"/>
        <item m="1" x="5465"/>
        <item x="621"/>
        <item x="656"/>
        <item x="657"/>
        <item x="658"/>
        <item x="583"/>
        <item x="586"/>
        <item m="1" x="5468"/>
        <item x="1600"/>
        <item x="671"/>
        <item x="766"/>
        <item x="767"/>
        <item x="768"/>
        <item x="769"/>
        <item x="770"/>
        <item x="771"/>
        <item x="793"/>
        <item x="1712"/>
        <item x="807"/>
        <item x="790"/>
        <item x="800"/>
        <item m="1" x="5498"/>
        <item x="875"/>
        <item x="3359"/>
        <item x="3410"/>
        <item m="1" x="5502"/>
        <item m="1" x="4972"/>
        <item x="3475"/>
        <item x="3479"/>
        <item x="3481"/>
        <item x="3483"/>
        <item x="914"/>
        <item m="1" x="5033"/>
        <item m="1" x="5217"/>
        <item m="1" x="5520"/>
        <item x="973"/>
        <item x="985"/>
        <item x="986"/>
        <item x="988"/>
        <item x="989"/>
        <item x="990"/>
        <item x="992"/>
        <item x="1017"/>
        <item x="1059"/>
        <item x="1060"/>
        <item x="1061"/>
        <item x="1062"/>
        <item x="1075"/>
        <item x="1076"/>
        <item x="1073"/>
        <item x="1074"/>
        <item x="1078"/>
        <item m="1" x="5534"/>
        <item x="1067"/>
        <item m="1" x="5539"/>
        <item m="1" x="5540"/>
        <item m="1" x="5541"/>
        <item x="1179"/>
        <item x="1176"/>
        <item x="1177"/>
        <item x="1178"/>
        <item x="1258"/>
        <item x="1259"/>
        <item x="1292"/>
        <item m="1" x="3745"/>
        <item m="1" x="3761"/>
        <item m="1" x="5558"/>
        <item m="1" x="5559"/>
        <item m="1" x="3762"/>
        <item m="1" x="3841"/>
        <item m="1" x="5573"/>
        <item x="1308"/>
        <item x="1313"/>
        <item x="1314"/>
        <item x="1315"/>
        <item m="1" x="5574"/>
        <item m="1" x="5575"/>
        <item m="1" x="4858"/>
        <item m="1" x="4859"/>
        <item m="1" x="4864"/>
        <item m="1" x="4303"/>
        <item x="1972"/>
        <item m="1" x="4318"/>
        <item m="1" x="4390"/>
        <item m="1" x="5596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526"/>
        <item x="3196"/>
        <item x="3199"/>
        <item m="1" x="4564"/>
        <item x="3204"/>
        <item x="3205"/>
        <item x="1488"/>
        <item x="1510"/>
        <item x="1494"/>
        <item x="1498"/>
        <item x="1509"/>
        <item x="1508"/>
        <item x="1490"/>
        <item x="1547"/>
        <item x="1614"/>
        <item x="1616"/>
        <item m="1" x="5625"/>
        <item m="1" x="5626"/>
        <item x="1671"/>
        <item x="1672"/>
        <item x="1673"/>
        <item x="1674"/>
        <item x="1675"/>
        <item x="1676"/>
        <item x="1677"/>
        <item x="1730"/>
        <item m="1" x="4904"/>
        <item x="1698"/>
        <item x="1718"/>
        <item x="1719"/>
        <item x="1703"/>
        <item x="1799"/>
        <item m="1" x="5015"/>
        <item m="1" x="5680"/>
        <item x="1824"/>
        <item m="1" x="5681"/>
        <item x="3473"/>
        <item x="3478"/>
        <item m="1" x="5010"/>
        <item m="1" x="5682"/>
        <item x="3480"/>
        <item m="1" x="4043"/>
        <item m="1" x="5042"/>
        <item m="1" x="5043"/>
        <item m="1" x="5044"/>
        <item m="1" x="5045"/>
        <item x="1934"/>
        <item x="1937"/>
        <item x="1939"/>
        <item x="1941"/>
        <item x="1942"/>
        <item x="1946"/>
        <item x="1949"/>
        <item x="1952"/>
        <item x="1953"/>
        <item x="1983"/>
        <item x="1999"/>
        <item x="2022"/>
        <item x="2041"/>
        <item x="2042"/>
        <item x="2048"/>
        <item x="2083"/>
        <item x="2084"/>
        <item m="1" x="5708"/>
        <item x="2085"/>
        <item x="2086"/>
        <item x="2087"/>
        <item x="256"/>
        <item m="1" x="5709"/>
        <item x="2217"/>
        <item x="2218"/>
        <item x="2219"/>
        <item x="2220"/>
        <item x="2221"/>
        <item x="2222"/>
        <item m="1" x="3766"/>
        <item m="1" x="3767"/>
        <item m="1" x="3768"/>
        <item m="1" x="3769"/>
        <item x="2253"/>
        <item x="2255"/>
        <item x="2256"/>
        <item m="1" x="4413"/>
        <item m="1" x="4430"/>
        <item m="1" x="4471"/>
        <item m="1" x="4472"/>
        <item m="1" x="4512"/>
        <item m="1" x="4474"/>
        <item m="1" x="5752"/>
        <item m="1" x="5754"/>
        <item x="2363"/>
        <item x="3195"/>
        <item m="1" x="4558"/>
        <item m="1" x="4562"/>
        <item m="1" x="5758"/>
        <item m="1" x="5759"/>
        <item x="3208"/>
        <item x="2379"/>
        <item x="2380"/>
        <item m="1" x="5763"/>
        <item x="2970"/>
        <item x="2410"/>
        <item x="2428"/>
        <item x="2476"/>
        <item x="2466"/>
        <item m="1" x="5772"/>
        <item x="2563"/>
        <item m="1" x="4906"/>
        <item m="1" x="4905"/>
        <item x="2562"/>
        <item m="1" x="5790"/>
        <item x="2557"/>
        <item x="2558"/>
        <item x="2619"/>
        <item x="2620"/>
        <item x="3491"/>
        <item m="1" x="4979"/>
        <item x="2631"/>
        <item x="3482"/>
        <item m="1" x="5797"/>
        <item m="1" x="5052"/>
        <item m="1" x="5799"/>
        <item m="1" x="5053"/>
        <item m="1" x="5054"/>
        <item m="1" x="5056"/>
        <item x="2704"/>
        <item x="2707"/>
        <item x="2708"/>
        <item x="2709"/>
        <item x="2711"/>
        <item x="2754"/>
        <item m="1" x="5806"/>
        <item x="2771"/>
        <item m="1" x="5362"/>
        <item m="1" x="5363"/>
        <item x="2817"/>
        <item m="1" x="5364"/>
        <item x="2818"/>
        <item x="3161"/>
        <item x="2819"/>
        <item x="2820"/>
        <item x="2828"/>
        <item x="2827"/>
        <item m="1" x="5824"/>
        <item x="2860"/>
        <item x="2859"/>
        <item m="1" x="5828"/>
        <item x="2894"/>
        <item x="2911"/>
        <item m="1" x="5843"/>
        <item m="1" x="4510"/>
        <item m="1" x="4511"/>
        <item m="1" x="5853"/>
        <item x="2965"/>
        <item x="3194"/>
        <item m="1" x="4567"/>
        <item x="2971"/>
        <item x="2975"/>
        <item m="1" x="5854"/>
        <item x="2979"/>
        <item x="3477"/>
        <item x="3081"/>
        <item m="1" x="5868"/>
        <item x="3156"/>
        <item x="3157"/>
        <item x="3158"/>
        <item x="3160"/>
        <item x="3169"/>
        <item m="1" x="4880"/>
        <item x="3210"/>
        <item x="3474"/>
        <item x="3264"/>
        <item x="3279"/>
        <item x="3280"/>
        <item x="3197"/>
        <item m="1" x="5934"/>
        <item x="3394"/>
        <item m="1" x="5941"/>
        <item m="1" x="5942"/>
        <item m="1" x="5943"/>
        <item x="0"/>
        <item m="1" x="3536"/>
        <item x="240"/>
        <item x="242"/>
        <item m="1" x="3537"/>
        <item x="1071"/>
        <item x="1080"/>
        <item x="2098"/>
        <item x="2099"/>
        <item x="1118"/>
        <item x="1119"/>
        <item x="1120"/>
        <item x="280"/>
        <item x="1122"/>
        <item x="1123"/>
        <item x="1124"/>
        <item x="281"/>
        <item x="1125"/>
        <item x="8"/>
        <item x="9"/>
        <item x="2119"/>
        <item x="1126"/>
        <item x="2127"/>
        <item m="1" x="3545"/>
        <item m="1" x="3624"/>
        <item m="1" x="3669"/>
        <item m="1" x="3670"/>
        <item m="1" x="3625"/>
        <item m="1" x="3626"/>
        <item m="1" x="3570"/>
        <item m="1" x="3571"/>
        <item m="1" x="3627"/>
        <item m="1" x="3580"/>
        <item m="1" x="3581"/>
        <item m="1" x="3583"/>
        <item m="1" x="3584"/>
        <item m="1" x="3633"/>
        <item m="1" x="3585"/>
        <item m="1" x="3586"/>
        <item m="1" x="3546"/>
        <item m="1" x="3634"/>
        <item m="1" x="3587"/>
        <item m="1" x="3588"/>
        <item m="1" x="3707"/>
        <item m="1" x="3708"/>
        <item m="1" x="3709"/>
        <item m="1" x="3710"/>
        <item m="1" x="3719"/>
        <item x="2861"/>
        <item x="2164"/>
        <item x="318"/>
        <item x="1180"/>
        <item x="1181"/>
        <item x="319"/>
        <item x="2165"/>
        <item x="1182"/>
        <item x="1183"/>
        <item m="1" x="3727"/>
        <item x="3176"/>
        <item x="2166"/>
        <item x="1185"/>
        <item x="320"/>
        <item x="1187"/>
        <item x="2168"/>
        <item x="321"/>
        <item x="2863"/>
        <item x="1189"/>
        <item m="1" x="3715"/>
        <item x="1190"/>
        <item x="1191"/>
        <item x="324"/>
        <item x="1194"/>
        <item x="2170"/>
        <item x="1195"/>
        <item x="325"/>
        <item x="1196"/>
        <item x="1197"/>
        <item x="1198"/>
        <item x="2866"/>
        <item x="2871"/>
        <item x="3181"/>
        <item x="2223"/>
        <item x="2224"/>
        <item x="2895"/>
        <item x="354"/>
        <item x="1261"/>
        <item x="1262"/>
        <item x="2226"/>
        <item x="1263"/>
        <item x="356"/>
        <item x="357"/>
        <item x="2897"/>
        <item x="358"/>
        <item x="359"/>
        <item x="24"/>
        <item x="2898"/>
        <item x="3286"/>
        <item m="1" x="3728"/>
        <item x="3292"/>
        <item m="1" x="3717"/>
        <item x="3293"/>
        <item x="3287"/>
        <item x="3288"/>
        <item x="3296"/>
        <item x="3297"/>
        <item x="3298"/>
        <item x="3289"/>
        <item x="3299"/>
        <item x="3290"/>
        <item x="3291"/>
        <item m="1" x="3730"/>
        <item m="1" x="3731"/>
        <item m="1" x="3773"/>
        <item m="1" x="3771"/>
        <item m="1" x="3774"/>
        <item x="2243"/>
        <item m="1" x="3780"/>
        <item x="1300"/>
        <item m="1" x="3781"/>
        <item m="1" x="3782"/>
        <item m="1" x="3813"/>
        <item m="1" x="3793"/>
        <item m="1" x="3783"/>
        <item m="1" x="3784"/>
        <item m="1" x="3800"/>
        <item m="1" x="3801"/>
        <item m="1" x="3786"/>
        <item m="1" x="3787"/>
        <item m="1" x="3802"/>
        <item m="1" x="3794"/>
        <item m="1" x="3795"/>
        <item m="1" x="3796"/>
        <item m="1" x="3788"/>
        <item m="1" x="3789"/>
        <item m="1" x="3803"/>
        <item m="1" x="3790"/>
        <item m="1" x="3798"/>
        <item m="1" x="3799"/>
        <item m="1" x="3792"/>
        <item x="1317"/>
        <item x="397"/>
        <item x="1318"/>
        <item x="398"/>
        <item x="399"/>
        <item m="1" x="3873"/>
        <item m="1" x="3879"/>
        <item m="1" x="3876"/>
        <item x="447"/>
        <item x="2944"/>
        <item x="450"/>
        <item x="2324"/>
        <item x="2325"/>
        <item x="1417"/>
        <item m="1" x="4481"/>
        <item m="1" x="4294"/>
        <item m="1" x="4229"/>
        <item m="1" x="4295"/>
        <item m="1" x="4401"/>
        <item m="1" x="4296"/>
        <item x="1433"/>
        <item x="2342"/>
        <item x="483"/>
        <item x="1451"/>
        <item x="503"/>
        <item x="1452"/>
        <item x="518"/>
        <item x="519"/>
        <item x="1469"/>
        <item x="2364"/>
        <item x="2966"/>
        <item x="1470"/>
        <item m="1" x="4566"/>
        <item m="1" x="4568"/>
        <item m="1" x="4547"/>
        <item m="1" x="4549"/>
        <item m="1" x="4550"/>
        <item m="1" x="4537"/>
        <item m="1" x="4617"/>
        <item x="1477"/>
        <item x="58"/>
        <item x="2369"/>
        <item x="536"/>
        <item x="537"/>
        <item x="59"/>
        <item x="542"/>
        <item m="1" x="4629"/>
        <item x="2372"/>
        <item m="1" x="4619"/>
        <item m="1" x="4620"/>
        <item m="1" x="4621"/>
        <item x="2973"/>
        <item x="3314"/>
        <item m="1" x="4637"/>
        <item x="1491"/>
        <item m="1" x="4626"/>
        <item x="556"/>
        <item x="558"/>
        <item x="559"/>
        <item x="561"/>
        <item x="3325"/>
        <item x="1503"/>
        <item x="563"/>
        <item x="63"/>
        <item x="1506"/>
        <item m="1" x="4687"/>
        <item m="1" x="4689"/>
        <item m="1" x="4688"/>
        <item x="662"/>
        <item m="1" x="4684"/>
        <item m="1" x="4655"/>
        <item x="668"/>
        <item x="2458"/>
        <item x="2994"/>
        <item m="1" x="4839"/>
        <item m="1" x="4840"/>
        <item m="1" x="4843"/>
        <item m="1" x="4847"/>
        <item m="1" x="4878"/>
        <item m="1" x="4852"/>
        <item m="1" x="4865"/>
        <item m="1" x="4866"/>
        <item m="1" x="4855"/>
        <item x="1606"/>
        <item x="1611"/>
        <item x="670"/>
        <item x="672"/>
        <item x="1615"/>
        <item x="673"/>
        <item x="674"/>
        <item x="1618"/>
        <item x="3001"/>
        <item x="1619"/>
        <item x="2470"/>
        <item m="1" x="4884"/>
        <item m="1" x="4890"/>
        <item m="1" x="4894"/>
        <item m="1" x="4897"/>
        <item m="1" x="4895"/>
        <item m="1" x="4891"/>
        <item m="1" x="4885"/>
        <item x="772"/>
        <item x="1678"/>
        <item x="773"/>
        <item x="2536"/>
        <item x="130"/>
        <item x="1679"/>
        <item x="1680"/>
        <item x="131"/>
        <item x="132"/>
        <item x="2537"/>
        <item x="133"/>
        <item x="3241"/>
        <item x="134"/>
        <item x="135"/>
        <item x="136"/>
        <item x="774"/>
        <item x="775"/>
        <item x="137"/>
        <item x="138"/>
        <item x="776"/>
        <item x="139"/>
        <item x="2538"/>
        <item x="1681"/>
        <item x="1682"/>
        <item x="777"/>
        <item x="778"/>
        <item x="140"/>
        <item x="779"/>
        <item x="1695"/>
        <item x="3046"/>
        <item x="2553"/>
        <item x="1699"/>
        <item x="2554"/>
        <item x="791"/>
        <item x="796"/>
        <item x="801"/>
        <item x="1714"/>
        <item x="805"/>
        <item x="1716"/>
        <item x="151"/>
        <item x="1723"/>
        <item x="1728"/>
        <item m="1" x="4915"/>
        <item m="1" x="4916"/>
        <item m="1" x="4910"/>
        <item m="1" x="4907"/>
        <item x="1800"/>
        <item x="1801"/>
        <item x="876"/>
        <item x="2622"/>
        <item x="877"/>
        <item x="878"/>
        <item x="879"/>
        <item x="3250"/>
        <item x="880"/>
        <item x="1802"/>
        <item x="2625"/>
        <item x="2626"/>
        <item x="3255"/>
        <item m="1" x="4941"/>
        <item x="3485"/>
        <item x="3488"/>
        <item x="3490"/>
        <item x="915"/>
        <item x="2642"/>
        <item x="916"/>
        <item x="917"/>
        <item x="180"/>
        <item m="1" x="5047"/>
        <item m="1" x="5048"/>
        <item m="1" x="5059"/>
        <item x="181"/>
        <item x="922"/>
        <item x="184"/>
        <item x="927"/>
        <item x="187"/>
        <item x="188"/>
        <item x="932"/>
        <item x="190"/>
        <item x="943"/>
        <item m="1" x="5075"/>
        <item x="3518"/>
        <item x="2667"/>
        <item x="1929"/>
        <item x="1930"/>
        <item x="2695"/>
        <item x="203"/>
        <item x="2696"/>
        <item x="2697"/>
        <item x="1931"/>
        <item x="1932"/>
        <item x="2698"/>
        <item m="1" x="5197"/>
        <item x="1933"/>
        <item x="2699"/>
        <item x="2700"/>
        <item x="3080"/>
        <item x="983"/>
        <item x="984"/>
        <item m="1" x="5194"/>
        <item x="2712"/>
        <item x="2713"/>
        <item x="3082"/>
        <item x="1955"/>
        <item x="1956"/>
        <item x="2714"/>
        <item x="2715"/>
        <item x="1959"/>
        <item x="1960"/>
        <item x="1961"/>
        <item x="1965"/>
        <item x="1966"/>
        <item x="3083"/>
        <item x="1971"/>
        <item x="3097"/>
        <item x="1011"/>
        <item x="3099"/>
        <item x="1018"/>
        <item x="2756"/>
        <item x="2020"/>
        <item x="2025"/>
        <item x="2043"/>
        <item x="1028"/>
        <item x="2044"/>
        <item x="2045"/>
        <item x="3121"/>
        <item x="1037"/>
        <item x="2821"/>
        <item x="2088"/>
        <item x="2822"/>
        <item x="3162"/>
        <item x="2089"/>
        <item x="2090"/>
        <item x="3281"/>
        <item x="2823"/>
        <item x="3163"/>
        <item x="2091"/>
        <item x="230"/>
        <item x="1293"/>
        <item x="1294"/>
        <item m="1" x="3763"/>
        <item m="1" x="3764"/>
        <item m="1" x="3770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9"/>
        <item m="1" x="4041"/>
        <item m="1" x="4042"/>
        <item m="1" x="4044"/>
        <item m="1" x="4122"/>
        <item m="1" x="4123"/>
        <item m="1" x="4125"/>
        <item m="1" x="4126"/>
        <item m="1" x="4127"/>
        <item m="1" x="4128"/>
        <item m="1" x="4129"/>
        <item m="1" x="4131"/>
        <item m="1" x="4132"/>
        <item m="1" x="4133"/>
        <item m="1" x="4134"/>
        <item m="1" x="4166"/>
        <item m="1" x="4167"/>
        <item m="1" x="4168"/>
        <item m="1" x="4175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698"/>
        <item m="1" x="4699"/>
        <item m="1" x="4761"/>
        <item m="1" x="4762"/>
        <item m="1" x="4766"/>
        <item m="1" x="4769"/>
        <item m="1" x="4770"/>
        <item m="1" x="4771"/>
        <item m="1" x="4772"/>
        <item m="1" x="4774"/>
        <item m="1" x="4775"/>
        <item m="1" x="4776"/>
        <item m="1" x="4782"/>
        <item m="1" x="4783"/>
        <item m="1" x="4784"/>
        <item m="1" x="4785"/>
        <item m="1" x="4790"/>
        <item m="1" x="4793"/>
        <item m="1" x="4795"/>
        <item m="1" x="4796"/>
        <item m="1" x="4797"/>
        <item m="1" x="4801"/>
        <item m="1" x="4804"/>
        <item m="1" x="4805"/>
        <item m="1" x="4806"/>
        <item m="1" x="4811"/>
        <item m="1" x="4821"/>
        <item m="1" x="4822"/>
        <item m="1" x="4824"/>
        <item m="1" x="4825"/>
        <item m="1" x="4830"/>
        <item m="1" x="4831"/>
        <item m="1" x="4832"/>
        <item m="1" x="4834"/>
        <item m="1" x="4836"/>
        <item m="1" x="4837"/>
        <item m="1" x="4917"/>
        <item m="1" x="4918"/>
        <item m="1" x="4919"/>
        <item m="1" x="5103"/>
        <item m="1" x="5104"/>
        <item m="1" x="5105"/>
        <item m="1" x="5106"/>
        <item m="1" x="5107"/>
        <item m="1" x="5108"/>
        <item m="1" x="5112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8"/>
        <item m="1" x="5167"/>
        <item m="1" x="5168"/>
        <item m="1" x="5169"/>
        <item m="1" x="5170"/>
        <item m="1" x="5171"/>
        <item m="1" x="5185"/>
        <item x="2095"/>
        <item x="234"/>
        <item x="1069"/>
        <item x="2097"/>
        <item x="3"/>
        <item x="4"/>
        <item x="244"/>
        <item x="1079"/>
        <item x="249"/>
        <item x="254"/>
        <item x="257"/>
        <item x="1090"/>
        <item x="1127"/>
        <item x="1128"/>
        <item x="1129"/>
        <item x="10"/>
        <item x="283"/>
        <item x="1130"/>
        <item x="2835"/>
        <item x="2836"/>
        <item x="2837"/>
        <item x="2838"/>
        <item x="284"/>
        <item x="1141"/>
        <item x="322"/>
        <item x="2864"/>
        <item x="2865"/>
        <item x="1192"/>
        <item x="1193"/>
        <item x="2171"/>
        <item x="2867"/>
        <item x="2172"/>
        <item x="1199"/>
        <item x="1200"/>
        <item x="2173"/>
        <item x="2868"/>
        <item x="2869"/>
        <item x="2174"/>
        <item x="2175"/>
        <item x="1202"/>
        <item x="2177"/>
        <item x="2178"/>
        <item x="1203"/>
        <item x="327"/>
        <item x="1204"/>
        <item x="1205"/>
        <item x="2870"/>
        <item x="2179"/>
        <item x="328"/>
        <item x="1206"/>
        <item x="1207"/>
        <item x="329"/>
        <item x="1208"/>
        <item x="330"/>
        <item x="2180"/>
        <item x="2872"/>
        <item x="2181"/>
        <item x="2873"/>
        <item x="2182"/>
        <item x="17"/>
        <item x="3179"/>
        <item x="1209"/>
        <item x="331"/>
        <item x="1210"/>
        <item x="1211"/>
        <item x="1212"/>
        <item x="1215"/>
        <item x="1217"/>
        <item x="1219"/>
        <item x="1220"/>
        <item x="333"/>
        <item x="334"/>
        <item x="2880"/>
        <item x="335"/>
        <item x="337"/>
        <item x="2886"/>
        <item x="2888"/>
        <item x="2194"/>
        <item x="3294"/>
        <item x="2195"/>
        <item x="2196"/>
        <item x="3295"/>
        <item x="343"/>
        <item x="2215"/>
        <item x="350"/>
        <item x="1260"/>
        <item x="360"/>
        <item x="2227"/>
        <item x="361"/>
        <item x="1266"/>
        <item x="2228"/>
        <item x="2229"/>
        <item x="2230"/>
        <item x="1267"/>
        <item x="2231"/>
        <item x="1268"/>
        <item x="1269"/>
        <item x="1270"/>
        <item x="2899"/>
        <item x="2900"/>
        <item x="2901"/>
        <item x="1271"/>
        <item x="1272"/>
        <item x="372"/>
        <item x="373"/>
        <item x="380"/>
        <item x="382"/>
        <item x="1299"/>
        <item x="383"/>
        <item x="2244"/>
        <item x="2906"/>
        <item x="386"/>
        <item x="387"/>
        <item x="388"/>
        <item x="389"/>
        <item x="394"/>
        <item x="1312"/>
        <item x="3182"/>
        <item x="2912"/>
        <item x="1319"/>
        <item x="400"/>
        <item x="2259"/>
        <item x="1320"/>
        <item x="32"/>
        <item x="2260"/>
        <item x="401"/>
        <item x="402"/>
        <item x="1321"/>
        <item x="403"/>
        <item x="33"/>
        <item x="1322"/>
        <item x="1323"/>
        <item x="34"/>
        <item x="41"/>
        <item x="2310"/>
        <item x="451"/>
        <item x="1402"/>
        <item x="452"/>
        <item x="453"/>
        <item x="1403"/>
        <item x="42"/>
        <item x="2313"/>
        <item x="1404"/>
        <item x="456"/>
        <item x="2318"/>
        <item x="459"/>
        <item x="43"/>
        <item x="1412"/>
        <item x="1413"/>
        <item x="1414"/>
        <item x="1415"/>
        <item x="2958"/>
        <item x="521"/>
        <item x="522"/>
        <item x="3206"/>
        <item x="3212"/>
        <item x="1486"/>
        <item x="543"/>
        <item x="544"/>
        <item x="2376"/>
        <item x="60"/>
        <item x="1493"/>
        <item x="1495"/>
        <item x="1496"/>
        <item x="1499"/>
        <item x="1500"/>
        <item x="1501"/>
        <item x="567"/>
        <item x="2384"/>
        <item x="65"/>
        <item x="660"/>
        <item x="1578"/>
        <item x="661"/>
        <item x="663"/>
        <item x="81"/>
        <item x="669"/>
        <item x="2461"/>
        <item x="2468"/>
        <item x="82"/>
        <item x="676"/>
        <item x="677"/>
        <item x="2999"/>
        <item x="1620"/>
        <item x="679"/>
        <item x="1621"/>
        <item x="1622"/>
        <item x="680"/>
        <item x="3000"/>
        <item x="1623"/>
        <item x="1624"/>
        <item x="2471"/>
        <item x="681"/>
        <item x="1625"/>
        <item x="3221"/>
        <item x="1626"/>
        <item x="684"/>
        <item x="2473"/>
        <item x="685"/>
        <item x="1627"/>
        <item x="2474"/>
        <item x="1628"/>
        <item x="1630"/>
        <item x="1632"/>
        <item x="687"/>
        <item x="3002"/>
        <item x="1633"/>
        <item x="2477"/>
        <item x="3004"/>
        <item x="3005"/>
        <item x="689"/>
        <item x="2478"/>
        <item x="780"/>
        <item x="141"/>
        <item x="142"/>
        <item x="781"/>
        <item x="782"/>
        <item x="143"/>
        <item x="144"/>
        <item x="783"/>
        <item x="1683"/>
        <item x="784"/>
        <item x="785"/>
        <item x="2544"/>
        <item x="2552"/>
        <item x="1709"/>
        <item x="798"/>
        <item x="147"/>
        <item x="806"/>
        <item x="148"/>
        <item x="1717"/>
        <item x="2567"/>
        <item x="812"/>
        <item x="3059"/>
        <item x="2623"/>
        <item x="1803"/>
        <item x="1804"/>
        <item x="1805"/>
        <item x="1806"/>
        <item x="1809"/>
        <item x="3387"/>
        <item x="3397"/>
        <item x="3398"/>
        <item x="3492"/>
        <item x="3495"/>
        <item x="3496"/>
        <item x="3497"/>
        <item x="3499"/>
        <item x="3505"/>
        <item x="3506"/>
        <item x="3508"/>
        <item x="3512"/>
        <item x="3516"/>
        <item x="886"/>
        <item x="888"/>
        <item x="2644"/>
        <item x="1849"/>
        <item x="2646"/>
        <item x="183"/>
        <item x="1877"/>
        <item x="3519"/>
        <item x="3520"/>
        <item x="2685"/>
        <item x="997"/>
        <item x="998"/>
        <item x="2718"/>
        <item x="999"/>
        <item x="1001"/>
        <item x="1974"/>
        <item x="1975"/>
        <item x="1976"/>
        <item x="2719"/>
        <item x="1003"/>
        <item x="1004"/>
        <item x="1005"/>
        <item x="1006"/>
        <item x="204"/>
        <item x="3087"/>
        <item x="1977"/>
        <item x="1007"/>
        <item x="205"/>
        <item x="1978"/>
        <item x="3089"/>
        <item x="1008"/>
        <item x="1980"/>
        <item x="1009"/>
        <item x="1986"/>
        <item x="1990"/>
        <item x="1013"/>
        <item x="2732"/>
        <item x="2003"/>
        <item x="2011"/>
        <item x="2016"/>
        <item x="207"/>
        <item x="2760"/>
        <item x="3114"/>
        <item x="1029"/>
        <item x="2770"/>
        <item x="2054"/>
        <item x="211"/>
        <item x="231"/>
        <item x="3164"/>
        <item x="232"/>
        <item x="1064"/>
        <item x="3165"/>
        <item x="3166"/>
        <item x="2092"/>
        <item x="3167"/>
        <item x="2824"/>
        <item x="3168"/>
        <item x="2825"/>
        <item x="2093"/>
        <item x="3282"/>
        <item x="2094"/>
        <item x="3283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6">
        <item m="1" x="9"/>
        <item m="1" x="6"/>
        <item m="1" x="14"/>
        <item m="1" x="4"/>
        <item m="1" x="11"/>
        <item m="1" x="8"/>
        <item m="1" x="7"/>
        <item m="1" x="12"/>
        <item m="1" x="10"/>
        <item m="1" x="13"/>
        <item m="1" x="5"/>
        <item x="0"/>
        <item x="1"/>
        <item x="2"/>
        <item x="3"/>
        <item t="default"/>
      </items>
    </pivotField>
    <pivotField compact="0" outline="0" showAll="0"/>
    <pivotField axis="axisPage" compact="0" outline="0" multipleItemSelectionAllowed="1" showAll="0">
      <items count="184">
        <item x="14"/>
        <item m="1" x="145"/>
        <item m="1" x="146"/>
        <item m="1" x="147"/>
        <item m="1" x="71"/>
        <item m="1" x="148"/>
        <item m="1" x="149"/>
        <item m="1" x="150"/>
        <item m="1" x="151"/>
        <item m="1" x="152"/>
        <item m="1" x="133"/>
        <item m="1" x="153"/>
        <item m="1" x="154"/>
        <item m="1" x="155"/>
        <item m="1" x="156"/>
        <item m="1" x="157"/>
        <item m="1" x="51"/>
        <item m="1" x="158"/>
        <item m="1" x="159"/>
        <item m="1" x="84"/>
        <item m="1" x="96"/>
        <item m="1" x="160"/>
        <item m="1" x="142"/>
        <item m="1" x="102"/>
        <item m="1" x="161"/>
        <item m="1" x="100"/>
        <item m="1" x="162"/>
        <item m="1" x="163"/>
        <item m="1" x="135"/>
        <item m="1" x="164"/>
        <item m="1" x="104"/>
        <item m="1" x="165"/>
        <item m="1" x="166"/>
        <item m="1" x="167"/>
        <item m="1" x="25"/>
        <item m="1" x="22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16"/>
        <item m="1" x="181"/>
        <item m="1" x="134"/>
        <item m="1" x="182"/>
        <item x="1"/>
        <item x="3"/>
        <item x="11"/>
        <item x="6"/>
        <item x="5"/>
        <item x="2"/>
        <item x="0"/>
        <item x="4"/>
        <item x="12"/>
        <item x="8"/>
        <item x="9"/>
        <item x="10"/>
        <item m="1" x="112"/>
        <item m="1" x="113"/>
        <item m="1" x="114"/>
        <item m="1" x="115"/>
        <item m="1" x="80"/>
        <item m="1" x="64"/>
        <item m="1" x="117"/>
        <item m="1" x="118"/>
        <item m="1" x="119"/>
        <item m="1" x="120"/>
        <item m="1" x="121"/>
        <item m="1" x="122"/>
        <item m="1" x="123"/>
        <item m="1" x="124"/>
        <item m="1" x="72"/>
        <item m="1" x="66"/>
        <item m="1" x="125"/>
        <item m="1" x="126"/>
        <item m="1" x="127"/>
        <item m="1" x="128"/>
        <item m="1" x="55"/>
        <item m="1" x="129"/>
        <item m="1" x="110"/>
        <item m="1" x="130"/>
        <item m="1" x="131"/>
        <item m="1" x="132"/>
        <item m="1" x="44"/>
        <item m="1" x="136"/>
        <item m="1" x="43"/>
        <item m="1" x="23"/>
        <item m="1" x="37"/>
        <item m="1" x="78"/>
        <item m="1" x="137"/>
        <item m="1" x="138"/>
        <item m="1" x="139"/>
        <item m="1" x="86"/>
        <item m="1" x="59"/>
        <item m="1" x="57"/>
        <item m="1" x="140"/>
        <item m="1" x="30"/>
        <item m="1" x="141"/>
        <item m="1" x="143"/>
        <item m="1" x="144"/>
        <item m="1" x="16"/>
        <item m="1" x="17"/>
        <item m="1" x="18"/>
        <item m="1" x="19"/>
        <item m="1" x="20"/>
        <item m="1" x="21"/>
        <item m="1" x="24"/>
        <item m="1" x="26"/>
        <item m="1" x="27"/>
        <item m="1" x="28"/>
        <item m="1" x="29"/>
        <item m="1" x="31"/>
        <item m="1" x="32"/>
        <item m="1" x="33"/>
        <item m="1" x="34"/>
        <item m="1" x="35"/>
        <item m="1" x="36"/>
        <item m="1" x="38"/>
        <item m="1" x="39"/>
        <item m="1" x="40"/>
        <item m="1" x="41"/>
        <item m="1" x="42"/>
        <item m="1" x="45"/>
        <item m="1" x="46"/>
        <item m="1" x="47"/>
        <item m="1" x="48"/>
        <item m="1" x="49"/>
        <item m="1" x="50"/>
        <item m="1" x="52"/>
        <item m="1" x="53"/>
        <item m="1" x="54"/>
        <item m="1" x="56"/>
        <item m="1" x="58"/>
        <item m="1" x="60"/>
        <item m="1" x="61"/>
        <item m="1" x="62"/>
        <item m="1" x="63"/>
        <item m="1" x="65"/>
        <item m="1" x="67"/>
        <item m="1" x="68"/>
        <item m="1" x="69"/>
        <item m="1" x="70"/>
        <item m="1" x="73"/>
        <item m="1" x="74"/>
        <item m="1" x="75"/>
        <item m="1" x="76"/>
        <item m="1" x="77"/>
        <item m="1" x="79"/>
        <item m="1" x="81"/>
        <item m="1" x="82"/>
        <item m="1" x="83"/>
        <item m="1" x="85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7"/>
        <item m="1" x="98"/>
        <item m="1" x="99"/>
        <item m="1" x="101"/>
        <item m="1" x="103"/>
        <item m="1" x="105"/>
        <item m="1" x="106"/>
        <item m="1" x="107"/>
        <item m="1" x="108"/>
        <item m="1" x="109"/>
        <item m="1" x="111"/>
        <item x="7"/>
        <item m="1" x="15"/>
        <item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9">
        <item x="1"/>
        <item x="3"/>
        <item x="2"/>
        <item x="7"/>
        <item x="4"/>
        <item x="0"/>
        <item x="6"/>
        <item x="5"/>
        <item m="1" x="8"/>
      </items>
    </pivotField>
    <pivotField compact="0" outline="0" showAll="0"/>
    <pivotField compact="0" outline="0" showAll="0"/>
    <pivotField axis="axisRow" compact="0" outline="0" showAll="0" defaultSubtotal="0">
      <items count="4">
        <item h="1" x="3"/>
        <item h="1" x="0"/>
        <item x="1"/>
        <item h="1" x="2"/>
      </items>
    </pivotField>
    <pivotField compact="0" numFmtId="43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dragToRow="0" dragToCol="0" dragToPage="0" showAll="0" defaultSubtotal="0"/>
  </pivotFields>
  <rowFields count="5">
    <field x="24"/>
    <field x="4"/>
    <field x="27"/>
    <field x="2"/>
    <field x="1"/>
  </rowFields>
  <rowItems count="48">
    <i>
      <x/>
      <x v="392"/>
      <x v="2"/>
      <x v="256"/>
      <x v="41"/>
    </i>
    <i r="1">
      <x v="438"/>
      <x v="2"/>
      <x v="256"/>
      <x v="41"/>
    </i>
    <i r="1">
      <x v="1237"/>
      <x v="2"/>
      <x v="219"/>
      <x v="40"/>
    </i>
    <i r="3">
      <x v="312"/>
      <x v="35"/>
    </i>
    <i r="1">
      <x v="1248"/>
      <x v="2"/>
      <x v="81"/>
      <x v="29"/>
    </i>
    <i r="3">
      <x v="337"/>
      <x v="37"/>
    </i>
    <i r="1">
      <x v="5688"/>
      <x v="2"/>
      <x v="256"/>
      <x v="41"/>
    </i>
    <i>
      <x v="2"/>
      <x v="1210"/>
      <x v="2"/>
      <x v="81"/>
      <x v="29"/>
    </i>
    <i r="3">
      <x v="337"/>
      <x v="37"/>
    </i>
    <i r="1">
      <x v="1377"/>
      <x v="2"/>
      <x v="256"/>
      <x v="41"/>
    </i>
    <i r="3">
      <x v="310"/>
      <x v="50"/>
    </i>
    <i r="1">
      <x v="1709"/>
      <x v="2"/>
      <x v="142"/>
      <x v="1"/>
    </i>
    <i r="3">
      <x v="350"/>
      <x v="43"/>
    </i>
    <i r="1">
      <x v="2434"/>
      <x v="2"/>
      <x v="136"/>
      <x v="46"/>
    </i>
    <i r="3">
      <x v="233"/>
      <x v="48"/>
    </i>
    <i r="1">
      <x v="2710"/>
      <x v="2"/>
      <x v="256"/>
      <x v="41"/>
    </i>
    <i r="1">
      <x v="3634"/>
      <x v="2"/>
      <x v="81"/>
      <x v="29"/>
    </i>
    <i r="3">
      <x v="337"/>
      <x v="37"/>
    </i>
    <i r="1">
      <x v="4522"/>
      <x v="2"/>
      <x v="293"/>
      <x v="18"/>
    </i>
    <i r="1">
      <x v="4844"/>
      <x v="2"/>
      <x v="295"/>
      <x v="32"/>
    </i>
    <i r="3">
      <x v="337"/>
      <x v="37"/>
    </i>
    <i>
      <x v="3"/>
      <x v="2672"/>
      <x v="2"/>
      <x v="256"/>
      <x v="41"/>
    </i>
    <i r="1">
      <x v="7736"/>
      <x v="2"/>
      <x v="35"/>
      <x v="25"/>
    </i>
    <i>
      <x v="5"/>
      <x v="756"/>
      <x v="2"/>
      <x v="81"/>
      <x v="29"/>
    </i>
    <i r="3">
      <x v="337"/>
      <x v="37"/>
    </i>
    <i r="1">
      <x v="954"/>
      <x v="2"/>
      <x v="256"/>
      <x v="41"/>
    </i>
    <i r="1">
      <x v="1038"/>
      <x v="2"/>
      <x v="136"/>
      <x v="47"/>
    </i>
    <i r="3">
      <x v="165"/>
      <x v="5"/>
    </i>
    <i r="1">
      <x v="1151"/>
      <x v="2"/>
      <x v="12"/>
      <x v="61"/>
    </i>
    <i r="3">
      <x v="136"/>
      <x v="46"/>
    </i>
    <i r="1">
      <x v="1152"/>
      <x v="2"/>
      <x v="12"/>
      <x v="61"/>
    </i>
    <i r="3">
      <x v="136"/>
      <x v="46"/>
    </i>
    <i r="1">
      <x v="1472"/>
      <x v="2"/>
      <x v="136"/>
      <x v="46"/>
    </i>
    <i r="3">
      <x v="233"/>
      <x v="48"/>
    </i>
    <i r="1">
      <x v="2414"/>
      <x v="2"/>
      <x v="136"/>
      <x v="46"/>
    </i>
    <i r="1">
      <x v="2898"/>
      <x v="2"/>
      <x v="256"/>
      <x v="41"/>
    </i>
    <i r="1">
      <x v="3357"/>
      <x v="2"/>
      <x v="256"/>
      <x v="41"/>
    </i>
    <i r="1">
      <x v="3636"/>
      <x v="2"/>
      <x v="81"/>
      <x v="29"/>
    </i>
    <i r="3">
      <x v="337"/>
      <x v="37"/>
    </i>
    <i r="1">
      <x v="5052"/>
      <x v="2"/>
      <x v="81"/>
      <x v="29"/>
    </i>
    <i r="3">
      <x v="337"/>
      <x v="37"/>
    </i>
    <i r="1">
      <x v="5263"/>
      <x v="2"/>
      <x v="81"/>
      <x v="29"/>
    </i>
    <i r="3">
      <x v="337"/>
      <x v="37"/>
    </i>
    <i r="1">
      <x v="6075"/>
      <x v="2"/>
      <x v="258"/>
      <x v="8"/>
    </i>
    <i r="3">
      <x v="349"/>
      <x v="17"/>
    </i>
    <i r="1">
      <x v="7769"/>
      <x v="2"/>
      <x v="35"/>
      <x v="45"/>
    </i>
    <i r="3">
      <x v="258"/>
      <x v="8"/>
    </i>
    <i t="grand">
      <x/>
    </i>
  </rowItems>
  <colItems count="1">
    <i/>
  </colItems>
  <pageFields count="2">
    <pageField fld="13" hier="-1"/>
    <pageField fld="11" hier="-1"/>
  </page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1000000}" name="TablaDinámica2" cacheId="51" applyNumberFormats="0" applyBorderFormats="0" applyFontFormats="0" applyPatternFormats="0" applyAlignmentFormats="0" applyWidthHeightFormats="1" dataCaption="Valores" updatedVersion="8" minRefreshableVersion="3" preserveFormatting="0" itemPrintTitles="1" createdVersion="6" indent="0" compact="0" compactData="0" gridDropZones="1" multipleFieldFilters="0">
  <location ref="G6:J9" firstHeaderRow="2" firstDataRow="2" firstDataCol="3" rowPageCount="1" colPageCount="1"/>
  <pivotFields count="36">
    <pivotField dataField="1" compact="0" outline="0" showAll="0"/>
    <pivotField compact="0" outline="0" showAll="0" defaultSubtotal="0"/>
    <pivotField axis="axisRow" compact="0" outline="0" showAll="0" sortType="ascending" defaultSubtotal="0">
      <items count="352">
        <item m="1" x="162"/>
        <item sd="0" m="1" x="314"/>
        <item m="1" x="51"/>
        <item m="1" x="143"/>
        <item m="1" x="174"/>
        <item sd="0" m="1" x="128"/>
        <item m="1" x="111"/>
        <item m="1" x="114"/>
        <item m="1" x="52"/>
        <item sd="0" m="1" x="200"/>
        <item sd="0" x="35"/>
        <item sd="0" m="1" x="316"/>
        <item sd="0" x="1"/>
        <item sd="0" m="1" x="116"/>
        <item m="1" x="140"/>
        <item sd="0" m="1" x="291"/>
        <item sd="0" m="1" x="129"/>
        <item sd="0" m="1" x="193"/>
        <item m="1" x="90"/>
        <item sd="0" m="1" x="53"/>
        <item m="1" x="171"/>
        <item sd="0" x="36"/>
        <item m="1" x="112"/>
        <item m="1" x="225"/>
        <item sd="0" m="1" x="332"/>
        <item sd="0" m="1" x="186"/>
        <item sd="0" m="1" x="191"/>
        <item sd="0" m="1" x="262"/>
        <item sd="0" m="1" x="54"/>
        <item sd="0" m="1" x="250"/>
        <item sd="0" m="1" x="350"/>
        <item sd="0" m="1" x="344"/>
        <item m="1" x="138"/>
        <item m="1" x="93"/>
        <item sd="0" m="1" x="297"/>
        <item x="2"/>
        <item m="1" x="172"/>
        <item sd="0" x="3"/>
        <item sd="0" m="1" x="144"/>
        <item m="1" x="108"/>
        <item m="1" x="139"/>
        <item x="4"/>
        <item m="1" x="94"/>
        <item m="1" x="55"/>
        <item sd="0" m="1" x="205"/>
        <item m="1" x="56"/>
        <item sd="0" m="1" x="178"/>
        <item m="1" x="145"/>
        <item m="1" x="57"/>
        <item sd="0" m="1" x="335"/>
        <item sd="0" m="1" x="313"/>
        <item m="1" x="230"/>
        <item sd="0" m="1" x="311"/>
        <item x="5"/>
        <item m="1" x="146"/>
        <item sd="0" m="1" x="187"/>
        <item x="0"/>
        <item m="1" x="106"/>
        <item m="1" x="179"/>
        <item m="1" x="117"/>
        <item m="1" x="265"/>
        <item sd="0" m="1" x="324"/>
        <item sd="0" m="1" x="216"/>
        <item x="37"/>
        <item m="1" x="113"/>
        <item sd="0" m="1" x="203"/>
        <item sd="0" m="1" x="305"/>
        <item sd="0" m="1" x="147"/>
        <item sd="0" m="1" x="258"/>
        <item sd="0" m="1" x="237"/>
        <item sd="0" m="1" x="92"/>
        <item m="1" x="184"/>
        <item m="1" x="161"/>
        <item m="1" x="58"/>
        <item m="1" x="153"/>
        <item m="1" x="275"/>
        <item m="1" x="190"/>
        <item sd="0" m="1" x="280"/>
        <item m="1" x="95"/>
        <item sd="0" m="1" x="204"/>
        <item m="1" x="185"/>
        <item sd="0" x="38"/>
        <item m="1" x="123"/>
        <item sd="0" m="1" x="88"/>
        <item m="1" x="148"/>
        <item sd="0" m="1" x="288"/>
        <item sd="0" m="1" x="236"/>
        <item sd="0" m="1" x="281"/>
        <item m="1" x="152"/>
        <item sd="0" m="1" x="351"/>
        <item sd="0" m="1" x="173"/>
        <item sd="0" m="1" x="338"/>
        <item sd="0" m="1" x="339"/>
        <item sd="0" m="1" x="59"/>
        <item m="1" x="308"/>
        <item sd="0" m="1" x="180"/>
        <item m="1" x="166"/>
        <item sd="0" m="1" x="239"/>
        <item m="1" x="60"/>
        <item x="39"/>
        <item sd="0" m="1" x="224"/>
        <item sd="0" m="1" x="310"/>
        <item m="1" x="130"/>
        <item sd="0" x="6"/>
        <item sd="0" m="1" x="334"/>
        <item m="1" x="122"/>
        <item m="1" x="61"/>
        <item sd="0" m="1" x="294"/>
        <item sd="0" m="1" x="217"/>
        <item sd="0" m="1" x="337"/>
        <item sd="0" m="1" x="195"/>
        <item sd="0" m="1" x="317"/>
        <item m="1" x="62"/>
        <item sd="0" m="1" x="290"/>
        <item sd="0" m="1" x="276"/>
        <item sd="0" m="1" x="198"/>
        <item sd="0" m="1" x="333"/>
        <item sd="0" m="1" x="247"/>
        <item sd="0" m="1" x="212"/>
        <item sd="0" m="1" x="213"/>
        <item sd="0" m="1" x="302"/>
        <item sd="0" m="1" x="328"/>
        <item sd="0" m="1" x="211"/>
        <item sd="0" m="1" x="329"/>
        <item sd="0" m="1" x="323"/>
        <item sd="0" m="1" x="342"/>
        <item m="1" x="96"/>
        <item m="1" x="254"/>
        <item sd="0" m="1" x="347"/>
        <item m="1" x="155"/>
        <item sd="0" m="1" x="284"/>
        <item sd="0" m="1" x="214"/>
        <item sd="0" m="1" x="104"/>
        <item sd="0" m="1" x="331"/>
        <item sd="0" m="1" x="202"/>
        <item m="1" x="63"/>
        <item sd="0" x="7"/>
        <item sd="0" m="1" x="215"/>
        <item sd="0" m="1" x="320"/>
        <item m="1" x="160"/>
        <item m="1" x="151"/>
        <item sd="0" m="1" x="261"/>
        <item sd="0" x="8"/>
        <item m="1" x="64"/>
        <item sd="0" m="1" x="293"/>
        <item m="1" x="156"/>
        <item sd="0" m="1" x="243"/>
        <item sd="0" m="1" x="210"/>
        <item sd="0" m="1" x="222"/>
        <item sd="0" m="1" x="312"/>
        <item sd="0" m="1" x="208"/>
        <item sd="0" m="1" x="272"/>
        <item x="40"/>
        <item sd="0" m="1" x="349"/>
        <item sd="0" m="1" x="287"/>
        <item sd="0" x="9"/>
        <item sd="0" m="1" x="285"/>
        <item sd="0" m="1" x="65"/>
        <item sd="0" m="1" x="181"/>
        <item m="1" x="136"/>
        <item m="1" x="118"/>
        <item sd="0" m="1" x="157"/>
        <item sd="0" m="1" x="242"/>
        <item sd="0" m="1" x="194"/>
        <item x="10"/>
        <item sd="0" x="48"/>
        <item m="1" x="170"/>
        <item sd="0" m="1" x="149"/>
        <item m="1" x="142"/>
        <item m="1" x="109"/>
        <item sd="0" m="1" x="256"/>
        <item sd="0" m="1" x="201"/>
        <item sd="0" m="1" x="301"/>
        <item m="1" x="154"/>
        <item sd="0" m="1" x="66"/>
        <item sd="0" m="1" x="345"/>
        <item sd="0" m="1" x="226"/>
        <item sd="0" m="1" x="257"/>
        <item sd="0" x="12"/>
        <item sd="0" m="1" x="270"/>
        <item sd="0" m="1" x="283"/>
        <item m="1" x="132"/>
        <item sd="0" x="41"/>
        <item m="1" x="133"/>
        <item sd="0" m="1" x="197"/>
        <item sd="0" m="1" x="241"/>
        <item m="1" x="97"/>
        <item sd="0" m="1" x="150"/>
        <item sd="0" m="1" x="245"/>
        <item sd="0" m="1" x="304"/>
        <item sd="0" x="13"/>
        <item sd="0" m="1" x="240"/>
        <item sd="0" m="1" x="137"/>
        <item sd="0" m="1" x="277"/>
        <item sd="0" m="1" x="343"/>
        <item m="1" x="115"/>
        <item sd="0" m="1" x="336"/>
        <item sd="0" m="1" x="278"/>
        <item m="1" x="125"/>
        <item sd="0" m="1" x="163"/>
        <item sd="0" x="14"/>
        <item sd="0" m="1" x="126"/>
        <item sd="0" m="1" x="248"/>
        <item sd="0" m="1" x="268"/>
        <item m="1" x="98"/>
        <item x="15"/>
        <item sd="0" m="1" x="232"/>
        <item m="1" x="67"/>
        <item x="16"/>
        <item m="1" x="135"/>
        <item m="1" x="141"/>
        <item sd="0" m="1" x="68"/>
        <item sd="0" m="1" x="298"/>
        <item sd="0" m="1" x="69"/>
        <item sd="0" m="1" x="274"/>
        <item sd="0" x="17"/>
        <item x="42"/>
        <item sd="0" m="1" x="206"/>
        <item sd="0" m="1" x="158"/>
        <item x="18"/>
        <item sd="0" m="1" x="110"/>
        <item sd="0" m="1" x="266"/>
        <item sd="0" m="1" x="107"/>
        <item sd="0" m="1" x="346"/>
        <item m="1" x="121"/>
        <item sd="0" m="1" x="223"/>
        <item sd="0" m="1" x="207"/>
        <item sd="0" m="1" x="244"/>
        <item sd="0" m="1" x="253"/>
        <item sd="0" m="1" x="220"/>
        <item sd="0" m="1" x="330"/>
        <item m="1" x="164"/>
        <item m="1" x="175"/>
        <item x="19"/>
        <item sd="0" m="1" x="286"/>
        <item m="1" x="188"/>
        <item sd="0" x="20"/>
        <item sd="0" m="1" x="269"/>
        <item sd="0" m="1" x="134"/>
        <item sd="0" m="1" x="326"/>
        <item m="1" x="176"/>
        <item m="1" x="131"/>
        <item sd="0" m="1" x="299"/>
        <item m="1" x="119"/>
        <item m="1" x="70"/>
        <item sd="0" m="1" x="71"/>
        <item sd="0" m="1" x="189"/>
        <item sd="0" m="1" x="315"/>
        <item sd="0" m="1" x="72"/>
        <item sd="0" m="1" x="300"/>
        <item sd="0" m="1" x="246"/>
        <item sd="0" m="1" x="209"/>
        <item sd="0" m="1" x="73"/>
        <item sd="0" m="1" x="289"/>
        <item sd="0" m="1" x="192"/>
        <item sd="0" m="1" x="221"/>
        <item sd="0" x="43"/>
        <item m="1" x="74"/>
        <item sd="0" x="21"/>
        <item sd="0" m="1" x="229"/>
        <item sd="0" m="1" x="199"/>
        <item sd="0" m="1" x="91"/>
        <item m="1" x="75"/>
        <item m="1" x="165"/>
        <item sd="0" m="1" x="309"/>
        <item sd="0" m="1" x="99"/>
        <item sd="0" x="22"/>
        <item x="44"/>
        <item sd="0" m="1" x="273"/>
        <item sd="0" x="23"/>
        <item sd="0" m="1" x="295"/>
        <item m="1" x="76"/>
        <item m="1" x="77"/>
        <item m="1" x="279"/>
        <item sd="0" m="1" x="167"/>
        <item m="1" x="325"/>
        <item m="1" x="78"/>
        <item sd="0" m="1" x="234"/>
        <item m="1" x="100"/>
        <item sd="0" m="1" x="238"/>
        <item sd="0" x="50"/>
        <item m="1" x="228"/>
        <item m="1" x="303"/>
        <item m="1" x="348"/>
        <item sd="0" m="1" x="259"/>
        <item sd="0" m="1" x="263"/>
        <item x="49"/>
        <item sd="0" m="1" x="318"/>
        <item m="1" x="101"/>
        <item sd="0" m="1" x="322"/>
        <item sd="0" m="1" x="89"/>
        <item sd="0" m="1" x="79"/>
        <item sd="0" m="1" x="105"/>
        <item sd="0" x="25"/>
        <item sd="0" m="1" x="260"/>
        <item sd="0" x="24"/>
        <item x="26"/>
        <item sd="0" m="1" x="292"/>
        <item m="1" x="80"/>
        <item sd="0" x="27"/>
        <item sd="0" m="1" x="255"/>
        <item x="45"/>
        <item sd="0" m="1" x="319"/>
        <item sd="0" m="1" x="219"/>
        <item sd="0" m="1" x="81"/>
        <item m="1" x="102"/>
        <item sd="0" m="1" x="82"/>
        <item sd="0" m="1" x="271"/>
        <item m="1" x="124"/>
        <item sd="0" m="1" x="264"/>
        <item sd="0" x="28"/>
        <item sd="0" m="1" x="321"/>
        <item x="29"/>
        <item sd="0" m="1" x="282"/>
        <item sd="0" m="1" x="83"/>
        <item m="1" x="182"/>
        <item sd="0" m="1" x="340"/>
        <item m="1" x="251"/>
        <item sd="0" m="1" x="235"/>
        <item sd="0" m="1" x="227"/>
        <item sd="0" m="1" x="84"/>
        <item m="1" x="103"/>
        <item sd="0" m="1" x="218"/>
        <item sd="0" m="1" x="231"/>
        <item sd="0" x="46"/>
        <item m="1" x="249"/>
        <item sd="0" x="47"/>
        <item m="1" x="177"/>
        <item m="1" x="127"/>
        <item sd="0" m="1" x="252"/>
        <item sd="0" m="1" x="233"/>
        <item sd="0" m="1" x="327"/>
        <item m="1" x="168"/>
        <item sd="0" m="1" x="307"/>
        <item sd="0" m="1" x="120"/>
        <item m="1" x="183"/>
        <item sd="0" m="1" x="341"/>
        <item x="30"/>
        <item m="1" x="169"/>
        <item m="1" x="159"/>
        <item sd="0" m="1" x="85"/>
        <item m="1" x="267"/>
        <item sd="0" x="31"/>
        <item sd="0" m="1" x="86"/>
        <item m="1" x="87"/>
        <item sd="0" m="1" x="196"/>
        <item sd="0" m="1" x="306"/>
        <item sd="0" x="32"/>
        <item sd="0" m="1" x="296"/>
        <item sd="0" x="33"/>
        <item x="34"/>
        <item sd="0" x="11"/>
      </items>
    </pivotField>
    <pivotField axis="axisRow" compact="0" outline="0" showAll="0">
      <items count="6550">
        <item m="1" x="6302"/>
        <item m="1" x="6331"/>
        <item m="1" x="6241"/>
        <item m="1" x="5887"/>
        <item m="1" x="5731"/>
        <item m="1" x="5987"/>
        <item m="1" x="5836"/>
        <item m="1" x="6060"/>
        <item m="1" x="6381"/>
        <item m="1" x="5909"/>
        <item m="1" x="6498"/>
        <item m="1" x="6436"/>
        <item m="1" x="6199"/>
        <item m="1" x="6255"/>
        <item m="1" x="6154"/>
        <item m="1" x="6429"/>
        <item m="1" x="6538"/>
        <item m="1" x="6410"/>
        <item m="1" x="6443"/>
        <item m="1" x="6404"/>
        <item m="1" x="6159"/>
        <item m="1" x="5944"/>
        <item m="1" x="5957"/>
        <item m="1" x="6533"/>
        <item m="1" x="6017"/>
        <item m="1" x="5747"/>
        <item m="1" x="5749"/>
        <item m="1" x="5797"/>
        <item m="1" x="5997"/>
        <item m="1" x="6276"/>
        <item m="1" x="5815"/>
        <item m="1" x="5817"/>
        <item m="1" x="6534"/>
        <item m="1" x="6091"/>
        <item m="1" x="6105"/>
        <item m="1" x="5477"/>
        <item m="1" x="6005"/>
        <item m="1" x="6297"/>
        <item m="1" x="6245"/>
        <item m="1" x="6348"/>
        <item m="1" x="6028"/>
        <item m="1" x="6515"/>
        <item m="1" x="5924"/>
        <item m="1" x="6315"/>
        <item m="1" x="6038"/>
        <item m="1" x="5727"/>
        <item m="1" x="5908"/>
        <item m="1" x="6120"/>
        <item m="1" x="6454"/>
        <item m="1" x="6040"/>
        <item m="1" x="6077"/>
        <item m="1" x="6358"/>
        <item m="1" x="6070"/>
        <item m="1" x="5476"/>
        <item m="1" x="6422"/>
        <item m="1" x="6208"/>
        <item m="1" x="6479"/>
        <item m="1" x="5701"/>
        <item m="1" x="6318"/>
        <item m="1" x="6435"/>
        <item m="1" x="6468"/>
        <item m="1" x="6198"/>
        <item m="1" x="5832"/>
        <item m="1" x="6230"/>
        <item m="1" x="6303"/>
        <item m="1" x="6165"/>
        <item m="1" x="6427"/>
        <item m="1" x="6464"/>
        <item m="1" x="6099"/>
        <item m="1" x="6434"/>
        <item m="1" x="3797"/>
        <item m="1" x="5978"/>
        <item m="1" x="4955"/>
        <item m="1" x="4948"/>
        <item m="1" x="4043"/>
        <item m="1" x="6076"/>
        <item x="3030"/>
        <item x="3009"/>
        <item m="1" x="4597"/>
        <item x="2742"/>
        <item x="3241"/>
        <item m="1" x="6490"/>
        <item m="1" x="6289"/>
        <item m="1" x="5288"/>
        <item m="1" x="3877"/>
        <item m="1" x="4068"/>
        <item x="3085"/>
        <item m="1" x="4951"/>
        <item m="1" x="4950"/>
        <item m="1" x="5615"/>
        <item m="1" x="5269"/>
        <item m="1" x="5712"/>
        <item m="1" x="5992"/>
        <item m="1" x="4949"/>
        <item m="1" x="5273"/>
        <item m="1" x="5469"/>
        <item m="1" x="4958"/>
        <item m="1" x="5996"/>
        <item m="1" x="5820"/>
        <item m="1" x="6164"/>
        <item m="1" x="4424"/>
        <item x="2721"/>
        <item x="3015"/>
        <item m="1" x="4954"/>
        <item m="1" x="5802"/>
        <item m="1" x="5778"/>
        <item m="1" x="5272"/>
        <item x="2724"/>
        <item x="2734"/>
        <item m="1" x="4937"/>
        <item m="1" x="6224"/>
        <item x="2499"/>
        <item x="3010"/>
        <item x="2727"/>
        <item m="1" x="6162"/>
        <item m="1" x="5920"/>
        <item m="1" x="4371"/>
        <item m="1" x="5504"/>
        <item m="1" x="4927"/>
        <item m="1" x="6020"/>
        <item x="3095"/>
        <item m="1" x="3779"/>
        <item m="1" x="4936"/>
        <item x="3016"/>
        <item m="1" x="5301"/>
        <item m="1" x="5498"/>
        <item x="3161"/>
        <item m="1" x="4939"/>
        <item x="3224"/>
        <item m="1" x="4953"/>
        <item m="1" x="6155"/>
        <item x="3082"/>
        <item m="1" x="6277"/>
        <item m="1" x="5544"/>
        <item m="1" x="4926"/>
        <item m="1" x="5287"/>
        <item m="1" x="6485"/>
        <item x="3090"/>
        <item x="2730"/>
        <item x="3217"/>
        <item x="2229"/>
        <item m="1" x="4931"/>
        <item m="1" x="5581"/>
        <item m="1" x="5341"/>
        <item m="1" x="3795"/>
        <item m="1" x="5599"/>
        <item m="1" x="6317"/>
        <item m="1" x="4909"/>
        <item x="2320"/>
        <item m="1" x="5499"/>
        <item m="1" x="5734"/>
        <item m="1" x="6269"/>
        <item m="1" x="6371"/>
        <item m="1" x="6497"/>
        <item x="2492"/>
        <item m="1" x="5814"/>
        <item m="1" x="5061"/>
        <item x="2489"/>
        <item x="2723"/>
        <item x="2289"/>
        <item m="1" x="5489"/>
        <item x="2927"/>
        <item m="1" x="4857"/>
        <item m="1" x="5792"/>
        <item m="1" x="5410"/>
        <item m="1" x="4914"/>
        <item m="1" x="5289"/>
        <item x="2731"/>
        <item m="1" x="4957"/>
        <item x="3213"/>
        <item x="3007"/>
        <item x="3013"/>
        <item m="1" x="5296"/>
        <item m="1" x="5895"/>
        <item m="1" x="5719"/>
        <item m="1" x="6147"/>
        <item m="1" x="6408"/>
        <item m="1" x="5888"/>
        <item m="1" x="4066"/>
        <item m="1" x="6385"/>
        <item x="2979"/>
        <item x="3223"/>
        <item x="2122"/>
        <item m="1" x="6339"/>
        <item m="1" x="4946"/>
        <item m="1" x="5424"/>
        <item m="1" x="6156"/>
        <item x="2746"/>
        <item m="1" x="4915"/>
        <item m="1" x="6411"/>
        <item m="1" x="5368"/>
        <item m="1" x="4952"/>
        <item m="1" x="6133"/>
        <item x="2485"/>
        <item m="1" x="6389"/>
        <item m="1" x="4962"/>
        <item x="3226"/>
        <item m="1" x="6066"/>
        <item x="2750"/>
        <item m="1" x="4064"/>
        <item m="1" x="6377"/>
        <item m="1" x="6001"/>
        <item x="3215"/>
        <item m="1" x="6256"/>
        <item x="3061"/>
        <item m="1" x="5930"/>
        <item x="3017"/>
        <item m="1" x="6323"/>
        <item x="2719"/>
        <item m="1" x="3714"/>
        <item m="1" x="5568"/>
        <item m="1" x="5572"/>
        <item m="1" x="5275"/>
        <item m="1" x="5306"/>
        <item m="1" x="5377"/>
        <item x="2680"/>
        <item x="2945"/>
        <item m="1" x="4959"/>
        <item m="1" x="5551"/>
        <item x="3014"/>
        <item x="2981"/>
        <item m="1" x="5818"/>
        <item m="1" x="6413"/>
        <item m="1" x="6035"/>
        <item m="1" x="5363"/>
        <item m="1" x="3600"/>
        <item m="1" x="5512"/>
        <item m="1" x="5990"/>
        <item m="1" x="5138"/>
        <item m="1" x="6205"/>
        <item m="1" x="6325"/>
        <item m="1" x="5510"/>
        <item m="1" x="4956"/>
        <item m="1" x="5955"/>
        <item x="2748"/>
        <item m="1" x="3909"/>
        <item m="1" x="6236"/>
        <item m="1" x="6368"/>
        <item x="2720"/>
        <item m="1" x="5754"/>
        <item m="1" x="5798"/>
        <item x="2288"/>
        <item m="1" x="5120"/>
        <item m="1" x="6306"/>
        <item x="2831"/>
        <item m="1" x="4947"/>
        <item m="1" x="4227"/>
        <item x="3220"/>
        <item x="3221"/>
        <item m="1" x="5538"/>
        <item m="1" x="4938"/>
        <item m="1" x="3778"/>
        <item m="1" x="6238"/>
        <item m="1" x="5556"/>
        <item m="1" x="5869"/>
        <item m="1" x="4923"/>
        <item m="1" x="4917"/>
        <item m="1" x="3586"/>
        <item m="1" x="5144"/>
        <item m="1" x="4922"/>
        <item x="2124"/>
        <item m="1" x="4916"/>
        <item x="2503"/>
        <item m="1" x="4924"/>
        <item m="1" x="6386"/>
        <item m="1" x="4899"/>
        <item m="1" x="4925"/>
        <item x="2645"/>
        <item m="1" x="5545"/>
        <item x="2510"/>
        <item m="1" x="6121"/>
        <item m="1" x="4905"/>
        <item m="1" x="4918"/>
        <item m="1" x="4913"/>
        <item m="1" x="3587"/>
        <item x="2325"/>
        <item m="1" x="4495"/>
        <item m="1" x="4903"/>
        <item x="2488"/>
        <item m="1" x="5076"/>
        <item m="1" x="5210"/>
        <item m="1" x="3886"/>
        <item x="2667"/>
        <item x="2506"/>
        <item m="1" x="4376"/>
        <item m="1" x="6203"/>
        <item m="1" x="6420"/>
        <item m="1" x="4541"/>
        <item m="1" x="6376"/>
        <item m="1" x="4901"/>
        <item m="1" x="5659"/>
        <item m="1" x="4057"/>
        <item m="1" x="6307"/>
        <item m="1" x="4902"/>
        <item m="1" x="6334"/>
        <item x="2513"/>
        <item x="2512"/>
        <item x="2508"/>
        <item x="2737"/>
        <item m="1" x="5770"/>
        <item m="1" x="4900"/>
        <item x="2504"/>
        <item m="1" x="6366"/>
        <item m="1" x="4895"/>
        <item m="1" x="6216"/>
        <item m="1" x="4890"/>
        <item m="1" x="4051"/>
        <item m="1" x="6098"/>
        <item m="1" x="6169"/>
        <item m="1" x="5580"/>
        <item x="2505"/>
        <item m="1" x="4898"/>
        <item m="1" x="5509"/>
        <item m="1" x="6214"/>
        <item m="1" x="6299"/>
        <item m="1" x="6148"/>
        <item m="1" x="5761"/>
        <item x="2735"/>
        <item x="2507"/>
        <item m="1" x="6460"/>
        <item x="2501"/>
        <item m="1" x="6457"/>
        <item m="1" x="6207"/>
        <item m="1" x="4670"/>
        <item m="1" x="4522"/>
        <item m="1" x="5877"/>
        <item m="1" x="5928"/>
        <item m="1" x="5745"/>
        <item m="1" x="5907"/>
        <item m="1" x="3681"/>
        <item m="1" x="6021"/>
        <item m="1" x="5274"/>
        <item x="2713"/>
        <item x="2494"/>
        <item m="1" x="5837"/>
        <item x="2636"/>
        <item x="2677"/>
        <item m="1" x="6441"/>
        <item m="1" x="6426"/>
        <item m="1" x="3876"/>
        <item m="1" x="6050"/>
        <item m="1" x="5939"/>
        <item m="1" x="5623"/>
        <item m="1" x="5983"/>
        <item m="1" x="6045"/>
        <item m="1" x="5570"/>
        <item m="1" x="6014"/>
        <item m="1" x="6529"/>
        <item m="1" x="6445"/>
        <item m="1" x="4854"/>
        <item m="1" x="5697"/>
        <item m="1" x="5962"/>
        <item m="1" x="5238"/>
        <item x="2511"/>
        <item x="2296"/>
        <item m="1" x="6057"/>
        <item m="1" x="5922"/>
        <item m="1" x="4873"/>
        <item m="1" x="5529"/>
        <item m="1" x="5034"/>
        <item x="2732"/>
        <item m="1" x="6197"/>
        <item m="1" x="5788"/>
        <item m="1" x="5671"/>
        <item m="1" x="6176"/>
        <item m="1" x="6023"/>
        <item x="2728"/>
        <item m="1" x="5549"/>
        <item x="2335"/>
        <item m="1" x="4183"/>
        <item x="2500"/>
        <item m="1" x="5546"/>
        <item x="2670"/>
        <item m="1" x="5369"/>
        <item m="1" x="4893"/>
        <item m="1" x="5767"/>
        <item m="1" x="5976"/>
        <item x="2123"/>
        <item m="1" x="4868"/>
        <item m="1" x="6496"/>
        <item m="1" x="6329"/>
        <item m="1" x="6423"/>
        <item m="1" x="5130"/>
        <item x="2502"/>
        <item m="1" x="6396"/>
        <item x="2718"/>
        <item x="3012"/>
        <item m="1" x="5854"/>
        <item m="1" x="4825"/>
        <item m="1" x="4498"/>
        <item x="2726"/>
        <item m="1" x="5776"/>
        <item m="1" x="5969"/>
        <item m="1" x="4039"/>
        <item m="1" x="6158"/>
        <item m="1" x="3680"/>
        <item x="2291"/>
        <item m="1" x="5794"/>
        <item m="1" x="6024"/>
        <item m="1" x="4361"/>
        <item m="1" x="5584"/>
        <item m="1" x="6084"/>
        <item m="1" x="5129"/>
        <item m="1" x="5654"/>
        <item m="1" x="4494"/>
        <item m="1" x="6543"/>
        <item m="1" x="5614"/>
        <item x="2287"/>
        <item m="1" x="5942"/>
        <item x="2729"/>
        <item m="1" x="5598"/>
        <item x="2474"/>
        <item m="1" x="6508"/>
        <item x="2121"/>
        <item m="1" x="5291"/>
        <item m="1" x="5710"/>
        <item m="1" x="6228"/>
        <item m="1" x="3585"/>
        <item m="1" x="5834"/>
        <item m="1" x="6473"/>
        <item m="1" x="4863"/>
        <item m="1" x="6221"/>
        <item m="1" x="5215"/>
        <item x="2749"/>
        <item m="1" x="6350"/>
        <item m="1" x="5929"/>
        <item m="1" x="5775"/>
        <item m="1" x="5733"/>
        <item m="1" x="6540"/>
        <item m="1" x="4865"/>
        <item x="1628"/>
        <item m="1" x="4864"/>
        <item m="1" x="6431"/>
        <item x="2509"/>
        <item m="1" x="6193"/>
        <item m="1" x="5739"/>
        <item m="1" x="4867"/>
        <item m="1" x="6012"/>
        <item m="1" x="4016"/>
        <item m="1" x="6124"/>
        <item x="1995"/>
        <item x="2225"/>
        <item m="1" x="4878"/>
        <item m="1" x="6018"/>
        <item x="2725"/>
        <item m="1" x="6347"/>
        <item m="1" x="6532"/>
        <item m="1" x="4980"/>
        <item m="1" x="6144"/>
        <item m="1" x="4774"/>
        <item m="1" x="6080"/>
        <item x="1907"/>
        <item m="1" x="4663"/>
        <item m="1" x="5809"/>
        <item m="1" x="5898"/>
        <item m="1" x="6309"/>
        <item m="1" x="4560"/>
        <item x="2497"/>
        <item m="1" x="3872"/>
        <item m="1" x="4076"/>
        <item x="3002"/>
        <item m="1" x="5799"/>
        <item x="3312"/>
        <item m="1" x="6181"/>
        <item m="1" x="4855"/>
        <item m="1" x="5953"/>
        <item m="1" x="5271"/>
        <item x="1993"/>
        <item m="1" x="6119"/>
        <item m="1" x="4235"/>
        <item m="1" x="4856"/>
        <item x="1551"/>
        <item m="1" x="4858"/>
        <item m="1" x="5893"/>
        <item m="1" x="5858"/>
        <item m="1" x="5500"/>
        <item x="2292"/>
        <item m="1" x="5307"/>
        <item m="1" x="6194"/>
        <item m="1" x="4669"/>
        <item m="1" x="6217"/>
        <item m="1" x="5610"/>
        <item m="1" x="4851"/>
        <item x="1577"/>
        <item m="1" x="4849"/>
        <item m="1" x="4891"/>
        <item x="1819"/>
        <item x="2336"/>
        <item m="1" x="3552"/>
        <item m="1" x="6200"/>
        <item m="1" x="5660"/>
        <item m="1" x="4874"/>
        <item x="2013"/>
        <item m="1" x="5340"/>
        <item m="1" x="3871"/>
        <item m="1" x="5443"/>
        <item m="1" x="3885"/>
        <item m="1" x="6177"/>
        <item m="1" x="6042"/>
        <item m="1" x="6382"/>
        <item m="1" x="5902"/>
        <item m="1" x="4846"/>
        <item m="1" x="5943"/>
        <item x="1432"/>
        <item m="1" x="6535"/>
        <item m="1" x="5028"/>
        <item m="1" x="4216"/>
        <item m="1" x="6524"/>
        <item x="2018"/>
        <item m="1" x="6117"/>
        <item m="1" x="5728"/>
        <item m="1" x="5057"/>
        <item m="1" x="5981"/>
        <item x="1565"/>
        <item m="1" x="5756"/>
        <item m="1" x="6537"/>
        <item x="1821"/>
        <item m="1" x="6379"/>
        <item m="1" x="6545"/>
        <item m="1" x="5891"/>
        <item m="1" x="5579"/>
        <item x="2496"/>
        <item m="1" x="5769"/>
        <item m="1" x="3551"/>
        <item m="1" x="6407"/>
        <item m="1" x="5293"/>
        <item m="1" x="6548"/>
        <item x="2743"/>
        <item m="1" x="5467"/>
        <item m="1" x="5833"/>
        <item m="1" x="5735"/>
        <item x="1845"/>
        <item x="1655"/>
        <item m="1" x="5582"/>
        <item m="1" x="6519"/>
        <item m="1" x="5650"/>
        <item m="1" x="5479"/>
        <item m="1" x="4964"/>
        <item m="1" x="6127"/>
        <item m="1" x="6374"/>
        <item m="1" x="5988"/>
        <item m="1" x="6101"/>
        <item m="1" x="6136"/>
        <item m="1" x="4839"/>
        <item m="1" x="5860"/>
        <item m="1" x="5242"/>
        <item m="1" x="6547"/>
        <item m="1" x="6405"/>
        <item m="1" x="6469"/>
        <item m="1" x="5216"/>
        <item x="1999"/>
        <item m="1" x="5190"/>
        <item x="3295"/>
        <item x="1647"/>
        <item m="1" x="6160"/>
        <item m="1" x="5601"/>
        <item m="1" x="5743"/>
        <item m="1" x="5791"/>
        <item m="1" x="6335"/>
        <item m="1" x="6112"/>
        <item m="1" x="3730"/>
        <item m="1" x="4077"/>
        <item m="1" x="4841"/>
        <item m="1" x="4006"/>
        <item m="1" x="5946"/>
        <item m="1" x="6336"/>
        <item m="1" x="6231"/>
        <item x="2003"/>
        <item m="1" x="4844"/>
        <item m="1" x="6179"/>
        <item m="1" x="5116"/>
        <item x="2493"/>
        <item m="1" x="4842"/>
        <item x="1291"/>
        <item x="3308"/>
        <item m="1" x="5297"/>
        <item m="1" x="5466"/>
        <item x="1081"/>
        <item x="2495"/>
        <item m="1" x="6122"/>
        <item m="1" x="5900"/>
        <item m="1" x="6531"/>
        <item x="1276"/>
        <item m="1" x="6409"/>
        <item x="1915"/>
        <item m="1" x="5871"/>
        <item m="1" x="6261"/>
        <item m="1" x="5666"/>
        <item m="1" x="5175"/>
        <item x="3006"/>
        <item x="2290"/>
        <item m="1" x="5578"/>
        <item m="1" x="5975"/>
        <item m="1" x="5503"/>
        <item m="1" x="5783"/>
        <item m="1" x="5630"/>
        <item m="1" x="4836"/>
        <item m="1" x="5468"/>
        <item m="1" x="3553"/>
        <item x="2286"/>
        <item x="2005"/>
        <item m="1" x="6428"/>
        <item x="1652"/>
        <item m="1" x="3556"/>
        <item m="1" x="5425"/>
        <item x="1986"/>
        <item m="1" x="6470"/>
        <item m="1" x="4339"/>
        <item m="1" x="6047"/>
        <item m="1" x="6402"/>
        <item m="1" x="5270"/>
        <item m="1" x="5522"/>
        <item x="1654"/>
        <item m="1" x="5910"/>
        <item m="1" x="5600"/>
        <item m="1" x="4850"/>
        <item m="1" x="6141"/>
        <item x="1656"/>
        <item m="1" x="4493"/>
        <item m="1" x="6494"/>
        <item m="1" x="6239"/>
        <item m="1" x="6069"/>
        <item x="1574"/>
        <item m="1" x="5831"/>
        <item m="1" x="4308"/>
        <item m="1" x="5004"/>
        <item m="1" x="5786"/>
        <item m="1" x="6022"/>
        <item m="1" x="6195"/>
        <item x="2498"/>
        <item m="1" x="5609"/>
        <item m="1" x="5784"/>
        <item m="1" x="4835"/>
        <item m="1" x="5941"/>
        <item m="1" x="5894"/>
        <item m="1" x="6229"/>
        <item m="1" x="5055"/>
        <item m="1" x="5283"/>
        <item x="1646"/>
        <item m="1" x="5838"/>
        <item m="1" x="4834"/>
        <item m="1" x="4832"/>
        <item m="1" x="6128"/>
        <item m="1" x="5693"/>
        <item x="1211"/>
        <item m="1" x="5565"/>
        <item m="1" x="5047"/>
        <item x="2012"/>
        <item x="1604"/>
        <item m="1" x="6152"/>
        <item m="1" x="6153"/>
        <item m="1" x="6088"/>
        <item m="1" x="6149"/>
        <item m="1" x="6432"/>
        <item m="1" x="5729"/>
        <item m="1" x="5738"/>
        <item m="1" x="6232"/>
        <item m="1" x="6314"/>
        <item m="1" x="3854"/>
        <item m="1" x="5971"/>
        <item m="1" x="6290"/>
        <item m="1" x="6246"/>
        <item m="1" x="5724"/>
        <item m="1" x="5209"/>
        <item m="1" x="3572"/>
        <item m="1" x="6525"/>
        <item m="1" x="5777"/>
        <item m="1" x="6252"/>
        <item m="1" x="4830"/>
        <item m="1" x="3873"/>
        <item x="1648"/>
        <item m="1" x="4201"/>
        <item x="1870"/>
        <item m="1" x="6064"/>
        <item x="2236"/>
        <item m="1" x="5029"/>
        <item m="1" x="4827"/>
        <item m="1" x="6243"/>
        <item m="1" x="5003"/>
        <item m="1" x="5592"/>
        <item m="1" x="6090"/>
        <item m="1" x="6521"/>
        <item m="1" x="5828"/>
        <item m="1" x="5646"/>
        <item x="2007"/>
        <item m="1" x="5813"/>
        <item m="1" x="6073"/>
        <item m="1" x="4234"/>
        <item m="1" x="4381"/>
        <item x="1140"/>
        <item m="1" x="6439"/>
        <item x="1820"/>
        <item m="1" x="5575"/>
        <item m="1" x="6206"/>
        <item m="1" x="5862"/>
        <item m="1" x="6093"/>
        <item m="1" x="4829"/>
        <item m="1" x="6174"/>
        <item x="2014"/>
        <item x="1435"/>
        <item m="1" x="6013"/>
        <item m="1" x="5704"/>
        <item m="1" x="4559"/>
        <item m="1" x="5123"/>
        <item m="1" x="6440"/>
        <item m="1" x="5852"/>
        <item x="1903"/>
        <item x="1649"/>
        <item m="1" x="3760"/>
        <item m="1" x="5746"/>
        <item x="1643"/>
        <item m="1" x="6201"/>
        <item m="1" x="4814"/>
        <item m="1" x="6262"/>
        <item x="1653"/>
        <item m="1" x="5740"/>
        <item m="1" x="6061"/>
        <item m="1" x="5995"/>
        <item x="1898"/>
        <item m="1" x="5628"/>
        <item m="1" x="6416"/>
        <item m="1" x="5919"/>
        <item m="1" x="5682"/>
        <item m="1" x="5573"/>
        <item x="1872"/>
        <item m="1" x="6370"/>
        <item m="1" x="5844"/>
        <item m="1" x="4816"/>
        <item m="1" x="5956"/>
        <item m="1" x="6356"/>
        <item m="1" x="4029"/>
        <item x="2002"/>
        <item x="2011"/>
        <item m="1" x="5741"/>
        <item m="1" x="4011"/>
        <item m="1" x="5698"/>
        <item m="1" x="5878"/>
        <item m="1" x="6272"/>
        <item m="1" x="6115"/>
        <item m="1" x="5892"/>
        <item m="1" x="6055"/>
        <item m="1" x="5808"/>
        <item m="1" x="3874"/>
        <item m="1" x="3675"/>
        <item m="1" x="6186"/>
        <item m="1" x="6505"/>
        <item m="1" x="4074"/>
        <item m="1" x="6046"/>
        <item m="1" x="6058"/>
        <item m="1" x="5629"/>
        <item m="1" x="5465"/>
        <item m="1" x="6363"/>
        <item m="1" x="6266"/>
        <item m="1" x="5589"/>
        <item m="1" x="6220"/>
        <item m="1" x="4646"/>
        <item m="1" x="5979"/>
        <item m="1" x="5771"/>
        <item m="1" x="5606"/>
        <item m="1" x="6284"/>
        <item m="1" x="5290"/>
        <item m="1" x="6074"/>
        <item m="1" x="5736"/>
        <item m="1" x="4307"/>
        <item x="1507"/>
        <item m="1" x="3557"/>
        <item m="1" x="5415"/>
        <item m="1" x="6351"/>
        <item m="1" x="4802"/>
        <item m="1" x="5625"/>
        <item m="1" x="5932"/>
        <item m="1" x="4309"/>
        <item m="1" x="6511"/>
        <item m="1" x="5903"/>
        <item m="1" x="5934"/>
        <item m="1" x="6081"/>
        <item m="1" x="5574"/>
        <item m="1" x="4565"/>
        <item m="1" x="6187"/>
        <item x="1869"/>
        <item m="1" x="5725"/>
        <item m="1" x="4233"/>
        <item m="1" x="6108"/>
        <item m="1" x="6175"/>
        <item m="1" x="4803"/>
        <item m="1" x="5461"/>
        <item x="1822"/>
        <item m="1" x="6310"/>
        <item m="1" x="6349"/>
        <item m="1" x="4800"/>
        <item m="1" x="3875"/>
        <item m="1" x="5376"/>
        <item m="1" x="4826"/>
        <item m="1" x="5970"/>
        <item m="1" x="6361"/>
        <item m="1" x="5825"/>
        <item m="1" x="4796"/>
        <item m="1" x="3520"/>
        <item m="1" x="6048"/>
        <item m="1" x="6041"/>
        <item m="1" x="4804"/>
        <item m="1" x="5963"/>
        <item x="1436"/>
        <item m="1" x="6412"/>
        <item m="1" x="6249"/>
        <item m="1" x="5759"/>
        <item m="1" x="6086"/>
        <item x="1197"/>
        <item m="1" x="6279"/>
        <item m="1" x="3859"/>
        <item m="1" x="6486"/>
        <item m="1" x="6390"/>
        <item x="538"/>
        <item m="1" x="5861"/>
        <item m="1" x="5921"/>
        <item m="1" x="6477"/>
        <item m="1" x="4807"/>
        <item m="1" x="4017"/>
        <item m="1" x="6414"/>
        <item m="1" x="5819"/>
        <item m="1" x="4344"/>
        <item m="1" x="5082"/>
        <item m="1" x="5303"/>
        <item m="1" x="5804"/>
        <item x="1561"/>
        <item x="1859"/>
        <item m="1" x="5453"/>
        <item m="1" x="5122"/>
        <item m="1" x="6130"/>
        <item m="1" x="5298"/>
        <item m="1" x="5774"/>
        <item m="1" x="5687"/>
        <item m="1" x="6452"/>
        <item m="1" x="5191"/>
        <item m="1" x="3554"/>
        <item m="1" x="5696"/>
        <item m="1" x="5795"/>
        <item x="1645"/>
        <item m="1" x="5454"/>
        <item x="1629"/>
        <item m="1" x="5867"/>
        <item m="1" x="6357"/>
        <item m="1" x="4788"/>
        <item m="1" x="4785"/>
        <item m="1" x="4453"/>
        <item x="1987"/>
        <item m="1" x="6079"/>
        <item m="1" x="5811"/>
        <item m="1" x="3677"/>
        <item m="1" x="6542"/>
        <item x="1910"/>
        <item x="880"/>
        <item m="1" x="4995"/>
        <item m="1" x="5547"/>
        <item m="1" x="5458"/>
        <item m="1" x="5299"/>
        <item m="1" x="5534"/>
        <item m="1" x="5416"/>
        <item m="1" x="5548"/>
        <item x="954"/>
        <item m="1" x="5911"/>
        <item m="1" x="6235"/>
        <item m="1" x="5876"/>
        <item m="1" x="3555"/>
        <item m="1" x="5459"/>
        <item x="707"/>
        <item m="1" x="4795"/>
        <item x="2009"/>
        <item m="1" x="4097"/>
        <item m="1" x="5502"/>
        <item m="1" x="5605"/>
        <item x="442"/>
        <item m="1" x="5201"/>
        <item m="1" x="6483"/>
        <item x="489"/>
        <item m="1" x="6000"/>
        <item m="1" x="6011"/>
        <item x="486"/>
        <item m="1" x="5165"/>
        <item m="1" x="5119"/>
        <item m="1" x="5564"/>
        <item m="1" x="5237"/>
        <item m="1" x="3867"/>
        <item m="1" x="5124"/>
        <item m="1" x="4778"/>
        <item x="2643"/>
        <item m="1" x="6453"/>
        <item m="1" x="6137"/>
        <item m="1" x="5460"/>
        <item m="1" x="5595"/>
        <item m="1" x="5202"/>
        <item m="1" x="6227"/>
        <item m="1" x="4394"/>
        <item m="1" x="3863"/>
        <item m="1" x="5824"/>
        <item m="1" x="5918"/>
        <item x="488"/>
        <item m="1" x="5464"/>
        <item x="1639"/>
        <item m="1" x="5566"/>
        <item m="1" x="5714"/>
        <item m="1" x="5840"/>
        <item m="1" x="6257"/>
        <item m="1" x="5843"/>
        <item m="1" x="6343"/>
        <item m="1" x="5780"/>
        <item m="1" x="5567"/>
        <item m="1" x="6135"/>
        <item m="1" x="5588"/>
        <item m="1" x="6465"/>
        <item m="1" x="5633"/>
        <item m="1" x="4777"/>
        <item x="884"/>
        <item m="1" x="5462"/>
        <item m="1" x="6488"/>
        <item x="3321"/>
        <item m="1" x="5620"/>
        <item m="1" x="5826"/>
        <item x="616"/>
        <item m="1" x="5917"/>
        <item m="1" x="6010"/>
        <item m="1" x="3964"/>
        <item m="1" x="5591"/>
        <item x="2640"/>
        <item m="1" x="6500"/>
        <item m="1" x="5966"/>
        <item m="1" x="3671"/>
        <item x="3290"/>
        <item m="1" x="6375"/>
        <item m="1" x="5699"/>
        <item x="477"/>
        <item m="1" x="6059"/>
        <item m="1" x="5715"/>
        <item m="1" x="6383"/>
        <item m="1" x="6062"/>
        <item m="1" x="6273"/>
        <item m="1" x="6056"/>
        <item m="1" x="6478"/>
        <item m="1" x="5285"/>
        <item m="1" x="4437"/>
        <item m="1" x="4689"/>
        <item m="1" x="5373"/>
        <item x="1844"/>
        <item m="1" x="6518"/>
        <item m="1" x="4789"/>
        <item m="1" x="4723"/>
        <item m="1" x="5658"/>
        <item m="1" x="5737"/>
        <item m="1" x="5685"/>
        <item m="1" x="4090"/>
        <item m="1" x="5472"/>
        <item m="1" x="5643"/>
        <item m="1" x="5583"/>
        <item x="728"/>
        <item m="1" x="6202"/>
        <item x="881"/>
        <item m="1" x="5864"/>
        <item x="677"/>
        <item m="1" x="5645"/>
        <item m="1" x="4801"/>
        <item x="721"/>
        <item m="1" x="6225"/>
        <item m="1" x="3883"/>
        <item m="1" x="5796"/>
        <item m="1" x="3637"/>
        <item m="1" x="4704"/>
        <item m="1" x="4759"/>
        <item m="1" x="5881"/>
        <item m="1" x="5711"/>
        <item m="1" x="4594"/>
        <item m="1" x="6089"/>
        <item m="1" x="5879"/>
        <item m="1" x="5647"/>
        <item m="1" x="5845"/>
        <item m="1" x="5550"/>
        <item m="1" x="4840"/>
        <item m="1" x="4751"/>
        <item m="1" x="4831"/>
        <item m="1" x="4706"/>
        <item x="2644"/>
        <item m="1" x="6364"/>
        <item x="719"/>
        <item m="1" x="5722"/>
        <item m="1" x="6063"/>
        <item m="1" x="5772"/>
        <item m="1" x="5577"/>
        <item m="1" x="5998"/>
        <item m="1" x="6319"/>
        <item m="1" x="6421"/>
        <item m="1" x="5596"/>
        <item m="1" x="6282"/>
        <item m="1" x="5700"/>
        <item m="1" x="6002"/>
        <item m="1" x="5302"/>
        <item m="1" x="5936"/>
        <item m="1" x="5765"/>
        <item m="1" x="4101"/>
        <item m="1" x="6475"/>
        <item m="1" x="5292"/>
        <item x="716"/>
        <item m="1" x="6528"/>
        <item m="1" x="6304"/>
        <item m="1" x="5859"/>
        <item m="1" x="6406"/>
        <item m="1" x="5948"/>
        <item m="1" x="6275"/>
        <item m="1" x="5593"/>
        <item m="1" x="6501"/>
        <item m="1" x="6372"/>
        <item m="1" x="6446"/>
        <item m="1" x="4766"/>
        <item m="1" x="6392"/>
        <item m="1" x="5958"/>
        <item m="1" x="6398"/>
        <item m="1" x="5959"/>
        <item x="487"/>
        <item x="3316"/>
        <item m="1" x="5317"/>
        <item m="1" x="5884"/>
        <item m="1" x="5515"/>
        <item m="1" x="4078"/>
        <item m="1" x="4404"/>
        <item m="1" x="5982"/>
        <item m="1" x="5075"/>
        <item m="1" x="6026"/>
        <item m="1" x="5846"/>
        <item m="1" x="5501"/>
        <item m="1" x="5372"/>
        <item m="1" x="3997"/>
        <item m="1" x="4767"/>
        <item x="1650"/>
        <item x="1016"/>
        <item m="1" x="5145"/>
        <item m="1" x="3519"/>
        <item m="1" x="6270"/>
        <item m="1" x="5689"/>
        <item m="1" x="5870"/>
        <item m="1" x="4236"/>
        <item m="1" x="5950"/>
        <item m="1" x="5674"/>
        <item m="1" x="5686"/>
        <item x="722"/>
        <item m="1" x="5954"/>
        <item m="1" x="6031"/>
        <item m="1" x="6373"/>
        <item m="1" x="5619"/>
        <item m="1" x="5652"/>
        <item m="1" x="5265"/>
        <item m="1" x="4285"/>
        <item m="1" x="6003"/>
        <item x="615"/>
        <item m="1" x="6103"/>
        <item m="1" x="4305"/>
        <item m="1" x="5773"/>
        <item m="1" x="4742"/>
        <item m="1" x="6085"/>
        <item m="1" x="5768"/>
        <item m="1" x="5127"/>
        <item m="1" x="5717"/>
        <item m="1" x="5655"/>
        <item m="1" x="6188"/>
        <item m="1" x="6150"/>
        <item m="1" x="5463"/>
        <item m="1" x="6083"/>
        <item m="1" x="6138"/>
        <item m="1" x="5457"/>
        <item x="482"/>
        <item m="1" x="3870"/>
        <item m="1" x="5829"/>
        <item m="1" x="6285"/>
        <item m="1" x="5679"/>
        <item m="1" x="5896"/>
        <item m="1" x="6482"/>
        <item m="1" x="6082"/>
        <item m="1" x="5456"/>
        <item x="731"/>
        <item m="1" x="6178"/>
        <item m="1" x="4075"/>
        <item m="1" x="6036"/>
        <item m="1" x="4263"/>
        <item m="1" x="5835"/>
        <item m="1" x="5960"/>
        <item x="1989"/>
        <item x="916"/>
        <item m="1" x="5160"/>
        <item x="3317"/>
        <item x="732"/>
        <item x="50"/>
        <item m="1" x="6340"/>
        <item m="1" x="6492"/>
        <item m="1" x="5590"/>
        <item m="1" x="6009"/>
        <item m="1" x="6539"/>
        <item m="1" x="3521"/>
        <item m="1" x="3544"/>
        <item m="1" x="5378"/>
        <item m="1" x="4593"/>
        <item m="1" x="6456"/>
        <item m="1" x="6140"/>
        <item x="650"/>
        <item x="714"/>
        <item m="1" x="6029"/>
        <item m="1" x="4765"/>
        <item m="1" x="4815"/>
        <item m="1" x="5617"/>
        <item m="1" x="4709"/>
        <item m="1" x="5812"/>
        <item x="1824"/>
        <item x="953"/>
        <item m="1" x="5406"/>
        <item m="1" x="6192"/>
        <item x="718"/>
        <item m="1" x="5563"/>
        <item m="1" x="3517"/>
        <item m="1" x="6395"/>
        <item m="1" x="3522"/>
        <item m="1" x="5656"/>
        <item m="1" x="6168"/>
        <item m="1" x="5490"/>
        <item m="1" x="5616"/>
        <item m="1" x="5294"/>
        <item m="1" x="6006"/>
        <item m="1" x="3666"/>
        <item m="1" x="6291"/>
        <item m="1" x="6104"/>
        <item m="1" x="4758"/>
        <item m="1" x="4757"/>
        <item x="1017"/>
        <item m="1" x="4282"/>
        <item x="600"/>
        <item x="3314"/>
        <item m="1" x="6327"/>
        <item m="1" x="6157"/>
        <item m="1" x="5906"/>
        <item m="1" x="3855"/>
        <item m="1" x="6163"/>
        <item m="1" x="6355"/>
        <item m="1" x="5925"/>
        <item m="1" x="5613"/>
        <item m="1" x="5409"/>
        <item m="1" x="6442"/>
        <item m="1" x="4719"/>
        <item m="1" x="3518"/>
        <item x="72"/>
        <item m="1" x="6025"/>
        <item m="1" x="5327"/>
        <item x="1280"/>
        <item m="1" x="5850"/>
        <item m="1" x="6043"/>
        <item x="484"/>
        <item m="1" x="4772"/>
        <item m="1" x="6450"/>
        <item m="1" x="5868"/>
        <item m="1" x="5644"/>
        <item m="1" x="4073"/>
        <item m="1" x="5821"/>
        <item m="1" x="5690"/>
        <item m="1" x="5873"/>
        <item m="1" x="6544"/>
        <item m="1" x="4264"/>
        <item m="1" x="5128"/>
        <item m="1" x="5890"/>
        <item x="1888"/>
        <item m="1" x="5569"/>
        <item m="1" x="4976"/>
        <item m="1" x="6292"/>
        <item m="1" x="5597"/>
        <item m="1" x="5555"/>
        <item m="1" x="6459"/>
        <item m="1" x="5594"/>
        <item x="882"/>
        <item m="1" x="6180"/>
        <item m="1" x="6362"/>
        <item m="1" x="6295"/>
        <item m="1" x="6338"/>
        <item m="1" x="5677"/>
        <item m="1" x="4296"/>
        <item m="1" x="5793"/>
        <item m="1" x="5706"/>
        <item m="1" x="5842"/>
        <item x="717"/>
        <item m="1" x="5688"/>
        <item m="1" x="5002"/>
        <item m="1" x="5753"/>
        <item m="1" x="6151"/>
        <item m="1" x="5684"/>
        <item m="1" x="5805"/>
        <item m="1" x="6509"/>
        <item m="1" x="4724"/>
        <item m="1" x="4265"/>
        <item m="1" x="4303"/>
        <item m="1" x="6308"/>
        <item m="1" x="5585"/>
        <item m="1" x="6367"/>
        <item m="1" x="6161"/>
        <item m="1" x="6107"/>
        <item m="1" x="5657"/>
        <item m="1" x="5470"/>
        <item m="1" x="5853"/>
        <item m="1" x="6259"/>
        <item m="1" x="4738"/>
        <item x="614"/>
        <item m="1" x="5926"/>
        <item m="1" x="4460"/>
        <item m="1" x="6387"/>
        <item m="1" x="5533"/>
        <item m="1" x="6480"/>
        <item x="483"/>
        <item m="1" x="5282"/>
        <item m="1" x="5455"/>
        <item m="1" x="4605"/>
        <item m="1" x="4707"/>
        <item x="725"/>
        <item m="1" x="6321"/>
        <item x="720"/>
        <item m="1" x="6360"/>
        <item m="1" x="6032"/>
        <item m="1" x="5937"/>
        <item m="1" x="5604"/>
        <item x="90"/>
        <item m="1" x="6394"/>
        <item m="1" x="6209"/>
        <item m="1" x="4754"/>
        <item m="1" x="5757"/>
        <item m="1" x="4255"/>
        <item x="1013"/>
        <item m="1" x="5407"/>
        <item m="1" x="3801"/>
        <item m="1" x="5705"/>
        <item m="1" x="6503"/>
        <item m="1" x="5611"/>
        <item m="1" x="3891"/>
        <item m="1" x="5913"/>
        <item m="1" x="6102"/>
        <item m="1" x="6281"/>
        <item m="1" x="5607"/>
        <item m="1" x="6463"/>
        <item m="1" x="5763"/>
        <item m="1" x="6300"/>
        <item x="375"/>
        <item m="1" x="5716"/>
        <item m="1" x="5800"/>
        <item m="1" x="5985"/>
        <item m="1" x="6288"/>
        <item m="1" x="6114"/>
        <item m="1" x="5642"/>
        <item m="1" x="6033"/>
        <item m="1" x="4752"/>
        <item m="1" x="4733"/>
        <item m="1" x="5708"/>
        <item m="1" x="6305"/>
        <item m="1" x="6517"/>
        <item m="1" x="5571"/>
        <item m="1" x="6222"/>
        <item m="1" x="5849"/>
        <item x="715"/>
        <item m="1" x="6504"/>
        <item m="1" x="6320"/>
        <item m="1" x="3866"/>
        <item m="1" x="4722"/>
        <item m="1" x="4753"/>
        <item m="1" x="6481"/>
        <item m="1" x="6132"/>
        <item x="648"/>
        <item m="1" x="4739"/>
        <item m="1" x="5790"/>
        <item x="376"/>
        <item m="1" x="6215"/>
        <item m="1" x="6068"/>
        <item m="1" x="5608"/>
        <item m="1" x="5839"/>
        <item m="1" x="5750"/>
        <item x="723"/>
        <item m="1" x="6072"/>
        <item m="1" x="5755"/>
        <item m="1" x="5641"/>
        <item x="727"/>
        <item x="730"/>
        <item m="1" x="6211"/>
        <item m="1" x="4720"/>
        <item m="1" x="6223"/>
        <item m="1" x="4715"/>
        <item m="1" x="6271"/>
        <item m="1" x="5709"/>
        <item x="27"/>
        <item m="1" x="4743"/>
        <item m="1" x="4395"/>
        <item m="1" x="6118"/>
        <item x="930"/>
        <item m="1" x="4079"/>
        <item m="1" x="6506"/>
        <item x="706"/>
        <item m="1" x="6139"/>
        <item m="1" x="4717"/>
        <item m="1" x="5241"/>
        <item x="473"/>
        <item m="1" x="3800"/>
        <item x="696"/>
        <item m="1" x="5195"/>
        <item m="1" x="5905"/>
        <item m="1" x="5258"/>
        <item m="1" x="6447"/>
        <item m="1" x="5576"/>
        <item m="1" x="5653"/>
        <item m="1" x="6264"/>
        <item x="662"/>
        <item m="1" x="6444"/>
        <item m="1" x="6092"/>
        <item m="1" x="4972"/>
        <item m="1" x="6097"/>
        <item m="1" x="5649"/>
        <item m="1" x="6258"/>
        <item m="1" x="6044"/>
        <item m="1" x="4761"/>
        <item x="925"/>
        <item m="1" x="4726"/>
        <item m="1" x="6458"/>
        <item m="1" x="5967"/>
        <item m="1" x="5935"/>
        <item x="946"/>
        <item m="1" x="6502"/>
        <item m="1" x="6039"/>
        <item m="1" x="5059"/>
        <item m="1" x="5651"/>
        <item m="1" x="6369"/>
        <item m="1" x="5375"/>
        <item m="1" x="4244"/>
        <item m="1" x="5267"/>
        <item m="1" x="6065"/>
        <item m="1" x="4266"/>
        <item m="1" x="6487"/>
        <item m="1" x="5758"/>
        <item m="1" x="5268"/>
        <item m="1" x="5989"/>
        <item m="1" x="5266"/>
        <item m="1" x="6182"/>
        <item m="1" x="3669"/>
        <item m="1" x="3516"/>
        <item m="1" x="5764"/>
        <item m="1" x="4238"/>
        <item m="1" x="6328"/>
        <item m="1" x="5471"/>
        <item m="1" x="6219"/>
        <item m="1" x="4756"/>
        <item m="1" x="3914"/>
        <item m="1" x="5999"/>
        <item m="1" x="5586"/>
        <item m="1" x="4978"/>
        <item m="1" x="5822"/>
        <item m="1" x="6523"/>
        <item x="17"/>
        <item m="1" x="5603"/>
        <item m="1" x="5648"/>
        <item m="1" x="5587"/>
        <item m="1" x="6344"/>
        <item m="1" x="6146"/>
        <item m="1" x="6189"/>
        <item m="1" x="6359"/>
        <item m="1" x="5965"/>
        <item m="1" x="5914"/>
        <item m="1" x="6424"/>
        <item m="1" x="4232"/>
        <item m="1" x="6296"/>
        <item m="1" x="6322"/>
        <item x="2294"/>
        <item m="1" x="5827"/>
        <item x="708"/>
        <item m="1" x="5532"/>
        <item x="2487"/>
        <item m="1" x="5875"/>
        <item x="2671"/>
        <item m="1" x="5508"/>
        <item m="1" x="6191"/>
        <item x="2626"/>
        <item m="1" x="6471"/>
        <item x="2321"/>
        <item m="1" x="6449"/>
        <item x="3300"/>
        <item m="1" x="5927"/>
        <item m="1" x="4226"/>
        <item m="1" x="6110"/>
        <item m="1" x="6267"/>
        <item m="1" x="5721"/>
        <item x="1555"/>
        <item x="2437"/>
        <item x="1564"/>
        <item x="1559"/>
        <item x="1563"/>
        <item x="1560"/>
        <item x="1556"/>
        <item x="627"/>
        <item x="1558"/>
        <item x="1557"/>
        <item x="619"/>
        <item x="618"/>
        <item x="625"/>
        <item x="631"/>
        <item x="609"/>
        <item x="1562"/>
        <item x="630"/>
        <item x="620"/>
        <item x="611"/>
        <item x="623"/>
        <item x="612"/>
        <item x="628"/>
        <item x="629"/>
        <item x="626"/>
        <item x="621"/>
        <item x="624"/>
        <item x="622"/>
        <item x="613"/>
        <item x="610"/>
        <item x="617"/>
        <item x="1851"/>
        <item m="1" x="6526"/>
        <item m="1" x="6301"/>
        <item m="1" x="5904"/>
        <item m="1" x="6400"/>
        <item m="1" x="6075"/>
        <item x="632"/>
        <item m="1" x="5083"/>
        <item x="73"/>
        <item m="1" x="6172"/>
        <item m="1" x="5748"/>
        <item m="1" x="6166"/>
        <item m="1" x="6354"/>
        <item m="1" x="6397"/>
        <item m="1" x="6240"/>
        <item m="1" x="6030"/>
        <item m="1" x="4369"/>
        <item m="1" x="5678"/>
        <item m="1" x="6401"/>
        <item m="1" x="3523"/>
        <item m="1" x="5485"/>
        <item m="1" x="5993"/>
        <item m="1" x="5851"/>
        <item m="1" x="4103"/>
        <item m="1" x="5001"/>
        <item m="1" x="5874"/>
        <item m="1" x="3655"/>
        <item x="2231"/>
        <item m="1" x="4965"/>
        <item x="2894"/>
        <item x="2233"/>
        <item x="2232"/>
        <item x="1292"/>
        <item m="1" x="5916"/>
        <item m="1" x="4481"/>
        <item m="1" x="5707"/>
        <item m="1" x="5972"/>
        <item m="1" x="6008"/>
        <item m="1" x="3996"/>
        <item m="1" x="5612"/>
        <item m="1" x="4063"/>
        <item m="1" x="3999"/>
        <item m="1" x="6126"/>
        <item m="1" x="5912"/>
        <item m="1" x="5885"/>
        <item m="1" x="6134"/>
        <item m="1" x="6253"/>
        <item m="1" x="4065"/>
        <item m="1" x="6054"/>
        <item m="1" x="5977"/>
        <item m="1" x="5561"/>
        <item m="1" x="6330"/>
        <item m="1" x="5562"/>
        <item m="1" x="4635"/>
        <item m="1" x="5017"/>
        <item m="1" x="5402"/>
        <item m="1" x="5310"/>
        <item m="1" x="3691"/>
        <item m="1" x="5168"/>
        <item m="1" x="4613"/>
        <item m="1" x="6016"/>
        <item m="1" x="5695"/>
        <item m="1" x="5203"/>
        <item m="1" x="6263"/>
        <item m="1" x="6316"/>
        <item x="2923"/>
        <item x="2924"/>
        <item x="1391"/>
        <item x="2925"/>
        <item x="2926"/>
        <item x="3174"/>
        <item x="2928"/>
        <item x="2295"/>
        <item x="443"/>
        <item x="1392"/>
        <item x="2929"/>
        <item x="444"/>
        <item x="2297"/>
        <item x="2298"/>
        <item x="458"/>
        <item x="44"/>
        <item x="2313"/>
        <item m="1" x="5211"/>
        <item x="45"/>
        <item m="1" x="5030"/>
        <item m="1" x="4482"/>
        <item x="459"/>
        <item x="460"/>
        <item m="1" x="4483"/>
        <item x="461"/>
        <item x="2314"/>
        <item m="1" x="4484"/>
        <item m="1" x="4727"/>
        <item x="2315"/>
        <item m="1" x="5505"/>
        <item m="1" x="5951"/>
        <item m="1" x="6204"/>
        <item m="1" x="6173"/>
        <item m="1" x="4698"/>
        <item m="1" x="4728"/>
        <item m="1" x="4745"/>
        <item m="1" x="4763"/>
        <item x="2396"/>
        <item x="1537"/>
        <item x="2967"/>
        <item m="1" x="5915"/>
        <item x="2414"/>
        <item m="1" x="6111"/>
        <item m="1" x="5848"/>
        <item m="1" x="4977"/>
        <item m="1" x="5683"/>
        <item m="1" x="5248"/>
        <item m="1" x="3798"/>
        <item m="1" x="5526"/>
        <item m="1" x="4812"/>
        <item m="1" x="6212"/>
        <item m="1" x="4822"/>
        <item m="1" x="4666"/>
        <item m="1" x="5681"/>
        <item m="1" x="5980"/>
        <item m="1" x="6346"/>
        <item m="1" x="5680"/>
        <item m="1" x="4652"/>
        <item m="1" x="4664"/>
        <item m="1" x="5718"/>
        <item x="2459"/>
        <item m="1" x="6210"/>
        <item x="2470"/>
        <item x="1603"/>
        <item x="2461"/>
        <item x="1618"/>
        <item x="1605"/>
        <item x="2988"/>
        <item x="1622"/>
        <item m="1" x="5672"/>
        <item m="1" x="5673"/>
        <item m="1" x="4018"/>
        <item m="1" x="5726"/>
        <item m="1" x="4020"/>
        <item m="1" x="5986"/>
        <item m="1" x="3965"/>
        <item m="1" x="6095"/>
        <item m="1" x="6438"/>
        <item m="1" x="6474"/>
        <item m="1" x="3963"/>
        <item m="1" x="6541"/>
        <item m="1" x="3928"/>
        <item m="1" x="6353"/>
        <item m="1" x="6116"/>
        <item m="1" x="4050"/>
        <item m="1" x="4022"/>
        <item m="1" x="5857"/>
        <item m="1" x="6123"/>
        <item m="1" x="5931"/>
        <item m="1" x="5732"/>
        <item m="1" x="6019"/>
        <item m="1" x="6388"/>
        <item m="1" x="5634"/>
        <item m="1" x="5635"/>
        <item x="1634"/>
        <item m="1" x="6419"/>
        <item m="1" x="5636"/>
        <item m="1" x="5723"/>
        <item m="1" x="4872"/>
        <item m="1" x="4592"/>
        <item m="1" x="6015"/>
        <item m="1" x="6522"/>
        <item m="1" x="5448"/>
        <item m="1" x="4731"/>
        <item x="1637"/>
        <item m="1" x="4945"/>
        <item x="88"/>
        <item m="1" x="4595"/>
        <item x="702"/>
        <item x="2481"/>
        <item m="1" x="4712"/>
        <item m="1" x="4713"/>
        <item x="703"/>
        <item m="1" x="4714"/>
        <item m="1" x="4705"/>
        <item m="1" x="4702"/>
        <item m="1" x="5452"/>
        <item x="2483"/>
        <item m="1" x="5856"/>
        <item m="1" x="6461"/>
        <item m="1" x="5639"/>
        <item m="1" x="5968"/>
        <item m="1" x="6393"/>
        <item m="1" x="6234"/>
        <item m="1" x="4776"/>
        <item m="1" x="4934"/>
        <item m="1" x="4721"/>
        <item m="1" x="6071"/>
        <item m="1" x="4764"/>
        <item m="1" x="6190"/>
        <item m="1" x="6345"/>
        <item m="1" x="6294"/>
        <item m="1" x="6242"/>
        <item m="1" x="6087"/>
        <item m="1" x="6051"/>
        <item m="1" x="6462"/>
        <item m="1" x="5973"/>
        <item m="1" x="6455"/>
        <item m="1" x="6184"/>
        <item m="1" x="6489"/>
        <item m="1" x="6380"/>
        <item m="1" x="6365"/>
        <item m="1" x="6536"/>
        <item m="1" x="5863"/>
        <item m="1" x="5801"/>
        <item m="1" x="6341"/>
        <item m="1" x="6342"/>
        <item m="1" x="6283"/>
        <item m="1" x="6096"/>
        <item m="1" x="6106"/>
        <item m="1" x="5785"/>
        <item m="1" x="5810"/>
        <item m="1" x="6415"/>
        <item m="1" x="5883"/>
        <item m="1" x="6244"/>
        <item m="1" x="5816"/>
        <item m="1" x="5751"/>
        <item m="1" x="6516"/>
        <item m="1" x="6425"/>
        <item m="1" x="5901"/>
        <item m="1" x="6333"/>
        <item m="1" x="6527"/>
        <item m="1" x="5789"/>
        <item m="1" x="5626"/>
        <item m="1" x="5627"/>
        <item m="1" x="5473"/>
        <item m="1" x="5631"/>
        <item m="1" x="3762"/>
        <item m="1" x="6433"/>
        <item m="1" x="6171"/>
        <item m="1" x="6113"/>
        <item m="1" x="5781"/>
        <item m="1" x="6514"/>
        <item m="1" x="6418"/>
        <item m="1" x="5964"/>
        <item m="1" x="5365"/>
        <item m="1" x="4474"/>
        <item x="917"/>
        <item m="1" x="5803"/>
        <item m="1" x="6226"/>
        <item m="1" x="5949"/>
        <item m="1" x="6293"/>
        <item m="1" x="5694"/>
        <item m="1" x="5866"/>
        <item m="1" x="6143"/>
        <item m="1" x="5880"/>
        <item m="1" x="6332"/>
        <item x="967"/>
        <item m="1" x="5994"/>
        <item m="1" x="5141"/>
        <item m="1" x="5143"/>
        <item m="1" x="3513"/>
        <item x="1138"/>
        <item m="1" x="6352"/>
        <item m="1" x="6311"/>
        <item m="1" x="5889"/>
        <item m="1" x="5952"/>
        <item m="1" x="5882"/>
        <item m="1" x="5872"/>
        <item m="1" x="6546"/>
        <item m="1" x="5933"/>
        <item m="1" x="5484"/>
        <item m="1" x="6337"/>
        <item m="1" x="5159"/>
        <item m="1" x="5401"/>
        <item m="1" x="5865"/>
        <item x="1894"/>
        <item m="1" x="6125"/>
        <item x="1980"/>
        <item m="1" x="5938"/>
        <item m="1" x="6094"/>
        <item m="1" x="6326"/>
        <item m="1" x="4153"/>
        <item m="1" x="3950"/>
        <item m="1" x="5899"/>
        <item m="1" x="5744"/>
        <item m="1" x="6448"/>
        <item x="1849"/>
        <item m="1" x="4710"/>
        <item m="1" x="5847"/>
        <item m="1" x="3692"/>
        <item m="1" x="4809"/>
        <item m="1" x="5169"/>
        <item m="1" x="4203"/>
        <item m="1" x="4837"/>
        <item m="1" x="3688"/>
        <item m="1" x="4636"/>
        <item m="1" x="6324"/>
        <item m="1" x="5408"/>
        <item m="1" x="5491"/>
        <item m="1" x="5492"/>
        <item m="1" x="5493"/>
        <item m="1" x="5494"/>
        <item m="1" x="5495"/>
        <item m="1" x="6078"/>
        <item m="1" x="6437"/>
        <item x="2930"/>
        <item m="1" x="5886"/>
        <item m="1" x="6530"/>
        <item m="1" x="5779"/>
        <item m="1" x="6484"/>
        <item m="1" x="6476"/>
        <item m="1" x="5033"/>
        <item m="1" x="4041"/>
        <item m="1" x="6247"/>
        <item m="1" x="5692"/>
        <item x="478"/>
        <item x="479"/>
        <item x="1430"/>
        <item m="1" x="5342"/>
        <item m="1" x="5940"/>
        <item x="633"/>
        <item x="634"/>
        <item x="635"/>
        <item x="1567"/>
        <item m="1" x="3742"/>
        <item m="1" x="6218"/>
        <item m="1" x="6185"/>
        <item m="1" x="5760"/>
        <item m="1" x="6513"/>
        <item m="1" x="6100"/>
        <item m="1" x="5703"/>
        <item m="1" x="6312"/>
        <item m="1" x="6167"/>
        <item m="1" x="6145"/>
        <item m="1" x="6183"/>
        <item m="1" x="5823"/>
        <item m="1" x="5702"/>
        <item m="1" x="6129"/>
        <item m="1" x="6254"/>
        <item m="1" x="5806"/>
        <item m="1" x="5855"/>
        <item m="1" x="5540"/>
        <item m="1" x="3775"/>
        <item m="1" x="4328"/>
        <item x="1511"/>
        <item m="1" x="5366"/>
        <item x="3063"/>
        <item m="1" x="5367"/>
        <item m="1" x="5539"/>
        <item m="1" x="6512"/>
        <item m="1" x="5675"/>
        <item m="1" x="3780"/>
        <item m="1" x="5536"/>
        <item x="575"/>
        <item m="1" x="6251"/>
        <item m="1" x="5537"/>
        <item x="2128"/>
        <item m="1" x="4425"/>
        <item m="1" x="5541"/>
        <item m="1" x="5542"/>
        <item m="1" x="5125"/>
        <item x="926"/>
        <item m="1" x="4882"/>
        <item m="1" x="5557"/>
        <item m="1" x="5558"/>
        <item m="1" x="5559"/>
        <item m="1" x="5560"/>
        <item m="1" x="5787"/>
        <item m="1" x="5286"/>
        <item m="1" x="5284"/>
        <item m="1" x="5126"/>
        <item x="193"/>
        <item m="1" x="4222"/>
        <item m="1" x="3903"/>
        <item m="1" x="6109"/>
        <item m="1" x="5897"/>
        <item m="1" x="6250"/>
        <item m="1" x="6067"/>
        <item m="1" x="6260"/>
        <item m="1" x="6466"/>
        <item m="1" x="6472"/>
        <item m="1" x="6268"/>
        <item m="1" x="6142"/>
        <item m="1" x="5961"/>
        <item m="1" x="6049"/>
        <item m="1" x="6499"/>
        <item m="1" x="5991"/>
        <item m="1" x="5602"/>
        <item m="1" x="6491"/>
        <item m="1" x="4346"/>
        <item m="1" x="5161"/>
        <item m="1" x="6391"/>
        <item m="1" x="4237"/>
        <item m="1" x="4278"/>
        <item x="3251"/>
        <item m="1" x="3683"/>
        <item m="1" x="4403"/>
        <item m="1" x="5192"/>
        <item m="1" x="5496"/>
        <item m="1" x="4107"/>
        <item m="1" x="6430"/>
        <item m="1" x="5497"/>
        <item m="1" x="5193"/>
        <item m="1" x="5194"/>
        <item m="1" x="3813"/>
        <item m="1" x="3823"/>
        <item m="1" x="3822"/>
        <item m="1" x="5328"/>
        <item m="1" x="5329"/>
        <item m="1" x="5742"/>
        <item m="1" x="4110"/>
        <item m="1" x="4003"/>
        <item m="1" x="3803"/>
        <item m="1" x="4156"/>
        <item m="1" x="5206"/>
        <item m="1" x="5330"/>
        <item m="1" x="5331"/>
        <item m="1" x="4206"/>
        <item x="1393"/>
        <item x="2299"/>
        <item m="1" x="3512"/>
        <item m="1" x="4497"/>
        <item m="1" x="6278"/>
        <item m="1" x="6213"/>
        <item x="2114"/>
        <item m="1" x="6053"/>
        <item m="1" x="6233"/>
        <item m="1" x="5766"/>
        <item m="1" x="5147"/>
        <item m="1" x="5513"/>
        <item x="2468"/>
        <item x="1434"/>
        <item m="1" x="5516"/>
        <item m="1" x="4773"/>
        <item m="1" x="4697"/>
        <item m="1" x="6313"/>
        <item m="1" x="5841"/>
        <item m="1" x="6403"/>
        <item m="1" x="6196"/>
        <item m="1" x="4334"/>
        <item m="1" x="3749"/>
        <item m="1" x="5229"/>
        <item m="1" x="5062"/>
        <item m="1" x="4439"/>
        <item m="1" x="3752"/>
        <item m="1" x="6417"/>
        <item m="1" x="5691"/>
        <item x="3297"/>
        <item m="1" x="4250"/>
        <item m="1" x="4468"/>
        <item m="1" x="4620"/>
        <item m="1" x="5437"/>
        <item m="1" x="5523"/>
        <item m="1" x="6131"/>
        <item m="1" x="4679"/>
        <item m="1" x="5438"/>
        <item x="3304"/>
        <item m="1" x="5244"/>
        <item m="1" x="6384"/>
        <item m="1" x="4405"/>
        <item m="1" x="4648"/>
        <item m="1" x="5521"/>
        <item m="1" x="5524"/>
        <item x="3318"/>
        <item m="1" x="4573"/>
        <item m="1" x="5441"/>
        <item m="1" x="5442"/>
        <item m="1" x="6007"/>
        <item m="1" x="6237"/>
        <item m="1" x="6451"/>
        <item m="1" x="5782"/>
        <item m="1" x="5984"/>
        <item m="1" x="4667"/>
        <item m="1" x="5446"/>
        <item m="1" x="4790"/>
        <item m="1" x="4845"/>
        <item m="1" x="4881"/>
        <item m="1" x="5947"/>
        <item m="1" x="5530"/>
        <item m="1" x="4015"/>
        <item m="1" x="3832"/>
        <item m="1" x="3830"/>
        <item x="700"/>
        <item m="1" x="5449"/>
        <item x="2479"/>
        <item m="1" x="4775"/>
        <item m="1" x="5450"/>
        <item m="1" x="5637"/>
        <item m="1" x="4732"/>
        <item m="1" x="5945"/>
        <item m="1" x="5807"/>
        <item m="1" x="5638"/>
        <item m="1" x="6495"/>
        <item m="1" x="5451"/>
        <item m="1" x="4749"/>
        <item m="1" x="5974"/>
        <item x="701"/>
        <item x="2480"/>
        <item x="87"/>
        <item m="1" x="4838"/>
        <item x="704"/>
        <item m="1" x="4791"/>
        <item x="705"/>
        <item x="1641"/>
        <item m="1" x="5640"/>
        <item m="1" x="6034"/>
        <item x="1696"/>
        <item x="1701"/>
        <item x="3036"/>
        <item x="2552"/>
        <item x="801"/>
        <item x="1714"/>
        <item m="1" x="6265"/>
        <item m="1" x="5720"/>
        <item m="1" x="6399"/>
        <item m="1" x="5474"/>
        <item m="1" x="6507"/>
        <item m="1" x="6004"/>
        <item m="1" x="6287"/>
        <item m="1" x="4744"/>
        <item m="1" x="4781"/>
        <item m="1" x="5730"/>
        <item m="1" x="5478"/>
        <item x="1984"/>
        <item x="3087"/>
        <item x="2739"/>
        <item x="2744"/>
        <item m="1" x="4608"/>
        <item x="1008"/>
        <item m="1" x="5370"/>
        <item m="1" x="5374"/>
        <item m="1" x="3624"/>
        <item x="2946"/>
        <item m="1" x="4746"/>
        <item m="1" x="5000"/>
        <item m="1" x="5661"/>
        <item m="1" x="5170"/>
        <item m="1" x="5171"/>
        <item m="1" x="5172"/>
        <item m="1" x="5311"/>
        <item m="1" x="3694"/>
        <item m="1" x="3687"/>
        <item m="1" x="5487"/>
        <item m="1" x="4624"/>
        <item m="1" x="4673"/>
        <item m="1" x="4961"/>
        <item m="1" x="5662"/>
        <item m="1" x="5312"/>
        <item m="1" x="5018"/>
        <item m="1" x="6027"/>
        <item m="1" x="5019"/>
        <item m="1" x="4525"/>
        <item m="1" x="5313"/>
        <item m="1" x="3689"/>
        <item m="1" x="5020"/>
        <item m="1" x="4819"/>
        <item m="1" x="5663"/>
        <item m="1" x="5486"/>
        <item m="1" x="5314"/>
        <item m="1" x="3693"/>
        <item m="1" x="5315"/>
        <item m="1" x="3953"/>
        <item m="1" x="5403"/>
        <item m="1" x="5488"/>
        <item m="1" x="5404"/>
        <item m="1" x="5405"/>
        <item m="1" x="5316"/>
        <item m="1" x="5318"/>
        <item m="1" x="3690"/>
        <item m="1" x="5664"/>
        <item m="1" x="5319"/>
        <item m="1" x="5665"/>
        <item m="1" x="3695"/>
        <item m="1" x="5326"/>
        <item m="1" x="5300"/>
        <item m="1" x="4879"/>
        <item m="1" x="5506"/>
        <item m="1" x="4438"/>
        <item m="1" x="4782"/>
        <item m="1" x="5038"/>
        <item m="1" x="5507"/>
        <item m="1" x="4847"/>
        <item m="1" x="5923"/>
        <item m="1" x="6298"/>
        <item m="1" x="6170"/>
        <item m="1" x="6274"/>
        <item m="1" x="6493"/>
        <item m="1" x="5713"/>
        <item m="1" x="6378"/>
        <item m="1" x="5752"/>
        <item m="1" x="5762"/>
        <item m="1" x="6248"/>
        <item m="1" x="6052"/>
        <item m="1" x="6286"/>
        <item m="1" x="6510"/>
        <item m="1" x="6520"/>
        <item m="1" x="6467"/>
        <item m="1" x="5618"/>
        <item m="1" x="6037"/>
        <item m="1" x="6280"/>
        <item m="1" x="5830"/>
        <item m="1" x="5428"/>
        <item m="1" x="5429"/>
        <item x="2333"/>
        <item m="1" x="5217"/>
        <item m="1" x="5667"/>
        <item m="1" x="5518"/>
        <item m="1" x="4330"/>
        <item m="1" x="4331"/>
        <item m="1" x="5632"/>
        <item m="1" x="5227"/>
        <item m="1" x="5060"/>
        <item m="1" x="4486"/>
        <item m="1" x="5228"/>
        <item m="1" x="4461"/>
        <item m="1" x="5520"/>
        <item m="1" x="5621"/>
        <item m="1" x="5624"/>
        <item m="1" x="5622"/>
        <item x="1470"/>
        <item m="1" x="5668"/>
        <item x="533"/>
        <item m="1" x="5669"/>
        <item m="1" x="5670"/>
        <item m="1" x="5184"/>
        <item m="1" x="5077"/>
        <item m="1" x="4290"/>
        <item m="1" x="5345"/>
        <item m="1" x="5078"/>
        <item m="1" x="5079"/>
        <item m="1" x="4467"/>
        <item m="1" x="4466"/>
        <item m="1" x="4699"/>
        <item m="1" x="4093"/>
        <item m="1" x="4092"/>
        <item m="1" x="4337"/>
        <item m="1" x="4336"/>
        <item m="1" x="5350"/>
        <item m="1" x="5247"/>
        <item m="1" x="5081"/>
        <item x="1566"/>
        <item m="1" x="4124"/>
        <item x="636"/>
        <item x="637"/>
        <item x="74"/>
        <item x="638"/>
        <item x="75"/>
        <item x="639"/>
        <item x="76"/>
        <item x="640"/>
        <item x="3324"/>
        <item m="1" x="5086"/>
        <item m="1" x="5087"/>
        <item x="3328"/>
        <item m="1" x="3782"/>
        <item m="1" x="5088"/>
        <item x="3325"/>
        <item m="1" x="4393"/>
        <item m="1" x="5089"/>
        <item x="3326"/>
        <item m="1" x="4083"/>
        <item m="1" x="5103"/>
        <item m="1" x="5527"/>
        <item m="1" x="5444"/>
        <item m="1" x="4586"/>
        <item m="1" x="5249"/>
        <item x="1971"/>
        <item m="1" x="5104"/>
        <item m="1" x="5445"/>
        <item m="1" x="5105"/>
        <item m="1" x="5250"/>
        <item m="1" x="5528"/>
        <item m="1" x="4114"/>
        <item m="1" x="4629"/>
        <item m="1" x="3799"/>
        <item m="1" x="5360"/>
        <item m="1" x="5254"/>
        <item m="1" x="5040"/>
        <item m="1" x="5255"/>
        <item x="1723"/>
        <item m="1" x="4342"/>
        <item x="1702"/>
        <item x="2557"/>
        <item x="808"/>
        <item x="145"/>
        <item m="1" x="5676"/>
        <item x="1893"/>
        <item x="2712"/>
        <item x="2717"/>
        <item x="1009"/>
        <item x="3091"/>
        <item x="1996"/>
        <item m="1" x="4817"/>
        <item x="2015"/>
        <item x="2017"/>
        <item m="1" x="5427"/>
        <item x="641"/>
        <item m="1" x="5032"/>
        <item m="1" x="5035"/>
        <item x="2537"/>
        <item m="1" x="5320"/>
        <item m="1" x="5042"/>
        <item m="1" x="5431"/>
        <item m="1" x="4162"/>
        <item m="1" x="5041"/>
        <item m="1" x="5511"/>
        <item m="1" x="5218"/>
        <item m="1" x="5219"/>
        <item m="1" x="4190"/>
        <item m="1" x="5043"/>
        <item m="1" x="5514"/>
        <item m="1" x="5044"/>
        <item m="1" x="5220"/>
        <item x="1141"/>
        <item x="293"/>
        <item m="1" x="4966"/>
        <item m="1" x="5434"/>
        <item m="1" x="5344"/>
        <item m="1" x="5072"/>
        <item m="1" x="5435"/>
        <item x="3298"/>
        <item m="1" x="5436"/>
        <item m="1" x="5074"/>
        <item m="1" x="4658"/>
        <item m="1" x="5240"/>
        <item m="1" x="4970"/>
        <item m="1" x="4691"/>
        <item m="1" x="5439"/>
        <item m="1" x="5440"/>
        <item m="1" x="4616"/>
        <item m="1" x="4251"/>
        <item x="2759"/>
        <item m="1" x="5525"/>
        <item m="1" x="3601"/>
        <item m="1" x="3558"/>
        <item m="1" x="3559"/>
        <item m="1" x="3602"/>
        <item m="1" x="3560"/>
        <item m="1" x="3588"/>
        <item m="1" x="3561"/>
        <item m="1" x="3524"/>
        <item m="1" x="3534"/>
        <item m="1" x="4455"/>
        <item m="1" x="3531"/>
        <item m="1" x="3537"/>
        <item m="1" x="3525"/>
        <item m="1" x="3530"/>
        <item m="1" x="3603"/>
        <item m="1" x="3573"/>
        <item m="1" x="4979"/>
        <item m="1" x="4410"/>
        <item m="1" x="3594"/>
        <item m="1" x="3918"/>
        <item m="1" x="3604"/>
        <item m="1" x="3595"/>
        <item m="1" x="3598"/>
        <item m="1" x="4940"/>
        <item m="1" x="3583"/>
        <item m="1" x="4906"/>
        <item m="1" x="5379"/>
        <item m="1" x="5380"/>
        <item m="1" x="5381"/>
        <item m="1" x="5382"/>
        <item m="1" x="5482"/>
        <item m="1" x="5383"/>
        <item m="1" x="5384"/>
        <item m="1" x="5385"/>
        <item m="1" x="5483"/>
        <item m="1" x="5386"/>
        <item m="1" x="5480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481"/>
        <item m="1" x="5397"/>
        <item m="1" x="5398"/>
        <item m="1" x="5399"/>
        <item x="200"/>
        <item m="1" x="5400"/>
        <item x="1778"/>
        <item m="1" x="5362"/>
        <item m="1" x="4601"/>
        <item m="1" x="5535"/>
        <item m="1" x="5475"/>
        <item x="2601"/>
        <item m="1" x="3658"/>
        <item m="1" x="3659"/>
        <item m="1" x="4935"/>
        <item m="1" x="4853"/>
        <item m="1" x="5131"/>
        <item m="1" x="5132"/>
        <item m="1" x="5133"/>
        <item m="1" x="5134"/>
        <item m="1" x="5135"/>
        <item m="1" x="5136"/>
        <item m="1" x="5137"/>
        <item x="3092"/>
        <item x="1012"/>
        <item m="1" x="5139"/>
        <item m="1" x="5140"/>
        <item x="3096"/>
        <item m="1" x="4886"/>
        <item m="1" x="5417"/>
        <item m="1" x="5418"/>
        <item m="1" x="5419"/>
        <item m="1" x="5420"/>
        <item m="1" x="5421"/>
        <item m="1" x="5422"/>
        <item x="2430"/>
        <item m="1" x="5423"/>
        <item m="1" x="5426"/>
        <item m="1" x="5519"/>
        <item m="1" x="5531"/>
        <item m="1" x="4021"/>
        <item m="1" x="4019"/>
        <item m="1" x="4023"/>
        <item m="1" x="3927"/>
        <item m="1" x="3924"/>
        <item m="1" x="3926"/>
        <item m="1" x="3923"/>
        <item m="1" x="3925"/>
        <item m="1" x="4353"/>
        <item m="1" x="5517"/>
        <item m="1" x="4880"/>
        <item x="2564"/>
        <item x="1715"/>
        <item m="1" x="4599"/>
        <item x="2565"/>
        <item x="813"/>
        <item x="1695"/>
        <item x="968"/>
        <item x="2659"/>
        <item x="3159"/>
        <item m="1" x="5364"/>
        <item m="1" x="3727"/>
        <item m="1" x="3724"/>
        <item m="1" x="5543"/>
        <item m="1" x="3819"/>
        <item m="1" x="5411"/>
        <item m="1" x="4280"/>
        <item m="1" x="5412"/>
        <item m="1" x="5413"/>
        <item m="1" x="5414"/>
        <item m="1" x="4677"/>
        <item m="1" x="4326"/>
        <item m="1" x="4002"/>
        <item m="1" x="4639"/>
        <item m="1" x="5037"/>
        <item m="1" x="5148"/>
        <item m="1" x="5149"/>
        <item m="1" x="5150"/>
        <item m="1" x="5151"/>
        <item m="1" x="5352"/>
        <item m="1" x="5353"/>
        <item m="1" x="5355"/>
        <item m="1" x="3892"/>
        <item m="1" x="4848"/>
        <item m="1" x="4943"/>
        <item m="1" x="5552"/>
        <item m="1" x="5553"/>
        <item m="1" x="5554"/>
        <item m="1" x="5146"/>
        <item m="1" x="4986"/>
        <item m="1" x="3639"/>
        <item x="1945"/>
        <item m="1" x="3729"/>
        <item x="1306"/>
        <item m="1" x="3704"/>
        <item x="2293"/>
        <item x="447"/>
        <item m="1" x="3725"/>
        <item m="1" x="3726"/>
        <item m="1" x="5036"/>
        <item m="1" x="4810"/>
        <item m="1" x="3732"/>
        <item m="1" x="5039"/>
        <item m="1" x="5430"/>
        <item m="1" x="5221"/>
        <item m="1" x="5432"/>
        <item m="1" x="5045"/>
        <item m="1" x="5046"/>
        <item m="1" x="5048"/>
        <item m="1" x="5049"/>
        <item m="1" x="5050"/>
        <item m="1" x="5433"/>
        <item x="2991"/>
        <item m="1" x="5051"/>
        <item x="2948"/>
        <item m="1" x="5232"/>
        <item x="568"/>
        <item m="1" x="5351"/>
        <item m="1" x="5361"/>
        <item m="1" x="5447"/>
        <item m="1" x="5113"/>
        <item m="1" x="3968"/>
        <item m="1" x="5256"/>
        <item m="1" x="5257"/>
        <item m="1" x="4024"/>
        <item m="1" x="5259"/>
        <item m="1" x="5260"/>
        <item m="1" x="5261"/>
        <item m="1" x="4053"/>
        <item x="1983"/>
        <item m="1" x="4056"/>
        <item x="2010"/>
        <item x="1213"/>
        <item m="1" x="3751"/>
        <item m="1" x="3739"/>
        <item m="1" x="3743"/>
        <item m="1" x="4676"/>
        <item m="1" x="3750"/>
        <item m="1" x="4487"/>
        <item m="1" x="3740"/>
        <item m="1" x="4678"/>
        <item m="1" x="5063"/>
        <item m="1" x="4121"/>
        <item m="1" x="4987"/>
        <item x="673"/>
        <item x="18"/>
        <item x="2184"/>
        <item x="2876"/>
        <item x="1220"/>
        <item m="1" x="4508"/>
        <item x="2852"/>
        <item x="2878"/>
        <item m="1" x="4672"/>
        <item m="1" x="4512"/>
        <item x="2197"/>
        <item m="1" x="4988"/>
        <item m="1" x="3944"/>
        <item m="1" x="4100"/>
        <item x="2181"/>
        <item m="1" x="5152"/>
        <item m="1" x="5153"/>
        <item m="1" x="4989"/>
        <item m="1" x="4480"/>
        <item x="1217"/>
        <item m="1" x="5154"/>
        <item x="2877"/>
        <item x="2160"/>
        <item x="1222"/>
        <item m="1" x="5305"/>
        <item m="1" x="4990"/>
        <item m="1" x="4208"/>
        <item m="1" x="5212"/>
        <item m="1" x="4783"/>
        <item m="1" x="5213"/>
        <item x="2021"/>
        <item m="1" x="5346"/>
        <item m="1" x="5347"/>
        <item m="1" x="5348"/>
        <item m="1" x="5349"/>
        <item m="1" x="4291"/>
        <item x="642"/>
        <item m="1" x="5142"/>
        <item m="1" x="4725"/>
        <item m="1" x="4974"/>
        <item x="1104"/>
        <item x="1026"/>
        <item m="1" x="5309"/>
        <item m="1" x="4843"/>
        <item m="1" x="3682"/>
        <item m="1" x="5166"/>
        <item m="1" x="4433"/>
        <item x="988"/>
        <item x="2707"/>
        <item m="1" x="4534"/>
        <item m="1" x="4400"/>
        <item x="2708"/>
        <item m="1" x="5021"/>
        <item m="1" x="5321"/>
        <item m="1" x="5173"/>
        <item m="1" x="4546"/>
        <item m="1" x="4660"/>
        <item m="1" x="4930"/>
        <item m="1" x="5322"/>
        <item m="1" x="3696"/>
        <item m="1" x="4630"/>
        <item m="1" x="4799"/>
        <item m="1" x="5022"/>
        <item m="1" x="4668"/>
        <item m="1" x="5174"/>
        <item m="1" x="4762"/>
        <item m="1" x="4545"/>
        <item m="1" x="5176"/>
        <item m="1" x="5189"/>
        <item m="1" x="5177"/>
        <item m="1" x="5178"/>
        <item m="1" x="5179"/>
        <item m="1" x="5180"/>
        <item m="1" x="5181"/>
        <item m="1" x="4402"/>
        <item m="1" x="3700"/>
        <item m="1" x="5182"/>
        <item m="1" x="3699"/>
        <item m="1" x="5183"/>
        <item m="1" x="5185"/>
        <item m="1" x="3698"/>
        <item m="1" x="5323"/>
        <item m="1" x="5324"/>
        <item m="1" x="5186"/>
        <item m="1" x="3697"/>
        <item m="1" x="5187"/>
        <item m="1" x="5188"/>
        <item m="1" x="3510"/>
        <item m="1" x="5325"/>
        <item m="1" x="4458"/>
        <item m="1" x="5197"/>
        <item m="1" x="5198"/>
        <item m="1" x="5199"/>
        <item m="1" x="5200"/>
        <item m="1" x="5204"/>
        <item m="1" x="5205"/>
        <item m="1" x="4204"/>
        <item x="1384"/>
        <item x="1570"/>
        <item m="1" x="5338"/>
        <item m="1" x="5339"/>
        <item x="3291"/>
        <item x="3292"/>
        <item x="1411"/>
        <item x="3197"/>
        <item x="2359"/>
        <item x="529"/>
        <item m="1" x="5234"/>
        <item m="1" x="5235"/>
        <item m="1" x="5236"/>
        <item m="1" x="4406"/>
        <item m="1" x="4419"/>
        <item m="1" x="5343"/>
        <item m="1" x="4463"/>
        <item m="1" x="5239"/>
        <item m="1" x="3988"/>
        <item m="1" x="5243"/>
        <item m="1" x="4365"/>
        <item m="1" x="5246"/>
        <item m="1" x="5092"/>
        <item m="1" x="4653"/>
        <item m="1" x="5106"/>
        <item m="1" x="4656"/>
        <item m="1" x="5107"/>
        <item m="1" x="5251"/>
        <item m="1" x="5252"/>
        <item m="1" x="5108"/>
        <item m="1" x="5109"/>
        <item m="1" x="4589"/>
        <item m="1" x="4588"/>
        <item m="1" x="4685"/>
        <item m="1" x="4770"/>
        <item m="1" x="5253"/>
        <item m="1" x="5110"/>
        <item x="1491"/>
        <item m="1" x="4654"/>
        <item m="1" x="4665"/>
        <item m="1" x="4675"/>
        <item m="1" x="4587"/>
        <item x="2984"/>
        <item m="1" x="4734"/>
        <item x="810"/>
        <item x="1716"/>
        <item x="812"/>
        <item x="1719"/>
        <item x="1720"/>
        <item x="815"/>
        <item x="817"/>
        <item x="796"/>
        <item x="806"/>
        <item x="3037"/>
        <item x="807"/>
        <item x="811"/>
        <item m="1" x="5114"/>
        <item x="794"/>
        <item x="1780"/>
        <item m="1" x="4302"/>
        <item m="1" x="4422"/>
        <item x="854"/>
        <item x="855"/>
        <item x="1841"/>
        <item x="1991"/>
        <item x="2000"/>
        <item x="2001"/>
        <item m="1" x="4377"/>
        <item x="3100"/>
        <item m="1" x="4859"/>
        <item m="1" x="4875"/>
        <item m="1" x="4876"/>
        <item m="1" x="4896"/>
        <item m="1" x="4818"/>
        <item m="1" x="4798"/>
        <item m="1" x="5304"/>
        <item m="1" x="5162"/>
        <item m="1" x="5163"/>
        <item m="1" x="5308"/>
        <item m="1" x="5164"/>
        <item m="1" x="3824"/>
        <item m="1" x="3804"/>
        <item m="1" x="3954"/>
        <item m="1" x="5207"/>
        <item m="1" x="5332"/>
        <item m="1" x="5333"/>
        <item m="1" x="5334"/>
        <item m="1" x="5335"/>
        <item m="1" x="5336"/>
        <item m="1" x="5337"/>
        <item m="1" x="5208"/>
        <item m="1" x="5052"/>
        <item m="1" x="5222"/>
        <item m="1" x="5223"/>
        <item m="1" x="5053"/>
        <item m="1" x="5224"/>
        <item m="1" x="5054"/>
        <item m="1" x="5056"/>
        <item m="1" x="5058"/>
        <item x="490"/>
        <item x="1437"/>
        <item x="1438"/>
        <item x="492"/>
        <item x="1439"/>
        <item m="1" x="3754"/>
        <item m="1" x="5233"/>
        <item x="1517"/>
        <item m="1" x="4173"/>
        <item m="1" x="4680"/>
        <item m="1" x="3773"/>
        <item x="2423"/>
        <item x="2386"/>
        <item m="1" x="5354"/>
        <item m="1" x="5356"/>
        <item m="1" x="4161"/>
        <item m="1" x="5357"/>
        <item m="1" x="5358"/>
        <item m="1" x="5359"/>
        <item x="3243"/>
        <item x="3240"/>
        <item x="2617"/>
        <item x="3239"/>
        <item x="2616"/>
        <item x="2615"/>
        <item m="1" x="5117"/>
        <item m="1" x="4883"/>
        <item m="1" x="4852"/>
        <item m="1" x="4306"/>
        <item m="1" x="3912"/>
        <item m="1" x="3911"/>
        <item m="1" x="4450"/>
        <item m="1" x="4451"/>
        <item x="2752"/>
        <item x="2753"/>
        <item x="3106"/>
        <item x="3107"/>
        <item x="2754"/>
        <item x="2019"/>
        <item x="1018"/>
        <item x="2020"/>
        <item x="1025"/>
        <item x="3253"/>
        <item x="2755"/>
        <item x="2040"/>
        <item m="1" x="5371"/>
        <item x="274"/>
        <item x="1347"/>
        <item x="1107"/>
        <item x="1108"/>
        <item x="1110"/>
        <item x="1383"/>
        <item x="1109"/>
        <item m="1" x="4975"/>
        <item m="1" x="4718"/>
        <item m="1" x="4981"/>
        <item m="1" x="4983"/>
        <item m="1" x="3613"/>
        <item m="1" x="4523"/>
        <item x="1233"/>
        <item m="1" x="5155"/>
        <item m="1" x="5156"/>
        <item x="1221"/>
        <item m="1" x="4529"/>
        <item x="2183"/>
        <item m="1" x="4991"/>
        <item m="1" x="4992"/>
        <item m="1" x="4513"/>
        <item x="336"/>
        <item x="2870"/>
        <item x="1176"/>
        <item x="2868"/>
        <item m="1" x="5157"/>
        <item m="1" x="4623"/>
        <item m="1" x="4524"/>
        <item x="1186"/>
        <item x="2198"/>
        <item m="1" x="4627"/>
        <item m="1" x="4505"/>
        <item m="1" x="4870"/>
        <item x="342"/>
        <item x="1235"/>
        <item m="1" x="4993"/>
        <item m="1" x="4354"/>
        <item m="1" x="4994"/>
        <item m="1" x="4252"/>
        <item m="1" x="4061"/>
        <item m="1" x="4270"/>
        <item m="1" x="5158"/>
        <item x="2872"/>
        <item m="1" x="3644"/>
        <item x="3068"/>
        <item m="1" x="5005"/>
        <item m="1" x="4279"/>
        <item x="1300"/>
        <item m="1" x="5007"/>
        <item m="1" x="3685"/>
        <item m="1" x="5008"/>
        <item m="1" x="4929"/>
        <item m="1" x="4877"/>
        <item m="1" x="5010"/>
        <item m="1" x="4281"/>
        <item m="1" x="4811"/>
        <item m="1" x="4696"/>
        <item m="1" x="4004"/>
        <item m="1" x="5214"/>
        <item m="1" x="4046"/>
        <item m="1" x="5226"/>
        <item x="2949"/>
        <item m="1" x="3744"/>
        <item m="1" x="5230"/>
        <item m="1" x="5231"/>
        <item m="1" x="3745"/>
        <item m="1" x="5064"/>
        <item m="1" x="5065"/>
        <item m="1" x="5066"/>
        <item m="1" x="5067"/>
        <item x="530"/>
        <item x="531"/>
        <item m="1" x="4571"/>
        <item m="1" x="4465"/>
        <item x="544"/>
        <item m="1" x="4364"/>
        <item m="1" x="5245"/>
        <item x="1568"/>
        <item m="1" x="5084"/>
        <item x="1569"/>
        <item x="77"/>
        <item x="643"/>
        <item m="1" x="3771"/>
        <item m="1" x="4368"/>
        <item x="2978"/>
        <item x="1573"/>
        <item x="2440"/>
        <item x="2982"/>
        <item m="1" x="5262"/>
        <item m="1" x="5263"/>
        <item m="1" x="4300"/>
        <item m="1" x="4299"/>
        <item m="1" x="5264"/>
        <item x="3242"/>
        <item m="1" x="5118"/>
        <item m="1" x="4475"/>
        <item m="1" x="4603"/>
        <item m="1" x="4492"/>
        <item x="192"/>
        <item x="3247"/>
        <item m="1" x="4026"/>
        <item m="1" x="4448"/>
        <item x="942"/>
        <item x="1861"/>
        <item x="1862"/>
        <item m="1" x="5295"/>
        <item m="1" x="4794"/>
        <item m="1" x="4828"/>
        <item m="1" x="4866"/>
        <item m="1" x="4787"/>
        <item m="1" x="4805"/>
        <item x="2740"/>
        <item m="1" x="4806"/>
        <item m="1" x="4797"/>
        <item m="1" x="5276"/>
        <item m="1" x="5277"/>
        <item m="1" x="5278"/>
        <item m="1" x="5279"/>
        <item m="1" x="5280"/>
        <item m="1" x="5281"/>
        <item m="1" x="5167"/>
        <item m="1" x="5011"/>
        <item x="1522"/>
        <item m="1" x="5012"/>
        <item m="1" x="5013"/>
        <item m="1" x="5024"/>
        <item m="1" x="5025"/>
        <item m="1" x="5023"/>
        <item m="1" x="3703"/>
        <item m="1" x="4708"/>
        <item m="1" x="4833"/>
        <item m="1" x="5026"/>
        <item m="1" x="5027"/>
        <item m="1" x="3969"/>
        <item m="1" x="4887"/>
        <item m="1" x="5196"/>
        <item m="1" x="4688"/>
        <item x="469"/>
        <item x="1415"/>
        <item x="1413"/>
        <item x="48"/>
        <item x="1414"/>
        <item m="1" x="4257"/>
        <item m="1" x="4286"/>
        <item m="1" x="4258"/>
        <item m="1" x="4287"/>
        <item m="1" x="5225"/>
        <item m="1" x="4973"/>
        <item m="1" x="3645"/>
        <item x="2136"/>
        <item m="1" x="4999"/>
        <item m="1" x="4151"/>
        <item m="1" x="3947"/>
        <item m="1" x="3660"/>
        <item m="1" x="4040"/>
        <item m="1" x="5006"/>
        <item x="1299"/>
        <item m="1" x="4398"/>
        <item m="1" x="4612"/>
        <item x="1916"/>
        <item m="1" x="4322"/>
        <item m="1" x="4538"/>
        <item m="1" x="5009"/>
        <item m="1" x="3915"/>
        <item x="2243"/>
        <item x="2899"/>
        <item m="1" x="3702"/>
        <item x="1305"/>
        <item x="2244"/>
        <item m="1" x="4444"/>
        <item x="2245"/>
        <item x="2316"/>
        <item m="1" x="3731"/>
        <item m="1" x="3733"/>
        <item m="1" x="3736"/>
        <item m="1" x="4163"/>
        <item m="1" x="4164"/>
        <item m="1" x="4618"/>
        <item x="521"/>
        <item m="1" x="4213"/>
        <item m="1" x="4214"/>
        <item m="1" x="4112"/>
        <item m="1" x="5068"/>
        <item m="1" x="4113"/>
        <item m="1" x="4115"/>
        <item x="526"/>
        <item m="1" x="4684"/>
        <item m="1" x="4165"/>
        <item m="1" x="4682"/>
        <item m="1" x="4659"/>
        <item x="2358"/>
        <item m="1" x="4166"/>
        <item m="1" x="4116"/>
        <item x="1469"/>
        <item m="1" x="4488"/>
        <item m="1" x="4091"/>
        <item x="2957"/>
        <item m="1" x="4569"/>
        <item m="1" x="5071"/>
        <item m="1" x="4248"/>
        <item m="1" x="4392"/>
        <item m="1" x="4967"/>
        <item m="1" x="5073"/>
        <item m="1" x="4968"/>
        <item x="2961"/>
        <item m="1" x="4969"/>
        <item x="2965"/>
        <item x="3305"/>
        <item m="1" x="4572"/>
        <item x="3306"/>
        <item m="1" x="4971"/>
        <item x="3310"/>
        <item x="3311"/>
        <item m="1" x="4335"/>
        <item m="1" x="4692"/>
        <item m="1" x="4693"/>
        <item m="1" x="5080"/>
        <item x="644"/>
        <item m="1" x="4577"/>
        <item m="1" x="4175"/>
        <item m="1" x="4094"/>
        <item x="1571"/>
        <item m="1" x="4338"/>
        <item m="1" x="4642"/>
        <item m="1" x="5085"/>
        <item m="1" x="4578"/>
        <item m="1" x="5111"/>
        <item m="1" x="5112"/>
        <item x="3252"/>
        <item m="1" x="4212"/>
        <item x="2455"/>
        <item x="2456"/>
        <item x="791"/>
        <item m="1" x="5115"/>
        <item x="1709"/>
        <item m="1" x="4695"/>
        <item x="1801"/>
        <item m="1" x="3856"/>
        <item m="1" x="4647"/>
        <item m="1" x="3860"/>
        <item m="1" x="4686"/>
        <item m="1" x="3857"/>
        <item m="1" x="3868"/>
        <item m="1" x="3869"/>
        <item m="1" x="3878"/>
        <item x="2756"/>
        <item x="2022"/>
        <item x="2757"/>
        <item x="1019"/>
        <item x="2758"/>
        <item x="2023"/>
        <item x="2024"/>
        <item x="2025"/>
        <item x="1020"/>
        <item m="1" x="4224"/>
        <item x="1021"/>
        <item x="2026"/>
        <item m="1" x="4496"/>
        <item x="2095"/>
        <item x="3160"/>
        <item x="258"/>
        <item x="1079"/>
        <item x="259"/>
        <item x="1080"/>
        <item x="3272"/>
        <item m="1" x="4982"/>
        <item m="1" x="4907"/>
        <item m="1" x="4808"/>
        <item m="1" x="4984"/>
        <item m="1" x="4869"/>
        <item m="1" x="4985"/>
        <item m="1" x="4548"/>
        <item m="1" x="4317"/>
        <item m="1" x="3630"/>
        <item m="1" x="4996"/>
        <item m="1" x="4530"/>
        <item m="1" x="4997"/>
        <item m="1" x="3631"/>
        <item m="1" x="3634"/>
        <item m="1" x="4998"/>
        <item m="1" x="3623"/>
        <item m="1" x="4563"/>
        <item m="1" x="4564"/>
        <item x="2367"/>
        <item m="1" x="4362"/>
        <item m="1" x="5069"/>
        <item m="1" x="4626"/>
        <item m="1" x="5070"/>
        <item m="1" x="4897"/>
        <item m="1" x="4920"/>
        <item m="1" x="4768"/>
        <item m="1" x="3753"/>
        <item m="1" x="4575"/>
        <item m="1" x="4295"/>
        <item m="1" x="4408"/>
        <item m="1" x="4420"/>
        <item m="1" x="4582"/>
        <item m="1" x="4579"/>
        <item m="1" x="4580"/>
        <item m="1" x="5093"/>
        <item m="1" x="5094"/>
        <item m="1" x="5095"/>
        <item m="1" x="5096"/>
        <item m="1" x="4585"/>
        <item x="1850"/>
        <item m="1" x="4583"/>
        <item m="1" x="5097"/>
        <item m="1" x="5098"/>
        <item x="332"/>
        <item m="1" x="5099"/>
        <item m="1" x="4581"/>
        <item m="1" x="4614"/>
        <item m="1" x="5100"/>
        <item m="1" x="5101"/>
        <item m="1" x="5102"/>
        <item m="1" x="4584"/>
        <item x="1781"/>
        <item x="1782"/>
        <item x="858"/>
        <item x="2625"/>
        <item x="1823"/>
        <item m="1" x="4632"/>
        <item x="920"/>
        <item m="1" x="5121"/>
        <item x="921"/>
        <item x="951"/>
        <item m="1" x="4476"/>
        <item m="1" x="4604"/>
        <item m="1" x="3930"/>
        <item x="1846"/>
        <item x="944"/>
        <item x="955"/>
        <item x="1892"/>
        <item x="966"/>
        <item x="3058"/>
        <item x="205"/>
        <item x="2714"/>
        <item m="1" x="4786"/>
        <item m="1" x="4884"/>
        <item m="1" x="4607"/>
        <item x="1011"/>
        <item m="1" x="4904"/>
        <item m="1" x="4928"/>
        <item m="1" x="4779"/>
        <item m="1" x="4894"/>
        <item m="1" x="4885"/>
        <item x="1416"/>
        <item x="2940"/>
        <item x="468"/>
        <item x="1417"/>
        <item m="1" x="4625"/>
        <item x="665"/>
        <item m="1" x="5031"/>
        <item m="1" x="4644"/>
        <item x="2319"/>
        <item x="1418"/>
        <item x="1440"/>
        <item x="496"/>
        <item x="497"/>
        <item m="1" x="5014"/>
        <item m="1" x="5015"/>
        <item m="1" x="5016"/>
        <item m="1" x="5090"/>
        <item m="1" x="5091"/>
        <item x="2096"/>
        <item m="1" x="4310"/>
        <item m="1" x="4427"/>
        <item m="1" x="3529"/>
        <item m="1" x="4499"/>
        <item m="1" x="4780"/>
        <item m="1" x="3976"/>
        <item m="1" x="4428"/>
        <item m="1" x="3574"/>
        <item m="1" x="4135"/>
        <item m="1" x="4503"/>
        <item m="1" x="4500"/>
        <item m="1" x="4501"/>
        <item m="1" x="3575"/>
        <item m="1" x="4502"/>
        <item x="1023"/>
        <item m="1" x="3607"/>
        <item m="1" x="3608"/>
        <item m="1" x="4504"/>
        <item m="1" x="4908"/>
        <item m="1" x="4760"/>
        <item m="1" x="3943"/>
        <item x="1218"/>
        <item x="1198"/>
        <item m="1" x="3625"/>
        <item m="1" x="3632"/>
        <item m="1" x="3626"/>
        <item m="1" x="3627"/>
        <item m="1" x="3638"/>
        <item m="1" x="3650"/>
        <item x="389"/>
        <item m="1" x="3684"/>
        <item m="1" x="4543"/>
        <item x="1946"/>
        <item m="1" x="4106"/>
        <item x="30"/>
        <item m="1" x="4640"/>
        <item x="2300"/>
        <item x="2939"/>
        <item x="3293"/>
        <item m="1" x="4941"/>
        <item m="1" x="4621"/>
        <item m="1" x="4611"/>
        <item m="1" x="3734"/>
        <item m="1" x="4225"/>
        <item m="1" x="4314"/>
        <item m="1" x="3955"/>
        <item m="1" x="4485"/>
        <item m="1" x="4820"/>
        <item x="1444"/>
        <item x="1445"/>
        <item x="2951"/>
        <item x="2346"/>
        <item x="528"/>
        <item x="57"/>
        <item m="1" x="4919"/>
        <item m="1" x="4860"/>
        <item m="1" x="4641"/>
        <item m="1" x="4249"/>
        <item m="1" x="3767"/>
        <item x="645"/>
        <item x="646"/>
        <item x="647"/>
        <item x="1506"/>
        <item x="2403"/>
        <item x="594"/>
        <item x="579"/>
        <item x="1549"/>
        <item m="1" x="4932"/>
        <item m="1" x="3772"/>
        <item m="1" x="4942"/>
        <item x="2995"/>
        <item x="1545"/>
        <item x="570"/>
        <item m="1" x="4674"/>
        <item x="1508"/>
        <item m="1" x="4340"/>
        <item x="2390"/>
        <item x="1514"/>
        <item x="2395"/>
        <item m="1" x="4047"/>
        <item m="1" x="4171"/>
        <item m="1" x="4294"/>
        <item m="1" x="4082"/>
        <item m="1" x="4729"/>
        <item x="599"/>
        <item m="1" x="4014"/>
        <item x="1550"/>
        <item x="1553"/>
        <item m="1" x="4070"/>
        <item m="1" x="4921"/>
        <item x="68"/>
        <item m="1" x="4217"/>
        <item m="1" x="4231"/>
        <item m="1" x="3781"/>
        <item m="1" x="3776"/>
        <item m="1" x="4769"/>
        <item x="2976"/>
        <item m="1" x="4048"/>
        <item m="1" x="4174"/>
        <item x="2378"/>
        <item m="1" x="4123"/>
        <item x="1596"/>
        <item m="1" x="4963"/>
        <item m="1" x="4823"/>
        <item m="1" x="4960"/>
        <item m="1" x="4910"/>
        <item m="1" x="4861"/>
        <item m="1" x="4862"/>
        <item m="1" x="4933"/>
        <item m="1" x="4747"/>
        <item m="1" x="3826"/>
        <item x="1630"/>
        <item x="693"/>
        <item x="2473"/>
        <item m="1" x="4700"/>
        <item m="1" x="4694"/>
        <item x="85"/>
        <item m="1" x="4590"/>
        <item m="1" x="4911"/>
        <item m="1" x="4622"/>
        <item x="1633"/>
        <item m="1" x="4730"/>
        <item m="1" x="4944"/>
        <item x="2475"/>
        <item x="2476"/>
        <item x="694"/>
        <item m="1" x="4711"/>
        <item x="695"/>
        <item m="1" x="4701"/>
        <item x="2477"/>
        <item m="1" x="4748"/>
        <item x="697"/>
        <item m="1" x="4735"/>
        <item x="86"/>
        <item m="1" x="4736"/>
        <item x="2478"/>
        <item x="1635"/>
        <item x="1636"/>
        <item x="698"/>
        <item x="699"/>
        <item m="1" x="4888"/>
        <item m="1" x="4771"/>
        <item x="2482"/>
        <item m="1" x="4469"/>
        <item x="1638"/>
        <item x="678"/>
        <item m="1" x="4443"/>
        <item m="1" x="4341"/>
        <item m="1" x="4813"/>
        <item x="709"/>
        <item x="2490"/>
        <item x="2491"/>
        <item x="3003"/>
        <item x="710"/>
        <item x="711"/>
        <item m="1" x="4824"/>
        <item m="1" x="4703"/>
        <item x="712"/>
        <item m="1" x="4737"/>
        <item x="1640"/>
        <item m="1" x="4591"/>
        <item x="89"/>
        <item x="713"/>
        <item x="1642"/>
        <item m="1" x="3962"/>
        <item x="1644"/>
        <item m="1" x="4750"/>
        <item m="1" x="4889"/>
        <item x="724"/>
        <item x="1651"/>
        <item m="1" x="4912"/>
        <item m="1" x="4784"/>
        <item x="729"/>
        <item m="1" x="4892"/>
        <item m="1" x="4470"/>
        <item x="2518"/>
        <item x="737"/>
        <item x="1659"/>
        <item x="104"/>
        <item m="1" x="4297"/>
        <item x="738"/>
        <item x="105"/>
        <item x="739"/>
        <item m="1" x="4421"/>
        <item m="1" x="4471"/>
        <item x="106"/>
        <item m="1" x="4472"/>
        <item x="2520"/>
        <item x="2521"/>
        <item x="785"/>
        <item x="2547"/>
        <item x="152"/>
        <item x="2548"/>
        <item x="2560"/>
        <item m="1" x="3827"/>
        <item m="1" x="4473"/>
        <item m="1" x="4423"/>
        <item m="1" x="4489"/>
        <item m="1" x="4445"/>
        <item m="1" x="4446"/>
        <item m="1" x="4645"/>
        <item m="1" x="4409"/>
        <item m="1" x="3861"/>
        <item m="1" x="3864"/>
        <item m="1" x="4649"/>
        <item m="1" x="4740"/>
        <item m="1" x="4631"/>
        <item m="1" x="4347"/>
        <item m="1" x="4178"/>
        <item x="1874"/>
        <item x="1875"/>
        <item x="1877"/>
        <item x="2648"/>
        <item x="959"/>
        <item x="1881"/>
        <item m="1" x="4792"/>
        <item x="3057"/>
        <item x="1882"/>
        <item x="1883"/>
        <item x="2651"/>
        <item m="1" x="4716"/>
        <item x="1884"/>
        <item x="1885"/>
        <item x="961"/>
        <item m="1" x="4755"/>
        <item x="2652"/>
        <item x="1886"/>
        <item x="1887"/>
        <item x="2653"/>
        <item x="963"/>
        <item x="1889"/>
        <item x="1890"/>
        <item x="2654"/>
        <item m="1" x="4741"/>
        <item x="1891"/>
        <item m="1" x="4793"/>
        <item x="964"/>
        <item m="1" x="4606"/>
        <item m="1" x="4348"/>
        <item m="1" x="4609"/>
        <item m="1" x="4349"/>
        <item m="1" x="4610"/>
        <item x="2762"/>
        <item x="2763"/>
        <item x="2042"/>
        <item m="1" x="4662"/>
        <item x="1027"/>
        <item x="1028"/>
        <item m="1" x="4683"/>
        <item x="2764"/>
        <item x="2043"/>
        <item x="2044"/>
        <item m="1" x="3993"/>
        <item m="1" x="3994"/>
        <item m="1" x="3995"/>
        <item m="1" x="4038"/>
        <item m="1" x="3998"/>
        <item m="1" x="3948"/>
        <item m="1" x="4200"/>
        <item m="1" x="3949"/>
        <item m="1" x="4000"/>
        <item m="1" x="4154"/>
        <item x="3409"/>
        <item x="3493"/>
        <item x="3410"/>
        <item m="1" x="3710"/>
        <item m="1" x="3715"/>
        <item m="1" x="4357"/>
        <item m="1" x="3711"/>
        <item m="1" x="3713"/>
        <item m="1" x="3712"/>
        <item x="2733"/>
        <item m="1" x="4821"/>
        <item m="1" x="4871"/>
        <item x="267"/>
        <item m="1" x="3511"/>
        <item x="377"/>
        <item m="1" x="4617"/>
        <item x="2239"/>
        <item x="1930"/>
        <item m="1" x="4202"/>
        <item x="984"/>
        <item x="1298"/>
        <item m="1" x="4254"/>
        <item m="1" x="4552"/>
        <item m="1" x="4553"/>
        <item m="1" x="4554"/>
        <item m="1" x="4555"/>
        <item m="1" x="4550"/>
        <item m="1" x="4549"/>
        <item m="1" x="4556"/>
        <item m="1" x="4551"/>
        <item m="1" x="3709"/>
        <item m="1" x="3706"/>
        <item m="1" x="4435"/>
        <item m="1" x="4558"/>
        <item m="1" x="4637"/>
        <item m="1" x="4638"/>
        <item m="1" x="4561"/>
        <item m="1" x="4655"/>
        <item m="1" x="4562"/>
        <item m="1" x="3707"/>
        <item m="1" x="4557"/>
        <item x="2301"/>
        <item m="1" x="4681"/>
        <item x="1431"/>
        <item m="1" x="4089"/>
        <item x="1441"/>
        <item x="494"/>
        <item x="495"/>
        <item x="1443"/>
        <item x="2342"/>
        <item x="1448"/>
        <item x="2343"/>
        <item x="2950"/>
        <item x="502"/>
        <item x="503"/>
        <item x="2344"/>
        <item x="504"/>
        <item x="2345"/>
        <item x="1449"/>
        <item x="1450"/>
        <item x="1451"/>
        <item x="1452"/>
        <item x="1453"/>
        <item x="505"/>
        <item x="506"/>
        <item x="53"/>
        <item m="1" x="4687"/>
        <item m="1" x="3747"/>
        <item m="1" x="4122"/>
        <item m="1" x="4440"/>
        <item x="3294"/>
        <item x="3180"/>
        <item m="1" x="4570"/>
        <item m="1" x="4650"/>
        <item m="1" x="4464"/>
        <item m="1" x="4574"/>
        <item x="649"/>
        <item x="573"/>
        <item x="1520"/>
        <item x="69"/>
        <item x="1524"/>
        <item x="1547"/>
        <item m="1" x="4172"/>
        <item m="1" x="3769"/>
        <item m="1" x="4576"/>
        <item m="1" x="4661"/>
        <item m="1" x="4657"/>
        <item m="1" x="4619"/>
        <item m="1" x="4615"/>
        <item x="148"/>
        <item x="1705"/>
        <item m="1" x="4378"/>
        <item m="1" x="4196"/>
        <item m="1" x="4370"/>
        <item m="1" x="4413"/>
        <item x="2874"/>
        <item x="337"/>
        <item x="1183"/>
        <item m="1" x="4318"/>
        <item x="1226"/>
        <item m="1" x="4316"/>
        <item x="2177"/>
        <item x="317"/>
        <item m="1" x="4430"/>
        <item m="1" x="4514"/>
        <item m="1" x="4319"/>
        <item m="1" x="4509"/>
        <item m="1" x="4651"/>
        <item x="1149"/>
        <item x="1142"/>
        <item x="2834"/>
        <item x="11"/>
        <item m="1" x="4456"/>
        <item m="1" x="4526"/>
        <item x="2135"/>
        <item m="1" x="4186"/>
        <item x="2162"/>
        <item m="1" x="4515"/>
        <item m="1" x="4516"/>
        <item m="1" x="4517"/>
        <item x="1144"/>
        <item m="1" x="4411"/>
        <item m="1" x="4628"/>
        <item m="1" x="4518"/>
        <item m="1" x="4506"/>
        <item x="2169"/>
        <item x="298"/>
        <item x="2133"/>
        <item x="2837"/>
        <item x="299"/>
        <item x="2125"/>
        <item m="1" x="4507"/>
        <item x="1145"/>
        <item x="296"/>
        <item x="2129"/>
        <item m="1" x="3920"/>
        <item x="297"/>
        <item m="1" x="4138"/>
        <item m="1" x="4519"/>
        <item x="2839"/>
        <item x="2130"/>
        <item m="1" x="4185"/>
        <item m="1" x="4510"/>
        <item m="1" x="4520"/>
        <item m="1" x="4137"/>
        <item m="1" x="4187"/>
        <item m="1" x="4643"/>
        <item x="2126"/>
        <item x="1146"/>
        <item x="1147"/>
        <item m="1" x="3940"/>
        <item x="2841"/>
        <item x="2127"/>
        <item x="1148"/>
        <item x="2131"/>
        <item m="1" x="4035"/>
        <item m="1" x="4521"/>
        <item x="1143"/>
        <item m="1" x="4230"/>
        <item m="1" x="4671"/>
        <item m="1" x="4690"/>
        <item m="1" x="4366"/>
        <item m="1" x="4598"/>
        <item m="1" x="4596"/>
        <item m="1" x="3835"/>
        <item m="1" x="3838"/>
        <item m="1" x="3841"/>
        <item m="1" x="3840"/>
        <item m="1" x="3836"/>
        <item m="1" x="3839"/>
        <item x="3331"/>
        <item x="3332"/>
        <item x="3333"/>
        <item x="3471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5"/>
        <item x="3376"/>
        <item x="3377"/>
        <item x="3379"/>
        <item x="3380"/>
        <item x="3381"/>
        <item x="3382"/>
        <item x="3496"/>
        <item x="3383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9"/>
        <item x="3400"/>
        <item x="3401"/>
        <item x="3402"/>
        <item x="3403"/>
        <item x="3489"/>
        <item x="3404"/>
        <item x="3405"/>
        <item x="3406"/>
        <item x="3407"/>
        <item x="3408"/>
        <item x="2624"/>
        <item x="2627"/>
        <item x="886"/>
        <item x="887"/>
        <item x="888"/>
        <item x="2628"/>
        <item x="2629"/>
        <item x="1825"/>
        <item x="889"/>
        <item x="890"/>
        <item x="891"/>
        <item x="892"/>
        <item x="163"/>
        <item x="893"/>
        <item x="1826"/>
        <item x="894"/>
        <item x="895"/>
        <item x="164"/>
        <item x="165"/>
        <item x="166"/>
        <item x="167"/>
        <item x="896"/>
        <item x="168"/>
        <item x="169"/>
        <item x="897"/>
        <item x="1827"/>
        <item x="898"/>
        <item x="901"/>
        <item x="900"/>
        <item x="903"/>
        <item x="899"/>
        <item x="170"/>
        <item x="902"/>
        <item x="2630"/>
        <item x="935"/>
        <item x="936"/>
        <item m="1" x="4477"/>
        <item x="941"/>
        <item m="1" x="3972"/>
        <item x="1856"/>
        <item x="1858"/>
        <item x="2639"/>
        <item x="933"/>
        <item x="2655"/>
        <item x="2656"/>
        <item x="965"/>
        <item x="2657"/>
        <item x="3249"/>
        <item m="1" x="3643"/>
        <item m="1" x="4253"/>
        <item m="1" x="3802"/>
        <item m="1" x="3817"/>
        <item m="1" x="3816"/>
        <item m="1" x="4108"/>
        <item m="1" x="3821"/>
        <item m="1" x="3812"/>
        <item m="1" x="4109"/>
        <item x="1679"/>
        <item x="3028"/>
        <item x="2531"/>
        <item x="3029"/>
        <item x="2532"/>
        <item x="2533"/>
        <item x="2538"/>
        <item x="1680"/>
        <item x="1681"/>
        <item x="3230"/>
        <item x="1683"/>
        <item x="2534"/>
        <item x="783"/>
        <item x="3231"/>
        <item x="3032"/>
        <item x="3031"/>
        <item x="1684"/>
        <item x="1682"/>
        <item x="2535"/>
        <item x="3034"/>
        <item x="1685"/>
        <item x="1686"/>
        <item x="2536"/>
        <item x="3232"/>
        <item x="2541"/>
        <item x="1687"/>
        <item x="1688"/>
        <item x="2540"/>
        <item x="1678"/>
        <item x="784"/>
        <item x="2539"/>
        <item x="3033"/>
        <item x="2542"/>
        <item m="1" x="3532"/>
        <item x="49"/>
        <item m="1" x="3533"/>
        <item x="472"/>
        <item m="1" x="4284"/>
        <item m="1" x="3550"/>
        <item m="1" x="3956"/>
        <item m="1" x="4633"/>
        <item m="1" x="4634"/>
        <item m="1" x="4459"/>
        <item m="1" x="3957"/>
        <item x="474"/>
        <item x="1847"/>
        <item m="1" x="4157"/>
        <item m="1" x="3576"/>
        <item m="1" x="4134"/>
        <item m="1" x="4005"/>
        <item m="1" x="3562"/>
        <item x="1429"/>
        <item x="1423"/>
        <item m="1" x="4044"/>
        <item x="2638"/>
        <item m="1" x="4042"/>
        <item x="2332"/>
        <item x="2187"/>
        <item x="2328"/>
        <item m="1" x="4358"/>
        <item x="3275"/>
        <item x="2942"/>
        <item x="2944"/>
        <item x="3175"/>
        <item x="3178"/>
        <item m="1" x="4102"/>
        <item m="1" x="3635"/>
        <item x="38"/>
        <item x="2302"/>
        <item x="657"/>
        <item x="485"/>
        <item x="493"/>
        <item x="1442"/>
        <item x="498"/>
        <item x="507"/>
        <item x="2952"/>
        <item m="1" x="4168"/>
        <item x="1475"/>
        <item m="1" x="4117"/>
        <item m="1" x="4169"/>
        <item m="1" x="4170"/>
        <item x="2362"/>
        <item m="1" x="3757"/>
        <item x="1474"/>
        <item m="1" x="4442"/>
        <item m="1" x="4176"/>
        <item x="78"/>
        <item m="1" x="4292"/>
        <item x="79"/>
        <item x="814"/>
        <item m="1" x="4600"/>
        <item x="3398"/>
        <item x="3411"/>
        <item x="3412"/>
        <item x="3413"/>
        <item x="3414"/>
        <item x="3415"/>
        <item x="906"/>
        <item x="904"/>
        <item x="171"/>
        <item x="1829"/>
        <item x="172"/>
        <item x="905"/>
        <item x="1828"/>
        <item x="2631"/>
        <item x="173"/>
        <item m="1" x="4491"/>
        <item m="1" x="4221"/>
        <item x="945"/>
        <item x="918"/>
        <item x="181"/>
        <item m="1" x="4449"/>
        <item m="1" x="3929"/>
        <item x="184"/>
        <item x="185"/>
        <item x="927"/>
        <item x="928"/>
        <item x="1854"/>
        <item x="1857"/>
        <item x="1852"/>
        <item m="1" x="3932"/>
        <item x="351"/>
        <item x="1022"/>
        <item x="2027"/>
        <item x="2028"/>
        <item x="2029"/>
        <item x="1029"/>
        <item x="2049"/>
        <item x="2766"/>
        <item x="1030"/>
        <item x="2050"/>
        <item x="2867"/>
        <item x="331"/>
        <item x="2865"/>
        <item x="2846"/>
        <item x="309"/>
        <item x="2864"/>
        <item x="2250"/>
        <item x="2186"/>
        <item x="2873"/>
        <item x="2850"/>
        <item x="2193"/>
        <item x="2356"/>
        <item x="2200"/>
        <item x="1244"/>
        <item x="2180"/>
        <item x="2192"/>
        <item x="1229"/>
        <item x="1228"/>
        <item x="2185"/>
        <item x="2366"/>
        <item x="2190"/>
        <item x="2179"/>
        <item x="2194"/>
        <item x="1499"/>
        <item x="3169"/>
        <item x="294"/>
        <item x="2832"/>
        <item x="295"/>
        <item x="12"/>
        <item x="2132"/>
        <item x="2833"/>
        <item x="2840"/>
        <item x="2835"/>
        <item x="1150"/>
        <item x="2836"/>
        <item x="322"/>
        <item x="300"/>
        <item x="23"/>
        <item x="1151"/>
        <item x="2842"/>
        <item x="13"/>
        <item x="2838"/>
        <item x="2134"/>
        <item m="1" x="4188"/>
        <item x="1154"/>
        <item x="2142"/>
        <item x="14"/>
        <item x="2137"/>
        <item x="3163"/>
        <item x="2138"/>
        <item x="1152"/>
        <item x="586"/>
        <item m="1" x="4032"/>
        <item x="2140"/>
        <item x="1153"/>
        <item x="2139"/>
        <item x="2141"/>
        <item x="1155"/>
        <item m="1" x="4350"/>
        <item x="2144"/>
        <item x="2143"/>
        <item x="301"/>
        <item x="1156"/>
        <item m="1" x="4193"/>
        <item x="1157"/>
        <item m="1" x="3615"/>
        <item x="2145"/>
        <item m="1" x="4267"/>
        <item x="302"/>
        <item m="1" x="4085"/>
        <item m="1" x="4142"/>
        <item m="1" x="4141"/>
        <item m="1" x="4144"/>
        <item m="1" x="4098"/>
        <item m="1" x="4189"/>
        <item m="1" x="4139"/>
        <item m="1" x="4192"/>
        <item m="1" x="4143"/>
        <item m="1" x="4191"/>
        <item m="1" x="4140"/>
        <item m="1" x="4351"/>
        <item m="1" x="4527"/>
        <item m="1" x="4511"/>
        <item m="1" x="4528"/>
        <item x="2226"/>
        <item x="361"/>
        <item x="1479"/>
        <item x="1270"/>
        <item x="362"/>
        <item x="363"/>
        <item x="1271"/>
        <item x="1272"/>
        <item x="25"/>
        <item m="1" x="4037"/>
        <item m="1" x="4532"/>
        <item m="1" x="4414"/>
        <item m="1" x="4531"/>
        <item m="1" x="3849"/>
        <item m="1" x="3921"/>
        <item x="2234"/>
        <item x="1293"/>
        <item x="378"/>
        <item x="2235"/>
        <item m="1" x="4533"/>
        <item m="1" x="4540"/>
        <item x="2896"/>
        <item x="2692"/>
        <item x="2660"/>
        <item x="2897"/>
        <item x="982"/>
        <item m="1" x="4001"/>
        <item x="2706"/>
        <item x="993"/>
        <item m="1" x="4382"/>
        <item m="1" x="4080"/>
        <item x="1958"/>
        <item m="1" x="4431"/>
        <item m="1" x="4239"/>
        <item m="1" x="4240"/>
        <item x="3288"/>
        <item m="1" x="3951"/>
        <item x="2693"/>
        <item x="1297"/>
        <item x="1931"/>
        <item x="3289"/>
        <item x="1933"/>
        <item m="1" x="4432"/>
        <item m="1" x="4535"/>
        <item m="1" x="4396"/>
        <item x="1934"/>
        <item m="1" x="4028"/>
        <item m="1" x="4383"/>
        <item x="2240"/>
        <item x="2666"/>
        <item x="3071"/>
        <item x="2695"/>
        <item x="2696"/>
        <item x="2697"/>
        <item m="1" x="4081"/>
        <item x="1899"/>
        <item m="1" x="3686"/>
        <item x="985"/>
        <item m="1" x="4415"/>
        <item x="1974"/>
        <item m="1" x="4397"/>
        <item m="1" x="4542"/>
        <item x="3074"/>
        <item x="1911"/>
        <item m="1" x="4537"/>
        <item x="1901"/>
        <item x="972"/>
        <item x="3059"/>
        <item m="1" x="4399"/>
        <item x="1938"/>
        <item m="1" x="4536"/>
        <item m="1" x="4228"/>
        <item m="1" x="4384"/>
        <item m="1" x="4241"/>
        <item x="1902"/>
        <item x="1940"/>
        <item x="1282"/>
        <item m="1" x="4385"/>
        <item x="1942"/>
        <item x="1943"/>
        <item x="1952"/>
        <item m="1" x="4386"/>
        <item x="1301"/>
        <item m="1" x="3952"/>
        <item x="1904"/>
        <item m="1" x="4401"/>
        <item x="1964"/>
        <item x="1302"/>
        <item x="2242"/>
        <item x="390"/>
        <item x="1917"/>
        <item m="1" x="4387"/>
        <item x="3073"/>
        <item m="1" x="4013"/>
        <item m="1" x="4155"/>
        <item x="2704"/>
        <item m="1" x="4544"/>
        <item x="1959"/>
        <item x="1923"/>
        <item m="1" x="4434"/>
        <item x="2661"/>
        <item x="2701"/>
        <item x="2709"/>
        <item m="1" x="4416"/>
        <item x="973"/>
        <item x="1303"/>
        <item m="1" x="4539"/>
        <item x="2663"/>
        <item m="1" x="4417"/>
        <item x="1955"/>
        <item m="1" x="3818"/>
        <item m="1" x="4436"/>
        <item m="1" x="3820"/>
        <item m="1" x="4325"/>
        <item m="1" x="4205"/>
        <item m="1" x="4418"/>
        <item x="1486"/>
        <item m="1" x="4160"/>
        <item m="1" x="4566"/>
        <item m="1" x="4159"/>
        <item m="1" x="4568"/>
        <item m="1" x="4363"/>
        <item m="1" x="4567"/>
        <item m="1" x="4332"/>
        <item m="1" x="4333"/>
        <item x="602"/>
        <item m="1" x="4462"/>
        <item m="1" x="3746"/>
        <item m="1" x="3777"/>
        <item x="1728"/>
        <item x="1729"/>
        <item x="1730"/>
        <item x="1731"/>
        <item x="818"/>
        <item x="3039"/>
        <item x="819"/>
        <item x="2567"/>
        <item x="820"/>
        <item x="2568"/>
        <item x="1732"/>
        <item x="821"/>
        <item x="1733"/>
        <item x="2569"/>
        <item x="1734"/>
        <item x="2570"/>
        <item x="1735"/>
        <item x="1736"/>
        <item x="1737"/>
        <item x="1738"/>
        <item x="1739"/>
        <item x="1740"/>
        <item x="2571"/>
        <item x="2572"/>
        <item x="822"/>
        <item x="2573"/>
        <item x="3233"/>
        <item x="1741"/>
        <item x="2574"/>
        <item x="823"/>
        <item x="824"/>
        <item x="2575"/>
        <item x="1742"/>
        <item x="1743"/>
        <item x="1744"/>
        <item x="825"/>
        <item x="826"/>
        <item x="827"/>
        <item x="828"/>
        <item x="1745"/>
        <item x="1746"/>
        <item x="1747"/>
        <item x="1748"/>
        <item x="1749"/>
        <item x="2576"/>
        <item x="1750"/>
        <item x="1751"/>
        <item x="2577"/>
        <item x="1752"/>
        <item x="3234"/>
        <item x="1753"/>
        <item x="1754"/>
        <item x="1755"/>
        <item x="1756"/>
        <item x="829"/>
        <item x="830"/>
        <item x="2578"/>
        <item x="1757"/>
        <item x="1758"/>
        <item x="1759"/>
        <item x="1760"/>
        <item x="831"/>
        <item x="1761"/>
        <item x="832"/>
        <item x="2579"/>
        <item x="2580"/>
        <item x="833"/>
        <item x="3235"/>
        <item x="1762"/>
        <item x="2581"/>
        <item x="1763"/>
        <item x="834"/>
        <item x="1764"/>
        <item x="2582"/>
        <item x="835"/>
        <item x="836"/>
        <item x="2583"/>
        <item x="837"/>
        <item x="1765"/>
        <item x="2584"/>
        <item x="1766"/>
        <item x="838"/>
        <item x="153"/>
        <item x="154"/>
        <item x="1767"/>
        <item x="2585"/>
        <item x="1768"/>
        <item x="2586"/>
        <item x="1769"/>
        <item x="839"/>
        <item x="1770"/>
        <item x="840"/>
        <item x="2587"/>
        <item x="841"/>
        <item x="842"/>
        <item x="843"/>
        <item x="1771"/>
        <item x="1772"/>
        <item x="844"/>
        <item x="3040"/>
        <item x="2588"/>
        <item x="2589"/>
        <item x="845"/>
        <item x="2590"/>
        <item x="846"/>
        <item x="1773"/>
        <item x="1774"/>
        <item x="847"/>
        <item x="1775"/>
        <item x="2591"/>
        <item x="667"/>
        <item x="848"/>
        <item x="2592"/>
        <item x="2593"/>
        <item x="2594"/>
        <item x="1776"/>
        <item x="849"/>
        <item x="850"/>
        <item x="2595"/>
        <item x="2596"/>
        <item x="2597"/>
        <item x="851"/>
        <item x="3041"/>
        <item x="2598"/>
        <item x="1777"/>
        <item x="2599"/>
        <item x="2600"/>
        <item x="852"/>
        <item x="2602"/>
        <item x="3042"/>
        <item x="853"/>
        <item x="1779"/>
        <item x="3236"/>
        <item x="3043"/>
        <item x="3044"/>
        <item x="856"/>
        <item x="857"/>
        <item x="3045"/>
        <item x="155"/>
        <item x="1783"/>
        <item x="1784"/>
        <item x="859"/>
        <item x="860"/>
        <item x="2603"/>
        <item x="861"/>
        <item x="1785"/>
        <item x="862"/>
        <item x="863"/>
        <item x="3237"/>
        <item x="1786"/>
        <item x="156"/>
        <item x="3046"/>
        <item x="3047"/>
        <item x="864"/>
        <item x="865"/>
        <item x="3244"/>
        <item x="2618"/>
        <item x="3245"/>
        <item x="3246"/>
        <item x="3049"/>
        <item x="1803"/>
        <item m="1" x="4262"/>
        <item m="1" x="4343"/>
        <item m="1" x="4345"/>
        <item m="1" x="3853"/>
        <item m="1" x="4602"/>
        <item m="1" x="3852"/>
        <item m="1" x="3850"/>
        <item x="3055"/>
        <item x="1876"/>
        <item x="957"/>
        <item x="958"/>
        <item x="1878"/>
        <item x="1879"/>
        <item x="2649"/>
        <item x="3056"/>
        <item x="960"/>
        <item x="1880"/>
        <item x="2650"/>
        <item x="198"/>
        <item x="962"/>
        <item x="199"/>
        <item m="1" x="4547"/>
        <item x="1007"/>
        <item x="1982"/>
        <item m="1" x="4452"/>
        <item x="1990"/>
        <item x="1992"/>
        <item x="1997"/>
        <item x="2008"/>
        <item x="2715"/>
        <item x="2716"/>
        <item m="1" x="4055"/>
        <item x="2738"/>
        <item x="3080"/>
        <item x="3081"/>
        <item x="3084"/>
        <item x="3089"/>
        <item x="3094"/>
        <item x="3099"/>
        <item x="3101"/>
        <item x="3102"/>
        <item x="3104"/>
        <item x="3105"/>
        <item m="1" x="4312"/>
        <item x="303"/>
        <item x="2843"/>
        <item m="1" x="4034"/>
        <item x="1158"/>
        <item x="1159"/>
        <item m="1" x="3621"/>
        <item x="1160"/>
        <item x="2146"/>
        <item x="1161"/>
        <item m="1" x="4313"/>
        <item m="1" x="4457"/>
        <item m="1" x="4412"/>
        <item x="1162"/>
        <item x="2147"/>
        <item x="2148"/>
        <item x="1163"/>
        <item m="1" x="3941"/>
        <item m="1" x="4060"/>
        <item x="1164"/>
        <item x="1166"/>
        <item x="2149"/>
        <item x="1165"/>
        <item x="304"/>
        <item x="2150"/>
        <item m="1" x="3985"/>
        <item x="305"/>
        <item m="1" x="4195"/>
        <item m="1" x="4149"/>
        <item m="1" x="4145"/>
        <item m="1" x="4146"/>
        <item m="1" x="4099"/>
        <item m="1" x="4194"/>
        <item m="1" x="4147"/>
        <item m="1" x="4148"/>
        <item x="1168"/>
        <item x="2844"/>
        <item x="2152"/>
        <item x="2154"/>
        <item x="15"/>
        <item x="1167"/>
        <item m="1" x="3616"/>
        <item x="3164"/>
        <item x="2178"/>
        <item x="2871"/>
        <item x="1230"/>
        <item x="1232"/>
        <item x="1294"/>
        <item x="380"/>
        <item m="1" x="4321"/>
        <item m="1" x="4274"/>
        <item m="1" x="4275"/>
        <item m="1" x="4276"/>
        <item m="1" x="4277"/>
        <item x="2238"/>
        <item x="3250"/>
        <item x="2898"/>
        <item x="3064"/>
        <item x="3077"/>
        <item x="3078"/>
        <item x="325"/>
        <item m="1" x="3916"/>
        <item x="2241"/>
        <item x="1962"/>
        <item x="39"/>
        <item x="2931"/>
        <item m="1" x="4359"/>
        <item m="1" x="4067"/>
        <item m="1" x="4088"/>
        <item x="1420"/>
        <item x="1421"/>
        <item m="1" x="4209"/>
        <item x="2322"/>
        <item x="2323"/>
        <item x="2324"/>
        <item x="470"/>
        <item m="1" x="3735"/>
        <item x="1422"/>
        <item x="2326"/>
        <item x="471"/>
        <item m="1" x="4360"/>
        <item x="2327"/>
        <item x="2347"/>
        <item x="2348"/>
        <item x="2339"/>
        <item x="508"/>
        <item x="2349"/>
        <item x="2350"/>
        <item x="54"/>
        <item x="509"/>
        <item x="1455"/>
        <item x="510"/>
        <item x="2351"/>
        <item x="511"/>
        <item x="512"/>
        <item x="1472"/>
        <item m="1" x="4119"/>
        <item m="1" x="4288"/>
        <item m="1" x="4289"/>
        <item m="1" x="4260"/>
        <item m="1" x="4261"/>
        <item m="1" x="4367"/>
        <item m="1" x="4293"/>
        <item x="2612"/>
        <item x="1597"/>
        <item x="2450"/>
        <item x="2556"/>
        <item x="2566"/>
        <item x="1700"/>
        <item x="2558"/>
        <item x="1727"/>
        <item m="1" x="3966"/>
        <item m="1" x="4298"/>
        <item m="1" x="3967"/>
        <item m="1" x="4301"/>
        <item m="1" x="4052"/>
        <item x="2604"/>
        <item x="2605"/>
        <item x="2606"/>
        <item x="1787"/>
        <item x="3416"/>
        <item x="3417"/>
        <item x="3418"/>
        <item x="3419"/>
        <item x="3420"/>
        <item x="3421"/>
        <item x="1707"/>
        <item x="3482"/>
        <item x="3422"/>
        <item x="3423"/>
        <item x="3424"/>
        <item x="3425"/>
        <item x="3426"/>
        <item x="3427"/>
        <item x="3428"/>
        <item x="3429"/>
        <item x="3430"/>
        <item x="3431"/>
        <item x="3433"/>
        <item x="3434"/>
        <item x="2281"/>
        <item x="3435"/>
        <item x="3436"/>
        <item x="3437"/>
        <item x="177"/>
        <item x="176"/>
        <item x="174"/>
        <item x="907"/>
        <item x="2632"/>
        <item x="908"/>
        <item x="175"/>
        <item m="1" x="3858"/>
        <item m="1" x="4490"/>
        <item m="1" x="4447"/>
        <item x="1897"/>
        <item x="971"/>
        <item x="1900"/>
        <item x="2662"/>
        <item x="2045"/>
        <item x="2765"/>
        <item x="2048"/>
        <item m="1" x="4426"/>
        <item x="1071"/>
        <item x="1064"/>
        <item x="252"/>
        <item m="1" x="4478"/>
        <item x="1066"/>
        <item m="1" x="4132"/>
        <item m="1" x="4479"/>
        <item x="234"/>
        <item x="254"/>
        <item x="5"/>
        <item m="1" x="4454"/>
        <item x="2093"/>
        <item m="1" x="3977"/>
        <item m="1" x="3935"/>
        <item m="1" x="3545"/>
        <item m="1" x="3596"/>
        <item m="1" x="3577"/>
        <item m="1" x="3546"/>
        <item m="1" x="3547"/>
        <item m="1" x="3578"/>
        <item m="1" x="3579"/>
        <item m="1" x="3548"/>
        <item m="1" x="3605"/>
        <item m="1" x="3580"/>
        <item m="1" x="3978"/>
        <item m="1" x="3549"/>
        <item m="1" x="4429"/>
        <item m="1" x="4031"/>
        <item m="1" x="3979"/>
        <item m="1" x="4136"/>
        <item m="1" x="3581"/>
        <item m="1" x="3597"/>
        <item m="1" x="3640"/>
        <item m="1" x="3641"/>
        <item m="1" x="3642"/>
        <item m="1" x="4320"/>
        <item m="1" x="4355"/>
        <item x="36"/>
        <item x="569"/>
        <item x="439"/>
        <item x="282"/>
        <item x="2431"/>
        <item x="795"/>
        <item x="997"/>
        <item x="1052"/>
        <item x="3113"/>
        <item x="3124"/>
        <item x="2785"/>
        <item x="2782"/>
        <item x="213"/>
        <item x="2057"/>
        <item x="2787"/>
        <item x="214"/>
        <item x="2803"/>
        <item x="3261"/>
        <item x="2069"/>
        <item x="3136"/>
        <item x="2061"/>
        <item x="2778"/>
        <item x="3264"/>
        <item x="1038"/>
        <item x="2805"/>
        <item x="2801"/>
        <item x="2794"/>
        <item x="222"/>
        <item x="1041"/>
        <item x="3129"/>
        <item x="2059"/>
        <item x="3296"/>
        <item x="1483"/>
        <item x="545"/>
        <item x="3299"/>
        <item x="548"/>
        <item m="1" x="4259"/>
        <item m="1" x="4407"/>
        <item x="3301"/>
        <item x="3302"/>
        <item x="552"/>
        <item x="3303"/>
        <item x="1249"/>
        <item x="3307"/>
        <item x="558"/>
        <item x="3309"/>
        <item m="1" x="4215"/>
        <item x="560"/>
        <item m="1" x="4441"/>
        <item m="1" x="4118"/>
        <item x="1498"/>
        <item x="3313"/>
        <item x="3315"/>
        <item x="566"/>
        <item x="3319"/>
        <item x="3320"/>
        <item x="3322"/>
        <item x="2963"/>
        <item x="572"/>
        <item x="2392"/>
        <item x="1956"/>
        <item x="2397"/>
        <item x="581"/>
        <item x="1967"/>
        <item x="593"/>
        <item m="1" x="4049"/>
        <item x="2429"/>
        <item x="1546"/>
        <item x="71"/>
        <item x="2917"/>
        <item x="2609"/>
        <item x="1575"/>
        <item x="1576"/>
        <item x="1578"/>
        <item x="1579"/>
        <item x="1580"/>
        <item x="2441"/>
        <item x="2442"/>
        <item x="1581"/>
        <item x="1582"/>
        <item x="1583"/>
        <item x="2980"/>
        <item x="1584"/>
        <item x="1585"/>
        <item x="663"/>
        <item x="1586"/>
        <item x="1587"/>
        <item x="2443"/>
        <item x="2444"/>
        <item x="1588"/>
        <item x="1589"/>
        <item x="664"/>
        <item x="2445"/>
        <item x="1590"/>
        <item x="1591"/>
        <item x="1592"/>
        <item x="2446"/>
        <item x="1593"/>
        <item x="2447"/>
        <item x="1838"/>
        <item x="1839"/>
        <item x="3051"/>
        <item x="3052"/>
        <item x="1833"/>
        <item x="1834"/>
        <item x="915"/>
        <item x="3054"/>
        <item x="1837"/>
        <item x="1842"/>
        <item x="3053"/>
        <item x="1868"/>
        <item x="922"/>
        <item m="1" x="3973"/>
        <item m="1" x="4025"/>
        <item x="937"/>
        <item m="1" x="4027"/>
        <item x="934"/>
        <item x="191"/>
        <item m="1" x="3879"/>
        <item x="947"/>
        <item x="1866"/>
        <item x="195"/>
        <item x="948"/>
        <item x="1864"/>
        <item x="190"/>
        <item m="1" x="3971"/>
        <item x="1853"/>
        <item x="943"/>
        <item x="194"/>
        <item x="196"/>
        <item x="2941"/>
        <item x="3116"/>
        <item x="3263"/>
        <item x="2797"/>
        <item x="227"/>
        <item x="2062"/>
        <item x="3133"/>
        <item x="223"/>
        <item x="2802"/>
        <item x="1054"/>
        <item x="2058"/>
        <item x="3123"/>
        <item x="3257"/>
        <item x="221"/>
        <item x="1046"/>
        <item x="1049"/>
        <item x="220"/>
        <item x="224"/>
        <item x="1036"/>
        <item x="3266"/>
        <item x="2786"/>
        <item x="2795"/>
        <item x="3132"/>
        <item x="2996"/>
        <item x="2997"/>
        <item x="2998"/>
        <item x="688"/>
        <item x="2471"/>
        <item x="689"/>
        <item x="690"/>
        <item x="2999"/>
        <item x="82"/>
        <item x="83"/>
        <item x="2472"/>
        <item x="691"/>
        <item x="692"/>
        <item x="1631"/>
        <item x="84"/>
        <item x="1632"/>
        <item x="3000"/>
        <item x="3001"/>
        <item x="3211"/>
        <item x="2484"/>
        <item x="3212"/>
        <item x="2486"/>
        <item x="3214"/>
        <item x="3004"/>
        <item x="3005"/>
        <item x="3008"/>
        <item x="3216"/>
        <item x="3218"/>
        <item x="3219"/>
        <item x="3222"/>
        <item x="3011"/>
        <item x="3225"/>
        <item x="726"/>
        <item x="3227"/>
        <item x="3018"/>
        <item x="3019"/>
        <item x="3228"/>
        <item x="3020"/>
        <item x="1657"/>
        <item x="2514"/>
        <item x="91"/>
        <item x="733"/>
        <item x="2515"/>
        <item x="2516"/>
        <item x="1658"/>
        <item x="92"/>
        <item x="734"/>
        <item x="3021"/>
        <item x="93"/>
        <item x="3022"/>
        <item x="94"/>
        <item x="2517"/>
        <item x="3023"/>
        <item x="95"/>
        <item x="96"/>
        <item x="97"/>
        <item x="98"/>
        <item x="3025"/>
        <item x="99"/>
        <item x="100"/>
        <item x="101"/>
        <item x="735"/>
        <item x="102"/>
        <item x="736"/>
        <item x="103"/>
        <item x="3026"/>
        <item x="2519"/>
        <item x="3027"/>
        <item x="740"/>
        <item x="741"/>
        <item x="742"/>
        <item x="743"/>
        <item x="744"/>
        <item x="2522"/>
        <item x="1660"/>
        <item x="107"/>
        <item x="108"/>
        <item x="109"/>
        <item x="110"/>
        <item x="2523"/>
        <item x="745"/>
        <item x="2524"/>
        <item x="111"/>
        <item x="1661"/>
        <item x="112"/>
        <item x="113"/>
        <item x="746"/>
        <item x="747"/>
        <item x="748"/>
        <item x="749"/>
        <item x="2525"/>
        <item x="750"/>
        <item x="751"/>
        <item x="752"/>
        <item x="1662"/>
        <item x="114"/>
        <item x="115"/>
        <item x="116"/>
        <item m="1" x="4311"/>
        <item m="1" x="4182"/>
        <item x="1068"/>
        <item m="1" x="3508"/>
        <item x="244"/>
        <item m="1" x="3933"/>
        <item x="247"/>
        <item x="1077"/>
        <item m="1" x="4084"/>
        <item x="232"/>
        <item x="249"/>
        <item m="1" x="3974"/>
        <item m="1" x="3934"/>
        <item x="2094"/>
        <item x="3162"/>
        <item x="2151"/>
        <item m="1" x="3986"/>
        <item x="306"/>
        <item m="1" x="3939"/>
        <item x="2153"/>
        <item x="2845"/>
        <item m="1" x="4059"/>
        <item x="307"/>
        <item x="308"/>
        <item m="1" x="4086"/>
        <item x="2851"/>
        <item x="2879"/>
        <item m="1" x="3987"/>
        <item x="2880"/>
        <item m="1" x="3989"/>
        <item m="1" x="3990"/>
        <item m="1" x="3942"/>
        <item m="1" x="4036"/>
        <item x="2881"/>
        <item x="1240"/>
        <item m="1" x="4352"/>
        <item m="1" x="4315"/>
        <item m="1" x="4268"/>
        <item m="1" x="4269"/>
        <item m="1" x="4087"/>
        <item x="1212"/>
        <item x="335"/>
        <item x="554"/>
        <item m="1" x="3945"/>
        <item x="1227"/>
        <item m="1" x="4150"/>
        <item m="1" x="4062"/>
        <item x="19"/>
        <item m="1" x="3946"/>
        <item m="1" x="4197"/>
        <item x="2176"/>
        <item x="28"/>
        <item x="373"/>
        <item m="1" x="3661"/>
        <item x="991"/>
        <item m="1" x="4375"/>
        <item m="1" x="4323"/>
        <item m="1" x="4380"/>
        <item m="1" x="4324"/>
        <item m="1" x="3808"/>
        <item m="1" x="3809"/>
        <item m="1" x="3807"/>
        <item m="1" x="3806"/>
        <item x="1320"/>
        <item x="1321"/>
        <item x="1322"/>
        <item x="1323"/>
        <item x="1324"/>
        <item x="1325"/>
        <item x="2903"/>
        <item x="1326"/>
        <item x="403"/>
        <item x="1327"/>
        <item x="404"/>
        <item x="2254"/>
        <item x="1328"/>
        <item x="1329"/>
        <item x="1330"/>
        <item x="2904"/>
        <item x="1331"/>
        <item x="1332"/>
        <item x="2905"/>
        <item x="2255"/>
        <item x="3172"/>
        <item x="1333"/>
        <item x="405"/>
        <item x="406"/>
        <item x="407"/>
        <item x="1334"/>
        <item x="1335"/>
        <item x="1336"/>
        <item x="1337"/>
        <item x="2906"/>
        <item x="2256"/>
        <item x="408"/>
        <item x="409"/>
        <item x="3173"/>
        <item x="410"/>
        <item x="2257"/>
        <item x="2258"/>
        <item x="2907"/>
        <item x="411"/>
        <item x="1338"/>
        <item x="412"/>
        <item x="1339"/>
        <item x="1340"/>
        <item x="413"/>
        <item x="1341"/>
        <item x="414"/>
        <item x="415"/>
        <item x="416"/>
        <item x="417"/>
        <item x="1342"/>
        <item x="2259"/>
        <item x="2260"/>
        <item x="1343"/>
        <item x="1344"/>
        <item x="1345"/>
        <item x="2261"/>
        <item x="418"/>
        <item x="419"/>
        <item x="420"/>
        <item x="1346"/>
        <item x="421"/>
        <item x="2262"/>
        <item x="2263"/>
        <item x="2264"/>
        <item x="2265"/>
        <item x="2266"/>
        <item x="2267"/>
        <item x="1348"/>
        <item x="1349"/>
        <item x="1350"/>
        <item x="1351"/>
        <item x="1352"/>
        <item x="2268"/>
        <item x="1353"/>
        <item x="1354"/>
        <item x="1355"/>
        <item x="1356"/>
        <item x="422"/>
        <item x="1357"/>
        <item x="1358"/>
        <item x="2269"/>
        <item x="2270"/>
        <item x="1359"/>
        <item x="1360"/>
        <item x="2908"/>
        <item x="1361"/>
        <item x="1362"/>
        <item x="2271"/>
        <item x="423"/>
        <item x="1363"/>
        <item x="1364"/>
        <item x="2272"/>
        <item x="1365"/>
        <item x="2273"/>
        <item x="2274"/>
        <item x="425"/>
        <item x="426"/>
        <item x="427"/>
        <item x="35"/>
        <item x="2909"/>
        <item x="1366"/>
        <item x="428"/>
        <item x="2910"/>
        <item x="2275"/>
        <item x="1367"/>
        <item x="1368"/>
        <item x="1369"/>
        <item x="1370"/>
        <item x="429"/>
        <item x="430"/>
        <item x="431"/>
        <item x="1371"/>
        <item x="2276"/>
        <item x="2911"/>
        <item x="432"/>
        <item x="2912"/>
        <item x="2913"/>
        <item x="2914"/>
        <item x="2915"/>
        <item x="2277"/>
        <item x="2278"/>
        <item x="1372"/>
        <item x="1373"/>
        <item x="1374"/>
        <item x="1375"/>
        <item x="1376"/>
        <item x="2916"/>
        <item x="2279"/>
        <item x="1377"/>
        <item x="1378"/>
        <item x="2918"/>
        <item x="2919"/>
        <item x="433"/>
        <item x="434"/>
        <item x="1379"/>
        <item x="435"/>
        <item x="1380"/>
        <item x="436"/>
        <item x="1381"/>
        <item x="1382"/>
        <item x="37"/>
        <item x="2920"/>
        <item x="2921"/>
        <item x="437"/>
        <item x="1385"/>
        <item x="438"/>
        <item x="2280"/>
        <item x="1386"/>
        <item x="2282"/>
        <item x="1387"/>
        <item x="1388"/>
        <item x="1389"/>
        <item x="440"/>
        <item x="1390"/>
        <item x="2922"/>
        <item x="441"/>
        <item x="2283"/>
        <item x="2284"/>
        <item x="2285"/>
        <item x="2932"/>
        <item x="462"/>
        <item x="463"/>
        <item x="464"/>
        <item x="465"/>
        <item x="46"/>
        <item x="47"/>
        <item m="1" x="4327"/>
        <item m="1" x="4283"/>
        <item m="1" x="4158"/>
        <item m="1" x="4210"/>
        <item m="1" x="4211"/>
        <item x="1425"/>
        <item m="1" x="4329"/>
        <item m="1" x="4256"/>
        <item x="680"/>
        <item m="1" x="4007"/>
        <item m="1" x="4008"/>
        <item x="480"/>
        <item m="1" x="3737"/>
        <item m="1" x="4111"/>
        <item m="1" x="3738"/>
        <item m="1" x="3958"/>
        <item x="1433"/>
        <item x="1456"/>
        <item x="1457"/>
        <item x="1458"/>
        <item x="2340"/>
        <item m="1" x="3741"/>
        <item x="3188"/>
        <item m="1" x="4242"/>
        <item m="1" x="4243"/>
        <item x="1623"/>
        <item m="1" x="4245"/>
        <item m="1" x="4388"/>
        <item m="1" x="4246"/>
        <item m="1" x="4247"/>
        <item m="1" x="3755"/>
        <item m="1" x="4389"/>
        <item m="1" x="4390"/>
        <item m="1" x="4391"/>
        <item m="1" x="3759"/>
        <item x="543"/>
        <item x="546"/>
        <item m="1" x="3761"/>
        <item x="2377"/>
        <item x="2370"/>
        <item x="553"/>
        <item x="2438"/>
        <item x="2439"/>
        <item x="1598"/>
        <item x="753"/>
        <item x="117"/>
        <item x="754"/>
        <item x="118"/>
        <item x="2543"/>
        <item x="1690"/>
        <item m="1" x="4125"/>
        <item m="1" x="3833"/>
        <item x="1691"/>
        <item x="800"/>
        <item x="1718"/>
        <item x="1704"/>
        <item x="3038"/>
        <item x="789"/>
        <item x="792"/>
        <item m="1" x="3846"/>
        <item m="1" x="3847"/>
        <item m="1" x="3848"/>
        <item m="1" x="3845"/>
        <item x="1788"/>
        <item x="866"/>
        <item x="157"/>
        <item x="3474"/>
        <item x="3438"/>
        <item x="3439"/>
        <item x="3440"/>
        <item x="3441"/>
        <item x="3442"/>
        <item x="3500"/>
        <item x="3444"/>
        <item x="3445"/>
        <item x="3446"/>
        <item x="3447"/>
        <item x="1804"/>
        <item x="1805"/>
        <item x="1806"/>
        <item x="3448"/>
        <item x="1807"/>
        <item x="878"/>
        <item x="1808"/>
        <item x="1831"/>
        <item x="1832"/>
        <item x="1830"/>
        <item x="910"/>
        <item x="909"/>
        <item m="1" x="3913"/>
        <item x="1895"/>
        <item x="2664"/>
        <item x="1905"/>
        <item x="2668"/>
        <item x="3060"/>
        <item x="2669"/>
        <item x="974"/>
        <item x="2672"/>
        <item x="1906"/>
        <item x="2673"/>
        <item x="2674"/>
        <item x="1908"/>
        <item x="1909"/>
        <item x="2675"/>
        <item x="2676"/>
        <item x="1977"/>
        <item x="3083"/>
        <item m="1" x="4054"/>
        <item x="2722"/>
        <item x="1988"/>
        <item x="2736"/>
        <item x="2004"/>
        <item x="2741"/>
        <item x="1015"/>
        <item m="1" x="4223"/>
        <item x="3097"/>
        <item x="3098"/>
        <item x="2030"/>
        <item x="2031"/>
        <item x="207"/>
        <item x="2032"/>
        <item x="2039"/>
        <item x="3111"/>
        <item x="2046"/>
        <item m="1" x="4379"/>
        <item x="3112"/>
        <item x="1031"/>
        <item x="1039"/>
        <item x="2780"/>
        <item x="2804"/>
        <item x="216"/>
        <item x="1051"/>
        <item x="2777"/>
        <item x="3118"/>
        <item x="2066"/>
        <item x="2065"/>
        <item x="217"/>
        <item x="2815"/>
        <item x="1035"/>
        <item x="3139"/>
        <item x="3131"/>
        <item x="2063"/>
        <item x="2799"/>
        <item x="3254"/>
        <item x="3117"/>
        <item x="3126"/>
        <item x="1040"/>
        <item x="3120"/>
        <item x="1045"/>
        <item x="2055"/>
        <item x="2796"/>
        <item x="2800"/>
        <item x="2067"/>
        <item x="2798"/>
        <item x="1047"/>
        <item x="2772"/>
        <item x="3127"/>
        <item x="2792"/>
        <item x="2073"/>
        <item x="3125"/>
        <item x="2060"/>
        <item x="1048"/>
        <item x="2791"/>
        <item x="3256"/>
        <item x="65"/>
        <item x="67"/>
        <item x="70"/>
        <item m="1" x="3931"/>
        <item x="188"/>
        <item x="197"/>
        <item m="1" x="3528"/>
        <item m="1" x="3569"/>
        <item m="1" x="3628"/>
        <item m="1" x="4271"/>
        <item m="1" x="4104"/>
        <item m="1" x="4272"/>
        <item m="1" x="4273"/>
        <item m="1" x="4105"/>
        <item x="571"/>
        <item x="1509"/>
        <item m="1" x="3768"/>
        <item x="576"/>
        <item x="577"/>
        <item x="578"/>
        <item x="580"/>
        <item m="1" x="3770"/>
        <item x="583"/>
        <item x="584"/>
        <item x="587"/>
        <item x="588"/>
        <item x="3327"/>
        <item x="589"/>
        <item x="1532"/>
        <item x="592"/>
        <item x="595"/>
        <item x="596"/>
        <item x="597"/>
        <item x="1510"/>
        <item x="2383"/>
        <item x="603"/>
        <item x="1544"/>
        <item x="604"/>
        <item x="605"/>
        <item x="606"/>
        <item x="607"/>
        <item x="608"/>
        <item m="1" x="3783"/>
        <item m="1" x="3784"/>
        <item m="1" x="3785"/>
        <item m="1" x="4304"/>
        <item m="1" x="4126"/>
        <item x="923"/>
        <item m="1" x="3970"/>
        <item m="1" x="3881"/>
        <item x="931"/>
        <item x="932"/>
        <item x="939"/>
        <item x="950"/>
        <item x="952"/>
        <item x="1873"/>
        <item x="956"/>
        <item x="949"/>
        <item m="1" x="3567"/>
        <item m="1" x="3568"/>
        <item m="1" x="3582"/>
        <item m="1" x="3584"/>
        <item x="1848"/>
        <item m="1" x="4152"/>
        <item x="1505"/>
        <item x="2385"/>
        <item x="1512"/>
        <item x="1513"/>
        <item x="1515"/>
        <item x="1518"/>
        <item x="1519"/>
        <item m="1" x="4012"/>
        <item x="1521"/>
        <item m="1" x="3774"/>
        <item x="1523"/>
        <item x="1527"/>
        <item x="1528"/>
        <item x="1529"/>
        <item x="1530"/>
        <item x="1531"/>
        <item x="1533"/>
        <item x="1534"/>
        <item x="1535"/>
        <item m="1" x="4218"/>
        <item x="1536"/>
        <item x="1538"/>
        <item x="1539"/>
        <item x="2079"/>
        <item x="1540"/>
        <item x="1542"/>
        <item x="1548"/>
        <item x="2435"/>
        <item x="1552"/>
        <item x="1554"/>
        <item m="1" x="3786"/>
        <item m="1" x="3787"/>
        <item m="1" x="3788"/>
        <item x="1855"/>
        <item x="1860"/>
        <item x="1863"/>
        <item x="1867"/>
        <item m="1" x="3884"/>
        <item m="1" x="3591"/>
        <item m="1" x="3592"/>
        <item m="1" x="3593"/>
        <item m="1" x="3599"/>
        <item m="1" x="4356"/>
        <item m="1" x="4199"/>
        <item m="1" x="4198"/>
        <item x="2374"/>
        <item x="2379"/>
        <item x="2380"/>
        <item x="2363"/>
        <item x="2381"/>
        <item x="2382"/>
        <item x="2384"/>
        <item x="2387"/>
        <item x="2388"/>
        <item x="2389"/>
        <item x="2391"/>
        <item x="2223"/>
        <item x="2393"/>
        <item x="2394"/>
        <item x="2398"/>
        <item x="2399"/>
        <item x="2400"/>
        <item x="2402"/>
        <item x="2405"/>
        <item x="2406"/>
        <item x="2407"/>
        <item x="2408"/>
        <item x="2410"/>
        <item x="2411"/>
        <item x="2412"/>
        <item x="2413"/>
        <item x="2415"/>
        <item x="2416"/>
        <item x="2417"/>
        <item x="2418"/>
        <item x="2420"/>
        <item x="2421"/>
        <item x="2424"/>
        <item x="2425"/>
        <item x="2426"/>
        <item x="2427"/>
        <item x="2428"/>
        <item x="2432"/>
        <item x="2434"/>
        <item x="2436"/>
        <item m="1" x="3791"/>
        <item m="1" x="3792"/>
        <item m="1" x="3793"/>
        <item m="1" x="3794"/>
        <item m="1" x="4220"/>
        <item x="2641"/>
        <item x="2642"/>
        <item x="2646"/>
        <item x="2647"/>
        <item m="1" x="3606"/>
        <item m="1" x="4372"/>
        <item m="1" x="4373"/>
        <item m="1" x="4374"/>
        <item x="2966"/>
        <item x="2969"/>
        <item x="2970"/>
        <item x="2971"/>
        <item x="2972"/>
        <item x="2973"/>
        <item x="2974"/>
        <item x="2975"/>
        <item x="3201"/>
        <item x="3202"/>
        <item x="3203"/>
        <item x="3205"/>
        <item x="3206"/>
        <item m="1" x="3796"/>
        <item x="3323"/>
        <item x="3329"/>
        <item x="3330"/>
        <item m="1" x="3917"/>
        <item m="1" x="3507"/>
        <item x="16"/>
        <item m="1" x="3612"/>
        <item x="347"/>
        <item x="348"/>
        <item m="1" x="3636"/>
        <item m="1" x="3922"/>
        <item x="3190"/>
        <item x="66"/>
        <item x="756"/>
        <item x="119"/>
        <item x="120"/>
        <item x="761"/>
        <item x="151"/>
        <item x="158"/>
        <item x="159"/>
        <item x="160"/>
        <item x="161"/>
        <item x="178"/>
        <item m="1" x="3851"/>
        <item m="1" x="4095"/>
        <item x="215"/>
        <item x="218"/>
        <item x="219"/>
        <item x="225"/>
        <item x="226"/>
        <item x="245"/>
        <item x="237"/>
        <item m="1" x="4096"/>
        <item x="251"/>
        <item x="310"/>
        <item x="311"/>
        <item x="312"/>
        <item x="313"/>
        <item x="314"/>
        <item x="1243"/>
        <item x="345"/>
        <item x="346"/>
        <item m="1" x="3629"/>
        <item x="374"/>
        <item x="1057"/>
        <item x="424"/>
        <item x="466"/>
        <item x="350"/>
        <item x="475"/>
        <item x="476"/>
        <item m="1" x="3959"/>
        <item m="1" x="3960"/>
        <item m="1" x="3961"/>
        <item x="499"/>
        <item x="515"/>
        <item x="500"/>
        <item x="3191"/>
        <item x="3192"/>
        <item x="3194"/>
        <item x="3195"/>
        <item x="532"/>
        <item x="534"/>
        <item x="536"/>
        <item x="547"/>
        <item x="549"/>
        <item x="551"/>
        <item x="555"/>
        <item x="564"/>
        <item m="1" x="4120"/>
        <item x="590"/>
        <item x="651"/>
        <item x="652"/>
        <item x="653"/>
        <item x="676"/>
        <item x="755"/>
        <item x="757"/>
        <item x="758"/>
        <item x="759"/>
        <item x="760"/>
        <item x="762"/>
        <item x="805"/>
        <item x="786"/>
        <item x="816"/>
        <item x="799"/>
        <item x="867"/>
        <item x="868"/>
        <item x="869"/>
        <item x="870"/>
        <item x="3480"/>
        <item m="1" x="4127"/>
        <item x="938"/>
        <item m="1" x="3882"/>
        <item m="1" x="4128"/>
        <item m="1" x="4129"/>
        <item m="1" x="4130"/>
        <item m="1" x="4131"/>
        <item x="969"/>
        <item x="975"/>
        <item x="976"/>
        <item x="977"/>
        <item x="978"/>
        <item x="979"/>
        <item x="1032"/>
        <item x="2051"/>
        <item x="2071"/>
        <item x="1037"/>
        <item x="2075"/>
        <item x="1042"/>
        <item x="1043"/>
        <item x="1044"/>
        <item x="1050"/>
        <item x="1053"/>
        <item m="1" x="3975"/>
        <item x="1062"/>
        <item x="1078"/>
        <item m="1" x="4133"/>
        <item m="1" x="3983"/>
        <item m="1" x="3617"/>
        <item m="1" x="3618"/>
        <item x="1169"/>
        <item m="1" x="3984"/>
        <item x="1170"/>
        <item x="1171"/>
        <item m="1" x="3619"/>
        <item x="1241"/>
        <item x="1242"/>
        <item x="1245"/>
        <item x="1246"/>
        <item x="1248"/>
        <item x="2204"/>
        <item x="1250"/>
        <item x="1251"/>
        <item x="1252"/>
        <item x="1253"/>
        <item x="1307"/>
        <item x="1424"/>
        <item x="1426"/>
        <item m="1" x="4009"/>
        <item m="1" x="4010"/>
        <item x="1454"/>
        <item x="1459"/>
        <item x="1460"/>
        <item x="1461"/>
        <item x="1462"/>
        <item x="3193"/>
        <item x="1473"/>
        <item m="1" x="4167"/>
        <item x="1476"/>
        <item x="1477"/>
        <item x="1478"/>
        <item x="1481"/>
        <item x="1501"/>
        <item x="1525"/>
        <item x="1601"/>
        <item x="1602"/>
        <item x="1606"/>
        <item x="1607"/>
        <item x="1663"/>
        <item x="1664"/>
        <item x="1694"/>
        <item x="1699"/>
        <item x="1721"/>
        <item x="1698"/>
        <item x="1726"/>
        <item x="1725"/>
        <item x="1789"/>
        <item m="1" x="4177"/>
        <item x="1790"/>
        <item x="1791"/>
        <item x="1809"/>
        <item x="1810"/>
        <item x="1811"/>
        <item x="1812"/>
        <item x="1813"/>
        <item x="1814"/>
        <item x="1815"/>
        <item x="1816"/>
        <item x="3495"/>
        <item x="1817"/>
        <item x="1836"/>
        <item m="1" x="4179"/>
        <item x="1865"/>
        <item m="1" x="4180"/>
        <item m="1" x="4181"/>
        <item x="1896"/>
        <item x="1912"/>
        <item x="1913"/>
        <item x="1914"/>
        <item x="1918"/>
        <item x="1919"/>
        <item x="1920"/>
        <item x="1921"/>
        <item x="1922"/>
        <item x="1979"/>
        <item x="2033"/>
        <item x="2056"/>
        <item x="2064"/>
        <item x="2068"/>
        <item x="2070"/>
        <item x="2072"/>
        <item x="2074"/>
        <item x="2089"/>
        <item m="1" x="4184"/>
        <item m="1" x="4033"/>
        <item x="2155"/>
        <item x="2156"/>
        <item m="1" x="3620"/>
        <item x="2201"/>
        <item x="2202"/>
        <item x="2203"/>
        <item x="2205"/>
        <item x="2206"/>
        <item x="2207"/>
        <item x="2694"/>
        <item m="1" x="4207"/>
        <item x="2329"/>
        <item x="2330"/>
        <item m="1" x="4045"/>
        <item x="2338"/>
        <item x="2341"/>
        <item x="2352"/>
        <item x="2353"/>
        <item x="2354"/>
        <item x="3196"/>
        <item x="2360"/>
        <item x="2361"/>
        <item x="2369"/>
        <item m="1" x="3764"/>
        <item x="2375"/>
        <item x="2404"/>
        <item x="2433"/>
        <item x="2448"/>
        <item x="2451"/>
        <item x="2452"/>
        <item x="2453"/>
        <item x="2454"/>
        <item m="1" x="4219"/>
        <item x="2526"/>
        <item x="2527"/>
        <item x="2563"/>
        <item x="2551"/>
        <item x="2561"/>
        <item x="2562"/>
        <item x="2553"/>
        <item x="2607"/>
        <item x="2608"/>
        <item x="2619"/>
        <item x="2620"/>
        <item x="3476"/>
        <item x="2621"/>
        <item x="2623"/>
        <item x="2634"/>
        <item x="2665"/>
        <item x="2678"/>
        <item x="2679"/>
        <item x="2681"/>
        <item x="2682"/>
        <item x="2683"/>
        <item x="2684"/>
        <item x="2685"/>
        <item x="2767"/>
        <item x="3122"/>
        <item x="2775"/>
        <item x="2776"/>
        <item x="2779"/>
        <item x="3128"/>
        <item x="2781"/>
        <item x="2783"/>
        <item x="2784"/>
        <item x="2788"/>
        <item x="2789"/>
        <item x="2790"/>
        <item x="2793"/>
        <item x="2806"/>
        <item x="2830"/>
        <item x="2847"/>
        <item x="2882"/>
        <item x="1247"/>
        <item m="1" x="3701"/>
        <item m="1" x="4229"/>
        <item m="1" x="4069"/>
        <item x="2953"/>
        <item m="1" x="3765"/>
        <item m="1" x="3766"/>
        <item x="2977"/>
        <item m="1" x="4071"/>
        <item x="2985"/>
        <item x="2986"/>
        <item x="2987"/>
        <item x="3024"/>
        <item x="3050"/>
        <item x="3062"/>
        <item x="3065"/>
        <item x="3066"/>
        <item x="3067"/>
        <item x="3108"/>
        <item x="3109"/>
        <item x="2992"/>
        <item x="3114"/>
        <item x="3115"/>
        <item x="3119"/>
        <item x="3121"/>
        <item x="3130"/>
        <item x="3134"/>
        <item x="3135"/>
        <item x="3137"/>
        <item x="3138"/>
        <item x="3140"/>
        <item x="3141"/>
        <item x="3142"/>
        <item x="3143"/>
        <item x="3144"/>
        <item x="236"/>
        <item x="3204"/>
        <item x="3177"/>
        <item x="3176"/>
        <item x="3179"/>
        <item x="3199"/>
        <item x="3207"/>
        <item x="3208"/>
        <item x="3248"/>
        <item m="1" x="4072"/>
        <item x="3255"/>
        <item x="3258"/>
        <item x="3259"/>
        <item x="3260"/>
        <item x="3262"/>
        <item x="3265"/>
        <item x="1963"/>
        <item x="3181"/>
        <item x="3449"/>
        <item x="3450"/>
        <item x="3479"/>
        <item x="3451"/>
        <item x="3452"/>
        <item x="3453"/>
        <item x="3473"/>
        <item x="3454"/>
        <item x="3455"/>
        <item x="3456"/>
        <item x="3484"/>
        <item x="3457"/>
        <item x="3458"/>
        <item x="3459"/>
        <item x="2"/>
        <item x="1"/>
        <item x="6"/>
        <item m="1" x="3919"/>
        <item x="22"/>
        <item x="29"/>
        <item x="40"/>
        <item x="52"/>
        <item x="55"/>
        <item x="56"/>
        <item x="61"/>
        <item m="1" x="3758"/>
        <item x="62"/>
        <item x="121"/>
        <item x="122"/>
        <item x="123"/>
        <item x="124"/>
        <item x="125"/>
        <item x="126"/>
        <item x="127"/>
        <item x="128"/>
        <item x="149"/>
        <item x="162"/>
        <item x="990"/>
        <item x="208"/>
        <item x="211"/>
        <item x="228"/>
        <item m="1" x="3509"/>
        <item x="246"/>
        <item x="257"/>
        <item x="242"/>
        <item x="238"/>
        <item x="250"/>
        <item x="1073"/>
        <item x="235"/>
        <item x="240"/>
        <item m="1" x="3936"/>
        <item m="1" x="3937"/>
        <item m="1" x="3938"/>
        <item x="316"/>
        <item x="315"/>
        <item x="352"/>
        <item x="370"/>
        <item x="391"/>
        <item x="392"/>
        <item x="394"/>
        <item x="395"/>
        <item x="467"/>
        <item x="513"/>
        <item x="514"/>
        <item x="522"/>
        <item x="523"/>
        <item x="524"/>
        <item x="525"/>
        <item x="527"/>
        <item x="3186"/>
        <item x="563"/>
        <item x="539"/>
        <item x="559"/>
        <item x="654"/>
        <item x="655"/>
        <item x="656"/>
        <item x="574"/>
        <item x="585"/>
        <item x="591"/>
        <item x="1594"/>
        <item x="669"/>
        <item x="763"/>
        <item x="764"/>
        <item x="765"/>
        <item x="766"/>
        <item x="767"/>
        <item x="768"/>
        <item x="790"/>
        <item x="1706"/>
        <item x="804"/>
        <item x="787"/>
        <item x="797"/>
        <item x="871"/>
        <item x="872"/>
        <item x="3346"/>
        <item x="3397"/>
        <item x="879"/>
        <item x="3462"/>
        <item x="3466"/>
        <item x="3468"/>
        <item x="3470"/>
        <item x="911"/>
        <item x="970"/>
        <item x="983"/>
        <item x="986"/>
        <item x="987"/>
        <item x="989"/>
        <item x="1014"/>
        <item x="1056"/>
        <item x="1058"/>
        <item x="1072"/>
        <item x="1069"/>
        <item x="1070"/>
        <item x="1074"/>
        <item x="1063"/>
        <item m="1" x="3980"/>
        <item m="1" x="3981"/>
        <item m="1" x="3982"/>
        <item x="1175"/>
        <item x="1172"/>
        <item x="1173"/>
        <item x="1174"/>
        <item x="1254"/>
        <item x="1255"/>
        <item x="1288"/>
        <item m="1" x="3633"/>
        <item m="1" x="3646"/>
        <item m="1" x="3991"/>
        <item m="1" x="3992"/>
        <item m="1" x="3647"/>
        <item x="1304"/>
        <item x="1309"/>
        <item x="1310"/>
        <item x="1311"/>
        <item x="1312"/>
        <item m="1" x="3810"/>
        <item m="1" x="3811"/>
        <item x="1427"/>
        <item x="1595"/>
        <item x="1465"/>
        <item x="1466"/>
        <item x="1467"/>
        <item x="1468"/>
        <item x="3184"/>
        <item x="3187"/>
        <item x="1482"/>
        <item x="1504"/>
        <item x="1488"/>
        <item x="1492"/>
        <item x="1503"/>
        <item x="1502"/>
        <item x="1484"/>
        <item x="1516"/>
        <item x="1526"/>
        <item x="1541"/>
        <item x="1543"/>
        <item x="1608"/>
        <item x="1610"/>
        <item x="1665"/>
        <item x="1666"/>
        <item x="1667"/>
        <item x="1668"/>
        <item x="1669"/>
        <item x="1670"/>
        <item x="1671"/>
        <item x="1724"/>
        <item x="1692"/>
        <item x="1712"/>
        <item x="1713"/>
        <item x="1697"/>
        <item x="1792"/>
        <item x="1793"/>
        <item x="1818"/>
        <item x="3460"/>
        <item x="3465"/>
        <item x="3467"/>
        <item m="1" x="3862"/>
        <item x="1929"/>
        <item x="1932"/>
        <item x="1935"/>
        <item x="1936"/>
        <item x="1937"/>
        <item x="1939"/>
        <item x="1941"/>
        <item x="1944"/>
        <item x="1947"/>
        <item x="1948"/>
        <item x="1978"/>
        <item x="1994"/>
        <item x="2016"/>
        <item x="2034"/>
        <item x="2035"/>
        <item x="2041"/>
        <item x="2076"/>
        <item x="2077"/>
        <item x="2078"/>
        <item x="2080"/>
        <item x="255"/>
        <item m="1" x="4030"/>
        <item x="2210"/>
        <item x="2211"/>
        <item x="2212"/>
        <item x="2213"/>
        <item x="2214"/>
        <item x="2215"/>
        <item m="1" x="3651"/>
        <item m="1" x="3652"/>
        <item x="2246"/>
        <item x="2249"/>
        <item x="2331"/>
        <item x="2355"/>
        <item x="2956"/>
        <item x="2357"/>
        <item x="3183"/>
        <item x="2371"/>
        <item x="2372"/>
        <item x="2373"/>
        <item x="2364"/>
        <item x="2959"/>
        <item x="2401"/>
        <item x="2409"/>
        <item x="2419"/>
        <item x="2422"/>
        <item x="2457"/>
        <item x="2458"/>
        <item x="2555"/>
        <item x="2554"/>
        <item x="2549"/>
        <item x="2550"/>
        <item x="2610"/>
        <item x="2611"/>
        <item x="2622"/>
        <item x="3463"/>
        <item x="3469"/>
        <item m="1" x="3865"/>
        <item x="2698"/>
        <item x="2699"/>
        <item x="2700"/>
        <item x="2702"/>
        <item x="2745"/>
        <item x="2747"/>
        <item x="2761"/>
        <item x="2807"/>
        <item x="3150"/>
        <item x="2808"/>
        <item x="2809"/>
        <item x="2817"/>
        <item x="2816"/>
        <item m="1" x="4058"/>
        <item x="2849"/>
        <item x="2848"/>
        <item x="2883"/>
        <item x="2900"/>
        <item x="2954"/>
        <item x="3182"/>
        <item x="2960"/>
        <item x="2964"/>
        <item x="2968"/>
        <item x="3464"/>
        <item x="3070"/>
        <item x="3086"/>
        <item x="3145"/>
        <item x="3146"/>
        <item x="3147"/>
        <item x="3148"/>
        <item x="3149"/>
        <item x="3158"/>
        <item x="3198"/>
        <item x="3461"/>
        <item x="3267"/>
        <item x="3268"/>
        <item x="3185"/>
        <item x="3189"/>
        <item x="0"/>
        <item x="239"/>
        <item x="241"/>
        <item x="1067"/>
        <item x="1076"/>
        <item x="2091"/>
        <item x="2092"/>
        <item x="2097"/>
        <item x="2098"/>
        <item x="1082"/>
        <item x="2099"/>
        <item x="2818"/>
        <item x="260"/>
        <item x="2100"/>
        <item x="1083"/>
        <item x="2819"/>
        <item x="261"/>
        <item x="2101"/>
        <item x="2102"/>
        <item x="262"/>
        <item x="1084"/>
        <item x="1085"/>
        <item x="1086"/>
        <item x="1087"/>
        <item x="1088"/>
        <item x="1089"/>
        <item x="1090"/>
        <item x="2103"/>
        <item x="2820"/>
        <item x="2104"/>
        <item x="2105"/>
        <item x="2106"/>
        <item x="263"/>
        <item x="2821"/>
        <item x="2107"/>
        <item x="264"/>
        <item x="2108"/>
        <item x="1091"/>
        <item x="1092"/>
        <item x="1093"/>
        <item x="1094"/>
        <item x="1095"/>
        <item x="1096"/>
        <item x="1097"/>
        <item x="1098"/>
        <item x="2822"/>
        <item x="1099"/>
        <item x="265"/>
        <item x="1100"/>
        <item x="1101"/>
        <item x="266"/>
        <item x="2823"/>
        <item x="268"/>
        <item x="269"/>
        <item x="1102"/>
        <item x="2109"/>
        <item x="270"/>
        <item x="7"/>
        <item x="1103"/>
        <item x="271"/>
        <item x="2110"/>
        <item x="1105"/>
        <item x="1106"/>
        <item x="2111"/>
        <item x="272"/>
        <item x="273"/>
        <item x="1111"/>
        <item x="275"/>
        <item x="276"/>
        <item x="1112"/>
        <item x="1113"/>
        <item x="277"/>
        <item x="278"/>
        <item x="1114"/>
        <item x="1115"/>
        <item x="1116"/>
        <item x="1117"/>
        <item x="279"/>
        <item x="1118"/>
        <item x="1119"/>
        <item x="1120"/>
        <item x="280"/>
        <item x="1121"/>
        <item x="8"/>
        <item x="9"/>
        <item x="2112"/>
        <item x="1122"/>
        <item x="281"/>
        <item x="1127"/>
        <item x="1128"/>
        <item x="2828"/>
        <item x="1129"/>
        <item x="1130"/>
        <item x="284"/>
        <item x="285"/>
        <item x="1131"/>
        <item x="286"/>
        <item x="2113"/>
        <item x="2829"/>
        <item x="1132"/>
        <item x="1133"/>
        <item x="287"/>
        <item x="1134"/>
        <item x="3273"/>
        <item x="2115"/>
        <item x="288"/>
        <item x="2116"/>
        <item x="289"/>
        <item x="290"/>
        <item x="1135"/>
        <item x="2117"/>
        <item x="2118"/>
        <item x="291"/>
        <item x="2119"/>
        <item x="292"/>
        <item x="1136"/>
        <item x="2120"/>
        <item x="1139"/>
        <item m="1" x="3514"/>
        <item m="1" x="3563"/>
        <item m="1" x="3589"/>
        <item m="1" x="3590"/>
        <item m="1" x="3564"/>
        <item m="1" x="3565"/>
        <item m="1" x="3526"/>
        <item m="1" x="3527"/>
        <item m="1" x="3566"/>
        <item m="1" x="3535"/>
        <item m="1" x="3536"/>
        <item m="1" x="3538"/>
        <item m="1" x="3539"/>
        <item m="1" x="3570"/>
        <item m="1" x="3540"/>
        <item m="1" x="3541"/>
        <item m="1" x="3515"/>
        <item m="1" x="3571"/>
        <item m="1" x="3542"/>
        <item m="1" x="3543"/>
        <item m="1" x="3609"/>
        <item m="1" x="3610"/>
        <item m="1" x="3611"/>
        <item x="2157"/>
        <item x="1177"/>
        <item x="318"/>
        <item x="2158"/>
        <item x="1178"/>
        <item x="1179"/>
        <item x="1180"/>
        <item m="1" x="3622"/>
        <item x="3165"/>
        <item x="2159"/>
        <item x="1181"/>
        <item x="319"/>
        <item x="1182"/>
        <item x="2161"/>
        <item x="320"/>
        <item x="1184"/>
        <item x="1185"/>
        <item x="1187"/>
        <item x="323"/>
        <item x="1190"/>
        <item x="2163"/>
        <item x="1191"/>
        <item x="324"/>
        <item x="1192"/>
        <item x="1193"/>
        <item x="1194"/>
        <item x="2855"/>
        <item x="3167"/>
        <item x="2860"/>
        <item x="1236"/>
        <item x="1237"/>
        <item x="1238"/>
        <item x="1239"/>
        <item x="344"/>
        <item x="2199"/>
        <item x="21"/>
        <item x="3170"/>
        <item x="2216"/>
        <item x="2217"/>
        <item x="2884"/>
        <item x="353"/>
        <item x="1257"/>
        <item x="1258"/>
        <item x="2219"/>
        <item x="1259"/>
        <item x="355"/>
        <item x="356"/>
        <item x="2886"/>
        <item x="357"/>
        <item x="358"/>
        <item x="24"/>
        <item x="1260"/>
        <item x="2887"/>
        <item x="1261"/>
        <item x="1209"/>
        <item x="3274"/>
        <item x="2863"/>
        <item x="1210"/>
        <item x="1219"/>
        <item x="3280"/>
        <item m="1" x="3614"/>
        <item x="2182"/>
        <item x="1223"/>
        <item x="338"/>
        <item x="3281"/>
        <item x="1224"/>
        <item x="1225"/>
        <item x="1214"/>
        <item x="339"/>
        <item x="1231"/>
        <item x="2195"/>
        <item x="2196"/>
        <item x="3276"/>
        <item x="3284"/>
        <item x="2866"/>
        <item x="3285"/>
        <item x="20"/>
        <item x="3286"/>
        <item x="341"/>
        <item x="3277"/>
        <item x="3287"/>
        <item x="3278"/>
        <item x="1234"/>
        <item x="340"/>
        <item x="343"/>
        <item x="3279"/>
        <item m="1" x="3656"/>
        <item m="1" x="3654"/>
        <item m="1" x="3657"/>
        <item x="379"/>
        <item m="1" x="3664"/>
        <item m="1" x="3662"/>
        <item m="1" x="3663"/>
        <item m="1" x="3673"/>
        <item m="1" x="3665"/>
        <item m="1" x="3678"/>
        <item m="1" x="3679"/>
        <item m="1" x="3667"/>
        <item m="1" x="3668"/>
        <item m="1" x="3674"/>
        <item m="1" x="3676"/>
        <item m="1" x="3670"/>
        <item m="1" x="3672"/>
        <item x="2248"/>
        <item x="1313"/>
        <item x="396"/>
        <item x="1314"/>
        <item x="397"/>
        <item x="398"/>
        <item m="1" x="3708"/>
        <item m="1" x="3705"/>
        <item x="445"/>
        <item x="2933"/>
        <item x="1394"/>
        <item x="2934"/>
        <item x="1395"/>
        <item x="2304"/>
        <item x="2935"/>
        <item x="1396"/>
        <item x="446"/>
        <item x="448"/>
        <item x="2317"/>
        <item x="2318"/>
        <item x="1412"/>
        <item m="1" x="3728"/>
        <item x="1428"/>
        <item x="2943"/>
        <item x="2334"/>
        <item x="481"/>
        <item x="1446"/>
        <item x="501"/>
        <item x="1447"/>
        <item x="516"/>
        <item x="517"/>
        <item x="1463"/>
        <item x="518"/>
        <item x="2955"/>
        <item x="1464"/>
        <item m="1" x="3748"/>
        <item m="1" x="3756"/>
        <item x="1471"/>
        <item x="58"/>
        <item x="535"/>
        <item x="59"/>
        <item x="540"/>
        <item x="2962"/>
        <item x="1485"/>
        <item x="556"/>
        <item x="557"/>
        <item x="1496"/>
        <item x="1497"/>
        <item x="561"/>
        <item x="63"/>
        <item x="1500"/>
        <item m="1" x="3763"/>
        <item x="567"/>
        <item x="658"/>
        <item x="1572"/>
        <item x="659"/>
        <item x="660"/>
        <item x="661"/>
        <item x="582"/>
        <item x="3075"/>
        <item x="598"/>
        <item x="601"/>
        <item x="666"/>
        <item x="2449"/>
        <item x="2983"/>
        <item m="1" x="3805"/>
        <item m="1" x="3814"/>
        <item m="1" x="3815"/>
        <item x="1599"/>
        <item x="1600"/>
        <item x="668"/>
        <item x="670"/>
        <item x="1609"/>
        <item x="671"/>
        <item x="1611"/>
        <item x="672"/>
        <item x="1612"/>
        <item m="1" x="3825"/>
        <item x="1613"/>
        <item x="2462"/>
        <item m="1" x="3829"/>
        <item m="1" x="3831"/>
        <item m="1" x="3828"/>
        <item x="769"/>
        <item x="1672"/>
        <item x="770"/>
        <item x="2528"/>
        <item x="129"/>
        <item x="1673"/>
        <item x="1674"/>
        <item x="130"/>
        <item x="131"/>
        <item x="2529"/>
        <item x="132"/>
        <item x="3229"/>
        <item x="133"/>
        <item x="134"/>
        <item x="135"/>
        <item x="771"/>
        <item x="772"/>
        <item x="136"/>
        <item x="137"/>
        <item x="773"/>
        <item x="138"/>
        <item x="2530"/>
        <item x="1675"/>
        <item x="1676"/>
        <item x="774"/>
        <item x="775"/>
        <item x="139"/>
        <item x="776"/>
        <item x="1689"/>
        <item x="3035"/>
        <item x="2545"/>
        <item x="1693"/>
        <item x="2546"/>
        <item x="788"/>
        <item x="793"/>
        <item x="798"/>
        <item x="1708"/>
        <item x="802"/>
        <item x="1710"/>
        <item x="150"/>
        <item x="1717"/>
        <item x="1722"/>
        <item m="1" x="3837"/>
        <item m="1" x="3834"/>
        <item x="1794"/>
        <item x="1795"/>
        <item x="873"/>
        <item x="2613"/>
        <item x="874"/>
        <item x="875"/>
        <item x="876"/>
        <item x="3238"/>
        <item x="877"/>
        <item x="1796"/>
        <item x="1802"/>
        <item x="3472"/>
        <item x="3475"/>
        <item x="3477"/>
        <item x="912"/>
        <item x="2633"/>
        <item x="913"/>
        <item x="914"/>
        <item x="179"/>
        <item x="180"/>
        <item x="919"/>
        <item x="183"/>
        <item x="924"/>
        <item x="186"/>
        <item x="187"/>
        <item x="929"/>
        <item x="189"/>
        <item x="940"/>
        <item m="1" x="3880"/>
        <item x="3504"/>
        <item x="2658"/>
        <item x="1924"/>
        <item x="1925"/>
        <item x="201"/>
        <item x="2686"/>
        <item x="202"/>
        <item x="2687"/>
        <item x="2688"/>
        <item x="1926"/>
        <item x="1927"/>
        <item x="2689"/>
        <item x="1928"/>
        <item x="2690"/>
        <item x="2691"/>
        <item x="3069"/>
        <item x="980"/>
        <item x="981"/>
        <item x="2703"/>
        <item x="1949"/>
        <item x="992"/>
        <item x="1950"/>
        <item x="1951"/>
        <item x="2705"/>
        <item x="1953"/>
        <item x="1954"/>
        <item x="1957"/>
        <item x="1960"/>
        <item x="1961"/>
        <item x="1965"/>
        <item x="3072"/>
        <item x="1966"/>
        <item x="3088"/>
        <item x="2036"/>
        <item x="1024"/>
        <item x="2037"/>
        <item x="2038"/>
        <item x="209"/>
        <item x="3110"/>
        <item x="1033"/>
        <item x="2810"/>
        <item x="2081"/>
        <item x="2811"/>
        <item x="3151"/>
        <item x="2082"/>
        <item x="3269"/>
        <item x="2812"/>
        <item x="3152"/>
        <item x="2084"/>
        <item x="229"/>
        <item x="26"/>
        <item x="364"/>
        <item x="365"/>
        <item x="366"/>
        <item x="367"/>
        <item x="368"/>
        <item x="369"/>
        <item x="1273"/>
        <item x="1274"/>
        <item x="1275"/>
        <item x="1277"/>
        <item x="1278"/>
        <item x="1279"/>
        <item x="1281"/>
        <item x="1283"/>
        <item x="1284"/>
        <item x="1285"/>
        <item x="1286"/>
        <item x="1287"/>
        <item x="1289"/>
        <item x="1290"/>
        <item x="2227"/>
        <item x="2228"/>
        <item x="2230"/>
        <item x="2892"/>
        <item x="2893"/>
        <item x="2902"/>
        <item m="1" x="3648"/>
        <item m="1" x="3649"/>
        <item m="1" x="3653"/>
        <item m="1" x="3716"/>
        <item m="1" x="3717"/>
        <item m="1" x="3718"/>
        <item m="1" x="3719"/>
        <item m="1" x="3720"/>
        <item m="1" x="3721"/>
        <item m="1" x="3722"/>
        <item m="1" x="3723"/>
        <item x="452"/>
        <item x="1405"/>
        <item x="456"/>
        <item x="1400"/>
        <item x="1401"/>
        <item x="1402"/>
        <item x="1403"/>
        <item x="1404"/>
        <item x="1406"/>
        <item x="2305"/>
        <item x="2307"/>
        <item x="2308"/>
        <item x="2309"/>
        <item x="2310"/>
        <item x="2936"/>
        <item x="2937"/>
        <item x="537"/>
        <item x="2958"/>
        <item m="1" x="3789"/>
        <item m="1" x="3790"/>
        <item m="1" x="3842"/>
        <item m="1" x="3843"/>
        <item m="1" x="3844"/>
        <item m="1" x="3887"/>
        <item m="1" x="3888"/>
        <item m="1" x="3889"/>
        <item m="1" x="3890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4"/>
        <item m="1" x="3905"/>
        <item m="1" x="3906"/>
        <item m="1" x="3907"/>
        <item m="1" x="3908"/>
        <item m="1" x="3910"/>
        <item x="2088"/>
        <item x="233"/>
        <item x="1065"/>
        <item x="2090"/>
        <item x="3"/>
        <item x="4"/>
        <item x="243"/>
        <item x="1075"/>
        <item x="248"/>
        <item x="253"/>
        <item x="256"/>
        <item x="1123"/>
        <item x="1124"/>
        <item x="1125"/>
        <item x="10"/>
        <item x="1126"/>
        <item x="2824"/>
        <item x="2825"/>
        <item x="2826"/>
        <item x="2827"/>
        <item x="283"/>
        <item x="1137"/>
        <item x="321"/>
        <item x="2853"/>
        <item x="2854"/>
        <item x="1188"/>
        <item x="1189"/>
        <item x="2164"/>
        <item x="2856"/>
        <item x="2165"/>
        <item x="1195"/>
        <item x="1196"/>
        <item x="2166"/>
        <item x="2857"/>
        <item x="2858"/>
        <item x="2167"/>
        <item x="2168"/>
        <item x="3166"/>
        <item x="2170"/>
        <item x="2171"/>
        <item x="1199"/>
        <item x="326"/>
        <item x="1200"/>
        <item x="1201"/>
        <item x="2859"/>
        <item x="2172"/>
        <item x="327"/>
        <item x="1202"/>
        <item x="1203"/>
        <item x="328"/>
        <item x="1204"/>
        <item x="329"/>
        <item x="2173"/>
        <item x="2861"/>
        <item x="2174"/>
        <item x="2862"/>
        <item x="2175"/>
        <item x="3168"/>
        <item x="1205"/>
        <item x="330"/>
        <item x="1206"/>
        <item x="1207"/>
        <item x="1208"/>
        <item x="1215"/>
        <item x="1216"/>
        <item x="333"/>
        <item x="2869"/>
        <item x="334"/>
        <item x="2875"/>
        <item x="3282"/>
        <item x="2188"/>
        <item x="2189"/>
        <item x="2191"/>
        <item x="3283"/>
        <item x="2208"/>
        <item x="2209"/>
        <item x="349"/>
        <item x="2218"/>
        <item x="1256"/>
        <item x="2885"/>
        <item x="354"/>
        <item x="359"/>
        <item x="2220"/>
        <item x="360"/>
        <item x="1262"/>
        <item x="2221"/>
        <item x="2222"/>
        <item x="1263"/>
        <item x="2224"/>
        <item x="1264"/>
        <item x="1265"/>
        <item x="1266"/>
        <item x="2888"/>
        <item x="2889"/>
        <item x="2890"/>
        <item x="1267"/>
        <item x="1268"/>
        <item x="1269"/>
        <item x="2891"/>
        <item x="371"/>
        <item x="372"/>
        <item x="381"/>
        <item x="1295"/>
        <item x="382"/>
        <item x="383"/>
        <item x="2237"/>
        <item x="2895"/>
        <item x="384"/>
        <item x="385"/>
        <item x="386"/>
        <item x="1296"/>
        <item x="387"/>
        <item x="388"/>
        <item x="393"/>
        <item x="1308"/>
        <item x="2247"/>
        <item x="3171"/>
        <item x="31"/>
        <item x="2251"/>
        <item x="2901"/>
        <item x="1315"/>
        <item x="399"/>
        <item x="2252"/>
        <item x="1316"/>
        <item x="32"/>
        <item x="2253"/>
        <item x="400"/>
        <item x="401"/>
        <item x="1317"/>
        <item x="402"/>
        <item x="33"/>
        <item x="1318"/>
        <item x="1319"/>
        <item x="34"/>
        <item x="41"/>
        <item x="2303"/>
        <item x="449"/>
        <item x="1397"/>
        <item x="450"/>
        <item x="451"/>
        <item x="1398"/>
        <item x="42"/>
        <item x="2306"/>
        <item x="1399"/>
        <item x="453"/>
        <item x="454"/>
        <item x="455"/>
        <item x="2311"/>
        <item x="2312"/>
        <item x="457"/>
        <item x="43"/>
        <item x="2938"/>
        <item x="1407"/>
        <item x="1408"/>
        <item x="1409"/>
        <item x="1410"/>
        <item x="1419"/>
        <item x="2947"/>
        <item x="491"/>
        <item x="2337"/>
        <item x="51"/>
        <item x="519"/>
        <item x="520"/>
        <item x="3200"/>
        <item x="1480"/>
        <item x="541"/>
        <item x="542"/>
        <item x="2365"/>
        <item x="550"/>
        <item x="2368"/>
        <item x="60"/>
        <item x="1487"/>
        <item x="1489"/>
        <item x="1490"/>
        <item x="1493"/>
        <item x="1494"/>
        <item x="1495"/>
        <item x="562"/>
        <item x="565"/>
        <item x="2376"/>
        <item x="64"/>
        <item x="80"/>
        <item x="2460"/>
        <item x="81"/>
        <item x="674"/>
        <item x="675"/>
        <item x="1614"/>
        <item x="1615"/>
        <item x="1616"/>
        <item x="2989"/>
        <item x="1617"/>
        <item x="2463"/>
        <item x="679"/>
        <item x="1619"/>
        <item x="681"/>
        <item x="2464"/>
        <item x="3209"/>
        <item x="1620"/>
        <item x="682"/>
        <item x="2465"/>
        <item x="683"/>
        <item x="3210"/>
        <item x="1621"/>
        <item x="2466"/>
        <item x="2990"/>
        <item x="1624"/>
        <item x="1625"/>
        <item x="684"/>
        <item x="1626"/>
        <item x="685"/>
        <item x="2467"/>
        <item x="686"/>
        <item x="1627"/>
        <item x="2469"/>
        <item x="2993"/>
        <item x="2994"/>
        <item x="687"/>
        <item x="777"/>
        <item x="140"/>
        <item x="141"/>
        <item x="778"/>
        <item x="779"/>
        <item x="142"/>
        <item x="143"/>
        <item x="780"/>
        <item x="1677"/>
        <item x="781"/>
        <item x="782"/>
        <item x="2544"/>
        <item x="1703"/>
        <item x="144"/>
        <item x="146"/>
        <item x="803"/>
        <item x="147"/>
        <item x="1711"/>
        <item x="2559"/>
        <item x="809"/>
        <item x="3048"/>
        <item x="2614"/>
        <item x="1797"/>
        <item x="1798"/>
        <item x="1799"/>
        <item x="1800"/>
        <item x="3374"/>
        <item x="3378"/>
        <item x="3384"/>
        <item x="3385"/>
        <item x="3432"/>
        <item x="3443"/>
        <item x="3478"/>
        <item x="3481"/>
        <item x="3483"/>
        <item x="3485"/>
        <item x="3486"/>
        <item x="3487"/>
        <item x="3488"/>
        <item x="3490"/>
        <item x="3491"/>
        <item x="3492"/>
        <item x="3494"/>
        <item x="3497"/>
        <item x="3498"/>
        <item x="3499"/>
        <item x="3501"/>
        <item x="3502"/>
        <item x="3503"/>
        <item x="883"/>
        <item x="885"/>
        <item x="1835"/>
        <item x="2635"/>
        <item x="1840"/>
        <item x="1843"/>
        <item x="2637"/>
        <item x="182"/>
        <item x="1871"/>
        <item x="3505"/>
        <item x="3506"/>
        <item x="994"/>
        <item x="995"/>
        <item x="996"/>
        <item x="998"/>
        <item x="1968"/>
        <item x="1969"/>
        <item x="999"/>
        <item x="1970"/>
        <item x="2710"/>
        <item x="1000"/>
        <item x="1001"/>
        <item x="1002"/>
        <item x="1003"/>
        <item x="2711"/>
        <item x="203"/>
        <item x="3076"/>
        <item x="1972"/>
        <item x="1004"/>
        <item x="204"/>
        <item x="1973"/>
        <item x="1005"/>
        <item x="1975"/>
        <item x="3079"/>
        <item x="1976"/>
        <item x="1006"/>
        <item x="1981"/>
        <item x="1985"/>
        <item x="1010"/>
        <item x="1998"/>
        <item x="3093"/>
        <item x="2006"/>
        <item x="206"/>
        <item x="2751"/>
        <item x="3103"/>
        <item x="2760"/>
        <item x="2047"/>
        <item x="210"/>
        <item x="2768"/>
        <item x="2769"/>
        <item x="2052"/>
        <item x="212"/>
        <item x="2770"/>
        <item x="2771"/>
        <item x="1034"/>
        <item x="2773"/>
        <item x="2774"/>
        <item x="2053"/>
        <item x="2054"/>
        <item x="1055"/>
        <item x="1059"/>
        <item x="2083"/>
        <item x="230"/>
        <item x="3153"/>
        <item x="231"/>
        <item x="1060"/>
        <item x="3154"/>
        <item x="3155"/>
        <item x="2085"/>
        <item x="3156"/>
        <item x="2813"/>
        <item x="3157"/>
        <item x="2814"/>
        <item x="2086"/>
        <item x="1061"/>
        <item x="3270"/>
        <item x="2087"/>
        <item x="3271"/>
        <item t="default"/>
      </items>
    </pivotField>
    <pivotField axis="axisRow" compact="0" outline="0" showAll="0" defaultSubtotal="0">
      <items count="8000">
        <item x="2298"/>
        <item x="2297"/>
        <item x="2232"/>
        <item m="1" x="3884"/>
        <item m="1" x="6994"/>
        <item m="1" x="6822"/>
        <item m="1" x="6819"/>
        <item x="2915"/>
        <item x="1511"/>
        <item x="2386"/>
        <item m="1" x="7094"/>
        <item m="1" x="7121"/>
        <item m="1" x="5922"/>
        <item x="1750"/>
        <item m="1" x="7949"/>
        <item m="1" x="5203"/>
        <item m="1" x="4714"/>
        <item x="633"/>
        <item x="1570"/>
        <item x="1247"/>
        <item m="1" x="6657"/>
        <item x="3016"/>
        <item x="3360"/>
        <item m="1" x="5491"/>
        <item m="1" x="5189"/>
        <item m="1" x="6604"/>
        <item x="2907"/>
        <item m="1" x="7865"/>
        <item x="725"/>
        <item m="1" x="3877"/>
        <item x="1853"/>
        <item m="1" x="5665"/>
        <item x="2937"/>
        <item x="893"/>
        <item m="1" x="7928"/>
        <item m="1" x="5227"/>
        <item x="890"/>
        <item x="2245"/>
        <item x="2130"/>
        <item x="2842"/>
        <item m="1" x="6810"/>
        <item x="1755"/>
        <item x="3019"/>
        <item m="1" x="5228"/>
        <item x="1085"/>
        <item x="611"/>
        <item x="2857"/>
        <item x="3015"/>
        <item x="1866"/>
        <item m="1" x="6779"/>
        <item m="1" x="5788"/>
        <item x="830"/>
        <item m="1" x="5384"/>
        <item x="2989"/>
        <item m="1" x="5693"/>
        <item m="1" x="6461"/>
        <item x="2387"/>
        <item x="2388"/>
        <item x="733"/>
        <item m="1" x="4493"/>
        <item m="1" x="7615"/>
        <item m="1" x="6862"/>
        <item m="1" x="4623"/>
        <item x="2114"/>
        <item m="1" x="6262"/>
        <item m="1" x="6887"/>
        <item x="2502"/>
        <item m="1" x="7877"/>
        <item x="1897"/>
        <item x="2832"/>
        <item x="3262"/>
        <item m="1" x="5229"/>
        <item m="1" x="6651"/>
        <item x="724"/>
        <item m="1" x="5861"/>
        <item x="3093"/>
        <item x="1131"/>
        <item x="2517"/>
        <item x="1757"/>
        <item x="3040"/>
        <item m="1" x="5572"/>
        <item m="1" x="5664"/>
        <item x="720"/>
        <item m="1" x="5890"/>
        <item m="1" x="4409"/>
        <item x="614"/>
        <item x="2389"/>
        <item x="730"/>
        <item x="2289"/>
        <item x="2831"/>
        <item m="1" x="4833"/>
        <item m="1" x="5081"/>
        <item m="1" x="7828"/>
        <item m="1" x="4899"/>
        <item m="1" x="3808"/>
        <item x="715"/>
        <item x="1748"/>
        <item x="2664"/>
        <item x="996"/>
        <item x="698"/>
        <item m="1" x="6713"/>
        <item m="1" x="5275"/>
        <item x="624"/>
        <item m="1" x="6253"/>
        <item x="2722"/>
        <item x="1840"/>
        <item x="1579"/>
        <item m="1" x="6804"/>
        <item x="2113"/>
        <item x="1337"/>
        <item m="1" x="5230"/>
        <item m="1" x="5689"/>
        <item x="1564"/>
        <item m="1" x="6658"/>
        <item m="1" x="6761"/>
        <item x="1766"/>
        <item m="1" x="5276"/>
        <item x="3358"/>
        <item x="2653"/>
        <item m="1" x="5277"/>
        <item m="1" x="5231"/>
        <item x="1516"/>
        <item m="1" x="6127"/>
        <item x="2216"/>
        <item x="1095"/>
        <item x="3462"/>
        <item m="1" x="5278"/>
        <item m="1" x="3791"/>
        <item m="1" x="7223"/>
        <item m="1" x="7216"/>
        <item m="1" x="4646"/>
        <item m="1" x="5786"/>
        <item x="1392"/>
        <item m="1" x="7995"/>
        <item m="1" x="7904"/>
        <item x="575"/>
        <item m="1" x="5320"/>
        <item x="3355"/>
        <item x="2510"/>
        <item x="2391"/>
        <item x="1635"/>
        <item x="2128"/>
        <item m="1" x="5321"/>
        <item m="1" x="5691"/>
        <item m="1" x="7889"/>
        <item x="3226"/>
        <item x="3238"/>
        <item x="2449"/>
        <item x="708"/>
        <item x="406"/>
        <item m="1" x="4989"/>
        <item m="1" x="6727"/>
        <item x="2518"/>
        <item x="1580"/>
        <item x="1581"/>
        <item m="1" x="6780"/>
        <item m="1" x="7774"/>
        <item m="1" x="5279"/>
        <item x="631"/>
        <item m="1" x="5776"/>
        <item x="438"/>
        <item m="1" x="6220"/>
        <item m="1" x="4066"/>
        <item x="1841"/>
        <item m="1" x="5204"/>
        <item m="1" x="4301"/>
        <item x="2936"/>
        <item m="1" x="4975"/>
        <item x="3096"/>
        <item m="1" x="5205"/>
        <item x="3062"/>
        <item m="1" x="6634"/>
        <item x="1963"/>
        <item m="1" x="7652"/>
        <item m="1" x="7981"/>
        <item x="2493"/>
        <item m="1" x="6922"/>
        <item x="1340"/>
        <item x="1341"/>
        <item x="714"/>
        <item x="2725"/>
        <item m="1" x="7887"/>
        <item x="1583"/>
        <item m="1" x="5232"/>
        <item x="1648"/>
        <item m="1" x="6850"/>
        <item m="1" x="5721"/>
        <item x="202"/>
        <item x="1148"/>
        <item x="2654"/>
        <item m="1" x="3550"/>
        <item m="1" x="4064"/>
        <item x="623"/>
        <item x="3263"/>
        <item x="1661"/>
        <item m="1" x="3878"/>
        <item x="3069"/>
        <item x="264"/>
        <item x="2131"/>
        <item m="1" x="4599"/>
        <item x="2541"/>
        <item m="1" x="5280"/>
        <item m="1" x="5233"/>
        <item m="1" x="4177"/>
        <item x="1850"/>
        <item x="2335"/>
        <item x="2499"/>
        <item x="3357"/>
        <item m="1" x="4810"/>
        <item m="1" x="7053"/>
        <item m="1" x="3805"/>
        <item x="894"/>
        <item m="1" x="6913"/>
        <item x="2450"/>
        <item m="1" x="7479"/>
        <item x="2513"/>
        <item x="409"/>
        <item x="1301"/>
        <item m="1" x="6739"/>
        <item x="3385"/>
        <item x="1325"/>
        <item m="1" x="6747"/>
        <item x="1584"/>
        <item x="2665"/>
        <item m="1" x="5519"/>
        <item m="1" x="5281"/>
        <item x="1936"/>
        <item m="1" x="7791"/>
        <item x="3184"/>
        <item x="2727"/>
        <item x="1585"/>
        <item m="1" x="5894"/>
        <item m="1" x="7985"/>
        <item x="2294"/>
        <item m="1" x="7878"/>
        <item x="2717"/>
        <item x="1991"/>
        <item x="2728"/>
        <item m="1" x="3635"/>
        <item m="1" x="5234"/>
        <item x="1660"/>
        <item x="968"/>
        <item x="1938"/>
        <item m="1" x="7745"/>
        <item x="262"/>
        <item x="2546"/>
        <item m="1" x="4320"/>
        <item x="2935"/>
        <item x="889"/>
        <item m="1" x="6924"/>
        <item m="1" x="5236"/>
        <item m="1" x="4412"/>
        <item m="1" x="5662"/>
        <item m="1" x="3606"/>
        <item x="2839"/>
        <item m="1" x="4456"/>
        <item m="1" x="6764"/>
        <item x="3237"/>
        <item x="2301"/>
        <item m="1" x="5466"/>
        <item m="1" x="4713"/>
        <item m="1" x="6715"/>
        <item m="1" x="7857"/>
        <item m="1" x="7940"/>
        <item x="610"/>
        <item x="1326"/>
        <item x="3224"/>
        <item m="1" x="5284"/>
        <item x="1133"/>
        <item m="1" x="5775"/>
        <item x="3060"/>
        <item m="1" x="6861"/>
        <item x="1686"/>
        <item m="1" x="7882"/>
        <item x="3013"/>
        <item x="2265"/>
        <item x="675"/>
        <item x="3209"/>
        <item m="1" x="5237"/>
        <item m="1" x="5207"/>
        <item x="1740"/>
        <item x="2940"/>
        <item x="2293"/>
        <item m="1" x="7225"/>
        <item x="1586"/>
        <item m="1" x="4323"/>
        <item m="1" x="7452"/>
        <item m="1" x="4192"/>
        <item x="2938"/>
        <item m="1" x="5490"/>
        <item m="1" x="7488"/>
        <item x="1903"/>
        <item m="1" x="7209"/>
        <item x="326"/>
        <item x="1104"/>
        <item x="2104"/>
        <item x="1707"/>
        <item m="1" x="7711"/>
        <item x="2451"/>
        <item m="1" x="5976"/>
        <item x="2934"/>
        <item m="1" x="4961"/>
        <item x="1103"/>
        <item x="627"/>
        <item x="1342"/>
        <item x="3008"/>
        <item m="1" x="6818"/>
        <item x="2400"/>
        <item m="1" x="6792"/>
        <item m="1" x="4658"/>
        <item m="1" x="7117"/>
        <item x="1754"/>
        <item x="1656"/>
        <item m="1" x="4715"/>
        <item m="1" x="4711"/>
        <item m="1" x="4679"/>
        <item x="2902"/>
        <item x="1687"/>
        <item x="1134"/>
        <item x="2241"/>
        <item x="1910"/>
        <item x="549"/>
        <item m="1" x="5057"/>
        <item m="1" x="4985"/>
        <item m="1" x="5661"/>
        <item m="1" x="3883"/>
        <item x="2506"/>
        <item x="2729"/>
        <item x="1343"/>
        <item x="3245"/>
        <item x="2401"/>
        <item x="2496"/>
        <item m="1" x="5724"/>
        <item x="3242"/>
        <item x="2913"/>
        <item x="2129"/>
        <item m="1" x="7915"/>
        <item x="1587"/>
        <item m="1" x="3551"/>
        <item x="2730"/>
        <item m="1" x="6940"/>
        <item x="3230"/>
        <item m="1" x="6966"/>
        <item m="1" x="5488"/>
        <item x="1875"/>
        <item x="2679"/>
        <item m="1" x="5858"/>
        <item m="1" x="7917"/>
        <item x="285"/>
        <item x="1089"/>
        <item x="266"/>
        <item x="2503"/>
        <item m="1" x="5208"/>
        <item m="1" x="5784"/>
        <item x="2643"/>
        <item m="1" x="5286"/>
        <item m="1" x="7798"/>
        <item m="1" x="6109"/>
        <item x="2576"/>
        <item m="1" x="6816"/>
        <item m="1" x="7543"/>
        <item m="1" x="5062"/>
        <item x="415"/>
        <item m="1" x="5338"/>
        <item x="2954"/>
        <item x="1689"/>
        <item x="622"/>
        <item x="417"/>
        <item x="1645"/>
        <item x="1876"/>
        <item m="1" x="6289"/>
        <item m="1" x="6129"/>
        <item m="1" x="6296"/>
        <item m="1" x="4760"/>
        <item m="1" x="5994"/>
        <item x="613"/>
        <item m="1" x="7217"/>
        <item x="3461"/>
        <item m="1" x="6740"/>
        <item x="90"/>
        <item x="821"/>
        <item m="1" x="5065"/>
        <item m="1" x="4407"/>
        <item x="2950"/>
        <item m="1" x="3538"/>
        <item x="2501"/>
        <item x="1954"/>
        <item m="1" x="6617"/>
        <item m="1" x="7503"/>
        <item x="1571"/>
        <item m="1" x="5238"/>
        <item x="1662"/>
        <item x="2968"/>
        <item m="1" x="3589"/>
        <item m="1" x="3692"/>
        <item x="887"/>
        <item x="1882"/>
        <item m="1" x="7987"/>
        <item x="1710"/>
        <item x="2406"/>
        <item x="1525"/>
        <item m="1" x="7210"/>
        <item x="2830"/>
        <item x="2105"/>
        <item m="1" x="4411"/>
        <item x="2296"/>
        <item x="1386"/>
        <item m="1" x="4421"/>
        <item m="1" x="5071"/>
        <item x="2500"/>
        <item x="1747"/>
        <item x="31"/>
        <item x="2542"/>
        <item x="2603"/>
        <item x="1992"/>
        <item x="3100"/>
        <item m="1" x="7635"/>
        <item m="1" x="7663"/>
        <item m="1" x="7980"/>
        <item m="1" x="4425"/>
        <item x="1100"/>
        <item m="1" x="5288"/>
        <item m="1" x="5897"/>
        <item m="1" x="5497"/>
        <item m="1" x="7804"/>
        <item m="1" x="5240"/>
        <item m="1" x="5692"/>
        <item m="1" x="5290"/>
        <item x="1297"/>
        <item x="1348"/>
        <item m="1" x="5241"/>
        <item x="2637"/>
        <item x="265"/>
        <item m="1" x="3880"/>
        <item m="1" x="3664"/>
        <item x="727"/>
        <item x="2033"/>
        <item x="891"/>
        <item x="2634"/>
        <item m="1" x="5323"/>
        <item x="2247"/>
        <item m="1" x="4424"/>
        <item x="1655"/>
        <item m="1" x="5049"/>
        <item m="1" x="4240"/>
        <item m="1" x="6781"/>
        <item m="1" x="5210"/>
        <item x="2111"/>
        <item x="1387"/>
        <item x="3027"/>
        <item m="1" x="5242"/>
        <item m="1" x="5291"/>
        <item m="1" x="4302"/>
        <item m="1" x="4487"/>
        <item m="1" x="7218"/>
        <item x="1349"/>
        <item x="1994"/>
        <item x="1568"/>
        <item m="1" x="5660"/>
        <item x="786"/>
        <item x="3243"/>
        <item m="1" x="4712"/>
        <item m="1" x="4423"/>
        <item m="1" x="7185"/>
        <item x="2117"/>
        <item x="3075"/>
        <item x="892"/>
        <item x="3101"/>
        <item m="1" x="6706"/>
        <item x="1915"/>
        <item m="1" x="6305"/>
        <item x="273"/>
        <item x="485"/>
        <item x="1741"/>
        <item x="1529"/>
        <item m="1" x="5066"/>
        <item m="1" x="6190"/>
        <item x="2618"/>
        <item m="1" x="4408"/>
        <item m="1" x="5324"/>
        <item m="1" x="4234"/>
        <item m="1" x="5078"/>
        <item m="1" x="7758"/>
        <item m="1" x="7477"/>
        <item x="2482"/>
        <item x="3484"/>
        <item m="1" x="6553"/>
        <item x="3234"/>
        <item x="2514"/>
        <item x="2706"/>
        <item m="1" x="3677"/>
        <item x="2914"/>
        <item x="826"/>
        <item x="1904"/>
        <item m="1" x="5773"/>
        <item x="286"/>
        <item x="625"/>
        <item x="1098"/>
        <item m="1" x="5485"/>
        <item m="1" x="5243"/>
        <item m="1" x="6468"/>
        <item x="822"/>
        <item m="1" x="5244"/>
        <item x="2953"/>
        <item m="1" x="4662"/>
        <item m="1" x="3881"/>
        <item x="1096"/>
        <item x="2225"/>
        <item m="1" x="6726"/>
        <item m="1" x="7770"/>
        <item x="617"/>
        <item x="2498"/>
        <item x="2314"/>
        <item m="1" x="6980"/>
        <item m="1" x="4406"/>
        <item x="1303"/>
        <item x="2947"/>
        <item x="2484"/>
        <item x="3042"/>
        <item m="1" x="4310"/>
        <item x="1652"/>
        <item x="1135"/>
        <item m="1" x="6385"/>
        <item x="1845"/>
        <item m="1" x="5471"/>
        <item x="2647"/>
        <item x="3023"/>
        <item x="918"/>
        <item m="1" x="6142"/>
        <item m="1" x="6971"/>
        <item m="1" x="6970"/>
        <item m="1" x="7231"/>
        <item x="1785"/>
        <item m="1" x="6011"/>
        <item x="2115"/>
        <item x="164"/>
        <item x="486"/>
        <item x="3366"/>
        <item m="1" x="4600"/>
        <item x="1927"/>
        <item x="2585"/>
        <item m="1" x="5339"/>
        <item m="1" x="7080"/>
        <item m="1" x="7950"/>
        <item m="1" x="5641"/>
        <item m="1" x="5782"/>
        <item m="1" x="3693"/>
        <item m="1" x="6820"/>
        <item m="1" x="5070"/>
        <item x="2677"/>
        <item x="1273"/>
        <item x="423"/>
        <item m="1" x="3636"/>
        <item m="1" x="4488"/>
        <item x="1248"/>
        <item x="1102"/>
        <item x="3185"/>
        <item x="2733"/>
        <item x="2931"/>
        <item x="2515"/>
        <item x="2734"/>
        <item m="1" x="7589"/>
        <item x="1476"/>
        <item x="445"/>
        <item x="1998"/>
        <item x="3376"/>
        <item m="1" x="4455"/>
        <item m="1" x="7092"/>
        <item m="1" x="4460"/>
        <item x="2302"/>
        <item x="3072"/>
        <item x="735"/>
        <item m="1" x="6700"/>
        <item x="2315"/>
        <item m="1" x="3568"/>
        <item m="1" x="3607"/>
        <item x="1101"/>
        <item x="1533"/>
        <item m="1" x="7805"/>
        <item x="3024"/>
        <item x="2735"/>
        <item m="1" x="6196"/>
        <item x="722"/>
        <item m="1" x="7954"/>
        <item m="1" x="5435"/>
        <item x="1087"/>
        <item x="3172"/>
        <item x="287"/>
        <item x="1916"/>
        <item x="1688"/>
        <item x="479"/>
        <item m="1" x="7228"/>
        <item x="2120"/>
        <item x="3362"/>
        <item m="1" x="7818"/>
        <item x="721"/>
        <item m="1" x="6863"/>
        <item x="1351"/>
        <item m="1" x="3754"/>
        <item x="3302"/>
        <item x="2446"/>
        <item m="1" x="6626"/>
        <item x="1737"/>
        <item x="897"/>
        <item m="1" x="6010"/>
        <item x="3026"/>
        <item x="896"/>
        <item m="1" x="5659"/>
        <item x="91"/>
        <item m="1" x="7825"/>
        <item x="717"/>
        <item x="710"/>
        <item m="1" x="5026"/>
        <item x="1906"/>
        <item m="1" x="7045"/>
        <item m="1" x="6702"/>
        <item x="1832"/>
        <item x="1828"/>
        <item x="2633"/>
        <item m="1" x="7317"/>
        <item x="2638"/>
        <item m="1" x="7810"/>
        <item m="1" x="4798"/>
        <item x="2495"/>
        <item x="3063"/>
        <item m="1" x="4316"/>
        <item x="718"/>
        <item x="1589"/>
        <item m="1" x="6799"/>
        <item x="1397"/>
        <item x="2512"/>
        <item m="1" x="5294"/>
        <item m="1" x="7941"/>
        <item m="1" x="6728"/>
        <item x="731"/>
        <item m="1" x="6842"/>
        <item m="1" x="5247"/>
        <item m="1" x="5096"/>
        <item x="442"/>
        <item x="2505"/>
        <item m="1" x="5295"/>
        <item m="1" x="3694"/>
        <item m="1" x="7211"/>
        <item x="1330"/>
        <item x="2000"/>
        <item m="1" x="7112"/>
        <item m="1" x="6704"/>
        <item x="1738"/>
        <item x="975"/>
        <item x="3070"/>
        <item m="1" x="5900"/>
        <item x="1395"/>
        <item m="1" x="5248"/>
        <item m="1" x="7994"/>
        <item m="1" x="7955"/>
        <item m="1" x="6197"/>
        <item m="1" x="3549"/>
        <item x="955"/>
        <item m="1" x="6434"/>
        <item x="1658"/>
        <item m="1" x="7229"/>
        <item m="1" x="4639"/>
        <item x="2990"/>
        <item x="928"/>
        <item m="1" x="4327"/>
        <item m="1" x="6261"/>
        <item x="3025"/>
        <item x="2736"/>
        <item x="1851"/>
        <item x="1416"/>
        <item m="1" x="6701"/>
        <item m="1" x="7983"/>
        <item m="1" x="4317"/>
        <item m="1" x="6733"/>
        <item x="1083"/>
        <item x="3173"/>
        <item m="1" x="4366"/>
        <item x="1943"/>
        <item m="1" x="4427"/>
        <item m="1" x="4242"/>
        <item m="1" x="6893"/>
        <item m="1" x="5781"/>
        <item x="1535"/>
        <item m="1" x="4524"/>
        <item x="956"/>
        <item x="3229"/>
        <item x="2636"/>
        <item m="1" x="5640"/>
        <item m="1" x="4515"/>
        <item x="734"/>
        <item x="2417"/>
        <item m="1" x="7065"/>
        <item x="3367"/>
        <item x="3348"/>
        <item x="843"/>
        <item x="3065"/>
        <item m="1" x="6710"/>
        <item m="1" x="7469"/>
        <item x="2108"/>
        <item m="1" x="4130"/>
        <item m="1" x="6135"/>
        <item m="1" x="6255"/>
        <item m="1" x="5325"/>
        <item x="2737"/>
        <item x="716"/>
        <item m="1" x="6590"/>
        <item m="1" x="7899"/>
        <item x="455"/>
        <item x="629"/>
        <item x="620"/>
        <item x="2504"/>
        <item m="1" x="6016"/>
        <item x="2738"/>
        <item x="1228"/>
        <item m="1" x="6015"/>
        <item m="1" x="6811"/>
        <item x="2739"/>
        <item x="2740"/>
        <item m="1" x="5901"/>
        <item m="1" x="3553"/>
        <item x="3304"/>
        <item x="3030"/>
        <item m="1" x="6297"/>
        <item x="531"/>
        <item x="2577"/>
        <item x="3104"/>
        <item m="1" x="5657"/>
        <item m="1" x="6254"/>
        <item x="2543"/>
        <item m="1" x="4193"/>
        <item m="1" x="5297"/>
        <item x="1878"/>
        <item m="1" x="7906"/>
        <item m="1" x="5250"/>
        <item x="3356"/>
        <item x="2741"/>
        <item m="1" x="6859"/>
        <item x="2586"/>
        <item x="1097"/>
        <item x="664"/>
        <item x="2112"/>
        <item x="2991"/>
        <item x="2004"/>
        <item x="2046"/>
        <item m="1" x="4977"/>
        <item m="1" x="7832"/>
        <item m="1" x="5212"/>
        <item m="1" x="5213"/>
        <item x="1396"/>
        <item x="874"/>
        <item x="1659"/>
        <item x="1143"/>
        <item x="1945"/>
        <item m="1" x="7623"/>
        <item m="1" x="4417"/>
        <item m="1" x="4717"/>
        <item x="1657"/>
        <item x="1357"/>
        <item m="1" x="7037"/>
        <item m="1" x="5935"/>
        <item m="1" x="5486"/>
        <item x="1016"/>
        <item x="3045"/>
        <item m="1" x="6415"/>
        <item m="1" x="7849"/>
        <item m="1" x="6110"/>
        <item x="416"/>
        <item m="1" x="6705"/>
        <item x="1590"/>
        <item m="1" x="7643"/>
        <item m="1" x="6662"/>
        <item x="1947"/>
        <item m="1" x="7875"/>
        <item m="1" x="4812"/>
        <item m="1" x="3810"/>
        <item m="1" x="4643"/>
        <item m="1" x="7445"/>
        <item m="1" x="7969"/>
        <item m="1" x="5340"/>
        <item m="1" x="7576"/>
        <item x="1358"/>
        <item m="1" x="5300"/>
        <item m="1" x="7754"/>
        <item x="1957"/>
        <item m="1" x="4578"/>
        <item m="1" x="5725"/>
        <item m="1" x="6960"/>
        <item m="1" x="4802"/>
        <item m="1" x="7898"/>
        <item m="1" x="4484"/>
        <item x="1398"/>
        <item m="1" x="4828"/>
        <item x="1839"/>
        <item m="1" x="4593"/>
        <item m="1" x="7633"/>
        <item m="1" x="6746"/>
        <item x="1136"/>
        <item x="2426"/>
        <item x="2743"/>
        <item x="3232"/>
        <item m="1" x="7449"/>
        <item m="1" x="6258"/>
        <item m="1" x="4416"/>
        <item m="1" x="6293"/>
        <item x="1407"/>
        <item m="1" x="5253"/>
        <item x="1144"/>
        <item x="2933"/>
        <item x="2744"/>
        <item x="3022"/>
        <item x="1331"/>
        <item m="1" x="6319"/>
        <item x="2684"/>
        <item m="1" x="5427"/>
        <item m="1" x="6593"/>
        <item x="3254"/>
        <item m="1" x="7970"/>
        <item m="1" x="6946"/>
        <item x="424"/>
        <item m="1" x="6926"/>
        <item x="1140"/>
        <item m="1" x="4418"/>
        <item x="1408"/>
        <item x="1361"/>
        <item m="1" x="7212"/>
        <item m="1" x="5255"/>
        <item m="1" x="7971"/>
        <item m="1" x="6698"/>
        <item x="2427"/>
        <item m="1" x="5256"/>
        <item m="1" x="6803"/>
        <item m="1" x="5257"/>
        <item m="1" x="6649"/>
        <item x="1363"/>
        <item m="1" x="7120"/>
        <item m="1" x="6742"/>
        <item m="1" x="4402"/>
        <item m="1" x="7220"/>
        <item m="1" x="5628"/>
        <item m="1" x="5302"/>
        <item m="1" x="5988"/>
        <item x="2299"/>
        <item x="2316"/>
        <item x="1691"/>
        <item x="1692"/>
        <item x="2007"/>
        <item x="2277"/>
        <item m="1" x="6888"/>
        <item x="1093"/>
        <item m="1" x="5857"/>
        <item x="2008"/>
        <item x="2430"/>
        <item x="2327"/>
        <item x="1389"/>
        <item m="1" x="7681"/>
        <item x="1745"/>
        <item x="446"/>
        <item m="1" x="5327"/>
        <item m="1" x="6753"/>
        <item x="1569"/>
        <item x="2507"/>
        <item m="1" x="5654"/>
        <item m="1" x="5259"/>
        <item x="3340"/>
        <item x="3341"/>
        <item x="3347"/>
        <item x="732"/>
        <item m="1" x="4945"/>
        <item x="2919"/>
        <item x="1950"/>
        <item x="2932"/>
        <item x="2519"/>
        <item m="1" x="6738"/>
        <item m="1" x="5653"/>
        <item x="1541"/>
        <item m="1" x="5860"/>
        <item m="1" x="7797"/>
        <item m="1" x="4190"/>
        <item x="2494"/>
        <item m="1" x="7478"/>
        <item m="1" x="6276"/>
        <item x="2509"/>
        <item m="1" x="4486"/>
        <item m="1" x="4239"/>
        <item x="3345"/>
        <item x="1367"/>
        <item x="2110"/>
        <item x="3225"/>
        <item m="1" x="4428"/>
        <item x="2278"/>
        <item x="1112"/>
        <item x="1114"/>
        <item m="1" x="7446"/>
        <item m="1" x="6968"/>
        <item x="1109"/>
        <item m="1" x="7982"/>
        <item x="443"/>
        <item x="1137"/>
        <item x="2746"/>
        <item x="1646"/>
        <item m="1" x="5482"/>
        <item x="2109"/>
        <item x="3369"/>
        <item x="439"/>
        <item x="405"/>
        <item m="1" x="4902"/>
        <item x="2600"/>
        <item x="831"/>
        <item x="1591"/>
        <item m="1" x="5303"/>
        <item x="1099"/>
        <item x="3090"/>
        <item x="3308"/>
        <item m="1" x="4243"/>
        <item x="1306"/>
        <item m="1" x="4513"/>
        <item m="1" x="7771"/>
        <item x="3105"/>
        <item x="3106"/>
        <item m="1" x="5652"/>
        <item x="1561"/>
        <item x="1565"/>
        <item x="263"/>
        <item x="2492"/>
        <item x="2751"/>
        <item x="457"/>
        <item m="1" x="6874"/>
        <item m="1" x="3554"/>
        <item x="2511"/>
        <item m="1" x="4716"/>
        <item m="1" x="4759"/>
        <item x="1651"/>
        <item x="2249"/>
        <item m="1" x="7687"/>
        <item m="1" x="3609"/>
        <item m="1" x="5260"/>
        <item m="1" x="5261"/>
        <item m="1" x="4829"/>
        <item m="1" x="6052"/>
        <item m="1" x="4420"/>
        <item x="969"/>
        <item m="1" x="6516"/>
        <item x="1912"/>
        <item x="2291"/>
        <item x="391"/>
        <item x="2516"/>
        <item m="1" x="5305"/>
        <item m="1" x="5306"/>
        <item x="3011"/>
        <item m="1" x="7864"/>
        <item x="1105"/>
        <item x="1502"/>
        <item m="1" x="5650"/>
        <item m="1" x="5778"/>
        <item m="1" x="5648"/>
        <item x="2521"/>
        <item x="2674"/>
        <item m="1" x="3755"/>
        <item x="1563"/>
        <item m="1" x="3555"/>
        <item m="1" x="4321"/>
        <item m="1" x="5647"/>
        <item m="1" x="6935"/>
        <item m="1" x="5201"/>
        <item x="2583"/>
        <item x="3361"/>
        <item x="1749"/>
        <item x="2752"/>
        <item x="599"/>
        <item m="1" x="5903"/>
        <item m="1" x="6732"/>
        <item x="2010"/>
        <item x="632"/>
        <item m="1" x="6911"/>
        <item m="1" x="5904"/>
        <item x="1981"/>
        <item x="2676"/>
        <item m="1" x="5728"/>
        <item x="1138"/>
        <item m="1" x="6976"/>
        <item x="3306"/>
        <item x="3244"/>
        <item m="1" x="6518"/>
        <item x="6"/>
        <item x="601"/>
        <item m="1" x="3541"/>
        <item m="1" x="7448"/>
        <item m="1" x="7664"/>
        <item x="2012"/>
        <item m="1" x="6051"/>
        <item x="2948"/>
        <item x="1744"/>
        <item m="1" x="5264"/>
        <item x="2121"/>
        <item x="1316"/>
        <item x="2028"/>
        <item m="1" x="3650"/>
        <item m="1" x="5265"/>
        <item m="1" x="5214"/>
        <item m="1" x="5329"/>
        <item m="1" x="6427"/>
        <item m="1" x="6869"/>
        <item m="1" x="7885"/>
        <item x="3017"/>
        <item m="1" x="5645"/>
        <item m="1" x="5837"/>
        <item x="2548"/>
        <item m="1" x="6731"/>
        <item m="1" x="6318"/>
        <item m="1" x="7858"/>
        <item m="1" x="5266"/>
        <item x="630"/>
        <item m="1" x="4480"/>
        <item m="1" x="7988"/>
        <item x="2508"/>
        <item x="2280"/>
        <item m="1" x="6691"/>
        <item x="2281"/>
        <item m="1" x="6743"/>
        <item m="1" x="7095"/>
        <item m="1" x="5805"/>
        <item x="282"/>
        <item m="1" x="3543"/>
        <item x="626"/>
        <item m="1" x="5268"/>
        <item m="1" x="5331"/>
        <item m="1" x="6306"/>
        <item x="1390"/>
        <item x="1371"/>
        <item m="1" x="4324"/>
        <item x="3228"/>
        <item x="430"/>
        <item x="2014"/>
        <item m="1" x="4304"/>
        <item x="1562"/>
        <item m="1" x="4483"/>
        <item x="726"/>
        <item x="1279"/>
        <item m="1" x="7827"/>
        <item m="1" x="5082"/>
        <item m="1" x="6189"/>
        <item m="1" x="7091"/>
        <item m="1" x="6750"/>
        <item x="3409"/>
        <item m="1" x="6304"/>
        <item x="2584"/>
        <item x="2755"/>
        <item x="1734"/>
        <item m="1" x="7707"/>
        <item m="1" x="5483"/>
        <item x="2118"/>
        <item x="2317"/>
        <item m="1" x="6141"/>
        <item x="2833"/>
        <item x="2992"/>
        <item m="1" x="4489"/>
        <item x="1432"/>
        <item m="1" x="3665"/>
        <item m="1" x="5215"/>
        <item m="1" x="5927"/>
        <item x="1742"/>
        <item x="1855"/>
        <item x="1856"/>
        <item x="1743"/>
        <item m="1" x="4194"/>
        <item x="3406"/>
        <item x="2921"/>
        <item x="2678"/>
        <item m="1" x="7989"/>
        <item x="2437"/>
        <item m="1" x="6426"/>
        <item m="1" x="6272"/>
        <item m="1" x="4495"/>
        <item x="1649"/>
        <item m="1" x="7866"/>
        <item m="1" x="5308"/>
        <item m="1" x="7739"/>
        <item m="1" x="4360"/>
        <item m="1" x="4767"/>
        <item x="1372"/>
        <item m="1" x="4279"/>
        <item m="1" x="4312"/>
        <item m="1" x="4231"/>
        <item m="1" x="6707"/>
        <item m="1" x="6782"/>
        <item x="957"/>
        <item m="1" x="5637"/>
        <item x="3329"/>
        <item m="1" x="6871"/>
        <item x="458"/>
        <item m="1" x="6929"/>
        <item m="1" x="5341"/>
        <item x="3231"/>
        <item x="1086"/>
        <item m="1" x="7879"/>
        <item m="1" x="7456"/>
        <item m="1" x="7859"/>
        <item x="728"/>
        <item m="1" x="6714"/>
        <item m="1" x="5067"/>
        <item x="3285"/>
        <item x="3050"/>
        <item x="827"/>
        <item m="1" x="5571"/>
        <item x="1094"/>
        <item x="2303"/>
        <item x="3235"/>
        <item m="1" x="5270"/>
        <item m="1" x="7845"/>
        <item m="1" x="4195"/>
        <item m="1" x="6808"/>
        <item m="1" x="4230"/>
        <item m="1" x="6741"/>
        <item m="1" x="5622"/>
        <item x="444"/>
        <item x="1958"/>
        <item x="2106"/>
        <item x="1092"/>
        <item m="1" x="6933"/>
        <item x="2018"/>
        <item x="440"/>
        <item x="1653"/>
        <item x="3303"/>
        <item x="1650"/>
        <item x="2283"/>
        <item m="1" x="6783"/>
        <item m="1" x="6889"/>
        <item x="2939"/>
        <item x="2019"/>
        <item x="723"/>
        <item x="2122"/>
        <item x="3330"/>
        <item m="1" x="7958"/>
        <item x="1736"/>
        <item m="1" x="4478"/>
        <item m="1" x="4419"/>
        <item x="3227"/>
        <item x="1091"/>
        <item m="1" x="5342"/>
        <item m="1" x="4219"/>
        <item x="1110"/>
        <item x="612"/>
        <item m="1" x="7850"/>
        <item x="817"/>
        <item x="289"/>
        <item x="2549"/>
        <item x="712"/>
        <item m="1" x="5636"/>
        <item x="3331"/>
        <item m="1" x="6962"/>
        <item x="628"/>
        <item x="355"/>
        <item m="1" x="5310"/>
        <item x="919"/>
        <item x="3029"/>
        <item x="1088"/>
        <item m="1" x="7931"/>
        <item x="2497"/>
        <item m="1" x="5219"/>
        <item x="729"/>
        <item m="1" x="6886"/>
        <item m="1" x="6708"/>
        <item m="1" x="5312"/>
        <item m="1" x="5221"/>
        <item m="1" x="4608"/>
        <item m="1" x="3610"/>
        <item m="1" x="5313"/>
        <item m="1" x="3797"/>
        <item x="2123"/>
        <item m="1" x="5222"/>
        <item x="3028"/>
        <item x="2923"/>
        <item x="2924"/>
        <item x="3351"/>
        <item m="1" x="3666"/>
        <item x="2757"/>
        <item m="1" x="4305"/>
        <item m="1" x="7679"/>
        <item m="1" x="7624"/>
        <item m="1" x="5223"/>
        <item x="1693"/>
        <item x="3445"/>
        <item m="1" x="6724"/>
        <item m="1" x="4300"/>
        <item x="1694"/>
        <item x="3346"/>
        <item x="1020"/>
        <item x="290"/>
        <item x="2957"/>
        <item m="1" x="4319"/>
        <item m="1" x="5601"/>
        <item x="49"/>
        <item x="2332"/>
        <item m="1" x="6625"/>
        <item x="1753"/>
        <item x="713"/>
        <item x="1021"/>
        <item x="1554"/>
        <item x="3236"/>
        <item x="2926"/>
        <item m="1" x="5475"/>
        <item x="3110"/>
        <item x="3334"/>
        <item m="1" x="5634"/>
        <item m="1" x="6737"/>
        <item m="1" x="5977"/>
        <item m="1" x="5332"/>
        <item x="3031"/>
        <item m="1" x="5474"/>
        <item x="2107"/>
        <item m="1" x="7457"/>
        <item m="1" x="4709"/>
        <item x="1654"/>
        <item x="2284"/>
        <item m="1" x="7089"/>
        <item x="3284"/>
        <item m="1" x="6256"/>
        <item m="1" x="4330"/>
        <item m="1" x="7886"/>
        <item x="970"/>
        <item m="1" x="6430"/>
        <item x="2581"/>
        <item m="1" x="5272"/>
        <item m="1" x="5224"/>
        <item x="3349"/>
        <item m="1" x="5908"/>
        <item x="1557"/>
        <item m="1" x="5315"/>
        <item m="1" x="5333"/>
        <item x="3233"/>
        <item x="1108"/>
        <item m="1" x="6891"/>
        <item m="1" x="5316"/>
        <item x="2758"/>
        <item x="2759"/>
        <item x="1332"/>
        <item x="1333"/>
        <item m="1" x="4768"/>
        <item m="1" x="6902"/>
        <item m="1" x="7897"/>
        <item x="1377"/>
        <item x="1567"/>
        <item x="3112"/>
        <item x="1558"/>
        <item x="2319"/>
        <item m="1" x="3611"/>
        <item x="2896"/>
        <item m="1" x="5317"/>
        <item x="618"/>
        <item x="3240"/>
        <item x="615"/>
        <item m="1" x="7909"/>
        <item m="1" x="3556"/>
        <item m="1" x="5318"/>
        <item m="1" x="5627"/>
        <item x="1869"/>
        <item x="272"/>
        <item x="2024"/>
        <item x="3020"/>
        <item m="1" x="4609"/>
        <item m="1" x="4306"/>
        <item x="2288"/>
        <item m="1" x="6745"/>
        <item x="3113"/>
        <item m="1" x="7475"/>
        <item x="1865"/>
        <item x="1844"/>
        <item x="3018"/>
        <item m="1" x="7312"/>
        <item m="1" x="7326"/>
        <item x="2452"/>
        <item m="1" x="7927"/>
        <item m="1" x="3557"/>
        <item m="1" x="5334"/>
        <item m="1" x="5273"/>
        <item m="1" x="6633"/>
        <item m="1" x="4466"/>
        <item x="1560"/>
        <item x="619"/>
        <item m="1" x="5510"/>
        <item x="2520"/>
        <item m="1" x="6730"/>
        <item m="1" x="4710"/>
        <item m="1" x="6749"/>
        <item x="3115"/>
        <item x="3116"/>
        <item x="711"/>
        <item m="1" x="5098"/>
        <item m="1" x="4308"/>
        <item x="1411"/>
        <item x="1634"/>
        <item x="73"/>
        <item x="1830"/>
        <item m="1" x="7318"/>
        <item x="2635"/>
        <item x="3364"/>
        <item m="1" x="3618"/>
        <item x="616"/>
        <item x="2651"/>
        <item m="1" x="4322"/>
        <item x="696"/>
        <item x="165"/>
        <item x="291"/>
        <item m="1" x="4364"/>
        <item m="1" x="7646"/>
        <item x="719"/>
        <item m="1" x="6771"/>
        <item m="1" x="4297"/>
        <item x="1566"/>
        <item m="1" x="5521"/>
        <item m="1" x="6639"/>
        <item m="1" x="7214"/>
        <item m="1" x="7991"/>
        <item m="1" x="6594"/>
        <item x="2295"/>
        <item x="3239"/>
        <item m="1" x="5225"/>
        <item x="1391"/>
        <item m="1" x="5127"/>
        <item m="1" x="4382"/>
        <item x="665"/>
        <item x="3170"/>
        <item x="841"/>
        <item m="1" x="7534"/>
        <item m="1" x="6285"/>
        <item x="154"/>
        <item x="167"/>
        <item x="634"/>
        <item x="74"/>
        <item x="3454"/>
        <item x="199"/>
        <item m="1" x="5166"/>
        <item x="3457"/>
        <item x="3423"/>
        <item x="3468"/>
        <item x="259"/>
        <item x="260"/>
        <item x="2103"/>
        <item x="2840"/>
        <item x="1132"/>
        <item x="288"/>
        <item m="1" x="6591"/>
        <item m="1" x="3563"/>
        <item m="1" x="3711"/>
        <item m="1" x="3772"/>
        <item x="2905"/>
        <item x="2240"/>
        <item m="1" x="5836"/>
        <item m="1" x="5568"/>
        <item x="1979"/>
        <item m="1" x="4477"/>
        <item x="1305"/>
        <item x="995"/>
        <item m="1" x="4457"/>
        <item m="1" x="7184"/>
        <item x="3300"/>
        <item m="1" x="6664"/>
        <item x="1964"/>
        <item m="1" x="3842"/>
        <item m="1" x="3843"/>
        <item m="1" x="3830"/>
        <item m="1" x="3815"/>
        <item m="1" x="3844"/>
        <item m="1" x="3831"/>
        <item m="1" x="7822"/>
        <item m="1" x="3816"/>
        <item m="1" x="7689"/>
        <item m="1" x="7190"/>
        <item m="1" x="7612"/>
        <item m="1" x="7582"/>
        <item m="1" x="3832"/>
        <item m="1" x="7507"/>
        <item x="1311"/>
        <item x="2304"/>
        <item x="2305"/>
        <item m="1" x="7509"/>
        <item x="45"/>
        <item m="1" x="7033"/>
        <item m="1" x="7034"/>
        <item x="463"/>
        <item x="2321"/>
        <item x="46"/>
        <item m="1" x="6494"/>
        <item x="3336"/>
        <item m="1" x="4415"/>
        <item m="1" x="4315"/>
        <item m="1" x="4422"/>
        <item x="3343"/>
        <item m="1" x="4429"/>
        <item m="1" x="4245"/>
        <item m="1" x="4431"/>
        <item m="1" x="7537"/>
        <item x="1106"/>
        <item m="1" x="5598"/>
        <item m="1" x="5881"/>
        <item m="1" x="4571"/>
        <item m="1" x="4605"/>
        <item m="1" x="7793"/>
        <item x="2402"/>
        <item x="2396"/>
        <item x="2390"/>
        <item m="1" x="7408"/>
        <item x="2419"/>
        <item m="1" x="6317"/>
        <item x="606"/>
        <item x="2434"/>
        <item x="2404"/>
        <item m="1" x="7746"/>
        <item x="1543"/>
        <item x="2978"/>
        <item x="2423"/>
        <item x="593"/>
        <item m="1" x="7709"/>
        <item m="1" x="4432"/>
        <item x="3056"/>
        <item x="71"/>
        <item m="1" x="6628"/>
        <item x="1605"/>
        <item m="1" x="7441"/>
        <item m="1" x="5479"/>
        <item m="1" x="5639"/>
        <item m="1" x="5633"/>
        <item m="1" x="5630"/>
        <item m="1" x="5663"/>
        <item m="1" x="5477"/>
        <item m="1" x="5780"/>
        <item m="1" x="5667"/>
        <item x="1640"/>
        <item m="1" x="7447"/>
        <item m="1" x="7843"/>
        <item x="1643"/>
        <item x="89"/>
        <item m="1" x="7451"/>
        <item x="704"/>
        <item x="2489"/>
        <item m="1" x="7815"/>
        <item m="1" x="7816"/>
        <item x="705"/>
        <item m="1" x="7817"/>
        <item m="1" x="7803"/>
        <item m="1" x="7796"/>
        <item x="2491"/>
        <item m="1" x="7914"/>
        <item m="1" x="7826"/>
        <item m="1" x="7896"/>
        <item m="1" x="7876"/>
        <item x="3021"/>
        <item m="1" x="7710"/>
        <item x="587"/>
        <item x="1226"/>
        <item m="1" x="5865"/>
        <item m="1" x="5304"/>
        <item x="2214"/>
        <item m="1" x="6843"/>
        <item x="2017"/>
        <item x="1084"/>
        <item x="2834"/>
        <item m="1" x="3544"/>
        <item x="1142"/>
        <item x="2233"/>
        <item m="1" x="6857"/>
        <item x="362"/>
        <item m="1" x="5718"/>
        <item m="1" x="6777"/>
        <item m="1" x="5722"/>
        <item m="1" x="5893"/>
        <item m="1" x="6105"/>
        <item x="3301"/>
        <item m="1" x="4065"/>
        <item x="3085"/>
        <item m="1" x="5909"/>
        <item m="1" x="4506"/>
        <item x="1921"/>
        <item m="1" x="3817"/>
        <item m="1" x="3845"/>
        <item m="1" x="6860"/>
        <item m="1" x="6947"/>
        <item m="1" x="5430"/>
        <item m="1" x="7809"/>
        <item m="1" x="7569"/>
        <item x="2941"/>
        <item x="1410"/>
        <item m="1" x="4235"/>
        <item m="1" x="4311"/>
        <item m="1" x="4325"/>
        <item m="1" x="5589"/>
        <item m="1" x="4326"/>
        <item m="1" x="4328"/>
        <item m="1" x="4491"/>
        <item m="1" x="5744"/>
        <item m="1" x="7379"/>
        <item x="480"/>
        <item m="1" x="4519"/>
        <item x="481"/>
        <item m="1" x="7036"/>
        <item m="1" x="4520"/>
        <item x="1435"/>
        <item m="1" x="4523"/>
        <item x="2068"/>
        <item m="1" x="6963"/>
        <item m="1" x="6807"/>
        <item m="1" x="6975"/>
        <item m="1" x="6895"/>
        <item m="1" x="6884"/>
        <item m="1" x="6800"/>
        <item m="1" x="6978"/>
        <item m="1" x="6821"/>
        <item m="1" x="4604"/>
        <item x="2367"/>
        <item x="635"/>
        <item x="636"/>
        <item x="1572"/>
        <item x="637"/>
        <item x="1573"/>
        <item m="1" x="4818"/>
        <item m="1" x="5632"/>
        <item m="1" x="4538"/>
        <item m="1" x="7814"/>
        <item m="1" x="6993"/>
        <item x="709"/>
        <item m="1" x="6903"/>
        <item m="1" x="6525"/>
        <item x="3363"/>
        <item x="1773"/>
        <item m="1" x="5020"/>
        <item m="1" x="7471"/>
        <item m="1" x="5863"/>
        <item x="584"/>
        <item m="1" x="5031"/>
        <item m="1" x="4664"/>
        <item x="1429"/>
        <item x="1517"/>
        <item x="576"/>
        <item m="1" x="7640"/>
        <item m="1" x="7572"/>
        <item x="523"/>
        <item x="929"/>
        <item x="194"/>
        <item m="1" x="7700"/>
        <item x="2724"/>
        <item x="267"/>
        <item m="1" x="6166"/>
        <item x="269"/>
        <item m="1" x="6079"/>
        <item x="270"/>
        <item m="1" x="6078"/>
        <item m="1" x="6080"/>
        <item m="1" x="6373"/>
        <item m="1" x="6292"/>
        <item x="1968"/>
        <item m="1" x="6682"/>
        <item m="1" x="6665"/>
        <item m="1" x="6663"/>
        <item m="1" x="4281"/>
        <item x="976"/>
        <item x="1969"/>
        <item m="1" x="7182"/>
        <item x="2672"/>
        <item m="1" x="4250"/>
        <item x="3084"/>
        <item m="1" x="6660"/>
        <item m="1" x="7180"/>
        <item m="1" x="5910"/>
        <item x="1948"/>
        <item m="1" x="6686"/>
        <item m="1" x="3529"/>
        <item m="1" x="3882"/>
        <item x="2306"/>
        <item m="1" x="3542"/>
        <item m="1" x="7090"/>
        <item x="2949"/>
        <item m="1" x="4482"/>
        <item x="2338"/>
        <item x="3051"/>
        <item m="1" x="7787"/>
        <item m="1" x="6703"/>
        <item m="1" x="6973"/>
        <item m="1" x="6813"/>
        <item m="1" x="7511"/>
        <item m="1" x="7748"/>
        <item x="3310"/>
        <item x="3466"/>
        <item m="1" x="7540"/>
        <item m="1" x="5916"/>
        <item m="1" x="4349"/>
        <item m="1" x="7400"/>
        <item x="3333"/>
        <item m="1" x="5432"/>
        <item m="1" x="6268"/>
        <item x="1201"/>
        <item x="639"/>
        <item x="1523"/>
        <item m="1" x="4673"/>
        <item m="1" x="6587"/>
        <item m="1" x="4072"/>
        <item x="527"/>
        <item m="1" x="4749"/>
        <item m="1" x="7668"/>
        <item m="1" x="4723"/>
        <item x="1582"/>
        <item m="1" x="3532"/>
        <item x="3222"/>
        <item m="1" x="4886"/>
        <item m="1" x="4888"/>
        <item m="1" x="4339"/>
        <item m="1" x="4892"/>
        <item m="1" x="5783"/>
        <item x="3223"/>
        <item x="702"/>
        <item x="2487"/>
        <item m="1" x="7913"/>
        <item m="1" x="7844"/>
        <item m="1" x="7874"/>
        <item x="703"/>
        <item x="2488"/>
        <item x="88"/>
        <item x="706"/>
        <item m="1" x="7934"/>
        <item x="707"/>
        <item x="1644"/>
        <item m="1" x="7967"/>
        <item x="3014"/>
        <item x="1647"/>
        <item x="2539"/>
        <item x="1685"/>
        <item x="1702"/>
        <item x="3047"/>
        <item x="2560"/>
        <item x="804"/>
        <item x="1720"/>
        <item x="1722"/>
        <item x="815"/>
        <item x="1725"/>
        <item x="1726"/>
        <item x="818"/>
        <item x="820"/>
        <item m="1" x="7516"/>
        <item x="1815"/>
        <item x="1816"/>
        <item x="2582"/>
        <item m="1" x="6423"/>
        <item x="845"/>
        <item x="844"/>
        <item x="846"/>
        <item x="2594"/>
        <item x="2595"/>
        <item x="1775"/>
        <item x="1774"/>
        <item x="1786"/>
        <item x="2596"/>
        <item m="1" x="7703"/>
        <item x="1776"/>
        <item x="1777"/>
        <item x="1778"/>
        <item m="1" x="7467"/>
        <item x="842"/>
        <item x="2597"/>
        <item x="2598"/>
        <item x="2599"/>
        <item x="849"/>
        <item m="1" x="5014"/>
        <item x="168"/>
        <item m="1" x="6916"/>
        <item m="1" x="4705"/>
        <item m="1" x="4283"/>
        <item m="1" x="7159"/>
        <item m="1" x="7670"/>
        <item m="1" x="7535"/>
        <item m="1" x="7618"/>
        <item m="1" x="3980"/>
        <item m="1" x="6920"/>
        <item m="1" x="6921"/>
        <item m="1" x="7997"/>
        <item m="1" x="7916"/>
        <item m="1" x="5282"/>
        <item m="1" x="5283"/>
        <item m="1" x="6635"/>
        <item m="1" x="5285"/>
        <item m="1" x="7998"/>
        <item m="1" x="5322"/>
        <item x="581"/>
        <item m="1" x="7951"/>
        <item m="1" x="5287"/>
        <item m="1" x="5289"/>
        <item m="1" x="7481"/>
        <item m="1" x="6840"/>
        <item m="1" x="5292"/>
        <item x="1186"/>
        <item m="1" x="7016"/>
        <item m="1" x="5245"/>
        <item m="1" x="5293"/>
        <item m="1" x="5200"/>
        <item m="1" x="5298"/>
        <item m="1" x="5252"/>
        <item m="1" x="7883"/>
        <item m="1" x="7017"/>
        <item m="1" x="6927"/>
        <item m="1" x="7863"/>
        <item m="1" x="6928"/>
        <item m="1" x="5262"/>
        <item m="1" x="5263"/>
        <item m="1" x="6766"/>
        <item m="1" x="5267"/>
        <item m="1" x="5307"/>
        <item m="1" x="5309"/>
        <item m="1" x="6930"/>
        <item m="1" x="7820"/>
        <item m="1" x="5220"/>
        <item m="1" x="7953"/>
        <item m="1" x="6235"/>
        <item m="1" x="6931"/>
        <item m="1" x="6638"/>
        <item m="1" x="5337"/>
        <item m="1" x="5226"/>
        <item x="1989"/>
        <item x="3098"/>
        <item x="2748"/>
        <item x="2753"/>
        <item m="1" x="7483"/>
        <item x="2761"/>
        <item x="2047"/>
        <item m="1" x="7085"/>
        <item m="1" x="7088"/>
        <item m="1" x="7084"/>
        <item m="1" x="7086"/>
        <item m="1" x="7087"/>
        <item x="2102"/>
        <item x="3171"/>
        <item m="1" x="6437"/>
        <item m="1" x="6438"/>
        <item m="1" x="5939"/>
        <item m="1" x="6439"/>
        <item m="1" x="6343"/>
        <item m="1" x="6344"/>
        <item m="1" x="6345"/>
        <item x="883"/>
        <item x="2116"/>
        <item x="7"/>
        <item m="1" x="3775"/>
        <item x="2575"/>
        <item m="1" x="7867"/>
        <item m="1" x="7181"/>
        <item m="1" x="3814"/>
        <item m="1" x="3847"/>
        <item m="1" x="3811"/>
        <item m="1" x="6784"/>
        <item m="1" x="7553"/>
        <item m="1" x="3855"/>
        <item m="1" x="3856"/>
        <item m="1" x="3821"/>
        <item m="1" x="7974"/>
        <item m="1" x="3834"/>
        <item m="1" x="5428"/>
        <item m="1" x="3850"/>
        <item m="1" x="3829"/>
        <item m="1" x="3851"/>
        <item m="1" x="7944"/>
        <item x="3252"/>
        <item m="1" x="5795"/>
        <item x="2624"/>
        <item x="3253"/>
        <item m="1" x="7226"/>
        <item x="3422"/>
        <item x="3442"/>
        <item x="3418"/>
        <item m="1" x="7907"/>
        <item m="1" x="6679"/>
        <item x="3413"/>
        <item m="1" x="6017"/>
        <item x="3498"/>
        <item x="3420"/>
        <item m="1" x="5003"/>
        <item m="1" x="5944"/>
        <item x="3414"/>
        <item m="1" x="6951"/>
        <item x="3450"/>
        <item m="1" x="4046"/>
        <item m="1" x="4047"/>
        <item m="1" x="4136"/>
        <item m="1" x="4137"/>
        <item m="1" x="4048"/>
        <item m="1" x="3951"/>
        <item m="1" x="3952"/>
        <item m="1" x="4049"/>
        <item m="1" x="4138"/>
        <item m="1" x="3953"/>
        <item m="1" x="4050"/>
        <item m="1" x="5736"/>
        <item m="1" x="4051"/>
        <item m="1" x="4052"/>
        <item x="2414"/>
        <item m="1" x="3893"/>
        <item m="1" x="3954"/>
        <item m="1" x="4053"/>
        <item m="1" x="4087"/>
        <item m="1" x="4054"/>
        <item m="1" x="4139"/>
        <item m="1" x="4055"/>
        <item m="1" x="3955"/>
        <item m="1" x="3894"/>
        <item m="1" x="3956"/>
        <item m="1" x="6611"/>
        <item m="1" x="4647"/>
        <item m="1" x="7753"/>
        <item m="1" x="3957"/>
        <item m="1" x="5885"/>
        <item m="1" x="4140"/>
        <item m="1" x="4135"/>
        <item m="1" x="3895"/>
        <item m="1" x="4141"/>
        <item x="2257"/>
        <item m="1" x="3958"/>
        <item m="1" x="3959"/>
        <item m="1" x="4142"/>
        <item m="1" x="6252"/>
        <item m="1" x="4057"/>
        <item m="1" x="4058"/>
        <item m="1" x="4143"/>
        <item m="1" x="3960"/>
        <item m="1" x="3961"/>
        <item m="1" x="3962"/>
        <item m="1" x="3963"/>
        <item m="1" x="4144"/>
        <item m="1" x="3899"/>
        <item m="1" x="3896"/>
        <item m="1" x="4170"/>
        <item m="1" x="4059"/>
        <item m="1" x="4145"/>
        <item m="1" x="4146"/>
        <item m="1" x="4060"/>
        <item m="1" x="4147"/>
        <item m="1" x="4061"/>
        <item m="1" x="3904"/>
        <item m="1" x="6786"/>
        <item m="1" x="4148"/>
        <item m="1" x="4062"/>
        <item m="1" x="3964"/>
        <item m="1" x="3965"/>
        <item m="1" x="3966"/>
        <item m="1" x="3967"/>
        <item m="1" x="3897"/>
        <item m="1" x="3968"/>
        <item m="1" x="7056"/>
        <item m="1" x="5737"/>
        <item m="1" x="5738"/>
        <item m="1" x="4063"/>
        <item m="1" x="3898"/>
        <item m="1" x="3969"/>
        <item m="1" x="4067"/>
        <item m="1" x="3970"/>
        <item x="23"/>
        <item m="1" x="3885"/>
        <item m="1" x="4261"/>
        <item m="1" x="3986"/>
        <item m="1" x="4075"/>
        <item x="2188"/>
        <item m="1" x="4078"/>
        <item m="1" x="4071"/>
        <item x="3305"/>
        <item m="1" x="7563"/>
        <item m="1" x="4246"/>
        <item m="1" x="4329"/>
        <item x="3177"/>
        <item m="1" x="6882"/>
        <item m="1" x="7922"/>
        <item m="1" x="5445"/>
        <item x="2331"/>
        <item m="1" x="7307"/>
        <item m="1" x="4074"/>
        <item x="470"/>
        <item x="1421"/>
        <item m="1" x="7788"/>
        <item m="1" x="7824"/>
        <item x="2341"/>
        <item m="1" x="7485"/>
        <item x="1437"/>
        <item x="484"/>
        <item x="2343"/>
        <item x="489"/>
        <item x="1439"/>
        <item x="2959"/>
        <item x="1440"/>
        <item m="1" x="6959"/>
        <item x="491"/>
        <item x="2344"/>
        <item x="1441"/>
        <item m="1" x="5750"/>
        <item x="492"/>
        <item x="1442"/>
        <item x="1443"/>
        <item x="493"/>
        <item x="494"/>
        <item x="1444"/>
        <item x="2345"/>
        <item m="1" x="5852"/>
        <item m="1" x="7386"/>
        <item x="51"/>
        <item m="1" x="5606"/>
        <item m="1" x="6711"/>
        <item m="1" x="6969"/>
        <item m="1" x="6974"/>
        <item m="1" x="6509"/>
        <item m="1" x="4551"/>
        <item m="1" x="4539"/>
        <item m="1" x="4546"/>
        <item m="1" x="6126"/>
        <item m="1" x="4594"/>
        <item m="1" x="7392"/>
        <item m="1" x="4572"/>
        <item m="1" x="7767"/>
        <item m="1" x="6404"/>
        <item m="1" x="6990"/>
        <item m="1" x="6989"/>
        <item m="1" x="5975"/>
        <item m="1" x="5974"/>
        <item m="1" x="6515"/>
        <item m="1" x="6053"/>
        <item x="638"/>
        <item x="75"/>
        <item x="640"/>
        <item x="76"/>
        <item x="641"/>
        <item m="1" x="6054"/>
        <item x="77"/>
        <item x="642"/>
        <item m="1" x="5920"/>
        <item m="1" x="4653"/>
        <item x="3342"/>
        <item m="1" x="4683"/>
        <item x="3338"/>
        <item x="1256"/>
        <item m="1" x="5921"/>
        <item x="3213"/>
        <item x="2399"/>
        <item m="1" x="4743"/>
        <item m="1" x="4751"/>
        <item m="1" x="4752"/>
        <item m="1" x="4731"/>
        <item m="1" x="4732"/>
        <item m="1" x="4757"/>
        <item m="1" x="4739"/>
        <item m="1" x="4736"/>
        <item m="1" x="4738"/>
        <item m="1" x="4745"/>
        <item m="1" x="4737"/>
        <item m="1" x="7692"/>
        <item m="1" x="7596"/>
        <item m="1" x="4722"/>
        <item m="1" x="7966"/>
        <item m="1" x="7528"/>
        <item m="1" x="7644"/>
        <item m="1" x="7607"/>
        <item m="1" x="7684"/>
        <item m="1" x="4727"/>
        <item m="1" x="7434"/>
        <item m="1" x="7565"/>
        <item m="1" x="4724"/>
        <item m="1" x="4725"/>
        <item x="1023"/>
        <item m="1" x="3759"/>
        <item x="697"/>
        <item m="1" x="7795"/>
        <item x="2485"/>
        <item x="701"/>
        <item x="3012"/>
        <item m="1" x="7905"/>
        <item m="1" x="5638"/>
        <item m="1" x="5631"/>
        <item x="3043"/>
        <item x="813"/>
        <item x="799"/>
        <item x="2555"/>
        <item x="1729"/>
        <item m="1" x="6526"/>
        <item x="1708"/>
        <item x="2565"/>
        <item x="811"/>
        <item x="146"/>
        <item x="809"/>
        <item x="3319"/>
        <item x="55"/>
        <item m="1" x="6988"/>
        <item x="2904"/>
        <item m="1" x="7911"/>
        <item m="1" x="4644"/>
        <item m="1" x="4307"/>
        <item x="546"/>
        <item m="1" x="6217"/>
        <item m="1" x="7890"/>
        <item m="1" x="6300"/>
        <item x="823"/>
        <item x="1751"/>
        <item m="1" x="7465"/>
        <item x="1752"/>
        <item x="1756"/>
        <item x="1758"/>
        <item x="3246"/>
        <item x="1760"/>
        <item x="1761"/>
        <item x="1762"/>
        <item x="832"/>
        <item x="833"/>
        <item x="2587"/>
        <item m="1" x="7638"/>
        <item x="1764"/>
        <item m="1" x="5793"/>
        <item m="1" x="7462"/>
        <item m="1" x="5018"/>
        <item x="1765"/>
        <item x="834"/>
        <item m="1" x="7669"/>
        <item x="1767"/>
        <item x="835"/>
        <item x="2588"/>
        <item x="2589"/>
        <item x="836"/>
        <item m="1" x="7566"/>
        <item x="1768"/>
        <item x="2590"/>
        <item x="1769"/>
        <item x="837"/>
        <item x="1770"/>
        <item x="2591"/>
        <item m="1" x="7661"/>
        <item m="1" x="6908"/>
        <item m="1" x="5019"/>
        <item x="2592"/>
        <item m="1" x="5012"/>
        <item x="840"/>
        <item x="1771"/>
        <item x="2593"/>
        <item x="1772"/>
        <item m="1" x="7617"/>
        <item x="155"/>
        <item x="847"/>
        <item m="1" x="5536"/>
        <item x="848"/>
        <item m="1" x="6229"/>
        <item x="1779"/>
        <item x="1780"/>
        <item m="1" x="7744"/>
        <item x="850"/>
        <item x="1798"/>
        <item x="1781"/>
        <item m="1" x="5013"/>
        <item x="851"/>
        <item x="2601"/>
        <item x="2602"/>
        <item m="1" x="6424"/>
        <item x="1782"/>
        <item x="852"/>
        <item x="853"/>
        <item x="2604"/>
        <item x="2605"/>
        <item m="1" x="4282"/>
        <item x="2606"/>
        <item x="854"/>
        <item x="3052"/>
        <item x="2607"/>
        <item x="1783"/>
        <item m="1" x="6652"/>
        <item x="3256"/>
        <item x="2627"/>
        <item m="1" x="6632"/>
        <item m="1" x="6653"/>
        <item m="1" x="6654"/>
        <item x="3257"/>
        <item x="3258"/>
        <item m="1" x="6528"/>
        <item m="1" x="4924"/>
        <item m="1" x="4960"/>
        <item m="1" x="4952"/>
        <item m="1" x="4925"/>
        <item m="1" x="7001"/>
        <item m="1" x="4926"/>
        <item m="1" x="4927"/>
        <item m="1" x="4953"/>
        <item m="1" x="4942"/>
        <item m="1" x="4959"/>
        <item m="1" x="4928"/>
        <item m="1" x="4929"/>
        <item m="1" x="4954"/>
        <item m="1" x="4943"/>
        <item m="1" x="7662"/>
        <item m="1" x="4944"/>
        <item m="1" x="4932"/>
        <item m="1" x="4962"/>
        <item m="1" x="4957"/>
        <item m="1" x="4958"/>
        <item m="1" x="4934"/>
        <item m="1" x="4935"/>
        <item m="1" x="4946"/>
        <item m="1" x="4949"/>
        <item m="1" x="4950"/>
        <item m="1" x="4933"/>
        <item m="1" x="6912"/>
        <item m="1" x="4940"/>
        <item x="1846"/>
        <item m="1" x="7621"/>
        <item m="1" x="4270"/>
        <item x="961"/>
        <item x="1898"/>
        <item m="1" x="6637"/>
        <item m="1" x="5258"/>
        <item m="1" x="7999"/>
        <item x="2721"/>
        <item x="1985"/>
        <item x="1987"/>
        <item m="1" x="7884"/>
        <item m="1" x="7830"/>
        <item x="2726"/>
        <item x="1012"/>
        <item m="1" x="6640"/>
        <item m="1" x="6536"/>
        <item x="3102"/>
        <item m="1" x="6537"/>
        <item x="2001"/>
        <item x="2002"/>
        <item m="1" x="7972"/>
        <item m="1" x="6436"/>
        <item x="2021"/>
        <item m="1" x="6642"/>
        <item x="2023"/>
        <item x="271"/>
        <item x="1107"/>
        <item m="1" x="7093"/>
        <item x="1139"/>
        <item x="585"/>
        <item m="1" x="6295"/>
        <item m="1" x="6661"/>
        <item m="1" x="6659"/>
        <item x="1899"/>
        <item x="1399"/>
        <item x="2945"/>
        <item x="1400"/>
        <item x="2311"/>
        <item x="2946"/>
        <item x="659"/>
        <item x="1401"/>
        <item x="1576"/>
        <item x="643"/>
        <item m="1" x="4947"/>
        <item x="1436"/>
        <item x="365"/>
        <item x="1285"/>
        <item x="1283"/>
        <item m="1" x="5564"/>
        <item x="2903"/>
        <item m="1" x="5419"/>
        <item m="1" x="7713"/>
        <item x="366"/>
        <item m="1" x="5835"/>
        <item x="2976"/>
        <item m="1" x="7678"/>
        <item x="332"/>
        <item x="1282"/>
        <item x="1277"/>
        <item x="3456"/>
        <item m="1" x="5557"/>
        <item x="1284"/>
        <item x="26"/>
        <item x="367"/>
        <item x="1278"/>
        <item m="1" x="6539"/>
        <item x="368"/>
        <item x="1291"/>
        <item x="2234"/>
        <item x="1280"/>
        <item x="1281"/>
        <item m="1" x="7372"/>
        <item m="1" x="4247"/>
        <item m="1" x="4433"/>
        <item x="2545"/>
        <item m="1" x="7961"/>
        <item m="1" x="3846"/>
        <item m="1" x="6192"/>
        <item m="1" x="3836"/>
        <item m="1" x="3818"/>
        <item m="1" x="3819"/>
        <item m="1" x="7891"/>
        <item m="1" x="3820"/>
        <item m="1" x="3849"/>
        <item m="1" x="4445"/>
        <item m="1" x="3835"/>
        <item m="1" x="3857"/>
        <item m="1" x="6193"/>
        <item m="1" x="7868"/>
        <item x="3344"/>
        <item x="3350"/>
        <item x="3352"/>
        <item x="3353"/>
        <item x="3354"/>
        <item m="1" x="4980"/>
        <item m="1" x="6307"/>
        <item m="1" x="4981"/>
        <item m="1" x="7778"/>
        <item m="1" x="4982"/>
        <item m="1" x="4983"/>
        <item x="3365"/>
        <item x="3511"/>
        <item x="3370"/>
        <item x="572"/>
        <item x="2424"/>
        <item x="600"/>
        <item x="602"/>
        <item m="1" x="7993"/>
        <item x="66"/>
        <item x="1551"/>
        <item m="1" x="5623"/>
        <item m="1" x="6841"/>
        <item m="1" x="5296"/>
        <item x="2995"/>
        <item m="1" x="7442"/>
        <item x="2467"/>
        <item x="1604"/>
        <item m="1" x="7438"/>
        <item m="1" x="7727"/>
        <item x="2996"/>
        <item x="2460"/>
        <item x="2469"/>
        <item x="2465"/>
        <item x="2462"/>
        <item x="2997"/>
        <item m="1" x="7440"/>
        <item x="1608"/>
        <item m="1" x="6151"/>
        <item x="2463"/>
        <item m="1" x="7963"/>
        <item x="882"/>
        <item m="1" x="6538"/>
        <item m="1" x="7492"/>
        <item x="1145"/>
        <item x="294"/>
        <item m="1" x="7705"/>
        <item x="3309"/>
        <item x="3311"/>
        <item x="2378"/>
        <item x="3317"/>
        <item x="3321"/>
        <item m="1" x="5918"/>
        <item x="564"/>
        <item x="3327"/>
        <item m="1" x="7776"/>
        <item m="1" x="3552"/>
        <item m="1" x="3608"/>
        <item m="1" x="3612"/>
        <item m="1" x="3613"/>
        <item m="1" x="3558"/>
        <item m="1" x="3614"/>
        <item m="1" x="3663"/>
        <item m="1" x="3559"/>
        <item m="1" x="3560"/>
        <item m="1" x="3561"/>
        <item m="1" x="3615"/>
        <item m="1" x="3667"/>
        <item m="1" x="3562"/>
        <item m="1" x="3616"/>
        <item m="1" x="3695"/>
        <item m="1" x="3617"/>
        <item m="1" x="3696"/>
        <item m="1" x="3619"/>
        <item m="1" x="3668"/>
        <item m="1" x="3620"/>
        <item m="1" x="3564"/>
        <item m="1" x="5400"/>
        <item m="1" x="3674"/>
        <item m="1" x="3676"/>
        <item m="1" x="3579"/>
        <item m="1" x="3675"/>
        <item m="1" x="3631"/>
        <item m="1" x="6941"/>
        <item m="1" x="3575"/>
        <item m="1" x="3582"/>
        <item m="1" x="3569"/>
        <item m="1" x="3574"/>
        <item m="1" x="3698"/>
        <item m="1" x="5823"/>
        <item m="1" x="3637"/>
        <item m="1" x="5535"/>
        <item m="1" x="3638"/>
        <item m="1" x="3590"/>
        <item m="1" x="3678"/>
        <item m="1" x="5995"/>
        <item m="1" x="3679"/>
        <item m="1" x="5996"/>
        <item m="1" x="3591"/>
        <item m="1" x="4124"/>
        <item m="1" x="6772"/>
        <item m="1" x="3680"/>
        <item m="1" x="5366"/>
        <item m="1" x="3699"/>
        <item m="1" x="3681"/>
        <item m="1" x="7634"/>
        <item m="1" x="3682"/>
        <item m="1" x="3639"/>
        <item m="1" x="7118"/>
        <item m="1" x="7113"/>
        <item m="1" x="3566"/>
        <item m="1" x="3916"/>
        <item x="856"/>
        <item m="1" x="3604"/>
        <item m="1" x="3656"/>
        <item m="1" x="3657"/>
        <item m="1" x="3605"/>
        <item m="1" x="3548"/>
        <item m="1" x="3658"/>
        <item m="1" x="3659"/>
        <item m="1" x="3660"/>
        <item m="1" x="3690"/>
        <item m="1" x="3661"/>
        <item m="1" x="3662"/>
        <item m="1" x="3691"/>
        <item m="1" x="5998"/>
        <item m="1" x="3702"/>
        <item m="1" x="4579"/>
        <item m="1" x="4580"/>
        <item m="1" x="4595"/>
        <item m="1" x="4581"/>
        <item m="1" x="4582"/>
        <item m="1" x="5840"/>
        <item x="2762"/>
        <item x="2763"/>
        <item x="3117"/>
        <item x="3118"/>
        <item x="2764"/>
        <item m="1" x="7695"/>
        <item x="2026"/>
        <item x="1022"/>
        <item x="2027"/>
        <item m="1" x="6069"/>
        <item x="3265"/>
        <item x="2765"/>
        <item x="3380"/>
        <item x="1784"/>
        <item m="1" x="7861"/>
        <item x="2609"/>
        <item m="1" x="7693"/>
        <item m="1" x="7463"/>
        <item x="2610"/>
        <item m="1" x="3776"/>
        <item x="1221"/>
        <item m="1" x="7590"/>
        <item m="1" x="7708"/>
        <item x="3103"/>
        <item m="1" x="6435"/>
        <item m="1" x="3874"/>
        <item x="1324"/>
        <item x="1327"/>
        <item x="1329"/>
        <item x="404"/>
        <item x="1334"/>
        <item x="1335"/>
        <item x="1336"/>
        <item x="2916"/>
        <item x="2262"/>
        <item x="3183"/>
        <item x="407"/>
        <item x="408"/>
        <item x="1338"/>
        <item x="1339"/>
        <item x="2917"/>
        <item x="2263"/>
        <item x="410"/>
        <item x="411"/>
        <item x="2264"/>
        <item x="2918"/>
        <item x="412"/>
        <item x="413"/>
        <item x="414"/>
        <item x="1344"/>
        <item x="1345"/>
        <item x="418"/>
        <item x="419"/>
        <item x="1346"/>
        <item x="2266"/>
        <item x="2267"/>
        <item x="1347"/>
        <item x="2268"/>
        <item x="420"/>
        <item x="421"/>
        <item x="422"/>
        <item x="1350"/>
        <item x="2269"/>
        <item x="2270"/>
        <item x="2271"/>
        <item x="2272"/>
        <item x="2273"/>
        <item x="2274"/>
        <item x="1352"/>
        <item x="1353"/>
        <item x="1354"/>
        <item x="1355"/>
        <item x="1356"/>
        <item x="2275"/>
        <item x="1359"/>
        <item x="1360"/>
        <item x="1362"/>
        <item x="2276"/>
        <item x="1364"/>
        <item x="1365"/>
        <item x="1366"/>
        <item x="425"/>
        <item x="1368"/>
        <item x="1369"/>
        <item x="2279"/>
        <item x="1370"/>
        <item x="427"/>
        <item x="428"/>
        <item x="429"/>
        <item x="35"/>
        <item x="2920"/>
        <item x="2282"/>
        <item x="1373"/>
        <item x="1374"/>
        <item x="1375"/>
        <item x="431"/>
        <item x="432"/>
        <item x="433"/>
        <item x="1376"/>
        <item x="2922"/>
        <item x="434"/>
        <item x="2925"/>
        <item x="2285"/>
        <item x="1378"/>
        <item x="1379"/>
        <item x="1380"/>
        <item x="1381"/>
        <item x="2927"/>
        <item x="2286"/>
        <item x="2928"/>
        <item x="1382"/>
        <item x="1383"/>
        <item x="2929"/>
        <item x="2930"/>
        <item x="435"/>
        <item x="436"/>
        <item x="1384"/>
        <item x="437"/>
        <item x="36"/>
        <item x="1385"/>
        <item x="1393"/>
        <item x="1394"/>
        <item x="2290"/>
        <item x="2292"/>
        <item x="2666"/>
        <item m="1" x="4613"/>
        <item m="1" x="7925"/>
        <item m="1" x="4611"/>
        <item m="1" x="7910"/>
        <item m="1" x="4615"/>
        <item m="1" x="4614"/>
        <item m="1" x="7812"/>
        <item m="1" x="7924"/>
        <item m="1" x="7823"/>
        <item m="1" x="7947"/>
        <item m="1" x="7933"/>
        <item m="1" x="7835"/>
        <item m="1" x="7965"/>
        <item m="1" x="7870"/>
        <item m="1" x="7792"/>
        <item m="1" x="7836"/>
        <item m="1" x="7871"/>
        <item m="1" x="7893"/>
        <item m="1" x="7837"/>
        <item m="1" x="7838"/>
        <item m="1" x="6979"/>
        <item m="1" x="6729"/>
        <item m="1" x="7044"/>
        <item m="1" x="6736"/>
        <item m="1" x="5489"/>
        <item m="1" x="5774"/>
        <item m="1" x="5635"/>
        <item m="1" x="5487"/>
        <item m="1" x="5383"/>
        <item m="1" x="5494"/>
        <item m="1" x="5668"/>
        <item m="1" x="5666"/>
        <item m="1" x="5658"/>
        <item m="1" x="5669"/>
        <item m="1" x="5382"/>
        <item m="1" x="5378"/>
        <item m="1" x="5787"/>
        <item m="1" x="5381"/>
        <item m="1" x="5377"/>
        <item m="1" x="5484"/>
        <item m="1" x="5380"/>
        <item x="3328"/>
        <item m="1" x="7567"/>
        <item m="1" x="5036"/>
        <item x="2572"/>
        <item x="1721"/>
        <item x="1727"/>
        <item x="2573"/>
        <item x="816"/>
        <item m="1" x="6834"/>
        <item x="1701"/>
        <item x="3048"/>
        <item x="2649"/>
        <item x="971"/>
        <item x="2668"/>
        <item m="1" x="4202"/>
        <item m="1" x="4203"/>
        <item m="1" x="4196"/>
        <item m="1" x="4204"/>
        <item m="1" x="4205"/>
        <item m="1" x="4206"/>
        <item m="1" x="4214"/>
        <item m="1" x="4207"/>
        <item m="1" x="4215"/>
        <item m="1" x="4208"/>
        <item m="1" x="4197"/>
        <item m="1" x="4209"/>
        <item m="1" x="4210"/>
        <item m="1" x="4198"/>
        <item m="1" x="4211"/>
        <item m="1" x="4212"/>
        <item m="1" x="4213"/>
        <item m="1" x="4199"/>
        <item m="1" x="4876"/>
        <item m="1" x="6374"/>
        <item m="1" x="4856"/>
        <item m="1" x="5879"/>
        <item m="1" x="5576"/>
        <item m="1" x="7122"/>
        <item m="1" x="3704"/>
        <item x="1724"/>
        <item m="1" x="3743"/>
        <item m="1" x="4093"/>
        <item m="1" x="5109"/>
        <item m="1" x="5173"/>
        <item m="1" x="5174"/>
        <item m="1" x="5154"/>
        <item m="1" x="5175"/>
        <item m="1" x="5155"/>
        <item m="1" x="5156"/>
        <item m="1" x="5110"/>
        <item m="1" x="5176"/>
        <item m="1" x="5177"/>
        <item m="1" x="5178"/>
        <item m="1" x="5184"/>
        <item m="1" x="5161"/>
        <item m="1" x="5136"/>
        <item m="1" x="5160"/>
        <item m="1" x="5124"/>
        <item m="1" x="5165"/>
        <item m="1" x="5120"/>
        <item m="1" x="5128"/>
        <item m="1" x="5118"/>
        <item m="1" x="5090"/>
        <item m="1" x="5116"/>
        <item x="1636"/>
        <item x="695"/>
        <item x="2481"/>
        <item m="1" x="7794"/>
        <item m="1" x="7782"/>
        <item m="1" x="4896"/>
        <item m="1" x="7513"/>
        <item m="1" x="7783"/>
        <item x="1116"/>
        <item m="1" x="6650"/>
        <item m="1" x="7760"/>
        <item x="1214"/>
        <item x="2878"/>
        <item m="1" x="7136"/>
        <item x="370"/>
        <item m="1" x="5719"/>
        <item m="1" x="4298"/>
        <item m="1" x="6466"/>
        <item x="258"/>
        <item m="1" x="7990"/>
        <item m="1" x="7962"/>
        <item m="1" x="7194"/>
        <item m="1" x="6948"/>
        <item m="1" x="3823"/>
        <item x="1310"/>
        <item x="384"/>
        <item m="1" x="7560"/>
        <item m="1" x="7230"/>
        <item m="1" x="5734"/>
        <item m="1" x="7665"/>
        <item m="1" x="5880"/>
        <item m="1" x="5841"/>
        <item m="1" x="5578"/>
        <item m="1" x="7673"/>
        <item m="1" x="5579"/>
        <item m="1" x="5735"/>
        <item m="1" x="4069"/>
        <item m="1" x="3900"/>
        <item m="1" x="3901"/>
        <item m="1" x="3971"/>
        <item m="1" x="3902"/>
        <item m="1" x="3903"/>
        <item m="1" x="7706"/>
        <item x="2300"/>
        <item x="1406"/>
        <item x="449"/>
        <item m="1" x="4200"/>
        <item m="1" x="4201"/>
        <item m="1" x="4233"/>
        <item m="1" x="4485"/>
        <item m="1" x="4309"/>
        <item m="1" x="4313"/>
        <item m="1" x="4314"/>
        <item m="1" x="4238"/>
        <item m="1" x="4241"/>
        <item m="1" x="4426"/>
        <item m="1" x="4494"/>
        <item m="1" x="4331"/>
        <item m="1" x="4248"/>
        <item x="2440"/>
        <item m="1" x="4249"/>
        <item m="1" x="4332"/>
        <item m="1" x="5742"/>
        <item m="1" x="4333"/>
        <item m="1" x="4434"/>
        <item m="1" x="7992"/>
        <item m="1" x="6624"/>
        <item m="1" x="4334"/>
        <item m="1" x="6875"/>
        <item m="1" x="4435"/>
        <item m="1" x="6793"/>
        <item m="1" x="7373"/>
        <item m="1" x="4436"/>
        <item m="1" x="4251"/>
        <item m="1" x="4492"/>
        <item m="1" x="6571"/>
        <item m="1" x="4404"/>
        <item x="1245"/>
        <item m="1" x="4475"/>
        <item x="50"/>
        <item x="488"/>
        <item m="1" x="7385"/>
        <item m="1" x="6576"/>
        <item m="1" x="7789"/>
        <item m="1" x="7802"/>
        <item m="1" x="7901"/>
        <item m="1" x="7530"/>
        <item m="1" x="6805"/>
        <item m="1" x="6748"/>
        <item m="1" x="7048"/>
        <item m="1" x="7040"/>
        <item m="1" x="7049"/>
        <item m="1" x="7052"/>
        <item m="1" x="6751"/>
        <item m="1" x="6972"/>
        <item m="1" x="6894"/>
        <item m="1" x="6716"/>
        <item m="1" x="7039"/>
        <item m="1" x="6709"/>
        <item m="1" x="6967"/>
        <item m="1" x="6890"/>
        <item m="1" x="7054"/>
        <item m="1" x="6896"/>
        <item m="1" x="7043"/>
        <item m="1" x="6712"/>
        <item m="1" x="6892"/>
        <item m="1" x="6699"/>
        <item m="1" x="6798"/>
        <item m="1" x="7894"/>
        <item m="1" x="4583"/>
        <item m="1" x="7976"/>
        <item m="1" x="7393"/>
        <item x="570"/>
        <item x="554"/>
        <item x="3326"/>
        <item x="3335"/>
        <item m="1" x="4685"/>
        <item m="1" x="4191"/>
        <item m="1" x="7423"/>
        <item m="1" x="7416"/>
        <item m="1" x="7431"/>
        <item m="1" x="6755"/>
        <item x="1588"/>
        <item x="678"/>
        <item m="1" x="5492"/>
        <item m="1" x="5646"/>
        <item m="1" x="5493"/>
        <item m="1" x="5651"/>
        <item m="1" x="5379"/>
        <item m="1" x="5656"/>
        <item m="1" x="5481"/>
        <item x="810"/>
        <item x="814"/>
        <item m="1" x="5501"/>
        <item m="1" x="5674"/>
        <item m="1" x="7935"/>
        <item x="1735"/>
        <item m="1" x="5017"/>
        <item x="824"/>
        <item x="1739"/>
        <item x="2578"/>
        <item x="2579"/>
        <item x="1746"/>
        <item x="2580"/>
        <item x="825"/>
        <item x="828"/>
        <item x="829"/>
        <item m="1" x="5792"/>
        <item x="1759"/>
        <item x="3247"/>
        <item x="855"/>
        <item x="2608"/>
        <item m="1" x="6631"/>
        <item m="1" x="7712"/>
        <item m="1" x="7639"/>
        <item x="2611"/>
        <item x="839"/>
        <item m="1" x="6909"/>
        <item x="1763"/>
        <item x="838"/>
        <item x="2993"/>
        <item x="3053"/>
        <item m="1" x="5675"/>
        <item m="1" x="7799"/>
        <item m="1" x="4931"/>
        <item m="1" x="4936"/>
        <item x="3368"/>
        <item x="3371"/>
        <item x="3372"/>
        <item x="3373"/>
        <item m="1" x="4984"/>
        <item m="1" x="5923"/>
        <item x="3374"/>
        <item m="1" x="7006"/>
        <item m="1" x="7076"/>
        <item m="1" x="7557"/>
        <item m="1" x="7597"/>
        <item m="1" x="5061"/>
        <item m="1" x="5068"/>
        <item m="1" x="5069"/>
        <item m="1" x="5072"/>
        <item m="1" x="7694"/>
        <item m="1" x="5801"/>
        <item m="1" x="5522"/>
        <item x="1988"/>
        <item m="1" x="5804"/>
        <item x="2015"/>
        <item m="1" x="3522"/>
        <item m="1" x="4554"/>
        <item m="1" x="4531"/>
        <item m="1" x="4532"/>
        <item m="1" x="4540"/>
        <item m="1" x="7726"/>
        <item m="1" x="4552"/>
        <item m="1" x="7055"/>
        <item m="1" x="4533"/>
        <item m="1" x="7729"/>
        <item m="1" x="7895"/>
        <item m="1" x="6139"/>
        <item m="1" x="6043"/>
        <item m="1" x="6219"/>
        <item m="1" x="6130"/>
        <item m="1" x="6046"/>
        <item m="1" x="5159"/>
        <item m="1" x="5130"/>
        <item m="1" x="5183"/>
        <item m="1" x="5162"/>
        <item m="1" x="5139"/>
        <item m="1" x="5099"/>
        <item m="1" x="5121"/>
        <item m="1" x="5125"/>
        <item m="1" x="7548"/>
        <item m="1" x="5137"/>
        <item m="1" x="5141"/>
        <item m="1" x="7881"/>
        <item m="1" x="5163"/>
        <item m="1" x="5131"/>
        <item m="1" x="5140"/>
        <item m="1" x="5129"/>
        <item m="1" x="5092"/>
        <item m="1" x="5122"/>
        <item m="1" x="5100"/>
        <item m="1" x="5135"/>
        <item m="1" x="7724"/>
        <item m="1" x="7647"/>
        <item m="1" x="5188"/>
        <item m="1" x="5172"/>
        <item m="1" x="5152"/>
        <item m="1" x="5153"/>
        <item m="1" x="7742"/>
        <item m="1" x="7137"/>
        <item x="18"/>
        <item x="1238"/>
        <item m="1" x="7158"/>
        <item m="1" x="7725"/>
        <item x="1229"/>
        <item x="341"/>
        <item x="2887"/>
        <item x="1224"/>
        <item m="1" x="7128"/>
        <item m="1" x="5832"/>
        <item x="2889"/>
        <item m="1" x="7717"/>
        <item m="1" x="7138"/>
        <item x="2204"/>
        <item m="1" x="5411"/>
        <item m="1" x="6004"/>
        <item m="1" x="7027"/>
        <item m="1" x="7743"/>
        <item m="1" x="6545"/>
        <item x="2187"/>
        <item m="1" x="3729"/>
        <item x="2193"/>
        <item x="2167"/>
        <item x="369"/>
        <item m="1" x="7376"/>
        <item m="1" x="4335"/>
        <item m="1" x="4336"/>
        <item m="1" x="6496"/>
        <item m="1" x="4216"/>
        <item m="1" x="6203"/>
        <item m="1" x="7923"/>
        <item m="1" x="4522"/>
        <item m="1" x="6405"/>
        <item x="644"/>
        <item m="1" x="5088"/>
        <item m="1" x="5119"/>
        <item m="1" x="5093"/>
        <item m="1" x="5111"/>
        <item m="1" x="7704"/>
        <item m="1" x="6440"/>
        <item x="2030"/>
        <item m="1" x="7831"/>
        <item m="1" x="5655"/>
        <item m="1" x="3804"/>
        <item m="1" x="6447"/>
        <item x="991"/>
        <item x="2716"/>
        <item m="1" x="3809"/>
        <item m="1" x="7179"/>
        <item m="1" x="4365"/>
        <item m="1" x="3859"/>
        <item m="1" x="7191"/>
        <item m="1" x="7672"/>
        <item m="1" x="3852"/>
        <item m="1" x="7568"/>
        <item m="1" x="7945"/>
        <item m="1" x="7702"/>
        <item m="1" x="7892"/>
        <item m="1" x="7187"/>
        <item m="1" x="5429"/>
        <item m="1" x="6683"/>
        <item m="1" x="6685"/>
        <item m="1" x="6684"/>
        <item m="1" x="3864"/>
        <item m="1" x="6950"/>
        <item m="1" x="7932"/>
        <item m="1" x="7215"/>
        <item m="1" x="7584"/>
        <item m="1" x="7585"/>
        <item m="1" x="7224"/>
        <item m="1" x="7808"/>
        <item m="1" x="7208"/>
        <item m="1" x="7680"/>
        <item m="1" x="7525"/>
        <item m="1" x="5731"/>
        <item m="1" x="7738"/>
        <item m="1" x="7227"/>
        <item m="1" x="6469"/>
        <item m="1" x="7232"/>
        <item m="1" x="7604"/>
        <item m="1" x="7561"/>
        <item m="1" x="7221"/>
        <item m="1" x="7690"/>
        <item m="1" x="7654"/>
        <item m="1" x="7222"/>
        <item m="1" x="6618"/>
        <item m="1" x="6387"/>
        <item m="1" x="6791"/>
        <item m="1" x="7047"/>
        <item m="1" x="6754"/>
        <item m="1" x="7051"/>
        <item m="1" x="6883"/>
        <item m="1" x="7674"/>
        <item m="1" x="6719"/>
        <item x="535"/>
        <item m="1" x="5760"/>
        <item m="1" x="6984"/>
        <item x="295"/>
        <item m="1" x="6513"/>
        <item m="1" x="7402"/>
        <item m="1" x="7948"/>
        <item m="1" x="4754"/>
        <item m="1" x="4742"/>
        <item m="1" x="7853"/>
        <item m="1" x="7659"/>
        <item m="1" x="7437"/>
        <item m="1" x="7978"/>
        <item m="1" x="7436"/>
        <item m="1" x="4756"/>
        <item m="1" x="4729"/>
        <item m="1" x="7629"/>
        <item m="1" x="7645"/>
        <item m="1" x="7685"/>
        <item m="1" x="7723"/>
        <item m="1" x="7435"/>
        <item x="1592"/>
        <item x="1593"/>
        <item x="2453"/>
        <item m="1" x="7854"/>
        <item m="1" x="5473"/>
        <item m="1" x="5476"/>
        <item m="1" x="5777"/>
        <item m="1" x="5785"/>
        <item x="797"/>
        <item x="3248"/>
        <item m="1" x="6425"/>
        <item x="857"/>
        <item x="858"/>
        <item x="3054"/>
        <item x="3375"/>
        <item m="1" x="5924"/>
        <item m="1" x="5925"/>
        <item m="1" x="6308"/>
        <item m="1" x="6692"/>
        <item m="1" x="4986"/>
        <item m="1" x="5926"/>
        <item x="3377"/>
        <item x="3378"/>
        <item x="3379"/>
        <item x="1829"/>
        <item x="899"/>
        <item x="169"/>
        <item x="170"/>
        <item x="900"/>
        <item m="1" x="7067"/>
        <item m="1" x="7003"/>
        <item m="1" x="7004"/>
        <item m="1" x="6915"/>
        <item m="1" x="7068"/>
        <item x="1843"/>
        <item x="1847"/>
        <item x="3095"/>
        <item x="1996"/>
        <item x="1997"/>
        <item x="1015"/>
        <item x="2005"/>
        <item x="2006"/>
        <item m="1" x="6641"/>
        <item m="1" x="7484"/>
        <item x="3111"/>
        <item m="1" x="5762"/>
        <item x="441"/>
        <item m="1" x="6647"/>
        <item m="1" x="4874"/>
        <item m="1" x="6375"/>
        <item m="1" x="4875"/>
        <item m="1" x="4879"/>
        <item m="1" x="6260"/>
        <item m="1" x="4867"/>
        <item m="1" x="4868"/>
        <item m="1" x="4869"/>
        <item m="1" x="6646"/>
        <item m="1" x="4872"/>
        <item m="1" x="4849"/>
        <item m="1" x="4236"/>
        <item x="2951"/>
        <item m="1" x="7501"/>
        <item x="1422"/>
        <item m="1" x="4596"/>
        <item m="1" x="4597"/>
        <item m="1" x="4573"/>
        <item m="1" x="4574"/>
        <item m="1" x="4598"/>
        <item m="1" x="4570"/>
        <item m="1" x="4612"/>
        <item m="1" x="4670"/>
        <item x="2981"/>
        <item x="2416"/>
        <item m="1" x="6048"/>
        <item m="1" x="6270"/>
        <item x="2977"/>
        <item x="2411"/>
        <item x="2433"/>
        <item x="1545"/>
        <item m="1" x="6133"/>
        <item x="156"/>
        <item m="1" x="6273"/>
        <item m="1" x="7546"/>
        <item m="1" x="7409"/>
        <item x="145"/>
        <item m="1" x="6759"/>
        <item m="1" x="7733"/>
        <item m="1" x="6128"/>
        <item x="2432"/>
        <item m="1" x="6221"/>
        <item x="1601"/>
        <item m="1" x="4631"/>
        <item m="1" x="5202"/>
        <item m="1" x="5274"/>
        <item m="1" x="6234"/>
        <item m="1" x="5239"/>
        <item m="1" x="5209"/>
        <item m="1" x="6765"/>
        <item m="1" x="5299"/>
        <item m="1" x="7968"/>
        <item m="1" x="5216"/>
        <item m="1" x="6433"/>
        <item m="1" x="5190"/>
        <item m="1" x="6932"/>
        <item x="37"/>
        <item x="1388"/>
        <item x="2287"/>
        <item m="1" x="7821"/>
        <item x="1507"/>
        <item m="1" x="7888"/>
        <item m="1" x="5418"/>
        <item m="1" x="7160"/>
        <item x="1237"/>
        <item m="1" x="7610"/>
        <item m="1" x="7174"/>
        <item x="2190"/>
        <item m="1" x="7170"/>
        <item m="1" x="7123"/>
        <item m="1" x="6944"/>
        <item m="1" x="7139"/>
        <item m="1" x="6356"/>
        <item x="2881"/>
        <item x="2884"/>
        <item m="1" x="5550"/>
        <item x="2879"/>
        <item m="1" x="5830"/>
        <item m="1" x="7551"/>
        <item m="1" x="7161"/>
        <item m="1" x="7140"/>
        <item m="1" x="7558"/>
        <item m="1" x="7522"/>
        <item x="2360"/>
        <item m="1" x="6361"/>
        <item x="1239"/>
        <item m="1" x="5829"/>
        <item m="1" x="7701"/>
        <item m="1" x="6602"/>
        <item x="2200"/>
        <item m="1" x="6550"/>
        <item x="20"/>
        <item m="1" x="6322"/>
        <item m="1" x="5831"/>
        <item x="342"/>
        <item x="2883"/>
        <item x="2909"/>
        <item m="1" x="6608"/>
        <item x="972"/>
        <item x="1304"/>
        <item m="1" x="3806"/>
        <item m="1" x="7651"/>
        <item m="1" x="7189"/>
        <item m="1" x="7946"/>
        <item m="1" x="3853"/>
        <item m="1" x="7554"/>
        <item m="1" x="4259"/>
        <item m="1" x="7869"/>
        <item m="1" x="6694"/>
        <item m="1" x="5729"/>
        <item m="1" x="5730"/>
        <item m="1" x="7714"/>
        <item m="1" x="7921"/>
        <item m="1" x="7653"/>
        <item m="1" x="7527"/>
        <item m="1" x="7213"/>
        <item m="1" x="7030"/>
        <item m="1" x="6555"/>
        <item m="1" x="5434"/>
        <item m="1" x="4070"/>
        <item m="1" x="4232"/>
        <item m="1" x="4414"/>
        <item m="1" x="4244"/>
        <item m="1" x="4496"/>
        <item m="1" x="4497"/>
        <item m="1" x="7588"/>
        <item m="1" x="4252"/>
        <item m="1" x="4217"/>
        <item m="1" x="4498"/>
        <item m="1" x="7851"/>
        <item m="1" x="4253"/>
        <item m="1" x="4218"/>
        <item m="1" x="4516"/>
        <item m="1" x="7720"/>
        <item m="1" x="6024"/>
        <item m="1" x="6956"/>
        <item m="1" x="4337"/>
        <item m="1" x="5438"/>
        <item m="1" x="4254"/>
        <item m="1" x="4262"/>
        <item m="1" x="4499"/>
        <item m="1" x="7964"/>
        <item m="1" x="7786"/>
        <item m="1" x="5597"/>
        <item m="1" x="7872"/>
        <item m="1" x="5751"/>
        <item x="495"/>
        <item x="2960"/>
        <item m="1" x="7625"/>
        <item m="1" x="4527"/>
        <item m="1" x="7046"/>
        <item m="1" x="6812"/>
        <item m="1" x="6735"/>
        <item m="1" x="6717"/>
        <item m="1" x="6814"/>
        <item m="1" x="6806"/>
        <item m="1" x="6815"/>
        <item m="1" x="6885"/>
        <item m="1" x="6964"/>
        <item m="1" x="6977"/>
        <item m="1" x="7041"/>
        <item m="1" x="7038"/>
        <item m="1" x="7042"/>
        <item m="1" x="4534"/>
        <item m="1" x="4541"/>
        <item m="1" x="6898"/>
        <item m="1" x="4542"/>
        <item m="1" x="4543"/>
        <item m="1" x="7790"/>
        <item x="532"/>
        <item x="533"/>
        <item x="540"/>
        <item m="1" x="7398"/>
        <item m="1" x="6583"/>
        <item m="1" x="6584"/>
        <item x="1574"/>
        <item x="1575"/>
        <item x="78"/>
        <item m="1" x="6406"/>
        <item x="645"/>
        <item m="1" x="7852"/>
        <item m="1" x="4680"/>
        <item m="1" x="6410"/>
        <item x="3086"/>
        <item m="1" x="7418"/>
        <item m="1" x="7419"/>
        <item m="1" x="7428"/>
        <item m="1" x="7518"/>
        <item m="1" x="7433"/>
        <item m="1" x="7421"/>
        <item m="1" x="7764"/>
        <item x="1594"/>
        <item x="1595"/>
        <item m="1" x="7926"/>
        <item m="1" x="5779"/>
        <item m="1" x="5649"/>
        <item m="1" x="5644"/>
        <item x="3039"/>
        <item x="2540"/>
        <item x="1690"/>
        <item m="1" x="4900"/>
        <item m="1" x="7455"/>
        <item m="1" x="7454"/>
        <item m="1" x="5448"/>
        <item m="1" x="6032"/>
        <item m="1" x="6421"/>
        <item m="1" x="6420"/>
        <item x="859"/>
        <item x="860"/>
        <item x="3055"/>
        <item m="1" x="7466"/>
        <item m="1" x="5794"/>
        <item x="3251"/>
        <item m="1" x="5882"/>
        <item x="1808"/>
        <item m="1" x="5928"/>
        <item x="3381"/>
        <item m="1" x="4987"/>
        <item m="1" x="5929"/>
        <item x="3382"/>
        <item x="3383"/>
        <item m="1" x="5930"/>
        <item x="3384"/>
        <item m="1" x="6309"/>
        <item m="1" x="4988"/>
        <item m="1" x="5931"/>
        <item x="3386"/>
        <item m="1" x="6838"/>
        <item m="1" x="7007"/>
        <item m="1" x="7473"/>
        <item m="1" x="7078"/>
        <item x="193"/>
        <item x="1873"/>
        <item x="2645"/>
        <item x="3259"/>
        <item m="1" x="5687"/>
        <item m="1" x="6918"/>
        <item x="2650"/>
        <item m="1" x="7575"/>
        <item x="945"/>
        <item x="1867"/>
        <item x="1868"/>
        <item x="2656"/>
        <item x="959"/>
        <item m="1" x="5249"/>
        <item m="1" x="5251"/>
        <item m="1" x="7480"/>
        <item m="1" x="7939"/>
        <item m="1" x="7986"/>
        <item m="1" x="7956"/>
        <item x="2749"/>
        <item x="3107"/>
        <item m="1" x="7957"/>
        <item x="1030"/>
        <item x="1528"/>
        <item m="1" x="5080"/>
        <item m="1" x="7360"/>
        <item m="1" x="4575"/>
        <item m="1" x="4585"/>
        <item m="1" x="4586"/>
        <item m="1" x="7721"/>
        <item m="1" x="4789"/>
        <item m="1" x="4787"/>
        <item m="1" x="4786"/>
        <item m="1" x="4781"/>
        <item m="1" x="6147"/>
        <item m="1" x="4777"/>
        <item m="1" x="4814"/>
        <item m="1" x="4808"/>
        <item m="1" x="4835"/>
        <item m="1" x="4803"/>
        <item m="1" x="4799"/>
        <item m="1" x="4800"/>
        <item m="1" x="5016"/>
        <item m="1" x="4778"/>
        <item m="1" x="4809"/>
        <item m="1" x="4788"/>
        <item m="1" x="4819"/>
        <item m="1" x="4764"/>
        <item x="86"/>
        <item m="1" x="7547"/>
        <item x="1639"/>
        <item m="1" x="7842"/>
        <item x="2483"/>
        <item m="1" x="7873"/>
        <item x="699"/>
        <item m="1" x="7855"/>
        <item x="87"/>
        <item m="1" x="7856"/>
        <item x="2486"/>
        <item x="1641"/>
        <item x="1642"/>
        <item x="700"/>
        <item x="2490"/>
        <item x="2252"/>
        <item m="1" x="3871"/>
        <item m="1" x="7807"/>
        <item x="3463"/>
        <item m="1" x="3869"/>
        <item m="1" x="3872"/>
        <item m="1" x="6298"/>
        <item m="1" x="7772"/>
        <item m="1" x="7773"/>
        <item x="1420"/>
        <item x="1418"/>
        <item x="48"/>
        <item x="1419"/>
        <item m="1" x="6504"/>
        <item m="1" x="6505"/>
        <item m="1" x="6396"/>
        <item m="1" x="6501"/>
        <item m="1" x="6502"/>
        <item m="1" x="6397"/>
        <item m="1" x="6577"/>
        <item m="1" x="6668"/>
        <item m="1" x="6398"/>
        <item m="1" x="6328"/>
        <item m="1" x="6399"/>
        <item m="1" x="6329"/>
        <item m="1" x="6400"/>
        <item m="1" x="6503"/>
        <item x="1445"/>
        <item x="498"/>
        <item m="1" x="7389"/>
        <item x="499"/>
        <item m="1" x="7531"/>
        <item x="1474"/>
        <item m="1" x="7656"/>
        <item m="1" x="7545"/>
        <item m="1" x="7682"/>
        <item m="1" x="7571"/>
        <item m="1" x="7683"/>
        <item m="1" x="7626"/>
        <item m="1" x="7840"/>
        <item x="2829"/>
        <item x="261"/>
        <item m="1" x="6165"/>
        <item x="377"/>
        <item m="1" x="6102"/>
        <item m="1" x="5420"/>
        <item m="1" x="3777"/>
        <item m="1" x="5727"/>
        <item m="1" x="6609"/>
        <item m="1" x="7502"/>
        <item m="1" x="6465"/>
        <item m="1" x="7183"/>
        <item x="2710"/>
        <item m="1" x="5195"/>
        <item x="2250"/>
        <item x="2910"/>
        <item m="1" x="3870"/>
        <item x="1309"/>
        <item x="2251"/>
        <item m="1" x="7784"/>
        <item m="1" x="7833"/>
        <item x="1713"/>
        <item m="1" x="3875"/>
        <item m="1" x="4149"/>
        <item m="1" x="3905"/>
        <item x="2323"/>
        <item m="1" x="4255"/>
        <item m="1" x="7908"/>
        <item m="1" x="4405"/>
        <item m="1" x="7839"/>
        <item m="1" x="4521"/>
        <item x="490"/>
        <item x="1471"/>
        <item x="1472"/>
        <item m="1" x="7532"/>
        <item x="2967"/>
        <item x="2365"/>
        <item x="524"/>
        <item x="525"/>
        <item x="526"/>
        <item x="3088"/>
        <item x="528"/>
        <item m="1" x="7751"/>
        <item x="1473"/>
        <item m="1" x="7735"/>
        <item m="1" x="7667"/>
        <item x="2366"/>
        <item x="529"/>
        <item x="1475"/>
        <item m="1" x="7730"/>
        <item x="56"/>
        <item m="1" x="7396"/>
        <item m="1" x="5614"/>
        <item x="3313"/>
        <item m="1" x="6689"/>
        <item x="2972"/>
        <item m="1" x="6690"/>
        <item x="3315"/>
        <item x="3318"/>
        <item m="1" x="7399"/>
        <item x="3323"/>
        <item x="3324"/>
        <item x="3332"/>
        <item m="1" x="6514"/>
        <item m="1" x="7777"/>
        <item m="1" x="7057"/>
        <item m="1" x="4627"/>
        <item m="1" x="7403"/>
        <item x="646"/>
        <item m="1" x="7413"/>
        <item m="1" x="6143"/>
        <item m="1" x="5978"/>
        <item x="1577"/>
        <item m="1" x="6517"/>
        <item m="1" x="7606"/>
        <item m="1" x="7414"/>
        <item m="1" x="4763"/>
        <item m="1" x="6524"/>
        <item x="666"/>
        <item x="2454"/>
        <item x="1596"/>
        <item x="1617"/>
        <item x="1631"/>
        <item x="2472"/>
        <item m="1" x="7444"/>
        <item m="1" x="5753"/>
        <item x="2464"/>
        <item m="1" x="5478"/>
        <item x="794"/>
        <item x="3476"/>
        <item x="1715"/>
        <item m="1" x="7785"/>
        <item x="1807"/>
        <item m="1" x="4990"/>
        <item x="3388"/>
        <item x="3389"/>
        <item m="1" x="5932"/>
        <item x="3391"/>
        <item x="3390"/>
        <item x="2142"/>
        <item m="1" x="5933"/>
        <item x="3392"/>
        <item x="3393"/>
        <item m="1" x="7779"/>
        <item m="1" x="6310"/>
        <item m="1" x="6311"/>
        <item x="3395"/>
        <item x="3510"/>
        <item x="683"/>
        <item x="3396"/>
        <item m="1" x="5030"/>
        <item m="1" x="7630"/>
        <item m="1" x="7521"/>
        <item m="1" x="7631"/>
        <item m="1" x="5037"/>
        <item m="1" x="7761"/>
        <item m="1" x="5063"/>
        <item m="1" x="5064"/>
        <item m="1" x="5073"/>
        <item m="1" x="5866"/>
        <item m="1" x="7019"/>
        <item x="2766"/>
        <item x="2029"/>
        <item m="1" x="7848"/>
        <item x="2767"/>
        <item x="2768"/>
        <item x="2031"/>
        <item x="2032"/>
        <item m="1" x="6240"/>
        <item m="1" x="7020"/>
        <item x="1025"/>
        <item m="1" x="7960"/>
        <item m="1" x="7800"/>
        <item x="2876"/>
        <item m="1" x="6454"/>
        <item m="1" x="5834"/>
        <item m="1" x="6359"/>
        <item x="2205"/>
        <item m="1" x="6355"/>
        <item m="1" x="7583"/>
        <item m="1" x="6949"/>
        <item m="1" x="3824"/>
        <item m="1" x="7920"/>
        <item m="1" x="7219"/>
        <item m="1" x="7801"/>
        <item m="1" x="7526"/>
        <item m="1" x="6566"/>
        <item m="1" x="6567"/>
        <item x="460"/>
        <item x="44"/>
        <item x="2320"/>
        <item x="461"/>
        <item x="462"/>
        <item m="1" x="7834"/>
        <item x="2322"/>
        <item m="1" x="6578"/>
        <item m="1" x="6725"/>
        <item m="1" x="6802"/>
        <item m="1" x="6734"/>
        <item m="1" x="6752"/>
        <item m="1" x="7050"/>
        <item m="1" x="6809"/>
        <item m="1" x="6817"/>
        <item m="1" x="6801"/>
        <item m="1" x="7841"/>
        <item m="1" x="7556"/>
        <item m="1" x="7902"/>
        <item m="1" x="4587"/>
        <item x="1544"/>
        <item x="1973"/>
        <item m="1" x="7813"/>
        <item x="1940"/>
        <item x="1534"/>
        <item x="1540"/>
        <item m="1" x="7410"/>
        <item m="1" x="6411"/>
        <item m="1" x="6760"/>
        <item m="1" x="6828"/>
        <item x="2409"/>
        <item x="1522"/>
        <item m="1" x="6224"/>
        <item x="1546"/>
        <item m="1" x="6225"/>
        <item x="1970"/>
        <item m="1" x="7564"/>
        <item x="1542"/>
        <item m="1" x="6138"/>
        <item m="1" x="7977"/>
        <item m="1" x="7407"/>
        <item m="1" x="6827"/>
        <item m="1" x="7417"/>
        <item m="1" x="7420"/>
        <item m="1" x="7432"/>
        <item m="1" x="7429"/>
        <item m="1" x="6146"/>
        <item m="1" x="4726"/>
        <item m="1" x="6413"/>
        <item m="1" x="7749"/>
        <item x="1787"/>
        <item x="1788"/>
        <item x="861"/>
        <item x="1827"/>
        <item m="1" x="6837"/>
        <item x="1831"/>
        <item x="895"/>
        <item m="1" x="7064"/>
        <item x="898"/>
        <item m="1" x="6914"/>
        <item x="166"/>
        <item m="1" x="7002"/>
        <item m="1" x="7066"/>
        <item x="1833"/>
        <item x="901"/>
        <item x="904"/>
        <item x="903"/>
        <item m="1" x="5509"/>
        <item x="902"/>
        <item x="171"/>
        <item m="1" x="7070"/>
        <item x="906"/>
        <item m="1" x="7071"/>
        <item m="1" x="7069"/>
        <item x="905"/>
        <item x="2639"/>
        <item m="1" x="7574"/>
        <item m="1" x="7476"/>
        <item x="923"/>
        <item x="924"/>
        <item x="954"/>
        <item m="1" x="7008"/>
        <item m="1" x="7474"/>
        <item m="1" x="5388"/>
        <item x="1852"/>
        <item x="947"/>
        <item x="958"/>
        <item m="1" x="6923"/>
        <item m="1" x="5206"/>
        <item m="1" x="7015"/>
        <item m="1" x="6839"/>
        <item m="1" x="7847"/>
        <item m="1" x="7686"/>
        <item m="1" x="6339"/>
        <item m="1" x="6925"/>
        <item m="1" x="7740"/>
        <item m="1" x="7952"/>
        <item m="1" x="5218"/>
        <item m="1" x="5314"/>
        <item m="1" x="5319"/>
        <item x="206"/>
        <item x="3092"/>
        <item x="2723"/>
        <item m="1" x="7929"/>
        <item m="1" x="7482"/>
        <item x="1014"/>
        <item x="471"/>
        <item m="1" x="7555"/>
        <item m="1" x="7536"/>
        <item m="1" x="7734"/>
        <item m="1" x="7613"/>
        <item x="2326"/>
        <item x="1423"/>
        <item m="1" x="6346"/>
        <item m="1" x="7959"/>
        <item x="2124"/>
        <item m="1" x="6851"/>
        <item m="1" x="7736"/>
        <item m="1" x="7732"/>
        <item m="1" x="7549"/>
        <item m="1" x="7649"/>
        <item m="1" x="7620"/>
        <item m="1" x="7697"/>
        <item m="1" x="7550"/>
        <item m="1" x="3573"/>
        <item m="1" x="7900"/>
        <item x="1515"/>
        <item m="1" x="6852"/>
        <item m="1" x="3640"/>
        <item m="1" x="6084"/>
        <item m="1" x="7741"/>
        <item m="1" x="7109"/>
        <item m="1" x="7104"/>
        <item m="1" x="3592"/>
        <item m="1" x="3547"/>
        <item m="1" x="3593"/>
        <item m="1" x="7105"/>
        <item m="1" x="7919"/>
        <item m="1" x="5997"/>
        <item m="1" x="7119"/>
        <item m="1" x="3594"/>
        <item m="1" x="3595"/>
        <item m="1" x="3683"/>
        <item m="1" x="5878"/>
        <item m="1" x="3641"/>
        <item m="1" x="7762"/>
        <item m="1" x="7110"/>
        <item m="1" x="3684"/>
        <item m="1" x="7106"/>
        <item m="1" x="7107"/>
        <item m="1" x="3642"/>
        <item m="1" x="7108"/>
        <item m="1" x="6853"/>
        <item m="1" x="7098"/>
        <item m="1" x="7099"/>
        <item m="1" x="7097"/>
        <item m="1" x="7100"/>
        <item m="1" x="7101"/>
        <item m="1" x="7102"/>
        <item m="1" x="3629"/>
        <item m="1" x="3572"/>
        <item m="1" x="3630"/>
        <item x="1027"/>
        <item m="1" x="3705"/>
        <item m="1" x="3712"/>
        <item m="1" x="3706"/>
        <item m="1" x="3713"/>
        <item m="1" x="6377"/>
        <item m="1" x="7973"/>
        <item m="1" x="7943"/>
        <item m="1" x="6357"/>
        <item x="520"/>
        <item x="1222"/>
        <item m="1" x="7650"/>
        <item m="1" x="5717"/>
        <item m="1" x="5416"/>
        <item m="1" x="5417"/>
        <item m="1" x="7542"/>
        <item m="1" x="7141"/>
        <item m="1" x="5414"/>
        <item m="1" x="6455"/>
        <item m="1" x="5716"/>
        <item m="1" x="6549"/>
        <item x="2203"/>
        <item m="1" x="6005"/>
        <item m="1" x="7142"/>
        <item m="1" x="6601"/>
        <item m="1" x="7552"/>
        <item m="1" x="5552"/>
        <item m="1" x="3741"/>
        <item m="1" x="3732"/>
        <item m="1" x="3733"/>
        <item m="1" x="3746"/>
        <item m="1" x="3742"/>
        <item m="1" x="3734"/>
        <item m="1" x="3736"/>
        <item m="1" x="3744"/>
        <item m="1" x="3747"/>
        <item m="1" x="3737"/>
        <item m="1" x="3738"/>
        <item m="1" x="7176"/>
        <item m="1" x="3751"/>
        <item m="1" x="3765"/>
        <item m="1" x="6462"/>
        <item x="1296"/>
        <item x="376"/>
        <item x="2238"/>
        <item x="1295"/>
        <item x="2908"/>
        <item m="1" x="5426"/>
        <item x="390"/>
        <item x="2720"/>
        <item m="1" x="7186"/>
        <item x="1951"/>
        <item m="1" x="4353"/>
        <item m="1" x="7195"/>
        <item m="1" x="6012"/>
        <item m="1" x="6013"/>
        <item m="1" x="7508"/>
        <item m="1" x="7603"/>
        <item x="2261"/>
        <item x="2307"/>
        <item m="1" x="7354"/>
        <item m="1" x="6621"/>
        <item m="1" x="6622"/>
        <item m="1" x="7370"/>
        <item m="1" x="6389"/>
        <item m="1" x="7500"/>
        <item x="385"/>
        <item m="1" x="4690"/>
        <item m="1" x="4490"/>
        <item m="1" x="4237"/>
        <item m="1" x="6022"/>
        <item m="1" x="6023"/>
        <item m="1" x="4437"/>
        <item m="1" x="7504"/>
        <item m="1" x="4256"/>
        <item m="1" x="4257"/>
        <item m="1" x="7715"/>
        <item m="1" x="7614"/>
        <item m="1" x="4258"/>
        <item m="1" x="5439"/>
        <item m="1" x="7377"/>
        <item m="1" x="7378"/>
        <item m="1" x="6794"/>
        <item m="1" x="4260"/>
        <item m="1" x="4338"/>
        <item m="1" x="4500"/>
        <item m="1" x="4340"/>
        <item m="1" x="5590"/>
        <item m="1" x="4501"/>
        <item m="1" x="4438"/>
        <item m="1" x="7380"/>
        <item m="1" x="4502"/>
        <item m="1" x="4341"/>
        <item m="1" x="4476"/>
        <item m="1" x="4403"/>
        <item m="1" x="7811"/>
        <item m="1" x="7384"/>
        <item m="1" x="6030"/>
        <item m="1" x="7383"/>
        <item x="3464"/>
        <item m="1" x="7975"/>
        <item x="2632"/>
        <item m="1" x="4461"/>
        <item m="1" x="6209"/>
        <item x="1449"/>
        <item x="1450"/>
        <item x="2962"/>
        <item m="1" x="5458"/>
        <item x="2354"/>
        <item m="1" x="7593"/>
        <item m="1" x="7636"/>
        <item m="1" x="7628"/>
        <item x="530"/>
        <item x="57"/>
        <item m="1" x="5459"/>
        <item m="1" x="7391"/>
        <item m="1" x="4556"/>
        <item m="1" x="4607"/>
        <item m="1" x="4278"/>
        <item m="1" x="7605"/>
        <item m="1" x="6301"/>
        <item m="1" x="4642"/>
        <item x="3316"/>
        <item x="3320"/>
        <item m="1" x="6674"/>
        <item m="1" x="7775"/>
        <item x="647"/>
        <item x="648"/>
        <item m="1" x="7912"/>
        <item m="1" x="6522"/>
        <item m="1" x="7658"/>
        <item m="1" x="6045"/>
        <item m="1" x="6050"/>
        <item x="2436"/>
        <item x="589"/>
        <item m="1" x="5767"/>
        <item x="590"/>
        <item x="605"/>
        <item x="2441"/>
        <item m="1" x="4660"/>
        <item x="607"/>
        <item x="1512"/>
        <item x="2412"/>
        <item x="595"/>
        <item x="1518"/>
        <item m="1" x="7533"/>
        <item x="580"/>
        <item m="1" x="6269"/>
        <item x="1555"/>
        <item x="609"/>
        <item x="2443"/>
        <item m="1" x="4671"/>
        <item x="3006"/>
        <item m="1" x="7722"/>
        <item m="1" x="4678"/>
        <item m="1" x="6826"/>
        <item m="1" x="6520"/>
        <item x="3337"/>
        <item x="2398"/>
        <item x="1520"/>
        <item x="2403"/>
        <item m="1" x="4473"/>
        <item x="1265"/>
        <item m="1" x="6409"/>
        <item m="1" x="6675"/>
        <item m="1" x="5856"/>
        <item x="3339"/>
        <item m="1" x="6047"/>
        <item m="1" x="6992"/>
        <item m="1" x="7406"/>
        <item x="1556"/>
        <item x="3218"/>
        <item x="1559"/>
        <item m="1" x="6267"/>
        <item m="1" x="4681"/>
        <item m="1" x="5919"/>
        <item x="2982"/>
        <item m="1" x="5769"/>
        <item x="69"/>
        <item m="1" x="6223"/>
        <item m="1" x="6271"/>
        <item x="2397"/>
        <item m="1" x="4682"/>
        <item m="1" x="7903"/>
        <item x="2987"/>
        <item x="3215"/>
        <item m="1" x="5766"/>
        <item x="1264"/>
        <item x="70"/>
        <item x="1526"/>
        <item m="1" x="6049"/>
        <item x="1597"/>
        <item m="1" x="7443"/>
        <item x="1602"/>
        <item m="1" x="7979"/>
        <item m="1" x="4881"/>
        <item m="1" x="7439"/>
        <item m="1" x="4883"/>
        <item m="1" x="5480"/>
        <item m="1" x="5642"/>
        <item m="1" x="5859"/>
        <item m="1" x="5643"/>
        <item x="2526"/>
        <item x="740"/>
        <item x="1665"/>
        <item x="3037"/>
        <item x="105"/>
        <item m="1" x="6416"/>
        <item x="741"/>
        <item x="106"/>
        <item x="742"/>
        <item m="1" x="6829"/>
        <item x="2527"/>
        <item m="1" x="6995"/>
        <item x="107"/>
        <item m="1" x="6996"/>
        <item x="2528"/>
        <item x="2529"/>
        <item x="788"/>
        <item x="3041"/>
        <item m="1" x="7860"/>
        <item m="1" x="7520"/>
        <item m="1" x="7060"/>
        <item x="2556"/>
        <item x="2568"/>
        <item x="1789"/>
        <item x="1790"/>
        <item m="1" x="6999"/>
        <item m="1" x="7000"/>
        <item m="1" x="6836"/>
        <item m="1" x="7061"/>
        <item m="1" x="6910"/>
        <item m="1" x="7062"/>
        <item m="1" x="7468"/>
        <item x="862"/>
        <item m="1" x="7470"/>
        <item m="1" x="7846"/>
        <item m="1" x="4938"/>
        <item m="1" x="4956"/>
        <item x="3399"/>
        <item x="3400"/>
        <item m="1" x="4991"/>
        <item x="3401"/>
        <item x="3402"/>
        <item x="3403"/>
        <item x="3404"/>
        <item x="3405"/>
        <item m="1" x="7780"/>
        <item x="3513"/>
        <item x="3407"/>
        <item m="1" x="4992"/>
        <item x="3408"/>
        <item m="1" x="5936"/>
        <item m="1" x="6677"/>
        <item m="1" x="5937"/>
        <item m="1" x="5060"/>
        <item x="3452"/>
        <item m="1" x="6763"/>
        <item m="1" x="5038"/>
        <item m="1" x="5050"/>
        <item m="1" x="7632"/>
        <item m="1" x="6027"/>
        <item m="1" x="7573"/>
        <item x="942"/>
        <item m="1" x="3840"/>
        <item m="1" x="6156"/>
        <item m="1" x="7079"/>
        <item x="1880"/>
        <item m="1" x="7806"/>
        <item x="3066"/>
        <item x="1881"/>
        <item x="960"/>
        <item x="1883"/>
        <item x="2657"/>
        <item x="1884"/>
        <item x="962"/>
        <item x="1887"/>
        <item m="1" x="7936"/>
        <item x="3068"/>
        <item x="1888"/>
        <item x="1889"/>
        <item x="2659"/>
        <item x="2660"/>
        <item m="1" x="7819"/>
        <item x="1890"/>
        <item x="1891"/>
        <item x="964"/>
        <item m="1" x="7880"/>
        <item x="2661"/>
        <item x="1892"/>
        <item x="1893"/>
        <item x="965"/>
        <item x="2662"/>
        <item x="966"/>
        <item m="1" x="7829"/>
        <item x="200"/>
        <item x="1894"/>
        <item x="1895"/>
        <item x="2663"/>
        <item m="1" x="7862"/>
        <item x="1896"/>
        <item m="1" x="7937"/>
        <item x="967"/>
        <item m="1" x="5246"/>
        <item m="1" x="5328"/>
        <item x="1024"/>
        <item m="1" x="7486"/>
        <item m="1" x="7490"/>
        <item m="1" x="6595"/>
        <item m="1" x="7491"/>
        <item m="1" x="7487"/>
        <item m="1" x="7489"/>
        <item x="2385"/>
        <item m="1" x="6540"/>
        <item x="2772"/>
        <item x="2773"/>
        <item x="2049"/>
        <item m="1" x="7677"/>
        <item x="1031"/>
        <item x="1032"/>
        <item x="3120"/>
        <item x="2774"/>
        <item x="2050"/>
        <item x="2051"/>
        <item m="1" x="5561"/>
        <item m="1" x="5888"/>
        <item m="1" x="5889"/>
        <item m="1" x="6187"/>
        <item m="1" x="5891"/>
        <item m="1" x="5562"/>
        <item m="1" x="5369"/>
        <item m="1" x="5892"/>
        <item m="1" x="5563"/>
        <item m="1" x="6858"/>
        <item m="1" x="7028"/>
        <item m="1" x="6288"/>
        <item m="1" x="5895"/>
        <item m="1" x="5896"/>
        <item m="1" x="5421"/>
        <item m="1" x="5723"/>
        <item m="1" x="5565"/>
        <item m="1" x="6290"/>
        <item m="1" x="5566"/>
        <item m="1" x="5567"/>
        <item m="1" x="6291"/>
        <item m="1" x="5898"/>
        <item m="1" x="5899"/>
        <item m="1" x="5422"/>
        <item m="1" x="6188"/>
        <item m="1" x="5423"/>
        <item m="1" x="5569"/>
        <item m="1" x="6369"/>
        <item m="1" x="6104"/>
        <item m="1" x="5902"/>
        <item m="1" x="6106"/>
        <item m="1" x="5424"/>
        <item m="1" x="6680"/>
        <item m="1" x="6294"/>
        <item m="1" x="5905"/>
        <item m="1" x="5906"/>
        <item m="1" x="5907"/>
        <item m="1" x="7029"/>
        <item m="1" x="6945"/>
        <item m="1" x="5726"/>
        <item m="1" x="5838"/>
        <item m="1" x="5425"/>
        <item x="569"/>
        <item m="1" x="6681"/>
        <item m="1" x="7267"/>
        <item m="1" x="7340"/>
        <item m="1" x="7268"/>
        <item m="1" x="7238"/>
        <item m="1" x="7308"/>
        <item m="1" x="7309"/>
        <item m="1" x="7269"/>
        <item m="1" x="7310"/>
        <item m="1" x="7233"/>
        <item m="1" x="7311"/>
        <item m="1" x="7239"/>
        <item m="1" x="7270"/>
        <item m="1" x="7341"/>
        <item m="1" x="7240"/>
        <item m="1" x="7241"/>
        <item m="1" x="7313"/>
        <item m="1" x="7314"/>
        <item m="1" x="7315"/>
        <item m="1" x="7242"/>
        <item m="1" x="7271"/>
        <item m="1" x="7272"/>
        <item m="1" x="7243"/>
        <item m="1" x="7273"/>
        <item m="1" x="7244"/>
        <item m="1" x="7342"/>
        <item m="1" x="7316"/>
        <item m="1" x="7274"/>
        <item m="1" x="7275"/>
        <item m="1" x="7276"/>
        <item m="1" x="7277"/>
        <item m="1" x="7343"/>
        <item m="1" x="7234"/>
        <item m="1" x="7278"/>
        <item x="454"/>
        <item m="1" x="7938"/>
        <item m="1" x="7996"/>
        <item m="1" x="7984"/>
        <item m="1" x="6592"/>
        <item m="1" x="5186"/>
        <item m="1" x="6655"/>
        <item m="1" x="7768"/>
        <item m="1" x="5138"/>
        <item m="1" x="7930"/>
        <item x="2742"/>
        <item m="1" x="7918"/>
        <item m="1" x="7942"/>
        <item x="268"/>
        <item x="1111"/>
        <item x="1113"/>
        <item m="1" x="6081"/>
        <item m="1" x="5989"/>
        <item m="1" x="3539"/>
        <item m="1" x="3540"/>
        <item m="1" x="6441"/>
        <item m="1" x="7175"/>
        <item x="378"/>
        <item x="379"/>
        <item m="1" x="7529"/>
        <item m="1" x="5560"/>
        <item m="1" x="4040"/>
        <item m="1" x="5570"/>
        <item x="2246"/>
        <item x="1935"/>
        <item m="1" x="6191"/>
        <item x="987"/>
        <item x="1302"/>
        <item x="210"/>
        <item m="1" x="7202"/>
        <item m="1" x="7203"/>
        <item m="1" x="7204"/>
        <item m="1" x="7205"/>
        <item m="1" x="7206"/>
        <item m="1" x="7200"/>
        <item m="1" x="7199"/>
        <item m="1" x="7207"/>
        <item m="1" x="7201"/>
        <item m="1" x="7245"/>
        <item m="1" x="7279"/>
        <item m="1" x="7246"/>
        <item m="1" x="7280"/>
        <item m="1" x="7281"/>
        <item m="1" x="7666"/>
        <item m="1" x="7247"/>
        <item m="1" x="7282"/>
        <item m="1" x="7570"/>
        <item m="1" x="7698"/>
        <item m="1" x="7319"/>
        <item m="1" x="7248"/>
        <item m="1" x="7249"/>
        <item m="1" x="7235"/>
        <item m="1" x="7283"/>
        <item m="1" x="7320"/>
        <item m="1" x="7321"/>
        <item m="1" x="7322"/>
        <item m="1" x="7284"/>
        <item m="1" x="7323"/>
        <item m="1" x="7250"/>
        <item m="1" x="7251"/>
        <item m="1" x="7324"/>
        <item m="1" x="7325"/>
        <item m="1" x="7285"/>
        <item m="1" x="7252"/>
        <item m="1" x="7286"/>
        <item m="1" x="7287"/>
        <item m="1" x="7288"/>
        <item m="1" x="7253"/>
        <item m="1" x="7254"/>
        <item m="1" x="7327"/>
        <item m="1" x="7255"/>
        <item m="1" x="7328"/>
        <item m="1" x="7344"/>
        <item m="1" x="7256"/>
        <item m="1" x="7289"/>
        <item m="1" x="7329"/>
        <item m="1" x="7290"/>
        <item m="1" x="7291"/>
        <item m="1" x="7350"/>
        <item m="1" x="7257"/>
        <item m="1" x="7330"/>
        <item m="1" x="7331"/>
        <item m="1" x="7345"/>
        <item m="1" x="7258"/>
        <item m="1" x="7292"/>
        <item m="1" x="7293"/>
        <item m="1" x="7259"/>
        <item m="1" x="7332"/>
        <item m="1" x="7236"/>
        <item m="1" x="7294"/>
        <item m="1" x="7333"/>
        <item m="1" x="7260"/>
        <item m="1" x="7655"/>
        <item x="2308"/>
        <item m="1" x="7353"/>
        <item m="1" x="7352"/>
        <item m="1" x="7356"/>
        <item m="1" x="7357"/>
        <item m="1" x="7355"/>
        <item m="1" x="7358"/>
        <item m="1" x="6489"/>
        <item m="1" x="6490"/>
        <item m="1" x="7031"/>
        <item m="1" x="6491"/>
        <item m="1" x="7368"/>
        <item m="1" x="7361"/>
        <item m="1" x="7364"/>
        <item x="1513"/>
        <item m="1" x="7365"/>
        <item m="1" x="7747"/>
        <item m="1" x="7719"/>
        <item m="1" x="7517"/>
        <item m="1" x="7369"/>
        <item m="1" x="6492"/>
        <item m="1" x="7587"/>
        <item m="1" x="3863"/>
        <item m="1" x="7366"/>
        <item m="1" x="7766"/>
        <item m="1" x="6872"/>
        <item m="1" x="7032"/>
        <item m="1" x="7362"/>
        <item m="1" x="7367"/>
        <item m="1" x="6955"/>
        <item m="1" x="6873"/>
        <item m="1" x="6546"/>
        <item m="1" x="7363"/>
        <item m="1" x="6568"/>
        <item m="1" x="7544"/>
        <item m="1" x="5969"/>
        <item m="1" x="5970"/>
        <item x="1446"/>
        <item x="496"/>
        <item x="497"/>
        <item x="1448"/>
        <item x="2350"/>
        <item x="1453"/>
        <item m="1" x="6897"/>
        <item x="2351"/>
        <item m="1" x="5457"/>
        <item x="2961"/>
        <item x="504"/>
        <item x="505"/>
        <item x="2352"/>
        <item x="506"/>
        <item x="2353"/>
        <item x="1454"/>
        <item x="1455"/>
        <item x="1456"/>
        <item x="1457"/>
        <item x="1458"/>
        <item m="1" x="7594"/>
        <item x="507"/>
        <item x="508"/>
        <item x="53"/>
        <item m="1" x="7627"/>
        <item m="1" x="7657"/>
        <item m="1" x="7510"/>
        <item m="1" x="4535"/>
        <item m="1" x="7763"/>
        <item m="1" x="4548"/>
        <item m="1" x="7595"/>
        <item m="1" x="4544"/>
        <item m="1" x="6899"/>
        <item m="1" x="6983"/>
        <item x="3307"/>
        <item x="3191"/>
        <item m="1" x="6117"/>
        <item m="1" x="6756"/>
        <item m="1" x="6688"/>
        <item m="1" x="4635"/>
        <item m="1" x="5912"/>
        <item m="1" x="7397"/>
        <item m="1" x="7637"/>
        <item m="1" x="6757"/>
        <item m="1" x="7395"/>
        <item m="1" x="7394"/>
        <item m="1" x="7401"/>
        <item x="649"/>
        <item x="650"/>
        <item m="1" x="6991"/>
        <item x="651"/>
        <item m="1" x="6519"/>
        <item x="574"/>
        <item x="604"/>
        <item x="2371"/>
        <item m="1" x="6588"/>
        <item m="1" x="7505"/>
        <item x="1530"/>
        <item m="1" x="7538"/>
        <item x="2392"/>
        <item x="1519"/>
        <item x="596"/>
        <item m="1" x="7405"/>
        <item x="2444"/>
        <item m="1" x="4656"/>
        <item m="1" x="7412"/>
        <item m="1" x="4665"/>
        <item m="1" x="4674"/>
        <item m="1" x="4650"/>
        <item x="1549"/>
        <item m="1" x="6132"/>
        <item m="1" x="5764"/>
        <item m="1" x="4649"/>
        <item m="1" x="6627"/>
        <item m="1" x="6333"/>
        <item m="1" x="6134"/>
        <item m="1" x="6137"/>
        <item x="598"/>
        <item m="1" x="7411"/>
        <item x="2425"/>
        <item m="1" x="6136"/>
        <item m="1" x="7675"/>
        <item m="1" x="7660"/>
        <item m="1" x="7539"/>
        <item m="1" x="7519"/>
        <item x="149"/>
        <item x="1711"/>
        <item m="1" x="6998"/>
        <item m="1" x="6676"/>
        <item x="863"/>
        <item m="1" x="7464"/>
        <item x="2612"/>
        <item x="864"/>
        <item x="1791"/>
        <item x="865"/>
        <item x="866"/>
        <item x="3249"/>
        <item x="1792"/>
        <item m="1" x="6762"/>
        <item x="157"/>
        <item m="1" x="5011"/>
        <item m="1" x="6182"/>
        <item x="2875"/>
        <item m="1" x="6603"/>
        <item m="1" x="6776"/>
        <item x="1218"/>
        <item m="1" x="6457"/>
        <item x="2885"/>
        <item x="338"/>
        <item m="1" x="5554"/>
        <item m="1" x="6458"/>
        <item x="1230"/>
        <item m="1" x="6453"/>
        <item m="1" x="7143"/>
        <item m="1" x="7144"/>
        <item m="1" x="7145"/>
        <item x="2199"/>
        <item x="1235"/>
        <item m="1" x="7125"/>
        <item x="1233"/>
        <item m="1" x="5412"/>
        <item m="1" x="7162"/>
        <item m="1" x="5715"/>
        <item x="339"/>
        <item x="1232"/>
        <item m="1" x="5966"/>
        <item m="1" x="6547"/>
        <item m="1" x="6360"/>
        <item m="1" x="7146"/>
        <item m="1" x="7737"/>
        <item x="2184"/>
        <item m="1" x="5410"/>
        <item m="1" x="6855"/>
        <item x="2192"/>
        <item m="1" x="7147"/>
        <item m="1" x="6459"/>
        <item m="1" x="7129"/>
        <item m="1" x="7148"/>
        <item x="1223"/>
        <item x="1227"/>
        <item x="2197"/>
        <item x="1188"/>
        <item m="1" x="7718"/>
        <item m="1" x="7602"/>
        <item m="1" x="7641"/>
        <item m="1" x="7515"/>
        <item m="1" x="7523"/>
        <item m="1" x="7622"/>
        <item x="344"/>
        <item m="1" x="7163"/>
        <item m="1" x="7171"/>
        <item m="1" x="7130"/>
        <item m="1" x="7164"/>
        <item m="1" x="7131"/>
        <item m="1" x="6181"/>
        <item m="1" x="7132"/>
        <item m="1" x="7172"/>
        <item x="2202"/>
        <item m="1" x="7133"/>
        <item m="1" x="7149"/>
        <item m="1" x="7150"/>
        <item m="1" x="7642"/>
        <item x="1153"/>
        <item x="2843"/>
        <item x="1146"/>
        <item x="296"/>
        <item m="1" x="7165"/>
        <item x="2845"/>
        <item x="11"/>
        <item m="1" x="6942"/>
        <item x="12"/>
        <item x="2139"/>
        <item m="1" x="7166"/>
        <item m="1" x="6168"/>
        <item x="2169"/>
        <item m="1" x="7151"/>
        <item m="1" x="7152"/>
        <item m="1" x="7153"/>
        <item x="2844"/>
        <item x="2135"/>
        <item m="1" x="6773"/>
        <item m="1" x="7559"/>
        <item m="1" x="7154"/>
        <item x="2851"/>
        <item m="1" x="7126"/>
        <item m="1" x="6541"/>
        <item x="2176"/>
        <item x="299"/>
        <item x="2140"/>
        <item x="2848"/>
        <item x="2846"/>
        <item x="1154"/>
        <item x="2847"/>
        <item x="300"/>
        <item x="2132"/>
        <item m="1" x="7127"/>
        <item x="1149"/>
        <item x="297"/>
        <item x="2136"/>
        <item x="21"/>
        <item x="298"/>
        <item m="1" x="6087"/>
        <item x="323"/>
        <item m="1" x="7155"/>
        <item x="301"/>
        <item x="2850"/>
        <item x="2137"/>
        <item m="1" x="6167"/>
        <item m="1" x="7134"/>
        <item m="1" x="7156"/>
        <item m="1" x="7167"/>
        <item m="1" x="6086"/>
        <item m="1" x="6169"/>
        <item m="1" x="7611"/>
        <item m="1" x="7173"/>
        <item x="1155"/>
        <item x="2853"/>
        <item x="2133"/>
        <item x="1150"/>
        <item x="1151"/>
        <item x="13"/>
        <item m="1" x="5406"/>
        <item m="1" x="5548"/>
        <item x="2852"/>
        <item x="2134"/>
        <item x="1152"/>
        <item x="2138"/>
        <item x="2849"/>
        <item m="1" x="5999"/>
        <item m="1" x="5714"/>
        <item m="1" x="7157"/>
        <item x="1147"/>
        <item x="2141"/>
        <item m="1" x="5408"/>
        <item m="1" x="6542"/>
        <item m="1" x="7192"/>
        <item m="1" x="7524"/>
        <item m="1" x="7359"/>
        <item m="1" x="5436"/>
        <item x="2475"/>
        <item m="1" x="6790"/>
        <item m="1" x="5437"/>
        <item x="571"/>
        <item x="1409"/>
        <item m="1" x="6495"/>
        <item m="1" x="4444"/>
        <item m="1" x="4269"/>
        <item m="1" x="4347"/>
        <item m="1" x="4267"/>
        <item m="1" x="4268"/>
        <item m="1" x="5371"/>
        <item m="1" x="4443"/>
        <item m="1" x="4503"/>
        <item m="1" x="6876"/>
        <item m="1" x="4346"/>
        <item m="1" x="7374"/>
        <item m="1" x="4345"/>
        <item m="1" x="7375"/>
        <item m="1" x="6795"/>
        <item m="1" x="4517"/>
        <item m="1" x="4441"/>
        <item m="1" x="4220"/>
        <item m="1" x="4342"/>
        <item m="1" x="4439"/>
        <item m="1" x="4440"/>
        <item m="1" x="6623"/>
        <item m="1" x="6391"/>
        <item m="1" x="6113"/>
        <item m="1" x="7381"/>
        <item m="1" x="4343"/>
        <item x="1246"/>
        <item m="1" x="4263"/>
        <item m="1" x="6025"/>
        <item m="1" x="6723"/>
        <item m="1" x="4264"/>
        <item m="1" x="4442"/>
        <item m="1" x="4344"/>
        <item m="1" x="4265"/>
        <item m="1" x="6569"/>
        <item m="1" x="4266"/>
        <item m="1" x="5591"/>
        <item m="1" x="4169"/>
        <item m="1" x="5743"/>
        <item m="1" x="6881"/>
        <item m="1" x="6029"/>
        <item m="1" x="7716"/>
        <item m="1" x="7699"/>
        <item m="1" x="7731"/>
        <item m="1" x="4636"/>
        <item x="3312"/>
        <item m="1" x="6585"/>
        <item m="1" x="7415"/>
        <item m="1" x="7424"/>
        <item m="1" x="7425"/>
        <item m="1" x="7430"/>
        <item m="1" x="7426"/>
        <item m="1" x="7427"/>
        <item x="3007"/>
        <item x="3009"/>
        <item x="690"/>
        <item m="1" x="7512"/>
        <item x="2479"/>
        <item x="691"/>
        <item x="692"/>
        <item x="3010"/>
        <item x="83"/>
        <item x="84"/>
        <item x="2480"/>
        <item m="1" x="7676"/>
        <item x="693"/>
        <item x="694"/>
        <item x="1637"/>
        <item x="85"/>
        <item m="1" x="6335"/>
        <item x="1638"/>
        <item x="1663"/>
        <item x="2522"/>
        <item m="1" x="6904"/>
        <item x="92"/>
        <item x="736"/>
        <item x="2523"/>
        <item x="2524"/>
        <item x="1664"/>
        <item x="93"/>
        <item x="737"/>
        <item x="3032"/>
        <item x="94"/>
        <item x="3033"/>
        <item x="95"/>
        <item x="2525"/>
        <item x="3034"/>
        <item x="96"/>
        <item x="97"/>
        <item x="98"/>
        <item x="99"/>
        <item x="3035"/>
        <item x="3036"/>
        <item x="100"/>
        <item m="1" x="7450"/>
        <item x="101"/>
        <item x="102"/>
        <item m="1" x="5979"/>
        <item x="738"/>
        <item m="1" x="5472"/>
        <item x="103"/>
        <item x="739"/>
        <item x="104"/>
        <item x="3038"/>
        <item m="1" x="6905"/>
        <item x="743"/>
        <item x="744"/>
        <item x="745"/>
        <item m="1" x="6153"/>
        <item m="1" x="6417"/>
        <item x="746"/>
        <item m="1" x="6906"/>
        <item x="747"/>
        <item x="2530"/>
        <item x="1666"/>
        <item x="108"/>
        <item x="109"/>
        <item x="110"/>
        <item x="111"/>
        <item m="1" x="6227"/>
        <item m="1" x="6907"/>
        <item m="1" x="4898"/>
        <item m="1" x="4908"/>
        <item m="1" x="4911"/>
        <item m="1" x="4914"/>
        <item m="1" x="6835"/>
        <item m="1" x="4909"/>
        <item m="1" x="4912"/>
        <item m="1" x="3521"/>
        <item m="1" x="3523"/>
        <item m="1" x="3524"/>
        <item m="1" x="3525"/>
        <item m="1" x="3526"/>
        <item m="1" x="3527"/>
        <item m="1" x="3528"/>
        <item m="1" x="3530"/>
        <item m="1" x="3531"/>
        <item m="1" x="7063"/>
        <item m="1" x="4939"/>
        <item m="1" x="4930"/>
        <item m="1" x="4994"/>
        <item m="1" x="6312"/>
        <item x="3412"/>
        <item m="1" x="5938"/>
        <item m="1" x="7458"/>
        <item m="1" x="4995"/>
        <item x="3415"/>
        <item m="1" x="7459"/>
        <item m="1" x="4996"/>
        <item x="3416"/>
        <item m="1" x="7781"/>
        <item m="1" x="6693"/>
        <item m="1" x="7460"/>
        <item m="1" x="6313"/>
        <item x="3503"/>
        <item x="3417"/>
        <item m="1" x="6695"/>
        <item x="3419"/>
        <item m="1" x="4997"/>
        <item x="3421"/>
        <item m="1" x="7461"/>
        <item x="3507"/>
        <item m="1" x="7072"/>
        <item m="1" x="7073"/>
        <item m="1" x="7074"/>
        <item m="1" x="7005"/>
        <item m="1" x="5025"/>
        <item x="938"/>
        <item x="939"/>
        <item m="1" x="7009"/>
        <item x="944"/>
        <item m="1" x="5516"/>
        <item x="933"/>
        <item x="935"/>
        <item x="1862"/>
        <item x="1864"/>
        <item x="2648"/>
        <item x="936"/>
        <item x="1861"/>
        <item x="934"/>
        <item m="1" x="7010"/>
        <item m="1" x="7011"/>
        <item m="1" x="7012"/>
        <item x="2655"/>
        <item m="1" x="7598"/>
        <item x="1885"/>
        <item x="2658"/>
        <item x="3067"/>
        <item x="963"/>
        <item x="1886"/>
        <item m="1" x="7619"/>
        <item m="1" x="5113"/>
        <item m="1" x="5114"/>
        <item m="1" x="5089"/>
        <item m="1" x="5115"/>
        <item m="1" x="7756"/>
        <item m="1" x="7506"/>
        <item m="1" x="7757"/>
        <item m="1" x="7759"/>
        <item m="1" x="7752"/>
        <item x="3261"/>
        <item m="1" x="5690"/>
        <item m="1" x="5344"/>
        <item m="1" x="5345"/>
        <item m="1" x="5524"/>
        <item x="236"/>
        <item m="1" x="5817"/>
        <item m="1" x="6277"/>
        <item m="1" x="6237"/>
        <item m="1" x="6238"/>
        <item x="1944"/>
        <item m="1" x="5703"/>
        <item m="1" x="5815"/>
        <item m="1" x="5706"/>
        <item m="1" x="7769"/>
        <item m="1" x="3750"/>
        <item m="1" x="3756"/>
        <item m="1" x="6323"/>
        <item m="1" x="4844"/>
        <item m="1" x="7562"/>
        <item m="1" x="6472"/>
        <item m="1" x="7728"/>
        <item m="1" x="4870"/>
        <item m="1" x="4877"/>
        <item m="1" x="4873"/>
        <item m="1" x="4862"/>
        <item m="1" x="4861"/>
        <item m="1" x="4850"/>
        <item m="1" x="5433"/>
        <item m="1" x="6018"/>
        <item m="1" x="7586"/>
        <item x="1684"/>
        <item x="787"/>
        <item m="1" x="6228"/>
        <item m="1" x="7453"/>
        <item x="2547"/>
        <item x="3044"/>
        <item m="1" x="5673"/>
        <item x="2550"/>
        <item m="1" x="7514"/>
        <item m="1" x="3576"/>
        <item m="1" x="3577"/>
        <item m="1" x="7096"/>
        <item m="1" x="6961"/>
        <item m="1" x="3567"/>
        <item m="1" x="7541"/>
        <item x="474"/>
        <item m="1" x="3578"/>
        <item m="1" x="3596"/>
        <item x="475"/>
        <item m="1" x="6965"/>
        <item m="1" x="3603"/>
        <item m="1" x="3565"/>
        <item m="1" x="3602"/>
        <item m="1" x="5446"/>
        <item m="1" x="6395"/>
        <item m="1" x="4576"/>
        <item m="1" x="7577"/>
        <item m="1" x="7578"/>
        <item m="1" x="7579"/>
        <item m="1" x="7580"/>
        <item m="1" x="7581"/>
        <item m="1" x="6958"/>
        <item m="1" x="5447"/>
        <item m="1" x="7591"/>
        <item m="1" x="7592"/>
        <item m="1" x="6981"/>
        <item m="1" x="7599"/>
        <item m="1" x="7600"/>
        <item m="1" x="7601"/>
        <item x="476"/>
        <item m="1" x="3655"/>
        <item m="1" x="7608"/>
        <item m="1" x="7609"/>
        <item m="1" x="7616"/>
        <item m="1" x="4590"/>
        <item x="1431"/>
        <item m="1" x="3622"/>
        <item m="1" x="3643"/>
        <item m="1" x="4584"/>
        <item m="1" x="4045"/>
        <item m="1" x="7111"/>
        <item m="1" x="7648"/>
        <item m="1" x="5600"/>
        <item m="1" x="4588"/>
        <item m="1" x="5599"/>
        <item m="1" x="4591"/>
        <item m="1" x="3621"/>
        <item m="1" x="3623"/>
        <item m="1" x="3632"/>
        <item m="1" x="7671"/>
        <item m="1" x="4589"/>
        <item m="1" x="3653"/>
        <item m="1" x="3654"/>
        <item x="1434"/>
        <item m="1" x="7688"/>
        <item x="1428"/>
        <item m="1" x="7691"/>
        <item m="1" x="4602"/>
        <item m="1" x="7696"/>
        <item m="1" x="6823"/>
        <item m="1" x="5745"/>
        <item m="1" x="4601"/>
        <item m="1" x="7115"/>
        <item m="1" x="7116"/>
        <item x="2339"/>
        <item m="1" x="4603"/>
        <item x="2340"/>
        <item m="1" x="5746"/>
        <item m="1" x="3689"/>
        <item m="1" x="6573"/>
        <item m="1" x="5747"/>
        <item m="1" x="3697"/>
        <item m="1" x="7114"/>
        <item m="1" x="5845"/>
        <item x="2955"/>
        <item m="1" x="3700"/>
        <item m="1" x="7750"/>
        <item m="1" x="6744"/>
        <item m="1" x="5844"/>
        <item x="3187"/>
        <item m="1" x="7755"/>
        <item x="3189"/>
        <item x="3188"/>
        <item m="1" x="7765"/>
        <item x="274"/>
        <item x="275"/>
        <item x="1115"/>
        <item m="1" x="5990"/>
        <item m="1" x="5961"/>
        <item x="276"/>
        <item x="277"/>
        <item m="1" x="6007"/>
        <item m="1" x="3748"/>
        <item m="1" x="7188"/>
        <item m="1" x="6194"/>
        <item m="1" x="6107"/>
        <item m="1" x="6108"/>
        <item m="1" x="3858"/>
        <item m="1" x="7193"/>
        <item m="1" x="6467"/>
        <item m="1" x="6554"/>
        <item m="1" x="6370"/>
        <item m="1" x="6371"/>
        <item x="38"/>
        <item x="2309"/>
        <item m="1" x="6384"/>
        <item m="1" x="6870"/>
        <item m="1" x="4189"/>
        <item x="1405"/>
        <item m="1" x="5586"/>
        <item m="1" x="6386"/>
        <item x="448"/>
        <item m="1" x="6954"/>
        <item x="2956"/>
        <item m="1" x="5846"/>
        <item m="1" x="5605"/>
        <item x="487"/>
        <item x="1447"/>
        <item x="500"/>
        <item m="1" x="6330"/>
        <item m="1" x="6982"/>
        <item m="1" x="7390"/>
        <item x="2963"/>
        <item m="1" x="4530"/>
        <item m="1" x="4529"/>
        <item m="1" x="6123"/>
        <item m="1" x="6511"/>
        <item m="1" x="6039"/>
        <item m="1" x="6124"/>
        <item m="1" x="6125"/>
        <item m="1" x="6581"/>
        <item m="1" x="6401"/>
        <item m="1" x="6512"/>
        <item m="1" x="6901"/>
        <item m="1" x="6144"/>
        <item x="652"/>
        <item x="79"/>
        <item m="1" x="6407"/>
        <item x="80"/>
        <item m="1" x="7422"/>
        <item m="1" x="4733"/>
        <item m="1" x="4753"/>
        <item m="1" x="4734"/>
        <item m="1" x="4735"/>
        <item m="1" x="4744"/>
        <item m="1" x="4728"/>
        <item x="1598"/>
        <item x="2455"/>
        <item m="1" x="4893"/>
        <item m="1" x="4887"/>
        <item m="1" x="4889"/>
        <item m="1" x="6830"/>
        <item m="1" x="5629"/>
        <item m="1" x="7058"/>
        <item x="2531"/>
        <item m="1" x="5376"/>
        <item m="1" x="6057"/>
        <item m="1" x="6831"/>
        <item x="748"/>
        <item x="2532"/>
        <item m="1" x="6832"/>
        <item x="112"/>
        <item m="1" x="6274"/>
        <item x="1667"/>
        <item x="113"/>
        <item x="114"/>
        <item m="1" x="7059"/>
        <item x="749"/>
        <item x="750"/>
        <item x="751"/>
        <item x="752"/>
        <item x="2533"/>
        <item m="1" x="6833"/>
        <item x="753"/>
        <item x="754"/>
        <item x="755"/>
        <item m="1" x="4937"/>
        <item x="3411"/>
        <item m="1" x="4993"/>
        <item m="1" x="6678"/>
        <item x="3424"/>
        <item x="3425"/>
        <item x="3426"/>
        <item m="1" x="6696"/>
        <item x="3427"/>
        <item m="1" x="4998"/>
        <item x="3428"/>
        <item x="909"/>
        <item x="907"/>
        <item x="172"/>
        <item x="1835"/>
        <item x="173"/>
        <item x="908"/>
        <item x="1834"/>
        <item x="2640"/>
        <item x="174"/>
        <item m="1" x="5683"/>
        <item m="1" x="5685"/>
        <item m="1" x="5511"/>
        <item m="1" x="5512"/>
        <item m="1" x="5958"/>
        <item m="1" x="7472"/>
        <item m="1" x="5513"/>
        <item m="1" x="7077"/>
        <item m="1" x="7013"/>
        <item m="1" x="6233"/>
        <item x="948"/>
        <item x="921"/>
        <item x="182"/>
        <item m="1" x="6919"/>
        <item m="1" x="5387"/>
        <item x="185"/>
        <item x="186"/>
        <item x="930"/>
        <item x="931"/>
        <item x="1860"/>
        <item x="1863"/>
        <item x="1858"/>
        <item m="1" x="5390"/>
        <item m="1" x="7018"/>
        <item m="1" x="6286"/>
        <item m="1" x="5694"/>
        <item m="1" x="6278"/>
        <item m="1" x="5809"/>
        <item m="1" x="5698"/>
        <item m="1" x="5870"/>
        <item m="1" x="5699"/>
        <item m="1" x="5700"/>
        <item m="1" x="6068"/>
        <item m="1" x="5871"/>
        <item m="1" x="5887"/>
        <item m="1" x="5981"/>
        <item x="352"/>
        <item m="1" x="5702"/>
        <item m="1" x="5812"/>
        <item x="160"/>
        <item m="1" x="6239"/>
        <item m="1" x="5872"/>
        <item m="1" x="6287"/>
        <item m="1" x="5526"/>
        <item m="1" x="5873"/>
        <item m="1" x="5527"/>
        <item m="1" x="5343"/>
        <item x="1026"/>
        <item x="2034"/>
        <item x="2035"/>
        <item x="2036"/>
        <item x="1033"/>
        <item x="2056"/>
        <item m="1" x="6596"/>
        <item x="2776"/>
        <item x="1034"/>
        <item x="2057"/>
        <item x="3514"/>
        <item x="3127"/>
        <item x="2783"/>
        <item m="1" x="5819"/>
        <item x="2792"/>
        <item m="1" x="6597"/>
        <item m="1" x="7021"/>
        <item x="3275"/>
        <item x="2797"/>
        <item x="2807"/>
        <item x="228"/>
        <item x="213"/>
        <item x="3159"/>
        <item x="223"/>
        <item m="1" x="7022"/>
        <item x="2815"/>
        <item m="1" x="7081"/>
        <item m="1" x="6598"/>
        <item m="1" x="6767"/>
        <item x="2069"/>
        <item x="3144"/>
        <item x="224"/>
        <item m="1" x="5531"/>
        <item x="1056"/>
        <item x="1045"/>
        <item m="1" x="6768"/>
        <item m="1" x="5360"/>
        <item m="1" x="6342"/>
        <item m="1" x="5820"/>
        <item x="2812"/>
        <item x="3135"/>
        <item x="1058"/>
        <item m="1" x="5356"/>
        <item x="3276"/>
        <item x="1063"/>
        <item x="3273"/>
        <item x="2065"/>
        <item x="3134"/>
        <item x="3147"/>
        <item x="2066"/>
        <item m="1" x="6844"/>
        <item x="2076"/>
        <item m="1" x="5530"/>
        <item m="1" x="6599"/>
        <item x="1042"/>
        <item x="2064"/>
        <item x="2779"/>
        <item x="1054"/>
        <item m="1" x="6936"/>
        <item x="2063"/>
        <item m="1" x="5355"/>
        <item x="3146"/>
        <item x="1047"/>
        <item x="3145"/>
        <item x="227"/>
        <item x="2079"/>
        <item x="2789"/>
        <item m="1" x="6280"/>
        <item m="1" x="7023"/>
        <item x="1041"/>
        <item x="2793"/>
        <item m="1" x="6073"/>
        <item x="3152"/>
        <item m="1" x="7082"/>
        <item m="1" x="5821"/>
        <item x="2778"/>
        <item x="3269"/>
        <item x="222"/>
        <item m="1" x="5346"/>
        <item m="1" x="7497"/>
        <item m="1" x="6161"/>
        <item x="1050"/>
        <item x="2781"/>
        <item x="1053"/>
        <item x="3139"/>
        <item m="1" x="6845"/>
        <item m="1" x="6769"/>
        <item x="2061"/>
        <item x="3132"/>
        <item x="1065"/>
        <item m="1" x="6656"/>
        <item x="221"/>
        <item m="1" x="6340"/>
        <item x="225"/>
        <item m="1" x="7024"/>
        <item m="1" x="5347"/>
        <item m="1" x="7083"/>
        <item m="1" x="6072"/>
        <item x="2816"/>
        <item m="1" x="6341"/>
        <item x="1040"/>
        <item m="1" x="5354"/>
        <item x="2060"/>
        <item m="1" x="6644"/>
        <item x="3278"/>
        <item m="1" x="7493"/>
        <item m="1" x="7494"/>
        <item m="1" x="7495"/>
        <item m="1" x="7498"/>
        <item m="1" x="7499"/>
        <item m="1" x="7496"/>
        <item m="1" x="5993"/>
        <item m="1" x="4640"/>
        <item m="1" x="6083"/>
        <item m="1" x="7103"/>
        <item x="2191"/>
        <item x="1225"/>
        <item m="1" x="7124"/>
        <item m="1" x="4453"/>
        <item m="1" x="6099"/>
        <item x="552"/>
        <item x="2186"/>
        <item m="1" x="6283"/>
        <item m="1" x="3723"/>
        <item x="2201"/>
        <item m="1" x="6358"/>
        <item x="1505"/>
        <item x="3180"/>
        <item m="1" x="6170"/>
        <item x="1158"/>
        <item x="2149"/>
        <item x="14"/>
        <item x="2144"/>
        <item x="2143"/>
        <item x="3174"/>
        <item x="2145"/>
        <item m="1" x="4161"/>
        <item x="1156"/>
        <item m="1" x="6000"/>
        <item m="1" x="5711"/>
        <item x="2147"/>
        <item x="1157"/>
        <item x="2146"/>
        <item x="2148"/>
        <item x="1159"/>
        <item m="1" x="6543"/>
        <item x="2151"/>
        <item x="2150"/>
        <item x="302"/>
        <item x="1160"/>
        <item m="1" x="6175"/>
        <item x="1161"/>
        <item m="1" x="3718"/>
        <item x="2152"/>
        <item m="1" x="6350"/>
        <item x="303"/>
        <item m="1" x="5963"/>
        <item m="1" x="6247"/>
        <item m="1" x="6282"/>
        <item m="1" x="6091"/>
        <item m="1" x="6090"/>
        <item m="1" x="6093"/>
        <item m="1" x="6001"/>
        <item m="1" x="6171"/>
        <item m="1" x="6088"/>
        <item m="1" x="6174"/>
        <item m="1" x="6092"/>
        <item m="1" x="6173"/>
        <item m="1" x="6248"/>
        <item m="1" x="6089"/>
        <item m="1" x="6172"/>
        <item m="1" x="6544"/>
        <item m="1" x="7168"/>
        <item m="1" x="7135"/>
        <item m="1" x="7169"/>
        <item x="1485"/>
        <item x="1274"/>
        <item x="363"/>
        <item x="364"/>
        <item x="1275"/>
        <item x="1276"/>
        <item x="25"/>
        <item m="1" x="3757"/>
        <item m="1" x="6551"/>
        <item m="1" x="5720"/>
        <item m="1" x="7178"/>
        <item m="1" x="6778"/>
        <item m="1" x="7177"/>
        <item x="2239"/>
        <item m="1" x="6101"/>
        <item m="1" x="6463"/>
        <item m="1" x="5368"/>
        <item x="2242"/>
        <item x="1298"/>
        <item x="2701"/>
        <item m="1" x="4367"/>
        <item x="2702"/>
        <item x="1286"/>
        <item m="1" x="5620"/>
        <item m="1" x="3807"/>
        <item x="1307"/>
        <item m="1" x="4857"/>
        <item m="1" x="4860"/>
        <item m="1" x="6198"/>
        <item m="1" x="6785"/>
        <item m="1" x="7295"/>
        <item m="1" x="7346"/>
        <item m="1" x="7296"/>
        <item m="1" x="7297"/>
        <item m="1" x="7261"/>
        <item m="1" x="7262"/>
        <item m="1" x="7298"/>
        <item m="1" x="7351"/>
        <item m="1" x="7347"/>
        <item m="1" x="7299"/>
        <item m="1" x="7348"/>
        <item m="1" x="7334"/>
        <item m="1" x="7300"/>
        <item m="1" x="7301"/>
        <item m="1" x="7335"/>
        <item m="1" x="7302"/>
        <item m="1" x="7303"/>
        <item m="1" x="7304"/>
        <item m="1" x="7237"/>
        <item m="1" x="7336"/>
        <item m="1" x="7305"/>
        <item m="1" x="7337"/>
        <item m="1" x="7263"/>
        <item m="1" x="7349"/>
        <item m="1" x="7264"/>
        <item m="1" x="7338"/>
        <item m="1" x="7265"/>
        <item m="1" x="7339"/>
        <item m="1" x="7266"/>
        <item m="1" x="7306"/>
        <item m="1" x="6498"/>
        <item m="1" x="4221"/>
        <item m="1" x="5440"/>
        <item m="1" x="4446"/>
        <item m="1" x="4348"/>
        <item m="1" x="4350"/>
        <item m="1" x="4271"/>
        <item m="1" x="4504"/>
        <item m="1" x="4447"/>
        <item m="1" x="6114"/>
        <item m="1" x="6796"/>
        <item m="1" x="4222"/>
        <item m="1" x="6877"/>
        <item m="1" x="6878"/>
        <item m="1" x="7382"/>
        <item m="1" x="4351"/>
        <item m="1" x="7371"/>
        <item m="1" x="6570"/>
        <item m="1" x="4505"/>
        <item m="1" x="6026"/>
        <item m="1" x="4507"/>
        <item m="1" x="4272"/>
        <item m="1" x="4273"/>
        <item m="1" x="6572"/>
        <item m="1" x="4352"/>
        <item m="1" x="5609"/>
        <item m="1" x="7387"/>
        <item m="1" x="5608"/>
        <item m="1" x="7388"/>
        <item m="1" x="6580"/>
        <item m="1" x="5455"/>
        <item m="1" x="6506"/>
        <item m="1" x="6507"/>
        <item m="1" x="6718"/>
        <item m="1" x="6824"/>
        <item x="603"/>
        <item m="1" x="4555"/>
        <item m="1" x="4545"/>
        <item m="1" x="4569"/>
        <item m="1" x="4606"/>
        <item m="1" x="4592"/>
        <item m="1" x="4577"/>
        <item m="1" x="5917"/>
        <item m="1" x="6302"/>
        <item x="3322"/>
        <item m="1" x="6303"/>
        <item x="597"/>
        <item x="3217"/>
        <item m="1" x="7404"/>
        <item x="1553"/>
        <item m="1" x="4676"/>
        <item m="1" x="4659"/>
        <item x="2422"/>
        <item m="1" x="5768"/>
        <item m="1" x="6060"/>
        <item x="3057"/>
        <item x="3058"/>
        <item x="867"/>
        <item x="868"/>
        <item m="1" x="6337"/>
        <item m="1" x="6530"/>
        <item m="1" x="6531"/>
        <item m="1" x="6532"/>
        <item m="1" x="6533"/>
        <item m="1" x="5024"/>
        <item m="1" x="6428"/>
        <item m="1" x="5021"/>
        <item x="1848"/>
        <item m="1" x="5798"/>
        <item x="3064"/>
        <item x="920"/>
        <item m="1" x="5867"/>
        <item m="1" x="7196"/>
        <item m="1" x="3862"/>
        <item m="1" x="7197"/>
        <item x="1010"/>
        <item m="1" x="6934"/>
        <item x="1995"/>
        <item x="2013"/>
        <item m="1" x="5803"/>
        <item x="2747"/>
        <item m="1" x="3865"/>
        <item m="1" x="3866"/>
        <item x="3091"/>
        <item m="1" x="7198"/>
        <item m="1" x="3868"/>
        <item x="1117"/>
        <item m="1" x="5962"/>
        <item x="2125"/>
        <item x="292"/>
        <item m="1" x="6443"/>
        <item x="304"/>
        <item x="2854"/>
        <item m="1" x="5713"/>
        <item x="1162"/>
        <item x="1163"/>
        <item m="1" x="3725"/>
        <item x="1164"/>
        <item x="2153"/>
        <item x="1165"/>
        <item m="1" x="6444"/>
        <item m="1" x="6943"/>
        <item m="1" x="6774"/>
        <item x="1166"/>
        <item x="2154"/>
        <item x="2155"/>
        <item x="1167"/>
        <item m="1" x="5407"/>
        <item m="1" x="5826"/>
        <item x="1168"/>
        <item x="1170"/>
        <item x="2156"/>
        <item x="1169"/>
        <item x="305"/>
        <item x="2157"/>
        <item m="1" x="5544"/>
        <item x="306"/>
        <item x="2254"/>
        <item m="1" x="6098"/>
        <item m="1" x="6094"/>
        <item m="1" x="6095"/>
        <item m="1" x="6002"/>
        <item m="1" x="6176"/>
        <item m="1" x="6096"/>
        <item m="1" x="6097"/>
        <item m="1" x="6249"/>
        <item m="1" x="6445"/>
        <item m="1" x="6446"/>
        <item x="1172"/>
        <item x="2855"/>
        <item m="1" x="6775"/>
        <item m="1" x="6351"/>
        <item m="1" x="5546"/>
        <item m="1" x="6321"/>
        <item m="1" x="6352"/>
        <item x="2159"/>
        <item m="1" x="5827"/>
        <item m="1" x="6003"/>
        <item x="2161"/>
        <item m="1" x="6448"/>
        <item m="1" x="6449"/>
        <item x="15"/>
        <item x="1171"/>
        <item m="1" x="6353"/>
        <item m="1" x="5545"/>
        <item m="1" x="6354"/>
        <item x="3175"/>
        <item m="1" x="6178"/>
        <item x="1213"/>
        <item x="2874"/>
        <item m="1" x="6452"/>
        <item x="2185"/>
        <item x="2882"/>
        <item m="1" x="5551"/>
        <item m="1" x="6456"/>
        <item m="1" x="6180"/>
        <item x="2189"/>
        <item m="1" x="6251"/>
        <item m="1" x="6856"/>
        <item m="1" x="6548"/>
        <item x="2198"/>
        <item x="1234"/>
        <item x="340"/>
        <item m="1" x="5415"/>
        <item m="1" x="5555"/>
        <item x="1236"/>
        <item m="1" x="6460"/>
        <item m="1" x="6184"/>
        <item m="1" x="5556"/>
        <item x="381"/>
        <item m="1" x="6464"/>
        <item m="1" x="6365"/>
        <item m="1" x="6366"/>
        <item m="1" x="6367"/>
        <item m="1" x="6368"/>
        <item m="1" x="5199"/>
        <item x="2248"/>
        <item x="1967"/>
        <item x="2258"/>
        <item m="1" x="4178"/>
        <item x="39"/>
        <item x="2942"/>
        <item m="1" x="6388"/>
        <item m="1" x="6666"/>
        <item m="1" x="6667"/>
        <item m="1" x="6797"/>
        <item m="1" x="5847"/>
        <item m="1" x="5848"/>
        <item m="1" x="5748"/>
        <item m="1" x="6204"/>
        <item m="1" x="5968"/>
        <item x="1425"/>
        <item x="1426"/>
        <item m="1" x="6205"/>
        <item x="2328"/>
        <item x="2329"/>
        <item x="2330"/>
        <item x="472"/>
        <item m="1" x="4518"/>
        <item x="1427"/>
        <item x="2333"/>
        <item x="473"/>
        <item m="1" x="6575"/>
        <item x="2334"/>
        <item m="1" x="5971"/>
        <item m="1" x="6579"/>
        <item x="2355"/>
        <item m="1" x="6508"/>
        <item x="688"/>
        <item x="2356"/>
        <item x="2347"/>
        <item m="1" x="6687"/>
        <item x="1459"/>
        <item x="510"/>
        <item x="2357"/>
        <item x="2358"/>
        <item x="54"/>
        <item x="511"/>
        <item x="1460"/>
        <item x="512"/>
        <item x="2359"/>
        <item m="1" x="5756"/>
        <item x="513"/>
        <item x="514"/>
        <item m="1" x="6985"/>
        <item m="1" x="6825"/>
        <item m="1" x="6986"/>
        <item x="1478"/>
        <item m="1" x="6900"/>
        <item m="1" x="6720"/>
        <item m="1" x="6987"/>
        <item m="1" x="6041"/>
        <item m="1" x="6402"/>
        <item m="1" x="6403"/>
        <item m="1" x="6331"/>
        <item m="1" x="6332"/>
        <item m="1" x="6586"/>
        <item m="1" x="6408"/>
        <item m="1" x="4718"/>
        <item m="1" x="4719"/>
        <item m="1" x="6523"/>
        <item m="1" x="4758"/>
        <item m="1" x="5470"/>
        <item m="1" x="4720"/>
        <item m="1" x="4746"/>
        <item m="1" x="4747"/>
        <item m="1" x="4748"/>
        <item m="1" x="6145"/>
        <item m="1" x="6414"/>
        <item m="1" x="4740"/>
        <item m="1" x="6589"/>
        <item x="2621"/>
        <item x="1603"/>
        <item x="2459"/>
        <item m="1" x="6629"/>
        <item x="2564"/>
        <item x="2574"/>
        <item m="1" x="6527"/>
        <item m="1" x="6630"/>
        <item x="1706"/>
        <item x="2566"/>
        <item m="1" x="6418"/>
        <item x="1733"/>
        <item x="1926"/>
        <item m="1" x="5499"/>
        <item m="1" x="6419"/>
        <item m="1" x="5500"/>
        <item m="1" x="6422"/>
        <item m="1" x="5791"/>
        <item x="2613"/>
        <item x="2614"/>
        <item x="2615"/>
        <item x="1793"/>
        <item m="1" x="4948"/>
        <item x="3429"/>
        <item x="3430"/>
        <item x="3431"/>
        <item m="1" x="6697"/>
        <item m="1" x="4999"/>
        <item m="1" x="5000"/>
        <item m="1" x="5940"/>
        <item x="3432"/>
        <item x="3433"/>
        <item x="3434"/>
        <item m="1" x="5001"/>
        <item x="3435"/>
        <item x="3436"/>
        <item m="1" x="6314"/>
        <item x="3501"/>
        <item x="3437"/>
        <item m="1" x="5002"/>
        <item x="3438"/>
        <item x="3439"/>
        <item m="1" x="5945"/>
        <item x="3440"/>
        <item x="3441"/>
        <item m="1" x="5946"/>
        <item m="1" x="5004"/>
        <item x="3443"/>
        <item m="1" x="5005"/>
        <item x="3444"/>
        <item m="1" x="3785"/>
        <item m="1" x="5947"/>
        <item x="3446"/>
        <item x="3447"/>
        <item x="3448"/>
        <item x="3449"/>
        <item m="1" x="6529"/>
        <item x="178"/>
        <item x="177"/>
        <item x="175"/>
        <item x="910"/>
        <item x="2641"/>
        <item x="911"/>
        <item m="1" x="7075"/>
        <item x="176"/>
        <item m="1" x="5034"/>
        <item m="1" x="5035"/>
        <item m="1" x="5029"/>
        <item m="1" x="5032"/>
        <item m="1" x="5027"/>
        <item m="1" x="6917"/>
        <item x="1902"/>
        <item x="974"/>
        <item x="2669"/>
        <item x="2675"/>
        <item x="1905"/>
        <item x="1907"/>
        <item x="1908"/>
        <item x="1909"/>
        <item x="2670"/>
        <item x="2671"/>
        <item m="1" x="5695"/>
        <item m="1" x="5869"/>
        <item m="1" x="5886"/>
        <item m="1" x="5816"/>
        <item m="1" x="6279"/>
        <item m="1" x="5808"/>
        <item m="1" x="5811"/>
        <item m="1" x="5813"/>
        <item m="1" x="5697"/>
        <item m="1" x="6065"/>
        <item m="1" x="6067"/>
        <item m="1" x="5810"/>
        <item m="1" x="5704"/>
        <item x="2052"/>
        <item x="2775"/>
        <item x="2055"/>
        <item m="1" x="6847"/>
        <item m="1" x="6937"/>
        <item x="1068"/>
        <item m="1" x="6938"/>
        <item m="1" x="7025"/>
        <item m="1" x="6848"/>
        <item m="1" x="6849"/>
        <item m="1" x="7026"/>
        <item x="235"/>
        <item x="255"/>
        <item x="5"/>
        <item m="1" x="6939"/>
        <item x="2100"/>
        <item m="1" x="3644"/>
        <item m="1" x="5401"/>
        <item m="1" x="3597"/>
        <item m="1" x="3685"/>
        <item m="1" x="3645"/>
        <item m="1" x="3598"/>
        <item m="1" x="3599"/>
        <item m="1" x="3646"/>
        <item m="1" x="3647"/>
        <item m="1" x="3600"/>
        <item m="1" x="3701"/>
        <item m="1" x="3648"/>
        <item m="1" x="5537"/>
        <item m="1" x="3601"/>
        <item m="1" x="6854"/>
        <item m="1" x="5710"/>
        <item m="1" x="5538"/>
        <item m="1" x="6085"/>
        <item m="1" x="3649"/>
        <item m="1" x="3686"/>
        <item m="1" x="3752"/>
        <item m="1" x="3758"/>
        <item m="1" x="3760"/>
        <item m="1" x="3753"/>
        <item m="1" x="4056"/>
        <item m="1" x="4068"/>
        <item m="1" x="4171"/>
        <item m="1" x="3972"/>
        <item m="1" x="3906"/>
        <item m="1" x="3973"/>
        <item m="1" x="4073"/>
        <item m="1" x="3886"/>
        <item m="1" x="3974"/>
        <item m="1" x="3975"/>
        <item m="1" x="4150"/>
        <item m="1" x="3907"/>
        <item m="1" x="3908"/>
        <item m="1" x="4076"/>
        <item m="1" x="6556"/>
        <item m="1" x="4151"/>
        <item m="1" x="3909"/>
        <item m="1" x="3976"/>
        <item m="1" x="3977"/>
        <item m="1" x="3910"/>
        <item m="1" x="3978"/>
        <item m="1" x="3911"/>
        <item m="1" x="4152"/>
        <item m="1" x="4077"/>
        <item m="1" x="6864"/>
        <item m="1" x="3979"/>
        <item m="1" x="6722"/>
        <item m="1" x="3887"/>
        <item m="1" x="3981"/>
        <item m="1" x="4079"/>
        <item m="1" x="3912"/>
        <item m="1" x="3982"/>
        <item m="1" x="3913"/>
        <item m="1" x="3983"/>
        <item m="1" x="3984"/>
        <item m="1" x="3914"/>
        <item m="1" x="3985"/>
        <item m="1" x="4080"/>
        <item m="1" x="3915"/>
        <item m="1" x="3888"/>
        <item m="1" x="4038"/>
        <item m="1" x="4081"/>
        <item m="1" x="4082"/>
        <item m="1" x="4083"/>
        <item m="1" x="6865"/>
        <item m="1" x="4084"/>
        <item m="1" x="3917"/>
        <item m="1" x="4085"/>
        <item m="1" x="4086"/>
        <item m="1" x="3918"/>
        <item m="1" x="3987"/>
        <item m="1" x="6866"/>
        <item m="1" x="3988"/>
        <item m="1" x="6376"/>
        <item m="1" x="6952"/>
        <item m="1" x="6787"/>
        <item m="1" x="3919"/>
        <item m="1" x="4088"/>
        <item m="1" x="4153"/>
        <item m="1" x="3989"/>
        <item m="1" x="3990"/>
        <item m="1" x="3721"/>
        <item m="1" x="4172"/>
        <item m="1" x="3920"/>
        <item m="1" x="6557"/>
        <item m="1" x="5739"/>
        <item m="1" x="4154"/>
        <item m="1" x="3921"/>
        <item m="1" x="3991"/>
        <item m="1" x="6953"/>
        <item m="1" x="4089"/>
        <item m="1" x="3889"/>
        <item m="1" x="6867"/>
        <item m="1" x="4090"/>
        <item m="1" x="3992"/>
        <item m="1" x="3993"/>
        <item m="1" x="3994"/>
        <item m="1" x="3922"/>
        <item m="1" x="6378"/>
        <item m="1" x="3995"/>
        <item x="3178"/>
        <item m="1" x="4173"/>
        <item m="1" x="3996"/>
        <item m="1" x="4155"/>
        <item m="1" x="6788"/>
        <item m="1" x="3997"/>
        <item m="1" x="4091"/>
        <item m="1" x="4092"/>
        <item m="1" x="5580"/>
        <item m="1" x="3998"/>
        <item m="1" x="3999"/>
        <item m="1" x="3890"/>
        <item m="1" x="4094"/>
        <item m="1" x="4156"/>
        <item m="1" x="3923"/>
        <item m="1" x="6612"/>
        <item m="1" x="3924"/>
        <item m="1" x="4095"/>
        <item m="1" x="3925"/>
        <item m="1" x="6558"/>
        <item m="1" x="3926"/>
        <item m="1" x="4000"/>
        <item m="1" x="4001"/>
        <item m="1" x="4002"/>
        <item m="1" x="4157"/>
        <item m="1" x="4097"/>
        <item m="1" x="6613"/>
        <item m="1" x="6868"/>
        <item m="1" x="4098"/>
        <item m="1" x="4099"/>
        <item m="1" x="4003"/>
        <item m="1" x="4004"/>
        <item m="1" x="3927"/>
        <item m="1" x="3928"/>
        <item m="1" x="4005"/>
        <item m="1" x="3929"/>
        <item m="1" x="4100"/>
        <item m="1" x="6789"/>
        <item m="1" x="4006"/>
        <item m="1" x="4101"/>
        <item m="1" x="4102"/>
        <item m="1" x="4103"/>
        <item m="1" x="5740"/>
        <item m="1" x="4514"/>
        <item m="1" x="4274"/>
        <item m="1" x="4275"/>
        <item m="1" x="6879"/>
        <item m="1" x="6393"/>
        <item m="1" x="4448"/>
        <item x="1000"/>
        <item m="1" x="5592"/>
        <item m="1" x="4276"/>
        <item m="1" x="4449"/>
        <item m="1" x="4354"/>
        <item m="1" x="4450"/>
        <item m="1" x="4451"/>
        <item m="1" x="4355"/>
        <item m="1" x="6392"/>
        <item m="1" x="4277"/>
        <item m="1" x="6497"/>
        <item m="1" x="4452"/>
        <item m="1" x="4356"/>
        <item m="1" x="6326"/>
        <item m="1" x="7035"/>
        <item m="1" x="6880"/>
        <item m="1" x="5441"/>
        <item m="1" x="6957"/>
        <item m="1" x="4677"/>
        <item m="1" x="4357"/>
        <item m="1" x="6201"/>
        <item m="1" x="4358"/>
        <item x="2381"/>
        <item m="1" x="4454"/>
        <item m="1" x="4359"/>
        <item m="1" x="6499"/>
        <item m="1" x="5442"/>
        <item x="351"/>
        <item x="1489"/>
        <item x="547"/>
        <item x="550"/>
        <item m="1" x="5028"/>
        <item m="1" x="6758"/>
        <item x="1253"/>
        <item x="560"/>
        <item x="1497"/>
        <item m="1" x="6216"/>
        <item x="562"/>
        <item m="1" x="5618"/>
        <item m="1" x="6040"/>
        <item x="1504"/>
        <item m="1" x="6582"/>
        <item x="568"/>
        <item x="2974"/>
        <item x="1514"/>
        <item x="573"/>
        <item x="2394"/>
        <item m="1" x="4657"/>
        <item x="579"/>
        <item m="1" x="6316"/>
        <item x="2405"/>
        <item x="582"/>
        <item x="2408"/>
        <item m="1" x="4672"/>
        <item x="2415"/>
        <item m="1" x="5617"/>
        <item m="1" x="4675"/>
        <item x="594"/>
        <item m="1" x="5770"/>
        <item x="2435"/>
        <item x="1548"/>
        <item x="2439"/>
        <item x="1552"/>
        <item x="72"/>
        <item m="1" x="6412"/>
        <item m="1" x="4780"/>
        <item m="1" x="6056"/>
        <item m="1" x="4807"/>
        <item m="1" x="4817"/>
        <item m="1" x="4779"/>
        <item m="1" x="4815"/>
        <item m="1" x="4813"/>
        <item m="1" x="5624"/>
        <item m="1" x="4765"/>
        <item m="1" x="4820"/>
        <item m="1" x="4816"/>
        <item m="1" x="4794"/>
        <item m="1" x="4792"/>
        <item m="1" x="4827"/>
        <item m="1" x="4823"/>
        <item m="1" x="4826"/>
        <item m="1" x="6149"/>
        <item m="1" x="4773"/>
        <item m="1" x="4838"/>
        <item m="1" x="4791"/>
        <item m="1" x="6334"/>
        <item x="1599"/>
        <item x="2456"/>
        <item x="667"/>
        <item m="1" x="6721"/>
        <item x="1874"/>
        <item x="925"/>
        <item m="1" x="5517"/>
        <item m="1" x="5686"/>
        <item x="940"/>
        <item m="1" x="5688"/>
        <item x="937"/>
        <item x="192"/>
        <item m="1" x="5074"/>
        <item x="950"/>
        <item x="1872"/>
        <item x="196"/>
        <item x="951"/>
        <item x="1870"/>
        <item x="191"/>
        <item m="1" x="5515"/>
        <item x="1859"/>
        <item x="946"/>
        <item x="195"/>
        <item x="197"/>
        <item m="1" x="7014"/>
        <item m="1" x="5083"/>
        <item m="1" x="5182"/>
        <item m="1" x="5091"/>
        <item m="1" x="5084"/>
        <item m="1" x="6431"/>
        <item m="1" x="5269"/>
        <item m="1" x="6770"/>
        <item x="3153"/>
        <item x="2796"/>
        <item x="2805"/>
        <item x="3270"/>
        <item x="3143"/>
        <item m="1" x="6846"/>
        <item m="1" x="6997"/>
        <item x="1668"/>
        <item x="115"/>
        <item x="116"/>
        <item x="117"/>
        <item m="1" x="6162"/>
        <item m="1" x="6600"/>
        <item m="1" x="6442"/>
        <item m="1" x="6163"/>
        <item m="1" x="6347"/>
        <item m="1" x="6320"/>
        <item m="1" x="5982"/>
        <item m="1" x="6164"/>
        <item m="1" x="6074"/>
        <item x="1072"/>
        <item m="1" x="5983"/>
        <item x="253"/>
        <item x="245"/>
        <item m="1" x="5397"/>
        <item m="1" x="6075"/>
        <item x="248"/>
        <item x="1081"/>
        <item m="1" x="5959"/>
        <item x="1070"/>
        <item m="1" x="6076"/>
        <item x="233"/>
        <item m="1" x="6348"/>
        <item m="1" x="5533"/>
        <item m="1" x="6349"/>
        <item x="2101"/>
        <item m="1" x="6177"/>
        <item x="2158"/>
        <item m="1" x="5547"/>
        <item x="307"/>
        <item m="1" x="5405"/>
        <item x="2160"/>
        <item x="2856"/>
        <item x="310"/>
        <item m="1" x="5825"/>
        <item x="308"/>
        <item x="309"/>
        <item m="1" x="5964"/>
        <item x="2862"/>
        <item x="2890"/>
        <item x="1240"/>
        <item x="2891"/>
        <item x="1241"/>
        <item x="1242"/>
        <item x="1243"/>
        <item x="345"/>
        <item x="2206"/>
        <item x="2892"/>
        <item x="1184"/>
        <item m="1" x="3716"/>
        <item x="1244"/>
        <item x="2207"/>
        <item x="2208"/>
        <item x="346"/>
        <item m="1" x="6450"/>
        <item m="1" x="6451"/>
        <item m="1" x="5965"/>
        <item m="1" x="6250"/>
        <item m="1" x="6179"/>
        <item x="1216"/>
        <item x="336"/>
        <item m="1" x="5553"/>
        <item m="1" x="6006"/>
        <item m="1" x="5413"/>
        <item x="1231"/>
        <item m="1" x="6100"/>
        <item m="1" x="5833"/>
        <item x="19"/>
        <item x="2877"/>
        <item m="1" x="6183"/>
        <item x="2183"/>
        <item x="28"/>
        <item x="374"/>
        <item m="1" x="3779"/>
        <item m="1" x="5193"/>
        <item x="994"/>
        <item m="1" x="3833"/>
        <item m="1" x="3848"/>
        <item m="1" x="3822"/>
        <item m="1" x="3854"/>
        <item m="1" x="3825"/>
        <item m="1" x="3837"/>
        <item m="1" x="3826"/>
        <item m="1" x="3838"/>
        <item m="1" x="3827"/>
        <item m="1" x="3839"/>
        <item m="1" x="3860"/>
        <item m="1" x="3861"/>
        <item m="1" x="6610"/>
        <item x="30"/>
        <item m="1" x="6372"/>
        <item m="1" x="6470"/>
        <item m="1" x="6471"/>
        <item m="1" x="5839"/>
        <item m="1" x="6259"/>
        <item m="1" x="6111"/>
        <item m="1" x="6324"/>
        <item m="1" x="4845"/>
        <item m="1" x="5732"/>
        <item m="1" x="6473"/>
        <item m="1" x="4851"/>
        <item m="1" x="6474"/>
        <item m="1" x="4853"/>
        <item m="1" x="6200"/>
        <item x="1328"/>
        <item x="2943"/>
        <item m="1" x="4176"/>
        <item x="464"/>
        <item x="465"/>
        <item x="466"/>
        <item x="467"/>
        <item x="47"/>
        <item x="1424"/>
        <item m="1" x="4467"/>
        <item m="1" x="4389"/>
        <item m="1" x="6390"/>
        <item m="1" x="4375"/>
        <item m="1" x="4469"/>
        <item m="1" x="4371"/>
        <item m="1" x="4468"/>
        <item m="1" x="4280"/>
        <item m="1" x="4286"/>
        <item m="1" x="4376"/>
        <item m="1" x="4368"/>
        <item m="1" x="4377"/>
        <item m="1" x="4378"/>
        <item m="1" x="4458"/>
        <item m="1" x="4381"/>
        <item m="1" x="4374"/>
        <item m="1" x="4462"/>
        <item m="1" x="6202"/>
        <item m="1" x="4284"/>
        <item m="1" x="4509"/>
        <item m="1" x="5594"/>
        <item m="1" x="4289"/>
        <item m="1" x="4379"/>
        <item m="1" x="4372"/>
        <item m="1" x="4373"/>
        <item m="1" x="4459"/>
        <item m="1" x="5593"/>
        <item m="1" x="4363"/>
        <item x="1962"/>
        <item m="1" x="4508"/>
        <item m="1" x="4362"/>
        <item m="1" x="6394"/>
        <item m="1" x="4465"/>
        <item m="1" x="4464"/>
        <item m="1" x="4380"/>
        <item m="1" x="4285"/>
        <item m="1" x="4463"/>
        <item m="1" x="4383"/>
        <item m="1" x="4223"/>
        <item m="1" x="4361"/>
        <item m="1" x="4288"/>
        <item m="1" x="4287"/>
        <item m="1" x="5372"/>
        <item m="1" x="4369"/>
        <item m="1" x="4224"/>
        <item m="1" x="4370"/>
        <item m="1" x="6574"/>
        <item x="2952"/>
        <item m="1" x="6115"/>
        <item m="1" x="6206"/>
        <item m="1" x="6207"/>
        <item x="1430"/>
        <item m="1" x="6500"/>
        <item m="1" x="6327"/>
        <item x="682"/>
        <item x="1121"/>
        <item m="1" x="5602"/>
        <item x="482"/>
        <item x="1438"/>
        <item x="509"/>
        <item x="1461"/>
        <item m="1" x="6265"/>
        <item m="1" x="6116"/>
        <item m="1" x="5757"/>
        <item x="1462"/>
        <item x="1463"/>
        <item m="1" x="5456"/>
        <item x="2348"/>
        <item m="1" x="5972"/>
        <item m="1" x="6510"/>
        <item m="1" x="4536"/>
        <item m="1" x="6210"/>
        <item m="1" x="4553"/>
        <item m="1" x="6669"/>
        <item m="1" x="6670"/>
        <item x="3200"/>
        <item m="1" x="6299"/>
        <item m="1" x="5913"/>
        <item m="1" x="5914"/>
        <item x="1629"/>
        <item m="1" x="5915"/>
        <item m="1" x="6671"/>
        <item x="565"/>
        <item x="3201"/>
        <item m="1" x="4616"/>
        <item m="1" x="6672"/>
        <item m="1" x="6673"/>
        <item m="1" x="4610"/>
        <item m="1" x="4624"/>
        <item x="545"/>
        <item x="548"/>
        <item m="1" x="4633"/>
        <item x="1492"/>
        <item x="555"/>
        <item m="1" x="4634"/>
        <item x="2447"/>
        <item x="2448"/>
        <item m="1" x="4622"/>
        <item m="1" x="4750"/>
        <item m="1" x="4721"/>
        <item m="1" x="6055"/>
        <item m="1" x="4741"/>
        <item m="1" x="4730"/>
        <item m="1" x="4755"/>
        <item m="1" x="6148"/>
        <item x="756"/>
        <item x="118"/>
        <item x="757"/>
        <item x="119"/>
        <item m="1" x="5789"/>
        <item m="1" x="5495"/>
        <item m="1" x="5670"/>
        <item m="1" x="5671"/>
        <item m="1" x="5496"/>
        <item m="1" x="5672"/>
        <item x="2551"/>
        <item x="1696"/>
        <item m="1" x="6058"/>
        <item m="1" x="4901"/>
        <item m="1" x="6336"/>
        <item x="1697"/>
        <item x="803"/>
        <item m="1" x="6059"/>
        <item x="3049"/>
        <item x="792"/>
        <item x="153"/>
        <item x="795"/>
        <item m="1" x="4921"/>
        <item m="1" x="4922"/>
        <item m="1" x="4923"/>
        <item m="1" x="4920"/>
        <item x="1794"/>
        <item x="869"/>
        <item x="158"/>
        <item m="1" x="4951"/>
        <item m="1" x="5676"/>
        <item m="1" x="4955"/>
        <item m="1" x="4963"/>
        <item m="1" x="4964"/>
        <item x="3487"/>
        <item m="1" x="4965"/>
        <item x="3451"/>
        <item m="1" x="5503"/>
        <item m="1" x="6155"/>
        <item x="3453"/>
        <item x="3455"/>
        <item x="3458"/>
        <item x="3459"/>
        <item x="3460"/>
        <item x="1810"/>
        <item x="1811"/>
        <item m="1" x="4966"/>
        <item x="1812"/>
        <item x="1813"/>
        <item x="881"/>
        <item m="1" x="4967"/>
        <item x="1814"/>
        <item m="1" x="4968"/>
        <item x="1837"/>
        <item m="1" x="5684"/>
        <item x="1838"/>
        <item x="1836"/>
        <item x="913"/>
        <item x="912"/>
        <item x="1842"/>
        <item m="1" x="6338"/>
        <item m="1" x="6432"/>
        <item m="1" x="5117"/>
        <item m="1" x="6534"/>
        <item m="1" x="6535"/>
        <item m="1" x="5097"/>
        <item m="1" x="5087"/>
        <item m="1" x="5086"/>
        <item m="1" x="5179"/>
        <item m="1" x="5180"/>
        <item m="1" x="5391"/>
        <item m="1" x="5181"/>
        <item m="1" x="5864"/>
        <item m="1" x="5211"/>
        <item m="1" x="6636"/>
        <item m="1" x="5326"/>
        <item m="1" x="5311"/>
        <item m="1" x="5800"/>
        <item m="1" x="5191"/>
        <item x="1900"/>
        <item x="2673"/>
        <item x="3071"/>
        <item x="977"/>
        <item x="2680"/>
        <item x="2681"/>
        <item x="1911"/>
        <item x="2682"/>
        <item x="2683"/>
        <item x="1913"/>
        <item x="201"/>
        <item x="1914"/>
        <item m="1" x="5196"/>
        <item x="1982"/>
        <item x="3094"/>
        <item m="1" x="5802"/>
        <item x="2731"/>
        <item x="1993"/>
        <item x="2745"/>
        <item x="2009"/>
        <item x="2750"/>
        <item x="1019"/>
        <item m="1" x="6236"/>
        <item x="3108"/>
        <item x="3109"/>
        <item m="1" x="5523"/>
        <item m="1" x="5807"/>
        <item m="1" x="5696"/>
        <item m="1" x="5393"/>
        <item m="1" x="5394"/>
        <item m="1" x="6066"/>
        <item m="1" x="5701"/>
        <item m="1" x="6158"/>
        <item m="1" x="5395"/>
        <item m="1" x="5525"/>
        <item m="1" x="5814"/>
        <item m="1" x="5705"/>
        <item x="2037"/>
        <item m="1" x="6159"/>
        <item m="1" x="5046"/>
        <item m="1" x="5055"/>
        <item m="1" x="6241"/>
        <item x="2038"/>
        <item m="1" x="5818"/>
        <item m="1" x="6160"/>
        <item x="208"/>
        <item x="2039"/>
        <item x="3122"/>
        <item x="2053"/>
        <item x="3003"/>
        <item x="3123"/>
        <item x="1035"/>
        <item x="1043"/>
        <item x="2804"/>
        <item m="1" x="5529"/>
        <item m="1" x="5349"/>
        <item m="1" x="5876"/>
        <item x="2790"/>
        <item x="2814"/>
        <item x="217"/>
        <item x="1055"/>
        <item x="3140"/>
        <item x="2787"/>
        <item m="1" x="5348"/>
        <item x="3129"/>
        <item m="1" x="5707"/>
        <item x="2811"/>
        <item x="2073"/>
        <item m="1" x="6242"/>
        <item x="2072"/>
        <item x="218"/>
        <item m="1" x="6246"/>
        <item x="2826"/>
        <item x="1039"/>
        <item x="3150"/>
        <item m="1" x="6643"/>
        <item x="215"/>
        <item x="2813"/>
        <item x="3142"/>
        <item x="2070"/>
        <item x="2809"/>
        <item x="3266"/>
        <item x="3128"/>
        <item x="3137"/>
        <item m="1" x="5358"/>
        <item x="1044"/>
        <item m="1" x="5351"/>
        <item x="3131"/>
        <item x="1049"/>
        <item x="2062"/>
        <item x="1038"/>
        <item x="2806"/>
        <item m="1" x="6071"/>
        <item x="2810"/>
        <item x="2074"/>
        <item x="2808"/>
        <item x="1051"/>
        <item x="2782"/>
        <item x="3138"/>
        <item m="1" x="5359"/>
        <item x="3124"/>
        <item m="1" x="6243"/>
        <item x="214"/>
        <item x="2802"/>
        <item m="1" x="5357"/>
        <item m="1" x="5875"/>
        <item x="2795"/>
        <item m="1" x="5352"/>
        <item x="2080"/>
        <item m="1" x="5822"/>
        <item x="3136"/>
        <item x="2067"/>
        <item m="1" x="6244"/>
        <item x="1052"/>
        <item x="2788"/>
        <item m="1" x="6281"/>
        <item x="2801"/>
        <item x="3268"/>
        <item m="1" x="6325"/>
        <item x="68"/>
        <item m="1" x="5389"/>
        <item x="189"/>
        <item x="198"/>
        <item m="1" x="3735"/>
        <item m="1" x="3739"/>
        <item m="1" x="6362"/>
        <item m="1" x="6008"/>
        <item m="1" x="6363"/>
        <item m="1" x="6364"/>
        <item m="1" x="6009"/>
        <item m="1" x="6379"/>
        <item m="1" x="6380"/>
        <item m="1" x="6381"/>
        <item m="1" x="6382"/>
        <item m="1" x="6383"/>
        <item m="1" x="6031"/>
        <item m="1" x="5610"/>
        <item m="1" x="5453"/>
        <item m="1" x="6044"/>
        <item m="1" x="4648"/>
        <item x="577"/>
        <item x="578"/>
        <item m="1" x="4651"/>
        <item m="1" x="4652"/>
        <item x="588"/>
        <item m="1" x="4654"/>
        <item x="592"/>
        <item x="1538"/>
        <item m="1" x="5467"/>
        <item x="1550"/>
        <item m="1" x="5469"/>
        <item m="1" x="4667"/>
        <item x="608"/>
        <item m="1" x="4692"/>
        <item m="1" x="4693"/>
        <item m="1" x="4694"/>
        <item m="1" x="6429"/>
        <item m="1" x="6062"/>
        <item x="926"/>
        <item m="1" x="5514"/>
        <item m="1" x="5076"/>
        <item x="953"/>
        <item x="1879"/>
        <item x="952"/>
        <item m="1" x="3628"/>
        <item m="1" x="3651"/>
        <item m="1" x="3652"/>
        <item x="1854"/>
        <item m="1" x="6103"/>
        <item m="1" x="4007"/>
        <item m="1" x="6475"/>
        <item m="1" x="6476"/>
        <item m="1" x="6477"/>
        <item m="1" x="6478"/>
        <item m="1" x="4012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93"/>
        <item m="1" x="5612"/>
        <item m="1" x="5611"/>
        <item m="1" x="5613"/>
        <item x="2393"/>
        <item m="1" x="6521"/>
        <item x="1521"/>
        <item x="1524"/>
        <item m="1" x="5615"/>
        <item m="1" x="5765"/>
        <item x="1527"/>
        <item m="1" x="4661"/>
        <item m="1" x="4663"/>
        <item m="1" x="6131"/>
        <item x="1532"/>
        <item x="1536"/>
        <item x="1537"/>
        <item x="1539"/>
        <item x="2431"/>
        <item m="1" x="5619"/>
        <item m="1" x="5621"/>
        <item m="1" x="4666"/>
        <item m="1" x="6140"/>
        <item m="1" x="4668"/>
        <item m="1" x="4695"/>
        <item m="1" x="4696"/>
        <item m="1" x="4697"/>
        <item x="1857"/>
        <item m="1" x="5079"/>
        <item m="1" x="3671"/>
        <item m="1" x="3672"/>
        <item m="1" x="3673"/>
        <item m="1" x="3687"/>
        <item m="1" x="3688"/>
        <item m="1" x="6552"/>
        <item m="1" x="6186"/>
        <item m="1" x="6185"/>
        <item m="1" x="6559"/>
        <item m="1" x="6560"/>
        <item m="1" x="6561"/>
        <item m="1" x="6562"/>
        <item m="1" x="6563"/>
        <item m="1" x="6564"/>
        <item m="1" x="4112"/>
        <item m="1" x="4113"/>
        <item m="1" x="6565"/>
        <item m="1" x="4115"/>
        <item m="1" x="6218"/>
        <item m="1" x="4669"/>
        <item x="2395"/>
        <item m="1" x="6222"/>
        <item x="2407"/>
        <item x="2418"/>
        <item x="2420"/>
        <item x="2421"/>
        <item x="2429"/>
        <item x="2438"/>
        <item x="2445"/>
        <item m="1" x="5771"/>
        <item m="1" x="4700"/>
        <item m="1" x="4701"/>
        <item m="1" x="4702"/>
        <item m="1" x="4703"/>
        <item m="1" x="6232"/>
        <item x="2652"/>
        <item m="1" x="3703"/>
        <item m="1" x="6605"/>
        <item m="1" x="6606"/>
        <item m="1" x="6607"/>
        <item m="1" x="6614"/>
        <item m="1" x="6615"/>
        <item m="1" x="6616"/>
        <item m="1" x="6619"/>
        <item m="1" x="6620"/>
        <item x="2980"/>
        <item x="2983"/>
        <item x="2984"/>
        <item x="2985"/>
        <item x="2986"/>
        <item m="1" x="4706"/>
        <item m="1" x="6645"/>
        <item m="1" x="6648"/>
        <item m="1" x="4117"/>
        <item x="3214"/>
        <item m="1" x="4708"/>
        <item m="1" x="5960"/>
        <item m="1" x="3533"/>
        <item x="16"/>
        <item m="1" x="3714"/>
        <item x="348"/>
        <item x="349"/>
        <item m="1" x="3749"/>
        <item m="1" x="3812"/>
        <item m="1" x="4846"/>
        <item m="1" x="5967"/>
        <item m="1" x="3891"/>
        <item m="1" x="3892"/>
        <item m="1" x="4188"/>
        <item m="1" x="4225"/>
        <item m="1" x="5373"/>
        <item m="1" x="4528"/>
        <item m="1" x="5375"/>
        <item m="1" x="5973"/>
        <item x="64"/>
        <item x="67"/>
        <item m="1" x="4691"/>
        <item x="759"/>
        <item x="120"/>
        <item x="121"/>
        <item x="764"/>
        <item x="152"/>
        <item x="159"/>
        <item x="161"/>
        <item x="162"/>
        <item x="179"/>
        <item m="1" x="5022"/>
        <item m="1" x="5085"/>
        <item m="1" x="5980"/>
        <item x="216"/>
        <item x="219"/>
        <item x="220"/>
        <item x="226"/>
        <item x="250"/>
        <item m="1" x="5984"/>
        <item m="1" x="5985"/>
        <item m="1" x="5986"/>
        <item x="238"/>
        <item m="1" x="5987"/>
        <item x="252"/>
        <item x="278"/>
        <item x="279"/>
        <item x="293"/>
        <item m="1" x="5991"/>
        <item m="1" x="5992"/>
        <item x="311"/>
        <item x="312"/>
        <item x="313"/>
        <item x="314"/>
        <item x="315"/>
        <item m="1" x="5409"/>
        <item x="347"/>
        <item m="1" x="3740"/>
        <item x="375"/>
        <item m="1" x="6014"/>
        <item m="1" x="4841"/>
        <item m="1" x="4842"/>
        <item m="1" x="4848"/>
        <item m="1" x="6019"/>
        <item m="1" x="4854"/>
        <item m="1" x="6020"/>
        <item m="1" x="6021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x="426"/>
        <item x="468"/>
        <item m="1" x="5443"/>
        <item m="1" x="5444"/>
        <item m="1" x="6028"/>
        <item m="1" x="4299"/>
        <item x="477"/>
        <item x="478"/>
        <item m="1" x="5449"/>
        <item m="1" x="5450"/>
        <item m="1" x="5451"/>
        <item m="1" x="5452"/>
        <item x="501"/>
        <item x="517"/>
        <item x="502"/>
        <item m="1" x="6033"/>
        <item m="1" x="6034"/>
        <item m="1" x="6035"/>
        <item m="1" x="6036"/>
        <item m="1" x="6120"/>
        <item m="1" x="6037"/>
        <item m="1" x="6038"/>
        <item x="534"/>
        <item m="1" x="5462"/>
        <item m="1" x="4618"/>
        <item x="538"/>
        <item x="539"/>
        <item m="1" x="4628"/>
        <item x="551"/>
        <item m="1" x="4625"/>
        <item x="553"/>
        <item m="1" x="5463"/>
        <item x="557"/>
        <item m="1" x="5464"/>
        <item x="566"/>
        <item m="1" x="6042"/>
        <item x="591"/>
        <item x="686"/>
        <item x="653"/>
        <item x="654"/>
        <item x="655"/>
        <item m="1" x="4686"/>
        <item x="1609"/>
        <item x="758"/>
        <item x="760"/>
        <item x="761"/>
        <item x="762"/>
        <item x="763"/>
        <item x="765"/>
        <item x="808"/>
        <item x="789"/>
        <item x="819"/>
        <item x="802"/>
        <item x="870"/>
        <item x="871"/>
        <item x="872"/>
        <item x="873"/>
        <item m="1" x="5504"/>
        <item m="1" x="5505"/>
        <item m="1" x="4969"/>
        <item m="1" x="4970"/>
        <item x="3494"/>
        <item m="1" x="5506"/>
        <item m="1" x="5507"/>
        <item m="1" x="5508"/>
        <item m="1" x="4971"/>
        <item x="3502"/>
        <item x="884"/>
        <item x="885"/>
        <item m="1" x="5023"/>
        <item m="1" x="6061"/>
        <item m="1" x="6063"/>
        <item x="941"/>
        <item x="949"/>
        <item m="1" x="5077"/>
        <item m="1" x="5187"/>
        <item m="1" x="5101"/>
        <item m="1" x="5518"/>
        <item m="1" x="5095"/>
        <item m="1" x="5102"/>
        <item m="1" x="5094"/>
        <item m="1" x="6064"/>
        <item x="978"/>
        <item x="979"/>
        <item x="980"/>
        <item x="981"/>
        <item x="982"/>
        <item x="1036"/>
        <item x="2058"/>
        <item x="2078"/>
        <item m="1" x="5350"/>
        <item m="1" x="5528"/>
        <item x="2082"/>
        <item x="1046"/>
        <item m="1" x="6070"/>
        <item x="1048"/>
        <item m="1" x="5353"/>
        <item x="1057"/>
        <item m="1" x="6077"/>
        <item x="1066"/>
        <item x="1082"/>
        <item m="1" x="6082"/>
        <item m="1" x="5542"/>
        <item m="1" x="3720"/>
        <item x="1173"/>
        <item m="1" x="5543"/>
        <item x="1174"/>
        <item x="1175"/>
        <item m="1" x="3722"/>
        <item m="1" x="5549"/>
        <item x="1249"/>
        <item x="1250"/>
        <item x="1252"/>
        <item x="2211"/>
        <item x="1254"/>
        <item x="1255"/>
        <item x="1257"/>
        <item x="1287"/>
        <item x="1288"/>
        <item x="1289"/>
        <item x="1290"/>
        <item m="1" x="4863"/>
        <item m="1" x="6112"/>
        <item m="1" x="5577"/>
        <item m="1" x="4008"/>
        <item m="1" x="4009"/>
        <item m="1" x="4010"/>
        <item m="1" x="4011"/>
        <item m="1" x="4013"/>
        <item m="1" x="4014"/>
        <item m="1" x="4108"/>
        <item m="1" x="5581"/>
        <item m="1" x="4110"/>
        <item m="1" x="4015"/>
        <item m="1" x="4016"/>
        <item m="1" x="4017"/>
        <item m="1" x="4018"/>
        <item m="1" x="4019"/>
        <item m="1" x="4020"/>
        <item m="1" x="4021"/>
        <item m="1" x="5582"/>
        <item m="1" x="4022"/>
        <item m="1" x="5583"/>
        <item m="1" x="5584"/>
        <item m="1" x="5585"/>
        <item m="1" x="4023"/>
        <item m="1" x="4024"/>
        <item m="1" x="4025"/>
        <item m="1" x="4026"/>
        <item m="1" x="5587"/>
        <item m="1" x="5588"/>
        <item m="1" x="5595"/>
        <item m="1" x="4384"/>
        <item m="1" x="4385"/>
        <item m="1" x="4386"/>
        <item m="1" x="4387"/>
        <item m="1" x="4388"/>
        <item m="1" x="4410"/>
        <item m="1" x="5603"/>
        <item m="1" x="5604"/>
        <item m="1" x="5607"/>
        <item x="1464"/>
        <item x="1465"/>
        <item x="1466"/>
        <item x="1467"/>
        <item x="1468"/>
        <item m="1" x="6118"/>
        <item m="1" x="6119"/>
        <item m="1" x="6121"/>
        <item x="1479"/>
        <item m="1" x="6122"/>
        <item x="1480"/>
        <item x="1481"/>
        <item x="1482"/>
        <item x="1483"/>
        <item x="1484"/>
        <item x="1487"/>
        <item m="1" x="4630"/>
        <item m="1" x="4632"/>
        <item x="1531"/>
        <item m="1" x="5616"/>
        <item m="1" x="6150"/>
        <item x="1607"/>
        <item x="1610"/>
        <item x="1612"/>
        <item x="1613"/>
        <item m="1" x="6152"/>
        <item x="1669"/>
        <item x="1670"/>
        <item x="1700"/>
        <item x="1705"/>
        <item x="1704"/>
        <item x="1732"/>
        <item x="1731"/>
        <item x="1795"/>
        <item m="1" x="6154"/>
        <item x="1796"/>
        <item x="1797"/>
        <item m="1" x="4973"/>
        <item m="1" x="5677"/>
        <item m="1" x="5678"/>
        <item x="3504"/>
        <item x="1817"/>
        <item x="1818"/>
        <item x="1819"/>
        <item x="3517"/>
        <item m="1" x="5679"/>
        <item x="1820"/>
        <item x="1821"/>
        <item x="1822"/>
        <item x="3509"/>
        <item m="1" x="4974"/>
        <item x="1823"/>
        <item x="1825"/>
        <item x="1826"/>
        <item m="1" x="5039"/>
        <item m="1" x="5040"/>
        <item m="1" x="5041"/>
        <item m="1" x="6157"/>
        <item x="1871"/>
        <item m="1" x="5133"/>
        <item m="1" x="5123"/>
        <item m="1" x="5134"/>
        <item m="1" x="5126"/>
        <item m="1" x="5132"/>
        <item m="1" x="5157"/>
        <item m="1" x="5235"/>
        <item m="1" x="5254"/>
        <item m="1" x="5271"/>
        <item x="1901"/>
        <item x="1917"/>
        <item x="1918"/>
        <item x="1919"/>
        <item x="1920"/>
        <item x="1922"/>
        <item x="1923"/>
        <item x="1924"/>
        <item x="1925"/>
        <item x="1928"/>
        <item x="1984"/>
        <item x="2040"/>
        <item x="2059"/>
        <item x="2071"/>
        <item x="2075"/>
        <item x="2077"/>
        <item x="2081"/>
        <item x="2096"/>
        <item x="2126"/>
        <item m="1" x="5712"/>
        <item x="2162"/>
        <item x="2163"/>
        <item m="1" x="3724"/>
        <item x="2209"/>
        <item x="2210"/>
        <item x="2212"/>
        <item x="2213"/>
        <item x="2235"/>
        <item x="2236"/>
        <item x="2237"/>
        <item x="2703"/>
        <item m="1" x="6195"/>
        <item m="1" x="4871"/>
        <item m="1" x="6199"/>
        <item m="1" x="5733"/>
        <item m="1" x="4096"/>
        <item m="1" x="4104"/>
        <item m="1" x="4105"/>
        <item m="1" x="4106"/>
        <item m="1" x="4107"/>
        <item m="1" x="4109"/>
        <item m="1" x="4111"/>
        <item m="1" x="4114"/>
        <item m="1" x="4116"/>
        <item m="1" x="4118"/>
        <item m="1" x="4119"/>
        <item m="1" x="4120"/>
        <item m="1" x="4121"/>
        <item x="2312"/>
        <item m="1" x="5741"/>
        <item m="1" x="4470"/>
        <item m="1" x="4479"/>
        <item x="2336"/>
        <item x="2337"/>
        <item m="1" x="5749"/>
        <item m="1" x="6208"/>
        <item x="2346"/>
        <item x="2349"/>
        <item m="1" x="5755"/>
        <item x="2361"/>
        <item x="2362"/>
        <item m="1" x="4561"/>
        <item m="1" x="6211"/>
        <item m="1" x="6212"/>
        <item m="1" x="6213"/>
        <item m="1" x="6214"/>
        <item x="2368"/>
        <item x="2370"/>
        <item x="2373"/>
        <item x="2374"/>
        <item x="2375"/>
        <item m="1" x="6215"/>
        <item x="2377"/>
        <item m="1" x="4638"/>
        <item m="1" x="5761"/>
        <item x="2382"/>
        <item x="2383"/>
        <item x="2413"/>
        <item x="2442"/>
        <item m="1" x="4704"/>
        <item m="1" x="4707"/>
        <item x="2457"/>
        <item m="1" x="6226"/>
        <item x="2534"/>
        <item x="2535"/>
        <item x="2571"/>
        <item x="2559"/>
        <item x="2569"/>
        <item x="2570"/>
        <item x="2561"/>
        <item m="1" x="4913"/>
        <item x="2616"/>
        <item x="2617"/>
        <item m="1" x="6230"/>
        <item x="2628"/>
        <item m="1" x="5796"/>
        <item x="2629"/>
        <item m="1" x="4976"/>
        <item x="3489"/>
        <item x="2630"/>
        <item m="1" x="4978"/>
        <item m="1" x="5051"/>
        <item m="1" x="6231"/>
        <item m="1" x="5164"/>
        <item m="1" x="5301"/>
        <item m="1" x="5192"/>
        <item x="2686"/>
        <item x="2687"/>
        <item x="2688"/>
        <item x="2689"/>
        <item x="2690"/>
        <item x="2691"/>
        <item x="2705"/>
        <item x="2692"/>
        <item x="2693"/>
        <item x="2694"/>
        <item x="2769"/>
        <item x="2777"/>
        <item x="2780"/>
        <item x="2784"/>
        <item x="3133"/>
        <item x="2785"/>
        <item x="2786"/>
        <item x="2791"/>
        <item x="2794"/>
        <item x="2798"/>
        <item x="2799"/>
        <item x="2800"/>
        <item x="2803"/>
        <item m="1" x="6245"/>
        <item m="1" x="5361"/>
        <item x="2841"/>
        <item m="1" x="3726"/>
        <item x="2858"/>
        <item x="2893"/>
        <item x="1251"/>
        <item m="1" x="3778"/>
        <item m="1" x="3867"/>
        <item m="1" x="6257"/>
        <item m="1" x="5842"/>
        <item m="1" x="4158"/>
        <item m="1" x="4159"/>
        <item m="1" x="4160"/>
        <item m="1" x="4162"/>
        <item m="1" x="4163"/>
        <item m="1" x="4164"/>
        <item m="1" x="4165"/>
        <item m="1" x="6263"/>
        <item m="1" x="6264"/>
        <item m="1" x="5849"/>
        <item m="1" x="5850"/>
        <item m="1" x="5851"/>
        <item x="2964"/>
        <item m="1" x="4560"/>
        <item m="1" x="6266"/>
        <item x="2969"/>
        <item m="1" x="4641"/>
        <item x="2988"/>
        <item m="1" x="5855"/>
        <item m="1" x="4882"/>
        <item x="2998"/>
        <item m="1" x="6275"/>
        <item x="3061"/>
        <item m="1" x="5862"/>
        <item m="1" x="5058"/>
        <item m="1" x="5330"/>
        <item m="1" x="5335"/>
        <item m="1" x="5336"/>
        <item x="3073"/>
        <item x="3074"/>
        <item x="3076"/>
        <item m="1" x="5198"/>
        <item x="3077"/>
        <item x="3078"/>
        <item x="3079"/>
        <item x="3119"/>
        <item x="3125"/>
        <item x="3126"/>
        <item m="1" x="5874"/>
        <item x="3130"/>
        <item m="1" x="5877"/>
        <item x="3141"/>
        <item x="3148"/>
        <item x="3149"/>
        <item x="3151"/>
        <item x="3154"/>
        <item x="3155"/>
        <item m="1" x="5532"/>
        <item x="237"/>
        <item x="3216"/>
        <item m="1" x="6284"/>
        <item m="1" x="4174"/>
        <item x="3186"/>
        <item x="3190"/>
        <item x="3211"/>
        <item x="3219"/>
        <item x="3220"/>
        <item m="1" x="5883"/>
        <item x="3260"/>
        <item m="1" x="5884"/>
        <item x="3267"/>
        <item x="3271"/>
        <item x="3272"/>
        <item x="3274"/>
        <item x="3277"/>
        <item m="1" x="5911"/>
        <item x="3192"/>
        <item m="1" x="5006"/>
        <item m="1" x="5948"/>
        <item x="3493"/>
        <item x="3465"/>
        <item m="1" x="5007"/>
        <item x="3486"/>
        <item m="1" x="5949"/>
        <item m="1" x="5950"/>
        <item m="1" x="5951"/>
        <item x="3467"/>
        <item m="1" x="5952"/>
        <item m="1" x="5953"/>
        <item m="1" x="5008"/>
        <item m="1" x="5954"/>
        <item m="1" x="5955"/>
        <item m="1" x="5009"/>
        <item x="3469"/>
        <item x="3500"/>
        <item x="3470"/>
        <item m="1" x="5956"/>
        <item x="3471"/>
        <item m="1" x="5957"/>
        <item x="3515"/>
        <item m="1" x="6315"/>
        <item x="3472"/>
        <item x="2"/>
        <item x="1"/>
        <item m="1" x="5365"/>
        <item m="1" x="5367"/>
        <item x="22"/>
        <item x="27"/>
        <item x="29"/>
        <item m="1" x="5370"/>
        <item x="40"/>
        <item m="1" x="4226"/>
        <item m="1" x="4227"/>
        <item m="1" x="4228"/>
        <item m="1" x="5374"/>
        <item x="52"/>
        <item x="3202"/>
        <item x="61"/>
        <item x="62"/>
        <item m="1" x="4645"/>
        <item x="122"/>
        <item x="123"/>
        <item x="124"/>
        <item x="125"/>
        <item x="126"/>
        <item x="127"/>
        <item x="128"/>
        <item x="129"/>
        <item x="150"/>
        <item m="1" x="4903"/>
        <item m="1" x="5385"/>
        <item m="1" x="5386"/>
        <item x="163"/>
        <item m="1" x="5392"/>
        <item x="993"/>
        <item x="209"/>
        <item x="212"/>
        <item x="229"/>
        <item m="1" x="3534"/>
        <item m="1" x="5396"/>
        <item m="1" x="3535"/>
        <item x="247"/>
        <item x="243"/>
        <item x="239"/>
        <item x="251"/>
        <item x="1077"/>
        <item m="1" x="5398"/>
        <item m="1" x="5399"/>
        <item x="246"/>
        <item x="241"/>
        <item m="1" x="5402"/>
        <item m="1" x="5403"/>
        <item m="1" x="5404"/>
        <item x="317"/>
        <item x="316"/>
        <item x="353"/>
        <item x="371"/>
        <item m="1" x="3828"/>
        <item x="392"/>
        <item x="393"/>
        <item x="395"/>
        <item x="396"/>
        <item m="1" x="5431"/>
        <item x="469"/>
        <item m="1" x="4290"/>
        <item x="1002"/>
        <item m="1" x="4291"/>
        <item m="1" x="4292"/>
        <item m="1" x="4293"/>
        <item m="1" x="4525"/>
        <item m="1" x="5454"/>
        <item x="515"/>
        <item x="516"/>
        <item x="3193"/>
        <item m="1" x="4557"/>
        <item x="3198"/>
        <item m="1" x="4559"/>
        <item m="1" x="5460"/>
        <item m="1" x="4563"/>
        <item m="1" x="5461"/>
        <item x="3203"/>
        <item m="1" x="4565"/>
        <item x="3207"/>
        <item x="541"/>
        <item m="1" x="5465"/>
        <item x="621"/>
        <item x="656"/>
        <item x="657"/>
        <item x="658"/>
        <item x="583"/>
        <item x="586"/>
        <item m="1" x="5468"/>
        <item x="1600"/>
        <item x="671"/>
        <item x="766"/>
        <item x="767"/>
        <item x="768"/>
        <item x="769"/>
        <item x="770"/>
        <item x="771"/>
        <item x="793"/>
        <item x="1712"/>
        <item x="807"/>
        <item x="790"/>
        <item x="800"/>
        <item m="1" x="5498"/>
        <item x="875"/>
        <item x="3359"/>
        <item x="3410"/>
        <item m="1" x="5502"/>
        <item m="1" x="4972"/>
        <item x="3475"/>
        <item x="3479"/>
        <item x="3481"/>
        <item x="3483"/>
        <item x="914"/>
        <item m="1" x="5033"/>
        <item m="1" x="5217"/>
        <item m="1" x="5520"/>
        <item x="973"/>
        <item x="985"/>
        <item x="986"/>
        <item x="988"/>
        <item x="989"/>
        <item x="990"/>
        <item x="992"/>
        <item x="1017"/>
        <item x="1059"/>
        <item x="1060"/>
        <item x="1061"/>
        <item x="1062"/>
        <item x="1075"/>
        <item x="1076"/>
        <item x="1073"/>
        <item x="1074"/>
        <item x="1078"/>
        <item m="1" x="5534"/>
        <item x="1067"/>
        <item m="1" x="5539"/>
        <item m="1" x="5540"/>
        <item m="1" x="5541"/>
        <item x="1179"/>
        <item x="1176"/>
        <item x="1177"/>
        <item x="1178"/>
        <item x="1258"/>
        <item x="1259"/>
        <item x="1292"/>
        <item m="1" x="3745"/>
        <item m="1" x="3761"/>
        <item m="1" x="5558"/>
        <item m="1" x="5559"/>
        <item m="1" x="3762"/>
        <item m="1" x="3841"/>
        <item m="1" x="5573"/>
        <item x="1308"/>
        <item x="1313"/>
        <item x="1314"/>
        <item x="1315"/>
        <item m="1" x="5574"/>
        <item m="1" x="5575"/>
        <item m="1" x="4858"/>
        <item m="1" x="4859"/>
        <item m="1" x="4864"/>
        <item m="1" x="4303"/>
        <item x="1972"/>
        <item m="1" x="4318"/>
        <item m="1" x="4390"/>
        <item m="1" x="5596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526"/>
        <item x="3196"/>
        <item x="3199"/>
        <item m="1" x="4564"/>
        <item x="3204"/>
        <item x="3205"/>
        <item x="1488"/>
        <item x="1510"/>
        <item x="1494"/>
        <item x="1498"/>
        <item x="1509"/>
        <item x="1508"/>
        <item x="1490"/>
        <item x="1547"/>
        <item x="1614"/>
        <item x="1616"/>
        <item m="1" x="5625"/>
        <item m="1" x="5626"/>
        <item x="1671"/>
        <item x="1672"/>
        <item x="1673"/>
        <item x="1674"/>
        <item x="1675"/>
        <item x="1676"/>
        <item x="1677"/>
        <item x="1730"/>
        <item m="1" x="4904"/>
        <item x="1698"/>
        <item x="1718"/>
        <item x="1719"/>
        <item x="1703"/>
        <item x="1799"/>
        <item m="1" x="5015"/>
        <item m="1" x="5680"/>
        <item x="1824"/>
        <item m="1" x="5681"/>
        <item x="3473"/>
        <item x="3478"/>
        <item m="1" x="5010"/>
        <item m="1" x="5682"/>
        <item x="3480"/>
        <item m="1" x="4043"/>
        <item m="1" x="5042"/>
        <item m="1" x="5043"/>
        <item m="1" x="5044"/>
        <item m="1" x="5045"/>
        <item x="1934"/>
        <item x="1937"/>
        <item x="1939"/>
        <item x="1941"/>
        <item x="1942"/>
        <item x="1946"/>
        <item x="1949"/>
        <item x="1952"/>
        <item x="1953"/>
        <item x="1983"/>
        <item x="1999"/>
        <item x="2022"/>
        <item x="2041"/>
        <item x="2042"/>
        <item x="2048"/>
        <item x="2083"/>
        <item x="2084"/>
        <item m="1" x="5708"/>
        <item x="2085"/>
        <item x="2086"/>
        <item x="2087"/>
        <item x="256"/>
        <item m="1" x="5709"/>
        <item x="2217"/>
        <item x="2218"/>
        <item x="2219"/>
        <item x="2220"/>
        <item x="2221"/>
        <item x="2222"/>
        <item m="1" x="3766"/>
        <item m="1" x="3767"/>
        <item m="1" x="3768"/>
        <item m="1" x="3769"/>
        <item x="2253"/>
        <item x="2255"/>
        <item x="2256"/>
        <item m="1" x="4413"/>
        <item m="1" x="4430"/>
        <item m="1" x="4471"/>
        <item m="1" x="4472"/>
        <item m="1" x="4512"/>
        <item m="1" x="4474"/>
        <item m="1" x="5752"/>
        <item m="1" x="5754"/>
        <item x="2363"/>
        <item x="3195"/>
        <item m="1" x="4558"/>
        <item m="1" x="4562"/>
        <item m="1" x="5758"/>
        <item m="1" x="5759"/>
        <item x="3208"/>
        <item x="2379"/>
        <item x="2380"/>
        <item m="1" x="5763"/>
        <item x="2970"/>
        <item x="2410"/>
        <item x="2428"/>
        <item x="2476"/>
        <item x="2466"/>
        <item m="1" x="5772"/>
        <item x="2563"/>
        <item m="1" x="4906"/>
        <item m="1" x="4905"/>
        <item x="2562"/>
        <item m="1" x="5790"/>
        <item x="2557"/>
        <item x="2558"/>
        <item x="2619"/>
        <item x="2620"/>
        <item x="3491"/>
        <item m="1" x="4979"/>
        <item x="2631"/>
        <item x="3482"/>
        <item m="1" x="5797"/>
        <item m="1" x="5052"/>
        <item m="1" x="5799"/>
        <item m="1" x="5053"/>
        <item m="1" x="5054"/>
        <item m="1" x="5056"/>
        <item x="2704"/>
        <item x="2707"/>
        <item x="2708"/>
        <item x="2709"/>
        <item x="2711"/>
        <item x="2754"/>
        <item m="1" x="5806"/>
        <item x="2771"/>
        <item m="1" x="5362"/>
        <item m="1" x="5363"/>
        <item x="2817"/>
        <item m="1" x="5364"/>
        <item x="2818"/>
        <item x="3161"/>
        <item x="2819"/>
        <item x="2820"/>
        <item x="2828"/>
        <item x="2827"/>
        <item m="1" x="5824"/>
        <item x="2860"/>
        <item x="2859"/>
        <item m="1" x="5828"/>
        <item x="2894"/>
        <item x="2911"/>
        <item m="1" x="5843"/>
        <item m="1" x="4510"/>
        <item m="1" x="4511"/>
        <item m="1" x="5853"/>
        <item x="2965"/>
        <item x="3194"/>
        <item m="1" x="4567"/>
        <item x="2971"/>
        <item x="2975"/>
        <item m="1" x="5854"/>
        <item x="2979"/>
        <item x="3477"/>
        <item x="3081"/>
        <item m="1" x="5868"/>
        <item x="3156"/>
        <item x="3157"/>
        <item x="3158"/>
        <item x="3160"/>
        <item x="3169"/>
        <item m="1" x="4880"/>
        <item x="3210"/>
        <item x="3474"/>
        <item x="3264"/>
        <item x="3279"/>
        <item x="3280"/>
        <item x="3197"/>
        <item m="1" x="5934"/>
        <item x="3394"/>
        <item m="1" x="5941"/>
        <item m="1" x="5942"/>
        <item m="1" x="5943"/>
        <item x="0"/>
        <item m="1" x="3536"/>
        <item x="240"/>
        <item x="242"/>
        <item m="1" x="3537"/>
        <item x="1071"/>
        <item x="1080"/>
        <item x="2098"/>
        <item x="2099"/>
        <item x="1118"/>
        <item x="1119"/>
        <item x="1120"/>
        <item x="280"/>
        <item x="1122"/>
        <item x="1123"/>
        <item x="1124"/>
        <item x="281"/>
        <item x="1125"/>
        <item x="8"/>
        <item x="9"/>
        <item x="2119"/>
        <item x="1126"/>
        <item x="2127"/>
        <item m="1" x="3545"/>
        <item m="1" x="3624"/>
        <item m="1" x="3669"/>
        <item m="1" x="3670"/>
        <item m="1" x="3625"/>
        <item m="1" x="3626"/>
        <item m="1" x="3570"/>
        <item m="1" x="3571"/>
        <item m="1" x="3627"/>
        <item m="1" x="3580"/>
        <item m="1" x="3581"/>
        <item m="1" x="3583"/>
        <item m="1" x="3584"/>
        <item m="1" x="3633"/>
        <item m="1" x="3585"/>
        <item m="1" x="3586"/>
        <item m="1" x="3546"/>
        <item m="1" x="3634"/>
        <item m="1" x="3587"/>
        <item m="1" x="3588"/>
        <item m="1" x="3707"/>
        <item m="1" x="3708"/>
        <item m="1" x="3709"/>
        <item m="1" x="3710"/>
        <item m="1" x="3719"/>
        <item x="2861"/>
        <item x="2164"/>
        <item x="318"/>
        <item x="1180"/>
        <item x="1181"/>
        <item x="319"/>
        <item x="2165"/>
        <item x="1182"/>
        <item x="1183"/>
        <item m="1" x="3727"/>
        <item x="3176"/>
        <item x="2166"/>
        <item x="1185"/>
        <item x="320"/>
        <item x="1187"/>
        <item x="2168"/>
        <item x="321"/>
        <item x="2863"/>
        <item x="1189"/>
        <item m="1" x="3715"/>
        <item x="1190"/>
        <item x="1191"/>
        <item x="324"/>
        <item x="1194"/>
        <item x="2170"/>
        <item x="1195"/>
        <item x="325"/>
        <item x="1196"/>
        <item x="1197"/>
        <item x="1198"/>
        <item x="2866"/>
        <item x="2871"/>
        <item x="3181"/>
        <item x="2223"/>
        <item x="2224"/>
        <item x="2895"/>
        <item x="354"/>
        <item x="1261"/>
        <item x="1262"/>
        <item x="2226"/>
        <item x="1263"/>
        <item x="356"/>
        <item x="357"/>
        <item x="2897"/>
        <item x="358"/>
        <item x="359"/>
        <item x="24"/>
        <item x="2898"/>
        <item x="3286"/>
        <item m="1" x="3728"/>
        <item x="3292"/>
        <item m="1" x="3717"/>
        <item x="3293"/>
        <item x="3287"/>
        <item x="3288"/>
        <item x="3296"/>
        <item x="3297"/>
        <item x="3298"/>
        <item x="3289"/>
        <item x="3299"/>
        <item x="3290"/>
        <item x="3291"/>
        <item m="1" x="3730"/>
        <item m="1" x="3731"/>
        <item m="1" x="3773"/>
        <item m="1" x="3771"/>
        <item m="1" x="3774"/>
        <item x="2243"/>
        <item m="1" x="3780"/>
        <item x="1300"/>
        <item m="1" x="3781"/>
        <item m="1" x="3782"/>
        <item m="1" x="3813"/>
        <item m="1" x="3793"/>
        <item m="1" x="3783"/>
        <item m="1" x="3784"/>
        <item m="1" x="3800"/>
        <item m="1" x="3801"/>
        <item m="1" x="3786"/>
        <item m="1" x="3787"/>
        <item m="1" x="3802"/>
        <item m="1" x="3794"/>
        <item m="1" x="3795"/>
        <item m="1" x="3796"/>
        <item m="1" x="3788"/>
        <item m="1" x="3789"/>
        <item m="1" x="3803"/>
        <item m="1" x="3790"/>
        <item m="1" x="3798"/>
        <item m="1" x="3799"/>
        <item m="1" x="3792"/>
        <item x="1317"/>
        <item x="397"/>
        <item x="1318"/>
        <item x="398"/>
        <item x="399"/>
        <item m="1" x="3873"/>
        <item m="1" x="3879"/>
        <item m="1" x="3876"/>
        <item x="447"/>
        <item x="2944"/>
        <item x="450"/>
        <item x="2324"/>
        <item x="2325"/>
        <item x="1417"/>
        <item m="1" x="4481"/>
        <item m="1" x="4294"/>
        <item m="1" x="4229"/>
        <item m="1" x="4295"/>
        <item m="1" x="4401"/>
        <item m="1" x="4296"/>
        <item x="1433"/>
        <item x="2342"/>
        <item x="483"/>
        <item x="1451"/>
        <item x="503"/>
        <item x="1452"/>
        <item x="518"/>
        <item x="519"/>
        <item x="1469"/>
        <item x="2364"/>
        <item x="2966"/>
        <item x="1470"/>
        <item m="1" x="4566"/>
        <item m="1" x="4568"/>
        <item m="1" x="4547"/>
        <item m="1" x="4549"/>
        <item m="1" x="4550"/>
        <item m="1" x="4537"/>
        <item m="1" x="4617"/>
        <item x="1477"/>
        <item x="58"/>
        <item x="2369"/>
        <item x="536"/>
        <item x="537"/>
        <item x="59"/>
        <item x="542"/>
        <item m="1" x="4629"/>
        <item x="2372"/>
        <item m="1" x="4619"/>
        <item m="1" x="4620"/>
        <item m="1" x="4621"/>
        <item x="2973"/>
        <item x="3314"/>
        <item m="1" x="4637"/>
        <item x="1491"/>
        <item m="1" x="4626"/>
        <item x="556"/>
        <item x="558"/>
        <item x="559"/>
        <item x="561"/>
        <item x="3325"/>
        <item x="1503"/>
        <item x="563"/>
        <item x="63"/>
        <item x="1506"/>
        <item m="1" x="4687"/>
        <item m="1" x="4689"/>
        <item m="1" x="4688"/>
        <item x="662"/>
        <item m="1" x="4684"/>
        <item m="1" x="4655"/>
        <item x="668"/>
        <item x="2458"/>
        <item x="2994"/>
        <item m="1" x="4839"/>
        <item m="1" x="4840"/>
        <item m="1" x="4843"/>
        <item m="1" x="4847"/>
        <item m="1" x="4878"/>
        <item m="1" x="4852"/>
        <item m="1" x="4865"/>
        <item m="1" x="4866"/>
        <item m="1" x="4855"/>
        <item x="1606"/>
        <item x="1611"/>
        <item x="670"/>
        <item x="672"/>
        <item x="1615"/>
        <item x="673"/>
        <item x="674"/>
        <item x="1618"/>
        <item x="3001"/>
        <item x="1619"/>
        <item x="2470"/>
        <item m="1" x="4884"/>
        <item m="1" x="4890"/>
        <item m="1" x="4894"/>
        <item m="1" x="4897"/>
        <item m="1" x="4895"/>
        <item m="1" x="4891"/>
        <item m="1" x="4885"/>
        <item x="772"/>
        <item x="1678"/>
        <item x="773"/>
        <item x="2536"/>
        <item x="130"/>
        <item x="1679"/>
        <item x="1680"/>
        <item x="131"/>
        <item x="132"/>
        <item x="2537"/>
        <item x="133"/>
        <item x="3241"/>
        <item x="134"/>
        <item x="135"/>
        <item x="136"/>
        <item x="774"/>
        <item x="775"/>
        <item x="137"/>
        <item x="138"/>
        <item x="776"/>
        <item x="139"/>
        <item x="2538"/>
        <item x="1681"/>
        <item x="1682"/>
        <item x="777"/>
        <item x="778"/>
        <item x="140"/>
        <item x="779"/>
        <item x="1695"/>
        <item x="3046"/>
        <item x="2553"/>
        <item x="1699"/>
        <item x="2554"/>
        <item x="791"/>
        <item x="796"/>
        <item x="801"/>
        <item x="1714"/>
        <item x="805"/>
        <item x="1716"/>
        <item x="151"/>
        <item x="1723"/>
        <item x="1728"/>
        <item m="1" x="4915"/>
        <item m="1" x="4916"/>
        <item m="1" x="4910"/>
        <item m="1" x="4907"/>
        <item x="1800"/>
        <item x="1801"/>
        <item x="876"/>
        <item x="2622"/>
        <item x="877"/>
        <item x="878"/>
        <item x="879"/>
        <item x="3250"/>
        <item x="880"/>
        <item x="1802"/>
        <item x="2625"/>
        <item x="2626"/>
        <item x="3255"/>
        <item m="1" x="4941"/>
        <item x="3485"/>
        <item x="3488"/>
        <item x="3490"/>
        <item x="915"/>
        <item x="2642"/>
        <item x="916"/>
        <item x="917"/>
        <item x="180"/>
        <item m="1" x="5047"/>
        <item m="1" x="5048"/>
        <item m="1" x="5059"/>
        <item x="181"/>
        <item x="922"/>
        <item x="184"/>
        <item x="927"/>
        <item x="187"/>
        <item x="188"/>
        <item x="932"/>
        <item x="190"/>
        <item x="943"/>
        <item m="1" x="5075"/>
        <item x="3518"/>
        <item x="2667"/>
        <item x="1929"/>
        <item x="1930"/>
        <item x="2695"/>
        <item x="203"/>
        <item x="2696"/>
        <item x="2697"/>
        <item x="1931"/>
        <item x="1932"/>
        <item x="2698"/>
        <item m="1" x="5197"/>
        <item x="1933"/>
        <item x="2699"/>
        <item x="2700"/>
        <item x="3080"/>
        <item x="983"/>
        <item x="984"/>
        <item m="1" x="5194"/>
        <item x="2712"/>
        <item x="2713"/>
        <item x="3082"/>
        <item x="1955"/>
        <item x="1956"/>
        <item x="2714"/>
        <item x="2715"/>
        <item x="1959"/>
        <item x="1960"/>
        <item x="1961"/>
        <item x="1965"/>
        <item x="1966"/>
        <item x="3083"/>
        <item x="1971"/>
        <item x="3097"/>
        <item x="1011"/>
        <item x="3099"/>
        <item x="1018"/>
        <item x="2756"/>
        <item x="2020"/>
        <item x="2025"/>
        <item x="2043"/>
        <item x="1028"/>
        <item x="2044"/>
        <item x="2045"/>
        <item x="3121"/>
        <item x="1037"/>
        <item x="2821"/>
        <item x="2088"/>
        <item x="2822"/>
        <item x="3162"/>
        <item x="2089"/>
        <item x="2090"/>
        <item x="3281"/>
        <item x="2823"/>
        <item x="3163"/>
        <item x="2091"/>
        <item x="230"/>
        <item x="1293"/>
        <item x="1294"/>
        <item m="1" x="3763"/>
        <item m="1" x="3764"/>
        <item m="1" x="3770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9"/>
        <item m="1" x="4041"/>
        <item m="1" x="4042"/>
        <item m="1" x="4044"/>
        <item m="1" x="4122"/>
        <item m="1" x="4123"/>
        <item m="1" x="4125"/>
        <item m="1" x="4126"/>
        <item m="1" x="4127"/>
        <item m="1" x="4128"/>
        <item m="1" x="4129"/>
        <item m="1" x="4131"/>
        <item m="1" x="4132"/>
        <item m="1" x="4133"/>
        <item m="1" x="4134"/>
        <item m="1" x="4166"/>
        <item m="1" x="4167"/>
        <item m="1" x="4168"/>
        <item m="1" x="4175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698"/>
        <item m="1" x="4699"/>
        <item m="1" x="4761"/>
        <item m="1" x="4762"/>
        <item m="1" x="4766"/>
        <item m="1" x="4769"/>
        <item m="1" x="4770"/>
        <item m="1" x="4771"/>
        <item m="1" x="4772"/>
        <item m="1" x="4774"/>
        <item m="1" x="4775"/>
        <item m="1" x="4776"/>
        <item m="1" x="4782"/>
        <item m="1" x="4783"/>
        <item m="1" x="4784"/>
        <item m="1" x="4785"/>
        <item m="1" x="4790"/>
        <item m="1" x="4793"/>
        <item m="1" x="4795"/>
        <item m="1" x="4796"/>
        <item m="1" x="4797"/>
        <item m="1" x="4801"/>
        <item m="1" x="4804"/>
        <item m="1" x="4805"/>
        <item m="1" x="4806"/>
        <item m="1" x="4811"/>
        <item m="1" x="4821"/>
        <item m="1" x="4822"/>
        <item m="1" x="4824"/>
        <item m="1" x="4825"/>
        <item m="1" x="4830"/>
        <item m="1" x="4831"/>
        <item m="1" x="4832"/>
        <item m="1" x="4834"/>
        <item m="1" x="4836"/>
        <item m="1" x="4837"/>
        <item m="1" x="4917"/>
        <item m="1" x="4918"/>
        <item m="1" x="4919"/>
        <item m="1" x="5103"/>
        <item m="1" x="5104"/>
        <item m="1" x="5105"/>
        <item m="1" x="5106"/>
        <item m="1" x="5107"/>
        <item m="1" x="5108"/>
        <item m="1" x="5112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8"/>
        <item m="1" x="5167"/>
        <item m="1" x="5168"/>
        <item m="1" x="5169"/>
        <item m="1" x="5170"/>
        <item m="1" x="5171"/>
        <item m="1" x="5185"/>
        <item x="2095"/>
        <item x="234"/>
        <item x="1069"/>
        <item x="2097"/>
        <item x="3"/>
        <item x="4"/>
        <item x="244"/>
        <item x="1079"/>
        <item x="249"/>
        <item x="254"/>
        <item x="257"/>
        <item x="1090"/>
        <item x="1127"/>
        <item x="1128"/>
        <item x="1129"/>
        <item x="10"/>
        <item x="283"/>
        <item x="1130"/>
        <item x="2835"/>
        <item x="2836"/>
        <item x="2837"/>
        <item x="2838"/>
        <item x="284"/>
        <item x="1141"/>
        <item x="322"/>
        <item x="2864"/>
        <item x="2865"/>
        <item x="1192"/>
        <item x="1193"/>
        <item x="2171"/>
        <item x="2867"/>
        <item x="2172"/>
        <item x="1199"/>
        <item x="1200"/>
        <item x="2173"/>
        <item x="2868"/>
        <item x="2869"/>
        <item x="2174"/>
        <item x="2175"/>
        <item x="1202"/>
        <item x="2177"/>
        <item x="2178"/>
        <item x="1203"/>
        <item x="327"/>
        <item x="1204"/>
        <item x="1205"/>
        <item x="2870"/>
        <item x="2179"/>
        <item x="328"/>
        <item x="1206"/>
        <item x="1207"/>
        <item x="329"/>
        <item x="1208"/>
        <item x="330"/>
        <item x="2180"/>
        <item x="2872"/>
        <item x="2181"/>
        <item x="2873"/>
        <item x="2182"/>
        <item x="17"/>
        <item x="3179"/>
        <item x="1209"/>
        <item x="331"/>
        <item x="1210"/>
        <item x="1211"/>
        <item x="1212"/>
        <item x="1215"/>
        <item x="1217"/>
        <item x="1219"/>
        <item x="1220"/>
        <item x="333"/>
        <item x="334"/>
        <item x="2880"/>
        <item x="335"/>
        <item x="337"/>
        <item x="2886"/>
        <item x="2888"/>
        <item x="2194"/>
        <item x="3294"/>
        <item x="2195"/>
        <item x="2196"/>
        <item x="3295"/>
        <item x="343"/>
        <item x="2215"/>
        <item x="350"/>
        <item x="1260"/>
        <item x="360"/>
        <item x="2227"/>
        <item x="361"/>
        <item x="1266"/>
        <item x="2228"/>
        <item x="2229"/>
        <item x="2230"/>
        <item x="1267"/>
        <item x="2231"/>
        <item x="1268"/>
        <item x="1269"/>
        <item x="1270"/>
        <item x="2899"/>
        <item x="2900"/>
        <item x="2901"/>
        <item x="1271"/>
        <item x="1272"/>
        <item x="372"/>
        <item x="373"/>
        <item x="380"/>
        <item x="382"/>
        <item x="1299"/>
        <item x="383"/>
        <item x="2244"/>
        <item x="2906"/>
        <item x="386"/>
        <item x="387"/>
        <item x="388"/>
        <item x="389"/>
        <item x="394"/>
        <item x="1312"/>
        <item x="3182"/>
        <item x="2912"/>
        <item x="1319"/>
        <item x="400"/>
        <item x="2259"/>
        <item x="1320"/>
        <item x="32"/>
        <item x="2260"/>
        <item x="401"/>
        <item x="402"/>
        <item x="1321"/>
        <item x="403"/>
        <item x="33"/>
        <item x="1322"/>
        <item x="1323"/>
        <item x="34"/>
        <item x="41"/>
        <item x="2310"/>
        <item x="451"/>
        <item x="1402"/>
        <item x="452"/>
        <item x="453"/>
        <item x="1403"/>
        <item x="42"/>
        <item x="2313"/>
        <item x="1404"/>
        <item x="456"/>
        <item x="2318"/>
        <item x="459"/>
        <item x="43"/>
        <item x="1412"/>
        <item x="1413"/>
        <item x="1414"/>
        <item x="1415"/>
        <item x="2958"/>
        <item x="521"/>
        <item x="522"/>
        <item x="3206"/>
        <item x="3212"/>
        <item x="1486"/>
        <item x="543"/>
        <item x="544"/>
        <item x="2376"/>
        <item x="60"/>
        <item x="1493"/>
        <item x="1495"/>
        <item x="1496"/>
        <item x="1499"/>
        <item x="1500"/>
        <item x="1501"/>
        <item x="567"/>
        <item x="2384"/>
        <item x="65"/>
        <item x="660"/>
        <item x="1578"/>
        <item x="661"/>
        <item x="663"/>
        <item x="81"/>
        <item x="669"/>
        <item x="2461"/>
        <item x="2468"/>
        <item x="82"/>
        <item x="676"/>
        <item x="677"/>
        <item x="2999"/>
        <item x="1620"/>
        <item x="679"/>
        <item x="1621"/>
        <item x="1622"/>
        <item x="680"/>
        <item x="3000"/>
        <item x="1623"/>
        <item x="1624"/>
        <item x="2471"/>
        <item x="681"/>
        <item x="1625"/>
        <item x="3221"/>
        <item x="1626"/>
        <item x="684"/>
        <item x="2473"/>
        <item x="685"/>
        <item x="1627"/>
        <item x="2474"/>
        <item x="1628"/>
        <item x="1630"/>
        <item x="1632"/>
        <item x="687"/>
        <item x="3002"/>
        <item x="1633"/>
        <item x="2477"/>
        <item x="3004"/>
        <item x="3005"/>
        <item x="689"/>
        <item x="2478"/>
        <item x="780"/>
        <item x="141"/>
        <item x="142"/>
        <item x="781"/>
        <item x="782"/>
        <item x="143"/>
        <item x="144"/>
        <item x="783"/>
        <item x="1683"/>
        <item x="784"/>
        <item x="785"/>
        <item x="2544"/>
        <item x="2552"/>
        <item x="1709"/>
        <item x="798"/>
        <item x="147"/>
        <item x="806"/>
        <item x="148"/>
        <item x="1717"/>
        <item x="2567"/>
        <item x="812"/>
        <item x="3059"/>
        <item x="2623"/>
        <item x="1803"/>
        <item x="1804"/>
        <item x="1805"/>
        <item x="1806"/>
        <item x="1809"/>
        <item x="3387"/>
        <item x="3397"/>
        <item x="3398"/>
        <item x="3492"/>
        <item x="3495"/>
        <item x="3496"/>
        <item x="3497"/>
        <item x="3499"/>
        <item x="3505"/>
        <item x="3506"/>
        <item x="3508"/>
        <item x="3512"/>
        <item x="3516"/>
        <item x="886"/>
        <item x="888"/>
        <item x="2644"/>
        <item x="1849"/>
        <item x="2646"/>
        <item x="183"/>
        <item x="1877"/>
        <item x="3519"/>
        <item x="3520"/>
        <item x="2685"/>
        <item x="997"/>
        <item x="998"/>
        <item x="2718"/>
        <item x="999"/>
        <item x="1001"/>
        <item x="1974"/>
        <item x="1975"/>
        <item x="1976"/>
        <item x="2719"/>
        <item x="1003"/>
        <item x="1004"/>
        <item x="1005"/>
        <item x="1006"/>
        <item x="204"/>
        <item x="3087"/>
        <item x="1977"/>
        <item x="1007"/>
        <item x="205"/>
        <item x="1978"/>
        <item x="3089"/>
        <item x="1008"/>
        <item x="1980"/>
        <item x="1009"/>
        <item x="1986"/>
        <item x="1990"/>
        <item x="1013"/>
        <item x="2732"/>
        <item x="2003"/>
        <item x="2011"/>
        <item x="2016"/>
        <item x="207"/>
        <item x="2760"/>
        <item x="3114"/>
        <item x="1029"/>
        <item x="2770"/>
        <item x="2054"/>
        <item x="211"/>
        <item x="231"/>
        <item x="3164"/>
        <item x="232"/>
        <item x="1064"/>
        <item x="3165"/>
        <item x="3166"/>
        <item x="2092"/>
        <item x="3167"/>
        <item x="2824"/>
        <item x="3168"/>
        <item x="2825"/>
        <item x="2093"/>
        <item x="3282"/>
        <item x="2094"/>
        <item x="3283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multipleItemSelectionAllowed="1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 defaultSubtotal="0">
      <items count="3">
        <item x="1"/>
        <item x="0"/>
        <item m="1" x="2"/>
      </items>
    </pivotField>
    <pivotField compact="0" outline="0" showAll="0"/>
    <pivotField compact="0" numFmtId="43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dragToRow="0" dragToCol="0" dragToPage="0" showAll="0" defaultSubtotal="0"/>
  </pivotFields>
  <rowFields count="3">
    <field x="2"/>
    <field x="4"/>
    <field x="3"/>
  </rowFields>
  <rowItems count="2">
    <i>
      <x v="351"/>
    </i>
    <i t="grand">
      <x/>
    </i>
  </rowItems>
  <colItems count="1">
    <i/>
  </colItems>
  <pageFields count="1">
    <pageField fld="26" item="0" hier="-1"/>
  </pageFields>
  <dataFields count="1">
    <dataField name="Cuenta de RUC" fld="0" subtotal="count" baseField="0" baseItem="0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TablaDinámica1" cacheId="51" applyNumberFormats="0" applyBorderFormats="0" applyFontFormats="0" applyPatternFormats="0" applyAlignmentFormats="0" applyWidthHeightFormats="1" dataCaption="Valores" updatedVersion="8" minRefreshableVersion="3" preserveFormatting="0" itemPrintTitles="1" createdVersion="6" indent="0" compact="0" compactData="0" gridDropZones="1" multipleFieldFilters="0">
  <location ref="A6:D1535" firstHeaderRow="2" firstDataRow="2" firstDataCol="3" rowPageCount="1" colPageCount="1"/>
  <pivotFields count="36">
    <pivotField dataField="1" compact="0" outline="0" showAll="0"/>
    <pivotField compact="0" outline="0" showAll="0" defaultSubtotal="0"/>
    <pivotField axis="axisRow" compact="0" outline="0" showAll="0" sortType="ascending" defaultSubtotal="0">
      <items count="352">
        <item m="1" x="162"/>
        <item sd="0" m="1" x="314"/>
        <item m="1" x="51"/>
        <item m="1" x="143"/>
        <item m="1" x="174"/>
        <item sd="0" m="1" x="128"/>
        <item m="1" x="111"/>
        <item m="1" x="114"/>
        <item m="1" x="52"/>
        <item sd="0" m="1" x="200"/>
        <item sd="0" x="35"/>
        <item sd="0" m="1" x="316"/>
        <item sd="0" x="1"/>
        <item sd="0" m="1" x="116"/>
        <item m="1" x="140"/>
        <item sd="0" m="1" x="291"/>
        <item sd="0" m="1" x="129"/>
        <item sd="0" m="1" x="193"/>
        <item m="1" x="90"/>
        <item sd="0" m="1" x="53"/>
        <item m="1" x="171"/>
        <item sd="0" x="36"/>
        <item m="1" x="112"/>
        <item m="1" x="225"/>
        <item sd="0" m="1" x="332"/>
        <item sd="0" m="1" x="186"/>
        <item sd="0" m="1" x="191"/>
        <item sd="0" m="1" x="262"/>
        <item sd="0" m="1" x="54"/>
        <item sd="0" m="1" x="250"/>
        <item sd="0" m="1" x="350"/>
        <item sd="0" m="1" x="344"/>
        <item m="1" x="138"/>
        <item m="1" x="93"/>
        <item sd="0" m="1" x="297"/>
        <item x="2"/>
        <item m="1" x="172"/>
        <item sd="0" x="3"/>
        <item sd="0" m="1" x="144"/>
        <item m="1" x="108"/>
        <item m="1" x="139"/>
        <item x="4"/>
        <item m="1" x="94"/>
        <item m="1" x="55"/>
        <item sd="0" m="1" x="205"/>
        <item m="1" x="56"/>
        <item sd="0" m="1" x="178"/>
        <item m="1" x="145"/>
        <item m="1" x="57"/>
        <item sd="0" m="1" x="335"/>
        <item sd="0" m="1" x="313"/>
        <item m="1" x="230"/>
        <item sd="0" m="1" x="311"/>
        <item x="5"/>
        <item m="1" x="146"/>
        <item sd="0" m="1" x="187"/>
        <item x="0"/>
        <item m="1" x="106"/>
        <item m="1" x="179"/>
        <item m="1" x="117"/>
        <item m="1" x="265"/>
        <item sd="0" m="1" x="324"/>
        <item sd="0" m="1" x="216"/>
        <item x="37"/>
        <item m="1" x="113"/>
        <item sd="0" m="1" x="203"/>
        <item sd="0" m="1" x="305"/>
        <item sd="0" m="1" x="147"/>
        <item sd="0" m="1" x="258"/>
        <item sd="0" m="1" x="237"/>
        <item sd="0" m="1" x="92"/>
        <item m="1" x="184"/>
        <item m="1" x="161"/>
        <item m="1" x="58"/>
        <item m="1" x="153"/>
        <item m="1" x="275"/>
        <item m="1" x="190"/>
        <item sd="0" m="1" x="280"/>
        <item m="1" x="95"/>
        <item sd="0" m="1" x="204"/>
        <item m="1" x="185"/>
        <item sd="0" x="38"/>
        <item m="1" x="123"/>
        <item sd="0" m="1" x="88"/>
        <item m="1" x="148"/>
        <item sd="0" m="1" x="288"/>
        <item sd="0" m="1" x="236"/>
        <item sd="0" m="1" x="281"/>
        <item m="1" x="152"/>
        <item sd="0" m="1" x="351"/>
        <item sd="0" m="1" x="173"/>
        <item sd="0" m="1" x="338"/>
        <item sd="0" m="1" x="339"/>
        <item sd="0" m="1" x="59"/>
        <item m="1" x="308"/>
        <item sd="0" m="1" x="180"/>
        <item m="1" x="166"/>
        <item sd="0" m="1" x="239"/>
        <item m="1" x="60"/>
        <item x="39"/>
        <item sd="0" m="1" x="224"/>
        <item sd="0" m="1" x="310"/>
        <item m="1" x="130"/>
        <item sd="0" x="6"/>
        <item sd="0" m="1" x="334"/>
        <item m="1" x="122"/>
        <item m="1" x="61"/>
        <item sd="0" m="1" x="294"/>
        <item sd="0" m="1" x="217"/>
        <item sd="0" m="1" x="337"/>
        <item sd="0" m="1" x="195"/>
        <item sd="0" m="1" x="317"/>
        <item sd="0" m="1" x="62"/>
        <item sd="0" m="1" x="290"/>
        <item sd="0" m="1" x="276"/>
        <item sd="0" m="1" x="198"/>
        <item sd="0" m="1" x="333"/>
        <item sd="0" m="1" x="247"/>
        <item sd="0" m="1" x="212"/>
        <item sd="0" m="1" x="213"/>
        <item sd="0" m="1" x="302"/>
        <item sd="0" m="1" x="328"/>
        <item sd="0" m="1" x="211"/>
        <item sd="0" m="1" x="329"/>
        <item sd="0" m="1" x="323"/>
        <item sd="0" m="1" x="342"/>
        <item m="1" x="96"/>
        <item m="1" x="254"/>
        <item sd="0" m="1" x="347"/>
        <item m="1" x="155"/>
        <item sd="0" m="1" x="284"/>
        <item sd="0" m="1" x="214"/>
        <item sd="0" m="1" x="104"/>
        <item sd="0" m="1" x="331"/>
        <item sd="0" m="1" x="202"/>
        <item m="1" x="63"/>
        <item sd="0" x="7"/>
        <item sd="0" m="1" x="215"/>
        <item sd="0" m="1" x="320"/>
        <item m="1" x="160"/>
        <item m="1" x="151"/>
        <item sd="0" m="1" x="261"/>
        <item sd="0" x="8"/>
        <item m="1" x="64"/>
        <item sd="0" m="1" x="293"/>
        <item m="1" x="156"/>
        <item sd="0" m="1" x="243"/>
        <item sd="0" m="1" x="210"/>
        <item sd="0" m="1" x="222"/>
        <item sd="0" m="1" x="312"/>
        <item sd="0" m="1" x="208"/>
        <item sd="0" m="1" x="272"/>
        <item x="40"/>
        <item m="1" x="349"/>
        <item sd="0" m="1" x="287"/>
        <item sd="0" x="9"/>
        <item sd="0" m="1" x="285"/>
        <item sd="0" m="1" x="65"/>
        <item sd="0" m="1" x="181"/>
        <item m="1" x="136"/>
        <item m="1" x="118"/>
        <item sd="0" m="1" x="157"/>
        <item sd="0" m="1" x="242"/>
        <item sd="0" m="1" x="194"/>
        <item x="10"/>
        <item sd="0" x="48"/>
        <item m="1" x="170"/>
        <item sd="0" m="1" x="149"/>
        <item m="1" x="142"/>
        <item m="1" x="109"/>
        <item sd="0" m="1" x="256"/>
        <item sd="0" m="1" x="201"/>
        <item sd="0" m="1" x="301"/>
        <item m="1" x="154"/>
        <item sd="0" m="1" x="66"/>
        <item sd="0" m="1" x="345"/>
        <item sd="0" m="1" x="226"/>
        <item sd="0" m="1" x="257"/>
        <item sd="0" x="12"/>
        <item sd="0" m="1" x="270"/>
        <item sd="0" m="1" x="283"/>
        <item m="1" x="132"/>
        <item sd="0" x="41"/>
        <item m="1" x="133"/>
        <item sd="0" m="1" x="197"/>
        <item sd="0" m="1" x="241"/>
        <item m="1" x="97"/>
        <item sd="0" m="1" x="150"/>
        <item sd="0" m="1" x="245"/>
        <item sd="0" m="1" x="304"/>
        <item sd="0" x="13"/>
        <item sd="0" m="1" x="240"/>
        <item sd="0" m="1" x="137"/>
        <item sd="0" m="1" x="277"/>
        <item sd="0" m="1" x="343"/>
        <item m="1" x="115"/>
        <item sd="0" m="1" x="336"/>
        <item sd="0" m="1" x="278"/>
        <item m="1" x="125"/>
        <item sd="0" m="1" x="163"/>
        <item sd="0" x="14"/>
        <item sd="0" m="1" x="126"/>
        <item sd="0" m="1" x="248"/>
        <item sd="0" m="1" x="268"/>
        <item m="1" x="98"/>
        <item x="15"/>
        <item sd="0" m="1" x="232"/>
        <item m="1" x="67"/>
        <item x="16"/>
        <item m="1" x="135"/>
        <item m="1" x="141"/>
        <item sd="0" m="1" x="68"/>
        <item sd="0" m="1" x="298"/>
        <item sd="0" m="1" x="69"/>
        <item sd="0" m="1" x="274"/>
        <item sd="0" x="17"/>
        <item x="42"/>
        <item sd="0" m="1" x="206"/>
        <item sd="0" m="1" x="158"/>
        <item x="18"/>
        <item sd="0" m="1" x="110"/>
        <item sd="0" m="1" x="266"/>
        <item sd="0" m="1" x="107"/>
        <item sd="0" m="1" x="346"/>
        <item m="1" x="121"/>
        <item sd="0" m="1" x="223"/>
        <item sd="0" m="1" x="207"/>
        <item sd="0" m="1" x="244"/>
        <item sd="0" m="1" x="253"/>
        <item sd="0" m="1" x="220"/>
        <item sd="0" m="1" x="330"/>
        <item m="1" x="164"/>
        <item m="1" x="175"/>
        <item x="19"/>
        <item sd="0" m="1" x="286"/>
        <item m="1" x="188"/>
        <item sd="0" x="20"/>
        <item sd="0" m="1" x="269"/>
        <item sd="0" m="1" x="134"/>
        <item sd="0" m="1" x="326"/>
        <item m="1" x="176"/>
        <item m="1" x="131"/>
        <item sd="0" m="1" x="299"/>
        <item m="1" x="119"/>
        <item m="1" x="70"/>
        <item sd="0" m="1" x="71"/>
        <item sd="0" m="1" x="189"/>
        <item sd="0" m="1" x="315"/>
        <item sd="0" m="1" x="72"/>
        <item sd="0" m="1" x="300"/>
        <item sd="0" m="1" x="246"/>
        <item sd="0" m="1" x="209"/>
        <item sd="0" m="1" x="73"/>
        <item sd="0" m="1" x="289"/>
        <item sd="0" m="1" x="192"/>
        <item sd="0" m="1" x="221"/>
        <item sd="0" x="43"/>
        <item m="1" x="74"/>
        <item sd="0" x="21"/>
        <item sd="0" m="1" x="229"/>
        <item sd="0" m="1" x="199"/>
        <item sd="0" m="1" x="91"/>
        <item m="1" x="75"/>
        <item m="1" x="165"/>
        <item sd="0" m="1" x="309"/>
        <item sd="0" m="1" x="99"/>
        <item sd="0" x="22"/>
        <item x="44"/>
        <item sd="0" m="1" x="273"/>
        <item sd="0" x="23"/>
        <item sd="0" m="1" x="295"/>
        <item m="1" x="76"/>
        <item m="1" x="77"/>
        <item m="1" x="279"/>
        <item sd="0" m="1" x="167"/>
        <item m="1" x="325"/>
        <item m="1" x="78"/>
        <item sd="0" m="1" x="234"/>
        <item m="1" x="100"/>
        <item sd="0" m="1" x="238"/>
        <item sd="0" x="50"/>
        <item m="1" x="228"/>
        <item m="1" x="303"/>
        <item m="1" x="348"/>
        <item sd="0" m="1" x="259"/>
        <item sd="0" m="1" x="263"/>
        <item x="49"/>
        <item sd="0" m="1" x="318"/>
        <item m="1" x="101"/>
        <item sd="0" m="1" x="322"/>
        <item sd="0" m="1" x="89"/>
        <item sd="0" m="1" x="79"/>
        <item sd="0" m="1" x="105"/>
        <item sd="0" x="25"/>
        <item sd="0" m="1" x="260"/>
        <item sd="0" x="24"/>
        <item x="26"/>
        <item sd="0" m="1" x="292"/>
        <item m="1" x="80"/>
        <item sd="0" x="27"/>
        <item sd="0" m="1" x="255"/>
        <item x="45"/>
        <item sd="0" m="1" x="319"/>
        <item sd="0" m="1" x="219"/>
        <item sd="0" m="1" x="81"/>
        <item m="1" x="102"/>
        <item sd="0" m="1" x="82"/>
        <item sd="0" m="1" x="271"/>
        <item m="1" x="124"/>
        <item sd="0" m="1" x="264"/>
        <item sd="0" x="28"/>
        <item sd="0" m="1" x="321"/>
        <item x="29"/>
        <item sd="0" m="1" x="282"/>
        <item sd="0" m="1" x="83"/>
        <item m="1" x="182"/>
        <item sd="0" m="1" x="340"/>
        <item sd="0" m="1" x="251"/>
        <item sd="0" m="1" x="235"/>
        <item sd="0" m="1" x="227"/>
        <item sd="0" m="1" x="84"/>
        <item m="1" x="103"/>
        <item sd="0" m="1" x="218"/>
        <item sd="0" m="1" x="231"/>
        <item sd="0" x="46"/>
        <item m="1" x="249"/>
        <item sd="0" x="47"/>
        <item m="1" x="177"/>
        <item m="1" x="127"/>
        <item sd="0" m="1" x="252"/>
        <item sd="0" m="1" x="233"/>
        <item sd="0" m="1" x="327"/>
        <item m="1" x="168"/>
        <item sd="0" m="1" x="307"/>
        <item sd="0" m="1" x="120"/>
        <item m="1" x="183"/>
        <item sd="0" m="1" x="341"/>
        <item x="30"/>
        <item m="1" x="169"/>
        <item m="1" x="159"/>
        <item sd="0" m="1" x="85"/>
        <item m="1" x="267"/>
        <item sd="0" x="31"/>
        <item sd="0" m="1" x="86"/>
        <item m="1" x="87"/>
        <item sd="0" m="1" x="196"/>
        <item sd="0" m="1" x="306"/>
        <item sd="0" x="32"/>
        <item sd="0" m="1" x="296"/>
        <item sd="0" x="33"/>
        <item x="34"/>
        <item sd="0" x="11"/>
      </items>
    </pivotField>
    <pivotField compact="0" outline="0" showAll="0"/>
    <pivotField axis="axisRow" compact="0" outline="0" showAll="0" defaultSubtotal="0">
      <items count="8000">
        <item x="2298"/>
        <item x="2297"/>
        <item x="2232"/>
        <item m="1" x="3884"/>
        <item m="1" x="6994"/>
        <item m="1" x="6822"/>
        <item m="1" x="6819"/>
        <item x="2915"/>
        <item x="1511"/>
        <item x="2386"/>
        <item m="1" x="7094"/>
        <item m="1" x="7121"/>
        <item m="1" x="5922"/>
        <item x="1750"/>
        <item m="1" x="7949"/>
        <item m="1" x="5203"/>
        <item m="1" x="4714"/>
        <item x="633"/>
        <item x="1570"/>
        <item x="1247"/>
        <item m="1" x="6657"/>
        <item x="3016"/>
        <item x="3360"/>
        <item m="1" x="5491"/>
        <item m="1" x="5189"/>
        <item m="1" x="6604"/>
        <item x="2907"/>
        <item m="1" x="7865"/>
        <item x="725"/>
        <item m="1" x="3877"/>
        <item x="1853"/>
        <item m="1" x="5665"/>
        <item x="2937"/>
        <item x="893"/>
        <item m="1" x="7928"/>
        <item m="1" x="5227"/>
        <item x="890"/>
        <item x="2245"/>
        <item x="2130"/>
        <item x="2842"/>
        <item m="1" x="6810"/>
        <item x="1755"/>
        <item x="3019"/>
        <item m="1" x="5228"/>
        <item x="1085"/>
        <item x="611"/>
        <item x="2857"/>
        <item x="3015"/>
        <item x="1866"/>
        <item m="1" x="6779"/>
        <item m="1" x="5788"/>
        <item x="830"/>
        <item m="1" x="5384"/>
        <item x="2989"/>
        <item m="1" x="5693"/>
        <item m="1" x="6461"/>
        <item x="2387"/>
        <item x="2388"/>
        <item x="733"/>
        <item m="1" x="4493"/>
        <item m="1" x="7615"/>
        <item m="1" x="6862"/>
        <item m="1" x="4623"/>
        <item x="2114"/>
        <item m="1" x="6262"/>
        <item m="1" x="6887"/>
        <item x="2502"/>
        <item m="1" x="7877"/>
        <item x="1897"/>
        <item x="2832"/>
        <item x="3262"/>
        <item m="1" x="5229"/>
        <item m="1" x="6651"/>
        <item x="724"/>
        <item m="1" x="5861"/>
        <item x="3093"/>
        <item x="1131"/>
        <item x="2517"/>
        <item x="1757"/>
        <item x="3040"/>
        <item m="1" x="5572"/>
        <item m="1" x="5664"/>
        <item x="720"/>
        <item m="1" x="5890"/>
        <item m="1" x="4409"/>
        <item x="614"/>
        <item x="2389"/>
        <item x="730"/>
        <item x="2289"/>
        <item x="2831"/>
        <item m="1" x="4833"/>
        <item m="1" x="5081"/>
        <item m="1" x="7828"/>
        <item m="1" x="4899"/>
        <item m="1" x="3808"/>
        <item x="715"/>
        <item x="1748"/>
        <item x="2664"/>
        <item x="996"/>
        <item x="698"/>
        <item m="1" x="6713"/>
        <item m="1" x="5275"/>
        <item x="624"/>
        <item m="1" x="6253"/>
        <item x="2722"/>
        <item x="1840"/>
        <item x="1579"/>
        <item m="1" x="6804"/>
        <item x="2113"/>
        <item x="1337"/>
        <item m="1" x="5230"/>
        <item m="1" x="5689"/>
        <item x="1564"/>
        <item m="1" x="6658"/>
        <item m="1" x="6761"/>
        <item x="1766"/>
        <item m="1" x="5276"/>
        <item x="3358"/>
        <item x="2653"/>
        <item m="1" x="5277"/>
        <item m="1" x="5231"/>
        <item x="1516"/>
        <item m="1" x="6127"/>
        <item x="2216"/>
        <item x="1095"/>
        <item x="3462"/>
        <item m="1" x="5278"/>
        <item m="1" x="3791"/>
        <item m="1" x="7223"/>
        <item m="1" x="7216"/>
        <item m="1" x="4646"/>
        <item m="1" x="5786"/>
        <item x="1392"/>
        <item m="1" x="7995"/>
        <item m="1" x="7904"/>
        <item x="575"/>
        <item m="1" x="5320"/>
        <item x="3355"/>
        <item x="2510"/>
        <item x="2391"/>
        <item x="1635"/>
        <item x="2128"/>
        <item m="1" x="5321"/>
        <item m="1" x="5691"/>
        <item m="1" x="7889"/>
        <item x="3226"/>
        <item x="3238"/>
        <item x="2449"/>
        <item x="708"/>
        <item x="406"/>
        <item m="1" x="4989"/>
        <item m="1" x="6727"/>
        <item x="2518"/>
        <item x="1580"/>
        <item x="1581"/>
        <item m="1" x="6780"/>
        <item m="1" x="7774"/>
        <item m="1" x="5279"/>
        <item x="631"/>
        <item m="1" x="5776"/>
        <item x="438"/>
        <item m="1" x="6220"/>
        <item m="1" x="4066"/>
        <item x="1841"/>
        <item m="1" x="5204"/>
        <item m="1" x="4301"/>
        <item x="2936"/>
        <item m="1" x="4975"/>
        <item x="3096"/>
        <item m="1" x="5205"/>
        <item x="3062"/>
        <item m="1" x="6634"/>
        <item x="1963"/>
        <item m="1" x="7652"/>
        <item m="1" x="7981"/>
        <item x="2493"/>
        <item m="1" x="6922"/>
        <item x="1340"/>
        <item x="1341"/>
        <item x="714"/>
        <item x="2725"/>
        <item m="1" x="7887"/>
        <item x="1583"/>
        <item m="1" x="5232"/>
        <item x="1648"/>
        <item m="1" x="6850"/>
        <item m="1" x="5721"/>
        <item x="202"/>
        <item x="1148"/>
        <item x="2654"/>
        <item m="1" x="3550"/>
        <item m="1" x="4064"/>
        <item x="623"/>
        <item x="3263"/>
        <item x="1661"/>
        <item m="1" x="3878"/>
        <item x="3069"/>
        <item x="264"/>
        <item x="2131"/>
        <item m="1" x="4599"/>
        <item x="2541"/>
        <item m="1" x="5280"/>
        <item m="1" x="5233"/>
        <item m="1" x="4177"/>
        <item x="1850"/>
        <item x="2335"/>
        <item x="2499"/>
        <item x="3357"/>
        <item m="1" x="4810"/>
        <item m="1" x="7053"/>
        <item m="1" x="3805"/>
        <item x="894"/>
        <item m="1" x="6913"/>
        <item x="2450"/>
        <item m="1" x="7479"/>
        <item x="2513"/>
        <item x="409"/>
        <item x="1301"/>
        <item m="1" x="6739"/>
        <item x="3385"/>
        <item x="1325"/>
        <item m="1" x="6747"/>
        <item x="1584"/>
        <item x="2665"/>
        <item m="1" x="5519"/>
        <item m="1" x="5281"/>
        <item x="1936"/>
        <item m="1" x="7791"/>
        <item x="3184"/>
        <item x="2727"/>
        <item x="1585"/>
        <item m="1" x="5894"/>
        <item m="1" x="7985"/>
        <item x="2294"/>
        <item m="1" x="7878"/>
        <item x="2717"/>
        <item x="1991"/>
        <item x="2728"/>
        <item m="1" x="3635"/>
        <item m="1" x="5234"/>
        <item x="1660"/>
        <item x="968"/>
        <item x="1938"/>
        <item m="1" x="7745"/>
        <item x="262"/>
        <item x="2546"/>
        <item m="1" x="4320"/>
        <item x="2935"/>
        <item x="889"/>
        <item m="1" x="6924"/>
        <item m="1" x="5236"/>
        <item m="1" x="4412"/>
        <item m="1" x="5662"/>
        <item m="1" x="3606"/>
        <item x="2839"/>
        <item m="1" x="4456"/>
        <item m="1" x="6764"/>
        <item x="3237"/>
        <item x="2301"/>
        <item m="1" x="5466"/>
        <item m="1" x="4713"/>
        <item m="1" x="6715"/>
        <item m="1" x="7857"/>
        <item m="1" x="7940"/>
        <item x="610"/>
        <item x="1326"/>
        <item x="3224"/>
        <item m="1" x="5284"/>
        <item x="1133"/>
        <item m="1" x="5775"/>
        <item x="3060"/>
        <item m="1" x="6861"/>
        <item x="1686"/>
        <item m="1" x="7882"/>
        <item x="3013"/>
        <item x="2265"/>
        <item x="675"/>
        <item x="3209"/>
        <item m="1" x="5237"/>
        <item m="1" x="5207"/>
        <item x="1740"/>
        <item x="2940"/>
        <item x="2293"/>
        <item m="1" x="7225"/>
        <item x="1586"/>
        <item m="1" x="4323"/>
        <item m="1" x="7452"/>
        <item m="1" x="4192"/>
        <item x="2938"/>
        <item m="1" x="5490"/>
        <item m="1" x="7488"/>
        <item x="1903"/>
        <item m="1" x="7209"/>
        <item x="326"/>
        <item x="1104"/>
        <item x="2104"/>
        <item x="1707"/>
        <item m="1" x="7711"/>
        <item x="2451"/>
        <item m="1" x="5976"/>
        <item x="2934"/>
        <item m="1" x="4961"/>
        <item x="1103"/>
        <item x="627"/>
        <item x="1342"/>
        <item x="3008"/>
        <item m="1" x="6818"/>
        <item x="2400"/>
        <item m="1" x="6792"/>
        <item m="1" x="4658"/>
        <item m="1" x="7117"/>
        <item x="1754"/>
        <item x="1656"/>
        <item m="1" x="4715"/>
        <item m="1" x="4711"/>
        <item m="1" x="4679"/>
        <item x="2902"/>
        <item x="1687"/>
        <item x="1134"/>
        <item x="2241"/>
        <item x="1910"/>
        <item x="549"/>
        <item m="1" x="5057"/>
        <item m="1" x="4985"/>
        <item m="1" x="5661"/>
        <item m="1" x="3883"/>
        <item x="2506"/>
        <item x="2729"/>
        <item x="1343"/>
        <item x="3245"/>
        <item x="2401"/>
        <item x="2496"/>
        <item m="1" x="5724"/>
        <item x="3242"/>
        <item x="2913"/>
        <item x="2129"/>
        <item m="1" x="7915"/>
        <item x="1587"/>
        <item m="1" x="3551"/>
        <item x="2730"/>
        <item m="1" x="6940"/>
        <item x="3230"/>
        <item m="1" x="6966"/>
        <item m="1" x="5488"/>
        <item x="1875"/>
        <item x="2679"/>
        <item m="1" x="5858"/>
        <item m="1" x="7917"/>
        <item x="285"/>
        <item x="1089"/>
        <item x="266"/>
        <item x="2503"/>
        <item m="1" x="5208"/>
        <item m="1" x="5784"/>
        <item x="2643"/>
        <item m="1" x="5286"/>
        <item m="1" x="7798"/>
        <item m="1" x="6109"/>
        <item x="2576"/>
        <item m="1" x="6816"/>
        <item m="1" x="7543"/>
        <item m="1" x="5062"/>
        <item x="415"/>
        <item m="1" x="5338"/>
        <item x="2954"/>
        <item x="1689"/>
        <item x="622"/>
        <item x="417"/>
        <item x="1645"/>
        <item x="1876"/>
        <item m="1" x="6289"/>
        <item m="1" x="6129"/>
        <item m="1" x="6296"/>
        <item m="1" x="4760"/>
        <item m="1" x="5994"/>
        <item x="613"/>
        <item m="1" x="7217"/>
        <item x="3461"/>
        <item m="1" x="6740"/>
        <item x="90"/>
        <item x="821"/>
        <item m="1" x="5065"/>
        <item m="1" x="4407"/>
        <item x="2950"/>
        <item m="1" x="3538"/>
        <item x="2501"/>
        <item x="1954"/>
        <item m="1" x="6617"/>
        <item m="1" x="7503"/>
        <item x="1571"/>
        <item m="1" x="5238"/>
        <item x="1662"/>
        <item x="2968"/>
        <item m="1" x="3589"/>
        <item m="1" x="3692"/>
        <item x="887"/>
        <item x="1882"/>
        <item m="1" x="7987"/>
        <item x="1710"/>
        <item x="2406"/>
        <item x="1525"/>
        <item m="1" x="7210"/>
        <item x="2830"/>
        <item x="2105"/>
        <item m="1" x="4411"/>
        <item x="2296"/>
        <item x="1386"/>
        <item m="1" x="4421"/>
        <item m="1" x="5071"/>
        <item x="2500"/>
        <item x="1747"/>
        <item x="31"/>
        <item x="2542"/>
        <item x="2603"/>
        <item x="1992"/>
        <item x="3100"/>
        <item m="1" x="7635"/>
        <item m="1" x="7663"/>
        <item m="1" x="7980"/>
        <item m="1" x="4425"/>
        <item x="1100"/>
        <item m="1" x="5288"/>
        <item m="1" x="5897"/>
        <item m="1" x="5497"/>
        <item m="1" x="7804"/>
        <item m="1" x="5240"/>
        <item m="1" x="5692"/>
        <item m="1" x="5290"/>
        <item x="1297"/>
        <item x="1348"/>
        <item m="1" x="5241"/>
        <item x="2637"/>
        <item x="265"/>
        <item m="1" x="3880"/>
        <item m="1" x="3664"/>
        <item x="727"/>
        <item x="2033"/>
        <item x="891"/>
        <item x="2634"/>
        <item m="1" x="5323"/>
        <item x="2247"/>
        <item m="1" x="4424"/>
        <item x="1655"/>
        <item m="1" x="5049"/>
        <item m="1" x="4240"/>
        <item m="1" x="6781"/>
        <item m="1" x="5210"/>
        <item x="2111"/>
        <item x="1387"/>
        <item x="3027"/>
        <item m="1" x="5242"/>
        <item m="1" x="5291"/>
        <item m="1" x="4302"/>
        <item m="1" x="4487"/>
        <item m="1" x="7218"/>
        <item x="1349"/>
        <item x="1994"/>
        <item x="1568"/>
        <item m="1" x="5660"/>
        <item x="786"/>
        <item x="3243"/>
        <item m="1" x="4712"/>
        <item m="1" x="4423"/>
        <item m="1" x="7185"/>
        <item x="2117"/>
        <item x="3075"/>
        <item x="892"/>
        <item x="3101"/>
        <item m="1" x="6706"/>
        <item x="1915"/>
        <item m="1" x="6305"/>
        <item x="273"/>
        <item x="485"/>
        <item x="1741"/>
        <item x="1529"/>
        <item m="1" x="5066"/>
        <item m="1" x="6190"/>
        <item x="2618"/>
        <item m="1" x="4408"/>
        <item m="1" x="5324"/>
        <item m="1" x="4234"/>
        <item m="1" x="5078"/>
        <item m="1" x="7758"/>
        <item m="1" x="7477"/>
        <item x="2482"/>
        <item x="3484"/>
        <item m="1" x="6553"/>
        <item x="3234"/>
        <item x="2514"/>
        <item x="2706"/>
        <item m="1" x="3677"/>
        <item x="2914"/>
        <item x="826"/>
        <item x="1904"/>
        <item m="1" x="5773"/>
        <item x="286"/>
        <item x="625"/>
        <item x="1098"/>
        <item m="1" x="5485"/>
        <item m="1" x="5243"/>
        <item m="1" x="6468"/>
        <item x="822"/>
        <item m="1" x="5244"/>
        <item x="2953"/>
        <item m="1" x="4662"/>
        <item m="1" x="3881"/>
        <item x="1096"/>
        <item x="2225"/>
        <item m="1" x="6726"/>
        <item m="1" x="7770"/>
        <item x="617"/>
        <item x="2498"/>
        <item x="2314"/>
        <item m="1" x="6980"/>
        <item m="1" x="4406"/>
        <item x="1303"/>
        <item x="2947"/>
        <item x="2484"/>
        <item x="3042"/>
        <item m="1" x="4310"/>
        <item x="1652"/>
        <item x="1135"/>
        <item m="1" x="6385"/>
        <item x="1845"/>
        <item m="1" x="5471"/>
        <item x="2647"/>
        <item x="3023"/>
        <item x="918"/>
        <item m="1" x="6142"/>
        <item m="1" x="6971"/>
        <item m="1" x="6970"/>
        <item m="1" x="7231"/>
        <item x="1785"/>
        <item m="1" x="6011"/>
        <item x="2115"/>
        <item x="164"/>
        <item x="486"/>
        <item x="3366"/>
        <item m="1" x="4600"/>
        <item x="1927"/>
        <item x="2585"/>
        <item m="1" x="5339"/>
        <item m="1" x="7080"/>
        <item m="1" x="7950"/>
        <item m="1" x="5641"/>
        <item m="1" x="5782"/>
        <item m="1" x="3693"/>
        <item m="1" x="6820"/>
        <item m="1" x="5070"/>
        <item x="2677"/>
        <item x="1273"/>
        <item x="423"/>
        <item m="1" x="3636"/>
        <item m="1" x="4488"/>
        <item x="1248"/>
        <item x="1102"/>
        <item x="3185"/>
        <item x="2733"/>
        <item x="2931"/>
        <item x="2515"/>
        <item x="2734"/>
        <item m="1" x="7589"/>
        <item x="1476"/>
        <item x="445"/>
        <item x="1998"/>
        <item x="3376"/>
        <item m="1" x="4455"/>
        <item m="1" x="7092"/>
        <item m="1" x="4460"/>
        <item x="2302"/>
        <item x="3072"/>
        <item x="735"/>
        <item m="1" x="6700"/>
        <item x="2315"/>
        <item m="1" x="3568"/>
        <item m="1" x="3607"/>
        <item x="1101"/>
        <item x="1533"/>
        <item m="1" x="7805"/>
        <item x="3024"/>
        <item x="2735"/>
        <item m="1" x="6196"/>
        <item x="722"/>
        <item m="1" x="7954"/>
        <item m="1" x="5435"/>
        <item x="1087"/>
        <item x="3172"/>
        <item x="287"/>
        <item x="1916"/>
        <item x="1688"/>
        <item x="479"/>
        <item m="1" x="7228"/>
        <item x="2120"/>
        <item x="3362"/>
        <item m="1" x="7818"/>
        <item x="721"/>
        <item m="1" x="6863"/>
        <item x="1351"/>
        <item m="1" x="3754"/>
        <item x="3302"/>
        <item x="2446"/>
        <item m="1" x="6626"/>
        <item x="1737"/>
        <item x="897"/>
        <item m="1" x="6010"/>
        <item x="3026"/>
        <item x="896"/>
        <item m="1" x="5659"/>
        <item x="91"/>
        <item m="1" x="7825"/>
        <item x="717"/>
        <item x="710"/>
        <item m="1" x="5026"/>
        <item x="1906"/>
        <item m="1" x="7045"/>
        <item m="1" x="6702"/>
        <item x="1832"/>
        <item x="1828"/>
        <item x="2633"/>
        <item m="1" x="7317"/>
        <item x="2638"/>
        <item m="1" x="7810"/>
        <item m="1" x="4798"/>
        <item x="2495"/>
        <item x="3063"/>
        <item m="1" x="4316"/>
        <item x="718"/>
        <item x="1589"/>
        <item m="1" x="6799"/>
        <item x="1397"/>
        <item x="2512"/>
        <item m="1" x="5294"/>
        <item m="1" x="7941"/>
        <item m="1" x="6728"/>
        <item x="731"/>
        <item m="1" x="6842"/>
        <item m="1" x="5247"/>
        <item m="1" x="5096"/>
        <item x="442"/>
        <item x="2505"/>
        <item m="1" x="5295"/>
        <item m="1" x="3694"/>
        <item m="1" x="7211"/>
        <item x="1330"/>
        <item x="2000"/>
        <item m="1" x="7112"/>
        <item m="1" x="6704"/>
        <item x="1738"/>
        <item x="975"/>
        <item x="3070"/>
        <item m="1" x="5900"/>
        <item x="1395"/>
        <item m="1" x="5248"/>
        <item m="1" x="7994"/>
        <item m="1" x="7955"/>
        <item m="1" x="6197"/>
        <item m="1" x="3549"/>
        <item x="955"/>
        <item m="1" x="6434"/>
        <item x="1658"/>
        <item m="1" x="7229"/>
        <item m="1" x="4639"/>
        <item x="2990"/>
        <item x="928"/>
        <item m="1" x="4327"/>
        <item m="1" x="6261"/>
        <item x="3025"/>
        <item x="2736"/>
        <item x="1851"/>
        <item x="1416"/>
        <item m="1" x="6701"/>
        <item m="1" x="7983"/>
        <item m="1" x="4317"/>
        <item m="1" x="6733"/>
        <item x="1083"/>
        <item x="3173"/>
        <item m="1" x="4366"/>
        <item x="1943"/>
        <item m="1" x="4427"/>
        <item m="1" x="4242"/>
        <item m="1" x="6893"/>
        <item m="1" x="5781"/>
        <item x="1535"/>
        <item m="1" x="4524"/>
        <item x="956"/>
        <item x="3229"/>
        <item x="2636"/>
        <item m="1" x="5640"/>
        <item m="1" x="4515"/>
        <item x="734"/>
        <item x="2417"/>
        <item m="1" x="7065"/>
        <item x="3367"/>
        <item x="3348"/>
        <item x="843"/>
        <item x="3065"/>
        <item m="1" x="6710"/>
        <item m="1" x="7469"/>
        <item x="2108"/>
        <item m="1" x="4130"/>
        <item m="1" x="6135"/>
        <item m="1" x="6255"/>
        <item m="1" x="5325"/>
        <item x="2737"/>
        <item x="716"/>
        <item m="1" x="6590"/>
        <item m="1" x="7899"/>
        <item x="455"/>
        <item x="629"/>
        <item x="620"/>
        <item x="2504"/>
        <item m="1" x="6016"/>
        <item x="2738"/>
        <item x="1228"/>
        <item m="1" x="6015"/>
        <item m="1" x="6811"/>
        <item x="2739"/>
        <item x="2740"/>
        <item m="1" x="5901"/>
        <item m="1" x="3553"/>
        <item x="3304"/>
        <item x="3030"/>
        <item m="1" x="6297"/>
        <item x="531"/>
        <item x="2577"/>
        <item x="3104"/>
        <item m="1" x="5657"/>
        <item m="1" x="6254"/>
        <item x="2543"/>
        <item m="1" x="4193"/>
        <item m="1" x="5297"/>
        <item x="1878"/>
        <item m="1" x="7906"/>
        <item m="1" x="5250"/>
        <item x="3356"/>
        <item x="2741"/>
        <item m="1" x="6859"/>
        <item x="2586"/>
        <item x="1097"/>
        <item x="664"/>
        <item x="2112"/>
        <item x="2991"/>
        <item x="2004"/>
        <item x="2046"/>
        <item m="1" x="4977"/>
        <item m="1" x="7832"/>
        <item m="1" x="5212"/>
        <item m="1" x="5213"/>
        <item x="1396"/>
        <item x="874"/>
        <item x="1659"/>
        <item x="1143"/>
        <item x="1945"/>
        <item m="1" x="7623"/>
        <item m="1" x="4417"/>
        <item m="1" x="4717"/>
        <item x="1657"/>
        <item x="1357"/>
        <item m="1" x="7037"/>
        <item m="1" x="5935"/>
        <item m="1" x="5486"/>
        <item x="1016"/>
        <item x="3045"/>
        <item m="1" x="6415"/>
        <item m="1" x="7849"/>
        <item m="1" x="6110"/>
        <item x="416"/>
        <item m="1" x="6705"/>
        <item x="1590"/>
        <item m="1" x="7643"/>
        <item m="1" x="6662"/>
        <item x="1947"/>
        <item m="1" x="7875"/>
        <item m="1" x="4812"/>
        <item m="1" x="3810"/>
        <item m="1" x="4643"/>
        <item m="1" x="7445"/>
        <item m="1" x="7969"/>
        <item m="1" x="5340"/>
        <item m="1" x="7576"/>
        <item x="1358"/>
        <item m="1" x="5300"/>
        <item m="1" x="7754"/>
        <item x="1957"/>
        <item m="1" x="4578"/>
        <item m="1" x="5725"/>
        <item m="1" x="6960"/>
        <item m="1" x="4802"/>
        <item m="1" x="7898"/>
        <item m="1" x="4484"/>
        <item x="1398"/>
        <item m="1" x="4828"/>
        <item x="1839"/>
        <item m="1" x="4593"/>
        <item m="1" x="7633"/>
        <item m="1" x="6746"/>
        <item x="1136"/>
        <item x="2426"/>
        <item x="2743"/>
        <item x="3232"/>
        <item m="1" x="7449"/>
        <item m="1" x="6258"/>
        <item m="1" x="4416"/>
        <item m="1" x="6293"/>
        <item x="1407"/>
        <item m="1" x="5253"/>
        <item x="1144"/>
        <item x="2933"/>
        <item x="2744"/>
        <item x="3022"/>
        <item x="1331"/>
        <item m="1" x="6319"/>
        <item x="2684"/>
        <item m="1" x="5427"/>
        <item m="1" x="6593"/>
        <item x="3254"/>
        <item m="1" x="7970"/>
        <item m="1" x="6946"/>
        <item x="424"/>
        <item m="1" x="6926"/>
        <item x="1140"/>
        <item m="1" x="4418"/>
        <item x="1408"/>
        <item x="1361"/>
        <item m="1" x="7212"/>
        <item m="1" x="5255"/>
        <item m="1" x="7971"/>
        <item m="1" x="6698"/>
        <item x="2427"/>
        <item m="1" x="5256"/>
        <item m="1" x="6803"/>
        <item m="1" x="5257"/>
        <item m="1" x="6649"/>
        <item x="1363"/>
        <item m="1" x="7120"/>
        <item m="1" x="6742"/>
        <item m="1" x="4402"/>
        <item m="1" x="7220"/>
        <item m="1" x="5628"/>
        <item m="1" x="5302"/>
        <item m="1" x="5988"/>
        <item x="2299"/>
        <item x="2316"/>
        <item x="1691"/>
        <item x="1692"/>
        <item x="2007"/>
        <item x="2277"/>
        <item m="1" x="6888"/>
        <item x="1093"/>
        <item m="1" x="5857"/>
        <item x="2008"/>
        <item x="2430"/>
        <item x="2327"/>
        <item x="1389"/>
        <item m="1" x="7681"/>
        <item x="1745"/>
        <item x="446"/>
        <item m="1" x="5327"/>
        <item m="1" x="6753"/>
        <item x="1569"/>
        <item x="2507"/>
        <item m="1" x="5654"/>
        <item m="1" x="5259"/>
        <item x="3340"/>
        <item x="3341"/>
        <item x="3347"/>
        <item x="732"/>
        <item m="1" x="4945"/>
        <item x="2919"/>
        <item x="1950"/>
        <item x="2932"/>
        <item x="2519"/>
        <item m="1" x="6738"/>
        <item m="1" x="5653"/>
        <item x="1541"/>
        <item m="1" x="5860"/>
        <item m="1" x="7797"/>
        <item m="1" x="4190"/>
        <item x="2494"/>
        <item m="1" x="7478"/>
        <item m="1" x="6276"/>
        <item x="2509"/>
        <item m="1" x="4486"/>
        <item m="1" x="4239"/>
        <item x="3345"/>
        <item x="1367"/>
        <item x="2110"/>
        <item x="3225"/>
        <item m="1" x="4428"/>
        <item x="2278"/>
        <item x="1112"/>
        <item x="1114"/>
        <item m="1" x="7446"/>
        <item m="1" x="6968"/>
        <item x="1109"/>
        <item m="1" x="7982"/>
        <item x="443"/>
        <item x="1137"/>
        <item x="2746"/>
        <item x="1646"/>
        <item m="1" x="5482"/>
        <item x="2109"/>
        <item x="3369"/>
        <item x="439"/>
        <item x="405"/>
        <item m="1" x="4902"/>
        <item x="2600"/>
        <item x="831"/>
        <item x="1591"/>
        <item m="1" x="5303"/>
        <item x="1099"/>
        <item x="3090"/>
        <item x="3308"/>
        <item m="1" x="4243"/>
        <item x="1306"/>
        <item m="1" x="4513"/>
        <item m="1" x="7771"/>
        <item x="3105"/>
        <item x="3106"/>
        <item m="1" x="5652"/>
        <item x="1561"/>
        <item x="1565"/>
        <item x="263"/>
        <item x="2492"/>
        <item x="2751"/>
        <item x="457"/>
        <item m="1" x="6874"/>
        <item m="1" x="3554"/>
        <item x="2511"/>
        <item m="1" x="4716"/>
        <item m="1" x="4759"/>
        <item x="1651"/>
        <item x="2249"/>
        <item m="1" x="7687"/>
        <item m="1" x="3609"/>
        <item m="1" x="5260"/>
        <item m="1" x="5261"/>
        <item m="1" x="4829"/>
        <item m="1" x="6052"/>
        <item m="1" x="4420"/>
        <item x="969"/>
        <item m="1" x="6516"/>
        <item x="1912"/>
        <item x="2291"/>
        <item x="391"/>
        <item x="2516"/>
        <item m="1" x="5305"/>
        <item m="1" x="5306"/>
        <item x="3011"/>
        <item m="1" x="7864"/>
        <item x="1105"/>
        <item x="1502"/>
        <item m="1" x="5650"/>
        <item m="1" x="5778"/>
        <item m="1" x="5648"/>
        <item x="2521"/>
        <item x="2674"/>
        <item m="1" x="3755"/>
        <item x="1563"/>
        <item m="1" x="3555"/>
        <item m="1" x="4321"/>
        <item m="1" x="5647"/>
        <item m="1" x="6935"/>
        <item m="1" x="5201"/>
        <item x="2583"/>
        <item x="3361"/>
        <item x="1749"/>
        <item x="2752"/>
        <item x="599"/>
        <item m="1" x="5903"/>
        <item m="1" x="6732"/>
        <item x="2010"/>
        <item x="632"/>
        <item m="1" x="6911"/>
        <item m="1" x="5904"/>
        <item x="1981"/>
        <item x="2676"/>
        <item m="1" x="5728"/>
        <item x="1138"/>
        <item m="1" x="6976"/>
        <item x="3306"/>
        <item x="3244"/>
        <item m="1" x="6518"/>
        <item x="6"/>
        <item x="601"/>
        <item m="1" x="3541"/>
        <item m="1" x="7448"/>
        <item m="1" x="7664"/>
        <item x="2012"/>
        <item m="1" x="6051"/>
        <item x="2948"/>
        <item x="1744"/>
        <item m="1" x="5264"/>
        <item x="2121"/>
        <item x="1316"/>
        <item x="2028"/>
        <item m="1" x="3650"/>
        <item m="1" x="5265"/>
        <item m="1" x="5214"/>
        <item m="1" x="5329"/>
        <item m="1" x="6427"/>
        <item m="1" x="6869"/>
        <item m="1" x="7885"/>
        <item x="3017"/>
        <item m="1" x="5645"/>
        <item m="1" x="5837"/>
        <item x="2548"/>
        <item m="1" x="6731"/>
        <item m="1" x="6318"/>
        <item m="1" x="7858"/>
        <item m="1" x="5266"/>
        <item x="630"/>
        <item m="1" x="4480"/>
        <item m="1" x="7988"/>
        <item x="2508"/>
        <item x="2280"/>
        <item m="1" x="6691"/>
        <item x="2281"/>
        <item m="1" x="6743"/>
        <item m="1" x="7095"/>
        <item m="1" x="5805"/>
        <item x="282"/>
        <item m="1" x="3543"/>
        <item x="626"/>
        <item m="1" x="5268"/>
        <item m="1" x="5331"/>
        <item m="1" x="6306"/>
        <item x="1390"/>
        <item x="1371"/>
        <item m="1" x="4324"/>
        <item x="3228"/>
        <item x="430"/>
        <item x="2014"/>
        <item m="1" x="4304"/>
        <item x="1562"/>
        <item m="1" x="4483"/>
        <item x="726"/>
        <item x="1279"/>
        <item m="1" x="7827"/>
        <item m="1" x="5082"/>
        <item m="1" x="6189"/>
        <item m="1" x="7091"/>
        <item m="1" x="6750"/>
        <item x="3409"/>
        <item m="1" x="6304"/>
        <item x="2584"/>
        <item x="2755"/>
        <item x="1734"/>
        <item m="1" x="7707"/>
        <item m="1" x="5483"/>
        <item x="2118"/>
        <item x="2317"/>
        <item m="1" x="6141"/>
        <item x="2833"/>
        <item x="2992"/>
        <item m="1" x="4489"/>
        <item x="1432"/>
        <item m="1" x="3665"/>
        <item m="1" x="5215"/>
        <item m="1" x="5927"/>
        <item x="1742"/>
        <item x="1855"/>
        <item x="1856"/>
        <item x="1743"/>
        <item m="1" x="4194"/>
        <item x="3406"/>
        <item x="2921"/>
        <item x="2678"/>
        <item m="1" x="7989"/>
        <item x="2437"/>
        <item m="1" x="6426"/>
        <item m="1" x="6272"/>
        <item m="1" x="4495"/>
        <item x="1649"/>
        <item m="1" x="7866"/>
        <item m="1" x="5308"/>
        <item m="1" x="7739"/>
        <item m="1" x="4360"/>
        <item m="1" x="4767"/>
        <item x="1372"/>
        <item m="1" x="4279"/>
        <item m="1" x="4312"/>
        <item m="1" x="4231"/>
        <item m="1" x="6707"/>
        <item m="1" x="6782"/>
        <item x="957"/>
        <item m="1" x="5637"/>
        <item x="3329"/>
        <item m="1" x="6871"/>
        <item x="458"/>
        <item m="1" x="6929"/>
        <item m="1" x="5341"/>
        <item x="3231"/>
        <item x="1086"/>
        <item m="1" x="7879"/>
        <item m="1" x="7456"/>
        <item m="1" x="7859"/>
        <item x="728"/>
        <item m="1" x="6714"/>
        <item m="1" x="5067"/>
        <item x="3285"/>
        <item x="3050"/>
        <item x="827"/>
        <item m="1" x="5571"/>
        <item x="1094"/>
        <item x="2303"/>
        <item x="3235"/>
        <item m="1" x="5270"/>
        <item m="1" x="7845"/>
        <item m="1" x="4195"/>
        <item m="1" x="6808"/>
        <item m="1" x="4230"/>
        <item m="1" x="6741"/>
        <item m="1" x="5622"/>
        <item x="444"/>
        <item x="1958"/>
        <item x="2106"/>
        <item x="1092"/>
        <item m="1" x="6933"/>
        <item x="2018"/>
        <item x="440"/>
        <item x="1653"/>
        <item x="3303"/>
        <item x="1650"/>
        <item x="2283"/>
        <item m="1" x="6783"/>
        <item m="1" x="6889"/>
        <item x="2939"/>
        <item x="2019"/>
        <item x="723"/>
        <item x="2122"/>
        <item x="3330"/>
        <item m="1" x="7958"/>
        <item x="1736"/>
        <item m="1" x="4478"/>
        <item m="1" x="4419"/>
        <item x="3227"/>
        <item x="1091"/>
        <item m="1" x="5342"/>
        <item m="1" x="4219"/>
        <item x="1110"/>
        <item x="612"/>
        <item m="1" x="7850"/>
        <item x="817"/>
        <item x="289"/>
        <item x="2549"/>
        <item x="712"/>
        <item m="1" x="5636"/>
        <item x="3331"/>
        <item m="1" x="6962"/>
        <item x="628"/>
        <item x="355"/>
        <item m="1" x="5310"/>
        <item x="919"/>
        <item x="3029"/>
        <item x="1088"/>
        <item m="1" x="7931"/>
        <item x="2497"/>
        <item m="1" x="5219"/>
        <item x="729"/>
        <item m="1" x="6886"/>
        <item m="1" x="6708"/>
        <item m="1" x="5312"/>
        <item m="1" x="5221"/>
        <item m="1" x="4608"/>
        <item m="1" x="3610"/>
        <item m="1" x="5313"/>
        <item m="1" x="3797"/>
        <item x="2123"/>
        <item m="1" x="5222"/>
        <item x="3028"/>
        <item x="2923"/>
        <item x="2924"/>
        <item x="3351"/>
        <item m="1" x="3666"/>
        <item x="2757"/>
        <item m="1" x="4305"/>
        <item m="1" x="7679"/>
        <item m="1" x="7624"/>
        <item m="1" x="5223"/>
        <item x="1693"/>
        <item x="3445"/>
        <item m="1" x="6724"/>
        <item m="1" x="4300"/>
        <item x="1694"/>
        <item x="3346"/>
        <item x="1020"/>
        <item x="290"/>
        <item x="2957"/>
        <item m="1" x="4319"/>
        <item m="1" x="5601"/>
        <item x="49"/>
        <item x="2332"/>
        <item m="1" x="6625"/>
        <item x="1753"/>
        <item x="713"/>
        <item x="1021"/>
        <item x="1554"/>
        <item x="3236"/>
        <item x="2926"/>
        <item m="1" x="5475"/>
        <item x="3110"/>
        <item x="3334"/>
        <item m="1" x="5634"/>
        <item m="1" x="6737"/>
        <item m="1" x="5977"/>
        <item m="1" x="5332"/>
        <item x="3031"/>
        <item m="1" x="5474"/>
        <item x="2107"/>
        <item m="1" x="7457"/>
        <item m="1" x="4709"/>
        <item x="1654"/>
        <item x="2284"/>
        <item m="1" x="7089"/>
        <item x="3284"/>
        <item m="1" x="6256"/>
        <item m="1" x="4330"/>
        <item m="1" x="7886"/>
        <item x="970"/>
        <item m="1" x="6430"/>
        <item x="2581"/>
        <item m="1" x="5272"/>
        <item m="1" x="5224"/>
        <item x="3349"/>
        <item m="1" x="5908"/>
        <item x="1557"/>
        <item m="1" x="5315"/>
        <item m="1" x="5333"/>
        <item x="3233"/>
        <item x="1108"/>
        <item m="1" x="6891"/>
        <item m="1" x="5316"/>
        <item x="2758"/>
        <item x="2759"/>
        <item x="1332"/>
        <item x="1333"/>
        <item m="1" x="4768"/>
        <item m="1" x="6902"/>
        <item m="1" x="7897"/>
        <item x="1377"/>
        <item x="1567"/>
        <item x="3112"/>
        <item x="1558"/>
        <item x="2319"/>
        <item m="1" x="3611"/>
        <item x="2896"/>
        <item m="1" x="5317"/>
        <item x="618"/>
        <item x="3240"/>
        <item x="615"/>
        <item m="1" x="7909"/>
        <item m="1" x="3556"/>
        <item m="1" x="5318"/>
        <item m="1" x="5627"/>
        <item x="1869"/>
        <item x="272"/>
        <item x="2024"/>
        <item x="3020"/>
        <item m="1" x="4609"/>
        <item m="1" x="4306"/>
        <item x="2288"/>
        <item m="1" x="6745"/>
        <item x="3113"/>
        <item m="1" x="7475"/>
        <item x="1865"/>
        <item x="1844"/>
        <item x="3018"/>
        <item m="1" x="7312"/>
        <item m="1" x="7326"/>
        <item x="2452"/>
        <item m="1" x="7927"/>
        <item m="1" x="3557"/>
        <item m="1" x="5334"/>
        <item m="1" x="5273"/>
        <item m="1" x="6633"/>
        <item m="1" x="4466"/>
        <item x="1560"/>
        <item x="619"/>
        <item m="1" x="5510"/>
        <item x="2520"/>
        <item m="1" x="6730"/>
        <item m="1" x="4710"/>
        <item m="1" x="6749"/>
        <item x="3115"/>
        <item x="3116"/>
        <item x="711"/>
        <item m="1" x="5098"/>
        <item m="1" x="4308"/>
        <item x="1411"/>
        <item x="1634"/>
        <item x="73"/>
        <item x="1830"/>
        <item m="1" x="7318"/>
        <item x="2635"/>
        <item x="3364"/>
        <item m="1" x="3618"/>
        <item x="616"/>
        <item x="2651"/>
        <item m="1" x="4322"/>
        <item x="696"/>
        <item x="165"/>
        <item x="291"/>
        <item m="1" x="4364"/>
        <item m="1" x="7646"/>
        <item x="719"/>
        <item m="1" x="6771"/>
        <item m="1" x="4297"/>
        <item x="1566"/>
        <item m="1" x="5521"/>
        <item m="1" x="6639"/>
        <item m="1" x="7214"/>
        <item m="1" x="7991"/>
        <item m="1" x="6594"/>
        <item x="2295"/>
        <item x="3239"/>
        <item m="1" x="5225"/>
        <item x="1391"/>
        <item m="1" x="5127"/>
        <item m="1" x="4382"/>
        <item x="665"/>
        <item x="3170"/>
        <item x="841"/>
        <item m="1" x="7534"/>
        <item m="1" x="6285"/>
        <item x="154"/>
        <item x="167"/>
        <item x="634"/>
        <item x="74"/>
        <item x="3454"/>
        <item x="199"/>
        <item m="1" x="5166"/>
        <item x="3457"/>
        <item x="3423"/>
        <item x="3468"/>
        <item x="259"/>
        <item x="260"/>
        <item x="2103"/>
        <item x="2840"/>
        <item x="1132"/>
        <item x="288"/>
        <item m="1" x="6591"/>
        <item m="1" x="3563"/>
        <item m="1" x="3711"/>
        <item m="1" x="3772"/>
        <item x="2905"/>
        <item x="2240"/>
        <item m="1" x="5836"/>
        <item m="1" x="5568"/>
        <item x="1979"/>
        <item m="1" x="4477"/>
        <item x="1305"/>
        <item x="995"/>
        <item m="1" x="4457"/>
        <item m="1" x="7184"/>
        <item x="3300"/>
        <item m="1" x="6664"/>
        <item x="1964"/>
        <item m="1" x="3842"/>
        <item m="1" x="3843"/>
        <item m="1" x="3830"/>
        <item m="1" x="3815"/>
        <item m="1" x="3844"/>
        <item m="1" x="3831"/>
        <item m="1" x="7822"/>
        <item m="1" x="3816"/>
        <item m="1" x="7689"/>
        <item m="1" x="7190"/>
        <item m="1" x="7612"/>
        <item m="1" x="7582"/>
        <item m="1" x="3832"/>
        <item m="1" x="7507"/>
        <item x="1311"/>
        <item x="2304"/>
        <item x="2305"/>
        <item m="1" x="7509"/>
        <item x="45"/>
        <item m="1" x="7033"/>
        <item m="1" x="7034"/>
        <item x="463"/>
        <item x="2321"/>
        <item x="46"/>
        <item m="1" x="6494"/>
        <item x="3336"/>
        <item m="1" x="4415"/>
        <item m="1" x="4315"/>
        <item m="1" x="4422"/>
        <item x="3343"/>
        <item m="1" x="4429"/>
        <item m="1" x="4245"/>
        <item m="1" x="4431"/>
        <item m="1" x="7537"/>
        <item x="1106"/>
        <item m="1" x="5598"/>
        <item m="1" x="5881"/>
        <item m="1" x="4571"/>
        <item m="1" x="4605"/>
        <item m="1" x="7793"/>
        <item x="2402"/>
        <item x="2396"/>
        <item x="2390"/>
        <item m="1" x="7408"/>
        <item x="2419"/>
        <item m="1" x="6317"/>
        <item x="606"/>
        <item x="2434"/>
        <item x="2404"/>
        <item m="1" x="7746"/>
        <item x="1543"/>
        <item x="2978"/>
        <item x="2423"/>
        <item x="593"/>
        <item m="1" x="7709"/>
        <item m="1" x="4432"/>
        <item x="3056"/>
        <item x="71"/>
        <item m="1" x="6628"/>
        <item x="1605"/>
        <item m="1" x="7441"/>
        <item m="1" x="5479"/>
        <item m="1" x="5639"/>
        <item m="1" x="5633"/>
        <item m="1" x="5630"/>
        <item m="1" x="5663"/>
        <item m="1" x="5477"/>
        <item m="1" x="5780"/>
        <item m="1" x="5667"/>
        <item x="1640"/>
        <item m="1" x="7447"/>
        <item m="1" x="7843"/>
        <item x="1643"/>
        <item x="89"/>
        <item m="1" x="7451"/>
        <item x="704"/>
        <item x="2489"/>
        <item m="1" x="7815"/>
        <item m="1" x="7816"/>
        <item x="705"/>
        <item m="1" x="7817"/>
        <item m="1" x="7803"/>
        <item m="1" x="7796"/>
        <item x="2491"/>
        <item m="1" x="7914"/>
        <item m="1" x="7826"/>
        <item m="1" x="7896"/>
        <item m="1" x="7876"/>
        <item x="3021"/>
        <item m="1" x="7710"/>
        <item x="587"/>
        <item x="1226"/>
        <item m="1" x="5865"/>
        <item m="1" x="5304"/>
        <item x="2214"/>
        <item m="1" x="6843"/>
        <item x="2017"/>
        <item x="1084"/>
        <item x="2834"/>
        <item m="1" x="3544"/>
        <item x="1142"/>
        <item x="2233"/>
        <item m="1" x="6857"/>
        <item x="362"/>
        <item m="1" x="5718"/>
        <item m="1" x="6777"/>
        <item m="1" x="5722"/>
        <item m="1" x="5893"/>
        <item m="1" x="6105"/>
        <item x="3301"/>
        <item m="1" x="4065"/>
        <item x="3085"/>
        <item m="1" x="5909"/>
        <item m="1" x="4506"/>
        <item x="1921"/>
        <item m="1" x="3817"/>
        <item m="1" x="3845"/>
        <item m="1" x="6860"/>
        <item m="1" x="6947"/>
        <item m="1" x="5430"/>
        <item m="1" x="7809"/>
        <item m="1" x="7569"/>
        <item x="2941"/>
        <item x="1410"/>
        <item m="1" x="4235"/>
        <item m="1" x="4311"/>
        <item m="1" x="4325"/>
        <item m="1" x="5589"/>
        <item m="1" x="4326"/>
        <item m="1" x="4328"/>
        <item m="1" x="4491"/>
        <item m="1" x="5744"/>
        <item m="1" x="7379"/>
        <item x="480"/>
        <item m="1" x="4519"/>
        <item x="481"/>
        <item m="1" x="7036"/>
        <item m="1" x="4520"/>
        <item x="1435"/>
        <item m="1" x="4523"/>
        <item x="2068"/>
        <item m="1" x="6963"/>
        <item m="1" x="6807"/>
        <item m="1" x="6975"/>
        <item m="1" x="6895"/>
        <item m="1" x="6884"/>
        <item m="1" x="6800"/>
        <item m="1" x="6978"/>
        <item m="1" x="6821"/>
        <item m="1" x="4604"/>
        <item x="2367"/>
        <item x="635"/>
        <item x="636"/>
        <item x="1572"/>
        <item x="637"/>
        <item x="1573"/>
        <item m="1" x="4818"/>
        <item m="1" x="5632"/>
        <item m="1" x="4538"/>
        <item m="1" x="7814"/>
        <item m="1" x="6993"/>
        <item x="709"/>
        <item m="1" x="6903"/>
        <item m="1" x="6525"/>
        <item x="3363"/>
        <item x="1773"/>
        <item m="1" x="5020"/>
        <item m="1" x="7471"/>
        <item m="1" x="5863"/>
        <item x="584"/>
        <item m="1" x="5031"/>
        <item m="1" x="4664"/>
        <item x="1429"/>
        <item x="1517"/>
        <item x="576"/>
        <item m="1" x="7640"/>
        <item m="1" x="7572"/>
        <item x="523"/>
        <item x="929"/>
        <item x="194"/>
        <item m="1" x="7700"/>
        <item x="2724"/>
        <item x="267"/>
        <item m="1" x="6166"/>
        <item x="269"/>
        <item m="1" x="6079"/>
        <item x="270"/>
        <item m="1" x="6078"/>
        <item m="1" x="6080"/>
        <item m="1" x="6373"/>
        <item m="1" x="6292"/>
        <item x="1968"/>
        <item m="1" x="6682"/>
        <item m="1" x="6665"/>
        <item m="1" x="6663"/>
        <item m="1" x="4281"/>
        <item x="976"/>
        <item x="1969"/>
        <item m="1" x="7182"/>
        <item x="2672"/>
        <item m="1" x="4250"/>
        <item x="3084"/>
        <item m="1" x="6660"/>
        <item m="1" x="7180"/>
        <item m="1" x="5910"/>
        <item x="1948"/>
        <item m="1" x="6686"/>
        <item m="1" x="3529"/>
        <item m="1" x="3882"/>
        <item x="2306"/>
        <item m="1" x="3542"/>
        <item m="1" x="7090"/>
        <item x="2949"/>
        <item m="1" x="4482"/>
        <item x="2338"/>
        <item x="3051"/>
        <item m="1" x="7787"/>
        <item m="1" x="6703"/>
        <item m="1" x="6973"/>
        <item m="1" x="6813"/>
        <item m="1" x="7511"/>
        <item m="1" x="7748"/>
        <item x="3310"/>
        <item x="3466"/>
        <item m="1" x="7540"/>
        <item m="1" x="5916"/>
        <item m="1" x="4349"/>
        <item m="1" x="7400"/>
        <item x="3333"/>
        <item m="1" x="5432"/>
        <item m="1" x="6268"/>
        <item x="1201"/>
        <item x="639"/>
        <item x="1523"/>
        <item m="1" x="4673"/>
        <item m="1" x="6587"/>
        <item m="1" x="4072"/>
        <item x="527"/>
        <item m="1" x="4749"/>
        <item m="1" x="7668"/>
        <item m="1" x="4723"/>
        <item x="1582"/>
        <item m="1" x="3532"/>
        <item x="3222"/>
        <item m="1" x="4886"/>
        <item m="1" x="4888"/>
        <item m="1" x="4339"/>
        <item m="1" x="4892"/>
        <item m="1" x="5783"/>
        <item x="3223"/>
        <item x="702"/>
        <item x="2487"/>
        <item m="1" x="7913"/>
        <item m="1" x="7844"/>
        <item m="1" x="7874"/>
        <item x="703"/>
        <item x="2488"/>
        <item x="88"/>
        <item x="706"/>
        <item m="1" x="7934"/>
        <item x="707"/>
        <item x="1644"/>
        <item m="1" x="7967"/>
        <item x="3014"/>
        <item x="1647"/>
        <item x="2539"/>
        <item x="1685"/>
        <item x="1702"/>
        <item x="3047"/>
        <item x="2560"/>
        <item x="804"/>
        <item x="1720"/>
        <item x="1722"/>
        <item x="815"/>
        <item x="1725"/>
        <item x="1726"/>
        <item x="818"/>
        <item x="820"/>
        <item m="1" x="7516"/>
        <item x="1815"/>
        <item x="1816"/>
        <item x="2582"/>
        <item m="1" x="6423"/>
        <item x="845"/>
        <item x="844"/>
        <item x="846"/>
        <item x="2594"/>
        <item x="2595"/>
        <item x="1775"/>
        <item x="1774"/>
        <item x="1786"/>
        <item x="2596"/>
        <item m="1" x="7703"/>
        <item x="1776"/>
        <item x="1777"/>
        <item x="1778"/>
        <item m="1" x="7467"/>
        <item x="842"/>
        <item x="2597"/>
        <item x="2598"/>
        <item x="2599"/>
        <item x="849"/>
        <item m="1" x="5014"/>
        <item x="168"/>
        <item m="1" x="6916"/>
        <item m="1" x="4705"/>
        <item m="1" x="4283"/>
        <item m="1" x="7159"/>
        <item m="1" x="7670"/>
        <item m="1" x="7535"/>
        <item m="1" x="7618"/>
        <item m="1" x="3980"/>
        <item m="1" x="6920"/>
        <item m="1" x="6921"/>
        <item m="1" x="7997"/>
        <item m="1" x="7916"/>
        <item m="1" x="5282"/>
        <item m="1" x="5283"/>
        <item m="1" x="6635"/>
        <item m="1" x="5285"/>
        <item m="1" x="7998"/>
        <item m="1" x="5322"/>
        <item x="581"/>
        <item m="1" x="7951"/>
        <item m="1" x="5287"/>
        <item m="1" x="5289"/>
        <item m="1" x="7481"/>
        <item m="1" x="6840"/>
        <item m="1" x="5292"/>
        <item x="1186"/>
        <item m="1" x="7016"/>
        <item m="1" x="5245"/>
        <item m="1" x="5293"/>
        <item m="1" x="5200"/>
        <item m="1" x="5298"/>
        <item m="1" x="5252"/>
        <item m="1" x="7883"/>
        <item m="1" x="7017"/>
        <item m="1" x="6927"/>
        <item m="1" x="7863"/>
        <item m="1" x="6928"/>
        <item m="1" x="5262"/>
        <item m="1" x="5263"/>
        <item m="1" x="6766"/>
        <item m="1" x="5267"/>
        <item m="1" x="5307"/>
        <item m="1" x="5309"/>
        <item m="1" x="6930"/>
        <item m="1" x="7820"/>
        <item m="1" x="5220"/>
        <item m="1" x="7953"/>
        <item m="1" x="6235"/>
        <item m="1" x="6931"/>
        <item m="1" x="6638"/>
        <item m="1" x="5337"/>
        <item m="1" x="5226"/>
        <item x="1989"/>
        <item x="3098"/>
        <item x="2748"/>
        <item x="2753"/>
        <item m="1" x="7483"/>
        <item x="2761"/>
        <item x="2047"/>
        <item m="1" x="7085"/>
        <item m="1" x="7088"/>
        <item m="1" x="7084"/>
        <item m="1" x="7086"/>
        <item m="1" x="7087"/>
        <item x="2102"/>
        <item x="3171"/>
        <item m="1" x="6437"/>
        <item m="1" x="6438"/>
        <item m="1" x="5939"/>
        <item m="1" x="6439"/>
        <item m="1" x="6343"/>
        <item m="1" x="6344"/>
        <item m="1" x="6345"/>
        <item x="883"/>
        <item x="2116"/>
        <item x="7"/>
        <item m="1" x="3775"/>
        <item x="2575"/>
        <item m="1" x="7867"/>
        <item m="1" x="7181"/>
        <item m="1" x="3814"/>
        <item m="1" x="3847"/>
        <item m="1" x="3811"/>
        <item m="1" x="6784"/>
        <item m="1" x="7553"/>
        <item m="1" x="3855"/>
        <item m="1" x="3856"/>
        <item m="1" x="3821"/>
        <item m="1" x="7974"/>
        <item m="1" x="3834"/>
        <item m="1" x="5428"/>
        <item m="1" x="3850"/>
        <item m="1" x="3829"/>
        <item m="1" x="3851"/>
        <item m="1" x="7944"/>
        <item x="3252"/>
        <item m="1" x="5795"/>
        <item x="2624"/>
        <item x="3253"/>
        <item m="1" x="7226"/>
        <item x="3422"/>
        <item x="3442"/>
        <item x="3418"/>
        <item m="1" x="7907"/>
        <item m="1" x="6679"/>
        <item x="3413"/>
        <item m="1" x="6017"/>
        <item x="3498"/>
        <item x="3420"/>
        <item m="1" x="5003"/>
        <item m="1" x="5944"/>
        <item x="3414"/>
        <item m="1" x="6951"/>
        <item x="3450"/>
        <item m="1" x="4046"/>
        <item m="1" x="4047"/>
        <item m="1" x="4136"/>
        <item m="1" x="4137"/>
        <item m="1" x="4048"/>
        <item m="1" x="3951"/>
        <item m="1" x="3952"/>
        <item m="1" x="4049"/>
        <item m="1" x="4138"/>
        <item m="1" x="3953"/>
        <item m="1" x="4050"/>
        <item m="1" x="5736"/>
        <item m="1" x="4051"/>
        <item m="1" x="4052"/>
        <item x="2414"/>
        <item m="1" x="3893"/>
        <item m="1" x="3954"/>
        <item m="1" x="4053"/>
        <item m="1" x="4087"/>
        <item m="1" x="4054"/>
        <item m="1" x="4139"/>
        <item m="1" x="4055"/>
        <item m="1" x="3955"/>
        <item m="1" x="3894"/>
        <item m="1" x="3956"/>
        <item m="1" x="6611"/>
        <item m="1" x="4647"/>
        <item m="1" x="7753"/>
        <item m="1" x="3957"/>
        <item m="1" x="5885"/>
        <item m="1" x="4140"/>
        <item m="1" x="4135"/>
        <item m="1" x="3895"/>
        <item m="1" x="4141"/>
        <item x="2257"/>
        <item m="1" x="3958"/>
        <item m="1" x="3959"/>
        <item m="1" x="4142"/>
        <item m="1" x="6252"/>
        <item m="1" x="4057"/>
        <item m="1" x="4058"/>
        <item m="1" x="4143"/>
        <item m="1" x="3960"/>
        <item m="1" x="3961"/>
        <item m="1" x="3962"/>
        <item m="1" x="3963"/>
        <item m="1" x="4144"/>
        <item m="1" x="3899"/>
        <item m="1" x="3896"/>
        <item m="1" x="4170"/>
        <item m="1" x="4059"/>
        <item m="1" x="4145"/>
        <item m="1" x="4146"/>
        <item m="1" x="4060"/>
        <item m="1" x="4147"/>
        <item m="1" x="4061"/>
        <item m="1" x="3904"/>
        <item m="1" x="6786"/>
        <item m="1" x="4148"/>
        <item m="1" x="4062"/>
        <item m="1" x="3964"/>
        <item m="1" x="3965"/>
        <item m="1" x="3966"/>
        <item m="1" x="3967"/>
        <item m="1" x="3897"/>
        <item m="1" x="3968"/>
        <item m="1" x="7056"/>
        <item m="1" x="5737"/>
        <item m="1" x="5738"/>
        <item m="1" x="4063"/>
        <item m="1" x="3898"/>
        <item m="1" x="3969"/>
        <item m="1" x="4067"/>
        <item m="1" x="3970"/>
        <item x="23"/>
        <item m="1" x="3885"/>
        <item m="1" x="4261"/>
        <item m="1" x="3986"/>
        <item m="1" x="4075"/>
        <item x="2188"/>
        <item m="1" x="4078"/>
        <item m="1" x="4071"/>
        <item x="3305"/>
        <item m="1" x="7563"/>
        <item m="1" x="4246"/>
        <item m="1" x="4329"/>
        <item x="3177"/>
        <item m="1" x="6882"/>
        <item m="1" x="7922"/>
        <item m="1" x="5445"/>
        <item x="2331"/>
        <item m="1" x="7307"/>
        <item m="1" x="4074"/>
        <item x="470"/>
        <item x="1421"/>
        <item m="1" x="7788"/>
        <item m="1" x="7824"/>
        <item x="2341"/>
        <item m="1" x="7485"/>
        <item x="1437"/>
        <item x="484"/>
        <item x="2343"/>
        <item x="489"/>
        <item x="1439"/>
        <item x="2959"/>
        <item x="1440"/>
        <item m="1" x="6959"/>
        <item x="491"/>
        <item x="2344"/>
        <item x="1441"/>
        <item m="1" x="5750"/>
        <item x="492"/>
        <item x="1442"/>
        <item x="1443"/>
        <item x="493"/>
        <item x="494"/>
        <item x="1444"/>
        <item x="2345"/>
        <item m="1" x="5852"/>
        <item m="1" x="7386"/>
        <item x="51"/>
        <item m="1" x="5606"/>
        <item m="1" x="6711"/>
        <item m="1" x="6969"/>
        <item m="1" x="6974"/>
        <item m="1" x="6509"/>
        <item m="1" x="4551"/>
        <item m="1" x="4539"/>
        <item m="1" x="4546"/>
        <item m="1" x="6126"/>
        <item m="1" x="4594"/>
        <item m="1" x="7392"/>
        <item m="1" x="4572"/>
        <item m="1" x="7767"/>
        <item m="1" x="6404"/>
        <item m="1" x="6990"/>
        <item m="1" x="6989"/>
        <item m="1" x="5975"/>
        <item m="1" x="5974"/>
        <item m="1" x="6515"/>
        <item m="1" x="6053"/>
        <item x="638"/>
        <item x="75"/>
        <item x="640"/>
        <item x="76"/>
        <item x="641"/>
        <item m="1" x="6054"/>
        <item x="77"/>
        <item x="642"/>
        <item m="1" x="5920"/>
        <item m="1" x="4653"/>
        <item x="3342"/>
        <item m="1" x="4683"/>
        <item x="3338"/>
        <item x="1256"/>
        <item m="1" x="5921"/>
        <item x="3213"/>
        <item x="2399"/>
        <item m="1" x="4743"/>
        <item m="1" x="4751"/>
        <item m="1" x="4752"/>
        <item m="1" x="4731"/>
        <item m="1" x="4732"/>
        <item m="1" x="4757"/>
        <item m="1" x="4739"/>
        <item m="1" x="4736"/>
        <item m="1" x="4738"/>
        <item m="1" x="4745"/>
        <item m="1" x="4737"/>
        <item m="1" x="7692"/>
        <item m="1" x="7596"/>
        <item m="1" x="4722"/>
        <item m="1" x="7966"/>
        <item m="1" x="7528"/>
        <item m="1" x="7644"/>
        <item m="1" x="7607"/>
        <item m="1" x="7684"/>
        <item m="1" x="4727"/>
        <item m="1" x="7434"/>
        <item m="1" x="7565"/>
        <item m="1" x="4724"/>
        <item m="1" x="4725"/>
        <item x="1023"/>
        <item m="1" x="3759"/>
        <item x="697"/>
        <item m="1" x="7795"/>
        <item x="2485"/>
        <item x="701"/>
        <item x="3012"/>
        <item m="1" x="7905"/>
        <item m="1" x="5638"/>
        <item m="1" x="5631"/>
        <item x="3043"/>
        <item x="813"/>
        <item x="799"/>
        <item x="2555"/>
        <item x="1729"/>
        <item m="1" x="6526"/>
        <item x="1708"/>
        <item x="2565"/>
        <item x="811"/>
        <item x="146"/>
        <item x="809"/>
        <item x="3319"/>
        <item x="55"/>
        <item m="1" x="6988"/>
        <item x="2904"/>
        <item m="1" x="7911"/>
        <item m="1" x="4644"/>
        <item m="1" x="4307"/>
        <item x="546"/>
        <item m="1" x="6217"/>
        <item m="1" x="7890"/>
        <item m="1" x="6300"/>
        <item x="823"/>
        <item x="1751"/>
        <item m="1" x="7465"/>
        <item x="1752"/>
        <item x="1756"/>
        <item x="1758"/>
        <item x="3246"/>
        <item x="1760"/>
        <item x="1761"/>
        <item x="1762"/>
        <item x="832"/>
        <item x="833"/>
        <item x="2587"/>
        <item m="1" x="7638"/>
        <item x="1764"/>
        <item m="1" x="5793"/>
        <item m="1" x="7462"/>
        <item m="1" x="5018"/>
        <item x="1765"/>
        <item x="834"/>
        <item m="1" x="7669"/>
        <item x="1767"/>
        <item x="835"/>
        <item x="2588"/>
        <item x="2589"/>
        <item x="836"/>
        <item m="1" x="7566"/>
        <item x="1768"/>
        <item x="2590"/>
        <item x="1769"/>
        <item x="837"/>
        <item x="1770"/>
        <item x="2591"/>
        <item m="1" x="7661"/>
        <item m="1" x="6908"/>
        <item m="1" x="5019"/>
        <item x="2592"/>
        <item m="1" x="5012"/>
        <item x="840"/>
        <item x="1771"/>
        <item x="2593"/>
        <item x="1772"/>
        <item m="1" x="7617"/>
        <item x="155"/>
        <item x="847"/>
        <item m="1" x="5536"/>
        <item x="848"/>
        <item m="1" x="6229"/>
        <item x="1779"/>
        <item x="1780"/>
        <item m="1" x="7744"/>
        <item x="850"/>
        <item x="1798"/>
        <item x="1781"/>
        <item m="1" x="5013"/>
        <item x="851"/>
        <item x="2601"/>
        <item x="2602"/>
        <item m="1" x="6424"/>
        <item x="1782"/>
        <item x="852"/>
        <item x="853"/>
        <item x="2604"/>
        <item x="2605"/>
        <item m="1" x="4282"/>
        <item x="2606"/>
        <item x="854"/>
        <item x="3052"/>
        <item x="2607"/>
        <item x="1783"/>
        <item m="1" x="6652"/>
        <item x="3256"/>
        <item x="2627"/>
        <item m="1" x="6632"/>
        <item m="1" x="6653"/>
        <item m="1" x="6654"/>
        <item x="3257"/>
        <item x="3258"/>
        <item m="1" x="6528"/>
        <item m="1" x="4924"/>
        <item m="1" x="4960"/>
        <item m="1" x="4952"/>
        <item m="1" x="4925"/>
        <item m="1" x="7001"/>
        <item m="1" x="4926"/>
        <item m="1" x="4927"/>
        <item m="1" x="4953"/>
        <item m="1" x="4942"/>
        <item m="1" x="4959"/>
        <item m="1" x="4928"/>
        <item m="1" x="4929"/>
        <item m="1" x="4954"/>
        <item m="1" x="4943"/>
        <item m="1" x="7662"/>
        <item m="1" x="4944"/>
        <item m="1" x="4932"/>
        <item m="1" x="4962"/>
        <item m="1" x="4957"/>
        <item m="1" x="4958"/>
        <item m="1" x="4934"/>
        <item m="1" x="4935"/>
        <item m="1" x="4946"/>
        <item m="1" x="4949"/>
        <item m="1" x="4950"/>
        <item m="1" x="4933"/>
        <item m="1" x="6912"/>
        <item m="1" x="4940"/>
        <item x="1846"/>
        <item m="1" x="7621"/>
        <item m="1" x="4270"/>
        <item x="961"/>
        <item x="1898"/>
        <item m="1" x="6637"/>
        <item m="1" x="5258"/>
        <item m="1" x="7999"/>
        <item x="2721"/>
        <item x="1985"/>
        <item x="1987"/>
        <item m="1" x="7884"/>
        <item m="1" x="7830"/>
        <item x="2726"/>
        <item x="1012"/>
        <item m="1" x="6640"/>
        <item m="1" x="6536"/>
        <item x="3102"/>
        <item m="1" x="6537"/>
        <item x="2001"/>
        <item x="2002"/>
        <item m="1" x="7972"/>
        <item m="1" x="6436"/>
        <item x="2021"/>
        <item m="1" x="6642"/>
        <item x="2023"/>
        <item x="271"/>
        <item x="1107"/>
        <item m="1" x="7093"/>
        <item x="1139"/>
        <item x="585"/>
        <item m="1" x="6295"/>
        <item m="1" x="6661"/>
        <item m="1" x="6659"/>
        <item x="1899"/>
        <item x="1399"/>
        <item x="2945"/>
        <item x="1400"/>
        <item x="2311"/>
        <item x="2946"/>
        <item x="659"/>
        <item x="1401"/>
        <item x="1576"/>
        <item x="643"/>
        <item m="1" x="4947"/>
        <item x="1436"/>
        <item x="365"/>
        <item x="1285"/>
        <item x="1283"/>
        <item m="1" x="5564"/>
        <item x="2903"/>
        <item m="1" x="5419"/>
        <item m="1" x="7713"/>
        <item x="366"/>
        <item m="1" x="5835"/>
        <item x="2976"/>
        <item m="1" x="7678"/>
        <item x="332"/>
        <item x="1282"/>
        <item x="1277"/>
        <item x="3456"/>
        <item m="1" x="5557"/>
        <item x="1284"/>
        <item x="26"/>
        <item x="367"/>
        <item x="1278"/>
        <item m="1" x="6539"/>
        <item x="368"/>
        <item x="1291"/>
        <item x="2234"/>
        <item x="1280"/>
        <item x="1281"/>
        <item m="1" x="7372"/>
        <item m="1" x="4247"/>
        <item m="1" x="4433"/>
        <item x="2545"/>
        <item m="1" x="7961"/>
        <item m="1" x="3846"/>
        <item m="1" x="6192"/>
        <item m="1" x="3836"/>
        <item m="1" x="3818"/>
        <item m="1" x="3819"/>
        <item m="1" x="7891"/>
        <item m="1" x="3820"/>
        <item m="1" x="3849"/>
        <item m="1" x="4445"/>
        <item m="1" x="3835"/>
        <item m="1" x="3857"/>
        <item m="1" x="6193"/>
        <item m="1" x="7868"/>
        <item x="3344"/>
        <item x="3350"/>
        <item x="3352"/>
        <item x="3353"/>
        <item x="3354"/>
        <item m="1" x="4980"/>
        <item m="1" x="6307"/>
        <item m="1" x="4981"/>
        <item m="1" x="7778"/>
        <item m="1" x="4982"/>
        <item m="1" x="4983"/>
        <item x="3365"/>
        <item x="3511"/>
        <item x="3370"/>
        <item x="572"/>
        <item x="2424"/>
        <item x="600"/>
        <item x="602"/>
        <item m="1" x="7993"/>
        <item x="66"/>
        <item x="1551"/>
        <item m="1" x="5623"/>
        <item m="1" x="6841"/>
        <item m="1" x="5296"/>
        <item x="2995"/>
        <item m="1" x="7442"/>
        <item x="2467"/>
        <item x="1604"/>
        <item m="1" x="7438"/>
        <item m="1" x="7727"/>
        <item x="2996"/>
        <item x="2460"/>
        <item x="2469"/>
        <item x="2465"/>
        <item x="2462"/>
        <item x="2997"/>
        <item m="1" x="7440"/>
        <item x="1608"/>
        <item m="1" x="6151"/>
        <item x="2463"/>
        <item m="1" x="7963"/>
        <item x="882"/>
        <item m="1" x="6538"/>
        <item m="1" x="7492"/>
        <item x="1145"/>
        <item x="294"/>
        <item m="1" x="7705"/>
        <item x="3309"/>
        <item x="3311"/>
        <item x="2378"/>
        <item x="3317"/>
        <item x="3321"/>
        <item m="1" x="5918"/>
        <item x="564"/>
        <item x="3327"/>
        <item m="1" x="7776"/>
        <item m="1" x="3552"/>
        <item m="1" x="3608"/>
        <item m="1" x="3612"/>
        <item m="1" x="3613"/>
        <item m="1" x="3558"/>
        <item m="1" x="3614"/>
        <item m="1" x="3663"/>
        <item m="1" x="3559"/>
        <item m="1" x="3560"/>
        <item m="1" x="3561"/>
        <item m="1" x="3615"/>
        <item m="1" x="3667"/>
        <item m="1" x="3562"/>
        <item m="1" x="3616"/>
        <item m="1" x="3695"/>
        <item m="1" x="3617"/>
        <item m="1" x="3696"/>
        <item m="1" x="3619"/>
        <item m="1" x="3668"/>
        <item m="1" x="3620"/>
        <item m="1" x="3564"/>
        <item m="1" x="5400"/>
        <item m="1" x="3674"/>
        <item m="1" x="3676"/>
        <item m="1" x="3579"/>
        <item m="1" x="3675"/>
        <item m="1" x="3631"/>
        <item m="1" x="6941"/>
        <item m="1" x="3575"/>
        <item m="1" x="3582"/>
        <item m="1" x="3569"/>
        <item m="1" x="3574"/>
        <item m="1" x="3698"/>
        <item m="1" x="5823"/>
        <item m="1" x="3637"/>
        <item m="1" x="5535"/>
        <item m="1" x="3638"/>
        <item m="1" x="3590"/>
        <item m="1" x="3678"/>
        <item m="1" x="5995"/>
        <item m="1" x="3679"/>
        <item m="1" x="5996"/>
        <item m="1" x="3591"/>
        <item m="1" x="4124"/>
        <item m="1" x="6772"/>
        <item m="1" x="3680"/>
        <item m="1" x="5366"/>
        <item m="1" x="3699"/>
        <item m="1" x="3681"/>
        <item m="1" x="7634"/>
        <item m="1" x="3682"/>
        <item m="1" x="3639"/>
        <item m="1" x="7118"/>
        <item m="1" x="7113"/>
        <item m="1" x="3566"/>
        <item m="1" x="3916"/>
        <item x="856"/>
        <item m="1" x="3604"/>
        <item m="1" x="3656"/>
        <item m="1" x="3657"/>
        <item m="1" x="3605"/>
        <item m="1" x="3548"/>
        <item m="1" x="3658"/>
        <item m="1" x="3659"/>
        <item m="1" x="3660"/>
        <item m="1" x="3690"/>
        <item m="1" x="3661"/>
        <item m="1" x="3662"/>
        <item m="1" x="3691"/>
        <item m="1" x="5998"/>
        <item m="1" x="3702"/>
        <item m="1" x="4579"/>
        <item m="1" x="4580"/>
        <item m="1" x="4595"/>
        <item m="1" x="4581"/>
        <item m="1" x="4582"/>
        <item m="1" x="5840"/>
        <item x="2762"/>
        <item x="2763"/>
        <item x="3117"/>
        <item x="3118"/>
        <item x="2764"/>
        <item m="1" x="7695"/>
        <item x="2026"/>
        <item x="1022"/>
        <item x="2027"/>
        <item m="1" x="6069"/>
        <item x="3265"/>
        <item x="2765"/>
        <item x="3380"/>
        <item x="1784"/>
        <item m="1" x="7861"/>
        <item x="2609"/>
        <item m="1" x="7693"/>
        <item m="1" x="7463"/>
        <item x="2610"/>
        <item m="1" x="3776"/>
        <item x="1221"/>
        <item m="1" x="7590"/>
        <item m="1" x="7708"/>
        <item x="3103"/>
        <item m="1" x="6435"/>
        <item m="1" x="3874"/>
        <item x="1324"/>
        <item x="1327"/>
        <item x="1329"/>
        <item x="404"/>
        <item x="1334"/>
        <item x="1335"/>
        <item x="1336"/>
        <item x="2916"/>
        <item x="2262"/>
        <item x="3183"/>
        <item x="407"/>
        <item x="408"/>
        <item x="1338"/>
        <item x="1339"/>
        <item x="2917"/>
        <item x="2263"/>
        <item x="410"/>
        <item x="411"/>
        <item x="2264"/>
        <item x="2918"/>
        <item x="412"/>
        <item x="413"/>
        <item x="414"/>
        <item x="1344"/>
        <item x="1345"/>
        <item x="418"/>
        <item x="419"/>
        <item x="1346"/>
        <item x="2266"/>
        <item x="2267"/>
        <item x="1347"/>
        <item x="2268"/>
        <item x="420"/>
        <item x="421"/>
        <item x="422"/>
        <item x="1350"/>
        <item x="2269"/>
        <item x="2270"/>
        <item x="2271"/>
        <item x="2272"/>
        <item x="2273"/>
        <item x="2274"/>
        <item x="1352"/>
        <item x="1353"/>
        <item x="1354"/>
        <item x="1355"/>
        <item x="1356"/>
        <item x="2275"/>
        <item x="1359"/>
        <item x="1360"/>
        <item x="1362"/>
        <item x="2276"/>
        <item x="1364"/>
        <item x="1365"/>
        <item x="1366"/>
        <item x="425"/>
        <item x="1368"/>
        <item x="1369"/>
        <item x="2279"/>
        <item x="1370"/>
        <item x="427"/>
        <item x="428"/>
        <item x="429"/>
        <item x="35"/>
        <item x="2920"/>
        <item x="2282"/>
        <item x="1373"/>
        <item x="1374"/>
        <item x="1375"/>
        <item x="431"/>
        <item x="432"/>
        <item x="433"/>
        <item x="1376"/>
        <item x="2922"/>
        <item x="434"/>
        <item x="2925"/>
        <item x="2285"/>
        <item x="1378"/>
        <item x="1379"/>
        <item x="1380"/>
        <item x="1381"/>
        <item x="2927"/>
        <item x="2286"/>
        <item x="2928"/>
        <item x="1382"/>
        <item x="1383"/>
        <item x="2929"/>
        <item x="2930"/>
        <item x="435"/>
        <item x="436"/>
        <item x="1384"/>
        <item x="437"/>
        <item x="36"/>
        <item x="1385"/>
        <item x="1393"/>
        <item x="1394"/>
        <item x="2290"/>
        <item x="2292"/>
        <item x="2666"/>
        <item m="1" x="4613"/>
        <item m="1" x="7925"/>
        <item m="1" x="4611"/>
        <item m="1" x="7910"/>
        <item m="1" x="4615"/>
        <item m="1" x="4614"/>
        <item m="1" x="7812"/>
        <item m="1" x="7924"/>
        <item m="1" x="7823"/>
        <item m="1" x="7947"/>
        <item m="1" x="7933"/>
        <item m="1" x="7835"/>
        <item m="1" x="7965"/>
        <item m="1" x="7870"/>
        <item m="1" x="7792"/>
        <item m="1" x="7836"/>
        <item m="1" x="7871"/>
        <item m="1" x="7893"/>
        <item m="1" x="7837"/>
        <item m="1" x="7838"/>
        <item m="1" x="6979"/>
        <item m="1" x="6729"/>
        <item m="1" x="7044"/>
        <item m="1" x="6736"/>
        <item m="1" x="5489"/>
        <item m="1" x="5774"/>
        <item m="1" x="5635"/>
        <item m="1" x="5487"/>
        <item m="1" x="5383"/>
        <item m="1" x="5494"/>
        <item m="1" x="5668"/>
        <item m="1" x="5666"/>
        <item m="1" x="5658"/>
        <item m="1" x="5669"/>
        <item m="1" x="5382"/>
        <item m="1" x="5378"/>
        <item m="1" x="5787"/>
        <item m="1" x="5381"/>
        <item m="1" x="5377"/>
        <item m="1" x="5484"/>
        <item m="1" x="5380"/>
        <item x="3328"/>
        <item m="1" x="7567"/>
        <item m="1" x="5036"/>
        <item x="2572"/>
        <item x="1721"/>
        <item x="1727"/>
        <item x="2573"/>
        <item x="816"/>
        <item m="1" x="6834"/>
        <item x="1701"/>
        <item x="3048"/>
        <item x="2649"/>
        <item x="971"/>
        <item x="2668"/>
        <item m="1" x="4202"/>
        <item m="1" x="4203"/>
        <item m="1" x="4196"/>
        <item m="1" x="4204"/>
        <item m="1" x="4205"/>
        <item m="1" x="4206"/>
        <item m="1" x="4214"/>
        <item m="1" x="4207"/>
        <item m="1" x="4215"/>
        <item m="1" x="4208"/>
        <item m="1" x="4197"/>
        <item m="1" x="4209"/>
        <item m="1" x="4210"/>
        <item m="1" x="4198"/>
        <item m="1" x="4211"/>
        <item m="1" x="4212"/>
        <item m="1" x="4213"/>
        <item m="1" x="4199"/>
        <item m="1" x="4876"/>
        <item m="1" x="6374"/>
        <item m="1" x="4856"/>
        <item m="1" x="5879"/>
        <item m="1" x="5576"/>
        <item m="1" x="7122"/>
        <item m="1" x="3704"/>
        <item x="1724"/>
        <item m="1" x="3743"/>
        <item m="1" x="4093"/>
        <item m="1" x="5109"/>
        <item m="1" x="5173"/>
        <item m="1" x="5174"/>
        <item m="1" x="5154"/>
        <item m="1" x="5175"/>
        <item m="1" x="5155"/>
        <item m="1" x="5156"/>
        <item m="1" x="5110"/>
        <item m="1" x="5176"/>
        <item m="1" x="5177"/>
        <item m="1" x="5178"/>
        <item m="1" x="5184"/>
        <item m="1" x="5161"/>
        <item m="1" x="5136"/>
        <item m="1" x="5160"/>
        <item m="1" x="5124"/>
        <item m="1" x="5165"/>
        <item m="1" x="5120"/>
        <item m="1" x="5128"/>
        <item m="1" x="5118"/>
        <item m="1" x="5090"/>
        <item m="1" x="5116"/>
        <item x="1636"/>
        <item x="695"/>
        <item x="2481"/>
        <item m="1" x="7794"/>
        <item m="1" x="7782"/>
        <item m="1" x="4896"/>
        <item m="1" x="7513"/>
        <item m="1" x="7783"/>
        <item x="1116"/>
        <item m="1" x="6650"/>
        <item m="1" x="7760"/>
        <item x="1214"/>
        <item x="2878"/>
        <item m="1" x="7136"/>
        <item x="370"/>
        <item m="1" x="5719"/>
        <item m="1" x="4298"/>
        <item m="1" x="6466"/>
        <item x="258"/>
        <item m="1" x="7990"/>
        <item m="1" x="7962"/>
        <item m="1" x="7194"/>
        <item m="1" x="6948"/>
        <item m="1" x="3823"/>
        <item x="1310"/>
        <item x="384"/>
        <item m="1" x="7560"/>
        <item m="1" x="7230"/>
        <item m="1" x="5734"/>
        <item m="1" x="7665"/>
        <item m="1" x="5880"/>
        <item m="1" x="5841"/>
        <item m="1" x="5578"/>
        <item m="1" x="7673"/>
        <item m="1" x="5579"/>
        <item m="1" x="5735"/>
        <item m="1" x="4069"/>
        <item m="1" x="3900"/>
        <item m="1" x="3901"/>
        <item m="1" x="3971"/>
        <item m="1" x="3902"/>
        <item m="1" x="3903"/>
        <item m="1" x="7706"/>
        <item x="2300"/>
        <item x="1406"/>
        <item x="449"/>
        <item m="1" x="4200"/>
        <item m="1" x="4201"/>
        <item m="1" x="4233"/>
        <item m="1" x="4485"/>
        <item m="1" x="4309"/>
        <item m="1" x="4313"/>
        <item m="1" x="4314"/>
        <item m="1" x="4238"/>
        <item m="1" x="4241"/>
        <item m="1" x="4426"/>
        <item m="1" x="4494"/>
        <item m="1" x="4331"/>
        <item m="1" x="4248"/>
        <item x="2440"/>
        <item m="1" x="4249"/>
        <item m="1" x="4332"/>
        <item m="1" x="5742"/>
        <item m="1" x="4333"/>
        <item m="1" x="4434"/>
        <item m="1" x="7992"/>
        <item m="1" x="6624"/>
        <item m="1" x="4334"/>
        <item m="1" x="6875"/>
        <item m="1" x="4435"/>
        <item m="1" x="6793"/>
        <item m="1" x="7373"/>
        <item m="1" x="4436"/>
        <item m="1" x="4251"/>
        <item m="1" x="4492"/>
        <item m="1" x="6571"/>
        <item m="1" x="4404"/>
        <item x="1245"/>
        <item m="1" x="4475"/>
        <item x="50"/>
        <item x="488"/>
        <item m="1" x="7385"/>
        <item m="1" x="6576"/>
        <item m="1" x="7789"/>
        <item m="1" x="7802"/>
        <item m="1" x="7901"/>
        <item m="1" x="7530"/>
        <item m="1" x="6805"/>
        <item m="1" x="6748"/>
        <item m="1" x="7048"/>
        <item m="1" x="7040"/>
        <item m="1" x="7049"/>
        <item m="1" x="7052"/>
        <item m="1" x="6751"/>
        <item m="1" x="6972"/>
        <item m="1" x="6894"/>
        <item m="1" x="6716"/>
        <item m="1" x="7039"/>
        <item m="1" x="6709"/>
        <item m="1" x="6967"/>
        <item m="1" x="6890"/>
        <item m="1" x="7054"/>
        <item m="1" x="6896"/>
        <item m="1" x="7043"/>
        <item m="1" x="6712"/>
        <item m="1" x="6892"/>
        <item m="1" x="6699"/>
        <item m="1" x="6798"/>
        <item m="1" x="7894"/>
        <item m="1" x="4583"/>
        <item m="1" x="7976"/>
        <item m="1" x="7393"/>
        <item x="570"/>
        <item x="554"/>
        <item x="3326"/>
        <item x="3335"/>
        <item m="1" x="4685"/>
        <item m="1" x="4191"/>
        <item m="1" x="7423"/>
        <item m="1" x="7416"/>
        <item m="1" x="7431"/>
        <item m="1" x="6755"/>
        <item x="1588"/>
        <item x="678"/>
        <item m="1" x="5492"/>
        <item m="1" x="5646"/>
        <item m="1" x="5493"/>
        <item m="1" x="5651"/>
        <item m="1" x="5379"/>
        <item m="1" x="5656"/>
        <item m="1" x="5481"/>
        <item x="810"/>
        <item x="814"/>
        <item m="1" x="5501"/>
        <item m="1" x="5674"/>
        <item m="1" x="7935"/>
        <item x="1735"/>
        <item m="1" x="5017"/>
        <item x="824"/>
        <item x="1739"/>
        <item x="2578"/>
        <item x="2579"/>
        <item x="1746"/>
        <item x="2580"/>
        <item x="825"/>
        <item x="828"/>
        <item x="829"/>
        <item m="1" x="5792"/>
        <item x="1759"/>
        <item x="3247"/>
        <item x="855"/>
        <item x="2608"/>
        <item m="1" x="6631"/>
        <item m="1" x="7712"/>
        <item m="1" x="7639"/>
        <item x="2611"/>
        <item x="839"/>
        <item m="1" x="6909"/>
        <item x="1763"/>
        <item x="838"/>
        <item x="2993"/>
        <item x="3053"/>
        <item m="1" x="5675"/>
        <item m="1" x="7799"/>
        <item m="1" x="4931"/>
        <item m="1" x="4936"/>
        <item x="3368"/>
        <item x="3371"/>
        <item x="3372"/>
        <item x="3373"/>
        <item m="1" x="4984"/>
        <item m="1" x="5923"/>
        <item x="3374"/>
        <item m="1" x="7006"/>
        <item m="1" x="7076"/>
        <item m="1" x="7557"/>
        <item m="1" x="7597"/>
        <item m="1" x="5061"/>
        <item m="1" x="5068"/>
        <item m="1" x="5069"/>
        <item m="1" x="5072"/>
        <item m="1" x="7694"/>
        <item m="1" x="5801"/>
        <item m="1" x="5522"/>
        <item x="1988"/>
        <item m="1" x="5804"/>
        <item x="2015"/>
        <item m="1" x="3522"/>
        <item m="1" x="4554"/>
        <item m="1" x="4531"/>
        <item m="1" x="4532"/>
        <item m="1" x="4540"/>
        <item m="1" x="7726"/>
        <item m="1" x="4552"/>
        <item m="1" x="7055"/>
        <item m="1" x="4533"/>
        <item m="1" x="7729"/>
        <item m="1" x="7895"/>
        <item m="1" x="6139"/>
        <item m="1" x="6043"/>
        <item m="1" x="6219"/>
        <item m="1" x="6130"/>
        <item m="1" x="6046"/>
        <item m="1" x="5159"/>
        <item m="1" x="5130"/>
        <item m="1" x="5183"/>
        <item m="1" x="5162"/>
        <item m="1" x="5139"/>
        <item m="1" x="5099"/>
        <item m="1" x="5121"/>
        <item m="1" x="5125"/>
        <item m="1" x="7548"/>
        <item m="1" x="5137"/>
        <item m="1" x="5141"/>
        <item m="1" x="7881"/>
        <item m="1" x="5163"/>
        <item m="1" x="5131"/>
        <item m="1" x="5140"/>
        <item m="1" x="5129"/>
        <item m="1" x="5092"/>
        <item m="1" x="5122"/>
        <item m="1" x="5100"/>
        <item m="1" x="5135"/>
        <item m="1" x="7724"/>
        <item m="1" x="7647"/>
        <item m="1" x="5188"/>
        <item m="1" x="5172"/>
        <item m="1" x="5152"/>
        <item m="1" x="5153"/>
        <item m="1" x="7742"/>
        <item m="1" x="7137"/>
        <item x="18"/>
        <item x="1238"/>
        <item m="1" x="7158"/>
        <item m="1" x="7725"/>
        <item x="1229"/>
        <item x="341"/>
        <item x="2887"/>
        <item x="1224"/>
        <item m="1" x="7128"/>
        <item m="1" x="5832"/>
        <item x="2889"/>
        <item m="1" x="7717"/>
        <item m="1" x="7138"/>
        <item x="2204"/>
        <item m="1" x="5411"/>
        <item m="1" x="6004"/>
        <item m="1" x="7027"/>
        <item m="1" x="7743"/>
        <item m="1" x="6545"/>
        <item x="2187"/>
        <item m="1" x="3729"/>
        <item x="2193"/>
        <item x="2167"/>
        <item x="369"/>
        <item m="1" x="7376"/>
        <item m="1" x="4335"/>
        <item m="1" x="4336"/>
        <item m="1" x="6496"/>
        <item m="1" x="4216"/>
        <item m="1" x="6203"/>
        <item m="1" x="7923"/>
        <item m="1" x="4522"/>
        <item m="1" x="6405"/>
        <item x="644"/>
        <item m="1" x="5088"/>
        <item m="1" x="5119"/>
        <item m="1" x="5093"/>
        <item m="1" x="5111"/>
        <item m="1" x="7704"/>
        <item m="1" x="6440"/>
        <item x="2030"/>
        <item m="1" x="7831"/>
        <item m="1" x="5655"/>
        <item m="1" x="3804"/>
        <item m="1" x="6447"/>
        <item x="991"/>
        <item x="2716"/>
        <item m="1" x="3809"/>
        <item m="1" x="7179"/>
        <item m="1" x="4365"/>
        <item m="1" x="3859"/>
        <item m="1" x="7191"/>
        <item m="1" x="7672"/>
        <item m="1" x="3852"/>
        <item m="1" x="7568"/>
        <item m="1" x="7945"/>
        <item m="1" x="7702"/>
        <item m="1" x="7892"/>
        <item m="1" x="7187"/>
        <item m="1" x="5429"/>
        <item m="1" x="6683"/>
        <item m="1" x="6685"/>
        <item m="1" x="6684"/>
        <item m="1" x="3864"/>
        <item m="1" x="6950"/>
        <item m="1" x="7932"/>
        <item m="1" x="7215"/>
        <item m="1" x="7584"/>
        <item m="1" x="7585"/>
        <item m="1" x="7224"/>
        <item m="1" x="7808"/>
        <item m="1" x="7208"/>
        <item m="1" x="7680"/>
        <item m="1" x="7525"/>
        <item m="1" x="5731"/>
        <item m="1" x="7738"/>
        <item m="1" x="7227"/>
        <item m="1" x="6469"/>
        <item m="1" x="7232"/>
        <item m="1" x="7604"/>
        <item m="1" x="7561"/>
        <item m="1" x="7221"/>
        <item m="1" x="7690"/>
        <item m="1" x="7654"/>
        <item m="1" x="7222"/>
        <item m="1" x="6618"/>
        <item m="1" x="6387"/>
        <item m="1" x="6791"/>
        <item m="1" x="7047"/>
        <item m="1" x="6754"/>
        <item m="1" x="7051"/>
        <item m="1" x="6883"/>
        <item m="1" x="7674"/>
        <item m="1" x="6719"/>
        <item x="535"/>
        <item m="1" x="5760"/>
        <item m="1" x="6984"/>
        <item x="295"/>
        <item m="1" x="6513"/>
        <item m="1" x="7402"/>
        <item m="1" x="7948"/>
        <item m="1" x="4754"/>
        <item m="1" x="4742"/>
        <item m="1" x="7853"/>
        <item m="1" x="7659"/>
        <item m="1" x="7437"/>
        <item m="1" x="7978"/>
        <item m="1" x="7436"/>
        <item m="1" x="4756"/>
        <item m="1" x="4729"/>
        <item m="1" x="7629"/>
        <item m="1" x="7645"/>
        <item m="1" x="7685"/>
        <item m="1" x="7723"/>
        <item m="1" x="7435"/>
        <item x="1592"/>
        <item x="1593"/>
        <item x="2453"/>
        <item m="1" x="7854"/>
        <item m="1" x="5473"/>
        <item m="1" x="5476"/>
        <item m="1" x="5777"/>
        <item m="1" x="5785"/>
        <item x="797"/>
        <item x="3248"/>
        <item m="1" x="6425"/>
        <item x="857"/>
        <item x="858"/>
        <item x="3054"/>
        <item x="3375"/>
        <item m="1" x="5924"/>
        <item m="1" x="5925"/>
        <item m="1" x="6308"/>
        <item m="1" x="6692"/>
        <item m="1" x="4986"/>
        <item m="1" x="5926"/>
        <item x="3377"/>
        <item x="3378"/>
        <item x="3379"/>
        <item x="1829"/>
        <item x="899"/>
        <item x="169"/>
        <item x="170"/>
        <item x="900"/>
        <item m="1" x="7067"/>
        <item m="1" x="7003"/>
        <item m="1" x="7004"/>
        <item m="1" x="6915"/>
        <item m="1" x="7068"/>
        <item x="1843"/>
        <item x="1847"/>
        <item x="3095"/>
        <item x="1996"/>
        <item x="1997"/>
        <item x="1015"/>
        <item x="2005"/>
        <item x="2006"/>
        <item m="1" x="6641"/>
        <item m="1" x="7484"/>
        <item x="3111"/>
        <item m="1" x="5762"/>
        <item x="441"/>
        <item m="1" x="6647"/>
        <item m="1" x="4874"/>
        <item m="1" x="6375"/>
        <item m="1" x="4875"/>
        <item m="1" x="4879"/>
        <item m="1" x="6260"/>
        <item m="1" x="4867"/>
        <item m="1" x="4868"/>
        <item m="1" x="4869"/>
        <item m="1" x="6646"/>
        <item m="1" x="4872"/>
        <item m="1" x="4849"/>
        <item m="1" x="4236"/>
        <item x="2951"/>
        <item m="1" x="7501"/>
        <item x="1422"/>
        <item m="1" x="4596"/>
        <item m="1" x="4597"/>
        <item m="1" x="4573"/>
        <item m="1" x="4574"/>
        <item m="1" x="4598"/>
        <item m="1" x="4570"/>
        <item m="1" x="4612"/>
        <item m="1" x="4670"/>
        <item x="2981"/>
        <item x="2416"/>
        <item m="1" x="6048"/>
        <item m="1" x="6270"/>
        <item x="2977"/>
        <item x="2411"/>
        <item x="2433"/>
        <item x="1545"/>
        <item m="1" x="6133"/>
        <item x="156"/>
        <item m="1" x="6273"/>
        <item m="1" x="7546"/>
        <item m="1" x="7409"/>
        <item x="145"/>
        <item m="1" x="6759"/>
        <item m="1" x="7733"/>
        <item m="1" x="6128"/>
        <item x="2432"/>
        <item m="1" x="6221"/>
        <item x="1601"/>
        <item m="1" x="4631"/>
        <item m="1" x="5202"/>
        <item m="1" x="5274"/>
        <item m="1" x="6234"/>
        <item m="1" x="5239"/>
        <item m="1" x="5209"/>
        <item m="1" x="6765"/>
        <item m="1" x="5299"/>
        <item m="1" x="7968"/>
        <item m="1" x="5216"/>
        <item m="1" x="6433"/>
        <item m="1" x="5190"/>
        <item m="1" x="6932"/>
        <item x="37"/>
        <item x="1388"/>
        <item x="2287"/>
        <item m="1" x="7821"/>
        <item x="1507"/>
        <item m="1" x="7888"/>
        <item m="1" x="5418"/>
        <item m="1" x="7160"/>
        <item x="1237"/>
        <item m="1" x="7610"/>
        <item m="1" x="7174"/>
        <item x="2190"/>
        <item m="1" x="7170"/>
        <item m="1" x="7123"/>
        <item m="1" x="6944"/>
        <item m="1" x="7139"/>
        <item m="1" x="6356"/>
        <item x="2881"/>
        <item x="2884"/>
        <item m="1" x="5550"/>
        <item x="2879"/>
        <item m="1" x="5830"/>
        <item m="1" x="7551"/>
        <item m="1" x="7161"/>
        <item m="1" x="7140"/>
        <item m="1" x="7558"/>
        <item m="1" x="7522"/>
        <item x="2360"/>
        <item m="1" x="6361"/>
        <item x="1239"/>
        <item m="1" x="5829"/>
        <item m="1" x="7701"/>
        <item m="1" x="6602"/>
        <item x="2200"/>
        <item m="1" x="6550"/>
        <item x="20"/>
        <item m="1" x="6322"/>
        <item m="1" x="5831"/>
        <item x="342"/>
        <item x="2883"/>
        <item x="2909"/>
        <item m="1" x="6608"/>
        <item x="972"/>
        <item x="1304"/>
        <item m="1" x="3806"/>
        <item m="1" x="7651"/>
        <item m="1" x="7189"/>
        <item m="1" x="7946"/>
        <item m="1" x="3853"/>
        <item m="1" x="7554"/>
        <item m="1" x="4259"/>
        <item m="1" x="7869"/>
        <item m="1" x="6694"/>
        <item m="1" x="5729"/>
        <item m="1" x="5730"/>
        <item m="1" x="7714"/>
        <item m="1" x="7921"/>
        <item m="1" x="7653"/>
        <item m="1" x="7527"/>
        <item m="1" x="7213"/>
        <item m="1" x="7030"/>
        <item m="1" x="6555"/>
        <item m="1" x="5434"/>
        <item m="1" x="4070"/>
        <item m="1" x="4232"/>
        <item m="1" x="4414"/>
        <item m="1" x="4244"/>
        <item m="1" x="4496"/>
        <item m="1" x="4497"/>
        <item m="1" x="7588"/>
        <item m="1" x="4252"/>
        <item m="1" x="4217"/>
        <item m="1" x="4498"/>
        <item m="1" x="7851"/>
        <item m="1" x="4253"/>
        <item m="1" x="4218"/>
        <item m="1" x="4516"/>
        <item m="1" x="7720"/>
        <item m="1" x="6024"/>
        <item m="1" x="6956"/>
        <item m="1" x="4337"/>
        <item m="1" x="5438"/>
        <item m="1" x="4254"/>
        <item m="1" x="4262"/>
        <item m="1" x="4499"/>
        <item m="1" x="7964"/>
        <item m="1" x="7786"/>
        <item m="1" x="5597"/>
        <item m="1" x="7872"/>
        <item m="1" x="5751"/>
        <item x="495"/>
        <item x="2960"/>
        <item m="1" x="7625"/>
        <item m="1" x="4527"/>
        <item m="1" x="7046"/>
        <item m="1" x="6812"/>
        <item m="1" x="6735"/>
        <item m="1" x="6717"/>
        <item m="1" x="6814"/>
        <item m="1" x="6806"/>
        <item m="1" x="6815"/>
        <item m="1" x="6885"/>
        <item m="1" x="6964"/>
        <item m="1" x="6977"/>
        <item m="1" x="7041"/>
        <item m="1" x="7038"/>
        <item m="1" x="7042"/>
        <item m="1" x="4534"/>
        <item m="1" x="4541"/>
        <item m="1" x="6898"/>
        <item m="1" x="4542"/>
        <item m="1" x="4543"/>
        <item m="1" x="7790"/>
        <item x="532"/>
        <item x="533"/>
        <item x="540"/>
        <item m="1" x="7398"/>
        <item m="1" x="6583"/>
        <item m="1" x="6584"/>
        <item x="1574"/>
        <item x="1575"/>
        <item x="78"/>
        <item m="1" x="6406"/>
        <item x="645"/>
        <item m="1" x="7852"/>
        <item m="1" x="4680"/>
        <item m="1" x="6410"/>
        <item x="3086"/>
        <item m="1" x="7418"/>
        <item m="1" x="7419"/>
        <item m="1" x="7428"/>
        <item m="1" x="7518"/>
        <item m="1" x="7433"/>
        <item m="1" x="7421"/>
        <item m="1" x="7764"/>
        <item x="1594"/>
        <item x="1595"/>
        <item m="1" x="7926"/>
        <item m="1" x="5779"/>
        <item m="1" x="5649"/>
        <item m="1" x="5644"/>
        <item x="3039"/>
        <item x="2540"/>
        <item x="1690"/>
        <item m="1" x="4900"/>
        <item m="1" x="7455"/>
        <item m="1" x="7454"/>
        <item m="1" x="5448"/>
        <item m="1" x="6032"/>
        <item m="1" x="6421"/>
        <item m="1" x="6420"/>
        <item x="859"/>
        <item x="860"/>
        <item x="3055"/>
        <item m="1" x="7466"/>
        <item m="1" x="5794"/>
        <item x="3251"/>
        <item m="1" x="5882"/>
        <item x="1808"/>
        <item m="1" x="5928"/>
        <item x="3381"/>
        <item m="1" x="4987"/>
        <item m="1" x="5929"/>
        <item x="3382"/>
        <item x="3383"/>
        <item m="1" x="5930"/>
        <item x="3384"/>
        <item m="1" x="6309"/>
        <item m="1" x="4988"/>
        <item m="1" x="5931"/>
        <item x="3386"/>
        <item m="1" x="6838"/>
        <item m="1" x="7007"/>
        <item m="1" x="7473"/>
        <item m="1" x="7078"/>
        <item x="193"/>
        <item x="1873"/>
        <item x="2645"/>
        <item x="3259"/>
        <item m="1" x="5687"/>
        <item m="1" x="6918"/>
        <item x="2650"/>
        <item m="1" x="7575"/>
        <item x="945"/>
        <item x="1867"/>
        <item x="1868"/>
        <item x="2656"/>
        <item x="959"/>
        <item m="1" x="5249"/>
        <item m="1" x="5251"/>
        <item m="1" x="7480"/>
        <item m="1" x="7939"/>
        <item m="1" x="7986"/>
        <item m="1" x="7956"/>
        <item x="2749"/>
        <item x="3107"/>
        <item m="1" x="7957"/>
        <item x="1030"/>
        <item x="1528"/>
        <item m="1" x="5080"/>
        <item m="1" x="7360"/>
        <item m="1" x="4575"/>
        <item m="1" x="4585"/>
        <item m="1" x="4586"/>
        <item m="1" x="7721"/>
        <item m="1" x="4789"/>
        <item m="1" x="4787"/>
        <item m="1" x="4786"/>
        <item m="1" x="4781"/>
        <item m="1" x="6147"/>
        <item m="1" x="4777"/>
        <item m="1" x="4814"/>
        <item m="1" x="4808"/>
        <item m="1" x="4835"/>
        <item m="1" x="4803"/>
        <item m="1" x="4799"/>
        <item m="1" x="4800"/>
        <item m="1" x="5016"/>
        <item m="1" x="4778"/>
        <item m="1" x="4809"/>
        <item m="1" x="4788"/>
        <item m="1" x="4819"/>
        <item m="1" x="4764"/>
        <item x="86"/>
        <item m="1" x="7547"/>
        <item x="1639"/>
        <item m="1" x="7842"/>
        <item x="2483"/>
        <item m="1" x="7873"/>
        <item x="699"/>
        <item m="1" x="7855"/>
        <item x="87"/>
        <item m="1" x="7856"/>
        <item x="2486"/>
        <item x="1641"/>
        <item x="1642"/>
        <item x="700"/>
        <item x="2490"/>
        <item x="2252"/>
        <item m="1" x="3871"/>
        <item m="1" x="7807"/>
        <item x="3463"/>
        <item m="1" x="3869"/>
        <item m="1" x="3872"/>
        <item m="1" x="6298"/>
        <item m="1" x="7772"/>
        <item m="1" x="7773"/>
        <item x="1420"/>
        <item x="1418"/>
        <item x="48"/>
        <item x="1419"/>
        <item m="1" x="6504"/>
        <item m="1" x="6505"/>
        <item m="1" x="6396"/>
        <item m="1" x="6501"/>
        <item m="1" x="6502"/>
        <item m="1" x="6397"/>
        <item m="1" x="6577"/>
        <item m="1" x="6668"/>
        <item m="1" x="6398"/>
        <item m="1" x="6328"/>
        <item m="1" x="6399"/>
        <item m="1" x="6329"/>
        <item m="1" x="6400"/>
        <item m="1" x="6503"/>
        <item x="1445"/>
        <item x="498"/>
        <item m="1" x="7389"/>
        <item x="499"/>
        <item m="1" x="7531"/>
        <item x="1474"/>
        <item m="1" x="7656"/>
        <item m="1" x="7545"/>
        <item m="1" x="7682"/>
        <item m="1" x="7571"/>
        <item m="1" x="7683"/>
        <item m="1" x="7626"/>
        <item m="1" x="7840"/>
        <item x="2829"/>
        <item x="261"/>
        <item m="1" x="6165"/>
        <item x="377"/>
        <item m="1" x="6102"/>
        <item m="1" x="5420"/>
        <item m="1" x="3777"/>
        <item m="1" x="5727"/>
        <item m="1" x="6609"/>
        <item m="1" x="7502"/>
        <item m="1" x="6465"/>
        <item m="1" x="7183"/>
        <item x="2710"/>
        <item m="1" x="5195"/>
        <item x="2250"/>
        <item x="2910"/>
        <item m="1" x="3870"/>
        <item x="1309"/>
        <item x="2251"/>
        <item m="1" x="7784"/>
        <item m="1" x="7833"/>
        <item x="1713"/>
        <item m="1" x="3875"/>
        <item m="1" x="4149"/>
        <item m="1" x="3905"/>
        <item x="2323"/>
        <item m="1" x="4255"/>
        <item m="1" x="7908"/>
        <item m="1" x="4405"/>
        <item m="1" x="7839"/>
        <item m="1" x="4521"/>
        <item x="490"/>
        <item x="1471"/>
        <item x="1472"/>
        <item m="1" x="7532"/>
        <item x="2967"/>
        <item x="2365"/>
        <item x="524"/>
        <item x="525"/>
        <item x="526"/>
        <item x="3088"/>
        <item x="528"/>
        <item m="1" x="7751"/>
        <item x="1473"/>
        <item m="1" x="7735"/>
        <item m="1" x="7667"/>
        <item x="2366"/>
        <item x="529"/>
        <item x="1475"/>
        <item m="1" x="7730"/>
        <item x="56"/>
        <item m="1" x="7396"/>
        <item m="1" x="5614"/>
        <item x="3313"/>
        <item m="1" x="6689"/>
        <item x="2972"/>
        <item m="1" x="6690"/>
        <item x="3315"/>
        <item x="3318"/>
        <item m="1" x="7399"/>
        <item x="3323"/>
        <item x="3324"/>
        <item x="3332"/>
        <item m="1" x="6514"/>
        <item m="1" x="7777"/>
        <item m="1" x="7057"/>
        <item m="1" x="4627"/>
        <item m="1" x="7403"/>
        <item x="646"/>
        <item m="1" x="7413"/>
        <item m="1" x="6143"/>
        <item m="1" x="5978"/>
        <item x="1577"/>
        <item m="1" x="6517"/>
        <item m="1" x="7606"/>
        <item m="1" x="7414"/>
        <item m="1" x="4763"/>
        <item m="1" x="6524"/>
        <item x="666"/>
        <item x="2454"/>
        <item x="1596"/>
        <item x="1617"/>
        <item x="1631"/>
        <item x="2472"/>
        <item m="1" x="7444"/>
        <item m="1" x="5753"/>
        <item x="2464"/>
        <item m="1" x="5478"/>
        <item x="794"/>
        <item x="3476"/>
        <item x="1715"/>
        <item m="1" x="7785"/>
        <item x="1807"/>
        <item m="1" x="4990"/>
        <item x="3388"/>
        <item x="3389"/>
        <item m="1" x="5932"/>
        <item x="3391"/>
        <item x="3390"/>
        <item x="2142"/>
        <item m="1" x="5933"/>
        <item x="3392"/>
        <item x="3393"/>
        <item m="1" x="7779"/>
        <item m="1" x="6310"/>
        <item m="1" x="6311"/>
        <item x="3395"/>
        <item x="3510"/>
        <item x="683"/>
        <item x="3396"/>
        <item m="1" x="5030"/>
        <item m="1" x="7630"/>
        <item m="1" x="7521"/>
        <item m="1" x="7631"/>
        <item m="1" x="5037"/>
        <item m="1" x="7761"/>
        <item m="1" x="5063"/>
        <item m="1" x="5064"/>
        <item m="1" x="5073"/>
        <item m="1" x="5866"/>
        <item m="1" x="7019"/>
        <item x="2766"/>
        <item x="2029"/>
        <item m="1" x="7848"/>
        <item x="2767"/>
        <item x="2768"/>
        <item x="2031"/>
        <item x="2032"/>
        <item m="1" x="6240"/>
        <item m="1" x="7020"/>
        <item x="1025"/>
        <item m="1" x="7960"/>
        <item m="1" x="7800"/>
        <item x="2876"/>
        <item m="1" x="6454"/>
        <item m="1" x="5834"/>
        <item m="1" x="6359"/>
        <item x="2205"/>
        <item m="1" x="6355"/>
        <item m="1" x="7583"/>
        <item m="1" x="6949"/>
        <item m="1" x="3824"/>
        <item m="1" x="7920"/>
        <item m="1" x="7219"/>
        <item m="1" x="7801"/>
        <item m="1" x="7526"/>
        <item m="1" x="6566"/>
        <item m="1" x="6567"/>
        <item x="460"/>
        <item x="44"/>
        <item x="2320"/>
        <item x="461"/>
        <item x="462"/>
        <item m="1" x="7834"/>
        <item x="2322"/>
        <item m="1" x="6578"/>
        <item m="1" x="6725"/>
        <item m="1" x="6802"/>
        <item m="1" x="6734"/>
        <item m="1" x="6752"/>
        <item m="1" x="7050"/>
        <item m="1" x="6809"/>
        <item m="1" x="6817"/>
        <item m="1" x="6801"/>
        <item m="1" x="7841"/>
        <item m="1" x="7556"/>
        <item m="1" x="7902"/>
        <item m="1" x="4587"/>
        <item x="1544"/>
        <item x="1973"/>
        <item m="1" x="7813"/>
        <item x="1940"/>
        <item x="1534"/>
        <item x="1540"/>
        <item m="1" x="7410"/>
        <item m="1" x="6411"/>
        <item m="1" x="6760"/>
        <item m="1" x="6828"/>
        <item x="2409"/>
        <item x="1522"/>
        <item m="1" x="6224"/>
        <item x="1546"/>
        <item m="1" x="6225"/>
        <item x="1970"/>
        <item m="1" x="7564"/>
        <item x="1542"/>
        <item m="1" x="6138"/>
        <item m="1" x="7977"/>
        <item m="1" x="7407"/>
        <item m="1" x="6827"/>
        <item m="1" x="7417"/>
        <item m="1" x="7420"/>
        <item m="1" x="7432"/>
        <item m="1" x="7429"/>
        <item m="1" x="6146"/>
        <item m="1" x="4726"/>
        <item m="1" x="6413"/>
        <item m="1" x="7749"/>
        <item x="1787"/>
        <item x="1788"/>
        <item x="861"/>
        <item x="1827"/>
        <item m="1" x="6837"/>
        <item x="1831"/>
        <item x="895"/>
        <item m="1" x="7064"/>
        <item x="898"/>
        <item m="1" x="6914"/>
        <item x="166"/>
        <item m="1" x="7002"/>
        <item m="1" x="7066"/>
        <item x="1833"/>
        <item x="901"/>
        <item x="904"/>
        <item x="903"/>
        <item m="1" x="5509"/>
        <item x="902"/>
        <item x="171"/>
        <item m="1" x="7070"/>
        <item x="906"/>
        <item m="1" x="7071"/>
        <item m="1" x="7069"/>
        <item x="905"/>
        <item x="2639"/>
        <item m="1" x="7574"/>
        <item m="1" x="7476"/>
        <item x="923"/>
        <item x="924"/>
        <item x="954"/>
        <item m="1" x="7008"/>
        <item m="1" x="7474"/>
        <item m="1" x="5388"/>
        <item x="1852"/>
        <item x="947"/>
        <item x="958"/>
        <item m="1" x="6923"/>
        <item m="1" x="5206"/>
        <item m="1" x="7015"/>
        <item m="1" x="6839"/>
        <item m="1" x="7847"/>
        <item m="1" x="7686"/>
        <item m="1" x="6339"/>
        <item m="1" x="6925"/>
        <item m="1" x="7740"/>
        <item m="1" x="7952"/>
        <item m="1" x="5218"/>
        <item m="1" x="5314"/>
        <item m="1" x="5319"/>
        <item x="206"/>
        <item x="3092"/>
        <item x="2723"/>
        <item m="1" x="7929"/>
        <item m="1" x="7482"/>
        <item x="1014"/>
        <item x="471"/>
        <item m="1" x="7555"/>
        <item m="1" x="7536"/>
        <item m="1" x="7734"/>
        <item m="1" x="7613"/>
        <item x="2326"/>
        <item x="1423"/>
        <item m="1" x="6346"/>
        <item m="1" x="7959"/>
        <item x="2124"/>
        <item m="1" x="6851"/>
        <item m="1" x="7736"/>
        <item m="1" x="7732"/>
        <item m="1" x="7549"/>
        <item m="1" x="7649"/>
        <item m="1" x="7620"/>
        <item m="1" x="7697"/>
        <item m="1" x="7550"/>
        <item m="1" x="3573"/>
        <item m="1" x="7900"/>
        <item x="1515"/>
        <item m="1" x="6852"/>
        <item m="1" x="3640"/>
        <item m="1" x="6084"/>
        <item m="1" x="7741"/>
        <item m="1" x="7109"/>
        <item m="1" x="7104"/>
        <item m="1" x="3592"/>
        <item m="1" x="3547"/>
        <item m="1" x="3593"/>
        <item m="1" x="7105"/>
        <item m="1" x="7919"/>
        <item m="1" x="5997"/>
        <item m="1" x="7119"/>
        <item m="1" x="3594"/>
        <item m="1" x="3595"/>
        <item m="1" x="3683"/>
        <item m="1" x="5878"/>
        <item m="1" x="3641"/>
        <item m="1" x="7762"/>
        <item m="1" x="7110"/>
        <item m="1" x="3684"/>
        <item m="1" x="7106"/>
        <item m="1" x="7107"/>
        <item m="1" x="3642"/>
        <item m="1" x="7108"/>
        <item m="1" x="6853"/>
        <item m="1" x="7098"/>
        <item m="1" x="7099"/>
        <item m="1" x="7097"/>
        <item m="1" x="7100"/>
        <item m="1" x="7101"/>
        <item m="1" x="7102"/>
        <item m="1" x="3629"/>
        <item m="1" x="3572"/>
        <item m="1" x="3630"/>
        <item x="1027"/>
        <item m="1" x="3705"/>
        <item m="1" x="3712"/>
        <item m="1" x="3706"/>
        <item m="1" x="3713"/>
        <item m="1" x="6377"/>
        <item m="1" x="7973"/>
        <item m="1" x="7943"/>
        <item m="1" x="6357"/>
        <item x="520"/>
        <item x="1222"/>
        <item m="1" x="7650"/>
        <item m="1" x="5717"/>
        <item m="1" x="5416"/>
        <item m="1" x="5417"/>
        <item m="1" x="7542"/>
        <item m="1" x="7141"/>
        <item m="1" x="5414"/>
        <item m="1" x="6455"/>
        <item m="1" x="5716"/>
        <item m="1" x="6549"/>
        <item x="2203"/>
        <item m="1" x="6005"/>
        <item m="1" x="7142"/>
        <item m="1" x="6601"/>
        <item m="1" x="7552"/>
        <item m="1" x="5552"/>
        <item m="1" x="3741"/>
        <item m="1" x="3732"/>
        <item m="1" x="3733"/>
        <item m="1" x="3746"/>
        <item m="1" x="3742"/>
        <item m="1" x="3734"/>
        <item m="1" x="3736"/>
        <item m="1" x="3744"/>
        <item m="1" x="3747"/>
        <item m="1" x="3737"/>
        <item m="1" x="3738"/>
        <item m="1" x="7176"/>
        <item m="1" x="3751"/>
        <item m="1" x="3765"/>
        <item m="1" x="6462"/>
        <item x="1296"/>
        <item x="376"/>
        <item x="2238"/>
        <item x="1295"/>
        <item x="2908"/>
        <item m="1" x="5426"/>
        <item x="390"/>
        <item x="2720"/>
        <item m="1" x="7186"/>
        <item x="1951"/>
        <item m="1" x="4353"/>
        <item m="1" x="7195"/>
        <item m="1" x="6012"/>
        <item m="1" x="6013"/>
        <item m="1" x="7508"/>
        <item m="1" x="7603"/>
        <item x="2261"/>
        <item x="2307"/>
        <item m="1" x="7354"/>
        <item m="1" x="6621"/>
        <item m="1" x="6622"/>
        <item m="1" x="7370"/>
        <item m="1" x="6389"/>
        <item m="1" x="7500"/>
        <item x="385"/>
        <item m="1" x="4690"/>
        <item m="1" x="4490"/>
        <item m="1" x="4237"/>
        <item m="1" x="6022"/>
        <item m="1" x="6023"/>
        <item m="1" x="4437"/>
        <item m="1" x="7504"/>
        <item m="1" x="4256"/>
        <item m="1" x="4257"/>
        <item m="1" x="7715"/>
        <item m="1" x="7614"/>
        <item m="1" x="4258"/>
        <item m="1" x="5439"/>
        <item m="1" x="7377"/>
        <item m="1" x="7378"/>
        <item m="1" x="6794"/>
        <item m="1" x="4260"/>
        <item m="1" x="4338"/>
        <item m="1" x="4500"/>
        <item m="1" x="4340"/>
        <item m="1" x="5590"/>
        <item m="1" x="4501"/>
        <item m="1" x="4438"/>
        <item m="1" x="7380"/>
        <item m="1" x="4502"/>
        <item m="1" x="4341"/>
        <item m="1" x="4476"/>
        <item m="1" x="4403"/>
        <item m="1" x="7811"/>
        <item m="1" x="7384"/>
        <item m="1" x="6030"/>
        <item m="1" x="7383"/>
        <item x="3464"/>
        <item m="1" x="7975"/>
        <item x="2632"/>
        <item m="1" x="4461"/>
        <item m="1" x="6209"/>
        <item x="1449"/>
        <item x="1450"/>
        <item x="2962"/>
        <item m="1" x="5458"/>
        <item x="2354"/>
        <item m="1" x="7593"/>
        <item m="1" x="7636"/>
        <item m="1" x="7628"/>
        <item x="530"/>
        <item x="57"/>
        <item m="1" x="5459"/>
        <item m="1" x="7391"/>
        <item m="1" x="4556"/>
        <item m="1" x="4607"/>
        <item m="1" x="4278"/>
        <item m="1" x="7605"/>
        <item m="1" x="6301"/>
        <item m="1" x="4642"/>
        <item x="3316"/>
        <item x="3320"/>
        <item m="1" x="6674"/>
        <item m="1" x="7775"/>
        <item x="647"/>
        <item x="648"/>
        <item m="1" x="7912"/>
        <item m="1" x="6522"/>
        <item m="1" x="7658"/>
        <item m="1" x="6045"/>
        <item m="1" x="6050"/>
        <item x="2436"/>
        <item x="589"/>
        <item m="1" x="5767"/>
        <item x="590"/>
        <item x="605"/>
        <item x="2441"/>
        <item m="1" x="4660"/>
        <item x="607"/>
        <item x="1512"/>
        <item x="2412"/>
        <item x="595"/>
        <item x="1518"/>
        <item m="1" x="7533"/>
        <item x="580"/>
        <item m="1" x="6269"/>
        <item x="1555"/>
        <item x="609"/>
        <item x="2443"/>
        <item m="1" x="4671"/>
        <item x="3006"/>
        <item m="1" x="7722"/>
        <item m="1" x="4678"/>
        <item m="1" x="6826"/>
        <item m="1" x="6520"/>
        <item x="3337"/>
        <item x="2398"/>
        <item x="1520"/>
        <item x="2403"/>
        <item m="1" x="4473"/>
        <item x="1265"/>
        <item m="1" x="6409"/>
        <item m="1" x="6675"/>
        <item m="1" x="5856"/>
        <item x="3339"/>
        <item m="1" x="6047"/>
        <item m="1" x="6992"/>
        <item m="1" x="7406"/>
        <item x="1556"/>
        <item x="3218"/>
        <item x="1559"/>
        <item m="1" x="6267"/>
        <item m="1" x="4681"/>
        <item m="1" x="5919"/>
        <item x="2982"/>
        <item m="1" x="5769"/>
        <item x="69"/>
        <item m="1" x="6223"/>
        <item m="1" x="6271"/>
        <item x="2397"/>
        <item m="1" x="4682"/>
        <item m="1" x="7903"/>
        <item x="2987"/>
        <item x="3215"/>
        <item m="1" x="5766"/>
        <item x="1264"/>
        <item x="70"/>
        <item x="1526"/>
        <item m="1" x="6049"/>
        <item x="1597"/>
        <item m="1" x="7443"/>
        <item x="1602"/>
        <item m="1" x="7979"/>
        <item m="1" x="4881"/>
        <item m="1" x="7439"/>
        <item m="1" x="4883"/>
        <item m="1" x="5480"/>
        <item m="1" x="5642"/>
        <item m="1" x="5859"/>
        <item m="1" x="5643"/>
        <item x="2526"/>
        <item x="740"/>
        <item x="1665"/>
        <item x="3037"/>
        <item x="105"/>
        <item m="1" x="6416"/>
        <item x="741"/>
        <item x="106"/>
        <item x="742"/>
        <item m="1" x="6829"/>
        <item x="2527"/>
        <item m="1" x="6995"/>
        <item x="107"/>
        <item m="1" x="6996"/>
        <item x="2528"/>
        <item x="2529"/>
        <item x="788"/>
        <item x="3041"/>
        <item m="1" x="7860"/>
        <item m="1" x="7520"/>
        <item m="1" x="7060"/>
        <item x="2556"/>
        <item x="2568"/>
        <item x="1789"/>
        <item x="1790"/>
        <item m="1" x="6999"/>
        <item m="1" x="7000"/>
        <item m="1" x="6836"/>
        <item m="1" x="7061"/>
        <item m="1" x="6910"/>
        <item m="1" x="7062"/>
        <item m="1" x="7468"/>
        <item x="862"/>
        <item m="1" x="7470"/>
        <item m="1" x="7846"/>
        <item m="1" x="4938"/>
        <item m="1" x="4956"/>
        <item x="3399"/>
        <item x="3400"/>
        <item m="1" x="4991"/>
        <item x="3401"/>
        <item x="3402"/>
        <item x="3403"/>
        <item x="3404"/>
        <item x="3405"/>
        <item m="1" x="7780"/>
        <item x="3513"/>
        <item x="3407"/>
        <item m="1" x="4992"/>
        <item x="3408"/>
        <item m="1" x="5936"/>
        <item m="1" x="6677"/>
        <item m="1" x="5937"/>
        <item m="1" x="5060"/>
        <item x="3452"/>
        <item m="1" x="6763"/>
        <item m="1" x="5038"/>
        <item m="1" x="5050"/>
        <item m="1" x="7632"/>
        <item m="1" x="6027"/>
        <item m="1" x="7573"/>
        <item x="942"/>
        <item m="1" x="3840"/>
        <item m="1" x="6156"/>
        <item m="1" x="7079"/>
        <item x="1880"/>
        <item m="1" x="7806"/>
        <item x="3066"/>
        <item x="1881"/>
        <item x="960"/>
        <item x="1883"/>
        <item x="2657"/>
        <item x="1884"/>
        <item x="962"/>
        <item x="1887"/>
        <item m="1" x="7936"/>
        <item x="3068"/>
        <item x="1888"/>
        <item x="1889"/>
        <item x="2659"/>
        <item x="2660"/>
        <item m="1" x="7819"/>
        <item x="1890"/>
        <item x="1891"/>
        <item x="964"/>
        <item m="1" x="7880"/>
        <item x="2661"/>
        <item x="1892"/>
        <item x="1893"/>
        <item x="965"/>
        <item x="2662"/>
        <item x="966"/>
        <item m="1" x="7829"/>
        <item x="200"/>
        <item x="1894"/>
        <item x="1895"/>
        <item x="2663"/>
        <item m="1" x="7862"/>
        <item x="1896"/>
        <item m="1" x="7937"/>
        <item x="967"/>
        <item m="1" x="5246"/>
        <item m="1" x="5328"/>
        <item x="1024"/>
        <item m="1" x="7486"/>
        <item m="1" x="7490"/>
        <item m="1" x="6595"/>
        <item m="1" x="7491"/>
        <item m="1" x="7487"/>
        <item m="1" x="7489"/>
        <item x="2385"/>
        <item m="1" x="6540"/>
        <item x="2772"/>
        <item x="2773"/>
        <item x="2049"/>
        <item m="1" x="7677"/>
        <item x="1031"/>
        <item x="1032"/>
        <item x="3120"/>
        <item x="2774"/>
        <item x="2050"/>
        <item x="2051"/>
        <item m="1" x="5561"/>
        <item m="1" x="5888"/>
        <item m="1" x="5889"/>
        <item m="1" x="6187"/>
        <item m="1" x="5891"/>
        <item m="1" x="5562"/>
        <item m="1" x="5369"/>
        <item m="1" x="5892"/>
        <item m="1" x="5563"/>
        <item m="1" x="6858"/>
        <item m="1" x="7028"/>
        <item m="1" x="6288"/>
        <item m="1" x="5895"/>
        <item m="1" x="5896"/>
        <item m="1" x="5421"/>
        <item m="1" x="5723"/>
        <item m="1" x="5565"/>
        <item m="1" x="6290"/>
        <item m="1" x="5566"/>
        <item m="1" x="5567"/>
        <item m="1" x="6291"/>
        <item m="1" x="5898"/>
        <item m="1" x="5899"/>
        <item m="1" x="5422"/>
        <item m="1" x="6188"/>
        <item m="1" x="5423"/>
        <item m="1" x="5569"/>
        <item m="1" x="6369"/>
        <item m="1" x="6104"/>
        <item m="1" x="5902"/>
        <item m="1" x="6106"/>
        <item m="1" x="5424"/>
        <item m="1" x="6680"/>
        <item m="1" x="6294"/>
        <item m="1" x="5905"/>
        <item m="1" x="5906"/>
        <item m="1" x="5907"/>
        <item m="1" x="7029"/>
        <item m="1" x="6945"/>
        <item m="1" x="5726"/>
        <item m="1" x="5838"/>
        <item m="1" x="5425"/>
        <item x="569"/>
        <item m="1" x="6681"/>
        <item m="1" x="7267"/>
        <item m="1" x="7340"/>
        <item m="1" x="7268"/>
        <item m="1" x="7238"/>
        <item m="1" x="7308"/>
        <item m="1" x="7309"/>
        <item m="1" x="7269"/>
        <item m="1" x="7310"/>
        <item m="1" x="7233"/>
        <item m="1" x="7311"/>
        <item m="1" x="7239"/>
        <item m="1" x="7270"/>
        <item m="1" x="7341"/>
        <item m="1" x="7240"/>
        <item m="1" x="7241"/>
        <item m="1" x="7313"/>
        <item m="1" x="7314"/>
        <item m="1" x="7315"/>
        <item m="1" x="7242"/>
        <item m="1" x="7271"/>
        <item m="1" x="7272"/>
        <item m="1" x="7243"/>
        <item m="1" x="7273"/>
        <item m="1" x="7244"/>
        <item m="1" x="7342"/>
        <item m="1" x="7316"/>
        <item m="1" x="7274"/>
        <item m="1" x="7275"/>
        <item m="1" x="7276"/>
        <item m="1" x="7277"/>
        <item m="1" x="7343"/>
        <item m="1" x="7234"/>
        <item m="1" x="7278"/>
        <item x="454"/>
        <item m="1" x="7938"/>
        <item m="1" x="7996"/>
        <item m="1" x="7984"/>
        <item m="1" x="6592"/>
        <item m="1" x="5186"/>
        <item m="1" x="6655"/>
        <item m="1" x="7768"/>
        <item m="1" x="5138"/>
        <item m="1" x="7930"/>
        <item x="2742"/>
        <item m="1" x="7918"/>
        <item m="1" x="7942"/>
        <item x="268"/>
        <item x="1111"/>
        <item x="1113"/>
        <item m="1" x="6081"/>
        <item m="1" x="5989"/>
        <item m="1" x="3539"/>
        <item m="1" x="3540"/>
        <item m="1" x="6441"/>
        <item m="1" x="7175"/>
        <item x="378"/>
        <item x="379"/>
        <item m="1" x="7529"/>
        <item m="1" x="5560"/>
        <item m="1" x="4040"/>
        <item m="1" x="5570"/>
        <item x="2246"/>
        <item x="1935"/>
        <item m="1" x="6191"/>
        <item x="987"/>
        <item x="1302"/>
        <item x="210"/>
        <item m="1" x="7202"/>
        <item m="1" x="7203"/>
        <item m="1" x="7204"/>
        <item m="1" x="7205"/>
        <item m="1" x="7206"/>
        <item m="1" x="7200"/>
        <item m="1" x="7199"/>
        <item m="1" x="7207"/>
        <item m="1" x="7201"/>
        <item m="1" x="7245"/>
        <item m="1" x="7279"/>
        <item m="1" x="7246"/>
        <item m="1" x="7280"/>
        <item m="1" x="7281"/>
        <item m="1" x="7666"/>
        <item m="1" x="7247"/>
        <item m="1" x="7282"/>
        <item m="1" x="7570"/>
        <item m="1" x="7698"/>
        <item m="1" x="7319"/>
        <item m="1" x="7248"/>
        <item m="1" x="7249"/>
        <item m="1" x="7235"/>
        <item m="1" x="7283"/>
        <item m="1" x="7320"/>
        <item m="1" x="7321"/>
        <item m="1" x="7322"/>
        <item m="1" x="7284"/>
        <item m="1" x="7323"/>
        <item m="1" x="7250"/>
        <item m="1" x="7251"/>
        <item m="1" x="7324"/>
        <item m="1" x="7325"/>
        <item m="1" x="7285"/>
        <item m="1" x="7252"/>
        <item m="1" x="7286"/>
        <item m="1" x="7287"/>
        <item m="1" x="7288"/>
        <item m="1" x="7253"/>
        <item m="1" x="7254"/>
        <item m="1" x="7327"/>
        <item m="1" x="7255"/>
        <item m="1" x="7328"/>
        <item m="1" x="7344"/>
        <item m="1" x="7256"/>
        <item m="1" x="7289"/>
        <item m="1" x="7329"/>
        <item m="1" x="7290"/>
        <item m="1" x="7291"/>
        <item m="1" x="7350"/>
        <item m="1" x="7257"/>
        <item m="1" x="7330"/>
        <item m="1" x="7331"/>
        <item m="1" x="7345"/>
        <item m="1" x="7258"/>
        <item m="1" x="7292"/>
        <item m="1" x="7293"/>
        <item m="1" x="7259"/>
        <item m="1" x="7332"/>
        <item m="1" x="7236"/>
        <item m="1" x="7294"/>
        <item m="1" x="7333"/>
        <item m="1" x="7260"/>
        <item m="1" x="7655"/>
        <item x="2308"/>
        <item m="1" x="7353"/>
        <item m="1" x="7352"/>
        <item m="1" x="7356"/>
        <item m="1" x="7357"/>
        <item m="1" x="7355"/>
        <item m="1" x="7358"/>
        <item m="1" x="6489"/>
        <item m="1" x="6490"/>
        <item m="1" x="7031"/>
        <item m="1" x="6491"/>
        <item m="1" x="7368"/>
        <item m="1" x="7361"/>
        <item m="1" x="7364"/>
        <item x="1513"/>
        <item m="1" x="7365"/>
        <item m="1" x="7747"/>
        <item m="1" x="7719"/>
        <item m="1" x="7517"/>
        <item m="1" x="7369"/>
        <item m="1" x="6492"/>
        <item m="1" x="7587"/>
        <item m="1" x="3863"/>
        <item m="1" x="7366"/>
        <item m="1" x="7766"/>
        <item m="1" x="6872"/>
        <item m="1" x="7032"/>
        <item m="1" x="7362"/>
        <item m="1" x="7367"/>
        <item m="1" x="6955"/>
        <item m="1" x="6873"/>
        <item m="1" x="6546"/>
        <item m="1" x="7363"/>
        <item m="1" x="6568"/>
        <item m="1" x="7544"/>
        <item m="1" x="5969"/>
        <item m="1" x="5970"/>
        <item x="1446"/>
        <item x="496"/>
        <item x="497"/>
        <item x="1448"/>
        <item x="2350"/>
        <item x="1453"/>
        <item m="1" x="6897"/>
        <item x="2351"/>
        <item m="1" x="5457"/>
        <item x="2961"/>
        <item x="504"/>
        <item x="505"/>
        <item x="2352"/>
        <item x="506"/>
        <item x="2353"/>
        <item x="1454"/>
        <item x="1455"/>
        <item x="1456"/>
        <item x="1457"/>
        <item x="1458"/>
        <item m="1" x="7594"/>
        <item x="507"/>
        <item x="508"/>
        <item x="53"/>
        <item m="1" x="7627"/>
        <item m="1" x="7657"/>
        <item m="1" x="7510"/>
        <item m="1" x="4535"/>
        <item m="1" x="7763"/>
        <item m="1" x="4548"/>
        <item m="1" x="7595"/>
        <item m="1" x="4544"/>
        <item m="1" x="6899"/>
        <item m="1" x="6983"/>
        <item x="3307"/>
        <item x="3191"/>
        <item m="1" x="6117"/>
        <item m="1" x="6756"/>
        <item m="1" x="6688"/>
        <item m="1" x="4635"/>
        <item m="1" x="5912"/>
        <item m="1" x="7397"/>
        <item m="1" x="7637"/>
        <item m="1" x="6757"/>
        <item m="1" x="7395"/>
        <item m="1" x="7394"/>
        <item m="1" x="7401"/>
        <item x="649"/>
        <item x="650"/>
        <item m="1" x="6991"/>
        <item x="651"/>
        <item m="1" x="6519"/>
        <item x="574"/>
        <item x="604"/>
        <item x="2371"/>
        <item m="1" x="6588"/>
        <item m="1" x="7505"/>
        <item x="1530"/>
        <item m="1" x="7538"/>
        <item x="2392"/>
        <item x="1519"/>
        <item x="596"/>
        <item m="1" x="7405"/>
        <item x="2444"/>
        <item m="1" x="4656"/>
        <item m="1" x="7412"/>
        <item m="1" x="4665"/>
        <item m="1" x="4674"/>
        <item m="1" x="4650"/>
        <item x="1549"/>
        <item m="1" x="6132"/>
        <item m="1" x="5764"/>
        <item m="1" x="4649"/>
        <item m="1" x="6627"/>
        <item m="1" x="6333"/>
        <item m="1" x="6134"/>
        <item m="1" x="6137"/>
        <item x="598"/>
        <item m="1" x="7411"/>
        <item x="2425"/>
        <item m="1" x="6136"/>
        <item m="1" x="7675"/>
        <item m="1" x="7660"/>
        <item m="1" x="7539"/>
        <item m="1" x="7519"/>
        <item x="149"/>
        <item x="1711"/>
        <item m="1" x="6998"/>
        <item m="1" x="6676"/>
        <item x="863"/>
        <item m="1" x="7464"/>
        <item x="2612"/>
        <item x="864"/>
        <item x="1791"/>
        <item x="865"/>
        <item x="866"/>
        <item x="3249"/>
        <item x="1792"/>
        <item m="1" x="6762"/>
        <item x="157"/>
        <item m="1" x="5011"/>
        <item m="1" x="6182"/>
        <item x="2875"/>
        <item m="1" x="6603"/>
        <item m="1" x="6776"/>
        <item x="1218"/>
        <item m="1" x="6457"/>
        <item x="2885"/>
        <item x="338"/>
        <item m="1" x="5554"/>
        <item m="1" x="6458"/>
        <item x="1230"/>
        <item m="1" x="6453"/>
        <item m="1" x="7143"/>
        <item m="1" x="7144"/>
        <item m="1" x="7145"/>
        <item x="2199"/>
        <item x="1235"/>
        <item m="1" x="7125"/>
        <item x="1233"/>
        <item m="1" x="5412"/>
        <item m="1" x="7162"/>
        <item m="1" x="5715"/>
        <item x="339"/>
        <item x="1232"/>
        <item m="1" x="5966"/>
        <item m="1" x="6547"/>
        <item m="1" x="6360"/>
        <item m="1" x="7146"/>
        <item m="1" x="7737"/>
        <item x="2184"/>
        <item m="1" x="5410"/>
        <item m="1" x="6855"/>
        <item x="2192"/>
        <item m="1" x="7147"/>
        <item m="1" x="6459"/>
        <item m="1" x="7129"/>
        <item m="1" x="7148"/>
        <item x="1223"/>
        <item x="1227"/>
        <item x="2197"/>
        <item x="1188"/>
        <item m="1" x="7718"/>
        <item m="1" x="7602"/>
        <item m="1" x="7641"/>
        <item m="1" x="7515"/>
        <item m="1" x="7523"/>
        <item m="1" x="7622"/>
        <item x="344"/>
        <item m="1" x="7163"/>
        <item m="1" x="7171"/>
        <item m="1" x="7130"/>
        <item m="1" x="7164"/>
        <item m="1" x="7131"/>
        <item m="1" x="6181"/>
        <item m="1" x="7132"/>
        <item m="1" x="7172"/>
        <item x="2202"/>
        <item m="1" x="7133"/>
        <item m="1" x="7149"/>
        <item m="1" x="7150"/>
        <item m="1" x="7642"/>
        <item x="1153"/>
        <item x="2843"/>
        <item x="1146"/>
        <item x="296"/>
        <item m="1" x="7165"/>
        <item x="2845"/>
        <item x="11"/>
        <item m="1" x="6942"/>
        <item x="12"/>
        <item x="2139"/>
        <item m="1" x="7166"/>
        <item m="1" x="6168"/>
        <item x="2169"/>
        <item m="1" x="7151"/>
        <item m="1" x="7152"/>
        <item m="1" x="7153"/>
        <item x="2844"/>
        <item x="2135"/>
        <item m="1" x="6773"/>
        <item m="1" x="7559"/>
        <item m="1" x="7154"/>
        <item x="2851"/>
        <item m="1" x="7126"/>
        <item m="1" x="6541"/>
        <item x="2176"/>
        <item x="299"/>
        <item x="2140"/>
        <item x="2848"/>
        <item x="2846"/>
        <item x="1154"/>
        <item x="2847"/>
        <item x="300"/>
        <item x="2132"/>
        <item m="1" x="7127"/>
        <item x="1149"/>
        <item x="297"/>
        <item x="2136"/>
        <item x="21"/>
        <item x="298"/>
        <item m="1" x="6087"/>
        <item x="323"/>
        <item m="1" x="7155"/>
        <item x="301"/>
        <item x="2850"/>
        <item x="2137"/>
        <item m="1" x="6167"/>
        <item m="1" x="7134"/>
        <item m="1" x="7156"/>
        <item m="1" x="7167"/>
        <item m="1" x="6086"/>
        <item m="1" x="6169"/>
        <item m="1" x="7611"/>
        <item m="1" x="7173"/>
        <item x="1155"/>
        <item x="2853"/>
        <item x="2133"/>
        <item x="1150"/>
        <item x="1151"/>
        <item x="13"/>
        <item m="1" x="5406"/>
        <item m="1" x="5548"/>
        <item x="2852"/>
        <item x="2134"/>
        <item x="1152"/>
        <item x="2138"/>
        <item x="2849"/>
        <item m="1" x="5999"/>
        <item m="1" x="5714"/>
        <item m="1" x="7157"/>
        <item x="1147"/>
        <item x="2141"/>
        <item m="1" x="5408"/>
        <item m="1" x="6542"/>
        <item m="1" x="7192"/>
        <item m="1" x="7524"/>
        <item m="1" x="7359"/>
        <item m="1" x="5436"/>
        <item x="2475"/>
        <item m="1" x="6790"/>
        <item m="1" x="5437"/>
        <item x="571"/>
        <item x="1409"/>
        <item m="1" x="6495"/>
        <item m="1" x="4444"/>
        <item m="1" x="4269"/>
        <item m="1" x="4347"/>
        <item m="1" x="4267"/>
        <item m="1" x="4268"/>
        <item m="1" x="5371"/>
        <item m="1" x="4443"/>
        <item m="1" x="4503"/>
        <item m="1" x="6876"/>
        <item m="1" x="4346"/>
        <item m="1" x="7374"/>
        <item m="1" x="4345"/>
        <item m="1" x="7375"/>
        <item m="1" x="6795"/>
        <item m="1" x="4517"/>
        <item m="1" x="4441"/>
        <item m="1" x="4220"/>
        <item m="1" x="4342"/>
        <item m="1" x="4439"/>
        <item m="1" x="4440"/>
        <item m="1" x="6623"/>
        <item m="1" x="6391"/>
        <item m="1" x="6113"/>
        <item m="1" x="7381"/>
        <item m="1" x="4343"/>
        <item x="1246"/>
        <item m="1" x="4263"/>
        <item m="1" x="6025"/>
        <item m="1" x="6723"/>
        <item m="1" x="4264"/>
        <item m="1" x="4442"/>
        <item m="1" x="4344"/>
        <item m="1" x="4265"/>
        <item m="1" x="6569"/>
        <item m="1" x="4266"/>
        <item m="1" x="5591"/>
        <item m="1" x="4169"/>
        <item m="1" x="5743"/>
        <item m="1" x="6881"/>
        <item m="1" x="6029"/>
        <item m="1" x="7716"/>
        <item m="1" x="7699"/>
        <item m="1" x="7731"/>
        <item m="1" x="4636"/>
        <item x="3312"/>
        <item m="1" x="6585"/>
        <item m="1" x="7415"/>
        <item m="1" x="7424"/>
        <item m="1" x="7425"/>
        <item m="1" x="7430"/>
        <item m="1" x="7426"/>
        <item m="1" x="7427"/>
        <item x="3007"/>
        <item x="3009"/>
        <item x="690"/>
        <item m="1" x="7512"/>
        <item x="2479"/>
        <item x="691"/>
        <item x="692"/>
        <item x="3010"/>
        <item x="83"/>
        <item x="84"/>
        <item x="2480"/>
        <item m="1" x="7676"/>
        <item x="693"/>
        <item x="694"/>
        <item x="1637"/>
        <item x="85"/>
        <item m="1" x="6335"/>
        <item x="1638"/>
        <item x="1663"/>
        <item x="2522"/>
        <item m="1" x="6904"/>
        <item x="92"/>
        <item x="736"/>
        <item x="2523"/>
        <item x="2524"/>
        <item x="1664"/>
        <item x="93"/>
        <item x="737"/>
        <item x="3032"/>
        <item x="94"/>
        <item x="3033"/>
        <item x="95"/>
        <item x="2525"/>
        <item x="3034"/>
        <item x="96"/>
        <item x="97"/>
        <item x="98"/>
        <item x="99"/>
        <item x="3035"/>
        <item x="3036"/>
        <item x="100"/>
        <item m="1" x="7450"/>
        <item x="101"/>
        <item x="102"/>
        <item m="1" x="5979"/>
        <item x="738"/>
        <item m="1" x="5472"/>
        <item x="103"/>
        <item x="739"/>
        <item x="104"/>
        <item x="3038"/>
        <item m="1" x="6905"/>
        <item x="743"/>
        <item x="744"/>
        <item x="745"/>
        <item m="1" x="6153"/>
        <item m="1" x="6417"/>
        <item x="746"/>
        <item m="1" x="6906"/>
        <item x="747"/>
        <item x="2530"/>
        <item x="1666"/>
        <item x="108"/>
        <item x="109"/>
        <item x="110"/>
        <item x="111"/>
        <item m="1" x="6227"/>
        <item m="1" x="6907"/>
        <item m="1" x="4898"/>
        <item m="1" x="4908"/>
        <item m="1" x="4911"/>
        <item m="1" x="4914"/>
        <item m="1" x="6835"/>
        <item m="1" x="4909"/>
        <item m="1" x="4912"/>
        <item m="1" x="3521"/>
        <item m="1" x="3523"/>
        <item m="1" x="3524"/>
        <item m="1" x="3525"/>
        <item m="1" x="3526"/>
        <item m="1" x="3527"/>
        <item m="1" x="3528"/>
        <item m="1" x="3530"/>
        <item m="1" x="3531"/>
        <item m="1" x="7063"/>
        <item m="1" x="4939"/>
        <item m="1" x="4930"/>
        <item m="1" x="4994"/>
        <item m="1" x="6312"/>
        <item x="3412"/>
        <item m="1" x="5938"/>
        <item m="1" x="7458"/>
        <item m="1" x="4995"/>
        <item x="3415"/>
        <item m="1" x="7459"/>
        <item m="1" x="4996"/>
        <item x="3416"/>
        <item m="1" x="7781"/>
        <item m="1" x="6693"/>
        <item m="1" x="7460"/>
        <item m="1" x="6313"/>
        <item x="3503"/>
        <item x="3417"/>
        <item m="1" x="6695"/>
        <item x="3419"/>
        <item m="1" x="4997"/>
        <item x="3421"/>
        <item m="1" x="7461"/>
        <item x="3507"/>
        <item m="1" x="7072"/>
        <item m="1" x="7073"/>
        <item m="1" x="7074"/>
        <item m="1" x="7005"/>
        <item m="1" x="5025"/>
        <item x="938"/>
        <item x="939"/>
        <item m="1" x="7009"/>
        <item x="944"/>
        <item m="1" x="5516"/>
        <item x="933"/>
        <item x="935"/>
        <item x="1862"/>
        <item x="1864"/>
        <item x="2648"/>
        <item x="936"/>
        <item x="1861"/>
        <item x="934"/>
        <item m="1" x="7010"/>
        <item m="1" x="7011"/>
        <item m="1" x="7012"/>
        <item x="2655"/>
        <item m="1" x="7598"/>
        <item x="1885"/>
        <item x="2658"/>
        <item x="3067"/>
        <item x="963"/>
        <item x="1886"/>
        <item m="1" x="7619"/>
        <item m="1" x="5113"/>
        <item m="1" x="5114"/>
        <item m="1" x="5089"/>
        <item m="1" x="5115"/>
        <item m="1" x="7756"/>
        <item m="1" x="7506"/>
        <item m="1" x="7757"/>
        <item m="1" x="7759"/>
        <item m="1" x="7752"/>
        <item x="3261"/>
        <item m="1" x="5690"/>
        <item m="1" x="5344"/>
        <item m="1" x="5345"/>
        <item m="1" x="5524"/>
        <item x="236"/>
        <item m="1" x="5817"/>
        <item m="1" x="6277"/>
        <item m="1" x="6237"/>
        <item m="1" x="6238"/>
        <item x="1944"/>
        <item m="1" x="5703"/>
        <item m="1" x="5815"/>
        <item m="1" x="5706"/>
        <item m="1" x="7769"/>
        <item m="1" x="3750"/>
        <item m="1" x="3756"/>
        <item m="1" x="6323"/>
        <item m="1" x="4844"/>
        <item m="1" x="7562"/>
        <item m="1" x="6472"/>
        <item m="1" x="7728"/>
        <item m="1" x="4870"/>
        <item m="1" x="4877"/>
        <item m="1" x="4873"/>
        <item m="1" x="4862"/>
        <item m="1" x="4861"/>
        <item m="1" x="4850"/>
        <item m="1" x="5433"/>
        <item m="1" x="6018"/>
        <item m="1" x="7586"/>
        <item x="1684"/>
        <item x="787"/>
        <item m="1" x="6228"/>
        <item m="1" x="7453"/>
        <item x="2547"/>
        <item x="3044"/>
        <item m="1" x="5673"/>
        <item x="2550"/>
        <item m="1" x="7514"/>
        <item m="1" x="3576"/>
        <item m="1" x="3577"/>
        <item m="1" x="7096"/>
        <item m="1" x="6961"/>
        <item m="1" x="3567"/>
        <item m="1" x="7541"/>
        <item x="474"/>
        <item m="1" x="3578"/>
        <item m="1" x="3596"/>
        <item x="475"/>
        <item m="1" x="6965"/>
        <item m="1" x="3603"/>
        <item m="1" x="3565"/>
        <item m="1" x="3602"/>
        <item m="1" x="5446"/>
        <item m="1" x="6395"/>
        <item m="1" x="4576"/>
        <item m="1" x="7577"/>
        <item m="1" x="7578"/>
        <item m="1" x="7579"/>
        <item m="1" x="7580"/>
        <item m="1" x="7581"/>
        <item m="1" x="6958"/>
        <item m="1" x="5447"/>
        <item m="1" x="7591"/>
        <item m="1" x="7592"/>
        <item m="1" x="6981"/>
        <item m="1" x="7599"/>
        <item m="1" x="7600"/>
        <item m="1" x="7601"/>
        <item x="476"/>
        <item m="1" x="3655"/>
        <item m="1" x="7608"/>
        <item m="1" x="7609"/>
        <item m="1" x="7616"/>
        <item m="1" x="4590"/>
        <item x="1431"/>
        <item m="1" x="3622"/>
        <item m="1" x="3643"/>
        <item m="1" x="4584"/>
        <item m="1" x="4045"/>
        <item m="1" x="7111"/>
        <item m="1" x="7648"/>
        <item m="1" x="5600"/>
        <item m="1" x="4588"/>
        <item m="1" x="5599"/>
        <item m="1" x="4591"/>
        <item m="1" x="3621"/>
        <item m="1" x="3623"/>
        <item m="1" x="3632"/>
        <item m="1" x="7671"/>
        <item m="1" x="4589"/>
        <item m="1" x="3653"/>
        <item m="1" x="3654"/>
        <item x="1434"/>
        <item m="1" x="7688"/>
        <item x="1428"/>
        <item m="1" x="7691"/>
        <item m="1" x="4602"/>
        <item m="1" x="7696"/>
        <item m="1" x="6823"/>
        <item m="1" x="5745"/>
        <item m="1" x="4601"/>
        <item m="1" x="7115"/>
        <item m="1" x="7116"/>
        <item x="2339"/>
        <item m="1" x="4603"/>
        <item x="2340"/>
        <item m="1" x="5746"/>
        <item m="1" x="3689"/>
        <item m="1" x="6573"/>
        <item m="1" x="5747"/>
        <item m="1" x="3697"/>
        <item m="1" x="7114"/>
        <item m="1" x="5845"/>
        <item x="2955"/>
        <item m="1" x="3700"/>
        <item m="1" x="7750"/>
        <item m="1" x="6744"/>
        <item m="1" x="5844"/>
        <item x="3187"/>
        <item m="1" x="7755"/>
        <item x="3189"/>
        <item x="3188"/>
        <item m="1" x="7765"/>
        <item x="274"/>
        <item x="275"/>
        <item x="1115"/>
        <item m="1" x="5990"/>
        <item m="1" x="5961"/>
        <item x="276"/>
        <item x="277"/>
        <item m="1" x="6007"/>
        <item m="1" x="3748"/>
        <item m="1" x="7188"/>
        <item m="1" x="6194"/>
        <item m="1" x="6107"/>
        <item m="1" x="6108"/>
        <item m="1" x="3858"/>
        <item m="1" x="7193"/>
        <item m="1" x="6467"/>
        <item m="1" x="6554"/>
        <item m="1" x="6370"/>
        <item m="1" x="6371"/>
        <item x="38"/>
        <item x="2309"/>
        <item m="1" x="6384"/>
        <item m="1" x="6870"/>
        <item m="1" x="4189"/>
        <item x="1405"/>
        <item m="1" x="5586"/>
        <item m="1" x="6386"/>
        <item x="448"/>
        <item m="1" x="6954"/>
        <item x="2956"/>
        <item m="1" x="5846"/>
        <item m="1" x="5605"/>
        <item x="487"/>
        <item x="1447"/>
        <item x="500"/>
        <item m="1" x="6330"/>
        <item m="1" x="6982"/>
        <item m="1" x="7390"/>
        <item x="2963"/>
        <item m="1" x="4530"/>
        <item m="1" x="4529"/>
        <item m="1" x="6123"/>
        <item m="1" x="6511"/>
        <item m="1" x="6039"/>
        <item m="1" x="6124"/>
        <item m="1" x="6125"/>
        <item m="1" x="6581"/>
        <item m="1" x="6401"/>
        <item m="1" x="6512"/>
        <item m="1" x="6901"/>
        <item m="1" x="6144"/>
        <item x="652"/>
        <item x="79"/>
        <item m="1" x="6407"/>
        <item x="80"/>
        <item m="1" x="7422"/>
        <item m="1" x="4733"/>
        <item m="1" x="4753"/>
        <item m="1" x="4734"/>
        <item m="1" x="4735"/>
        <item m="1" x="4744"/>
        <item m="1" x="4728"/>
        <item x="1598"/>
        <item x="2455"/>
        <item m="1" x="4893"/>
        <item m="1" x="4887"/>
        <item m="1" x="4889"/>
        <item m="1" x="6830"/>
        <item m="1" x="5629"/>
        <item m="1" x="7058"/>
        <item x="2531"/>
        <item m="1" x="5376"/>
        <item m="1" x="6057"/>
        <item m="1" x="6831"/>
        <item x="748"/>
        <item x="2532"/>
        <item m="1" x="6832"/>
        <item x="112"/>
        <item m="1" x="6274"/>
        <item x="1667"/>
        <item x="113"/>
        <item x="114"/>
        <item m="1" x="7059"/>
        <item x="749"/>
        <item x="750"/>
        <item x="751"/>
        <item x="752"/>
        <item x="2533"/>
        <item m="1" x="6833"/>
        <item x="753"/>
        <item x="754"/>
        <item x="755"/>
        <item m="1" x="4937"/>
        <item x="3411"/>
        <item m="1" x="4993"/>
        <item m="1" x="6678"/>
        <item x="3424"/>
        <item x="3425"/>
        <item x="3426"/>
        <item m="1" x="6696"/>
        <item x="3427"/>
        <item m="1" x="4998"/>
        <item x="3428"/>
        <item x="909"/>
        <item x="907"/>
        <item x="172"/>
        <item x="1835"/>
        <item x="173"/>
        <item x="908"/>
        <item x="1834"/>
        <item x="2640"/>
        <item x="174"/>
        <item m="1" x="5683"/>
        <item m="1" x="5685"/>
        <item m="1" x="5511"/>
        <item m="1" x="5512"/>
        <item m="1" x="5958"/>
        <item m="1" x="7472"/>
        <item m="1" x="5513"/>
        <item m="1" x="7077"/>
        <item m="1" x="7013"/>
        <item m="1" x="6233"/>
        <item x="948"/>
        <item x="921"/>
        <item x="182"/>
        <item m="1" x="6919"/>
        <item m="1" x="5387"/>
        <item x="185"/>
        <item x="186"/>
        <item x="930"/>
        <item x="931"/>
        <item x="1860"/>
        <item x="1863"/>
        <item x="1858"/>
        <item m="1" x="5390"/>
        <item m="1" x="7018"/>
        <item m="1" x="6286"/>
        <item m="1" x="5694"/>
        <item m="1" x="6278"/>
        <item m="1" x="5809"/>
        <item m="1" x="5698"/>
        <item m="1" x="5870"/>
        <item m="1" x="5699"/>
        <item m="1" x="5700"/>
        <item m="1" x="6068"/>
        <item m="1" x="5871"/>
        <item m="1" x="5887"/>
        <item m="1" x="5981"/>
        <item x="352"/>
        <item m="1" x="5702"/>
        <item m="1" x="5812"/>
        <item x="160"/>
        <item m="1" x="6239"/>
        <item m="1" x="5872"/>
        <item m="1" x="6287"/>
        <item m="1" x="5526"/>
        <item m="1" x="5873"/>
        <item m="1" x="5527"/>
        <item m="1" x="5343"/>
        <item x="1026"/>
        <item x="2034"/>
        <item x="2035"/>
        <item x="2036"/>
        <item x="1033"/>
        <item x="2056"/>
        <item m="1" x="6596"/>
        <item x="2776"/>
        <item x="1034"/>
        <item x="2057"/>
        <item x="3514"/>
        <item x="3127"/>
        <item x="2783"/>
        <item m="1" x="5819"/>
        <item x="2792"/>
        <item m="1" x="6597"/>
        <item m="1" x="7021"/>
        <item x="3275"/>
        <item x="2797"/>
        <item x="2807"/>
        <item x="228"/>
        <item x="213"/>
        <item x="3159"/>
        <item x="223"/>
        <item m="1" x="7022"/>
        <item x="2815"/>
        <item m="1" x="7081"/>
        <item m="1" x="6598"/>
        <item m="1" x="6767"/>
        <item x="2069"/>
        <item x="3144"/>
        <item x="224"/>
        <item m="1" x="5531"/>
        <item x="1056"/>
        <item x="1045"/>
        <item m="1" x="6768"/>
        <item m="1" x="5360"/>
        <item m="1" x="6342"/>
        <item m="1" x="5820"/>
        <item x="2812"/>
        <item x="3135"/>
        <item x="1058"/>
        <item m="1" x="5356"/>
        <item x="3276"/>
        <item x="1063"/>
        <item x="3273"/>
        <item x="2065"/>
        <item x="3134"/>
        <item x="3147"/>
        <item x="2066"/>
        <item m="1" x="6844"/>
        <item x="2076"/>
        <item m="1" x="5530"/>
        <item m="1" x="6599"/>
        <item x="1042"/>
        <item x="2064"/>
        <item x="2779"/>
        <item x="1054"/>
        <item m="1" x="6936"/>
        <item x="2063"/>
        <item m="1" x="5355"/>
        <item x="3146"/>
        <item x="1047"/>
        <item x="3145"/>
        <item x="227"/>
        <item x="2079"/>
        <item x="2789"/>
        <item m="1" x="6280"/>
        <item m="1" x="7023"/>
        <item x="1041"/>
        <item x="2793"/>
        <item m="1" x="6073"/>
        <item x="3152"/>
        <item m="1" x="7082"/>
        <item m="1" x="5821"/>
        <item x="2778"/>
        <item x="3269"/>
        <item x="222"/>
        <item m="1" x="5346"/>
        <item m="1" x="7497"/>
        <item m="1" x="6161"/>
        <item x="1050"/>
        <item x="2781"/>
        <item x="1053"/>
        <item x="3139"/>
        <item m="1" x="6845"/>
        <item m="1" x="6769"/>
        <item x="2061"/>
        <item x="3132"/>
        <item x="1065"/>
        <item m="1" x="6656"/>
        <item x="221"/>
        <item m="1" x="6340"/>
        <item x="225"/>
        <item m="1" x="7024"/>
        <item m="1" x="5347"/>
        <item m="1" x="7083"/>
        <item m="1" x="6072"/>
        <item x="2816"/>
        <item m="1" x="6341"/>
        <item x="1040"/>
        <item m="1" x="5354"/>
        <item x="2060"/>
        <item m="1" x="6644"/>
        <item x="3278"/>
        <item m="1" x="7493"/>
        <item m="1" x="7494"/>
        <item m="1" x="7495"/>
        <item m="1" x="7498"/>
        <item m="1" x="7499"/>
        <item m="1" x="7496"/>
        <item m="1" x="5993"/>
        <item m="1" x="4640"/>
        <item m="1" x="6083"/>
        <item m="1" x="7103"/>
        <item x="2191"/>
        <item x="1225"/>
        <item m="1" x="7124"/>
        <item m="1" x="4453"/>
        <item m="1" x="6099"/>
        <item x="552"/>
        <item x="2186"/>
        <item m="1" x="6283"/>
        <item m="1" x="3723"/>
        <item x="2201"/>
        <item m="1" x="6358"/>
        <item x="1505"/>
        <item x="3180"/>
        <item m="1" x="6170"/>
        <item x="1158"/>
        <item x="2149"/>
        <item x="14"/>
        <item x="2144"/>
        <item x="2143"/>
        <item x="3174"/>
        <item x="2145"/>
        <item m="1" x="4161"/>
        <item x="1156"/>
        <item m="1" x="6000"/>
        <item m="1" x="5711"/>
        <item x="2147"/>
        <item x="1157"/>
        <item x="2146"/>
        <item x="2148"/>
        <item x="1159"/>
        <item m="1" x="6543"/>
        <item x="2151"/>
        <item x="2150"/>
        <item x="302"/>
        <item x="1160"/>
        <item m="1" x="6175"/>
        <item x="1161"/>
        <item m="1" x="3718"/>
        <item x="2152"/>
        <item m="1" x="6350"/>
        <item x="303"/>
        <item m="1" x="5963"/>
        <item m="1" x="6247"/>
        <item m="1" x="6282"/>
        <item m="1" x="6091"/>
        <item m="1" x="6090"/>
        <item m="1" x="6093"/>
        <item m="1" x="6001"/>
        <item m="1" x="6171"/>
        <item m="1" x="6088"/>
        <item m="1" x="6174"/>
        <item m="1" x="6092"/>
        <item m="1" x="6173"/>
        <item m="1" x="6248"/>
        <item m="1" x="6089"/>
        <item m="1" x="6172"/>
        <item m="1" x="6544"/>
        <item m="1" x="7168"/>
        <item m="1" x="7135"/>
        <item m="1" x="7169"/>
        <item x="1485"/>
        <item x="1274"/>
        <item x="363"/>
        <item x="364"/>
        <item x="1275"/>
        <item x="1276"/>
        <item x="25"/>
        <item m="1" x="3757"/>
        <item m="1" x="6551"/>
        <item m="1" x="5720"/>
        <item m="1" x="7178"/>
        <item m="1" x="6778"/>
        <item m="1" x="7177"/>
        <item x="2239"/>
        <item m="1" x="6101"/>
        <item m="1" x="6463"/>
        <item m="1" x="5368"/>
        <item x="2242"/>
        <item x="1298"/>
        <item x="2701"/>
        <item m="1" x="4367"/>
        <item x="2702"/>
        <item x="1286"/>
        <item m="1" x="5620"/>
        <item m="1" x="3807"/>
        <item x="1307"/>
        <item m="1" x="4857"/>
        <item m="1" x="4860"/>
        <item m="1" x="6198"/>
        <item m="1" x="6785"/>
        <item m="1" x="7295"/>
        <item m="1" x="7346"/>
        <item m="1" x="7296"/>
        <item m="1" x="7297"/>
        <item m="1" x="7261"/>
        <item m="1" x="7262"/>
        <item m="1" x="7298"/>
        <item m="1" x="7351"/>
        <item m="1" x="7347"/>
        <item m="1" x="7299"/>
        <item m="1" x="7348"/>
        <item m="1" x="7334"/>
        <item m="1" x="7300"/>
        <item m="1" x="7301"/>
        <item m="1" x="7335"/>
        <item m="1" x="7302"/>
        <item m="1" x="7303"/>
        <item m="1" x="7304"/>
        <item m="1" x="7237"/>
        <item m="1" x="7336"/>
        <item m="1" x="7305"/>
        <item m="1" x="7337"/>
        <item m="1" x="7263"/>
        <item m="1" x="7349"/>
        <item m="1" x="7264"/>
        <item m="1" x="7338"/>
        <item m="1" x="7265"/>
        <item m="1" x="7339"/>
        <item m="1" x="7266"/>
        <item m="1" x="7306"/>
        <item m="1" x="6498"/>
        <item m="1" x="4221"/>
        <item m="1" x="5440"/>
        <item m="1" x="4446"/>
        <item m="1" x="4348"/>
        <item m="1" x="4350"/>
        <item m="1" x="4271"/>
        <item m="1" x="4504"/>
        <item m="1" x="4447"/>
        <item m="1" x="6114"/>
        <item m="1" x="6796"/>
        <item m="1" x="4222"/>
        <item m="1" x="6877"/>
        <item m="1" x="6878"/>
        <item m="1" x="7382"/>
        <item m="1" x="4351"/>
        <item m="1" x="7371"/>
        <item m="1" x="6570"/>
        <item m="1" x="4505"/>
        <item m="1" x="6026"/>
        <item m="1" x="4507"/>
        <item m="1" x="4272"/>
        <item m="1" x="4273"/>
        <item m="1" x="6572"/>
        <item m="1" x="4352"/>
        <item m="1" x="5609"/>
        <item m="1" x="7387"/>
        <item m="1" x="5608"/>
        <item m="1" x="7388"/>
        <item m="1" x="6580"/>
        <item m="1" x="5455"/>
        <item m="1" x="6506"/>
        <item m="1" x="6507"/>
        <item m="1" x="6718"/>
        <item m="1" x="6824"/>
        <item x="603"/>
        <item m="1" x="4555"/>
        <item m="1" x="4545"/>
        <item m="1" x="4569"/>
        <item m="1" x="4606"/>
        <item m="1" x="4592"/>
        <item m="1" x="4577"/>
        <item m="1" x="5917"/>
        <item m="1" x="6302"/>
        <item x="3322"/>
        <item m="1" x="6303"/>
        <item x="597"/>
        <item x="3217"/>
        <item m="1" x="7404"/>
        <item x="1553"/>
        <item m="1" x="4676"/>
        <item m="1" x="4659"/>
        <item x="2422"/>
        <item m="1" x="5768"/>
        <item m="1" x="6060"/>
        <item x="3057"/>
        <item x="3058"/>
        <item x="867"/>
        <item x="868"/>
        <item m="1" x="6337"/>
        <item m="1" x="6530"/>
        <item m="1" x="6531"/>
        <item m="1" x="6532"/>
        <item m="1" x="6533"/>
        <item m="1" x="5024"/>
        <item m="1" x="6428"/>
        <item m="1" x="5021"/>
        <item x="1848"/>
        <item m="1" x="5798"/>
        <item x="3064"/>
        <item x="920"/>
        <item m="1" x="5867"/>
        <item m="1" x="7196"/>
        <item m="1" x="3862"/>
        <item m="1" x="7197"/>
        <item x="1010"/>
        <item m="1" x="6934"/>
        <item x="1995"/>
        <item x="2013"/>
        <item m="1" x="5803"/>
        <item x="2747"/>
        <item m="1" x="3865"/>
        <item m="1" x="3866"/>
        <item x="3091"/>
        <item m="1" x="7198"/>
        <item m="1" x="3868"/>
        <item x="1117"/>
        <item m="1" x="5962"/>
        <item x="2125"/>
        <item x="292"/>
        <item m="1" x="6443"/>
        <item x="304"/>
        <item x="2854"/>
        <item m="1" x="5713"/>
        <item x="1162"/>
        <item x="1163"/>
        <item m="1" x="3725"/>
        <item x="1164"/>
        <item x="2153"/>
        <item x="1165"/>
        <item m="1" x="6444"/>
        <item m="1" x="6943"/>
        <item m="1" x="6774"/>
        <item x="1166"/>
        <item x="2154"/>
        <item x="2155"/>
        <item x="1167"/>
        <item m="1" x="5407"/>
        <item m="1" x="5826"/>
        <item x="1168"/>
        <item x="1170"/>
        <item x="2156"/>
        <item x="1169"/>
        <item x="305"/>
        <item x="2157"/>
        <item m="1" x="5544"/>
        <item x="306"/>
        <item x="2254"/>
        <item m="1" x="6098"/>
        <item m="1" x="6094"/>
        <item m="1" x="6095"/>
        <item m="1" x="6002"/>
        <item m="1" x="6176"/>
        <item m="1" x="6096"/>
        <item m="1" x="6097"/>
        <item m="1" x="6249"/>
        <item m="1" x="6445"/>
        <item m="1" x="6446"/>
        <item x="1172"/>
        <item x="2855"/>
        <item m="1" x="6775"/>
        <item m="1" x="6351"/>
        <item m="1" x="5546"/>
        <item m="1" x="6321"/>
        <item m="1" x="6352"/>
        <item x="2159"/>
        <item m="1" x="5827"/>
        <item m="1" x="6003"/>
        <item x="2161"/>
        <item m="1" x="6448"/>
        <item m="1" x="6449"/>
        <item x="15"/>
        <item x="1171"/>
        <item m="1" x="6353"/>
        <item m="1" x="5545"/>
        <item m="1" x="6354"/>
        <item x="3175"/>
        <item m="1" x="6178"/>
        <item x="1213"/>
        <item x="2874"/>
        <item m="1" x="6452"/>
        <item x="2185"/>
        <item x="2882"/>
        <item m="1" x="5551"/>
        <item m="1" x="6456"/>
        <item m="1" x="6180"/>
        <item x="2189"/>
        <item m="1" x="6251"/>
        <item m="1" x="6856"/>
        <item m="1" x="6548"/>
        <item x="2198"/>
        <item x="1234"/>
        <item x="340"/>
        <item m="1" x="5415"/>
        <item m="1" x="5555"/>
        <item x="1236"/>
        <item m="1" x="6460"/>
        <item m="1" x="6184"/>
        <item m="1" x="5556"/>
        <item x="381"/>
        <item m="1" x="6464"/>
        <item m="1" x="6365"/>
        <item m="1" x="6366"/>
        <item m="1" x="6367"/>
        <item m="1" x="6368"/>
        <item m="1" x="5199"/>
        <item x="2248"/>
        <item x="1967"/>
        <item x="2258"/>
        <item m="1" x="4178"/>
        <item x="39"/>
        <item x="2942"/>
        <item m="1" x="6388"/>
        <item m="1" x="6666"/>
        <item m="1" x="6667"/>
        <item m="1" x="6797"/>
        <item m="1" x="5847"/>
        <item m="1" x="5848"/>
        <item m="1" x="5748"/>
        <item m="1" x="6204"/>
        <item m="1" x="5968"/>
        <item x="1425"/>
        <item x="1426"/>
        <item m="1" x="6205"/>
        <item x="2328"/>
        <item x="2329"/>
        <item x="2330"/>
        <item x="472"/>
        <item m="1" x="4518"/>
        <item x="1427"/>
        <item x="2333"/>
        <item x="473"/>
        <item m="1" x="6575"/>
        <item x="2334"/>
        <item m="1" x="5971"/>
        <item m="1" x="6579"/>
        <item x="2355"/>
        <item m="1" x="6508"/>
        <item x="688"/>
        <item x="2356"/>
        <item x="2347"/>
        <item m="1" x="6687"/>
        <item x="1459"/>
        <item x="510"/>
        <item x="2357"/>
        <item x="2358"/>
        <item x="54"/>
        <item x="511"/>
        <item x="1460"/>
        <item x="512"/>
        <item x="2359"/>
        <item m="1" x="5756"/>
        <item x="513"/>
        <item x="514"/>
        <item m="1" x="6985"/>
        <item m="1" x="6825"/>
        <item m="1" x="6986"/>
        <item x="1478"/>
        <item m="1" x="6900"/>
        <item m="1" x="6720"/>
        <item m="1" x="6987"/>
        <item m="1" x="6041"/>
        <item m="1" x="6402"/>
        <item m="1" x="6403"/>
        <item m="1" x="6331"/>
        <item m="1" x="6332"/>
        <item m="1" x="6586"/>
        <item m="1" x="6408"/>
        <item m="1" x="4718"/>
        <item m="1" x="4719"/>
        <item m="1" x="6523"/>
        <item m="1" x="4758"/>
        <item m="1" x="5470"/>
        <item m="1" x="4720"/>
        <item m="1" x="4746"/>
        <item m="1" x="4747"/>
        <item m="1" x="4748"/>
        <item m="1" x="6145"/>
        <item m="1" x="6414"/>
        <item m="1" x="4740"/>
        <item m="1" x="6589"/>
        <item x="2621"/>
        <item x="1603"/>
        <item x="2459"/>
        <item m="1" x="6629"/>
        <item x="2564"/>
        <item x="2574"/>
        <item m="1" x="6527"/>
        <item m="1" x="6630"/>
        <item x="1706"/>
        <item x="2566"/>
        <item m="1" x="6418"/>
        <item x="1733"/>
        <item x="1926"/>
        <item m="1" x="5499"/>
        <item m="1" x="6419"/>
        <item m="1" x="5500"/>
        <item m="1" x="6422"/>
        <item m="1" x="5791"/>
        <item x="2613"/>
        <item x="2614"/>
        <item x="2615"/>
        <item x="1793"/>
        <item m="1" x="4948"/>
        <item x="3429"/>
        <item x="3430"/>
        <item x="3431"/>
        <item m="1" x="6697"/>
        <item m="1" x="4999"/>
        <item m="1" x="5000"/>
        <item m="1" x="5940"/>
        <item x="3432"/>
        <item x="3433"/>
        <item x="3434"/>
        <item m="1" x="5001"/>
        <item x="3435"/>
        <item x="3436"/>
        <item m="1" x="6314"/>
        <item x="3501"/>
        <item x="3437"/>
        <item m="1" x="5002"/>
        <item x="3438"/>
        <item x="3439"/>
        <item m="1" x="5945"/>
        <item x="3440"/>
        <item x="3441"/>
        <item m="1" x="5946"/>
        <item m="1" x="5004"/>
        <item x="3443"/>
        <item m="1" x="5005"/>
        <item x="3444"/>
        <item m="1" x="3785"/>
        <item m="1" x="5947"/>
        <item x="3446"/>
        <item x="3447"/>
        <item x="3448"/>
        <item x="3449"/>
        <item m="1" x="6529"/>
        <item x="178"/>
        <item x="177"/>
        <item x="175"/>
        <item x="910"/>
        <item x="2641"/>
        <item x="911"/>
        <item m="1" x="7075"/>
        <item x="176"/>
        <item m="1" x="5034"/>
        <item m="1" x="5035"/>
        <item m="1" x="5029"/>
        <item m="1" x="5032"/>
        <item m="1" x="5027"/>
        <item m="1" x="6917"/>
        <item x="1902"/>
        <item x="974"/>
        <item x="2669"/>
        <item x="2675"/>
        <item x="1905"/>
        <item x="1907"/>
        <item x="1908"/>
        <item x="1909"/>
        <item x="2670"/>
        <item x="2671"/>
        <item m="1" x="5695"/>
        <item m="1" x="5869"/>
        <item m="1" x="5886"/>
        <item m="1" x="5816"/>
        <item m="1" x="6279"/>
        <item m="1" x="5808"/>
        <item m="1" x="5811"/>
        <item m="1" x="5813"/>
        <item m="1" x="5697"/>
        <item m="1" x="6065"/>
        <item m="1" x="6067"/>
        <item m="1" x="5810"/>
        <item m="1" x="5704"/>
        <item x="2052"/>
        <item x="2775"/>
        <item x="2055"/>
        <item m="1" x="6847"/>
        <item m="1" x="6937"/>
        <item x="1068"/>
        <item m="1" x="6938"/>
        <item m="1" x="7025"/>
        <item m="1" x="6848"/>
        <item m="1" x="6849"/>
        <item m="1" x="7026"/>
        <item x="235"/>
        <item x="255"/>
        <item x="5"/>
        <item m="1" x="6939"/>
        <item x="2100"/>
        <item m="1" x="3644"/>
        <item m="1" x="5401"/>
        <item m="1" x="3597"/>
        <item m="1" x="3685"/>
        <item m="1" x="3645"/>
        <item m="1" x="3598"/>
        <item m="1" x="3599"/>
        <item m="1" x="3646"/>
        <item m="1" x="3647"/>
        <item m="1" x="3600"/>
        <item m="1" x="3701"/>
        <item m="1" x="3648"/>
        <item m="1" x="5537"/>
        <item m="1" x="3601"/>
        <item m="1" x="6854"/>
        <item m="1" x="5710"/>
        <item m="1" x="5538"/>
        <item m="1" x="6085"/>
        <item m="1" x="3649"/>
        <item m="1" x="3686"/>
        <item m="1" x="3752"/>
        <item m="1" x="3758"/>
        <item m="1" x="3760"/>
        <item m="1" x="3753"/>
        <item m="1" x="4056"/>
        <item m="1" x="4068"/>
        <item m="1" x="4171"/>
        <item m="1" x="3972"/>
        <item m="1" x="3906"/>
        <item m="1" x="3973"/>
        <item m="1" x="4073"/>
        <item m="1" x="3886"/>
        <item m="1" x="3974"/>
        <item m="1" x="3975"/>
        <item m="1" x="4150"/>
        <item m="1" x="3907"/>
        <item m="1" x="3908"/>
        <item m="1" x="4076"/>
        <item m="1" x="6556"/>
        <item m="1" x="4151"/>
        <item m="1" x="3909"/>
        <item m="1" x="3976"/>
        <item m="1" x="3977"/>
        <item m="1" x="3910"/>
        <item m="1" x="3978"/>
        <item m="1" x="3911"/>
        <item m="1" x="4152"/>
        <item m="1" x="4077"/>
        <item m="1" x="6864"/>
        <item m="1" x="3979"/>
        <item m="1" x="6722"/>
        <item m="1" x="3887"/>
        <item m="1" x="3981"/>
        <item m="1" x="4079"/>
        <item m="1" x="3912"/>
        <item m="1" x="3982"/>
        <item m="1" x="3913"/>
        <item m="1" x="3983"/>
        <item m="1" x="3984"/>
        <item m="1" x="3914"/>
        <item m="1" x="3985"/>
        <item m="1" x="4080"/>
        <item m="1" x="3915"/>
        <item m="1" x="3888"/>
        <item m="1" x="4038"/>
        <item m="1" x="4081"/>
        <item m="1" x="4082"/>
        <item m="1" x="4083"/>
        <item m="1" x="6865"/>
        <item m="1" x="4084"/>
        <item m="1" x="3917"/>
        <item m="1" x="4085"/>
        <item m="1" x="4086"/>
        <item m="1" x="3918"/>
        <item m="1" x="3987"/>
        <item m="1" x="6866"/>
        <item m="1" x="3988"/>
        <item m="1" x="6376"/>
        <item m="1" x="6952"/>
        <item m="1" x="6787"/>
        <item m="1" x="3919"/>
        <item m="1" x="4088"/>
        <item m="1" x="4153"/>
        <item m="1" x="3989"/>
        <item m="1" x="3990"/>
        <item m="1" x="3721"/>
        <item m="1" x="4172"/>
        <item m="1" x="3920"/>
        <item m="1" x="6557"/>
        <item m="1" x="5739"/>
        <item m="1" x="4154"/>
        <item m="1" x="3921"/>
        <item m="1" x="3991"/>
        <item m="1" x="6953"/>
        <item m="1" x="4089"/>
        <item m="1" x="3889"/>
        <item m="1" x="6867"/>
        <item m="1" x="4090"/>
        <item m="1" x="3992"/>
        <item m="1" x="3993"/>
        <item m="1" x="3994"/>
        <item m="1" x="3922"/>
        <item m="1" x="6378"/>
        <item m="1" x="3995"/>
        <item x="3178"/>
        <item m="1" x="4173"/>
        <item m="1" x="3996"/>
        <item m="1" x="4155"/>
        <item m="1" x="6788"/>
        <item m="1" x="3997"/>
        <item m="1" x="4091"/>
        <item m="1" x="4092"/>
        <item m="1" x="5580"/>
        <item m="1" x="3998"/>
        <item m="1" x="3999"/>
        <item m="1" x="3890"/>
        <item m="1" x="4094"/>
        <item m="1" x="4156"/>
        <item m="1" x="3923"/>
        <item m="1" x="6612"/>
        <item m="1" x="3924"/>
        <item m="1" x="4095"/>
        <item m="1" x="3925"/>
        <item m="1" x="6558"/>
        <item m="1" x="3926"/>
        <item m="1" x="4000"/>
        <item m="1" x="4001"/>
        <item m="1" x="4002"/>
        <item m="1" x="4157"/>
        <item m="1" x="4097"/>
        <item m="1" x="6613"/>
        <item m="1" x="6868"/>
        <item m="1" x="4098"/>
        <item m="1" x="4099"/>
        <item m="1" x="4003"/>
        <item m="1" x="4004"/>
        <item m="1" x="3927"/>
        <item m="1" x="3928"/>
        <item m="1" x="4005"/>
        <item m="1" x="3929"/>
        <item m="1" x="4100"/>
        <item m="1" x="6789"/>
        <item m="1" x="4006"/>
        <item m="1" x="4101"/>
        <item m="1" x="4102"/>
        <item m="1" x="4103"/>
        <item m="1" x="5740"/>
        <item m="1" x="4514"/>
        <item m="1" x="4274"/>
        <item m="1" x="4275"/>
        <item m="1" x="6879"/>
        <item m="1" x="6393"/>
        <item m="1" x="4448"/>
        <item x="1000"/>
        <item m="1" x="5592"/>
        <item m="1" x="4276"/>
        <item m="1" x="4449"/>
        <item m="1" x="4354"/>
        <item m="1" x="4450"/>
        <item m="1" x="4451"/>
        <item m="1" x="4355"/>
        <item m="1" x="6392"/>
        <item m="1" x="4277"/>
        <item m="1" x="6497"/>
        <item m="1" x="4452"/>
        <item m="1" x="4356"/>
        <item m="1" x="6326"/>
        <item m="1" x="7035"/>
        <item m="1" x="6880"/>
        <item m="1" x="5441"/>
        <item m="1" x="6957"/>
        <item m="1" x="4677"/>
        <item m="1" x="4357"/>
        <item m="1" x="6201"/>
        <item m="1" x="4358"/>
        <item x="2381"/>
        <item m="1" x="4454"/>
        <item m="1" x="4359"/>
        <item m="1" x="6499"/>
        <item m="1" x="5442"/>
        <item x="351"/>
        <item x="1489"/>
        <item x="547"/>
        <item x="550"/>
        <item m="1" x="5028"/>
        <item m="1" x="6758"/>
        <item x="1253"/>
        <item x="560"/>
        <item x="1497"/>
        <item m="1" x="6216"/>
        <item x="562"/>
        <item m="1" x="5618"/>
        <item m="1" x="6040"/>
        <item x="1504"/>
        <item m="1" x="6582"/>
        <item x="568"/>
        <item x="2974"/>
        <item x="1514"/>
        <item x="573"/>
        <item x="2394"/>
        <item m="1" x="4657"/>
        <item x="579"/>
        <item m="1" x="6316"/>
        <item x="2405"/>
        <item x="582"/>
        <item x="2408"/>
        <item m="1" x="4672"/>
        <item x="2415"/>
        <item m="1" x="5617"/>
        <item m="1" x="4675"/>
        <item x="594"/>
        <item m="1" x="5770"/>
        <item x="2435"/>
        <item x="1548"/>
        <item x="2439"/>
        <item x="1552"/>
        <item x="72"/>
        <item m="1" x="6412"/>
        <item m="1" x="4780"/>
        <item m="1" x="6056"/>
        <item m="1" x="4807"/>
        <item m="1" x="4817"/>
        <item m="1" x="4779"/>
        <item m="1" x="4815"/>
        <item m="1" x="4813"/>
        <item m="1" x="5624"/>
        <item m="1" x="4765"/>
        <item m="1" x="4820"/>
        <item m="1" x="4816"/>
        <item m="1" x="4794"/>
        <item m="1" x="4792"/>
        <item m="1" x="4827"/>
        <item m="1" x="4823"/>
        <item m="1" x="4826"/>
        <item m="1" x="6149"/>
        <item m="1" x="4773"/>
        <item m="1" x="4838"/>
        <item m="1" x="4791"/>
        <item m="1" x="6334"/>
        <item x="1599"/>
        <item x="2456"/>
        <item x="667"/>
        <item m="1" x="6721"/>
        <item x="1874"/>
        <item x="925"/>
        <item m="1" x="5517"/>
        <item m="1" x="5686"/>
        <item x="940"/>
        <item m="1" x="5688"/>
        <item x="937"/>
        <item x="192"/>
        <item m="1" x="5074"/>
        <item x="950"/>
        <item x="1872"/>
        <item x="196"/>
        <item x="951"/>
        <item x="1870"/>
        <item x="191"/>
        <item m="1" x="5515"/>
        <item x="1859"/>
        <item x="946"/>
        <item x="195"/>
        <item x="197"/>
        <item m="1" x="7014"/>
        <item m="1" x="5083"/>
        <item m="1" x="5182"/>
        <item m="1" x="5091"/>
        <item m="1" x="5084"/>
        <item m="1" x="6431"/>
        <item m="1" x="5269"/>
        <item m="1" x="6770"/>
        <item x="3153"/>
        <item x="2796"/>
        <item x="2805"/>
        <item x="3270"/>
        <item x="3143"/>
        <item m="1" x="6846"/>
        <item m="1" x="6997"/>
        <item x="1668"/>
        <item x="115"/>
        <item x="116"/>
        <item x="117"/>
        <item m="1" x="6162"/>
        <item m="1" x="6600"/>
        <item m="1" x="6442"/>
        <item m="1" x="6163"/>
        <item m="1" x="6347"/>
        <item m="1" x="6320"/>
        <item m="1" x="5982"/>
        <item m="1" x="6164"/>
        <item m="1" x="6074"/>
        <item x="1072"/>
        <item m="1" x="5983"/>
        <item x="253"/>
        <item x="245"/>
        <item m="1" x="5397"/>
        <item m="1" x="6075"/>
        <item x="248"/>
        <item x="1081"/>
        <item m="1" x="5959"/>
        <item x="1070"/>
        <item m="1" x="6076"/>
        <item x="233"/>
        <item m="1" x="6348"/>
        <item m="1" x="5533"/>
        <item m="1" x="6349"/>
        <item x="2101"/>
        <item m="1" x="6177"/>
        <item x="2158"/>
        <item m="1" x="5547"/>
        <item x="307"/>
        <item m="1" x="5405"/>
        <item x="2160"/>
        <item x="2856"/>
        <item x="310"/>
        <item m="1" x="5825"/>
        <item x="308"/>
        <item x="309"/>
        <item m="1" x="5964"/>
        <item x="2862"/>
        <item x="2890"/>
        <item x="1240"/>
        <item x="2891"/>
        <item x="1241"/>
        <item x="1242"/>
        <item x="1243"/>
        <item x="345"/>
        <item x="2206"/>
        <item x="2892"/>
        <item x="1184"/>
        <item m="1" x="3716"/>
        <item x="1244"/>
        <item x="2207"/>
        <item x="2208"/>
        <item x="346"/>
        <item m="1" x="6450"/>
        <item m="1" x="6451"/>
        <item m="1" x="5965"/>
        <item m="1" x="6250"/>
        <item m="1" x="6179"/>
        <item x="1216"/>
        <item x="336"/>
        <item m="1" x="5553"/>
        <item m="1" x="6006"/>
        <item m="1" x="5413"/>
        <item x="1231"/>
        <item m="1" x="6100"/>
        <item m="1" x="5833"/>
        <item x="19"/>
        <item x="2877"/>
        <item m="1" x="6183"/>
        <item x="2183"/>
        <item x="28"/>
        <item x="374"/>
        <item m="1" x="3779"/>
        <item m="1" x="5193"/>
        <item x="994"/>
        <item m="1" x="3833"/>
        <item m="1" x="3848"/>
        <item m="1" x="3822"/>
        <item m="1" x="3854"/>
        <item m="1" x="3825"/>
        <item m="1" x="3837"/>
        <item m="1" x="3826"/>
        <item m="1" x="3838"/>
        <item m="1" x="3827"/>
        <item m="1" x="3839"/>
        <item m="1" x="3860"/>
        <item m="1" x="3861"/>
        <item m="1" x="6610"/>
        <item x="30"/>
        <item m="1" x="6372"/>
        <item m="1" x="6470"/>
        <item m="1" x="6471"/>
        <item m="1" x="5839"/>
        <item m="1" x="6259"/>
        <item m="1" x="6111"/>
        <item m="1" x="6324"/>
        <item m="1" x="4845"/>
        <item m="1" x="5732"/>
        <item m="1" x="6473"/>
        <item m="1" x="4851"/>
        <item m="1" x="6474"/>
        <item m="1" x="4853"/>
        <item m="1" x="6200"/>
        <item x="1328"/>
        <item x="2943"/>
        <item m="1" x="4176"/>
        <item x="464"/>
        <item x="465"/>
        <item x="466"/>
        <item x="467"/>
        <item x="47"/>
        <item x="1424"/>
        <item m="1" x="4467"/>
        <item m="1" x="4389"/>
        <item m="1" x="6390"/>
        <item m="1" x="4375"/>
        <item m="1" x="4469"/>
        <item m="1" x="4371"/>
        <item m="1" x="4468"/>
        <item m="1" x="4280"/>
        <item m="1" x="4286"/>
        <item m="1" x="4376"/>
        <item m="1" x="4368"/>
        <item m="1" x="4377"/>
        <item m="1" x="4378"/>
        <item m="1" x="4458"/>
        <item m="1" x="4381"/>
        <item m="1" x="4374"/>
        <item m="1" x="4462"/>
        <item m="1" x="6202"/>
        <item m="1" x="4284"/>
        <item m="1" x="4509"/>
        <item m="1" x="5594"/>
        <item m="1" x="4289"/>
        <item m="1" x="4379"/>
        <item m="1" x="4372"/>
        <item m="1" x="4373"/>
        <item m="1" x="4459"/>
        <item m="1" x="5593"/>
        <item m="1" x="4363"/>
        <item x="1962"/>
        <item m="1" x="4508"/>
        <item m="1" x="4362"/>
        <item m="1" x="6394"/>
        <item m="1" x="4465"/>
        <item m="1" x="4464"/>
        <item m="1" x="4380"/>
        <item m="1" x="4285"/>
        <item m="1" x="4463"/>
        <item m="1" x="4383"/>
        <item m="1" x="4223"/>
        <item m="1" x="4361"/>
        <item m="1" x="4288"/>
        <item m="1" x="4287"/>
        <item m="1" x="5372"/>
        <item m="1" x="4369"/>
        <item m="1" x="4224"/>
        <item m="1" x="4370"/>
        <item m="1" x="6574"/>
        <item x="2952"/>
        <item m="1" x="6115"/>
        <item m="1" x="6206"/>
        <item m="1" x="6207"/>
        <item x="1430"/>
        <item m="1" x="6500"/>
        <item m="1" x="6327"/>
        <item x="682"/>
        <item x="1121"/>
        <item m="1" x="5602"/>
        <item x="482"/>
        <item x="1438"/>
        <item x="509"/>
        <item x="1461"/>
        <item m="1" x="6265"/>
        <item m="1" x="6116"/>
        <item m="1" x="5757"/>
        <item x="1462"/>
        <item x="1463"/>
        <item m="1" x="5456"/>
        <item x="2348"/>
        <item m="1" x="5972"/>
        <item m="1" x="6510"/>
        <item m="1" x="4536"/>
        <item m="1" x="6210"/>
        <item m="1" x="4553"/>
        <item m="1" x="6669"/>
        <item m="1" x="6670"/>
        <item x="3200"/>
        <item m="1" x="6299"/>
        <item m="1" x="5913"/>
        <item m="1" x="5914"/>
        <item x="1629"/>
        <item m="1" x="5915"/>
        <item m="1" x="6671"/>
        <item x="565"/>
        <item x="3201"/>
        <item m="1" x="4616"/>
        <item m="1" x="6672"/>
        <item m="1" x="6673"/>
        <item m="1" x="4610"/>
        <item m="1" x="4624"/>
        <item x="545"/>
        <item x="548"/>
        <item m="1" x="4633"/>
        <item x="1492"/>
        <item x="555"/>
        <item m="1" x="4634"/>
        <item x="2447"/>
        <item x="2448"/>
        <item m="1" x="4622"/>
        <item m="1" x="4750"/>
        <item m="1" x="4721"/>
        <item m="1" x="6055"/>
        <item m="1" x="4741"/>
        <item m="1" x="4730"/>
        <item m="1" x="4755"/>
        <item m="1" x="6148"/>
        <item x="756"/>
        <item x="118"/>
        <item x="757"/>
        <item x="119"/>
        <item m="1" x="5789"/>
        <item m="1" x="5495"/>
        <item m="1" x="5670"/>
        <item m="1" x="5671"/>
        <item m="1" x="5496"/>
        <item m="1" x="5672"/>
        <item x="2551"/>
        <item x="1696"/>
        <item m="1" x="6058"/>
        <item m="1" x="4901"/>
        <item m="1" x="6336"/>
        <item x="1697"/>
        <item x="803"/>
        <item m="1" x="6059"/>
        <item x="3049"/>
        <item x="792"/>
        <item x="153"/>
        <item x="795"/>
        <item m="1" x="4921"/>
        <item m="1" x="4922"/>
        <item m="1" x="4923"/>
        <item m="1" x="4920"/>
        <item x="1794"/>
        <item x="869"/>
        <item x="158"/>
        <item m="1" x="4951"/>
        <item m="1" x="5676"/>
        <item m="1" x="4955"/>
        <item m="1" x="4963"/>
        <item m="1" x="4964"/>
        <item x="3487"/>
        <item m="1" x="4965"/>
        <item x="3451"/>
        <item m="1" x="5503"/>
        <item m="1" x="6155"/>
        <item x="3453"/>
        <item x="3455"/>
        <item x="3458"/>
        <item x="3459"/>
        <item x="3460"/>
        <item x="1810"/>
        <item x="1811"/>
        <item m="1" x="4966"/>
        <item x="1812"/>
        <item x="1813"/>
        <item x="881"/>
        <item m="1" x="4967"/>
        <item x="1814"/>
        <item m="1" x="4968"/>
        <item x="1837"/>
        <item m="1" x="5684"/>
        <item x="1838"/>
        <item x="1836"/>
        <item x="913"/>
        <item x="912"/>
        <item x="1842"/>
        <item m="1" x="6338"/>
        <item m="1" x="6432"/>
        <item m="1" x="5117"/>
        <item m="1" x="6534"/>
        <item m="1" x="6535"/>
        <item m="1" x="5097"/>
        <item m="1" x="5087"/>
        <item m="1" x="5086"/>
        <item m="1" x="5179"/>
        <item m="1" x="5180"/>
        <item m="1" x="5391"/>
        <item m="1" x="5181"/>
        <item m="1" x="5864"/>
        <item m="1" x="5211"/>
        <item m="1" x="6636"/>
        <item m="1" x="5326"/>
        <item m="1" x="5311"/>
        <item m="1" x="5800"/>
        <item m="1" x="5191"/>
        <item x="1900"/>
        <item x="2673"/>
        <item x="3071"/>
        <item x="977"/>
        <item x="2680"/>
        <item x="2681"/>
        <item x="1911"/>
        <item x="2682"/>
        <item x="2683"/>
        <item x="1913"/>
        <item x="201"/>
        <item x="1914"/>
        <item m="1" x="5196"/>
        <item x="1982"/>
        <item x="3094"/>
        <item m="1" x="5802"/>
        <item x="2731"/>
        <item x="1993"/>
        <item x="2745"/>
        <item x="2009"/>
        <item x="2750"/>
        <item x="1019"/>
        <item m="1" x="6236"/>
        <item x="3108"/>
        <item x="3109"/>
        <item m="1" x="5523"/>
        <item m="1" x="5807"/>
        <item m="1" x="5696"/>
        <item m="1" x="5393"/>
        <item m="1" x="5394"/>
        <item m="1" x="6066"/>
        <item m="1" x="5701"/>
        <item m="1" x="6158"/>
        <item m="1" x="5395"/>
        <item m="1" x="5525"/>
        <item m="1" x="5814"/>
        <item m="1" x="5705"/>
        <item x="2037"/>
        <item m="1" x="6159"/>
        <item m="1" x="5046"/>
        <item m="1" x="5055"/>
        <item m="1" x="6241"/>
        <item x="2038"/>
        <item m="1" x="5818"/>
        <item m="1" x="6160"/>
        <item x="208"/>
        <item x="2039"/>
        <item x="3122"/>
        <item x="2053"/>
        <item x="3003"/>
        <item x="3123"/>
        <item x="1035"/>
        <item x="1043"/>
        <item x="2804"/>
        <item m="1" x="5529"/>
        <item m="1" x="5349"/>
        <item m="1" x="5876"/>
        <item x="2790"/>
        <item x="2814"/>
        <item x="217"/>
        <item x="1055"/>
        <item x="3140"/>
        <item x="2787"/>
        <item m="1" x="5348"/>
        <item x="3129"/>
        <item m="1" x="5707"/>
        <item x="2811"/>
        <item x="2073"/>
        <item m="1" x="6242"/>
        <item x="2072"/>
        <item x="218"/>
        <item m="1" x="6246"/>
        <item x="2826"/>
        <item x="1039"/>
        <item x="3150"/>
        <item m="1" x="6643"/>
        <item x="215"/>
        <item x="2813"/>
        <item x="3142"/>
        <item x="2070"/>
        <item x="2809"/>
        <item x="3266"/>
        <item x="3128"/>
        <item x="3137"/>
        <item m="1" x="5358"/>
        <item x="1044"/>
        <item m="1" x="5351"/>
        <item x="3131"/>
        <item x="1049"/>
        <item x="2062"/>
        <item x="1038"/>
        <item x="2806"/>
        <item m="1" x="6071"/>
        <item x="2810"/>
        <item x="2074"/>
        <item x="2808"/>
        <item x="1051"/>
        <item x="2782"/>
        <item x="3138"/>
        <item m="1" x="5359"/>
        <item x="3124"/>
        <item m="1" x="6243"/>
        <item x="214"/>
        <item x="2802"/>
        <item m="1" x="5357"/>
        <item m="1" x="5875"/>
        <item x="2795"/>
        <item m="1" x="5352"/>
        <item x="2080"/>
        <item m="1" x="5822"/>
        <item x="3136"/>
        <item x="2067"/>
        <item m="1" x="6244"/>
        <item x="1052"/>
        <item x="2788"/>
        <item m="1" x="6281"/>
        <item x="2801"/>
        <item x="3268"/>
        <item m="1" x="6325"/>
        <item x="68"/>
        <item m="1" x="5389"/>
        <item x="189"/>
        <item x="198"/>
        <item m="1" x="3735"/>
        <item m="1" x="3739"/>
        <item m="1" x="6362"/>
        <item m="1" x="6008"/>
        <item m="1" x="6363"/>
        <item m="1" x="6364"/>
        <item m="1" x="6009"/>
        <item m="1" x="6379"/>
        <item m="1" x="6380"/>
        <item m="1" x="6381"/>
        <item m="1" x="6382"/>
        <item m="1" x="6383"/>
        <item m="1" x="6031"/>
        <item m="1" x="5610"/>
        <item m="1" x="5453"/>
        <item m="1" x="6044"/>
        <item m="1" x="4648"/>
        <item x="577"/>
        <item x="578"/>
        <item m="1" x="4651"/>
        <item m="1" x="4652"/>
        <item x="588"/>
        <item m="1" x="4654"/>
        <item x="592"/>
        <item x="1538"/>
        <item m="1" x="5467"/>
        <item x="1550"/>
        <item m="1" x="5469"/>
        <item m="1" x="4667"/>
        <item x="608"/>
        <item m="1" x="4692"/>
        <item m="1" x="4693"/>
        <item m="1" x="4694"/>
        <item m="1" x="6429"/>
        <item m="1" x="6062"/>
        <item x="926"/>
        <item m="1" x="5514"/>
        <item m="1" x="5076"/>
        <item x="953"/>
        <item x="1879"/>
        <item x="952"/>
        <item m="1" x="3628"/>
        <item m="1" x="3651"/>
        <item m="1" x="3652"/>
        <item x="1854"/>
        <item m="1" x="6103"/>
        <item m="1" x="4007"/>
        <item m="1" x="6475"/>
        <item m="1" x="6476"/>
        <item m="1" x="6477"/>
        <item m="1" x="6478"/>
        <item m="1" x="4012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93"/>
        <item m="1" x="5612"/>
        <item m="1" x="5611"/>
        <item m="1" x="5613"/>
        <item x="2393"/>
        <item m="1" x="6521"/>
        <item x="1521"/>
        <item x="1524"/>
        <item m="1" x="5615"/>
        <item m="1" x="5765"/>
        <item x="1527"/>
        <item m="1" x="4661"/>
        <item m="1" x="4663"/>
        <item m="1" x="6131"/>
        <item x="1532"/>
        <item x="1536"/>
        <item x="1537"/>
        <item x="1539"/>
        <item x="2431"/>
        <item m="1" x="5619"/>
        <item m="1" x="5621"/>
        <item m="1" x="4666"/>
        <item m="1" x="6140"/>
        <item m="1" x="4668"/>
        <item m="1" x="4695"/>
        <item m="1" x="4696"/>
        <item m="1" x="4697"/>
        <item x="1857"/>
        <item m="1" x="5079"/>
        <item m="1" x="3671"/>
        <item m="1" x="3672"/>
        <item m="1" x="3673"/>
        <item m="1" x="3687"/>
        <item m="1" x="3688"/>
        <item m="1" x="6552"/>
        <item m="1" x="6186"/>
        <item m="1" x="6185"/>
        <item m="1" x="6559"/>
        <item m="1" x="6560"/>
        <item m="1" x="6561"/>
        <item m="1" x="6562"/>
        <item m="1" x="6563"/>
        <item m="1" x="6564"/>
        <item m="1" x="4112"/>
        <item m="1" x="4113"/>
        <item m="1" x="6565"/>
        <item m="1" x="4115"/>
        <item m="1" x="6218"/>
        <item m="1" x="4669"/>
        <item x="2395"/>
        <item m="1" x="6222"/>
        <item x="2407"/>
        <item x="2418"/>
        <item x="2420"/>
        <item x="2421"/>
        <item x="2429"/>
        <item x="2438"/>
        <item x="2445"/>
        <item m="1" x="5771"/>
        <item m="1" x="4700"/>
        <item m="1" x="4701"/>
        <item m="1" x="4702"/>
        <item m="1" x="4703"/>
        <item m="1" x="6232"/>
        <item x="2652"/>
        <item m="1" x="3703"/>
        <item m="1" x="6605"/>
        <item m="1" x="6606"/>
        <item m="1" x="6607"/>
        <item m="1" x="6614"/>
        <item m="1" x="6615"/>
        <item m="1" x="6616"/>
        <item m="1" x="6619"/>
        <item m="1" x="6620"/>
        <item x="2980"/>
        <item x="2983"/>
        <item x="2984"/>
        <item x="2985"/>
        <item x="2986"/>
        <item m="1" x="4706"/>
        <item m="1" x="6645"/>
        <item m="1" x="6648"/>
        <item m="1" x="4117"/>
        <item x="3214"/>
        <item m="1" x="4708"/>
        <item m="1" x="5960"/>
        <item m="1" x="3533"/>
        <item x="16"/>
        <item m="1" x="3714"/>
        <item x="348"/>
        <item x="349"/>
        <item m="1" x="3749"/>
        <item m="1" x="3812"/>
        <item m="1" x="4846"/>
        <item m="1" x="5967"/>
        <item m="1" x="3891"/>
        <item m="1" x="3892"/>
        <item m="1" x="4188"/>
        <item m="1" x="4225"/>
        <item m="1" x="5373"/>
        <item m="1" x="4528"/>
        <item m="1" x="5375"/>
        <item m="1" x="5973"/>
        <item x="64"/>
        <item x="67"/>
        <item m="1" x="4691"/>
        <item x="759"/>
        <item x="120"/>
        <item x="121"/>
        <item x="764"/>
        <item x="152"/>
        <item x="159"/>
        <item x="161"/>
        <item x="162"/>
        <item x="179"/>
        <item m="1" x="5022"/>
        <item m="1" x="5085"/>
        <item m="1" x="5980"/>
        <item x="216"/>
        <item x="219"/>
        <item x="220"/>
        <item x="226"/>
        <item x="250"/>
        <item m="1" x="5984"/>
        <item m="1" x="5985"/>
        <item m="1" x="5986"/>
        <item x="238"/>
        <item m="1" x="5987"/>
        <item x="252"/>
        <item x="278"/>
        <item x="279"/>
        <item x="293"/>
        <item m="1" x="5991"/>
        <item m="1" x="5992"/>
        <item x="311"/>
        <item x="312"/>
        <item x="313"/>
        <item x="314"/>
        <item x="315"/>
        <item m="1" x="5409"/>
        <item x="347"/>
        <item m="1" x="3740"/>
        <item x="375"/>
        <item m="1" x="6014"/>
        <item m="1" x="4841"/>
        <item m="1" x="4842"/>
        <item m="1" x="4848"/>
        <item m="1" x="6019"/>
        <item m="1" x="4854"/>
        <item m="1" x="6020"/>
        <item m="1" x="6021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x="426"/>
        <item x="468"/>
        <item m="1" x="5443"/>
        <item m="1" x="5444"/>
        <item m="1" x="6028"/>
        <item m="1" x="4299"/>
        <item x="477"/>
        <item x="478"/>
        <item m="1" x="5449"/>
        <item m="1" x="5450"/>
        <item m="1" x="5451"/>
        <item m="1" x="5452"/>
        <item x="501"/>
        <item x="517"/>
        <item x="502"/>
        <item m="1" x="6033"/>
        <item m="1" x="6034"/>
        <item m="1" x="6035"/>
        <item m="1" x="6036"/>
        <item m="1" x="6120"/>
        <item m="1" x="6037"/>
        <item m="1" x="6038"/>
        <item x="534"/>
        <item m="1" x="5462"/>
        <item m="1" x="4618"/>
        <item x="538"/>
        <item x="539"/>
        <item m="1" x="4628"/>
        <item x="551"/>
        <item m="1" x="4625"/>
        <item x="553"/>
        <item m="1" x="5463"/>
        <item x="557"/>
        <item m="1" x="5464"/>
        <item x="566"/>
        <item m="1" x="6042"/>
        <item x="591"/>
        <item x="686"/>
        <item x="653"/>
        <item x="654"/>
        <item x="655"/>
        <item m="1" x="4686"/>
        <item x="1609"/>
        <item x="758"/>
        <item x="760"/>
        <item x="761"/>
        <item x="762"/>
        <item x="763"/>
        <item x="765"/>
        <item x="808"/>
        <item x="789"/>
        <item x="819"/>
        <item x="802"/>
        <item x="870"/>
        <item x="871"/>
        <item x="872"/>
        <item x="873"/>
        <item m="1" x="5504"/>
        <item m="1" x="5505"/>
        <item m="1" x="4969"/>
        <item m="1" x="4970"/>
        <item x="3494"/>
        <item m="1" x="5506"/>
        <item m="1" x="5507"/>
        <item m="1" x="5508"/>
        <item m="1" x="4971"/>
        <item x="3502"/>
        <item x="884"/>
        <item x="885"/>
        <item m="1" x="5023"/>
        <item m="1" x="6061"/>
        <item m="1" x="6063"/>
        <item x="941"/>
        <item x="949"/>
        <item m="1" x="5077"/>
        <item m="1" x="5187"/>
        <item m="1" x="5101"/>
        <item m="1" x="5518"/>
        <item m="1" x="5095"/>
        <item m="1" x="5102"/>
        <item m="1" x="5094"/>
        <item m="1" x="6064"/>
        <item x="978"/>
        <item x="979"/>
        <item x="980"/>
        <item x="981"/>
        <item x="982"/>
        <item x="1036"/>
        <item x="2058"/>
        <item x="2078"/>
        <item m="1" x="5350"/>
        <item m="1" x="5528"/>
        <item x="2082"/>
        <item x="1046"/>
        <item m="1" x="6070"/>
        <item x="1048"/>
        <item m="1" x="5353"/>
        <item x="1057"/>
        <item m="1" x="6077"/>
        <item x="1066"/>
        <item x="1082"/>
        <item m="1" x="6082"/>
        <item m="1" x="5542"/>
        <item m="1" x="3720"/>
        <item x="1173"/>
        <item m="1" x="5543"/>
        <item x="1174"/>
        <item x="1175"/>
        <item m="1" x="3722"/>
        <item m="1" x="5549"/>
        <item x="1249"/>
        <item x="1250"/>
        <item x="1252"/>
        <item x="2211"/>
        <item x="1254"/>
        <item x="1255"/>
        <item x="1257"/>
        <item x="1287"/>
        <item x="1288"/>
        <item x="1289"/>
        <item x="1290"/>
        <item m="1" x="4863"/>
        <item m="1" x="6112"/>
        <item m="1" x="5577"/>
        <item m="1" x="4008"/>
        <item m="1" x="4009"/>
        <item m="1" x="4010"/>
        <item m="1" x="4011"/>
        <item m="1" x="4013"/>
        <item m="1" x="4014"/>
        <item m="1" x="4108"/>
        <item m="1" x="5581"/>
        <item m="1" x="4110"/>
        <item m="1" x="4015"/>
        <item m="1" x="4016"/>
        <item m="1" x="4017"/>
        <item m="1" x="4018"/>
        <item m="1" x="4019"/>
        <item m="1" x="4020"/>
        <item m="1" x="4021"/>
        <item m="1" x="5582"/>
        <item m="1" x="4022"/>
        <item m="1" x="5583"/>
        <item m="1" x="5584"/>
        <item m="1" x="5585"/>
        <item m="1" x="4023"/>
        <item m="1" x="4024"/>
        <item m="1" x="4025"/>
        <item m="1" x="4026"/>
        <item m="1" x="5587"/>
        <item m="1" x="5588"/>
        <item m="1" x="5595"/>
        <item m="1" x="4384"/>
        <item m="1" x="4385"/>
        <item m="1" x="4386"/>
        <item m="1" x="4387"/>
        <item m="1" x="4388"/>
        <item m="1" x="4410"/>
        <item m="1" x="5603"/>
        <item m="1" x="5604"/>
        <item m="1" x="5607"/>
        <item x="1464"/>
        <item x="1465"/>
        <item x="1466"/>
        <item x="1467"/>
        <item x="1468"/>
        <item m="1" x="6118"/>
        <item m="1" x="6119"/>
        <item m="1" x="6121"/>
        <item x="1479"/>
        <item m="1" x="6122"/>
        <item x="1480"/>
        <item x="1481"/>
        <item x="1482"/>
        <item x="1483"/>
        <item x="1484"/>
        <item x="1487"/>
        <item m="1" x="4630"/>
        <item m="1" x="4632"/>
        <item x="1531"/>
        <item m="1" x="5616"/>
        <item m="1" x="6150"/>
        <item x="1607"/>
        <item x="1610"/>
        <item x="1612"/>
        <item x="1613"/>
        <item m="1" x="6152"/>
        <item x="1669"/>
        <item x="1670"/>
        <item x="1700"/>
        <item x="1705"/>
        <item x="1704"/>
        <item x="1732"/>
        <item x="1731"/>
        <item x="1795"/>
        <item m="1" x="6154"/>
        <item x="1796"/>
        <item x="1797"/>
        <item m="1" x="4973"/>
        <item m="1" x="5677"/>
        <item m="1" x="5678"/>
        <item x="3504"/>
        <item x="1817"/>
        <item x="1818"/>
        <item x="1819"/>
        <item x="3517"/>
        <item m="1" x="5679"/>
        <item x="1820"/>
        <item x="1821"/>
        <item x="1822"/>
        <item x="3509"/>
        <item m="1" x="4974"/>
        <item x="1823"/>
        <item x="1825"/>
        <item x="1826"/>
        <item m="1" x="5039"/>
        <item m="1" x="5040"/>
        <item m="1" x="5041"/>
        <item m="1" x="6157"/>
        <item x="1871"/>
        <item m="1" x="5133"/>
        <item m="1" x="5123"/>
        <item m="1" x="5134"/>
        <item m="1" x="5126"/>
        <item m="1" x="5132"/>
        <item m="1" x="5157"/>
        <item m="1" x="5235"/>
        <item m="1" x="5254"/>
        <item m="1" x="5271"/>
        <item x="1901"/>
        <item x="1917"/>
        <item x="1918"/>
        <item x="1919"/>
        <item x="1920"/>
        <item x="1922"/>
        <item x="1923"/>
        <item x="1924"/>
        <item x="1925"/>
        <item x="1928"/>
        <item x="1984"/>
        <item x="2040"/>
        <item x="2059"/>
        <item x="2071"/>
        <item x="2075"/>
        <item x="2077"/>
        <item x="2081"/>
        <item x="2096"/>
        <item x="2126"/>
        <item m="1" x="5712"/>
        <item x="2162"/>
        <item x="2163"/>
        <item m="1" x="3724"/>
        <item x="2209"/>
        <item x="2210"/>
        <item x="2212"/>
        <item x="2213"/>
        <item x="2235"/>
        <item x="2236"/>
        <item x="2237"/>
        <item x="2703"/>
        <item m="1" x="6195"/>
        <item m="1" x="4871"/>
        <item m="1" x="6199"/>
        <item m="1" x="5733"/>
        <item m="1" x="4096"/>
        <item m="1" x="4104"/>
        <item m="1" x="4105"/>
        <item m="1" x="4106"/>
        <item m="1" x="4107"/>
        <item m="1" x="4109"/>
        <item m="1" x="4111"/>
        <item m="1" x="4114"/>
        <item m="1" x="4116"/>
        <item m="1" x="4118"/>
        <item m="1" x="4119"/>
        <item m="1" x="4120"/>
        <item m="1" x="4121"/>
        <item x="2312"/>
        <item m="1" x="5741"/>
        <item m="1" x="4470"/>
        <item m="1" x="4479"/>
        <item x="2336"/>
        <item x="2337"/>
        <item m="1" x="5749"/>
        <item m="1" x="6208"/>
        <item x="2346"/>
        <item x="2349"/>
        <item m="1" x="5755"/>
        <item x="2361"/>
        <item x="2362"/>
        <item m="1" x="4561"/>
        <item m="1" x="6211"/>
        <item m="1" x="6212"/>
        <item m="1" x="6213"/>
        <item m="1" x="6214"/>
        <item x="2368"/>
        <item x="2370"/>
        <item x="2373"/>
        <item x="2374"/>
        <item x="2375"/>
        <item m="1" x="6215"/>
        <item x="2377"/>
        <item m="1" x="4638"/>
        <item m="1" x="5761"/>
        <item x="2382"/>
        <item x="2383"/>
        <item x="2413"/>
        <item x="2442"/>
        <item m="1" x="4704"/>
        <item m="1" x="4707"/>
        <item x="2457"/>
        <item m="1" x="6226"/>
        <item x="2534"/>
        <item x="2535"/>
        <item x="2571"/>
        <item x="2559"/>
        <item x="2569"/>
        <item x="2570"/>
        <item x="2561"/>
        <item m="1" x="4913"/>
        <item x="2616"/>
        <item x="2617"/>
        <item m="1" x="6230"/>
        <item x="2628"/>
        <item m="1" x="5796"/>
        <item x="2629"/>
        <item m="1" x="4976"/>
        <item x="3489"/>
        <item x="2630"/>
        <item m="1" x="4978"/>
        <item m="1" x="5051"/>
        <item m="1" x="6231"/>
        <item m="1" x="5164"/>
        <item m="1" x="5301"/>
        <item m="1" x="5192"/>
        <item x="2686"/>
        <item x="2687"/>
        <item x="2688"/>
        <item x="2689"/>
        <item x="2690"/>
        <item x="2691"/>
        <item x="2705"/>
        <item x="2692"/>
        <item x="2693"/>
        <item x="2694"/>
        <item x="2769"/>
        <item x="2777"/>
        <item x="2780"/>
        <item x="2784"/>
        <item x="3133"/>
        <item x="2785"/>
        <item x="2786"/>
        <item x="2791"/>
        <item x="2794"/>
        <item x="2798"/>
        <item x="2799"/>
        <item x="2800"/>
        <item x="2803"/>
        <item m="1" x="6245"/>
        <item m="1" x="5361"/>
        <item x="2841"/>
        <item m="1" x="3726"/>
        <item x="2858"/>
        <item x="2893"/>
        <item x="1251"/>
        <item m="1" x="3778"/>
        <item m="1" x="3867"/>
        <item m="1" x="6257"/>
        <item m="1" x="5842"/>
        <item m="1" x="4158"/>
        <item m="1" x="4159"/>
        <item m="1" x="4160"/>
        <item m="1" x="4162"/>
        <item m="1" x="4163"/>
        <item m="1" x="4164"/>
        <item m="1" x="4165"/>
        <item m="1" x="6263"/>
        <item m="1" x="6264"/>
        <item m="1" x="5849"/>
        <item m="1" x="5850"/>
        <item m="1" x="5851"/>
        <item x="2964"/>
        <item m="1" x="4560"/>
        <item m="1" x="6266"/>
        <item x="2969"/>
        <item m="1" x="4641"/>
        <item x="2988"/>
        <item m="1" x="5855"/>
        <item m="1" x="4882"/>
        <item x="2998"/>
        <item m="1" x="6275"/>
        <item x="3061"/>
        <item m="1" x="5862"/>
        <item m="1" x="5058"/>
        <item m="1" x="5330"/>
        <item m="1" x="5335"/>
        <item m="1" x="5336"/>
        <item x="3073"/>
        <item x="3074"/>
        <item x="3076"/>
        <item m="1" x="5198"/>
        <item x="3077"/>
        <item x="3078"/>
        <item x="3079"/>
        <item x="3119"/>
        <item x="3125"/>
        <item x="3126"/>
        <item m="1" x="5874"/>
        <item x="3130"/>
        <item m="1" x="5877"/>
        <item x="3141"/>
        <item x="3148"/>
        <item x="3149"/>
        <item x="3151"/>
        <item x="3154"/>
        <item x="3155"/>
        <item m="1" x="5532"/>
        <item x="237"/>
        <item x="3216"/>
        <item m="1" x="6284"/>
        <item m="1" x="4174"/>
        <item x="3186"/>
        <item x="3190"/>
        <item x="3211"/>
        <item x="3219"/>
        <item x="3220"/>
        <item m="1" x="5883"/>
        <item x="3260"/>
        <item m="1" x="5884"/>
        <item x="3267"/>
        <item x="3271"/>
        <item x="3272"/>
        <item x="3274"/>
        <item x="3277"/>
        <item m="1" x="5911"/>
        <item x="3192"/>
        <item m="1" x="5006"/>
        <item m="1" x="5948"/>
        <item x="3493"/>
        <item x="3465"/>
        <item m="1" x="5007"/>
        <item x="3486"/>
        <item m="1" x="5949"/>
        <item m="1" x="5950"/>
        <item m="1" x="5951"/>
        <item x="3467"/>
        <item m="1" x="5952"/>
        <item m="1" x="5953"/>
        <item m="1" x="5008"/>
        <item m="1" x="5954"/>
        <item m="1" x="5955"/>
        <item m="1" x="5009"/>
        <item x="3469"/>
        <item x="3500"/>
        <item x="3470"/>
        <item m="1" x="5956"/>
        <item x="3471"/>
        <item m="1" x="5957"/>
        <item x="3515"/>
        <item m="1" x="6315"/>
        <item x="3472"/>
        <item x="2"/>
        <item x="1"/>
        <item m="1" x="5365"/>
        <item m="1" x="5367"/>
        <item x="22"/>
        <item x="27"/>
        <item x="29"/>
        <item m="1" x="5370"/>
        <item x="40"/>
        <item m="1" x="4226"/>
        <item m="1" x="4227"/>
        <item m="1" x="4228"/>
        <item m="1" x="5374"/>
        <item x="52"/>
        <item x="3202"/>
        <item x="61"/>
        <item x="62"/>
        <item m="1" x="4645"/>
        <item x="122"/>
        <item x="123"/>
        <item x="124"/>
        <item x="125"/>
        <item x="126"/>
        <item x="127"/>
        <item x="128"/>
        <item x="129"/>
        <item x="150"/>
        <item m="1" x="4903"/>
        <item m="1" x="5385"/>
        <item m="1" x="5386"/>
        <item x="163"/>
        <item m="1" x="5392"/>
        <item x="993"/>
        <item x="209"/>
        <item x="212"/>
        <item x="229"/>
        <item m="1" x="3534"/>
        <item m="1" x="5396"/>
        <item m="1" x="3535"/>
        <item x="247"/>
        <item x="243"/>
        <item x="239"/>
        <item x="251"/>
        <item x="1077"/>
        <item m="1" x="5398"/>
        <item m="1" x="5399"/>
        <item x="246"/>
        <item x="241"/>
        <item m="1" x="5402"/>
        <item m="1" x="5403"/>
        <item m="1" x="5404"/>
        <item x="317"/>
        <item x="316"/>
        <item x="353"/>
        <item x="371"/>
        <item m="1" x="3828"/>
        <item x="392"/>
        <item x="393"/>
        <item x="395"/>
        <item x="396"/>
        <item m="1" x="5431"/>
        <item x="469"/>
        <item m="1" x="4290"/>
        <item x="1002"/>
        <item m="1" x="4291"/>
        <item m="1" x="4292"/>
        <item m="1" x="4293"/>
        <item m="1" x="4525"/>
        <item m="1" x="5454"/>
        <item x="515"/>
        <item x="516"/>
        <item x="3193"/>
        <item m="1" x="4557"/>
        <item x="3198"/>
        <item m="1" x="4559"/>
        <item m="1" x="5460"/>
        <item m="1" x="4563"/>
        <item m="1" x="5461"/>
        <item x="3203"/>
        <item m="1" x="4565"/>
        <item x="3207"/>
        <item x="541"/>
        <item m="1" x="5465"/>
        <item x="621"/>
        <item x="656"/>
        <item x="657"/>
        <item x="658"/>
        <item x="583"/>
        <item x="586"/>
        <item m="1" x="5468"/>
        <item x="1600"/>
        <item x="671"/>
        <item x="766"/>
        <item x="767"/>
        <item x="768"/>
        <item x="769"/>
        <item x="770"/>
        <item x="771"/>
        <item x="793"/>
        <item x="1712"/>
        <item x="807"/>
        <item x="790"/>
        <item x="800"/>
        <item m="1" x="5498"/>
        <item x="875"/>
        <item x="3359"/>
        <item x="3410"/>
        <item m="1" x="5502"/>
        <item m="1" x="4972"/>
        <item x="3475"/>
        <item x="3479"/>
        <item x="3481"/>
        <item x="3483"/>
        <item x="914"/>
        <item m="1" x="5033"/>
        <item m="1" x="5217"/>
        <item m="1" x="5520"/>
        <item x="973"/>
        <item x="985"/>
        <item x="986"/>
        <item x="988"/>
        <item x="989"/>
        <item x="990"/>
        <item x="992"/>
        <item x="1017"/>
        <item x="1059"/>
        <item x="1060"/>
        <item x="1061"/>
        <item x="1062"/>
        <item x="1075"/>
        <item x="1076"/>
        <item x="1073"/>
        <item x="1074"/>
        <item x="1078"/>
        <item m="1" x="5534"/>
        <item x="1067"/>
        <item m="1" x="5539"/>
        <item m="1" x="5540"/>
        <item m="1" x="5541"/>
        <item x="1179"/>
        <item x="1176"/>
        <item x="1177"/>
        <item x="1178"/>
        <item x="1258"/>
        <item x="1259"/>
        <item x="1292"/>
        <item m="1" x="3745"/>
        <item m="1" x="3761"/>
        <item m="1" x="5558"/>
        <item m="1" x="5559"/>
        <item m="1" x="3762"/>
        <item m="1" x="3841"/>
        <item m="1" x="5573"/>
        <item x="1308"/>
        <item x="1313"/>
        <item x="1314"/>
        <item x="1315"/>
        <item m="1" x="5574"/>
        <item m="1" x="5575"/>
        <item m="1" x="4858"/>
        <item m="1" x="4859"/>
        <item m="1" x="4864"/>
        <item m="1" x="4303"/>
        <item x="1972"/>
        <item m="1" x="4318"/>
        <item m="1" x="4390"/>
        <item m="1" x="5596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526"/>
        <item x="3196"/>
        <item x="3199"/>
        <item m="1" x="4564"/>
        <item x="3204"/>
        <item x="3205"/>
        <item x="1488"/>
        <item x="1510"/>
        <item x="1494"/>
        <item x="1498"/>
        <item x="1509"/>
        <item x="1508"/>
        <item x="1490"/>
        <item x="1547"/>
        <item x="1614"/>
        <item x="1616"/>
        <item m="1" x="5625"/>
        <item m="1" x="5626"/>
        <item x="1671"/>
        <item x="1672"/>
        <item x="1673"/>
        <item x="1674"/>
        <item x="1675"/>
        <item x="1676"/>
        <item x="1677"/>
        <item x="1730"/>
        <item m="1" x="4904"/>
        <item x="1698"/>
        <item x="1718"/>
        <item x="1719"/>
        <item x="1703"/>
        <item x="1799"/>
        <item m="1" x="5015"/>
        <item m="1" x="5680"/>
        <item x="1824"/>
        <item m="1" x="5681"/>
        <item x="3473"/>
        <item x="3478"/>
        <item m="1" x="5010"/>
        <item m="1" x="5682"/>
        <item x="3480"/>
        <item m="1" x="4043"/>
        <item m="1" x="5042"/>
        <item m="1" x="5043"/>
        <item m="1" x="5044"/>
        <item m="1" x="5045"/>
        <item x="1934"/>
        <item x="1937"/>
        <item x="1939"/>
        <item x="1941"/>
        <item x="1942"/>
        <item x="1946"/>
        <item x="1949"/>
        <item x="1952"/>
        <item x="1953"/>
        <item x="1983"/>
        <item x="1999"/>
        <item x="2022"/>
        <item x="2041"/>
        <item x="2042"/>
        <item x="2048"/>
        <item x="2083"/>
        <item x="2084"/>
        <item m="1" x="5708"/>
        <item x="2085"/>
        <item x="2086"/>
        <item x="2087"/>
        <item x="256"/>
        <item m="1" x="5709"/>
        <item x="2217"/>
        <item x="2218"/>
        <item x="2219"/>
        <item x="2220"/>
        <item x="2221"/>
        <item x="2222"/>
        <item m="1" x="3766"/>
        <item m="1" x="3767"/>
        <item m="1" x="3768"/>
        <item m="1" x="3769"/>
        <item x="2253"/>
        <item x="2255"/>
        <item x="2256"/>
        <item m="1" x="4413"/>
        <item m="1" x="4430"/>
        <item m="1" x="4471"/>
        <item m="1" x="4472"/>
        <item m="1" x="4512"/>
        <item m="1" x="4474"/>
        <item m="1" x="5752"/>
        <item m="1" x="5754"/>
        <item x="2363"/>
        <item x="3195"/>
        <item m="1" x="4558"/>
        <item m="1" x="4562"/>
        <item m="1" x="5758"/>
        <item m="1" x="5759"/>
        <item x="3208"/>
        <item x="2379"/>
        <item x="2380"/>
        <item m="1" x="5763"/>
        <item x="2970"/>
        <item x="2410"/>
        <item x="2428"/>
        <item x="2476"/>
        <item x="2466"/>
        <item m="1" x="5772"/>
        <item x="2563"/>
        <item m="1" x="4906"/>
        <item m="1" x="4905"/>
        <item x="2562"/>
        <item m="1" x="5790"/>
        <item x="2557"/>
        <item x="2558"/>
        <item x="2619"/>
        <item x="2620"/>
        <item x="3491"/>
        <item m="1" x="4979"/>
        <item x="2631"/>
        <item x="3482"/>
        <item m="1" x="5797"/>
        <item m="1" x="5052"/>
        <item m="1" x="5799"/>
        <item m="1" x="5053"/>
        <item m="1" x="5054"/>
        <item m="1" x="5056"/>
        <item x="2704"/>
        <item x="2707"/>
        <item x="2708"/>
        <item x="2709"/>
        <item x="2711"/>
        <item x="2754"/>
        <item m="1" x="5806"/>
        <item x="2771"/>
        <item m="1" x="5362"/>
        <item m="1" x="5363"/>
        <item x="2817"/>
        <item m="1" x="5364"/>
        <item x="2818"/>
        <item x="3161"/>
        <item x="2819"/>
        <item x="2820"/>
        <item x="2828"/>
        <item x="2827"/>
        <item m="1" x="5824"/>
        <item x="2860"/>
        <item x="2859"/>
        <item m="1" x="5828"/>
        <item x="2894"/>
        <item x="2911"/>
        <item m="1" x="5843"/>
        <item m="1" x="4510"/>
        <item m="1" x="4511"/>
        <item m="1" x="5853"/>
        <item x="2965"/>
        <item x="3194"/>
        <item m="1" x="4567"/>
        <item x="2971"/>
        <item x="2975"/>
        <item m="1" x="5854"/>
        <item x="2979"/>
        <item x="3477"/>
        <item x="3081"/>
        <item m="1" x="5868"/>
        <item x="3156"/>
        <item x="3157"/>
        <item x="3158"/>
        <item x="3160"/>
        <item x="3169"/>
        <item m="1" x="4880"/>
        <item x="3210"/>
        <item x="3474"/>
        <item x="3264"/>
        <item x="3279"/>
        <item x="3280"/>
        <item x="3197"/>
        <item m="1" x="5934"/>
        <item x="3394"/>
        <item m="1" x="5941"/>
        <item m="1" x="5942"/>
        <item m="1" x="5943"/>
        <item x="0"/>
        <item m="1" x="3536"/>
        <item x="240"/>
        <item x="242"/>
        <item m="1" x="3537"/>
        <item x="1071"/>
        <item x="1080"/>
        <item x="2098"/>
        <item x="2099"/>
        <item x="1118"/>
        <item x="1119"/>
        <item x="1120"/>
        <item x="280"/>
        <item x="1122"/>
        <item x="1123"/>
        <item x="1124"/>
        <item x="281"/>
        <item x="1125"/>
        <item x="8"/>
        <item x="9"/>
        <item x="2119"/>
        <item x="1126"/>
        <item x="2127"/>
        <item m="1" x="3545"/>
        <item m="1" x="3624"/>
        <item m="1" x="3669"/>
        <item m="1" x="3670"/>
        <item m="1" x="3625"/>
        <item m="1" x="3626"/>
        <item m="1" x="3570"/>
        <item m="1" x="3571"/>
        <item m="1" x="3627"/>
        <item m="1" x="3580"/>
        <item m="1" x="3581"/>
        <item m="1" x="3583"/>
        <item m="1" x="3584"/>
        <item m="1" x="3633"/>
        <item m="1" x="3585"/>
        <item m="1" x="3586"/>
        <item m="1" x="3546"/>
        <item m="1" x="3634"/>
        <item m="1" x="3587"/>
        <item m="1" x="3588"/>
        <item m="1" x="3707"/>
        <item m="1" x="3708"/>
        <item m="1" x="3709"/>
        <item m="1" x="3710"/>
        <item m="1" x="3719"/>
        <item x="2861"/>
        <item x="2164"/>
        <item x="318"/>
        <item x="1180"/>
        <item x="1181"/>
        <item x="319"/>
        <item x="2165"/>
        <item x="1182"/>
        <item x="1183"/>
        <item m="1" x="3727"/>
        <item x="3176"/>
        <item x="2166"/>
        <item x="1185"/>
        <item x="320"/>
        <item x="1187"/>
        <item x="2168"/>
        <item x="321"/>
        <item x="2863"/>
        <item x="1189"/>
        <item m="1" x="3715"/>
        <item x="1190"/>
        <item x="1191"/>
        <item x="324"/>
        <item x="1194"/>
        <item x="2170"/>
        <item x="1195"/>
        <item x="325"/>
        <item x="1196"/>
        <item x="1197"/>
        <item x="1198"/>
        <item x="2866"/>
        <item x="2871"/>
        <item x="3181"/>
        <item x="2223"/>
        <item x="2224"/>
        <item x="2895"/>
        <item x="354"/>
        <item x="1261"/>
        <item x="1262"/>
        <item x="2226"/>
        <item x="1263"/>
        <item x="356"/>
        <item x="357"/>
        <item x="2897"/>
        <item x="358"/>
        <item x="359"/>
        <item x="24"/>
        <item x="2898"/>
        <item x="3286"/>
        <item m="1" x="3728"/>
        <item x="3292"/>
        <item m="1" x="3717"/>
        <item x="3293"/>
        <item x="3287"/>
        <item x="3288"/>
        <item x="3296"/>
        <item x="3297"/>
        <item x="3298"/>
        <item x="3289"/>
        <item x="3299"/>
        <item x="3290"/>
        <item x="3291"/>
        <item m="1" x="3730"/>
        <item m="1" x="3731"/>
        <item m="1" x="3773"/>
        <item m="1" x="3771"/>
        <item m="1" x="3774"/>
        <item x="2243"/>
        <item m="1" x="3780"/>
        <item x="1300"/>
        <item m="1" x="3781"/>
        <item m="1" x="3782"/>
        <item m="1" x="3813"/>
        <item m="1" x="3793"/>
        <item m="1" x="3783"/>
        <item m="1" x="3784"/>
        <item m="1" x="3800"/>
        <item m="1" x="3801"/>
        <item m="1" x="3786"/>
        <item m="1" x="3787"/>
        <item m="1" x="3802"/>
        <item m="1" x="3794"/>
        <item m="1" x="3795"/>
        <item m="1" x="3796"/>
        <item m="1" x="3788"/>
        <item m="1" x="3789"/>
        <item m="1" x="3803"/>
        <item m="1" x="3790"/>
        <item m="1" x="3798"/>
        <item m="1" x="3799"/>
        <item m="1" x="3792"/>
        <item x="1317"/>
        <item x="397"/>
        <item x="1318"/>
        <item x="398"/>
        <item x="399"/>
        <item m="1" x="3873"/>
        <item m="1" x="3879"/>
        <item m="1" x="3876"/>
        <item x="447"/>
        <item x="2944"/>
        <item x="450"/>
        <item x="2324"/>
        <item x="2325"/>
        <item x="1417"/>
        <item m="1" x="4481"/>
        <item m="1" x="4294"/>
        <item m="1" x="4229"/>
        <item m="1" x="4295"/>
        <item m="1" x="4401"/>
        <item m="1" x="4296"/>
        <item x="1433"/>
        <item x="2342"/>
        <item x="483"/>
        <item x="1451"/>
        <item x="503"/>
        <item x="1452"/>
        <item x="518"/>
        <item x="519"/>
        <item x="1469"/>
        <item x="2364"/>
        <item x="2966"/>
        <item x="1470"/>
        <item m="1" x="4566"/>
        <item m="1" x="4568"/>
        <item m="1" x="4547"/>
        <item m="1" x="4549"/>
        <item m="1" x="4550"/>
        <item m="1" x="4537"/>
        <item m="1" x="4617"/>
        <item x="1477"/>
        <item x="58"/>
        <item x="2369"/>
        <item x="536"/>
        <item x="537"/>
        <item x="59"/>
        <item x="542"/>
        <item m="1" x="4629"/>
        <item x="2372"/>
        <item m="1" x="4619"/>
        <item m="1" x="4620"/>
        <item m="1" x="4621"/>
        <item x="2973"/>
        <item x="3314"/>
        <item m="1" x="4637"/>
        <item x="1491"/>
        <item m="1" x="4626"/>
        <item x="556"/>
        <item x="558"/>
        <item x="559"/>
        <item x="561"/>
        <item x="3325"/>
        <item x="1503"/>
        <item x="563"/>
        <item x="63"/>
        <item x="1506"/>
        <item m="1" x="4687"/>
        <item m="1" x="4689"/>
        <item m="1" x="4688"/>
        <item x="662"/>
        <item m="1" x="4684"/>
        <item m="1" x="4655"/>
        <item x="668"/>
        <item x="2458"/>
        <item x="2994"/>
        <item m="1" x="4839"/>
        <item m="1" x="4840"/>
        <item m="1" x="4843"/>
        <item m="1" x="4847"/>
        <item m="1" x="4878"/>
        <item m="1" x="4852"/>
        <item m="1" x="4865"/>
        <item m="1" x="4866"/>
        <item m="1" x="4855"/>
        <item x="1606"/>
        <item x="1611"/>
        <item x="670"/>
        <item x="672"/>
        <item x="1615"/>
        <item x="673"/>
        <item x="674"/>
        <item x="1618"/>
        <item x="3001"/>
        <item x="1619"/>
        <item x="2470"/>
        <item m="1" x="4884"/>
        <item m="1" x="4890"/>
        <item m="1" x="4894"/>
        <item m="1" x="4897"/>
        <item m="1" x="4895"/>
        <item m="1" x="4891"/>
        <item m="1" x="4885"/>
        <item x="772"/>
        <item x="1678"/>
        <item x="773"/>
        <item x="2536"/>
        <item x="130"/>
        <item x="1679"/>
        <item x="1680"/>
        <item x="131"/>
        <item x="132"/>
        <item x="2537"/>
        <item x="133"/>
        <item x="3241"/>
        <item x="134"/>
        <item x="135"/>
        <item x="136"/>
        <item x="774"/>
        <item x="775"/>
        <item x="137"/>
        <item x="138"/>
        <item x="776"/>
        <item x="139"/>
        <item x="2538"/>
        <item x="1681"/>
        <item x="1682"/>
        <item x="777"/>
        <item x="778"/>
        <item x="140"/>
        <item x="779"/>
        <item x="1695"/>
        <item x="3046"/>
        <item x="2553"/>
        <item x="1699"/>
        <item x="2554"/>
        <item x="791"/>
        <item x="796"/>
        <item x="801"/>
        <item x="1714"/>
        <item x="805"/>
        <item x="1716"/>
        <item x="151"/>
        <item x="1723"/>
        <item x="1728"/>
        <item m="1" x="4915"/>
        <item m="1" x="4916"/>
        <item m="1" x="4910"/>
        <item m="1" x="4907"/>
        <item x="1800"/>
        <item x="1801"/>
        <item x="876"/>
        <item x="2622"/>
        <item x="877"/>
        <item x="878"/>
        <item x="879"/>
        <item x="3250"/>
        <item x="880"/>
        <item x="1802"/>
        <item x="2625"/>
        <item x="2626"/>
        <item x="3255"/>
        <item m="1" x="4941"/>
        <item x="3485"/>
        <item x="3488"/>
        <item x="3490"/>
        <item x="915"/>
        <item x="2642"/>
        <item x="916"/>
        <item x="917"/>
        <item x="180"/>
        <item m="1" x="5047"/>
        <item m="1" x="5048"/>
        <item m="1" x="5059"/>
        <item x="181"/>
        <item x="922"/>
        <item x="184"/>
        <item x="927"/>
        <item x="187"/>
        <item x="188"/>
        <item x="932"/>
        <item x="190"/>
        <item x="943"/>
        <item m="1" x="5075"/>
        <item x="3518"/>
        <item x="2667"/>
        <item x="1929"/>
        <item x="1930"/>
        <item x="2695"/>
        <item x="203"/>
        <item x="2696"/>
        <item x="2697"/>
        <item x="1931"/>
        <item x="1932"/>
        <item x="2698"/>
        <item m="1" x="5197"/>
        <item x="1933"/>
        <item x="2699"/>
        <item x="2700"/>
        <item x="3080"/>
        <item x="983"/>
        <item x="984"/>
        <item m="1" x="5194"/>
        <item x="2712"/>
        <item x="2713"/>
        <item x="3082"/>
        <item x="1955"/>
        <item x="1956"/>
        <item x="2714"/>
        <item x="2715"/>
        <item x="1959"/>
        <item x="1960"/>
        <item x="1961"/>
        <item x="1965"/>
        <item x="1966"/>
        <item x="3083"/>
        <item x="1971"/>
        <item x="3097"/>
        <item x="1011"/>
        <item x="3099"/>
        <item x="1018"/>
        <item x="2756"/>
        <item x="2020"/>
        <item x="2025"/>
        <item x="2043"/>
        <item x="1028"/>
        <item x="2044"/>
        <item x="2045"/>
        <item x="3121"/>
        <item x="1037"/>
        <item x="2821"/>
        <item x="2088"/>
        <item x="2822"/>
        <item x="3162"/>
        <item x="2089"/>
        <item x="2090"/>
        <item x="3281"/>
        <item x="2823"/>
        <item x="3163"/>
        <item x="2091"/>
        <item x="230"/>
        <item x="1293"/>
        <item x="1294"/>
        <item m="1" x="3763"/>
        <item m="1" x="3764"/>
        <item m="1" x="3770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9"/>
        <item m="1" x="4041"/>
        <item m="1" x="4042"/>
        <item m="1" x="4044"/>
        <item m="1" x="4122"/>
        <item m="1" x="4123"/>
        <item m="1" x="4125"/>
        <item m="1" x="4126"/>
        <item m="1" x="4127"/>
        <item m="1" x="4128"/>
        <item m="1" x="4129"/>
        <item m="1" x="4131"/>
        <item m="1" x="4132"/>
        <item m="1" x="4133"/>
        <item m="1" x="4134"/>
        <item m="1" x="4166"/>
        <item m="1" x="4167"/>
        <item m="1" x="4168"/>
        <item m="1" x="4175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698"/>
        <item m="1" x="4699"/>
        <item m="1" x="4761"/>
        <item m="1" x="4762"/>
        <item m="1" x="4766"/>
        <item m="1" x="4769"/>
        <item m="1" x="4770"/>
        <item m="1" x="4771"/>
        <item m="1" x="4772"/>
        <item m="1" x="4774"/>
        <item m="1" x="4775"/>
        <item m="1" x="4776"/>
        <item m="1" x="4782"/>
        <item m="1" x="4783"/>
        <item m="1" x="4784"/>
        <item m="1" x="4785"/>
        <item m="1" x="4790"/>
        <item m="1" x="4793"/>
        <item m="1" x="4795"/>
        <item m="1" x="4796"/>
        <item m="1" x="4797"/>
        <item m="1" x="4801"/>
        <item m="1" x="4804"/>
        <item m="1" x="4805"/>
        <item m="1" x="4806"/>
        <item m="1" x="4811"/>
        <item m="1" x="4821"/>
        <item m="1" x="4822"/>
        <item m="1" x="4824"/>
        <item m="1" x="4825"/>
        <item m="1" x="4830"/>
        <item m="1" x="4831"/>
        <item m="1" x="4832"/>
        <item m="1" x="4834"/>
        <item m="1" x="4836"/>
        <item m="1" x="4837"/>
        <item m="1" x="4917"/>
        <item m="1" x="4918"/>
        <item m="1" x="4919"/>
        <item m="1" x="5103"/>
        <item m="1" x="5104"/>
        <item m="1" x="5105"/>
        <item m="1" x="5106"/>
        <item m="1" x="5107"/>
        <item m="1" x="5108"/>
        <item m="1" x="5112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8"/>
        <item m="1" x="5167"/>
        <item m="1" x="5168"/>
        <item m="1" x="5169"/>
        <item m="1" x="5170"/>
        <item m="1" x="5171"/>
        <item m="1" x="5185"/>
        <item x="2095"/>
        <item x="234"/>
        <item x="1069"/>
        <item x="2097"/>
        <item x="3"/>
        <item x="4"/>
        <item x="244"/>
        <item x="1079"/>
        <item x="249"/>
        <item x="254"/>
        <item x="257"/>
        <item x="1090"/>
        <item x="1127"/>
        <item x="1128"/>
        <item x="1129"/>
        <item x="10"/>
        <item x="283"/>
        <item x="1130"/>
        <item x="2835"/>
        <item x="2836"/>
        <item x="2837"/>
        <item x="2838"/>
        <item x="284"/>
        <item x="1141"/>
        <item x="322"/>
        <item x="2864"/>
        <item x="2865"/>
        <item x="1192"/>
        <item x="1193"/>
        <item x="2171"/>
        <item x="2867"/>
        <item x="2172"/>
        <item x="1199"/>
        <item x="1200"/>
        <item x="2173"/>
        <item x="2868"/>
        <item x="2869"/>
        <item x="2174"/>
        <item x="2175"/>
        <item x="1202"/>
        <item x="2177"/>
        <item x="2178"/>
        <item x="1203"/>
        <item x="327"/>
        <item x="1204"/>
        <item x="1205"/>
        <item x="2870"/>
        <item x="2179"/>
        <item x="328"/>
        <item x="1206"/>
        <item x="1207"/>
        <item x="329"/>
        <item x="1208"/>
        <item x="330"/>
        <item x="2180"/>
        <item x="2872"/>
        <item x="2181"/>
        <item x="2873"/>
        <item x="2182"/>
        <item x="17"/>
        <item x="3179"/>
        <item x="1209"/>
        <item x="331"/>
        <item x="1210"/>
        <item x="1211"/>
        <item x="1212"/>
        <item x="1215"/>
        <item x="1217"/>
        <item x="1219"/>
        <item x="1220"/>
        <item x="333"/>
        <item x="334"/>
        <item x="2880"/>
        <item x="335"/>
        <item x="337"/>
        <item x="2886"/>
        <item x="2888"/>
        <item x="2194"/>
        <item x="3294"/>
        <item x="2195"/>
        <item x="2196"/>
        <item x="3295"/>
        <item x="343"/>
        <item x="2215"/>
        <item x="350"/>
        <item x="1260"/>
        <item x="360"/>
        <item x="2227"/>
        <item x="361"/>
        <item x="1266"/>
        <item x="2228"/>
        <item x="2229"/>
        <item x="2230"/>
        <item x="1267"/>
        <item x="2231"/>
        <item x="1268"/>
        <item x="1269"/>
        <item x="1270"/>
        <item x="2899"/>
        <item x="2900"/>
        <item x="2901"/>
        <item x="1271"/>
        <item x="1272"/>
        <item x="372"/>
        <item x="373"/>
        <item x="380"/>
        <item x="382"/>
        <item x="1299"/>
        <item x="383"/>
        <item x="2244"/>
        <item x="2906"/>
        <item x="386"/>
        <item x="387"/>
        <item x="388"/>
        <item x="389"/>
        <item x="394"/>
        <item x="1312"/>
        <item x="3182"/>
        <item x="2912"/>
        <item x="1319"/>
        <item x="400"/>
        <item x="2259"/>
        <item x="1320"/>
        <item x="32"/>
        <item x="2260"/>
        <item x="401"/>
        <item x="402"/>
        <item x="1321"/>
        <item x="403"/>
        <item x="33"/>
        <item x="1322"/>
        <item x="1323"/>
        <item x="34"/>
        <item x="41"/>
        <item x="2310"/>
        <item x="451"/>
        <item x="1402"/>
        <item x="452"/>
        <item x="453"/>
        <item x="1403"/>
        <item x="42"/>
        <item x="2313"/>
        <item x="1404"/>
        <item x="456"/>
        <item x="2318"/>
        <item x="459"/>
        <item x="43"/>
        <item x="1412"/>
        <item x="1413"/>
        <item x="1414"/>
        <item x="1415"/>
        <item x="2958"/>
        <item x="521"/>
        <item x="522"/>
        <item x="3206"/>
        <item x="3212"/>
        <item x="1486"/>
        <item x="543"/>
        <item x="544"/>
        <item x="2376"/>
        <item x="60"/>
        <item x="1493"/>
        <item x="1495"/>
        <item x="1496"/>
        <item x="1499"/>
        <item x="1500"/>
        <item x="1501"/>
        <item x="567"/>
        <item x="2384"/>
        <item x="65"/>
        <item x="660"/>
        <item x="1578"/>
        <item x="661"/>
        <item x="663"/>
        <item x="81"/>
        <item x="669"/>
        <item x="2461"/>
        <item x="2468"/>
        <item x="82"/>
        <item x="676"/>
        <item x="677"/>
        <item x="2999"/>
        <item x="1620"/>
        <item x="679"/>
        <item x="1621"/>
        <item x="1622"/>
        <item x="680"/>
        <item x="3000"/>
        <item x="1623"/>
        <item x="1624"/>
        <item x="2471"/>
        <item x="681"/>
        <item x="1625"/>
        <item x="3221"/>
        <item x="1626"/>
        <item x="684"/>
        <item x="2473"/>
        <item x="685"/>
        <item x="1627"/>
        <item x="2474"/>
        <item x="1628"/>
        <item x="1630"/>
        <item x="1632"/>
        <item x="687"/>
        <item x="3002"/>
        <item x="1633"/>
        <item x="2477"/>
        <item x="3004"/>
        <item x="3005"/>
        <item x="689"/>
        <item x="2478"/>
        <item x="780"/>
        <item x="141"/>
        <item x="142"/>
        <item x="781"/>
        <item x="782"/>
        <item x="143"/>
        <item x="144"/>
        <item x="783"/>
        <item x="1683"/>
        <item x="784"/>
        <item x="785"/>
        <item x="2544"/>
        <item x="2552"/>
        <item x="1709"/>
        <item x="798"/>
        <item x="147"/>
        <item x="806"/>
        <item x="148"/>
        <item x="1717"/>
        <item x="2567"/>
        <item x="812"/>
        <item x="3059"/>
        <item x="2623"/>
        <item x="1803"/>
        <item x="1804"/>
        <item x="1805"/>
        <item x="1806"/>
        <item x="1809"/>
        <item x="3387"/>
        <item x="3397"/>
        <item x="3398"/>
        <item x="3492"/>
        <item x="3495"/>
        <item x="3496"/>
        <item x="3497"/>
        <item x="3499"/>
        <item x="3505"/>
        <item x="3506"/>
        <item x="3508"/>
        <item x="3512"/>
        <item x="3516"/>
        <item x="886"/>
        <item x="888"/>
        <item x="2644"/>
        <item x="1849"/>
        <item x="2646"/>
        <item x="183"/>
        <item x="1877"/>
        <item x="3519"/>
        <item x="3520"/>
        <item x="2685"/>
        <item x="997"/>
        <item x="998"/>
        <item x="2718"/>
        <item x="999"/>
        <item x="1001"/>
        <item x="1974"/>
        <item x="1975"/>
        <item x="1976"/>
        <item x="2719"/>
        <item x="1003"/>
        <item x="1004"/>
        <item x="1005"/>
        <item x="1006"/>
        <item x="204"/>
        <item x="3087"/>
        <item x="1977"/>
        <item x="1007"/>
        <item x="205"/>
        <item x="1978"/>
        <item x="3089"/>
        <item x="1008"/>
        <item x="1980"/>
        <item x="1009"/>
        <item x="1986"/>
        <item x="1990"/>
        <item x="1013"/>
        <item x="2732"/>
        <item x="2003"/>
        <item x="2011"/>
        <item x="2016"/>
        <item x="207"/>
        <item x="2760"/>
        <item x="3114"/>
        <item x="1029"/>
        <item x="2770"/>
        <item x="2054"/>
        <item x="211"/>
        <item x="231"/>
        <item x="3164"/>
        <item x="232"/>
        <item x="1064"/>
        <item x="3165"/>
        <item x="3166"/>
        <item x="2092"/>
        <item x="3167"/>
        <item x="2824"/>
        <item x="3168"/>
        <item x="2825"/>
        <item x="2093"/>
        <item x="3282"/>
        <item x="2094"/>
        <item x="3283"/>
      </items>
    </pivotField>
    <pivotField axis="axisRow" compact="0" outline="0" showAll="0">
      <items count="4742">
        <item m="1" x="4640"/>
        <item x="2837"/>
        <item x="2835"/>
        <item x="2793"/>
        <item x="2838"/>
        <item x="2834"/>
        <item x="2828"/>
        <item x="2829"/>
        <item m="1" x="3518"/>
        <item x="2830"/>
        <item x="2598"/>
        <item m="1" x="3298"/>
        <item m="1" x="3191"/>
        <item x="2680"/>
        <item x="2663"/>
        <item x="2586"/>
        <item x="2130"/>
        <item x="2210"/>
        <item x="2409"/>
        <item x="2250"/>
        <item m="1" x="4571"/>
        <item x="2132"/>
        <item x="2244"/>
        <item m="1" x="3155"/>
        <item m="1" x="3461"/>
        <item x="1977"/>
        <item m="1" x="4072"/>
        <item x="2246"/>
        <item m="1" x="4047"/>
        <item m="1" x="4535"/>
        <item m="1" x="4073"/>
        <item m="1" x="3429"/>
        <item x="1879"/>
        <item x="2951"/>
        <item m="1" x="4544"/>
        <item m="1" x="3670"/>
        <item x="2242"/>
        <item m="1" x="3162"/>
        <item x="2247"/>
        <item x="2251"/>
        <item x="2248"/>
        <item x="2299"/>
        <item x="1984"/>
        <item x="2294"/>
        <item x="2267"/>
        <item x="2257"/>
        <item m="1" x="3430"/>
        <item m="1" x="3154"/>
        <item x="2253"/>
        <item x="2291"/>
        <item x="2992"/>
        <item x="2290"/>
        <item x="2252"/>
        <item x="2245"/>
        <item x="2254"/>
        <item x="1993"/>
        <item x="2282"/>
        <item x="2293"/>
        <item x="2128"/>
        <item x="2330"/>
        <item m="1" x="3297"/>
        <item x="2249"/>
        <item m="1" x="3705"/>
        <item x="2243"/>
        <item x="2256"/>
        <item x="2158"/>
        <item x="2258"/>
        <item x="1886"/>
        <item x="2296"/>
        <item x="2283"/>
        <item m="1" x="3161"/>
        <item x="1944"/>
        <item x="2255"/>
        <item x="1270"/>
        <item x="1520"/>
        <item x="1300"/>
        <item x="1513"/>
        <item x="1076"/>
        <item m="1" x="3757"/>
        <item x="1517"/>
        <item x="1531"/>
        <item x="1515"/>
        <item m="1" x="3669"/>
        <item x="1522"/>
        <item x="1518"/>
        <item x="1619"/>
        <item x="1643"/>
        <item x="1532"/>
        <item x="1386"/>
        <item x="1304"/>
        <item x="1748"/>
        <item x="1772"/>
        <item x="978"/>
        <item x="1385"/>
        <item x="1460"/>
        <item x="1360"/>
        <item x="1380"/>
        <item x="1534"/>
        <item x="1521"/>
        <item x="1530"/>
        <item m="1" x="4657"/>
        <item x="1461"/>
        <item m="1" x="4145"/>
        <item x="1538"/>
        <item x="1546"/>
        <item x="1063"/>
        <item m="1" x="3201"/>
        <item x="1445"/>
        <item x="1576"/>
        <item m="1" x="3293"/>
        <item x="1490"/>
        <item x="1533"/>
        <item x="1289"/>
        <item x="1227"/>
        <item x="1394"/>
        <item x="1463"/>
        <item m="1" x="3374"/>
        <item x="1379"/>
        <item m="1" x="4504"/>
        <item x="1577"/>
        <item x="1512"/>
        <item x="1309"/>
        <item x="1462"/>
        <item x="1541"/>
        <item m="1" x="3211"/>
        <item x="1372"/>
        <item x="2987"/>
        <item x="1526"/>
        <item x="3013"/>
        <item x="1384"/>
        <item x="1523"/>
        <item x="1381"/>
        <item x="1528"/>
        <item x="1539"/>
        <item x="2922"/>
        <item x="1376"/>
        <item x="1535"/>
        <item m="1" x="3295"/>
        <item x="1529"/>
        <item x="1336"/>
        <item m="1" x="4671"/>
        <item x="1542"/>
        <item x="1590"/>
        <item x="1524"/>
        <item x="1240"/>
        <item m="1" x="3646"/>
        <item x="1527"/>
        <item m="1" x="3415"/>
        <item m="1" x="3620"/>
        <item x="1536"/>
        <item x="1181"/>
        <item x="1215"/>
        <item m="1" x="3878"/>
        <item x="1544"/>
        <item m="1" x="3294"/>
        <item x="1391"/>
        <item x="1514"/>
        <item x="1378"/>
        <item x="1525"/>
        <item x="1616"/>
        <item x="1593"/>
        <item x="1543"/>
        <item x="1519"/>
        <item x="1592"/>
        <item x="1383"/>
        <item m="1" x="3296"/>
        <item x="1229"/>
        <item m="1" x="3532"/>
        <item x="1382"/>
        <item x="1549"/>
        <item x="1377"/>
        <item x="1231"/>
        <item m="1" x="4112"/>
        <item x="2977"/>
        <item x="1516"/>
        <item x="1540"/>
        <item x="399"/>
        <item m="1" x="3877"/>
        <item x="765"/>
        <item x="612"/>
        <item x="804"/>
        <item m="1" x="4070"/>
        <item x="750"/>
        <item x="809"/>
        <item x="2969"/>
        <item x="2971"/>
        <item x="2911"/>
        <item m="1" x="4060"/>
        <item x="302"/>
        <item m="1" x="3222"/>
        <item x="678"/>
        <item x="811"/>
        <item x="884"/>
        <item x="583"/>
        <item x="578"/>
        <item x="2953"/>
        <item x="3001"/>
        <item x="580"/>
        <item x="757"/>
        <item x="284"/>
        <item x="584"/>
        <item x="2941"/>
        <item x="751"/>
        <item x="576"/>
        <item x="693"/>
        <item x="585"/>
        <item x="806"/>
        <item x="268"/>
        <item m="1" x="3280"/>
        <item x="749"/>
        <item x="867"/>
        <item x="597"/>
        <item x="759"/>
        <item x="313"/>
        <item x="577"/>
        <item x="2986"/>
        <item x="295"/>
        <item x="775"/>
        <item m="1" x="3100"/>
        <item m="1" x="4128"/>
        <item x="752"/>
        <item x="639"/>
        <item x="587"/>
        <item x="761"/>
        <item x="516"/>
        <item x="467"/>
        <item m="1" x="4126"/>
        <item x="594"/>
        <item x="351"/>
        <item x="696"/>
        <item x="758"/>
        <item x="440"/>
        <item m="1" x="4375"/>
        <item x="2962"/>
        <item m="1" x="4055"/>
        <item x="810"/>
        <item x="586"/>
        <item x="581"/>
        <item x="673"/>
        <item x="290"/>
        <item x="813"/>
        <item x="579"/>
        <item x="756"/>
        <item x="592"/>
        <item x="753"/>
        <item x="780"/>
        <item x="589"/>
        <item x="762"/>
        <item x="812"/>
        <item x="766"/>
        <item m="1" x="3585"/>
        <item x="312"/>
        <item x="808"/>
        <item m="1" x="3753"/>
        <item x="807"/>
        <item x="2989"/>
        <item x="755"/>
        <item x="754"/>
        <item x="291"/>
        <item x="760"/>
        <item x="591"/>
        <item x="590"/>
        <item x="2940"/>
        <item x="588"/>
        <item x="582"/>
        <item x="825"/>
        <item x="2965"/>
        <item x="593"/>
        <item x="782"/>
        <item x="499"/>
        <item x="819"/>
        <item x="358"/>
        <item x="595"/>
        <item x="610"/>
        <item x="596"/>
        <item x="71"/>
        <item x="157"/>
        <item x="156"/>
        <item x="147"/>
        <item x="72"/>
        <item x="158"/>
        <item x="190"/>
        <item x="107"/>
        <item x="146"/>
        <item m="1" x="4738"/>
        <item x="143"/>
        <item x="2772"/>
        <item x="2883"/>
        <item x="1075"/>
        <item m="1" x="3863"/>
        <item x="836"/>
        <item x="1316"/>
        <item m="1" x="3912"/>
        <item m="1" x="3899"/>
        <item m="1" x="4358"/>
        <item m="1" x="3580"/>
        <item x="818"/>
        <item x="247"/>
        <item m="1" x="3068"/>
        <item x="11"/>
        <item m="1" x="4308"/>
        <item m="1" x="4352"/>
        <item m="1" x="4396"/>
        <item x="947"/>
        <item m="1" x="3254"/>
        <item x="2773"/>
        <item x="2866"/>
        <item x="248"/>
        <item x="1800"/>
        <item x="948"/>
        <item x="249"/>
        <item x="250"/>
        <item x="1805"/>
        <item x="251"/>
        <item x="972"/>
        <item x="1808"/>
        <item x="253"/>
        <item x="1814"/>
        <item x="1288"/>
        <item x="2931"/>
        <item m="1" x="3225"/>
        <item x="962"/>
        <item x="963"/>
        <item x="1153"/>
        <item x="965"/>
        <item x="835"/>
        <item x="2872"/>
        <item m="1" x="3588"/>
        <item m="1" x="4667"/>
        <item x="2091"/>
        <item m="1" x="4464"/>
        <item m="1" x="4477"/>
        <item m="1" x="4453"/>
        <item x="968"/>
        <item x="969"/>
        <item m="1" x="3838"/>
        <item m="1" x="3358"/>
        <item x="2975"/>
        <item x="1820"/>
        <item x="1176"/>
        <item x="1976"/>
        <item x="2381"/>
        <item x="274"/>
        <item x="1001"/>
        <item x="2000"/>
        <item m="1" x="3325"/>
        <item x="995"/>
        <item m="1" x="4675"/>
        <item x="1059"/>
        <item x="526"/>
        <item m="1" x="3309"/>
        <item x="493"/>
        <item x="1193"/>
        <item x="2669"/>
        <item x="2384"/>
        <item m="1" x="3066"/>
        <item m="1" x="3110"/>
        <item m="1" x="3067"/>
        <item m="1" x="3169"/>
        <item x="2223"/>
        <item m="1" x="3170"/>
        <item m="1" x="3079"/>
        <item m="1" x="3111"/>
        <item m="1" x="3112"/>
        <item m="1" x="3171"/>
        <item m="1" x="3069"/>
        <item m="1" x="3070"/>
        <item m="1" x="3113"/>
        <item m="1" x="3071"/>
        <item m="1" x="3148"/>
        <item x="1409"/>
        <item m="1" x="3149"/>
        <item m="1" x="3072"/>
        <item m="1" x="3073"/>
        <item m="1" x="3410"/>
        <item m="1" x="3118"/>
        <item m="1" x="3126"/>
        <item x="1032"/>
        <item m="1" x="3129"/>
        <item x="2081"/>
        <item x="2185"/>
        <item m="1" x="3180"/>
        <item m="1" x="3065"/>
        <item m="1" x="3114"/>
        <item x="1492"/>
        <item x="1149"/>
        <item m="1" x="3074"/>
        <item m="1" x="3115"/>
        <item m="1" x="3147"/>
        <item x="791"/>
        <item x="1023"/>
        <item x="1677"/>
        <item m="1" x="3150"/>
        <item x="450"/>
        <item m="1" x="3116"/>
        <item m="1" x="3146"/>
        <item m="1" x="3555"/>
        <item m="1" x="3142"/>
        <item m="1" x="3099"/>
        <item m="1" x="3077"/>
        <item x="646"/>
        <item x="1825"/>
        <item x="1826"/>
        <item x="1828"/>
        <item x="2774"/>
        <item x="1827"/>
        <item x="2462"/>
        <item x="2775"/>
        <item x="1006"/>
        <item m="1" x="4485"/>
        <item x="1926"/>
        <item x="1127"/>
        <item x="1927"/>
        <item x="2521"/>
        <item x="348"/>
        <item x="1133"/>
        <item m="1" x="3812"/>
        <item m="1" x="4414"/>
        <item m="1" x="3209"/>
        <item m="1" x="3210"/>
        <item m="1" x="4439"/>
        <item x="490"/>
        <item x="1086"/>
        <item m="1" x="3208"/>
        <item x="317"/>
        <item m="1" x="4310"/>
        <item x="1765"/>
        <item x="2295"/>
        <item x="431"/>
        <item x="514"/>
        <item x="1932"/>
        <item x="2524"/>
        <item x="1934"/>
        <item x="1933"/>
        <item m="1" x="4147"/>
        <item m="1" x="4646"/>
        <item m="1" x="4647"/>
        <item x="2494"/>
        <item x="2239"/>
        <item x="865"/>
        <item m="1" x="3615"/>
        <item m="1" x="4312"/>
        <item x="1074"/>
        <item m="1" x="3544"/>
        <item x="1438"/>
        <item x="2952"/>
        <item m="1" x="4649"/>
        <item m="1" x="3575"/>
        <item x="223"/>
        <item m="1" x="4650"/>
        <item x="636"/>
        <item m="1" x="3678"/>
        <item x="1473"/>
        <item m="1" x="3701"/>
        <item m="1" x="3341"/>
        <item m="1" x="3350"/>
        <item x="934"/>
        <item x="1101"/>
        <item m="1" x="4705"/>
        <item m="1" x="3837"/>
        <item x="1333"/>
        <item m="1" x="3548"/>
        <item m="1" x="4706"/>
        <item m="1" x="4461"/>
        <item x="2518"/>
        <item m="1" x="3673"/>
        <item x="1833"/>
        <item x="1213"/>
        <item x="1079"/>
        <item m="1" x="4428"/>
        <item m="1" x="4651"/>
        <item m="1" x="3203"/>
        <item x="2184"/>
        <item m="1" x="4652"/>
        <item x="2961"/>
        <item x="1721"/>
        <item m="1" x="4707"/>
        <item m="1" x="4653"/>
        <item m="1" x="3866"/>
        <item x="1627"/>
        <item m="1" x="4708"/>
        <item m="1" x="4654"/>
        <item m="1" x="4655"/>
        <item x="2030"/>
        <item m="1" x="4601"/>
        <item m="1" x="3988"/>
        <item m="1" x="4656"/>
        <item x="1013"/>
        <item x="571"/>
        <item m="1" x="4355"/>
        <item x="408"/>
        <item x="2372"/>
        <item m="1" x="4602"/>
        <item m="1" x="4563"/>
        <item x="1980"/>
        <item m="1" x="3622"/>
        <item m="1" x="4522"/>
        <item x="1941"/>
        <item m="1" x="3821"/>
        <item m="1" x="4431"/>
        <item x="2846"/>
        <item x="1649"/>
        <item x="2344"/>
        <item x="868"/>
        <item x="2700"/>
        <item x="1864"/>
        <item x="1653"/>
        <item x="2331"/>
        <item x="1690"/>
        <item x="1651"/>
        <item x="2325"/>
        <item x="2326"/>
        <item x="1098"/>
        <item x="1290"/>
        <item x="1705"/>
        <item x="2347"/>
        <item x="1703"/>
        <item x="2845"/>
        <item x="1689"/>
        <item x="1214"/>
        <item x="2348"/>
        <item x="1678"/>
        <item x="1443"/>
        <item x="1151"/>
        <item x="1943"/>
        <item m="1" x="3704"/>
        <item x="2526"/>
        <item m="1" x="3638"/>
        <item m="1" x="3444"/>
        <item m="1" x="3697"/>
        <item x="1110"/>
        <item m="1" x="4206"/>
        <item x="1100"/>
        <item x="1660"/>
        <item x="1676"/>
        <item m="1" x="3606"/>
        <item x="1497"/>
        <item x="2039"/>
        <item x="1671"/>
        <item x="1637"/>
        <item m="1" x="3719"/>
        <item x="873"/>
        <item x="1682"/>
        <item m="1" x="4587"/>
        <item x="771"/>
        <item x="1732"/>
        <item x="374"/>
        <item m="1" x="3637"/>
        <item m="1" x="3242"/>
        <item x="2324"/>
        <item x="2686"/>
        <item x="1919"/>
        <item x="1607"/>
        <item x="1068"/>
        <item x="1239"/>
        <item x="2134"/>
        <item m="1" x="3738"/>
        <item m="1" x="4067"/>
        <item x="1834"/>
        <item x="2897"/>
        <item x="1939"/>
        <item x="1686"/>
        <item x="1156"/>
        <item x="614"/>
        <item x="1645"/>
        <item x="861"/>
        <item m="1" x="3262"/>
        <item x="2681"/>
        <item m="1" x="3925"/>
        <item x="1284"/>
        <item x="1652"/>
        <item x="1648"/>
        <item x="2159"/>
        <item x="1656"/>
        <item x="2328"/>
        <item x="2327"/>
        <item x="2708"/>
        <item x="2929"/>
        <item x="1188"/>
        <item x="1155"/>
        <item x="2096"/>
        <item m="1" x="3367"/>
        <item m="1" x="4165"/>
        <item x="1174"/>
        <item x="1477"/>
        <item m="1" x="3885"/>
        <item x="1700"/>
        <item x="2943"/>
        <item m="1" x="4201"/>
        <item m="1" x="3042"/>
        <item x="1139"/>
        <item m="1" x="3268"/>
        <item m="1" x="3269"/>
        <item x="1572"/>
        <item m="1" x="3249"/>
        <item m="1" x="3270"/>
        <item x="1332"/>
        <item x="389"/>
        <item x="2996"/>
        <item x="1088"/>
        <item m="1" x="3258"/>
        <item m="1" x="3264"/>
        <item x="1562"/>
        <item x="787"/>
        <item m="1" x="3579"/>
        <item x="1389"/>
        <item m="1" x="3623"/>
        <item m="1" x="4235"/>
        <item x="919"/>
        <item x="2899"/>
        <item x="648"/>
        <item m="1" x="4212"/>
        <item x="1279"/>
        <item m="1" x="3755"/>
        <item x="449"/>
        <item m="1" x="3596"/>
        <item x="701"/>
        <item x="232"/>
        <item x="1161"/>
        <item m="1" x="4394"/>
        <item m="1" x="3394"/>
        <item x="1164"/>
        <item x="1273"/>
        <item x="384"/>
        <item x="1303"/>
        <item x="2995"/>
        <item x="744"/>
        <item m="1" x="3419"/>
        <item x="822"/>
        <item x="659"/>
        <item x="1504"/>
        <item x="2981"/>
        <item x="1745"/>
        <item x="287"/>
        <item m="1" x="4226"/>
        <item x="31"/>
        <item x="30"/>
        <item x="1257"/>
        <item x="732"/>
        <item x="2135"/>
        <item x="1167"/>
        <item x="18"/>
        <item x="1551"/>
        <item m="1" x="3417"/>
        <item m="1" x="3418"/>
        <item m="1" x="3484"/>
        <item m="1" x="3485"/>
        <item x="2446"/>
        <item m="1" x="3431"/>
        <item m="1" x="3351"/>
        <item m="1" x="3352"/>
        <item m="1" x="3420"/>
        <item m="1" x="3486"/>
        <item x="1554"/>
        <item m="1" x="3421"/>
        <item m="1" x="4529"/>
        <item m="1" x="3422"/>
        <item x="2334"/>
        <item x="2097"/>
        <item m="1" x="3353"/>
        <item x="1973"/>
        <item m="1" x="3448"/>
        <item x="2062"/>
        <item m="1" x="3487"/>
        <item m="1" x="3423"/>
        <item x="1763"/>
        <item m="1" x="3308"/>
        <item m="1" x="3354"/>
        <item m="1" x="3505"/>
        <item x="2753"/>
        <item m="1" x="3355"/>
        <item m="1" x="3582"/>
        <item m="1" x="4643"/>
        <item x="2748"/>
        <item m="1" x="3381"/>
        <item x="2361"/>
        <item x="338"/>
        <item m="1" x="3442"/>
        <item m="1" x="3301"/>
        <item m="1" x="3356"/>
        <item x="2357"/>
        <item m="1" x="3135"/>
        <item m="1" x="3504"/>
        <item x="2905"/>
        <item m="1" x="3488"/>
        <item x="1950"/>
        <item m="1" x="3357"/>
        <item x="2203"/>
        <item x="2232"/>
        <item x="2217"/>
        <item m="1" x="3424"/>
        <item m="1" x="3490"/>
        <item x="1778"/>
        <item x="1450"/>
        <item x="1093"/>
        <item x="1190"/>
        <item m="1" x="3720"/>
        <item m="1" x="3491"/>
        <item m="1" x="3313"/>
        <item m="1" x="3310"/>
        <item m="1" x="3515"/>
        <item m="1" x="3425"/>
        <item m="1" x="3299"/>
        <item x="2063"/>
        <item m="1" x="3492"/>
        <item m="1" x="3493"/>
        <item m="1" x="3426"/>
        <item m="1" x="3432"/>
        <item m="1" x="3494"/>
        <item m="1" x="3427"/>
        <item m="1" x="3583"/>
        <item m="1" x="3317"/>
        <item m="1" x="4530"/>
        <item m="1" x="3613"/>
        <item m="1" x="3495"/>
        <item m="1" x="3428"/>
        <item m="1" x="3300"/>
        <item x="1080"/>
        <item x="1209"/>
        <item m="1" x="3311"/>
        <item x="843"/>
        <item m="1" x="3337"/>
        <item x="1019"/>
        <item x="1353"/>
        <item m="1" x="4195"/>
        <item m="1" x="4491"/>
        <item m="1" x="4276"/>
        <item x="2073"/>
        <item x="2315"/>
        <item m="1" x="3441"/>
        <item x="1232"/>
        <item x="1152"/>
        <item x="1172"/>
        <item x="1935"/>
        <item x="1147"/>
        <item x="1175"/>
        <item m="1" x="4468"/>
        <item x="2533"/>
        <item x="1180"/>
        <item x="1182"/>
        <item x="1183"/>
        <item x="2534"/>
        <item m="1" x="4473"/>
        <item x="1187"/>
        <item x="390"/>
        <item x="391"/>
        <item x="1191"/>
        <item m="1" x="3774"/>
        <item x="392"/>
        <item x="2786"/>
        <item x="1958"/>
        <item x="1192"/>
        <item x="397"/>
        <item x="1195"/>
        <item x="400"/>
        <item x="401"/>
        <item x="1198"/>
        <item x="1230"/>
        <item x="1199"/>
        <item x="404"/>
        <item x="2550"/>
        <item x="1201"/>
        <item x="1202"/>
        <item x="1203"/>
        <item x="1206"/>
        <item x="405"/>
        <item x="1208"/>
        <item x="975"/>
        <item x="1969"/>
        <item x="977"/>
        <item x="2538"/>
        <item x="1970"/>
        <item x="976"/>
        <item x="388"/>
        <item x="2273"/>
        <item x="1216"/>
        <item x="1217"/>
        <item x="410"/>
        <item x="2540"/>
        <item x="1218"/>
        <item x="413"/>
        <item x="328"/>
        <item x="1975"/>
        <item x="2542"/>
        <item x="2543"/>
        <item x="2545"/>
        <item x="1221"/>
        <item x="1233"/>
        <item x="491"/>
        <item x="403"/>
        <item x="1200"/>
        <item x="398"/>
        <item x="1972"/>
        <item x="1982"/>
        <item x="1981"/>
        <item x="1234"/>
        <item x="418"/>
        <item x="1236"/>
        <item x="2552"/>
        <item x="419"/>
        <item x="1983"/>
        <item x="1985"/>
        <item x="1986"/>
        <item x="2553"/>
        <item x="1987"/>
        <item x="609"/>
        <item x="1988"/>
        <item x="420"/>
        <item x="1989"/>
        <item x="2554"/>
        <item x="1237"/>
        <item x="2555"/>
        <item x="2364"/>
        <item x="1990"/>
        <item x="2556"/>
        <item x="1991"/>
        <item x="1895"/>
        <item x="2557"/>
        <item m="1" x="3827"/>
        <item x="1280"/>
        <item x="2787"/>
        <item x="2558"/>
        <item x="1994"/>
        <item m="1" x="3522"/>
        <item x="421"/>
        <item x="1238"/>
        <item x="2559"/>
        <item m="1" x="4727"/>
        <item x="422"/>
        <item x="1995"/>
        <item x="1996"/>
        <item x="234"/>
        <item m="1" x="3534"/>
        <item x="2005"/>
        <item x="1860"/>
        <item m="1" x="3199"/>
        <item m="1" x="3535"/>
        <item x="1246"/>
        <item x="2006"/>
        <item m="1" x="3335"/>
        <item x="433"/>
        <item x="2567"/>
        <item x="2007"/>
        <item m="1" x="3536"/>
        <item m="1" x="3537"/>
        <item x="1249"/>
        <item m="1" x="4495"/>
        <item x="2566"/>
        <item x="434"/>
        <item x="1245"/>
        <item x="436"/>
        <item x="44"/>
        <item x="2010"/>
        <item x="45"/>
        <item x="437"/>
        <item x="438"/>
        <item x="439"/>
        <item x="2011"/>
        <item x="46"/>
        <item x="2012"/>
        <item x="1604"/>
        <item x="2371"/>
        <item x="2879"/>
        <item x="2881"/>
        <item x="1253"/>
        <item m="1" x="3711"/>
        <item x="735"/>
        <item x="1750"/>
        <item x="230"/>
        <item x="2359"/>
        <item m="1" x="3740"/>
        <item m="1" x="3359"/>
        <item m="1" x="3714"/>
        <item x="1693"/>
        <item m="1" x="3671"/>
        <item x="447"/>
        <item m="1" x="4573"/>
        <item m="1" x="3715"/>
        <item x="2509"/>
        <item m="1" x="3608"/>
        <item x="1502"/>
        <item m="1" x="3716"/>
        <item m="1" x="3717"/>
        <item x="2909"/>
        <item m="1" x="3718"/>
        <item x="322"/>
        <item x="938"/>
        <item m="1" x="3611"/>
        <item x="1614"/>
        <item x="1307"/>
        <item x="2070"/>
        <item x="2842"/>
        <item m="1" x="3674"/>
        <item m="1" x="3675"/>
        <item x="1626"/>
        <item x="1467"/>
        <item x="2126"/>
        <item m="1" x="4120"/>
        <item m="1" x="4138"/>
        <item m="1" x="3676"/>
        <item x="1883"/>
        <item x="2177"/>
        <item m="1" x="3617"/>
        <item m="1" x="3464"/>
        <item x="1615"/>
        <item m="1" x="3619"/>
        <item m="1" x="3680"/>
        <item m="1" x="3572"/>
        <item x="2912"/>
        <item m="1" x="3681"/>
        <item m="1" x="3682"/>
        <item x="1104"/>
        <item m="1" x="3724"/>
        <item x="1634"/>
        <item m="1" x="3275"/>
        <item x="2906"/>
        <item m="1" x="3573"/>
        <item m="1" x="3683"/>
        <item x="2683"/>
        <item x="1113"/>
        <item x="2090"/>
        <item x="2924"/>
        <item m="1" x="4607"/>
        <item x="2078"/>
        <item x="3021"/>
        <item x="2021"/>
        <item x="1264"/>
        <item x="1124"/>
        <item x="1924"/>
        <item x="2574"/>
        <item x="1346"/>
        <item x="2789"/>
        <item m="1" x="4536"/>
        <item x="2573"/>
        <item x="2192"/>
        <item x="2028"/>
        <item m="1" x="3612"/>
        <item x="2095"/>
        <item x="454"/>
        <item x="2507"/>
        <item x="1889"/>
        <item m="1" x="4580"/>
        <item x="1268"/>
        <item x="2029"/>
        <item x="1356"/>
        <item x="2106"/>
        <item x="1680"/>
        <item x="2576"/>
        <item x="2575"/>
        <item x="2788"/>
        <item x="356"/>
        <item x="2112"/>
        <item x="2017"/>
        <item x="2018"/>
        <item x="2375"/>
        <item x="2115"/>
        <item x="2377"/>
        <item x="2868"/>
        <item m="1" x="4537"/>
        <item x="1365"/>
        <item m="1" x="3545"/>
        <item x="1269"/>
        <item m="1" x="3743"/>
        <item x="1262"/>
        <item x="352"/>
        <item x="1552"/>
        <item m="1" x="4232"/>
        <item x="1267"/>
        <item x="2075"/>
        <item m="1" x="3727"/>
        <item x="2791"/>
        <item x="2469"/>
        <item x="49"/>
        <item m="1" x="4447"/>
        <item m="1" x="4359"/>
        <item x="2022"/>
        <item m="1" x="4610"/>
        <item x="1357"/>
        <item x="1128"/>
        <item x="1468"/>
        <item x="1030"/>
        <item m="1" x="4639"/>
        <item m="1" x="4440"/>
        <item m="1" x="3998"/>
        <item m="1" x="4280"/>
        <item x="2221"/>
        <item x="2515"/>
        <item x="1275"/>
        <item x="2032"/>
        <item m="1" x="3964"/>
        <item x="2579"/>
        <item x="458"/>
        <item x="1470"/>
        <item x="1272"/>
        <item x="464"/>
        <item m="1" x="3324"/>
        <item m="1" x="3326"/>
        <item x="2033"/>
        <item x="462"/>
        <item x="1276"/>
        <item x="459"/>
        <item x="50"/>
        <item x="460"/>
        <item m="1" x="4408"/>
        <item m="1" x="3338"/>
        <item x="1422"/>
        <item x="1598"/>
        <item x="2161"/>
        <item x="466"/>
        <item m="1" x="3635"/>
        <item m="1" x="4090"/>
        <item x="1622"/>
        <item x="441"/>
        <item x="265"/>
        <item x="677"/>
        <item x="606"/>
        <item x="901"/>
        <item m="1" x="3388"/>
        <item x="2429"/>
        <item m="1" x="4568"/>
        <item x="2182"/>
        <item x="213"/>
        <item x="2437"/>
        <item x="2501"/>
        <item m="1" x="4512"/>
        <item m="1" x="3256"/>
        <item x="912"/>
        <item m="1" x="4302"/>
        <item x="205"/>
        <item x="2741"/>
        <item x="2858"/>
        <item x="1728"/>
        <item x="2855"/>
        <item x="2195"/>
        <item x="2752"/>
        <item x="1776"/>
        <item x="1766"/>
        <item x="2730"/>
        <item m="1" x="4056"/>
        <item m="1" x="4127"/>
        <item x="2728"/>
        <item x="2665"/>
        <item x="331"/>
        <item x="1277"/>
        <item m="1" x="3940"/>
        <item m="1" x="4449"/>
        <item m="1" x="3792"/>
        <item x="2304"/>
        <item x="1998"/>
        <item x="3032"/>
        <item m="1" x="3767"/>
        <item m="1" x="3789"/>
        <item m="1" x="3334"/>
        <item m="1" x="3776"/>
        <item x="2365"/>
        <item m="1" x="4019"/>
        <item x="2903"/>
        <item m="1" x="3963"/>
        <item x="1404"/>
        <item x="456"/>
        <item x="1454"/>
        <item x="734"/>
        <item m="1" x="3818"/>
        <item x="2901"/>
        <item x="504"/>
        <item m="1" x="4715"/>
        <item m="1" x="3732"/>
        <item m="1" x="4223"/>
        <item m="1" x="4062"/>
        <item x="2079"/>
        <item x="2264"/>
        <item m="1" x="4735"/>
        <item m="1" x="3303"/>
        <item x="2116"/>
        <item x="2544"/>
        <item m="1" x="3471"/>
        <item m="1" x="4459"/>
        <item x="2087"/>
        <item m="1" x="3830"/>
        <item x="2077"/>
        <item x="1375"/>
        <item x="2088"/>
        <item x="2074"/>
        <item m="1" x="3843"/>
        <item x="1350"/>
        <item x="2102"/>
        <item m="1" x="3829"/>
        <item x="572"/>
        <item x="2089"/>
        <item x="1363"/>
        <item x="2596"/>
        <item x="2105"/>
        <item x="1342"/>
        <item x="559"/>
        <item x="2109"/>
        <item x="1078"/>
        <item x="2100"/>
        <item x="565"/>
        <item x="1640"/>
        <item x="1335"/>
        <item x="2551"/>
        <item x="2085"/>
        <item x="2086"/>
        <item x="598"/>
        <item x="1715"/>
        <item x="1146"/>
        <item x="1361"/>
        <item m="1" x="4555"/>
        <item x="1358"/>
        <item x="2541"/>
        <item x="2419"/>
        <item x="1341"/>
        <item m="1" x="3793"/>
        <item m="1" x="3784"/>
        <item m="1" x="3791"/>
        <item x="1606"/>
        <item m="1" x="4064"/>
        <item m="1" x="3328"/>
        <item m="1" x="3361"/>
        <item m="1" x="3862"/>
        <item m="1" x="3864"/>
        <item m="1" x="3861"/>
        <item x="3035"/>
        <item m="1" x="3685"/>
        <item x="637"/>
        <item m="1" x="3865"/>
        <item m="1" x="3886"/>
        <item m="1" x="3892"/>
        <item m="1" x="3893"/>
        <item x="1144"/>
        <item m="1" x="3786"/>
        <item m="1" x="3881"/>
        <item m="1" x="3888"/>
        <item m="1" x="3880"/>
        <item m="1" x="3873"/>
        <item m="1" x="3141"/>
        <item m="1" x="3900"/>
        <item x="169"/>
        <item m="1" x="3143"/>
        <item x="1954"/>
        <item m="1" x="3869"/>
        <item m="1" x="3375"/>
        <item x="2927"/>
        <item x="1685"/>
        <item m="1" x="3920"/>
        <item x="1851"/>
        <item m="1" x="3684"/>
        <item m="1" x="3922"/>
        <item x="2276"/>
        <item x="1244"/>
        <item x="1560"/>
        <item m="1" x="3949"/>
        <item m="1" x="3929"/>
        <item m="1" x="3950"/>
        <item m="1" x="3930"/>
        <item m="1" x="3955"/>
        <item x="3003"/>
        <item x="784"/>
        <item x="70"/>
        <item x="1368"/>
        <item m="1" x="3336"/>
        <item m="1" x="3934"/>
        <item m="1" x="3953"/>
        <item m="1" x="3935"/>
        <item m="1" x="3936"/>
        <item x="1310"/>
        <item m="1" x="3688"/>
        <item m="1" x="3910"/>
        <item m="1" x="3911"/>
        <item m="1" x="3913"/>
        <item m="1" x="3939"/>
        <item x="2263"/>
        <item x="484"/>
        <item m="1" x="3904"/>
        <item x="2656"/>
        <item m="1" x="3918"/>
        <item m="1" x="3943"/>
        <item x="1392"/>
        <item x="2609"/>
        <item x="1398"/>
        <item x="2131"/>
        <item x="2607"/>
        <item x="625"/>
        <item x="1401"/>
        <item x="2467"/>
        <item x="1393"/>
        <item x="1396"/>
        <item x="624"/>
        <item x="2133"/>
        <item x="2608"/>
        <item x="2610"/>
        <item x="1397"/>
        <item x="1399"/>
        <item x="989"/>
        <item x="1400"/>
        <item x="2367"/>
        <item x="1415"/>
        <item x="2142"/>
        <item x="2613"/>
        <item x="3028"/>
        <item x="2147"/>
        <item x="1417"/>
        <item x="1056"/>
        <item x="1412"/>
        <item x="1369"/>
        <item x="1413"/>
        <item x="1051"/>
        <item m="1" x="3392"/>
        <item m="1" x="4237"/>
        <item m="1" x="3383"/>
        <item x="2119"/>
        <item m="1" x="3384"/>
        <item m="1" x="4350"/>
        <item m="1" x="4558"/>
        <item m="1" x="4451"/>
        <item m="1" x="4619"/>
        <item m="1" x="4618"/>
        <item x="2435"/>
        <item m="1" x="4559"/>
        <item m="1" x="4471"/>
        <item x="2974"/>
        <item x="260"/>
        <item x="838"/>
        <item m="1" x="4380"/>
        <item x="1070"/>
        <item x="1880"/>
        <item x="558"/>
        <item m="1" x="4479"/>
        <item m="1" x="4133"/>
        <item m="1" x="4621"/>
        <item x="1503"/>
        <item m="1" x="4482"/>
        <item m="1" x="4484"/>
        <item x="2888"/>
        <item m="1" x="4565"/>
        <item m="1" x="4387"/>
        <item m="1" x="4486"/>
        <item m="1" x="4389"/>
        <item x="796"/>
        <item x="485"/>
        <item m="1" x="4488"/>
        <item m="1" x="4481"/>
        <item m="1" x="4489"/>
        <item m="1" x="4390"/>
        <item m="1" x="4392"/>
        <item x="483"/>
        <item m="1" x="3647"/>
        <item m="1" x="3372"/>
        <item x="1719"/>
        <item x="1364"/>
        <item m="1" x="4478"/>
        <item x="2023"/>
        <item m="1" x="4480"/>
        <item x="1285"/>
        <item x="1338"/>
        <item x="53"/>
        <item m="1" x="4560"/>
        <item x="1764"/>
        <item m="1" x="4385"/>
        <item x="1370"/>
        <item m="1" x="4487"/>
        <item m="1" x="3609"/>
        <item m="1" x="4113"/>
        <item x="1739"/>
        <item m="1" x="4386"/>
        <item x="411"/>
        <item m="1" x="4469"/>
        <item m="1" x="4391"/>
        <item m="1" x="4382"/>
        <item m="1" x="4323"/>
        <item m="1" x="4562"/>
        <item x="1170"/>
        <item x="1434"/>
        <item x="2625"/>
        <item m="1" x="3756"/>
        <item x="2652"/>
        <item x="1435"/>
        <item m="1" x="4411"/>
        <item x="2628"/>
        <item x="1913"/>
        <item x="2163"/>
        <item x="651"/>
        <item x="653"/>
        <item x="1440"/>
        <item m="1" x="3196"/>
        <item x="1047"/>
        <item x="12"/>
        <item m="1" x="4220"/>
        <item x="2167"/>
        <item m="1" x="4322"/>
        <item x="243"/>
        <item x="660"/>
        <item x="180"/>
        <item x="2169"/>
        <item m="1" x="4222"/>
        <item x="1265"/>
        <item m="1" x="3986"/>
        <item x="2149"/>
        <item x="2170"/>
        <item x="2808"/>
        <item x="662"/>
        <item x="663"/>
        <item x="1442"/>
        <item x="2171"/>
        <item x="664"/>
        <item x="2172"/>
        <item x="2702"/>
        <item x="2173"/>
        <item x="665"/>
        <item x="2174"/>
        <item x="2175"/>
        <item x="2810"/>
        <item x="2630"/>
        <item x="2176"/>
        <item x="666"/>
        <item x="667"/>
        <item m="1" x="4012"/>
        <item x="83"/>
        <item x="668"/>
        <item x="507"/>
        <item x="85"/>
        <item x="669"/>
        <item m="1" x="4465"/>
        <item x="2632"/>
        <item x="2809"/>
        <item x="2811"/>
        <item x="2590"/>
        <item x="2633"/>
        <item x="2634"/>
        <item x="2635"/>
        <item x="2812"/>
        <item x="675"/>
        <item m="1" x="3076"/>
        <item x="658"/>
        <item x="2813"/>
        <item x="2814"/>
        <item m="1" x="3876"/>
        <item x="1446"/>
        <item x="857"/>
        <item x="670"/>
        <item x="1447"/>
        <item x="2178"/>
        <item x="671"/>
        <item x="2815"/>
        <item x="2636"/>
        <item x="672"/>
        <item x="1410"/>
        <item x="1009"/>
        <item x="2179"/>
        <item x="674"/>
        <item x="2180"/>
        <item x="2816"/>
        <item x="2817"/>
        <item m="1" x="3633"/>
        <item x="494"/>
        <item m="1" x="4203"/>
        <item x="2181"/>
        <item x="167"/>
        <item x="1448"/>
        <item x="676"/>
        <item x="2637"/>
        <item x="1455"/>
        <item x="1449"/>
        <item x="2818"/>
        <item x="2183"/>
        <item x="1451"/>
        <item x="1452"/>
        <item x="2612"/>
        <item x="661"/>
        <item x="2804"/>
        <item x="2819"/>
        <item x="2820"/>
        <item x="679"/>
        <item x="2638"/>
        <item x="1453"/>
        <item x="680"/>
        <item x="918"/>
        <item x="1083"/>
        <item x="2821"/>
        <item x="2186"/>
        <item x="1865"/>
        <item x="2822"/>
        <item x="1578"/>
        <item x="2639"/>
        <item x="2640"/>
        <item x="2187"/>
        <item x="2641"/>
        <item x="2642"/>
        <item x="681"/>
        <item x="430"/>
        <item x="540"/>
        <item x="2188"/>
        <item x="2189"/>
        <item x="1456"/>
        <item x="2190"/>
        <item x="2643"/>
        <item m="1" x="3839"/>
        <item x="2191"/>
        <item x="682"/>
        <item x="2400"/>
        <item x="1457"/>
        <item m="1" x="4509"/>
        <item x="683"/>
        <item x="2193"/>
        <item x="684"/>
        <item x="1458"/>
        <item x="2644"/>
        <item x="2823"/>
        <item x="685"/>
        <item x="2645"/>
        <item x="86"/>
        <item x="1720"/>
        <item x="2658"/>
        <item x="1483"/>
        <item x="2825"/>
        <item x="2215"/>
        <item x="2826"/>
        <item x="2827"/>
        <item x="2211"/>
        <item x="1480"/>
        <item x="2213"/>
        <item x="2212"/>
        <item x="1482"/>
        <item x="2045"/>
        <item x="2654"/>
        <item x="725"/>
        <item x="2655"/>
        <item x="1478"/>
        <item x="1481"/>
        <item x="1479"/>
        <item x="2890"/>
        <item m="1" x="4470"/>
        <item x="2896"/>
        <item x="2891"/>
        <item m="1" x="3728"/>
        <item x="55"/>
        <item x="1050"/>
        <item m="1" x="4205"/>
        <item x="518"/>
        <item x="318"/>
        <item x="1623"/>
        <item x="3004"/>
        <item x="2889"/>
        <item x="2523"/>
        <item x="1485"/>
        <item x="1742"/>
        <item x="1610"/>
        <item x="510"/>
        <item m="1" x="4711"/>
        <item x="1225"/>
        <item x="2886"/>
        <item x="887"/>
        <item m="1" x="3819"/>
        <item x="350"/>
        <item x="283"/>
        <item x="396"/>
        <item x="522"/>
        <item m="1" x="3075"/>
        <item x="515"/>
        <item x="1028"/>
        <item m="1" x="3610"/>
        <item x="2898"/>
        <item x="2592"/>
        <item x="2122"/>
        <item m="1" x="4136"/>
        <item x="1064"/>
        <item x="2839"/>
        <item x="2284"/>
        <item x="2840"/>
        <item x="2841"/>
        <item x="2672"/>
        <item x="2560"/>
        <item m="1" x="3759"/>
        <item m="1" x="4038"/>
        <item m="1" x="4027"/>
        <item m="1" x="4034"/>
        <item m="1" x="4031"/>
        <item m="1" x="4017"/>
        <item m="1" x="4029"/>
        <item m="1" x="4018"/>
        <item m="1" x="4016"/>
        <item x="1046"/>
        <item m="1" x="4035"/>
        <item m="1" x="4036"/>
        <item m="1" x="4037"/>
        <item m="1" x="4022"/>
        <item m="1" x="4015"/>
        <item m="1" x="4032"/>
        <item x="1537"/>
        <item m="1" x="4024"/>
        <item m="1" x="4028"/>
        <item m="1" x="4718"/>
        <item m="1" x="3785"/>
        <item x="1605"/>
        <item x="2674"/>
        <item x="1599"/>
        <item x="1600"/>
        <item x="851"/>
        <item x="1602"/>
        <item x="892"/>
        <item x="1609"/>
        <item x="832"/>
        <item x="113"/>
        <item x="1282"/>
        <item x="2306"/>
        <item m="1" x="4115"/>
        <item x="1118"/>
        <item x="1631"/>
        <item m="1" x="4043"/>
        <item x="850"/>
        <item x="1847"/>
        <item x="482"/>
        <item x="176"/>
        <item x="1621"/>
        <item x="531"/>
        <item x="2482"/>
        <item m="1" x="4140"/>
        <item x="1327"/>
        <item x="93"/>
        <item x="1940"/>
        <item x="2051"/>
        <item x="1348"/>
        <item m="1" x="3330"/>
        <item m="1" x="3849"/>
        <item x="476"/>
        <item x="1675"/>
        <item x="841"/>
        <item m="1" x="4181"/>
        <item m="1" x="4170"/>
        <item x="3034"/>
        <item m="1" x="4156"/>
        <item m="1" x="4157"/>
        <item m="1" x="3581"/>
        <item m="1" x="4171"/>
        <item x="2746"/>
        <item m="1" x="4150"/>
        <item m="1" x="4162"/>
        <item m="1" x="4346"/>
        <item m="1" x="3318"/>
        <item x="2405"/>
        <item m="1" x="3173"/>
        <item m="1" x="4092"/>
        <item m="1" x="3549"/>
        <item m="1" x="4166"/>
        <item m="1" x="4158"/>
        <item m="1" x="4172"/>
        <item m="1" x="4146"/>
        <item m="1" x="4159"/>
        <item m="1" x="3207"/>
        <item m="1" x="4173"/>
        <item m="1" x="4174"/>
        <item m="1" x="4182"/>
        <item m="1" x="4184"/>
        <item m="1" x="4183"/>
        <item m="1" x="4249"/>
        <item x="2316"/>
        <item m="1" x="3156"/>
        <item x="2932"/>
        <item x="1334"/>
        <item m="1" x="4192"/>
        <item m="1" x="4207"/>
        <item x="1220"/>
        <item x="2082"/>
        <item m="1" x="4238"/>
        <item m="1" x="4239"/>
        <item x="541"/>
        <item m="1" x="4268"/>
        <item m="1" x="4269"/>
        <item m="1" x="4240"/>
        <item m="1" x="4193"/>
        <item m="1" x="4194"/>
        <item m="1" x="4209"/>
        <item x="1010"/>
        <item x="1966"/>
        <item m="1" x="4210"/>
        <item x="1148"/>
        <item x="2572"/>
        <item m="1" x="4242"/>
        <item x="633"/>
        <item m="1" x="4023"/>
        <item m="1" x="4125"/>
        <item x="1915"/>
        <item m="1" x="4285"/>
        <item m="1" x="4211"/>
        <item m="1" x="4245"/>
        <item m="1" x="4213"/>
        <item m="1" x="4247"/>
        <item m="1" x="4214"/>
        <item m="1" x="4271"/>
        <item x="768"/>
        <item m="1" x="4215"/>
        <item m="1" x="4248"/>
        <item m="1" x="4272"/>
        <item m="1" x="4216"/>
        <item m="1" x="4286"/>
        <item m="1" x="3319"/>
        <item m="1" x="4250"/>
        <item m="1" x="4152"/>
        <item m="1" x="4218"/>
        <item m="1" x="4251"/>
        <item m="1" x="4219"/>
        <item x="282"/>
        <item m="1" x="4273"/>
        <item m="1" x="4252"/>
        <item m="1" x="4197"/>
        <item m="1" x="4198"/>
        <item x="741"/>
        <item m="1" x="4287"/>
        <item x="2646"/>
        <item m="1" x="3387"/>
        <item m="1" x="3380"/>
        <item x="1243"/>
        <item m="1" x="4225"/>
        <item m="1" x="4254"/>
        <item m="1" x="4275"/>
        <item m="1" x="4227"/>
        <item m="1" x="4255"/>
        <item m="1" x="4228"/>
        <item m="1" x="4229"/>
        <item m="1" x="4257"/>
        <item m="1" x="4258"/>
        <item x="564"/>
        <item x="149"/>
        <item x="1015"/>
        <item m="1" x="4233"/>
        <item m="1" x="4279"/>
        <item x="620"/>
        <item m="1" x="4260"/>
        <item m="1" x="4289"/>
        <item m="1" x="4262"/>
        <item m="1" x="4740"/>
        <item m="1" x="4263"/>
        <item m="1" x="3104"/>
        <item m="1" x="4264"/>
        <item x="1349"/>
        <item m="1" x="4204"/>
        <item m="1" x="4265"/>
        <item m="1" x="4281"/>
        <item m="1" x="4282"/>
        <item x="1740"/>
        <item x="1887"/>
        <item m="1" x="4406"/>
        <item m="1" x="4199"/>
        <item m="1" x="4231"/>
        <item m="1" x="4502"/>
        <item x="866"/>
        <item x="553"/>
        <item x="362"/>
        <item x="1085"/>
        <item x="80"/>
        <item m="1" x="4256"/>
        <item x="1908"/>
        <item m="1" x="4283"/>
        <item m="1" x="3462"/>
        <item m="1" x="3693"/>
        <item x="1493"/>
        <item x="2703"/>
        <item m="1" x="4493"/>
        <item x="222"/>
        <item x="2706"/>
        <item x="2366"/>
        <item x="2368"/>
        <item x="1714"/>
        <item x="2369"/>
        <item x="2370"/>
        <item x="1339"/>
        <item x="2710"/>
        <item x="1717"/>
        <item x="2711"/>
        <item x="2374"/>
        <item x="1723"/>
        <item x="2376"/>
        <item x="2379"/>
        <item x="2380"/>
        <item x="2682"/>
        <item x="2648"/>
        <item x="1665"/>
        <item x="889"/>
        <item x="2382"/>
        <item x="1902"/>
        <item m="1" x="3971"/>
        <item m="1" x="4456"/>
        <item x="1727"/>
        <item x="2577"/>
        <item x="2688"/>
        <item x="2713"/>
        <item x="2714"/>
        <item x="2388"/>
        <item x="2389"/>
        <item x="1559"/>
        <item x="1730"/>
        <item x="1964"/>
        <item x="2321"/>
        <item x="2392"/>
        <item x="2040"/>
        <item x="1735"/>
        <item x="1736"/>
        <item x="2394"/>
        <item x="2127"/>
        <item x="893"/>
        <item x="2718"/>
        <item x="686"/>
        <item x="1946"/>
        <item x="2395"/>
        <item x="2720"/>
        <item x="2721"/>
        <item m="1" x="3435"/>
        <item x="2723"/>
        <item x="2529"/>
        <item m="1" x="3489"/>
        <item x="2069"/>
        <item m="1" x="4426"/>
        <item x="2522"/>
        <item m="1" x="3080"/>
        <item x="1131"/>
        <item x="1928"/>
        <item m="1" x="4518"/>
        <item x="1135"/>
        <item x="1134"/>
        <item x="354"/>
        <item m="1" x="4429"/>
        <item m="1" x="4693"/>
        <item m="1" x="3449"/>
        <item x="2202"/>
        <item x="26"/>
        <item m="1" x="4425"/>
        <item x="896"/>
        <item x="1157"/>
        <item m="1" x="4648"/>
        <item m="1" x="4349"/>
        <item m="1" x="3250"/>
        <item m="1" x="3271"/>
        <item x="2083"/>
        <item m="1" x="3263"/>
        <item m="1" x="3272"/>
        <item m="1" x="3251"/>
        <item m="1" x="3252"/>
        <item x="324"/>
        <item m="1" x="3591"/>
        <item m="1" x="4351"/>
        <item m="1" x="3253"/>
        <item x="2019"/>
        <item m="1" x="3887"/>
        <item m="1" x="4063"/>
        <item x="1767"/>
        <item x="2970"/>
        <item x="1949"/>
        <item x="1501"/>
        <item x="105"/>
        <item m="1" x="4326"/>
        <item x="897"/>
        <item m="1" x="3229"/>
        <item x="2286"/>
        <item x="2054"/>
        <item m="1" x="4334"/>
        <item x="1248"/>
        <item x="2013"/>
        <item m="1" x="4713"/>
        <item m="1" x="3568"/>
        <item m="1" x="3621"/>
        <item x="1102"/>
        <item x="2595"/>
        <item m="1" x="4534"/>
        <item m="1" x="3804"/>
        <item x="538"/>
        <item x="2076"/>
        <item m="1" x="3686"/>
        <item m="1" x="4730"/>
        <item m="1" x="4714"/>
        <item x="2893"/>
        <item x="88"/>
        <item m="1" x="4586"/>
        <item x="20"/>
        <item x="134"/>
        <item m="1" x="3595"/>
        <item x="1061"/>
        <item x="909"/>
        <item x="2307"/>
        <item x="2461"/>
        <item m="1" x="3788"/>
        <item x="1388"/>
        <item m="1" x="3459"/>
        <item m="1" x="3817"/>
        <item x="599"/>
        <item x="971"/>
        <item x="600"/>
        <item x="1387"/>
        <item m="1" x="3942"/>
        <item x="1418"/>
        <item m="1" x="3752"/>
        <item x="212"/>
        <item m="1" x="3794"/>
        <item x="1698"/>
        <item m="1" x="4463"/>
        <item x="2913"/>
        <item x="2930"/>
        <item x="2914"/>
        <item x="2928"/>
        <item x="3011"/>
        <item x="2915"/>
        <item x="1312"/>
        <item m="1" x="3874"/>
        <item x="1235"/>
        <item x="2916"/>
        <item x="2917"/>
        <item x="2918"/>
        <item x="2919"/>
        <item x="2920"/>
        <item x="432"/>
        <item x="2921"/>
        <item x="563"/>
        <item x="1345"/>
        <item x="2935"/>
        <item x="3002"/>
        <item x="1053"/>
        <item x="1308"/>
        <item x="1747"/>
        <item x="1581"/>
        <item m="1" x="4717"/>
        <item m="1" x="4050"/>
        <item x="911"/>
        <item x="453"/>
        <item x="1337"/>
        <item m="1" x="4051"/>
        <item x="1329"/>
        <item m="1" x="4053"/>
        <item x="2124"/>
        <item x="2925"/>
        <item x="2047"/>
        <item m="1" x="4722"/>
        <item x="264"/>
        <item m="1" x="4039"/>
        <item x="2926"/>
        <item x="1545"/>
        <item m="1" x="3713"/>
        <item x="2676"/>
        <item m="1" x="4454"/>
        <item x="550"/>
        <item m="1" x="3832"/>
        <item x="2685"/>
        <item x="2957"/>
        <item x="2125"/>
        <item m="1" x="4236"/>
        <item m="1" x="4191"/>
        <item m="1" x="3845"/>
        <item x="542"/>
        <item x="1832"/>
        <item x="2548"/>
        <item x="185"/>
        <item x="2677"/>
        <item x="930"/>
        <item m="1" x="4475"/>
        <item x="2117"/>
        <item x="2034"/>
        <item m="1" x="4613"/>
        <item x="982"/>
        <item x="51"/>
        <item x="1709"/>
        <item x="1712"/>
        <item m="1" x="4704"/>
        <item m="1" x="3365"/>
        <item m="1" x="4011"/>
        <item m="1" x="3640"/>
        <item m="1" x="3570"/>
        <item x="899"/>
        <item x="271"/>
        <item x="1679"/>
        <item x="2755"/>
        <item x="1673"/>
        <item x="1793"/>
        <item x="2360"/>
        <item m="1" x="4709"/>
        <item x="2240"/>
        <item m="1" x="3618"/>
        <item x="2349"/>
        <item m="1" x="3245"/>
        <item x="341"/>
        <item x="337"/>
        <item x="546"/>
        <item x="1654"/>
        <item x="2108"/>
        <item x="1650"/>
        <item x="1150"/>
        <item x="2353"/>
        <item m="1" x="3733"/>
        <item m="1" x="3331"/>
        <item x="2904"/>
        <item x="255"/>
        <item x="2046"/>
        <item m="1" x="3627"/>
        <item x="258"/>
        <item x="2967"/>
        <item m="1" x="3098"/>
        <item x="2983"/>
        <item x="2960"/>
        <item m="1" x="3363"/>
        <item m="1" x="3662"/>
        <item m="1" x="3566"/>
        <item x="478"/>
        <item x="704"/>
        <item m="1" x="3629"/>
        <item x="2322"/>
        <item m="1" x="3847"/>
        <item x="1114"/>
        <item x="2739"/>
        <item m="1" x="3578"/>
        <item x="2695"/>
        <item x="1699"/>
        <item m="1" x="4658"/>
        <item m="1" x="3120"/>
        <item x="894"/>
        <item m="1" x="3049"/>
        <item m="1" x="4723"/>
        <item m="1" x="4434"/>
        <item x="604"/>
        <item m="1" x="4510"/>
        <item m="1" x="4637"/>
        <item x="2310"/>
        <item x="1965"/>
        <item m="1" x="3312"/>
        <item x="414"/>
        <item x="1997"/>
        <item x="2319"/>
        <item x="2537"/>
        <item x="2027"/>
        <item m="1" x="4144"/>
        <item x="2664"/>
        <item x="82"/>
        <item x="1743"/>
        <item x="455"/>
        <item m="1" x="3744"/>
        <item x="73"/>
        <item m="1" x="3745"/>
        <item m="1" x="3748"/>
        <item x="1274"/>
        <item m="1" x="4712"/>
        <item x="468"/>
        <item m="1" x="4716"/>
        <item x="1408"/>
        <item x="2417"/>
        <item x="1278"/>
        <item x="2938"/>
        <item x="2065"/>
        <item m="1" x="4445"/>
        <item m="1" x="3760"/>
        <item m="1" x="3790"/>
        <item m="1" x="4589"/>
        <item x="2887"/>
        <item m="1" x="3631"/>
        <item m="1" x="3801"/>
        <item x="3019"/>
        <item x="2900"/>
        <item x="2902"/>
        <item x="1207"/>
        <item m="1" x="3332"/>
        <item m="1" x="3188"/>
        <item x="601"/>
        <item x="602"/>
        <item x="2477"/>
        <item x="1082"/>
        <item x="2053"/>
        <item m="1" x="3436"/>
        <item x="496"/>
        <item x="1491"/>
        <item m="1" x="3883"/>
        <item m="1" x="3870"/>
        <item x="2998"/>
        <item x="2137"/>
        <item m="1" x="4259"/>
        <item x="1395"/>
        <item m="1" x="3989"/>
        <item m="1" x="3992"/>
        <item m="1" x="4564"/>
        <item x="2807"/>
        <item x="657"/>
        <item x="2165"/>
        <item x="2588"/>
        <item x="2166"/>
        <item x="84"/>
        <item x="1741"/>
        <item x="2631"/>
        <item x="1444"/>
        <item x="2209"/>
        <item x="495"/>
        <item x="2660"/>
        <item x="2228"/>
        <item x="740"/>
        <item x="1042"/>
        <item x="745"/>
        <item x="747"/>
        <item x="1097"/>
        <item x="1505"/>
        <item m="1" x="4014"/>
        <item x="1664"/>
        <item x="769"/>
        <item x="770"/>
        <item x="2259"/>
        <item x="1406"/>
        <item m="1" x="4699"/>
        <item x="1553"/>
        <item x="2260"/>
        <item x="1547"/>
        <item x="1548"/>
        <item x="767"/>
        <item x="2261"/>
        <item x="2262"/>
        <item x="2050"/>
        <item x="773"/>
        <item m="1" x="4071"/>
        <item x="67"/>
        <item x="159"/>
        <item x="1326"/>
        <item x="1692"/>
        <item m="1" x="3712"/>
        <item m="1" x="4630"/>
        <item m="1" x="3276"/>
        <item x="1319"/>
        <item x="1325"/>
        <item x="2994"/>
        <item m="1" x="3364"/>
        <item m="1" x="4208"/>
        <item m="1" x="3510"/>
        <item m="1" x="3499"/>
        <item m="1" x="4241"/>
        <item m="1" x="4243"/>
        <item m="1" x="4270"/>
        <item x="547"/>
        <item x="1016"/>
        <item m="1" x="3501"/>
        <item m="1" x="4217"/>
        <item m="1" x="4190"/>
        <item x="1205"/>
        <item m="1" x="4253"/>
        <item m="1" x="4224"/>
        <item m="1" x="3391"/>
        <item m="1" x="3266"/>
        <item x="2973"/>
        <item m="1" x="3385"/>
        <item m="1" x="4458"/>
        <item m="1" x="3377"/>
        <item m="1" x="4277"/>
        <item x="1029"/>
        <item m="1" x="4288"/>
        <item m="1" x="4261"/>
        <item x="1018"/>
        <item m="1" x="3634"/>
        <item x="2237"/>
        <item x="1797"/>
        <item x="1838"/>
        <item m="1" x="4266"/>
        <item x="2604"/>
        <item m="1" x="4584"/>
        <item x="1105"/>
        <item m="1" x="4284"/>
        <item x="2385"/>
        <item m="1" x="4097"/>
        <item x="1799"/>
        <item x="7"/>
        <item m="1" x="3195"/>
        <item x="1145"/>
        <item m="1" x="3273"/>
        <item m="1" x="3246"/>
        <item x="98"/>
        <item m="1" x="3277"/>
        <item m="1" x="3278"/>
        <item x="2934"/>
        <item m="1" x="4673"/>
        <item x="713"/>
        <item x="1556"/>
        <item m="1" x="4077"/>
        <item m="1" x="3261"/>
        <item x="872"/>
        <item m="1" x="3274"/>
        <item m="1" x="3088"/>
        <item m="1" x="3107"/>
        <item m="1" x="3194"/>
        <item m="1" x="3689"/>
        <item m="1" x="3731"/>
        <item m="1" x="4682"/>
        <item m="1" x="3853"/>
        <item x="2042"/>
        <item x="97"/>
        <item x="1770"/>
        <item x="2337"/>
        <item x="2963"/>
        <item x="603"/>
        <item x="2123"/>
        <item x="2990"/>
        <item m="1" x="3307"/>
        <item x="23"/>
        <item x="2880"/>
        <item m="1" x="3574"/>
        <item x="2779"/>
        <item x="2020"/>
        <item x="2025"/>
        <item m="1" x="3446"/>
        <item m="1" x="3386"/>
        <item x="3007"/>
        <item m="1" x="3134"/>
        <item m="1" x="4353"/>
        <item m="1" x="4590"/>
        <item x="1638"/>
        <item x="1620"/>
        <item x="2939"/>
        <item x="1031"/>
        <item m="1" x="3371"/>
        <item m="1" x="3460"/>
        <item m="1" x="4593"/>
        <item x="2430"/>
        <item x="226"/>
        <item m="1" x="3438"/>
        <item x="3000"/>
        <item x="2265"/>
        <item x="1849"/>
        <item x="188"/>
        <item x="1894"/>
        <item x="2092"/>
        <item m="1" x="4341"/>
        <item m="1" x="3593"/>
        <item x="1754"/>
        <item x="463"/>
        <item m="1" x="3768"/>
        <item x="74"/>
        <item x="656"/>
        <item x="4"/>
        <item m="1" x="3703"/>
        <item x="2797"/>
        <item x="2084"/>
        <item x="1354"/>
        <item x="945"/>
        <item x="1495"/>
        <item x="1701"/>
        <item m="1" x="3871"/>
        <item m="1" x="3314"/>
        <item m="1" x="3872"/>
        <item m="1" x="3815"/>
        <item m="1" x="4674"/>
        <item x="2401"/>
        <item x="412"/>
        <item m="1" x="3972"/>
        <item m="1" x="3212"/>
        <item m="1" x="3916"/>
        <item m="1" x="3238"/>
        <item x="1511"/>
        <item x="839"/>
        <item x="652"/>
        <item x="2629"/>
        <item x="2985"/>
        <item m="1" x="4466"/>
        <item x="2503"/>
        <item x="1250"/>
        <item x="2233"/>
        <item x="551"/>
        <item m="1" x="4572"/>
        <item x="1566"/>
        <item x="772"/>
        <item x="1247"/>
        <item x="774"/>
        <item x="628"/>
        <item x="1295"/>
        <item x="776"/>
        <item x="777"/>
        <item x="2238"/>
        <item m="1" x="3598"/>
        <item x="2266"/>
        <item x="778"/>
        <item x="1550"/>
        <item x="1644"/>
        <item m="1" x="3507"/>
        <item x="1017"/>
        <item x="2363"/>
        <item x="1711"/>
        <item x="885"/>
        <item x="1724"/>
        <item x="1725"/>
        <item x="1738"/>
        <item x="1848"/>
        <item x="2342"/>
        <item x="326"/>
        <item m="1" x="4030"/>
        <item x="1271"/>
        <item m="1" x="4600"/>
        <item x="353"/>
        <item x="1142"/>
        <item m="1" x="3235"/>
        <item m="1" x="3163"/>
        <item x="2214"/>
        <item m="1" x="3279"/>
        <item x="566"/>
        <item x="568"/>
        <item x="986"/>
        <item x="65"/>
        <item x="1371"/>
        <item m="1" x="4460"/>
        <item x="2118"/>
        <item x="2317"/>
        <item m="1" x="3362"/>
        <item m="1" x="4422"/>
        <item x="837"/>
        <item m="1" x="4561"/>
        <item m="1" x="3546"/>
        <item m="1" x="4629"/>
        <item x="1007"/>
        <item m="1" x="3172"/>
        <item m="1" x="3117"/>
        <item m="1" x="3119"/>
        <item m="1" x="3151"/>
        <item m="1" x="4333"/>
        <item x="1178"/>
        <item m="1" x="3089"/>
        <item m="1" x="3157"/>
        <item m="1" x="3127"/>
        <item m="1" x="3085"/>
        <item m="1" x="3084"/>
        <item m="1" x="3175"/>
        <item m="1" x="3130"/>
        <item m="1" x="4417"/>
        <item m="1" x="3131"/>
        <item m="1" x="3542"/>
        <item m="1" x="3159"/>
        <item m="1" x="3160"/>
        <item m="1" x="3176"/>
        <item m="1" x="3166"/>
        <item m="1" x="4410"/>
        <item x="1026"/>
        <item x="191"/>
        <item m="1" x="3551"/>
        <item x="1507"/>
        <item m="1" x="3781"/>
        <item m="1" x="3772"/>
        <item m="1" x="4527"/>
        <item m="1" x="4604"/>
        <item m="1" x="4638"/>
        <item m="1" x="3512"/>
        <item m="1" x="3389"/>
        <item m="1" x="3626"/>
        <item m="1" x="3973"/>
        <item m="1" x="4528"/>
        <item x="2397"/>
        <item x="2398"/>
        <item x="2724"/>
        <item x="2725"/>
        <item x="2048"/>
        <item x="705"/>
        <item x="898"/>
        <item x="2848"/>
        <item x="47"/>
        <item x="2399"/>
        <item x="2269"/>
        <item x="2270"/>
        <item x="846"/>
        <item m="1" x="3226"/>
        <item x="2712"/>
        <item x="888"/>
        <item x="2715"/>
        <item x="2120"/>
        <item m="1" x="3291"/>
        <item x="1177"/>
        <item x="1179"/>
        <item x="387"/>
        <item x="1184"/>
        <item x="1185"/>
        <item x="1186"/>
        <item x="2535"/>
        <item x="1955"/>
        <item x="2785"/>
        <item x="1189"/>
        <item x="2536"/>
        <item x="1956"/>
        <item x="393"/>
        <item x="394"/>
        <item x="1957"/>
        <item x="395"/>
        <item x="263"/>
        <item x="1194"/>
        <item x="1196"/>
        <item x="1959"/>
        <item x="1197"/>
        <item x="1960"/>
        <item x="402"/>
        <item x="1961"/>
        <item x="1962"/>
        <item x="1963"/>
        <item x="1204"/>
        <item x="1967"/>
        <item x="1968"/>
        <item x="1210"/>
        <item x="1211"/>
        <item x="1212"/>
        <item x="406"/>
        <item x="1971"/>
        <item x="409"/>
        <item x="35"/>
        <item x="2539"/>
        <item x="1974"/>
        <item x="988"/>
        <item x="1219"/>
        <item x="1119"/>
        <item x="1222"/>
        <item x="1223"/>
        <item x="1224"/>
        <item x="2546"/>
        <item x="1978"/>
        <item x="2547"/>
        <item x="1226"/>
        <item x="2549"/>
        <item x="415"/>
        <item x="416"/>
        <item x="36"/>
        <item x="1228"/>
        <item x="1044"/>
        <item m="1" x="3797"/>
        <item m="1" x="3795"/>
        <item m="1" x="3798"/>
        <item x="204"/>
        <item m="1" x="4388"/>
        <item m="1" x="4467"/>
        <item m="1" x="4383"/>
        <item m="1" x="4490"/>
        <item m="1" x="4483"/>
        <item m="1" x="4321"/>
        <item m="1" x="4567"/>
        <item m="1" x="4318"/>
        <item m="1" x="4320"/>
        <item m="1" x="3993"/>
        <item x="2241"/>
        <item x="748"/>
        <item x="1488"/>
        <item x="2661"/>
        <item m="1" x="3463"/>
        <item x="655"/>
        <item x="858"/>
        <item x="2093"/>
        <item m="1" x="3541"/>
        <item m="1" x="3543"/>
        <item x="1952"/>
        <item m="1" x="3550"/>
        <item x="987"/>
        <item m="1" x="3547"/>
        <item m="1" x="3538"/>
        <item x="150"/>
        <item m="1" x="3984"/>
        <item m="1" x="3981"/>
        <item x="1475"/>
        <item x="1749"/>
        <item m="1" x="3202"/>
        <item m="1" x="3205"/>
        <item x="2362"/>
        <item x="2600"/>
        <item m="1" x="3453"/>
        <item m="1" x="4175"/>
        <item x="233"/>
        <item m="1" x="4122"/>
        <item m="1" x="4137"/>
        <item x="89"/>
        <item x="2569"/>
        <item x="1436"/>
        <item x="650"/>
        <item x="2160"/>
        <item x="1474"/>
        <item m="1" x="4347"/>
        <item x="2497"/>
        <item x="246"/>
        <item m="1" x="4457"/>
        <item x="2495"/>
        <item m="1" x="3255"/>
        <item x="1160"/>
        <item m="1" x="4340"/>
        <item m="1" x="3433"/>
        <item m="1" x="3315"/>
        <item m="1" x="3316"/>
        <item x="1992"/>
        <item x="2978"/>
        <item m="1" x="3539"/>
        <item m="1" x="3540"/>
        <item m="1" x="3567"/>
        <item x="1054"/>
        <item m="1" x="3677"/>
        <item m="1" x="3571"/>
        <item m="1" x="3679"/>
        <item m="1" x="3723"/>
        <item m="1" x="3624"/>
        <item m="1" x="3576"/>
        <item m="1" x="3577"/>
        <item m="1" x="4533"/>
        <item m="1" x="3782"/>
        <item m="1" x="3721"/>
        <item m="1" x="3630"/>
        <item x="465"/>
        <item x="168"/>
        <item x="2036"/>
        <item x="207"/>
        <item x="81"/>
        <item x="824"/>
        <item x="922"/>
        <item x="785"/>
        <item m="1" x="4726"/>
        <item m="1" x="4299"/>
        <item m="1" x="3773"/>
        <item x="536"/>
        <item x="521"/>
        <item x="266"/>
        <item m="1" x="3533"/>
        <item x="1020"/>
        <item m="1" x="4476"/>
        <item m="1" x="4384"/>
        <item x="746"/>
        <item m="1" x="4494"/>
        <item x="779"/>
        <item x="2268"/>
        <item x="2271"/>
        <item x="764"/>
        <item x="1091"/>
        <item x="763"/>
        <item x="2611"/>
        <item x="2666"/>
        <item m="1" x="4021"/>
        <item x="2933"/>
        <item m="1" x="4052"/>
        <item m="1" x="4666"/>
        <item x="301"/>
        <item m="1" x="4574"/>
        <item x="2390"/>
        <item x="1733"/>
        <item x="2997"/>
        <item m="1" x="3763"/>
        <item x="917"/>
        <item m="1" x="4161"/>
        <item m="1" x="4163"/>
        <item m="1" x="4151"/>
        <item m="1" x="4129"/>
        <item m="1" x="4141"/>
        <item m="1" x="4143"/>
        <item m="1" x="4164"/>
        <item x="1115"/>
        <item m="1" x="4124"/>
        <item m="1" x="4149"/>
        <item x="2508"/>
        <item m="1" x="3927"/>
        <item m="1" x="4343"/>
        <item x="1884"/>
        <item m="1" x="3552"/>
        <item x="457"/>
        <item m="1" x="3747"/>
        <item x="605"/>
        <item m="1" x="4139"/>
        <item m="1" x="3241"/>
        <item x="2966"/>
        <item m="1" x="3257"/>
        <item m="1" x="3465"/>
        <item m="1" x="4557"/>
        <item m="1" x="3468"/>
        <item m="1" x="4345"/>
        <item m="1" x="3378"/>
        <item x="1439"/>
        <item m="1" x="4583"/>
        <item x="2745"/>
        <item x="2216"/>
        <item x="1012"/>
        <item m="1" x="3895"/>
        <item m="1" x="3897"/>
        <item x="1324"/>
        <item x="1402"/>
        <item x="1403"/>
        <item m="1" x="3259"/>
        <item x="481"/>
        <item m="1" x="4381"/>
        <item m="1" x="4566"/>
        <item x="2831"/>
        <item x="781"/>
        <item x="2667"/>
        <item m="1" x="4668"/>
        <item m="1" x="4054"/>
        <item m="1" x="4669"/>
        <item x="2936"/>
        <item x="2937"/>
        <item m="1" x="4670"/>
        <item x="1591"/>
        <item x="814"/>
        <item x="160"/>
        <item x="161"/>
        <item x="815"/>
        <item x="1411"/>
        <item x="1603"/>
        <item x="2705"/>
        <item x="1726"/>
        <item x="993"/>
        <item x="1597"/>
        <item x="417"/>
        <item m="1" x="4520"/>
        <item m="1" x="3974"/>
        <item m="1" x="3975"/>
        <item m="1" x="3976"/>
        <item m="1" x="3982"/>
        <item m="1" x="3978"/>
        <item m="1" x="3979"/>
        <item x="3020"/>
        <item m="1" x="3569"/>
        <item x="561"/>
        <item m="1" x="3783"/>
        <item m="1" x="3769"/>
        <item m="1" x="3766"/>
        <item m="1" x="3796"/>
        <item x="2599"/>
        <item x="2099"/>
        <item m="1" x="4338"/>
        <item x="148"/>
        <item x="138"/>
        <item x="2601"/>
        <item x="2114"/>
        <item x="480"/>
        <item m="1" x="4196"/>
        <item x="2309"/>
        <item x="37"/>
        <item x="1979"/>
        <item x="323"/>
        <item x="2500"/>
        <item x="1041"/>
        <item x="2498"/>
        <item m="1" x="4596"/>
        <item x="1900"/>
        <item x="329"/>
        <item x="2480"/>
        <item m="1" x="4597"/>
        <item x="2528"/>
        <item x="2690"/>
        <item x="859"/>
        <item x="1154"/>
        <item m="1" x="3243"/>
        <item x="2121"/>
        <item x="554"/>
        <item m="1" x="3138"/>
        <item x="2874"/>
        <item m="1" x="3434"/>
        <item m="1" x="3672"/>
        <item m="1" x="3725"/>
        <item m="1" x="3726"/>
        <item x="560"/>
        <item m="1" x="3553"/>
        <item m="1" x="3600"/>
        <item m="1" x="3554"/>
        <item m="1" x="3741"/>
        <item m="1" x="3625"/>
        <item m="1" x="3584"/>
        <item m="1" x="4538"/>
        <item x="2580"/>
        <item m="1" x="3751"/>
        <item x="203"/>
        <item m="1" x="4633"/>
        <item m="1" x="4301"/>
        <item x="2425"/>
        <item x="1768"/>
        <item x="3024"/>
        <item m="1" x="3754"/>
        <item m="1" x="3758"/>
        <item x="907"/>
        <item x="90"/>
        <item x="426"/>
        <item x="500"/>
        <item x="513"/>
        <item x="1918"/>
        <item x="75"/>
        <item x="1853"/>
        <item x="570"/>
        <item m="1" x="3844"/>
        <item x="2696"/>
        <item x="2107"/>
        <item x="2"/>
        <item x="1405"/>
        <item x="2653"/>
        <item x="2219"/>
        <item m="1" x="4360"/>
        <item x="783"/>
        <item x="2668"/>
        <item m="1" x="3379"/>
        <item x="2942"/>
        <item m="1" x="4635"/>
        <item x="2470"/>
        <item m="1" x="4719"/>
        <item x="2944"/>
        <item x="184"/>
        <item x="2303"/>
        <item x="487"/>
        <item x="1508"/>
        <item m="1" x="4221"/>
        <item m="1" x="3691"/>
        <item x="2386"/>
        <item m="1" x="3393"/>
        <item m="1" x="4058"/>
        <item x="2058"/>
        <item x="196"/>
        <item x="2060"/>
        <item x="1855"/>
        <item x="424"/>
        <item m="1" x="3770"/>
        <item m="1" x="3775"/>
        <item m="1" x="3926"/>
        <item m="1" x="3917"/>
        <item x="2162"/>
        <item x="654"/>
        <item x="2164"/>
        <item x="1441"/>
        <item x="2168"/>
        <item x="687"/>
        <item x="141"/>
        <item x="446"/>
        <item x="1255"/>
        <item m="1" x="4733"/>
        <item m="1" x="4734"/>
        <item x="617"/>
        <item x="1283"/>
        <item x="471"/>
        <item x="1840"/>
        <item m="1" x="4521"/>
        <item m="1" x="4187"/>
        <item m="1" x="3496"/>
        <item m="1" x="3722"/>
        <item m="1" x="3616"/>
        <item m="1" x="3746"/>
        <item x="1301"/>
        <item x="2698"/>
        <item x="497"/>
        <item x="1302"/>
        <item x="56"/>
        <item m="1" x="3809"/>
        <item x="2594"/>
        <item m="1" x="4739"/>
        <item x="1390"/>
        <item x="1489"/>
        <item m="1" x="3902"/>
        <item x="626"/>
        <item m="1" x="4539"/>
        <item m="1" x="4329"/>
        <item m="1" x="4625"/>
        <item x="1744"/>
        <item x="1746"/>
        <item x="895"/>
        <item m="1" x="4599"/>
        <item m="1" x="3200"/>
        <item m="1" x="4424"/>
        <item x="910"/>
        <item x="848"/>
        <item x="2421"/>
        <item m="1" x="3452"/>
        <item x="2424"/>
        <item x="2959"/>
        <item x="556"/>
        <item x="1355"/>
        <item x="1344"/>
        <item x="2101"/>
        <item x="1366"/>
        <item m="1" x="3472"/>
        <item x="1362"/>
        <item m="1" x="3828"/>
        <item m="1" x="3165"/>
        <item m="1" x="3896"/>
        <item x="2292"/>
        <item x="1594"/>
        <item x="816"/>
        <item m="1" x="3227"/>
        <item x="817"/>
        <item x="162"/>
        <item x="829"/>
        <item x="830"/>
        <item x="849"/>
        <item m="1" x="4327"/>
        <item x="1611"/>
        <item x="845"/>
        <item x="852"/>
        <item m="1" x="4202"/>
        <item x="289"/>
        <item m="1" x="3502"/>
        <item m="1" x="3083"/>
        <item m="1" x="3132"/>
        <item m="1" x="3063"/>
        <item m="1" x="3101"/>
        <item m="1" x="3102"/>
        <item m="1" x="3103"/>
        <item x="1873"/>
        <item m="1" x="4636"/>
        <item m="1" x="3133"/>
        <item x="1901"/>
        <item m="1" x="3108"/>
        <item x="1266"/>
        <item m="1" x="3109"/>
        <item m="1" x="3064"/>
        <item m="1" x="3144"/>
        <item m="1" x="3168"/>
        <item x="1633"/>
        <item m="1" x="3164"/>
        <item m="1" x="3179"/>
        <item x="296"/>
        <item x="1081"/>
        <item m="1" x="4517"/>
        <item x="519"/>
        <item x="307"/>
        <item x="1898"/>
        <item m="1" x="4472"/>
        <item m="1" x="3198"/>
        <item m="1" x="3204"/>
        <item x="2527"/>
        <item x="373"/>
        <item x="1683"/>
        <item m="1" x="3848"/>
        <item x="2958"/>
        <item m="1" x="3513"/>
        <item m="1" x="4441"/>
        <item m="1" x="3729"/>
        <item m="1" x="3730"/>
        <item x="1775"/>
        <item m="1" x="3700"/>
        <item x="2582"/>
        <item m="1" x="4367"/>
        <item x="2043"/>
        <item x="498"/>
        <item x="57"/>
        <item m="1" x="4368"/>
        <item m="1" x="3765"/>
        <item x="607"/>
        <item x="608"/>
        <item x="1340"/>
        <item x="567"/>
        <item x="1373"/>
        <item x="575"/>
        <item x="2623"/>
        <item x="2129"/>
        <item m="1" x="4617"/>
        <item x="1374"/>
        <item x="2802"/>
        <item x="2387"/>
        <item m="1" x="4616"/>
        <item x="68"/>
        <item x="1912"/>
        <item m="1" x="3846"/>
        <item x="2605"/>
        <item x="2799"/>
        <item m="1" x="4553"/>
        <item x="69"/>
        <item x="1347"/>
        <item x="1407"/>
        <item m="1" x="4620"/>
        <item m="1" x="4474"/>
        <item x="2197"/>
        <item x="370"/>
        <item x="2651"/>
        <item x="100"/>
        <item x="615"/>
        <item x="101"/>
        <item x="690"/>
        <item x="2198"/>
        <item x="102"/>
        <item x="2199"/>
        <item x="2200"/>
        <item x="145"/>
        <item x="2224"/>
        <item x="2236"/>
        <item x="1555"/>
        <item x="786"/>
        <item m="1" x="4631"/>
        <item x="1122"/>
        <item x="1624"/>
        <item x="1632"/>
        <item x="853"/>
        <item x="1635"/>
        <item x="2308"/>
        <item x="1636"/>
        <item x="854"/>
        <item x="2679"/>
        <item x="2311"/>
        <item x="1639"/>
        <item x="1039"/>
        <item x="855"/>
        <item x="2312"/>
        <item x="856"/>
        <item x="2313"/>
        <item x="380"/>
        <item x="1641"/>
        <item x="2314"/>
        <item x="1642"/>
        <item x="1359"/>
        <item x="2072"/>
        <item x="2403"/>
        <item x="2404"/>
        <item x="900"/>
        <item x="1585"/>
        <item x="1755"/>
        <item x="1929"/>
        <item m="1" x="4427"/>
        <item m="1" x="4348"/>
        <item m="1" x="3516"/>
        <item m="1" x="3437"/>
        <item m="1" x="3497"/>
        <item m="1" x="3320"/>
        <item m="1" x="3439"/>
        <item x="1914"/>
        <item m="1" x="3498"/>
        <item m="1" x="3360"/>
        <item m="1" x="3321"/>
        <item m="1" x="3322"/>
        <item x="2716"/>
        <item m="1" x="3440"/>
        <item x="979"/>
        <item m="1" x="4179"/>
        <item m="1" x="4180"/>
        <item x="118"/>
        <item m="1" x="3244"/>
        <item x="15"/>
        <item x="2878"/>
        <item x="2784"/>
        <item m="1" x="3928"/>
        <item x="407"/>
        <item x="2884"/>
        <item x="2885"/>
        <item x="2999"/>
        <item x="2892"/>
        <item x="2895"/>
        <item x="2402"/>
        <item x="2910"/>
        <item x="2907"/>
        <item m="1" x="4665"/>
        <item x="2908"/>
        <item m="1" x="4664"/>
        <item m="1" x="3594"/>
        <item x="2946"/>
        <item x="2947"/>
        <item m="1" x="4672"/>
        <item x="2948"/>
        <item x="1839"/>
        <item m="1" x="3097"/>
        <item x="2950"/>
        <item x="3031"/>
        <item x="640"/>
        <item x="2955"/>
        <item m="1" x="4057"/>
        <item x="2956"/>
        <item m="1" x="3197"/>
        <item x="363"/>
        <item m="1" x="3412"/>
        <item m="1" x="4430"/>
        <item x="718"/>
        <item m="1" x="4728"/>
        <item m="1" x="3323"/>
        <item m="1" x="3366"/>
        <item m="1" x="3443"/>
        <item m="1" x="3302"/>
        <item m="1" x="3445"/>
        <item m="1" x="3327"/>
        <item x="2980"/>
        <item m="1" x="3447"/>
        <item m="1" x="3368"/>
        <item m="1" x="3369"/>
        <item x="1702"/>
        <item m="1" x="3370"/>
        <item m="1" x="3517"/>
        <item m="1" x="3329"/>
        <item m="1" x="3500"/>
        <item m="1" x="3450"/>
        <item m="1" x="3451"/>
        <item x="1999"/>
        <item x="2061"/>
        <item m="1" x="4731"/>
        <item x="106"/>
        <item x="1021"/>
        <item x="469"/>
        <item x="470"/>
        <item x="1281"/>
        <item x="1286"/>
        <item m="1" x="4366"/>
        <item x="2581"/>
        <item x="475"/>
        <item x="2041"/>
        <item x="477"/>
        <item x="1287"/>
        <item x="1291"/>
        <item x="479"/>
        <item m="1" x="4614"/>
        <item x="1306"/>
        <item x="611"/>
        <item x="573"/>
        <item x="555"/>
        <item x="1351"/>
        <item x="562"/>
        <item m="1" x="3833"/>
        <item m="1" x="3824"/>
        <item m="1" x="4552"/>
        <item m="1" x="3823"/>
        <item x="94"/>
        <item x="2272"/>
        <item x="788"/>
        <item x="1557"/>
        <item x="789"/>
        <item x="790"/>
        <item x="2832"/>
        <item x="1558"/>
        <item x="132"/>
        <item x="1048"/>
        <item x="1090"/>
        <item x="1863"/>
        <item x="935"/>
        <item x="62"/>
        <item x="1881"/>
        <item x="304"/>
        <item x="1888"/>
        <item x="1892"/>
        <item x="1049"/>
        <item x="2463"/>
        <item x="1008"/>
        <item x="2465"/>
        <item x="1836"/>
        <item x="1866"/>
        <item x="2464"/>
        <item x="2471"/>
        <item x="1837"/>
        <item x="2468"/>
        <item x="2466"/>
        <item x="288"/>
        <item x="1829"/>
        <item x="1011"/>
        <item x="285"/>
        <item x="21"/>
        <item x="286"/>
        <item x="309"/>
        <item x="2473"/>
        <item x="1830"/>
        <item x="13"/>
        <item m="1" x="4339"/>
        <item x="2472"/>
        <item x="1831"/>
        <item x="1014"/>
        <item x="1835"/>
        <item m="1" x="4516"/>
        <item x="2154"/>
        <item x="537"/>
        <item x="2396"/>
        <item m="1" x="3590"/>
        <item x="1596"/>
        <item m="1" x="3589"/>
        <item m="1" x="4314"/>
        <item x="1647"/>
        <item m="1" x="3742"/>
        <item m="1" x="3556"/>
        <item m="1" x="3687"/>
        <item x="1103"/>
        <item m="1" x="3628"/>
        <item m="1" x="3586"/>
        <item m="1" x="3587"/>
        <item m="1" x="4442"/>
        <item x="2626"/>
        <item x="647"/>
        <item x="649"/>
        <item x="2627"/>
        <item x="367"/>
        <item x="1437"/>
        <item x="1459"/>
        <item x="87"/>
        <item x="2194"/>
        <item x="2647"/>
        <item x="2196"/>
        <item x="91"/>
        <item x="92"/>
        <item x="2650"/>
        <item x="95"/>
        <item x="96"/>
        <item x="688"/>
        <item m="1" x="4379"/>
        <item x="689"/>
        <item x="99"/>
        <item x="691"/>
        <item x="692"/>
        <item x="694"/>
        <item x="2201"/>
        <item x="103"/>
        <item x="104"/>
        <item m="1" x="4006"/>
        <item x="2323"/>
        <item m="1" x="4026"/>
        <item m="1" x="4020"/>
        <item m="1" x="4078"/>
        <item x="834"/>
        <item x="544"/>
        <item x="2301"/>
        <item x="2678"/>
        <item x="333"/>
        <item m="1" x="4121"/>
        <item x="2844"/>
        <item m="1" x="4503"/>
        <item m="1" x="4703"/>
        <item m="1" x="4290"/>
        <item x="726"/>
        <item x="2657"/>
        <item x="2218"/>
        <item m="1" x="4659"/>
        <item x="739"/>
        <item m="1" x="4720"/>
        <item m="1" x="3105"/>
        <item m="1" x="4059"/>
        <item m="1" x="4721"/>
        <item x="3025"/>
        <item x="2964"/>
        <item m="1" x="3086"/>
        <item m="1" x="3087"/>
        <item m="1" x="3078"/>
        <item m="1" x="4296"/>
        <item m="1" x="3771"/>
        <item x="702"/>
        <item x="451"/>
        <item m="1" x="3779"/>
        <item m="1" x="3145"/>
        <item m="1" x="3122"/>
        <item m="1" x="3777"/>
        <item m="1" x="3780"/>
        <item m="1" x="3121"/>
        <item m="1" x="3123"/>
        <item m="1" x="3778"/>
        <item m="1" x="3140"/>
        <item x="1790"/>
        <item x="2345"/>
        <item m="1" x="3787"/>
        <item m="1" x="3167"/>
        <item m="1" x="3174"/>
        <item m="1" x="3177"/>
        <item x="2790"/>
        <item x="528"/>
        <item x="38"/>
        <item x="1125"/>
        <item m="1" x="4438"/>
        <item m="1" x="3835"/>
        <item x="461"/>
        <item x="472"/>
        <item m="1" x="3560"/>
        <item x="2583"/>
        <item x="3"/>
        <item x="2057"/>
        <item x="76"/>
        <item x="77"/>
        <item m="1" x="3894"/>
        <item m="1" x="3879"/>
        <item m="1" x="3875"/>
        <item x="2136"/>
        <item m="1" x="4319"/>
        <item x="452"/>
        <item x="695"/>
        <item x="108"/>
        <item x="109"/>
        <item x="697"/>
        <item x="698"/>
        <item x="2204"/>
        <item x="699"/>
        <item x="700"/>
        <item x="366"/>
        <item m="1" x="4025"/>
        <item x="828"/>
        <item x="173"/>
        <item x="177"/>
        <item x="805"/>
        <item x="943"/>
        <item x="1617"/>
        <item m="1" x="3247"/>
        <item m="1" x="4578"/>
        <item m="1" x="4505"/>
        <item m="1" x="4628"/>
        <item m="1" x="4507"/>
        <item x="847"/>
        <item m="1" x="4645"/>
        <item m="1" x="4581"/>
        <item m="1" x="4694"/>
        <item m="1" x="4412"/>
        <item x="1759"/>
        <item x="2407"/>
        <item x="902"/>
        <item x="1760"/>
        <item x="2733"/>
        <item x="2413"/>
        <item x="1769"/>
        <item x="2857"/>
        <item x="1936"/>
        <item x="2762"/>
        <item x="2749"/>
        <item x="214"/>
        <item x="2434"/>
        <item x="709"/>
        <item m="1" x="3190"/>
        <item x="928"/>
        <item x="2740"/>
        <item x="3023"/>
        <item x="1916"/>
        <item x="2410"/>
        <item x="2851"/>
        <item m="1" x="4291"/>
        <item x="920"/>
        <item x="211"/>
        <item x="215"/>
        <item m="1" x="4691"/>
        <item x="743"/>
        <item m="1" x="4297"/>
        <item x="2860"/>
        <item x="1896"/>
        <item x="1330"/>
        <item x="2782"/>
        <item x="1846"/>
        <item x="14"/>
        <item x="1841"/>
        <item x="2776"/>
        <item x="1842"/>
        <item m="1" x="4514"/>
        <item x="1844"/>
        <item x="1843"/>
        <item x="1845"/>
        <item x="1022"/>
        <item m="1" x="4724"/>
        <item x="349"/>
        <item x="1130"/>
        <item x="25"/>
        <item m="1" x="4519"/>
        <item x="2699"/>
        <item m="1" x="3970"/>
        <item m="1" x="3702"/>
        <item m="1" x="3373"/>
        <item x="2780"/>
        <item m="1" x="3376"/>
        <item x="1484"/>
        <item m="1" x="3304"/>
        <item m="1" x="3333"/>
        <item m="1" x="3454"/>
        <item m="1" x="3455"/>
        <item m="1" x="3557"/>
        <item m="1" x="3690"/>
        <item m="1" x="3632"/>
        <item m="1" x="3558"/>
        <item m="1" x="3734"/>
        <item m="1" x="3592"/>
        <item x="1756"/>
        <item m="1" x="4452"/>
        <item x="569"/>
        <item m="1" x="3764"/>
        <item x="1563"/>
        <item x="2801"/>
        <item x="1922"/>
        <item x="2670"/>
        <item x="492"/>
        <item m="1" x="4074"/>
        <item m="1" x="4234"/>
        <item m="1" x="4076"/>
        <item x="2298"/>
        <item x="2675"/>
        <item m="1" x="4626"/>
        <item x="2894"/>
        <item x="2968"/>
        <item x="1718"/>
        <item x="1731"/>
        <item m="1" x="4576"/>
        <item m="1" x="3282"/>
        <item m="1" x="3283"/>
        <item x="2701"/>
        <item x="2474"/>
        <item m="1" x="4515"/>
        <item x="1024"/>
        <item x="1025"/>
        <item x="1850"/>
        <item x="1027"/>
        <item x="1852"/>
        <item m="1" x="4592"/>
        <item x="1854"/>
        <item m="1" x="4420"/>
        <item x="292"/>
        <item x="1033"/>
        <item x="2475"/>
        <item m="1" x="4421"/>
        <item m="1" x="4725"/>
        <item x="1856"/>
        <item x="1858"/>
        <item x="2777"/>
        <item x="1882"/>
        <item x="707"/>
        <item x="365"/>
        <item x="921"/>
        <item x="1942"/>
        <item x="1697"/>
        <item m="1" x="3523"/>
        <item x="39"/>
        <item x="2561"/>
        <item m="1" x="4608"/>
        <item m="1" x="4609"/>
        <item x="1796"/>
        <item x="1263"/>
        <item x="448"/>
        <item x="2024"/>
        <item m="1" x="4732"/>
        <item x="2044"/>
        <item x="54"/>
        <item x="1292"/>
        <item m="1" x="4542"/>
        <item m="1" x="4736"/>
        <item m="1" x="4737"/>
        <item m="1" x="3867"/>
        <item m="1" x="3898"/>
        <item m="1" x="4378"/>
        <item m="1" x="3868"/>
        <item m="1" x="3889"/>
        <item m="1" x="3890"/>
        <item m="1" x="3882"/>
        <item x="2279"/>
        <item x="2140"/>
        <item x="2234"/>
        <item m="1" x="3905"/>
        <item x="2988"/>
        <item x="820"/>
        <item x="163"/>
        <item x="164"/>
        <item x="1595"/>
        <item x="165"/>
        <item x="166"/>
        <item x="2320"/>
        <item m="1" x="4627"/>
        <item m="1" x="4644"/>
        <item m="1" x="4700"/>
        <item m="1" x="4577"/>
        <item m="1" x="4582"/>
        <item m="1" x="4579"/>
        <item m="1" x="4511"/>
        <item x="2406"/>
        <item x="1758"/>
        <item x="641"/>
        <item x="932"/>
        <item x="241"/>
        <item x="5"/>
        <item m="1" x="3136"/>
        <item m="1" x="3178"/>
        <item m="1" x="3137"/>
        <item m="1" x="4418"/>
        <item m="1" x="3106"/>
        <item m="1" x="3213"/>
        <item m="1" x="3503"/>
        <item m="1" x="3456"/>
        <item m="1" x="3457"/>
        <item m="1" x="3458"/>
        <item m="1" x="3382"/>
        <item m="1" x="4531"/>
        <item m="1" x="3739"/>
        <item x="335"/>
        <item m="1" x="4443"/>
        <item m="1" x="3692"/>
        <item m="1" x="3694"/>
        <item m="1" x="3695"/>
        <item m="1" x="4354"/>
        <item m="1" x="3842"/>
        <item m="1" x="3636"/>
        <item x="2068"/>
        <item m="1" x="3696"/>
        <item x="517"/>
        <item m="1" x="4080"/>
        <item x="534"/>
        <item x="539"/>
        <item m="1" x="3826"/>
        <item x="545"/>
        <item x="548"/>
        <item x="2098"/>
        <item m="1" x="3840"/>
        <item m="1" x="3856"/>
        <item m="1" x="3941"/>
        <item m="1" x="3938"/>
        <item m="1" x="3946"/>
        <item m="1" x="3958"/>
        <item m="1" x="4405"/>
        <item m="1" x="4501"/>
        <item x="236"/>
        <item x="187"/>
        <item x="1625"/>
        <item x="182"/>
        <item x="844"/>
        <item x="186"/>
        <item m="1" x="4177"/>
        <item m="1" x="4123"/>
        <item m="1" x="4116"/>
        <item x="2624"/>
        <item x="110"/>
        <item x="111"/>
        <item x="112"/>
        <item x="2972"/>
        <item m="1" x="4061"/>
        <item m="1" x="4676"/>
        <item x="2976"/>
        <item x="2979"/>
        <item m="1" x="4679"/>
        <item x="2982"/>
        <item m="1" x="4680"/>
        <item m="1" x="4065"/>
        <item x="2984"/>
        <item m="1" x="4066"/>
        <item x="936"/>
        <item x="939"/>
        <item x="221"/>
        <item x="238"/>
        <item x="1798"/>
        <item x="293"/>
        <item x="1857"/>
        <item x="2476"/>
        <item m="1" x="3193"/>
        <item x="294"/>
        <item x="2481"/>
        <item x="2510"/>
        <item x="1099"/>
        <item x="2511"/>
        <item x="1045"/>
        <item x="332"/>
        <item x="199"/>
        <item m="1" x="4344"/>
        <item x="1089"/>
        <item m="1" x="4598"/>
        <item x="19"/>
        <item x="28"/>
        <item m="1" x="3265"/>
        <item x="2865"/>
        <item x="923"/>
        <item m="1" x="4603"/>
        <item m="1" x="4729"/>
        <item m="1" x="4525"/>
        <item x="2562"/>
        <item m="1" x="3521"/>
        <item x="442"/>
        <item x="1261"/>
        <item m="1" x="3707"/>
        <item m="1" x="3643"/>
        <item m="1" x="3706"/>
        <item m="1" x="3597"/>
        <item x="798"/>
        <item m="1" x="3641"/>
        <item m="1" x="3648"/>
        <item m="1" x="3649"/>
        <item m="1" x="3698"/>
        <item m="1" x="3652"/>
        <item x="1173"/>
        <item m="1" x="3736"/>
        <item m="1" x="4444"/>
        <item m="1" x="3650"/>
        <item m="1" x="3644"/>
        <item m="1" x="3645"/>
        <item m="1" x="3699"/>
        <item m="1" x="3639"/>
        <item x="1694"/>
        <item m="1" x="3735"/>
        <item m="1" x="3651"/>
        <item m="1" x="3599"/>
        <item m="1" x="3559"/>
        <item x="1691"/>
        <item m="1" x="3642"/>
        <item x="1293"/>
        <item m="1" x="4543"/>
        <item x="1294"/>
        <item m="1" x="4365"/>
        <item x="2037"/>
        <item m="1" x="3805"/>
        <item x="512"/>
        <item m="1" x="3811"/>
        <item m="1" x="3803"/>
        <item m="1" x="3891"/>
        <item x="334"/>
        <item m="1" x="3884"/>
        <item x="114"/>
        <item m="1" x="4569"/>
        <item m="1" x="4393"/>
        <item m="1" x="4492"/>
        <item m="1" x="3411"/>
        <item x="2662"/>
        <item x="730"/>
        <item x="733"/>
        <item m="1" x="4013"/>
        <item m="1" x="4033"/>
        <item m="1" x="4040"/>
        <item m="1" x="4041"/>
        <item x="2436"/>
        <item x="2991"/>
        <item x="2993"/>
        <item x="1575"/>
        <item x="386"/>
        <item x="800"/>
        <item m="1" x="4042"/>
        <item x="1476"/>
        <item m="1" x="4500"/>
        <item x="821"/>
        <item x="1465"/>
        <item m="1" x="4119"/>
        <item m="1" x="4118"/>
        <item m="1" x="4176"/>
        <item m="1" x="4624"/>
        <item m="1" x="4274"/>
        <item x="1646"/>
        <item x="862"/>
        <item x="2329"/>
        <item x="1655"/>
        <item x="1657"/>
        <item x="1658"/>
        <item x="1706"/>
        <item x="2704"/>
        <item m="1" x="4575"/>
        <item x="1716"/>
        <item x="2383"/>
        <item x="1729"/>
        <item x="891"/>
        <item x="2717"/>
        <item m="1" x="4409"/>
        <item m="1" x="4506"/>
        <item m="1" x="4508"/>
        <item m="1" x="4331"/>
        <item m="1" x="4088"/>
        <item m="1" x="4091"/>
        <item m="1" x="4585"/>
        <item x="198"/>
        <item x="1757"/>
        <item x="2620"/>
        <item x="2729"/>
        <item x="903"/>
        <item m="1" x="4294"/>
        <item m="1" x="4634"/>
        <item x="2416"/>
        <item m="1" x="4293"/>
        <item x="2735"/>
        <item x="1774"/>
        <item m="1" x="4695"/>
        <item x="1773"/>
        <item x="208"/>
        <item x="2747"/>
        <item x="1771"/>
        <item x="2849"/>
        <item x="2734"/>
        <item x="2447"/>
        <item m="1" x="4300"/>
        <item x="2737"/>
        <item x="916"/>
        <item x="906"/>
        <item x="2431"/>
        <item m="1" x="4690"/>
        <item x="2433"/>
        <item x="2432"/>
        <item x="2412"/>
        <item x="2743"/>
        <item m="1" x="4696"/>
        <item x="1779"/>
        <item x="2742"/>
        <item m="1" x="4697"/>
        <item m="1" x="4702"/>
        <item m="1" x="3305"/>
        <item m="1" x="4328"/>
        <item x="189"/>
        <item x="879"/>
        <item m="1" x="3339"/>
        <item m="1" x="3822"/>
        <item x="543"/>
        <item m="1" x="3825"/>
        <item m="1" x="4376"/>
        <item m="1" x="4377"/>
        <item x="574"/>
        <item m="1" x="4404"/>
        <item m="1" x="3125"/>
        <item m="1" x="3139"/>
        <item m="1" x="3390"/>
        <item m="1" x="4435"/>
        <item m="1" x="3466"/>
        <item x="1343"/>
        <item x="1905"/>
        <item m="1" x="3831"/>
        <item x="2113"/>
        <item m="1" x="3834"/>
        <item m="1" x="3836"/>
        <item m="1" x="3216"/>
        <item m="1" x="3850"/>
        <item m="1" x="3153"/>
        <item m="1" x="3467"/>
        <item m="1" x="3469"/>
        <item m="1" x="3470"/>
        <item x="2080"/>
        <item x="2103"/>
        <item x="2104"/>
        <item x="2111"/>
        <item m="1" x="4556"/>
        <item m="1" x="3852"/>
        <item m="1" x="3854"/>
        <item m="1" x="3855"/>
        <item x="2305"/>
        <item m="1" x="4605"/>
        <item x="2602"/>
        <item x="2603"/>
        <item m="1" x="3858"/>
        <item x="2798"/>
        <item m="1" x="3860"/>
        <item m="1" x="4662"/>
        <item m="1" x="4710"/>
        <item m="1" x="4663"/>
        <item m="1" x="3799"/>
        <item m="1" x="4660"/>
        <item m="1" x="4681"/>
        <item x="3017"/>
        <item m="1" x="4068"/>
        <item x="3012"/>
        <item m="1" x="4683"/>
        <item m="1" x="4684"/>
        <item m="1" x="4685"/>
        <item m="1" x="4686"/>
        <item m="1" x="4677"/>
        <item x="3036"/>
        <item x="206"/>
        <item m="1" x="4292"/>
        <item x="209"/>
        <item x="210"/>
        <item x="216"/>
        <item x="217"/>
        <item x="904"/>
        <item x="1761"/>
        <item m="1" x="4295"/>
        <item m="1" x="4413"/>
        <item x="908"/>
        <item x="1781"/>
        <item x="913"/>
        <item x="914"/>
        <item m="1" x="4689"/>
        <item x="915"/>
        <item m="1" x="4692"/>
        <item m="1" x="3961"/>
        <item x="622"/>
        <item m="1" x="4415"/>
        <item x="1762"/>
        <item m="1" x="4298"/>
        <item x="1777"/>
        <item x="1780"/>
        <item x="2408"/>
        <item x="2411"/>
        <item x="1948"/>
        <item x="2414"/>
        <item x="2415"/>
        <item x="2418"/>
        <item x="2744"/>
        <item x="2420"/>
        <item x="2422"/>
        <item x="2423"/>
        <item x="2426"/>
        <item x="2427"/>
        <item x="2428"/>
        <item x="2350"/>
        <item m="1" x="4588"/>
        <item m="1" x="4698"/>
        <item m="1" x="4303"/>
        <item x="2336"/>
        <item x="2726"/>
        <item x="2731"/>
        <item x="2732"/>
        <item m="1" x="4632"/>
        <item x="2736"/>
        <item x="2738"/>
        <item m="1" x="4701"/>
        <item x="2750"/>
        <item x="2751"/>
        <item x="2754"/>
        <item x="2756"/>
        <item x="2757"/>
        <item x="2758"/>
        <item x="2850"/>
        <item x="2852"/>
        <item x="2853"/>
        <item x="2854"/>
        <item x="2856"/>
        <item x="2859"/>
        <item m="1" x="3052"/>
        <item x="1"/>
        <item m="1" x="4307"/>
        <item x="6"/>
        <item m="1" x="4309"/>
        <item x="16"/>
        <item m="1" x="3187"/>
        <item x="22"/>
        <item x="27"/>
        <item m="1" x="3206"/>
        <item m="1" x="4311"/>
        <item x="29"/>
        <item m="1" x="4313"/>
        <item m="1" x="3965"/>
        <item m="1" x="3306"/>
        <item x="40"/>
        <item m="1" x="3531"/>
        <item m="1" x="3561"/>
        <item m="1" x="3562"/>
        <item m="1" x="3563"/>
        <item m="1" x="3564"/>
        <item m="1" x="4315"/>
        <item m="1" x="4316"/>
        <item x="52"/>
        <item m="1" x="4317"/>
        <item x="61"/>
        <item x="66"/>
        <item x="115"/>
        <item x="116"/>
        <item x="117"/>
        <item x="119"/>
        <item x="120"/>
        <item x="121"/>
        <item x="122"/>
        <item x="123"/>
        <item x="124"/>
        <item x="144"/>
        <item x="142"/>
        <item m="1" x="3999"/>
        <item x="151"/>
        <item x="152"/>
        <item m="1" x="4324"/>
        <item x="153"/>
        <item x="154"/>
        <item m="1" x="4325"/>
        <item x="155"/>
        <item x="170"/>
        <item m="1" x="4075"/>
        <item m="1" x="4079"/>
        <item m="1" x="4103"/>
        <item m="1" x="4109"/>
        <item x="183"/>
        <item m="1" x="4117"/>
        <item m="1" x="4330"/>
        <item x="871"/>
        <item x="202"/>
        <item x="218"/>
        <item m="1" x="3055"/>
        <item x="240"/>
        <item m="1" x="3053"/>
        <item x="235"/>
        <item x="231"/>
        <item x="227"/>
        <item x="239"/>
        <item x="941"/>
        <item m="1" x="4332"/>
        <item x="224"/>
        <item x="229"/>
        <item m="1" x="4335"/>
        <item m="1" x="4336"/>
        <item x="298"/>
        <item x="300"/>
        <item x="297"/>
        <item m="1" x="4337"/>
        <item x="303"/>
        <item x="299"/>
        <item m="1" x="4342"/>
        <item x="339"/>
        <item x="355"/>
        <item x="357"/>
        <item x="360"/>
        <item m="1" x="3260"/>
        <item x="375"/>
        <item x="376"/>
        <item x="378"/>
        <item x="379"/>
        <item m="1" x="3962"/>
        <item m="1" x="3966"/>
        <item m="1" x="3340"/>
        <item x="926"/>
        <item m="1" x="3054"/>
        <item x="443"/>
        <item x="444"/>
        <item m="1" x="4356"/>
        <item m="1" x="4357"/>
        <item m="1" x="3601"/>
        <item x="878"/>
        <item m="1" x="3602"/>
        <item m="1" x="3603"/>
        <item m="1" x="3095"/>
        <item x="336"/>
        <item x="717"/>
        <item x="727"/>
        <item m="1" x="4361"/>
        <item m="1" x="3749"/>
        <item m="1" x="4362"/>
        <item m="1" x="4363"/>
        <item m="1" x="4364"/>
        <item x="473"/>
        <item x="272"/>
        <item x="486"/>
        <item m="1" x="4369"/>
        <item m="1" x="4370"/>
        <item m="1" x="4371"/>
        <item m="1" x="4372"/>
        <item m="1" x="4373"/>
        <item x="501"/>
        <item x="502"/>
        <item x="503"/>
        <item x="505"/>
        <item x="506"/>
        <item x="520"/>
        <item m="1" x="4374"/>
        <item x="524"/>
        <item x="532"/>
        <item m="1" x="3807"/>
        <item x="508"/>
        <item x="527"/>
        <item x="613"/>
        <item x="616"/>
        <item x="618"/>
        <item x="643"/>
        <item x="549"/>
        <item x="552"/>
        <item x="557"/>
        <item x="869"/>
        <item x="630"/>
        <item x="703"/>
        <item x="706"/>
        <item x="708"/>
        <item x="315"/>
        <item x="710"/>
        <item x="711"/>
        <item x="712"/>
        <item x="261"/>
        <item x="489"/>
        <item x="738"/>
        <item x="731"/>
        <item x="1494"/>
        <item x="728"/>
        <item x="736"/>
        <item m="1" x="4395"/>
        <item x="792"/>
        <item x="793"/>
        <item x="794"/>
        <item x="795"/>
        <item x="2923"/>
        <item m="1" x="4397"/>
        <item m="1" x="4398"/>
        <item x="3018"/>
        <item m="1" x="4399"/>
        <item m="1" x="4400"/>
        <item m="1" x="3346"/>
        <item m="1" x="4044"/>
        <item x="2876"/>
        <item m="1" x="4401"/>
        <item x="801"/>
        <item x="802"/>
        <item x="823"/>
        <item m="1" x="4402"/>
        <item m="1" x="3081"/>
        <item m="1" x="4081"/>
        <item m="1" x="4082"/>
        <item m="1" x="4083"/>
        <item m="1" x="4403"/>
        <item m="1" x="4104"/>
        <item x="840"/>
        <item x="254"/>
        <item m="1" x="4130"/>
        <item m="1" x="4131"/>
        <item m="1" x="4200"/>
        <item m="1" x="4407"/>
        <item x="860"/>
        <item x="863"/>
        <item x="864"/>
        <item x="371"/>
        <item x="306"/>
        <item x="311"/>
        <item x="870"/>
        <item x="340"/>
        <item x="924"/>
        <item x="925"/>
        <item x="927"/>
        <item m="1" x="4416"/>
        <item x="946"/>
        <item x="940"/>
        <item x="937"/>
        <item x="942"/>
        <item m="1" x="3396"/>
        <item x="931"/>
        <item x="1506"/>
        <item x="1036"/>
        <item x="1509"/>
        <item x="1034"/>
        <item m="1" x="4419"/>
        <item x="1040"/>
        <item m="1" x="3189"/>
        <item x="1037"/>
        <item x="1038"/>
        <item x="1035"/>
        <item m="1" x="4423"/>
        <item x="1106"/>
        <item x="1107"/>
        <item x="1108"/>
        <item x="1109"/>
        <item x="1111"/>
        <item x="1112"/>
        <item x="1116"/>
        <item x="1132"/>
        <item x="1136"/>
        <item x="1137"/>
        <item x="1138"/>
        <item x="1140"/>
        <item x="1141"/>
        <item x="1143"/>
        <item m="1" x="3214"/>
        <item m="1" x="3267"/>
        <item m="1" x="4432"/>
        <item m="1" x="3287"/>
        <item x="1158"/>
        <item x="1159"/>
        <item x="1163"/>
        <item x="1165"/>
        <item x="1166"/>
        <item m="1" x="4433"/>
        <item m="1" x="3395"/>
        <item m="1" x="4436"/>
        <item m="1" x="3397"/>
        <item m="1" x="4437"/>
        <item m="1" x="3398"/>
        <item m="1" x="3399"/>
        <item m="1" x="3400"/>
        <item m="1" x="3607"/>
        <item m="1" x="3614"/>
        <item m="1" x="3653"/>
        <item m="1" x="3654"/>
        <item m="1" x="3655"/>
        <item m="1" x="3656"/>
        <item m="1" x="3657"/>
        <item x="1421"/>
        <item m="1" x="4446"/>
        <item m="1" x="3658"/>
        <item x="983"/>
        <item m="1" x="3659"/>
        <item m="1" x="3660"/>
        <item m="1" x="3661"/>
        <item m="1" x="3663"/>
        <item x="1060"/>
        <item m="1" x="3664"/>
        <item m="1" x="3666"/>
        <item x="1242"/>
        <item x="1117"/>
        <item m="1" x="3667"/>
        <item m="1" x="3668"/>
        <item m="1" x="4448"/>
        <item m="1" x="3183"/>
        <item m="1" x="4450"/>
        <item m="1" x="3750"/>
        <item x="1296"/>
        <item x="1297"/>
        <item m="1" x="4455"/>
        <item x="1251"/>
        <item x="1672"/>
        <item x="1311"/>
        <item x="1313"/>
        <item m="1" x="3808"/>
        <item x="961"/>
        <item m="1" x="3810"/>
        <item x="1315"/>
        <item x="1321"/>
        <item x="1317"/>
        <item x="1352"/>
        <item x="1367"/>
        <item x="1416"/>
        <item x="2144"/>
        <item x="1419"/>
        <item x="1420"/>
        <item m="1" x="4462"/>
        <item x="1464"/>
        <item x="1466"/>
        <item x="1469"/>
        <item x="1510"/>
        <item x="1486"/>
        <item x="1500"/>
        <item x="959"/>
        <item x="1561"/>
        <item x="1564"/>
        <item x="1565"/>
        <item m="1" x="4045"/>
        <item m="1" x="3933"/>
        <item x="3026"/>
        <item x="1579"/>
        <item x="1580"/>
        <item x="1582"/>
        <item x="1583"/>
        <item m="1" x="4496"/>
        <item m="1" x="4497"/>
        <item x="1584"/>
        <item x="3030"/>
        <item m="1" x="4046"/>
        <item x="1586"/>
        <item m="1" x="4498"/>
        <item x="1587"/>
        <item x="3005"/>
        <item x="3009"/>
        <item m="1" x="4069"/>
        <item m="1" x="4499"/>
        <item x="3010"/>
        <item x="1588"/>
        <item x="1589"/>
        <item m="1" x="4084"/>
        <item m="1" x="4085"/>
        <item m="1" x="4086"/>
        <item m="1" x="4087"/>
        <item m="1" x="4089"/>
        <item m="1" x="4105"/>
        <item m="1" x="3401"/>
        <item m="1" x="4106"/>
        <item x="1628"/>
        <item m="1" x="4142"/>
        <item m="1" x="4148"/>
        <item x="1668"/>
        <item m="1" x="4230"/>
        <item x="1659"/>
        <item x="1661"/>
        <item x="1662"/>
        <item x="1663"/>
        <item x="1666"/>
        <item x="1667"/>
        <item x="1674"/>
        <item x="1681"/>
        <item x="1684"/>
        <item x="1707"/>
        <item x="1708"/>
        <item x="1722"/>
        <item x="1751"/>
        <item x="1753"/>
        <item x="1782"/>
        <item x="1783"/>
        <item x="1784"/>
        <item x="1785"/>
        <item x="2004"/>
        <item m="1" x="4513"/>
        <item x="1859"/>
        <item x="1903"/>
        <item x="1904"/>
        <item x="1906"/>
        <item x="1907"/>
        <item x="1911"/>
        <item x="1930"/>
        <item x="1931"/>
        <item x="2038"/>
        <item m="1" x="3217"/>
        <item m="1" x="3218"/>
        <item m="1" x="3219"/>
        <item m="1" x="3288"/>
        <item x="1861"/>
        <item x="1945"/>
        <item m="1" x="4523"/>
        <item m="1" x="4524"/>
        <item m="1" x="3977"/>
        <item m="1" x="3980"/>
        <item m="1" x="4526"/>
        <item m="1" x="3473"/>
        <item x="2003"/>
        <item m="1" x="4532"/>
        <item m="1" x="3478"/>
        <item m="1" x="3708"/>
        <item x="1810"/>
        <item m="1" x="3709"/>
        <item x="1910"/>
        <item x="2302"/>
        <item m="1" x="3710"/>
        <item x="2026"/>
        <item x="2035"/>
        <item m="1" x="4540"/>
        <item m="1" x="4541"/>
        <item x="2049"/>
        <item m="1" x="4545"/>
        <item m="1" x="4546"/>
        <item m="1" x="4547"/>
        <item m="1" x="4548"/>
        <item m="1" x="4549"/>
        <item m="1" x="4550"/>
        <item x="2055"/>
        <item x="2056"/>
        <item x="2064"/>
        <item m="1" x="3813"/>
        <item m="1" x="4551"/>
        <item m="1" x="3814"/>
        <item x="2066"/>
        <item x="2067"/>
        <item x="2059"/>
        <item x="2094"/>
        <item m="1" x="4554"/>
        <item x="2110"/>
        <item m="1" x="3841"/>
        <item m="1" x="3859"/>
        <item x="2138"/>
        <item x="2148"/>
        <item x="1891"/>
        <item x="2141"/>
        <item x="2143"/>
        <item x="2145"/>
        <item x="2155"/>
        <item x="2146"/>
        <item x="2205"/>
        <item x="2206"/>
        <item x="2227"/>
        <item x="2229"/>
        <item x="2231"/>
        <item m="1" x="4000"/>
        <item x="2230"/>
        <item m="1" x="4570"/>
        <item x="2225"/>
        <item x="2226"/>
        <item x="2274"/>
        <item x="2275"/>
        <item x="2277"/>
        <item x="2278"/>
        <item x="2285"/>
        <item m="1" x="4048"/>
        <item x="3014"/>
        <item x="2287"/>
        <item x="3016"/>
        <item m="1" x="4049"/>
        <item x="2288"/>
        <item x="2289"/>
        <item x="1802"/>
        <item m="1" x="3290"/>
        <item m="1" x="4094"/>
        <item m="1" x="4095"/>
        <item m="1" x="4096"/>
        <item m="1" x="4098"/>
        <item m="1" x="3289"/>
        <item m="1" x="4114"/>
        <item m="1" x="4244"/>
        <item m="1" x="4246"/>
        <item m="1" x="4267"/>
        <item m="1" x="4185"/>
        <item x="2332"/>
        <item x="2333"/>
        <item x="2335"/>
        <item x="2338"/>
        <item x="2346"/>
        <item x="2351"/>
        <item x="2352"/>
        <item x="2354"/>
        <item x="2391"/>
        <item x="2393"/>
        <item m="1" x="4304"/>
        <item m="1" x="4305"/>
        <item x="2438"/>
        <item m="1" x="4306"/>
        <item x="2764"/>
        <item x="2439"/>
        <item x="2440"/>
        <item x="2448"/>
        <item m="1" x="4591"/>
        <item m="1" x="3192"/>
        <item x="2479"/>
        <item x="2478"/>
        <item x="2512"/>
        <item m="1" x="4594"/>
        <item m="1" x="4595"/>
        <item x="2513"/>
        <item x="2532"/>
        <item m="1" x="3284"/>
        <item x="2530"/>
        <item m="1" x="3506"/>
        <item m="1" x="3508"/>
        <item m="1" x="3509"/>
        <item m="1" x="3511"/>
        <item m="1" x="4606"/>
        <item m="1" x="3737"/>
        <item x="2694"/>
        <item m="1" x="4611"/>
        <item m="1" x="4612"/>
        <item x="2520"/>
        <item x="2584"/>
        <item m="1" x="4615"/>
        <item x="2570"/>
        <item x="2587"/>
        <item m="1" x="3816"/>
        <item x="2589"/>
        <item x="2593"/>
        <item x="2597"/>
        <item x="2606"/>
        <item x="2614"/>
        <item x="2615"/>
        <item x="2453"/>
        <item m="1" x="3996"/>
        <item x="2649"/>
        <item x="2673"/>
        <item m="1" x="4622"/>
        <item x="3008"/>
        <item m="1" x="4099"/>
        <item m="1" x="4100"/>
        <item m="1" x="4623"/>
        <item m="1" x="4107"/>
        <item m="1" x="4108"/>
        <item m="1" x="4278"/>
        <item x="2684"/>
        <item x="2687"/>
        <item m="1" x="4189"/>
        <item x="2689"/>
        <item x="2692"/>
        <item x="2707"/>
        <item x="2719"/>
        <item x="2759"/>
        <item x="2760"/>
        <item x="2761"/>
        <item x="2763"/>
        <item x="2771"/>
        <item m="1" x="3985"/>
        <item m="1" x="3519"/>
        <item x="2792"/>
        <item x="2794"/>
        <item x="2795"/>
        <item x="2800"/>
        <item x="2803"/>
        <item m="1" x="4641"/>
        <item x="3006"/>
        <item m="1" x="4102"/>
        <item x="2843"/>
        <item m="1" x="4642"/>
        <item x="2847"/>
        <item x="2861"/>
        <item x="2862"/>
        <item m="1" x="4661"/>
        <item m="1" x="4688"/>
        <item m="1" x="4678"/>
        <item m="1" x="4687"/>
        <item m="1" x="3041"/>
        <item m="1" x="3044"/>
        <item m="1" x="3045"/>
        <item m="1" x="3046"/>
        <item m="1" x="3047"/>
        <item m="1" x="3048"/>
        <item m="1" x="3051"/>
        <item m="1" x="3043"/>
        <item m="1" x="3050"/>
        <item x="0"/>
        <item x="225"/>
        <item x="228"/>
        <item x="244"/>
        <item x="944"/>
        <item x="1795"/>
        <item x="949"/>
        <item x="1801"/>
        <item x="950"/>
        <item x="1803"/>
        <item x="2449"/>
        <item x="1804"/>
        <item x="951"/>
        <item x="2450"/>
        <item x="1806"/>
        <item x="952"/>
        <item x="953"/>
        <item x="954"/>
        <item x="955"/>
        <item x="956"/>
        <item x="957"/>
        <item x="958"/>
        <item x="1807"/>
        <item x="2451"/>
        <item x="1809"/>
        <item x="252"/>
        <item x="2452"/>
        <item x="1811"/>
        <item x="1812"/>
        <item x="960"/>
        <item x="964"/>
        <item x="966"/>
        <item x="967"/>
        <item x="256"/>
        <item x="2454"/>
        <item x="257"/>
        <item x="970"/>
        <item x="1813"/>
        <item x="259"/>
        <item x="973"/>
        <item x="974"/>
        <item x="1815"/>
        <item x="262"/>
        <item x="980"/>
        <item x="981"/>
        <item x="267"/>
        <item x="984"/>
        <item x="985"/>
        <item x="269"/>
        <item x="8"/>
        <item x="9"/>
        <item x="1816"/>
        <item x="990"/>
        <item x="270"/>
        <item x="994"/>
        <item x="2459"/>
        <item m="1" x="3060"/>
        <item x="996"/>
        <item m="1" x="3058"/>
        <item x="997"/>
        <item x="273"/>
        <item m="1" x="3056"/>
        <item x="998"/>
        <item x="275"/>
        <item x="1817"/>
        <item x="2460"/>
        <item x="999"/>
        <item x="1000"/>
        <item x="276"/>
        <item x="1818"/>
        <item m="1" x="3059"/>
        <item x="1819"/>
        <item x="277"/>
        <item x="278"/>
        <item x="279"/>
        <item x="1002"/>
        <item x="1821"/>
        <item x="1822"/>
        <item x="280"/>
        <item x="1823"/>
        <item x="281"/>
        <item x="1003"/>
        <item m="1" x="3057"/>
        <item x="1824"/>
        <item x="1005"/>
        <item x="933"/>
        <item m="1" x="3061"/>
        <item m="1" x="3152"/>
        <item m="1" x="3124"/>
        <item x="991"/>
        <item m="1" x="3082"/>
        <item m="1" x="3090"/>
        <item m="1" x="3091"/>
        <item m="1" x="3092"/>
        <item m="1" x="3158"/>
        <item m="1" x="3093"/>
        <item m="1" x="3094"/>
        <item m="1" x="3062"/>
        <item m="1" x="3128"/>
        <item m="1" x="3096"/>
        <item m="1" x="3181"/>
        <item m="1" x="3182"/>
        <item m="1" x="3185"/>
        <item m="1" x="3186"/>
        <item m="1" x="3184"/>
        <item x="305"/>
        <item x="1862"/>
        <item x="1043"/>
        <item x="2778"/>
        <item x="1052"/>
        <item x="310"/>
        <item x="1055"/>
        <item x="1867"/>
        <item x="1057"/>
        <item x="1058"/>
        <item x="2485"/>
        <item x="2490"/>
        <item x="2783"/>
        <item x="1917"/>
        <item x="2514"/>
        <item x="1920"/>
        <item x="342"/>
        <item x="343"/>
        <item x="2516"/>
        <item x="344"/>
        <item x="345"/>
        <item x="24"/>
        <item x="2517"/>
        <item x="1120"/>
        <item x="1072"/>
        <item x="2493"/>
        <item x="1073"/>
        <item x="2502"/>
        <item x="2504"/>
        <item x="1885"/>
        <item x="2506"/>
        <item x="1084"/>
        <item x="325"/>
        <item x="1087"/>
        <item x="1077"/>
        <item x="1092"/>
        <item x="1897"/>
        <item x="1899"/>
        <item x="2496"/>
        <item x="1094"/>
        <item x="2871"/>
        <item x="1095"/>
        <item x="327"/>
        <item x="1096"/>
        <item x="330"/>
        <item m="1" x="3223"/>
        <item m="1" x="3221"/>
        <item m="1" x="3224"/>
        <item x="1937"/>
        <item x="364"/>
        <item m="1" x="3248"/>
        <item m="1" x="3281"/>
        <item m="1" x="3285"/>
        <item m="1" x="3234"/>
        <item m="1" x="3228"/>
        <item m="1" x="3239"/>
        <item m="1" x="3230"/>
        <item m="1" x="3240"/>
        <item x="1630"/>
        <item m="1" x="3231"/>
        <item m="1" x="3232"/>
        <item x="2441"/>
        <item m="1" x="3236"/>
        <item m="1" x="3237"/>
        <item m="1" x="3233"/>
        <item m="1" x="3286"/>
        <item x="1168"/>
        <item x="381"/>
        <item x="382"/>
        <item m="1" x="3292"/>
        <item x="423"/>
        <item x="2563"/>
        <item x="2564"/>
        <item x="1241"/>
        <item x="2002"/>
        <item x="2565"/>
        <item x="425"/>
        <item x="2014"/>
        <item x="2015"/>
        <item x="1254"/>
        <item m="1" x="3565"/>
        <item m="1" x="3604"/>
        <item m="1" x="3665"/>
        <item m="1" x="3605"/>
        <item x="2031"/>
        <item x="474"/>
        <item x="488"/>
        <item x="1298"/>
        <item x="2052"/>
        <item x="2585"/>
        <item x="1299"/>
        <item m="1" x="3762"/>
        <item m="1" x="3761"/>
        <item m="1" x="3800"/>
        <item x="1305"/>
        <item x="58"/>
        <item x="59"/>
        <item x="509"/>
        <item m="1" x="3802"/>
        <item x="2591"/>
        <item x="1318"/>
        <item m="1" x="3806"/>
        <item x="523"/>
        <item x="525"/>
        <item x="1328"/>
        <item x="529"/>
        <item x="63"/>
        <item x="1331"/>
        <item x="535"/>
        <item x="619"/>
        <item x="621"/>
        <item x="623"/>
        <item m="1" x="3820"/>
        <item x="627"/>
        <item x="2139"/>
        <item m="1" x="3959"/>
        <item m="1" x="3960"/>
        <item m="1" x="3983"/>
        <item m="1" x="3967"/>
        <item m="1" x="3968"/>
        <item m="1" x="3969"/>
        <item x="1431"/>
        <item x="435"/>
        <item x="1414"/>
        <item x="629"/>
        <item x="631"/>
        <item x="632"/>
        <item x="1423"/>
        <item x="2618"/>
        <item x="1424"/>
        <item m="1" x="3987"/>
        <item m="1" x="3990"/>
        <item m="1" x="3994"/>
        <item m="1" x="3997"/>
        <item m="1" x="3995"/>
        <item m="1" x="3991"/>
        <item x="714"/>
        <item x="1471"/>
        <item x="715"/>
        <item x="2207"/>
        <item x="1472"/>
        <item x="125"/>
        <item x="126"/>
        <item x="2208"/>
        <item x="127"/>
        <item x="2824"/>
        <item x="128"/>
        <item x="129"/>
        <item x="130"/>
        <item x="716"/>
        <item x="131"/>
        <item x="133"/>
        <item x="719"/>
        <item x="720"/>
        <item x="1430"/>
        <item x="2659"/>
        <item x="1487"/>
        <item x="2222"/>
        <item x="729"/>
        <item x="737"/>
        <item x="1496"/>
        <item x="1498"/>
        <item m="1" x="4002"/>
        <item m="1" x="4005"/>
        <item m="1" x="4003"/>
        <item m="1" x="4007"/>
        <item m="1" x="4008"/>
        <item m="1" x="4004"/>
        <item m="1" x="4001"/>
        <item x="1567"/>
        <item x="797"/>
        <item x="2280"/>
        <item x="799"/>
        <item x="2833"/>
        <item x="1568"/>
        <item x="2836"/>
        <item x="1573"/>
        <item x="2297"/>
        <item x="826"/>
        <item x="171"/>
        <item x="827"/>
        <item m="1" x="4093"/>
        <item m="1" x="4101"/>
        <item x="172"/>
        <item x="175"/>
        <item x="831"/>
        <item x="178"/>
        <item x="179"/>
        <item x="1612"/>
        <item x="1613"/>
        <item x="833"/>
        <item x="1618"/>
        <item x="181"/>
        <item x="842"/>
        <item x="1629"/>
        <item m="1" x="4110"/>
        <item m="1" x="4111"/>
        <item x="2318"/>
        <item x="192"/>
        <item x="2339"/>
        <item x="193"/>
        <item x="2340"/>
        <item x="2341"/>
        <item x="1669"/>
        <item m="1" x="4188"/>
        <item x="1670"/>
        <item x="2343"/>
        <item x="2691"/>
        <item x="803"/>
        <item m="1" x="4186"/>
        <item x="2355"/>
        <item x="2356"/>
        <item x="2693"/>
        <item x="1687"/>
        <item x="1688"/>
        <item x="2358"/>
        <item x="1695"/>
        <item x="1696"/>
        <item x="2709"/>
        <item x="2378"/>
        <item x="890"/>
        <item x="1737"/>
        <item x="1752"/>
        <item x="511"/>
        <item x="200"/>
        <item x="2727"/>
        <item x="905"/>
        <item x="2442"/>
        <item x="2765"/>
        <item x="1786"/>
        <item x="1787"/>
        <item x="2863"/>
        <item x="2443"/>
        <item x="2766"/>
        <item x="1788"/>
        <item x="34"/>
        <item x="2867"/>
        <item x="2873"/>
        <item x="2869"/>
        <item x="2870"/>
        <item x="2877"/>
        <item x="3015"/>
        <item x="3039"/>
        <item m="1" x="3215"/>
        <item m="1" x="3220"/>
        <item m="1" x="3342"/>
        <item m="1" x="3343"/>
        <item m="1" x="3344"/>
        <item m="1" x="3345"/>
        <item m="1" x="3347"/>
        <item m="1" x="3348"/>
        <item m="1" x="3349"/>
        <item m="1" x="3402"/>
        <item m="1" x="3403"/>
        <item m="1" x="3404"/>
        <item m="1" x="3405"/>
        <item m="1" x="3406"/>
        <item m="1" x="3407"/>
        <item m="1" x="3408"/>
        <item m="1" x="3409"/>
        <item m="1" x="3413"/>
        <item m="1" x="3414"/>
        <item m="1" x="3416"/>
        <item m="1" x="3474"/>
        <item m="1" x="3475"/>
        <item m="1" x="3476"/>
        <item m="1" x="3477"/>
        <item m="1" x="3479"/>
        <item m="1" x="3480"/>
        <item m="1" x="3481"/>
        <item m="1" x="3482"/>
        <item m="1" x="3483"/>
        <item m="1" x="3514"/>
        <item m="1" x="3520"/>
        <item m="1" x="3524"/>
        <item m="1" x="3525"/>
        <item m="1" x="3526"/>
        <item m="1" x="3527"/>
        <item m="1" x="3528"/>
        <item m="1" x="3529"/>
        <item m="1" x="3530"/>
        <item m="1" x="3851"/>
        <item m="1" x="3857"/>
        <item m="1" x="3901"/>
        <item x="220"/>
        <item m="1" x="3903"/>
        <item m="1" x="3906"/>
        <item m="1" x="3907"/>
        <item m="1" x="3908"/>
        <item m="1" x="3909"/>
        <item m="1" x="3914"/>
        <item m="1" x="3915"/>
        <item m="1" x="3919"/>
        <item m="1" x="3921"/>
        <item m="1" x="3923"/>
        <item m="1" x="3924"/>
        <item m="1" x="3931"/>
        <item m="1" x="3932"/>
        <item m="1" x="3937"/>
        <item m="1" x="3944"/>
        <item m="1" x="3945"/>
        <item m="1" x="3947"/>
        <item m="1" x="3948"/>
        <item m="1" x="3951"/>
        <item m="1" x="3952"/>
        <item m="1" x="3954"/>
        <item m="1" x="3956"/>
        <item m="1" x="3957"/>
        <item m="1" x="4009"/>
        <item m="1" x="4010"/>
        <item m="1" x="4132"/>
        <item m="1" x="4134"/>
        <item m="1" x="4135"/>
        <item m="1" x="4153"/>
        <item x="1574"/>
        <item m="1" x="4154"/>
        <item m="1" x="4155"/>
        <item m="1" x="4160"/>
        <item m="1" x="4167"/>
        <item m="1" x="4168"/>
        <item m="1" x="4169"/>
        <item m="1" x="4178"/>
        <item x="1792"/>
        <item x="1794"/>
        <item x="237"/>
        <item x="242"/>
        <item x="245"/>
        <item x="992"/>
        <item x="10"/>
        <item x="2455"/>
        <item x="2456"/>
        <item x="2457"/>
        <item x="2458"/>
        <item x="1004"/>
        <item x="308"/>
        <item x="2483"/>
        <item x="2484"/>
        <item x="1868"/>
        <item x="2486"/>
        <item x="1869"/>
        <item x="1870"/>
        <item x="2487"/>
        <item x="1062"/>
        <item x="2488"/>
        <item x="1871"/>
        <item x="1872"/>
        <item x="1874"/>
        <item x="1875"/>
        <item x="1065"/>
        <item x="1066"/>
        <item x="2489"/>
        <item x="1876"/>
        <item x="314"/>
        <item x="1067"/>
        <item x="316"/>
        <item x="1877"/>
        <item x="2491"/>
        <item x="1878"/>
        <item x="2492"/>
        <item x="17"/>
        <item x="2781"/>
        <item x="1069"/>
        <item x="1071"/>
        <item x="319"/>
        <item x="320"/>
        <item x="2499"/>
        <item x="321"/>
        <item x="2505"/>
        <item x="1890"/>
        <item x="1893"/>
        <item x="1909"/>
        <item x="346"/>
        <item x="1921"/>
        <item x="347"/>
        <item x="1121"/>
        <item x="1923"/>
        <item x="1925"/>
        <item x="1123"/>
        <item x="2519"/>
        <item x="1126"/>
        <item x="1129"/>
        <item x="359"/>
        <item x="361"/>
        <item x="368"/>
        <item x="1938"/>
        <item x="2525"/>
        <item x="369"/>
        <item x="372"/>
        <item x="377"/>
        <item x="1162"/>
        <item x="1947"/>
        <item x="1951"/>
        <item x="2531"/>
        <item x="1169"/>
        <item x="383"/>
        <item x="32"/>
        <item x="1953"/>
        <item x="385"/>
        <item x="1171"/>
        <item x="33"/>
        <item x="41"/>
        <item x="2001"/>
        <item x="427"/>
        <item x="428"/>
        <item x="429"/>
        <item x="42"/>
        <item x="2008"/>
        <item x="2009"/>
        <item x="43"/>
        <item x="2568"/>
        <item x="1252"/>
        <item x="1256"/>
        <item x="445"/>
        <item x="1258"/>
        <item x="1259"/>
        <item x="48"/>
        <item x="1260"/>
        <item x="2571"/>
        <item x="2016"/>
        <item x="2578"/>
        <item x="2796"/>
        <item x="1314"/>
        <item x="60"/>
        <item x="1320"/>
        <item x="1322"/>
        <item x="1323"/>
        <item x="530"/>
        <item x="533"/>
        <item x="2071"/>
        <item x="64"/>
        <item x="78"/>
        <item x="79"/>
        <item x="634"/>
        <item x="2616"/>
        <item x="635"/>
        <item x="1425"/>
        <item x="2617"/>
        <item x="1426"/>
        <item x="1427"/>
        <item x="2150"/>
        <item x="638"/>
        <item x="2151"/>
        <item x="2805"/>
        <item x="1428"/>
        <item x="2152"/>
        <item x="642"/>
        <item x="2806"/>
        <item x="1429"/>
        <item x="2153"/>
        <item x="1432"/>
        <item x="644"/>
        <item x="2619"/>
        <item x="645"/>
        <item x="1433"/>
        <item x="2156"/>
        <item x="2621"/>
        <item x="2622"/>
        <item x="2157"/>
        <item x="135"/>
        <item x="136"/>
        <item x="721"/>
        <item x="722"/>
        <item x="137"/>
        <item x="723"/>
        <item x="724"/>
        <item x="2220"/>
        <item x="139"/>
        <item x="742"/>
        <item x="140"/>
        <item x="1499"/>
        <item x="2235"/>
        <item x="2671"/>
        <item x="2281"/>
        <item x="1569"/>
        <item x="1570"/>
        <item x="1571"/>
        <item x="1601"/>
        <item x="1608"/>
        <item x="2300"/>
        <item x="174"/>
        <item x="874"/>
        <item x="875"/>
        <item x="876"/>
        <item x="877"/>
        <item x="880"/>
        <item x="194"/>
        <item x="2697"/>
        <item x="881"/>
        <item x="195"/>
        <item x="882"/>
        <item x="1704"/>
        <item x="883"/>
        <item x="1710"/>
        <item x="1713"/>
        <item x="886"/>
        <item x="2373"/>
        <item x="1734"/>
        <item x="197"/>
        <item x="2722"/>
        <item x="201"/>
        <item x="219"/>
        <item x="2767"/>
        <item x="2768"/>
        <item x="1789"/>
        <item x="2769"/>
        <item x="2444"/>
        <item x="2770"/>
        <item x="2445"/>
        <item x="929"/>
        <item x="2864"/>
        <item x="1791"/>
        <item x="2875"/>
        <item x="2882"/>
        <item x="2945"/>
        <item x="2949"/>
        <item x="2954"/>
        <item x="3022"/>
        <item x="3027"/>
        <item x="3029"/>
        <item x="3033"/>
        <item x="3037"/>
        <item x="3038"/>
        <item x="304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multipleItemSelectionAllowed="1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 defaultSubtotal="0">
      <items count="3">
        <item x="1"/>
        <item x="0"/>
        <item m="1" x="2"/>
      </items>
    </pivotField>
    <pivotField compact="0" outline="0" showAll="0"/>
    <pivotField compact="0" numFmtId="43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dragToRow="0" dragToCol="0" dragToPage="0" showAll="0" defaultSubtotal="0"/>
  </pivotFields>
  <rowFields count="3">
    <field x="2"/>
    <field x="4"/>
    <field x="5"/>
  </rowFields>
  <rowItems count="1528">
    <i>
      <x v="10"/>
    </i>
    <i>
      <x v="12"/>
    </i>
    <i>
      <x v="21"/>
    </i>
    <i>
      <x v="35"/>
      <x v="19"/>
      <x v="911"/>
    </i>
    <i r="1">
      <x v="46"/>
      <x v="1958"/>
    </i>
    <i r="1">
      <x v="123"/>
      <x v="3941"/>
    </i>
    <i r="1">
      <x v="188"/>
      <x v="1572"/>
    </i>
    <i r="1">
      <x v="293"/>
      <x v="251"/>
    </i>
    <i r="1">
      <x v="507"/>
      <x v="551"/>
    </i>
    <i r="1">
      <x v="554"/>
      <x v="2052"/>
    </i>
    <i r="1">
      <x v="713"/>
      <x v="422"/>
    </i>
    <i r="1">
      <x v="1151"/>
      <x v="1876"/>
    </i>
    <i r="1">
      <x v="1246"/>
      <x v="986"/>
    </i>
    <i r="1">
      <x v="1449"/>
      <x v="1648"/>
    </i>
    <i r="1">
      <x v="1452"/>
      <x v="1651"/>
    </i>
    <i r="1">
      <x v="1589"/>
      <x v="4560"/>
    </i>
    <i r="1">
      <x v="1687"/>
      <x v="1285"/>
    </i>
    <i r="1">
      <x v="1850"/>
      <x v="2089"/>
    </i>
    <i r="1">
      <x v="1855"/>
      <x v="405"/>
    </i>
    <i r="1">
      <x v="1862"/>
      <x v="2092"/>
    </i>
    <i r="1">
      <x v="1930"/>
      <x v="919"/>
    </i>
    <i r="1">
      <x v="2154"/>
      <x v="1439"/>
    </i>
    <i r="1">
      <x v="2340"/>
      <x v="717"/>
    </i>
    <i r="1">
      <x v="2561"/>
      <x v="4244"/>
    </i>
    <i r="1">
      <x v="2562"/>
      <x v="2361"/>
    </i>
    <i r="1">
      <x v="2627"/>
      <x v="1760"/>
    </i>
    <i r="1">
      <x v="2781"/>
      <x v="641"/>
    </i>
    <i r="1">
      <x v="2782"/>
      <x v="4259"/>
    </i>
    <i r="1">
      <x v="2785"/>
      <x v="4251"/>
    </i>
    <i r="1">
      <x v="2786"/>
      <x v="4260"/>
    </i>
    <i r="1">
      <x v="2787"/>
      <x v="4248"/>
    </i>
    <i r="1">
      <x v="2788"/>
      <x v="1377"/>
    </i>
    <i r="1">
      <x v="2791"/>
      <x v="2437"/>
    </i>
    <i r="1">
      <x v="2794"/>
      <x v="4255"/>
    </i>
    <i r="1">
      <x v="2800"/>
      <x v="2440"/>
    </i>
    <i r="1">
      <x v="2802"/>
      <x v="940"/>
    </i>
    <i r="1">
      <x v="2803"/>
      <x v="505"/>
    </i>
    <i r="1">
      <x v="2878"/>
      <x v="1454"/>
    </i>
    <i r="1">
      <x v="3008"/>
      <x v="4257"/>
    </i>
    <i r="1">
      <x v="3011"/>
      <x v="67"/>
    </i>
    <i r="1">
      <x v="3017"/>
      <x v="2516"/>
    </i>
    <i r="1">
      <x v="3018"/>
      <x v="2149"/>
    </i>
    <i r="1">
      <x v="3020"/>
      <x v="2518"/>
    </i>
    <i r="1">
      <x v="3029"/>
      <x v="4261"/>
    </i>
    <i r="1">
      <x v="3033"/>
      <x v="816"/>
    </i>
    <i r="1">
      <x v="3035"/>
      <x v="1772"/>
    </i>
    <i r="1">
      <x v="3038"/>
      <x v="781"/>
    </i>
    <i r="1">
      <x v="3039"/>
      <x v="4245"/>
    </i>
    <i r="1">
      <x v="3377"/>
      <x v="2827"/>
    </i>
    <i r="1">
      <x v="3411"/>
      <x v="2364"/>
    </i>
    <i r="1">
      <x v="3415"/>
      <x v="2520"/>
    </i>
    <i r="1">
      <x v="3598"/>
      <x v="2692"/>
    </i>
    <i r="1">
      <x v="3609"/>
      <x v="2696"/>
    </i>
    <i r="1">
      <x v="3750"/>
      <x v="4241"/>
    </i>
    <i r="1">
      <x v="3775"/>
      <x v="92"/>
    </i>
    <i r="1">
      <x v="4226"/>
      <x v="437"/>
    </i>
    <i r="1">
      <x v="4229"/>
      <x v="4252"/>
    </i>
    <i r="1">
      <x v="4231"/>
      <x v="4246"/>
    </i>
    <i r="1">
      <x v="4232"/>
      <x v="1737"/>
    </i>
    <i r="1">
      <x v="4235"/>
      <x v="599"/>
    </i>
    <i r="1">
      <x v="4240"/>
      <x v="2115"/>
    </i>
    <i r="1">
      <x v="4241"/>
      <x v="4253"/>
    </i>
    <i r="1">
      <x v="4243"/>
      <x v="2896"/>
    </i>
    <i r="1">
      <x v="4247"/>
      <x v="4250"/>
    </i>
    <i r="1">
      <x v="4248"/>
      <x v="2898"/>
    </i>
    <i r="1">
      <x v="4254"/>
      <x v="2900"/>
    </i>
    <i r="1">
      <x v="4257"/>
      <x v="2902"/>
    </i>
    <i r="1">
      <x v="4262"/>
      <x v="1959"/>
    </i>
    <i r="1">
      <x v="4263"/>
      <x v="4220"/>
    </i>
    <i r="1">
      <x v="4264"/>
      <x v="2903"/>
    </i>
    <i r="1">
      <x v="4265"/>
      <x v="2904"/>
    </i>
    <i r="1">
      <x v="4272"/>
      <x v="4262"/>
    </i>
    <i r="1">
      <x v="4281"/>
      <x v="4254"/>
    </i>
    <i r="1">
      <x v="4286"/>
      <x v="1623"/>
    </i>
    <i r="1">
      <x v="4287"/>
      <x v="2905"/>
    </i>
    <i r="1">
      <x v="4288"/>
      <x v="2906"/>
    </i>
    <i r="1">
      <x v="4289"/>
      <x v="199"/>
    </i>
    <i r="1">
      <x v="4291"/>
      <x v="2907"/>
    </i>
    <i r="1">
      <x v="4292"/>
      <x v="299"/>
    </i>
    <i r="1">
      <x v="4294"/>
      <x v="1286"/>
    </i>
    <i r="1">
      <x v="4295"/>
      <x v="2908"/>
    </i>
    <i r="1">
      <x v="4298"/>
      <x v="2909"/>
    </i>
    <i r="1">
      <x v="4302"/>
      <x v="2910"/>
    </i>
    <i r="1">
      <x v="4303"/>
      <x v="1846"/>
    </i>
    <i r="1">
      <x v="4307"/>
      <x v="2911"/>
    </i>
    <i r="1">
      <x v="4310"/>
      <x v="2678"/>
    </i>
    <i r="1">
      <x v="4311"/>
      <x v="633"/>
    </i>
    <i r="1">
      <x v="4312"/>
      <x v="2912"/>
    </i>
    <i r="1">
      <x v="4313"/>
      <x v="2913"/>
    </i>
    <i r="1">
      <x v="4314"/>
      <x v="2914"/>
    </i>
    <i r="1">
      <x v="4315"/>
      <x v="2027"/>
    </i>
    <i r="1">
      <x v="4316"/>
      <x v="1184"/>
    </i>
    <i r="1">
      <x v="4317"/>
      <x v="2915"/>
    </i>
    <i r="1">
      <x v="4318"/>
      <x v="2916"/>
    </i>
    <i r="1">
      <x v="4320"/>
      <x v="2917"/>
    </i>
    <i r="1">
      <x v="4321"/>
      <x v="2918"/>
    </i>
    <i r="1">
      <x v="4322"/>
      <x v="466"/>
    </i>
    <i r="1">
      <x v="4323"/>
      <x v="2919"/>
    </i>
    <i r="1">
      <x v="4324"/>
      <x v="2920"/>
    </i>
    <i r="1">
      <x v="4326"/>
      <x v="2921"/>
    </i>
    <i r="1">
      <x v="4328"/>
      <x v="1290"/>
    </i>
    <i r="1">
      <x v="4329"/>
      <x v="2577"/>
    </i>
    <i r="1">
      <x v="4330"/>
      <x v="558"/>
    </i>
    <i r="1">
      <x v="4339"/>
      <x v="2169"/>
    </i>
    <i r="1">
      <x v="4340"/>
      <x v="2922"/>
    </i>
    <i r="1">
      <x v="4341"/>
      <x v="2923"/>
    </i>
    <i r="1">
      <x v="4342"/>
      <x v="2458"/>
    </i>
    <i r="1">
      <x v="4343"/>
      <x v="487"/>
    </i>
    <i r="1">
      <x v="4344"/>
      <x v="2924"/>
    </i>
    <i r="1">
      <x v="4347"/>
      <x v="2926"/>
    </i>
    <i r="1">
      <x v="4348"/>
      <x v="2927"/>
    </i>
    <i r="1">
      <x v="4349"/>
      <x v="2928"/>
    </i>
    <i r="1">
      <x v="4350"/>
      <x v="2929"/>
    </i>
    <i r="1">
      <x v="4351"/>
      <x v="971"/>
    </i>
    <i r="1">
      <x v="4355"/>
      <x v="1347"/>
    </i>
    <i r="1">
      <x v="4356"/>
      <x v="2048"/>
    </i>
    <i r="1">
      <x v="4394"/>
      <x v="2942"/>
    </i>
    <i r="1">
      <x v="4841"/>
      <x v="676"/>
    </i>
    <i r="1">
      <x v="4967"/>
      <x v="1640"/>
    </i>
    <i r="1">
      <x v="4968"/>
      <x v="4249"/>
    </i>
    <i r="1">
      <x v="4973"/>
      <x v="900"/>
    </i>
    <i r="1">
      <x v="4976"/>
      <x v="3096"/>
    </i>
    <i r="1">
      <x v="4979"/>
      <x v="3098"/>
    </i>
    <i r="1">
      <x v="4981"/>
      <x v="2403"/>
    </i>
    <i r="1">
      <x v="4982"/>
      <x v="3099"/>
    </i>
    <i r="1">
      <x v="4983"/>
      <x v="3100"/>
    </i>
    <i r="1">
      <x v="4984"/>
      <x v="3101"/>
    </i>
    <i r="1">
      <x v="4985"/>
      <x v="2612"/>
    </i>
    <i r="1">
      <x v="4986"/>
      <x v="3102"/>
    </i>
    <i r="1">
      <x v="4987"/>
      <x v="3103"/>
    </i>
    <i r="1">
      <x v="4989"/>
      <x v="2044"/>
    </i>
    <i r="1">
      <x v="4992"/>
      <x v="3105"/>
    </i>
    <i r="1">
      <x v="4993"/>
      <x v="722"/>
    </i>
    <i r="1">
      <x v="4994"/>
      <x v="3106"/>
    </i>
    <i r="1">
      <x v="4995"/>
      <x v="3107"/>
    </i>
    <i r="1">
      <x v="4996"/>
      <x v="2862"/>
    </i>
    <i r="1">
      <x v="4998"/>
      <x v="2176"/>
    </i>
    <i r="1">
      <x v="4999"/>
      <x v="1510"/>
    </i>
    <i r="1">
      <x v="5000"/>
      <x v="2670"/>
    </i>
    <i r="1">
      <x v="5001"/>
      <x v="3108"/>
    </i>
    <i r="1">
      <x v="5003"/>
      <x v="390"/>
    </i>
    <i r="1">
      <x v="5005"/>
      <x v="2113"/>
    </i>
    <i r="1">
      <x v="5007"/>
      <x v="310"/>
    </i>
    <i r="1">
      <x v="5178"/>
      <x v="239"/>
    </i>
    <i r="1">
      <x v="5179"/>
      <x v="3154"/>
    </i>
    <i r="1">
      <x v="5181"/>
      <x v="3156"/>
    </i>
    <i r="1">
      <x v="5182"/>
      <x v="3157"/>
    </i>
    <i r="1">
      <x v="5184"/>
      <x v="2169"/>
    </i>
    <i r="1">
      <x v="5185"/>
      <x v="3158"/>
    </i>
    <i r="1">
      <x v="5186"/>
      <x v="2224"/>
    </i>
    <i r="1">
      <x v="5190"/>
      <x v="3159"/>
    </i>
    <i r="1">
      <x v="5191"/>
      <x v="1145"/>
    </i>
    <i r="1">
      <x v="5192"/>
      <x v="3160"/>
    </i>
    <i r="1">
      <x v="5193"/>
      <x v="1459"/>
    </i>
    <i r="1">
      <x v="5196"/>
      <x v="2041"/>
    </i>
    <i r="1">
      <x v="5197"/>
      <x v="2104"/>
    </i>
    <i r="1">
      <x v="5198"/>
      <x v="2562"/>
    </i>
    <i r="1">
      <x v="5199"/>
      <x v="980"/>
    </i>
    <i r="1">
      <x v="5200"/>
      <x v="258"/>
    </i>
    <i r="1">
      <x v="5201"/>
      <x v="3162"/>
    </i>
    <i r="1">
      <x v="5203"/>
      <x v="3164"/>
    </i>
    <i r="1">
      <x v="5215"/>
      <x v="3165"/>
    </i>
    <i r="1">
      <x v="5216"/>
      <x v="3166"/>
    </i>
    <i r="1">
      <x v="5222"/>
      <x v="3169"/>
    </i>
    <i r="1">
      <x v="5225"/>
      <x v="3170"/>
    </i>
    <i r="1">
      <x v="5228"/>
      <x v="2806"/>
    </i>
    <i r="1">
      <x v="5229"/>
      <x v="377"/>
    </i>
    <i r="1">
      <x v="5233"/>
      <x v="3171"/>
    </i>
    <i r="1">
      <x v="5235"/>
      <x v="4242"/>
    </i>
    <i r="1">
      <x v="5236"/>
      <x v="4243"/>
    </i>
    <i r="1">
      <x v="5238"/>
      <x v="3172"/>
    </i>
    <i r="1">
      <x v="5239"/>
      <x v="1023"/>
    </i>
    <i r="1">
      <x v="5243"/>
      <x v="4247"/>
    </i>
    <i r="1">
      <x v="5247"/>
      <x v="4587"/>
    </i>
    <i r="1">
      <x v="5248"/>
      <x v="2412"/>
    </i>
    <i r="1">
      <x v="5249"/>
      <x v="2178"/>
    </i>
    <i r="1">
      <x v="5252"/>
      <x v="694"/>
    </i>
    <i r="1">
      <x v="5552"/>
      <x v="3118"/>
    </i>
    <i r="1">
      <x v="5628"/>
      <x v="1877"/>
    </i>
    <i r="1">
      <x v="5634"/>
      <x v="530"/>
    </i>
    <i r="1">
      <x v="5756"/>
      <x v="2592"/>
    </i>
    <i r="1">
      <x v="5758"/>
      <x v="3294"/>
    </i>
    <i r="1">
      <x v="5760"/>
      <x v="3295"/>
    </i>
    <i r="1">
      <x v="5761"/>
      <x v="3296"/>
    </i>
    <i r="1">
      <x v="5762"/>
      <x v="2691"/>
    </i>
    <i r="1">
      <x v="5764"/>
      <x v="3298"/>
    </i>
    <i r="1">
      <x v="5765"/>
      <x v="216"/>
    </i>
    <i r="1">
      <x v="5767"/>
      <x v="3299"/>
    </i>
    <i r="1">
      <x v="5768"/>
      <x v="878"/>
    </i>
    <i r="1">
      <x v="5769"/>
      <x v="1990"/>
    </i>
    <i r="1">
      <x v="5770"/>
      <x v="3300"/>
    </i>
    <i r="1">
      <x v="5771"/>
      <x v="512"/>
    </i>
    <i r="1">
      <x v="5772"/>
      <x v="3301"/>
    </i>
    <i r="1">
      <x v="5773"/>
      <x v="532"/>
    </i>
    <i r="1">
      <x v="5774"/>
      <x v="1042"/>
    </i>
    <i r="1">
      <x v="5775"/>
      <x v="2681"/>
    </i>
    <i r="1">
      <x v="5776"/>
      <x v="3302"/>
    </i>
    <i r="1">
      <x v="5777"/>
      <x v="3303"/>
    </i>
    <i r="1">
      <x v="5779"/>
      <x v="457"/>
    </i>
    <i r="1">
      <x v="5780"/>
      <x v="1679"/>
    </i>
    <i r="1">
      <x v="5781"/>
      <x v="3103"/>
    </i>
    <i r="1">
      <x v="5782"/>
      <x v="3304"/>
    </i>
    <i r="1">
      <x v="5788"/>
      <x v="288"/>
    </i>
    <i r="1">
      <x v="5789"/>
      <x v="885"/>
    </i>
    <i r="1">
      <x v="5793"/>
      <x v="3307"/>
    </i>
    <i r="1">
      <x v="5796"/>
      <x v="3309"/>
    </i>
    <i r="1">
      <x v="5797"/>
      <x v="4256"/>
    </i>
    <i r="1">
      <x v="5799"/>
      <x v="1225"/>
    </i>
    <i r="1">
      <x v="6298"/>
      <x v="3566"/>
    </i>
    <i r="1">
      <x v="6300"/>
      <x v="3356"/>
    </i>
    <i r="1">
      <x v="6301"/>
      <x v="3239"/>
    </i>
    <i r="1">
      <x v="6345"/>
      <x v="3633"/>
    </i>
    <i r="1">
      <x v="6346"/>
      <x v="3631"/>
    </i>
    <i r="1">
      <x v="6347"/>
      <x v="3636"/>
    </i>
    <i r="1">
      <x v="6348"/>
      <x v="3632"/>
    </i>
    <i r="1">
      <x v="6349"/>
      <x v="2420"/>
    </i>
    <i r="1">
      <x v="6351"/>
      <x v="2982"/>
    </i>
    <i r="1">
      <x v="6475"/>
      <x v="3764"/>
    </i>
    <i r="1">
      <x v="6477"/>
      <x v="3770"/>
    </i>
    <i r="1">
      <x v="6478"/>
      <x v="3762"/>
    </i>
    <i r="1">
      <x v="6481"/>
      <x v="3772"/>
    </i>
    <i r="1">
      <x v="6482"/>
      <x v="3773"/>
    </i>
    <i r="1">
      <x v="6483"/>
      <x v="3775"/>
    </i>
    <i r="1">
      <x v="6484"/>
      <x v="3459"/>
    </i>
    <i r="1">
      <x v="6485"/>
      <x v="3776"/>
    </i>
    <i r="1">
      <x v="6486"/>
      <x v="3777"/>
    </i>
    <i r="1">
      <x v="6487"/>
      <x v="1903"/>
    </i>
    <i r="1">
      <x v="6620"/>
      <x v="3914"/>
    </i>
    <i r="1">
      <x v="6621"/>
      <x v="834"/>
    </i>
    <i r="1">
      <x v="6623"/>
      <x v="3915"/>
    </i>
    <i r="1">
      <x v="6624"/>
      <x v="3916"/>
    </i>
    <i r="1">
      <x v="6625"/>
      <x v="3917"/>
    </i>
    <i r="1">
      <x v="6626"/>
      <x v="3918"/>
    </i>
    <i r="1">
      <x v="6733"/>
      <x v="2911"/>
    </i>
    <i r="1">
      <x v="6734"/>
      <x v="4033"/>
    </i>
    <i r="1">
      <x v="6735"/>
      <x v="3774"/>
    </i>
    <i r="1">
      <x v="6836"/>
      <x v="3568"/>
    </i>
    <i r="1">
      <x v="6883"/>
      <x v="3635"/>
    </i>
    <i r="1">
      <x v="6884"/>
      <x v="188"/>
    </i>
    <i r="1">
      <x v="6885"/>
      <x v="3638"/>
    </i>
    <i r="1">
      <x v="6971"/>
      <x v="3766"/>
    </i>
    <i r="1">
      <x v="6972"/>
      <x v="3768"/>
    </i>
    <i r="1">
      <x v="6973"/>
      <x v="3769"/>
    </i>
    <i r="1">
      <x v="6974"/>
      <x v="2770"/>
    </i>
    <i r="1">
      <x v="6975"/>
      <x v="2434"/>
    </i>
    <i r="1">
      <x v="6976"/>
      <x v="3778"/>
    </i>
    <i r="1">
      <x v="7078"/>
      <x v="3919"/>
    </i>
    <i r="1">
      <x v="7079"/>
      <x v="2732"/>
    </i>
    <i r="1">
      <x v="7080"/>
      <x v="1279"/>
    </i>
    <i r="1">
      <x v="7081"/>
      <x v="2794"/>
    </i>
    <i r="1">
      <x v="7082"/>
      <x v="1581"/>
    </i>
    <i r="1">
      <x v="7083"/>
      <x v="3085"/>
    </i>
    <i r="1">
      <x v="7153"/>
      <x v="4031"/>
    </i>
    <i r="1">
      <x v="7154"/>
      <x v="4032"/>
    </i>
    <i r="1">
      <x v="7156"/>
      <x v="4036"/>
    </i>
    <i r="1">
      <x v="7237"/>
      <x v="2522"/>
    </i>
    <i r="1">
      <x v="7238"/>
      <x v="3927"/>
    </i>
    <i r="1">
      <x v="7239"/>
      <x v="2901"/>
    </i>
    <i r="1">
      <x v="7240"/>
      <x v="2517"/>
    </i>
    <i r="1">
      <x v="7241"/>
      <x v="1987"/>
    </i>
    <i r="1">
      <x v="7242"/>
      <x v="4218"/>
    </i>
    <i r="1">
      <x v="7243"/>
      <x v="4219"/>
    </i>
    <i r="1">
      <x v="7244"/>
      <x v="4220"/>
    </i>
    <i r="1">
      <x v="7245"/>
      <x v="2310"/>
    </i>
    <i r="1">
      <x v="7247"/>
      <x v="4221"/>
    </i>
    <i r="1">
      <x v="7248"/>
      <x v="2897"/>
    </i>
    <i r="1">
      <x v="7249"/>
      <x v="1481"/>
    </i>
    <i r="1">
      <x v="7250"/>
      <x v="3747"/>
    </i>
    <i r="1">
      <x v="7251"/>
      <x v="2895"/>
    </i>
    <i r="1">
      <x v="7252"/>
      <x v="1380"/>
    </i>
    <i r="1">
      <x v="7253"/>
      <x v="2695"/>
    </i>
    <i r="1">
      <x v="7254"/>
      <x v="1515"/>
    </i>
    <i r="1">
      <x v="7255"/>
      <x v="1436"/>
    </i>
    <i r="1">
      <x v="7257"/>
      <x v="1206"/>
    </i>
    <i r="1">
      <x v="7258"/>
      <x v="4222"/>
    </i>
    <i r="1">
      <x v="7259"/>
      <x v="4223"/>
    </i>
    <i r="1">
      <x v="7260"/>
      <x v="4224"/>
    </i>
    <i r="1">
      <x v="7261"/>
      <x v="4225"/>
    </i>
    <i r="1">
      <x v="7262"/>
      <x v="1202"/>
    </i>
    <i r="1">
      <x v="7263"/>
      <x v="3748"/>
    </i>
    <i r="1">
      <x v="7264"/>
      <x v="4226"/>
    </i>
    <i r="1">
      <x v="7265"/>
      <x v="4227"/>
    </i>
    <i r="1">
      <x v="7266"/>
      <x v="348"/>
    </i>
    <i r="1">
      <x v="7267"/>
      <x v="4228"/>
    </i>
    <i r="1">
      <x v="7268"/>
      <x v="4229"/>
    </i>
    <i r="1">
      <x v="7269"/>
      <x v="4230"/>
    </i>
    <i r="1">
      <x v="7270"/>
      <x v="4231"/>
    </i>
    <i r="1">
      <x v="7271"/>
      <x v="2560"/>
    </i>
    <i r="1">
      <x v="7272"/>
      <x v="4232"/>
    </i>
    <i r="1">
      <x v="7273"/>
      <x v="3750"/>
    </i>
    <i r="1">
      <x v="7274"/>
      <x v="1506"/>
    </i>
    <i r="1">
      <x v="7275"/>
      <x v="4180"/>
    </i>
    <i r="1">
      <x v="7276"/>
      <x v="4233"/>
    </i>
    <i r="1">
      <x v="7277"/>
      <x v="2297"/>
    </i>
    <i r="1">
      <x v="7278"/>
      <x v="4234"/>
    </i>
    <i r="1">
      <x v="7279"/>
      <x v="4235"/>
    </i>
    <i r="1">
      <x v="7280"/>
      <x v="4236"/>
    </i>
    <i r="1">
      <x v="7281"/>
      <x v="4237"/>
    </i>
    <i r="1">
      <x v="7282"/>
      <x v="4238"/>
    </i>
    <i r="1">
      <x v="7283"/>
      <x v="4239"/>
    </i>
    <i r="1">
      <x v="7284"/>
      <x v="4240"/>
    </i>
    <i r="1">
      <x v="7285"/>
      <x v="4454"/>
    </i>
    <i r="1">
      <x v="7287"/>
      <x v="4455"/>
    </i>
    <i r="1">
      <x v="7289"/>
      <x v="2532"/>
    </i>
    <i r="1">
      <x v="7290"/>
      <x v="957"/>
    </i>
    <i r="1">
      <x v="7291"/>
      <x v="4456"/>
    </i>
    <i r="1">
      <x v="7292"/>
      <x v="120"/>
    </i>
    <i r="1">
      <x v="7293"/>
      <x v="3725"/>
    </i>
    <i r="1">
      <x v="7294"/>
      <x v="1305"/>
    </i>
    <i r="1">
      <x v="7295"/>
      <x v="4457"/>
    </i>
    <i r="1">
      <x v="7296"/>
      <x v="4458"/>
    </i>
    <i r="1">
      <x v="7297"/>
      <x v="4258"/>
    </i>
    <i r="1">
      <x v="7298"/>
      <x v="326"/>
    </i>
    <i r="1">
      <x v="7710"/>
      <x v="4552"/>
    </i>
    <i r="1">
      <x v="7711"/>
      <x v="4553"/>
    </i>
    <i r="1">
      <x v="7712"/>
      <x v="4554"/>
    </i>
    <i r="1">
      <x v="7713"/>
      <x v="1814"/>
    </i>
    <i r="1">
      <x v="7714"/>
      <x v="2376"/>
    </i>
    <i r="1">
      <x v="7715"/>
      <x v="4555"/>
    </i>
    <i r="1">
      <x v="7716"/>
      <x v="4556"/>
    </i>
    <i r="1">
      <x v="7717"/>
      <x v="4557"/>
    </i>
    <i r="1">
      <x v="7718"/>
      <x v="3818"/>
    </i>
    <i r="1">
      <x v="7719"/>
      <x v="1775"/>
    </i>
    <i r="1">
      <x v="7720"/>
      <x v="4558"/>
    </i>
    <i r="1">
      <x v="7721"/>
      <x v="4559"/>
    </i>
    <i r="1">
      <x v="7722"/>
      <x v="4561"/>
    </i>
    <i r="1">
      <x v="7723"/>
      <x v="4562"/>
    </i>
    <i r="1">
      <x v="7724"/>
      <x v="4563"/>
    </i>
    <i r="1">
      <x v="7725"/>
      <x v="105"/>
    </i>
    <i r="1">
      <x v="7726"/>
      <x v="4564"/>
    </i>
    <i r="1">
      <x v="7727"/>
      <x v="4565"/>
    </i>
    <i r="1">
      <x v="7728"/>
      <x v="1465"/>
    </i>
    <i r="1">
      <x v="7729"/>
      <x v="213"/>
    </i>
    <i r="1">
      <x v="7730"/>
      <x v="4566"/>
    </i>
    <i r="1">
      <x v="7731"/>
      <x v="4567"/>
    </i>
    <i r="1">
      <x v="7732"/>
      <x v="4568"/>
    </i>
    <i r="1">
      <x v="7733"/>
      <x v="4569"/>
    </i>
    <i r="1">
      <x v="7734"/>
      <x v="4570"/>
    </i>
    <i r="1">
      <x v="7735"/>
      <x v="4571"/>
    </i>
    <i r="1">
      <x v="7736"/>
      <x v="553"/>
    </i>
    <i r="1">
      <x v="7737"/>
      <x v="3701"/>
    </i>
    <i r="1">
      <x v="7738"/>
      <x v="3818"/>
    </i>
    <i r="1">
      <x v="7739"/>
      <x v="4572"/>
    </i>
    <i r="1">
      <x v="7740"/>
      <x v="4573"/>
    </i>
    <i r="1">
      <x v="7741"/>
      <x v="4574"/>
    </i>
    <i r="1">
      <x v="7742"/>
      <x v="4575"/>
    </i>
    <i r="1">
      <x v="7743"/>
      <x v="4576"/>
    </i>
    <i r="1">
      <x v="7744"/>
      <x v="32"/>
    </i>
    <i r="1">
      <x v="7745"/>
      <x v="4577"/>
    </i>
    <i r="1">
      <x v="7746"/>
      <x v="4578"/>
    </i>
    <i r="1">
      <x v="7747"/>
      <x v="4579"/>
    </i>
    <i r="1">
      <x v="7748"/>
      <x v="424"/>
    </i>
    <i r="1">
      <x v="7749"/>
      <x v="2458"/>
    </i>
    <i r="1">
      <x v="7750"/>
      <x v="1224"/>
    </i>
    <i r="1">
      <x v="7751"/>
      <x v="4580"/>
    </i>
    <i r="1">
      <x v="7752"/>
      <x v="442"/>
    </i>
    <i r="1">
      <x v="7753"/>
      <x v="77"/>
    </i>
    <i r="1">
      <x v="7754"/>
      <x v="1095"/>
    </i>
    <i r="1">
      <x v="7755"/>
      <x v="468"/>
    </i>
    <i r="1">
      <x v="7756"/>
      <x v="4581"/>
    </i>
    <i r="1">
      <x v="7757"/>
      <x v="4582"/>
    </i>
    <i r="1">
      <x v="7758"/>
      <x v="4583"/>
    </i>
    <i r="1">
      <x v="7759"/>
      <x v="4584"/>
    </i>
    <i r="1">
      <x v="7760"/>
      <x v="2515"/>
    </i>
    <i r="1">
      <x v="7761"/>
      <x v="4585"/>
    </i>
    <i r="1">
      <x v="7762"/>
      <x v="939"/>
    </i>
    <i r="1">
      <x v="7763"/>
      <x v="4586"/>
    </i>
    <i r="1">
      <x v="7764"/>
      <x v="4729"/>
    </i>
    <i r="1">
      <x v="7765"/>
      <x v="3971"/>
    </i>
    <i r="1">
      <x v="7766"/>
      <x v="4586"/>
    </i>
    <i r="1">
      <x v="7767"/>
      <x v="1923"/>
    </i>
    <i r="1">
      <x v="7768"/>
      <x v="2521"/>
    </i>
    <i r="1">
      <x v="7769"/>
      <x v="4588"/>
    </i>
    <i r="1">
      <x v="7770"/>
      <x v="3661"/>
    </i>
    <i r="1">
      <x v="7771"/>
      <x v="3822"/>
    </i>
    <i r="1">
      <x v="7772"/>
      <x v="4589"/>
    </i>
    <i r="1">
      <x v="7773"/>
      <x v="4590"/>
    </i>
    <i r="1">
      <x v="7774"/>
      <x v="4591"/>
    </i>
    <i r="1">
      <x v="7775"/>
      <x v="4592"/>
    </i>
    <i r="1">
      <x v="7776"/>
      <x v="3137"/>
    </i>
    <i r="1">
      <x v="7777"/>
      <x v="4593"/>
    </i>
    <i r="1">
      <x v="7778"/>
      <x v="928"/>
    </i>
    <i r="1">
      <x v="7779"/>
      <x v="2759"/>
    </i>
    <i r="1">
      <x v="7780"/>
      <x v="4594"/>
    </i>
    <i r="1">
      <x v="7781"/>
      <x v="4595"/>
    </i>
    <i r="1">
      <x v="7782"/>
      <x v="927"/>
    </i>
    <i r="1">
      <x v="7783"/>
      <x v="3024"/>
    </i>
    <i r="1">
      <x v="7784"/>
      <x v="464"/>
    </i>
    <i r="1">
      <x v="7785"/>
      <x v="4596"/>
    </i>
    <i r="1">
      <x v="7786"/>
      <x v="4049"/>
    </i>
    <i r="1">
      <x v="7787"/>
      <x v="4597"/>
    </i>
    <i r="1">
      <x v="7788"/>
      <x v="3024"/>
    </i>
    <i>
      <x v="37"/>
    </i>
    <i>
      <x v="41"/>
      <x v="1037"/>
      <x v="3779"/>
    </i>
    <i r="1">
      <x v="1982"/>
      <x v="1443"/>
    </i>
    <i r="1">
      <x v="2143"/>
      <x v="228"/>
    </i>
    <i r="1">
      <x v="2144"/>
      <x v="3782"/>
    </i>
    <i r="1">
      <x v="2145"/>
      <x v="3780"/>
    </i>
    <i r="1">
      <x v="2147"/>
      <x v="1712"/>
    </i>
    <i r="1">
      <x v="2150"/>
      <x v="964"/>
    </i>
    <i r="1">
      <x v="2155"/>
      <x v="1717"/>
    </i>
    <i r="1">
      <x v="2156"/>
      <x v="1714"/>
    </i>
    <i r="1">
      <x v="2159"/>
      <x v="3781"/>
    </i>
    <i r="1">
      <x v="2160"/>
      <x v="1724"/>
    </i>
    <i r="1">
      <x v="2161"/>
      <x v="2182"/>
    </i>
    <i r="1">
      <x v="2162"/>
      <x v="1855"/>
    </i>
    <i r="1">
      <x v="2164"/>
      <x v="1719"/>
    </i>
    <i r="1">
      <x v="2165"/>
      <x v="415"/>
    </i>
    <i r="1">
      <x v="2166"/>
      <x v="1715"/>
    </i>
    <i r="1">
      <x v="2167"/>
      <x v="415"/>
    </i>
    <i r="1">
      <x v="2168"/>
      <x v="1718"/>
    </i>
    <i r="1">
      <x v="2564"/>
      <x v="950"/>
    </i>
    <i r="1">
      <x v="2804"/>
      <x v="3639"/>
    </i>
    <i r="1">
      <x v="5049"/>
      <x v="590"/>
    </i>
    <i r="1">
      <x v="6488"/>
      <x v="3783"/>
    </i>
    <i r="1">
      <x v="6489"/>
      <x v="3784"/>
    </i>
    <i r="1">
      <x v="6490"/>
      <x v="415"/>
    </i>
    <i r="1">
      <x v="6491"/>
      <x v="2183"/>
    </i>
    <i r="1">
      <x v="6627"/>
      <x v="2786"/>
    </i>
    <i r="1">
      <x v="6628"/>
      <x v="3920"/>
    </i>
    <i r="1">
      <x v="6629"/>
      <x v="3921"/>
    </i>
    <i r="1">
      <x v="6837"/>
      <x v="3569"/>
    </i>
    <i r="1">
      <x v="6886"/>
      <x v="3640"/>
    </i>
    <i r="1">
      <x v="6977"/>
      <x v="3785"/>
    </i>
    <i r="1">
      <x v="7567"/>
      <x v="1129"/>
    </i>
    <i r="1">
      <x v="7568"/>
      <x v="415"/>
    </i>
    <i r="1">
      <x v="7789"/>
      <x v="271"/>
    </i>
    <i r="1">
      <x v="7790"/>
      <x v="4599"/>
    </i>
    <i>
      <x v="53"/>
      <x v="1345"/>
      <x v="431"/>
    </i>
    <i r="1">
      <x v="1346"/>
      <x v="432"/>
    </i>
    <i r="1">
      <x v="3281"/>
      <x v="4600"/>
    </i>
    <i r="1">
      <x v="3630"/>
      <x v="1105"/>
    </i>
    <i r="1">
      <x v="3631"/>
      <x v="424"/>
    </i>
    <i r="1">
      <x v="3632"/>
      <x v="430"/>
    </i>
    <i r="1">
      <x v="3633"/>
      <x v="2059"/>
    </i>
    <i r="1">
      <x v="5040"/>
      <x v="433"/>
    </i>
    <i r="1">
      <x v="5800"/>
      <x v="3310"/>
    </i>
    <i r="1">
      <x v="5801"/>
      <x v="1658"/>
    </i>
    <i r="1">
      <x v="6353"/>
      <x v="3641"/>
    </i>
    <i>
      <x v="56"/>
      <x v="983"/>
      <x v="3564"/>
    </i>
    <i r="1">
      <x v="2568"/>
      <x v="2362"/>
    </i>
    <i r="1">
      <x v="4573"/>
      <x v="3627"/>
    </i>
    <i r="1">
      <x v="5437"/>
      <x v="3223"/>
    </i>
    <i r="1">
      <x v="5443"/>
      <x v="448"/>
    </i>
    <i r="1">
      <x v="5444"/>
      <x v="1290"/>
    </i>
    <i r="1">
      <x v="5445"/>
      <x v="3225"/>
    </i>
    <i r="1">
      <x v="5447"/>
      <x v="2047"/>
    </i>
    <i r="1">
      <x v="5739"/>
      <x v="3289"/>
    </i>
    <i r="1">
      <x v="5741"/>
      <x v="3224"/>
    </i>
    <i r="1">
      <x v="5742"/>
      <x v="2351"/>
    </i>
    <i r="1">
      <x v="5745"/>
      <x v="3265"/>
    </i>
    <i r="1">
      <x v="5746"/>
      <x v="2129"/>
    </i>
    <i r="1">
      <x v="5748"/>
      <x v="456"/>
    </i>
    <i r="1">
      <x v="5750"/>
      <x v="3291"/>
    </i>
    <i r="1">
      <x v="5754"/>
      <x v="3293"/>
    </i>
    <i r="1">
      <x v="6333"/>
      <x v="3292"/>
    </i>
    <i r="1">
      <x v="6337"/>
      <x v="2109"/>
    </i>
    <i r="1">
      <x v="6339"/>
      <x v="3619"/>
    </i>
    <i r="1">
      <x v="6470"/>
      <x v="1850"/>
    </i>
    <i r="1">
      <x v="6471"/>
      <x v="3755"/>
    </i>
    <i r="1">
      <x v="6617"/>
      <x v="1869"/>
    </i>
    <i r="1">
      <x v="6788"/>
      <x v="4114"/>
    </i>
    <i r="1">
      <x v="6832"/>
      <x v="2567"/>
    </i>
    <i r="1">
      <x v="6833"/>
      <x v="3562"/>
    </i>
    <i r="1">
      <x v="6871"/>
      <x v="3621"/>
    </i>
    <i r="1">
      <x v="6872"/>
      <x v="3622"/>
    </i>
    <i r="1">
      <x v="6873"/>
      <x v="3623"/>
    </i>
    <i r="1">
      <x v="6874"/>
      <x v="3624"/>
    </i>
    <i r="1">
      <x v="6875"/>
      <x v="3625"/>
    </i>
    <i r="1">
      <x v="6878"/>
      <x v="831"/>
    </i>
    <i r="1">
      <x v="6879"/>
      <x v="3628"/>
    </i>
    <i r="1">
      <x v="6961"/>
      <x v="3290"/>
    </i>
    <i r="1">
      <x v="6962"/>
      <x v="3756"/>
    </i>
    <i r="1">
      <x v="6963"/>
      <x v="3757"/>
    </i>
    <i r="1">
      <x v="6964"/>
      <x v="886"/>
    </i>
    <i r="1">
      <x v="6965"/>
      <x v="3758"/>
    </i>
    <i r="1">
      <x v="6967"/>
      <x v="3760"/>
    </i>
    <i r="1">
      <x v="7076"/>
      <x v="4116"/>
    </i>
    <i r="1">
      <x v="7150"/>
      <x v="4028"/>
    </i>
    <i r="1">
      <x v="7151"/>
      <x v="3425"/>
    </i>
    <i r="1">
      <x v="7176"/>
      <x v="4084"/>
    </i>
    <i r="1">
      <x v="7189"/>
      <x v="4113"/>
    </i>
    <i r="1">
      <x v="7191"/>
      <x v="4115"/>
    </i>
    <i r="1">
      <x v="7192"/>
      <x v="868"/>
    </i>
    <i r="1">
      <x v="7194"/>
      <x v="2898"/>
    </i>
    <i r="1">
      <x v="7195"/>
      <x v="4117"/>
    </i>
    <i r="1">
      <x v="7196"/>
      <x v="4118"/>
    </i>
    <i r="1">
      <x v="7197"/>
      <x v="3183"/>
    </i>
    <i r="1">
      <x v="7686"/>
      <x v="4540"/>
    </i>
    <i r="1">
      <x v="7687"/>
      <x v="1658"/>
    </i>
    <i r="1">
      <x v="7688"/>
      <x v="4198"/>
    </i>
    <i r="1">
      <x v="7689"/>
      <x v="4541"/>
    </i>
    <i r="1">
      <x v="7690"/>
      <x v="3031"/>
    </i>
    <i r="1">
      <x v="7691"/>
      <x v="2124"/>
    </i>
    <i r="1">
      <x v="7692"/>
      <x v="617"/>
    </i>
    <i r="1">
      <x v="7693"/>
      <x v="3055"/>
    </i>
    <i r="1">
      <x v="7694"/>
      <x v="4542"/>
    </i>
    <i r="1">
      <x v="7695"/>
      <x v="4543"/>
    </i>
    <i r="1">
      <x v="7696"/>
      <x v="4544"/>
    </i>
    <i>
      <x v="63"/>
      <x v="319"/>
      <x v="733"/>
    </i>
    <i r="1">
      <x v="428"/>
      <x v="734"/>
    </i>
    <i r="1">
      <x v="2575"/>
      <x v="4601"/>
    </i>
    <i r="1">
      <x v="3654"/>
      <x v="4604"/>
    </i>
    <i r="1">
      <x v="4011"/>
      <x v="1647"/>
    </i>
    <i r="1">
      <x v="4012"/>
      <x v="2836"/>
    </i>
    <i r="1">
      <x v="5044"/>
      <x v="3075"/>
    </i>
    <i r="1">
      <x v="5045"/>
      <x v="1575"/>
    </i>
    <i r="1">
      <x v="5256"/>
      <x v="3174"/>
    </i>
    <i r="1">
      <x v="7304"/>
      <x v="4266"/>
    </i>
    <i r="1">
      <x v="7306"/>
      <x v="1882"/>
    </i>
    <i r="1">
      <x v="7791"/>
      <x v="4267"/>
    </i>
    <i r="1">
      <x v="7792"/>
      <x v="3049"/>
    </i>
    <i r="1">
      <x v="7793"/>
      <x v="385"/>
    </i>
    <i r="1">
      <x v="7794"/>
      <x v="2951"/>
    </i>
    <i r="1">
      <x v="7795"/>
      <x v="4602"/>
    </i>
    <i r="1">
      <x v="7796"/>
      <x v="4603"/>
    </i>
    <i r="1">
      <x v="7797"/>
      <x v="2743"/>
    </i>
    <i r="1">
      <x v="7798"/>
      <x v="3746"/>
    </i>
    <i r="1">
      <x v="7799"/>
      <x v="1877"/>
    </i>
    <i r="1">
      <x v="7800"/>
      <x v="4605"/>
    </i>
    <i>
      <x v="81"/>
    </i>
    <i>
      <x v="99"/>
      <x v="3238"/>
      <x v="3928"/>
    </i>
    <i r="1">
      <x v="3292"/>
      <x v="71"/>
    </i>
    <i r="1">
      <x v="3293"/>
      <x v="1708"/>
    </i>
    <i r="1">
      <x v="3295"/>
      <x v="3791"/>
    </i>
    <i r="1">
      <x v="3296"/>
      <x v="3927"/>
    </i>
    <i r="1">
      <x v="6888"/>
      <x v="3643"/>
    </i>
    <i r="1">
      <x v="6985"/>
      <x v="3790"/>
    </i>
    <i r="1">
      <x v="7088"/>
      <x v="1702"/>
    </i>
    <i>
      <x v="103"/>
    </i>
    <i>
      <x v="136"/>
    </i>
    <i>
      <x v="142"/>
    </i>
    <i>
      <x v="152"/>
      <x v="2132"/>
      <x v="144"/>
    </i>
    <i r="1">
      <x v="2133"/>
      <x v="4290"/>
    </i>
    <i r="1">
      <x v="2134"/>
      <x v="4291"/>
    </i>
    <i r="1">
      <x v="2135"/>
      <x v="4292"/>
    </i>
    <i r="1">
      <x v="2136"/>
      <x v="4293"/>
    </i>
    <i r="1">
      <x v="2138"/>
      <x v="1202"/>
    </i>
    <i r="1">
      <x v="2595"/>
      <x v="4294"/>
    </i>
    <i r="1">
      <x v="4720"/>
      <x v="2593"/>
    </i>
    <i r="1">
      <x v="7338"/>
      <x v="2557"/>
    </i>
    <i>
      <x v="155"/>
    </i>
    <i>
      <x v="164"/>
      <x v="1376"/>
      <x v="853"/>
    </i>
    <i r="1">
      <x v="1379"/>
      <x v="856"/>
    </i>
    <i r="1">
      <x v="1380"/>
      <x v="857"/>
    </i>
    <i r="1">
      <x v="1381"/>
      <x v="858"/>
    </i>
    <i r="1">
      <x v="3426"/>
      <x v="850"/>
    </i>
    <i r="1">
      <x v="3427"/>
      <x v="851"/>
    </i>
    <i r="1">
      <x v="3428"/>
      <x v="852"/>
    </i>
    <i r="1">
      <x v="3429"/>
      <x v="854"/>
    </i>
    <i r="1">
      <x v="3430"/>
      <x v="855"/>
    </i>
    <i r="1">
      <x v="3432"/>
      <x v="859"/>
    </i>
    <i r="1">
      <x v="5836"/>
      <x v="1454"/>
    </i>
    <i r="1">
      <x v="5837"/>
      <x v="231"/>
    </i>
    <i r="1">
      <x v="5838"/>
      <x v="1012"/>
    </i>
    <i r="1">
      <x v="5839"/>
      <x v="3319"/>
    </i>
    <i r="1">
      <x v="5840"/>
      <x v="2246"/>
    </i>
    <i r="1">
      <x v="6372"/>
      <x v="3652"/>
    </i>
    <i r="1">
      <x v="6893"/>
      <x v="3653"/>
    </i>
    <i>
      <x v="165"/>
    </i>
    <i>
      <x v="178"/>
    </i>
    <i>
      <x v="182"/>
    </i>
    <i>
      <x v="190"/>
    </i>
    <i>
      <x v="200"/>
    </i>
    <i>
      <x v="205"/>
      <x v="3027"/>
      <x v="2242"/>
    </i>
    <i r="1">
      <x v="3265"/>
      <x v="612"/>
    </i>
    <i r="1">
      <x v="3266"/>
      <x v="994"/>
    </i>
    <i r="1">
      <x v="3268"/>
      <x v="2611"/>
    </i>
    <i r="1">
      <x v="3597"/>
      <x v="421"/>
    </i>
    <i r="1">
      <x v="3692"/>
      <x v="1503"/>
    </i>
    <i r="1">
      <x v="3693"/>
      <x v="2610"/>
    </i>
    <i r="1">
      <x v="3694"/>
      <x v="2711"/>
    </i>
    <i r="1">
      <x v="3696"/>
      <x v="2713"/>
    </i>
    <i r="1">
      <x v="4124"/>
      <x v="2862"/>
    </i>
    <i r="1">
      <x v="4125"/>
      <x v="2863"/>
    </i>
    <i r="1">
      <x v="4126"/>
      <x v="2864"/>
    </i>
    <i r="1">
      <x v="4127"/>
      <x v="2865"/>
    </i>
    <i r="1">
      <x v="4128"/>
      <x v="537"/>
    </i>
    <i r="1">
      <x v="4129"/>
      <x v="2866"/>
    </i>
    <i r="1">
      <x v="4131"/>
      <x v="1694"/>
    </i>
    <i r="1">
      <x v="4133"/>
      <x v="2868"/>
    </i>
    <i r="1">
      <x v="4134"/>
      <x v="2869"/>
    </i>
    <i r="1">
      <x v="4135"/>
      <x v="1524"/>
    </i>
    <i r="1">
      <x v="4136"/>
      <x v="2870"/>
    </i>
    <i r="1">
      <x v="4137"/>
      <x v="2871"/>
    </i>
    <i r="1">
      <x v="4138"/>
      <x v="2080"/>
    </i>
    <i r="1">
      <x v="4139"/>
      <x v="2872"/>
    </i>
    <i r="1">
      <x v="4140"/>
      <x v="318"/>
    </i>
    <i r="1">
      <x v="4141"/>
      <x v="112"/>
    </i>
    <i r="1">
      <x v="4142"/>
      <x v="513"/>
    </i>
    <i r="1">
      <x v="4143"/>
      <x v="2873"/>
    </i>
    <i r="1">
      <x v="4145"/>
      <x v="1898"/>
    </i>
    <i r="1">
      <x v="4146"/>
      <x v="2874"/>
    </i>
    <i r="1">
      <x v="4147"/>
      <x v="1255"/>
    </i>
    <i r="1">
      <x v="4726"/>
      <x v="819"/>
    </i>
    <i r="1">
      <x v="4727"/>
      <x v="3028"/>
    </i>
    <i r="1">
      <x v="4731"/>
      <x v="3030"/>
    </i>
    <i r="1">
      <x v="5293"/>
      <x v="3188"/>
    </i>
    <i r="1">
      <x v="5296"/>
      <x v="935"/>
    </i>
    <i r="1">
      <x v="5297"/>
      <x v="2390"/>
    </i>
    <i r="1">
      <x v="5299"/>
      <x v="2031"/>
    </i>
    <i r="1">
      <x v="5300"/>
      <x v="2465"/>
    </i>
    <i r="1">
      <x v="5301"/>
      <x v="1423"/>
    </i>
    <i r="1">
      <x v="5302"/>
      <x v="1888"/>
    </i>
    <i r="1">
      <x v="5303"/>
      <x v="3189"/>
    </i>
    <i r="1">
      <x v="5304"/>
      <x v="1511"/>
    </i>
    <i r="1">
      <x v="5305"/>
      <x v="3190"/>
    </i>
    <i r="1">
      <x v="5306"/>
      <x v="1245"/>
    </i>
    <i r="1">
      <x v="5307"/>
      <x v="1828"/>
    </i>
    <i r="1">
      <x v="5309"/>
      <x v="1172"/>
    </i>
    <i r="1">
      <x v="5310"/>
      <x v="1239"/>
    </i>
    <i r="1">
      <x v="5901"/>
      <x v="2510"/>
    </i>
    <i r="1">
      <x v="5902"/>
      <x v="3346"/>
    </i>
    <i r="1">
      <x v="5906"/>
      <x v="3348"/>
    </i>
    <i r="1">
      <x v="5907"/>
      <x v="2159"/>
    </i>
    <i r="1">
      <x v="5909"/>
      <x v="3350"/>
    </i>
    <i r="1">
      <x v="6383"/>
      <x v="3669"/>
    </i>
    <i r="1">
      <x v="6384"/>
      <x v="188"/>
    </i>
    <i r="1">
      <x v="6385"/>
      <x v="3670"/>
    </i>
    <i r="1">
      <x v="6532"/>
      <x v="730"/>
    </i>
    <i r="1">
      <x v="6533"/>
      <x v="3829"/>
    </i>
    <i r="1">
      <x v="6534"/>
      <x v="415"/>
    </i>
    <i r="1">
      <x v="6535"/>
      <x v="2286"/>
    </i>
    <i r="1">
      <x v="6536"/>
      <x v="3830"/>
    </i>
    <i r="1">
      <x v="6657"/>
      <x v="3922"/>
    </i>
    <i r="1">
      <x v="6659"/>
      <x v="3948"/>
    </i>
    <i r="1">
      <x v="6660"/>
      <x v="2006"/>
    </i>
    <i r="1">
      <x v="6752"/>
      <x v="4050"/>
    </i>
    <i r="1">
      <x v="6793"/>
      <x v="4087"/>
    </i>
    <i r="1">
      <x v="6845"/>
      <x v="3584"/>
    </i>
    <i r="1">
      <x v="6901"/>
      <x v="3671"/>
    </i>
    <i r="1">
      <x v="6902"/>
      <x v="2582"/>
    </i>
    <i r="1">
      <x v="7099"/>
      <x v="1520"/>
    </i>
    <i r="1">
      <x v="7162"/>
      <x v="4050"/>
    </i>
    <i r="1">
      <x v="7351"/>
      <x v="569"/>
    </i>
    <i r="1">
      <x v="7352"/>
      <x v="4303"/>
    </i>
    <i r="1">
      <x v="7353"/>
      <x v="1253"/>
    </i>
    <i r="1">
      <x v="7354"/>
      <x v="4304"/>
    </i>
    <i r="1">
      <x v="7355"/>
      <x v="3706"/>
    </i>
    <i r="1">
      <x v="7356"/>
      <x v="4305"/>
    </i>
    <i r="1">
      <x v="7357"/>
      <x v="4306"/>
    </i>
    <i r="1">
      <x v="7358"/>
      <x v="4307"/>
    </i>
    <i r="1">
      <x v="7359"/>
      <x v="4308"/>
    </i>
    <i r="1">
      <x v="7838"/>
      <x v="788"/>
    </i>
    <i r="1">
      <x v="7839"/>
      <x v="3139"/>
    </i>
    <i>
      <x v="208"/>
      <x v="1535"/>
      <x v="351"/>
    </i>
    <i r="1">
      <x v="1595"/>
      <x v="1962"/>
    </i>
    <i r="1">
      <x v="1980"/>
      <x v="1435"/>
    </i>
    <i r="1">
      <x v="3270"/>
      <x v="624"/>
    </i>
    <i r="1">
      <x v="3310"/>
      <x v="75"/>
    </i>
    <i r="1">
      <x v="3311"/>
      <x v="2619"/>
    </i>
    <i r="1">
      <x v="3313"/>
      <x v="770"/>
    </i>
    <i r="1">
      <x v="3314"/>
      <x v="1960"/>
    </i>
    <i r="1">
      <x v="3315"/>
      <x v="1354"/>
    </i>
    <i r="1">
      <x v="3316"/>
      <x v="950"/>
    </i>
    <i r="1">
      <x v="3317"/>
      <x v="1983"/>
    </i>
    <i r="1">
      <x v="3319"/>
      <x v="2621"/>
    </i>
    <i r="1">
      <x v="3321"/>
      <x v="2622"/>
    </i>
    <i r="1">
      <x v="3324"/>
      <x v="1753"/>
    </i>
    <i r="1">
      <x v="3325"/>
      <x v="788"/>
    </i>
    <i r="1">
      <x v="3326"/>
      <x v="717"/>
    </i>
    <i r="1">
      <x v="3328"/>
      <x v="2623"/>
    </i>
    <i r="1">
      <x v="3700"/>
      <x v="2714"/>
    </i>
    <i r="1">
      <x v="3701"/>
      <x v="2715"/>
    </i>
    <i r="1">
      <x v="4158"/>
      <x v="4730"/>
    </i>
    <i r="1">
      <x v="4159"/>
      <x v="286"/>
    </i>
    <i r="1">
      <x v="5917"/>
      <x v="286"/>
    </i>
    <i r="1">
      <x v="5925"/>
      <x v="286"/>
    </i>
    <i r="1">
      <x v="6806"/>
      <x v="286"/>
    </i>
    <i r="1">
      <x v="6846"/>
      <x v="286"/>
    </i>
    <i r="1">
      <x v="6903"/>
      <x v="286"/>
    </i>
    <i r="1">
      <x v="6905"/>
      <x v="286"/>
    </i>
    <i r="1">
      <x v="6910"/>
      <x v="286"/>
    </i>
    <i r="1">
      <x v="6912"/>
      <x v="286"/>
    </i>
    <i r="1">
      <x v="7010"/>
      <x v="286"/>
    </i>
    <i r="1">
      <x v="7011"/>
      <x v="286"/>
    </i>
    <i r="1">
      <x v="7013"/>
      <x v="286"/>
    </i>
    <i r="1">
      <x v="7014"/>
      <x v="286"/>
    </i>
    <i r="1">
      <x v="7100"/>
      <x v="286"/>
    </i>
    <i r="1">
      <x v="7105"/>
      <x v="286"/>
    </i>
    <i r="1">
      <x v="7163"/>
      <x v="286"/>
    </i>
    <i r="1">
      <x v="7183"/>
      <x v="286"/>
    </i>
    <i r="1">
      <x v="7840"/>
      <x v="286"/>
    </i>
    <i>
      <x v="215"/>
    </i>
    <i>
      <x v="216"/>
      <x v="5027"/>
      <x v="3835"/>
    </i>
    <i r="1">
      <x v="6396"/>
      <x v="3680"/>
    </i>
    <i r="1">
      <x v="6397"/>
      <x v="3681"/>
    </i>
    <i r="1">
      <x v="6542"/>
      <x v="1815"/>
    </i>
    <i r="1">
      <x v="6543"/>
      <x v="121"/>
    </i>
    <i r="1">
      <x v="6544"/>
      <x v="1165"/>
    </i>
    <i r="1">
      <x v="6545"/>
      <x v="3834"/>
    </i>
    <i r="1">
      <x v="6546"/>
      <x v="1800"/>
    </i>
    <i r="1">
      <x v="6667"/>
      <x v="3032"/>
    </i>
    <i r="1">
      <x v="6755"/>
      <x v="4053"/>
    </i>
    <i r="1">
      <x v="7841"/>
      <x v="4638"/>
    </i>
    <i>
      <x v="219"/>
      <x v="321"/>
      <x v="224"/>
    </i>
    <i r="1">
      <x v="951"/>
      <x v="1517"/>
    </i>
    <i r="1">
      <x v="1087"/>
      <x v="1059"/>
    </i>
    <i r="1">
      <x v="1131"/>
      <x v="754"/>
    </i>
    <i r="1">
      <x v="1148"/>
      <x v="1951"/>
    </i>
    <i r="1">
      <x v="1202"/>
      <x v="1056"/>
    </i>
    <i r="1">
      <x v="1580"/>
      <x v="274"/>
    </i>
    <i r="1">
      <x v="1586"/>
      <x v="1952"/>
    </i>
    <i r="1">
      <x v="1979"/>
      <x v="1433"/>
    </i>
    <i r="1">
      <x v="1986"/>
      <x v="2559"/>
    </i>
    <i r="1">
      <x v="2152"/>
      <x v="2625"/>
    </i>
    <i r="1">
      <x v="2234"/>
      <x v="2811"/>
    </i>
    <i r="1">
      <x v="2235"/>
      <x v="2812"/>
    </i>
    <i r="1">
      <x v="2236"/>
      <x v="1942"/>
    </i>
    <i r="1">
      <x v="2237"/>
      <x v="1442"/>
    </i>
    <i r="1">
      <x v="2238"/>
      <x v="1769"/>
    </i>
    <i r="1">
      <x v="2240"/>
      <x v="4644"/>
    </i>
    <i r="1">
      <x v="2241"/>
      <x v="609"/>
    </i>
    <i r="1">
      <x v="2486"/>
      <x v="1440"/>
    </i>
    <i r="1">
      <x v="2662"/>
      <x v="2399"/>
    </i>
    <i r="1">
      <x v="2663"/>
      <x v="2400"/>
    </i>
    <i r="1">
      <x v="2664"/>
      <x v="1461"/>
    </i>
    <i r="1">
      <x v="2665"/>
      <x v="1886"/>
    </i>
    <i r="1">
      <x v="3004"/>
      <x v="596"/>
    </i>
    <i r="1">
      <x v="3115"/>
      <x v="1319"/>
    </i>
    <i r="1">
      <x v="3331"/>
      <x v="1450"/>
    </i>
    <i r="1">
      <x v="3333"/>
      <x v="1326"/>
    </i>
    <i r="1">
      <x v="3335"/>
      <x v="1233"/>
    </i>
    <i r="1">
      <x v="3336"/>
      <x v="1430"/>
    </i>
    <i r="1">
      <x v="3338"/>
      <x v="2815"/>
    </i>
    <i r="1">
      <x v="3339"/>
      <x v="1432"/>
    </i>
    <i r="1">
      <x v="3340"/>
      <x v="1063"/>
    </i>
    <i r="1">
      <x v="3710"/>
      <x v="1429"/>
    </i>
    <i r="1">
      <x v="3711"/>
      <x v="2814"/>
    </i>
    <i r="1">
      <x v="3900"/>
      <x v="2780"/>
    </i>
    <i r="1">
      <x v="3954"/>
      <x v="4326"/>
    </i>
    <i r="1">
      <x v="4178"/>
      <x v="2589"/>
    </i>
    <i r="1">
      <x v="4366"/>
      <x v="2932"/>
    </i>
    <i r="1">
      <x v="4413"/>
      <x v="2992"/>
    </i>
    <i r="1">
      <x v="4972"/>
      <x v="2694"/>
    </i>
    <i r="1">
      <x v="4978"/>
      <x v="3097"/>
    </i>
    <i r="1">
      <x v="5131"/>
      <x v="3146"/>
    </i>
    <i r="1">
      <x v="5623"/>
      <x v="3247"/>
    </i>
    <i r="1">
      <x v="5629"/>
      <x v="291"/>
    </i>
    <i r="1">
      <x v="5630"/>
      <x v="429"/>
    </i>
    <i r="1">
      <x v="5631"/>
      <x v="3249"/>
    </i>
    <i r="1">
      <x v="5635"/>
      <x v="349"/>
    </i>
    <i r="1">
      <x v="5636"/>
      <x v="2461"/>
    </i>
    <i r="1">
      <x v="5638"/>
      <x v="3022"/>
    </i>
    <i r="1">
      <x v="5641"/>
      <x v="1824"/>
    </i>
    <i r="1">
      <x v="5643"/>
      <x v="3251"/>
    </i>
    <i r="1">
      <x v="5644"/>
      <x v="1462"/>
    </i>
    <i r="1">
      <x v="5924"/>
      <x v="1514"/>
    </i>
    <i r="1">
      <x v="5931"/>
      <x v="3352"/>
    </i>
    <i r="1">
      <x v="5932"/>
      <x v="1458"/>
    </i>
    <i r="1">
      <x v="5934"/>
      <x v="2016"/>
    </i>
    <i r="1">
      <x v="5935"/>
      <x v="1456"/>
    </i>
    <i r="1">
      <x v="6314"/>
      <x v="2308"/>
    </i>
    <i r="1">
      <x v="6399"/>
      <x v="1438"/>
    </i>
    <i r="1">
      <x v="6401"/>
      <x v="3682"/>
    </i>
    <i r="1">
      <x v="6403"/>
      <x v="3684"/>
    </i>
    <i r="1">
      <x v="6405"/>
      <x v="3685"/>
    </i>
    <i r="1">
      <x v="6547"/>
      <x v="3184"/>
    </i>
    <i r="1">
      <x v="6668"/>
      <x v="2591"/>
    </i>
    <i r="1">
      <x v="6669"/>
      <x v="2859"/>
    </i>
    <i r="1">
      <x v="6670"/>
      <x v="662"/>
    </i>
    <i r="1">
      <x v="6672"/>
      <x v="3957"/>
    </i>
    <i r="1">
      <x v="6675"/>
      <x v="1710"/>
    </i>
    <i r="1">
      <x v="6676"/>
      <x v="890"/>
    </i>
    <i r="1">
      <x v="6847"/>
      <x v="3586"/>
    </i>
    <i r="1">
      <x v="6848"/>
      <x v="2899"/>
    </i>
    <i r="1">
      <x v="6913"/>
      <x v="3687"/>
    </i>
    <i r="1">
      <x v="7015"/>
      <x v="3839"/>
    </i>
    <i r="1">
      <x v="7016"/>
      <x v="3301"/>
    </i>
    <i r="1">
      <x v="7017"/>
      <x v="3840"/>
    </i>
    <i r="1">
      <x v="7018"/>
      <x v="2017"/>
    </i>
    <i r="1">
      <x v="7019"/>
      <x v="460"/>
    </i>
    <i r="1">
      <x v="7020"/>
      <x v="2287"/>
    </i>
    <i r="1">
      <x v="7021"/>
      <x v="3841"/>
    </i>
    <i r="1">
      <x v="7106"/>
      <x v="3961"/>
    </i>
    <i r="1">
      <x v="7107"/>
      <x v="3962"/>
    </i>
    <i r="1">
      <x v="7109"/>
      <x v="1976"/>
    </i>
    <i r="1">
      <x v="7165"/>
      <x v="4055"/>
    </i>
    <i r="1">
      <x v="7166"/>
      <x v="4056"/>
    </i>
    <i r="1">
      <x v="7373"/>
      <x v="4315"/>
    </i>
    <i r="1">
      <x v="7375"/>
      <x v="3963"/>
    </i>
    <i r="1">
      <x v="7379"/>
      <x v="4317"/>
    </i>
    <i r="1">
      <x v="7380"/>
      <x v="1947"/>
    </i>
    <i r="1">
      <x v="7382"/>
      <x v="4318"/>
    </i>
    <i r="1">
      <x v="7384"/>
      <x v="4320"/>
    </i>
    <i r="1">
      <x v="7385"/>
      <x v="4321"/>
    </i>
    <i r="1">
      <x v="7386"/>
      <x v="1511"/>
    </i>
    <i r="1">
      <x v="7387"/>
      <x v="3688"/>
    </i>
    <i r="1">
      <x v="7388"/>
      <x v="559"/>
    </i>
    <i r="1">
      <x v="7389"/>
      <x v="4322"/>
    </i>
    <i r="1">
      <x v="7390"/>
      <x v="4323"/>
    </i>
    <i r="1">
      <x v="7391"/>
      <x v="4324"/>
    </i>
    <i r="1">
      <x v="7392"/>
      <x v="4325"/>
    </i>
    <i r="1">
      <x v="7842"/>
      <x v="4639"/>
    </i>
    <i r="1">
      <x v="7843"/>
      <x v="1447"/>
    </i>
    <i r="1">
      <x v="7844"/>
      <x v="4441"/>
    </i>
    <i r="1">
      <x v="7845"/>
      <x v="703"/>
    </i>
    <i r="1">
      <x v="7846"/>
      <x v="4640"/>
    </i>
    <i r="1">
      <x v="7847"/>
      <x v="4641"/>
    </i>
    <i r="1">
      <x v="7848"/>
      <x v="4642"/>
    </i>
    <i r="1">
      <x v="7849"/>
      <x v="4643"/>
    </i>
    <i r="1">
      <x v="7850"/>
      <x v="2011"/>
    </i>
    <i r="1">
      <x v="7851"/>
      <x v="734"/>
    </i>
    <i r="1">
      <x v="7852"/>
      <x v="2366"/>
    </i>
    <i r="1">
      <x v="7853"/>
      <x v="4645"/>
    </i>
    <i r="1">
      <x v="7854"/>
      <x v="4646"/>
    </i>
    <i r="1">
      <x v="7855"/>
      <x v="4647"/>
    </i>
    <i>
      <x v="233"/>
      <x v="8"/>
      <x v="1558"/>
    </i>
    <i r="1">
      <x v="9"/>
      <x v="727"/>
    </i>
    <i r="1">
      <x v="56"/>
      <x v="1082"/>
    </i>
    <i r="1">
      <x v="57"/>
      <x v="968"/>
    </i>
    <i r="1">
      <x v="86"/>
      <x v="1765"/>
    </i>
    <i r="1">
      <x v="121"/>
      <x v="1095"/>
    </i>
    <i r="1">
      <x v="135"/>
      <x v="1565"/>
    </i>
    <i r="1">
      <x v="139"/>
      <x v="923"/>
    </i>
    <i r="1">
      <x v="307"/>
      <x v="1101"/>
    </i>
    <i r="1">
      <x v="330"/>
      <x v="1102"/>
    </i>
    <i r="1">
      <x v="399"/>
      <x v="329"/>
    </i>
    <i r="1">
      <x v="400"/>
      <x v="930"/>
    </i>
    <i r="1">
      <x v="474"/>
      <x v="1084"/>
    </i>
    <i r="1">
      <x v="577"/>
      <x v="2128"/>
    </i>
    <i r="1">
      <x v="682"/>
      <x v="944"/>
    </i>
    <i r="1">
      <x v="690"/>
      <x v="1096"/>
    </i>
    <i r="1">
      <x v="797"/>
      <x v="1880"/>
    </i>
    <i r="1">
      <x v="828"/>
      <x v="1094"/>
    </i>
    <i r="1">
      <x v="851"/>
      <x v="951"/>
    </i>
    <i r="1">
      <x v="863"/>
      <x v="883"/>
    </i>
    <i r="1">
      <x v="864"/>
      <x v="2817"/>
    </i>
    <i r="1">
      <x v="874"/>
      <x v="1106"/>
    </i>
    <i r="1">
      <x v="968"/>
      <x v="1097"/>
    </i>
    <i r="1">
      <x v="984"/>
      <x v="2721"/>
    </i>
    <i r="1">
      <x v="1069"/>
      <x v="1210"/>
    </i>
    <i r="1">
      <x v="1124"/>
      <x v="782"/>
    </i>
    <i r="1">
      <x v="1197"/>
      <x v="977"/>
    </i>
    <i r="1">
      <x v="1226"/>
      <x v="1108"/>
    </i>
    <i r="1">
      <x v="1243"/>
      <x v="1105"/>
    </i>
    <i r="1">
      <x v="1277"/>
      <x v="1080"/>
    </i>
    <i r="1">
      <x v="1383"/>
      <x v="683"/>
    </i>
    <i r="1">
      <x v="1387"/>
      <x v="908"/>
    </i>
    <i r="1">
      <x v="1398"/>
      <x v="1077"/>
    </i>
    <i r="1">
      <x v="1399"/>
      <x v="379"/>
    </i>
    <i r="1">
      <x v="1400"/>
      <x v="1079"/>
    </i>
    <i r="1">
      <x v="1402"/>
      <x v="1085"/>
    </i>
    <i r="1">
      <x v="1404"/>
      <x v="1087"/>
    </i>
    <i r="1">
      <x v="1405"/>
      <x v="1073"/>
    </i>
    <i r="1">
      <x v="1406"/>
      <x v="1088"/>
    </i>
    <i r="1">
      <x v="1408"/>
      <x v="1089"/>
    </i>
    <i r="1">
      <x v="1409"/>
      <x v="1090"/>
    </i>
    <i r="1">
      <x v="1410"/>
      <x v="1091"/>
    </i>
    <i r="1">
      <x v="1411"/>
      <x v="1093"/>
    </i>
    <i r="1">
      <x v="1415"/>
      <x v="1158"/>
    </i>
    <i r="1">
      <x v="1448"/>
      <x v="1646"/>
    </i>
    <i r="1">
      <x v="1527"/>
      <x v="1837"/>
    </i>
    <i r="1">
      <x v="1531"/>
      <x v="1665"/>
    </i>
    <i r="1">
      <x v="1532"/>
      <x v="1845"/>
    </i>
    <i r="1">
      <x v="1591"/>
      <x v="1959"/>
    </i>
    <i r="1">
      <x v="1680"/>
      <x v="2026"/>
    </i>
    <i r="1">
      <x v="1790"/>
      <x v="658"/>
    </i>
    <i r="1">
      <x v="1927"/>
      <x v="186"/>
    </i>
    <i r="1">
      <x v="1929"/>
      <x v="2818"/>
    </i>
    <i r="1">
      <x v="1932"/>
      <x v="2126"/>
    </i>
    <i r="1">
      <x v="1933"/>
      <x v="2127"/>
    </i>
    <i r="1">
      <x v="2127"/>
      <x v="2152"/>
    </i>
    <i r="1">
      <x v="2201"/>
      <x v="1764"/>
    </i>
    <i r="1">
      <x v="2202"/>
      <x v="945"/>
    </i>
    <i r="1">
      <x v="2203"/>
      <x v="2188"/>
    </i>
    <i r="1">
      <x v="2204"/>
      <x v="2189"/>
    </i>
    <i r="1">
      <x v="2206"/>
      <x v="2191"/>
    </i>
    <i r="1">
      <x v="2207"/>
      <x v="2192"/>
    </i>
    <i r="1">
      <x v="2434"/>
      <x v="1920"/>
    </i>
    <i r="1">
      <x v="2609"/>
      <x v="1463"/>
    </i>
    <i r="1">
      <x v="2967"/>
      <x v="2503"/>
    </i>
    <i r="1">
      <x v="2968"/>
      <x v="2504"/>
    </i>
    <i r="1">
      <x v="2971"/>
      <x v="1761"/>
    </i>
    <i r="1">
      <x v="2972"/>
      <x v="937"/>
    </i>
    <i r="1">
      <x v="2973"/>
      <x v="955"/>
    </i>
    <i r="1">
      <x v="2974"/>
      <x v="959"/>
    </i>
    <i r="1">
      <x v="2984"/>
      <x v="2509"/>
    </i>
    <i r="1">
      <x v="3198"/>
      <x v="1634"/>
    </i>
    <i r="1">
      <x v="3446"/>
      <x v="1249"/>
    </i>
    <i r="1">
      <x v="3450"/>
      <x v="2647"/>
    </i>
    <i r="1">
      <x v="3451"/>
      <x v="95"/>
    </i>
    <i r="1">
      <x v="3456"/>
      <x v="1746"/>
    </i>
    <i r="1">
      <x v="3457"/>
      <x v="2648"/>
    </i>
    <i r="1">
      <x v="3459"/>
      <x v="2650"/>
    </i>
    <i r="1">
      <x v="3463"/>
      <x v="2652"/>
    </i>
    <i r="1">
      <x v="3552"/>
      <x v="1254"/>
    </i>
    <i r="1">
      <x v="3721"/>
      <x v="2194"/>
    </i>
    <i r="1">
      <x v="3722"/>
      <x v="2879"/>
    </i>
    <i r="1">
      <x v="3724"/>
      <x v="2646"/>
    </i>
    <i r="1">
      <x v="3725"/>
      <x v="488"/>
    </i>
    <i r="1">
      <x v="3726"/>
      <x v="2086"/>
    </i>
    <i r="1">
      <x v="3728"/>
      <x v="2878"/>
    </i>
    <i r="1">
      <x v="3729"/>
      <x v="1099"/>
    </i>
    <i r="1">
      <x v="3730"/>
      <x v="2113"/>
    </i>
    <i r="1">
      <x v="3731"/>
      <x v="2498"/>
    </i>
    <i r="1">
      <x v="3732"/>
      <x v="2720"/>
    </i>
    <i r="1">
      <x v="3734"/>
      <x v="1878"/>
    </i>
    <i r="1">
      <x v="3736"/>
      <x v="2722"/>
    </i>
    <i r="1">
      <x v="3737"/>
      <x v="2723"/>
    </i>
    <i r="1">
      <x v="3738"/>
      <x v="1841"/>
    </i>
    <i r="1">
      <x v="3745"/>
      <x v="915"/>
    </i>
    <i r="1">
      <x v="3746"/>
      <x v="1732"/>
    </i>
    <i r="1">
      <x v="3747"/>
      <x v="1092"/>
    </i>
    <i r="1">
      <x v="3748"/>
      <x v="1081"/>
    </i>
    <i r="1">
      <x v="3754"/>
      <x v="2820"/>
    </i>
    <i r="1">
      <x v="3758"/>
      <x v="2727"/>
    </i>
    <i r="1">
      <x v="3759"/>
      <x v="2728"/>
    </i>
    <i r="1">
      <x v="3760"/>
      <x v="1506"/>
    </i>
    <i r="1">
      <x v="3764"/>
      <x v="2348"/>
    </i>
    <i r="1">
      <x v="3766"/>
      <x v="2731"/>
    </i>
    <i r="1">
      <x v="3769"/>
      <x v="1562"/>
    </i>
    <i r="1">
      <x v="3772"/>
      <x v="2734"/>
    </i>
    <i r="1">
      <x v="3773"/>
      <x v="2735"/>
    </i>
    <i r="1">
      <x v="3776"/>
      <x v="2737"/>
    </i>
    <i r="1">
      <x v="3777"/>
      <x v="2738"/>
    </i>
    <i r="1">
      <x v="4101"/>
      <x v="139"/>
    </i>
    <i r="1">
      <x v="4176"/>
      <x v="1390"/>
    </i>
    <i r="1">
      <x v="4177"/>
      <x v="2563"/>
    </i>
    <i r="1">
      <x v="4181"/>
      <x v="2880"/>
    </i>
    <i r="1">
      <x v="4183"/>
      <x v="1069"/>
    </i>
    <i r="1">
      <x v="4184"/>
      <x v="1111"/>
    </i>
    <i r="1">
      <x v="4185"/>
      <x v="2881"/>
    </i>
    <i r="1">
      <x v="4187"/>
      <x v="896"/>
    </i>
    <i r="1">
      <x v="4193"/>
      <x v="1204"/>
    </i>
    <i r="1">
      <x v="4201"/>
      <x v="1621"/>
    </i>
    <i r="1">
      <x v="4203"/>
      <x v="2566"/>
    </i>
    <i r="1">
      <x v="5122"/>
      <x v="3133"/>
    </i>
    <i r="1">
      <x v="5133"/>
      <x v="1810"/>
    </i>
    <i r="1">
      <x v="5134"/>
      <x v="3136"/>
    </i>
    <i r="1">
      <x v="5136"/>
      <x v="125"/>
    </i>
    <i r="1">
      <x v="5139"/>
      <x v="3137"/>
    </i>
    <i r="1">
      <x v="5645"/>
      <x v="1822"/>
    </i>
    <i r="1">
      <x v="5646"/>
      <x v="3252"/>
    </i>
    <i r="1">
      <x v="5647"/>
      <x v="551"/>
    </i>
    <i r="1">
      <x v="5649"/>
      <x v="3254"/>
    </i>
    <i r="1">
      <x v="5651"/>
      <x v="920"/>
    </i>
    <i r="1">
      <x v="5652"/>
      <x v="3255"/>
    </i>
    <i r="1">
      <x v="5653"/>
      <x v="2332"/>
    </i>
    <i r="1">
      <x v="5655"/>
      <x v="3256"/>
    </i>
    <i r="1">
      <x v="5658"/>
      <x v="2537"/>
    </i>
    <i r="1">
      <x v="5660"/>
      <x v="1852"/>
    </i>
    <i r="1">
      <x v="5661"/>
      <x v="1159"/>
    </i>
    <i r="1">
      <x v="5662"/>
      <x v="2529"/>
    </i>
    <i r="1">
      <x v="5663"/>
      <x v="1089"/>
    </i>
    <i r="1">
      <x v="5664"/>
      <x v="275"/>
    </i>
    <i r="1">
      <x v="6145"/>
      <x v="2009"/>
    </i>
    <i r="1">
      <x v="6166"/>
      <x v="3447"/>
    </i>
    <i r="1">
      <x v="6167"/>
      <x v="2979"/>
    </i>
    <i r="1">
      <x v="6170"/>
      <x v="2530"/>
    </i>
    <i r="1">
      <x v="6172"/>
      <x v="1226"/>
    </i>
    <i r="1">
      <x v="6173"/>
      <x v="640"/>
    </i>
    <i r="1">
      <x v="6175"/>
      <x v="1259"/>
    </i>
    <i r="1">
      <x v="6178"/>
      <x v="3451"/>
    </i>
    <i r="1">
      <x v="6215"/>
      <x v="338"/>
    </i>
    <i r="1">
      <x v="6217"/>
      <x v="3458"/>
    </i>
    <i r="1">
      <x v="6218"/>
      <x v="1811"/>
    </i>
    <i r="1">
      <x v="6221"/>
      <x v="1521"/>
    </i>
    <i r="1">
      <x v="6225"/>
      <x v="723"/>
    </i>
    <i r="1">
      <x v="6226"/>
      <x v="977"/>
    </i>
    <i r="1">
      <x v="6227"/>
      <x v="1108"/>
    </i>
    <i r="1">
      <x v="6228"/>
      <x v="2779"/>
    </i>
    <i r="1">
      <x v="6229"/>
      <x v="3461"/>
    </i>
    <i r="1">
      <x v="6260"/>
      <x v="3470"/>
    </i>
    <i r="1">
      <x v="6262"/>
      <x v="2116"/>
    </i>
    <i r="1">
      <x v="6263"/>
      <x v="2649"/>
    </i>
    <i r="1">
      <x v="6264"/>
      <x v="3471"/>
    </i>
    <i r="1">
      <x v="6265"/>
      <x v="3472"/>
    </i>
    <i r="1">
      <x v="6266"/>
      <x v="3473"/>
    </i>
    <i r="1">
      <x v="6267"/>
      <x v="2255"/>
    </i>
    <i r="1">
      <x v="6268"/>
      <x v="1698"/>
    </i>
    <i r="1">
      <x v="6285"/>
      <x v="10"/>
    </i>
    <i r="1">
      <x v="6286"/>
      <x v="2508"/>
    </i>
    <i r="1">
      <x v="6287"/>
      <x v="3480"/>
    </i>
    <i r="1">
      <x v="6288"/>
      <x v="3481"/>
    </i>
    <i r="1">
      <x v="6289"/>
      <x v="2050"/>
    </i>
    <i r="1">
      <x v="6294"/>
      <x v="3483"/>
    </i>
    <i r="1">
      <x v="6315"/>
      <x v="3587"/>
    </i>
    <i r="1">
      <x v="6407"/>
      <x v="3695"/>
    </i>
    <i r="1">
      <x v="6550"/>
      <x v="3842"/>
    </i>
    <i r="1">
      <x v="6677"/>
      <x v="580"/>
    </i>
    <i r="1">
      <x v="6678"/>
      <x v="1826"/>
    </i>
    <i r="1">
      <x v="6757"/>
      <x v="4058"/>
    </i>
    <i r="1">
      <x v="6789"/>
      <x v="4090"/>
    </i>
    <i r="1">
      <x v="6919"/>
      <x v="3693"/>
    </i>
    <i r="1">
      <x v="6920"/>
      <x v="3694"/>
    </i>
    <i r="1">
      <x v="7022"/>
      <x v="3843"/>
    </i>
    <i r="1">
      <x v="7110"/>
      <x v="3964"/>
    </i>
    <i r="1">
      <x v="7111"/>
      <x v="3966"/>
    </i>
    <i r="1">
      <x v="7168"/>
      <x v="4057"/>
    </i>
    <i>
      <x v="236"/>
    </i>
    <i>
      <x v="256"/>
    </i>
    <i>
      <x v="258"/>
    </i>
    <i>
      <x v="266"/>
    </i>
    <i>
      <x v="267"/>
      <x v="79"/>
      <x v="1424"/>
    </i>
    <i r="1">
      <x v="200"/>
      <x v="1418"/>
    </i>
    <i r="1">
      <x v="245"/>
      <x v="1415"/>
    </i>
    <i r="1">
      <x v="272"/>
      <x v="1429"/>
    </i>
    <i r="1">
      <x v="317"/>
      <x v="1419"/>
    </i>
    <i r="1">
      <x v="333"/>
      <x v="1414"/>
    </i>
    <i r="1">
      <x v="365"/>
      <x v="1428"/>
    </i>
    <i r="1">
      <x v="412"/>
      <x v="1421"/>
    </i>
    <i r="1">
      <x v="459"/>
      <x v="1425"/>
    </i>
    <i r="1">
      <x v="460"/>
      <x v="1416"/>
    </i>
    <i r="1">
      <x v="518"/>
      <x v="1174"/>
    </i>
    <i r="1">
      <x v="589"/>
      <x v="786"/>
    </i>
    <i r="1">
      <x v="728"/>
      <x v="1423"/>
    </i>
    <i r="1">
      <x v="762"/>
      <x v="1412"/>
    </i>
    <i r="1">
      <x v="843"/>
      <x v="288"/>
    </i>
    <i r="1">
      <x v="844"/>
      <x v="1427"/>
    </i>
    <i r="1">
      <x v="981"/>
      <x v="1417"/>
    </i>
    <i r="1">
      <x v="1006"/>
      <x v="689"/>
    </i>
    <i r="1">
      <x v="1145"/>
      <x v="537"/>
    </i>
    <i r="1">
      <x v="1180"/>
      <x v="1422"/>
    </i>
    <i r="1">
      <x v="1184"/>
      <x v="1413"/>
    </i>
    <i r="1">
      <x v="1623"/>
      <x v="1982"/>
    </i>
    <i r="1">
      <x v="1624"/>
      <x v="1427"/>
    </i>
    <i r="1">
      <x v="1968"/>
      <x v="2149"/>
    </i>
    <i r="1">
      <x v="2172"/>
      <x v="2186"/>
    </i>
    <i r="1">
      <x v="3141"/>
      <x v="2569"/>
    </i>
    <i r="1">
      <x v="3142"/>
      <x v="17"/>
    </i>
    <i r="1">
      <x v="3143"/>
      <x v="1196"/>
    </i>
    <i r="1">
      <x v="3806"/>
      <x v="1226"/>
    </i>
    <i r="1">
      <x v="3807"/>
      <x v="1426"/>
    </i>
    <i r="1">
      <x v="4599"/>
      <x v="584"/>
    </i>
    <i r="1">
      <x v="4600"/>
      <x v="2988"/>
    </i>
    <i r="1">
      <x v="4603"/>
      <x v="2457"/>
    </i>
    <i r="1">
      <x v="4604"/>
      <x v="2989"/>
    </i>
    <i r="1">
      <x v="4606"/>
      <x v="2990"/>
    </i>
    <i r="1">
      <x v="5957"/>
      <x v="2570"/>
    </i>
    <i r="1">
      <x v="5958"/>
      <x v="3120"/>
    </i>
    <i r="1">
      <x v="7457"/>
      <x v="4372"/>
    </i>
    <i r="1">
      <x v="7908"/>
      <x v="1420"/>
    </i>
    <i>
      <x v="269"/>
    </i>
    <i>
      <x v="280"/>
    </i>
    <i>
      <x v="286"/>
      <x v="815"/>
      <x v="1"/>
    </i>
    <i r="1">
      <x v="1757"/>
      <x v="2"/>
    </i>
    <i r="1">
      <x v="1759"/>
      <x v="65"/>
    </i>
    <i r="1">
      <x v="1760"/>
      <x v="4393"/>
    </i>
    <i r="1">
      <x v="3156"/>
      <x v="5"/>
    </i>
    <i r="1">
      <x v="3158"/>
      <x v="4394"/>
    </i>
    <i r="1">
      <x v="3370"/>
      <x v="593"/>
    </i>
    <i r="1">
      <x v="7485"/>
      <x v="56"/>
    </i>
    <i r="1">
      <x v="7486"/>
      <x v="69"/>
    </i>
    <i r="1">
      <x v="7487"/>
      <x v="4"/>
    </i>
    <i>
      <x v="293"/>
    </i>
    <i>
      <x v="295"/>
    </i>
    <i>
      <x v="296"/>
      <x v="1735"/>
      <x v="351"/>
    </i>
    <i r="1">
      <x v="3689"/>
      <x v="3998"/>
    </i>
    <i r="1">
      <x v="6438"/>
      <x v="3727"/>
    </i>
    <i r="1">
      <x v="6439"/>
      <x v="3728"/>
    </i>
    <i r="1">
      <x v="6584"/>
      <x v="3879"/>
    </i>
    <i r="1">
      <x v="6585"/>
      <x v="3880"/>
    </i>
    <i r="1">
      <x v="6862"/>
      <x v="3606"/>
    </i>
    <i r="1">
      <x v="7938"/>
      <x v="4426"/>
    </i>
    <i>
      <x v="299"/>
    </i>
    <i>
      <x v="301"/>
      <x v="105"/>
      <x v="1496"/>
    </i>
    <i r="1">
      <x v="163"/>
      <x v="4694"/>
    </i>
    <i r="1">
      <x v="170"/>
      <x v="1494"/>
    </i>
    <i r="1">
      <x v="354"/>
      <x v="3999"/>
    </i>
    <i r="1">
      <x v="523"/>
      <x v="1493"/>
    </i>
    <i r="1">
      <x v="527"/>
      <x v="311"/>
    </i>
    <i r="1">
      <x v="624"/>
      <x v="1184"/>
    </i>
    <i r="1">
      <x v="695"/>
      <x v="1835"/>
    </i>
    <i r="1">
      <x v="792"/>
      <x v="1495"/>
    </i>
    <i r="1">
      <x v="1153"/>
      <x v="4398"/>
    </i>
    <i r="1">
      <x v="1266"/>
      <x v="860"/>
    </i>
    <i r="1">
      <x v="2097"/>
      <x v="1115"/>
    </i>
    <i r="1">
      <x v="2930"/>
      <x v="2483"/>
    </i>
    <i r="1">
      <x v="2931"/>
      <x v="552"/>
    </i>
    <i r="1">
      <x v="5154"/>
      <x v="637"/>
    </i>
    <i r="1">
      <x v="5156"/>
      <x v="3144"/>
    </i>
    <i r="1">
      <x v="5157"/>
      <x v="4186"/>
    </i>
    <i r="1">
      <x v="6006"/>
      <x v="1498"/>
    </i>
    <i r="1">
      <x v="7940"/>
      <x v="3143"/>
    </i>
    <i r="1">
      <x v="7941"/>
      <x v="4695"/>
    </i>
    <i>
      <x v="310"/>
    </i>
    <i>
      <x v="312"/>
      <x v="396"/>
      <x v="913"/>
    </i>
    <i r="1">
      <x v="951"/>
      <x v="1517"/>
    </i>
    <i r="1">
      <x v="1330"/>
      <x v="281"/>
    </i>
    <i r="1">
      <x v="2100"/>
      <x v="1456"/>
    </i>
    <i r="1">
      <x v="3855"/>
      <x v="2761"/>
    </i>
    <i r="1">
      <x v="3857"/>
      <x v="1849"/>
    </i>
    <i r="1">
      <x v="3858"/>
      <x v="2688"/>
    </i>
    <i r="1">
      <x v="3859"/>
      <x v="2762"/>
    </i>
    <i r="1">
      <x v="3860"/>
      <x v="2763"/>
    </i>
    <i r="1">
      <x v="3861"/>
      <x v="2764"/>
    </i>
    <i r="1">
      <x v="3862"/>
      <x v="2765"/>
    </i>
    <i r="1">
      <x v="3863"/>
      <x v="2766"/>
    </i>
    <i r="1">
      <x v="3864"/>
      <x v="1811"/>
    </i>
    <i r="1">
      <x v="3866"/>
      <x v="2767"/>
    </i>
    <i r="1">
      <x v="3867"/>
      <x v="2657"/>
    </i>
    <i r="1">
      <x v="3868"/>
      <x v="583"/>
    </i>
    <i r="1">
      <x v="3869"/>
      <x v="1917"/>
    </i>
    <i r="1">
      <x v="3870"/>
      <x v="2768"/>
    </i>
    <i r="1">
      <x v="3872"/>
      <x v="2769"/>
    </i>
    <i r="1">
      <x v="3873"/>
      <x v="2770"/>
    </i>
    <i r="1">
      <x v="3874"/>
      <x v="2771"/>
    </i>
    <i r="1">
      <x v="3876"/>
      <x v="2772"/>
    </i>
    <i r="1">
      <x v="3877"/>
      <x v="1098"/>
    </i>
    <i r="1">
      <x v="3878"/>
      <x v="1098"/>
    </i>
    <i r="1">
      <x v="3879"/>
      <x v="2773"/>
    </i>
    <i r="1">
      <x v="3880"/>
      <x v="2774"/>
    </i>
    <i r="1">
      <x v="3881"/>
      <x v="2775"/>
    </i>
    <i r="1">
      <x v="3883"/>
      <x v="2567"/>
    </i>
    <i r="1">
      <x v="3884"/>
      <x v="2776"/>
    </i>
    <i r="1">
      <x v="3885"/>
      <x v="1814"/>
    </i>
    <i r="1">
      <x v="3886"/>
      <x v="2777"/>
    </i>
    <i r="1">
      <x v="3888"/>
      <x v="2778"/>
    </i>
    <i r="1">
      <x v="3890"/>
      <x v="1338"/>
    </i>
    <i r="1">
      <x v="4553"/>
      <x v="539"/>
    </i>
    <i r="1">
      <x v="4554"/>
      <x v="2512"/>
    </i>
    <i r="1">
      <x v="4555"/>
      <x v="2981"/>
    </i>
    <i r="1">
      <x v="4556"/>
      <x v="2982"/>
    </i>
    <i r="1">
      <x v="4557"/>
      <x v="2101"/>
    </i>
    <i>
      <x v="324"/>
    </i>
    <i>
      <x v="326"/>
    </i>
    <i>
      <x v="337"/>
      <x v="70"/>
      <x v="517"/>
    </i>
    <i r="1">
      <x v="98"/>
      <x v="541"/>
    </i>
    <i r="1">
      <x v="172"/>
      <x v="519"/>
    </i>
    <i r="1">
      <x v="187"/>
      <x v="4416"/>
    </i>
    <i r="1">
      <x v="193"/>
      <x v="500"/>
    </i>
    <i r="1">
      <x v="226"/>
      <x v="538"/>
    </i>
    <i r="1">
      <x v="235"/>
      <x v="869"/>
    </i>
    <i r="1">
      <x v="242"/>
      <x v="513"/>
    </i>
    <i r="1">
      <x v="291"/>
      <x v="571"/>
    </i>
    <i r="1">
      <x v="320"/>
      <x v="1879"/>
    </i>
    <i r="1">
      <x v="345"/>
      <x v="575"/>
    </i>
    <i r="1">
      <x v="386"/>
      <x v="561"/>
    </i>
    <i r="1">
      <x v="440"/>
      <x v="497"/>
    </i>
    <i r="1">
      <x v="465"/>
      <x v="550"/>
    </i>
    <i r="1">
      <x v="469"/>
      <x v="3894"/>
    </i>
    <i r="1">
      <x v="489"/>
      <x v="1874"/>
    </i>
    <i r="1">
      <x v="493"/>
      <x v="501"/>
    </i>
    <i r="1">
      <x v="539"/>
      <x v="3898"/>
    </i>
    <i r="1">
      <x v="549"/>
      <x v="511"/>
    </i>
    <i r="1">
      <x v="570"/>
      <x v="918"/>
    </i>
    <i r="1">
      <x v="588"/>
      <x v="533"/>
    </i>
    <i r="1">
      <x v="613"/>
      <x v="569"/>
    </i>
    <i r="1">
      <x v="648"/>
      <x v="565"/>
    </i>
    <i r="1">
      <x v="649"/>
      <x v="567"/>
    </i>
    <i r="1">
      <x v="677"/>
      <x v="534"/>
    </i>
    <i r="1">
      <x v="752"/>
      <x v="521"/>
    </i>
    <i r="1">
      <x v="771"/>
      <x v="1866"/>
    </i>
    <i r="1">
      <x v="783"/>
      <x v="518"/>
    </i>
    <i r="1">
      <x v="812"/>
      <x v="507"/>
    </i>
    <i r="1">
      <x v="869"/>
      <x v="542"/>
    </i>
    <i r="1">
      <x v="911"/>
      <x v="504"/>
    </i>
    <i r="1">
      <x v="932"/>
      <x v="524"/>
    </i>
    <i r="1">
      <x v="942"/>
      <x v="573"/>
    </i>
    <i r="1">
      <x v="956"/>
      <x v="549"/>
    </i>
    <i r="1">
      <x v="975"/>
      <x v="514"/>
    </i>
    <i r="1">
      <x v="976"/>
      <x v="572"/>
    </i>
    <i r="1">
      <x v="1067"/>
      <x v="2974"/>
    </i>
    <i r="1">
      <x v="1115"/>
      <x v="508"/>
    </i>
    <i r="1">
      <x v="1349"/>
      <x v="516"/>
    </i>
    <i r="1">
      <x v="1352"/>
      <x v="807"/>
    </i>
    <i r="1">
      <x v="1357"/>
      <x v="583"/>
    </i>
    <i r="1">
      <x v="1469"/>
      <x v="1778"/>
    </i>
    <i r="1">
      <x v="1472"/>
      <x v="84"/>
    </i>
    <i r="1">
      <x v="1549"/>
      <x v="1792"/>
    </i>
    <i r="1">
      <x v="1554"/>
      <x v="1899"/>
    </i>
    <i r="1">
      <x v="1555"/>
      <x v="1575"/>
    </i>
    <i r="1">
      <x v="1557"/>
      <x v="1901"/>
    </i>
    <i r="1">
      <x v="1559"/>
      <x v="1906"/>
    </i>
    <i r="1">
      <x v="1563"/>
      <x v="946"/>
    </i>
    <i r="1">
      <x v="2131"/>
      <x v="564"/>
    </i>
    <i r="1">
      <x v="2826"/>
      <x v="1877"/>
    </i>
    <i r="1">
      <x v="2827"/>
      <x v="4433"/>
    </i>
    <i r="1">
      <x v="3042"/>
      <x v="2526"/>
    </i>
    <i r="1">
      <x v="3127"/>
      <x v="2565"/>
    </i>
    <i r="1">
      <x v="3290"/>
      <x v="1883"/>
    </i>
    <i r="1">
      <x v="3318"/>
      <x v="2620"/>
    </i>
    <i r="1">
      <x v="3447"/>
      <x v="586"/>
    </i>
    <i r="1">
      <x v="3449"/>
      <x v="3900"/>
    </i>
    <i r="1">
      <x v="3461"/>
      <x v="1907"/>
    </i>
    <i r="1">
      <x v="3634"/>
      <x v="2700"/>
    </i>
    <i r="1">
      <x v="3636"/>
      <x v="2701"/>
    </i>
    <i r="1">
      <x v="3637"/>
      <x v="2347"/>
    </i>
    <i r="1">
      <x v="3639"/>
      <x v="2702"/>
    </i>
    <i r="1">
      <x v="4018"/>
      <x v="1285"/>
    </i>
    <i r="1">
      <x v="4020"/>
      <x v="2839"/>
    </i>
    <i r="1">
      <x v="4578"/>
      <x v="391"/>
    </i>
    <i r="1">
      <x v="4844"/>
      <x v="3601"/>
    </i>
    <i r="1">
      <x v="5046"/>
      <x v="502"/>
    </i>
    <i r="1">
      <x v="5048"/>
      <x v="3016"/>
    </i>
    <i r="1">
      <x v="5052"/>
      <x v="1727"/>
    </i>
    <i r="1">
      <x v="5263"/>
      <x v="3176"/>
    </i>
    <i r="1">
      <x v="5264"/>
      <x v="3177"/>
    </i>
    <i r="1">
      <x v="5350"/>
      <x v="1676"/>
    </i>
    <i r="1">
      <x v="5409"/>
      <x v="468"/>
    </i>
    <i r="1">
      <x v="5410"/>
      <x v="1920"/>
    </i>
    <i r="1">
      <x v="5411"/>
      <x v="3212"/>
    </i>
    <i r="1">
      <x v="5412"/>
      <x v="510"/>
    </i>
    <i r="1">
      <x v="5413"/>
      <x v="1881"/>
    </i>
    <i r="1">
      <x v="5414"/>
      <x v="509"/>
    </i>
    <i r="1">
      <x v="5415"/>
      <x v="570"/>
    </i>
    <i r="1">
      <x v="5416"/>
      <x v="506"/>
    </i>
    <i r="1">
      <x v="5417"/>
      <x v="505"/>
    </i>
    <i r="1">
      <x v="5418"/>
      <x v="1692"/>
    </i>
    <i r="1">
      <x v="5601"/>
      <x v="2109"/>
    </i>
    <i r="1">
      <x v="5804"/>
      <x v="2071"/>
    </i>
    <i r="1">
      <x v="5870"/>
      <x v="3339"/>
    </i>
    <i r="1">
      <x v="6026"/>
      <x v="3386"/>
    </i>
    <i r="1">
      <x v="6027"/>
      <x v="2974"/>
    </i>
    <i r="1">
      <x v="6028"/>
      <x v="1674"/>
    </i>
    <i r="1">
      <x v="6029"/>
      <x v="3387"/>
    </i>
    <i r="1">
      <x v="6030"/>
      <x v="574"/>
    </i>
    <i r="1">
      <x v="6031"/>
      <x v="3388"/>
    </i>
    <i r="1">
      <x v="6032"/>
      <x v="3389"/>
    </i>
    <i r="1">
      <x v="6033"/>
      <x v="955"/>
    </i>
    <i r="1">
      <x v="6034"/>
      <x v="59"/>
    </i>
    <i r="1">
      <x v="6035"/>
      <x v="3390"/>
    </i>
    <i r="1">
      <x v="6036"/>
      <x v="2225"/>
    </i>
    <i r="1">
      <x v="6037"/>
      <x v="3391"/>
    </i>
    <i r="1">
      <x v="6453"/>
      <x v="3744"/>
    </i>
    <i r="1">
      <x v="6454"/>
      <x v="3745"/>
    </i>
    <i r="1">
      <x v="6455"/>
      <x v="3746"/>
    </i>
    <i r="1">
      <x v="6456"/>
      <x v="3747"/>
    </i>
    <i r="1">
      <x v="6457"/>
      <x v="2967"/>
    </i>
    <i r="1">
      <x v="6600"/>
      <x v="2938"/>
    </i>
    <i r="1">
      <x v="6601"/>
      <x v="3895"/>
    </i>
    <i r="1">
      <x v="6602"/>
      <x v="3896"/>
    </i>
    <i r="1">
      <x v="6603"/>
      <x v="2486"/>
    </i>
    <i r="1">
      <x v="6604"/>
      <x v="3289"/>
    </i>
    <i r="1">
      <x v="6605"/>
      <x v="1882"/>
    </i>
    <i r="1">
      <x v="6606"/>
      <x v="3897"/>
    </i>
    <i r="1">
      <x v="6607"/>
      <x v="1993"/>
    </i>
    <i r="1">
      <x v="6608"/>
      <x v="612"/>
    </i>
    <i r="1">
      <x v="6609"/>
      <x v="3899"/>
    </i>
    <i r="1">
      <x v="6630"/>
      <x v="4015"/>
    </i>
    <i r="1">
      <x v="6706"/>
      <x v="4011"/>
    </i>
    <i r="1">
      <x v="6707"/>
      <x v="4012"/>
    </i>
    <i r="1">
      <x v="6708"/>
      <x v="657"/>
    </i>
    <i r="1">
      <x v="6709"/>
      <x v="2080"/>
    </i>
    <i r="1">
      <x v="6710"/>
      <x v="4013"/>
    </i>
    <i r="1">
      <x v="6711"/>
      <x v="816"/>
    </i>
    <i r="1">
      <x v="6712"/>
      <x v="520"/>
    </i>
    <i r="1">
      <x v="6713"/>
      <x v="3541"/>
    </i>
    <i r="1">
      <x v="6714"/>
      <x v="2083"/>
    </i>
    <i r="1">
      <x v="6715"/>
      <x v="4014"/>
    </i>
    <i r="1">
      <x v="6768"/>
      <x v="4073"/>
    </i>
    <i r="1">
      <x v="6769"/>
      <x v="1839"/>
    </i>
    <i r="1">
      <x v="6770"/>
      <x v="4074"/>
    </i>
    <i r="1">
      <x v="6772"/>
      <x v="1684"/>
    </i>
    <i r="1">
      <x v="6773"/>
      <x v="4076"/>
    </i>
    <i r="1">
      <x v="6774"/>
      <x v="2525"/>
    </i>
    <i r="1">
      <x v="6864"/>
      <x v="3615"/>
    </i>
    <i r="1">
      <x v="6895"/>
      <x v="3657"/>
    </i>
    <i r="1">
      <x v="6949"/>
      <x v="3743"/>
    </i>
    <i r="1">
      <x v="6950"/>
      <x v="1645"/>
    </i>
    <i r="1">
      <x v="6951"/>
      <x v="210"/>
    </i>
    <i r="1">
      <x v="6952"/>
      <x v="503"/>
    </i>
    <i r="1">
      <x v="6953"/>
      <x v="3696"/>
    </i>
    <i r="1">
      <x v="6954"/>
      <x v="3748"/>
    </i>
    <i r="1">
      <x v="6955"/>
      <x v="3749"/>
    </i>
    <i r="1">
      <x v="6995"/>
      <x v="889"/>
    </i>
    <i r="1">
      <x v="7055"/>
      <x v="80"/>
    </i>
    <i r="1">
      <x v="7056"/>
      <x v="3833"/>
    </i>
    <i r="1">
      <x v="7057"/>
      <x v="1868"/>
    </i>
    <i r="1">
      <x v="7058"/>
      <x v="1525"/>
    </i>
    <i r="1">
      <x v="7059"/>
      <x v="3307"/>
    </i>
    <i r="1">
      <x v="7060"/>
      <x v="422"/>
    </i>
    <i r="1">
      <x v="7061"/>
      <x v="3901"/>
    </i>
    <i r="1">
      <x v="7062"/>
      <x v="3902"/>
    </i>
    <i r="1">
      <x v="7063"/>
      <x v="1143"/>
    </i>
    <i r="1">
      <x v="7134"/>
      <x v="515"/>
    </i>
    <i r="1">
      <x v="7135"/>
      <x v="3537"/>
    </i>
    <i r="1">
      <x v="7136"/>
      <x v="4016"/>
    </i>
    <i r="1">
      <x v="7137"/>
      <x v="4017"/>
    </i>
    <i r="1">
      <x v="7138"/>
      <x v="4018"/>
    </i>
    <i r="1">
      <x v="7170"/>
      <x v="4077"/>
    </i>
    <i r="1">
      <x v="7180"/>
      <x v="4097"/>
    </i>
    <i r="1">
      <x v="7512"/>
      <x v="94"/>
    </i>
    <i r="1">
      <x v="7513"/>
      <x v="135"/>
    </i>
    <i r="1">
      <x v="7514"/>
      <x v="4417"/>
    </i>
    <i r="1">
      <x v="7515"/>
      <x v="4418"/>
    </i>
    <i r="1">
      <x v="7516"/>
      <x v="4419"/>
    </i>
    <i r="1">
      <x v="7517"/>
      <x v="4420"/>
    </i>
    <i r="1">
      <x v="7518"/>
      <x v="3892"/>
    </i>
    <i r="1">
      <x v="7519"/>
      <x v="4421"/>
    </i>
    <i r="1">
      <x v="7520"/>
      <x v="4196"/>
    </i>
    <i r="1">
      <x v="7522"/>
      <x v="4423"/>
    </i>
    <i r="1">
      <x v="7523"/>
      <x v="2177"/>
    </i>
    <i r="1">
      <x v="7524"/>
      <x v="4424"/>
    </i>
    <i r="1">
      <x v="7525"/>
      <x v="4425"/>
    </i>
    <i r="1">
      <x v="7526"/>
      <x v="439"/>
    </i>
    <i r="1">
      <x v="7527"/>
      <x v="4426"/>
    </i>
    <i r="1">
      <x v="7529"/>
      <x v="4428"/>
    </i>
    <i r="1">
      <x v="7530"/>
      <x v="4429"/>
    </i>
    <i r="1">
      <x v="7531"/>
      <x v="4430"/>
    </i>
    <i r="1">
      <x v="7532"/>
      <x v="4431"/>
    </i>
    <i r="1">
      <x v="7533"/>
      <x v="4432"/>
    </i>
    <i r="1">
      <x v="7534"/>
      <x v="555"/>
    </i>
    <i r="1">
      <x v="7535"/>
      <x v="680"/>
    </i>
    <i r="1">
      <x v="7536"/>
      <x v="3344"/>
    </i>
    <i r="1">
      <x v="7537"/>
      <x v="2012"/>
    </i>
    <i r="1">
      <x v="7538"/>
      <x v="873"/>
    </i>
    <i r="1">
      <x v="7539"/>
      <x v="4434"/>
    </i>
    <i r="1">
      <x v="7540"/>
      <x v="4435"/>
    </i>
    <i r="1">
      <x v="7541"/>
      <x v="4046"/>
    </i>
    <i r="1">
      <x v="7542"/>
      <x v="3858"/>
    </i>
    <i r="1">
      <x v="7947"/>
      <x v="524"/>
    </i>
    <i r="1">
      <x v="7948"/>
      <x v="4698"/>
    </i>
    <i r="1">
      <x v="7949"/>
      <x v="4699"/>
    </i>
    <i r="1">
      <x v="7950"/>
      <x v="1870"/>
    </i>
    <i r="1">
      <x v="7951"/>
      <x v="4700"/>
    </i>
    <i r="1">
      <x v="7952"/>
      <x v="4701"/>
    </i>
    <i r="1">
      <x v="7953"/>
      <x v="3868"/>
    </i>
    <i r="1">
      <x v="7954"/>
      <x v="129"/>
    </i>
    <i r="1">
      <x v="7955"/>
      <x v="2131"/>
    </i>
    <i r="1">
      <x v="7956"/>
      <x v="675"/>
    </i>
    <i r="1">
      <x v="7957"/>
      <x v="3444"/>
    </i>
    <i r="1">
      <x v="7958"/>
      <x v="4702"/>
    </i>
    <i r="1">
      <x v="7959"/>
      <x v="2521"/>
    </i>
    <i r="1">
      <x v="7960"/>
      <x v="2890"/>
    </i>
    <i r="1">
      <x v="7961"/>
      <x v="4703"/>
    </i>
    <i r="1">
      <x v="7962"/>
      <x v="4704"/>
    </i>
    <i r="1">
      <x v="7963"/>
      <x v="2851"/>
    </i>
    <i r="1">
      <x v="7964"/>
      <x v="4705"/>
    </i>
    <i r="1">
      <x v="7965"/>
      <x v="4706"/>
    </i>
    <i r="1">
      <x v="7966"/>
      <x v="444"/>
    </i>
    <i r="1">
      <x v="7967"/>
      <x v="3114"/>
    </i>
    <i r="1">
      <x v="7968"/>
      <x v="4707"/>
    </i>
    <i r="1">
      <x v="7969"/>
      <x v="4708"/>
    </i>
    <i r="1">
      <x v="7970"/>
      <x v="4709"/>
    </i>
    <i>
      <x v="342"/>
    </i>
    <i>
      <x v="347"/>
    </i>
    <i>
      <x v="349"/>
    </i>
    <i>
      <x v="350"/>
      <x v="1373"/>
      <x v="829"/>
    </i>
    <i r="1">
      <x v="1498"/>
      <x v="3073"/>
    </i>
    <i r="1">
      <x v="4863"/>
      <x v="3071"/>
    </i>
    <i r="1">
      <x v="4864"/>
      <x v="3072"/>
    </i>
    <i r="1">
      <x v="4866"/>
      <x v="2642"/>
    </i>
    <i r="1">
      <x v="4869"/>
      <x v="3074"/>
    </i>
    <i r="1">
      <x v="4870"/>
      <x v="2550"/>
    </i>
    <i r="1">
      <x v="4871"/>
      <x v="3075"/>
    </i>
    <i r="1">
      <x v="4872"/>
      <x v="3023"/>
    </i>
    <i r="1">
      <x v="4873"/>
      <x v="2547"/>
    </i>
    <i r="1">
      <x v="4874"/>
      <x v="3076"/>
    </i>
    <i r="1">
      <x v="4875"/>
      <x v="1021"/>
    </i>
    <i r="1">
      <x v="4877"/>
      <x v="1022"/>
    </i>
    <i r="1">
      <x v="4881"/>
      <x v="2082"/>
    </i>
    <i r="1">
      <x v="4882"/>
      <x v="3077"/>
    </i>
    <i r="1">
      <x v="4883"/>
      <x v="3078"/>
    </i>
    <i r="1">
      <x v="4885"/>
      <x v="2394"/>
    </i>
    <i r="1">
      <x v="4886"/>
      <x v="1026"/>
    </i>
    <i r="1">
      <x v="4891"/>
      <x v="3079"/>
    </i>
    <i r="1">
      <x v="4892"/>
      <x v="1029"/>
    </i>
    <i r="1">
      <x v="4893"/>
      <x v="3080"/>
    </i>
    <i r="1">
      <x v="4895"/>
      <x v="1030"/>
    </i>
    <i r="1">
      <x v="4896"/>
      <x v="3082"/>
    </i>
    <i r="1">
      <x v="4897"/>
      <x v="1032"/>
    </i>
    <i r="1">
      <x v="4898"/>
      <x v="1744"/>
    </i>
    <i r="1">
      <x v="4899"/>
      <x v="3083"/>
    </i>
    <i r="1">
      <x v="4900"/>
      <x v="1034"/>
    </i>
    <i r="1">
      <x v="4901"/>
      <x v="334"/>
    </i>
    <i r="1">
      <x v="4903"/>
      <x v="1035"/>
    </i>
    <i r="1">
      <x v="4906"/>
      <x v="1776"/>
    </i>
    <i r="1">
      <x v="4907"/>
      <x v="1036"/>
    </i>
    <i r="1">
      <x v="4908"/>
      <x v="3086"/>
    </i>
    <i r="1">
      <x v="4909"/>
      <x v="3518"/>
    </i>
    <i r="1">
      <x v="4911"/>
      <x v="318"/>
    </i>
    <i r="1">
      <x v="4913"/>
      <x v="3550"/>
    </i>
    <i r="1">
      <x v="4914"/>
      <x v="3513"/>
    </i>
    <i r="1">
      <x v="4915"/>
      <x v="3549"/>
    </i>
    <i r="1">
      <x v="4916"/>
      <x v="3505"/>
    </i>
    <i r="1">
      <x v="4917"/>
      <x v="1302"/>
    </i>
    <i r="1">
      <x v="4918"/>
      <x v="3529"/>
    </i>
    <i r="1">
      <x v="4921"/>
      <x v="3510"/>
    </i>
    <i r="1">
      <x v="4922"/>
      <x v="3532"/>
    </i>
    <i r="1">
      <x v="4924"/>
      <x v="1041"/>
    </i>
    <i r="1">
      <x v="4927"/>
      <x v="18"/>
    </i>
    <i r="1">
      <x v="4928"/>
      <x v="3087"/>
    </i>
    <i r="1">
      <x v="4929"/>
      <x v="1790"/>
    </i>
    <i r="1">
      <x v="4933"/>
      <x v="2426"/>
    </i>
    <i r="1">
      <x v="4934"/>
      <x v="2560"/>
    </i>
    <i r="1">
      <x v="4935"/>
      <x v="3089"/>
    </i>
    <i r="1">
      <x v="4936"/>
      <x v="3530"/>
    </i>
    <i r="1">
      <x v="4939"/>
      <x v="1257"/>
    </i>
    <i r="1">
      <x v="4940"/>
      <x v="3547"/>
    </i>
    <i r="1">
      <x v="4941"/>
      <x v="4726"/>
    </i>
    <i r="1">
      <x v="4943"/>
      <x v="3090"/>
    </i>
    <i r="1">
      <x v="4945"/>
      <x v="3091"/>
    </i>
    <i r="1">
      <x v="4950"/>
      <x v="3541"/>
    </i>
    <i r="1">
      <x v="4952"/>
      <x v="3093"/>
    </i>
    <i r="1">
      <x v="4954"/>
      <x v="665"/>
    </i>
    <i r="1">
      <x v="4956"/>
      <x v="3095"/>
    </i>
    <i r="1">
      <x v="5719"/>
      <x v="3552"/>
    </i>
    <i r="1">
      <x v="5720"/>
      <x v="2749"/>
    </i>
    <i r="1">
      <x v="5721"/>
      <x v="2108"/>
    </i>
    <i r="1">
      <x v="5722"/>
      <x v="3556"/>
    </i>
    <i r="1">
      <x v="5723"/>
      <x v="673"/>
    </i>
    <i r="1">
      <x v="6078"/>
      <x v="2640"/>
    </i>
    <i r="1">
      <x v="6079"/>
      <x v="1018"/>
    </i>
    <i r="1">
      <x v="6083"/>
      <x v="1110"/>
    </i>
    <i r="1">
      <x v="6084"/>
      <x v="3370"/>
    </i>
    <i r="1">
      <x v="6085"/>
      <x v="2391"/>
    </i>
    <i r="1">
      <x v="6086"/>
      <x v="3175"/>
    </i>
    <i r="1">
      <x v="6087"/>
      <x v="2456"/>
    </i>
    <i r="1">
      <x v="6088"/>
      <x v="3414"/>
    </i>
    <i r="1">
      <x v="6090"/>
      <x v="3416"/>
    </i>
    <i r="1">
      <x v="6092"/>
      <x v="1777"/>
    </i>
    <i r="1">
      <x v="6093"/>
      <x v="3417"/>
    </i>
    <i r="1">
      <x v="6095"/>
      <x v="3419"/>
    </i>
    <i r="1">
      <x v="6096"/>
      <x v="3420"/>
    </i>
    <i r="1">
      <x v="6098"/>
      <x v="647"/>
    </i>
    <i r="1">
      <x v="6099"/>
      <x v="2555"/>
    </i>
    <i r="1">
      <x v="6100"/>
      <x v="1867"/>
    </i>
    <i r="1">
      <x v="6102"/>
      <x v="1028"/>
    </i>
    <i r="1">
      <x v="6103"/>
      <x v="1217"/>
    </i>
    <i r="1">
      <x v="6104"/>
      <x v="3421"/>
    </i>
    <i r="1">
      <x v="6105"/>
      <x v="3422"/>
    </i>
    <i r="1">
      <x v="6106"/>
      <x v="507"/>
    </i>
    <i r="1">
      <x v="6107"/>
      <x v="3423"/>
    </i>
    <i r="1">
      <x v="6108"/>
      <x v="3424"/>
    </i>
    <i r="1">
      <x v="6109"/>
      <x v="3425"/>
    </i>
    <i r="1">
      <x v="6111"/>
      <x v="1820"/>
    </i>
    <i r="1">
      <x v="6113"/>
      <x v="3427"/>
    </i>
    <i r="1">
      <x v="6114"/>
      <x v="3428"/>
    </i>
    <i r="1">
      <x v="6115"/>
      <x v="426"/>
    </i>
    <i r="1">
      <x v="6116"/>
      <x v="3429"/>
    </i>
    <i r="1">
      <x v="6117"/>
      <x v="3430"/>
    </i>
    <i r="1">
      <x v="6119"/>
      <x v="3432"/>
    </i>
    <i r="1">
      <x v="6120"/>
      <x v="2709"/>
    </i>
    <i r="1">
      <x v="6121"/>
      <x v="3433"/>
    </i>
    <i r="1">
      <x v="6122"/>
      <x v="1376"/>
    </i>
    <i r="1">
      <x v="6123"/>
      <x v="3434"/>
    </i>
    <i r="1">
      <x v="6124"/>
      <x v="3435"/>
    </i>
    <i r="1">
      <x v="6126"/>
      <x v="1037"/>
    </i>
    <i r="1">
      <x v="6128"/>
      <x v="2314"/>
    </i>
    <i r="1">
      <x v="6129"/>
      <x v="812"/>
    </i>
    <i r="1">
      <x v="6132"/>
      <x v="2644"/>
    </i>
    <i r="1">
      <x v="6134"/>
      <x v="3437"/>
    </i>
    <i r="1">
      <x v="6136"/>
      <x v="3438"/>
    </i>
    <i r="1">
      <x v="6137"/>
      <x v="2551"/>
    </i>
    <i r="1">
      <x v="6139"/>
      <x v="608"/>
    </i>
    <i r="1">
      <x v="6140"/>
      <x v="1939"/>
    </i>
    <i r="1">
      <x v="6142"/>
      <x v="3183"/>
    </i>
    <i r="1">
      <x v="6143"/>
      <x v="1407"/>
    </i>
    <i r="1">
      <x v="6329"/>
      <x v="3500"/>
    </i>
    <i r="1">
      <x v="6330"/>
      <x v="3502"/>
    </i>
    <i r="1">
      <x v="6331"/>
      <x v="3503"/>
    </i>
    <i r="1">
      <x v="6332"/>
      <x v="3504"/>
    </i>
    <i r="1">
      <x v="6460"/>
      <x v="692"/>
    </i>
    <i r="1">
      <x v="6463"/>
      <x v="3511"/>
    </i>
    <i r="1">
      <x v="6464"/>
      <x v="3512"/>
    </i>
    <i r="1">
      <x v="6466"/>
      <x v="3515"/>
    </i>
    <i r="1">
      <x v="6468"/>
      <x v="3313"/>
    </i>
    <i r="1">
      <x v="6612"/>
      <x v="3520"/>
    </i>
    <i r="1">
      <x v="6613"/>
      <x v="91"/>
    </i>
    <i r="1">
      <x v="6614"/>
      <x v="139"/>
    </i>
    <i r="1">
      <x v="6615"/>
      <x v="3522"/>
    </i>
    <i r="1">
      <x v="6616"/>
      <x v="3523"/>
    </i>
    <i r="1">
      <x v="6718"/>
      <x v="3525"/>
    </i>
    <i r="1">
      <x v="6719"/>
      <x v="3526"/>
    </i>
    <i r="1">
      <x v="6720"/>
      <x v="1904"/>
    </i>
    <i r="1">
      <x v="6721"/>
      <x v="3527"/>
    </i>
    <i r="1">
      <x v="6722"/>
      <x v="3528"/>
    </i>
    <i r="1">
      <x v="6723"/>
      <x v="3531"/>
    </i>
    <i r="1">
      <x v="6724"/>
      <x v="3533"/>
    </i>
    <i r="1">
      <x v="6725"/>
      <x v="3534"/>
    </i>
    <i r="1">
      <x v="6726"/>
      <x v="3535"/>
    </i>
    <i r="1">
      <x v="6727"/>
      <x v="3536"/>
    </i>
    <i r="1">
      <x v="6728"/>
      <x v="3537"/>
    </i>
    <i r="1">
      <x v="6776"/>
      <x v="3543"/>
    </i>
    <i r="1">
      <x v="6777"/>
      <x v="3544"/>
    </i>
    <i r="1">
      <x v="6779"/>
      <x v="3546"/>
    </i>
    <i r="1">
      <x v="6781"/>
      <x v="1534"/>
    </i>
    <i r="1">
      <x v="6782"/>
      <x v="669"/>
    </i>
    <i r="1">
      <x v="6783"/>
      <x v="3551"/>
    </i>
    <i r="1">
      <x v="6784"/>
      <x v="2569"/>
    </i>
    <i r="1">
      <x v="6785"/>
      <x v="3553"/>
    </i>
    <i r="1">
      <x v="6786"/>
      <x v="3554"/>
    </i>
    <i r="1">
      <x v="6800"/>
      <x v="3555"/>
    </i>
    <i r="1">
      <x v="6801"/>
      <x v="3557"/>
    </i>
    <i r="1">
      <x v="6802"/>
      <x v="3558"/>
    </i>
    <i r="1">
      <x v="6803"/>
      <x v="3559"/>
    </i>
    <i r="1">
      <x v="6804"/>
      <x v="3560"/>
    </i>
    <i r="1">
      <x v="6867"/>
      <x v="3617"/>
    </i>
    <i r="1">
      <x v="6957"/>
      <x v="3751"/>
    </i>
    <i r="1">
      <x v="6958"/>
      <x v="3752"/>
    </i>
    <i r="1">
      <x v="6959"/>
      <x v="3650"/>
    </i>
    <i r="1">
      <x v="6960"/>
      <x v="3753"/>
    </i>
    <i r="1">
      <x v="7070"/>
      <x v="3908"/>
    </i>
    <i r="1">
      <x v="7071"/>
      <x v="3909"/>
    </i>
    <i r="1">
      <x v="7073"/>
      <x v="3910"/>
    </i>
    <i r="1">
      <x v="7074"/>
      <x v="1775"/>
    </i>
    <i r="1">
      <x v="7075"/>
      <x v="3911"/>
    </i>
    <i r="1">
      <x v="7144"/>
      <x v="4023"/>
    </i>
    <i r="1">
      <x v="7146"/>
      <x v="3046"/>
    </i>
    <i r="1">
      <x v="7147"/>
      <x v="4025"/>
    </i>
    <i r="1">
      <x v="7148"/>
      <x v="4026"/>
    </i>
    <i r="1">
      <x v="7149"/>
      <x v="4027"/>
    </i>
    <i r="1">
      <x v="7172"/>
      <x v="4080"/>
    </i>
    <i r="1">
      <x v="7173"/>
      <x v="4081"/>
    </i>
    <i r="1">
      <x v="7174"/>
      <x v="4082"/>
    </i>
    <i r="1">
      <x v="7175"/>
      <x v="4083"/>
    </i>
    <i r="1">
      <x v="7181"/>
      <x v="4098"/>
    </i>
    <i r="1">
      <x v="7182"/>
      <x v="4099"/>
    </i>
    <i r="1">
      <x v="7556"/>
      <x v="4279"/>
    </i>
    <i r="1">
      <x v="7557"/>
      <x v="1011"/>
    </i>
    <i r="1">
      <x v="7558"/>
      <x v="4445"/>
    </i>
    <i r="1">
      <x v="7559"/>
      <x v="4446"/>
    </i>
    <i r="1">
      <x v="7560"/>
      <x v="4447"/>
    </i>
    <i r="1">
      <x v="7561"/>
      <x v="4448"/>
    </i>
    <i r="1">
      <x v="7562"/>
      <x v="4449"/>
    </i>
    <i r="1">
      <x v="7563"/>
      <x v="4450"/>
    </i>
    <i r="1">
      <x v="7564"/>
      <x v="4451"/>
    </i>
    <i r="1">
      <x v="7565"/>
      <x v="4452"/>
    </i>
    <i r="1">
      <x v="7566"/>
      <x v="4453"/>
    </i>
    <i r="1">
      <x v="7985"/>
      <x v="4718"/>
    </i>
    <i r="1">
      <x v="7986"/>
      <x v="4064"/>
    </i>
    <i r="1">
      <x v="7987"/>
      <x v="4502"/>
    </i>
    <i r="1">
      <x v="7988"/>
      <x v="2775"/>
    </i>
    <i r="1">
      <x v="7989"/>
      <x v="4719"/>
    </i>
    <i r="1">
      <x v="7990"/>
      <x v="4720"/>
    </i>
    <i r="1">
      <x v="7991"/>
      <x v="4721"/>
    </i>
    <i r="1">
      <x v="7992"/>
      <x v="4722"/>
    </i>
    <i r="1">
      <x v="7993"/>
      <x v="4723"/>
    </i>
    <i r="1">
      <x v="7994"/>
      <x v="4724"/>
    </i>
    <i r="1">
      <x v="7995"/>
      <x v="4725"/>
    </i>
    <i r="1">
      <x v="7996"/>
      <x v="3015"/>
    </i>
    <i r="1">
      <x v="7997"/>
      <x v="4727"/>
    </i>
    <i r="1">
      <x v="7998"/>
      <x v="4728"/>
    </i>
    <i r="1">
      <x v="7999"/>
      <x v="3312"/>
    </i>
    <i>
      <x v="351"/>
    </i>
    <i t="grand">
      <x/>
    </i>
  </rowItems>
  <colItems count="1">
    <i/>
  </colItems>
  <pageFields count="1">
    <pageField fld="26" hier="-1"/>
  </pageFields>
  <dataFields count="1">
    <dataField name="Cuenta de RUC" fld="0" subtotal="count" baseField="0" baseItem="0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2" displayName="Tabla2" ref="A1:AI2" totalsRowShown="0" dataDxfId="41" tableBorderDxfId="40" dataCellStyle="Comma">
  <autoFilter ref="A1:AI2" xr:uid="{00000000-000C-0000-FFFF-FFFF00000000}"/>
  <sortState xmlns:xlrd2="http://schemas.microsoft.com/office/spreadsheetml/2017/richdata2" ref="A2:AI2">
    <sortCondition ref="C1:C2"/>
  </sortState>
  <tableColumns count="35">
    <tableColumn id="1" xr3:uid="{00000000-0010-0000-0000-000001000000}" name="RUC" dataDxfId="39"/>
    <tableColumn id="2" xr3:uid="{00000000-0010-0000-0000-000002000000}" name="EMPRESA" dataDxfId="38"/>
    <tableColumn id="3" xr3:uid="{00000000-0010-0000-0000-000003000000}" name="CONTRATISTA PRNCIPAL" dataDxfId="37"/>
    <tableColumn id="4" xr3:uid="{00000000-0010-0000-0000-000004000000}" name="Nro. DNI / CE" dataDxfId="36"/>
    <tableColumn id="5" xr3:uid="{00000000-0010-0000-0000-000005000000}" name="APELLIDOS Y NOMBRES" dataDxfId="35"/>
    <tableColumn id="6" xr3:uid="{00000000-0010-0000-0000-000006000000}" name="FECHA NACIMIENTO" dataDxfId="34"/>
    <tableColumn id="7" xr3:uid="{00000000-0010-0000-0000-000007000000}" name="TIPO TRABAJADOR" dataDxfId="33"/>
    <tableColumn id="8" xr3:uid="{00000000-0010-0000-0000-000008000000}" name="TITULO DE PUESTO/CARGO" dataDxfId="32"/>
    <tableColumn id="9" xr3:uid="{00000000-0010-0000-0000-000009000000}" name="NOMBRE DE OBRA DONDE ESTA ASIGNADO DURANTE EL MES REPORTADO" dataDxfId="31"/>
    <tableColumn id="10" xr3:uid="{00000000-0010-0000-0000-00000A000000}" name="DOMICILIO DE TRABAJADOR" dataDxfId="30"/>
    <tableColumn id="11" xr3:uid="{00000000-0010-0000-0000-00000B000000}" name="DISTRITO SEGÚN DNI" dataDxfId="29"/>
    <tableColumn id="12" xr3:uid="{00000000-0010-0000-0000-00000C000000}" name="GENERO" dataDxfId="28"/>
    <tableColumn id="13" xr3:uid="{00000000-0010-0000-0000-00000D000000}" name="FECHA CESE/BAJA" dataDxfId="27"/>
    <tableColumn id="14" xr3:uid="{00000000-0010-0000-0000-00000E000000}" name="NACIONALIDAD" dataDxfId="26"/>
    <tableColumn id="15" xr3:uid="{00000000-0010-0000-0000-00000F000000}" name="FECHA INICIO DE LABORES EN OBRA" dataDxfId="25"/>
    <tableColumn id="16" xr3:uid="{00000000-0010-0000-0000-000010000000}" name="ESTADO" dataDxfId="24"/>
    <tableColumn id="17" xr3:uid="{00000000-0010-0000-0000-000011000000}" name="TIPO DE CONTRATO LABORAL" dataDxfId="23"/>
    <tableColumn id="35" xr3:uid="{A6988809-B9BC-4CA3-A793-5F522E0D9DCD}" name="HPT" dataDxfId="22"/>
    <tableColumn id="27" xr3:uid="{00000000-0010-0000-0000-00001B000000}" name="EPC/CJV" dataDxfId="21">
      <calculatedColumnFormula>IFERROR(VLOOKUP(Tabla2[[#This Row],[CONTRATISTA PRNCIPAL]],Hoja1!$L$5:$M$9,2,FALSE),"CJV")</calculatedColumnFormula>
    </tableColumn>
    <tableColumn id="26" xr3:uid="{00000000-0010-0000-0000-00001A000000}" name="Tipo de Empresa" dataDxfId="20">
      <calculatedColumnFormula>IF(Tabla2[[#This Row],[EMPRESA]]=Tabla2[[#This Row],[CONTRATISTA PRNCIPAL]],"Principal","Secundaria")</calculatedColumnFormula>
    </tableColumn>
    <tableColumn id="20" xr3:uid="{00000000-0010-0000-0000-000014000000}" name="Contratistas" dataDxfId="19" dataCellStyle="Comma">
      <calculatedColumnFormula>IFERROR(1/COUNTIF(Tabla2[CONTRATISTA PRNCIPAL],Tabla2[[#This Row],[CONTRATISTA PRNCIPAL]]),0)</calculatedColumnFormula>
    </tableColumn>
    <tableColumn id="25" xr3:uid="{00000000-0010-0000-0000-000019000000}" name="Edad" dataDxfId="18" dataCellStyle="Comma"/>
    <tableColumn id="23" xr3:uid="{00000000-0010-0000-0000-000017000000}" name="Rango Edades" dataDxfId="17" dataCellStyle="Comma"/>
    <tableColumn id="22" xr3:uid="{00000000-0010-0000-0000-000016000000}" name="Validar Edad" dataDxfId="16" dataCellStyle="Comma">
      <calculatedColumnFormula>+IF(Tabla2[[#This Row],[Edad]]="Corregir","Corregir","Ok")</calculatedColumnFormula>
    </tableColumn>
    <tableColumn id="21" xr3:uid="{00000000-0010-0000-0000-000015000000}" name="Zona de Influencia" dataDxfId="15" dataCellStyle="Comma">
      <calculatedColumnFormula>+IFERROR(VLOOKUP(TRIM(Tabla2[[#This Row],[DISTRITO SEGÚN DNI]]),Hoja1!$A$2:$B$61,2,FALSE),"No")</calculatedColumnFormula>
    </tableColumn>
    <tableColumn id="18" xr3:uid="{00000000-0010-0000-0000-000012000000}" name="Validar Genero" dataDxfId="14" dataCellStyle="Comma">
      <calculatedColumnFormula>IF(OR(LOWER(Tabla2[[#This Row],[GENERO]])="masculino", LOWER(Tabla2[[#This Row],[GENERO]])="femenino"),"OK","Corregir")</calculatedColumnFormula>
    </tableColumn>
    <tableColumn id="19" xr3:uid="{00000000-0010-0000-0000-000013000000}" name="ValidarDNI" dataDxfId="13" dataCellStyle="Comma">
      <calculatedColumnFormula>+IF(Tabla2[[#This Row],[Nro. DNI / CE]]="","Corregir",IF(LEN(Tabla2[[#This Row],[Nro. DNI / CE]])&gt;=8,"OK","Corregir"))</calculatedColumnFormula>
    </tableColumn>
    <tableColumn id="24" xr3:uid="{00000000-0010-0000-0000-000018000000}" name="Trabajador" dataDxfId="12" dataCellStyle="Comma">
      <calculatedColumnFormula>COUNTIF(Tabla2[APELLIDOS Y NOMBRES],Tabla2[[#This Row],[APELLIDOS Y NOMBRES]])</calculatedColumnFormula>
    </tableColumn>
    <tableColumn id="30" xr3:uid="{00000000-0010-0000-0000-00001E000000}" name="Trabajadores Unicos" dataDxfId="11" dataCellStyle="Comma">
      <calculatedColumnFormula>IF(Tabla2[[#This Row],[Trabajador]]&gt;1,1/Tabla2[[#This Row],[Trabajador]],Tabla2[[#This Row],[Trabajador]])</calculatedColumnFormula>
    </tableColumn>
    <tableColumn id="31" xr3:uid="{B18D5B2F-92A8-4503-846C-36C789CE1E3F}" name="Trabajdores Unicos Zona Influencia" dataDxfId="10" dataCellStyle="Comma">
      <calculatedColumnFormula array="1">IF(AND(Tabla2[[#This Row],[Trabajador]]&gt;1,Tabla2[[#This Row],[Zona de Influencia]]&lt;&gt;"No"),1/SUMPRODUCT((Tabla2[APELLIDOS Y NOMBRES]=Tabla2[[#This Row],[APELLIDOS Y NOMBRES]])*(Tabla2[Zona de Influencia]&lt;&gt;"No")),SUMPRODUCT((Tabla2[APELLIDOS Y NOMBRES]=Tabla2[[#This Row],[APELLIDOS Y NOMBRES]])*(Tabla2[Zona de Influencia]&lt;&gt;"No")))</calculatedColumnFormula>
    </tableColumn>
    <tableColumn id="32" xr3:uid="{8C9E0173-EDCE-41D6-B1A9-012618DAF65B}" name="Altas Zona de Influencia" dataDxfId="9" dataCellStyle="Comma">
      <calculatedColumnFormula>IF(AND(Tabla2[[#This Row],[Trabajador]]&gt;1,Tabla2[[#This Row],[Zona de Influencia]]&lt;&gt;"No",Tabla2[[#This Row],[Altas]]&lt;&gt;"No Aplica",Tabla2[[#This Row],[Altas]]&lt;&gt;"borrar"),1,IF(AND(Tabla2[[#This Row],[Altas]]&lt;&gt;"No Aplica",Tabla2[[#This Row],[Altas]]&lt;&gt;"borrar"),1,0))</calculatedColumnFormula>
    </tableColumn>
    <tableColumn id="33" xr3:uid="{7B11152F-9CCF-4E03-BC49-D7513241994C}" name="Bajas Zona Influencia" dataDxfId="8" dataCellStyle="Comma">
      <calculatedColumnFormula>IF(AND(Tabla2[[#This Row],[Trabajador]]&gt;1,Tabla2[[#This Row],[Zona de Influencia]]&lt;&gt;"No",Tabla2[[#This Row],[Bajas2]]&lt;&gt;"No Aplica",Tabla2[[#This Row],[Bajas2]]&lt;&gt;"borrar"),1,IF(AND(Tabla2[[#This Row],[Bajas2]]&lt;&gt;"No Aplica",Tabla2[[#This Row],[Bajas2]]&lt;&gt;"borrar"),1,0))</calculatedColumnFormula>
    </tableColumn>
    <tableColumn id="34" xr3:uid="{20353F11-5E35-48B6-8E65-A91104532938}" name="BajasAntiguas" dataDxfId="7" dataCellStyle="Comma"/>
    <tableColumn id="28" xr3:uid="{00000000-0010-0000-0000-00001C000000}" name="Bajas2" dataDxfId="6"/>
    <tableColumn id="29" xr3:uid="{00000000-0010-0000-0000-00001D000000}" name="Altas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0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O1519"/>
  <sheetViews>
    <sheetView showGridLines="0" topLeftCell="A31" workbookViewId="0">
      <selection activeCell="F29" sqref="F29"/>
    </sheetView>
  </sheetViews>
  <sheetFormatPr defaultColWidth="11.42578125" defaultRowHeight="15" x14ac:dyDescent="0.25"/>
  <cols>
    <col min="1" max="1" width="5.28515625" customWidth="1"/>
    <col min="2" max="2" width="4.85546875" customWidth="1"/>
    <col min="3" max="3" width="20.42578125" customWidth="1"/>
    <col min="4" max="6" width="13.7109375" customWidth="1"/>
    <col min="7" max="7" width="12.5703125" customWidth="1"/>
    <col min="8" max="8" width="4.85546875" customWidth="1"/>
    <col min="9" max="9" width="12.5703125" customWidth="1"/>
    <col min="10" max="10" width="14.7109375" bestFit="1" customWidth="1"/>
    <col min="11" max="11" width="52.85546875" bestFit="1" customWidth="1"/>
    <col min="12" max="12" width="11.85546875" bestFit="1" customWidth="1"/>
    <col min="13" max="13" width="19.7109375" bestFit="1" customWidth="1"/>
    <col min="14" max="14" width="11.42578125" customWidth="1"/>
    <col min="16" max="16" width="13" customWidth="1"/>
    <col min="21" max="21" width="13.85546875" customWidth="1"/>
    <col min="22" max="22" width="47.140625" bestFit="1" customWidth="1"/>
    <col min="23" max="23" width="13" bestFit="1" customWidth="1"/>
    <col min="24" max="24" width="19" customWidth="1"/>
    <col min="25" max="25" width="9.85546875" bestFit="1" customWidth="1"/>
    <col min="26" max="26" width="17.85546875" bestFit="1" customWidth="1"/>
    <col min="27" max="27" width="21.28515625" bestFit="1" customWidth="1"/>
    <col min="28" max="28" width="20.28515625" bestFit="1" customWidth="1"/>
    <col min="29" max="29" width="13.140625" bestFit="1" customWidth="1"/>
    <col min="30" max="30" width="6.5703125" bestFit="1" customWidth="1"/>
    <col min="33" max="33" width="43.7109375" bestFit="1" customWidth="1"/>
    <col min="34" max="34" width="13" bestFit="1" customWidth="1"/>
    <col min="35" max="35" width="14" customWidth="1"/>
    <col min="36" max="36" width="11.28515625" customWidth="1"/>
    <col min="38" max="38" width="16.28515625" customWidth="1"/>
  </cols>
  <sheetData>
    <row r="1" spans="2:41" ht="15.75" thickBot="1" x14ac:dyDescent="0.3"/>
    <row r="2" spans="2:41" x14ac:dyDescent="0.25">
      <c r="B2" s="44"/>
      <c r="C2" s="159" t="s">
        <v>358</v>
      </c>
      <c r="D2" s="159"/>
      <c r="E2" s="159"/>
      <c r="F2" s="159"/>
      <c r="G2" s="159"/>
      <c r="H2" s="45"/>
      <c r="J2" s="160" t="s">
        <v>362</v>
      </c>
      <c r="K2" s="160"/>
      <c r="L2" s="160"/>
      <c r="M2" s="160"/>
      <c r="N2" s="160"/>
      <c r="O2" s="160"/>
      <c r="P2" s="160"/>
      <c r="Q2" s="160"/>
      <c r="R2" s="160"/>
      <c r="S2" s="160"/>
      <c r="U2" s="160" t="s">
        <v>363</v>
      </c>
      <c r="V2" s="160"/>
      <c r="W2" s="160"/>
      <c r="X2" s="160"/>
      <c r="Y2" s="160"/>
      <c r="Z2" s="160"/>
      <c r="AA2" s="160"/>
      <c r="AB2" s="160"/>
      <c r="AC2" s="160"/>
      <c r="AD2" s="160"/>
      <c r="AF2" s="160" t="s">
        <v>364</v>
      </c>
      <c r="AG2" s="160"/>
      <c r="AH2" s="160"/>
      <c r="AI2" s="160"/>
      <c r="AJ2" s="160"/>
      <c r="AK2" s="160"/>
      <c r="AL2" s="160"/>
      <c r="AM2" s="160"/>
      <c r="AN2" s="160"/>
      <c r="AO2" s="160"/>
    </row>
    <row r="3" spans="2:41" ht="15.75" thickBot="1" x14ac:dyDescent="0.3">
      <c r="B3" s="46"/>
      <c r="H3" s="47"/>
    </row>
    <row r="4" spans="2:41" ht="15.75" thickBot="1" x14ac:dyDescent="0.3">
      <c r="B4" s="46"/>
      <c r="C4" s="52" t="s">
        <v>385</v>
      </c>
      <c r="D4" s="53" t="s">
        <v>355</v>
      </c>
      <c r="H4" s="47"/>
      <c r="J4" s="118" t="s">
        <v>385</v>
      </c>
      <c r="K4" s="119" t="s">
        <v>355</v>
      </c>
      <c r="U4" s="118" t="s">
        <v>384</v>
      </c>
      <c r="V4" s="119" t="s">
        <v>503</v>
      </c>
      <c r="AF4" s="118" t="s">
        <v>310</v>
      </c>
      <c r="AG4" s="119" t="s">
        <v>3327</v>
      </c>
    </row>
    <row r="5" spans="2:41" ht="27.75" customHeight="1" thickBot="1" x14ac:dyDescent="0.3">
      <c r="B5" s="46"/>
      <c r="H5" s="47"/>
    </row>
    <row r="6" spans="2:41" ht="15.75" thickBot="1" x14ac:dyDescent="0.3">
      <c r="B6" s="46"/>
      <c r="C6" s="54" t="s">
        <v>378</v>
      </c>
      <c r="D6" s="54" t="s">
        <v>208</v>
      </c>
      <c r="E6" s="55"/>
      <c r="F6" s="53"/>
      <c r="H6" s="47"/>
      <c r="J6" s="112" t="s">
        <v>378</v>
      </c>
      <c r="K6" s="113"/>
      <c r="L6" s="113"/>
      <c r="M6" s="113"/>
      <c r="N6" s="113"/>
      <c r="O6" s="113"/>
      <c r="P6" s="113"/>
      <c r="Q6" s="113"/>
      <c r="R6" s="113"/>
      <c r="S6" s="114"/>
      <c r="U6" s="112" t="s">
        <v>382</v>
      </c>
      <c r="V6" s="113"/>
      <c r="W6" s="113"/>
      <c r="X6" s="113"/>
      <c r="Y6" s="113"/>
      <c r="Z6" s="113"/>
      <c r="AA6" s="113"/>
      <c r="AB6" s="113"/>
      <c r="AC6" s="113"/>
      <c r="AD6" s="114"/>
      <c r="AF6" s="112" t="s">
        <v>381</v>
      </c>
      <c r="AG6" s="113"/>
      <c r="AH6" s="113"/>
      <c r="AI6" s="113"/>
      <c r="AJ6" s="113"/>
      <c r="AK6" s="113"/>
      <c r="AL6" s="113"/>
      <c r="AM6" s="113"/>
      <c r="AN6" s="113"/>
      <c r="AO6" s="114"/>
    </row>
    <row r="7" spans="2:41" ht="30" customHeight="1" thickBot="1" x14ac:dyDescent="0.3">
      <c r="B7" s="46"/>
      <c r="C7" s="56" t="s">
        <v>139</v>
      </c>
      <c r="D7" s="55" t="s">
        <v>201</v>
      </c>
      <c r="E7" s="53" t="s">
        <v>200</v>
      </c>
      <c r="F7" s="61" t="s">
        <v>23</v>
      </c>
      <c r="H7" s="47"/>
      <c r="J7" s="36" t="s">
        <v>3</v>
      </c>
      <c r="K7" s="36" t="s">
        <v>4</v>
      </c>
      <c r="L7" s="36" t="s">
        <v>11</v>
      </c>
      <c r="M7" s="37" t="s">
        <v>360</v>
      </c>
      <c r="N7" s="37" t="s">
        <v>180</v>
      </c>
      <c r="O7" s="37" t="s">
        <v>181</v>
      </c>
      <c r="P7" s="37" t="s">
        <v>14</v>
      </c>
      <c r="Q7" s="37" t="s">
        <v>185</v>
      </c>
      <c r="R7" s="36" t="s">
        <v>141</v>
      </c>
      <c r="S7" s="120" t="s">
        <v>23</v>
      </c>
      <c r="U7" s="36" t="s">
        <v>3</v>
      </c>
      <c r="V7" s="36" t="s">
        <v>4</v>
      </c>
      <c r="W7" s="36" t="s">
        <v>11</v>
      </c>
      <c r="X7" s="37" t="s">
        <v>360</v>
      </c>
      <c r="Y7" s="37" t="s">
        <v>180</v>
      </c>
      <c r="Z7" s="37" t="s">
        <v>181</v>
      </c>
      <c r="AA7" s="37" t="s">
        <v>14</v>
      </c>
      <c r="AB7" s="37" t="s">
        <v>185</v>
      </c>
      <c r="AC7" s="36" t="s">
        <v>141</v>
      </c>
      <c r="AD7" s="120" t="s">
        <v>23</v>
      </c>
      <c r="AF7" s="36" t="s">
        <v>3</v>
      </c>
      <c r="AG7" s="36" t="s">
        <v>4</v>
      </c>
      <c r="AH7" s="36" t="s">
        <v>11</v>
      </c>
      <c r="AI7" s="37" t="s">
        <v>361</v>
      </c>
      <c r="AJ7" s="37" t="s">
        <v>180</v>
      </c>
      <c r="AK7" s="37" t="s">
        <v>181</v>
      </c>
      <c r="AL7" s="37" t="s">
        <v>14</v>
      </c>
      <c r="AM7" s="37" t="s">
        <v>185</v>
      </c>
      <c r="AN7" s="36" t="s">
        <v>141</v>
      </c>
      <c r="AO7" s="120" t="s">
        <v>23</v>
      </c>
    </row>
    <row r="8" spans="2:41" x14ac:dyDescent="0.25">
      <c r="B8" s="46"/>
      <c r="C8" s="57" t="s">
        <v>68</v>
      </c>
      <c r="D8" s="78">
        <v>14</v>
      </c>
      <c r="E8" s="79">
        <v>244</v>
      </c>
      <c r="F8" s="80">
        <v>258</v>
      </c>
      <c r="H8" s="47"/>
      <c r="J8" s="96">
        <v>10043409</v>
      </c>
      <c r="K8" s="115" t="s">
        <v>619</v>
      </c>
      <c r="L8" t="s">
        <v>200</v>
      </c>
      <c r="M8" s="116">
        <v>45292</v>
      </c>
      <c r="N8" s="115">
        <v>56</v>
      </c>
      <c r="O8" s="115" t="s">
        <v>152</v>
      </c>
      <c r="P8" s="115" t="s">
        <v>235</v>
      </c>
      <c r="Q8" s="115" t="s">
        <v>313</v>
      </c>
      <c r="R8" s="115" t="s">
        <v>68</v>
      </c>
      <c r="S8" s="109">
        <v>1</v>
      </c>
      <c r="U8" s="125">
        <v>46789172</v>
      </c>
      <c r="V8" s="115" t="s">
        <v>2409</v>
      </c>
      <c r="W8" t="s">
        <v>200</v>
      </c>
      <c r="X8" s="116">
        <v>45491</v>
      </c>
      <c r="Y8" s="115">
        <v>33</v>
      </c>
      <c r="Z8" s="115" t="s">
        <v>150</v>
      </c>
      <c r="AA8" s="116">
        <v>45596</v>
      </c>
      <c r="AB8" s="115" t="s">
        <v>313</v>
      </c>
      <c r="AC8" s="115" t="s">
        <v>68</v>
      </c>
      <c r="AD8" s="65">
        <v>0</v>
      </c>
      <c r="AF8" s="111">
        <v>44971534</v>
      </c>
      <c r="AG8" s="115" t="s">
        <v>3070</v>
      </c>
      <c r="AH8" t="s">
        <v>200</v>
      </c>
      <c r="AI8" s="116">
        <v>45558</v>
      </c>
      <c r="AJ8" s="115">
        <v>36</v>
      </c>
      <c r="AK8" s="115" t="s">
        <v>150</v>
      </c>
      <c r="AL8" s="115" t="s">
        <v>235</v>
      </c>
      <c r="AM8" s="115" t="s">
        <v>313</v>
      </c>
      <c r="AN8" s="115" t="s">
        <v>68</v>
      </c>
      <c r="AO8" s="108">
        <v>1</v>
      </c>
    </row>
    <row r="9" spans="2:41" ht="15.75" thickBot="1" x14ac:dyDescent="0.3">
      <c r="B9" s="46"/>
      <c r="C9" s="58" t="s">
        <v>72</v>
      </c>
      <c r="D9" s="81">
        <v>2</v>
      </c>
      <c r="E9" s="156">
        <v>52</v>
      </c>
      <c r="F9" s="82">
        <v>54</v>
      </c>
      <c r="H9" s="47"/>
      <c r="J9" s="34">
        <v>10043520</v>
      </c>
      <c r="K9" s="1" t="s">
        <v>1369</v>
      </c>
      <c r="L9" s="121" t="s">
        <v>200</v>
      </c>
      <c r="M9" s="35">
        <v>43740</v>
      </c>
      <c r="N9" s="115">
        <v>53</v>
      </c>
      <c r="O9" s="115" t="s">
        <v>152</v>
      </c>
      <c r="P9" s="115" t="s">
        <v>1257</v>
      </c>
      <c r="Q9" s="115" t="s">
        <v>313</v>
      </c>
      <c r="R9" s="115" t="s">
        <v>35</v>
      </c>
      <c r="S9" s="94">
        <v>1</v>
      </c>
      <c r="U9" s="125">
        <v>40316216</v>
      </c>
      <c r="V9" s="115" t="s">
        <v>2407</v>
      </c>
      <c r="W9" s="121" t="s">
        <v>200</v>
      </c>
      <c r="X9" s="116">
        <v>45491</v>
      </c>
      <c r="Y9" s="115">
        <v>45</v>
      </c>
      <c r="Z9" s="115" t="s">
        <v>151</v>
      </c>
      <c r="AA9" s="116">
        <v>45596</v>
      </c>
      <c r="AB9" s="115" t="s">
        <v>313</v>
      </c>
      <c r="AC9" s="115" t="s">
        <v>35</v>
      </c>
      <c r="AD9" s="144">
        <v>0</v>
      </c>
      <c r="AF9" s="125">
        <v>46065190</v>
      </c>
      <c r="AG9" s="115" t="s">
        <v>3217</v>
      </c>
      <c r="AH9" s="121" t="s">
        <v>200</v>
      </c>
      <c r="AI9" s="116">
        <v>45540</v>
      </c>
      <c r="AJ9" s="115">
        <v>36</v>
      </c>
      <c r="AK9" s="115" t="s">
        <v>150</v>
      </c>
      <c r="AL9" s="115" t="s">
        <v>235</v>
      </c>
      <c r="AM9" s="115" t="s">
        <v>313</v>
      </c>
      <c r="AN9" s="115" t="s">
        <v>34</v>
      </c>
      <c r="AO9" s="131">
        <v>1</v>
      </c>
    </row>
    <row r="10" spans="2:41" ht="15.75" thickTop="1" x14ac:dyDescent="0.25">
      <c r="B10" s="46"/>
      <c r="C10" s="58" t="s">
        <v>34</v>
      </c>
      <c r="D10" s="81">
        <v>33</v>
      </c>
      <c r="E10" s="156">
        <v>529</v>
      </c>
      <c r="F10" s="82">
        <v>562</v>
      </c>
      <c r="H10" s="47"/>
      <c r="J10" s="34">
        <v>10254626</v>
      </c>
      <c r="K10" s="1" t="s">
        <v>980</v>
      </c>
      <c r="L10" s="121" t="s">
        <v>200</v>
      </c>
      <c r="M10" s="35">
        <v>44754</v>
      </c>
      <c r="N10" s="115">
        <v>48</v>
      </c>
      <c r="O10" s="115" t="s">
        <v>151</v>
      </c>
      <c r="P10" s="115" t="s">
        <v>162</v>
      </c>
      <c r="Q10" s="115" t="s">
        <v>313</v>
      </c>
      <c r="R10" s="115" t="s">
        <v>68</v>
      </c>
      <c r="S10" s="94">
        <v>1</v>
      </c>
      <c r="U10" s="66" t="s">
        <v>23</v>
      </c>
      <c r="V10" s="67"/>
      <c r="W10" s="67"/>
      <c r="X10" s="67"/>
      <c r="Y10" s="67"/>
      <c r="Z10" s="67"/>
      <c r="AA10" s="67"/>
      <c r="AB10" s="67"/>
      <c r="AC10" s="68"/>
      <c r="AD10" s="69">
        <v>0</v>
      </c>
      <c r="AF10" s="34" t="s">
        <v>126</v>
      </c>
      <c r="AG10" s="1" t="s">
        <v>127</v>
      </c>
      <c r="AH10" s="121" t="s">
        <v>200</v>
      </c>
      <c r="AI10" s="116">
        <v>45540</v>
      </c>
      <c r="AJ10" s="115">
        <v>46</v>
      </c>
      <c r="AK10" s="115" t="s">
        <v>151</v>
      </c>
      <c r="AL10" s="115" t="s">
        <v>162</v>
      </c>
      <c r="AM10" s="115" t="s">
        <v>313</v>
      </c>
      <c r="AN10" s="115" t="s">
        <v>34</v>
      </c>
      <c r="AO10" s="131">
        <v>1</v>
      </c>
    </row>
    <row r="11" spans="2:41" x14ac:dyDescent="0.25">
      <c r="B11" s="46"/>
      <c r="C11" s="58" t="s">
        <v>35</v>
      </c>
      <c r="D11" s="81">
        <v>3</v>
      </c>
      <c r="E11" s="156">
        <v>62</v>
      </c>
      <c r="F11" s="82">
        <v>65</v>
      </c>
      <c r="H11" s="47"/>
      <c r="J11" s="96">
        <v>10259084</v>
      </c>
      <c r="K11" s="38" t="s">
        <v>1390</v>
      </c>
      <c r="L11" s="121" t="s">
        <v>200</v>
      </c>
      <c r="M11" s="116">
        <v>44418</v>
      </c>
      <c r="N11" s="115">
        <v>51</v>
      </c>
      <c r="O11" s="115" t="s">
        <v>152</v>
      </c>
      <c r="P11" s="115" t="s">
        <v>1257</v>
      </c>
      <c r="Q11" s="115" t="s">
        <v>313</v>
      </c>
      <c r="R11" s="115" t="s">
        <v>68</v>
      </c>
      <c r="S11" s="122">
        <v>1</v>
      </c>
      <c r="AF11" s="34">
        <v>44117401</v>
      </c>
      <c r="AG11" s="115" t="s">
        <v>3266</v>
      </c>
      <c r="AH11" s="121" t="s">
        <v>200</v>
      </c>
      <c r="AI11" s="116">
        <v>45553</v>
      </c>
      <c r="AJ11" s="115">
        <v>39</v>
      </c>
      <c r="AK11" s="115" t="s">
        <v>150</v>
      </c>
      <c r="AL11" s="115" t="s">
        <v>235</v>
      </c>
      <c r="AM11" s="115" t="s">
        <v>313</v>
      </c>
      <c r="AN11" s="115" t="s">
        <v>34</v>
      </c>
      <c r="AO11" s="131">
        <v>1</v>
      </c>
    </row>
    <row r="12" spans="2:41" x14ac:dyDescent="0.25">
      <c r="B12" s="46"/>
      <c r="C12" s="58" t="s">
        <v>69</v>
      </c>
      <c r="D12" s="81">
        <v>1</v>
      </c>
      <c r="E12" s="156">
        <v>48</v>
      </c>
      <c r="F12" s="82">
        <v>49</v>
      </c>
      <c r="H12" s="47"/>
      <c r="J12" s="34">
        <v>10349216</v>
      </c>
      <c r="K12" s="1" t="s">
        <v>1377</v>
      </c>
      <c r="L12" s="121" t="s">
        <v>200</v>
      </c>
      <c r="M12" s="35">
        <v>44211</v>
      </c>
      <c r="N12" s="115">
        <v>48</v>
      </c>
      <c r="O12" s="115" t="s">
        <v>151</v>
      </c>
      <c r="P12" s="115" t="s">
        <v>1257</v>
      </c>
      <c r="Q12" s="115" t="s">
        <v>313</v>
      </c>
      <c r="R12" s="115" t="s">
        <v>36</v>
      </c>
      <c r="S12" s="94">
        <v>1</v>
      </c>
      <c r="AF12" s="125" t="s">
        <v>316</v>
      </c>
      <c r="AG12" s="115" t="s">
        <v>3071</v>
      </c>
      <c r="AH12" s="121" t="s">
        <v>201</v>
      </c>
      <c r="AI12" s="116">
        <v>45551</v>
      </c>
      <c r="AJ12" s="115">
        <v>40</v>
      </c>
      <c r="AK12" s="115" t="s">
        <v>150</v>
      </c>
      <c r="AL12" s="115" t="s">
        <v>235</v>
      </c>
      <c r="AM12" s="115" t="s">
        <v>313</v>
      </c>
      <c r="AN12" s="115" t="s">
        <v>36</v>
      </c>
      <c r="AO12" s="131">
        <v>1</v>
      </c>
    </row>
    <row r="13" spans="2:41" x14ac:dyDescent="0.25">
      <c r="B13" s="46"/>
      <c r="C13" s="58" t="s">
        <v>105</v>
      </c>
      <c r="D13" s="81"/>
      <c r="E13" s="156">
        <v>28</v>
      </c>
      <c r="F13" s="82">
        <v>28</v>
      </c>
      <c r="H13" s="47"/>
      <c r="J13" s="124">
        <v>10502142</v>
      </c>
      <c r="K13" s="38" t="s">
        <v>1392</v>
      </c>
      <c r="L13" s="121" t="s">
        <v>200</v>
      </c>
      <c r="M13" s="116">
        <v>43280</v>
      </c>
      <c r="N13" s="115">
        <v>53</v>
      </c>
      <c r="O13" s="115" t="s">
        <v>152</v>
      </c>
      <c r="P13" s="115" t="s">
        <v>1257</v>
      </c>
      <c r="Q13" s="115" t="s">
        <v>313</v>
      </c>
      <c r="R13" s="115" t="s">
        <v>68</v>
      </c>
      <c r="S13" s="122">
        <v>1</v>
      </c>
      <c r="AF13" s="125" t="s">
        <v>346</v>
      </c>
      <c r="AG13" s="115" t="s">
        <v>3290</v>
      </c>
      <c r="AH13" s="121" t="s">
        <v>200</v>
      </c>
      <c r="AI13" s="116">
        <v>45539</v>
      </c>
      <c r="AJ13" s="115">
        <v>30</v>
      </c>
      <c r="AK13" s="115" t="s">
        <v>149</v>
      </c>
      <c r="AL13" s="115" t="s">
        <v>235</v>
      </c>
      <c r="AM13" s="115" t="s">
        <v>313</v>
      </c>
      <c r="AN13" s="115" t="s">
        <v>35</v>
      </c>
      <c r="AO13" s="131">
        <v>1</v>
      </c>
    </row>
    <row r="14" spans="2:41" ht="15.75" thickBot="1" x14ac:dyDescent="0.3">
      <c r="B14" s="46"/>
      <c r="C14" s="59" t="s">
        <v>36</v>
      </c>
      <c r="D14" s="81">
        <v>9</v>
      </c>
      <c r="E14" s="156">
        <v>95</v>
      </c>
      <c r="F14" s="82">
        <v>104</v>
      </c>
      <c r="H14" s="51"/>
      <c r="J14" s="34">
        <v>10607332</v>
      </c>
      <c r="K14" s="1" t="s">
        <v>987</v>
      </c>
      <c r="L14" s="121" t="s">
        <v>200</v>
      </c>
      <c r="M14" s="35">
        <v>43455</v>
      </c>
      <c r="N14" s="115">
        <v>46</v>
      </c>
      <c r="O14" s="115" t="s">
        <v>151</v>
      </c>
      <c r="P14" s="115" t="s">
        <v>162</v>
      </c>
      <c r="Q14" s="115" t="s">
        <v>313</v>
      </c>
      <c r="R14" s="115" t="s">
        <v>68</v>
      </c>
      <c r="S14" s="94">
        <v>1</v>
      </c>
      <c r="AF14" s="125">
        <v>25573721</v>
      </c>
      <c r="AG14" s="115" t="s">
        <v>1944</v>
      </c>
      <c r="AH14" s="121" t="s">
        <v>200</v>
      </c>
      <c r="AI14" s="116">
        <v>45562</v>
      </c>
      <c r="AJ14" s="115">
        <v>54</v>
      </c>
      <c r="AK14" s="115" t="s">
        <v>152</v>
      </c>
      <c r="AL14" s="115" t="s">
        <v>235</v>
      </c>
      <c r="AM14" s="115" t="s">
        <v>313</v>
      </c>
      <c r="AN14" s="115" t="s">
        <v>34</v>
      </c>
      <c r="AO14" s="131">
        <v>1</v>
      </c>
    </row>
    <row r="15" spans="2:41" ht="15.75" thickBot="1" x14ac:dyDescent="0.3">
      <c r="B15" s="46"/>
      <c r="C15" s="60" t="s">
        <v>23</v>
      </c>
      <c r="D15" s="83">
        <v>62</v>
      </c>
      <c r="E15" s="84">
        <v>1058</v>
      </c>
      <c r="F15" s="85">
        <v>1120</v>
      </c>
      <c r="H15" s="47"/>
      <c r="J15" s="34">
        <v>10613463</v>
      </c>
      <c r="K15" s="1" t="s">
        <v>1365</v>
      </c>
      <c r="L15" s="121" t="s">
        <v>200</v>
      </c>
      <c r="M15" s="35">
        <v>43391</v>
      </c>
      <c r="N15" s="115">
        <v>60</v>
      </c>
      <c r="O15" s="115" t="s">
        <v>153</v>
      </c>
      <c r="P15" s="115" t="s">
        <v>1257</v>
      </c>
      <c r="Q15" s="115" t="s">
        <v>313</v>
      </c>
      <c r="R15" s="115" t="s">
        <v>68</v>
      </c>
      <c r="S15" s="94">
        <v>1</v>
      </c>
      <c r="AF15" s="125" t="s">
        <v>558</v>
      </c>
      <c r="AG15" s="115" t="s">
        <v>559</v>
      </c>
      <c r="AH15" s="121" t="s">
        <v>200</v>
      </c>
      <c r="AI15" s="116">
        <v>45560</v>
      </c>
      <c r="AJ15" s="115">
        <v>52</v>
      </c>
      <c r="AK15" s="115" t="s">
        <v>152</v>
      </c>
      <c r="AL15" s="115" t="s">
        <v>235</v>
      </c>
      <c r="AM15" s="115" t="s">
        <v>313</v>
      </c>
      <c r="AN15" s="115" t="s">
        <v>34</v>
      </c>
      <c r="AO15" s="131">
        <v>1</v>
      </c>
    </row>
    <row r="16" spans="2:41" x14ac:dyDescent="0.25">
      <c r="B16" s="46"/>
      <c r="H16" s="47"/>
      <c r="I16" s="32"/>
      <c r="J16" s="34">
        <v>10761069</v>
      </c>
      <c r="K16" s="1" t="s">
        <v>1352</v>
      </c>
      <c r="L16" s="1" t="s">
        <v>201</v>
      </c>
      <c r="M16" s="35">
        <v>44298</v>
      </c>
      <c r="N16" s="115">
        <v>47</v>
      </c>
      <c r="O16" s="115" t="s">
        <v>151</v>
      </c>
      <c r="P16" s="115" t="s">
        <v>1257</v>
      </c>
      <c r="Q16" s="115" t="s">
        <v>313</v>
      </c>
      <c r="R16" s="115" t="s">
        <v>35</v>
      </c>
      <c r="S16" s="94">
        <v>1</v>
      </c>
      <c r="AF16" s="126"/>
      <c r="AG16" s="117"/>
      <c r="AH16" s="110"/>
      <c r="AI16" s="116">
        <v>45538</v>
      </c>
      <c r="AJ16" s="115">
        <v>52</v>
      </c>
      <c r="AK16" s="115" t="s">
        <v>152</v>
      </c>
      <c r="AL16" s="116">
        <v>45538</v>
      </c>
      <c r="AM16" s="115" t="s">
        <v>313</v>
      </c>
      <c r="AN16" s="115" t="s">
        <v>34</v>
      </c>
      <c r="AO16" s="131">
        <v>1</v>
      </c>
    </row>
    <row r="17" spans="2:41" ht="15.75" thickBot="1" x14ac:dyDescent="0.3">
      <c r="B17" s="46"/>
      <c r="H17" s="47"/>
      <c r="J17" s="125">
        <v>15404067</v>
      </c>
      <c r="K17" s="115" t="s">
        <v>1350</v>
      </c>
      <c r="L17" s="121" t="s">
        <v>200</v>
      </c>
      <c r="M17" s="116">
        <v>45061</v>
      </c>
      <c r="N17" s="115">
        <v>63</v>
      </c>
      <c r="O17" s="115" t="s">
        <v>153</v>
      </c>
      <c r="P17" s="115" t="s">
        <v>1257</v>
      </c>
      <c r="Q17" s="115" t="s">
        <v>313</v>
      </c>
      <c r="R17" s="115" t="s">
        <v>36</v>
      </c>
      <c r="S17" s="122">
        <v>1</v>
      </c>
      <c r="AF17" s="125">
        <v>32608370</v>
      </c>
      <c r="AG17" s="115" t="s">
        <v>799</v>
      </c>
      <c r="AH17" s="121" t="s">
        <v>200</v>
      </c>
      <c r="AI17" s="116">
        <v>45541</v>
      </c>
      <c r="AJ17" s="115">
        <v>50</v>
      </c>
      <c r="AK17" s="115" t="s">
        <v>152</v>
      </c>
      <c r="AL17" s="115" t="s">
        <v>235</v>
      </c>
      <c r="AM17" s="115" t="s">
        <v>313</v>
      </c>
      <c r="AN17" s="115" t="s">
        <v>34</v>
      </c>
      <c r="AO17" s="131">
        <v>1</v>
      </c>
    </row>
    <row r="18" spans="2:41" ht="15.75" thickBot="1" x14ac:dyDescent="0.3">
      <c r="B18" s="46"/>
      <c r="C18" s="62" t="s">
        <v>139</v>
      </c>
      <c r="D18" s="53" t="s">
        <v>209</v>
      </c>
      <c r="H18" s="47"/>
      <c r="J18" s="34">
        <v>15405842</v>
      </c>
      <c r="K18" s="1" t="s">
        <v>1361</v>
      </c>
      <c r="L18" s="121" t="s">
        <v>200</v>
      </c>
      <c r="M18" s="35">
        <v>44151</v>
      </c>
      <c r="N18" s="115">
        <v>55</v>
      </c>
      <c r="O18" s="115" t="s">
        <v>152</v>
      </c>
      <c r="P18" s="115" t="s">
        <v>1257</v>
      </c>
      <c r="Q18" s="115" t="s">
        <v>313</v>
      </c>
      <c r="R18" s="115" t="s">
        <v>72</v>
      </c>
      <c r="S18" s="94">
        <v>1</v>
      </c>
      <c r="AF18" s="125">
        <v>40417712</v>
      </c>
      <c r="AG18" s="115" t="s">
        <v>844</v>
      </c>
      <c r="AH18" s="121" t="s">
        <v>200</v>
      </c>
      <c r="AI18" s="116">
        <v>45558</v>
      </c>
      <c r="AJ18" s="115">
        <v>44</v>
      </c>
      <c r="AK18" s="115" t="s">
        <v>151</v>
      </c>
      <c r="AL18" s="115" t="s">
        <v>235</v>
      </c>
      <c r="AM18" s="115" t="s">
        <v>313</v>
      </c>
      <c r="AN18" s="115" t="s">
        <v>34</v>
      </c>
      <c r="AO18" s="131">
        <v>1</v>
      </c>
    </row>
    <row r="19" spans="2:41" ht="15.75" thickBot="1" x14ac:dyDescent="0.3">
      <c r="B19" s="46"/>
      <c r="C19" s="52" t="s">
        <v>385</v>
      </c>
      <c r="D19" s="53" t="s">
        <v>355</v>
      </c>
      <c r="H19" s="47"/>
      <c r="J19" s="34">
        <v>15450854</v>
      </c>
      <c r="K19" s="1" t="s">
        <v>1385</v>
      </c>
      <c r="L19" s="121" t="s">
        <v>200</v>
      </c>
      <c r="M19" s="35">
        <v>43217</v>
      </c>
      <c r="N19" s="115">
        <v>50</v>
      </c>
      <c r="O19" s="115" t="s">
        <v>152</v>
      </c>
      <c r="P19" s="115" t="s">
        <v>1257</v>
      </c>
      <c r="Q19" s="115" t="s">
        <v>313</v>
      </c>
      <c r="R19" s="115" t="s">
        <v>36</v>
      </c>
      <c r="S19" s="94">
        <v>1</v>
      </c>
      <c r="AF19" s="125">
        <v>10463552</v>
      </c>
      <c r="AG19" s="115" t="s">
        <v>848</v>
      </c>
      <c r="AH19" s="121" t="s">
        <v>200</v>
      </c>
      <c r="AI19" s="116">
        <v>45541</v>
      </c>
      <c r="AJ19" s="115">
        <v>50</v>
      </c>
      <c r="AK19" s="115" t="s">
        <v>152</v>
      </c>
      <c r="AL19" s="115" t="s">
        <v>235</v>
      </c>
      <c r="AM19" s="115" t="s">
        <v>313</v>
      </c>
      <c r="AN19" s="115" t="s">
        <v>68</v>
      </c>
      <c r="AO19" s="131">
        <v>1</v>
      </c>
    </row>
    <row r="20" spans="2:41" ht="15.75" thickBot="1" x14ac:dyDescent="0.3">
      <c r="B20" s="46"/>
      <c r="H20" s="47"/>
      <c r="J20" s="34">
        <v>16705472</v>
      </c>
      <c r="K20" s="1" t="s">
        <v>1216</v>
      </c>
      <c r="L20" s="121" t="s">
        <v>200</v>
      </c>
      <c r="M20" s="116">
        <v>45191</v>
      </c>
      <c r="N20" s="115">
        <v>53</v>
      </c>
      <c r="O20" s="115" t="s">
        <v>152</v>
      </c>
      <c r="P20" s="115" t="s">
        <v>235</v>
      </c>
      <c r="Q20" s="115" t="s">
        <v>313</v>
      </c>
      <c r="R20" s="115" t="s">
        <v>34</v>
      </c>
      <c r="S20" s="122">
        <v>1</v>
      </c>
      <c r="AF20" s="125" t="s">
        <v>897</v>
      </c>
      <c r="AG20" s="115" t="s">
        <v>3207</v>
      </c>
      <c r="AH20" s="121" t="s">
        <v>200</v>
      </c>
      <c r="AI20" s="116">
        <v>45561</v>
      </c>
      <c r="AJ20" s="115">
        <v>28</v>
      </c>
      <c r="AK20" s="115" t="s">
        <v>149</v>
      </c>
      <c r="AL20" s="115" t="s">
        <v>235</v>
      </c>
      <c r="AM20" s="115" t="s">
        <v>313</v>
      </c>
      <c r="AN20" s="115" t="s">
        <v>34</v>
      </c>
      <c r="AO20" s="131">
        <v>1</v>
      </c>
    </row>
    <row r="21" spans="2:41" ht="15.75" thickBot="1" x14ac:dyDescent="0.3">
      <c r="B21" s="46"/>
      <c r="C21" s="54" t="s">
        <v>378</v>
      </c>
      <c r="D21" s="54" t="s">
        <v>208</v>
      </c>
      <c r="E21" s="55"/>
      <c r="F21" s="53"/>
      <c r="H21" s="47"/>
      <c r="J21" s="34">
        <v>17627465</v>
      </c>
      <c r="K21" s="1" t="s">
        <v>993</v>
      </c>
      <c r="L21" s="121" t="s">
        <v>200</v>
      </c>
      <c r="M21" s="35">
        <v>43451</v>
      </c>
      <c r="N21" s="115">
        <v>49</v>
      </c>
      <c r="O21" s="115" t="s">
        <v>151</v>
      </c>
      <c r="P21" s="115" t="s">
        <v>162</v>
      </c>
      <c r="Q21" s="115" t="s">
        <v>313</v>
      </c>
      <c r="R21" s="115" t="s">
        <v>34</v>
      </c>
      <c r="S21" s="94">
        <v>1</v>
      </c>
      <c r="AF21" s="125">
        <v>74994207</v>
      </c>
      <c r="AG21" s="115" t="s">
        <v>856</v>
      </c>
      <c r="AH21" s="121" t="s">
        <v>200</v>
      </c>
      <c r="AI21" s="116">
        <v>45545</v>
      </c>
      <c r="AJ21" s="115">
        <v>26</v>
      </c>
      <c r="AK21" s="115" t="s">
        <v>149</v>
      </c>
      <c r="AL21" s="115" t="s">
        <v>235</v>
      </c>
      <c r="AM21" s="115" t="s">
        <v>313</v>
      </c>
      <c r="AN21" s="115" t="s">
        <v>72</v>
      </c>
      <c r="AO21" s="131">
        <v>1</v>
      </c>
    </row>
    <row r="22" spans="2:41" ht="15.75" thickBot="1" x14ac:dyDescent="0.3">
      <c r="B22" s="46"/>
      <c r="C22" s="54" t="s">
        <v>154</v>
      </c>
      <c r="D22" s="55" t="s">
        <v>201</v>
      </c>
      <c r="E22" s="53" t="s">
        <v>200</v>
      </c>
      <c r="F22" s="63" t="s">
        <v>23</v>
      </c>
      <c r="H22" s="47"/>
      <c r="J22" s="96">
        <v>18201884</v>
      </c>
      <c r="K22" s="38" t="s">
        <v>1345</v>
      </c>
      <c r="L22" s="121" t="s">
        <v>200</v>
      </c>
      <c r="M22" s="116">
        <v>44281</v>
      </c>
      <c r="N22" s="115">
        <v>47</v>
      </c>
      <c r="O22" s="115" t="s">
        <v>151</v>
      </c>
      <c r="P22" s="115" t="s">
        <v>1257</v>
      </c>
      <c r="Q22" s="115" t="s">
        <v>313</v>
      </c>
      <c r="R22" s="115" t="s">
        <v>68</v>
      </c>
      <c r="S22" s="122">
        <v>1</v>
      </c>
      <c r="AF22" s="125" t="s">
        <v>1139</v>
      </c>
      <c r="AG22" s="115" t="s">
        <v>3229</v>
      </c>
      <c r="AH22" s="121" t="s">
        <v>200</v>
      </c>
      <c r="AI22" s="116">
        <v>45540</v>
      </c>
      <c r="AJ22" s="115">
        <v>31</v>
      </c>
      <c r="AK22" s="115" t="s">
        <v>149</v>
      </c>
      <c r="AL22" s="115" t="s">
        <v>235</v>
      </c>
      <c r="AM22" s="115" t="s">
        <v>313</v>
      </c>
      <c r="AN22" s="115" t="s">
        <v>72</v>
      </c>
      <c r="AO22" s="131">
        <v>1</v>
      </c>
    </row>
    <row r="23" spans="2:41" x14ac:dyDescent="0.25">
      <c r="B23" s="46"/>
      <c r="C23" s="57" t="s">
        <v>148</v>
      </c>
      <c r="D23" s="78">
        <v>7</v>
      </c>
      <c r="E23" s="79">
        <v>93</v>
      </c>
      <c r="F23" s="80">
        <v>100</v>
      </c>
      <c r="H23" s="47"/>
      <c r="J23" s="34">
        <v>25072204</v>
      </c>
      <c r="K23" s="1" t="s">
        <v>1389</v>
      </c>
      <c r="L23" s="1" t="s">
        <v>200</v>
      </c>
      <c r="M23" s="35">
        <v>44351</v>
      </c>
      <c r="N23" s="115">
        <v>52</v>
      </c>
      <c r="O23" s="115" t="s">
        <v>152</v>
      </c>
      <c r="P23" s="115" t="s">
        <v>1257</v>
      </c>
      <c r="Q23" s="115" t="s">
        <v>313</v>
      </c>
      <c r="R23" s="115" t="s">
        <v>72</v>
      </c>
      <c r="S23" s="94">
        <v>1</v>
      </c>
      <c r="AF23" s="125">
        <v>72956341</v>
      </c>
      <c r="AG23" s="115" t="s">
        <v>3213</v>
      </c>
      <c r="AH23" s="121" t="s">
        <v>200</v>
      </c>
      <c r="AI23" s="116">
        <v>45540</v>
      </c>
      <c r="AJ23" s="115">
        <v>28</v>
      </c>
      <c r="AK23" s="115" t="s">
        <v>149</v>
      </c>
      <c r="AL23" s="115" t="s">
        <v>235</v>
      </c>
      <c r="AM23" s="115" t="s">
        <v>312</v>
      </c>
      <c r="AN23" s="115" t="s">
        <v>68</v>
      </c>
      <c r="AO23" s="131">
        <v>1</v>
      </c>
    </row>
    <row r="24" spans="2:41" x14ac:dyDescent="0.25">
      <c r="B24" s="46"/>
      <c r="C24" s="58" t="s">
        <v>149</v>
      </c>
      <c r="D24" s="81">
        <v>14</v>
      </c>
      <c r="E24" s="156">
        <v>253</v>
      </c>
      <c r="F24" s="82">
        <v>267</v>
      </c>
      <c r="H24" s="47"/>
      <c r="J24" s="34">
        <v>25445289</v>
      </c>
      <c r="K24" s="1" t="s">
        <v>1218</v>
      </c>
      <c r="L24" s="121" t="s">
        <v>200</v>
      </c>
      <c r="M24" s="35">
        <v>44900</v>
      </c>
      <c r="N24" s="115">
        <v>58</v>
      </c>
      <c r="O24" s="115" t="s">
        <v>152</v>
      </c>
      <c r="P24" s="115" t="s">
        <v>235</v>
      </c>
      <c r="Q24" s="115" t="s">
        <v>313</v>
      </c>
      <c r="R24" s="115" t="s">
        <v>34</v>
      </c>
      <c r="S24" s="94">
        <v>0.5</v>
      </c>
      <c r="AF24" s="125">
        <v>79549830</v>
      </c>
      <c r="AG24" s="115" t="s">
        <v>2189</v>
      </c>
      <c r="AH24" s="121" t="s">
        <v>200</v>
      </c>
      <c r="AI24" s="116">
        <v>45545</v>
      </c>
      <c r="AJ24" s="115">
        <v>23</v>
      </c>
      <c r="AK24" s="115" t="s">
        <v>148</v>
      </c>
      <c r="AL24" s="115" t="s">
        <v>235</v>
      </c>
      <c r="AM24" s="115" t="s">
        <v>313</v>
      </c>
      <c r="AN24" s="115" t="s">
        <v>34</v>
      </c>
      <c r="AO24" s="131">
        <v>1</v>
      </c>
    </row>
    <row r="25" spans="2:41" x14ac:dyDescent="0.25">
      <c r="B25" s="46"/>
      <c r="C25" s="58" t="s">
        <v>150</v>
      </c>
      <c r="D25" s="81">
        <v>17</v>
      </c>
      <c r="E25" s="156">
        <v>308</v>
      </c>
      <c r="F25" s="82">
        <v>325</v>
      </c>
      <c r="H25" s="47"/>
      <c r="J25" s="34"/>
      <c r="K25" s="1"/>
      <c r="L25" s="110"/>
      <c r="M25" s="116">
        <v>45455</v>
      </c>
      <c r="N25" s="115">
        <v>58</v>
      </c>
      <c r="O25" s="115" t="s">
        <v>152</v>
      </c>
      <c r="P25" s="115" t="s">
        <v>235</v>
      </c>
      <c r="Q25" s="115" t="s">
        <v>312</v>
      </c>
      <c r="R25" s="115" t="s">
        <v>34</v>
      </c>
      <c r="S25" s="122">
        <v>0.5</v>
      </c>
      <c r="AF25" s="125">
        <v>75074932</v>
      </c>
      <c r="AG25" s="115" t="s">
        <v>3211</v>
      </c>
      <c r="AH25" s="121" t="s">
        <v>200</v>
      </c>
      <c r="AI25" s="116">
        <v>45536</v>
      </c>
      <c r="AJ25" s="115">
        <v>25</v>
      </c>
      <c r="AK25" s="115" t="s">
        <v>149</v>
      </c>
      <c r="AL25" s="115" t="s">
        <v>235</v>
      </c>
      <c r="AM25" s="115" t="s">
        <v>313</v>
      </c>
      <c r="AN25" s="115" t="s">
        <v>34</v>
      </c>
      <c r="AO25" s="131">
        <v>1</v>
      </c>
    </row>
    <row r="26" spans="2:41" x14ac:dyDescent="0.25">
      <c r="B26" s="46"/>
      <c r="C26" s="58" t="s">
        <v>151</v>
      </c>
      <c r="D26" s="81">
        <v>17</v>
      </c>
      <c r="E26" s="156">
        <v>236</v>
      </c>
      <c r="F26" s="82">
        <v>253</v>
      </c>
      <c r="H26" s="47"/>
      <c r="J26" s="34">
        <v>25810369</v>
      </c>
      <c r="K26" s="1" t="s">
        <v>995</v>
      </c>
      <c r="L26" s="121" t="s">
        <v>200</v>
      </c>
      <c r="M26" s="35">
        <v>44125</v>
      </c>
      <c r="N26" s="115">
        <v>48</v>
      </c>
      <c r="O26" s="115" t="s">
        <v>151</v>
      </c>
      <c r="P26" s="115" t="s">
        <v>162</v>
      </c>
      <c r="Q26" s="115" t="s">
        <v>313</v>
      </c>
      <c r="R26" s="115" t="s">
        <v>34</v>
      </c>
      <c r="S26" s="94">
        <v>1</v>
      </c>
      <c r="AF26" s="125" t="s">
        <v>2215</v>
      </c>
      <c r="AG26" s="115" t="s">
        <v>2216</v>
      </c>
      <c r="AH26" s="121" t="s">
        <v>200</v>
      </c>
      <c r="AI26" s="116">
        <v>45537</v>
      </c>
      <c r="AJ26" s="115">
        <v>30</v>
      </c>
      <c r="AK26" s="115" t="s">
        <v>149</v>
      </c>
      <c r="AL26" s="115" t="s">
        <v>235</v>
      </c>
      <c r="AM26" s="115" t="s">
        <v>313</v>
      </c>
      <c r="AN26" s="115" t="s">
        <v>68</v>
      </c>
      <c r="AO26" s="131">
        <v>1</v>
      </c>
    </row>
    <row r="27" spans="2:41" x14ac:dyDescent="0.25">
      <c r="B27" s="46"/>
      <c r="C27" s="58" t="s">
        <v>152</v>
      </c>
      <c r="D27" s="81">
        <v>6</v>
      </c>
      <c r="E27" s="156">
        <v>130</v>
      </c>
      <c r="F27" s="82">
        <v>136</v>
      </c>
      <c r="H27" s="47"/>
      <c r="J27" s="34">
        <v>25854992</v>
      </c>
      <c r="K27" s="1" t="s">
        <v>108</v>
      </c>
      <c r="L27" s="1" t="s">
        <v>201</v>
      </c>
      <c r="M27" s="35">
        <v>43998</v>
      </c>
      <c r="N27" s="115">
        <v>46</v>
      </c>
      <c r="O27" s="115" t="s">
        <v>151</v>
      </c>
      <c r="P27" s="115" t="s">
        <v>235</v>
      </c>
      <c r="Q27" s="115" t="s">
        <v>313</v>
      </c>
      <c r="R27" s="115" t="s">
        <v>34</v>
      </c>
      <c r="S27" s="94">
        <v>1</v>
      </c>
      <c r="AF27" s="125">
        <v>76903068</v>
      </c>
      <c r="AG27" s="115" t="s">
        <v>3009</v>
      </c>
      <c r="AH27" s="121" t="s">
        <v>200</v>
      </c>
      <c r="AI27" s="116">
        <v>45546</v>
      </c>
      <c r="AJ27" s="115">
        <v>25</v>
      </c>
      <c r="AK27" s="115" t="s">
        <v>149</v>
      </c>
      <c r="AL27" s="115" t="s">
        <v>235</v>
      </c>
      <c r="AM27" s="115" t="s">
        <v>312</v>
      </c>
      <c r="AN27" s="115" t="s">
        <v>34</v>
      </c>
      <c r="AO27" s="131">
        <v>1</v>
      </c>
    </row>
    <row r="28" spans="2:41" ht="15.75" thickBot="1" x14ac:dyDescent="0.3">
      <c r="B28" s="46"/>
      <c r="C28" s="59" t="s">
        <v>153</v>
      </c>
      <c r="D28" s="81">
        <v>1</v>
      </c>
      <c r="E28" s="156">
        <v>37</v>
      </c>
      <c r="F28" s="82">
        <v>38</v>
      </c>
      <c r="H28" s="47"/>
      <c r="J28" s="34">
        <v>27747130</v>
      </c>
      <c r="K28" s="1" t="s">
        <v>1113</v>
      </c>
      <c r="L28" s="121" t="s">
        <v>200</v>
      </c>
      <c r="M28" s="116">
        <v>45008</v>
      </c>
      <c r="N28" s="115">
        <v>51</v>
      </c>
      <c r="O28" s="115" t="s">
        <v>152</v>
      </c>
      <c r="P28" s="115" t="s">
        <v>235</v>
      </c>
      <c r="Q28" s="115" t="s">
        <v>313</v>
      </c>
      <c r="R28" s="115" t="s">
        <v>34</v>
      </c>
      <c r="S28" s="94">
        <v>1</v>
      </c>
      <c r="AF28" s="125">
        <v>72909572</v>
      </c>
      <c r="AG28" s="115" t="s">
        <v>3018</v>
      </c>
      <c r="AH28" s="121" t="s">
        <v>200</v>
      </c>
      <c r="AI28" s="116">
        <v>45540</v>
      </c>
      <c r="AJ28" s="115">
        <v>26</v>
      </c>
      <c r="AK28" s="115" t="s">
        <v>149</v>
      </c>
      <c r="AL28" s="115" t="s">
        <v>235</v>
      </c>
      <c r="AM28" s="115" t="s">
        <v>312</v>
      </c>
      <c r="AN28" s="115" t="s">
        <v>34</v>
      </c>
      <c r="AO28" s="131">
        <v>1</v>
      </c>
    </row>
    <row r="29" spans="2:41" ht="15.75" thickBot="1" x14ac:dyDescent="0.3">
      <c r="B29" s="46"/>
      <c r="C29" s="157" t="s">
        <v>3326</v>
      </c>
      <c r="D29" s="81"/>
      <c r="E29" s="156">
        <v>1</v>
      </c>
      <c r="F29" s="82">
        <v>1</v>
      </c>
      <c r="H29" s="47"/>
      <c r="J29" s="125">
        <v>40287897</v>
      </c>
      <c r="K29" s="115" t="s">
        <v>849</v>
      </c>
      <c r="L29" s="121" t="s">
        <v>200</v>
      </c>
      <c r="M29" s="116">
        <v>45406</v>
      </c>
      <c r="N29" s="115">
        <v>45</v>
      </c>
      <c r="O29" s="115" t="s">
        <v>151</v>
      </c>
      <c r="P29" s="115" t="s">
        <v>235</v>
      </c>
      <c r="Q29" s="115" t="s">
        <v>313</v>
      </c>
      <c r="R29" s="115" t="s">
        <v>69</v>
      </c>
      <c r="S29" s="122">
        <v>1</v>
      </c>
      <c r="AF29" s="125" t="s">
        <v>3019</v>
      </c>
      <c r="AG29" s="115" t="s">
        <v>3020</v>
      </c>
      <c r="AH29" s="121" t="s">
        <v>200</v>
      </c>
      <c r="AI29" s="116">
        <v>45552</v>
      </c>
      <c r="AJ29" s="115">
        <v>21</v>
      </c>
      <c r="AK29" s="115" t="s">
        <v>148</v>
      </c>
      <c r="AL29" s="115" t="s">
        <v>235</v>
      </c>
      <c r="AM29" s="115" t="s">
        <v>313</v>
      </c>
      <c r="AN29" s="115" t="s">
        <v>34</v>
      </c>
      <c r="AO29" s="131">
        <v>1</v>
      </c>
    </row>
    <row r="30" spans="2:41" ht="15.75" thickBot="1" x14ac:dyDescent="0.3">
      <c r="B30" s="48"/>
      <c r="C30" s="63" t="s">
        <v>23</v>
      </c>
      <c r="D30" s="83">
        <v>62</v>
      </c>
      <c r="E30" s="84">
        <v>1058</v>
      </c>
      <c r="F30" s="85">
        <v>1120</v>
      </c>
      <c r="G30" s="49"/>
      <c r="H30" s="50"/>
      <c r="J30" s="34">
        <v>40486958</v>
      </c>
      <c r="K30" s="1" t="s">
        <v>1396</v>
      </c>
      <c r="L30" s="1" t="s">
        <v>201</v>
      </c>
      <c r="M30" s="35">
        <v>43409</v>
      </c>
      <c r="N30" s="115">
        <v>44</v>
      </c>
      <c r="O30" s="115" t="s">
        <v>151</v>
      </c>
      <c r="P30" s="115" t="s">
        <v>1257</v>
      </c>
      <c r="Q30" s="115" t="s">
        <v>313</v>
      </c>
      <c r="R30" s="115" t="s">
        <v>68</v>
      </c>
      <c r="S30" s="94">
        <v>1</v>
      </c>
      <c r="AF30" s="125" t="s">
        <v>3022</v>
      </c>
      <c r="AG30" s="115" t="s">
        <v>3023</v>
      </c>
      <c r="AH30" s="121" t="s">
        <v>200</v>
      </c>
      <c r="AI30" s="116">
        <v>45559</v>
      </c>
      <c r="AJ30" s="115">
        <v>55</v>
      </c>
      <c r="AK30" s="115" t="s">
        <v>152</v>
      </c>
      <c r="AL30" s="115" t="s">
        <v>235</v>
      </c>
      <c r="AM30" s="115" t="s">
        <v>313</v>
      </c>
      <c r="AN30" s="115" t="s">
        <v>35</v>
      </c>
      <c r="AO30" s="131">
        <v>1</v>
      </c>
    </row>
    <row r="31" spans="2:41" x14ac:dyDescent="0.25">
      <c r="J31" s="34">
        <v>40559945</v>
      </c>
      <c r="K31" s="1" t="s">
        <v>1388</v>
      </c>
      <c r="L31" s="1" t="s">
        <v>200</v>
      </c>
      <c r="M31" s="35">
        <v>43865</v>
      </c>
      <c r="N31" s="115">
        <v>47</v>
      </c>
      <c r="O31" s="115" t="s">
        <v>151</v>
      </c>
      <c r="P31" s="115" t="s">
        <v>1257</v>
      </c>
      <c r="Q31" s="115" t="s">
        <v>313</v>
      </c>
      <c r="R31" s="115" t="s">
        <v>36</v>
      </c>
      <c r="S31" s="94">
        <v>1</v>
      </c>
      <c r="AF31" s="125" t="s">
        <v>3024</v>
      </c>
      <c r="AG31" s="115" t="s">
        <v>3025</v>
      </c>
      <c r="AH31" s="121" t="s">
        <v>200</v>
      </c>
      <c r="AI31" s="116">
        <v>45561</v>
      </c>
      <c r="AJ31" s="115">
        <v>58</v>
      </c>
      <c r="AK31" s="115" t="s">
        <v>152</v>
      </c>
      <c r="AL31" s="115" t="s">
        <v>235</v>
      </c>
      <c r="AM31" s="115" t="s">
        <v>313</v>
      </c>
      <c r="AN31" s="115" t="s">
        <v>34</v>
      </c>
      <c r="AO31" s="131">
        <v>1</v>
      </c>
    </row>
    <row r="32" spans="2:41" ht="15.75" thickBot="1" x14ac:dyDescent="0.3">
      <c r="J32" s="34">
        <v>40617609</v>
      </c>
      <c r="K32" s="1" t="s">
        <v>1391</v>
      </c>
      <c r="L32" s="121" t="s">
        <v>200</v>
      </c>
      <c r="M32" s="35">
        <v>43709</v>
      </c>
      <c r="N32" s="115">
        <v>46</v>
      </c>
      <c r="O32" s="115" t="s">
        <v>151</v>
      </c>
      <c r="P32" s="115" t="s">
        <v>1257</v>
      </c>
      <c r="Q32" s="115" t="s">
        <v>313</v>
      </c>
      <c r="R32" s="115" t="s">
        <v>36</v>
      </c>
      <c r="S32" s="94">
        <v>1</v>
      </c>
      <c r="AF32" s="125">
        <v>10510333</v>
      </c>
      <c r="AG32" s="115" t="s">
        <v>3027</v>
      </c>
      <c r="AH32" s="121" t="s">
        <v>200</v>
      </c>
      <c r="AI32" s="116">
        <v>45548</v>
      </c>
      <c r="AJ32" s="115">
        <v>51</v>
      </c>
      <c r="AK32" s="115" t="s">
        <v>152</v>
      </c>
      <c r="AL32" s="115" t="s">
        <v>235</v>
      </c>
      <c r="AM32" s="115" t="s">
        <v>313</v>
      </c>
      <c r="AN32" s="115" t="s">
        <v>34</v>
      </c>
      <c r="AO32" s="131">
        <v>1</v>
      </c>
    </row>
    <row r="33" spans="2:41" x14ac:dyDescent="0.25">
      <c r="B33" s="44"/>
      <c r="C33" s="159" t="s">
        <v>359</v>
      </c>
      <c r="D33" s="159"/>
      <c r="E33" s="159"/>
      <c r="F33" s="159"/>
      <c r="G33" s="159"/>
      <c r="H33" s="45"/>
      <c r="J33" s="34">
        <v>40703410</v>
      </c>
      <c r="K33" s="1" t="s">
        <v>1395</v>
      </c>
      <c r="L33" s="121" t="s">
        <v>200</v>
      </c>
      <c r="M33" s="35">
        <v>44505</v>
      </c>
      <c r="N33" s="115">
        <v>43</v>
      </c>
      <c r="O33" s="115" t="s">
        <v>151</v>
      </c>
      <c r="P33" s="115" t="s">
        <v>1257</v>
      </c>
      <c r="Q33" s="115" t="s">
        <v>313</v>
      </c>
      <c r="R33" s="115" t="s">
        <v>35</v>
      </c>
      <c r="S33" s="94">
        <v>1</v>
      </c>
      <c r="AF33" s="125" t="s">
        <v>3049</v>
      </c>
      <c r="AG33" s="115" t="s">
        <v>3050</v>
      </c>
      <c r="AH33" s="121" t="s">
        <v>200</v>
      </c>
      <c r="AI33" s="116">
        <v>45539</v>
      </c>
      <c r="AJ33" s="115">
        <v>56</v>
      </c>
      <c r="AK33" s="115" t="s">
        <v>152</v>
      </c>
      <c r="AL33" s="115" t="s">
        <v>235</v>
      </c>
      <c r="AM33" s="115" t="s">
        <v>313</v>
      </c>
      <c r="AN33" s="115" t="s">
        <v>68</v>
      </c>
      <c r="AO33" s="131">
        <v>1</v>
      </c>
    </row>
    <row r="34" spans="2:41" ht="15.75" thickBot="1" x14ac:dyDescent="0.3">
      <c r="B34" s="46"/>
      <c r="H34" s="47"/>
      <c r="J34" s="124">
        <v>40860921</v>
      </c>
      <c r="K34" s="115" t="s">
        <v>2029</v>
      </c>
      <c r="L34" s="121" t="s">
        <v>200</v>
      </c>
      <c r="M34" s="116">
        <v>45250</v>
      </c>
      <c r="N34" s="115">
        <v>44</v>
      </c>
      <c r="O34" s="115" t="s">
        <v>151</v>
      </c>
      <c r="P34" s="115" t="s">
        <v>235</v>
      </c>
      <c r="Q34" s="115" t="s">
        <v>312</v>
      </c>
      <c r="R34" s="115" t="s">
        <v>34</v>
      </c>
      <c r="S34" s="122">
        <v>1</v>
      </c>
      <c r="AF34" s="125">
        <v>44245006</v>
      </c>
      <c r="AG34" s="115" t="s">
        <v>3053</v>
      </c>
      <c r="AH34" s="121" t="s">
        <v>200</v>
      </c>
      <c r="AI34" s="116">
        <v>45554</v>
      </c>
      <c r="AJ34" s="115">
        <v>38</v>
      </c>
      <c r="AK34" s="115" t="s">
        <v>150</v>
      </c>
      <c r="AL34" s="115" t="s">
        <v>235</v>
      </c>
      <c r="AM34" s="115" t="s">
        <v>313</v>
      </c>
      <c r="AN34" s="115" t="s">
        <v>35</v>
      </c>
      <c r="AO34" s="131">
        <v>1</v>
      </c>
    </row>
    <row r="35" spans="2:41" ht="15.75" thickBot="1" x14ac:dyDescent="0.3">
      <c r="B35" s="46"/>
      <c r="C35" s="52" t="s">
        <v>385</v>
      </c>
      <c r="D35" s="53" t="s">
        <v>355</v>
      </c>
      <c r="H35" s="47"/>
      <c r="J35" s="34">
        <v>41385693</v>
      </c>
      <c r="K35" s="1" t="s">
        <v>986</v>
      </c>
      <c r="L35" s="121" t="s">
        <v>200</v>
      </c>
      <c r="M35" s="35">
        <v>44280</v>
      </c>
      <c r="N35" s="115">
        <v>42</v>
      </c>
      <c r="O35" s="115" t="s">
        <v>151</v>
      </c>
      <c r="P35" s="115" t="s">
        <v>162</v>
      </c>
      <c r="Q35" s="115" t="s">
        <v>313</v>
      </c>
      <c r="R35" s="115" t="s">
        <v>34</v>
      </c>
      <c r="S35" s="94">
        <v>1</v>
      </c>
      <c r="AF35" s="125">
        <v>42322415</v>
      </c>
      <c r="AG35" s="115" t="s">
        <v>3054</v>
      </c>
      <c r="AH35" s="121" t="s">
        <v>200</v>
      </c>
      <c r="AI35" s="116">
        <v>45544</v>
      </c>
      <c r="AJ35" s="115">
        <v>40</v>
      </c>
      <c r="AK35" s="115" t="s">
        <v>150</v>
      </c>
      <c r="AL35" s="115" t="s">
        <v>235</v>
      </c>
      <c r="AM35" s="115" t="s">
        <v>313</v>
      </c>
      <c r="AN35" s="115" t="s">
        <v>35</v>
      </c>
      <c r="AO35" s="131">
        <v>1</v>
      </c>
    </row>
    <row r="36" spans="2:41" ht="15.75" thickBot="1" x14ac:dyDescent="0.3">
      <c r="B36" s="46"/>
      <c r="H36" s="47"/>
      <c r="J36" s="34">
        <v>41429374</v>
      </c>
      <c r="K36" s="1" t="s">
        <v>393</v>
      </c>
      <c r="L36" s="121" t="s">
        <v>200</v>
      </c>
      <c r="M36" s="35">
        <v>44221</v>
      </c>
      <c r="N36" s="115">
        <v>42</v>
      </c>
      <c r="O36" s="115" t="s">
        <v>151</v>
      </c>
      <c r="P36" s="115" t="s">
        <v>235</v>
      </c>
      <c r="Q36" s="115" t="s">
        <v>313</v>
      </c>
      <c r="R36" s="115" t="s">
        <v>68</v>
      </c>
      <c r="S36" s="94">
        <v>1</v>
      </c>
      <c r="AF36" s="125">
        <v>47473411</v>
      </c>
      <c r="AG36" s="115" t="s">
        <v>3073</v>
      </c>
      <c r="AH36" s="121" t="s">
        <v>200</v>
      </c>
      <c r="AI36" s="116">
        <v>45558</v>
      </c>
      <c r="AJ36" s="115">
        <v>32</v>
      </c>
      <c r="AK36" s="115" t="s">
        <v>150</v>
      </c>
      <c r="AL36" s="115" t="s">
        <v>235</v>
      </c>
      <c r="AM36" s="115" t="s">
        <v>313</v>
      </c>
      <c r="AN36" s="115" t="s">
        <v>68</v>
      </c>
      <c r="AO36" s="131">
        <v>1</v>
      </c>
    </row>
    <row r="37" spans="2:41" ht="15.75" thickBot="1" x14ac:dyDescent="0.3">
      <c r="B37" s="46"/>
      <c r="C37" s="54" t="s">
        <v>382</v>
      </c>
      <c r="D37" s="54" t="s">
        <v>208</v>
      </c>
      <c r="E37" s="55"/>
      <c r="F37" s="53"/>
      <c r="H37" s="47"/>
      <c r="J37" s="34">
        <v>41638332</v>
      </c>
      <c r="K37" s="1" t="s">
        <v>979</v>
      </c>
      <c r="L37" s="121" t="s">
        <v>200</v>
      </c>
      <c r="M37" s="35">
        <v>44798</v>
      </c>
      <c r="N37" s="115">
        <v>41</v>
      </c>
      <c r="O37" s="115" t="s">
        <v>151</v>
      </c>
      <c r="P37" s="115" t="s">
        <v>162</v>
      </c>
      <c r="Q37" s="115" t="s">
        <v>313</v>
      </c>
      <c r="R37" s="115" t="s">
        <v>34</v>
      </c>
      <c r="S37" s="94">
        <v>1</v>
      </c>
      <c r="AF37" s="125">
        <v>40229345</v>
      </c>
      <c r="AG37" s="115" t="s">
        <v>3080</v>
      </c>
      <c r="AH37" s="121" t="s">
        <v>200</v>
      </c>
      <c r="AI37" s="116">
        <v>45548</v>
      </c>
      <c r="AJ37" s="115">
        <v>51</v>
      </c>
      <c r="AK37" s="115" t="s">
        <v>152</v>
      </c>
      <c r="AL37" s="115" t="s">
        <v>235</v>
      </c>
      <c r="AM37" s="115" t="s">
        <v>313</v>
      </c>
      <c r="AN37" s="115" t="s">
        <v>34</v>
      </c>
      <c r="AO37" s="131">
        <v>1</v>
      </c>
    </row>
    <row r="38" spans="2:41" ht="15.75" thickBot="1" x14ac:dyDescent="0.3">
      <c r="B38" s="46"/>
      <c r="C38" s="56" t="s">
        <v>139</v>
      </c>
      <c r="D38" s="55" t="s">
        <v>201</v>
      </c>
      <c r="E38" s="53" t="s">
        <v>200</v>
      </c>
      <c r="F38" s="63" t="s">
        <v>356</v>
      </c>
      <c r="H38" s="47"/>
      <c r="J38" s="34">
        <v>41800209</v>
      </c>
      <c r="K38" s="1" t="s">
        <v>112</v>
      </c>
      <c r="L38" s="1" t="s">
        <v>201</v>
      </c>
      <c r="M38" s="34" t="s">
        <v>460</v>
      </c>
      <c r="N38" s="115">
        <v>44</v>
      </c>
      <c r="O38" s="115" t="s">
        <v>151</v>
      </c>
      <c r="P38" s="115" t="s">
        <v>235</v>
      </c>
      <c r="Q38" s="115" t="s">
        <v>313</v>
      </c>
      <c r="R38" s="115" t="s">
        <v>34</v>
      </c>
      <c r="S38" s="94">
        <v>1</v>
      </c>
      <c r="AF38" s="125">
        <v>25848881</v>
      </c>
      <c r="AG38" s="115" t="s">
        <v>3085</v>
      </c>
      <c r="AH38" s="121" t="s">
        <v>200</v>
      </c>
      <c r="AI38" s="116">
        <v>45541</v>
      </c>
      <c r="AJ38" s="115">
        <v>49</v>
      </c>
      <c r="AK38" s="115" t="s">
        <v>151</v>
      </c>
      <c r="AL38" s="116">
        <v>45558</v>
      </c>
      <c r="AM38" s="115" t="s">
        <v>313</v>
      </c>
      <c r="AN38" s="115" t="s">
        <v>34</v>
      </c>
      <c r="AO38" s="131">
        <v>1</v>
      </c>
    </row>
    <row r="39" spans="2:41" x14ac:dyDescent="0.25">
      <c r="B39" s="46"/>
      <c r="C39" s="57" t="s">
        <v>68</v>
      </c>
      <c r="D39" s="152">
        <v>0</v>
      </c>
      <c r="E39" s="104">
        <v>18</v>
      </c>
      <c r="F39" s="153">
        <v>18</v>
      </c>
      <c r="H39" s="47"/>
      <c r="J39" s="34">
        <v>41918219</v>
      </c>
      <c r="K39" s="1" t="s">
        <v>107</v>
      </c>
      <c r="L39" s="1" t="s">
        <v>201</v>
      </c>
      <c r="M39" s="35">
        <v>43995</v>
      </c>
      <c r="N39" s="115">
        <v>41</v>
      </c>
      <c r="O39" s="115" t="s">
        <v>151</v>
      </c>
      <c r="P39" s="115" t="s">
        <v>235</v>
      </c>
      <c r="Q39" s="115" t="s">
        <v>313</v>
      </c>
      <c r="R39" s="115" t="s">
        <v>34</v>
      </c>
      <c r="S39" s="94">
        <v>1</v>
      </c>
      <c r="AF39" s="125" t="s">
        <v>3086</v>
      </c>
      <c r="AG39" s="115" t="s">
        <v>3087</v>
      </c>
      <c r="AH39" s="121" t="s">
        <v>200</v>
      </c>
      <c r="AI39" s="116">
        <v>45548</v>
      </c>
      <c r="AJ39" s="115">
        <v>44</v>
      </c>
      <c r="AK39" s="115" t="s">
        <v>151</v>
      </c>
      <c r="AL39" s="115" t="s">
        <v>235</v>
      </c>
      <c r="AM39" s="115" t="s">
        <v>313</v>
      </c>
      <c r="AN39" s="115" t="s">
        <v>34</v>
      </c>
      <c r="AO39" s="131">
        <v>1</v>
      </c>
    </row>
    <row r="40" spans="2:41" x14ac:dyDescent="0.25">
      <c r="B40" s="46"/>
      <c r="C40" s="58" t="s">
        <v>72</v>
      </c>
      <c r="D40" s="154">
        <v>0</v>
      </c>
      <c r="E40" s="3">
        <v>3</v>
      </c>
      <c r="F40" s="149">
        <v>3</v>
      </c>
      <c r="H40" s="47"/>
      <c r="J40" s="123">
        <v>42145540</v>
      </c>
      <c r="K40" s="38" t="s">
        <v>1315</v>
      </c>
      <c r="L40" s="121" t="s">
        <v>201</v>
      </c>
      <c r="M40" s="116">
        <v>43140</v>
      </c>
      <c r="N40" s="115">
        <v>40</v>
      </c>
      <c r="O40" s="115" t="s">
        <v>150</v>
      </c>
      <c r="P40" s="115" t="s">
        <v>1257</v>
      </c>
      <c r="Q40" s="115" t="s">
        <v>313</v>
      </c>
      <c r="R40" s="115" t="s">
        <v>68</v>
      </c>
      <c r="S40" s="122">
        <v>1</v>
      </c>
      <c r="AF40" s="125" t="s">
        <v>3107</v>
      </c>
      <c r="AG40" s="115" t="s">
        <v>3108</v>
      </c>
      <c r="AH40" s="121" t="s">
        <v>200</v>
      </c>
      <c r="AI40" s="116">
        <v>45544</v>
      </c>
      <c r="AJ40" s="115">
        <v>32</v>
      </c>
      <c r="AK40" s="115" t="s">
        <v>150</v>
      </c>
      <c r="AL40" s="115" t="s">
        <v>235</v>
      </c>
      <c r="AM40" s="115" t="s">
        <v>313</v>
      </c>
      <c r="AN40" s="115" t="s">
        <v>72</v>
      </c>
      <c r="AO40" s="131">
        <v>1</v>
      </c>
    </row>
    <row r="41" spans="2:41" x14ac:dyDescent="0.25">
      <c r="B41" s="46"/>
      <c r="C41" s="58" t="s">
        <v>34</v>
      </c>
      <c r="D41" s="154">
        <v>0</v>
      </c>
      <c r="E41" s="3">
        <v>33</v>
      </c>
      <c r="F41" s="149">
        <v>33</v>
      </c>
      <c r="H41" s="47"/>
      <c r="J41" s="34">
        <v>42179058</v>
      </c>
      <c r="K41" s="1" t="s">
        <v>1397</v>
      </c>
      <c r="L41" s="121" t="s">
        <v>200</v>
      </c>
      <c r="M41" s="35">
        <v>44805</v>
      </c>
      <c r="N41" s="115">
        <v>42</v>
      </c>
      <c r="O41" s="115" t="s">
        <v>151</v>
      </c>
      <c r="P41" s="115" t="s">
        <v>1257</v>
      </c>
      <c r="Q41" s="115" t="s">
        <v>313</v>
      </c>
      <c r="R41" s="115" t="s">
        <v>36</v>
      </c>
      <c r="S41" s="94">
        <v>1</v>
      </c>
      <c r="AF41" s="125" t="s">
        <v>3112</v>
      </c>
      <c r="AG41" s="115" t="s">
        <v>3113</v>
      </c>
      <c r="AH41" s="121" t="s">
        <v>201</v>
      </c>
      <c r="AI41" s="116">
        <v>45553</v>
      </c>
      <c r="AJ41" s="115">
        <v>40</v>
      </c>
      <c r="AK41" s="115" t="s">
        <v>150</v>
      </c>
      <c r="AL41" s="115" t="s">
        <v>235</v>
      </c>
      <c r="AM41" s="115" t="s">
        <v>313</v>
      </c>
      <c r="AN41" s="115" t="s">
        <v>34</v>
      </c>
      <c r="AO41" s="131">
        <v>1</v>
      </c>
    </row>
    <row r="42" spans="2:41" x14ac:dyDescent="0.25">
      <c r="B42" s="46"/>
      <c r="C42" s="58" t="s">
        <v>35</v>
      </c>
      <c r="D42" s="154">
        <v>0</v>
      </c>
      <c r="E42" s="3">
        <v>4</v>
      </c>
      <c r="F42" s="149">
        <v>4</v>
      </c>
      <c r="H42" s="47"/>
      <c r="J42" s="34">
        <v>42674663</v>
      </c>
      <c r="K42" s="1" t="s">
        <v>115</v>
      </c>
      <c r="L42" s="121" t="s">
        <v>201</v>
      </c>
      <c r="M42" s="35">
        <v>44379</v>
      </c>
      <c r="N42" s="115">
        <v>43</v>
      </c>
      <c r="O42" s="115" t="s">
        <v>151</v>
      </c>
      <c r="P42" s="115" t="s">
        <v>235</v>
      </c>
      <c r="Q42" s="115" t="s">
        <v>313</v>
      </c>
      <c r="R42" s="115" t="s">
        <v>34</v>
      </c>
      <c r="S42" s="94">
        <v>1</v>
      </c>
      <c r="AF42" s="125" t="s">
        <v>3114</v>
      </c>
      <c r="AG42" s="115" t="s">
        <v>3115</v>
      </c>
      <c r="AH42" s="121" t="s">
        <v>200</v>
      </c>
      <c r="AI42" s="116">
        <v>45555</v>
      </c>
      <c r="AJ42" s="115">
        <v>50</v>
      </c>
      <c r="AK42" s="115" t="s">
        <v>152</v>
      </c>
      <c r="AL42" s="115" t="s">
        <v>235</v>
      </c>
      <c r="AM42" s="115" t="s">
        <v>313</v>
      </c>
      <c r="AN42" s="115" t="s">
        <v>34</v>
      </c>
      <c r="AO42" s="131">
        <v>1</v>
      </c>
    </row>
    <row r="43" spans="2:41" x14ac:dyDescent="0.25">
      <c r="B43" s="46"/>
      <c r="C43" s="58" t="s">
        <v>69</v>
      </c>
      <c r="D43" s="154">
        <v>0</v>
      </c>
      <c r="E43" s="3">
        <v>1</v>
      </c>
      <c r="F43" s="149">
        <v>1</v>
      </c>
      <c r="H43" s="47"/>
      <c r="J43" s="34">
        <v>42770032</v>
      </c>
      <c r="K43" s="1" t="s">
        <v>396</v>
      </c>
      <c r="L43" s="121" t="s">
        <v>200</v>
      </c>
      <c r="M43" s="35">
        <v>45079</v>
      </c>
      <c r="N43" s="115">
        <v>41</v>
      </c>
      <c r="O43" s="115" t="s">
        <v>151</v>
      </c>
      <c r="P43" s="115" t="s">
        <v>235</v>
      </c>
      <c r="Q43" s="115" t="s">
        <v>313</v>
      </c>
      <c r="R43" s="115" t="s">
        <v>68</v>
      </c>
      <c r="S43" s="94">
        <v>1</v>
      </c>
      <c r="AF43" s="125" t="s">
        <v>3116</v>
      </c>
      <c r="AG43" s="115" t="s">
        <v>3117</v>
      </c>
      <c r="AH43" s="121" t="s">
        <v>200</v>
      </c>
      <c r="AI43" s="116">
        <v>45555</v>
      </c>
      <c r="AJ43" s="115">
        <v>56</v>
      </c>
      <c r="AK43" s="115" t="s">
        <v>152</v>
      </c>
      <c r="AL43" s="115" t="s">
        <v>235</v>
      </c>
      <c r="AM43" s="115" t="s">
        <v>313</v>
      </c>
      <c r="AN43" s="115" t="s">
        <v>34</v>
      </c>
      <c r="AO43" s="131">
        <v>1</v>
      </c>
    </row>
    <row r="44" spans="2:41" x14ac:dyDescent="0.25">
      <c r="B44" s="46"/>
      <c r="C44" s="58" t="s">
        <v>105</v>
      </c>
      <c r="D44" s="154"/>
      <c r="E44" s="3">
        <v>1</v>
      </c>
      <c r="F44" s="149">
        <v>1</v>
      </c>
      <c r="H44" s="47"/>
      <c r="J44" s="34">
        <v>43013294</v>
      </c>
      <c r="K44" s="1" t="s">
        <v>391</v>
      </c>
      <c r="L44" s="121" t="s">
        <v>200</v>
      </c>
      <c r="M44" s="35">
        <v>43080</v>
      </c>
      <c r="N44" s="115">
        <v>40</v>
      </c>
      <c r="O44" s="115" t="s">
        <v>150</v>
      </c>
      <c r="P44" s="115" t="s">
        <v>235</v>
      </c>
      <c r="Q44" s="115" t="s">
        <v>313</v>
      </c>
      <c r="R44" s="115" t="s">
        <v>34</v>
      </c>
      <c r="S44" s="94">
        <v>1</v>
      </c>
      <c r="AF44" s="125" t="s">
        <v>3118</v>
      </c>
      <c r="AG44" s="115" t="s">
        <v>3119</v>
      </c>
      <c r="AH44" s="121" t="s">
        <v>200</v>
      </c>
      <c r="AI44" s="116">
        <v>45559</v>
      </c>
      <c r="AJ44" s="115">
        <v>52</v>
      </c>
      <c r="AK44" s="115" t="s">
        <v>152</v>
      </c>
      <c r="AL44" s="115" t="s">
        <v>235</v>
      </c>
      <c r="AM44" s="115" t="s">
        <v>313</v>
      </c>
      <c r="AN44" s="115" t="s">
        <v>35</v>
      </c>
      <c r="AO44" s="131">
        <v>1</v>
      </c>
    </row>
    <row r="45" spans="2:41" ht="15.75" thickBot="1" x14ac:dyDescent="0.3">
      <c r="B45" s="46"/>
      <c r="C45" s="59" t="s">
        <v>36</v>
      </c>
      <c r="D45" s="155">
        <v>0</v>
      </c>
      <c r="E45" s="150">
        <v>5</v>
      </c>
      <c r="F45" s="151">
        <v>5</v>
      </c>
      <c r="H45" s="47"/>
      <c r="J45" s="111">
        <v>43239877</v>
      </c>
      <c r="K45" s="38" t="s">
        <v>1373</v>
      </c>
      <c r="L45" s="121" t="s">
        <v>200</v>
      </c>
      <c r="M45" s="116">
        <v>43506</v>
      </c>
      <c r="N45" s="115">
        <v>49</v>
      </c>
      <c r="O45" s="115" t="s">
        <v>151</v>
      </c>
      <c r="P45" s="115" t="s">
        <v>1257</v>
      </c>
      <c r="Q45" s="115" t="s">
        <v>313</v>
      </c>
      <c r="R45" s="115" t="s">
        <v>68</v>
      </c>
      <c r="S45" s="122">
        <v>1</v>
      </c>
      <c r="AF45" s="125" t="s">
        <v>3131</v>
      </c>
      <c r="AG45" s="115" t="s">
        <v>3132</v>
      </c>
      <c r="AH45" s="121" t="s">
        <v>201</v>
      </c>
      <c r="AI45" s="116">
        <v>45560</v>
      </c>
      <c r="AJ45" s="115">
        <v>33</v>
      </c>
      <c r="AK45" s="115" t="s">
        <v>150</v>
      </c>
      <c r="AL45" s="115" t="s">
        <v>235</v>
      </c>
      <c r="AM45" s="115" t="s">
        <v>313</v>
      </c>
      <c r="AN45" s="115" t="s">
        <v>34</v>
      </c>
      <c r="AO45" s="131">
        <v>1</v>
      </c>
    </row>
    <row r="46" spans="2:41" ht="15.75" thickBot="1" x14ac:dyDescent="0.3">
      <c r="B46" s="46"/>
      <c r="C46" s="63" t="s">
        <v>356</v>
      </c>
      <c r="D46" s="155">
        <v>0</v>
      </c>
      <c r="E46" s="150">
        <v>65</v>
      </c>
      <c r="F46" s="151">
        <v>65</v>
      </c>
      <c r="H46" s="47"/>
      <c r="J46" s="34">
        <v>43600610</v>
      </c>
      <c r="K46" s="1" t="s">
        <v>988</v>
      </c>
      <c r="L46" s="121" t="s">
        <v>200</v>
      </c>
      <c r="M46" s="35">
        <v>44203</v>
      </c>
      <c r="N46" s="115">
        <v>39</v>
      </c>
      <c r="O46" s="115" t="s">
        <v>150</v>
      </c>
      <c r="P46" s="115" t="s">
        <v>162</v>
      </c>
      <c r="Q46" s="115" t="s">
        <v>313</v>
      </c>
      <c r="R46" s="115" t="s">
        <v>34</v>
      </c>
      <c r="S46" s="94">
        <v>1</v>
      </c>
      <c r="AF46" s="125" t="s">
        <v>3142</v>
      </c>
      <c r="AG46" s="115" t="s">
        <v>3143</v>
      </c>
      <c r="AH46" s="121" t="s">
        <v>200</v>
      </c>
      <c r="AI46" s="116">
        <v>45545</v>
      </c>
      <c r="AJ46" s="115">
        <v>43</v>
      </c>
      <c r="AK46" s="115" t="s">
        <v>151</v>
      </c>
      <c r="AL46" s="115" t="s">
        <v>235</v>
      </c>
      <c r="AM46" s="115" t="s">
        <v>313</v>
      </c>
      <c r="AN46" s="115" t="s">
        <v>105</v>
      </c>
      <c r="AO46" s="131">
        <v>1</v>
      </c>
    </row>
    <row r="47" spans="2:41" x14ac:dyDescent="0.25">
      <c r="B47" s="46"/>
      <c r="H47" s="47"/>
      <c r="J47" s="34">
        <v>43755177</v>
      </c>
      <c r="K47" s="115" t="s">
        <v>1118</v>
      </c>
      <c r="L47" s="121" t="s">
        <v>200</v>
      </c>
      <c r="M47" s="116">
        <v>44977</v>
      </c>
      <c r="N47" s="115">
        <v>38</v>
      </c>
      <c r="O47" s="115" t="s">
        <v>150</v>
      </c>
      <c r="P47" s="115" t="s">
        <v>235</v>
      </c>
      <c r="Q47" s="115" t="s">
        <v>313</v>
      </c>
      <c r="R47" s="115" t="s">
        <v>34</v>
      </c>
      <c r="S47" s="122">
        <v>1</v>
      </c>
      <c r="AF47" s="125" t="s">
        <v>3144</v>
      </c>
      <c r="AG47" s="115" t="s">
        <v>3145</v>
      </c>
      <c r="AH47" s="121" t="s">
        <v>200</v>
      </c>
      <c r="AI47" s="116">
        <v>45551</v>
      </c>
      <c r="AJ47" s="115">
        <v>59</v>
      </c>
      <c r="AK47" s="115" t="s">
        <v>153</v>
      </c>
      <c r="AL47" s="115" t="s">
        <v>235</v>
      </c>
      <c r="AM47" s="115" t="s">
        <v>313</v>
      </c>
      <c r="AN47" s="115" t="s">
        <v>34</v>
      </c>
      <c r="AO47" s="131">
        <v>1</v>
      </c>
    </row>
    <row r="48" spans="2:41" ht="15.75" thickBot="1" x14ac:dyDescent="0.3">
      <c r="B48" s="46"/>
      <c r="H48" s="47"/>
      <c r="J48" s="34">
        <v>43921879</v>
      </c>
      <c r="K48" s="115" t="s">
        <v>1116</v>
      </c>
      <c r="L48" s="121" t="s">
        <v>200</v>
      </c>
      <c r="M48" s="116">
        <v>44977</v>
      </c>
      <c r="N48" s="115">
        <v>38</v>
      </c>
      <c r="O48" s="115" t="s">
        <v>150</v>
      </c>
      <c r="P48" s="115" t="s">
        <v>235</v>
      </c>
      <c r="Q48" s="115" t="s">
        <v>313</v>
      </c>
      <c r="R48" s="115" t="s">
        <v>34</v>
      </c>
      <c r="S48" s="122">
        <v>1</v>
      </c>
      <c r="AF48" s="125" t="s">
        <v>3146</v>
      </c>
      <c r="AG48" s="115" t="s">
        <v>3147</v>
      </c>
      <c r="AH48" s="121" t="s">
        <v>200</v>
      </c>
      <c r="AI48" s="116">
        <v>45545</v>
      </c>
      <c r="AJ48" s="115">
        <v>20</v>
      </c>
      <c r="AK48" s="115" t="s">
        <v>148</v>
      </c>
      <c r="AL48" s="115" t="s">
        <v>235</v>
      </c>
      <c r="AM48" s="115" t="s">
        <v>313</v>
      </c>
      <c r="AN48" s="115" t="s">
        <v>34</v>
      </c>
      <c r="AO48" s="131">
        <v>1</v>
      </c>
    </row>
    <row r="49" spans="2:41" ht="15.75" thickBot="1" x14ac:dyDescent="0.3">
      <c r="B49" s="46"/>
      <c r="C49" s="52" t="s">
        <v>310</v>
      </c>
      <c r="D49" s="53" t="s">
        <v>3327</v>
      </c>
      <c r="H49" s="47"/>
      <c r="J49" s="34">
        <v>44106244</v>
      </c>
      <c r="K49" s="1" t="s">
        <v>2966</v>
      </c>
      <c r="L49" s="121" t="s">
        <v>200</v>
      </c>
      <c r="M49" s="35">
        <v>44991</v>
      </c>
      <c r="N49" s="115">
        <v>37</v>
      </c>
      <c r="O49" s="115" t="s">
        <v>150</v>
      </c>
      <c r="P49" s="115" t="s">
        <v>235</v>
      </c>
      <c r="Q49" s="115" t="s">
        <v>313</v>
      </c>
      <c r="R49" s="115" t="s">
        <v>68</v>
      </c>
      <c r="S49" s="94">
        <v>1</v>
      </c>
      <c r="AF49" s="125" t="s">
        <v>3148</v>
      </c>
      <c r="AG49" s="115" t="s">
        <v>3149</v>
      </c>
      <c r="AH49" s="121" t="s">
        <v>200</v>
      </c>
      <c r="AI49" s="116">
        <v>45545</v>
      </c>
      <c r="AJ49" s="115">
        <v>48</v>
      </c>
      <c r="AK49" s="115" t="s">
        <v>151</v>
      </c>
      <c r="AL49" s="115" t="s">
        <v>235</v>
      </c>
      <c r="AM49" s="115" t="s">
        <v>313</v>
      </c>
      <c r="AN49" s="115" t="s">
        <v>34</v>
      </c>
      <c r="AO49" s="131">
        <v>1</v>
      </c>
    </row>
    <row r="50" spans="2:41" ht="15.75" thickBot="1" x14ac:dyDescent="0.3">
      <c r="B50" s="46"/>
      <c r="H50" s="47"/>
      <c r="J50" s="34">
        <v>44264063</v>
      </c>
      <c r="K50" s="1" t="s">
        <v>504</v>
      </c>
      <c r="L50" s="1" t="s">
        <v>200</v>
      </c>
      <c r="M50" s="116">
        <v>45460</v>
      </c>
      <c r="N50" s="115">
        <v>37</v>
      </c>
      <c r="O50" s="115" t="s">
        <v>150</v>
      </c>
      <c r="P50" s="115" t="s">
        <v>235</v>
      </c>
      <c r="Q50" s="115" t="s">
        <v>312</v>
      </c>
      <c r="R50" s="115" t="s">
        <v>34</v>
      </c>
      <c r="S50" s="122">
        <v>1</v>
      </c>
      <c r="AF50" s="125" t="s">
        <v>3150</v>
      </c>
      <c r="AG50" s="115" t="s">
        <v>3151</v>
      </c>
      <c r="AH50" s="121" t="s">
        <v>200</v>
      </c>
      <c r="AI50" s="116">
        <v>45541</v>
      </c>
      <c r="AJ50" s="115">
        <v>39</v>
      </c>
      <c r="AK50" s="115" t="s">
        <v>150</v>
      </c>
      <c r="AL50" s="115" t="s">
        <v>235</v>
      </c>
      <c r="AM50" s="115" t="s">
        <v>313</v>
      </c>
      <c r="AN50" s="115" t="s">
        <v>68</v>
      </c>
      <c r="AO50" s="131">
        <v>1</v>
      </c>
    </row>
    <row r="51" spans="2:41" ht="15.75" thickBot="1" x14ac:dyDescent="0.3">
      <c r="B51" s="46"/>
      <c r="C51" s="54" t="s">
        <v>381</v>
      </c>
      <c r="D51" s="54" t="s">
        <v>208</v>
      </c>
      <c r="E51" s="55"/>
      <c r="F51" s="53"/>
      <c r="H51" s="47"/>
      <c r="J51" s="34">
        <v>44390110</v>
      </c>
      <c r="K51" s="1" t="s">
        <v>1386</v>
      </c>
      <c r="L51" s="121" t="s">
        <v>200</v>
      </c>
      <c r="M51" s="35">
        <v>43161</v>
      </c>
      <c r="N51" s="115">
        <v>38</v>
      </c>
      <c r="O51" s="115" t="s">
        <v>150</v>
      </c>
      <c r="P51" s="115" t="s">
        <v>1257</v>
      </c>
      <c r="Q51" s="115" t="s">
        <v>313</v>
      </c>
      <c r="R51" s="115" t="s">
        <v>35</v>
      </c>
      <c r="S51" s="94">
        <v>1</v>
      </c>
      <c r="AF51" s="125" t="s">
        <v>3152</v>
      </c>
      <c r="AG51" s="115" t="s">
        <v>3153</v>
      </c>
      <c r="AH51" s="121" t="s">
        <v>200</v>
      </c>
      <c r="AI51" s="116">
        <v>45559</v>
      </c>
      <c r="AJ51" s="115">
        <v>22</v>
      </c>
      <c r="AK51" s="115" t="s">
        <v>148</v>
      </c>
      <c r="AL51" s="115" t="s">
        <v>235</v>
      </c>
      <c r="AM51" s="115" t="s">
        <v>313</v>
      </c>
      <c r="AN51" s="115" t="s">
        <v>72</v>
      </c>
      <c r="AO51" s="131">
        <v>1</v>
      </c>
    </row>
    <row r="52" spans="2:41" ht="15.75" thickBot="1" x14ac:dyDescent="0.3">
      <c r="B52" s="46"/>
      <c r="C52" s="56" t="s">
        <v>139</v>
      </c>
      <c r="D52" s="55" t="s">
        <v>201</v>
      </c>
      <c r="E52" s="53" t="s">
        <v>200</v>
      </c>
      <c r="F52" s="63" t="s">
        <v>357</v>
      </c>
      <c r="H52" s="47"/>
      <c r="J52" s="34">
        <v>44611406</v>
      </c>
      <c r="K52" s="1" t="s">
        <v>1399</v>
      </c>
      <c r="L52" s="121" t="s">
        <v>200</v>
      </c>
      <c r="M52" s="35">
        <v>44430</v>
      </c>
      <c r="N52" s="115">
        <v>36</v>
      </c>
      <c r="O52" s="115" t="s">
        <v>150</v>
      </c>
      <c r="P52" s="115" t="s">
        <v>1257</v>
      </c>
      <c r="Q52" s="115" t="s">
        <v>313</v>
      </c>
      <c r="R52" s="115" t="s">
        <v>68</v>
      </c>
      <c r="S52" s="94">
        <v>1</v>
      </c>
      <c r="AF52" s="125" t="s">
        <v>3154</v>
      </c>
      <c r="AG52" s="115" t="s">
        <v>3155</v>
      </c>
      <c r="AH52" s="121" t="s">
        <v>201</v>
      </c>
      <c r="AI52" s="116">
        <v>45546</v>
      </c>
      <c r="AJ52" s="115">
        <v>21</v>
      </c>
      <c r="AK52" s="115" t="s">
        <v>148</v>
      </c>
      <c r="AL52" s="115" t="s">
        <v>235</v>
      </c>
      <c r="AM52" s="115" t="s">
        <v>313</v>
      </c>
      <c r="AN52" s="115" t="s">
        <v>34</v>
      </c>
      <c r="AO52" s="131">
        <v>1</v>
      </c>
    </row>
    <row r="53" spans="2:41" x14ac:dyDescent="0.25">
      <c r="B53" s="46"/>
      <c r="C53" s="57" t="s">
        <v>68</v>
      </c>
      <c r="D53" s="70">
        <v>1</v>
      </c>
      <c r="E53" s="71">
        <v>11</v>
      </c>
      <c r="F53" s="72">
        <v>12</v>
      </c>
      <c r="G53" s="21" t="e">
        <f t="shared" ref="G53:G60" si="0">+F53/$F$60</f>
        <v>#DIV/0!</v>
      </c>
      <c r="H53" s="47"/>
      <c r="J53" s="111">
        <v>44971534</v>
      </c>
      <c r="K53" s="115" t="s">
        <v>3070</v>
      </c>
      <c r="L53" s="121" t="s">
        <v>200</v>
      </c>
      <c r="M53" s="116">
        <v>45558</v>
      </c>
      <c r="N53" s="115">
        <v>36</v>
      </c>
      <c r="O53" s="115" t="s">
        <v>150</v>
      </c>
      <c r="P53" s="115" t="s">
        <v>235</v>
      </c>
      <c r="Q53" s="115" t="s">
        <v>313</v>
      </c>
      <c r="R53" s="115" t="s">
        <v>68</v>
      </c>
      <c r="S53" s="122">
        <v>1</v>
      </c>
      <c r="AF53" s="125" t="s">
        <v>3156</v>
      </c>
      <c r="AG53" s="115" t="s">
        <v>3157</v>
      </c>
      <c r="AH53" s="121" t="s">
        <v>200</v>
      </c>
      <c r="AI53" s="116">
        <v>45554</v>
      </c>
      <c r="AJ53" s="115">
        <v>42</v>
      </c>
      <c r="AK53" s="115" t="s">
        <v>151</v>
      </c>
      <c r="AL53" s="115" t="s">
        <v>235</v>
      </c>
      <c r="AM53" s="115" t="s">
        <v>313</v>
      </c>
      <c r="AN53" s="115" t="s">
        <v>34</v>
      </c>
      <c r="AO53" s="131">
        <v>1</v>
      </c>
    </row>
    <row r="54" spans="2:41" x14ac:dyDescent="0.25">
      <c r="B54" s="46"/>
      <c r="C54" s="58" t="s">
        <v>72</v>
      </c>
      <c r="D54" s="73"/>
      <c r="E54" s="158">
        <v>9</v>
      </c>
      <c r="F54" s="74">
        <v>9</v>
      </c>
      <c r="G54" s="21" t="e">
        <f t="shared" si="0"/>
        <v>#DIV/0!</v>
      </c>
      <c r="H54" s="47"/>
      <c r="J54" s="34">
        <v>44996707</v>
      </c>
      <c r="K54" s="1" t="s">
        <v>994</v>
      </c>
      <c r="L54" s="121" t="s">
        <v>200</v>
      </c>
      <c r="M54" s="116">
        <v>44909</v>
      </c>
      <c r="N54" s="115">
        <v>36</v>
      </c>
      <c r="O54" s="115" t="s">
        <v>150</v>
      </c>
      <c r="P54" s="115" t="s">
        <v>162</v>
      </c>
      <c r="Q54" s="115" t="s">
        <v>313</v>
      </c>
      <c r="R54" s="115" t="s">
        <v>34</v>
      </c>
      <c r="S54" s="94">
        <v>1</v>
      </c>
      <c r="AF54" s="125" t="s">
        <v>3174</v>
      </c>
      <c r="AG54" s="115" t="s">
        <v>3175</v>
      </c>
      <c r="AH54" s="121" t="s">
        <v>200</v>
      </c>
      <c r="AI54" s="116">
        <v>45558</v>
      </c>
      <c r="AJ54" s="115">
        <v>54</v>
      </c>
      <c r="AK54" s="115" t="s">
        <v>152</v>
      </c>
      <c r="AL54" s="115" t="s">
        <v>235</v>
      </c>
      <c r="AM54" s="115" t="s">
        <v>313</v>
      </c>
      <c r="AN54" s="115" t="s">
        <v>34</v>
      </c>
      <c r="AO54" s="131">
        <v>1</v>
      </c>
    </row>
    <row r="55" spans="2:41" x14ac:dyDescent="0.25">
      <c r="B55" s="46"/>
      <c r="C55" s="58" t="s">
        <v>34</v>
      </c>
      <c r="D55" s="73">
        <v>3</v>
      </c>
      <c r="E55" s="158">
        <v>50</v>
      </c>
      <c r="F55" s="74">
        <v>53</v>
      </c>
      <c r="G55" s="21" t="e">
        <f t="shared" si="0"/>
        <v>#DIV/0!</v>
      </c>
      <c r="H55" s="47"/>
      <c r="J55" s="34">
        <v>45015508</v>
      </c>
      <c r="K55" s="115" t="s">
        <v>2155</v>
      </c>
      <c r="L55" s="121" t="s">
        <v>200</v>
      </c>
      <c r="M55" s="116">
        <v>45478</v>
      </c>
      <c r="N55" s="115">
        <v>39</v>
      </c>
      <c r="O55" s="115" t="s">
        <v>150</v>
      </c>
      <c r="P55" s="115" t="s">
        <v>235</v>
      </c>
      <c r="Q55" s="115" t="s">
        <v>313</v>
      </c>
      <c r="R55" s="115" t="s">
        <v>34</v>
      </c>
      <c r="S55" s="122">
        <v>1</v>
      </c>
      <c r="AF55" s="125" t="s">
        <v>3183</v>
      </c>
      <c r="AG55" s="115" t="s">
        <v>3184</v>
      </c>
      <c r="AH55" s="121" t="s">
        <v>200</v>
      </c>
      <c r="AI55" s="116">
        <v>45551</v>
      </c>
      <c r="AJ55" s="115">
        <v>36</v>
      </c>
      <c r="AK55" s="115" t="s">
        <v>150</v>
      </c>
      <c r="AL55" s="115" t="s">
        <v>162</v>
      </c>
      <c r="AM55" s="115" t="s">
        <v>313</v>
      </c>
      <c r="AN55" s="115" t="s">
        <v>68</v>
      </c>
      <c r="AO55" s="131">
        <v>1</v>
      </c>
    </row>
    <row r="56" spans="2:41" x14ac:dyDescent="0.25">
      <c r="B56" s="46"/>
      <c r="C56" s="58" t="s">
        <v>35</v>
      </c>
      <c r="D56" s="73"/>
      <c r="E56" s="158">
        <v>7</v>
      </c>
      <c r="F56" s="74">
        <v>7</v>
      </c>
      <c r="G56" s="21" t="e">
        <f t="shared" si="0"/>
        <v>#DIV/0!</v>
      </c>
      <c r="H56" s="47"/>
      <c r="J56" s="34">
        <v>45339699</v>
      </c>
      <c r="K56" s="1" t="s">
        <v>1376</v>
      </c>
      <c r="L56" s="121" t="s">
        <v>200</v>
      </c>
      <c r="M56" s="35">
        <v>43749</v>
      </c>
      <c r="N56" s="115">
        <v>36</v>
      </c>
      <c r="O56" s="115" t="s">
        <v>150</v>
      </c>
      <c r="P56" s="115" t="s">
        <v>1257</v>
      </c>
      <c r="Q56" s="115" t="s">
        <v>313</v>
      </c>
      <c r="R56" s="115" t="s">
        <v>35</v>
      </c>
      <c r="S56" s="94">
        <v>1</v>
      </c>
      <c r="AF56" s="125" t="s">
        <v>3185</v>
      </c>
      <c r="AG56" s="115" t="s">
        <v>3186</v>
      </c>
      <c r="AH56" s="121" t="s">
        <v>200</v>
      </c>
      <c r="AI56" s="116">
        <v>45558</v>
      </c>
      <c r="AJ56" s="115">
        <v>28</v>
      </c>
      <c r="AK56" s="115" t="s">
        <v>149</v>
      </c>
      <c r="AL56" s="115" t="s">
        <v>162</v>
      </c>
      <c r="AM56" s="115" t="s">
        <v>313</v>
      </c>
      <c r="AN56" s="115" t="s">
        <v>68</v>
      </c>
      <c r="AO56" s="131">
        <v>1</v>
      </c>
    </row>
    <row r="57" spans="2:41" x14ac:dyDescent="0.25">
      <c r="B57" s="46"/>
      <c r="C57" s="58" t="s">
        <v>105</v>
      </c>
      <c r="D57" s="73"/>
      <c r="E57" s="158">
        <v>4</v>
      </c>
      <c r="F57" s="74">
        <v>4</v>
      </c>
      <c r="G57" s="21" t="e">
        <f t="shared" si="0"/>
        <v>#DIV/0!</v>
      </c>
      <c r="H57" s="47"/>
      <c r="J57" s="34">
        <v>45763719</v>
      </c>
      <c r="K57" s="1" t="s">
        <v>395</v>
      </c>
      <c r="L57" s="121" t="s">
        <v>200</v>
      </c>
      <c r="M57" s="35">
        <v>42787</v>
      </c>
      <c r="N57" s="115">
        <v>35</v>
      </c>
      <c r="O57" s="115" t="s">
        <v>150</v>
      </c>
      <c r="P57" s="115" t="s">
        <v>235</v>
      </c>
      <c r="Q57" s="115" t="s">
        <v>313</v>
      </c>
      <c r="R57" s="115" t="s">
        <v>68</v>
      </c>
      <c r="S57" s="94">
        <v>1</v>
      </c>
      <c r="AF57" s="125" t="s">
        <v>3188</v>
      </c>
      <c r="AG57" s="115" t="s">
        <v>3189</v>
      </c>
      <c r="AH57" s="121" t="s">
        <v>200</v>
      </c>
      <c r="AI57" s="116">
        <v>45545</v>
      </c>
      <c r="AJ57" s="115">
        <v>27</v>
      </c>
      <c r="AK57" s="115" t="s">
        <v>149</v>
      </c>
      <c r="AL57" s="115" t="s">
        <v>162</v>
      </c>
      <c r="AM57" s="115" t="s">
        <v>313</v>
      </c>
      <c r="AN57" s="115" t="s">
        <v>36</v>
      </c>
      <c r="AO57" s="131">
        <v>1</v>
      </c>
    </row>
    <row r="58" spans="2:41" ht="15.75" thickBot="1" x14ac:dyDescent="0.3">
      <c r="B58" s="46"/>
      <c r="C58" s="59" t="s">
        <v>36</v>
      </c>
      <c r="D58" s="75">
        <v>1</v>
      </c>
      <c r="E58" s="76">
        <v>5</v>
      </c>
      <c r="F58" s="77">
        <v>6</v>
      </c>
      <c r="G58" s="21" t="e">
        <f t="shared" si="0"/>
        <v>#DIV/0!</v>
      </c>
      <c r="H58" s="47"/>
      <c r="J58" s="34">
        <v>45846503</v>
      </c>
      <c r="K58" s="1" t="s">
        <v>1378</v>
      </c>
      <c r="L58" s="121" t="s">
        <v>200</v>
      </c>
      <c r="M58" s="35">
        <v>44022</v>
      </c>
      <c r="N58" s="115">
        <v>35</v>
      </c>
      <c r="O58" s="115" t="s">
        <v>150</v>
      </c>
      <c r="P58" s="115" t="s">
        <v>1257</v>
      </c>
      <c r="Q58" s="115" t="s">
        <v>313</v>
      </c>
      <c r="R58" s="115" t="s">
        <v>68</v>
      </c>
      <c r="S58" s="94">
        <v>1</v>
      </c>
      <c r="AF58" s="125" t="s">
        <v>3196</v>
      </c>
      <c r="AG58" s="115" t="s">
        <v>3197</v>
      </c>
      <c r="AH58" s="121" t="s">
        <v>200</v>
      </c>
      <c r="AI58" s="116">
        <v>45540</v>
      </c>
      <c r="AJ58" s="115">
        <v>33</v>
      </c>
      <c r="AK58" s="115" t="s">
        <v>150</v>
      </c>
      <c r="AL58" s="115" t="s">
        <v>162</v>
      </c>
      <c r="AM58" s="115" t="s">
        <v>313</v>
      </c>
      <c r="AN58" s="115" t="s">
        <v>34</v>
      </c>
      <c r="AO58" s="131">
        <v>1</v>
      </c>
    </row>
    <row r="59" spans="2:41" ht="15.75" thickBot="1" x14ac:dyDescent="0.3">
      <c r="B59" s="46"/>
      <c r="C59" s="63" t="s">
        <v>357</v>
      </c>
      <c r="D59" s="75">
        <v>5</v>
      </c>
      <c r="E59" s="76">
        <v>86</v>
      </c>
      <c r="F59" s="77">
        <v>91</v>
      </c>
      <c r="G59" s="21" t="e">
        <f t="shared" si="0"/>
        <v>#DIV/0!</v>
      </c>
      <c r="H59" s="47"/>
      <c r="J59" s="34">
        <v>45871256</v>
      </c>
      <c r="K59" s="1" t="s">
        <v>1366</v>
      </c>
      <c r="L59" s="121" t="s">
        <v>200</v>
      </c>
      <c r="M59" s="35">
        <v>43185</v>
      </c>
      <c r="N59" s="115">
        <v>39</v>
      </c>
      <c r="O59" s="115" t="s">
        <v>150</v>
      </c>
      <c r="P59" s="115" t="s">
        <v>1257</v>
      </c>
      <c r="Q59" s="115" t="s">
        <v>313</v>
      </c>
      <c r="R59" s="115" t="s">
        <v>72</v>
      </c>
      <c r="S59" s="94">
        <v>1</v>
      </c>
      <c r="AF59" s="125" t="s">
        <v>3205</v>
      </c>
      <c r="AG59" s="115" t="s">
        <v>3206</v>
      </c>
      <c r="AH59" s="121" t="s">
        <v>200</v>
      </c>
      <c r="AI59" s="116">
        <v>45560</v>
      </c>
      <c r="AJ59" s="115">
        <v>22</v>
      </c>
      <c r="AK59" s="115" t="s">
        <v>148</v>
      </c>
      <c r="AL59" s="115" t="s">
        <v>235</v>
      </c>
      <c r="AM59" s="115" t="s">
        <v>313</v>
      </c>
      <c r="AN59" s="115" t="s">
        <v>34</v>
      </c>
      <c r="AO59" s="131">
        <v>1</v>
      </c>
    </row>
    <row r="60" spans="2:41" ht="15.75" thickTop="1" x14ac:dyDescent="0.25">
      <c r="B60" s="46"/>
      <c r="G60" s="22" t="e">
        <f t="shared" si="0"/>
        <v>#DIV/0!</v>
      </c>
      <c r="H60" s="47"/>
      <c r="J60" s="124">
        <v>45915304</v>
      </c>
      <c r="K60" s="38" t="s">
        <v>1387</v>
      </c>
      <c r="L60" s="121" t="s">
        <v>200</v>
      </c>
      <c r="M60" s="116">
        <v>43891</v>
      </c>
      <c r="N60" s="115">
        <v>38</v>
      </c>
      <c r="O60" s="115" t="s">
        <v>150</v>
      </c>
      <c r="P60" s="115" t="s">
        <v>1257</v>
      </c>
      <c r="Q60" s="115" t="s">
        <v>313</v>
      </c>
      <c r="R60" s="115" t="s">
        <v>68</v>
      </c>
      <c r="S60" s="122">
        <v>1</v>
      </c>
      <c r="AF60" s="125" t="s">
        <v>3209</v>
      </c>
      <c r="AG60" s="115" t="s">
        <v>3210</v>
      </c>
      <c r="AH60" s="121" t="s">
        <v>201</v>
      </c>
      <c r="AI60" s="116">
        <v>45540</v>
      </c>
      <c r="AJ60" s="115">
        <v>31</v>
      </c>
      <c r="AK60" s="115" t="s">
        <v>149</v>
      </c>
      <c r="AL60" s="115" t="s">
        <v>235</v>
      </c>
      <c r="AM60" s="115" t="s">
        <v>313</v>
      </c>
      <c r="AN60" s="115" t="s">
        <v>68</v>
      </c>
      <c r="AO60" s="131">
        <v>1</v>
      </c>
    </row>
    <row r="61" spans="2:41" ht="15.75" thickBot="1" x14ac:dyDescent="0.3">
      <c r="B61" s="48"/>
      <c r="C61" s="49"/>
      <c r="D61" s="49"/>
      <c r="E61" s="49"/>
      <c r="F61" s="49"/>
      <c r="G61" s="49"/>
      <c r="H61" s="50"/>
      <c r="J61" s="125">
        <v>45970432</v>
      </c>
      <c r="K61" s="115" t="s">
        <v>812</v>
      </c>
      <c r="L61" s="121" t="s">
        <v>200</v>
      </c>
      <c r="M61" s="116">
        <v>45406</v>
      </c>
      <c r="N61" s="115">
        <v>35</v>
      </c>
      <c r="O61" s="115" t="s">
        <v>150</v>
      </c>
      <c r="P61" s="115" t="s">
        <v>235</v>
      </c>
      <c r="Q61" s="115" t="s">
        <v>313</v>
      </c>
      <c r="R61" s="115" t="s">
        <v>68</v>
      </c>
      <c r="S61" s="122">
        <v>1</v>
      </c>
      <c r="AF61" s="125">
        <v>47019153</v>
      </c>
      <c r="AG61" s="115" t="s">
        <v>3212</v>
      </c>
      <c r="AH61" s="121" t="s">
        <v>200</v>
      </c>
      <c r="AI61" s="116">
        <v>45539</v>
      </c>
      <c r="AJ61" s="115">
        <v>33</v>
      </c>
      <c r="AK61" s="115" t="s">
        <v>150</v>
      </c>
      <c r="AL61" s="115" t="s">
        <v>235</v>
      </c>
      <c r="AM61" s="115" t="s">
        <v>313</v>
      </c>
      <c r="AN61" s="115" t="s">
        <v>34</v>
      </c>
      <c r="AO61" s="131">
        <v>1</v>
      </c>
    </row>
    <row r="62" spans="2:41" x14ac:dyDescent="0.25">
      <c r="J62" s="125">
        <v>46065190</v>
      </c>
      <c r="K62" s="115" t="s">
        <v>3217</v>
      </c>
      <c r="L62" s="121" t="s">
        <v>200</v>
      </c>
      <c r="M62" s="116">
        <v>45540</v>
      </c>
      <c r="N62" s="115">
        <v>36</v>
      </c>
      <c r="O62" s="115" t="s">
        <v>150</v>
      </c>
      <c r="P62" s="115" t="s">
        <v>235</v>
      </c>
      <c r="Q62" s="115" t="s">
        <v>313</v>
      </c>
      <c r="R62" s="115" t="s">
        <v>34</v>
      </c>
      <c r="S62" s="122">
        <v>1</v>
      </c>
      <c r="AF62" s="125">
        <v>72478794</v>
      </c>
      <c r="AG62" s="115" t="s">
        <v>537</v>
      </c>
      <c r="AH62" s="121" t="s">
        <v>200</v>
      </c>
      <c r="AI62" s="116">
        <v>45539</v>
      </c>
      <c r="AJ62" s="115">
        <v>24</v>
      </c>
      <c r="AK62" s="115" t="s">
        <v>149</v>
      </c>
      <c r="AL62" s="115" t="s">
        <v>235</v>
      </c>
      <c r="AM62" s="115" t="s">
        <v>313</v>
      </c>
      <c r="AN62" s="115" t="s">
        <v>68</v>
      </c>
      <c r="AO62" s="131">
        <v>1</v>
      </c>
    </row>
    <row r="63" spans="2:41" x14ac:dyDescent="0.25">
      <c r="J63" s="34">
        <v>46113340</v>
      </c>
      <c r="K63" s="1" t="s">
        <v>990</v>
      </c>
      <c r="L63" s="121" t="s">
        <v>200</v>
      </c>
      <c r="M63" s="35">
        <v>44966</v>
      </c>
      <c r="N63" s="115">
        <v>34</v>
      </c>
      <c r="O63" s="115" t="s">
        <v>150</v>
      </c>
      <c r="P63" s="115" t="s">
        <v>162</v>
      </c>
      <c r="Q63" s="115" t="s">
        <v>313</v>
      </c>
      <c r="R63" s="115" t="s">
        <v>68</v>
      </c>
      <c r="S63" s="94">
        <v>1</v>
      </c>
      <c r="AF63" s="125">
        <v>40052620</v>
      </c>
      <c r="AG63" s="115" t="s">
        <v>3214</v>
      </c>
      <c r="AH63" s="121" t="s">
        <v>200</v>
      </c>
      <c r="AI63" s="116">
        <v>45540</v>
      </c>
      <c r="AJ63" s="115">
        <v>45</v>
      </c>
      <c r="AK63" s="115" t="s">
        <v>151</v>
      </c>
      <c r="AL63" s="115" t="s">
        <v>235</v>
      </c>
      <c r="AM63" s="115" t="s">
        <v>313</v>
      </c>
      <c r="AN63" s="115" t="s">
        <v>34</v>
      </c>
      <c r="AO63" s="131">
        <v>1</v>
      </c>
    </row>
    <row r="64" spans="2:41" x14ac:dyDescent="0.25">
      <c r="J64" s="34">
        <v>46373520</v>
      </c>
      <c r="K64" s="115" t="s">
        <v>1841</v>
      </c>
      <c r="L64" s="121" t="s">
        <v>200</v>
      </c>
      <c r="M64" s="116">
        <v>45453</v>
      </c>
      <c r="N64" s="115">
        <v>34</v>
      </c>
      <c r="O64" s="115" t="s">
        <v>150</v>
      </c>
      <c r="P64" s="115" t="s">
        <v>235</v>
      </c>
      <c r="Q64" s="115" t="s">
        <v>313</v>
      </c>
      <c r="R64" s="115" t="s">
        <v>68</v>
      </c>
      <c r="S64" s="122">
        <v>1</v>
      </c>
      <c r="AF64" s="125">
        <v>10180513</v>
      </c>
      <c r="AG64" s="115" t="s">
        <v>3215</v>
      </c>
      <c r="AH64" s="121" t="s">
        <v>200</v>
      </c>
      <c r="AI64" s="116">
        <v>45538</v>
      </c>
      <c r="AJ64" s="115">
        <v>49</v>
      </c>
      <c r="AK64" s="115" t="s">
        <v>151</v>
      </c>
      <c r="AL64" s="115" t="s">
        <v>235</v>
      </c>
      <c r="AM64" s="115" t="s">
        <v>313</v>
      </c>
      <c r="AN64" s="115" t="s">
        <v>105</v>
      </c>
      <c r="AO64" s="131">
        <v>1</v>
      </c>
    </row>
    <row r="65" spans="10:41" x14ac:dyDescent="0.25">
      <c r="J65" s="125">
        <v>47004135</v>
      </c>
      <c r="K65" s="115" t="s">
        <v>1157</v>
      </c>
      <c r="L65" s="121" t="s">
        <v>200</v>
      </c>
      <c r="M65" s="116">
        <v>45253</v>
      </c>
      <c r="N65" s="115">
        <v>26</v>
      </c>
      <c r="O65" s="115" t="s">
        <v>149</v>
      </c>
      <c r="P65" s="115" t="s">
        <v>162</v>
      </c>
      <c r="Q65" s="115" t="s">
        <v>313</v>
      </c>
      <c r="R65" s="115" t="s">
        <v>34</v>
      </c>
      <c r="S65" s="122">
        <v>1</v>
      </c>
      <c r="AF65" s="125">
        <v>43028691</v>
      </c>
      <c r="AG65" s="115" t="s">
        <v>3216</v>
      </c>
      <c r="AH65" s="121" t="s">
        <v>200</v>
      </c>
      <c r="AI65" s="116">
        <v>45539</v>
      </c>
      <c r="AJ65" s="115">
        <v>39</v>
      </c>
      <c r="AK65" s="115" t="s">
        <v>150</v>
      </c>
      <c r="AL65" s="115" t="s">
        <v>235</v>
      </c>
      <c r="AM65" s="115" t="s">
        <v>313</v>
      </c>
      <c r="AN65" s="115" t="s">
        <v>34</v>
      </c>
      <c r="AO65" s="131">
        <v>1</v>
      </c>
    </row>
    <row r="66" spans="10:41" x14ac:dyDescent="0.25">
      <c r="J66" s="34">
        <v>47120068</v>
      </c>
      <c r="K66" s="1" t="s">
        <v>79</v>
      </c>
      <c r="L66" s="121" t="s">
        <v>200</v>
      </c>
      <c r="M66" s="35">
        <v>44398</v>
      </c>
      <c r="N66" s="115">
        <v>32</v>
      </c>
      <c r="O66" s="115" t="s">
        <v>150</v>
      </c>
      <c r="P66" s="115" t="s">
        <v>235</v>
      </c>
      <c r="Q66" s="115" t="s">
        <v>313</v>
      </c>
      <c r="R66" s="115" t="s">
        <v>34</v>
      </c>
      <c r="S66" s="94">
        <v>1</v>
      </c>
      <c r="AF66" s="125">
        <v>25576253</v>
      </c>
      <c r="AG66" s="115" t="s">
        <v>2829</v>
      </c>
      <c r="AH66" s="121" t="s">
        <v>200</v>
      </c>
      <c r="AI66" s="116">
        <v>45540</v>
      </c>
      <c r="AJ66" s="115">
        <v>56</v>
      </c>
      <c r="AK66" s="115" t="s">
        <v>152</v>
      </c>
      <c r="AL66" s="115" t="s">
        <v>235</v>
      </c>
      <c r="AM66" s="115" t="s">
        <v>313</v>
      </c>
      <c r="AN66" s="115" t="s">
        <v>34</v>
      </c>
      <c r="AO66" s="131">
        <v>1</v>
      </c>
    </row>
    <row r="67" spans="10:41" x14ac:dyDescent="0.25">
      <c r="J67" s="34">
        <v>47210380</v>
      </c>
      <c r="K67" s="115" t="s">
        <v>2035</v>
      </c>
      <c r="L67" s="121" t="s">
        <v>200</v>
      </c>
      <c r="M67" s="116">
        <v>45383</v>
      </c>
      <c r="N67" s="115">
        <v>33</v>
      </c>
      <c r="O67" s="115" t="s">
        <v>150</v>
      </c>
      <c r="P67" s="115" t="s">
        <v>235</v>
      </c>
      <c r="Q67" s="115" t="s">
        <v>312</v>
      </c>
      <c r="R67" s="115" t="s">
        <v>34</v>
      </c>
      <c r="S67" s="122">
        <v>1</v>
      </c>
      <c r="AF67" s="125">
        <v>72387432</v>
      </c>
      <c r="AG67" s="115" t="s">
        <v>3218</v>
      </c>
      <c r="AH67" s="121" t="s">
        <v>200</v>
      </c>
      <c r="AI67" s="116">
        <v>45551</v>
      </c>
      <c r="AJ67" s="115">
        <v>26</v>
      </c>
      <c r="AK67" s="115" t="s">
        <v>149</v>
      </c>
      <c r="AL67" s="115" t="s">
        <v>235</v>
      </c>
      <c r="AM67" s="115" t="s">
        <v>313</v>
      </c>
      <c r="AN67" s="115" t="s">
        <v>35</v>
      </c>
      <c r="AO67" s="131">
        <v>1</v>
      </c>
    </row>
    <row r="68" spans="10:41" x14ac:dyDescent="0.25">
      <c r="J68" s="34">
        <v>47284706</v>
      </c>
      <c r="K68" s="1" t="s">
        <v>1370</v>
      </c>
      <c r="L68" s="121" t="s">
        <v>200</v>
      </c>
      <c r="M68" s="35">
        <v>44022</v>
      </c>
      <c r="N68" s="115">
        <v>32</v>
      </c>
      <c r="O68" s="115" t="s">
        <v>150</v>
      </c>
      <c r="P68" s="115" t="s">
        <v>1257</v>
      </c>
      <c r="Q68" s="115" t="s">
        <v>313</v>
      </c>
      <c r="R68" s="115" t="s">
        <v>34</v>
      </c>
      <c r="S68" s="94">
        <v>1</v>
      </c>
      <c r="AF68" s="125" t="s">
        <v>3219</v>
      </c>
      <c r="AG68" s="115" t="s">
        <v>3220</v>
      </c>
      <c r="AH68" s="121" t="s">
        <v>200</v>
      </c>
      <c r="AI68" s="116">
        <v>45551</v>
      </c>
      <c r="AJ68" s="115">
        <v>39</v>
      </c>
      <c r="AK68" s="115" t="s">
        <v>150</v>
      </c>
      <c r="AL68" s="115" t="s">
        <v>235</v>
      </c>
      <c r="AM68" s="115" t="s">
        <v>313</v>
      </c>
      <c r="AN68" s="115" t="s">
        <v>36</v>
      </c>
      <c r="AO68" s="131">
        <v>1</v>
      </c>
    </row>
    <row r="69" spans="10:41" x14ac:dyDescent="0.25">
      <c r="J69" s="34">
        <v>47292467</v>
      </c>
      <c r="K69" s="1" t="s">
        <v>1318</v>
      </c>
      <c r="L69" s="121" t="s">
        <v>200</v>
      </c>
      <c r="M69" s="35">
        <v>43456</v>
      </c>
      <c r="N69" s="115">
        <v>34</v>
      </c>
      <c r="O69" s="115" t="s">
        <v>150</v>
      </c>
      <c r="P69" s="115" t="s">
        <v>1257</v>
      </c>
      <c r="Q69" s="115" t="s">
        <v>313</v>
      </c>
      <c r="R69" s="115" t="s">
        <v>36</v>
      </c>
      <c r="S69" s="94">
        <v>1</v>
      </c>
      <c r="AF69" s="125" t="s">
        <v>3221</v>
      </c>
      <c r="AG69" s="115" t="s">
        <v>3222</v>
      </c>
      <c r="AH69" s="121" t="s">
        <v>200</v>
      </c>
      <c r="AI69" s="116">
        <v>45540</v>
      </c>
      <c r="AJ69" s="115">
        <v>22</v>
      </c>
      <c r="AK69" s="115" t="s">
        <v>148</v>
      </c>
      <c r="AL69" s="115" t="s">
        <v>162</v>
      </c>
      <c r="AM69" s="115" t="s">
        <v>313</v>
      </c>
      <c r="AN69" s="115" t="s">
        <v>72</v>
      </c>
      <c r="AO69" s="131">
        <v>1</v>
      </c>
    </row>
    <row r="70" spans="10:41" x14ac:dyDescent="0.25">
      <c r="J70" s="125">
        <v>47376865</v>
      </c>
      <c r="K70" s="115" t="s">
        <v>981</v>
      </c>
      <c r="L70" s="121" t="s">
        <v>201</v>
      </c>
      <c r="M70" s="116">
        <v>44677</v>
      </c>
      <c r="N70" s="115">
        <v>34</v>
      </c>
      <c r="O70" s="115" t="s">
        <v>150</v>
      </c>
      <c r="P70" s="115" t="s">
        <v>162</v>
      </c>
      <c r="Q70" s="115" t="s">
        <v>313</v>
      </c>
      <c r="R70" s="115" t="s">
        <v>68</v>
      </c>
      <c r="S70" s="122">
        <v>1</v>
      </c>
      <c r="AF70" s="125" t="s">
        <v>3223</v>
      </c>
      <c r="AG70" s="115" t="s">
        <v>3224</v>
      </c>
      <c r="AH70" s="121" t="s">
        <v>200</v>
      </c>
      <c r="AI70" s="116">
        <v>45540</v>
      </c>
      <c r="AJ70" s="115">
        <v>29</v>
      </c>
      <c r="AK70" s="115" t="s">
        <v>149</v>
      </c>
      <c r="AL70" s="115" t="s">
        <v>162</v>
      </c>
      <c r="AM70" s="115" t="s">
        <v>313</v>
      </c>
      <c r="AN70" s="115" t="s">
        <v>35</v>
      </c>
      <c r="AO70" s="131">
        <v>1</v>
      </c>
    </row>
    <row r="71" spans="10:41" x14ac:dyDescent="0.25">
      <c r="J71" s="125">
        <v>47402390</v>
      </c>
      <c r="K71" s="115" t="s">
        <v>819</v>
      </c>
      <c r="L71" s="121" t="s">
        <v>200</v>
      </c>
      <c r="M71" s="116">
        <v>45441</v>
      </c>
      <c r="N71" s="115">
        <v>33</v>
      </c>
      <c r="O71" s="115" t="s">
        <v>150</v>
      </c>
      <c r="P71" s="115" t="s">
        <v>235</v>
      </c>
      <c r="Q71" s="115" t="s">
        <v>313</v>
      </c>
      <c r="R71" s="115" t="s">
        <v>68</v>
      </c>
      <c r="S71" s="122">
        <v>1</v>
      </c>
      <c r="AF71" s="125" t="s">
        <v>3225</v>
      </c>
      <c r="AG71" s="115" t="s">
        <v>3226</v>
      </c>
      <c r="AH71" s="121" t="s">
        <v>200</v>
      </c>
      <c r="AI71" s="116">
        <v>45540</v>
      </c>
      <c r="AJ71" s="115">
        <v>22</v>
      </c>
      <c r="AK71" s="115" t="s">
        <v>148</v>
      </c>
      <c r="AL71" s="115" t="s">
        <v>162</v>
      </c>
      <c r="AM71" s="115" t="s">
        <v>313</v>
      </c>
      <c r="AN71" s="115" t="s">
        <v>36</v>
      </c>
      <c r="AO71" s="131">
        <v>1</v>
      </c>
    </row>
    <row r="72" spans="10:41" x14ac:dyDescent="0.25">
      <c r="J72" s="34">
        <v>47553390</v>
      </c>
      <c r="K72" s="1" t="s">
        <v>1347</v>
      </c>
      <c r="L72" s="1" t="s">
        <v>201</v>
      </c>
      <c r="M72" s="35">
        <v>44728</v>
      </c>
      <c r="N72" s="115">
        <v>31</v>
      </c>
      <c r="O72" s="115" t="s">
        <v>149</v>
      </c>
      <c r="P72" s="115" t="s">
        <v>1257</v>
      </c>
      <c r="Q72" s="115" t="s">
        <v>313</v>
      </c>
      <c r="R72" s="115" t="s">
        <v>72</v>
      </c>
      <c r="S72" s="94">
        <v>1</v>
      </c>
      <c r="AF72" s="125" t="s">
        <v>3230</v>
      </c>
      <c r="AG72" s="115" t="s">
        <v>3231</v>
      </c>
      <c r="AH72" s="121" t="s">
        <v>200</v>
      </c>
      <c r="AI72" s="116">
        <v>45551</v>
      </c>
      <c r="AJ72" s="115">
        <v>23</v>
      </c>
      <c r="AK72" s="115" t="s">
        <v>148</v>
      </c>
      <c r="AL72" s="115" t="s">
        <v>235</v>
      </c>
      <c r="AM72" s="115" t="s">
        <v>313</v>
      </c>
      <c r="AN72" s="115" t="s">
        <v>68</v>
      </c>
      <c r="AO72" s="131">
        <v>1</v>
      </c>
    </row>
    <row r="73" spans="10:41" x14ac:dyDescent="0.25">
      <c r="J73" s="34">
        <v>47643733</v>
      </c>
      <c r="K73" s="1" t="s">
        <v>109</v>
      </c>
      <c r="L73" s="121" t="s">
        <v>201</v>
      </c>
      <c r="M73" s="35">
        <v>44015</v>
      </c>
      <c r="N73" s="115">
        <v>31</v>
      </c>
      <c r="O73" s="115" t="s">
        <v>149</v>
      </c>
      <c r="P73" s="115" t="s">
        <v>235</v>
      </c>
      <c r="Q73" s="115" t="s">
        <v>313</v>
      </c>
      <c r="R73" s="115" t="s">
        <v>36</v>
      </c>
      <c r="S73" s="94">
        <v>1</v>
      </c>
      <c r="AF73" s="125" t="s">
        <v>3232</v>
      </c>
      <c r="AG73" s="115" t="s">
        <v>3233</v>
      </c>
      <c r="AH73" s="121" t="s">
        <v>200</v>
      </c>
      <c r="AI73" s="116">
        <v>45540</v>
      </c>
      <c r="AJ73" s="115">
        <v>18</v>
      </c>
      <c r="AK73" s="115" t="s">
        <v>148</v>
      </c>
      <c r="AL73" s="115" t="s">
        <v>235</v>
      </c>
      <c r="AM73" s="115" t="s">
        <v>313</v>
      </c>
      <c r="AN73" s="115" t="s">
        <v>72</v>
      </c>
      <c r="AO73" s="131">
        <v>1</v>
      </c>
    </row>
    <row r="74" spans="10:41" x14ac:dyDescent="0.25">
      <c r="J74" s="96">
        <v>48011814</v>
      </c>
      <c r="K74" s="38" t="s">
        <v>1348</v>
      </c>
      <c r="L74" s="121" t="s">
        <v>200</v>
      </c>
      <c r="M74" s="116">
        <v>43102</v>
      </c>
      <c r="N74" s="115">
        <v>34</v>
      </c>
      <c r="O74" s="115" t="s">
        <v>150</v>
      </c>
      <c r="P74" s="115" t="s">
        <v>1257</v>
      </c>
      <c r="Q74" s="115" t="s">
        <v>313</v>
      </c>
      <c r="R74" s="115" t="s">
        <v>68</v>
      </c>
      <c r="S74" s="122">
        <v>1</v>
      </c>
      <c r="AF74" s="125" t="s">
        <v>3234</v>
      </c>
      <c r="AG74" s="115" t="s">
        <v>3235</v>
      </c>
      <c r="AH74" s="121" t="s">
        <v>200</v>
      </c>
      <c r="AI74" s="116">
        <v>45552</v>
      </c>
      <c r="AJ74" s="115">
        <v>36</v>
      </c>
      <c r="AK74" s="115" t="s">
        <v>150</v>
      </c>
      <c r="AL74" s="115" t="s">
        <v>235</v>
      </c>
      <c r="AM74" s="115" t="s">
        <v>313</v>
      </c>
      <c r="AN74" s="115" t="s">
        <v>34</v>
      </c>
      <c r="AO74" s="131">
        <v>1</v>
      </c>
    </row>
    <row r="75" spans="10:41" x14ac:dyDescent="0.25">
      <c r="J75" s="124">
        <v>48108401</v>
      </c>
      <c r="K75" s="115" t="s">
        <v>2153</v>
      </c>
      <c r="L75" s="121" t="s">
        <v>200</v>
      </c>
      <c r="M75" s="116">
        <v>45463</v>
      </c>
      <c r="N75" s="115">
        <v>32</v>
      </c>
      <c r="O75" s="115" t="s">
        <v>150</v>
      </c>
      <c r="P75" s="115" t="s">
        <v>235</v>
      </c>
      <c r="Q75" s="115" t="s">
        <v>313</v>
      </c>
      <c r="R75" s="115" t="s">
        <v>35</v>
      </c>
      <c r="S75" s="122">
        <v>1</v>
      </c>
      <c r="AF75" s="125" t="s">
        <v>3236</v>
      </c>
      <c r="AG75" s="115" t="s">
        <v>3237</v>
      </c>
      <c r="AH75" s="121" t="s">
        <v>200</v>
      </c>
      <c r="AI75" s="116">
        <v>45547</v>
      </c>
      <c r="AJ75" s="115">
        <v>40</v>
      </c>
      <c r="AK75" s="115" t="s">
        <v>150</v>
      </c>
      <c r="AL75" s="115" t="s">
        <v>235</v>
      </c>
      <c r="AM75" s="115" t="s">
        <v>313</v>
      </c>
      <c r="AN75" s="115" t="s">
        <v>34</v>
      </c>
      <c r="AO75" s="131">
        <v>1</v>
      </c>
    </row>
    <row r="76" spans="10:41" x14ac:dyDescent="0.25">
      <c r="J76" s="125">
        <v>48162018</v>
      </c>
      <c r="K76" s="115" t="s">
        <v>561</v>
      </c>
      <c r="L76" s="121" t="s">
        <v>200</v>
      </c>
      <c r="M76" s="116">
        <v>42443</v>
      </c>
      <c r="N76" s="115">
        <v>31</v>
      </c>
      <c r="O76" s="115" t="s">
        <v>149</v>
      </c>
      <c r="P76" s="115" t="s">
        <v>235</v>
      </c>
      <c r="Q76" s="115" t="s">
        <v>313</v>
      </c>
      <c r="R76" s="115" t="s">
        <v>105</v>
      </c>
      <c r="S76" s="122">
        <v>1</v>
      </c>
      <c r="AF76" s="125" t="s">
        <v>3246</v>
      </c>
      <c r="AG76" s="115" t="s">
        <v>3247</v>
      </c>
      <c r="AH76" s="121" t="s">
        <v>200</v>
      </c>
      <c r="AI76" s="116">
        <v>45538</v>
      </c>
      <c r="AJ76" s="115">
        <v>28</v>
      </c>
      <c r="AK76" s="115" t="s">
        <v>149</v>
      </c>
      <c r="AL76" s="115" t="s">
        <v>235</v>
      </c>
      <c r="AM76" s="115" t="s">
        <v>313</v>
      </c>
      <c r="AN76" s="115" t="s">
        <v>105</v>
      </c>
      <c r="AO76" s="131">
        <v>1</v>
      </c>
    </row>
    <row r="77" spans="10:41" x14ac:dyDescent="0.25">
      <c r="J77" s="34">
        <v>60392301</v>
      </c>
      <c r="K77" s="1" t="s">
        <v>1394</v>
      </c>
      <c r="L77" s="121" t="s">
        <v>200</v>
      </c>
      <c r="M77" s="35">
        <v>44737</v>
      </c>
      <c r="N77" s="115">
        <v>29</v>
      </c>
      <c r="O77" s="115" t="s">
        <v>149</v>
      </c>
      <c r="P77" s="115" t="s">
        <v>1257</v>
      </c>
      <c r="Q77" s="115" t="s">
        <v>313</v>
      </c>
      <c r="R77" s="115" t="s">
        <v>36</v>
      </c>
      <c r="S77" s="94">
        <v>1</v>
      </c>
      <c r="AF77" s="125" t="s">
        <v>3248</v>
      </c>
      <c r="AG77" s="115" t="s">
        <v>3249</v>
      </c>
      <c r="AH77" s="121" t="s">
        <v>200</v>
      </c>
      <c r="AI77" s="116">
        <v>45539</v>
      </c>
      <c r="AJ77" s="115">
        <v>44</v>
      </c>
      <c r="AK77" s="115" t="s">
        <v>151</v>
      </c>
      <c r="AL77" s="115" t="s">
        <v>235</v>
      </c>
      <c r="AM77" s="115" t="s">
        <v>313</v>
      </c>
      <c r="AN77" s="115" t="s">
        <v>72</v>
      </c>
      <c r="AO77" s="131">
        <v>1</v>
      </c>
    </row>
    <row r="78" spans="10:41" x14ac:dyDescent="0.25">
      <c r="J78" s="34">
        <v>60932118</v>
      </c>
      <c r="K78" s="1" t="s">
        <v>1125</v>
      </c>
      <c r="L78" s="1" t="s">
        <v>201</v>
      </c>
      <c r="M78" s="35">
        <v>45035</v>
      </c>
      <c r="N78" s="115">
        <v>22</v>
      </c>
      <c r="O78" s="115" t="s">
        <v>148</v>
      </c>
      <c r="P78" s="115" t="s">
        <v>235</v>
      </c>
      <c r="Q78" s="115" t="s">
        <v>313</v>
      </c>
      <c r="R78" s="115" t="s">
        <v>69</v>
      </c>
      <c r="S78" s="94">
        <v>1</v>
      </c>
      <c r="AF78" s="125" t="s">
        <v>3250</v>
      </c>
      <c r="AG78" s="115" t="s">
        <v>3251</v>
      </c>
      <c r="AH78" s="121" t="s">
        <v>200</v>
      </c>
      <c r="AI78" s="116">
        <v>45553</v>
      </c>
      <c r="AJ78" s="115">
        <v>42</v>
      </c>
      <c r="AK78" s="115" t="s">
        <v>151</v>
      </c>
      <c r="AL78" s="115" t="s">
        <v>235</v>
      </c>
      <c r="AM78" s="115" t="s">
        <v>313</v>
      </c>
      <c r="AN78" s="115" t="s">
        <v>105</v>
      </c>
      <c r="AO78" s="131">
        <v>1</v>
      </c>
    </row>
    <row r="79" spans="10:41" x14ac:dyDescent="0.25">
      <c r="J79" s="34">
        <v>70164906</v>
      </c>
      <c r="K79" s="1" t="s">
        <v>1374</v>
      </c>
      <c r="L79" s="121" t="s">
        <v>200</v>
      </c>
      <c r="M79" s="35">
        <v>44456</v>
      </c>
      <c r="N79" s="115">
        <v>27</v>
      </c>
      <c r="O79" s="115" t="s">
        <v>149</v>
      </c>
      <c r="P79" s="115" t="s">
        <v>1257</v>
      </c>
      <c r="Q79" s="115" t="s">
        <v>313</v>
      </c>
      <c r="R79" s="115" t="s">
        <v>68</v>
      </c>
      <c r="S79" s="94">
        <v>1</v>
      </c>
      <c r="AF79" s="125">
        <v>43287752</v>
      </c>
      <c r="AG79" s="115" t="s">
        <v>3257</v>
      </c>
      <c r="AH79" s="121" t="s">
        <v>200</v>
      </c>
      <c r="AI79" s="116">
        <v>45553</v>
      </c>
      <c r="AJ79" s="115">
        <v>39</v>
      </c>
      <c r="AK79" s="115" t="s">
        <v>150</v>
      </c>
      <c r="AL79" s="115" t="s">
        <v>235</v>
      </c>
      <c r="AM79" s="115" t="s">
        <v>312</v>
      </c>
      <c r="AN79" s="115" t="s">
        <v>36</v>
      </c>
      <c r="AO79" s="131">
        <v>1</v>
      </c>
    </row>
    <row r="80" spans="10:41" x14ac:dyDescent="0.25">
      <c r="J80" s="34">
        <v>70911733</v>
      </c>
      <c r="K80" s="1" t="s">
        <v>996</v>
      </c>
      <c r="L80" s="121" t="s">
        <v>200</v>
      </c>
      <c r="M80" s="35">
        <v>44496</v>
      </c>
      <c r="N80" s="115">
        <v>31</v>
      </c>
      <c r="O80" s="115" t="s">
        <v>149</v>
      </c>
      <c r="P80" s="115" t="s">
        <v>162</v>
      </c>
      <c r="Q80" s="115" t="s">
        <v>313</v>
      </c>
      <c r="R80" s="115" t="s">
        <v>69</v>
      </c>
      <c r="S80" s="94">
        <v>1</v>
      </c>
      <c r="AF80" s="125">
        <v>74979099</v>
      </c>
      <c r="AG80" s="115" t="s">
        <v>3259</v>
      </c>
      <c r="AH80" s="121" t="s">
        <v>200</v>
      </c>
      <c r="AI80" s="116">
        <v>45538</v>
      </c>
      <c r="AJ80" s="115">
        <v>27</v>
      </c>
      <c r="AK80" s="115" t="s">
        <v>149</v>
      </c>
      <c r="AL80" s="115" t="s">
        <v>235</v>
      </c>
      <c r="AM80" s="115" t="s">
        <v>313</v>
      </c>
      <c r="AN80" s="115" t="s">
        <v>36</v>
      </c>
      <c r="AO80" s="131">
        <v>1</v>
      </c>
    </row>
    <row r="81" spans="10:41" x14ac:dyDescent="0.25">
      <c r="J81" s="34">
        <v>71793601</v>
      </c>
      <c r="K81" s="1" t="s">
        <v>1398</v>
      </c>
      <c r="L81" s="121" t="s">
        <v>200</v>
      </c>
      <c r="M81" s="35">
        <v>44878</v>
      </c>
      <c r="N81" s="115">
        <v>24</v>
      </c>
      <c r="O81" s="115" t="s">
        <v>149</v>
      </c>
      <c r="P81" s="115" t="s">
        <v>1257</v>
      </c>
      <c r="Q81" s="115" t="s">
        <v>313</v>
      </c>
      <c r="R81" s="115" t="s">
        <v>36</v>
      </c>
      <c r="S81" s="94">
        <v>1</v>
      </c>
      <c r="AF81" s="125">
        <v>73760919</v>
      </c>
      <c r="AG81" s="115" t="s">
        <v>3260</v>
      </c>
      <c r="AH81" s="121" t="s">
        <v>200</v>
      </c>
      <c r="AI81" s="116">
        <v>45538</v>
      </c>
      <c r="AJ81" s="115">
        <v>30</v>
      </c>
      <c r="AK81" s="115" t="s">
        <v>149</v>
      </c>
      <c r="AL81" s="115" t="s">
        <v>235</v>
      </c>
      <c r="AM81" s="115" t="s">
        <v>313</v>
      </c>
      <c r="AN81" s="115" t="s">
        <v>72</v>
      </c>
      <c r="AO81" s="131">
        <v>1</v>
      </c>
    </row>
    <row r="82" spans="10:41" x14ac:dyDescent="0.25">
      <c r="J82" s="34">
        <v>71967353</v>
      </c>
      <c r="K82" s="1" t="s">
        <v>2883</v>
      </c>
      <c r="L82" s="121" t="s">
        <v>200</v>
      </c>
      <c r="M82" s="35">
        <v>44446</v>
      </c>
      <c r="N82" s="115">
        <v>27</v>
      </c>
      <c r="O82" s="115" t="s">
        <v>149</v>
      </c>
      <c r="P82" s="115" t="s">
        <v>235</v>
      </c>
      <c r="Q82" s="115" t="s">
        <v>313</v>
      </c>
      <c r="R82" s="115" t="s">
        <v>34</v>
      </c>
      <c r="S82" s="94">
        <v>1</v>
      </c>
      <c r="AF82" s="125">
        <v>73779992</v>
      </c>
      <c r="AG82" s="115" t="s">
        <v>3263</v>
      </c>
      <c r="AH82" s="121" t="s">
        <v>200</v>
      </c>
      <c r="AI82" s="116">
        <v>45545</v>
      </c>
      <c r="AJ82" s="115">
        <v>28</v>
      </c>
      <c r="AK82" s="115" t="s">
        <v>149</v>
      </c>
      <c r="AL82" s="115" t="s">
        <v>235</v>
      </c>
      <c r="AM82" s="115" t="s">
        <v>313</v>
      </c>
      <c r="AN82" s="115" t="s">
        <v>72</v>
      </c>
      <c r="AO82" s="131">
        <v>1</v>
      </c>
    </row>
    <row r="83" spans="10:41" x14ac:dyDescent="0.25">
      <c r="J83" s="34">
        <v>72483120</v>
      </c>
      <c r="K83" s="1" t="s">
        <v>1372</v>
      </c>
      <c r="L83" s="121" t="s">
        <v>200</v>
      </c>
      <c r="M83" s="35">
        <v>43876</v>
      </c>
      <c r="N83" s="115">
        <v>31</v>
      </c>
      <c r="O83" s="115" t="s">
        <v>149</v>
      </c>
      <c r="P83" s="115" t="s">
        <v>1257</v>
      </c>
      <c r="Q83" s="115" t="s">
        <v>313</v>
      </c>
      <c r="R83" s="115" t="s">
        <v>36</v>
      </c>
      <c r="S83" s="94">
        <v>1</v>
      </c>
      <c r="AF83" s="125">
        <v>45828949</v>
      </c>
      <c r="AG83" s="115" t="s">
        <v>3265</v>
      </c>
      <c r="AH83" s="121" t="s">
        <v>200</v>
      </c>
      <c r="AI83" s="116">
        <v>45553</v>
      </c>
      <c r="AJ83" s="115">
        <v>35</v>
      </c>
      <c r="AK83" s="115" t="s">
        <v>150</v>
      </c>
      <c r="AL83" s="115" t="s">
        <v>235</v>
      </c>
      <c r="AM83" s="115" t="s">
        <v>313</v>
      </c>
      <c r="AN83" s="115" t="s">
        <v>34</v>
      </c>
      <c r="AO83" s="131">
        <v>1</v>
      </c>
    </row>
    <row r="84" spans="10:41" x14ac:dyDescent="0.25">
      <c r="J84" s="124">
        <v>72724419</v>
      </c>
      <c r="K84" s="38" t="s">
        <v>1985</v>
      </c>
      <c r="L84" s="121" t="s">
        <v>200</v>
      </c>
      <c r="M84" s="116">
        <v>45320</v>
      </c>
      <c r="N84" s="115">
        <v>27</v>
      </c>
      <c r="O84" s="115" t="s">
        <v>149</v>
      </c>
      <c r="P84" s="116">
        <v>45549</v>
      </c>
      <c r="Q84" s="115" t="s">
        <v>313</v>
      </c>
      <c r="R84" s="115" t="s">
        <v>34</v>
      </c>
      <c r="S84" s="122">
        <v>1</v>
      </c>
      <c r="AF84" s="125" t="s">
        <v>3269</v>
      </c>
      <c r="AG84" s="115" t="s">
        <v>3270</v>
      </c>
      <c r="AH84" s="121" t="s">
        <v>200</v>
      </c>
      <c r="AI84" s="116">
        <v>45540</v>
      </c>
      <c r="AJ84" s="115">
        <v>25</v>
      </c>
      <c r="AK84" s="115" t="s">
        <v>149</v>
      </c>
      <c r="AL84" s="115" t="s">
        <v>235</v>
      </c>
      <c r="AM84" s="115" t="s">
        <v>313</v>
      </c>
      <c r="AN84" s="115" t="s">
        <v>34</v>
      </c>
      <c r="AO84" s="131">
        <v>1</v>
      </c>
    </row>
    <row r="85" spans="10:41" x14ac:dyDescent="0.25">
      <c r="J85" s="125">
        <v>72726090</v>
      </c>
      <c r="K85" s="115" t="s">
        <v>1190</v>
      </c>
      <c r="L85" s="121" t="s">
        <v>200</v>
      </c>
      <c r="M85" s="116">
        <v>44774</v>
      </c>
      <c r="N85" s="115">
        <v>25</v>
      </c>
      <c r="O85" s="115" t="s">
        <v>149</v>
      </c>
      <c r="P85" s="115" t="s">
        <v>162</v>
      </c>
      <c r="Q85" s="115" t="s">
        <v>313</v>
      </c>
      <c r="R85" s="115" t="s">
        <v>68</v>
      </c>
      <c r="S85" s="122">
        <v>1</v>
      </c>
      <c r="AF85" s="125" t="s">
        <v>3276</v>
      </c>
      <c r="AG85" s="115" t="s">
        <v>3277</v>
      </c>
      <c r="AH85" s="121" t="s">
        <v>200</v>
      </c>
      <c r="AI85" s="116">
        <v>45537</v>
      </c>
      <c r="AJ85" s="115">
        <v>27</v>
      </c>
      <c r="AK85" s="115" t="s">
        <v>149</v>
      </c>
      <c r="AL85" s="115" t="s">
        <v>235</v>
      </c>
      <c r="AM85" s="115" t="s">
        <v>313</v>
      </c>
      <c r="AN85" s="115" t="s">
        <v>34</v>
      </c>
      <c r="AO85" s="131">
        <v>1</v>
      </c>
    </row>
    <row r="86" spans="10:41" x14ac:dyDescent="0.25">
      <c r="J86" s="34">
        <v>72970514</v>
      </c>
      <c r="K86" s="1" t="s">
        <v>392</v>
      </c>
      <c r="L86" s="121" t="s">
        <v>200</v>
      </c>
      <c r="M86" s="35">
        <v>44886</v>
      </c>
      <c r="N86" s="115">
        <v>29</v>
      </c>
      <c r="O86" s="115" t="s">
        <v>149</v>
      </c>
      <c r="P86" s="115" t="s">
        <v>235</v>
      </c>
      <c r="Q86" s="115" t="s">
        <v>313</v>
      </c>
      <c r="R86" s="115" t="s">
        <v>68</v>
      </c>
      <c r="S86" s="94">
        <v>1</v>
      </c>
      <c r="AF86" s="125">
        <v>74652611</v>
      </c>
      <c r="AG86" s="115" t="s">
        <v>3289</v>
      </c>
      <c r="AH86" s="121" t="s">
        <v>200</v>
      </c>
      <c r="AI86" s="116">
        <v>45554</v>
      </c>
      <c r="AJ86" s="115">
        <v>20</v>
      </c>
      <c r="AK86" s="115" t="s">
        <v>148</v>
      </c>
      <c r="AL86" s="115" t="s">
        <v>162</v>
      </c>
      <c r="AM86" s="115" t="s">
        <v>313</v>
      </c>
      <c r="AN86" s="115" t="s">
        <v>34</v>
      </c>
      <c r="AO86" s="131">
        <v>1</v>
      </c>
    </row>
    <row r="87" spans="10:41" x14ac:dyDescent="0.25">
      <c r="J87" s="34">
        <v>73248223</v>
      </c>
      <c r="K87" s="1" t="s">
        <v>1340</v>
      </c>
      <c r="L87" s="121" t="s">
        <v>200</v>
      </c>
      <c r="M87" s="35">
        <v>45030</v>
      </c>
      <c r="N87" s="115">
        <v>27</v>
      </c>
      <c r="O87" s="115" t="s">
        <v>149</v>
      </c>
      <c r="P87" s="115" t="s">
        <v>1257</v>
      </c>
      <c r="Q87" s="115" t="s">
        <v>313</v>
      </c>
      <c r="R87" s="115" t="s">
        <v>36</v>
      </c>
      <c r="S87" s="94">
        <v>1</v>
      </c>
      <c r="AF87" s="125">
        <v>60782024</v>
      </c>
      <c r="AG87" s="115" t="s">
        <v>3291</v>
      </c>
      <c r="AH87" s="121" t="s">
        <v>200</v>
      </c>
      <c r="AI87" s="116">
        <v>45545</v>
      </c>
      <c r="AJ87" s="115">
        <v>18</v>
      </c>
      <c r="AK87" s="115" t="s">
        <v>148</v>
      </c>
      <c r="AL87" s="115" t="s">
        <v>1764</v>
      </c>
      <c r="AM87" s="115" t="s">
        <v>312</v>
      </c>
      <c r="AN87" s="115" t="s">
        <v>34</v>
      </c>
      <c r="AO87" s="131">
        <v>1</v>
      </c>
    </row>
    <row r="88" spans="10:41" x14ac:dyDescent="0.25">
      <c r="J88" s="34">
        <v>73272851</v>
      </c>
      <c r="K88" s="1" t="s">
        <v>967</v>
      </c>
      <c r="L88" s="121" t="s">
        <v>200</v>
      </c>
      <c r="M88" s="116">
        <v>45189</v>
      </c>
      <c r="N88" s="115">
        <v>32</v>
      </c>
      <c r="O88" s="115" t="s">
        <v>150</v>
      </c>
      <c r="P88" s="115" t="s">
        <v>235</v>
      </c>
      <c r="Q88" s="115" t="s">
        <v>313</v>
      </c>
      <c r="R88" s="115" t="s">
        <v>68</v>
      </c>
      <c r="S88" s="122">
        <v>0.5</v>
      </c>
      <c r="AF88" s="125" t="s">
        <v>3299</v>
      </c>
      <c r="AG88" s="115" t="s">
        <v>3300</v>
      </c>
      <c r="AH88" s="121" t="s">
        <v>200</v>
      </c>
      <c r="AI88" s="116">
        <v>45536</v>
      </c>
      <c r="AJ88" s="115">
        <v>20</v>
      </c>
      <c r="AK88" s="115" t="s">
        <v>148</v>
      </c>
      <c r="AL88" s="115" t="s">
        <v>162</v>
      </c>
      <c r="AM88" s="115" t="s">
        <v>313</v>
      </c>
      <c r="AN88" s="115" t="s">
        <v>34</v>
      </c>
      <c r="AO88" s="131">
        <v>1</v>
      </c>
    </row>
    <row r="89" spans="10:41" x14ac:dyDescent="0.25">
      <c r="J89" s="123">
        <v>73675908</v>
      </c>
      <c r="K89" s="38" t="s">
        <v>1371</v>
      </c>
      <c r="L89" s="121" t="s">
        <v>200</v>
      </c>
      <c r="M89" s="116">
        <v>43798</v>
      </c>
      <c r="N89" s="115">
        <v>27</v>
      </c>
      <c r="O89" s="115" t="s">
        <v>149</v>
      </c>
      <c r="P89" s="116">
        <v>45558</v>
      </c>
      <c r="Q89" s="115" t="s">
        <v>313</v>
      </c>
      <c r="R89" s="115" t="s">
        <v>68</v>
      </c>
      <c r="S89" s="122">
        <v>1</v>
      </c>
      <c r="AF89" s="125" t="s">
        <v>3302</v>
      </c>
      <c r="AG89" s="115" t="s">
        <v>3303</v>
      </c>
      <c r="AH89" s="121" t="s">
        <v>200</v>
      </c>
      <c r="AI89" s="116">
        <v>45536</v>
      </c>
      <c r="AJ89" s="115">
        <v>19</v>
      </c>
      <c r="AK89" s="115" t="s">
        <v>148</v>
      </c>
      <c r="AL89" s="115" t="s">
        <v>162</v>
      </c>
      <c r="AM89" s="115" t="s">
        <v>313</v>
      </c>
      <c r="AN89" s="115" t="s">
        <v>34</v>
      </c>
      <c r="AO89" s="131">
        <v>1</v>
      </c>
    </row>
    <row r="90" spans="10:41" x14ac:dyDescent="0.25">
      <c r="J90" s="34">
        <v>74566254</v>
      </c>
      <c r="K90" s="1" t="s">
        <v>1382</v>
      </c>
      <c r="L90" s="121" t="s">
        <v>200</v>
      </c>
      <c r="M90" s="35">
        <v>44561</v>
      </c>
      <c r="N90" s="115">
        <v>28</v>
      </c>
      <c r="O90" s="115" t="s">
        <v>149</v>
      </c>
      <c r="P90" s="115" t="s">
        <v>1257</v>
      </c>
      <c r="Q90" s="115" t="s">
        <v>313</v>
      </c>
      <c r="R90" s="115" t="s">
        <v>36</v>
      </c>
      <c r="S90" s="94">
        <v>1</v>
      </c>
      <c r="AF90" s="125" t="s">
        <v>3304</v>
      </c>
      <c r="AG90" s="115" t="s">
        <v>3305</v>
      </c>
      <c r="AH90" s="121" t="s">
        <v>200</v>
      </c>
      <c r="AI90" s="116">
        <v>45536</v>
      </c>
      <c r="AJ90" s="115">
        <v>24</v>
      </c>
      <c r="AK90" s="115" t="s">
        <v>149</v>
      </c>
      <c r="AL90" s="115" t="s">
        <v>162</v>
      </c>
      <c r="AM90" s="115" t="s">
        <v>313</v>
      </c>
      <c r="AN90" s="115" t="s">
        <v>34</v>
      </c>
      <c r="AO90" s="131">
        <v>1</v>
      </c>
    </row>
    <row r="91" spans="10:41" x14ac:dyDescent="0.25">
      <c r="J91" s="34">
        <v>74611044</v>
      </c>
      <c r="K91" s="1" t="s">
        <v>1375</v>
      </c>
      <c r="L91" s="121" t="s">
        <v>200</v>
      </c>
      <c r="M91" s="35">
        <v>44357</v>
      </c>
      <c r="N91" s="115">
        <v>25</v>
      </c>
      <c r="O91" s="115" t="s">
        <v>149</v>
      </c>
      <c r="P91" s="115" t="s">
        <v>1257</v>
      </c>
      <c r="Q91" s="115" t="s">
        <v>313</v>
      </c>
      <c r="R91" s="115" t="s">
        <v>36</v>
      </c>
      <c r="S91" s="94">
        <v>1</v>
      </c>
      <c r="AF91" s="125" t="s">
        <v>3306</v>
      </c>
      <c r="AG91" s="115" t="s">
        <v>3307</v>
      </c>
      <c r="AH91" s="121" t="s">
        <v>200</v>
      </c>
      <c r="AI91" s="116">
        <v>45538</v>
      </c>
      <c r="AJ91" s="115">
        <v>53</v>
      </c>
      <c r="AK91" s="115" t="s">
        <v>152</v>
      </c>
      <c r="AL91" s="115" t="s">
        <v>162</v>
      </c>
      <c r="AM91" s="115" t="s">
        <v>313</v>
      </c>
      <c r="AN91" s="115" t="s">
        <v>34</v>
      </c>
      <c r="AO91" s="131">
        <v>1</v>
      </c>
    </row>
    <row r="92" spans="10:41" x14ac:dyDescent="0.25">
      <c r="J92" s="34">
        <v>75074322</v>
      </c>
      <c r="K92" s="115" t="s">
        <v>3127</v>
      </c>
      <c r="L92" s="121" t="s">
        <v>200</v>
      </c>
      <c r="M92" s="116">
        <v>44977</v>
      </c>
      <c r="N92" s="115">
        <v>28</v>
      </c>
      <c r="O92" s="115" t="s">
        <v>149</v>
      </c>
      <c r="P92" s="115" t="s">
        <v>235</v>
      </c>
      <c r="Q92" s="115" t="s">
        <v>313</v>
      </c>
      <c r="R92" s="115" t="s">
        <v>34</v>
      </c>
      <c r="S92" s="122">
        <v>1</v>
      </c>
      <c r="AF92" s="125" t="s">
        <v>3308</v>
      </c>
      <c r="AG92" s="115" t="s">
        <v>3309</v>
      </c>
      <c r="AH92" s="121" t="s">
        <v>200</v>
      </c>
      <c r="AI92" s="116">
        <v>45540</v>
      </c>
      <c r="AJ92" s="115">
        <v>55</v>
      </c>
      <c r="AK92" s="115" t="s">
        <v>152</v>
      </c>
      <c r="AL92" s="115" t="s">
        <v>162</v>
      </c>
      <c r="AM92" s="115" t="s">
        <v>313</v>
      </c>
      <c r="AN92" s="115" t="s">
        <v>34</v>
      </c>
      <c r="AO92" s="131">
        <v>1</v>
      </c>
    </row>
    <row r="93" spans="10:41" x14ac:dyDescent="0.25">
      <c r="J93" s="34">
        <v>76208852</v>
      </c>
      <c r="K93" s="1" t="s">
        <v>1333</v>
      </c>
      <c r="L93" s="121" t="s">
        <v>200</v>
      </c>
      <c r="M93" s="35">
        <v>45031</v>
      </c>
      <c r="N93" s="115">
        <v>27</v>
      </c>
      <c r="O93" s="115" t="s">
        <v>149</v>
      </c>
      <c r="P93" s="115" t="s">
        <v>1257</v>
      </c>
      <c r="Q93" s="115" t="s">
        <v>313</v>
      </c>
      <c r="R93" s="115" t="s">
        <v>69</v>
      </c>
      <c r="S93" s="94">
        <v>1</v>
      </c>
      <c r="AF93" s="125" t="s">
        <v>3313</v>
      </c>
      <c r="AG93" s="115" t="s">
        <v>3314</v>
      </c>
      <c r="AH93" s="121" t="s">
        <v>200</v>
      </c>
      <c r="AI93" s="116">
        <v>45547</v>
      </c>
      <c r="AJ93" s="115">
        <v>53</v>
      </c>
      <c r="AK93" s="115" t="s">
        <v>152</v>
      </c>
      <c r="AL93" s="115" t="s">
        <v>162</v>
      </c>
      <c r="AM93" s="115" t="s">
        <v>313</v>
      </c>
      <c r="AN93" s="115" t="s">
        <v>34</v>
      </c>
      <c r="AO93" s="131">
        <v>1</v>
      </c>
    </row>
    <row r="94" spans="10:41" x14ac:dyDescent="0.25">
      <c r="J94" s="34">
        <v>77281673</v>
      </c>
      <c r="K94" s="115" t="s">
        <v>1122</v>
      </c>
      <c r="L94" s="121" t="s">
        <v>200</v>
      </c>
      <c r="M94" s="116">
        <v>45035</v>
      </c>
      <c r="N94" s="115">
        <v>29</v>
      </c>
      <c r="O94" s="115" t="s">
        <v>149</v>
      </c>
      <c r="P94" s="115" t="s">
        <v>235</v>
      </c>
      <c r="Q94" s="115" t="s">
        <v>313</v>
      </c>
      <c r="R94" s="115" t="s">
        <v>72</v>
      </c>
      <c r="S94" s="122">
        <v>1</v>
      </c>
      <c r="AF94" s="125" t="s">
        <v>3315</v>
      </c>
      <c r="AG94" s="115" t="s">
        <v>3316</v>
      </c>
      <c r="AH94" s="121" t="s">
        <v>200</v>
      </c>
      <c r="AI94" s="116">
        <v>45549</v>
      </c>
      <c r="AJ94" s="115">
        <v>43</v>
      </c>
      <c r="AK94" s="115" t="s">
        <v>151</v>
      </c>
      <c r="AL94" s="115" t="s">
        <v>162</v>
      </c>
      <c r="AM94" s="115" t="s">
        <v>313</v>
      </c>
      <c r="AN94" s="115" t="s">
        <v>34</v>
      </c>
      <c r="AO94" s="131">
        <v>1</v>
      </c>
    </row>
    <row r="95" spans="10:41" x14ac:dyDescent="0.25">
      <c r="J95" s="34">
        <v>80241666</v>
      </c>
      <c r="K95" s="1" t="s">
        <v>116</v>
      </c>
      <c r="L95" s="1" t="s">
        <v>201</v>
      </c>
      <c r="M95" s="35">
        <v>43993</v>
      </c>
      <c r="N95" s="115">
        <v>48</v>
      </c>
      <c r="O95" s="115" t="s">
        <v>151</v>
      </c>
      <c r="P95" s="115" t="s">
        <v>235</v>
      </c>
      <c r="Q95" s="115" t="s">
        <v>313</v>
      </c>
      <c r="R95" s="115" t="s">
        <v>34</v>
      </c>
      <c r="S95" s="94">
        <v>1</v>
      </c>
      <c r="AF95" s="125" t="s">
        <v>3317</v>
      </c>
      <c r="AG95" s="115" t="s">
        <v>3318</v>
      </c>
      <c r="AH95" s="121" t="s">
        <v>200</v>
      </c>
      <c r="AI95" s="116">
        <v>45549</v>
      </c>
      <c r="AJ95" s="115">
        <v>40</v>
      </c>
      <c r="AK95" s="115" t="s">
        <v>150</v>
      </c>
      <c r="AL95" s="115" t="s">
        <v>162</v>
      </c>
      <c r="AM95" s="115" t="s">
        <v>313</v>
      </c>
      <c r="AN95" s="115" t="s">
        <v>34</v>
      </c>
      <c r="AO95" s="131">
        <v>1</v>
      </c>
    </row>
    <row r="96" spans="10:41" x14ac:dyDescent="0.25">
      <c r="J96" s="34">
        <v>80320373</v>
      </c>
      <c r="K96" s="1" t="s">
        <v>1351</v>
      </c>
      <c r="L96" s="1" t="s">
        <v>200</v>
      </c>
      <c r="M96" s="35">
        <v>43506</v>
      </c>
      <c r="N96" s="115">
        <v>27</v>
      </c>
      <c r="O96" s="115" t="s">
        <v>149</v>
      </c>
      <c r="P96" s="115" t="s">
        <v>1257</v>
      </c>
      <c r="Q96" s="115" t="s">
        <v>313</v>
      </c>
      <c r="R96" s="115" t="s">
        <v>36</v>
      </c>
      <c r="S96" s="94">
        <v>1</v>
      </c>
      <c r="AF96" s="125" t="s">
        <v>3319</v>
      </c>
      <c r="AG96" s="115" t="s">
        <v>3320</v>
      </c>
      <c r="AH96" s="121" t="s">
        <v>200</v>
      </c>
      <c r="AI96" s="116">
        <v>45553</v>
      </c>
      <c r="AJ96" s="115">
        <v>31</v>
      </c>
      <c r="AK96" s="115" t="s">
        <v>149</v>
      </c>
      <c r="AL96" s="115" t="s">
        <v>162</v>
      </c>
      <c r="AM96" s="115" t="s">
        <v>313</v>
      </c>
      <c r="AN96" s="115" t="s">
        <v>34</v>
      </c>
      <c r="AO96" s="131">
        <v>1</v>
      </c>
    </row>
    <row r="97" spans="10:41" x14ac:dyDescent="0.25">
      <c r="J97" s="34">
        <v>80373840</v>
      </c>
      <c r="K97" s="1" t="s">
        <v>1117</v>
      </c>
      <c r="L97" s="121" t="s">
        <v>200</v>
      </c>
      <c r="M97" s="116">
        <v>44977</v>
      </c>
      <c r="N97" s="115">
        <v>46</v>
      </c>
      <c r="O97" s="115" t="s">
        <v>151</v>
      </c>
      <c r="P97" s="115" t="s">
        <v>235</v>
      </c>
      <c r="Q97" s="115" t="s">
        <v>313</v>
      </c>
      <c r="R97" s="115" t="s">
        <v>34</v>
      </c>
      <c r="S97" s="94">
        <v>1</v>
      </c>
      <c r="AF97" s="125" t="s">
        <v>3322</v>
      </c>
      <c r="AG97" s="115" t="s">
        <v>3323</v>
      </c>
      <c r="AH97" s="121" t="s">
        <v>200</v>
      </c>
      <c r="AI97" s="116">
        <v>45556</v>
      </c>
      <c r="AJ97" s="115">
        <v>36</v>
      </c>
      <c r="AK97" s="115" t="s">
        <v>150</v>
      </c>
      <c r="AL97" s="115" t="s">
        <v>162</v>
      </c>
      <c r="AM97" s="115" t="s">
        <v>313</v>
      </c>
      <c r="AN97" s="115" t="s">
        <v>34</v>
      </c>
      <c r="AO97" s="131">
        <v>1</v>
      </c>
    </row>
    <row r="98" spans="10:41" ht="15.75" thickBot="1" x14ac:dyDescent="0.3">
      <c r="J98" s="34">
        <v>80615148</v>
      </c>
      <c r="K98" s="115" t="s">
        <v>1039</v>
      </c>
      <c r="L98" s="121" t="s">
        <v>200</v>
      </c>
      <c r="M98" s="116">
        <v>45391</v>
      </c>
      <c r="N98" s="115">
        <v>46</v>
      </c>
      <c r="O98" s="115" t="s">
        <v>151</v>
      </c>
      <c r="P98" s="115" t="s">
        <v>235</v>
      </c>
      <c r="Q98" s="115" t="s">
        <v>313</v>
      </c>
      <c r="R98" s="115" t="s">
        <v>69</v>
      </c>
      <c r="S98" s="122">
        <v>1</v>
      </c>
      <c r="AF98" s="125" t="s">
        <v>3324</v>
      </c>
      <c r="AG98" s="115" t="s">
        <v>3325</v>
      </c>
      <c r="AH98" s="121" t="s">
        <v>200</v>
      </c>
      <c r="AI98" s="116">
        <v>45556</v>
      </c>
      <c r="AJ98" s="115">
        <v>59</v>
      </c>
      <c r="AK98" s="115" t="s">
        <v>153</v>
      </c>
      <c r="AL98" s="115" t="s">
        <v>162</v>
      </c>
      <c r="AM98" s="115" t="s">
        <v>313</v>
      </c>
      <c r="AN98" s="115" t="s">
        <v>34</v>
      </c>
      <c r="AO98" s="131">
        <v>1</v>
      </c>
    </row>
    <row r="99" spans="10:41" ht="15.75" thickTop="1" x14ac:dyDescent="0.25">
      <c r="J99" s="34" t="s">
        <v>117</v>
      </c>
      <c r="K99" s="1" t="s">
        <v>118</v>
      </c>
      <c r="L99" s="1" t="s">
        <v>201</v>
      </c>
      <c r="M99" s="35">
        <v>44740</v>
      </c>
      <c r="N99" s="115">
        <v>59</v>
      </c>
      <c r="O99" s="115" t="s">
        <v>153</v>
      </c>
      <c r="P99" s="115" t="s">
        <v>235</v>
      </c>
      <c r="Q99" s="115" t="s">
        <v>313</v>
      </c>
      <c r="R99" s="115" t="s">
        <v>36</v>
      </c>
      <c r="S99" s="94">
        <v>1</v>
      </c>
      <c r="AF99" s="18" t="s">
        <v>23</v>
      </c>
      <c r="AG99" s="19"/>
      <c r="AH99" s="19"/>
      <c r="AI99" s="19"/>
      <c r="AJ99" s="19"/>
      <c r="AK99" s="19"/>
      <c r="AL99" s="19"/>
      <c r="AM99" s="19"/>
      <c r="AN99" s="20"/>
      <c r="AO99" s="39">
        <v>91</v>
      </c>
    </row>
    <row r="100" spans="10:41" x14ac:dyDescent="0.25">
      <c r="J100" s="124" t="s">
        <v>119</v>
      </c>
      <c r="K100" s="38" t="s">
        <v>120</v>
      </c>
      <c r="L100" s="121" t="s">
        <v>201</v>
      </c>
      <c r="M100" s="116">
        <v>44733</v>
      </c>
      <c r="N100" s="115">
        <v>58</v>
      </c>
      <c r="O100" s="115" t="s">
        <v>152</v>
      </c>
      <c r="P100" s="115" t="s">
        <v>235</v>
      </c>
      <c r="Q100" s="115" t="s">
        <v>313</v>
      </c>
      <c r="R100" s="115" t="s">
        <v>68</v>
      </c>
      <c r="S100" s="122">
        <v>1</v>
      </c>
    </row>
    <row r="101" spans="10:41" x14ac:dyDescent="0.25">
      <c r="J101" s="34" t="s">
        <v>113</v>
      </c>
      <c r="K101" s="1" t="s">
        <v>114</v>
      </c>
      <c r="L101" s="1" t="s">
        <v>201</v>
      </c>
      <c r="M101" s="35">
        <v>44335</v>
      </c>
      <c r="N101" s="115">
        <v>50</v>
      </c>
      <c r="O101" s="115" t="s">
        <v>152</v>
      </c>
      <c r="P101" s="115" t="s">
        <v>235</v>
      </c>
      <c r="Q101" s="115" t="s">
        <v>313</v>
      </c>
      <c r="R101" s="115" t="s">
        <v>68</v>
      </c>
      <c r="S101" s="94">
        <v>1</v>
      </c>
    </row>
    <row r="102" spans="10:41" x14ac:dyDescent="0.25">
      <c r="J102" s="34" t="s">
        <v>126</v>
      </c>
      <c r="K102" s="1" t="s">
        <v>127</v>
      </c>
      <c r="L102" s="121" t="s">
        <v>200</v>
      </c>
      <c r="M102" s="35">
        <v>45028</v>
      </c>
      <c r="N102" s="115">
        <v>46</v>
      </c>
      <c r="O102" s="115" t="s">
        <v>151</v>
      </c>
      <c r="P102" s="116">
        <v>45537</v>
      </c>
      <c r="Q102" s="115" t="s">
        <v>313</v>
      </c>
      <c r="R102" s="115" t="s">
        <v>34</v>
      </c>
      <c r="S102" s="122">
        <v>0.5</v>
      </c>
    </row>
    <row r="103" spans="10:41" x14ac:dyDescent="0.25">
      <c r="J103" s="34"/>
      <c r="K103" s="1"/>
      <c r="L103" s="110"/>
      <c r="M103" s="116">
        <v>45540</v>
      </c>
      <c r="N103" s="115">
        <v>46</v>
      </c>
      <c r="O103" s="115" t="s">
        <v>151</v>
      </c>
      <c r="P103" s="115" t="s">
        <v>162</v>
      </c>
      <c r="Q103" s="115" t="s">
        <v>313</v>
      </c>
      <c r="R103" s="115" t="s">
        <v>34</v>
      </c>
      <c r="S103" s="122">
        <v>0.5</v>
      </c>
    </row>
    <row r="104" spans="10:41" x14ac:dyDescent="0.25">
      <c r="J104" s="34" t="s">
        <v>128</v>
      </c>
      <c r="K104" s="1" t="s">
        <v>129</v>
      </c>
      <c r="L104" s="121" t="s">
        <v>200</v>
      </c>
      <c r="M104" s="35">
        <v>45033</v>
      </c>
      <c r="N104" s="115">
        <v>45</v>
      </c>
      <c r="O104" s="115" t="s">
        <v>151</v>
      </c>
      <c r="P104" s="115" t="s">
        <v>235</v>
      </c>
      <c r="Q104" s="115" t="s">
        <v>313</v>
      </c>
      <c r="R104" s="115" t="s">
        <v>34</v>
      </c>
      <c r="S104" s="94">
        <v>1</v>
      </c>
    </row>
    <row r="105" spans="10:41" x14ac:dyDescent="0.25">
      <c r="J105" s="96" t="s">
        <v>121</v>
      </c>
      <c r="K105" s="38" t="s">
        <v>122</v>
      </c>
      <c r="L105" s="121" t="s">
        <v>201</v>
      </c>
      <c r="M105" s="116">
        <v>44774</v>
      </c>
      <c r="N105" s="115">
        <v>43</v>
      </c>
      <c r="O105" s="115" t="s">
        <v>151</v>
      </c>
      <c r="P105" s="115" t="s">
        <v>235</v>
      </c>
      <c r="Q105" s="115" t="s">
        <v>313</v>
      </c>
      <c r="R105" s="115" t="s">
        <v>35</v>
      </c>
      <c r="S105" s="122">
        <v>1</v>
      </c>
    </row>
    <row r="106" spans="10:41" x14ac:dyDescent="0.25">
      <c r="J106" s="34" t="s">
        <v>77</v>
      </c>
      <c r="K106" s="1" t="s">
        <v>78</v>
      </c>
      <c r="L106" s="1" t="s">
        <v>201</v>
      </c>
      <c r="M106" s="35">
        <v>44313</v>
      </c>
      <c r="N106" s="115">
        <v>42</v>
      </c>
      <c r="O106" s="115" t="s">
        <v>151</v>
      </c>
      <c r="P106" s="115" t="s">
        <v>235</v>
      </c>
      <c r="Q106" s="115" t="s">
        <v>313</v>
      </c>
      <c r="R106" s="115" t="s">
        <v>34</v>
      </c>
      <c r="S106" s="94">
        <v>1</v>
      </c>
    </row>
    <row r="107" spans="10:41" x14ac:dyDescent="0.25">
      <c r="J107" s="34" t="s">
        <v>110</v>
      </c>
      <c r="K107" s="1" t="s">
        <v>111</v>
      </c>
      <c r="L107" s="1" t="s">
        <v>201</v>
      </c>
      <c r="M107" s="35">
        <v>44102</v>
      </c>
      <c r="N107" s="115">
        <v>38</v>
      </c>
      <c r="O107" s="115" t="s">
        <v>150</v>
      </c>
      <c r="P107" s="115" t="s">
        <v>235</v>
      </c>
      <c r="Q107" s="115" t="s">
        <v>313</v>
      </c>
      <c r="R107" s="115" t="s">
        <v>36</v>
      </c>
      <c r="S107" s="94">
        <v>1</v>
      </c>
    </row>
    <row r="108" spans="10:41" x14ac:dyDescent="0.25">
      <c r="J108" s="34" t="s">
        <v>95</v>
      </c>
      <c r="K108" s="1" t="s">
        <v>96</v>
      </c>
      <c r="L108" s="121" t="s">
        <v>200</v>
      </c>
      <c r="M108" s="35">
        <v>45068</v>
      </c>
      <c r="N108" s="115">
        <v>32</v>
      </c>
      <c r="O108" s="115" t="s">
        <v>150</v>
      </c>
      <c r="P108" s="115" t="s">
        <v>235</v>
      </c>
      <c r="Q108" s="115" t="s">
        <v>313</v>
      </c>
      <c r="R108" s="115" t="s">
        <v>68</v>
      </c>
      <c r="S108" s="94">
        <v>1</v>
      </c>
    </row>
    <row r="109" spans="10:41" x14ac:dyDescent="0.25">
      <c r="J109" s="34" t="s">
        <v>73</v>
      </c>
      <c r="K109" s="1" t="s">
        <v>74</v>
      </c>
      <c r="L109" s="121" t="s">
        <v>200</v>
      </c>
      <c r="M109" s="35">
        <v>44025</v>
      </c>
      <c r="N109" s="115">
        <v>36</v>
      </c>
      <c r="O109" s="115" t="s">
        <v>150</v>
      </c>
      <c r="P109" s="115" t="s">
        <v>235</v>
      </c>
      <c r="Q109" s="115" t="s">
        <v>313</v>
      </c>
      <c r="R109" s="115" t="s">
        <v>34</v>
      </c>
      <c r="S109" s="94">
        <v>1</v>
      </c>
    </row>
    <row r="110" spans="10:41" x14ac:dyDescent="0.25">
      <c r="J110" s="34" t="s">
        <v>88</v>
      </c>
      <c r="K110" s="1" t="s">
        <v>89</v>
      </c>
      <c r="L110" s="121" t="s">
        <v>200</v>
      </c>
      <c r="M110" s="35">
        <v>44914</v>
      </c>
      <c r="N110" s="115">
        <v>29</v>
      </c>
      <c r="O110" s="115" t="s">
        <v>149</v>
      </c>
      <c r="P110" s="115" t="s">
        <v>235</v>
      </c>
      <c r="Q110" s="115" t="s">
        <v>313</v>
      </c>
      <c r="R110" s="115" t="s">
        <v>68</v>
      </c>
      <c r="S110" s="94">
        <v>1</v>
      </c>
    </row>
    <row r="111" spans="10:41" x14ac:dyDescent="0.25">
      <c r="J111" s="34" t="s">
        <v>92</v>
      </c>
      <c r="K111" s="1" t="s">
        <v>93</v>
      </c>
      <c r="L111" s="1" t="s">
        <v>201</v>
      </c>
      <c r="M111" s="35">
        <v>44974</v>
      </c>
      <c r="N111" s="115">
        <v>24</v>
      </c>
      <c r="O111" s="115" t="s">
        <v>149</v>
      </c>
      <c r="P111" s="115" t="s">
        <v>235</v>
      </c>
      <c r="Q111" s="115" t="s">
        <v>313</v>
      </c>
      <c r="R111" s="115" t="s">
        <v>34</v>
      </c>
      <c r="S111" s="94">
        <v>1</v>
      </c>
    </row>
    <row r="112" spans="10:41" x14ac:dyDescent="0.25">
      <c r="J112" s="34" t="s">
        <v>90</v>
      </c>
      <c r="K112" s="1" t="s">
        <v>91</v>
      </c>
      <c r="L112" s="121" t="s">
        <v>200</v>
      </c>
      <c r="M112" s="35">
        <v>44974</v>
      </c>
      <c r="N112" s="115">
        <v>24</v>
      </c>
      <c r="O112" s="115" t="s">
        <v>149</v>
      </c>
      <c r="P112" s="115" t="s">
        <v>235</v>
      </c>
      <c r="Q112" s="115" t="s">
        <v>313</v>
      </c>
      <c r="R112" s="115" t="s">
        <v>34</v>
      </c>
      <c r="S112" s="94">
        <v>1</v>
      </c>
    </row>
    <row r="113" spans="10:19" x14ac:dyDescent="0.25">
      <c r="J113" s="34" t="s">
        <v>82</v>
      </c>
      <c r="K113" s="1" t="s">
        <v>83</v>
      </c>
      <c r="L113" s="121" t="s">
        <v>200</v>
      </c>
      <c r="M113" s="35">
        <v>44682</v>
      </c>
      <c r="N113" s="115">
        <v>28</v>
      </c>
      <c r="O113" s="115" t="s">
        <v>149</v>
      </c>
      <c r="P113" s="115" t="s">
        <v>235</v>
      </c>
      <c r="Q113" s="115" t="s">
        <v>313</v>
      </c>
      <c r="R113" s="115" t="s">
        <v>34</v>
      </c>
      <c r="S113" s="94">
        <v>1</v>
      </c>
    </row>
    <row r="114" spans="10:19" x14ac:dyDescent="0.25">
      <c r="J114" s="34" t="s">
        <v>86</v>
      </c>
      <c r="K114" s="1" t="s">
        <v>87</v>
      </c>
      <c r="L114" s="121" t="s">
        <v>200</v>
      </c>
      <c r="M114" s="35">
        <v>44909</v>
      </c>
      <c r="N114" s="115">
        <v>25</v>
      </c>
      <c r="O114" s="115" t="s">
        <v>149</v>
      </c>
      <c r="P114" s="115" t="s">
        <v>235</v>
      </c>
      <c r="Q114" s="115" t="s">
        <v>313</v>
      </c>
      <c r="R114" s="115" t="s">
        <v>35</v>
      </c>
      <c r="S114" s="94">
        <v>1</v>
      </c>
    </row>
    <row r="115" spans="10:19" x14ac:dyDescent="0.25">
      <c r="J115" s="34" t="s">
        <v>84</v>
      </c>
      <c r="K115" s="1" t="s">
        <v>85</v>
      </c>
      <c r="L115" s="1" t="s">
        <v>201</v>
      </c>
      <c r="M115" s="35">
        <v>44734</v>
      </c>
      <c r="N115" s="115">
        <v>27</v>
      </c>
      <c r="O115" s="115" t="s">
        <v>149</v>
      </c>
      <c r="P115" s="115" t="s">
        <v>235</v>
      </c>
      <c r="Q115" s="115" t="s">
        <v>313</v>
      </c>
      <c r="R115" s="115" t="s">
        <v>34</v>
      </c>
      <c r="S115" s="94">
        <v>1</v>
      </c>
    </row>
    <row r="116" spans="10:19" x14ac:dyDescent="0.25">
      <c r="J116" s="34" t="s">
        <v>75</v>
      </c>
      <c r="K116" s="1" t="s">
        <v>76</v>
      </c>
      <c r="L116" s="121" t="s">
        <v>200</v>
      </c>
      <c r="M116" s="35">
        <v>44289</v>
      </c>
      <c r="N116" s="115">
        <v>30</v>
      </c>
      <c r="O116" s="115" t="s">
        <v>149</v>
      </c>
      <c r="P116" s="115" t="s">
        <v>235</v>
      </c>
      <c r="Q116" s="115" t="s">
        <v>313</v>
      </c>
      <c r="R116" s="115" t="s">
        <v>68</v>
      </c>
      <c r="S116" s="94">
        <v>1</v>
      </c>
    </row>
    <row r="117" spans="10:19" x14ac:dyDescent="0.25">
      <c r="J117" s="34" t="s">
        <v>80</v>
      </c>
      <c r="K117" s="1" t="s">
        <v>81</v>
      </c>
      <c r="L117" s="121" t="s">
        <v>200</v>
      </c>
      <c r="M117" s="35">
        <v>44443</v>
      </c>
      <c r="N117" s="115">
        <v>29</v>
      </c>
      <c r="O117" s="115" t="s">
        <v>149</v>
      </c>
      <c r="P117" s="115" t="s">
        <v>235</v>
      </c>
      <c r="Q117" s="115" t="s">
        <v>313</v>
      </c>
      <c r="R117" s="115" t="s">
        <v>68</v>
      </c>
      <c r="S117" s="94">
        <v>1</v>
      </c>
    </row>
    <row r="118" spans="10:19" x14ac:dyDescent="0.25">
      <c r="J118" s="34" t="s">
        <v>124</v>
      </c>
      <c r="K118" s="1" t="s">
        <v>125</v>
      </c>
      <c r="L118" s="121" t="s">
        <v>200</v>
      </c>
      <c r="M118" s="35">
        <v>44925</v>
      </c>
      <c r="N118" s="115">
        <v>50</v>
      </c>
      <c r="O118" s="115" t="s">
        <v>152</v>
      </c>
      <c r="P118" s="115" t="s">
        <v>235</v>
      </c>
      <c r="Q118" s="115" t="s">
        <v>313</v>
      </c>
      <c r="R118" s="115" t="s">
        <v>35</v>
      </c>
      <c r="S118" s="94">
        <v>1</v>
      </c>
    </row>
    <row r="119" spans="10:19" x14ac:dyDescent="0.25">
      <c r="J119" s="34" t="s">
        <v>173</v>
      </c>
      <c r="K119" s="1" t="s">
        <v>171</v>
      </c>
      <c r="L119" s="121" t="s">
        <v>201</v>
      </c>
      <c r="M119" s="116">
        <v>45091</v>
      </c>
      <c r="N119" s="115">
        <v>35</v>
      </c>
      <c r="O119" s="115" t="s">
        <v>150</v>
      </c>
      <c r="P119" s="115" t="s">
        <v>235</v>
      </c>
      <c r="Q119" s="115" t="s">
        <v>313</v>
      </c>
      <c r="R119" s="115" t="s">
        <v>34</v>
      </c>
      <c r="S119" s="94">
        <v>1</v>
      </c>
    </row>
    <row r="120" spans="10:19" x14ac:dyDescent="0.25">
      <c r="J120" s="34">
        <v>44545503</v>
      </c>
      <c r="K120" s="1" t="s">
        <v>394</v>
      </c>
      <c r="L120" s="121" t="s">
        <v>200</v>
      </c>
      <c r="M120" s="35">
        <v>45077</v>
      </c>
      <c r="N120" s="115">
        <v>37</v>
      </c>
      <c r="O120" s="115" t="s">
        <v>150</v>
      </c>
      <c r="P120" s="115" t="s">
        <v>235</v>
      </c>
      <c r="Q120" s="115" t="s">
        <v>313</v>
      </c>
      <c r="R120" s="115" t="s">
        <v>68</v>
      </c>
      <c r="S120" s="94">
        <v>1</v>
      </c>
    </row>
    <row r="121" spans="10:19" x14ac:dyDescent="0.25">
      <c r="J121" s="125">
        <v>46981509</v>
      </c>
      <c r="K121" s="115" t="s">
        <v>1173</v>
      </c>
      <c r="L121" s="121" t="s">
        <v>200</v>
      </c>
      <c r="M121" s="116">
        <v>45099</v>
      </c>
      <c r="N121" s="115">
        <v>32</v>
      </c>
      <c r="O121" s="115" t="s">
        <v>150</v>
      </c>
      <c r="P121" s="115" t="s">
        <v>162</v>
      </c>
      <c r="Q121" s="115" t="s">
        <v>313</v>
      </c>
      <c r="R121" s="115" t="s">
        <v>68</v>
      </c>
      <c r="S121" s="122">
        <v>1</v>
      </c>
    </row>
    <row r="122" spans="10:19" x14ac:dyDescent="0.25">
      <c r="J122" s="125">
        <v>43650683</v>
      </c>
      <c r="K122" s="115" t="s">
        <v>1194</v>
      </c>
      <c r="L122" s="121" t="s">
        <v>200</v>
      </c>
      <c r="M122" s="116">
        <v>45089</v>
      </c>
      <c r="N122" s="115">
        <v>38</v>
      </c>
      <c r="O122" s="115" t="s">
        <v>150</v>
      </c>
      <c r="P122" s="115" t="s">
        <v>162</v>
      </c>
      <c r="Q122" s="115" t="s">
        <v>313</v>
      </c>
      <c r="R122" s="115" t="s">
        <v>68</v>
      </c>
      <c r="S122" s="122">
        <v>1</v>
      </c>
    </row>
    <row r="123" spans="10:19" x14ac:dyDescent="0.25">
      <c r="J123" s="34">
        <v>74299177</v>
      </c>
      <c r="K123" s="1" t="s">
        <v>1338</v>
      </c>
      <c r="L123" s="121" t="s">
        <v>200</v>
      </c>
      <c r="M123" s="35">
        <v>45059</v>
      </c>
      <c r="N123" s="115">
        <v>24</v>
      </c>
      <c r="O123" s="115" t="s">
        <v>149</v>
      </c>
      <c r="P123" s="115" t="s">
        <v>1257</v>
      </c>
      <c r="Q123" s="115" t="s">
        <v>313</v>
      </c>
      <c r="R123" s="115" t="s">
        <v>69</v>
      </c>
      <c r="S123" s="94">
        <v>1</v>
      </c>
    </row>
    <row r="124" spans="10:19" ht="15.75" thickBot="1" x14ac:dyDescent="0.3">
      <c r="J124" s="34">
        <v>20672473</v>
      </c>
      <c r="K124" s="1" t="s">
        <v>1339</v>
      </c>
      <c r="L124" s="121" t="s">
        <v>200</v>
      </c>
      <c r="M124" s="35">
        <v>45087</v>
      </c>
      <c r="N124" s="115">
        <v>49</v>
      </c>
      <c r="O124" s="115" t="s">
        <v>151</v>
      </c>
      <c r="P124" s="115" t="s">
        <v>1257</v>
      </c>
      <c r="Q124" s="115" t="s">
        <v>313</v>
      </c>
      <c r="R124" s="115" t="s">
        <v>69</v>
      </c>
      <c r="S124" s="94">
        <v>1</v>
      </c>
    </row>
    <row r="125" spans="10:19" ht="15.75" thickTop="1" x14ac:dyDescent="0.25">
      <c r="J125" s="34">
        <v>73856865</v>
      </c>
      <c r="K125" s="1" t="s">
        <v>1342</v>
      </c>
      <c r="L125" s="121" t="s">
        <v>200</v>
      </c>
      <c r="M125" s="35">
        <v>45043</v>
      </c>
      <c r="N125" s="115">
        <v>30</v>
      </c>
      <c r="O125" s="115" t="s">
        <v>149</v>
      </c>
      <c r="P125" s="115" t="s">
        <v>1257</v>
      </c>
      <c r="Q125" s="115" t="s">
        <v>313</v>
      </c>
      <c r="R125" s="115" t="s">
        <v>69</v>
      </c>
      <c r="S125" s="94">
        <v>1</v>
      </c>
    </row>
    <row r="126" spans="10:19" x14ac:dyDescent="0.25">
      <c r="J126" s="34">
        <v>44858973</v>
      </c>
      <c r="K126" s="1" t="s">
        <v>331</v>
      </c>
      <c r="L126" s="121" t="s">
        <v>200</v>
      </c>
      <c r="M126" s="35">
        <v>45096</v>
      </c>
      <c r="N126" s="115">
        <v>36</v>
      </c>
      <c r="O126" s="115" t="s">
        <v>150</v>
      </c>
      <c r="P126" s="115" t="s">
        <v>235</v>
      </c>
      <c r="Q126" s="115" t="s">
        <v>313</v>
      </c>
      <c r="R126" s="115" t="s">
        <v>68</v>
      </c>
      <c r="S126" s="94">
        <v>1</v>
      </c>
    </row>
    <row r="127" spans="10:19" ht="15.75" thickBot="1" x14ac:dyDescent="0.3">
      <c r="J127" s="34">
        <v>25835545</v>
      </c>
      <c r="K127" s="1" t="s">
        <v>332</v>
      </c>
      <c r="L127" s="121" t="s">
        <v>200</v>
      </c>
      <c r="M127" s="116">
        <v>45096</v>
      </c>
      <c r="N127" s="115">
        <v>53</v>
      </c>
      <c r="O127" s="115" t="s">
        <v>152</v>
      </c>
      <c r="P127" s="115" t="s">
        <v>235</v>
      </c>
      <c r="Q127" s="115" t="s">
        <v>313</v>
      </c>
      <c r="R127" s="115" t="s">
        <v>34</v>
      </c>
      <c r="S127" s="94">
        <v>1</v>
      </c>
    </row>
    <row r="128" spans="10:19" ht="15.75" thickTop="1" x14ac:dyDescent="0.25">
      <c r="J128" s="34">
        <v>41058435</v>
      </c>
      <c r="K128" s="1" t="s">
        <v>333</v>
      </c>
      <c r="L128" s="121" t="s">
        <v>200</v>
      </c>
      <c r="M128" s="116">
        <v>45096</v>
      </c>
      <c r="N128" s="115">
        <v>43</v>
      </c>
      <c r="O128" s="115" t="s">
        <v>151</v>
      </c>
      <c r="P128" s="115" t="s">
        <v>235</v>
      </c>
      <c r="Q128" s="115" t="s">
        <v>313</v>
      </c>
      <c r="R128" s="115" t="s">
        <v>34</v>
      </c>
      <c r="S128" s="94">
        <v>1</v>
      </c>
    </row>
    <row r="129" spans="10:19" x14ac:dyDescent="0.25">
      <c r="J129" s="34">
        <v>40665847</v>
      </c>
      <c r="K129" s="1" t="s">
        <v>999</v>
      </c>
      <c r="L129" s="121" t="s">
        <v>200</v>
      </c>
      <c r="M129" s="35">
        <v>45091</v>
      </c>
      <c r="N129" s="115">
        <v>47</v>
      </c>
      <c r="O129" s="115" t="s">
        <v>151</v>
      </c>
      <c r="P129" s="115" t="s">
        <v>162</v>
      </c>
      <c r="Q129" s="115" t="s">
        <v>313</v>
      </c>
      <c r="R129" s="115" t="s">
        <v>34</v>
      </c>
      <c r="S129" s="94">
        <v>1</v>
      </c>
    </row>
    <row r="130" spans="10:19" x14ac:dyDescent="0.25">
      <c r="J130" s="34"/>
      <c r="K130" s="115" t="s">
        <v>2935</v>
      </c>
      <c r="L130" s="121" t="s">
        <v>200</v>
      </c>
      <c r="M130" s="116">
        <v>45526</v>
      </c>
      <c r="N130" s="115">
        <v>36</v>
      </c>
      <c r="O130" s="115" t="s">
        <v>150</v>
      </c>
      <c r="P130" s="115" t="s">
        <v>162</v>
      </c>
      <c r="Q130" s="115" t="s">
        <v>313</v>
      </c>
      <c r="R130" s="115" t="s">
        <v>34</v>
      </c>
      <c r="S130" s="122">
        <v>1</v>
      </c>
    </row>
    <row r="131" spans="10:19" x14ac:dyDescent="0.25">
      <c r="J131" s="34" t="s">
        <v>197</v>
      </c>
      <c r="K131" s="1" t="s">
        <v>94</v>
      </c>
      <c r="L131" s="121" t="s">
        <v>200</v>
      </c>
      <c r="M131" s="35">
        <v>45068</v>
      </c>
      <c r="N131" s="115">
        <v>32</v>
      </c>
      <c r="O131" s="115" t="s">
        <v>150</v>
      </c>
      <c r="P131" s="115" t="s">
        <v>235</v>
      </c>
      <c r="Q131" s="115" t="s">
        <v>313</v>
      </c>
      <c r="R131" s="115" t="s">
        <v>72</v>
      </c>
      <c r="S131" s="94">
        <v>1</v>
      </c>
    </row>
    <row r="132" spans="10:19" x14ac:dyDescent="0.25">
      <c r="J132" s="34">
        <v>72778461</v>
      </c>
      <c r="K132" s="1" t="s">
        <v>198</v>
      </c>
      <c r="L132" s="121" t="s">
        <v>200</v>
      </c>
      <c r="M132" s="35">
        <v>45082</v>
      </c>
      <c r="N132" s="115">
        <v>27</v>
      </c>
      <c r="O132" s="115" t="s">
        <v>149</v>
      </c>
      <c r="P132" s="115" t="s">
        <v>235</v>
      </c>
      <c r="Q132" s="115" t="s">
        <v>313</v>
      </c>
      <c r="R132" s="115" t="s">
        <v>35</v>
      </c>
      <c r="S132" s="94">
        <v>1</v>
      </c>
    </row>
    <row r="133" spans="10:19" x14ac:dyDescent="0.25">
      <c r="J133" s="34">
        <v>44117401</v>
      </c>
      <c r="K133" s="115" t="s">
        <v>3266</v>
      </c>
      <c r="L133" s="121" t="s">
        <v>200</v>
      </c>
      <c r="M133" s="116">
        <v>45553</v>
      </c>
      <c r="N133" s="115">
        <v>39</v>
      </c>
      <c r="O133" s="115" t="s">
        <v>150</v>
      </c>
      <c r="P133" s="115" t="s">
        <v>235</v>
      </c>
      <c r="Q133" s="115" t="s">
        <v>313</v>
      </c>
      <c r="R133" s="115" t="s">
        <v>34</v>
      </c>
      <c r="S133" s="122">
        <v>1</v>
      </c>
    </row>
    <row r="134" spans="10:19" x14ac:dyDescent="0.25">
      <c r="J134" s="34">
        <v>41194640</v>
      </c>
      <c r="K134" s="1" t="s">
        <v>978</v>
      </c>
      <c r="L134" s="121" t="s">
        <v>200</v>
      </c>
      <c r="M134" s="35">
        <v>45117</v>
      </c>
      <c r="N134" s="115">
        <v>44</v>
      </c>
      <c r="O134" s="115" t="s">
        <v>151</v>
      </c>
      <c r="P134" s="115" t="s">
        <v>162</v>
      </c>
      <c r="Q134" s="115" t="s">
        <v>313</v>
      </c>
      <c r="R134" s="115" t="s">
        <v>34</v>
      </c>
      <c r="S134" s="94">
        <v>1</v>
      </c>
    </row>
    <row r="135" spans="10:19" x14ac:dyDescent="0.25">
      <c r="J135" s="34" t="s">
        <v>214</v>
      </c>
      <c r="K135" s="1" t="s">
        <v>215</v>
      </c>
      <c r="L135" s="121" t="s">
        <v>200</v>
      </c>
      <c r="M135" s="35">
        <v>45140</v>
      </c>
      <c r="N135" s="115">
        <v>26</v>
      </c>
      <c r="O135" s="115" t="s">
        <v>149</v>
      </c>
      <c r="P135" s="116">
        <v>45558</v>
      </c>
      <c r="Q135" s="115" t="s">
        <v>313</v>
      </c>
      <c r="R135" s="115" t="s">
        <v>68</v>
      </c>
      <c r="S135" s="122">
        <v>1</v>
      </c>
    </row>
    <row r="136" spans="10:19" x14ac:dyDescent="0.25">
      <c r="J136" s="34">
        <v>44260726</v>
      </c>
      <c r="K136" s="1" t="s">
        <v>1535</v>
      </c>
      <c r="L136" s="121" t="s">
        <v>200</v>
      </c>
      <c r="M136" s="35">
        <v>44736</v>
      </c>
      <c r="N136" s="115">
        <v>37</v>
      </c>
      <c r="O136" s="115" t="s">
        <v>150</v>
      </c>
      <c r="P136" s="115" t="s">
        <v>235</v>
      </c>
      <c r="Q136" s="115" t="s">
        <v>313</v>
      </c>
      <c r="R136" s="115" t="s">
        <v>35</v>
      </c>
      <c r="S136" s="94">
        <v>1</v>
      </c>
    </row>
    <row r="137" spans="10:19" x14ac:dyDescent="0.25">
      <c r="J137" s="34">
        <v>74972503</v>
      </c>
      <c r="K137" s="115" t="s">
        <v>1755</v>
      </c>
      <c r="L137" s="121" t="s">
        <v>200</v>
      </c>
      <c r="M137" s="116">
        <v>45433</v>
      </c>
      <c r="N137" s="115">
        <v>22</v>
      </c>
      <c r="O137" s="115" t="s">
        <v>148</v>
      </c>
      <c r="P137" s="115" t="s">
        <v>235</v>
      </c>
      <c r="Q137" s="115" t="s">
        <v>313</v>
      </c>
      <c r="R137" s="115" t="s">
        <v>34</v>
      </c>
      <c r="S137" s="122">
        <v>1</v>
      </c>
    </row>
    <row r="138" spans="10:19" x14ac:dyDescent="0.25">
      <c r="J138" s="34">
        <v>80150774</v>
      </c>
      <c r="K138" s="1" t="s">
        <v>336</v>
      </c>
      <c r="L138" s="121" t="s">
        <v>200</v>
      </c>
      <c r="M138" s="35">
        <v>45140</v>
      </c>
      <c r="N138" s="115">
        <v>46</v>
      </c>
      <c r="O138" s="115" t="s">
        <v>151</v>
      </c>
      <c r="P138" s="115" t="s">
        <v>235</v>
      </c>
      <c r="Q138" s="115" t="s">
        <v>313</v>
      </c>
      <c r="R138" s="115" t="s">
        <v>34</v>
      </c>
      <c r="S138" s="94">
        <v>1</v>
      </c>
    </row>
    <row r="139" spans="10:19" x14ac:dyDescent="0.25">
      <c r="J139" s="125" t="s">
        <v>314</v>
      </c>
      <c r="K139" s="115" t="s">
        <v>315</v>
      </c>
      <c r="L139" s="121" t="s">
        <v>201</v>
      </c>
      <c r="M139" s="116">
        <v>44509</v>
      </c>
      <c r="N139" s="115">
        <v>43</v>
      </c>
      <c r="O139" s="115" t="s">
        <v>151</v>
      </c>
      <c r="P139" s="115" t="s">
        <v>235</v>
      </c>
      <c r="Q139" s="115" t="s">
        <v>313</v>
      </c>
      <c r="R139" s="115" t="s">
        <v>68</v>
      </c>
      <c r="S139" s="122">
        <v>1</v>
      </c>
    </row>
    <row r="140" spans="10:19" x14ac:dyDescent="0.25">
      <c r="J140" s="125">
        <v>47519243</v>
      </c>
      <c r="K140" s="115" t="s">
        <v>977</v>
      </c>
      <c r="L140" s="121" t="s">
        <v>200</v>
      </c>
      <c r="M140" s="116">
        <v>45181</v>
      </c>
      <c r="N140" s="115">
        <v>32</v>
      </c>
      <c r="O140" s="115" t="s">
        <v>150</v>
      </c>
      <c r="P140" s="115" t="s">
        <v>162</v>
      </c>
      <c r="Q140" s="115" t="s">
        <v>313</v>
      </c>
      <c r="R140" s="115" t="s">
        <v>68</v>
      </c>
      <c r="S140" s="122">
        <v>1</v>
      </c>
    </row>
    <row r="141" spans="10:19" x14ac:dyDescent="0.25">
      <c r="J141" s="125" t="s">
        <v>316</v>
      </c>
      <c r="K141" s="115" t="s">
        <v>3071</v>
      </c>
      <c r="L141" s="121" t="s">
        <v>201</v>
      </c>
      <c r="M141" s="116">
        <v>45551</v>
      </c>
      <c r="N141" s="115">
        <v>40</v>
      </c>
      <c r="O141" s="115" t="s">
        <v>150</v>
      </c>
      <c r="P141" s="115" t="s">
        <v>235</v>
      </c>
      <c r="Q141" s="115" t="s">
        <v>313</v>
      </c>
      <c r="R141" s="115" t="s">
        <v>36</v>
      </c>
      <c r="S141" s="122">
        <v>1</v>
      </c>
    </row>
    <row r="142" spans="10:19" x14ac:dyDescent="0.25">
      <c r="J142" s="125">
        <v>25701780</v>
      </c>
      <c r="K142" s="115" t="s">
        <v>2687</v>
      </c>
      <c r="L142" s="121" t="s">
        <v>200</v>
      </c>
      <c r="M142" s="116">
        <v>45505</v>
      </c>
      <c r="N142" s="115">
        <v>53</v>
      </c>
      <c r="O142" s="115" t="s">
        <v>152</v>
      </c>
      <c r="P142" s="115" t="s">
        <v>235</v>
      </c>
      <c r="Q142" s="115" t="s">
        <v>313</v>
      </c>
      <c r="R142" s="115" t="s">
        <v>34</v>
      </c>
      <c r="S142" s="122">
        <v>1</v>
      </c>
    </row>
    <row r="143" spans="10:19" x14ac:dyDescent="0.25">
      <c r="J143" s="127">
        <v>42335775</v>
      </c>
      <c r="K143" s="129" t="s">
        <v>682</v>
      </c>
      <c r="L143" s="130" t="s">
        <v>200</v>
      </c>
      <c r="M143" s="116">
        <v>45495</v>
      </c>
      <c r="N143" s="115">
        <v>43</v>
      </c>
      <c r="O143" s="115" t="s">
        <v>151</v>
      </c>
      <c r="P143" s="115" t="s">
        <v>235</v>
      </c>
      <c r="Q143" s="115" t="s">
        <v>313</v>
      </c>
      <c r="R143" s="115" t="s">
        <v>105</v>
      </c>
      <c r="S143" s="122">
        <v>1</v>
      </c>
    </row>
    <row r="144" spans="10:19" x14ac:dyDescent="0.25">
      <c r="J144" s="125">
        <v>46479230</v>
      </c>
      <c r="K144" s="115" t="s">
        <v>683</v>
      </c>
      <c r="L144" s="121" t="s">
        <v>200</v>
      </c>
      <c r="M144" s="116">
        <v>45488</v>
      </c>
      <c r="N144" s="115">
        <v>34</v>
      </c>
      <c r="O144" s="115" t="s">
        <v>150</v>
      </c>
      <c r="P144" s="115" t="s">
        <v>235</v>
      </c>
      <c r="Q144" s="115" t="s">
        <v>313</v>
      </c>
      <c r="R144" s="115" t="s">
        <v>68</v>
      </c>
      <c r="S144" s="122">
        <v>1</v>
      </c>
    </row>
    <row r="145" spans="10:19" ht="15.75" thickBot="1" x14ac:dyDescent="0.3">
      <c r="J145" s="125" t="s">
        <v>317</v>
      </c>
      <c r="K145" s="115" t="s">
        <v>318</v>
      </c>
      <c r="L145" s="121" t="s">
        <v>200</v>
      </c>
      <c r="M145" s="116">
        <v>45223</v>
      </c>
      <c r="N145" s="115">
        <v>29</v>
      </c>
      <c r="O145" s="115" t="s">
        <v>149</v>
      </c>
      <c r="P145" s="115" t="s">
        <v>235</v>
      </c>
      <c r="Q145" s="115" t="s">
        <v>313</v>
      </c>
      <c r="R145" s="115" t="s">
        <v>36</v>
      </c>
      <c r="S145" s="122">
        <v>1</v>
      </c>
    </row>
    <row r="146" spans="10:19" ht="15.75" thickTop="1" x14ac:dyDescent="0.25">
      <c r="J146" s="125">
        <v>43796631</v>
      </c>
      <c r="K146" s="115" t="s">
        <v>2635</v>
      </c>
      <c r="L146" s="121" t="s">
        <v>200</v>
      </c>
      <c r="M146" s="116">
        <v>45225</v>
      </c>
      <c r="N146" s="115">
        <v>39</v>
      </c>
      <c r="O146" s="115" t="s">
        <v>150</v>
      </c>
      <c r="P146" s="115" t="s">
        <v>235</v>
      </c>
      <c r="Q146" s="115" t="s">
        <v>313</v>
      </c>
      <c r="R146" s="115" t="s">
        <v>68</v>
      </c>
      <c r="S146" s="122">
        <v>1</v>
      </c>
    </row>
    <row r="147" spans="10:19" x14ac:dyDescent="0.25">
      <c r="J147" s="125">
        <v>42435510</v>
      </c>
      <c r="K147" s="115" t="s">
        <v>2926</v>
      </c>
      <c r="L147" s="121" t="s">
        <v>200</v>
      </c>
      <c r="M147" s="116">
        <v>45532</v>
      </c>
      <c r="N147" s="115">
        <v>44</v>
      </c>
      <c r="O147" s="115" t="s">
        <v>151</v>
      </c>
      <c r="P147" s="115" t="s">
        <v>235</v>
      </c>
      <c r="Q147" s="115" t="s">
        <v>313</v>
      </c>
      <c r="R147" s="115" t="s">
        <v>35</v>
      </c>
      <c r="S147" s="122">
        <v>1</v>
      </c>
    </row>
    <row r="148" spans="10:19" x14ac:dyDescent="0.25">
      <c r="J148" s="125">
        <v>80260464</v>
      </c>
      <c r="K148" s="115" t="s">
        <v>809</v>
      </c>
      <c r="L148" s="121" t="s">
        <v>200</v>
      </c>
      <c r="M148" s="116">
        <v>45533</v>
      </c>
      <c r="N148" s="115">
        <v>47</v>
      </c>
      <c r="O148" s="115" t="s">
        <v>151</v>
      </c>
      <c r="P148" s="115" t="s">
        <v>235</v>
      </c>
      <c r="Q148" s="115" t="s">
        <v>313</v>
      </c>
      <c r="R148" s="115" t="s">
        <v>69</v>
      </c>
      <c r="S148" s="122">
        <v>1</v>
      </c>
    </row>
    <row r="149" spans="10:19" x14ac:dyDescent="0.25">
      <c r="J149" s="127" t="s">
        <v>325</v>
      </c>
      <c r="K149" s="129" t="s">
        <v>341</v>
      </c>
      <c r="L149" s="121" t="s">
        <v>200</v>
      </c>
      <c r="M149" s="116">
        <v>44889</v>
      </c>
      <c r="N149" s="115">
        <v>35</v>
      </c>
      <c r="O149" s="115" t="s">
        <v>150</v>
      </c>
      <c r="P149" s="115" t="s">
        <v>235</v>
      </c>
      <c r="Q149" s="115" t="s">
        <v>313</v>
      </c>
      <c r="R149" s="115" t="s">
        <v>35</v>
      </c>
      <c r="S149" s="122">
        <v>1</v>
      </c>
    </row>
    <row r="150" spans="10:19" x14ac:dyDescent="0.25">
      <c r="J150" s="128"/>
      <c r="K150" s="115" t="s">
        <v>2106</v>
      </c>
      <c r="L150" s="121" t="s">
        <v>200</v>
      </c>
      <c r="M150" s="116">
        <v>45454</v>
      </c>
      <c r="N150" s="115">
        <v>35</v>
      </c>
      <c r="O150" s="115" t="s">
        <v>150</v>
      </c>
      <c r="P150" s="115" t="s">
        <v>235</v>
      </c>
      <c r="Q150" s="115" t="s">
        <v>313</v>
      </c>
      <c r="R150" s="115" t="s">
        <v>35</v>
      </c>
      <c r="S150" s="122">
        <v>1</v>
      </c>
    </row>
    <row r="151" spans="10:19" x14ac:dyDescent="0.25">
      <c r="J151" s="125" t="s">
        <v>326</v>
      </c>
      <c r="K151" s="115" t="s">
        <v>370</v>
      </c>
      <c r="L151" s="121" t="s">
        <v>200</v>
      </c>
      <c r="M151" s="116">
        <v>45255</v>
      </c>
      <c r="N151" s="115">
        <v>39</v>
      </c>
      <c r="O151" s="115" t="s">
        <v>150</v>
      </c>
      <c r="P151" s="115" t="s">
        <v>235</v>
      </c>
      <c r="Q151" s="115" t="s">
        <v>313</v>
      </c>
      <c r="R151" s="115" t="s">
        <v>34</v>
      </c>
      <c r="S151" s="122">
        <v>1</v>
      </c>
    </row>
    <row r="152" spans="10:19" x14ac:dyDescent="0.25">
      <c r="J152" s="125" t="s">
        <v>327</v>
      </c>
      <c r="K152" s="115" t="s">
        <v>328</v>
      </c>
      <c r="L152" s="121" t="s">
        <v>200</v>
      </c>
      <c r="M152" s="116">
        <v>44203</v>
      </c>
      <c r="N152" s="115">
        <v>42</v>
      </c>
      <c r="O152" s="115" t="s">
        <v>151</v>
      </c>
      <c r="P152" s="115" t="s">
        <v>235</v>
      </c>
      <c r="Q152" s="115" t="s">
        <v>313</v>
      </c>
      <c r="R152" s="115" t="s">
        <v>34</v>
      </c>
      <c r="S152" s="122">
        <v>1</v>
      </c>
    </row>
    <row r="153" spans="10:19" x14ac:dyDescent="0.25">
      <c r="J153" s="125" t="s">
        <v>329</v>
      </c>
      <c r="K153" s="115" t="s">
        <v>416</v>
      </c>
      <c r="L153" s="121" t="s">
        <v>201</v>
      </c>
      <c r="M153" s="116">
        <v>44805</v>
      </c>
      <c r="N153" s="115">
        <v>24</v>
      </c>
      <c r="O153" s="115" t="s">
        <v>149</v>
      </c>
      <c r="P153" s="115" t="s">
        <v>3181</v>
      </c>
      <c r="Q153" s="115" t="s">
        <v>313</v>
      </c>
      <c r="R153" s="115" t="s">
        <v>34</v>
      </c>
      <c r="S153" s="122">
        <v>1</v>
      </c>
    </row>
    <row r="154" spans="10:19" x14ac:dyDescent="0.25">
      <c r="J154" s="125">
        <v>47123607</v>
      </c>
      <c r="K154" s="115" t="s">
        <v>1182</v>
      </c>
      <c r="L154" s="121" t="s">
        <v>200</v>
      </c>
      <c r="M154" s="116">
        <v>45384</v>
      </c>
      <c r="N154" s="115">
        <v>33</v>
      </c>
      <c r="O154" s="115" t="s">
        <v>150</v>
      </c>
      <c r="P154" s="115" t="s">
        <v>162</v>
      </c>
      <c r="Q154" s="115" t="s">
        <v>313</v>
      </c>
      <c r="R154" s="115" t="s">
        <v>34</v>
      </c>
      <c r="S154" s="122">
        <v>1</v>
      </c>
    </row>
    <row r="155" spans="10:19" x14ac:dyDescent="0.25">
      <c r="J155" s="125" t="s">
        <v>334</v>
      </c>
      <c r="K155" s="115" t="s">
        <v>335</v>
      </c>
      <c r="L155" s="121" t="s">
        <v>200</v>
      </c>
      <c r="M155" s="116">
        <v>45096</v>
      </c>
      <c r="N155" s="115">
        <v>31</v>
      </c>
      <c r="O155" s="115" t="s">
        <v>149</v>
      </c>
      <c r="P155" s="115" t="s">
        <v>235</v>
      </c>
      <c r="Q155" s="115" t="s">
        <v>313</v>
      </c>
      <c r="R155" s="115" t="s">
        <v>68</v>
      </c>
      <c r="S155" s="122">
        <v>1</v>
      </c>
    </row>
    <row r="156" spans="10:19" x14ac:dyDescent="0.25">
      <c r="J156" s="125" t="s">
        <v>337</v>
      </c>
      <c r="K156" s="115" t="s">
        <v>338</v>
      </c>
      <c r="L156" s="121" t="s">
        <v>200</v>
      </c>
      <c r="M156" s="116">
        <v>45159</v>
      </c>
      <c r="N156" s="115">
        <v>58</v>
      </c>
      <c r="O156" s="115" t="s">
        <v>152</v>
      </c>
      <c r="P156" s="115" t="s">
        <v>235</v>
      </c>
      <c r="Q156" s="115" t="s">
        <v>313</v>
      </c>
      <c r="R156" s="115" t="s">
        <v>34</v>
      </c>
      <c r="S156" s="122">
        <v>1</v>
      </c>
    </row>
    <row r="157" spans="10:19" ht="15.75" thickBot="1" x14ac:dyDescent="0.3">
      <c r="J157" s="125">
        <v>72456151</v>
      </c>
      <c r="K157" s="115" t="s">
        <v>912</v>
      </c>
      <c r="L157" s="121" t="s">
        <v>200</v>
      </c>
      <c r="M157" s="116">
        <v>45224</v>
      </c>
      <c r="N157" s="115">
        <v>28</v>
      </c>
      <c r="O157" s="115" t="s">
        <v>149</v>
      </c>
      <c r="P157" s="115" t="s">
        <v>235</v>
      </c>
      <c r="Q157" s="115" t="s">
        <v>313</v>
      </c>
      <c r="R157" s="115" t="s">
        <v>34</v>
      </c>
      <c r="S157" s="122">
        <v>1</v>
      </c>
    </row>
    <row r="158" spans="10:19" ht="15.75" thickTop="1" x14ac:dyDescent="0.25">
      <c r="J158" s="125">
        <v>70885998</v>
      </c>
      <c r="K158" s="115" t="s">
        <v>913</v>
      </c>
      <c r="L158" s="121" t="s">
        <v>200</v>
      </c>
      <c r="M158" s="116">
        <v>45224</v>
      </c>
      <c r="N158" s="115">
        <v>24</v>
      </c>
      <c r="O158" s="115" t="s">
        <v>149</v>
      </c>
      <c r="P158" s="115" t="s">
        <v>235</v>
      </c>
      <c r="Q158" s="115" t="s">
        <v>313</v>
      </c>
      <c r="R158" s="115" t="s">
        <v>34</v>
      </c>
      <c r="S158" s="122">
        <v>1</v>
      </c>
    </row>
    <row r="159" spans="10:19" x14ac:dyDescent="0.25">
      <c r="J159" s="125">
        <v>44433027</v>
      </c>
      <c r="K159" s="115" t="s">
        <v>1249</v>
      </c>
      <c r="L159" s="121" t="s">
        <v>200</v>
      </c>
      <c r="M159" s="116">
        <v>45200</v>
      </c>
      <c r="N159" s="115">
        <v>39</v>
      </c>
      <c r="O159" s="115" t="s">
        <v>150</v>
      </c>
      <c r="P159" s="115" t="s">
        <v>235</v>
      </c>
      <c r="Q159" s="115" t="s">
        <v>313</v>
      </c>
      <c r="R159" s="115" t="s">
        <v>105</v>
      </c>
      <c r="S159" s="122">
        <v>1</v>
      </c>
    </row>
    <row r="160" spans="10:19" x14ac:dyDescent="0.25">
      <c r="J160" s="125">
        <v>45622082</v>
      </c>
      <c r="K160" s="115" t="s">
        <v>989</v>
      </c>
      <c r="L160" s="121" t="s">
        <v>200</v>
      </c>
      <c r="M160" s="116">
        <v>45218</v>
      </c>
      <c r="N160" s="115">
        <v>36</v>
      </c>
      <c r="O160" s="115" t="s">
        <v>150</v>
      </c>
      <c r="P160" s="115" t="s">
        <v>162</v>
      </c>
      <c r="Q160" s="115" t="s">
        <v>313</v>
      </c>
      <c r="R160" s="115" t="s">
        <v>34</v>
      </c>
      <c r="S160" s="122">
        <v>1</v>
      </c>
    </row>
    <row r="161" spans="10:19" x14ac:dyDescent="0.25">
      <c r="J161" s="125">
        <v>44239995</v>
      </c>
      <c r="K161" s="115" t="s">
        <v>1885</v>
      </c>
      <c r="L161" s="121" t="s">
        <v>200</v>
      </c>
      <c r="M161" s="116">
        <v>45215</v>
      </c>
      <c r="N161" s="115">
        <v>39</v>
      </c>
      <c r="O161" s="115" t="s">
        <v>150</v>
      </c>
      <c r="P161" s="115" t="s">
        <v>235</v>
      </c>
      <c r="Q161" s="115" t="s">
        <v>313</v>
      </c>
      <c r="R161" s="115" t="s">
        <v>34</v>
      </c>
      <c r="S161" s="122">
        <v>1</v>
      </c>
    </row>
    <row r="162" spans="10:19" x14ac:dyDescent="0.25">
      <c r="J162" s="125" t="s">
        <v>342</v>
      </c>
      <c r="K162" s="115" t="s">
        <v>373</v>
      </c>
      <c r="L162" s="121" t="s">
        <v>200</v>
      </c>
      <c r="M162" s="116">
        <v>45468</v>
      </c>
      <c r="N162" s="115">
        <v>42</v>
      </c>
      <c r="O162" s="115" t="s">
        <v>151</v>
      </c>
      <c r="P162" s="115" t="s">
        <v>235</v>
      </c>
      <c r="Q162" s="115" t="s">
        <v>313</v>
      </c>
      <c r="R162" s="115" t="s">
        <v>34</v>
      </c>
      <c r="S162" s="122">
        <v>1</v>
      </c>
    </row>
    <row r="163" spans="10:19" x14ac:dyDescent="0.25">
      <c r="J163" s="125" t="s">
        <v>344</v>
      </c>
      <c r="K163" s="115" t="s">
        <v>345</v>
      </c>
      <c r="L163" s="121" t="s">
        <v>200</v>
      </c>
      <c r="M163" s="116">
        <v>45110</v>
      </c>
      <c r="N163" s="115">
        <v>50</v>
      </c>
      <c r="O163" s="115" t="s">
        <v>152</v>
      </c>
      <c r="P163" s="115" t="s">
        <v>235</v>
      </c>
      <c r="Q163" s="115" t="s">
        <v>313</v>
      </c>
      <c r="R163" s="115" t="s">
        <v>36</v>
      </c>
      <c r="S163" s="122">
        <v>1</v>
      </c>
    </row>
    <row r="164" spans="10:19" x14ac:dyDescent="0.25">
      <c r="J164" s="125" t="s">
        <v>346</v>
      </c>
      <c r="K164" s="115" t="s">
        <v>2433</v>
      </c>
      <c r="L164" s="121" t="s">
        <v>200</v>
      </c>
      <c r="M164" s="116">
        <v>45474</v>
      </c>
      <c r="N164" s="115" t="s">
        <v>29</v>
      </c>
      <c r="O164" s="115" t="s">
        <v>153</v>
      </c>
      <c r="P164" s="116">
        <v>45537</v>
      </c>
      <c r="Q164" s="115" t="s">
        <v>313</v>
      </c>
      <c r="R164" s="115" t="s">
        <v>35</v>
      </c>
      <c r="S164" s="122">
        <v>1</v>
      </c>
    </row>
    <row r="165" spans="10:19" x14ac:dyDescent="0.25">
      <c r="J165" s="126"/>
      <c r="K165" s="115" t="s">
        <v>3290</v>
      </c>
      <c r="L165" s="121" t="s">
        <v>200</v>
      </c>
      <c r="M165" s="116">
        <v>45539</v>
      </c>
      <c r="N165" s="115">
        <v>30</v>
      </c>
      <c r="O165" s="115" t="s">
        <v>149</v>
      </c>
      <c r="P165" s="115" t="s">
        <v>235</v>
      </c>
      <c r="Q165" s="115" t="s">
        <v>313</v>
      </c>
      <c r="R165" s="115" t="s">
        <v>35</v>
      </c>
      <c r="S165" s="122">
        <v>1</v>
      </c>
    </row>
    <row r="166" spans="10:19" x14ac:dyDescent="0.25">
      <c r="J166" s="125" t="s">
        <v>347</v>
      </c>
      <c r="K166" s="115" t="s">
        <v>348</v>
      </c>
      <c r="L166" s="121" t="s">
        <v>200</v>
      </c>
      <c r="M166" s="116">
        <v>45104</v>
      </c>
      <c r="N166" s="115">
        <v>40</v>
      </c>
      <c r="O166" s="115" t="s">
        <v>150</v>
      </c>
      <c r="P166" s="115" t="s">
        <v>1764</v>
      </c>
      <c r="Q166" s="115" t="s">
        <v>313</v>
      </c>
      <c r="R166" s="115" t="s">
        <v>68</v>
      </c>
      <c r="S166" s="122">
        <v>1</v>
      </c>
    </row>
    <row r="167" spans="10:19" x14ac:dyDescent="0.25">
      <c r="J167" s="125" t="s">
        <v>351</v>
      </c>
      <c r="K167" s="115" t="s">
        <v>352</v>
      </c>
      <c r="L167" s="121" t="s">
        <v>200</v>
      </c>
      <c r="M167" s="116">
        <v>45015</v>
      </c>
      <c r="N167" s="115">
        <v>32</v>
      </c>
      <c r="O167" s="115" t="s">
        <v>150</v>
      </c>
      <c r="P167" s="115" t="s">
        <v>235</v>
      </c>
      <c r="Q167" s="115" t="s">
        <v>313</v>
      </c>
      <c r="R167" s="115" t="s">
        <v>36</v>
      </c>
      <c r="S167" s="122">
        <v>1</v>
      </c>
    </row>
    <row r="168" spans="10:19" x14ac:dyDescent="0.25">
      <c r="J168" s="125" t="s">
        <v>353</v>
      </c>
      <c r="K168" s="115" t="s">
        <v>1663</v>
      </c>
      <c r="L168" s="121" t="s">
        <v>200</v>
      </c>
      <c r="M168" s="116">
        <v>45078</v>
      </c>
      <c r="N168" s="115">
        <v>40</v>
      </c>
      <c r="O168" s="115" t="s">
        <v>150</v>
      </c>
      <c r="P168" s="115" t="s">
        <v>235</v>
      </c>
      <c r="Q168" s="115" t="s">
        <v>313</v>
      </c>
      <c r="R168" s="115" t="s">
        <v>34</v>
      </c>
      <c r="S168" s="122">
        <v>1</v>
      </c>
    </row>
    <row r="169" spans="10:19" x14ac:dyDescent="0.25">
      <c r="J169" s="126"/>
      <c r="K169" s="115" t="s">
        <v>2644</v>
      </c>
      <c r="L169" s="121" t="s">
        <v>200</v>
      </c>
      <c r="M169" s="116">
        <v>45337</v>
      </c>
      <c r="N169" s="115">
        <v>40</v>
      </c>
      <c r="O169" s="115" t="s">
        <v>150</v>
      </c>
      <c r="P169" s="115" t="s">
        <v>235</v>
      </c>
      <c r="Q169" s="115" t="s">
        <v>313</v>
      </c>
      <c r="R169" s="115" t="s">
        <v>34</v>
      </c>
      <c r="S169" s="122">
        <v>1</v>
      </c>
    </row>
    <row r="170" spans="10:19" x14ac:dyDescent="0.25">
      <c r="J170" s="125">
        <v>46628634</v>
      </c>
      <c r="K170" s="115" t="s">
        <v>2764</v>
      </c>
      <c r="L170" s="121" t="s">
        <v>200</v>
      </c>
      <c r="M170" s="116">
        <v>45477</v>
      </c>
      <c r="N170" s="115">
        <v>33</v>
      </c>
      <c r="O170" s="115" t="s">
        <v>150</v>
      </c>
      <c r="P170" s="115" t="s">
        <v>235</v>
      </c>
      <c r="Q170" s="115" t="s">
        <v>313</v>
      </c>
      <c r="R170" s="115" t="s">
        <v>68</v>
      </c>
      <c r="S170" s="122">
        <v>1</v>
      </c>
    </row>
    <row r="171" spans="10:19" x14ac:dyDescent="0.25">
      <c r="J171" s="125">
        <v>46894019</v>
      </c>
      <c r="K171" s="115" t="s">
        <v>2737</v>
      </c>
      <c r="L171" s="121" t="s">
        <v>200</v>
      </c>
      <c r="M171" s="116">
        <v>45467</v>
      </c>
      <c r="N171" s="115">
        <v>33</v>
      </c>
      <c r="O171" s="115" t="s">
        <v>150</v>
      </c>
      <c r="P171" s="115" t="s">
        <v>235</v>
      </c>
      <c r="Q171" s="115" t="s">
        <v>313</v>
      </c>
      <c r="R171" s="115" t="s">
        <v>34</v>
      </c>
      <c r="S171" s="122">
        <v>1</v>
      </c>
    </row>
    <row r="172" spans="10:19" x14ac:dyDescent="0.25">
      <c r="J172" s="125">
        <v>43842013</v>
      </c>
      <c r="K172" s="115" t="s">
        <v>2689</v>
      </c>
      <c r="L172" s="121" t="s">
        <v>200</v>
      </c>
      <c r="M172" s="116">
        <v>45505</v>
      </c>
      <c r="N172" s="115">
        <v>37</v>
      </c>
      <c r="O172" s="115" t="s">
        <v>150</v>
      </c>
      <c r="P172" s="115" t="s">
        <v>235</v>
      </c>
      <c r="Q172" s="115" t="s">
        <v>313</v>
      </c>
      <c r="R172" s="115" t="s">
        <v>68</v>
      </c>
      <c r="S172" s="122">
        <v>1</v>
      </c>
    </row>
    <row r="173" spans="10:19" x14ac:dyDescent="0.25">
      <c r="J173" s="125">
        <v>25814380</v>
      </c>
      <c r="K173" s="115" t="s">
        <v>2258</v>
      </c>
      <c r="L173" s="121" t="s">
        <v>200</v>
      </c>
      <c r="M173" s="116">
        <v>45460</v>
      </c>
      <c r="N173" s="115">
        <v>56</v>
      </c>
      <c r="O173" s="115" t="s">
        <v>152</v>
      </c>
      <c r="P173" s="115" t="s">
        <v>235</v>
      </c>
      <c r="Q173" s="115" t="s">
        <v>313</v>
      </c>
      <c r="R173" s="115" t="s">
        <v>34</v>
      </c>
      <c r="S173" s="122">
        <v>1</v>
      </c>
    </row>
    <row r="174" spans="10:19" x14ac:dyDescent="0.25">
      <c r="J174" s="125">
        <v>44968123</v>
      </c>
      <c r="K174" s="115" t="s">
        <v>367</v>
      </c>
      <c r="L174" s="121" t="s">
        <v>200</v>
      </c>
      <c r="M174" s="116">
        <v>45234</v>
      </c>
      <c r="N174" s="115">
        <v>36</v>
      </c>
      <c r="O174" s="115" t="s">
        <v>150</v>
      </c>
      <c r="P174" s="115" t="s">
        <v>235</v>
      </c>
      <c r="Q174" s="115" t="s">
        <v>313</v>
      </c>
      <c r="R174" s="115" t="s">
        <v>68</v>
      </c>
      <c r="S174" s="122">
        <v>1</v>
      </c>
    </row>
    <row r="175" spans="10:19" x14ac:dyDescent="0.25">
      <c r="J175" s="125" t="s">
        <v>368</v>
      </c>
      <c r="K175" s="115" t="s">
        <v>369</v>
      </c>
      <c r="L175" s="121" t="s">
        <v>200</v>
      </c>
      <c r="M175" s="116">
        <v>45246</v>
      </c>
      <c r="N175" s="115">
        <v>39</v>
      </c>
      <c r="O175" s="115" t="s">
        <v>150</v>
      </c>
      <c r="P175" s="115" t="s">
        <v>235</v>
      </c>
      <c r="Q175" s="115" t="s">
        <v>313</v>
      </c>
      <c r="R175" s="115" t="s">
        <v>35</v>
      </c>
      <c r="S175" s="122">
        <v>1</v>
      </c>
    </row>
    <row r="176" spans="10:19" x14ac:dyDescent="0.25">
      <c r="J176" s="125">
        <v>1259645</v>
      </c>
      <c r="K176" s="115" t="s">
        <v>1204</v>
      </c>
      <c r="L176" s="121" t="s">
        <v>200</v>
      </c>
      <c r="M176" s="116">
        <v>44537</v>
      </c>
      <c r="N176" s="115">
        <v>54</v>
      </c>
      <c r="O176" s="115" t="s">
        <v>152</v>
      </c>
      <c r="P176" s="115" t="s">
        <v>235</v>
      </c>
      <c r="Q176" s="115" t="s">
        <v>313</v>
      </c>
      <c r="R176" s="115" t="s">
        <v>34</v>
      </c>
      <c r="S176" s="122">
        <v>1</v>
      </c>
    </row>
    <row r="177" spans="10:19" x14ac:dyDescent="0.25">
      <c r="J177" s="125">
        <v>43504371</v>
      </c>
      <c r="K177" s="115" t="s">
        <v>1205</v>
      </c>
      <c r="L177" s="121" t="s">
        <v>201</v>
      </c>
      <c r="M177" s="116">
        <v>44553</v>
      </c>
      <c r="N177" s="115">
        <v>38</v>
      </c>
      <c r="O177" s="115" t="s">
        <v>150</v>
      </c>
      <c r="P177" s="115" t="s">
        <v>235</v>
      </c>
      <c r="Q177" s="115" t="s">
        <v>313</v>
      </c>
      <c r="R177" s="115" t="s">
        <v>36</v>
      </c>
      <c r="S177" s="122">
        <v>1</v>
      </c>
    </row>
    <row r="178" spans="10:19" x14ac:dyDescent="0.25">
      <c r="J178" s="125" t="s">
        <v>371</v>
      </c>
      <c r="K178" s="115" t="s">
        <v>1224</v>
      </c>
      <c r="L178" s="121" t="s">
        <v>200</v>
      </c>
      <c r="M178" s="116">
        <v>45250</v>
      </c>
      <c r="N178" s="115">
        <v>58</v>
      </c>
      <c r="O178" s="115" t="s">
        <v>152</v>
      </c>
      <c r="P178" s="115" t="s">
        <v>235</v>
      </c>
      <c r="Q178" s="115" t="s">
        <v>313</v>
      </c>
      <c r="R178" s="115" t="s">
        <v>34</v>
      </c>
      <c r="S178" s="122">
        <v>0.5</v>
      </c>
    </row>
    <row r="179" spans="10:19" x14ac:dyDescent="0.25">
      <c r="J179" s="126"/>
      <c r="K179" s="117"/>
      <c r="L179" s="110"/>
      <c r="M179" s="116">
        <v>45520</v>
      </c>
      <c r="N179" s="115">
        <v>58</v>
      </c>
      <c r="O179" s="115" t="s">
        <v>152</v>
      </c>
      <c r="P179" s="115" t="s">
        <v>235</v>
      </c>
      <c r="Q179" s="115" t="s">
        <v>313</v>
      </c>
      <c r="R179" s="115" t="s">
        <v>34</v>
      </c>
      <c r="S179" s="122">
        <v>0.5</v>
      </c>
    </row>
    <row r="180" spans="10:19" x14ac:dyDescent="0.25">
      <c r="J180" s="125" t="s">
        <v>376</v>
      </c>
      <c r="K180" s="115" t="s">
        <v>343</v>
      </c>
      <c r="L180" s="121" t="s">
        <v>200</v>
      </c>
      <c r="M180" s="116">
        <v>45468</v>
      </c>
      <c r="N180" s="115">
        <v>71</v>
      </c>
      <c r="O180" s="115" t="s">
        <v>153</v>
      </c>
      <c r="P180" s="115" t="s">
        <v>235</v>
      </c>
      <c r="Q180" s="115" t="s">
        <v>313</v>
      </c>
      <c r="R180" s="115" t="s">
        <v>34</v>
      </c>
      <c r="S180" s="122">
        <v>1</v>
      </c>
    </row>
    <row r="181" spans="10:19" x14ac:dyDescent="0.25">
      <c r="J181" s="125">
        <v>25614741</v>
      </c>
      <c r="K181" s="115" t="s">
        <v>2030</v>
      </c>
      <c r="L181" s="121" t="s">
        <v>200</v>
      </c>
      <c r="M181" s="116">
        <v>45243</v>
      </c>
      <c r="N181" s="115">
        <v>61</v>
      </c>
      <c r="O181" s="115" t="s">
        <v>153</v>
      </c>
      <c r="P181" s="115" t="s">
        <v>235</v>
      </c>
      <c r="Q181" s="115" t="s">
        <v>312</v>
      </c>
      <c r="R181" s="115" t="s">
        <v>34</v>
      </c>
      <c r="S181" s="122">
        <v>1</v>
      </c>
    </row>
    <row r="182" spans="10:19" x14ac:dyDescent="0.25">
      <c r="J182" s="125">
        <v>47376482</v>
      </c>
      <c r="K182" s="115" t="s">
        <v>1909</v>
      </c>
      <c r="L182" s="121" t="s">
        <v>200</v>
      </c>
      <c r="M182" s="116">
        <v>45344</v>
      </c>
      <c r="N182" s="115">
        <v>32</v>
      </c>
      <c r="O182" s="115" t="s">
        <v>150</v>
      </c>
      <c r="P182" s="116">
        <v>45549</v>
      </c>
      <c r="Q182" s="115" t="s">
        <v>313</v>
      </c>
      <c r="R182" s="115" t="s">
        <v>34</v>
      </c>
      <c r="S182" s="122">
        <v>1</v>
      </c>
    </row>
    <row r="183" spans="10:19" x14ac:dyDescent="0.25">
      <c r="J183" s="125">
        <v>47801030</v>
      </c>
      <c r="K183" s="115" t="s">
        <v>3170</v>
      </c>
      <c r="L183" s="121" t="s">
        <v>200</v>
      </c>
      <c r="M183" s="116">
        <v>45261</v>
      </c>
      <c r="N183" s="115">
        <v>32</v>
      </c>
      <c r="O183" s="115" t="s">
        <v>150</v>
      </c>
      <c r="P183" s="115" t="s">
        <v>235</v>
      </c>
      <c r="Q183" s="115" t="s">
        <v>312</v>
      </c>
      <c r="R183" s="115" t="s">
        <v>34</v>
      </c>
      <c r="S183" s="122">
        <v>1</v>
      </c>
    </row>
    <row r="184" spans="10:19" x14ac:dyDescent="0.25">
      <c r="J184" s="125">
        <v>46308352</v>
      </c>
      <c r="K184" s="115" t="s">
        <v>3168</v>
      </c>
      <c r="L184" s="121" t="s">
        <v>200</v>
      </c>
      <c r="M184" s="116">
        <v>45261</v>
      </c>
      <c r="N184" s="115">
        <v>34</v>
      </c>
      <c r="O184" s="115" t="s">
        <v>150</v>
      </c>
      <c r="P184" s="115" t="s">
        <v>235</v>
      </c>
      <c r="Q184" s="115" t="s">
        <v>312</v>
      </c>
      <c r="R184" s="115" t="s">
        <v>34</v>
      </c>
      <c r="S184" s="122">
        <v>1</v>
      </c>
    </row>
    <row r="185" spans="10:19" x14ac:dyDescent="0.25">
      <c r="J185" s="125">
        <v>46338989</v>
      </c>
      <c r="K185" s="115" t="s">
        <v>3169</v>
      </c>
      <c r="L185" s="121" t="s">
        <v>200</v>
      </c>
      <c r="M185" s="116">
        <v>45261</v>
      </c>
      <c r="N185" s="115">
        <v>36</v>
      </c>
      <c r="O185" s="115" t="s">
        <v>150</v>
      </c>
      <c r="P185" s="115" t="s">
        <v>235</v>
      </c>
      <c r="Q185" s="115" t="s">
        <v>312</v>
      </c>
      <c r="R185" s="115" t="s">
        <v>34</v>
      </c>
      <c r="S185" s="122">
        <v>1</v>
      </c>
    </row>
    <row r="186" spans="10:19" x14ac:dyDescent="0.25">
      <c r="J186" s="125">
        <v>80365084</v>
      </c>
      <c r="K186" s="115" t="s">
        <v>775</v>
      </c>
      <c r="L186" s="121" t="s">
        <v>200</v>
      </c>
      <c r="M186" s="116">
        <v>45349</v>
      </c>
      <c r="N186" s="115">
        <v>45</v>
      </c>
      <c r="O186" s="115" t="s">
        <v>151</v>
      </c>
      <c r="P186" s="115" t="s">
        <v>235</v>
      </c>
      <c r="Q186" s="115" t="s">
        <v>313</v>
      </c>
      <c r="R186" s="115" t="s">
        <v>34</v>
      </c>
      <c r="S186" s="122">
        <v>1</v>
      </c>
    </row>
    <row r="187" spans="10:19" x14ac:dyDescent="0.25">
      <c r="J187" s="125">
        <v>45112214</v>
      </c>
      <c r="K187" s="115" t="s">
        <v>823</v>
      </c>
      <c r="L187" s="121" t="s">
        <v>200</v>
      </c>
      <c r="M187" s="116">
        <v>45278</v>
      </c>
      <c r="N187" s="115">
        <v>36</v>
      </c>
      <c r="O187" s="115" t="s">
        <v>150</v>
      </c>
      <c r="P187" s="116">
        <v>45536</v>
      </c>
      <c r="Q187" s="115" t="s">
        <v>313</v>
      </c>
      <c r="R187" s="115" t="s">
        <v>72</v>
      </c>
      <c r="S187" s="122">
        <v>1</v>
      </c>
    </row>
    <row r="188" spans="10:19" x14ac:dyDescent="0.25">
      <c r="J188" s="125" t="s">
        <v>407</v>
      </c>
      <c r="K188" s="115" t="s">
        <v>408</v>
      </c>
      <c r="L188" s="121" t="s">
        <v>200</v>
      </c>
      <c r="M188" s="116">
        <v>45261</v>
      </c>
      <c r="N188" s="115">
        <v>29</v>
      </c>
      <c r="O188" s="115" t="s">
        <v>149</v>
      </c>
      <c r="P188" s="116">
        <v>45542</v>
      </c>
      <c r="Q188" s="115" t="s">
        <v>313</v>
      </c>
      <c r="R188" s="115" t="s">
        <v>35</v>
      </c>
      <c r="S188" s="122">
        <v>1</v>
      </c>
    </row>
    <row r="189" spans="10:19" x14ac:dyDescent="0.25">
      <c r="J189" s="125" t="s">
        <v>411</v>
      </c>
      <c r="K189" s="115" t="s">
        <v>412</v>
      </c>
      <c r="L189" s="121" t="s">
        <v>200</v>
      </c>
      <c r="M189" s="115" t="s">
        <v>409</v>
      </c>
      <c r="N189" s="115">
        <v>47</v>
      </c>
      <c r="O189" s="115" t="s">
        <v>151</v>
      </c>
      <c r="P189" s="116">
        <v>45556</v>
      </c>
      <c r="Q189" s="115" t="s">
        <v>313</v>
      </c>
      <c r="R189" s="115" t="s">
        <v>68</v>
      </c>
      <c r="S189" s="122">
        <v>1</v>
      </c>
    </row>
    <row r="190" spans="10:19" x14ac:dyDescent="0.25">
      <c r="J190" s="125">
        <v>74404052</v>
      </c>
      <c r="K190" s="115" t="s">
        <v>417</v>
      </c>
      <c r="L190" s="121" t="s">
        <v>200</v>
      </c>
      <c r="M190" s="116">
        <v>45261</v>
      </c>
      <c r="N190" s="115">
        <v>28</v>
      </c>
      <c r="O190" s="115" t="s">
        <v>149</v>
      </c>
      <c r="P190" s="115" t="s">
        <v>235</v>
      </c>
      <c r="Q190" s="115" t="s">
        <v>313</v>
      </c>
      <c r="R190" s="115" t="s">
        <v>68</v>
      </c>
      <c r="S190" s="122">
        <v>1</v>
      </c>
    </row>
    <row r="191" spans="10:19" x14ac:dyDescent="0.25">
      <c r="J191" s="125">
        <v>25442112</v>
      </c>
      <c r="K191" s="115" t="s">
        <v>2548</v>
      </c>
      <c r="L191" s="121" t="s">
        <v>200</v>
      </c>
      <c r="M191" s="116">
        <v>45495</v>
      </c>
      <c r="N191" s="115">
        <v>62</v>
      </c>
      <c r="O191" s="115" t="s">
        <v>153</v>
      </c>
      <c r="P191" s="115" t="s">
        <v>235</v>
      </c>
      <c r="Q191" s="115" t="s">
        <v>313</v>
      </c>
      <c r="R191" s="115" t="s">
        <v>34</v>
      </c>
      <c r="S191" s="122">
        <v>1</v>
      </c>
    </row>
    <row r="192" spans="10:19" x14ac:dyDescent="0.25">
      <c r="J192" s="125">
        <v>40571411</v>
      </c>
      <c r="K192" s="115" t="s">
        <v>2152</v>
      </c>
      <c r="L192" s="121" t="s">
        <v>200</v>
      </c>
      <c r="M192" s="116">
        <v>45463</v>
      </c>
      <c r="N192" s="115">
        <v>46</v>
      </c>
      <c r="O192" s="115" t="s">
        <v>151</v>
      </c>
      <c r="P192" s="115" t="s">
        <v>235</v>
      </c>
      <c r="Q192" s="115" t="s">
        <v>313</v>
      </c>
      <c r="R192" s="115" t="s">
        <v>34</v>
      </c>
      <c r="S192" s="122">
        <v>1</v>
      </c>
    </row>
    <row r="193" spans="10:19" x14ac:dyDescent="0.25">
      <c r="J193" s="125" t="s">
        <v>419</v>
      </c>
      <c r="K193" s="115" t="s">
        <v>319</v>
      </c>
      <c r="L193" s="121" t="s">
        <v>200</v>
      </c>
      <c r="M193" s="116">
        <v>45261</v>
      </c>
      <c r="N193" s="115">
        <v>33</v>
      </c>
      <c r="O193" s="115" t="s">
        <v>150</v>
      </c>
      <c r="P193" s="115" t="s">
        <v>235</v>
      </c>
      <c r="Q193" s="115" t="s">
        <v>313</v>
      </c>
      <c r="R193" s="115" t="s">
        <v>34</v>
      </c>
      <c r="S193" s="122">
        <v>1</v>
      </c>
    </row>
    <row r="194" spans="10:19" x14ac:dyDescent="0.25">
      <c r="J194" s="125" t="s">
        <v>420</v>
      </c>
      <c r="K194" s="115" t="s">
        <v>421</v>
      </c>
      <c r="L194" s="121" t="s">
        <v>200</v>
      </c>
      <c r="M194" s="116">
        <v>45261</v>
      </c>
      <c r="N194" s="115">
        <v>40</v>
      </c>
      <c r="O194" s="115" t="s">
        <v>150</v>
      </c>
      <c r="P194" s="115" t="s">
        <v>235</v>
      </c>
      <c r="Q194" s="115" t="s">
        <v>313</v>
      </c>
      <c r="R194" s="115" t="s">
        <v>34</v>
      </c>
      <c r="S194" s="122">
        <v>1</v>
      </c>
    </row>
    <row r="195" spans="10:19" x14ac:dyDescent="0.25">
      <c r="J195" s="125">
        <v>44005042</v>
      </c>
      <c r="K195" s="115" t="s">
        <v>2034</v>
      </c>
      <c r="L195" s="121" t="s">
        <v>200</v>
      </c>
      <c r="M195" s="116">
        <v>45327</v>
      </c>
      <c r="N195" s="115">
        <v>38</v>
      </c>
      <c r="O195" s="115" t="s">
        <v>150</v>
      </c>
      <c r="P195" s="115" t="s">
        <v>235</v>
      </c>
      <c r="Q195" s="115" t="s">
        <v>312</v>
      </c>
      <c r="R195" s="115" t="s">
        <v>34</v>
      </c>
      <c r="S195" s="122">
        <v>1</v>
      </c>
    </row>
    <row r="196" spans="10:19" x14ac:dyDescent="0.25">
      <c r="J196" s="125">
        <v>75654895</v>
      </c>
      <c r="K196" s="115" t="s">
        <v>3074</v>
      </c>
      <c r="L196" s="121" t="s">
        <v>200</v>
      </c>
      <c r="M196" s="116">
        <v>45529</v>
      </c>
      <c r="N196" s="115">
        <v>30</v>
      </c>
      <c r="O196" s="115" t="s">
        <v>149</v>
      </c>
      <c r="P196" s="115" t="s">
        <v>235</v>
      </c>
      <c r="Q196" s="115" t="s">
        <v>313</v>
      </c>
      <c r="R196" s="115" t="s">
        <v>34</v>
      </c>
      <c r="S196" s="122">
        <v>1</v>
      </c>
    </row>
    <row r="197" spans="10:19" x14ac:dyDescent="0.25">
      <c r="J197" s="125">
        <v>75680820</v>
      </c>
      <c r="K197" s="115" t="s">
        <v>2031</v>
      </c>
      <c r="L197" s="121" t="s">
        <v>200</v>
      </c>
      <c r="M197" s="116">
        <v>45267</v>
      </c>
      <c r="N197" s="115">
        <v>25</v>
      </c>
      <c r="O197" s="115" t="s">
        <v>149</v>
      </c>
      <c r="P197" s="115" t="s">
        <v>235</v>
      </c>
      <c r="Q197" s="115" t="s">
        <v>312</v>
      </c>
      <c r="R197" s="115" t="s">
        <v>68</v>
      </c>
      <c r="S197" s="122">
        <v>1</v>
      </c>
    </row>
    <row r="198" spans="10:19" x14ac:dyDescent="0.25">
      <c r="J198" s="125">
        <v>74235645</v>
      </c>
      <c r="K198" s="115" t="s">
        <v>2041</v>
      </c>
      <c r="L198" s="121" t="s">
        <v>200</v>
      </c>
      <c r="M198" s="116">
        <v>45268</v>
      </c>
      <c r="N198" s="115">
        <v>26</v>
      </c>
      <c r="O198" s="115" t="s">
        <v>149</v>
      </c>
      <c r="P198" s="115" t="s">
        <v>235</v>
      </c>
      <c r="Q198" s="115" t="s">
        <v>312</v>
      </c>
      <c r="R198" s="115" t="s">
        <v>36</v>
      </c>
      <c r="S198" s="122">
        <v>1</v>
      </c>
    </row>
    <row r="199" spans="10:19" x14ac:dyDescent="0.25">
      <c r="J199" s="125" t="s">
        <v>450</v>
      </c>
      <c r="K199" s="115" t="s">
        <v>451</v>
      </c>
      <c r="L199" s="121" t="s">
        <v>200</v>
      </c>
      <c r="M199" s="116">
        <v>44958</v>
      </c>
      <c r="N199" s="115">
        <v>50</v>
      </c>
      <c r="O199" s="115" t="s">
        <v>152</v>
      </c>
      <c r="P199" s="115" t="s">
        <v>162</v>
      </c>
      <c r="Q199" s="115" t="s">
        <v>313</v>
      </c>
      <c r="R199" s="115" t="s">
        <v>68</v>
      </c>
      <c r="S199" s="122">
        <v>1</v>
      </c>
    </row>
    <row r="200" spans="10:19" x14ac:dyDescent="0.25">
      <c r="J200" s="125">
        <v>70800659</v>
      </c>
      <c r="K200" s="115" t="s">
        <v>983</v>
      </c>
      <c r="L200" s="121" t="s">
        <v>200</v>
      </c>
      <c r="M200" s="116">
        <v>45280</v>
      </c>
      <c r="N200" s="115">
        <v>24</v>
      </c>
      <c r="O200" s="115" t="s">
        <v>149</v>
      </c>
      <c r="P200" s="115" t="s">
        <v>162</v>
      </c>
      <c r="Q200" s="115" t="s">
        <v>313</v>
      </c>
      <c r="R200" s="115" t="s">
        <v>68</v>
      </c>
      <c r="S200" s="122">
        <v>1</v>
      </c>
    </row>
    <row r="201" spans="10:19" x14ac:dyDescent="0.25">
      <c r="J201" s="125">
        <v>40272616</v>
      </c>
      <c r="K201" s="115" t="s">
        <v>3173</v>
      </c>
      <c r="L201" s="121" t="s">
        <v>200</v>
      </c>
      <c r="M201" s="116">
        <v>45278</v>
      </c>
      <c r="N201" s="115">
        <v>45</v>
      </c>
      <c r="O201" s="115" t="s">
        <v>151</v>
      </c>
      <c r="P201" s="115" t="s">
        <v>235</v>
      </c>
      <c r="Q201" s="115" t="s">
        <v>312</v>
      </c>
      <c r="R201" s="115" t="s">
        <v>72</v>
      </c>
      <c r="S201" s="122">
        <v>1</v>
      </c>
    </row>
    <row r="202" spans="10:19" x14ac:dyDescent="0.25">
      <c r="J202" s="125">
        <v>43719351</v>
      </c>
      <c r="K202" s="115" t="s">
        <v>695</v>
      </c>
      <c r="L202" s="121" t="s">
        <v>200</v>
      </c>
      <c r="M202" s="116">
        <v>45497</v>
      </c>
      <c r="N202" s="115">
        <v>39</v>
      </c>
      <c r="O202" s="115" t="s">
        <v>150</v>
      </c>
      <c r="P202" s="115" t="s">
        <v>235</v>
      </c>
      <c r="Q202" s="115" t="s">
        <v>313</v>
      </c>
      <c r="R202" s="115" t="s">
        <v>35</v>
      </c>
      <c r="S202" s="122">
        <v>1</v>
      </c>
    </row>
    <row r="203" spans="10:19" x14ac:dyDescent="0.25">
      <c r="J203" s="125" t="s">
        <v>465</v>
      </c>
      <c r="K203" s="115" t="s">
        <v>466</v>
      </c>
      <c r="L203" s="121" t="s">
        <v>200</v>
      </c>
      <c r="M203" s="116">
        <v>45302</v>
      </c>
      <c r="N203" s="115">
        <v>46</v>
      </c>
      <c r="O203" s="115" t="s">
        <v>151</v>
      </c>
      <c r="P203" s="115" t="s">
        <v>235</v>
      </c>
      <c r="Q203" s="115" t="s">
        <v>313</v>
      </c>
      <c r="R203" s="115" t="s">
        <v>35</v>
      </c>
      <c r="S203" s="122">
        <v>1</v>
      </c>
    </row>
    <row r="204" spans="10:19" x14ac:dyDescent="0.25">
      <c r="J204" s="125">
        <v>44963182</v>
      </c>
      <c r="K204" s="115" t="s">
        <v>2013</v>
      </c>
      <c r="L204" s="121" t="s">
        <v>200</v>
      </c>
      <c r="M204" s="116">
        <v>45320</v>
      </c>
      <c r="N204" s="115">
        <v>36</v>
      </c>
      <c r="O204" s="115" t="s">
        <v>150</v>
      </c>
      <c r="P204" s="115" t="s">
        <v>235</v>
      </c>
      <c r="Q204" s="115" t="s">
        <v>313</v>
      </c>
      <c r="R204" s="115" t="s">
        <v>34</v>
      </c>
      <c r="S204" s="122">
        <v>1</v>
      </c>
    </row>
    <row r="205" spans="10:19" x14ac:dyDescent="0.25">
      <c r="J205" s="125">
        <v>25573721</v>
      </c>
      <c r="K205" s="115" t="s">
        <v>1944</v>
      </c>
      <c r="L205" s="121" t="s">
        <v>200</v>
      </c>
      <c r="M205" s="116">
        <v>45562</v>
      </c>
      <c r="N205" s="115">
        <v>54</v>
      </c>
      <c r="O205" s="115" t="s">
        <v>152</v>
      </c>
      <c r="P205" s="115" t="s">
        <v>235</v>
      </c>
      <c r="Q205" s="115" t="s">
        <v>313</v>
      </c>
      <c r="R205" s="115" t="s">
        <v>34</v>
      </c>
      <c r="S205" s="122">
        <v>1</v>
      </c>
    </row>
    <row r="206" spans="10:19" x14ac:dyDescent="0.25">
      <c r="J206" s="125">
        <v>47583114</v>
      </c>
      <c r="K206" s="115" t="s">
        <v>1202</v>
      </c>
      <c r="L206" s="121" t="s">
        <v>200</v>
      </c>
      <c r="M206" s="116">
        <v>45237</v>
      </c>
      <c r="N206" s="115">
        <v>31</v>
      </c>
      <c r="O206" s="115" t="s">
        <v>149</v>
      </c>
      <c r="P206" s="115" t="s">
        <v>235</v>
      </c>
      <c r="Q206" s="115" t="s">
        <v>313</v>
      </c>
      <c r="R206" s="115" t="s">
        <v>34</v>
      </c>
      <c r="S206" s="122">
        <v>0.5</v>
      </c>
    </row>
    <row r="207" spans="10:19" x14ac:dyDescent="0.25">
      <c r="J207" s="125">
        <v>42915677</v>
      </c>
      <c r="K207" s="115" t="s">
        <v>1856</v>
      </c>
      <c r="L207" s="121" t="s">
        <v>200</v>
      </c>
      <c r="M207" s="116">
        <v>45400</v>
      </c>
      <c r="N207" s="115">
        <v>33</v>
      </c>
      <c r="O207" s="115" t="s">
        <v>150</v>
      </c>
      <c r="P207" s="115" t="s">
        <v>235</v>
      </c>
      <c r="Q207" s="115" t="s">
        <v>313</v>
      </c>
      <c r="R207" s="115" t="s">
        <v>72</v>
      </c>
      <c r="S207" s="122">
        <v>1</v>
      </c>
    </row>
    <row r="208" spans="10:19" x14ac:dyDescent="0.25">
      <c r="J208" s="125">
        <v>45079208</v>
      </c>
      <c r="K208" s="115" t="s">
        <v>2015</v>
      </c>
      <c r="L208" s="121" t="s">
        <v>200</v>
      </c>
      <c r="M208" s="116">
        <v>45181</v>
      </c>
      <c r="N208" s="115">
        <v>37</v>
      </c>
      <c r="O208" s="115" t="s">
        <v>150</v>
      </c>
      <c r="P208" s="116">
        <v>45563</v>
      </c>
      <c r="Q208" s="115" t="s">
        <v>313</v>
      </c>
      <c r="R208" s="115" t="s">
        <v>34</v>
      </c>
      <c r="S208" s="122">
        <v>1</v>
      </c>
    </row>
    <row r="209" spans="10:19" x14ac:dyDescent="0.25">
      <c r="J209" s="125">
        <v>73223068</v>
      </c>
      <c r="K209" s="115" t="s">
        <v>1924</v>
      </c>
      <c r="L209" s="121" t="s">
        <v>200</v>
      </c>
      <c r="M209" s="116">
        <v>45321</v>
      </c>
      <c r="N209" s="115">
        <v>21</v>
      </c>
      <c r="O209" s="115" t="s">
        <v>148</v>
      </c>
      <c r="P209" s="116">
        <v>45549</v>
      </c>
      <c r="Q209" s="115" t="s">
        <v>313</v>
      </c>
      <c r="R209" s="115" t="s">
        <v>34</v>
      </c>
      <c r="S209" s="122">
        <v>1</v>
      </c>
    </row>
    <row r="210" spans="10:19" x14ac:dyDescent="0.25">
      <c r="J210" s="125">
        <v>10660585</v>
      </c>
      <c r="K210" s="115" t="s">
        <v>1329</v>
      </c>
      <c r="L210" s="121" t="s">
        <v>200</v>
      </c>
      <c r="M210" s="116">
        <v>45129</v>
      </c>
      <c r="N210" s="115">
        <v>47</v>
      </c>
      <c r="O210" s="115" t="s">
        <v>151</v>
      </c>
      <c r="P210" s="115" t="s">
        <v>1257</v>
      </c>
      <c r="Q210" s="115" t="s">
        <v>313</v>
      </c>
      <c r="R210" s="115" t="s">
        <v>68</v>
      </c>
      <c r="S210" s="122">
        <v>1</v>
      </c>
    </row>
    <row r="211" spans="10:19" x14ac:dyDescent="0.25">
      <c r="J211" s="125">
        <v>75606076</v>
      </c>
      <c r="K211" s="115" t="s">
        <v>1330</v>
      </c>
      <c r="L211" s="121" t="s">
        <v>200</v>
      </c>
      <c r="M211" s="116">
        <v>45042</v>
      </c>
      <c r="N211" s="115">
        <v>22</v>
      </c>
      <c r="O211" s="115" t="s">
        <v>148</v>
      </c>
      <c r="P211" s="115" t="s">
        <v>1257</v>
      </c>
      <c r="Q211" s="115" t="s">
        <v>313</v>
      </c>
      <c r="R211" s="115" t="s">
        <v>36</v>
      </c>
      <c r="S211" s="122">
        <v>1</v>
      </c>
    </row>
    <row r="212" spans="10:19" x14ac:dyDescent="0.25">
      <c r="J212" s="125">
        <v>42226971</v>
      </c>
      <c r="K212" s="115" t="s">
        <v>1331</v>
      </c>
      <c r="L212" s="121" t="s">
        <v>200</v>
      </c>
      <c r="M212" s="116">
        <v>45182</v>
      </c>
      <c r="N212" s="115">
        <v>44</v>
      </c>
      <c r="O212" s="115" t="s">
        <v>151</v>
      </c>
      <c r="P212" s="115" t="s">
        <v>1257</v>
      </c>
      <c r="Q212" s="115" t="s">
        <v>313</v>
      </c>
      <c r="R212" s="115" t="s">
        <v>72</v>
      </c>
      <c r="S212" s="122">
        <v>1</v>
      </c>
    </row>
    <row r="213" spans="10:19" x14ac:dyDescent="0.25">
      <c r="J213" s="125">
        <v>77095133</v>
      </c>
      <c r="K213" s="115" t="s">
        <v>1332</v>
      </c>
      <c r="L213" s="121" t="s">
        <v>200</v>
      </c>
      <c r="M213" s="116">
        <v>45101</v>
      </c>
      <c r="N213" s="115">
        <v>27</v>
      </c>
      <c r="O213" s="115" t="s">
        <v>149</v>
      </c>
      <c r="P213" s="115" t="s">
        <v>1257</v>
      </c>
      <c r="Q213" s="115" t="s">
        <v>313</v>
      </c>
      <c r="R213" s="115" t="s">
        <v>68</v>
      </c>
      <c r="S213" s="122">
        <v>1</v>
      </c>
    </row>
    <row r="214" spans="10:19" x14ac:dyDescent="0.25">
      <c r="J214" s="125">
        <v>74210610</v>
      </c>
      <c r="K214" s="115" t="s">
        <v>1334</v>
      </c>
      <c r="L214" s="121" t="s">
        <v>200</v>
      </c>
      <c r="M214" s="116">
        <v>45177</v>
      </c>
      <c r="N214" s="115">
        <v>25</v>
      </c>
      <c r="O214" s="115" t="s">
        <v>149</v>
      </c>
      <c r="P214" s="115" t="s">
        <v>1257</v>
      </c>
      <c r="Q214" s="115" t="s">
        <v>313</v>
      </c>
      <c r="R214" s="115" t="s">
        <v>36</v>
      </c>
      <c r="S214" s="122">
        <v>1</v>
      </c>
    </row>
    <row r="215" spans="10:19" x14ac:dyDescent="0.25">
      <c r="J215" s="125">
        <v>75445105</v>
      </c>
      <c r="K215" s="115" t="s">
        <v>1335</v>
      </c>
      <c r="L215" s="121" t="s">
        <v>200</v>
      </c>
      <c r="M215" s="116">
        <v>45092</v>
      </c>
      <c r="N215" s="115">
        <v>26</v>
      </c>
      <c r="O215" s="115" t="s">
        <v>149</v>
      </c>
      <c r="P215" s="115" t="s">
        <v>1257</v>
      </c>
      <c r="Q215" s="115" t="s">
        <v>313</v>
      </c>
      <c r="R215" s="115" t="s">
        <v>36</v>
      </c>
      <c r="S215" s="122">
        <v>1</v>
      </c>
    </row>
    <row r="216" spans="10:19" x14ac:dyDescent="0.25">
      <c r="J216" s="125">
        <v>10602660</v>
      </c>
      <c r="K216" s="115" t="s">
        <v>1341</v>
      </c>
      <c r="L216" s="121" t="s">
        <v>200</v>
      </c>
      <c r="M216" s="116">
        <v>45204</v>
      </c>
      <c r="N216" s="115">
        <v>46</v>
      </c>
      <c r="O216" s="115" t="s">
        <v>151</v>
      </c>
      <c r="P216" s="115" t="s">
        <v>1257</v>
      </c>
      <c r="Q216" s="115" t="s">
        <v>313</v>
      </c>
      <c r="R216" s="115" t="s">
        <v>36</v>
      </c>
      <c r="S216" s="122">
        <v>1</v>
      </c>
    </row>
    <row r="217" spans="10:19" x14ac:dyDescent="0.25">
      <c r="J217" s="125">
        <v>76821655</v>
      </c>
      <c r="K217" s="115" t="s">
        <v>1346</v>
      </c>
      <c r="L217" s="121" t="s">
        <v>200</v>
      </c>
      <c r="M217" s="116">
        <v>45061</v>
      </c>
      <c r="N217" s="115">
        <v>24</v>
      </c>
      <c r="O217" s="115" t="s">
        <v>149</v>
      </c>
      <c r="P217" s="115" t="s">
        <v>1257</v>
      </c>
      <c r="Q217" s="115" t="s">
        <v>313</v>
      </c>
      <c r="R217" s="115" t="s">
        <v>69</v>
      </c>
      <c r="S217" s="122">
        <v>1</v>
      </c>
    </row>
    <row r="218" spans="10:19" x14ac:dyDescent="0.25">
      <c r="J218" s="125">
        <v>75479110</v>
      </c>
      <c r="K218" s="115" t="s">
        <v>1355</v>
      </c>
      <c r="L218" s="121" t="s">
        <v>200</v>
      </c>
      <c r="M218" s="116">
        <v>44967</v>
      </c>
      <c r="N218" s="115">
        <v>25</v>
      </c>
      <c r="O218" s="115" t="s">
        <v>149</v>
      </c>
      <c r="P218" s="115" t="s">
        <v>1257</v>
      </c>
      <c r="Q218" s="115" t="s">
        <v>313</v>
      </c>
      <c r="R218" s="115" t="s">
        <v>68</v>
      </c>
      <c r="S218" s="122">
        <v>1</v>
      </c>
    </row>
    <row r="219" spans="10:19" x14ac:dyDescent="0.25">
      <c r="J219" s="125">
        <v>76328581</v>
      </c>
      <c r="K219" s="115" t="s">
        <v>1356</v>
      </c>
      <c r="L219" s="121" t="s">
        <v>200</v>
      </c>
      <c r="M219" s="116">
        <v>45000</v>
      </c>
      <c r="N219" s="115">
        <v>25</v>
      </c>
      <c r="O219" s="115" t="s">
        <v>149</v>
      </c>
      <c r="P219" s="115" t="s">
        <v>1257</v>
      </c>
      <c r="Q219" s="115" t="s">
        <v>313</v>
      </c>
      <c r="R219" s="115" t="s">
        <v>36</v>
      </c>
      <c r="S219" s="122">
        <v>1</v>
      </c>
    </row>
    <row r="220" spans="10:19" x14ac:dyDescent="0.25">
      <c r="J220" s="125">
        <v>43211514</v>
      </c>
      <c r="K220" s="115" t="s">
        <v>1357</v>
      </c>
      <c r="L220" s="121" t="s">
        <v>200</v>
      </c>
      <c r="M220" s="116">
        <v>44997</v>
      </c>
      <c r="N220" s="115">
        <v>40</v>
      </c>
      <c r="O220" s="115" t="s">
        <v>150</v>
      </c>
      <c r="P220" s="115" t="s">
        <v>1257</v>
      </c>
      <c r="Q220" s="115" t="s">
        <v>313</v>
      </c>
      <c r="R220" s="115" t="s">
        <v>34</v>
      </c>
      <c r="S220" s="122">
        <v>1</v>
      </c>
    </row>
    <row r="221" spans="10:19" x14ac:dyDescent="0.25">
      <c r="J221" s="125">
        <v>48571459</v>
      </c>
      <c r="K221" s="115" t="s">
        <v>1358</v>
      </c>
      <c r="L221" s="121" t="s">
        <v>200</v>
      </c>
      <c r="M221" s="116">
        <v>44978</v>
      </c>
      <c r="N221" s="115">
        <v>29</v>
      </c>
      <c r="O221" s="115" t="s">
        <v>149</v>
      </c>
      <c r="P221" s="115" t="s">
        <v>1257</v>
      </c>
      <c r="Q221" s="115" t="s">
        <v>313</v>
      </c>
      <c r="R221" s="115" t="s">
        <v>72</v>
      </c>
      <c r="S221" s="122">
        <v>1</v>
      </c>
    </row>
    <row r="222" spans="10:19" x14ac:dyDescent="0.25">
      <c r="J222" s="125">
        <v>44742865</v>
      </c>
      <c r="K222" s="115" t="s">
        <v>1364</v>
      </c>
      <c r="L222" s="121" t="s">
        <v>200</v>
      </c>
      <c r="M222" s="116">
        <v>44883</v>
      </c>
      <c r="N222" s="115">
        <v>37</v>
      </c>
      <c r="O222" s="115" t="s">
        <v>150</v>
      </c>
      <c r="P222" s="115" t="s">
        <v>1257</v>
      </c>
      <c r="Q222" s="115" t="s">
        <v>313</v>
      </c>
      <c r="R222" s="115" t="s">
        <v>35</v>
      </c>
      <c r="S222" s="122">
        <v>1</v>
      </c>
    </row>
    <row r="223" spans="10:19" x14ac:dyDescent="0.25">
      <c r="J223" s="125">
        <v>72910803</v>
      </c>
      <c r="K223" s="115" t="s">
        <v>1381</v>
      </c>
      <c r="L223" s="121" t="s">
        <v>200</v>
      </c>
      <c r="M223" s="116">
        <v>44888</v>
      </c>
      <c r="N223" s="115">
        <v>30</v>
      </c>
      <c r="O223" s="115" t="s">
        <v>149</v>
      </c>
      <c r="P223" s="115" t="s">
        <v>1257</v>
      </c>
      <c r="Q223" s="115" t="s">
        <v>313</v>
      </c>
      <c r="R223" s="115" t="s">
        <v>72</v>
      </c>
      <c r="S223" s="122">
        <v>1</v>
      </c>
    </row>
    <row r="224" spans="10:19" x14ac:dyDescent="0.25">
      <c r="J224" s="125">
        <v>40705096</v>
      </c>
      <c r="K224" s="115" t="s">
        <v>1420</v>
      </c>
      <c r="L224" s="121" t="s">
        <v>200</v>
      </c>
      <c r="M224" s="116">
        <v>45253</v>
      </c>
      <c r="N224" s="115">
        <v>43</v>
      </c>
      <c r="O224" s="115" t="s">
        <v>151</v>
      </c>
      <c r="P224" s="115" t="s">
        <v>1257</v>
      </c>
      <c r="Q224" s="115" t="s">
        <v>313</v>
      </c>
      <c r="R224" s="115" t="s">
        <v>72</v>
      </c>
      <c r="S224" s="122">
        <v>1</v>
      </c>
    </row>
    <row r="225" spans="10:19" x14ac:dyDescent="0.25">
      <c r="J225" s="125">
        <v>73646665</v>
      </c>
      <c r="K225" s="115" t="s">
        <v>1421</v>
      </c>
      <c r="L225" s="121" t="s">
        <v>200</v>
      </c>
      <c r="M225" s="116">
        <v>45260</v>
      </c>
      <c r="N225" s="115">
        <v>25</v>
      </c>
      <c r="O225" s="115" t="s">
        <v>149</v>
      </c>
      <c r="P225" s="115" t="s">
        <v>1257</v>
      </c>
      <c r="Q225" s="115" t="s">
        <v>313</v>
      </c>
      <c r="R225" s="115" t="s">
        <v>72</v>
      </c>
      <c r="S225" s="122">
        <v>1</v>
      </c>
    </row>
    <row r="226" spans="10:19" x14ac:dyDescent="0.25">
      <c r="J226" s="125">
        <v>72297461</v>
      </c>
      <c r="K226" s="115" t="s">
        <v>1422</v>
      </c>
      <c r="L226" s="121" t="s">
        <v>200</v>
      </c>
      <c r="M226" s="116">
        <v>45192</v>
      </c>
      <c r="N226" s="115">
        <v>22</v>
      </c>
      <c r="O226" s="115" t="s">
        <v>148</v>
      </c>
      <c r="P226" s="115" t="s">
        <v>1257</v>
      </c>
      <c r="Q226" s="115" t="s">
        <v>313</v>
      </c>
      <c r="R226" s="115" t="s">
        <v>69</v>
      </c>
      <c r="S226" s="122">
        <v>1</v>
      </c>
    </row>
    <row r="227" spans="10:19" x14ac:dyDescent="0.25">
      <c r="J227" s="125">
        <v>70115069</v>
      </c>
      <c r="K227" s="115" t="s">
        <v>1423</v>
      </c>
      <c r="L227" s="121" t="s">
        <v>200</v>
      </c>
      <c r="M227" s="116">
        <v>45206</v>
      </c>
      <c r="N227" s="115">
        <v>26</v>
      </c>
      <c r="O227" s="115" t="s">
        <v>149</v>
      </c>
      <c r="P227" s="115" t="s">
        <v>1257</v>
      </c>
      <c r="Q227" s="115" t="s">
        <v>313</v>
      </c>
      <c r="R227" s="115" t="s">
        <v>69</v>
      </c>
      <c r="S227" s="122">
        <v>1</v>
      </c>
    </row>
    <row r="228" spans="10:19" x14ac:dyDescent="0.25">
      <c r="J228" s="125">
        <v>80418696</v>
      </c>
      <c r="K228" s="115" t="s">
        <v>1426</v>
      </c>
      <c r="L228" s="121" t="s">
        <v>200</v>
      </c>
      <c r="M228" s="116">
        <v>45190</v>
      </c>
      <c r="N228" s="115">
        <v>49</v>
      </c>
      <c r="O228" s="115" t="s">
        <v>151</v>
      </c>
      <c r="P228" s="115" t="s">
        <v>1257</v>
      </c>
      <c r="Q228" s="115" t="s">
        <v>313</v>
      </c>
      <c r="R228" s="115" t="s">
        <v>69</v>
      </c>
      <c r="S228" s="122">
        <v>1</v>
      </c>
    </row>
    <row r="229" spans="10:19" x14ac:dyDescent="0.25">
      <c r="J229" s="125">
        <v>41802865</v>
      </c>
      <c r="K229" s="115" t="s">
        <v>1427</v>
      </c>
      <c r="L229" s="121" t="s">
        <v>200</v>
      </c>
      <c r="M229" s="116">
        <v>45183</v>
      </c>
      <c r="N229" s="115">
        <v>41</v>
      </c>
      <c r="O229" s="115" t="s">
        <v>151</v>
      </c>
      <c r="P229" s="115" t="s">
        <v>1257</v>
      </c>
      <c r="Q229" s="115" t="s">
        <v>313</v>
      </c>
      <c r="R229" s="115" t="s">
        <v>69</v>
      </c>
      <c r="S229" s="122">
        <v>1</v>
      </c>
    </row>
    <row r="230" spans="10:19" x14ac:dyDescent="0.25">
      <c r="J230" s="125" t="s">
        <v>469</v>
      </c>
      <c r="K230" s="115" t="s">
        <v>1711</v>
      </c>
      <c r="L230" s="121" t="s">
        <v>200</v>
      </c>
      <c r="M230" s="116">
        <v>45440</v>
      </c>
      <c r="N230" s="115">
        <v>19</v>
      </c>
      <c r="O230" s="115" t="s">
        <v>148</v>
      </c>
      <c r="P230" s="116">
        <v>45555</v>
      </c>
      <c r="Q230" s="115" t="s">
        <v>313</v>
      </c>
      <c r="R230" s="115" t="s">
        <v>34</v>
      </c>
      <c r="S230" s="122">
        <v>1</v>
      </c>
    </row>
    <row r="231" spans="10:19" x14ac:dyDescent="0.25">
      <c r="J231" s="125">
        <v>45668400</v>
      </c>
      <c r="K231" s="115" t="s">
        <v>928</v>
      </c>
      <c r="L231" s="121" t="s">
        <v>200</v>
      </c>
      <c r="M231" s="116">
        <v>45250</v>
      </c>
      <c r="N231" s="115">
        <v>35</v>
      </c>
      <c r="O231" s="115" t="s">
        <v>150</v>
      </c>
      <c r="P231" s="115" t="s">
        <v>235</v>
      </c>
      <c r="Q231" s="115" t="s">
        <v>313</v>
      </c>
      <c r="R231" s="115" t="s">
        <v>68</v>
      </c>
      <c r="S231" s="122">
        <v>1</v>
      </c>
    </row>
    <row r="232" spans="10:19" x14ac:dyDescent="0.25">
      <c r="J232" s="125">
        <v>25809857</v>
      </c>
      <c r="K232" s="115" t="s">
        <v>937</v>
      </c>
      <c r="L232" s="121" t="s">
        <v>201</v>
      </c>
      <c r="M232" s="116">
        <v>45245</v>
      </c>
      <c r="N232" s="115">
        <v>47</v>
      </c>
      <c r="O232" s="115" t="s">
        <v>151</v>
      </c>
      <c r="P232" s="115" t="s">
        <v>235</v>
      </c>
      <c r="Q232" s="115" t="s">
        <v>313</v>
      </c>
      <c r="R232" s="115" t="s">
        <v>34</v>
      </c>
      <c r="S232" s="122">
        <v>1</v>
      </c>
    </row>
    <row r="233" spans="10:19" x14ac:dyDescent="0.25">
      <c r="J233" s="125">
        <v>76301381</v>
      </c>
      <c r="K233" s="115" t="s">
        <v>939</v>
      </c>
      <c r="L233" s="121" t="s">
        <v>200</v>
      </c>
      <c r="M233" s="116">
        <v>45247</v>
      </c>
      <c r="N233" s="115">
        <v>30</v>
      </c>
      <c r="O233" s="115" t="s">
        <v>149</v>
      </c>
      <c r="P233" s="115" t="s">
        <v>235</v>
      </c>
      <c r="Q233" s="115" t="s">
        <v>313</v>
      </c>
      <c r="R233" s="115" t="s">
        <v>34</v>
      </c>
      <c r="S233" s="122">
        <v>1</v>
      </c>
    </row>
    <row r="234" spans="10:19" x14ac:dyDescent="0.25">
      <c r="J234" s="125">
        <v>42335827</v>
      </c>
      <c r="K234" s="115" t="s">
        <v>952</v>
      </c>
      <c r="L234" s="121" t="s">
        <v>200</v>
      </c>
      <c r="M234" s="116">
        <v>45246</v>
      </c>
      <c r="N234" s="115">
        <v>40</v>
      </c>
      <c r="O234" s="115" t="s">
        <v>150</v>
      </c>
      <c r="P234" s="115" t="s">
        <v>235</v>
      </c>
      <c r="Q234" s="115" t="s">
        <v>313</v>
      </c>
      <c r="R234" s="115" t="s">
        <v>68</v>
      </c>
      <c r="S234" s="122">
        <v>1</v>
      </c>
    </row>
    <row r="235" spans="10:19" x14ac:dyDescent="0.25">
      <c r="J235" s="125">
        <v>47885110</v>
      </c>
      <c r="K235" s="115" t="s">
        <v>958</v>
      </c>
      <c r="L235" s="121" t="s">
        <v>200</v>
      </c>
      <c r="M235" s="116">
        <v>45173</v>
      </c>
      <c r="N235" s="115">
        <v>41</v>
      </c>
      <c r="O235" s="115" t="s">
        <v>151</v>
      </c>
      <c r="P235" s="115" t="s">
        <v>235</v>
      </c>
      <c r="Q235" s="115" t="s">
        <v>313</v>
      </c>
      <c r="R235" s="115" t="s">
        <v>34</v>
      </c>
      <c r="S235" s="122">
        <v>1</v>
      </c>
    </row>
    <row r="236" spans="10:19" x14ac:dyDescent="0.25">
      <c r="J236" s="125">
        <v>43591303</v>
      </c>
      <c r="K236" s="115" t="s">
        <v>968</v>
      </c>
      <c r="L236" s="121" t="s">
        <v>200</v>
      </c>
      <c r="M236" s="116">
        <v>45173</v>
      </c>
      <c r="N236" s="115">
        <v>38</v>
      </c>
      <c r="O236" s="115" t="s">
        <v>150</v>
      </c>
      <c r="P236" s="115" t="s">
        <v>235</v>
      </c>
      <c r="Q236" s="115" t="s">
        <v>313</v>
      </c>
      <c r="R236" s="115" t="s">
        <v>68</v>
      </c>
      <c r="S236" s="122">
        <v>1</v>
      </c>
    </row>
    <row r="237" spans="10:19" x14ac:dyDescent="0.25">
      <c r="J237" s="125">
        <v>42296060</v>
      </c>
      <c r="K237" s="115" t="s">
        <v>1766</v>
      </c>
      <c r="L237" s="121" t="s">
        <v>200</v>
      </c>
      <c r="M237" s="116">
        <v>45289</v>
      </c>
      <c r="N237" s="115">
        <v>43</v>
      </c>
      <c r="O237" s="115" t="s">
        <v>151</v>
      </c>
      <c r="P237" s="115" t="s">
        <v>1764</v>
      </c>
      <c r="Q237" s="115" t="s">
        <v>312</v>
      </c>
      <c r="R237" s="115" t="s">
        <v>34</v>
      </c>
      <c r="S237" s="122">
        <v>1</v>
      </c>
    </row>
    <row r="238" spans="10:19" x14ac:dyDescent="0.25">
      <c r="J238" s="125" t="s">
        <v>471</v>
      </c>
      <c r="K238" s="115" t="s">
        <v>560</v>
      </c>
      <c r="L238" s="121" t="s">
        <v>200</v>
      </c>
      <c r="M238" s="116">
        <v>45346</v>
      </c>
      <c r="N238" s="115">
        <v>38</v>
      </c>
      <c r="O238" s="115" t="s">
        <v>150</v>
      </c>
      <c r="P238" s="115" t="s">
        <v>235</v>
      </c>
      <c r="Q238" s="115" t="s">
        <v>313</v>
      </c>
      <c r="R238" s="115" t="s">
        <v>68</v>
      </c>
      <c r="S238" s="122">
        <v>1</v>
      </c>
    </row>
    <row r="239" spans="10:19" x14ac:dyDescent="0.25">
      <c r="J239" s="125">
        <v>43697482</v>
      </c>
      <c r="K239" s="115" t="s">
        <v>815</v>
      </c>
      <c r="L239" s="121" t="s">
        <v>200</v>
      </c>
      <c r="M239" s="116">
        <v>45345</v>
      </c>
      <c r="N239" s="115">
        <v>38</v>
      </c>
      <c r="O239" s="115" t="s">
        <v>150</v>
      </c>
      <c r="P239" s="116">
        <v>45536</v>
      </c>
      <c r="Q239" s="115" t="s">
        <v>313</v>
      </c>
      <c r="R239" s="115" t="s">
        <v>68</v>
      </c>
      <c r="S239" s="122">
        <v>1</v>
      </c>
    </row>
    <row r="240" spans="10:19" x14ac:dyDescent="0.25">
      <c r="J240" s="125" t="s">
        <v>472</v>
      </c>
      <c r="K240" s="115" t="s">
        <v>473</v>
      </c>
      <c r="L240" s="121" t="s">
        <v>201</v>
      </c>
      <c r="M240" s="116">
        <v>45338</v>
      </c>
      <c r="N240" s="115">
        <v>49</v>
      </c>
      <c r="O240" s="115" t="s">
        <v>151</v>
      </c>
      <c r="P240" s="115" t="s">
        <v>235</v>
      </c>
      <c r="Q240" s="115" t="s">
        <v>313</v>
      </c>
      <c r="R240" s="115" t="s">
        <v>34</v>
      </c>
      <c r="S240" s="122">
        <v>1</v>
      </c>
    </row>
    <row r="241" spans="10:19" x14ac:dyDescent="0.25">
      <c r="J241" s="125" t="s">
        <v>474</v>
      </c>
      <c r="K241" s="115" t="s">
        <v>475</v>
      </c>
      <c r="L241" s="121" t="s">
        <v>200</v>
      </c>
      <c r="M241" s="116">
        <v>45320</v>
      </c>
      <c r="N241" s="115">
        <v>40</v>
      </c>
      <c r="O241" s="115" t="s">
        <v>150</v>
      </c>
      <c r="P241" s="115" t="s">
        <v>235</v>
      </c>
      <c r="Q241" s="115" t="s">
        <v>313</v>
      </c>
      <c r="R241" s="115" t="s">
        <v>36</v>
      </c>
      <c r="S241" s="122">
        <v>1</v>
      </c>
    </row>
    <row r="242" spans="10:19" x14ac:dyDescent="0.25">
      <c r="J242" s="125" t="s">
        <v>487</v>
      </c>
      <c r="K242" s="115" t="s">
        <v>488</v>
      </c>
      <c r="L242" s="121" t="s">
        <v>200</v>
      </c>
      <c r="M242" s="116">
        <v>45335</v>
      </c>
      <c r="N242" s="115">
        <v>28</v>
      </c>
      <c r="O242" s="115" t="s">
        <v>149</v>
      </c>
      <c r="P242" s="115" t="s">
        <v>235</v>
      </c>
      <c r="Q242" s="115" t="s">
        <v>313</v>
      </c>
      <c r="R242" s="115" t="s">
        <v>34</v>
      </c>
      <c r="S242" s="122">
        <v>1</v>
      </c>
    </row>
    <row r="243" spans="10:19" x14ac:dyDescent="0.25">
      <c r="J243" s="125" t="s">
        <v>491</v>
      </c>
      <c r="K243" s="115" t="s">
        <v>492</v>
      </c>
      <c r="L243" s="121" t="s">
        <v>200</v>
      </c>
      <c r="M243" s="116">
        <v>45337</v>
      </c>
      <c r="N243" s="115">
        <v>40</v>
      </c>
      <c r="O243" s="115" t="s">
        <v>150</v>
      </c>
      <c r="P243" s="115" t="s">
        <v>235</v>
      </c>
      <c r="Q243" s="115" t="s">
        <v>313</v>
      </c>
      <c r="R243" s="115" t="s">
        <v>34</v>
      </c>
      <c r="S243" s="122">
        <v>1</v>
      </c>
    </row>
    <row r="244" spans="10:19" x14ac:dyDescent="0.25">
      <c r="J244" s="125" t="s">
        <v>500</v>
      </c>
      <c r="K244" s="115" t="s">
        <v>501</v>
      </c>
      <c r="L244" s="121" t="s">
        <v>200</v>
      </c>
      <c r="M244" s="115" t="s">
        <v>499</v>
      </c>
      <c r="N244" s="115" t="s">
        <v>3326</v>
      </c>
      <c r="O244" s="115" t="s">
        <v>3326</v>
      </c>
      <c r="P244" s="116">
        <v>45542</v>
      </c>
      <c r="Q244" s="115" t="s">
        <v>313</v>
      </c>
      <c r="R244" s="115" t="s">
        <v>68</v>
      </c>
      <c r="S244" s="122">
        <v>1</v>
      </c>
    </row>
    <row r="245" spans="10:19" x14ac:dyDescent="0.25">
      <c r="J245" s="125">
        <v>43864169</v>
      </c>
      <c r="K245" s="115" t="s">
        <v>1903</v>
      </c>
      <c r="L245" s="121" t="s">
        <v>200</v>
      </c>
      <c r="M245" s="116">
        <v>45320</v>
      </c>
      <c r="N245" s="115">
        <v>37</v>
      </c>
      <c r="O245" s="115" t="s">
        <v>150</v>
      </c>
      <c r="P245" s="116">
        <v>45549</v>
      </c>
      <c r="Q245" s="115" t="s">
        <v>313</v>
      </c>
      <c r="R245" s="115" t="s">
        <v>34</v>
      </c>
      <c r="S245" s="122">
        <v>1</v>
      </c>
    </row>
    <row r="246" spans="10:19" x14ac:dyDescent="0.25">
      <c r="J246" s="125">
        <v>73888395</v>
      </c>
      <c r="K246" s="115" t="s">
        <v>2006</v>
      </c>
      <c r="L246" s="121" t="s">
        <v>200</v>
      </c>
      <c r="M246" s="116">
        <v>45352</v>
      </c>
      <c r="N246" s="115">
        <v>35</v>
      </c>
      <c r="O246" s="115" t="s">
        <v>150</v>
      </c>
      <c r="P246" s="116">
        <v>45549</v>
      </c>
      <c r="Q246" s="115" t="s">
        <v>313</v>
      </c>
      <c r="R246" s="115" t="s">
        <v>36</v>
      </c>
      <c r="S246" s="122">
        <v>1</v>
      </c>
    </row>
    <row r="247" spans="10:19" x14ac:dyDescent="0.25">
      <c r="J247" s="125">
        <v>16806946</v>
      </c>
      <c r="K247" s="115" t="s">
        <v>704</v>
      </c>
      <c r="L247" s="121" t="s">
        <v>200</v>
      </c>
      <c r="M247" s="116">
        <v>45492</v>
      </c>
      <c r="N247" s="115">
        <v>47</v>
      </c>
      <c r="O247" s="115" t="s">
        <v>151</v>
      </c>
      <c r="P247" s="115" t="s">
        <v>235</v>
      </c>
      <c r="Q247" s="115" t="s">
        <v>313</v>
      </c>
      <c r="R247" s="115" t="s">
        <v>72</v>
      </c>
      <c r="S247" s="122">
        <v>1</v>
      </c>
    </row>
    <row r="248" spans="10:19" x14ac:dyDescent="0.25">
      <c r="J248" s="125">
        <v>75687396</v>
      </c>
      <c r="K248" s="115" t="s">
        <v>2673</v>
      </c>
      <c r="L248" s="121" t="s">
        <v>200</v>
      </c>
      <c r="M248" s="116">
        <v>45505</v>
      </c>
      <c r="N248" s="115">
        <v>29</v>
      </c>
      <c r="O248" s="115" t="s">
        <v>149</v>
      </c>
      <c r="P248" s="115" t="s">
        <v>235</v>
      </c>
      <c r="Q248" s="115" t="s">
        <v>313</v>
      </c>
      <c r="R248" s="115" t="s">
        <v>36</v>
      </c>
      <c r="S248" s="122">
        <v>1</v>
      </c>
    </row>
    <row r="249" spans="10:19" x14ac:dyDescent="0.25">
      <c r="J249" s="125">
        <v>79949870</v>
      </c>
      <c r="K249" s="115" t="s">
        <v>723</v>
      </c>
      <c r="L249" s="121" t="s">
        <v>201</v>
      </c>
      <c r="M249" s="116">
        <v>45310</v>
      </c>
      <c r="N249" s="115">
        <v>21</v>
      </c>
      <c r="O249" s="115" t="s">
        <v>148</v>
      </c>
      <c r="P249" s="115" t="s">
        <v>235</v>
      </c>
      <c r="Q249" s="115" t="s">
        <v>313</v>
      </c>
      <c r="R249" s="115" t="s">
        <v>34</v>
      </c>
      <c r="S249" s="122">
        <v>1</v>
      </c>
    </row>
    <row r="250" spans="10:19" x14ac:dyDescent="0.25">
      <c r="J250" s="125">
        <v>74485473</v>
      </c>
      <c r="K250" s="115" t="s">
        <v>734</v>
      </c>
      <c r="L250" s="121" t="s">
        <v>200</v>
      </c>
      <c r="M250" s="116">
        <v>45316</v>
      </c>
      <c r="N250" s="115">
        <v>28</v>
      </c>
      <c r="O250" s="115" t="s">
        <v>149</v>
      </c>
      <c r="P250" s="115" t="s">
        <v>235</v>
      </c>
      <c r="Q250" s="115" t="s">
        <v>313</v>
      </c>
      <c r="R250" s="115" t="s">
        <v>69</v>
      </c>
      <c r="S250" s="122">
        <v>1</v>
      </c>
    </row>
    <row r="251" spans="10:19" x14ac:dyDescent="0.25">
      <c r="J251" s="125">
        <v>44496791</v>
      </c>
      <c r="K251" s="115" t="s">
        <v>744</v>
      </c>
      <c r="L251" s="121" t="s">
        <v>200</v>
      </c>
      <c r="M251" s="116">
        <v>45295</v>
      </c>
      <c r="N251" s="115">
        <v>37</v>
      </c>
      <c r="O251" s="115" t="s">
        <v>150</v>
      </c>
      <c r="P251" s="115" t="s">
        <v>235</v>
      </c>
      <c r="Q251" s="115" t="s">
        <v>313</v>
      </c>
      <c r="R251" s="115" t="s">
        <v>68</v>
      </c>
      <c r="S251" s="122">
        <v>1</v>
      </c>
    </row>
    <row r="252" spans="10:19" x14ac:dyDescent="0.25">
      <c r="J252" s="125">
        <v>40004669</v>
      </c>
      <c r="K252" s="115" t="s">
        <v>758</v>
      </c>
      <c r="L252" s="121" t="s">
        <v>200</v>
      </c>
      <c r="M252" s="116">
        <v>45293</v>
      </c>
      <c r="N252" s="115">
        <v>46</v>
      </c>
      <c r="O252" s="115" t="s">
        <v>151</v>
      </c>
      <c r="P252" s="115" t="s">
        <v>235</v>
      </c>
      <c r="Q252" s="115" t="s">
        <v>313</v>
      </c>
      <c r="R252" s="115" t="s">
        <v>68</v>
      </c>
      <c r="S252" s="122">
        <v>1</v>
      </c>
    </row>
    <row r="253" spans="10:19" x14ac:dyDescent="0.25">
      <c r="J253" s="125">
        <v>42546578</v>
      </c>
      <c r="K253" s="115" t="s">
        <v>759</v>
      </c>
      <c r="L253" s="121" t="s">
        <v>200</v>
      </c>
      <c r="M253" s="116">
        <v>45295</v>
      </c>
      <c r="N253" s="115">
        <v>40</v>
      </c>
      <c r="O253" s="115" t="s">
        <v>150</v>
      </c>
      <c r="P253" s="115" t="s">
        <v>235</v>
      </c>
      <c r="Q253" s="115" t="s">
        <v>313</v>
      </c>
      <c r="R253" s="115" t="s">
        <v>34</v>
      </c>
      <c r="S253" s="122">
        <v>1</v>
      </c>
    </row>
    <row r="254" spans="10:19" x14ac:dyDescent="0.25">
      <c r="J254" s="125">
        <v>47044609</v>
      </c>
      <c r="K254" s="115" t="s">
        <v>760</v>
      </c>
      <c r="L254" s="121" t="s">
        <v>201</v>
      </c>
      <c r="M254" s="116">
        <v>45310</v>
      </c>
      <c r="N254" s="115">
        <v>33</v>
      </c>
      <c r="O254" s="115" t="s">
        <v>150</v>
      </c>
      <c r="P254" s="115" t="s">
        <v>235</v>
      </c>
      <c r="Q254" s="115" t="s">
        <v>313</v>
      </c>
      <c r="R254" s="115" t="s">
        <v>34</v>
      </c>
      <c r="S254" s="122">
        <v>1</v>
      </c>
    </row>
    <row r="255" spans="10:19" x14ac:dyDescent="0.25">
      <c r="J255" s="125">
        <v>40917183</v>
      </c>
      <c r="K255" s="115" t="s">
        <v>765</v>
      </c>
      <c r="L255" s="121" t="s">
        <v>200</v>
      </c>
      <c r="M255" s="116">
        <v>45310</v>
      </c>
      <c r="N255" s="115">
        <v>46</v>
      </c>
      <c r="O255" s="115" t="s">
        <v>151</v>
      </c>
      <c r="P255" s="115" t="s">
        <v>235</v>
      </c>
      <c r="Q255" s="115" t="s">
        <v>313</v>
      </c>
      <c r="R255" s="115" t="s">
        <v>68</v>
      </c>
      <c r="S255" s="122">
        <v>1</v>
      </c>
    </row>
    <row r="256" spans="10:19" x14ac:dyDescent="0.25">
      <c r="J256" s="125" t="s">
        <v>505</v>
      </c>
      <c r="K256" s="115" t="s">
        <v>506</v>
      </c>
      <c r="L256" s="121" t="s">
        <v>200</v>
      </c>
      <c r="M256" s="116">
        <v>44181</v>
      </c>
      <c r="N256" s="115">
        <v>38</v>
      </c>
      <c r="O256" s="115" t="s">
        <v>150</v>
      </c>
      <c r="P256" s="115" t="s">
        <v>235</v>
      </c>
      <c r="Q256" s="115" t="s">
        <v>313</v>
      </c>
      <c r="R256" s="115" t="s">
        <v>68</v>
      </c>
      <c r="S256" s="122">
        <v>1</v>
      </c>
    </row>
    <row r="257" spans="10:19" x14ac:dyDescent="0.25">
      <c r="J257" s="125" t="s">
        <v>507</v>
      </c>
      <c r="K257" s="115" t="s">
        <v>508</v>
      </c>
      <c r="L257" s="121" t="s">
        <v>200</v>
      </c>
      <c r="M257" s="116">
        <v>45511</v>
      </c>
      <c r="N257" s="115">
        <v>39</v>
      </c>
      <c r="O257" s="115" t="s">
        <v>150</v>
      </c>
      <c r="P257" s="115" t="s">
        <v>235</v>
      </c>
      <c r="Q257" s="115" t="s">
        <v>313</v>
      </c>
      <c r="R257" s="115" t="s">
        <v>34</v>
      </c>
      <c r="S257" s="122">
        <v>1</v>
      </c>
    </row>
    <row r="258" spans="10:19" x14ac:dyDescent="0.25">
      <c r="J258" s="125" t="s">
        <v>509</v>
      </c>
      <c r="K258" s="115" t="s">
        <v>510</v>
      </c>
      <c r="L258" s="121" t="s">
        <v>200</v>
      </c>
      <c r="M258" s="116">
        <v>44613</v>
      </c>
      <c r="N258" s="115">
        <v>30</v>
      </c>
      <c r="O258" s="115" t="s">
        <v>149</v>
      </c>
      <c r="P258" s="116">
        <v>45565</v>
      </c>
      <c r="Q258" s="115" t="s">
        <v>313</v>
      </c>
      <c r="R258" s="115" t="s">
        <v>35</v>
      </c>
      <c r="S258" s="122">
        <v>1</v>
      </c>
    </row>
    <row r="259" spans="10:19" x14ac:dyDescent="0.25">
      <c r="J259" s="125" t="s">
        <v>511</v>
      </c>
      <c r="K259" s="115" t="s">
        <v>512</v>
      </c>
      <c r="L259" s="121" t="s">
        <v>200</v>
      </c>
      <c r="M259" s="116">
        <v>44636</v>
      </c>
      <c r="N259" s="115">
        <v>42</v>
      </c>
      <c r="O259" s="115" t="s">
        <v>151</v>
      </c>
      <c r="P259" s="115" t="s">
        <v>235</v>
      </c>
      <c r="Q259" s="115" t="s">
        <v>313</v>
      </c>
      <c r="R259" s="115" t="s">
        <v>68</v>
      </c>
      <c r="S259" s="122">
        <v>1</v>
      </c>
    </row>
    <row r="260" spans="10:19" x14ac:dyDescent="0.25">
      <c r="J260" s="125" t="s">
        <v>513</v>
      </c>
      <c r="K260" s="115" t="s">
        <v>514</v>
      </c>
      <c r="L260" s="121" t="s">
        <v>200</v>
      </c>
      <c r="M260" s="116">
        <v>44652</v>
      </c>
      <c r="N260" s="115">
        <v>31</v>
      </c>
      <c r="O260" s="115" t="s">
        <v>149</v>
      </c>
      <c r="P260" s="115" t="s">
        <v>235</v>
      </c>
      <c r="Q260" s="115" t="s">
        <v>313</v>
      </c>
      <c r="R260" s="115" t="s">
        <v>69</v>
      </c>
      <c r="S260" s="122">
        <v>1</v>
      </c>
    </row>
    <row r="261" spans="10:19" x14ac:dyDescent="0.25">
      <c r="J261" s="125" t="s">
        <v>515</v>
      </c>
      <c r="K261" s="115" t="s">
        <v>516</v>
      </c>
      <c r="L261" s="121" t="s">
        <v>200</v>
      </c>
      <c r="M261" s="116">
        <v>44662</v>
      </c>
      <c r="N261" s="115">
        <v>34</v>
      </c>
      <c r="O261" s="115" t="s">
        <v>150</v>
      </c>
      <c r="P261" s="116">
        <v>45545</v>
      </c>
      <c r="Q261" s="115" t="s">
        <v>313</v>
      </c>
      <c r="R261" s="115" t="s">
        <v>105</v>
      </c>
      <c r="S261" s="122">
        <v>1</v>
      </c>
    </row>
    <row r="262" spans="10:19" x14ac:dyDescent="0.25">
      <c r="J262" s="125" t="s">
        <v>517</v>
      </c>
      <c r="K262" s="115" t="s">
        <v>518</v>
      </c>
      <c r="L262" s="121" t="s">
        <v>201</v>
      </c>
      <c r="M262" s="116">
        <v>44883</v>
      </c>
      <c r="N262" s="115">
        <v>40</v>
      </c>
      <c r="O262" s="115" t="s">
        <v>150</v>
      </c>
      <c r="P262" s="115" t="s">
        <v>235</v>
      </c>
      <c r="Q262" s="115" t="s">
        <v>313</v>
      </c>
      <c r="R262" s="115" t="s">
        <v>68</v>
      </c>
      <c r="S262" s="122">
        <v>1</v>
      </c>
    </row>
    <row r="263" spans="10:19" x14ac:dyDescent="0.25">
      <c r="J263" s="125" t="s">
        <v>519</v>
      </c>
      <c r="K263" s="115" t="s">
        <v>520</v>
      </c>
      <c r="L263" s="121" t="s">
        <v>200</v>
      </c>
      <c r="M263" s="116">
        <v>44895</v>
      </c>
      <c r="N263" s="115">
        <v>38</v>
      </c>
      <c r="O263" s="115" t="s">
        <v>150</v>
      </c>
      <c r="P263" s="115" t="s">
        <v>235</v>
      </c>
      <c r="Q263" s="115" t="s">
        <v>313</v>
      </c>
      <c r="R263" s="115" t="s">
        <v>68</v>
      </c>
      <c r="S263" s="122">
        <v>1</v>
      </c>
    </row>
    <row r="264" spans="10:19" x14ac:dyDescent="0.25">
      <c r="J264" s="125" t="s">
        <v>521</v>
      </c>
      <c r="K264" s="115" t="s">
        <v>522</v>
      </c>
      <c r="L264" s="121" t="s">
        <v>200</v>
      </c>
      <c r="M264" s="116">
        <v>45152</v>
      </c>
      <c r="N264" s="115">
        <v>24</v>
      </c>
      <c r="O264" s="115" t="s">
        <v>149</v>
      </c>
      <c r="P264" s="115" t="s">
        <v>235</v>
      </c>
      <c r="Q264" s="115" t="s">
        <v>313</v>
      </c>
      <c r="R264" s="115" t="s">
        <v>68</v>
      </c>
      <c r="S264" s="122">
        <v>1</v>
      </c>
    </row>
    <row r="265" spans="10:19" x14ac:dyDescent="0.25">
      <c r="J265" s="125" t="s">
        <v>523</v>
      </c>
      <c r="K265" s="115" t="s">
        <v>524</v>
      </c>
      <c r="L265" s="121" t="s">
        <v>200</v>
      </c>
      <c r="M265" s="116">
        <v>45160</v>
      </c>
      <c r="N265" s="115">
        <v>50</v>
      </c>
      <c r="O265" s="115" t="s">
        <v>152</v>
      </c>
      <c r="P265" s="115" t="s">
        <v>235</v>
      </c>
      <c r="Q265" s="115" t="s">
        <v>313</v>
      </c>
      <c r="R265" s="115" t="s">
        <v>69</v>
      </c>
      <c r="S265" s="122">
        <v>1</v>
      </c>
    </row>
    <row r="266" spans="10:19" x14ac:dyDescent="0.25">
      <c r="J266" s="125" t="s">
        <v>525</v>
      </c>
      <c r="K266" s="115" t="s">
        <v>526</v>
      </c>
      <c r="L266" s="121" t="s">
        <v>200</v>
      </c>
      <c r="M266" s="116">
        <v>45166</v>
      </c>
      <c r="N266" s="115">
        <v>39</v>
      </c>
      <c r="O266" s="115" t="s">
        <v>150</v>
      </c>
      <c r="P266" s="115" t="s">
        <v>235</v>
      </c>
      <c r="Q266" s="115" t="s">
        <v>313</v>
      </c>
      <c r="R266" s="115" t="s">
        <v>68</v>
      </c>
      <c r="S266" s="122">
        <v>1</v>
      </c>
    </row>
    <row r="267" spans="10:19" x14ac:dyDescent="0.25">
      <c r="J267" s="125" t="s">
        <v>527</v>
      </c>
      <c r="K267" s="115" t="s">
        <v>528</v>
      </c>
      <c r="L267" s="121" t="s">
        <v>200</v>
      </c>
      <c r="M267" s="116">
        <v>45166</v>
      </c>
      <c r="N267" s="115">
        <v>33</v>
      </c>
      <c r="O267" s="115" t="s">
        <v>150</v>
      </c>
      <c r="P267" s="115" t="s">
        <v>235</v>
      </c>
      <c r="Q267" s="115" t="s">
        <v>313</v>
      </c>
      <c r="R267" s="115" t="s">
        <v>68</v>
      </c>
      <c r="S267" s="122">
        <v>1</v>
      </c>
    </row>
    <row r="268" spans="10:19" x14ac:dyDescent="0.25">
      <c r="J268" s="125" t="s">
        <v>529</v>
      </c>
      <c r="K268" s="115" t="s">
        <v>530</v>
      </c>
      <c r="L268" s="121" t="s">
        <v>200</v>
      </c>
      <c r="M268" s="116">
        <v>45197</v>
      </c>
      <c r="N268" s="115">
        <v>51</v>
      </c>
      <c r="O268" s="115" t="s">
        <v>152</v>
      </c>
      <c r="P268" s="115" t="s">
        <v>235</v>
      </c>
      <c r="Q268" s="115" t="s">
        <v>313</v>
      </c>
      <c r="R268" s="115" t="s">
        <v>34</v>
      </c>
      <c r="S268" s="122">
        <v>1</v>
      </c>
    </row>
    <row r="269" spans="10:19" x14ac:dyDescent="0.25">
      <c r="J269" s="125" t="s">
        <v>531</v>
      </c>
      <c r="K269" s="115" t="s">
        <v>532</v>
      </c>
      <c r="L269" s="121" t="s">
        <v>200</v>
      </c>
      <c r="M269" s="116">
        <v>45225</v>
      </c>
      <c r="N269" s="115">
        <v>20</v>
      </c>
      <c r="O269" s="115" t="s">
        <v>148</v>
      </c>
      <c r="P269" s="115" t="s">
        <v>235</v>
      </c>
      <c r="Q269" s="115" t="s">
        <v>313</v>
      </c>
      <c r="R269" s="115" t="s">
        <v>105</v>
      </c>
      <c r="S269" s="122">
        <v>1</v>
      </c>
    </row>
    <row r="270" spans="10:19" x14ac:dyDescent="0.25">
      <c r="J270" s="125" t="s">
        <v>533</v>
      </c>
      <c r="K270" s="115" t="s">
        <v>534</v>
      </c>
      <c r="L270" s="121" t="s">
        <v>201</v>
      </c>
      <c r="M270" s="116">
        <v>45244</v>
      </c>
      <c r="N270" s="115">
        <v>23</v>
      </c>
      <c r="O270" s="115" t="s">
        <v>148</v>
      </c>
      <c r="P270" s="115" t="s">
        <v>235</v>
      </c>
      <c r="Q270" s="115" t="s">
        <v>313</v>
      </c>
      <c r="R270" s="115" t="s">
        <v>34</v>
      </c>
      <c r="S270" s="122">
        <v>1</v>
      </c>
    </row>
    <row r="271" spans="10:19" x14ac:dyDescent="0.25">
      <c r="J271" s="125" t="s">
        <v>535</v>
      </c>
      <c r="K271" s="115" t="s">
        <v>536</v>
      </c>
      <c r="L271" s="121" t="s">
        <v>200</v>
      </c>
      <c r="M271" s="116">
        <v>45250</v>
      </c>
      <c r="N271" s="115">
        <v>32</v>
      </c>
      <c r="O271" s="115" t="s">
        <v>150</v>
      </c>
      <c r="P271" s="115" t="s">
        <v>235</v>
      </c>
      <c r="Q271" s="115" t="s">
        <v>313</v>
      </c>
      <c r="R271" s="115" t="s">
        <v>34</v>
      </c>
      <c r="S271" s="122">
        <v>1</v>
      </c>
    </row>
    <row r="272" spans="10:19" x14ac:dyDescent="0.25">
      <c r="J272" s="125" t="s">
        <v>538</v>
      </c>
      <c r="K272" s="115" t="s">
        <v>539</v>
      </c>
      <c r="L272" s="121" t="s">
        <v>200</v>
      </c>
      <c r="M272" s="116">
        <v>45287</v>
      </c>
      <c r="N272" s="115">
        <v>30</v>
      </c>
      <c r="O272" s="115" t="s">
        <v>149</v>
      </c>
      <c r="P272" s="115" t="s">
        <v>235</v>
      </c>
      <c r="Q272" s="115" t="s">
        <v>313</v>
      </c>
      <c r="R272" s="115" t="s">
        <v>34</v>
      </c>
      <c r="S272" s="122">
        <v>1</v>
      </c>
    </row>
    <row r="273" spans="10:19" x14ac:dyDescent="0.25">
      <c r="J273" s="125" t="s">
        <v>540</v>
      </c>
      <c r="K273" s="115" t="s">
        <v>541</v>
      </c>
      <c r="L273" s="121" t="s">
        <v>200</v>
      </c>
      <c r="M273" s="116">
        <v>45293</v>
      </c>
      <c r="N273" s="115">
        <v>40</v>
      </c>
      <c r="O273" s="115" t="s">
        <v>150</v>
      </c>
      <c r="P273" s="115" t="s">
        <v>235</v>
      </c>
      <c r="Q273" s="115" t="s">
        <v>313</v>
      </c>
      <c r="R273" s="115" t="s">
        <v>34</v>
      </c>
      <c r="S273" s="122">
        <v>1</v>
      </c>
    </row>
    <row r="274" spans="10:19" x14ac:dyDescent="0.25">
      <c r="J274" s="125" t="s">
        <v>542</v>
      </c>
      <c r="K274" s="115" t="s">
        <v>543</v>
      </c>
      <c r="L274" s="121" t="s">
        <v>200</v>
      </c>
      <c r="M274" s="116">
        <v>45296</v>
      </c>
      <c r="N274" s="115">
        <v>40</v>
      </c>
      <c r="O274" s="115" t="s">
        <v>150</v>
      </c>
      <c r="P274" s="115" t="s">
        <v>235</v>
      </c>
      <c r="Q274" s="115" t="s">
        <v>313</v>
      </c>
      <c r="R274" s="115" t="s">
        <v>34</v>
      </c>
      <c r="S274" s="122">
        <v>1</v>
      </c>
    </row>
    <row r="275" spans="10:19" x14ac:dyDescent="0.25">
      <c r="J275" s="125" t="s">
        <v>544</v>
      </c>
      <c r="K275" s="115" t="s">
        <v>545</v>
      </c>
      <c r="L275" s="121" t="s">
        <v>200</v>
      </c>
      <c r="M275" s="116">
        <v>45301</v>
      </c>
      <c r="N275" s="115">
        <v>40</v>
      </c>
      <c r="O275" s="115" t="s">
        <v>150</v>
      </c>
      <c r="P275" s="115" t="s">
        <v>235</v>
      </c>
      <c r="Q275" s="115" t="s">
        <v>313</v>
      </c>
      <c r="R275" s="115" t="s">
        <v>36</v>
      </c>
      <c r="S275" s="122">
        <v>1</v>
      </c>
    </row>
    <row r="276" spans="10:19" x14ac:dyDescent="0.25">
      <c r="J276" s="125" t="s">
        <v>546</v>
      </c>
      <c r="K276" s="115" t="s">
        <v>547</v>
      </c>
      <c r="L276" s="121" t="s">
        <v>200</v>
      </c>
      <c r="M276" s="116">
        <v>45302</v>
      </c>
      <c r="N276" s="115">
        <v>40</v>
      </c>
      <c r="O276" s="115" t="s">
        <v>150</v>
      </c>
      <c r="P276" s="115" t="s">
        <v>235</v>
      </c>
      <c r="Q276" s="115" t="s">
        <v>313</v>
      </c>
      <c r="R276" s="115" t="s">
        <v>34</v>
      </c>
      <c r="S276" s="122">
        <v>1</v>
      </c>
    </row>
    <row r="277" spans="10:19" x14ac:dyDescent="0.25">
      <c r="J277" s="125" t="s">
        <v>548</v>
      </c>
      <c r="K277" s="115" t="s">
        <v>549</v>
      </c>
      <c r="L277" s="121" t="s">
        <v>200</v>
      </c>
      <c r="M277" s="116">
        <v>45310</v>
      </c>
      <c r="N277" s="115">
        <v>40</v>
      </c>
      <c r="O277" s="115" t="s">
        <v>150</v>
      </c>
      <c r="P277" s="116">
        <v>45557</v>
      </c>
      <c r="Q277" s="115" t="s">
        <v>313</v>
      </c>
      <c r="R277" s="115" t="s">
        <v>34</v>
      </c>
      <c r="S277" s="122">
        <v>1</v>
      </c>
    </row>
    <row r="278" spans="10:19" x14ac:dyDescent="0.25">
      <c r="J278" s="125" t="s">
        <v>550</v>
      </c>
      <c r="K278" s="115" t="s">
        <v>551</v>
      </c>
      <c r="L278" s="121" t="s">
        <v>200</v>
      </c>
      <c r="M278" s="116">
        <v>45323</v>
      </c>
      <c r="N278" s="115">
        <v>46</v>
      </c>
      <c r="O278" s="115" t="s">
        <v>151</v>
      </c>
      <c r="P278" s="115" t="s">
        <v>235</v>
      </c>
      <c r="Q278" s="115" t="s">
        <v>313</v>
      </c>
      <c r="R278" s="115" t="s">
        <v>69</v>
      </c>
      <c r="S278" s="122">
        <v>1</v>
      </c>
    </row>
    <row r="279" spans="10:19" x14ac:dyDescent="0.25">
      <c r="J279" s="125" t="s">
        <v>552</v>
      </c>
      <c r="K279" s="115" t="s">
        <v>553</v>
      </c>
      <c r="L279" s="121" t="s">
        <v>200</v>
      </c>
      <c r="M279" s="116">
        <v>45323</v>
      </c>
      <c r="N279" s="115">
        <v>38</v>
      </c>
      <c r="O279" s="115" t="s">
        <v>150</v>
      </c>
      <c r="P279" s="115" t="s">
        <v>235</v>
      </c>
      <c r="Q279" s="115" t="s">
        <v>313</v>
      </c>
      <c r="R279" s="115" t="s">
        <v>34</v>
      </c>
      <c r="S279" s="122">
        <v>1</v>
      </c>
    </row>
    <row r="280" spans="10:19" x14ac:dyDescent="0.25">
      <c r="J280" s="125" t="s">
        <v>554</v>
      </c>
      <c r="K280" s="115" t="s">
        <v>555</v>
      </c>
      <c r="L280" s="121" t="s">
        <v>200</v>
      </c>
      <c r="M280" s="116">
        <v>45324</v>
      </c>
      <c r="N280" s="115">
        <v>35</v>
      </c>
      <c r="O280" s="115" t="s">
        <v>150</v>
      </c>
      <c r="P280" s="115" t="s">
        <v>235</v>
      </c>
      <c r="Q280" s="115" t="s">
        <v>313</v>
      </c>
      <c r="R280" s="115" t="s">
        <v>68</v>
      </c>
      <c r="S280" s="122">
        <v>1</v>
      </c>
    </row>
    <row r="281" spans="10:19" x14ac:dyDescent="0.25">
      <c r="J281" s="125" t="s">
        <v>556</v>
      </c>
      <c r="K281" s="115" t="s">
        <v>557</v>
      </c>
      <c r="L281" s="121" t="s">
        <v>200</v>
      </c>
      <c r="M281" s="116">
        <v>45329</v>
      </c>
      <c r="N281" s="115">
        <v>28</v>
      </c>
      <c r="O281" s="115" t="s">
        <v>149</v>
      </c>
      <c r="P281" s="115" t="s">
        <v>235</v>
      </c>
      <c r="Q281" s="115" t="s">
        <v>313</v>
      </c>
      <c r="R281" s="115" t="s">
        <v>69</v>
      </c>
      <c r="S281" s="122">
        <v>1</v>
      </c>
    </row>
    <row r="282" spans="10:19" x14ac:dyDescent="0.25">
      <c r="J282" s="125" t="s">
        <v>558</v>
      </c>
      <c r="K282" s="115" t="s">
        <v>559</v>
      </c>
      <c r="L282" s="121" t="s">
        <v>200</v>
      </c>
      <c r="M282" s="116">
        <v>45560</v>
      </c>
      <c r="N282" s="115">
        <v>52</v>
      </c>
      <c r="O282" s="115" t="s">
        <v>152</v>
      </c>
      <c r="P282" s="115" t="s">
        <v>235</v>
      </c>
      <c r="Q282" s="115" t="s">
        <v>313</v>
      </c>
      <c r="R282" s="115" t="s">
        <v>34</v>
      </c>
      <c r="S282" s="122">
        <v>0.5</v>
      </c>
    </row>
    <row r="283" spans="10:19" x14ac:dyDescent="0.25">
      <c r="J283" s="126"/>
      <c r="K283" s="117"/>
      <c r="L283" s="110"/>
      <c r="M283" s="116">
        <v>45538</v>
      </c>
      <c r="N283" s="115">
        <v>52</v>
      </c>
      <c r="O283" s="115" t="s">
        <v>152</v>
      </c>
      <c r="P283" s="116">
        <v>45538</v>
      </c>
      <c r="Q283" s="115" t="s">
        <v>313</v>
      </c>
      <c r="R283" s="115" t="s">
        <v>34</v>
      </c>
      <c r="S283" s="122">
        <v>0.5</v>
      </c>
    </row>
    <row r="284" spans="10:19" x14ac:dyDescent="0.25">
      <c r="J284" s="125" t="s">
        <v>562</v>
      </c>
      <c r="K284" s="115" t="s">
        <v>563</v>
      </c>
      <c r="L284" s="121" t="s">
        <v>200</v>
      </c>
      <c r="M284" s="116">
        <v>43089</v>
      </c>
      <c r="N284" s="115">
        <v>29</v>
      </c>
      <c r="O284" s="115" t="s">
        <v>149</v>
      </c>
      <c r="P284" s="115" t="s">
        <v>235</v>
      </c>
      <c r="Q284" s="115" t="s">
        <v>313</v>
      </c>
      <c r="R284" s="115" t="s">
        <v>68</v>
      </c>
      <c r="S284" s="122">
        <v>1</v>
      </c>
    </row>
    <row r="285" spans="10:19" x14ac:dyDescent="0.25">
      <c r="J285" s="125" t="s">
        <v>564</v>
      </c>
      <c r="K285" s="115" t="s">
        <v>565</v>
      </c>
      <c r="L285" s="121" t="s">
        <v>200</v>
      </c>
      <c r="M285" s="116">
        <v>43328</v>
      </c>
      <c r="N285" s="115">
        <v>26</v>
      </c>
      <c r="O285" s="115" t="s">
        <v>149</v>
      </c>
      <c r="P285" s="115" t="s">
        <v>235</v>
      </c>
      <c r="Q285" s="115" t="s">
        <v>313</v>
      </c>
      <c r="R285" s="115" t="s">
        <v>68</v>
      </c>
      <c r="S285" s="122">
        <v>1</v>
      </c>
    </row>
    <row r="286" spans="10:19" x14ac:dyDescent="0.25">
      <c r="J286" s="125" t="s">
        <v>566</v>
      </c>
      <c r="K286" s="115" t="s">
        <v>567</v>
      </c>
      <c r="L286" s="121" t="s">
        <v>200</v>
      </c>
      <c r="M286" s="116">
        <v>43864</v>
      </c>
      <c r="N286" s="115">
        <v>28</v>
      </c>
      <c r="O286" s="115" t="s">
        <v>149</v>
      </c>
      <c r="P286" s="115" t="s">
        <v>235</v>
      </c>
      <c r="Q286" s="115" t="s">
        <v>313</v>
      </c>
      <c r="R286" s="115" t="s">
        <v>34</v>
      </c>
      <c r="S286" s="122">
        <v>1</v>
      </c>
    </row>
    <row r="287" spans="10:19" x14ac:dyDescent="0.25">
      <c r="J287" s="125" t="s">
        <v>568</v>
      </c>
      <c r="K287" s="115" t="s">
        <v>569</v>
      </c>
      <c r="L287" s="121" t="s">
        <v>200</v>
      </c>
      <c r="M287" s="116">
        <v>45292</v>
      </c>
      <c r="N287" s="115">
        <v>28</v>
      </c>
      <c r="O287" s="115" t="s">
        <v>149</v>
      </c>
      <c r="P287" s="115" t="s">
        <v>235</v>
      </c>
      <c r="Q287" s="115" t="s">
        <v>313</v>
      </c>
      <c r="R287" s="115" t="s">
        <v>68</v>
      </c>
      <c r="S287" s="122">
        <v>1</v>
      </c>
    </row>
    <row r="288" spans="10:19" x14ac:dyDescent="0.25">
      <c r="J288" s="125">
        <v>80610708</v>
      </c>
      <c r="K288" s="115" t="s">
        <v>2038</v>
      </c>
      <c r="L288" s="121" t="s">
        <v>200</v>
      </c>
      <c r="M288" s="116">
        <v>45349</v>
      </c>
      <c r="N288" s="115">
        <v>45</v>
      </c>
      <c r="O288" s="115" t="s">
        <v>151</v>
      </c>
      <c r="P288" s="115" t="s">
        <v>235</v>
      </c>
      <c r="Q288" s="115" t="s">
        <v>312</v>
      </c>
      <c r="R288" s="115" t="s">
        <v>69</v>
      </c>
      <c r="S288" s="122">
        <v>1</v>
      </c>
    </row>
    <row r="289" spans="10:19" x14ac:dyDescent="0.25">
      <c r="J289" s="125" t="s">
        <v>570</v>
      </c>
      <c r="K289" s="115" t="s">
        <v>571</v>
      </c>
      <c r="L289" s="121" t="s">
        <v>200</v>
      </c>
      <c r="M289" s="116">
        <v>44879</v>
      </c>
      <c r="N289" s="115">
        <v>28</v>
      </c>
      <c r="O289" s="115" t="s">
        <v>149</v>
      </c>
      <c r="P289" s="115" t="s">
        <v>235</v>
      </c>
      <c r="Q289" s="115" t="s">
        <v>313</v>
      </c>
      <c r="R289" s="115" t="s">
        <v>34</v>
      </c>
      <c r="S289" s="122">
        <v>1</v>
      </c>
    </row>
    <row r="290" spans="10:19" x14ac:dyDescent="0.25">
      <c r="J290" s="125" t="s">
        <v>572</v>
      </c>
      <c r="K290" s="115" t="s">
        <v>573</v>
      </c>
      <c r="L290" s="121" t="s">
        <v>200</v>
      </c>
      <c r="M290" s="116">
        <v>45017</v>
      </c>
      <c r="N290" s="115">
        <v>59</v>
      </c>
      <c r="O290" s="115" t="s">
        <v>153</v>
      </c>
      <c r="P290" s="115" t="s">
        <v>235</v>
      </c>
      <c r="Q290" s="115" t="s">
        <v>313</v>
      </c>
      <c r="R290" s="115" t="s">
        <v>34</v>
      </c>
      <c r="S290" s="122">
        <v>1</v>
      </c>
    </row>
    <row r="291" spans="10:19" x14ac:dyDescent="0.25">
      <c r="J291" s="125" t="s">
        <v>575</v>
      </c>
      <c r="K291" s="115" t="s">
        <v>576</v>
      </c>
      <c r="L291" s="121" t="s">
        <v>200</v>
      </c>
      <c r="M291" s="116">
        <v>45089</v>
      </c>
      <c r="N291" s="115">
        <v>37</v>
      </c>
      <c r="O291" s="115" t="s">
        <v>150</v>
      </c>
      <c r="P291" s="115" t="s">
        <v>235</v>
      </c>
      <c r="Q291" s="115" t="s">
        <v>313</v>
      </c>
      <c r="R291" s="115" t="s">
        <v>68</v>
      </c>
      <c r="S291" s="122">
        <v>1</v>
      </c>
    </row>
    <row r="292" spans="10:19" x14ac:dyDescent="0.25">
      <c r="J292" s="125" t="s">
        <v>577</v>
      </c>
      <c r="K292" s="115" t="s">
        <v>578</v>
      </c>
      <c r="L292" s="121" t="s">
        <v>200</v>
      </c>
      <c r="M292" s="116">
        <v>45232</v>
      </c>
      <c r="N292" s="115">
        <v>51</v>
      </c>
      <c r="O292" s="115" t="s">
        <v>152</v>
      </c>
      <c r="P292" s="115" t="s">
        <v>235</v>
      </c>
      <c r="Q292" s="115" t="s">
        <v>313</v>
      </c>
      <c r="R292" s="115" t="s">
        <v>68</v>
      </c>
      <c r="S292" s="122">
        <v>1</v>
      </c>
    </row>
    <row r="293" spans="10:19" x14ac:dyDescent="0.25">
      <c r="J293" s="125" t="s">
        <v>579</v>
      </c>
      <c r="K293" s="115" t="s">
        <v>580</v>
      </c>
      <c r="L293" s="121" t="s">
        <v>200</v>
      </c>
      <c r="M293" s="116">
        <v>45089</v>
      </c>
      <c r="N293" s="115">
        <v>45</v>
      </c>
      <c r="O293" s="115" t="s">
        <v>151</v>
      </c>
      <c r="P293" s="115" t="s">
        <v>235</v>
      </c>
      <c r="Q293" s="115" t="s">
        <v>313</v>
      </c>
      <c r="R293" s="115" t="s">
        <v>68</v>
      </c>
      <c r="S293" s="122">
        <v>1</v>
      </c>
    </row>
    <row r="294" spans="10:19" x14ac:dyDescent="0.25">
      <c r="J294" s="125" t="s">
        <v>583</v>
      </c>
      <c r="K294" s="115" t="s">
        <v>584</v>
      </c>
      <c r="L294" s="121" t="s">
        <v>200</v>
      </c>
      <c r="M294" s="116">
        <v>44834</v>
      </c>
      <c r="N294" s="115">
        <v>41</v>
      </c>
      <c r="O294" s="115" t="s">
        <v>151</v>
      </c>
      <c r="P294" s="115" t="s">
        <v>235</v>
      </c>
      <c r="Q294" s="115" t="s">
        <v>313</v>
      </c>
      <c r="R294" s="115" t="s">
        <v>68</v>
      </c>
      <c r="S294" s="122">
        <v>1</v>
      </c>
    </row>
    <row r="295" spans="10:19" x14ac:dyDescent="0.25">
      <c r="J295" s="125" t="s">
        <v>587</v>
      </c>
      <c r="K295" s="115" t="s">
        <v>588</v>
      </c>
      <c r="L295" s="121" t="s">
        <v>200</v>
      </c>
      <c r="M295" s="116">
        <v>44834</v>
      </c>
      <c r="N295" s="115">
        <v>39</v>
      </c>
      <c r="O295" s="115" t="s">
        <v>150</v>
      </c>
      <c r="P295" s="115" t="s">
        <v>235</v>
      </c>
      <c r="Q295" s="115" t="s">
        <v>313</v>
      </c>
      <c r="R295" s="115" t="s">
        <v>68</v>
      </c>
      <c r="S295" s="122">
        <v>1</v>
      </c>
    </row>
    <row r="296" spans="10:19" x14ac:dyDescent="0.25">
      <c r="J296" s="125" t="s">
        <v>591</v>
      </c>
      <c r="K296" s="115" t="s">
        <v>592</v>
      </c>
      <c r="L296" s="121" t="s">
        <v>200</v>
      </c>
      <c r="M296" s="116">
        <v>44503</v>
      </c>
      <c r="N296" s="115">
        <v>49</v>
      </c>
      <c r="O296" s="115" t="s">
        <v>151</v>
      </c>
      <c r="P296" s="115" t="s">
        <v>235</v>
      </c>
      <c r="Q296" s="115" t="s">
        <v>313</v>
      </c>
      <c r="R296" s="115" t="s">
        <v>69</v>
      </c>
      <c r="S296" s="122">
        <v>1</v>
      </c>
    </row>
    <row r="297" spans="10:19" x14ac:dyDescent="0.25">
      <c r="J297" s="125" t="s">
        <v>593</v>
      </c>
      <c r="K297" s="115" t="s">
        <v>594</v>
      </c>
      <c r="L297" s="121" t="s">
        <v>200</v>
      </c>
      <c r="M297" s="116">
        <v>44386</v>
      </c>
      <c r="N297" s="115">
        <v>26</v>
      </c>
      <c r="O297" s="115" t="s">
        <v>149</v>
      </c>
      <c r="P297" s="115" t="s">
        <v>235</v>
      </c>
      <c r="Q297" s="115" t="s">
        <v>313</v>
      </c>
      <c r="R297" s="115" t="s">
        <v>68</v>
      </c>
      <c r="S297" s="122">
        <v>1</v>
      </c>
    </row>
    <row r="298" spans="10:19" x14ac:dyDescent="0.25">
      <c r="J298" s="125" t="s">
        <v>595</v>
      </c>
      <c r="K298" s="115" t="s">
        <v>596</v>
      </c>
      <c r="L298" s="121" t="s">
        <v>200</v>
      </c>
      <c r="M298" s="116">
        <v>44020</v>
      </c>
      <c r="N298" s="115">
        <v>60</v>
      </c>
      <c r="O298" s="115" t="s">
        <v>153</v>
      </c>
      <c r="P298" s="115" t="s">
        <v>235</v>
      </c>
      <c r="Q298" s="115" t="s">
        <v>313</v>
      </c>
      <c r="R298" s="115" t="s">
        <v>68</v>
      </c>
      <c r="S298" s="122">
        <v>1</v>
      </c>
    </row>
    <row r="299" spans="10:19" x14ac:dyDescent="0.25">
      <c r="J299" s="125" t="s">
        <v>597</v>
      </c>
      <c r="K299" s="115" t="s">
        <v>598</v>
      </c>
      <c r="L299" s="121" t="s">
        <v>200</v>
      </c>
      <c r="M299" s="116">
        <v>45091</v>
      </c>
      <c r="N299" s="115">
        <v>58</v>
      </c>
      <c r="O299" s="115" t="s">
        <v>152</v>
      </c>
      <c r="P299" s="115" t="s">
        <v>235</v>
      </c>
      <c r="Q299" s="115" t="s">
        <v>313</v>
      </c>
      <c r="R299" s="115" t="s">
        <v>68</v>
      </c>
      <c r="S299" s="122">
        <v>1</v>
      </c>
    </row>
    <row r="300" spans="10:19" x14ac:dyDescent="0.25">
      <c r="J300" s="125" t="s">
        <v>600</v>
      </c>
      <c r="K300" s="115" t="s">
        <v>601</v>
      </c>
      <c r="L300" s="121" t="s">
        <v>200</v>
      </c>
      <c r="M300" s="116">
        <v>45232</v>
      </c>
      <c r="N300" s="115">
        <v>38</v>
      </c>
      <c r="O300" s="115" t="s">
        <v>150</v>
      </c>
      <c r="P300" s="115" t="s">
        <v>235</v>
      </c>
      <c r="Q300" s="115" t="s">
        <v>313</v>
      </c>
      <c r="R300" s="115" t="s">
        <v>34</v>
      </c>
      <c r="S300" s="122">
        <v>1</v>
      </c>
    </row>
    <row r="301" spans="10:19" x14ac:dyDescent="0.25">
      <c r="J301" s="125" t="s">
        <v>602</v>
      </c>
      <c r="K301" s="115" t="s">
        <v>603</v>
      </c>
      <c r="L301" s="121" t="s">
        <v>200</v>
      </c>
      <c r="M301" s="116">
        <v>44256</v>
      </c>
      <c r="N301" s="115">
        <v>36</v>
      </c>
      <c r="O301" s="115" t="s">
        <v>150</v>
      </c>
      <c r="P301" s="115" t="s">
        <v>235</v>
      </c>
      <c r="Q301" s="115" t="s">
        <v>313</v>
      </c>
      <c r="R301" s="115" t="s">
        <v>68</v>
      </c>
      <c r="S301" s="122">
        <v>1</v>
      </c>
    </row>
    <row r="302" spans="10:19" x14ac:dyDescent="0.25">
      <c r="J302" s="125" t="s">
        <v>605</v>
      </c>
      <c r="K302" s="115" t="s">
        <v>606</v>
      </c>
      <c r="L302" s="121" t="s">
        <v>200</v>
      </c>
      <c r="M302" s="116">
        <v>44503</v>
      </c>
      <c r="N302" s="115">
        <v>44</v>
      </c>
      <c r="O302" s="115" t="s">
        <v>151</v>
      </c>
      <c r="P302" s="115" t="s">
        <v>235</v>
      </c>
      <c r="Q302" s="115" t="s">
        <v>313</v>
      </c>
      <c r="R302" s="115" t="s">
        <v>68</v>
      </c>
      <c r="S302" s="122">
        <v>1</v>
      </c>
    </row>
    <row r="303" spans="10:19" x14ac:dyDescent="0.25">
      <c r="J303" s="125" t="s">
        <v>609</v>
      </c>
      <c r="K303" s="115" t="s">
        <v>610</v>
      </c>
      <c r="L303" s="121" t="s">
        <v>200</v>
      </c>
      <c r="M303" s="116">
        <v>44915</v>
      </c>
      <c r="N303" s="115">
        <v>37</v>
      </c>
      <c r="O303" s="115" t="s">
        <v>150</v>
      </c>
      <c r="P303" s="115" t="s">
        <v>235</v>
      </c>
      <c r="Q303" s="115" t="s">
        <v>313</v>
      </c>
      <c r="R303" s="115" t="s">
        <v>68</v>
      </c>
      <c r="S303" s="122">
        <v>1</v>
      </c>
    </row>
    <row r="304" spans="10:19" x14ac:dyDescent="0.25">
      <c r="J304" s="125" t="s">
        <v>611</v>
      </c>
      <c r="K304" s="115" t="s">
        <v>3227</v>
      </c>
      <c r="L304" s="121" t="s">
        <v>200</v>
      </c>
      <c r="M304" s="116">
        <v>44506</v>
      </c>
      <c r="N304" s="115">
        <v>41</v>
      </c>
      <c r="O304" s="115" t="s">
        <v>151</v>
      </c>
      <c r="P304" s="115" t="s">
        <v>235</v>
      </c>
      <c r="Q304" s="115" t="s">
        <v>313</v>
      </c>
      <c r="R304" s="115" t="s">
        <v>68</v>
      </c>
      <c r="S304" s="122">
        <v>1</v>
      </c>
    </row>
    <row r="305" spans="10:19" x14ac:dyDescent="0.25">
      <c r="J305" s="125" t="s">
        <v>615</v>
      </c>
      <c r="K305" s="115" t="s">
        <v>616</v>
      </c>
      <c r="L305" s="121" t="s">
        <v>200</v>
      </c>
      <c r="M305" s="116">
        <v>44503</v>
      </c>
      <c r="N305" s="115">
        <v>38</v>
      </c>
      <c r="O305" s="115" t="s">
        <v>150</v>
      </c>
      <c r="P305" s="115" t="s">
        <v>235</v>
      </c>
      <c r="Q305" s="115" t="s">
        <v>313</v>
      </c>
      <c r="R305" s="115" t="s">
        <v>68</v>
      </c>
      <c r="S305" s="122">
        <v>1</v>
      </c>
    </row>
    <row r="306" spans="10:19" x14ac:dyDescent="0.25">
      <c r="J306" s="125" t="s">
        <v>621</v>
      </c>
      <c r="K306" s="115" t="s">
        <v>622</v>
      </c>
      <c r="L306" s="121" t="s">
        <v>200</v>
      </c>
      <c r="M306" s="116">
        <v>45342</v>
      </c>
      <c r="N306" s="115">
        <v>25</v>
      </c>
      <c r="O306" s="115" t="s">
        <v>149</v>
      </c>
      <c r="P306" s="115" t="s">
        <v>235</v>
      </c>
      <c r="Q306" s="115" t="s">
        <v>313</v>
      </c>
      <c r="R306" s="115" t="s">
        <v>68</v>
      </c>
      <c r="S306" s="122">
        <v>1</v>
      </c>
    </row>
    <row r="307" spans="10:19" x14ac:dyDescent="0.25">
      <c r="J307" s="125" t="s">
        <v>623</v>
      </c>
      <c r="K307" s="115" t="s">
        <v>624</v>
      </c>
      <c r="L307" s="121" t="s">
        <v>200</v>
      </c>
      <c r="M307" s="115" t="s">
        <v>625</v>
      </c>
      <c r="N307" s="115">
        <v>49</v>
      </c>
      <c r="O307" s="115" t="s">
        <v>151</v>
      </c>
      <c r="P307" s="115" t="s">
        <v>235</v>
      </c>
      <c r="Q307" s="115" t="s">
        <v>313</v>
      </c>
      <c r="R307" s="115" t="s">
        <v>68</v>
      </c>
      <c r="S307" s="122">
        <v>1</v>
      </c>
    </row>
    <row r="308" spans="10:19" x14ac:dyDescent="0.25">
      <c r="J308" s="125" t="s">
        <v>627</v>
      </c>
      <c r="K308" s="115" t="s">
        <v>628</v>
      </c>
      <c r="L308" s="121" t="s">
        <v>200</v>
      </c>
      <c r="M308" s="116">
        <v>45334</v>
      </c>
      <c r="N308" s="115">
        <v>41</v>
      </c>
      <c r="O308" s="115" t="s">
        <v>151</v>
      </c>
      <c r="P308" s="115" t="s">
        <v>235</v>
      </c>
      <c r="Q308" s="115" t="s">
        <v>313</v>
      </c>
      <c r="R308" s="115" t="s">
        <v>72</v>
      </c>
      <c r="S308" s="122">
        <v>1</v>
      </c>
    </row>
    <row r="309" spans="10:19" x14ac:dyDescent="0.25">
      <c r="J309" s="125">
        <v>46529428</v>
      </c>
      <c r="K309" s="115" t="s">
        <v>2887</v>
      </c>
      <c r="L309" s="121" t="s">
        <v>200</v>
      </c>
      <c r="M309" s="116">
        <v>45495</v>
      </c>
      <c r="N309" s="115">
        <v>34</v>
      </c>
      <c r="O309" s="115" t="s">
        <v>150</v>
      </c>
      <c r="P309" s="115" t="s">
        <v>235</v>
      </c>
      <c r="Q309" s="115" t="s">
        <v>312</v>
      </c>
      <c r="R309" s="115" t="s">
        <v>34</v>
      </c>
      <c r="S309" s="122">
        <v>1</v>
      </c>
    </row>
    <row r="310" spans="10:19" x14ac:dyDescent="0.25">
      <c r="J310" s="125">
        <v>40386792</v>
      </c>
      <c r="K310" s="115" t="s">
        <v>2888</v>
      </c>
      <c r="L310" s="121" t="s">
        <v>200</v>
      </c>
      <c r="M310" s="116">
        <v>45495</v>
      </c>
      <c r="N310" s="115">
        <v>45</v>
      </c>
      <c r="O310" s="115" t="s">
        <v>151</v>
      </c>
      <c r="P310" s="115" t="s">
        <v>235</v>
      </c>
      <c r="Q310" s="115" t="s">
        <v>312</v>
      </c>
      <c r="R310" s="115" t="s">
        <v>34</v>
      </c>
      <c r="S310" s="122">
        <v>1</v>
      </c>
    </row>
    <row r="311" spans="10:19" x14ac:dyDescent="0.25">
      <c r="J311" s="125" t="s">
        <v>630</v>
      </c>
      <c r="K311" s="115" t="s">
        <v>631</v>
      </c>
      <c r="L311" s="121" t="s">
        <v>200</v>
      </c>
      <c r="M311" s="116">
        <v>45489</v>
      </c>
      <c r="N311" s="115">
        <v>63</v>
      </c>
      <c r="O311" s="115" t="s">
        <v>153</v>
      </c>
      <c r="P311" s="115" t="s">
        <v>235</v>
      </c>
      <c r="Q311" s="115" t="s">
        <v>313</v>
      </c>
      <c r="R311" s="115" t="s">
        <v>34</v>
      </c>
      <c r="S311" s="122">
        <v>1</v>
      </c>
    </row>
    <row r="312" spans="10:19" x14ac:dyDescent="0.25">
      <c r="J312" s="125" t="s">
        <v>634</v>
      </c>
      <c r="K312" s="115" t="s">
        <v>635</v>
      </c>
      <c r="L312" s="121" t="s">
        <v>201</v>
      </c>
      <c r="M312" s="116">
        <v>45366</v>
      </c>
      <c r="N312" s="115">
        <v>19</v>
      </c>
      <c r="O312" s="115" t="s">
        <v>148</v>
      </c>
      <c r="P312" s="115" t="s">
        <v>235</v>
      </c>
      <c r="Q312" s="115" t="s">
        <v>313</v>
      </c>
      <c r="R312" s="115" t="s">
        <v>68</v>
      </c>
      <c r="S312" s="122">
        <v>1</v>
      </c>
    </row>
    <row r="313" spans="10:19" x14ac:dyDescent="0.25">
      <c r="J313" s="125" t="s">
        <v>636</v>
      </c>
      <c r="K313" s="115" t="s">
        <v>637</v>
      </c>
      <c r="L313" s="121" t="s">
        <v>201</v>
      </c>
      <c r="M313" s="116">
        <v>45364</v>
      </c>
      <c r="N313" s="115">
        <v>43</v>
      </c>
      <c r="O313" s="115" t="s">
        <v>151</v>
      </c>
      <c r="P313" s="115" t="s">
        <v>235</v>
      </c>
      <c r="Q313" s="115" t="s">
        <v>313</v>
      </c>
      <c r="R313" s="115" t="s">
        <v>34</v>
      </c>
      <c r="S313" s="122">
        <v>1</v>
      </c>
    </row>
    <row r="314" spans="10:19" x14ac:dyDescent="0.25">
      <c r="J314" s="125" t="s">
        <v>642</v>
      </c>
      <c r="K314" s="115" t="s">
        <v>643</v>
      </c>
      <c r="L314" s="121" t="s">
        <v>200</v>
      </c>
      <c r="M314" s="116">
        <v>45355</v>
      </c>
      <c r="N314" s="115">
        <v>54</v>
      </c>
      <c r="O314" s="115" t="s">
        <v>152</v>
      </c>
      <c r="P314" s="115" t="s">
        <v>235</v>
      </c>
      <c r="Q314" s="115" t="s">
        <v>313</v>
      </c>
      <c r="R314" s="115" t="s">
        <v>68</v>
      </c>
      <c r="S314" s="122">
        <v>1</v>
      </c>
    </row>
    <row r="315" spans="10:19" x14ac:dyDescent="0.25">
      <c r="J315" s="125" t="s">
        <v>644</v>
      </c>
      <c r="K315" s="115" t="s">
        <v>645</v>
      </c>
      <c r="L315" s="121" t="s">
        <v>200</v>
      </c>
      <c r="M315" s="116">
        <v>45376</v>
      </c>
      <c r="N315" s="115">
        <v>29</v>
      </c>
      <c r="O315" s="115" t="s">
        <v>149</v>
      </c>
      <c r="P315" s="115" t="s">
        <v>235</v>
      </c>
      <c r="Q315" s="115" t="s">
        <v>313</v>
      </c>
      <c r="R315" s="115" t="s">
        <v>68</v>
      </c>
      <c r="S315" s="122">
        <v>1</v>
      </c>
    </row>
    <row r="316" spans="10:19" x14ac:dyDescent="0.25">
      <c r="J316" s="125" t="s">
        <v>646</v>
      </c>
      <c r="K316" s="115" t="s">
        <v>647</v>
      </c>
      <c r="L316" s="121" t="s">
        <v>200</v>
      </c>
      <c r="M316" s="116">
        <v>45321</v>
      </c>
      <c r="N316" s="115">
        <v>40</v>
      </c>
      <c r="O316" s="115" t="s">
        <v>150</v>
      </c>
      <c r="P316" s="115" t="s">
        <v>235</v>
      </c>
      <c r="Q316" s="115" t="s">
        <v>313</v>
      </c>
      <c r="R316" s="115" t="s">
        <v>34</v>
      </c>
      <c r="S316" s="122">
        <v>1</v>
      </c>
    </row>
    <row r="317" spans="10:19" x14ac:dyDescent="0.25">
      <c r="J317" s="125" t="s">
        <v>648</v>
      </c>
      <c r="K317" s="115" t="s">
        <v>649</v>
      </c>
      <c r="L317" s="121" t="s">
        <v>200</v>
      </c>
      <c r="M317" s="116">
        <v>45352</v>
      </c>
      <c r="N317" s="115">
        <v>48</v>
      </c>
      <c r="O317" s="115" t="s">
        <v>151</v>
      </c>
      <c r="P317" s="115" t="s">
        <v>235</v>
      </c>
      <c r="Q317" s="115" t="s">
        <v>313</v>
      </c>
      <c r="R317" s="115" t="s">
        <v>34</v>
      </c>
      <c r="S317" s="122">
        <v>1</v>
      </c>
    </row>
    <row r="318" spans="10:19" x14ac:dyDescent="0.25">
      <c r="J318" s="125" t="s">
        <v>650</v>
      </c>
      <c r="K318" s="115" t="s">
        <v>651</v>
      </c>
      <c r="L318" s="121" t="s">
        <v>200</v>
      </c>
      <c r="M318" s="116">
        <v>45355</v>
      </c>
      <c r="N318" s="115">
        <v>40</v>
      </c>
      <c r="O318" s="115" t="s">
        <v>150</v>
      </c>
      <c r="P318" s="115" t="s">
        <v>235</v>
      </c>
      <c r="Q318" s="115" t="s">
        <v>313</v>
      </c>
      <c r="R318" s="115" t="s">
        <v>34</v>
      </c>
      <c r="S318" s="122">
        <v>1</v>
      </c>
    </row>
    <row r="319" spans="10:19" x14ac:dyDescent="0.25">
      <c r="J319" s="125" t="s">
        <v>652</v>
      </c>
      <c r="K319" s="115" t="s">
        <v>653</v>
      </c>
      <c r="L319" s="121" t="s">
        <v>200</v>
      </c>
      <c r="M319" s="116">
        <v>45365</v>
      </c>
      <c r="N319" s="115">
        <v>31</v>
      </c>
      <c r="O319" s="115" t="s">
        <v>149</v>
      </c>
      <c r="P319" s="115" t="s">
        <v>235</v>
      </c>
      <c r="Q319" s="115" t="s">
        <v>313</v>
      </c>
      <c r="R319" s="115" t="s">
        <v>68</v>
      </c>
      <c r="S319" s="122">
        <v>1</v>
      </c>
    </row>
    <row r="320" spans="10:19" x14ac:dyDescent="0.25">
      <c r="J320" s="125" t="s">
        <v>654</v>
      </c>
      <c r="K320" s="115" t="s">
        <v>655</v>
      </c>
      <c r="L320" s="121" t="s">
        <v>200</v>
      </c>
      <c r="M320" s="116">
        <v>45362</v>
      </c>
      <c r="N320" s="115">
        <v>29</v>
      </c>
      <c r="O320" s="115" t="s">
        <v>149</v>
      </c>
      <c r="P320" s="115" t="s">
        <v>235</v>
      </c>
      <c r="Q320" s="115" t="s">
        <v>313</v>
      </c>
      <c r="R320" s="115" t="s">
        <v>34</v>
      </c>
      <c r="S320" s="122">
        <v>1</v>
      </c>
    </row>
    <row r="321" spans="10:19" x14ac:dyDescent="0.25">
      <c r="J321" s="125" t="s">
        <v>656</v>
      </c>
      <c r="K321" s="115" t="s">
        <v>657</v>
      </c>
      <c r="L321" s="121" t="s">
        <v>200</v>
      </c>
      <c r="M321" s="116">
        <v>45362</v>
      </c>
      <c r="N321" s="115">
        <v>22</v>
      </c>
      <c r="O321" s="115" t="s">
        <v>148</v>
      </c>
      <c r="P321" s="115" t="s">
        <v>235</v>
      </c>
      <c r="Q321" s="115" t="s">
        <v>313</v>
      </c>
      <c r="R321" s="115" t="s">
        <v>34</v>
      </c>
      <c r="S321" s="122">
        <v>1</v>
      </c>
    </row>
    <row r="322" spans="10:19" x14ac:dyDescent="0.25">
      <c r="J322" s="125" t="s">
        <v>658</v>
      </c>
      <c r="K322" s="115" t="s">
        <v>659</v>
      </c>
      <c r="L322" s="121" t="s">
        <v>200</v>
      </c>
      <c r="M322" s="116">
        <v>45362</v>
      </c>
      <c r="N322" s="115">
        <v>20</v>
      </c>
      <c r="O322" s="115" t="s">
        <v>148</v>
      </c>
      <c r="P322" s="116">
        <v>45547</v>
      </c>
      <c r="Q322" s="115" t="s">
        <v>313</v>
      </c>
      <c r="R322" s="115" t="s">
        <v>34</v>
      </c>
      <c r="S322" s="122">
        <v>1</v>
      </c>
    </row>
    <row r="323" spans="10:19" x14ac:dyDescent="0.25">
      <c r="J323" s="125" t="s">
        <v>660</v>
      </c>
      <c r="K323" s="115" t="s">
        <v>661</v>
      </c>
      <c r="L323" s="121" t="s">
        <v>200</v>
      </c>
      <c r="M323" s="116">
        <v>45362</v>
      </c>
      <c r="N323" s="115">
        <v>28</v>
      </c>
      <c r="O323" s="115" t="s">
        <v>149</v>
      </c>
      <c r="P323" s="115" t="s">
        <v>235</v>
      </c>
      <c r="Q323" s="115" t="s">
        <v>313</v>
      </c>
      <c r="R323" s="115" t="s">
        <v>34</v>
      </c>
      <c r="S323" s="122">
        <v>1</v>
      </c>
    </row>
    <row r="324" spans="10:19" x14ac:dyDescent="0.25">
      <c r="J324" s="125" t="s">
        <v>662</v>
      </c>
      <c r="K324" s="115" t="s">
        <v>663</v>
      </c>
      <c r="L324" s="121" t="s">
        <v>200</v>
      </c>
      <c r="M324" s="116">
        <v>45362</v>
      </c>
      <c r="N324" s="115">
        <v>43</v>
      </c>
      <c r="O324" s="115" t="s">
        <v>151</v>
      </c>
      <c r="P324" s="115" t="s">
        <v>235</v>
      </c>
      <c r="Q324" s="115" t="s">
        <v>313</v>
      </c>
      <c r="R324" s="115" t="s">
        <v>34</v>
      </c>
      <c r="S324" s="122">
        <v>1</v>
      </c>
    </row>
    <row r="325" spans="10:19" x14ac:dyDescent="0.25">
      <c r="J325" s="125" t="s">
        <v>664</v>
      </c>
      <c r="K325" s="115" t="s">
        <v>665</v>
      </c>
      <c r="L325" s="121" t="s">
        <v>200</v>
      </c>
      <c r="M325" s="116">
        <v>45362</v>
      </c>
      <c r="N325" s="115">
        <v>19</v>
      </c>
      <c r="O325" s="115" t="s">
        <v>148</v>
      </c>
      <c r="P325" s="115" t="s">
        <v>235</v>
      </c>
      <c r="Q325" s="115" t="s">
        <v>313</v>
      </c>
      <c r="R325" s="115" t="s">
        <v>34</v>
      </c>
      <c r="S325" s="122">
        <v>1</v>
      </c>
    </row>
    <row r="326" spans="10:19" x14ac:dyDescent="0.25">
      <c r="J326" s="125">
        <v>72757392</v>
      </c>
      <c r="K326" s="115" t="s">
        <v>2032</v>
      </c>
      <c r="L326" s="121" t="s">
        <v>200</v>
      </c>
      <c r="M326" s="116">
        <v>45377</v>
      </c>
      <c r="N326" s="115">
        <v>22</v>
      </c>
      <c r="O326" s="115" t="s">
        <v>148</v>
      </c>
      <c r="P326" s="115" t="s">
        <v>235</v>
      </c>
      <c r="Q326" s="115" t="s">
        <v>312</v>
      </c>
      <c r="R326" s="115" t="s">
        <v>34</v>
      </c>
      <c r="S326" s="122">
        <v>1</v>
      </c>
    </row>
    <row r="327" spans="10:19" x14ac:dyDescent="0.25">
      <c r="J327" s="125">
        <v>46879453</v>
      </c>
      <c r="K327" s="115" t="s">
        <v>2037</v>
      </c>
      <c r="L327" s="121" t="s">
        <v>201</v>
      </c>
      <c r="M327" s="116">
        <v>45370</v>
      </c>
      <c r="N327" s="115">
        <v>34</v>
      </c>
      <c r="O327" s="115" t="s">
        <v>150</v>
      </c>
      <c r="P327" s="115" t="s">
        <v>235</v>
      </c>
      <c r="Q327" s="115" t="s">
        <v>312</v>
      </c>
      <c r="R327" s="115" t="s">
        <v>36</v>
      </c>
      <c r="S327" s="122">
        <v>1</v>
      </c>
    </row>
    <row r="328" spans="10:19" x14ac:dyDescent="0.25">
      <c r="J328" s="125" t="s">
        <v>666</v>
      </c>
      <c r="K328" s="115" t="s">
        <v>667</v>
      </c>
      <c r="L328" s="121" t="s">
        <v>200</v>
      </c>
      <c r="M328" s="116">
        <v>45481</v>
      </c>
      <c r="N328" s="115">
        <v>30</v>
      </c>
      <c r="O328" s="115" t="s">
        <v>149</v>
      </c>
      <c r="P328" s="115" t="s">
        <v>235</v>
      </c>
      <c r="Q328" s="115" t="s">
        <v>313</v>
      </c>
      <c r="R328" s="115" t="s">
        <v>34</v>
      </c>
      <c r="S328" s="122">
        <v>1</v>
      </c>
    </row>
    <row r="329" spans="10:19" x14ac:dyDescent="0.25">
      <c r="J329" s="125" t="s">
        <v>668</v>
      </c>
      <c r="K329" s="115" t="s">
        <v>669</v>
      </c>
      <c r="L329" s="121" t="s">
        <v>200</v>
      </c>
      <c r="M329" s="116">
        <v>45352</v>
      </c>
      <c r="N329" s="115">
        <v>46</v>
      </c>
      <c r="O329" s="115" t="s">
        <v>151</v>
      </c>
      <c r="P329" s="115" t="s">
        <v>1764</v>
      </c>
      <c r="Q329" s="115" t="s">
        <v>312</v>
      </c>
      <c r="R329" s="115" t="s">
        <v>34</v>
      </c>
      <c r="S329" s="122">
        <v>1</v>
      </c>
    </row>
    <row r="330" spans="10:19" x14ac:dyDescent="0.25">
      <c r="J330" s="125" t="s">
        <v>675</v>
      </c>
      <c r="K330" s="115" t="s">
        <v>676</v>
      </c>
      <c r="L330" s="121" t="s">
        <v>200</v>
      </c>
      <c r="M330" s="116">
        <v>45495</v>
      </c>
      <c r="N330" s="115">
        <v>50</v>
      </c>
      <c r="O330" s="115" t="s">
        <v>152</v>
      </c>
      <c r="P330" s="115" t="s">
        <v>235</v>
      </c>
      <c r="Q330" s="115" t="s">
        <v>313</v>
      </c>
      <c r="R330" s="115" t="s">
        <v>34</v>
      </c>
      <c r="S330" s="122">
        <v>1</v>
      </c>
    </row>
    <row r="331" spans="10:19" x14ac:dyDescent="0.25">
      <c r="J331" s="125" t="s">
        <v>678</v>
      </c>
      <c r="K331" s="115" t="s">
        <v>679</v>
      </c>
      <c r="L331" s="121" t="s">
        <v>200</v>
      </c>
      <c r="M331" s="116">
        <v>45497</v>
      </c>
      <c r="N331" s="115">
        <v>46</v>
      </c>
      <c r="O331" s="115" t="s">
        <v>151</v>
      </c>
      <c r="P331" s="115" t="s">
        <v>235</v>
      </c>
      <c r="Q331" s="115" t="s">
        <v>313</v>
      </c>
      <c r="R331" s="115" t="s">
        <v>105</v>
      </c>
      <c r="S331" s="122">
        <v>1</v>
      </c>
    </row>
    <row r="332" spans="10:19" x14ac:dyDescent="0.25">
      <c r="J332" s="125" t="s">
        <v>689</v>
      </c>
      <c r="K332" s="115" t="s">
        <v>3078</v>
      </c>
      <c r="L332" s="121" t="s">
        <v>200</v>
      </c>
      <c r="M332" s="116">
        <v>45482</v>
      </c>
      <c r="N332" s="115">
        <v>58</v>
      </c>
      <c r="O332" s="115" t="s">
        <v>152</v>
      </c>
      <c r="P332" s="115" t="s">
        <v>235</v>
      </c>
      <c r="Q332" s="115" t="s">
        <v>313</v>
      </c>
      <c r="R332" s="115" t="s">
        <v>68</v>
      </c>
      <c r="S332" s="122">
        <v>1</v>
      </c>
    </row>
    <row r="333" spans="10:19" x14ac:dyDescent="0.25">
      <c r="J333" s="125" t="s">
        <v>692</v>
      </c>
      <c r="K333" s="115" t="s">
        <v>2671</v>
      </c>
      <c r="L333" s="121" t="s">
        <v>200</v>
      </c>
      <c r="M333" s="116">
        <v>45505</v>
      </c>
      <c r="N333" s="115">
        <v>55</v>
      </c>
      <c r="O333" s="115" t="s">
        <v>152</v>
      </c>
      <c r="P333" s="115" t="s">
        <v>235</v>
      </c>
      <c r="Q333" s="115" t="s">
        <v>313</v>
      </c>
      <c r="R333" s="115" t="s">
        <v>35</v>
      </c>
      <c r="S333" s="122">
        <v>1</v>
      </c>
    </row>
    <row r="334" spans="10:19" x14ac:dyDescent="0.25">
      <c r="J334" s="125" t="s">
        <v>696</v>
      </c>
      <c r="K334" s="115" t="s">
        <v>2806</v>
      </c>
      <c r="L334" s="121" t="s">
        <v>200</v>
      </c>
      <c r="M334" s="116">
        <v>45527</v>
      </c>
      <c r="N334" s="115">
        <v>49</v>
      </c>
      <c r="O334" s="115" t="s">
        <v>151</v>
      </c>
      <c r="P334" s="115" t="s">
        <v>235</v>
      </c>
      <c r="Q334" s="115" t="s">
        <v>313</v>
      </c>
      <c r="R334" s="115" t="s">
        <v>105</v>
      </c>
      <c r="S334" s="122">
        <v>1</v>
      </c>
    </row>
    <row r="335" spans="10:19" x14ac:dyDescent="0.25">
      <c r="J335" s="125" t="s">
        <v>700</v>
      </c>
      <c r="K335" s="115" t="s">
        <v>701</v>
      </c>
      <c r="L335" s="121" t="s">
        <v>200</v>
      </c>
      <c r="M335" s="116">
        <v>45495</v>
      </c>
      <c r="N335" s="115">
        <v>39</v>
      </c>
      <c r="O335" s="115" t="s">
        <v>150</v>
      </c>
      <c r="P335" s="115" t="s">
        <v>235</v>
      </c>
      <c r="Q335" s="115" t="s">
        <v>313</v>
      </c>
      <c r="R335" s="115" t="s">
        <v>34</v>
      </c>
      <c r="S335" s="122">
        <v>1</v>
      </c>
    </row>
    <row r="336" spans="10:19" x14ac:dyDescent="0.25">
      <c r="J336" s="125" t="s">
        <v>702</v>
      </c>
      <c r="K336" s="115" t="s">
        <v>703</v>
      </c>
      <c r="L336" s="121" t="s">
        <v>200</v>
      </c>
      <c r="M336" s="116">
        <v>45498</v>
      </c>
      <c r="N336" s="115">
        <v>38</v>
      </c>
      <c r="O336" s="115" t="s">
        <v>150</v>
      </c>
      <c r="P336" s="115" t="s">
        <v>235</v>
      </c>
      <c r="Q336" s="115" t="s">
        <v>313</v>
      </c>
      <c r="R336" s="115" t="s">
        <v>69</v>
      </c>
      <c r="S336" s="122">
        <v>1</v>
      </c>
    </row>
    <row r="337" spans="10:19" x14ac:dyDescent="0.25">
      <c r="J337" s="125" t="s">
        <v>705</v>
      </c>
      <c r="K337" s="115" t="s">
        <v>706</v>
      </c>
      <c r="L337" s="121" t="s">
        <v>200</v>
      </c>
      <c r="M337" s="116">
        <v>45492</v>
      </c>
      <c r="N337" s="115">
        <v>49</v>
      </c>
      <c r="O337" s="115" t="s">
        <v>151</v>
      </c>
      <c r="P337" s="115" t="s">
        <v>235</v>
      </c>
      <c r="Q337" s="115" t="s">
        <v>313</v>
      </c>
      <c r="R337" s="115" t="s">
        <v>35</v>
      </c>
      <c r="S337" s="122">
        <v>1</v>
      </c>
    </row>
    <row r="338" spans="10:19" x14ac:dyDescent="0.25">
      <c r="J338" s="125" t="s">
        <v>710</v>
      </c>
      <c r="K338" s="115" t="s">
        <v>711</v>
      </c>
      <c r="L338" s="121" t="s">
        <v>200</v>
      </c>
      <c r="M338" s="116">
        <v>45490</v>
      </c>
      <c r="N338" s="115">
        <v>46</v>
      </c>
      <c r="O338" s="115" t="s">
        <v>151</v>
      </c>
      <c r="P338" s="115" t="s">
        <v>235</v>
      </c>
      <c r="Q338" s="115" t="s">
        <v>313</v>
      </c>
      <c r="R338" s="115" t="s">
        <v>105</v>
      </c>
      <c r="S338" s="122">
        <v>1</v>
      </c>
    </row>
    <row r="339" spans="10:19" x14ac:dyDescent="0.25">
      <c r="J339" s="125" t="s">
        <v>712</v>
      </c>
      <c r="K339" s="115" t="s">
        <v>713</v>
      </c>
      <c r="L339" s="121" t="s">
        <v>200</v>
      </c>
      <c r="M339" s="116">
        <v>45447</v>
      </c>
      <c r="N339" s="115">
        <v>40</v>
      </c>
      <c r="O339" s="115" t="s">
        <v>150</v>
      </c>
      <c r="P339" s="115" t="s">
        <v>162</v>
      </c>
      <c r="Q339" s="115" t="s">
        <v>313</v>
      </c>
      <c r="R339" s="115" t="s">
        <v>105</v>
      </c>
      <c r="S339" s="122">
        <v>1</v>
      </c>
    </row>
    <row r="340" spans="10:19" x14ac:dyDescent="0.25">
      <c r="J340" s="125" t="s">
        <v>717</v>
      </c>
      <c r="K340" s="115" t="s">
        <v>718</v>
      </c>
      <c r="L340" s="121" t="s">
        <v>200</v>
      </c>
      <c r="M340" s="116">
        <v>45271</v>
      </c>
      <c r="N340" s="115">
        <v>52</v>
      </c>
      <c r="O340" s="115" t="s">
        <v>152</v>
      </c>
      <c r="P340" s="115" t="s">
        <v>235</v>
      </c>
      <c r="Q340" s="115" t="s">
        <v>313</v>
      </c>
      <c r="R340" s="115" t="s">
        <v>68</v>
      </c>
      <c r="S340" s="122">
        <v>1</v>
      </c>
    </row>
    <row r="341" spans="10:19" x14ac:dyDescent="0.25">
      <c r="J341" s="125" t="s">
        <v>720</v>
      </c>
      <c r="K341" s="115" t="s">
        <v>721</v>
      </c>
      <c r="L341" s="121" t="s">
        <v>200</v>
      </c>
      <c r="M341" s="116">
        <v>45271</v>
      </c>
      <c r="N341" s="115">
        <v>29</v>
      </c>
      <c r="O341" s="115" t="s">
        <v>149</v>
      </c>
      <c r="P341" s="115" t="s">
        <v>235</v>
      </c>
      <c r="Q341" s="115" t="s">
        <v>313</v>
      </c>
      <c r="R341" s="115" t="s">
        <v>68</v>
      </c>
      <c r="S341" s="122">
        <v>1</v>
      </c>
    </row>
    <row r="342" spans="10:19" x14ac:dyDescent="0.25">
      <c r="J342" s="125" t="s">
        <v>728</v>
      </c>
      <c r="K342" s="115" t="s">
        <v>729</v>
      </c>
      <c r="L342" s="121" t="s">
        <v>200</v>
      </c>
      <c r="M342" s="116">
        <v>45286</v>
      </c>
      <c r="N342" s="115">
        <v>58</v>
      </c>
      <c r="O342" s="115" t="s">
        <v>152</v>
      </c>
      <c r="P342" s="115" t="s">
        <v>235</v>
      </c>
      <c r="Q342" s="115" t="s">
        <v>313</v>
      </c>
      <c r="R342" s="115" t="s">
        <v>68</v>
      </c>
      <c r="S342" s="122">
        <v>1</v>
      </c>
    </row>
    <row r="343" spans="10:19" x14ac:dyDescent="0.25">
      <c r="J343" s="125" t="s">
        <v>737</v>
      </c>
      <c r="K343" s="115" t="s">
        <v>738</v>
      </c>
      <c r="L343" s="121" t="s">
        <v>200</v>
      </c>
      <c r="M343" s="116">
        <v>45287</v>
      </c>
      <c r="N343" s="115">
        <v>52</v>
      </c>
      <c r="O343" s="115" t="s">
        <v>152</v>
      </c>
      <c r="P343" s="115" t="s">
        <v>235</v>
      </c>
      <c r="Q343" s="115" t="s">
        <v>313</v>
      </c>
      <c r="R343" s="115" t="s">
        <v>68</v>
      </c>
      <c r="S343" s="122">
        <v>1</v>
      </c>
    </row>
    <row r="344" spans="10:19" x14ac:dyDescent="0.25">
      <c r="J344" s="125" t="s">
        <v>739</v>
      </c>
      <c r="K344" s="115" t="s">
        <v>740</v>
      </c>
      <c r="L344" s="121" t="s">
        <v>200</v>
      </c>
      <c r="M344" s="116">
        <v>45331</v>
      </c>
      <c r="N344" s="115">
        <v>33</v>
      </c>
      <c r="O344" s="115" t="s">
        <v>150</v>
      </c>
      <c r="P344" s="115" t="s">
        <v>235</v>
      </c>
      <c r="Q344" s="115" t="s">
        <v>313</v>
      </c>
      <c r="R344" s="115" t="s">
        <v>68</v>
      </c>
      <c r="S344" s="122">
        <v>1</v>
      </c>
    </row>
    <row r="345" spans="10:19" x14ac:dyDescent="0.25">
      <c r="J345" s="125" t="s">
        <v>750</v>
      </c>
      <c r="K345" s="115" t="s">
        <v>751</v>
      </c>
      <c r="L345" s="121" t="s">
        <v>200</v>
      </c>
      <c r="M345" s="116">
        <v>45331</v>
      </c>
      <c r="N345" s="115">
        <v>24</v>
      </c>
      <c r="O345" s="115" t="s">
        <v>149</v>
      </c>
      <c r="P345" s="115" t="s">
        <v>235</v>
      </c>
      <c r="Q345" s="115" t="s">
        <v>313</v>
      </c>
      <c r="R345" s="115" t="s">
        <v>36</v>
      </c>
      <c r="S345" s="122">
        <v>1</v>
      </c>
    </row>
    <row r="346" spans="10:19" x14ac:dyDescent="0.25">
      <c r="J346" s="125" t="s">
        <v>754</v>
      </c>
      <c r="K346" s="115" t="s">
        <v>755</v>
      </c>
      <c r="L346" s="121" t="s">
        <v>200</v>
      </c>
      <c r="M346" s="116">
        <v>45524</v>
      </c>
      <c r="N346" s="115">
        <v>23</v>
      </c>
      <c r="O346" s="115" t="s">
        <v>148</v>
      </c>
      <c r="P346" s="115" t="s">
        <v>235</v>
      </c>
      <c r="Q346" s="115" t="s">
        <v>313</v>
      </c>
      <c r="R346" s="115" t="s">
        <v>34</v>
      </c>
      <c r="S346" s="122">
        <v>1</v>
      </c>
    </row>
    <row r="347" spans="10:19" x14ac:dyDescent="0.25">
      <c r="J347" s="125" t="s">
        <v>766</v>
      </c>
      <c r="K347" s="115" t="s">
        <v>767</v>
      </c>
      <c r="L347" s="121" t="s">
        <v>200</v>
      </c>
      <c r="M347" s="116">
        <v>45301</v>
      </c>
      <c r="N347" s="115">
        <v>50</v>
      </c>
      <c r="O347" s="115" t="s">
        <v>152</v>
      </c>
      <c r="P347" s="116">
        <v>45549</v>
      </c>
      <c r="Q347" s="115" t="s">
        <v>313</v>
      </c>
      <c r="R347" s="115" t="s">
        <v>34</v>
      </c>
      <c r="S347" s="122">
        <v>1</v>
      </c>
    </row>
    <row r="348" spans="10:19" x14ac:dyDescent="0.25">
      <c r="J348" s="125" t="s">
        <v>769</v>
      </c>
      <c r="K348" s="115" t="s">
        <v>770</v>
      </c>
      <c r="L348" s="121" t="s">
        <v>200</v>
      </c>
      <c r="M348" s="116">
        <v>45331</v>
      </c>
      <c r="N348" s="115">
        <v>43</v>
      </c>
      <c r="O348" s="115" t="s">
        <v>151</v>
      </c>
      <c r="P348" s="115" t="s">
        <v>235</v>
      </c>
      <c r="Q348" s="115" t="s">
        <v>313</v>
      </c>
      <c r="R348" s="115" t="s">
        <v>34</v>
      </c>
      <c r="S348" s="122">
        <v>1</v>
      </c>
    </row>
    <row r="349" spans="10:19" x14ac:dyDescent="0.25">
      <c r="J349" s="125">
        <v>41393213</v>
      </c>
      <c r="K349" s="115" t="s">
        <v>777</v>
      </c>
      <c r="L349" s="121" t="s">
        <v>200</v>
      </c>
      <c r="M349" s="116">
        <v>45355</v>
      </c>
      <c r="N349" s="115">
        <v>42</v>
      </c>
      <c r="O349" s="115" t="s">
        <v>151</v>
      </c>
      <c r="P349" s="115" t="s">
        <v>235</v>
      </c>
      <c r="Q349" s="115" t="s">
        <v>313</v>
      </c>
      <c r="R349" s="115" t="s">
        <v>68</v>
      </c>
      <c r="S349" s="122">
        <v>1</v>
      </c>
    </row>
    <row r="350" spans="10:19" x14ac:dyDescent="0.25">
      <c r="J350" s="125">
        <v>70227591</v>
      </c>
      <c r="K350" s="115" t="s">
        <v>780</v>
      </c>
      <c r="L350" s="121" t="s">
        <v>200</v>
      </c>
      <c r="M350" s="116">
        <v>45370</v>
      </c>
      <c r="N350" s="115">
        <v>34</v>
      </c>
      <c r="O350" s="115" t="s">
        <v>150</v>
      </c>
      <c r="P350" s="115" t="s">
        <v>235</v>
      </c>
      <c r="Q350" s="115" t="s">
        <v>313</v>
      </c>
      <c r="R350" s="115" t="s">
        <v>68</v>
      </c>
      <c r="S350" s="122">
        <v>1</v>
      </c>
    </row>
    <row r="351" spans="10:19" x14ac:dyDescent="0.25">
      <c r="J351" s="125">
        <v>41968454</v>
      </c>
      <c r="K351" s="115" t="s">
        <v>782</v>
      </c>
      <c r="L351" s="121" t="s">
        <v>200</v>
      </c>
      <c r="M351" s="116">
        <v>45372</v>
      </c>
      <c r="N351" s="115">
        <v>41</v>
      </c>
      <c r="O351" s="115" t="s">
        <v>151</v>
      </c>
      <c r="P351" s="115" t="s">
        <v>235</v>
      </c>
      <c r="Q351" s="115" t="s">
        <v>313</v>
      </c>
      <c r="R351" s="115" t="s">
        <v>34</v>
      </c>
      <c r="S351" s="122">
        <v>1</v>
      </c>
    </row>
    <row r="352" spans="10:19" x14ac:dyDescent="0.25">
      <c r="J352" s="125">
        <v>41662346</v>
      </c>
      <c r="K352" s="115" t="s">
        <v>785</v>
      </c>
      <c r="L352" s="121" t="s">
        <v>200</v>
      </c>
      <c r="M352" s="116">
        <v>45376</v>
      </c>
      <c r="N352" s="115">
        <v>41</v>
      </c>
      <c r="O352" s="115" t="s">
        <v>151</v>
      </c>
      <c r="P352" s="115" t="s">
        <v>235</v>
      </c>
      <c r="Q352" s="115" t="s">
        <v>313</v>
      </c>
      <c r="R352" s="115" t="s">
        <v>68</v>
      </c>
      <c r="S352" s="122">
        <v>1</v>
      </c>
    </row>
    <row r="353" spans="10:19" x14ac:dyDescent="0.25">
      <c r="J353" s="125">
        <v>47655041</v>
      </c>
      <c r="K353" s="115" t="s">
        <v>787</v>
      </c>
      <c r="L353" s="121" t="s">
        <v>200</v>
      </c>
      <c r="M353" s="116">
        <v>45377</v>
      </c>
      <c r="N353" s="115">
        <v>32</v>
      </c>
      <c r="O353" s="115" t="s">
        <v>150</v>
      </c>
      <c r="P353" s="115" t="s">
        <v>235</v>
      </c>
      <c r="Q353" s="115" t="s">
        <v>313</v>
      </c>
      <c r="R353" s="115" t="s">
        <v>34</v>
      </c>
      <c r="S353" s="122">
        <v>1</v>
      </c>
    </row>
    <row r="354" spans="10:19" x14ac:dyDescent="0.25">
      <c r="J354" s="125">
        <v>41962572</v>
      </c>
      <c r="K354" s="115" t="s">
        <v>1097</v>
      </c>
      <c r="L354" s="121" t="s">
        <v>200</v>
      </c>
      <c r="M354" s="116">
        <v>45397</v>
      </c>
      <c r="N354" s="115">
        <v>48</v>
      </c>
      <c r="O354" s="115" t="s">
        <v>151</v>
      </c>
      <c r="P354" s="115" t="s">
        <v>235</v>
      </c>
      <c r="Q354" s="115" t="s">
        <v>313</v>
      </c>
      <c r="R354" s="115" t="s">
        <v>36</v>
      </c>
      <c r="S354" s="122">
        <v>1</v>
      </c>
    </row>
    <row r="355" spans="10:19" x14ac:dyDescent="0.25">
      <c r="J355" s="125">
        <v>32608370</v>
      </c>
      <c r="K355" s="115" t="s">
        <v>799</v>
      </c>
      <c r="L355" s="121" t="s">
        <v>200</v>
      </c>
      <c r="M355" s="116">
        <v>45317</v>
      </c>
      <c r="N355" s="115">
        <v>50</v>
      </c>
      <c r="O355" s="115" t="s">
        <v>152</v>
      </c>
      <c r="P355" s="116">
        <v>45536</v>
      </c>
      <c r="Q355" s="115" t="s">
        <v>313</v>
      </c>
      <c r="R355" s="115" t="s">
        <v>34</v>
      </c>
      <c r="S355" s="122">
        <v>0.5</v>
      </c>
    </row>
    <row r="356" spans="10:19" x14ac:dyDescent="0.25">
      <c r="J356" s="126"/>
      <c r="K356" s="117"/>
      <c r="L356" s="110"/>
      <c r="M356" s="116">
        <v>45541</v>
      </c>
      <c r="N356" s="115">
        <v>50</v>
      </c>
      <c r="O356" s="115" t="s">
        <v>152</v>
      </c>
      <c r="P356" s="115" t="s">
        <v>235</v>
      </c>
      <c r="Q356" s="115" t="s">
        <v>313</v>
      </c>
      <c r="R356" s="115" t="s">
        <v>34</v>
      </c>
      <c r="S356" s="122">
        <v>0.5</v>
      </c>
    </row>
    <row r="357" spans="10:19" x14ac:dyDescent="0.25">
      <c r="J357" s="125">
        <v>42445455</v>
      </c>
      <c r="K357" s="115" t="s">
        <v>2924</v>
      </c>
      <c r="L357" s="121" t="s">
        <v>200</v>
      </c>
      <c r="M357" s="116">
        <v>45530</v>
      </c>
      <c r="N357" s="115">
        <v>43</v>
      </c>
      <c r="O357" s="115" t="s">
        <v>151</v>
      </c>
      <c r="P357" s="115" t="s">
        <v>235</v>
      </c>
      <c r="Q357" s="115" t="s">
        <v>313</v>
      </c>
      <c r="R357" s="115" t="s">
        <v>36</v>
      </c>
      <c r="S357" s="122">
        <v>1</v>
      </c>
    </row>
    <row r="358" spans="10:19" x14ac:dyDescent="0.25">
      <c r="J358" s="125">
        <v>47947533</v>
      </c>
      <c r="K358" s="115" t="s">
        <v>810</v>
      </c>
      <c r="L358" s="121" t="s">
        <v>200</v>
      </c>
      <c r="M358" s="116">
        <v>45073</v>
      </c>
      <c r="N358" s="115">
        <v>33</v>
      </c>
      <c r="O358" s="115" t="s">
        <v>150</v>
      </c>
      <c r="P358" s="116">
        <v>45536</v>
      </c>
      <c r="Q358" s="115" t="s">
        <v>313</v>
      </c>
      <c r="R358" s="115" t="s">
        <v>72</v>
      </c>
      <c r="S358" s="122">
        <v>1</v>
      </c>
    </row>
    <row r="359" spans="10:19" x14ac:dyDescent="0.25">
      <c r="J359" s="125">
        <v>40470741</v>
      </c>
      <c r="K359" s="115" t="s">
        <v>817</v>
      </c>
      <c r="L359" s="121" t="s">
        <v>201</v>
      </c>
      <c r="M359" s="116">
        <v>45397</v>
      </c>
      <c r="N359" s="115">
        <v>44</v>
      </c>
      <c r="O359" s="115" t="s">
        <v>151</v>
      </c>
      <c r="P359" s="115" t="s">
        <v>235</v>
      </c>
      <c r="Q359" s="115" t="s">
        <v>313</v>
      </c>
      <c r="R359" s="115" t="s">
        <v>34</v>
      </c>
      <c r="S359" s="122">
        <v>0.5</v>
      </c>
    </row>
    <row r="360" spans="10:19" x14ac:dyDescent="0.25">
      <c r="J360" s="126"/>
      <c r="K360" s="117"/>
      <c r="L360" s="110"/>
      <c r="M360" s="116">
        <v>45481</v>
      </c>
      <c r="N360" s="115">
        <v>44</v>
      </c>
      <c r="O360" s="115" t="s">
        <v>151</v>
      </c>
      <c r="P360" s="115" t="s">
        <v>235</v>
      </c>
      <c r="Q360" s="115" t="s">
        <v>313</v>
      </c>
      <c r="R360" s="115" t="s">
        <v>34</v>
      </c>
      <c r="S360" s="122">
        <v>0.5</v>
      </c>
    </row>
    <row r="361" spans="10:19" x14ac:dyDescent="0.25">
      <c r="J361" s="125">
        <v>10047089</v>
      </c>
      <c r="K361" s="115" t="s">
        <v>2920</v>
      </c>
      <c r="L361" s="121" t="s">
        <v>200</v>
      </c>
      <c r="M361" s="116">
        <v>45513</v>
      </c>
      <c r="N361" s="115">
        <v>51</v>
      </c>
      <c r="O361" s="115" t="s">
        <v>152</v>
      </c>
      <c r="P361" s="115" t="s">
        <v>235</v>
      </c>
      <c r="Q361" s="115" t="s">
        <v>313</v>
      </c>
      <c r="R361" s="115" t="s">
        <v>36</v>
      </c>
      <c r="S361" s="122">
        <v>1</v>
      </c>
    </row>
    <row r="362" spans="10:19" x14ac:dyDescent="0.25">
      <c r="J362" s="125">
        <v>10696535</v>
      </c>
      <c r="K362" s="115" t="s">
        <v>2543</v>
      </c>
      <c r="L362" s="121" t="s">
        <v>200</v>
      </c>
      <c r="M362" s="116">
        <v>45464</v>
      </c>
      <c r="N362" s="115">
        <v>48</v>
      </c>
      <c r="O362" s="115" t="s">
        <v>151</v>
      </c>
      <c r="P362" s="115" t="s">
        <v>235</v>
      </c>
      <c r="Q362" s="115" t="s">
        <v>313</v>
      </c>
      <c r="R362" s="115" t="s">
        <v>35</v>
      </c>
      <c r="S362" s="122">
        <v>1</v>
      </c>
    </row>
    <row r="363" spans="10:19" x14ac:dyDescent="0.25">
      <c r="J363" s="125">
        <v>80002184</v>
      </c>
      <c r="K363" s="115" t="s">
        <v>2250</v>
      </c>
      <c r="L363" s="121" t="s">
        <v>200</v>
      </c>
      <c r="M363" s="116">
        <v>45491</v>
      </c>
      <c r="N363" s="115">
        <v>46</v>
      </c>
      <c r="O363" s="115" t="s">
        <v>151</v>
      </c>
      <c r="P363" s="115" t="s">
        <v>235</v>
      </c>
      <c r="Q363" s="115" t="s">
        <v>313</v>
      </c>
      <c r="R363" s="115" t="s">
        <v>68</v>
      </c>
      <c r="S363" s="122">
        <v>1</v>
      </c>
    </row>
    <row r="364" spans="10:19" x14ac:dyDescent="0.25">
      <c r="J364" s="125">
        <v>42353072</v>
      </c>
      <c r="K364" s="115" t="s">
        <v>821</v>
      </c>
      <c r="L364" s="121" t="s">
        <v>200</v>
      </c>
      <c r="M364" s="116">
        <v>45481</v>
      </c>
      <c r="N364" s="115">
        <v>43</v>
      </c>
      <c r="O364" s="115" t="s">
        <v>151</v>
      </c>
      <c r="P364" s="115" t="s">
        <v>235</v>
      </c>
      <c r="Q364" s="115" t="s">
        <v>313</v>
      </c>
      <c r="R364" s="115" t="s">
        <v>72</v>
      </c>
      <c r="S364" s="122">
        <v>1</v>
      </c>
    </row>
    <row r="365" spans="10:19" x14ac:dyDescent="0.25">
      <c r="J365" s="125">
        <v>73176391</v>
      </c>
      <c r="K365" s="115" t="s">
        <v>2547</v>
      </c>
      <c r="L365" s="121" t="s">
        <v>200</v>
      </c>
      <c r="M365" s="116">
        <v>45464</v>
      </c>
      <c r="N365" s="115">
        <v>31</v>
      </c>
      <c r="O365" s="115" t="s">
        <v>149</v>
      </c>
      <c r="P365" s="115" t="s">
        <v>235</v>
      </c>
      <c r="Q365" s="115" t="s">
        <v>313</v>
      </c>
      <c r="R365" s="115" t="s">
        <v>68</v>
      </c>
      <c r="S365" s="122">
        <v>1</v>
      </c>
    </row>
    <row r="366" spans="10:19" x14ac:dyDescent="0.25">
      <c r="J366" s="125">
        <v>47773872</v>
      </c>
      <c r="K366" s="115" t="s">
        <v>826</v>
      </c>
      <c r="L366" s="121" t="s">
        <v>200</v>
      </c>
      <c r="M366" s="116">
        <v>45530</v>
      </c>
      <c r="N366" s="115">
        <v>33</v>
      </c>
      <c r="O366" s="115" t="s">
        <v>150</v>
      </c>
      <c r="P366" s="115" t="s">
        <v>235</v>
      </c>
      <c r="Q366" s="115" t="s">
        <v>313</v>
      </c>
      <c r="R366" s="115" t="s">
        <v>68</v>
      </c>
      <c r="S366" s="122">
        <v>1</v>
      </c>
    </row>
    <row r="367" spans="10:19" x14ac:dyDescent="0.25">
      <c r="J367" s="125">
        <v>70474168</v>
      </c>
      <c r="K367" s="115" t="s">
        <v>833</v>
      </c>
      <c r="L367" s="121" t="s">
        <v>200</v>
      </c>
      <c r="M367" s="116">
        <v>45481</v>
      </c>
      <c r="N367" s="115">
        <v>34</v>
      </c>
      <c r="O367" s="115" t="s">
        <v>150</v>
      </c>
      <c r="P367" s="115" t="s">
        <v>235</v>
      </c>
      <c r="Q367" s="115" t="s">
        <v>313</v>
      </c>
      <c r="R367" s="115" t="s">
        <v>34</v>
      </c>
      <c r="S367" s="122">
        <v>1</v>
      </c>
    </row>
    <row r="368" spans="10:19" x14ac:dyDescent="0.25">
      <c r="J368" s="125">
        <v>47598163</v>
      </c>
      <c r="K368" s="115" t="s">
        <v>1102</v>
      </c>
      <c r="L368" s="121" t="s">
        <v>200</v>
      </c>
      <c r="M368" s="116">
        <v>45406</v>
      </c>
      <c r="N368" s="115">
        <v>32</v>
      </c>
      <c r="O368" s="115" t="s">
        <v>150</v>
      </c>
      <c r="P368" s="115" t="s">
        <v>235</v>
      </c>
      <c r="Q368" s="115" t="s">
        <v>313</v>
      </c>
      <c r="R368" s="115" t="s">
        <v>68</v>
      </c>
      <c r="S368" s="122">
        <v>1</v>
      </c>
    </row>
    <row r="369" spans="10:19" x14ac:dyDescent="0.25">
      <c r="J369" s="125">
        <v>40417712</v>
      </c>
      <c r="K369" s="115" t="s">
        <v>844</v>
      </c>
      <c r="L369" s="121" t="s">
        <v>200</v>
      </c>
      <c r="M369" s="116">
        <v>44914</v>
      </c>
      <c r="N369" s="115">
        <v>44</v>
      </c>
      <c r="O369" s="115" t="s">
        <v>151</v>
      </c>
      <c r="P369" s="116">
        <v>45557</v>
      </c>
      <c r="Q369" s="115" t="s">
        <v>313</v>
      </c>
      <c r="R369" s="115" t="s">
        <v>34</v>
      </c>
      <c r="S369" s="122">
        <v>0.5</v>
      </c>
    </row>
    <row r="370" spans="10:19" x14ac:dyDescent="0.25">
      <c r="J370" s="126"/>
      <c r="K370" s="117"/>
      <c r="L370" s="110"/>
      <c r="M370" s="116">
        <v>45558</v>
      </c>
      <c r="N370" s="115">
        <v>44</v>
      </c>
      <c r="O370" s="115" t="s">
        <v>151</v>
      </c>
      <c r="P370" s="115" t="s">
        <v>235</v>
      </c>
      <c r="Q370" s="115" t="s">
        <v>313</v>
      </c>
      <c r="R370" s="115" t="s">
        <v>34</v>
      </c>
      <c r="S370" s="122">
        <v>0.5</v>
      </c>
    </row>
    <row r="371" spans="10:19" x14ac:dyDescent="0.25">
      <c r="J371" s="125">
        <v>10463552</v>
      </c>
      <c r="K371" s="115" t="s">
        <v>848</v>
      </c>
      <c r="L371" s="121" t="s">
        <v>200</v>
      </c>
      <c r="M371" s="116">
        <v>45201</v>
      </c>
      <c r="N371" s="115">
        <v>50</v>
      </c>
      <c r="O371" s="115" t="s">
        <v>152</v>
      </c>
      <c r="P371" s="116">
        <v>45536</v>
      </c>
      <c r="Q371" s="115" t="s">
        <v>313</v>
      </c>
      <c r="R371" s="115" t="s">
        <v>68</v>
      </c>
      <c r="S371" s="122">
        <v>0.5</v>
      </c>
    </row>
    <row r="372" spans="10:19" x14ac:dyDescent="0.25">
      <c r="J372" s="126"/>
      <c r="K372" s="117"/>
      <c r="L372" s="110"/>
      <c r="M372" s="116">
        <v>45541</v>
      </c>
      <c r="N372" s="115">
        <v>50</v>
      </c>
      <c r="O372" s="115" t="s">
        <v>152</v>
      </c>
      <c r="P372" s="115" t="s">
        <v>235</v>
      </c>
      <c r="Q372" s="115" t="s">
        <v>313</v>
      </c>
      <c r="R372" s="115" t="s">
        <v>68</v>
      </c>
      <c r="S372" s="122">
        <v>0.5</v>
      </c>
    </row>
    <row r="373" spans="10:19" x14ac:dyDescent="0.25">
      <c r="J373" s="125">
        <v>44009821</v>
      </c>
      <c r="K373" s="115" t="s">
        <v>2264</v>
      </c>
      <c r="L373" s="121" t="s">
        <v>200</v>
      </c>
      <c r="M373" s="116">
        <v>45467</v>
      </c>
      <c r="N373" s="115">
        <v>38</v>
      </c>
      <c r="O373" s="115" t="s">
        <v>150</v>
      </c>
      <c r="P373" s="115" t="s">
        <v>235</v>
      </c>
      <c r="Q373" s="115" t="s">
        <v>313</v>
      </c>
      <c r="R373" s="115" t="s">
        <v>68</v>
      </c>
      <c r="S373" s="122">
        <v>1</v>
      </c>
    </row>
    <row r="374" spans="10:19" x14ac:dyDescent="0.25">
      <c r="J374" s="125">
        <v>70313990</v>
      </c>
      <c r="K374" s="115" t="s">
        <v>852</v>
      </c>
      <c r="L374" s="121" t="s">
        <v>200</v>
      </c>
      <c r="M374" s="116">
        <v>45406</v>
      </c>
      <c r="N374" s="115">
        <v>24</v>
      </c>
      <c r="O374" s="115" t="s">
        <v>149</v>
      </c>
      <c r="P374" s="115" t="s">
        <v>235</v>
      </c>
      <c r="Q374" s="115" t="s">
        <v>313</v>
      </c>
      <c r="R374" s="115" t="s">
        <v>34</v>
      </c>
      <c r="S374" s="122">
        <v>1</v>
      </c>
    </row>
    <row r="375" spans="10:19" x14ac:dyDescent="0.25">
      <c r="J375" s="125" t="s">
        <v>855</v>
      </c>
      <c r="K375" s="115" t="s">
        <v>1698</v>
      </c>
      <c r="L375" s="121" t="s">
        <v>200</v>
      </c>
      <c r="M375" s="116">
        <v>45442</v>
      </c>
      <c r="N375" s="115">
        <v>36</v>
      </c>
      <c r="O375" s="115" t="s">
        <v>150</v>
      </c>
      <c r="P375" s="115" t="s">
        <v>162</v>
      </c>
      <c r="Q375" s="115" t="s">
        <v>313</v>
      </c>
      <c r="R375" s="115" t="s">
        <v>68</v>
      </c>
      <c r="S375" s="122">
        <v>1</v>
      </c>
    </row>
    <row r="376" spans="10:19" x14ac:dyDescent="0.25">
      <c r="J376" s="125">
        <v>70504227</v>
      </c>
      <c r="K376" s="115" t="s">
        <v>1987</v>
      </c>
      <c r="L376" s="121" t="s">
        <v>200</v>
      </c>
      <c r="M376" s="116">
        <v>45407</v>
      </c>
      <c r="N376" s="115">
        <v>27</v>
      </c>
      <c r="O376" s="115" t="s">
        <v>149</v>
      </c>
      <c r="P376" s="115" t="s">
        <v>235</v>
      </c>
      <c r="Q376" s="115" t="s">
        <v>313</v>
      </c>
      <c r="R376" s="115" t="s">
        <v>34</v>
      </c>
      <c r="S376" s="122">
        <v>1</v>
      </c>
    </row>
    <row r="377" spans="10:19" x14ac:dyDescent="0.25">
      <c r="J377" s="125" t="s">
        <v>857</v>
      </c>
      <c r="K377" s="115" t="s">
        <v>858</v>
      </c>
      <c r="L377" s="121" t="s">
        <v>200</v>
      </c>
      <c r="M377" s="116">
        <v>43686</v>
      </c>
      <c r="N377" s="115">
        <v>40</v>
      </c>
      <c r="O377" s="115" t="s">
        <v>150</v>
      </c>
      <c r="P377" s="115" t="s">
        <v>235</v>
      </c>
      <c r="Q377" s="115" t="s">
        <v>313</v>
      </c>
      <c r="R377" s="115" t="s">
        <v>34</v>
      </c>
      <c r="S377" s="122">
        <v>1</v>
      </c>
    </row>
    <row r="378" spans="10:19" x14ac:dyDescent="0.25">
      <c r="J378" s="125" t="s">
        <v>859</v>
      </c>
      <c r="K378" s="115" t="s">
        <v>860</v>
      </c>
      <c r="L378" s="121" t="s">
        <v>200</v>
      </c>
      <c r="M378" s="116">
        <v>43754</v>
      </c>
      <c r="N378" s="115">
        <v>37</v>
      </c>
      <c r="O378" s="115" t="s">
        <v>150</v>
      </c>
      <c r="P378" s="115" t="s">
        <v>235</v>
      </c>
      <c r="Q378" s="115" t="s">
        <v>313</v>
      </c>
      <c r="R378" s="115" t="s">
        <v>34</v>
      </c>
      <c r="S378" s="122">
        <v>1</v>
      </c>
    </row>
    <row r="379" spans="10:19" x14ac:dyDescent="0.25">
      <c r="J379" s="125" t="s">
        <v>861</v>
      </c>
      <c r="K379" s="115" t="s">
        <v>862</v>
      </c>
      <c r="L379" s="121" t="s">
        <v>200</v>
      </c>
      <c r="M379" s="116">
        <v>43847</v>
      </c>
      <c r="N379" s="115">
        <v>46</v>
      </c>
      <c r="O379" s="115" t="s">
        <v>151</v>
      </c>
      <c r="P379" s="115" t="s">
        <v>235</v>
      </c>
      <c r="Q379" s="115" t="s">
        <v>313</v>
      </c>
      <c r="R379" s="115" t="s">
        <v>68</v>
      </c>
      <c r="S379" s="122">
        <v>1</v>
      </c>
    </row>
    <row r="380" spans="10:19" x14ac:dyDescent="0.25">
      <c r="J380" s="125" t="s">
        <v>863</v>
      </c>
      <c r="K380" s="115" t="s">
        <v>864</v>
      </c>
      <c r="L380" s="121" t="s">
        <v>200</v>
      </c>
      <c r="M380" s="116">
        <v>44099</v>
      </c>
      <c r="N380" s="115">
        <v>42</v>
      </c>
      <c r="O380" s="115" t="s">
        <v>151</v>
      </c>
      <c r="P380" s="115" t="s">
        <v>235</v>
      </c>
      <c r="Q380" s="115" t="s">
        <v>313</v>
      </c>
      <c r="R380" s="115" t="s">
        <v>34</v>
      </c>
      <c r="S380" s="122">
        <v>1</v>
      </c>
    </row>
    <row r="381" spans="10:19" x14ac:dyDescent="0.25">
      <c r="J381" s="125" t="s">
        <v>865</v>
      </c>
      <c r="K381" s="115" t="s">
        <v>866</v>
      </c>
      <c r="L381" s="121" t="s">
        <v>200</v>
      </c>
      <c r="M381" s="116">
        <v>44620</v>
      </c>
      <c r="N381" s="115">
        <v>40</v>
      </c>
      <c r="O381" s="115" t="s">
        <v>150</v>
      </c>
      <c r="P381" s="115" t="s">
        <v>235</v>
      </c>
      <c r="Q381" s="115" t="s">
        <v>313</v>
      </c>
      <c r="R381" s="115" t="s">
        <v>35</v>
      </c>
      <c r="S381" s="122">
        <v>1</v>
      </c>
    </row>
    <row r="382" spans="10:19" x14ac:dyDescent="0.25">
      <c r="J382" s="125" t="s">
        <v>867</v>
      </c>
      <c r="K382" s="115" t="s">
        <v>868</v>
      </c>
      <c r="L382" s="121" t="s">
        <v>200</v>
      </c>
      <c r="M382" s="116">
        <v>44705</v>
      </c>
      <c r="N382" s="115">
        <v>36</v>
      </c>
      <c r="O382" s="115" t="s">
        <v>150</v>
      </c>
      <c r="P382" s="115" t="s">
        <v>235</v>
      </c>
      <c r="Q382" s="115" t="s">
        <v>313</v>
      </c>
      <c r="R382" s="115" t="s">
        <v>68</v>
      </c>
      <c r="S382" s="122">
        <v>1</v>
      </c>
    </row>
    <row r="383" spans="10:19" x14ac:dyDescent="0.25">
      <c r="J383" s="125" t="s">
        <v>869</v>
      </c>
      <c r="K383" s="115" t="s">
        <v>870</v>
      </c>
      <c r="L383" s="121" t="s">
        <v>200</v>
      </c>
      <c r="M383" s="116">
        <v>44717</v>
      </c>
      <c r="N383" s="115">
        <v>28</v>
      </c>
      <c r="O383" s="115" t="s">
        <v>149</v>
      </c>
      <c r="P383" s="115" t="s">
        <v>235</v>
      </c>
      <c r="Q383" s="115" t="s">
        <v>313</v>
      </c>
      <c r="R383" s="115" t="s">
        <v>35</v>
      </c>
      <c r="S383" s="122">
        <v>1</v>
      </c>
    </row>
    <row r="384" spans="10:19" x14ac:dyDescent="0.25">
      <c r="J384" s="125" t="s">
        <v>871</v>
      </c>
      <c r="K384" s="115" t="s">
        <v>872</v>
      </c>
      <c r="L384" s="121" t="s">
        <v>200</v>
      </c>
      <c r="M384" s="116">
        <v>44768</v>
      </c>
      <c r="N384" s="115">
        <v>35</v>
      </c>
      <c r="O384" s="115" t="s">
        <v>150</v>
      </c>
      <c r="P384" s="115" t="s">
        <v>235</v>
      </c>
      <c r="Q384" s="115" t="s">
        <v>313</v>
      </c>
      <c r="R384" s="115" t="s">
        <v>34</v>
      </c>
      <c r="S384" s="122">
        <v>1</v>
      </c>
    </row>
    <row r="385" spans="10:19" x14ac:dyDescent="0.25">
      <c r="J385" s="125" t="s">
        <v>873</v>
      </c>
      <c r="K385" s="115" t="s">
        <v>874</v>
      </c>
      <c r="L385" s="121" t="s">
        <v>200</v>
      </c>
      <c r="M385" s="116">
        <v>44817</v>
      </c>
      <c r="N385" s="115">
        <v>34</v>
      </c>
      <c r="O385" s="115" t="s">
        <v>150</v>
      </c>
      <c r="P385" s="115" t="s">
        <v>235</v>
      </c>
      <c r="Q385" s="115" t="s">
        <v>313</v>
      </c>
      <c r="R385" s="115" t="s">
        <v>68</v>
      </c>
      <c r="S385" s="122">
        <v>1</v>
      </c>
    </row>
    <row r="386" spans="10:19" x14ac:dyDescent="0.25">
      <c r="J386" s="125" t="s">
        <v>875</v>
      </c>
      <c r="K386" s="115" t="s">
        <v>876</v>
      </c>
      <c r="L386" s="121" t="s">
        <v>200</v>
      </c>
      <c r="M386" s="116">
        <v>45064</v>
      </c>
      <c r="N386" s="115">
        <v>35</v>
      </c>
      <c r="O386" s="115" t="s">
        <v>150</v>
      </c>
      <c r="P386" s="115" t="s">
        <v>235</v>
      </c>
      <c r="Q386" s="115" t="s">
        <v>313</v>
      </c>
      <c r="R386" s="115" t="s">
        <v>68</v>
      </c>
      <c r="S386" s="122">
        <v>1</v>
      </c>
    </row>
    <row r="387" spans="10:19" x14ac:dyDescent="0.25">
      <c r="J387" s="125" t="s">
        <v>877</v>
      </c>
      <c r="K387" s="115" t="s">
        <v>878</v>
      </c>
      <c r="L387" s="121" t="s">
        <v>200</v>
      </c>
      <c r="M387" s="116">
        <v>45075</v>
      </c>
      <c r="N387" s="115">
        <v>44</v>
      </c>
      <c r="O387" s="115" t="s">
        <v>151</v>
      </c>
      <c r="P387" s="115" t="s">
        <v>235</v>
      </c>
      <c r="Q387" s="115" t="s">
        <v>313</v>
      </c>
      <c r="R387" s="115" t="s">
        <v>34</v>
      </c>
      <c r="S387" s="122">
        <v>1</v>
      </c>
    </row>
    <row r="388" spans="10:19" x14ac:dyDescent="0.25">
      <c r="J388" s="125" t="s">
        <v>879</v>
      </c>
      <c r="K388" s="115" t="s">
        <v>880</v>
      </c>
      <c r="L388" s="121" t="s">
        <v>200</v>
      </c>
      <c r="M388" s="116">
        <v>45085</v>
      </c>
      <c r="N388" s="115">
        <v>31</v>
      </c>
      <c r="O388" s="115" t="s">
        <v>149</v>
      </c>
      <c r="P388" s="115" t="s">
        <v>235</v>
      </c>
      <c r="Q388" s="115" t="s">
        <v>313</v>
      </c>
      <c r="R388" s="115" t="s">
        <v>34</v>
      </c>
      <c r="S388" s="122">
        <v>1</v>
      </c>
    </row>
    <row r="389" spans="10:19" x14ac:dyDescent="0.25">
      <c r="J389" s="125" t="s">
        <v>881</v>
      </c>
      <c r="K389" s="115" t="s">
        <v>882</v>
      </c>
      <c r="L389" s="121" t="s">
        <v>201</v>
      </c>
      <c r="M389" s="116">
        <v>45089</v>
      </c>
      <c r="N389" s="115">
        <v>30</v>
      </c>
      <c r="O389" s="115" t="s">
        <v>149</v>
      </c>
      <c r="P389" s="115" t="s">
        <v>235</v>
      </c>
      <c r="Q389" s="115" t="s">
        <v>313</v>
      </c>
      <c r="R389" s="115" t="s">
        <v>34</v>
      </c>
      <c r="S389" s="122">
        <v>1</v>
      </c>
    </row>
    <row r="390" spans="10:19" x14ac:dyDescent="0.25">
      <c r="J390" s="125" t="s">
        <v>883</v>
      </c>
      <c r="K390" s="115" t="s">
        <v>884</v>
      </c>
      <c r="L390" s="121" t="s">
        <v>200</v>
      </c>
      <c r="M390" s="116">
        <v>45090</v>
      </c>
      <c r="N390" s="115">
        <v>26</v>
      </c>
      <c r="O390" s="115" t="s">
        <v>149</v>
      </c>
      <c r="P390" s="115" t="s">
        <v>235</v>
      </c>
      <c r="Q390" s="115" t="s">
        <v>313</v>
      </c>
      <c r="R390" s="115" t="s">
        <v>34</v>
      </c>
      <c r="S390" s="122">
        <v>1</v>
      </c>
    </row>
    <row r="391" spans="10:19" x14ac:dyDescent="0.25">
      <c r="J391" s="125" t="s">
        <v>885</v>
      </c>
      <c r="K391" s="115" t="s">
        <v>886</v>
      </c>
      <c r="L391" s="121" t="s">
        <v>200</v>
      </c>
      <c r="M391" s="116">
        <v>45092</v>
      </c>
      <c r="N391" s="115">
        <v>33</v>
      </c>
      <c r="O391" s="115" t="s">
        <v>150</v>
      </c>
      <c r="P391" s="115" t="s">
        <v>235</v>
      </c>
      <c r="Q391" s="115" t="s">
        <v>313</v>
      </c>
      <c r="R391" s="115" t="s">
        <v>34</v>
      </c>
      <c r="S391" s="122">
        <v>1</v>
      </c>
    </row>
    <row r="392" spans="10:19" x14ac:dyDescent="0.25">
      <c r="J392" s="125" t="s">
        <v>887</v>
      </c>
      <c r="K392" s="115" t="s">
        <v>888</v>
      </c>
      <c r="L392" s="121" t="s">
        <v>200</v>
      </c>
      <c r="M392" s="116">
        <v>45103</v>
      </c>
      <c r="N392" s="115">
        <v>28</v>
      </c>
      <c r="O392" s="115" t="s">
        <v>149</v>
      </c>
      <c r="P392" s="115" t="s">
        <v>235</v>
      </c>
      <c r="Q392" s="115" t="s">
        <v>313</v>
      </c>
      <c r="R392" s="115" t="s">
        <v>105</v>
      </c>
      <c r="S392" s="122">
        <v>1</v>
      </c>
    </row>
    <row r="393" spans="10:19" x14ac:dyDescent="0.25">
      <c r="J393" s="125" t="s">
        <v>889</v>
      </c>
      <c r="K393" s="115" t="s">
        <v>890</v>
      </c>
      <c r="L393" s="121" t="s">
        <v>200</v>
      </c>
      <c r="M393" s="116">
        <v>45105</v>
      </c>
      <c r="N393" s="115">
        <v>32</v>
      </c>
      <c r="O393" s="115" t="s">
        <v>150</v>
      </c>
      <c r="P393" s="116">
        <v>45544</v>
      </c>
      <c r="Q393" s="115" t="s">
        <v>313</v>
      </c>
      <c r="R393" s="115" t="s">
        <v>68</v>
      </c>
      <c r="S393" s="122">
        <v>1</v>
      </c>
    </row>
    <row r="394" spans="10:19" x14ac:dyDescent="0.25">
      <c r="J394" s="125" t="s">
        <v>891</v>
      </c>
      <c r="K394" s="115" t="s">
        <v>892</v>
      </c>
      <c r="L394" s="121" t="s">
        <v>200</v>
      </c>
      <c r="M394" s="116">
        <v>45107</v>
      </c>
      <c r="N394" s="115">
        <v>24</v>
      </c>
      <c r="O394" s="115" t="s">
        <v>149</v>
      </c>
      <c r="P394" s="115" t="s">
        <v>235</v>
      </c>
      <c r="Q394" s="115" t="s">
        <v>313</v>
      </c>
      <c r="R394" s="115" t="s">
        <v>72</v>
      </c>
      <c r="S394" s="122">
        <v>1</v>
      </c>
    </row>
    <row r="395" spans="10:19" x14ac:dyDescent="0.25">
      <c r="J395" s="125" t="s">
        <v>893</v>
      </c>
      <c r="K395" s="115" t="s">
        <v>894</v>
      </c>
      <c r="L395" s="121" t="s">
        <v>200</v>
      </c>
      <c r="M395" s="116">
        <v>45112</v>
      </c>
      <c r="N395" s="115">
        <v>32</v>
      </c>
      <c r="O395" s="115" t="s">
        <v>150</v>
      </c>
      <c r="P395" s="115" t="s">
        <v>235</v>
      </c>
      <c r="Q395" s="115" t="s">
        <v>312</v>
      </c>
      <c r="R395" s="115" t="s">
        <v>69</v>
      </c>
      <c r="S395" s="122">
        <v>1</v>
      </c>
    </row>
    <row r="396" spans="10:19" x14ac:dyDescent="0.25">
      <c r="J396" s="125" t="s">
        <v>895</v>
      </c>
      <c r="K396" s="115" t="s">
        <v>896</v>
      </c>
      <c r="L396" s="121" t="s">
        <v>200</v>
      </c>
      <c r="M396" s="116">
        <v>45114</v>
      </c>
      <c r="N396" s="115">
        <v>43</v>
      </c>
      <c r="O396" s="115" t="s">
        <v>151</v>
      </c>
      <c r="P396" s="115" t="s">
        <v>235</v>
      </c>
      <c r="Q396" s="115" t="s">
        <v>313</v>
      </c>
      <c r="R396" s="115" t="s">
        <v>34</v>
      </c>
      <c r="S396" s="122">
        <v>1</v>
      </c>
    </row>
    <row r="397" spans="10:19" x14ac:dyDescent="0.25">
      <c r="J397" s="125" t="s">
        <v>897</v>
      </c>
      <c r="K397" s="115" t="s">
        <v>3207</v>
      </c>
      <c r="L397" s="121" t="s">
        <v>200</v>
      </c>
      <c r="M397" s="116">
        <v>45561</v>
      </c>
      <c r="N397" s="115">
        <v>28</v>
      </c>
      <c r="O397" s="115" t="s">
        <v>149</v>
      </c>
      <c r="P397" s="115" t="s">
        <v>235</v>
      </c>
      <c r="Q397" s="115" t="s">
        <v>313</v>
      </c>
      <c r="R397" s="115" t="s">
        <v>34</v>
      </c>
      <c r="S397" s="122">
        <v>1</v>
      </c>
    </row>
    <row r="398" spans="10:19" x14ac:dyDescent="0.25">
      <c r="J398" s="125" t="s">
        <v>898</v>
      </c>
      <c r="K398" s="115" t="s">
        <v>899</v>
      </c>
      <c r="L398" s="121" t="s">
        <v>200</v>
      </c>
      <c r="M398" s="116">
        <v>45121</v>
      </c>
      <c r="N398" s="115">
        <v>47</v>
      </c>
      <c r="O398" s="115" t="s">
        <v>151</v>
      </c>
      <c r="P398" s="115" t="s">
        <v>235</v>
      </c>
      <c r="Q398" s="115" t="s">
        <v>313</v>
      </c>
      <c r="R398" s="115" t="s">
        <v>34</v>
      </c>
      <c r="S398" s="122">
        <v>1</v>
      </c>
    </row>
    <row r="399" spans="10:19" x14ac:dyDescent="0.25">
      <c r="J399" s="125" t="s">
        <v>900</v>
      </c>
      <c r="K399" s="115" t="s">
        <v>901</v>
      </c>
      <c r="L399" s="121" t="s">
        <v>200</v>
      </c>
      <c r="M399" s="116">
        <v>45128</v>
      </c>
      <c r="N399" s="115">
        <v>24</v>
      </c>
      <c r="O399" s="115" t="s">
        <v>149</v>
      </c>
      <c r="P399" s="115" t="s">
        <v>235</v>
      </c>
      <c r="Q399" s="115" t="s">
        <v>312</v>
      </c>
      <c r="R399" s="115" t="s">
        <v>34</v>
      </c>
      <c r="S399" s="122">
        <v>1</v>
      </c>
    </row>
    <row r="400" spans="10:19" x14ac:dyDescent="0.25">
      <c r="J400" s="125" t="s">
        <v>902</v>
      </c>
      <c r="K400" s="115" t="s">
        <v>903</v>
      </c>
      <c r="L400" s="121" t="s">
        <v>200</v>
      </c>
      <c r="M400" s="116">
        <v>45131</v>
      </c>
      <c r="N400" s="115">
        <v>54</v>
      </c>
      <c r="O400" s="115" t="s">
        <v>152</v>
      </c>
      <c r="P400" s="116">
        <v>45553</v>
      </c>
      <c r="Q400" s="115" t="s">
        <v>313</v>
      </c>
      <c r="R400" s="115" t="s">
        <v>34</v>
      </c>
      <c r="S400" s="122">
        <v>1</v>
      </c>
    </row>
    <row r="401" spans="10:19" x14ac:dyDescent="0.25">
      <c r="J401" s="125" t="s">
        <v>904</v>
      </c>
      <c r="K401" s="115" t="s">
        <v>905</v>
      </c>
      <c r="L401" s="121" t="s">
        <v>200</v>
      </c>
      <c r="M401" s="116">
        <v>45132</v>
      </c>
      <c r="N401" s="115">
        <v>32</v>
      </c>
      <c r="O401" s="115" t="s">
        <v>150</v>
      </c>
      <c r="P401" s="115" t="s">
        <v>235</v>
      </c>
      <c r="Q401" s="115" t="s">
        <v>313</v>
      </c>
      <c r="R401" s="115" t="s">
        <v>34</v>
      </c>
      <c r="S401" s="122">
        <v>1</v>
      </c>
    </row>
    <row r="402" spans="10:19" x14ac:dyDescent="0.25">
      <c r="J402" s="125" t="s">
        <v>906</v>
      </c>
      <c r="K402" s="115" t="s">
        <v>907</v>
      </c>
      <c r="L402" s="121" t="s">
        <v>200</v>
      </c>
      <c r="M402" s="116">
        <v>45138</v>
      </c>
      <c r="N402" s="115">
        <v>48</v>
      </c>
      <c r="O402" s="115" t="s">
        <v>151</v>
      </c>
      <c r="P402" s="115" t="s">
        <v>235</v>
      </c>
      <c r="Q402" s="115" t="s">
        <v>313</v>
      </c>
      <c r="R402" s="115" t="s">
        <v>34</v>
      </c>
      <c r="S402" s="122">
        <v>1</v>
      </c>
    </row>
    <row r="403" spans="10:19" x14ac:dyDescent="0.25">
      <c r="J403" s="125" t="s">
        <v>908</v>
      </c>
      <c r="K403" s="115" t="s">
        <v>909</v>
      </c>
      <c r="L403" s="121" t="s">
        <v>200</v>
      </c>
      <c r="M403" s="116">
        <v>45182</v>
      </c>
      <c r="N403" s="115">
        <v>53</v>
      </c>
      <c r="O403" s="115" t="s">
        <v>152</v>
      </c>
      <c r="P403" s="115" t="s">
        <v>235</v>
      </c>
      <c r="Q403" s="115" t="s">
        <v>313</v>
      </c>
      <c r="R403" s="115" t="s">
        <v>68</v>
      </c>
      <c r="S403" s="122">
        <v>1</v>
      </c>
    </row>
    <row r="404" spans="10:19" x14ac:dyDescent="0.25">
      <c r="J404" s="125" t="s">
        <v>910</v>
      </c>
      <c r="K404" s="115" t="s">
        <v>911</v>
      </c>
      <c r="L404" s="121" t="s">
        <v>200</v>
      </c>
      <c r="M404" s="116">
        <v>45195</v>
      </c>
      <c r="N404" s="115">
        <v>27</v>
      </c>
      <c r="O404" s="115" t="s">
        <v>149</v>
      </c>
      <c r="P404" s="116">
        <v>45545</v>
      </c>
      <c r="Q404" s="115" t="s">
        <v>313</v>
      </c>
      <c r="R404" s="115" t="s">
        <v>34</v>
      </c>
      <c r="S404" s="122">
        <v>1</v>
      </c>
    </row>
    <row r="405" spans="10:19" x14ac:dyDescent="0.25">
      <c r="J405" s="125" t="s">
        <v>914</v>
      </c>
      <c r="K405" s="115" t="s">
        <v>915</v>
      </c>
      <c r="L405" s="121" t="s">
        <v>200</v>
      </c>
      <c r="M405" s="116">
        <v>45236</v>
      </c>
      <c r="N405" s="115">
        <v>51</v>
      </c>
      <c r="O405" s="115" t="s">
        <v>152</v>
      </c>
      <c r="P405" s="115" t="s">
        <v>235</v>
      </c>
      <c r="Q405" s="115" t="s">
        <v>313</v>
      </c>
      <c r="R405" s="115" t="s">
        <v>34</v>
      </c>
      <c r="S405" s="122">
        <v>1</v>
      </c>
    </row>
    <row r="406" spans="10:19" x14ac:dyDescent="0.25">
      <c r="J406" s="125" t="s">
        <v>916</v>
      </c>
      <c r="K406" s="115" t="s">
        <v>917</v>
      </c>
      <c r="L406" s="121" t="s">
        <v>200</v>
      </c>
      <c r="M406" s="116">
        <v>45334</v>
      </c>
      <c r="N406" s="115">
        <v>28</v>
      </c>
      <c r="O406" s="115" t="s">
        <v>149</v>
      </c>
      <c r="P406" s="115" t="s">
        <v>235</v>
      </c>
      <c r="Q406" s="115" t="s">
        <v>313</v>
      </c>
      <c r="R406" s="115" t="s">
        <v>34</v>
      </c>
      <c r="S406" s="122">
        <v>1</v>
      </c>
    </row>
    <row r="407" spans="10:19" x14ac:dyDescent="0.25">
      <c r="J407" s="125" t="s">
        <v>918</v>
      </c>
      <c r="K407" s="115" t="s">
        <v>919</v>
      </c>
      <c r="L407" s="121" t="s">
        <v>200</v>
      </c>
      <c r="M407" s="116">
        <v>45334</v>
      </c>
      <c r="N407" s="115">
        <v>32</v>
      </c>
      <c r="O407" s="115" t="s">
        <v>150</v>
      </c>
      <c r="P407" s="115" t="s">
        <v>235</v>
      </c>
      <c r="Q407" s="115" t="s">
        <v>313</v>
      </c>
      <c r="R407" s="115" t="s">
        <v>34</v>
      </c>
      <c r="S407" s="122">
        <v>1</v>
      </c>
    </row>
    <row r="408" spans="10:19" x14ac:dyDescent="0.25">
      <c r="J408" s="125" t="s">
        <v>920</v>
      </c>
      <c r="K408" s="115" t="s">
        <v>921</v>
      </c>
      <c r="L408" s="121" t="s">
        <v>200</v>
      </c>
      <c r="M408" s="116">
        <v>45336</v>
      </c>
      <c r="N408" s="115">
        <v>63</v>
      </c>
      <c r="O408" s="115" t="s">
        <v>153</v>
      </c>
      <c r="P408" s="115" t="s">
        <v>235</v>
      </c>
      <c r="Q408" s="115" t="s">
        <v>313</v>
      </c>
      <c r="R408" s="115" t="s">
        <v>34</v>
      </c>
      <c r="S408" s="122">
        <v>1</v>
      </c>
    </row>
    <row r="409" spans="10:19" x14ac:dyDescent="0.25">
      <c r="J409" s="125">
        <v>25760822</v>
      </c>
      <c r="K409" s="115" t="s">
        <v>922</v>
      </c>
      <c r="L409" s="121" t="s">
        <v>200</v>
      </c>
      <c r="M409" s="116">
        <v>45364</v>
      </c>
      <c r="N409" s="115">
        <v>51</v>
      </c>
      <c r="O409" s="115" t="s">
        <v>152</v>
      </c>
      <c r="P409" s="115" t="s">
        <v>235</v>
      </c>
      <c r="Q409" s="115" t="s">
        <v>313</v>
      </c>
      <c r="R409" s="115" t="s">
        <v>34</v>
      </c>
      <c r="S409" s="122">
        <v>1</v>
      </c>
    </row>
    <row r="410" spans="10:19" x14ac:dyDescent="0.25">
      <c r="J410" s="125" t="s">
        <v>923</v>
      </c>
      <c r="K410" s="115" t="s">
        <v>924</v>
      </c>
      <c r="L410" s="121" t="s">
        <v>200</v>
      </c>
      <c r="M410" s="116">
        <v>45357</v>
      </c>
      <c r="N410" s="115">
        <v>26</v>
      </c>
      <c r="O410" s="115" t="s">
        <v>149</v>
      </c>
      <c r="P410" s="115" t="s">
        <v>235</v>
      </c>
      <c r="Q410" s="115" t="s">
        <v>313</v>
      </c>
      <c r="R410" s="115" t="s">
        <v>34</v>
      </c>
      <c r="S410" s="122">
        <v>1</v>
      </c>
    </row>
    <row r="411" spans="10:19" x14ac:dyDescent="0.25">
      <c r="J411" s="125" t="s">
        <v>925</v>
      </c>
      <c r="K411" s="115" t="s">
        <v>926</v>
      </c>
      <c r="L411" s="121" t="s">
        <v>200</v>
      </c>
      <c r="M411" s="116">
        <v>45364</v>
      </c>
      <c r="N411" s="115">
        <v>29</v>
      </c>
      <c r="O411" s="115" t="s">
        <v>149</v>
      </c>
      <c r="P411" s="115" t="s">
        <v>235</v>
      </c>
      <c r="Q411" s="115" t="s">
        <v>313</v>
      </c>
      <c r="R411" s="115" t="s">
        <v>34</v>
      </c>
      <c r="S411" s="122">
        <v>1</v>
      </c>
    </row>
    <row r="412" spans="10:19" x14ac:dyDescent="0.25">
      <c r="J412" s="125" t="s">
        <v>929</v>
      </c>
      <c r="K412" s="115" t="s">
        <v>930</v>
      </c>
      <c r="L412" s="121" t="s">
        <v>200</v>
      </c>
      <c r="M412" s="116">
        <v>45278</v>
      </c>
      <c r="N412" s="115">
        <v>50</v>
      </c>
      <c r="O412" s="115" t="s">
        <v>152</v>
      </c>
      <c r="P412" s="115" t="s">
        <v>235</v>
      </c>
      <c r="Q412" s="115" t="s">
        <v>313</v>
      </c>
      <c r="R412" s="115" t="s">
        <v>34</v>
      </c>
      <c r="S412" s="122">
        <v>1</v>
      </c>
    </row>
    <row r="413" spans="10:19" x14ac:dyDescent="0.25">
      <c r="J413" s="125" t="s">
        <v>932</v>
      </c>
      <c r="K413" s="115" t="s">
        <v>933</v>
      </c>
      <c r="L413" s="121" t="s">
        <v>200</v>
      </c>
      <c r="M413" s="116">
        <v>45265</v>
      </c>
      <c r="N413" s="115">
        <v>33</v>
      </c>
      <c r="O413" s="115" t="s">
        <v>150</v>
      </c>
      <c r="P413" s="115" t="s">
        <v>235</v>
      </c>
      <c r="Q413" s="115" t="s">
        <v>313</v>
      </c>
      <c r="R413" s="115" t="s">
        <v>34</v>
      </c>
      <c r="S413" s="122">
        <v>1</v>
      </c>
    </row>
    <row r="414" spans="10:19" x14ac:dyDescent="0.25">
      <c r="J414" s="125" t="s">
        <v>940</v>
      </c>
      <c r="K414" s="115" t="s">
        <v>941</v>
      </c>
      <c r="L414" s="121" t="s">
        <v>200</v>
      </c>
      <c r="M414" s="116">
        <v>45278</v>
      </c>
      <c r="N414" s="115">
        <v>38</v>
      </c>
      <c r="O414" s="115" t="s">
        <v>150</v>
      </c>
      <c r="P414" s="115" t="s">
        <v>235</v>
      </c>
      <c r="Q414" s="115" t="s">
        <v>313</v>
      </c>
      <c r="R414" s="115" t="s">
        <v>34</v>
      </c>
      <c r="S414" s="122">
        <v>1</v>
      </c>
    </row>
    <row r="415" spans="10:19" x14ac:dyDescent="0.25">
      <c r="J415" s="125" t="s">
        <v>943</v>
      </c>
      <c r="K415" s="115" t="s">
        <v>944</v>
      </c>
      <c r="L415" s="121" t="s">
        <v>200</v>
      </c>
      <c r="M415" s="116">
        <v>45348</v>
      </c>
      <c r="N415" s="115">
        <v>50</v>
      </c>
      <c r="O415" s="115" t="s">
        <v>152</v>
      </c>
      <c r="P415" s="115" t="s">
        <v>235</v>
      </c>
      <c r="Q415" s="115" t="s">
        <v>313</v>
      </c>
      <c r="R415" s="115" t="s">
        <v>34</v>
      </c>
      <c r="S415" s="122">
        <v>1</v>
      </c>
    </row>
    <row r="416" spans="10:19" x14ac:dyDescent="0.25">
      <c r="J416" s="125" t="s">
        <v>945</v>
      </c>
      <c r="K416" s="115" t="s">
        <v>946</v>
      </c>
      <c r="L416" s="121" t="s">
        <v>200</v>
      </c>
      <c r="M416" s="116">
        <v>45348</v>
      </c>
      <c r="N416" s="115">
        <v>26</v>
      </c>
      <c r="O416" s="115" t="s">
        <v>149</v>
      </c>
      <c r="P416" s="115" t="s">
        <v>235</v>
      </c>
      <c r="Q416" s="115" t="s">
        <v>313</v>
      </c>
      <c r="R416" s="115" t="s">
        <v>34</v>
      </c>
      <c r="S416" s="122">
        <v>1</v>
      </c>
    </row>
    <row r="417" spans="10:19" x14ac:dyDescent="0.25">
      <c r="J417" s="125" t="s">
        <v>947</v>
      </c>
      <c r="K417" s="115" t="s">
        <v>948</v>
      </c>
      <c r="L417" s="121" t="s">
        <v>201</v>
      </c>
      <c r="M417" s="116">
        <v>45348</v>
      </c>
      <c r="N417" s="115">
        <v>34</v>
      </c>
      <c r="O417" s="115" t="s">
        <v>150</v>
      </c>
      <c r="P417" s="115" t="s">
        <v>235</v>
      </c>
      <c r="Q417" s="115" t="s">
        <v>313</v>
      </c>
      <c r="R417" s="115" t="s">
        <v>36</v>
      </c>
      <c r="S417" s="122">
        <v>1</v>
      </c>
    </row>
    <row r="418" spans="10:19" x14ac:dyDescent="0.25">
      <c r="J418" s="125" t="s">
        <v>961</v>
      </c>
      <c r="K418" s="115" t="s">
        <v>962</v>
      </c>
      <c r="L418" s="121" t="s">
        <v>200</v>
      </c>
      <c r="M418" s="116">
        <v>45308</v>
      </c>
      <c r="N418" s="115">
        <v>21</v>
      </c>
      <c r="O418" s="115" t="s">
        <v>148</v>
      </c>
      <c r="P418" s="115" t="s">
        <v>235</v>
      </c>
      <c r="Q418" s="115" t="s">
        <v>313</v>
      </c>
      <c r="R418" s="115" t="s">
        <v>68</v>
      </c>
      <c r="S418" s="122">
        <v>1</v>
      </c>
    </row>
    <row r="419" spans="10:19" x14ac:dyDescent="0.25">
      <c r="J419" s="125" t="s">
        <v>973</v>
      </c>
      <c r="K419" s="115" t="s">
        <v>974</v>
      </c>
      <c r="L419" s="121" t="s">
        <v>200</v>
      </c>
      <c r="M419" s="116">
        <v>45127</v>
      </c>
      <c r="N419" s="115">
        <v>38</v>
      </c>
      <c r="O419" s="115" t="s">
        <v>150</v>
      </c>
      <c r="P419" s="115" t="s">
        <v>162</v>
      </c>
      <c r="Q419" s="115" t="s">
        <v>313</v>
      </c>
      <c r="R419" s="115" t="s">
        <v>34</v>
      </c>
      <c r="S419" s="122">
        <v>1</v>
      </c>
    </row>
    <row r="420" spans="10:19" x14ac:dyDescent="0.25">
      <c r="J420" s="125">
        <v>44646042</v>
      </c>
      <c r="K420" s="115" t="s">
        <v>982</v>
      </c>
      <c r="L420" s="121" t="s">
        <v>200</v>
      </c>
      <c r="M420" s="116">
        <v>45372</v>
      </c>
      <c r="N420" s="115">
        <v>40</v>
      </c>
      <c r="O420" s="115" t="s">
        <v>150</v>
      </c>
      <c r="P420" s="115" t="s">
        <v>162</v>
      </c>
      <c r="Q420" s="115" t="s">
        <v>313</v>
      </c>
      <c r="R420" s="115" t="s">
        <v>72</v>
      </c>
      <c r="S420" s="122">
        <v>1</v>
      </c>
    </row>
    <row r="421" spans="10:19" x14ac:dyDescent="0.25">
      <c r="J421" s="125" t="s">
        <v>984</v>
      </c>
      <c r="K421" s="115" t="s">
        <v>985</v>
      </c>
      <c r="L421" s="121" t="s">
        <v>200</v>
      </c>
      <c r="M421" s="116">
        <v>45118</v>
      </c>
      <c r="N421" s="115">
        <v>39</v>
      </c>
      <c r="O421" s="115" t="s">
        <v>150</v>
      </c>
      <c r="P421" s="115" t="s">
        <v>162</v>
      </c>
      <c r="Q421" s="115" t="s">
        <v>313</v>
      </c>
      <c r="R421" s="115" t="s">
        <v>34</v>
      </c>
      <c r="S421" s="122">
        <v>1</v>
      </c>
    </row>
    <row r="422" spans="10:19" x14ac:dyDescent="0.25">
      <c r="J422" s="125">
        <v>47313870</v>
      </c>
      <c r="K422" s="115" t="s">
        <v>992</v>
      </c>
      <c r="L422" s="121" t="s">
        <v>200</v>
      </c>
      <c r="M422" s="116">
        <v>45372</v>
      </c>
      <c r="N422" s="115">
        <v>33</v>
      </c>
      <c r="O422" s="115" t="s">
        <v>150</v>
      </c>
      <c r="P422" s="115" t="s">
        <v>162</v>
      </c>
      <c r="Q422" s="115" t="s">
        <v>313</v>
      </c>
      <c r="R422" s="115" t="s">
        <v>34</v>
      </c>
      <c r="S422" s="122">
        <v>1</v>
      </c>
    </row>
    <row r="423" spans="10:19" x14ac:dyDescent="0.25">
      <c r="J423" s="125" t="s">
        <v>975</v>
      </c>
      <c r="K423" s="115" t="s">
        <v>976</v>
      </c>
      <c r="L423" s="121" t="s">
        <v>200</v>
      </c>
      <c r="M423" s="116">
        <v>45070</v>
      </c>
      <c r="N423" s="115">
        <v>43</v>
      </c>
      <c r="O423" s="115" t="s">
        <v>151</v>
      </c>
      <c r="P423" s="115" t="s">
        <v>162</v>
      </c>
      <c r="Q423" s="115" t="s">
        <v>313</v>
      </c>
      <c r="R423" s="115" t="s">
        <v>34</v>
      </c>
      <c r="S423" s="122">
        <v>1</v>
      </c>
    </row>
    <row r="424" spans="10:19" x14ac:dyDescent="0.25">
      <c r="J424" s="125">
        <v>43384177</v>
      </c>
      <c r="K424" s="115" t="s">
        <v>991</v>
      </c>
      <c r="L424" s="121" t="s">
        <v>200</v>
      </c>
      <c r="M424" s="116">
        <v>45372</v>
      </c>
      <c r="N424" s="115">
        <v>43</v>
      </c>
      <c r="O424" s="115" t="s">
        <v>151</v>
      </c>
      <c r="P424" s="115" t="s">
        <v>162</v>
      </c>
      <c r="Q424" s="115" t="s">
        <v>313</v>
      </c>
      <c r="R424" s="115" t="s">
        <v>34</v>
      </c>
      <c r="S424" s="122">
        <v>1</v>
      </c>
    </row>
    <row r="425" spans="10:19" x14ac:dyDescent="0.25">
      <c r="J425" s="125" t="s">
        <v>997</v>
      </c>
      <c r="K425" s="115" t="s">
        <v>998</v>
      </c>
      <c r="L425" s="121" t="s">
        <v>200</v>
      </c>
      <c r="M425" s="116">
        <v>44607</v>
      </c>
      <c r="N425" s="115">
        <v>53</v>
      </c>
      <c r="O425" s="115" t="s">
        <v>152</v>
      </c>
      <c r="P425" s="115" t="s">
        <v>162</v>
      </c>
      <c r="Q425" s="115" t="s">
        <v>313</v>
      </c>
      <c r="R425" s="115" t="s">
        <v>34</v>
      </c>
      <c r="S425" s="122">
        <v>1</v>
      </c>
    </row>
    <row r="426" spans="10:19" x14ac:dyDescent="0.25">
      <c r="J426" s="125">
        <v>25716006</v>
      </c>
      <c r="K426" s="115" t="s">
        <v>1001</v>
      </c>
      <c r="L426" s="121" t="s">
        <v>200</v>
      </c>
      <c r="M426" s="116">
        <v>45384</v>
      </c>
      <c r="N426" s="115">
        <v>54</v>
      </c>
      <c r="O426" s="115" t="s">
        <v>152</v>
      </c>
      <c r="P426" s="115" t="s">
        <v>235</v>
      </c>
      <c r="Q426" s="115" t="s">
        <v>313</v>
      </c>
      <c r="R426" s="115" t="s">
        <v>34</v>
      </c>
      <c r="S426" s="122">
        <v>1</v>
      </c>
    </row>
    <row r="427" spans="10:19" x14ac:dyDescent="0.25">
      <c r="J427" s="125">
        <v>42280389</v>
      </c>
      <c r="K427" s="115" t="s">
        <v>1006</v>
      </c>
      <c r="L427" s="121" t="s">
        <v>200</v>
      </c>
      <c r="M427" s="116">
        <v>45387</v>
      </c>
      <c r="N427" s="115">
        <v>40</v>
      </c>
      <c r="O427" s="115" t="s">
        <v>150</v>
      </c>
      <c r="P427" s="116">
        <v>45544</v>
      </c>
      <c r="Q427" s="115" t="s">
        <v>313</v>
      </c>
      <c r="R427" s="115" t="s">
        <v>34</v>
      </c>
      <c r="S427" s="122">
        <v>1</v>
      </c>
    </row>
    <row r="428" spans="10:19" x14ac:dyDescent="0.25">
      <c r="J428" s="125">
        <v>73808872</v>
      </c>
      <c r="K428" s="115" t="s">
        <v>1015</v>
      </c>
      <c r="L428" s="121" t="s">
        <v>200</v>
      </c>
      <c r="M428" s="116">
        <v>45399</v>
      </c>
      <c r="N428" s="115">
        <v>25</v>
      </c>
      <c r="O428" s="115" t="s">
        <v>149</v>
      </c>
      <c r="P428" s="115" t="s">
        <v>235</v>
      </c>
      <c r="Q428" s="115" t="s">
        <v>313</v>
      </c>
      <c r="R428" s="115" t="s">
        <v>36</v>
      </c>
      <c r="S428" s="122">
        <v>1</v>
      </c>
    </row>
    <row r="429" spans="10:19" x14ac:dyDescent="0.25">
      <c r="J429" s="125">
        <v>25791003</v>
      </c>
      <c r="K429" s="115" t="s">
        <v>1016</v>
      </c>
      <c r="L429" s="121" t="s">
        <v>200</v>
      </c>
      <c r="M429" s="116">
        <v>45399</v>
      </c>
      <c r="N429" s="115">
        <v>48</v>
      </c>
      <c r="O429" s="115" t="s">
        <v>151</v>
      </c>
      <c r="P429" s="115" t="s">
        <v>235</v>
      </c>
      <c r="Q429" s="115" t="s">
        <v>313</v>
      </c>
      <c r="R429" s="115" t="s">
        <v>34</v>
      </c>
      <c r="S429" s="122">
        <v>1</v>
      </c>
    </row>
    <row r="430" spans="10:19" x14ac:dyDescent="0.25">
      <c r="J430" s="125" t="s">
        <v>1019</v>
      </c>
      <c r="K430" s="115" t="s">
        <v>1020</v>
      </c>
      <c r="L430" s="121" t="s">
        <v>200</v>
      </c>
      <c r="M430" s="116">
        <v>45426</v>
      </c>
      <c r="N430" s="115">
        <v>50</v>
      </c>
      <c r="O430" s="115" t="s">
        <v>152</v>
      </c>
      <c r="P430" s="115" t="s">
        <v>235</v>
      </c>
      <c r="Q430" s="115" t="s">
        <v>313</v>
      </c>
      <c r="R430" s="115" t="s">
        <v>34</v>
      </c>
      <c r="S430" s="122">
        <v>1</v>
      </c>
    </row>
    <row r="431" spans="10:19" x14ac:dyDescent="0.25">
      <c r="J431" s="125" t="s">
        <v>1021</v>
      </c>
      <c r="K431" s="115" t="s">
        <v>1022</v>
      </c>
      <c r="L431" s="121" t="s">
        <v>200</v>
      </c>
      <c r="M431" s="116">
        <v>45425</v>
      </c>
      <c r="N431" s="115">
        <v>41</v>
      </c>
      <c r="O431" s="115" t="s">
        <v>151</v>
      </c>
      <c r="P431" s="115" t="s">
        <v>235</v>
      </c>
      <c r="Q431" s="115" t="s">
        <v>313</v>
      </c>
      <c r="R431" s="115" t="s">
        <v>34</v>
      </c>
      <c r="S431" s="122">
        <v>1</v>
      </c>
    </row>
    <row r="432" spans="10:19" x14ac:dyDescent="0.25">
      <c r="J432" s="125">
        <v>74994207</v>
      </c>
      <c r="K432" s="115" t="s">
        <v>856</v>
      </c>
      <c r="L432" s="121" t="s">
        <v>200</v>
      </c>
      <c r="M432" s="116">
        <v>45545</v>
      </c>
      <c r="N432" s="115">
        <v>26</v>
      </c>
      <c r="O432" s="115" t="s">
        <v>149</v>
      </c>
      <c r="P432" s="115" t="s">
        <v>235</v>
      </c>
      <c r="Q432" s="115" t="s">
        <v>313</v>
      </c>
      <c r="R432" s="115" t="s">
        <v>72</v>
      </c>
      <c r="S432" s="122">
        <v>1</v>
      </c>
    </row>
    <row r="433" spans="10:19" x14ac:dyDescent="0.25">
      <c r="J433" s="125" t="s">
        <v>1034</v>
      </c>
      <c r="K433" s="115" t="s">
        <v>1035</v>
      </c>
      <c r="L433" s="121" t="s">
        <v>201</v>
      </c>
      <c r="M433" s="116">
        <v>45394</v>
      </c>
      <c r="N433" s="115">
        <v>22</v>
      </c>
      <c r="O433" s="115" t="s">
        <v>148</v>
      </c>
      <c r="P433" s="115" t="s">
        <v>235</v>
      </c>
      <c r="Q433" s="115" t="s">
        <v>313</v>
      </c>
      <c r="R433" s="115" t="s">
        <v>34</v>
      </c>
      <c r="S433" s="122">
        <v>1</v>
      </c>
    </row>
    <row r="434" spans="10:19" x14ac:dyDescent="0.25">
      <c r="J434" s="125" t="s">
        <v>1036</v>
      </c>
      <c r="K434" s="115" t="s">
        <v>1037</v>
      </c>
      <c r="L434" s="121" t="s">
        <v>201</v>
      </c>
      <c r="M434" s="116">
        <v>45404</v>
      </c>
      <c r="N434" s="115">
        <v>51</v>
      </c>
      <c r="O434" s="115" t="s">
        <v>152</v>
      </c>
      <c r="P434" s="115" t="s">
        <v>235</v>
      </c>
      <c r="Q434" s="115" t="s">
        <v>313</v>
      </c>
      <c r="R434" s="115" t="s">
        <v>34</v>
      </c>
      <c r="S434" s="122">
        <v>1</v>
      </c>
    </row>
    <row r="435" spans="10:19" x14ac:dyDescent="0.25">
      <c r="J435" s="125">
        <v>40974387</v>
      </c>
      <c r="K435" s="115" t="s">
        <v>1040</v>
      </c>
      <c r="L435" s="121" t="s">
        <v>200</v>
      </c>
      <c r="M435" s="116">
        <v>45383</v>
      </c>
      <c r="N435" s="115">
        <v>43</v>
      </c>
      <c r="O435" s="115" t="s">
        <v>151</v>
      </c>
      <c r="P435" s="115" t="s">
        <v>235</v>
      </c>
      <c r="Q435" s="115" t="s">
        <v>313</v>
      </c>
      <c r="R435" s="115" t="s">
        <v>34</v>
      </c>
      <c r="S435" s="122">
        <v>1</v>
      </c>
    </row>
    <row r="436" spans="10:19" x14ac:dyDescent="0.25">
      <c r="J436" s="125" t="s">
        <v>1041</v>
      </c>
      <c r="K436" s="115" t="s">
        <v>1042</v>
      </c>
      <c r="L436" s="121" t="s">
        <v>200</v>
      </c>
      <c r="M436" s="116">
        <v>45385</v>
      </c>
      <c r="N436" s="115">
        <v>48</v>
      </c>
      <c r="O436" s="115" t="s">
        <v>151</v>
      </c>
      <c r="P436" s="115" t="s">
        <v>235</v>
      </c>
      <c r="Q436" s="115" t="s">
        <v>313</v>
      </c>
      <c r="R436" s="115" t="s">
        <v>35</v>
      </c>
      <c r="S436" s="122">
        <v>1</v>
      </c>
    </row>
    <row r="437" spans="10:19" x14ac:dyDescent="0.25">
      <c r="J437" s="125" t="s">
        <v>1044</v>
      </c>
      <c r="K437" s="115" t="s">
        <v>1045</v>
      </c>
      <c r="L437" s="121" t="s">
        <v>200</v>
      </c>
      <c r="M437" s="116">
        <v>45407</v>
      </c>
      <c r="N437" s="115">
        <v>47</v>
      </c>
      <c r="O437" s="115" t="s">
        <v>151</v>
      </c>
      <c r="P437" s="115" t="s">
        <v>235</v>
      </c>
      <c r="Q437" s="115" t="s">
        <v>313</v>
      </c>
      <c r="R437" s="115" t="s">
        <v>68</v>
      </c>
      <c r="S437" s="122">
        <v>1</v>
      </c>
    </row>
    <row r="438" spans="10:19" x14ac:dyDescent="0.25">
      <c r="J438" s="125" t="s">
        <v>1052</v>
      </c>
      <c r="K438" s="115" t="s">
        <v>1053</v>
      </c>
      <c r="L438" s="121" t="s">
        <v>200</v>
      </c>
      <c r="M438" s="116">
        <v>45411</v>
      </c>
      <c r="N438" s="115">
        <v>36</v>
      </c>
      <c r="O438" s="115" t="s">
        <v>150</v>
      </c>
      <c r="P438" s="115" t="s">
        <v>235</v>
      </c>
      <c r="Q438" s="115" t="s">
        <v>313</v>
      </c>
      <c r="R438" s="115" t="s">
        <v>34</v>
      </c>
      <c r="S438" s="122">
        <v>1</v>
      </c>
    </row>
    <row r="439" spans="10:19" x14ac:dyDescent="0.25">
      <c r="J439" s="125" t="s">
        <v>1055</v>
      </c>
      <c r="K439" s="115" t="s">
        <v>1056</v>
      </c>
      <c r="L439" s="121" t="s">
        <v>200</v>
      </c>
      <c r="M439" s="116">
        <v>45411</v>
      </c>
      <c r="N439" s="115">
        <v>44</v>
      </c>
      <c r="O439" s="115" t="s">
        <v>151</v>
      </c>
      <c r="P439" s="115" t="s">
        <v>235</v>
      </c>
      <c r="Q439" s="115" t="s">
        <v>313</v>
      </c>
      <c r="R439" s="115" t="s">
        <v>68</v>
      </c>
      <c r="S439" s="122">
        <v>1</v>
      </c>
    </row>
    <row r="440" spans="10:19" x14ac:dyDescent="0.25">
      <c r="J440" s="125" t="s">
        <v>1057</v>
      </c>
      <c r="K440" s="115" t="s">
        <v>1058</v>
      </c>
      <c r="L440" s="121" t="s">
        <v>200</v>
      </c>
      <c r="M440" s="116">
        <v>45411</v>
      </c>
      <c r="N440" s="115">
        <v>30</v>
      </c>
      <c r="O440" s="115" t="s">
        <v>149</v>
      </c>
      <c r="P440" s="115" t="s">
        <v>235</v>
      </c>
      <c r="Q440" s="115" t="s">
        <v>313</v>
      </c>
      <c r="R440" s="115" t="s">
        <v>68</v>
      </c>
      <c r="S440" s="122">
        <v>1</v>
      </c>
    </row>
    <row r="441" spans="10:19" x14ac:dyDescent="0.25">
      <c r="J441" s="125" t="s">
        <v>1059</v>
      </c>
      <c r="K441" s="115" t="s">
        <v>1060</v>
      </c>
      <c r="L441" s="121" t="s">
        <v>200</v>
      </c>
      <c r="M441" s="116">
        <v>45411</v>
      </c>
      <c r="N441" s="115">
        <v>28</v>
      </c>
      <c r="O441" s="115" t="s">
        <v>149</v>
      </c>
      <c r="P441" s="115" t="s">
        <v>235</v>
      </c>
      <c r="Q441" s="115" t="s">
        <v>313</v>
      </c>
      <c r="R441" s="115" t="s">
        <v>68</v>
      </c>
      <c r="S441" s="122">
        <v>1</v>
      </c>
    </row>
    <row r="442" spans="10:19" x14ac:dyDescent="0.25">
      <c r="J442" s="125" t="s">
        <v>1061</v>
      </c>
      <c r="K442" s="115" t="s">
        <v>1062</v>
      </c>
      <c r="L442" s="121" t="s">
        <v>200</v>
      </c>
      <c r="M442" s="116">
        <v>45505</v>
      </c>
      <c r="N442" s="115">
        <v>43</v>
      </c>
      <c r="O442" s="115" t="s">
        <v>151</v>
      </c>
      <c r="P442" s="115" t="s">
        <v>235</v>
      </c>
      <c r="Q442" s="115" t="s">
        <v>313</v>
      </c>
      <c r="R442" s="115" t="s">
        <v>34</v>
      </c>
      <c r="S442" s="122">
        <v>1</v>
      </c>
    </row>
    <row r="443" spans="10:19" x14ac:dyDescent="0.25">
      <c r="J443" s="125" t="s">
        <v>1063</v>
      </c>
      <c r="K443" s="115" t="s">
        <v>1064</v>
      </c>
      <c r="L443" s="121" t="s">
        <v>200</v>
      </c>
      <c r="M443" s="116">
        <v>45397</v>
      </c>
      <c r="N443" s="115">
        <v>44</v>
      </c>
      <c r="O443" s="115" t="s">
        <v>151</v>
      </c>
      <c r="P443" s="115" t="s">
        <v>235</v>
      </c>
      <c r="Q443" s="115" t="s">
        <v>313</v>
      </c>
      <c r="R443" s="115" t="s">
        <v>35</v>
      </c>
      <c r="S443" s="122">
        <v>1</v>
      </c>
    </row>
    <row r="444" spans="10:19" x14ac:dyDescent="0.25">
      <c r="J444" s="125" t="s">
        <v>1066</v>
      </c>
      <c r="K444" s="115" t="s">
        <v>1067</v>
      </c>
      <c r="L444" s="121" t="s">
        <v>200</v>
      </c>
      <c r="M444" s="116">
        <v>45377</v>
      </c>
      <c r="N444" s="115">
        <v>31</v>
      </c>
      <c r="O444" s="115" t="s">
        <v>149</v>
      </c>
      <c r="P444" s="115" t="s">
        <v>235</v>
      </c>
      <c r="Q444" s="115" t="s">
        <v>313</v>
      </c>
      <c r="R444" s="115" t="s">
        <v>68</v>
      </c>
      <c r="S444" s="122">
        <v>1</v>
      </c>
    </row>
    <row r="445" spans="10:19" x14ac:dyDescent="0.25">
      <c r="J445" s="125" t="s">
        <v>1068</v>
      </c>
      <c r="K445" s="115" t="s">
        <v>1069</v>
      </c>
      <c r="L445" s="121" t="s">
        <v>200</v>
      </c>
      <c r="M445" s="116">
        <v>45377</v>
      </c>
      <c r="N445" s="115">
        <v>25</v>
      </c>
      <c r="O445" s="115" t="s">
        <v>149</v>
      </c>
      <c r="P445" s="115" t="s">
        <v>235</v>
      </c>
      <c r="Q445" s="115" t="s">
        <v>313</v>
      </c>
      <c r="R445" s="115" t="s">
        <v>36</v>
      </c>
      <c r="S445" s="122">
        <v>1</v>
      </c>
    </row>
    <row r="446" spans="10:19" x14ac:dyDescent="0.25">
      <c r="J446" s="125" t="s">
        <v>1070</v>
      </c>
      <c r="K446" s="115" t="s">
        <v>1071</v>
      </c>
      <c r="L446" s="121" t="s">
        <v>200</v>
      </c>
      <c r="M446" s="116">
        <v>45392</v>
      </c>
      <c r="N446" s="115">
        <v>27</v>
      </c>
      <c r="O446" s="115" t="s">
        <v>149</v>
      </c>
      <c r="P446" s="115" t="s">
        <v>235</v>
      </c>
      <c r="Q446" s="115" t="s">
        <v>313</v>
      </c>
      <c r="R446" s="115" t="s">
        <v>34</v>
      </c>
      <c r="S446" s="122">
        <v>1</v>
      </c>
    </row>
    <row r="447" spans="10:19" x14ac:dyDescent="0.25">
      <c r="J447" s="125" t="s">
        <v>1072</v>
      </c>
      <c r="K447" s="115" t="s">
        <v>1073</v>
      </c>
      <c r="L447" s="121" t="s">
        <v>200</v>
      </c>
      <c r="M447" s="116">
        <v>45407</v>
      </c>
      <c r="N447" s="115">
        <v>28</v>
      </c>
      <c r="O447" s="115" t="s">
        <v>149</v>
      </c>
      <c r="P447" s="115" t="s">
        <v>235</v>
      </c>
      <c r="Q447" s="115" t="s">
        <v>313</v>
      </c>
      <c r="R447" s="115" t="s">
        <v>68</v>
      </c>
      <c r="S447" s="122">
        <v>1</v>
      </c>
    </row>
    <row r="448" spans="10:19" x14ac:dyDescent="0.25">
      <c r="J448" s="125" t="s">
        <v>1074</v>
      </c>
      <c r="K448" s="115" t="s">
        <v>1075</v>
      </c>
      <c r="L448" s="121" t="s">
        <v>200</v>
      </c>
      <c r="M448" s="116">
        <v>45407</v>
      </c>
      <c r="N448" s="115">
        <v>42</v>
      </c>
      <c r="O448" s="115" t="s">
        <v>151</v>
      </c>
      <c r="P448" s="115" t="s">
        <v>235</v>
      </c>
      <c r="Q448" s="115" t="s">
        <v>313</v>
      </c>
      <c r="R448" s="115" t="s">
        <v>34</v>
      </c>
      <c r="S448" s="122">
        <v>1</v>
      </c>
    </row>
    <row r="449" spans="10:19" x14ac:dyDescent="0.25">
      <c r="J449" s="125" t="s">
        <v>1076</v>
      </c>
      <c r="K449" s="115" t="s">
        <v>1077</v>
      </c>
      <c r="L449" s="121" t="s">
        <v>200</v>
      </c>
      <c r="M449" s="116">
        <v>45408</v>
      </c>
      <c r="N449" s="115">
        <v>33</v>
      </c>
      <c r="O449" s="115" t="s">
        <v>150</v>
      </c>
      <c r="P449" s="115" t="s">
        <v>235</v>
      </c>
      <c r="Q449" s="115" t="s">
        <v>313</v>
      </c>
      <c r="R449" s="115" t="s">
        <v>35</v>
      </c>
      <c r="S449" s="122">
        <v>1</v>
      </c>
    </row>
    <row r="450" spans="10:19" x14ac:dyDescent="0.25">
      <c r="J450" s="125" t="s">
        <v>1078</v>
      </c>
      <c r="K450" s="115" t="s">
        <v>1664</v>
      </c>
      <c r="L450" s="121" t="s">
        <v>200</v>
      </c>
      <c r="M450" s="116">
        <v>44763</v>
      </c>
      <c r="N450" s="115">
        <v>46</v>
      </c>
      <c r="O450" s="115" t="s">
        <v>151</v>
      </c>
      <c r="P450" s="115" t="s">
        <v>235</v>
      </c>
      <c r="Q450" s="115" t="s">
        <v>313</v>
      </c>
      <c r="R450" s="115" t="s">
        <v>36</v>
      </c>
      <c r="S450" s="122">
        <v>1</v>
      </c>
    </row>
    <row r="451" spans="10:19" x14ac:dyDescent="0.25">
      <c r="J451" s="126"/>
      <c r="K451" s="115" t="s">
        <v>1079</v>
      </c>
      <c r="L451" s="121" t="s">
        <v>200</v>
      </c>
      <c r="M451" s="116">
        <v>45512</v>
      </c>
      <c r="N451" s="115">
        <v>46</v>
      </c>
      <c r="O451" s="115" t="s">
        <v>151</v>
      </c>
      <c r="P451" s="115" t="s">
        <v>235</v>
      </c>
      <c r="Q451" s="115" t="s">
        <v>313</v>
      </c>
      <c r="R451" s="115" t="s">
        <v>36</v>
      </c>
      <c r="S451" s="122">
        <v>1</v>
      </c>
    </row>
    <row r="452" spans="10:19" x14ac:dyDescent="0.25">
      <c r="J452" s="125" t="s">
        <v>1080</v>
      </c>
      <c r="K452" s="115" t="s">
        <v>1081</v>
      </c>
      <c r="L452" s="121" t="s">
        <v>200</v>
      </c>
      <c r="M452" s="116">
        <v>45412</v>
      </c>
      <c r="N452" s="115">
        <v>34</v>
      </c>
      <c r="O452" s="115" t="s">
        <v>150</v>
      </c>
      <c r="P452" s="116">
        <v>45540</v>
      </c>
      <c r="Q452" s="115" t="s">
        <v>313</v>
      </c>
      <c r="R452" s="115" t="s">
        <v>34</v>
      </c>
      <c r="S452" s="122">
        <v>1</v>
      </c>
    </row>
    <row r="453" spans="10:19" x14ac:dyDescent="0.25">
      <c r="J453" s="125" t="s">
        <v>1082</v>
      </c>
      <c r="K453" s="115" t="s">
        <v>1083</v>
      </c>
      <c r="L453" s="121" t="s">
        <v>200</v>
      </c>
      <c r="M453" s="116">
        <v>45412</v>
      </c>
      <c r="N453" s="115">
        <v>26</v>
      </c>
      <c r="O453" s="115" t="s">
        <v>149</v>
      </c>
      <c r="P453" s="115" t="s">
        <v>235</v>
      </c>
      <c r="Q453" s="115" t="s">
        <v>313</v>
      </c>
      <c r="R453" s="115" t="s">
        <v>34</v>
      </c>
      <c r="S453" s="122">
        <v>1</v>
      </c>
    </row>
    <row r="454" spans="10:19" x14ac:dyDescent="0.25">
      <c r="J454" s="125" t="s">
        <v>1084</v>
      </c>
      <c r="K454" s="115" t="s">
        <v>1085</v>
      </c>
      <c r="L454" s="121" t="s">
        <v>200</v>
      </c>
      <c r="M454" s="116">
        <v>45393</v>
      </c>
      <c r="N454" s="115">
        <v>20</v>
      </c>
      <c r="O454" s="115" t="s">
        <v>148</v>
      </c>
      <c r="P454" s="115" t="s">
        <v>235</v>
      </c>
      <c r="Q454" s="115" t="s">
        <v>313</v>
      </c>
      <c r="R454" s="115" t="s">
        <v>34</v>
      </c>
      <c r="S454" s="122">
        <v>1</v>
      </c>
    </row>
    <row r="455" spans="10:19" x14ac:dyDescent="0.25">
      <c r="J455" s="125" t="s">
        <v>1086</v>
      </c>
      <c r="K455" s="115" t="s">
        <v>1087</v>
      </c>
      <c r="L455" s="121" t="s">
        <v>200</v>
      </c>
      <c r="M455" s="116">
        <v>45393</v>
      </c>
      <c r="N455" s="115">
        <v>20</v>
      </c>
      <c r="O455" s="115" t="s">
        <v>148</v>
      </c>
      <c r="P455" s="115" t="s">
        <v>235</v>
      </c>
      <c r="Q455" s="115" t="s">
        <v>313</v>
      </c>
      <c r="R455" s="115" t="s">
        <v>34</v>
      </c>
      <c r="S455" s="122">
        <v>1</v>
      </c>
    </row>
    <row r="456" spans="10:19" x14ac:dyDescent="0.25">
      <c r="J456" s="125" t="s">
        <v>1088</v>
      </c>
      <c r="K456" s="115" t="s">
        <v>1089</v>
      </c>
      <c r="L456" s="121" t="s">
        <v>200</v>
      </c>
      <c r="M456" s="116">
        <v>45393</v>
      </c>
      <c r="N456" s="115">
        <v>42</v>
      </c>
      <c r="O456" s="115" t="s">
        <v>151</v>
      </c>
      <c r="P456" s="115" t="s">
        <v>235</v>
      </c>
      <c r="Q456" s="115" t="s">
        <v>313</v>
      </c>
      <c r="R456" s="115" t="s">
        <v>34</v>
      </c>
      <c r="S456" s="122">
        <v>1</v>
      </c>
    </row>
    <row r="457" spans="10:19" x14ac:dyDescent="0.25">
      <c r="J457" s="125" t="s">
        <v>1090</v>
      </c>
      <c r="K457" s="115" t="s">
        <v>1091</v>
      </c>
      <c r="L457" s="121" t="s">
        <v>200</v>
      </c>
      <c r="M457" s="116">
        <v>45393</v>
      </c>
      <c r="N457" s="115">
        <v>25</v>
      </c>
      <c r="O457" s="115" t="s">
        <v>149</v>
      </c>
      <c r="P457" s="115" t="s">
        <v>235</v>
      </c>
      <c r="Q457" s="115" t="s">
        <v>313</v>
      </c>
      <c r="R457" s="115" t="s">
        <v>34</v>
      </c>
      <c r="S457" s="122">
        <v>1</v>
      </c>
    </row>
    <row r="458" spans="10:19" x14ac:dyDescent="0.25">
      <c r="J458" s="125" t="s">
        <v>1092</v>
      </c>
      <c r="K458" s="115" t="s">
        <v>1093</v>
      </c>
      <c r="L458" s="121" t="s">
        <v>200</v>
      </c>
      <c r="M458" s="116">
        <v>45393</v>
      </c>
      <c r="N458" s="115">
        <v>22</v>
      </c>
      <c r="O458" s="115" t="s">
        <v>148</v>
      </c>
      <c r="P458" s="115" t="s">
        <v>235</v>
      </c>
      <c r="Q458" s="115" t="s">
        <v>313</v>
      </c>
      <c r="R458" s="115" t="s">
        <v>34</v>
      </c>
      <c r="S458" s="122">
        <v>1</v>
      </c>
    </row>
    <row r="459" spans="10:19" x14ac:dyDescent="0.25">
      <c r="J459" s="125">
        <v>47510733</v>
      </c>
      <c r="K459" s="115" t="s">
        <v>1095</v>
      </c>
      <c r="L459" s="121" t="s">
        <v>200</v>
      </c>
      <c r="M459" s="116">
        <v>45406</v>
      </c>
      <c r="N459" s="115">
        <v>32</v>
      </c>
      <c r="O459" s="115" t="s">
        <v>150</v>
      </c>
      <c r="P459" s="115" t="s">
        <v>235</v>
      </c>
      <c r="Q459" s="115" t="s">
        <v>313</v>
      </c>
      <c r="R459" s="115" t="s">
        <v>68</v>
      </c>
      <c r="S459" s="122">
        <v>1</v>
      </c>
    </row>
    <row r="460" spans="10:19" x14ac:dyDescent="0.25">
      <c r="J460" s="125">
        <v>44163935</v>
      </c>
      <c r="K460" s="115" t="s">
        <v>1099</v>
      </c>
      <c r="L460" s="121" t="s">
        <v>200</v>
      </c>
      <c r="M460" s="116">
        <v>45406</v>
      </c>
      <c r="N460" s="115">
        <v>38</v>
      </c>
      <c r="O460" s="115" t="s">
        <v>150</v>
      </c>
      <c r="P460" s="115" t="s">
        <v>235</v>
      </c>
      <c r="Q460" s="115" t="s">
        <v>313</v>
      </c>
      <c r="R460" s="115" t="s">
        <v>68</v>
      </c>
      <c r="S460" s="122">
        <v>1</v>
      </c>
    </row>
    <row r="461" spans="10:19" x14ac:dyDescent="0.25">
      <c r="J461" s="125">
        <v>44650460</v>
      </c>
      <c r="K461" s="115" t="s">
        <v>2354</v>
      </c>
      <c r="L461" s="121" t="s">
        <v>200</v>
      </c>
      <c r="M461" s="116">
        <v>45362</v>
      </c>
      <c r="N461" s="115">
        <v>37</v>
      </c>
      <c r="O461" s="115" t="s">
        <v>150</v>
      </c>
      <c r="P461" s="115" t="s">
        <v>235</v>
      </c>
      <c r="Q461" s="115" t="s">
        <v>312</v>
      </c>
      <c r="R461" s="115" t="s">
        <v>72</v>
      </c>
      <c r="S461" s="122">
        <v>1</v>
      </c>
    </row>
    <row r="462" spans="10:19" x14ac:dyDescent="0.25">
      <c r="J462" s="125">
        <v>76721839</v>
      </c>
      <c r="K462" s="115" t="s">
        <v>1526</v>
      </c>
      <c r="L462" s="121" t="s">
        <v>200</v>
      </c>
      <c r="M462" s="116">
        <v>45352</v>
      </c>
      <c r="N462" s="115">
        <v>30</v>
      </c>
      <c r="O462" s="115" t="s">
        <v>149</v>
      </c>
      <c r="P462" s="115" t="s">
        <v>235</v>
      </c>
      <c r="Q462" s="115" t="s">
        <v>312</v>
      </c>
      <c r="R462" s="115" t="s">
        <v>68</v>
      </c>
      <c r="S462" s="122">
        <v>1</v>
      </c>
    </row>
    <row r="463" spans="10:19" x14ac:dyDescent="0.25">
      <c r="J463" s="125">
        <v>76040119</v>
      </c>
      <c r="K463" s="115" t="s">
        <v>1107</v>
      </c>
      <c r="L463" s="121" t="s">
        <v>200</v>
      </c>
      <c r="M463" s="116">
        <v>45323</v>
      </c>
      <c r="N463" s="115">
        <v>24</v>
      </c>
      <c r="O463" s="115" t="s">
        <v>149</v>
      </c>
      <c r="P463" s="115" t="s">
        <v>235</v>
      </c>
      <c r="Q463" s="115" t="s">
        <v>312</v>
      </c>
      <c r="R463" s="115" t="s">
        <v>36</v>
      </c>
      <c r="S463" s="122">
        <v>1</v>
      </c>
    </row>
    <row r="464" spans="10:19" x14ac:dyDescent="0.25">
      <c r="J464" s="125">
        <v>72967128</v>
      </c>
      <c r="K464" s="115" t="s">
        <v>1108</v>
      </c>
      <c r="L464" s="121" t="s">
        <v>200</v>
      </c>
      <c r="M464" s="116">
        <v>45413</v>
      </c>
      <c r="N464" s="115">
        <v>22</v>
      </c>
      <c r="O464" s="115" t="s">
        <v>148</v>
      </c>
      <c r="P464" s="115" t="s">
        <v>235</v>
      </c>
      <c r="Q464" s="115" t="s">
        <v>312</v>
      </c>
      <c r="R464" s="115" t="s">
        <v>72</v>
      </c>
      <c r="S464" s="122">
        <v>1</v>
      </c>
    </row>
    <row r="465" spans="10:19" x14ac:dyDescent="0.25">
      <c r="J465" s="125" t="s">
        <v>1119</v>
      </c>
      <c r="K465" s="115" t="s">
        <v>1656</v>
      </c>
      <c r="L465" s="121" t="s">
        <v>200</v>
      </c>
      <c r="M465" s="116">
        <v>45132</v>
      </c>
      <c r="N465" s="115">
        <v>20</v>
      </c>
      <c r="O465" s="115" t="s">
        <v>148</v>
      </c>
      <c r="P465" s="115" t="s">
        <v>235</v>
      </c>
      <c r="Q465" s="115" t="s">
        <v>313</v>
      </c>
      <c r="R465" s="115" t="s">
        <v>68</v>
      </c>
      <c r="S465" s="122">
        <v>1</v>
      </c>
    </row>
    <row r="466" spans="10:19" x14ac:dyDescent="0.25">
      <c r="J466" s="126"/>
      <c r="K466" s="115" t="s">
        <v>2133</v>
      </c>
      <c r="L466" s="121" t="s">
        <v>200</v>
      </c>
      <c r="M466" s="116">
        <v>45447</v>
      </c>
      <c r="N466" s="115">
        <v>20</v>
      </c>
      <c r="O466" s="115" t="s">
        <v>148</v>
      </c>
      <c r="P466" s="115" t="s">
        <v>162</v>
      </c>
      <c r="Q466" s="115" t="s">
        <v>313</v>
      </c>
      <c r="R466" s="115" t="s">
        <v>68</v>
      </c>
      <c r="S466" s="122">
        <v>1</v>
      </c>
    </row>
    <row r="467" spans="10:19" x14ac:dyDescent="0.25">
      <c r="J467" s="125" t="s">
        <v>1120</v>
      </c>
      <c r="K467" s="115" t="s">
        <v>1121</v>
      </c>
      <c r="L467" s="121" t="s">
        <v>200</v>
      </c>
      <c r="M467" s="116">
        <v>44895</v>
      </c>
      <c r="N467" s="115">
        <v>25</v>
      </c>
      <c r="O467" s="115" t="s">
        <v>149</v>
      </c>
      <c r="P467" s="115" t="s">
        <v>235</v>
      </c>
      <c r="Q467" s="115" t="s">
        <v>313</v>
      </c>
      <c r="R467" s="115" t="s">
        <v>69</v>
      </c>
      <c r="S467" s="122">
        <v>1</v>
      </c>
    </row>
    <row r="468" spans="10:19" x14ac:dyDescent="0.25">
      <c r="J468" s="125" t="s">
        <v>1139</v>
      </c>
      <c r="K468" s="115" t="s">
        <v>3229</v>
      </c>
      <c r="L468" s="121" t="s">
        <v>200</v>
      </c>
      <c r="M468" s="116">
        <v>45540</v>
      </c>
      <c r="N468" s="115">
        <v>31</v>
      </c>
      <c r="O468" s="115" t="s">
        <v>149</v>
      </c>
      <c r="P468" s="115" t="s">
        <v>235</v>
      </c>
      <c r="Q468" s="115" t="s">
        <v>313</v>
      </c>
      <c r="R468" s="115" t="s">
        <v>72</v>
      </c>
      <c r="S468" s="122">
        <v>1</v>
      </c>
    </row>
    <row r="469" spans="10:19" x14ac:dyDescent="0.25">
      <c r="J469" s="125" t="s">
        <v>1144</v>
      </c>
      <c r="K469" s="115" t="s">
        <v>1279</v>
      </c>
      <c r="L469" s="121" t="s">
        <v>200</v>
      </c>
      <c r="M469" s="116">
        <v>45352</v>
      </c>
      <c r="N469" s="115">
        <v>50</v>
      </c>
      <c r="O469" s="115" t="s">
        <v>152</v>
      </c>
      <c r="P469" s="115" t="s">
        <v>162</v>
      </c>
      <c r="Q469" s="115" t="s">
        <v>313</v>
      </c>
      <c r="R469" s="115" t="s">
        <v>34</v>
      </c>
      <c r="S469" s="122">
        <v>1</v>
      </c>
    </row>
    <row r="470" spans="10:19" x14ac:dyDescent="0.25">
      <c r="J470" s="125" t="s">
        <v>1145</v>
      </c>
      <c r="K470" s="115" t="s">
        <v>1827</v>
      </c>
      <c r="L470" s="121" t="s">
        <v>200</v>
      </c>
      <c r="M470" s="116">
        <v>45413</v>
      </c>
      <c r="N470" s="115">
        <v>47</v>
      </c>
      <c r="O470" s="115" t="s">
        <v>151</v>
      </c>
      <c r="P470" s="115" t="s">
        <v>162</v>
      </c>
      <c r="Q470" s="115" t="s">
        <v>313</v>
      </c>
      <c r="R470" s="115" t="s">
        <v>34</v>
      </c>
      <c r="S470" s="122">
        <v>1</v>
      </c>
    </row>
    <row r="471" spans="10:19" x14ac:dyDescent="0.25">
      <c r="J471" s="125" t="s">
        <v>1146</v>
      </c>
      <c r="K471" s="115" t="s">
        <v>1259</v>
      </c>
      <c r="L471" s="121" t="s">
        <v>200</v>
      </c>
      <c r="M471" s="116">
        <v>45352</v>
      </c>
      <c r="N471" s="115">
        <v>49</v>
      </c>
      <c r="O471" s="115" t="s">
        <v>151</v>
      </c>
      <c r="P471" s="115" t="s">
        <v>162</v>
      </c>
      <c r="Q471" s="115" t="s">
        <v>313</v>
      </c>
      <c r="R471" s="115" t="s">
        <v>34</v>
      </c>
      <c r="S471" s="122">
        <v>1</v>
      </c>
    </row>
    <row r="472" spans="10:19" x14ac:dyDescent="0.25">
      <c r="J472" s="125" t="s">
        <v>1147</v>
      </c>
      <c r="K472" s="115" t="s">
        <v>1793</v>
      </c>
      <c r="L472" s="121" t="s">
        <v>200</v>
      </c>
      <c r="M472" s="116">
        <v>45413</v>
      </c>
      <c r="N472" s="115">
        <v>46</v>
      </c>
      <c r="O472" s="115" t="s">
        <v>151</v>
      </c>
      <c r="P472" s="115" t="s">
        <v>162</v>
      </c>
      <c r="Q472" s="115" t="s">
        <v>313</v>
      </c>
      <c r="R472" s="115" t="s">
        <v>34</v>
      </c>
      <c r="S472" s="122">
        <v>1</v>
      </c>
    </row>
    <row r="473" spans="10:19" x14ac:dyDescent="0.25">
      <c r="J473" s="125" t="s">
        <v>1148</v>
      </c>
      <c r="K473" s="115" t="s">
        <v>1282</v>
      </c>
      <c r="L473" s="121" t="s">
        <v>200</v>
      </c>
      <c r="M473" s="116">
        <v>45352</v>
      </c>
      <c r="N473" s="115">
        <v>59</v>
      </c>
      <c r="O473" s="115" t="s">
        <v>153</v>
      </c>
      <c r="P473" s="115" t="s">
        <v>162</v>
      </c>
      <c r="Q473" s="115" t="s">
        <v>313</v>
      </c>
      <c r="R473" s="115" t="s">
        <v>34</v>
      </c>
      <c r="S473" s="122">
        <v>1</v>
      </c>
    </row>
    <row r="474" spans="10:19" x14ac:dyDescent="0.25">
      <c r="J474" s="125" t="s">
        <v>1149</v>
      </c>
      <c r="K474" s="115" t="s">
        <v>1286</v>
      </c>
      <c r="L474" s="121" t="s">
        <v>200</v>
      </c>
      <c r="M474" s="116">
        <v>45352</v>
      </c>
      <c r="N474" s="115">
        <v>51</v>
      </c>
      <c r="O474" s="115" t="s">
        <v>152</v>
      </c>
      <c r="P474" s="115" t="s">
        <v>162</v>
      </c>
      <c r="Q474" s="115" t="s">
        <v>313</v>
      </c>
      <c r="R474" s="115" t="s">
        <v>34</v>
      </c>
      <c r="S474" s="122">
        <v>1</v>
      </c>
    </row>
    <row r="475" spans="10:19" x14ac:dyDescent="0.25">
      <c r="J475" s="125" t="s">
        <v>1151</v>
      </c>
      <c r="K475" s="115" t="s">
        <v>1281</v>
      </c>
      <c r="L475" s="121" t="s">
        <v>200</v>
      </c>
      <c r="M475" s="116">
        <v>45352</v>
      </c>
      <c r="N475" s="115">
        <v>66</v>
      </c>
      <c r="O475" s="115" t="s">
        <v>153</v>
      </c>
      <c r="P475" s="115" t="s">
        <v>162</v>
      </c>
      <c r="Q475" s="115" t="s">
        <v>313</v>
      </c>
      <c r="R475" s="115" t="s">
        <v>34</v>
      </c>
      <c r="S475" s="122">
        <v>1</v>
      </c>
    </row>
    <row r="476" spans="10:19" x14ac:dyDescent="0.25">
      <c r="J476" s="125" t="s">
        <v>1152</v>
      </c>
      <c r="K476" s="115" t="s">
        <v>1269</v>
      </c>
      <c r="L476" s="121" t="s">
        <v>200</v>
      </c>
      <c r="M476" s="116">
        <v>45352</v>
      </c>
      <c r="N476" s="115">
        <v>45</v>
      </c>
      <c r="O476" s="115" t="s">
        <v>151</v>
      </c>
      <c r="P476" s="115" t="s">
        <v>162</v>
      </c>
      <c r="Q476" s="115" t="s">
        <v>313</v>
      </c>
      <c r="R476" s="115" t="s">
        <v>34</v>
      </c>
      <c r="S476" s="122">
        <v>1</v>
      </c>
    </row>
    <row r="477" spans="10:19" x14ac:dyDescent="0.25">
      <c r="J477" s="125" t="s">
        <v>1153</v>
      </c>
      <c r="K477" s="115" t="s">
        <v>1780</v>
      </c>
      <c r="L477" s="121" t="s">
        <v>200</v>
      </c>
      <c r="M477" s="116">
        <v>45413</v>
      </c>
      <c r="N477" s="115">
        <v>42</v>
      </c>
      <c r="O477" s="115" t="s">
        <v>151</v>
      </c>
      <c r="P477" s="115" t="s">
        <v>162</v>
      </c>
      <c r="Q477" s="115" t="s">
        <v>313</v>
      </c>
      <c r="R477" s="115" t="s">
        <v>34</v>
      </c>
      <c r="S477" s="122">
        <v>1</v>
      </c>
    </row>
    <row r="478" spans="10:19" x14ac:dyDescent="0.25">
      <c r="J478" s="125" t="s">
        <v>1154</v>
      </c>
      <c r="K478" s="115" t="s">
        <v>1268</v>
      </c>
      <c r="L478" s="121" t="s">
        <v>200</v>
      </c>
      <c r="M478" s="116">
        <v>45352</v>
      </c>
      <c r="N478" s="115">
        <v>23</v>
      </c>
      <c r="O478" s="115" t="s">
        <v>148</v>
      </c>
      <c r="P478" s="115" t="s">
        <v>162</v>
      </c>
      <c r="Q478" s="115" t="s">
        <v>313</v>
      </c>
      <c r="R478" s="115" t="s">
        <v>34</v>
      </c>
      <c r="S478" s="122">
        <v>1</v>
      </c>
    </row>
    <row r="479" spans="10:19" x14ac:dyDescent="0.25">
      <c r="J479" s="125" t="s">
        <v>1155</v>
      </c>
      <c r="K479" s="115" t="s">
        <v>1777</v>
      </c>
      <c r="L479" s="121" t="s">
        <v>200</v>
      </c>
      <c r="M479" s="116">
        <v>45413</v>
      </c>
      <c r="N479" s="115">
        <v>53</v>
      </c>
      <c r="O479" s="115" t="s">
        <v>152</v>
      </c>
      <c r="P479" s="115" t="s">
        <v>162</v>
      </c>
      <c r="Q479" s="115" t="s">
        <v>313</v>
      </c>
      <c r="R479" s="115" t="s">
        <v>34</v>
      </c>
      <c r="S479" s="122">
        <v>1</v>
      </c>
    </row>
    <row r="480" spans="10:19" x14ac:dyDescent="0.25">
      <c r="J480" s="125" t="s">
        <v>1158</v>
      </c>
      <c r="K480" s="115" t="s">
        <v>1159</v>
      </c>
      <c r="L480" s="121" t="s">
        <v>200</v>
      </c>
      <c r="M480" s="116">
        <v>44774</v>
      </c>
      <c r="N480" s="115">
        <v>36</v>
      </c>
      <c r="O480" s="115" t="s">
        <v>150</v>
      </c>
      <c r="P480" s="115" t="s">
        <v>162</v>
      </c>
      <c r="Q480" s="115" t="s">
        <v>313</v>
      </c>
      <c r="R480" s="115" t="s">
        <v>68</v>
      </c>
      <c r="S480" s="122">
        <v>1</v>
      </c>
    </row>
    <row r="481" spans="10:19" x14ac:dyDescent="0.25">
      <c r="J481" s="125" t="s">
        <v>1177</v>
      </c>
      <c r="K481" s="115" t="s">
        <v>1178</v>
      </c>
      <c r="L481" s="121" t="s">
        <v>200</v>
      </c>
      <c r="M481" s="116">
        <v>45460</v>
      </c>
      <c r="N481" s="115">
        <v>35</v>
      </c>
      <c r="O481" s="115" t="s">
        <v>150</v>
      </c>
      <c r="P481" s="115" t="s">
        <v>235</v>
      </c>
      <c r="Q481" s="115" t="s">
        <v>313</v>
      </c>
      <c r="R481" s="115" t="s">
        <v>34</v>
      </c>
      <c r="S481" s="122">
        <v>1</v>
      </c>
    </row>
    <row r="482" spans="10:19" x14ac:dyDescent="0.25">
      <c r="J482" s="125" t="s">
        <v>1183</v>
      </c>
      <c r="K482" s="115" t="s">
        <v>1184</v>
      </c>
      <c r="L482" s="121" t="s">
        <v>200</v>
      </c>
      <c r="M482" s="116">
        <v>45373</v>
      </c>
      <c r="N482" s="115">
        <v>22</v>
      </c>
      <c r="O482" s="115" t="s">
        <v>148</v>
      </c>
      <c r="P482" s="115" t="s">
        <v>162</v>
      </c>
      <c r="Q482" s="115" t="s">
        <v>313</v>
      </c>
      <c r="R482" s="115" t="s">
        <v>36</v>
      </c>
      <c r="S482" s="122">
        <v>1</v>
      </c>
    </row>
    <row r="483" spans="10:19" x14ac:dyDescent="0.25">
      <c r="J483" s="125">
        <v>77148676</v>
      </c>
      <c r="K483" s="115" t="s">
        <v>1186</v>
      </c>
      <c r="L483" s="121" t="s">
        <v>200</v>
      </c>
      <c r="M483" s="116">
        <v>45383</v>
      </c>
      <c r="N483" s="115">
        <v>27</v>
      </c>
      <c r="O483" s="115" t="s">
        <v>149</v>
      </c>
      <c r="P483" s="115" t="s">
        <v>162</v>
      </c>
      <c r="Q483" s="115" t="s">
        <v>313</v>
      </c>
      <c r="R483" s="115" t="s">
        <v>68</v>
      </c>
      <c r="S483" s="122">
        <v>1</v>
      </c>
    </row>
    <row r="484" spans="10:19" x14ac:dyDescent="0.25">
      <c r="J484" s="125" t="s">
        <v>1199</v>
      </c>
      <c r="K484" s="115" t="s">
        <v>1200</v>
      </c>
      <c r="L484" s="121" t="s">
        <v>200</v>
      </c>
      <c r="M484" s="116">
        <v>45175</v>
      </c>
      <c r="N484" s="115">
        <v>24</v>
      </c>
      <c r="O484" s="115" t="s">
        <v>149</v>
      </c>
      <c r="P484" s="115" t="s">
        <v>162</v>
      </c>
      <c r="Q484" s="115" t="s">
        <v>313</v>
      </c>
      <c r="R484" s="115" t="s">
        <v>68</v>
      </c>
      <c r="S484" s="122">
        <v>1</v>
      </c>
    </row>
    <row r="485" spans="10:19" x14ac:dyDescent="0.25">
      <c r="J485" s="125" t="s">
        <v>1206</v>
      </c>
      <c r="K485" s="115" t="s">
        <v>1207</v>
      </c>
      <c r="L485" s="121" t="s">
        <v>200</v>
      </c>
      <c r="M485" s="116">
        <v>44973</v>
      </c>
      <c r="N485" s="115">
        <v>40</v>
      </c>
      <c r="O485" s="115" t="s">
        <v>150</v>
      </c>
      <c r="P485" s="115" t="s">
        <v>235</v>
      </c>
      <c r="Q485" s="115" t="s">
        <v>313</v>
      </c>
      <c r="R485" s="115" t="s">
        <v>34</v>
      </c>
      <c r="S485" s="122">
        <v>1</v>
      </c>
    </row>
    <row r="486" spans="10:19" x14ac:dyDescent="0.25">
      <c r="J486" s="125" t="s">
        <v>1208</v>
      </c>
      <c r="K486" s="115" t="s">
        <v>1209</v>
      </c>
      <c r="L486" s="121" t="s">
        <v>200</v>
      </c>
      <c r="M486" s="116">
        <v>43332</v>
      </c>
      <c r="N486" s="115">
        <v>43</v>
      </c>
      <c r="O486" s="115" t="s">
        <v>151</v>
      </c>
      <c r="P486" s="115" t="s">
        <v>235</v>
      </c>
      <c r="Q486" s="115" t="s">
        <v>313</v>
      </c>
      <c r="R486" s="115" t="s">
        <v>34</v>
      </c>
      <c r="S486" s="122">
        <v>1</v>
      </c>
    </row>
    <row r="487" spans="10:19" x14ac:dyDescent="0.25">
      <c r="J487" s="125" t="s">
        <v>1210</v>
      </c>
      <c r="K487" s="115" t="s">
        <v>1211</v>
      </c>
      <c r="L487" s="121" t="s">
        <v>200</v>
      </c>
      <c r="M487" s="116">
        <v>45197</v>
      </c>
      <c r="N487" s="115">
        <v>47</v>
      </c>
      <c r="O487" s="115" t="s">
        <v>151</v>
      </c>
      <c r="P487" s="115" t="s">
        <v>235</v>
      </c>
      <c r="Q487" s="115" t="s">
        <v>313</v>
      </c>
      <c r="R487" s="115" t="s">
        <v>68</v>
      </c>
      <c r="S487" s="122">
        <v>0.5</v>
      </c>
    </row>
    <row r="488" spans="10:19" x14ac:dyDescent="0.25">
      <c r="J488" s="126"/>
      <c r="K488" s="117"/>
      <c r="L488" s="110"/>
      <c r="M488" s="116">
        <v>45482</v>
      </c>
      <c r="N488" s="115">
        <v>47</v>
      </c>
      <c r="O488" s="115" t="s">
        <v>151</v>
      </c>
      <c r="P488" s="115" t="s">
        <v>235</v>
      </c>
      <c r="Q488" s="115" t="s">
        <v>313</v>
      </c>
      <c r="R488" s="115" t="s">
        <v>68</v>
      </c>
      <c r="S488" s="122">
        <v>0.5</v>
      </c>
    </row>
    <row r="489" spans="10:19" x14ac:dyDescent="0.25">
      <c r="J489" s="125" t="s">
        <v>1212</v>
      </c>
      <c r="K489" s="115" t="s">
        <v>1213</v>
      </c>
      <c r="L489" s="121" t="s">
        <v>200</v>
      </c>
      <c r="M489" s="116">
        <v>45191</v>
      </c>
      <c r="N489" s="115">
        <v>33</v>
      </c>
      <c r="O489" s="115" t="s">
        <v>150</v>
      </c>
      <c r="P489" s="115" t="s">
        <v>235</v>
      </c>
      <c r="Q489" s="115" t="s">
        <v>313</v>
      </c>
      <c r="R489" s="115" t="s">
        <v>68</v>
      </c>
      <c r="S489" s="122">
        <v>0.5</v>
      </c>
    </row>
    <row r="490" spans="10:19" x14ac:dyDescent="0.25">
      <c r="J490" s="126"/>
      <c r="K490" s="117"/>
      <c r="L490" s="110"/>
      <c r="M490" s="116">
        <v>45474</v>
      </c>
      <c r="N490" s="115">
        <v>33</v>
      </c>
      <c r="O490" s="115" t="s">
        <v>150</v>
      </c>
      <c r="P490" s="115" t="s">
        <v>235</v>
      </c>
      <c r="Q490" s="115" t="s">
        <v>313</v>
      </c>
      <c r="R490" s="115" t="s">
        <v>68</v>
      </c>
      <c r="S490" s="122">
        <v>0.5</v>
      </c>
    </row>
    <row r="491" spans="10:19" x14ac:dyDescent="0.25">
      <c r="J491" s="125" t="s">
        <v>1214</v>
      </c>
      <c r="K491" s="115" t="s">
        <v>1215</v>
      </c>
      <c r="L491" s="121" t="s">
        <v>200</v>
      </c>
      <c r="M491" s="116">
        <v>45191</v>
      </c>
      <c r="N491" s="115">
        <v>35</v>
      </c>
      <c r="O491" s="115" t="s">
        <v>150</v>
      </c>
      <c r="P491" s="115" t="s">
        <v>235</v>
      </c>
      <c r="Q491" s="115" t="s">
        <v>313</v>
      </c>
      <c r="R491" s="115" t="s">
        <v>35</v>
      </c>
      <c r="S491" s="122">
        <v>0.5</v>
      </c>
    </row>
    <row r="492" spans="10:19" x14ac:dyDescent="0.25">
      <c r="J492" s="126"/>
      <c r="K492" s="117"/>
      <c r="L492" s="110"/>
      <c r="M492" s="116">
        <v>45474</v>
      </c>
      <c r="N492" s="115">
        <v>35</v>
      </c>
      <c r="O492" s="115" t="s">
        <v>150</v>
      </c>
      <c r="P492" s="115" t="s">
        <v>235</v>
      </c>
      <c r="Q492" s="115" t="s">
        <v>313</v>
      </c>
      <c r="R492" s="115" t="s">
        <v>35</v>
      </c>
      <c r="S492" s="122">
        <v>0.5</v>
      </c>
    </row>
    <row r="493" spans="10:19" x14ac:dyDescent="0.25">
      <c r="J493" s="125" t="s">
        <v>1219</v>
      </c>
      <c r="K493" s="115" t="s">
        <v>1220</v>
      </c>
      <c r="L493" s="121" t="s">
        <v>200</v>
      </c>
      <c r="M493" s="116">
        <v>44546</v>
      </c>
      <c r="N493" s="115">
        <v>27</v>
      </c>
      <c r="O493" s="115" t="s">
        <v>149</v>
      </c>
      <c r="P493" s="115" t="s">
        <v>235</v>
      </c>
      <c r="Q493" s="115" t="s">
        <v>313</v>
      </c>
      <c r="R493" s="115" t="s">
        <v>34</v>
      </c>
      <c r="S493" s="122">
        <v>1</v>
      </c>
    </row>
    <row r="494" spans="10:19" x14ac:dyDescent="0.25">
      <c r="J494" s="125" t="s">
        <v>1221</v>
      </c>
      <c r="K494" s="115" t="s">
        <v>1222</v>
      </c>
      <c r="L494" s="121" t="s">
        <v>200</v>
      </c>
      <c r="M494" s="116">
        <v>45210</v>
      </c>
      <c r="N494" s="115">
        <v>44</v>
      </c>
      <c r="O494" s="115" t="s">
        <v>151</v>
      </c>
      <c r="P494" s="115" t="s">
        <v>235</v>
      </c>
      <c r="Q494" s="115" t="s">
        <v>313</v>
      </c>
      <c r="R494" s="115" t="s">
        <v>34</v>
      </c>
      <c r="S494" s="122">
        <v>1</v>
      </c>
    </row>
    <row r="495" spans="10:19" x14ac:dyDescent="0.25">
      <c r="J495" s="125" t="s">
        <v>1226</v>
      </c>
      <c r="K495" s="115" t="s">
        <v>1227</v>
      </c>
      <c r="L495" s="121" t="s">
        <v>200</v>
      </c>
      <c r="M495" s="116">
        <v>45287</v>
      </c>
      <c r="N495" s="115">
        <v>32</v>
      </c>
      <c r="O495" s="115" t="s">
        <v>150</v>
      </c>
      <c r="P495" s="115" t="s">
        <v>235</v>
      </c>
      <c r="Q495" s="115" t="s">
        <v>313</v>
      </c>
      <c r="R495" s="115" t="s">
        <v>72</v>
      </c>
      <c r="S495" s="122">
        <v>1</v>
      </c>
    </row>
    <row r="496" spans="10:19" x14ac:dyDescent="0.25">
      <c r="J496" s="125" t="s">
        <v>1228</v>
      </c>
      <c r="K496" s="115" t="s">
        <v>1229</v>
      </c>
      <c r="L496" s="121" t="s">
        <v>200</v>
      </c>
      <c r="M496" s="116">
        <v>45362</v>
      </c>
      <c r="N496" s="115">
        <v>32</v>
      </c>
      <c r="O496" s="115" t="s">
        <v>150</v>
      </c>
      <c r="P496" s="115" t="s">
        <v>235</v>
      </c>
      <c r="Q496" s="115" t="s">
        <v>313</v>
      </c>
      <c r="R496" s="115" t="s">
        <v>34</v>
      </c>
      <c r="S496" s="122">
        <v>1</v>
      </c>
    </row>
    <row r="497" spans="10:19" x14ac:dyDescent="0.25">
      <c r="J497" s="125" t="s">
        <v>1230</v>
      </c>
      <c r="K497" s="115" t="s">
        <v>1231</v>
      </c>
      <c r="L497" s="121" t="s">
        <v>200</v>
      </c>
      <c r="M497" s="116">
        <v>45362</v>
      </c>
      <c r="N497" s="115">
        <v>47</v>
      </c>
      <c r="O497" s="115" t="s">
        <v>151</v>
      </c>
      <c r="P497" s="115" t="s">
        <v>235</v>
      </c>
      <c r="Q497" s="115" t="s">
        <v>313</v>
      </c>
      <c r="R497" s="115" t="s">
        <v>34</v>
      </c>
      <c r="S497" s="122">
        <v>1</v>
      </c>
    </row>
    <row r="498" spans="10:19" x14ac:dyDescent="0.25">
      <c r="J498" s="125" t="s">
        <v>1232</v>
      </c>
      <c r="K498" s="115" t="s">
        <v>1233</v>
      </c>
      <c r="L498" s="121" t="s">
        <v>200</v>
      </c>
      <c r="M498" s="116">
        <v>45489</v>
      </c>
      <c r="N498" s="115">
        <v>34</v>
      </c>
      <c r="O498" s="115" t="s">
        <v>150</v>
      </c>
      <c r="P498" s="115" t="s">
        <v>235</v>
      </c>
      <c r="Q498" s="115" t="s">
        <v>313</v>
      </c>
      <c r="R498" s="115" t="s">
        <v>34</v>
      </c>
      <c r="S498" s="122">
        <v>1</v>
      </c>
    </row>
    <row r="499" spans="10:19" x14ac:dyDescent="0.25">
      <c r="J499" s="125" t="s">
        <v>1234</v>
      </c>
      <c r="K499" s="115" t="s">
        <v>1235</v>
      </c>
      <c r="L499" s="121" t="s">
        <v>200</v>
      </c>
      <c r="M499" s="116">
        <v>45386</v>
      </c>
      <c r="N499" s="115">
        <v>45</v>
      </c>
      <c r="O499" s="115" t="s">
        <v>151</v>
      </c>
      <c r="P499" s="115" t="s">
        <v>235</v>
      </c>
      <c r="Q499" s="115" t="s">
        <v>313</v>
      </c>
      <c r="R499" s="115" t="s">
        <v>68</v>
      </c>
      <c r="S499" s="122">
        <v>0.5</v>
      </c>
    </row>
    <row r="500" spans="10:19" x14ac:dyDescent="0.25">
      <c r="J500" s="126"/>
      <c r="K500" s="117"/>
      <c r="L500" s="110"/>
      <c r="M500" s="116">
        <v>45483</v>
      </c>
      <c r="N500" s="115">
        <v>45</v>
      </c>
      <c r="O500" s="115" t="s">
        <v>151</v>
      </c>
      <c r="P500" s="115" t="s">
        <v>235</v>
      </c>
      <c r="Q500" s="115" t="s">
        <v>313</v>
      </c>
      <c r="R500" s="115" t="s">
        <v>68</v>
      </c>
      <c r="S500" s="122">
        <v>0.5</v>
      </c>
    </row>
    <row r="501" spans="10:19" x14ac:dyDescent="0.25">
      <c r="J501" s="125" t="s">
        <v>1237</v>
      </c>
      <c r="K501" s="115" t="s">
        <v>1238</v>
      </c>
      <c r="L501" s="121" t="s">
        <v>201</v>
      </c>
      <c r="M501" s="116">
        <v>44874</v>
      </c>
      <c r="N501" s="115">
        <v>32</v>
      </c>
      <c r="O501" s="115" t="s">
        <v>150</v>
      </c>
      <c r="P501" s="115" t="s">
        <v>235</v>
      </c>
      <c r="Q501" s="115" t="s">
        <v>313</v>
      </c>
      <c r="R501" s="115" t="s">
        <v>68</v>
      </c>
      <c r="S501" s="122">
        <v>1</v>
      </c>
    </row>
    <row r="502" spans="10:19" x14ac:dyDescent="0.25">
      <c r="J502" s="125" t="s">
        <v>1239</v>
      </c>
      <c r="K502" s="115" t="s">
        <v>1240</v>
      </c>
      <c r="L502" s="121" t="s">
        <v>200</v>
      </c>
      <c r="M502" s="116">
        <v>44186</v>
      </c>
      <c r="N502" s="115">
        <v>51</v>
      </c>
      <c r="O502" s="115" t="s">
        <v>152</v>
      </c>
      <c r="P502" s="115" t="s">
        <v>235</v>
      </c>
      <c r="Q502" s="115" t="s">
        <v>313</v>
      </c>
      <c r="R502" s="115" t="s">
        <v>34</v>
      </c>
      <c r="S502" s="122">
        <v>1</v>
      </c>
    </row>
    <row r="503" spans="10:19" x14ac:dyDescent="0.25">
      <c r="J503" s="125" t="s">
        <v>1244</v>
      </c>
      <c r="K503" s="115" t="s">
        <v>1245</v>
      </c>
      <c r="L503" s="121" t="s">
        <v>201</v>
      </c>
      <c r="M503" s="116">
        <v>44186</v>
      </c>
      <c r="N503" s="115">
        <v>28</v>
      </c>
      <c r="O503" s="115" t="s">
        <v>149</v>
      </c>
      <c r="P503" s="115" t="s">
        <v>235</v>
      </c>
      <c r="Q503" s="115" t="s">
        <v>313</v>
      </c>
      <c r="R503" s="115" t="s">
        <v>34</v>
      </c>
      <c r="S503" s="122">
        <v>1</v>
      </c>
    </row>
    <row r="504" spans="10:19" x14ac:dyDescent="0.25">
      <c r="J504" s="125" t="s">
        <v>1250</v>
      </c>
      <c r="K504" s="115" t="s">
        <v>1251</v>
      </c>
      <c r="L504" s="121" t="s">
        <v>201</v>
      </c>
      <c r="M504" s="116">
        <v>45361</v>
      </c>
      <c r="N504" s="115">
        <v>32</v>
      </c>
      <c r="O504" s="115" t="s">
        <v>150</v>
      </c>
      <c r="P504" s="115" t="s">
        <v>235</v>
      </c>
      <c r="Q504" s="115" t="s">
        <v>313</v>
      </c>
      <c r="R504" s="115" t="s">
        <v>72</v>
      </c>
      <c r="S504" s="122">
        <v>1</v>
      </c>
    </row>
    <row r="505" spans="10:19" x14ac:dyDescent="0.25">
      <c r="J505" s="125" t="s">
        <v>1252</v>
      </c>
      <c r="K505" s="115" t="s">
        <v>1253</v>
      </c>
      <c r="L505" s="121" t="s">
        <v>200</v>
      </c>
      <c r="M505" s="116">
        <v>45365</v>
      </c>
      <c r="N505" s="115">
        <v>56</v>
      </c>
      <c r="O505" s="115" t="s">
        <v>152</v>
      </c>
      <c r="P505" s="115" t="s">
        <v>235</v>
      </c>
      <c r="Q505" s="115" t="s">
        <v>313</v>
      </c>
      <c r="R505" s="115" t="s">
        <v>69</v>
      </c>
      <c r="S505" s="122">
        <v>1</v>
      </c>
    </row>
    <row r="506" spans="10:19" x14ac:dyDescent="0.25">
      <c r="J506" s="125" t="s">
        <v>1254</v>
      </c>
      <c r="K506" s="115" t="s">
        <v>1681</v>
      </c>
      <c r="L506" s="121" t="s">
        <v>200</v>
      </c>
      <c r="M506" s="116">
        <v>45411</v>
      </c>
      <c r="N506" s="115">
        <v>50</v>
      </c>
      <c r="O506" s="115" t="s">
        <v>152</v>
      </c>
      <c r="P506" s="115" t="s">
        <v>235</v>
      </c>
      <c r="Q506" s="115" t="s">
        <v>313</v>
      </c>
      <c r="R506" s="115" t="s">
        <v>34</v>
      </c>
      <c r="S506" s="122">
        <v>1</v>
      </c>
    </row>
    <row r="507" spans="10:19" x14ac:dyDescent="0.25">
      <c r="J507" s="125" t="s">
        <v>1260</v>
      </c>
      <c r="K507" s="115" t="s">
        <v>1261</v>
      </c>
      <c r="L507" s="121" t="s">
        <v>200</v>
      </c>
      <c r="M507" s="116">
        <v>45352</v>
      </c>
      <c r="N507" s="115">
        <v>59</v>
      </c>
      <c r="O507" s="115" t="s">
        <v>153</v>
      </c>
      <c r="P507" s="115" t="s">
        <v>162</v>
      </c>
      <c r="Q507" s="115" t="s">
        <v>313</v>
      </c>
      <c r="R507" s="115" t="s">
        <v>34</v>
      </c>
      <c r="S507" s="122">
        <v>1</v>
      </c>
    </row>
    <row r="508" spans="10:19" x14ac:dyDescent="0.25">
      <c r="J508" s="125" t="s">
        <v>1263</v>
      </c>
      <c r="K508" s="115" t="s">
        <v>1264</v>
      </c>
      <c r="L508" s="121" t="s">
        <v>200</v>
      </c>
      <c r="M508" s="116">
        <v>45352</v>
      </c>
      <c r="N508" s="115">
        <v>41</v>
      </c>
      <c r="O508" s="115" t="s">
        <v>151</v>
      </c>
      <c r="P508" s="115" t="s">
        <v>162</v>
      </c>
      <c r="Q508" s="115" t="s">
        <v>313</v>
      </c>
      <c r="R508" s="115" t="s">
        <v>34</v>
      </c>
      <c r="S508" s="122">
        <v>1</v>
      </c>
    </row>
    <row r="509" spans="10:19" x14ac:dyDescent="0.25">
      <c r="J509" s="125" t="s">
        <v>1265</v>
      </c>
      <c r="K509" s="115" t="s">
        <v>1266</v>
      </c>
      <c r="L509" s="121" t="s">
        <v>200</v>
      </c>
      <c r="M509" s="116">
        <v>45352</v>
      </c>
      <c r="N509" s="115">
        <v>19</v>
      </c>
      <c r="O509" s="115" t="s">
        <v>148</v>
      </c>
      <c r="P509" s="115" t="s">
        <v>162</v>
      </c>
      <c r="Q509" s="115" t="s">
        <v>313</v>
      </c>
      <c r="R509" s="115" t="s">
        <v>34</v>
      </c>
      <c r="S509" s="122">
        <v>1</v>
      </c>
    </row>
    <row r="510" spans="10:19" x14ac:dyDescent="0.25">
      <c r="J510" s="125" t="s">
        <v>1270</v>
      </c>
      <c r="K510" s="115" t="s">
        <v>1271</v>
      </c>
      <c r="L510" s="121" t="s">
        <v>200</v>
      </c>
      <c r="M510" s="116">
        <v>45352</v>
      </c>
      <c r="N510" s="115">
        <v>37</v>
      </c>
      <c r="O510" s="115" t="s">
        <v>150</v>
      </c>
      <c r="P510" s="115" t="s">
        <v>162</v>
      </c>
      <c r="Q510" s="115" t="s">
        <v>313</v>
      </c>
      <c r="R510" s="115" t="s">
        <v>34</v>
      </c>
      <c r="S510" s="122">
        <v>1</v>
      </c>
    </row>
    <row r="511" spans="10:19" x14ac:dyDescent="0.25">
      <c r="J511" s="125" t="s">
        <v>1272</v>
      </c>
      <c r="K511" s="115" t="s">
        <v>1273</v>
      </c>
      <c r="L511" s="121" t="s">
        <v>200</v>
      </c>
      <c r="M511" s="116">
        <v>45352</v>
      </c>
      <c r="N511" s="115">
        <v>52</v>
      </c>
      <c r="O511" s="115" t="s">
        <v>152</v>
      </c>
      <c r="P511" s="115" t="s">
        <v>162</v>
      </c>
      <c r="Q511" s="115" t="s">
        <v>313</v>
      </c>
      <c r="R511" s="115" t="s">
        <v>34</v>
      </c>
      <c r="S511" s="122">
        <v>1</v>
      </c>
    </row>
    <row r="512" spans="10:19" x14ac:dyDescent="0.25">
      <c r="J512" s="125" t="s">
        <v>1274</v>
      </c>
      <c r="K512" s="115" t="s">
        <v>1275</v>
      </c>
      <c r="L512" s="121" t="s">
        <v>200</v>
      </c>
      <c r="M512" s="116">
        <v>45352</v>
      </c>
      <c r="N512" s="115">
        <v>20</v>
      </c>
      <c r="O512" s="115" t="s">
        <v>148</v>
      </c>
      <c r="P512" s="115" t="s">
        <v>162</v>
      </c>
      <c r="Q512" s="115" t="s">
        <v>313</v>
      </c>
      <c r="R512" s="115" t="s">
        <v>34</v>
      </c>
      <c r="S512" s="122">
        <v>1</v>
      </c>
    </row>
    <row r="513" spans="10:19" x14ac:dyDescent="0.25">
      <c r="J513" s="125" t="s">
        <v>1283</v>
      </c>
      <c r="K513" s="115" t="s">
        <v>1284</v>
      </c>
      <c r="L513" s="121" t="s">
        <v>200</v>
      </c>
      <c r="M513" s="116">
        <v>45352</v>
      </c>
      <c r="N513" s="115">
        <v>38</v>
      </c>
      <c r="O513" s="115" t="s">
        <v>150</v>
      </c>
      <c r="P513" s="115" t="s">
        <v>162</v>
      </c>
      <c r="Q513" s="115" t="s">
        <v>313</v>
      </c>
      <c r="R513" s="115" t="s">
        <v>34</v>
      </c>
      <c r="S513" s="122">
        <v>1</v>
      </c>
    </row>
    <row r="514" spans="10:19" x14ac:dyDescent="0.25">
      <c r="J514" s="125" t="s">
        <v>1293</v>
      </c>
      <c r="K514" s="115" t="s">
        <v>1294</v>
      </c>
      <c r="L514" s="121" t="s">
        <v>200</v>
      </c>
      <c r="M514" s="116">
        <v>45353</v>
      </c>
      <c r="N514" s="115">
        <v>64</v>
      </c>
      <c r="O514" s="115" t="s">
        <v>153</v>
      </c>
      <c r="P514" s="115" t="s">
        <v>162</v>
      </c>
      <c r="Q514" s="115" t="s">
        <v>313</v>
      </c>
      <c r="R514" s="115" t="s">
        <v>34</v>
      </c>
      <c r="S514" s="122">
        <v>1</v>
      </c>
    </row>
    <row r="515" spans="10:19" x14ac:dyDescent="0.25">
      <c r="J515" s="125" t="s">
        <v>1298</v>
      </c>
      <c r="K515" s="115" t="s">
        <v>1299</v>
      </c>
      <c r="L515" s="121" t="s">
        <v>200</v>
      </c>
      <c r="M515" s="116">
        <v>45353</v>
      </c>
      <c r="N515" s="115">
        <v>28</v>
      </c>
      <c r="O515" s="115" t="s">
        <v>149</v>
      </c>
      <c r="P515" s="115" t="s">
        <v>162</v>
      </c>
      <c r="Q515" s="115" t="s">
        <v>313</v>
      </c>
      <c r="R515" s="115" t="s">
        <v>34</v>
      </c>
      <c r="S515" s="122">
        <v>1</v>
      </c>
    </row>
    <row r="516" spans="10:19" x14ac:dyDescent="0.25">
      <c r="J516" s="125" t="s">
        <v>1301</v>
      </c>
      <c r="K516" s="115" t="s">
        <v>1302</v>
      </c>
      <c r="L516" s="121" t="s">
        <v>200</v>
      </c>
      <c r="M516" s="116">
        <v>45357</v>
      </c>
      <c r="N516" s="115">
        <v>21</v>
      </c>
      <c r="O516" s="115" t="s">
        <v>148</v>
      </c>
      <c r="P516" s="115" t="s">
        <v>162</v>
      </c>
      <c r="Q516" s="115" t="s">
        <v>313</v>
      </c>
      <c r="R516" s="115" t="s">
        <v>34</v>
      </c>
      <c r="S516" s="122">
        <v>1</v>
      </c>
    </row>
    <row r="517" spans="10:19" x14ac:dyDescent="0.25">
      <c r="J517" s="125" t="s">
        <v>1303</v>
      </c>
      <c r="K517" s="115" t="s">
        <v>1304</v>
      </c>
      <c r="L517" s="121" t="s">
        <v>200</v>
      </c>
      <c r="M517" s="116">
        <v>45357</v>
      </c>
      <c r="N517" s="115">
        <v>20</v>
      </c>
      <c r="O517" s="115" t="s">
        <v>148</v>
      </c>
      <c r="P517" s="116">
        <v>45536</v>
      </c>
      <c r="Q517" s="115" t="s">
        <v>313</v>
      </c>
      <c r="R517" s="115" t="s">
        <v>34</v>
      </c>
      <c r="S517" s="122">
        <v>1</v>
      </c>
    </row>
    <row r="518" spans="10:19" x14ac:dyDescent="0.25">
      <c r="J518" s="125" t="s">
        <v>1307</v>
      </c>
      <c r="K518" s="115" t="s">
        <v>1308</v>
      </c>
      <c r="L518" s="121" t="s">
        <v>200</v>
      </c>
      <c r="M518" s="116">
        <v>45374</v>
      </c>
      <c r="N518" s="115">
        <v>68</v>
      </c>
      <c r="O518" s="115" t="s">
        <v>153</v>
      </c>
      <c r="P518" s="115" t="s">
        <v>162</v>
      </c>
      <c r="Q518" s="115" t="s">
        <v>313</v>
      </c>
      <c r="R518" s="115" t="s">
        <v>34</v>
      </c>
      <c r="S518" s="122">
        <v>1</v>
      </c>
    </row>
    <row r="519" spans="10:19" x14ac:dyDescent="0.25">
      <c r="J519" s="125" t="s">
        <v>1309</v>
      </c>
      <c r="K519" s="115" t="s">
        <v>1310</v>
      </c>
      <c r="L519" s="121" t="s">
        <v>200</v>
      </c>
      <c r="M519" s="116">
        <v>45396</v>
      </c>
      <c r="N519" s="115">
        <v>48</v>
      </c>
      <c r="O519" s="115" t="s">
        <v>151</v>
      </c>
      <c r="P519" s="115" t="s">
        <v>162</v>
      </c>
      <c r="Q519" s="115" t="s">
        <v>313</v>
      </c>
      <c r="R519" s="115" t="s">
        <v>34</v>
      </c>
      <c r="S519" s="122">
        <v>1</v>
      </c>
    </row>
    <row r="520" spans="10:19" x14ac:dyDescent="0.25">
      <c r="J520" s="125" t="s">
        <v>1311</v>
      </c>
      <c r="K520" s="115" t="s">
        <v>1312</v>
      </c>
      <c r="L520" s="121" t="s">
        <v>200</v>
      </c>
      <c r="M520" s="116">
        <v>45400</v>
      </c>
      <c r="N520" s="115">
        <v>43</v>
      </c>
      <c r="O520" s="115" t="s">
        <v>151</v>
      </c>
      <c r="P520" s="115" t="s">
        <v>162</v>
      </c>
      <c r="Q520" s="115" t="s">
        <v>313</v>
      </c>
      <c r="R520" s="115" t="s">
        <v>34</v>
      </c>
      <c r="S520" s="122">
        <v>1</v>
      </c>
    </row>
    <row r="521" spans="10:19" x14ac:dyDescent="0.25">
      <c r="J521" s="125" t="s">
        <v>1313</v>
      </c>
      <c r="K521" s="115" t="s">
        <v>1314</v>
      </c>
      <c r="L521" s="121" t="s">
        <v>200</v>
      </c>
      <c r="M521" s="116">
        <v>45406</v>
      </c>
      <c r="N521" s="115">
        <v>54</v>
      </c>
      <c r="O521" s="115" t="s">
        <v>152</v>
      </c>
      <c r="P521" s="115" t="s">
        <v>162</v>
      </c>
      <c r="Q521" s="115" t="s">
        <v>313</v>
      </c>
      <c r="R521" s="115" t="s">
        <v>34</v>
      </c>
      <c r="S521" s="122">
        <v>1</v>
      </c>
    </row>
    <row r="522" spans="10:19" x14ac:dyDescent="0.25">
      <c r="J522" s="125" t="s">
        <v>1316</v>
      </c>
      <c r="K522" s="115" t="s">
        <v>1317</v>
      </c>
      <c r="L522" s="121" t="s">
        <v>200</v>
      </c>
      <c r="M522" s="116">
        <v>43191</v>
      </c>
      <c r="N522" s="115">
        <v>54</v>
      </c>
      <c r="O522" s="115" t="s">
        <v>152</v>
      </c>
      <c r="P522" s="115" t="s">
        <v>1257</v>
      </c>
      <c r="Q522" s="115" t="s">
        <v>313</v>
      </c>
      <c r="R522" s="115" t="s">
        <v>35</v>
      </c>
      <c r="S522" s="122">
        <v>1</v>
      </c>
    </row>
    <row r="523" spans="10:19" x14ac:dyDescent="0.25">
      <c r="J523" s="125" t="s">
        <v>1319</v>
      </c>
      <c r="K523" s="115" t="s">
        <v>1320</v>
      </c>
      <c r="L523" s="121" t="s">
        <v>200</v>
      </c>
      <c r="M523" s="116">
        <v>45266</v>
      </c>
      <c r="N523" s="115">
        <v>27</v>
      </c>
      <c r="O523" s="115" t="s">
        <v>149</v>
      </c>
      <c r="P523" s="115" t="s">
        <v>1257</v>
      </c>
      <c r="Q523" s="115" t="s">
        <v>313</v>
      </c>
      <c r="R523" s="115" t="s">
        <v>68</v>
      </c>
      <c r="S523" s="122">
        <v>1</v>
      </c>
    </row>
    <row r="524" spans="10:19" x14ac:dyDescent="0.25">
      <c r="J524" s="125" t="s">
        <v>1321</v>
      </c>
      <c r="K524" s="115" t="s">
        <v>1322</v>
      </c>
      <c r="L524" s="121" t="s">
        <v>200</v>
      </c>
      <c r="M524" s="116">
        <v>45192</v>
      </c>
      <c r="N524" s="115">
        <v>42</v>
      </c>
      <c r="O524" s="115" t="s">
        <v>151</v>
      </c>
      <c r="P524" s="115" t="s">
        <v>1257</v>
      </c>
      <c r="Q524" s="115" t="s">
        <v>313</v>
      </c>
      <c r="R524" s="115" t="s">
        <v>68</v>
      </c>
      <c r="S524" s="122">
        <v>1</v>
      </c>
    </row>
    <row r="525" spans="10:19" x14ac:dyDescent="0.25">
      <c r="J525" s="125" t="s">
        <v>1323</v>
      </c>
      <c r="K525" s="115" t="s">
        <v>1324</v>
      </c>
      <c r="L525" s="121" t="s">
        <v>200</v>
      </c>
      <c r="M525" s="116">
        <v>45268</v>
      </c>
      <c r="N525" s="115">
        <v>54</v>
      </c>
      <c r="O525" s="115" t="s">
        <v>152</v>
      </c>
      <c r="P525" s="115" t="s">
        <v>1257</v>
      </c>
      <c r="Q525" s="115" t="s">
        <v>313</v>
      </c>
      <c r="R525" s="115" t="s">
        <v>68</v>
      </c>
      <c r="S525" s="122">
        <v>1</v>
      </c>
    </row>
    <row r="526" spans="10:19" x14ac:dyDescent="0.25">
      <c r="J526" s="125" t="s">
        <v>1325</v>
      </c>
      <c r="K526" s="115" t="s">
        <v>1326</v>
      </c>
      <c r="L526" s="121" t="s">
        <v>200</v>
      </c>
      <c r="M526" s="116">
        <v>45274</v>
      </c>
      <c r="N526" s="115">
        <v>22</v>
      </c>
      <c r="O526" s="115" t="s">
        <v>148</v>
      </c>
      <c r="P526" s="115" t="s">
        <v>1257</v>
      </c>
      <c r="Q526" s="115" t="s">
        <v>313</v>
      </c>
      <c r="R526" s="115" t="s">
        <v>36</v>
      </c>
      <c r="S526" s="122">
        <v>1</v>
      </c>
    </row>
    <row r="527" spans="10:19" x14ac:dyDescent="0.25">
      <c r="J527" s="125" t="s">
        <v>1327</v>
      </c>
      <c r="K527" s="115" t="s">
        <v>1328</v>
      </c>
      <c r="L527" s="121" t="s">
        <v>200</v>
      </c>
      <c r="M527" s="116">
        <v>45330</v>
      </c>
      <c r="N527" s="115">
        <v>45</v>
      </c>
      <c r="O527" s="115" t="s">
        <v>151</v>
      </c>
      <c r="P527" s="115" t="s">
        <v>1257</v>
      </c>
      <c r="Q527" s="115" t="s">
        <v>313</v>
      </c>
      <c r="R527" s="115" t="s">
        <v>35</v>
      </c>
      <c r="S527" s="122">
        <v>1</v>
      </c>
    </row>
    <row r="528" spans="10:19" x14ac:dyDescent="0.25">
      <c r="J528" s="125" t="s">
        <v>1336</v>
      </c>
      <c r="K528" s="115" t="s">
        <v>1337</v>
      </c>
      <c r="L528" s="121" t="s">
        <v>201</v>
      </c>
      <c r="M528" s="116">
        <v>44886</v>
      </c>
      <c r="N528" s="115">
        <v>54</v>
      </c>
      <c r="O528" s="115" t="s">
        <v>152</v>
      </c>
      <c r="P528" s="115" t="s">
        <v>1257</v>
      </c>
      <c r="Q528" s="115" t="s">
        <v>313</v>
      </c>
      <c r="R528" s="115" t="s">
        <v>36</v>
      </c>
      <c r="S528" s="122">
        <v>1</v>
      </c>
    </row>
    <row r="529" spans="10:19" x14ac:dyDescent="0.25">
      <c r="J529" s="125" t="s">
        <v>1343</v>
      </c>
      <c r="K529" s="115" t="s">
        <v>1344</v>
      </c>
      <c r="L529" s="121" t="s">
        <v>200</v>
      </c>
      <c r="M529" s="116">
        <v>43983</v>
      </c>
      <c r="N529" s="115">
        <v>49</v>
      </c>
      <c r="O529" s="115" t="s">
        <v>151</v>
      </c>
      <c r="P529" s="115" t="s">
        <v>1257</v>
      </c>
      <c r="Q529" s="115" t="s">
        <v>313</v>
      </c>
      <c r="R529" s="115" t="s">
        <v>68</v>
      </c>
      <c r="S529" s="122">
        <v>1</v>
      </c>
    </row>
    <row r="530" spans="10:19" x14ac:dyDescent="0.25">
      <c r="J530" s="125" t="s">
        <v>1353</v>
      </c>
      <c r="K530" s="115" t="s">
        <v>1354</v>
      </c>
      <c r="L530" s="121" t="s">
        <v>200</v>
      </c>
      <c r="M530" s="116">
        <v>44172</v>
      </c>
      <c r="N530" s="115">
        <v>60</v>
      </c>
      <c r="O530" s="115" t="s">
        <v>153</v>
      </c>
      <c r="P530" s="115" t="s">
        <v>1257</v>
      </c>
      <c r="Q530" s="115" t="s">
        <v>313</v>
      </c>
      <c r="R530" s="115" t="s">
        <v>35</v>
      </c>
      <c r="S530" s="122">
        <v>1</v>
      </c>
    </row>
    <row r="531" spans="10:19" x14ac:dyDescent="0.25">
      <c r="J531" s="125" t="s">
        <v>1359</v>
      </c>
      <c r="K531" s="115" t="s">
        <v>1360</v>
      </c>
      <c r="L531" s="121" t="s">
        <v>200</v>
      </c>
      <c r="M531" s="116">
        <v>44876</v>
      </c>
      <c r="N531" s="115">
        <v>55</v>
      </c>
      <c r="O531" s="115" t="s">
        <v>152</v>
      </c>
      <c r="P531" s="115" t="s">
        <v>1257</v>
      </c>
      <c r="Q531" s="115" t="s">
        <v>313</v>
      </c>
      <c r="R531" s="115" t="s">
        <v>36</v>
      </c>
      <c r="S531" s="122">
        <v>1</v>
      </c>
    </row>
    <row r="532" spans="10:19" x14ac:dyDescent="0.25">
      <c r="J532" s="125" t="s">
        <v>1362</v>
      </c>
      <c r="K532" s="115" t="s">
        <v>1363</v>
      </c>
      <c r="L532" s="121" t="s">
        <v>200</v>
      </c>
      <c r="M532" s="116">
        <v>44480</v>
      </c>
      <c r="N532" s="115">
        <v>56</v>
      </c>
      <c r="O532" s="115" t="s">
        <v>152</v>
      </c>
      <c r="P532" s="115" t="s">
        <v>1257</v>
      </c>
      <c r="Q532" s="115" t="s">
        <v>313</v>
      </c>
      <c r="R532" s="115" t="s">
        <v>36</v>
      </c>
      <c r="S532" s="122">
        <v>1</v>
      </c>
    </row>
    <row r="533" spans="10:19" x14ac:dyDescent="0.25">
      <c r="J533" s="125" t="s">
        <v>1367</v>
      </c>
      <c r="K533" s="115" t="s">
        <v>1368</v>
      </c>
      <c r="L533" s="121" t="s">
        <v>200</v>
      </c>
      <c r="M533" s="116">
        <v>44014</v>
      </c>
      <c r="N533" s="115">
        <v>61</v>
      </c>
      <c r="O533" s="115" t="s">
        <v>153</v>
      </c>
      <c r="P533" s="115" t="s">
        <v>1257</v>
      </c>
      <c r="Q533" s="115" t="s">
        <v>313</v>
      </c>
      <c r="R533" s="115" t="s">
        <v>69</v>
      </c>
      <c r="S533" s="122">
        <v>1</v>
      </c>
    </row>
    <row r="534" spans="10:19" x14ac:dyDescent="0.25">
      <c r="J534" s="125" t="s">
        <v>1379</v>
      </c>
      <c r="K534" s="115" t="s">
        <v>1380</v>
      </c>
      <c r="L534" s="121" t="s">
        <v>200</v>
      </c>
      <c r="M534" s="116">
        <v>43130</v>
      </c>
      <c r="N534" s="115">
        <v>53</v>
      </c>
      <c r="O534" s="115" t="s">
        <v>152</v>
      </c>
      <c r="P534" s="115" t="s">
        <v>1257</v>
      </c>
      <c r="Q534" s="115" t="s">
        <v>313</v>
      </c>
      <c r="R534" s="115" t="s">
        <v>35</v>
      </c>
      <c r="S534" s="122">
        <v>1</v>
      </c>
    </row>
    <row r="535" spans="10:19" x14ac:dyDescent="0.25">
      <c r="J535" s="125" t="s">
        <v>1383</v>
      </c>
      <c r="K535" s="115" t="s">
        <v>1384</v>
      </c>
      <c r="L535" s="121" t="s">
        <v>200</v>
      </c>
      <c r="M535" s="116">
        <v>44662</v>
      </c>
      <c r="N535" s="115">
        <v>68</v>
      </c>
      <c r="O535" s="115" t="s">
        <v>153</v>
      </c>
      <c r="P535" s="115" t="s">
        <v>1257</v>
      </c>
      <c r="Q535" s="115" t="s">
        <v>313</v>
      </c>
      <c r="R535" s="115" t="s">
        <v>68</v>
      </c>
      <c r="S535" s="122">
        <v>1</v>
      </c>
    </row>
    <row r="536" spans="10:19" x14ac:dyDescent="0.25">
      <c r="J536" s="125" t="s">
        <v>1400</v>
      </c>
      <c r="K536" s="115" t="s">
        <v>1401</v>
      </c>
      <c r="L536" s="121" t="s">
        <v>200</v>
      </c>
      <c r="M536" s="116">
        <v>44144</v>
      </c>
      <c r="N536" s="115">
        <v>58</v>
      </c>
      <c r="O536" s="115" t="s">
        <v>152</v>
      </c>
      <c r="P536" s="115" t="s">
        <v>1257</v>
      </c>
      <c r="Q536" s="115" t="s">
        <v>313</v>
      </c>
      <c r="R536" s="115" t="s">
        <v>72</v>
      </c>
      <c r="S536" s="122">
        <v>1</v>
      </c>
    </row>
    <row r="537" spans="10:19" x14ac:dyDescent="0.25">
      <c r="J537" s="125" t="s">
        <v>1402</v>
      </c>
      <c r="K537" s="115" t="s">
        <v>1403</v>
      </c>
      <c r="L537" s="121" t="s">
        <v>200</v>
      </c>
      <c r="M537" s="116">
        <v>45266</v>
      </c>
      <c r="N537" s="115">
        <v>23</v>
      </c>
      <c r="O537" s="115" t="s">
        <v>148</v>
      </c>
      <c r="P537" s="115" t="s">
        <v>1257</v>
      </c>
      <c r="Q537" s="115" t="s">
        <v>313</v>
      </c>
      <c r="R537" s="115" t="s">
        <v>72</v>
      </c>
      <c r="S537" s="122">
        <v>1</v>
      </c>
    </row>
    <row r="538" spans="10:19" x14ac:dyDescent="0.25">
      <c r="J538" s="125" t="s">
        <v>1404</v>
      </c>
      <c r="K538" s="115" t="s">
        <v>1405</v>
      </c>
      <c r="L538" s="121" t="s">
        <v>200</v>
      </c>
      <c r="M538" s="116">
        <v>45266</v>
      </c>
      <c r="N538" s="115">
        <v>28</v>
      </c>
      <c r="O538" s="115" t="s">
        <v>149</v>
      </c>
      <c r="P538" s="115" t="s">
        <v>1257</v>
      </c>
      <c r="Q538" s="115" t="s">
        <v>313</v>
      </c>
      <c r="R538" s="115" t="s">
        <v>69</v>
      </c>
      <c r="S538" s="122">
        <v>1</v>
      </c>
    </row>
    <row r="539" spans="10:19" x14ac:dyDescent="0.25">
      <c r="J539" s="125" t="s">
        <v>1406</v>
      </c>
      <c r="K539" s="115" t="s">
        <v>1407</v>
      </c>
      <c r="L539" s="121" t="s">
        <v>200</v>
      </c>
      <c r="M539" s="116">
        <v>45323</v>
      </c>
      <c r="N539" s="115">
        <v>20</v>
      </c>
      <c r="O539" s="115" t="s">
        <v>148</v>
      </c>
      <c r="P539" s="115" t="s">
        <v>1257</v>
      </c>
      <c r="Q539" s="115" t="s">
        <v>313</v>
      </c>
      <c r="R539" s="115" t="s">
        <v>35</v>
      </c>
      <c r="S539" s="122">
        <v>1</v>
      </c>
    </row>
    <row r="540" spans="10:19" x14ac:dyDescent="0.25">
      <c r="J540" s="125" t="s">
        <v>1408</v>
      </c>
      <c r="K540" s="115" t="s">
        <v>1409</v>
      </c>
      <c r="L540" s="121" t="s">
        <v>200</v>
      </c>
      <c r="M540" s="116">
        <v>45330</v>
      </c>
      <c r="N540" s="115">
        <v>54</v>
      </c>
      <c r="O540" s="115" t="s">
        <v>152</v>
      </c>
      <c r="P540" s="115" t="s">
        <v>1257</v>
      </c>
      <c r="Q540" s="115" t="s">
        <v>313</v>
      </c>
      <c r="R540" s="115" t="s">
        <v>36</v>
      </c>
      <c r="S540" s="122">
        <v>1</v>
      </c>
    </row>
    <row r="541" spans="10:19" x14ac:dyDescent="0.25">
      <c r="J541" s="125" t="s">
        <v>1410</v>
      </c>
      <c r="K541" s="115" t="s">
        <v>1411</v>
      </c>
      <c r="L541" s="121" t="s">
        <v>200</v>
      </c>
      <c r="M541" s="116">
        <v>45331</v>
      </c>
      <c r="N541" s="115">
        <v>21</v>
      </c>
      <c r="O541" s="115" t="s">
        <v>148</v>
      </c>
      <c r="P541" s="115" t="s">
        <v>1257</v>
      </c>
      <c r="Q541" s="115" t="s">
        <v>313</v>
      </c>
      <c r="R541" s="115" t="s">
        <v>36</v>
      </c>
      <c r="S541" s="122">
        <v>1</v>
      </c>
    </row>
    <row r="542" spans="10:19" x14ac:dyDescent="0.25">
      <c r="J542" s="125" t="s">
        <v>1412</v>
      </c>
      <c r="K542" s="115" t="s">
        <v>1413</v>
      </c>
      <c r="L542" s="121" t="s">
        <v>200</v>
      </c>
      <c r="M542" s="116">
        <v>45330</v>
      </c>
      <c r="N542" s="115">
        <v>23</v>
      </c>
      <c r="O542" s="115" t="s">
        <v>148</v>
      </c>
      <c r="P542" s="115" t="s">
        <v>1257</v>
      </c>
      <c r="Q542" s="115" t="s">
        <v>313</v>
      </c>
      <c r="R542" s="115" t="s">
        <v>35</v>
      </c>
      <c r="S542" s="122">
        <v>1</v>
      </c>
    </row>
    <row r="543" spans="10:19" x14ac:dyDescent="0.25">
      <c r="J543" s="125" t="s">
        <v>1414</v>
      </c>
      <c r="K543" s="115" t="s">
        <v>1415</v>
      </c>
      <c r="L543" s="121" t="s">
        <v>200</v>
      </c>
      <c r="M543" s="116">
        <v>45344</v>
      </c>
      <c r="N543" s="115">
        <v>54</v>
      </c>
      <c r="O543" s="115" t="s">
        <v>152</v>
      </c>
      <c r="P543" s="115" t="s">
        <v>1257</v>
      </c>
      <c r="Q543" s="115" t="s">
        <v>313</v>
      </c>
      <c r="R543" s="115" t="s">
        <v>34</v>
      </c>
      <c r="S543" s="122">
        <v>1</v>
      </c>
    </row>
    <row r="544" spans="10:19" x14ac:dyDescent="0.25">
      <c r="J544" s="125" t="s">
        <v>1416</v>
      </c>
      <c r="K544" s="115" t="s">
        <v>1417</v>
      </c>
      <c r="L544" s="121" t="s">
        <v>200</v>
      </c>
      <c r="M544" s="116">
        <v>45344</v>
      </c>
      <c r="N544" s="115">
        <v>23</v>
      </c>
      <c r="O544" s="115" t="s">
        <v>148</v>
      </c>
      <c r="P544" s="115" t="s">
        <v>1257</v>
      </c>
      <c r="Q544" s="115" t="s">
        <v>313</v>
      </c>
      <c r="R544" s="115" t="s">
        <v>35</v>
      </c>
      <c r="S544" s="122">
        <v>1</v>
      </c>
    </row>
    <row r="545" spans="10:19" x14ac:dyDescent="0.25">
      <c r="J545" s="125" t="s">
        <v>1418</v>
      </c>
      <c r="K545" s="115" t="s">
        <v>1419</v>
      </c>
      <c r="L545" s="121" t="s">
        <v>200</v>
      </c>
      <c r="M545" s="116">
        <v>45330</v>
      </c>
      <c r="N545" s="115">
        <v>21</v>
      </c>
      <c r="O545" s="115" t="s">
        <v>148</v>
      </c>
      <c r="P545" s="115" t="s">
        <v>1257</v>
      </c>
      <c r="Q545" s="115" t="s">
        <v>313</v>
      </c>
      <c r="R545" s="115" t="s">
        <v>69</v>
      </c>
      <c r="S545" s="122">
        <v>1</v>
      </c>
    </row>
    <row r="546" spans="10:19" x14ac:dyDescent="0.25">
      <c r="J546" s="125" t="s">
        <v>1424</v>
      </c>
      <c r="K546" s="115" t="s">
        <v>1425</v>
      </c>
      <c r="L546" s="121" t="s">
        <v>200</v>
      </c>
      <c r="M546" s="116">
        <v>45212</v>
      </c>
      <c r="N546" s="115">
        <v>48</v>
      </c>
      <c r="O546" s="115" t="s">
        <v>151</v>
      </c>
      <c r="P546" s="115" t="s">
        <v>1257</v>
      </c>
      <c r="Q546" s="115" t="s">
        <v>313</v>
      </c>
      <c r="R546" s="115" t="s">
        <v>69</v>
      </c>
      <c r="S546" s="122">
        <v>1</v>
      </c>
    </row>
    <row r="547" spans="10:19" x14ac:dyDescent="0.25">
      <c r="J547" s="125" t="s">
        <v>1428</v>
      </c>
      <c r="K547" s="115" t="s">
        <v>1429</v>
      </c>
      <c r="L547" s="121" t="s">
        <v>200</v>
      </c>
      <c r="M547" s="116">
        <v>43191</v>
      </c>
      <c r="N547" s="115">
        <v>53</v>
      </c>
      <c r="O547" s="115" t="s">
        <v>152</v>
      </c>
      <c r="P547" s="115" t="s">
        <v>1257</v>
      </c>
      <c r="Q547" s="115" t="s">
        <v>313</v>
      </c>
      <c r="R547" s="115" t="s">
        <v>68</v>
      </c>
      <c r="S547" s="122">
        <v>1</v>
      </c>
    </row>
    <row r="548" spans="10:19" x14ac:dyDescent="0.25">
      <c r="J548" s="125" t="s">
        <v>1430</v>
      </c>
      <c r="K548" s="115" t="s">
        <v>1431</v>
      </c>
      <c r="L548" s="121" t="s">
        <v>200</v>
      </c>
      <c r="M548" s="116">
        <v>45178</v>
      </c>
      <c r="N548" s="115">
        <v>27</v>
      </c>
      <c r="O548" s="115" t="s">
        <v>149</v>
      </c>
      <c r="P548" s="115" t="s">
        <v>1257</v>
      </c>
      <c r="Q548" s="115" t="s">
        <v>313</v>
      </c>
      <c r="R548" s="115" t="s">
        <v>36</v>
      </c>
      <c r="S548" s="122">
        <v>1</v>
      </c>
    </row>
    <row r="549" spans="10:19" x14ac:dyDescent="0.25">
      <c r="J549" s="125" t="s">
        <v>1432</v>
      </c>
      <c r="K549" s="115" t="s">
        <v>1433</v>
      </c>
      <c r="L549" s="121" t="s">
        <v>200</v>
      </c>
      <c r="M549" s="116">
        <v>45274</v>
      </c>
      <c r="N549" s="115">
        <v>37</v>
      </c>
      <c r="O549" s="115" t="s">
        <v>150</v>
      </c>
      <c r="P549" s="115" t="s">
        <v>1257</v>
      </c>
      <c r="Q549" s="115" t="s">
        <v>313</v>
      </c>
      <c r="R549" s="115" t="s">
        <v>68</v>
      </c>
      <c r="S549" s="122">
        <v>1</v>
      </c>
    </row>
    <row r="550" spans="10:19" x14ac:dyDescent="0.25">
      <c r="J550" s="125" t="s">
        <v>1434</v>
      </c>
      <c r="K550" s="115" t="s">
        <v>1435</v>
      </c>
      <c r="L550" s="121" t="s">
        <v>200</v>
      </c>
      <c r="M550" s="116">
        <v>45351</v>
      </c>
      <c r="N550" s="115">
        <v>21</v>
      </c>
      <c r="O550" s="115" t="s">
        <v>148</v>
      </c>
      <c r="P550" s="115" t="s">
        <v>1257</v>
      </c>
      <c r="Q550" s="115" t="s">
        <v>313</v>
      </c>
      <c r="R550" s="115" t="s">
        <v>34</v>
      </c>
      <c r="S550" s="122">
        <v>1</v>
      </c>
    </row>
    <row r="551" spans="10:19" x14ac:dyDescent="0.25">
      <c r="J551" s="125" t="s">
        <v>1436</v>
      </c>
      <c r="K551" s="115" t="s">
        <v>1437</v>
      </c>
      <c r="L551" s="121" t="s">
        <v>200</v>
      </c>
      <c r="M551" s="116">
        <v>45351</v>
      </c>
      <c r="N551" s="115">
        <v>21</v>
      </c>
      <c r="O551" s="115" t="s">
        <v>148</v>
      </c>
      <c r="P551" s="115" t="s">
        <v>1257</v>
      </c>
      <c r="Q551" s="115" t="s">
        <v>313</v>
      </c>
      <c r="R551" s="115" t="s">
        <v>34</v>
      </c>
      <c r="S551" s="122">
        <v>1</v>
      </c>
    </row>
    <row r="552" spans="10:19" x14ac:dyDescent="0.25">
      <c r="J552" s="125" t="s">
        <v>1438</v>
      </c>
      <c r="K552" s="115" t="s">
        <v>1439</v>
      </c>
      <c r="L552" s="121" t="s">
        <v>200</v>
      </c>
      <c r="M552" s="116">
        <v>45358</v>
      </c>
      <c r="N552" s="115">
        <v>45</v>
      </c>
      <c r="O552" s="115" t="s">
        <v>151</v>
      </c>
      <c r="P552" s="115" t="s">
        <v>1257</v>
      </c>
      <c r="Q552" s="115" t="s">
        <v>313</v>
      </c>
      <c r="R552" s="115" t="s">
        <v>34</v>
      </c>
      <c r="S552" s="122">
        <v>1</v>
      </c>
    </row>
    <row r="553" spans="10:19" x14ac:dyDescent="0.25">
      <c r="J553" s="125" t="s">
        <v>1440</v>
      </c>
      <c r="K553" s="115" t="s">
        <v>1441</v>
      </c>
      <c r="L553" s="121" t="s">
        <v>200</v>
      </c>
      <c r="M553" s="116">
        <v>45358</v>
      </c>
      <c r="N553" s="115">
        <v>27</v>
      </c>
      <c r="O553" s="115" t="s">
        <v>149</v>
      </c>
      <c r="P553" s="115" t="s">
        <v>1257</v>
      </c>
      <c r="Q553" s="115" t="s">
        <v>313</v>
      </c>
      <c r="R553" s="115" t="s">
        <v>34</v>
      </c>
      <c r="S553" s="122">
        <v>1</v>
      </c>
    </row>
    <row r="554" spans="10:19" x14ac:dyDescent="0.25">
      <c r="J554" s="125" t="s">
        <v>1442</v>
      </c>
      <c r="K554" s="115" t="s">
        <v>1443</v>
      </c>
      <c r="L554" s="121" t="s">
        <v>200</v>
      </c>
      <c r="M554" s="116">
        <v>45360</v>
      </c>
      <c r="N554" s="115">
        <v>43</v>
      </c>
      <c r="O554" s="115" t="s">
        <v>151</v>
      </c>
      <c r="P554" s="115" t="s">
        <v>1257</v>
      </c>
      <c r="Q554" s="115" t="s">
        <v>313</v>
      </c>
      <c r="R554" s="115" t="s">
        <v>34</v>
      </c>
      <c r="S554" s="122">
        <v>1</v>
      </c>
    </row>
    <row r="555" spans="10:19" x14ac:dyDescent="0.25">
      <c r="J555" s="125" t="s">
        <v>1444</v>
      </c>
      <c r="K555" s="115" t="s">
        <v>1445</v>
      </c>
      <c r="L555" s="121" t="s">
        <v>200</v>
      </c>
      <c r="M555" s="116">
        <v>45360</v>
      </c>
      <c r="N555" s="115">
        <v>21</v>
      </c>
      <c r="O555" s="115" t="s">
        <v>148</v>
      </c>
      <c r="P555" s="115" t="s">
        <v>1257</v>
      </c>
      <c r="Q555" s="115" t="s">
        <v>313</v>
      </c>
      <c r="R555" s="115" t="s">
        <v>34</v>
      </c>
      <c r="S555" s="122">
        <v>1</v>
      </c>
    </row>
    <row r="556" spans="10:19" x14ac:dyDescent="0.25">
      <c r="J556" s="125" t="s">
        <v>1446</v>
      </c>
      <c r="K556" s="115" t="s">
        <v>1447</v>
      </c>
      <c r="L556" s="121" t="s">
        <v>200</v>
      </c>
      <c r="M556" s="116">
        <v>45360</v>
      </c>
      <c r="N556" s="115">
        <v>35</v>
      </c>
      <c r="O556" s="115" t="s">
        <v>150</v>
      </c>
      <c r="P556" s="115" t="s">
        <v>1257</v>
      </c>
      <c r="Q556" s="115" t="s">
        <v>313</v>
      </c>
      <c r="R556" s="115" t="s">
        <v>36</v>
      </c>
      <c r="S556" s="122">
        <v>1</v>
      </c>
    </row>
    <row r="557" spans="10:19" x14ac:dyDescent="0.25">
      <c r="J557" s="125" t="s">
        <v>1448</v>
      </c>
      <c r="K557" s="115" t="s">
        <v>1449</v>
      </c>
      <c r="L557" s="121" t="s">
        <v>200</v>
      </c>
      <c r="M557" s="116">
        <v>45360</v>
      </c>
      <c r="N557" s="115">
        <v>23</v>
      </c>
      <c r="O557" s="115" t="s">
        <v>148</v>
      </c>
      <c r="P557" s="115" t="s">
        <v>1257</v>
      </c>
      <c r="Q557" s="115" t="s">
        <v>313</v>
      </c>
      <c r="R557" s="115" t="s">
        <v>34</v>
      </c>
      <c r="S557" s="122">
        <v>1</v>
      </c>
    </row>
    <row r="558" spans="10:19" x14ac:dyDescent="0.25">
      <c r="J558" s="125" t="s">
        <v>1450</v>
      </c>
      <c r="K558" s="115" t="s">
        <v>1451</v>
      </c>
      <c r="L558" s="121" t="s">
        <v>200</v>
      </c>
      <c r="M558" s="116">
        <v>45365</v>
      </c>
      <c r="N558" s="115">
        <v>25</v>
      </c>
      <c r="O558" s="115" t="s">
        <v>149</v>
      </c>
      <c r="P558" s="115" t="s">
        <v>1257</v>
      </c>
      <c r="Q558" s="115" t="s">
        <v>313</v>
      </c>
      <c r="R558" s="115" t="s">
        <v>34</v>
      </c>
      <c r="S558" s="122">
        <v>1</v>
      </c>
    </row>
    <row r="559" spans="10:19" x14ac:dyDescent="0.25">
      <c r="J559" s="125" t="s">
        <v>1452</v>
      </c>
      <c r="K559" s="115" t="s">
        <v>1453</v>
      </c>
      <c r="L559" s="121" t="s">
        <v>200</v>
      </c>
      <c r="M559" s="116">
        <v>45365</v>
      </c>
      <c r="N559" s="115">
        <v>28</v>
      </c>
      <c r="O559" s="115" t="s">
        <v>149</v>
      </c>
      <c r="P559" s="115" t="s">
        <v>1257</v>
      </c>
      <c r="Q559" s="115" t="s">
        <v>313</v>
      </c>
      <c r="R559" s="115" t="s">
        <v>34</v>
      </c>
      <c r="S559" s="122">
        <v>1</v>
      </c>
    </row>
    <row r="560" spans="10:19" x14ac:dyDescent="0.25">
      <c r="J560" s="125" t="s">
        <v>1454</v>
      </c>
      <c r="K560" s="115" t="s">
        <v>2586</v>
      </c>
      <c r="L560" s="121" t="s">
        <v>200</v>
      </c>
      <c r="M560" s="116">
        <v>45495</v>
      </c>
      <c r="N560" s="115">
        <v>45</v>
      </c>
      <c r="O560" s="115" t="s">
        <v>151</v>
      </c>
      <c r="P560" s="115" t="s">
        <v>162</v>
      </c>
      <c r="Q560" s="115" t="s">
        <v>313</v>
      </c>
      <c r="R560" s="115" t="s">
        <v>34</v>
      </c>
      <c r="S560" s="122">
        <v>1</v>
      </c>
    </row>
    <row r="561" spans="10:19" x14ac:dyDescent="0.25">
      <c r="J561" s="125" t="s">
        <v>1455</v>
      </c>
      <c r="K561" s="115" t="s">
        <v>1456</v>
      </c>
      <c r="L561" s="121" t="s">
        <v>200</v>
      </c>
      <c r="M561" s="116">
        <v>45374</v>
      </c>
      <c r="N561" s="115">
        <v>24</v>
      </c>
      <c r="O561" s="115" t="s">
        <v>149</v>
      </c>
      <c r="P561" s="115" t="s">
        <v>1257</v>
      </c>
      <c r="Q561" s="115" t="s">
        <v>313</v>
      </c>
      <c r="R561" s="115" t="s">
        <v>72</v>
      </c>
      <c r="S561" s="122">
        <v>1</v>
      </c>
    </row>
    <row r="562" spans="10:19" x14ac:dyDescent="0.25">
      <c r="J562" s="125" t="s">
        <v>1457</v>
      </c>
      <c r="K562" s="115" t="s">
        <v>1458</v>
      </c>
      <c r="L562" s="121" t="s">
        <v>200</v>
      </c>
      <c r="M562" s="116">
        <v>45400</v>
      </c>
      <c r="N562" s="115">
        <v>20</v>
      </c>
      <c r="O562" s="115" t="s">
        <v>148</v>
      </c>
      <c r="P562" s="116">
        <v>45554</v>
      </c>
      <c r="Q562" s="115" t="s">
        <v>313</v>
      </c>
      <c r="R562" s="115" t="s">
        <v>36</v>
      </c>
      <c r="S562" s="122">
        <v>1</v>
      </c>
    </row>
    <row r="563" spans="10:19" x14ac:dyDescent="0.25">
      <c r="J563" s="125">
        <v>44127830</v>
      </c>
      <c r="K563" s="115" t="s">
        <v>1525</v>
      </c>
      <c r="L563" s="121" t="s">
        <v>200</v>
      </c>
      <c r="M563" s="116">
        <v>45413</v>
      </c>
      <c r="N563" s="115">
        <v>37</v>
      </c>
      <c r="O563" s="115" t="s">
        <v>150</v>
      </c>
      <c r="P563" s="115" t="s">
        <v>235</v>
      </c>
      <c r="Q563" s="115" t="s">
        <v>312</v>
      </c>
      <c r="R563" s="115" t="s">
        <v>68</v>
      </c>
      <c r="S563" s="122">
        <v>1</v>
      </c>
    </row>
    <row r="564" spans="10:19" x14ac:dyDescent="0.25">
      <c r="J564" s="125">
        <v>70100651</v>
      </c>
      <c r="K564" s="115" t="s">
        <v>1528</v>
      </c>
      <c r="L564" s="121" t="s">
        <v>200</v>
      </c>
      <c r="M564" s="116">
        <v>45412</v>
      </c>
      <c r="N564" s="115">
        <v>30</v>
      </c>
      <c r="O564" s="115" t="s">
        <v>149</v>
      </c>
      <c r="P564" s="115" t="s">
        <v>235</v>
      </c>
      <c r="Q564" s="115" t="s">
        <v>312</v>
      </c>
      <c r="R564" s="115" t="s">
        <v>35</v>
      </c>
      <c r="S564" s="122">
        <v>1</v>
      </c>
    </row>
    <row r="565" spans="10:19" x14ac:dyDescent="0.25">
      <c r="J565" s="125">
        <v>47124577</v>
      </c>
      <c r="K565" s="115" t="s">
        <v>1529</v>
      </c>
      <c r="L565" s="121" t="s">
        <v>200</v>
      </c>
      <c r="M565" s="116">
        <v>45429</v>
      </c>
      <c r="N565" s="115">
        <v>33</v>
      </c>
      <c r="O565" s="115" t="s">
        <v>150</v>
      </c>
      <c r="P565" s="115" t="s">
        <v>235</v>
      </c>
      <c r="Q565" s="115" t="s">
        <v>312</v>
      </c>
      <c r="R565" s="115" t="s">
        <v>34</v>
      </c>
      <c r="S565" s="122">
        <v>1</v>
      </c>
    </row>
    <row r="566" spans="10:19" x14ac:dyDescent="0.25">
      <c r="J566" s="125">
        <v>76392101</v>
      </c>
      <c r="K566" s="115" t="s">
        <v>1531</v>
      </c>
      <c r="L566" s="121" t="s">
        <v>200</v>
      </c>
      <c r="M566" s="116">
        <v>45435</v>
      </c>
      <c r="N566" s="115">
        <v>27</v>
      </c>
      <c r="O566" s="115" t="s">
        <v>149</v>
      </c>
      <c r="P566" s="115" t="s">
        <v>235</v>
      </c>
      <c r="Q566" s="115" t="s">
        <v>312</v>
      </c>
      <c r="R566" s="115" t="s">
        <v>34</v>
      </c>
      <c r="S566" s="122">
        <v>1</v>
      </c>
    </row>
    <row r="567" spans="10:19" x14ac:dyDescent="0.25">
      <c r="J567" s="125">
        <v>72520880</v>
      </c>
      <c r="K567" s="115" t="s">
        <v>2044</v>
      </c>
      <c r="L567" s="121" t="s">
        <v>200</v>
      </c>
      <c r="M567" s="116">
        <v>45435</v>
      </c>
      <c r="N567" s="115">
        <v>26</v>
      </c>
      <c r="O567" s="115" t="s">
        <v>149</v>
      </c>
      <c r="P567" s="116">
        <v>45539</v>
      </c>
      <c r="Q567" s="115" t="s">
        <v>312</v>
      </c>
      <c r="R567" s="115" t="s">
        <v>34</v>
      </c>
      <c r="S567" s="122">
        <v>1</v>
      </c>
    </row>
    <row r="568" spans="10:19" x14ac:dyDescent="0.25">
      <c r="J568" s="125">
        <v>41652950</v>
      </c>
      <c r="K568" s="115" t="s">
        <v>1532</v>
      </c>
      <c r="L568" s="121" t="s">
        <v>200</v>
      </c>
      <c r="M568" s="116">
        <v>45412</v>
      </c>
      <c r="N568" s="115">
        <v>41</v>
      </c>
      <c r="O568" s="115" t="s">
        <v>151</v>
      </c>
      <c r="P568" s="115" t="s">
        <v>235</v>
      </c>
      <c r="Q568" s="115" t="s">
        <v>312</v>
      </c>
      <c r="R568" s="115" t="s">
        <v>34</v>
      </c>
      <c r="S568" s="122">
        <v>1</v>
      </c>
    </row>
    <row r="569" spans="10:19" x14ac:dyDescent="0.25">
      <c r="J569" s="125" t="s">
        <v>1533</v>
      </c>
      <c r="K569" s="115" t="s">
        <v>1534</v>
      </c>
      <c r="L569" s="121" t="s">
        <v>200</v>
      </c>
      <c r="M569" s="116">
        <v>40787</v>
      </c>
      <c r="N569" s="115">
        <v>59</v>
      </c>
      <c r="O569" s="115" t="s">
        <v>153</v>
      </c>
      <c r="P569" s="115" t="s">
        <v>235</v>
      </c>
      <c r="Q569" s="115" t="s">
        <v>313</v>
      </c>
      <c r="R569" s="115" t="s">
        <v>68</v>
      </c>
      <c r="S569" s="122">
        <v>1</v>
      </c>
    </row>
    <row r="570" spans="10:19" x14ac:dyDescent="0.25">
      <c r="J570" s="125">
        <v>25852919</v>
      </c>
      <c r="K570" s="115" t="s">
        <v>1538</v>
      </c>
      <c r="L570" s="121" t="s">
        <v>200</v>
      </c>
      <c r="M570" s="116">
        <v>45426</v>
      </c>
      <c r="N570" s="115">
        <v>47</v>
      </c>
      <c r="O570" s="115" t="s">
        <v>151</v>
      </c>
      <c r="P570" s="115" t="s">
        <v>235</v>
      </c>
      <c r="Q570" s="115" t="s">
        <v>313</v>
      </c>
      <c r="R570" s="115" t="s">
        <v>34</v>
      </c>
      <c r="S570" s="122">
        <v>1</v>
      </c>
    </row>
    <row r="571" spans="10:19" x14ac:dyDescent="0.25">
      <c r="J571" s="125">
        <v>75948984</v>
      </c>
      <c r="K571" s="115" t="s">
        <v>1542</v>
      </c>
      <c r="L571" s="121" t="s">
        <v>200</v>
      </c>
      <c r="M571" s="116">
        <v>45434</v>
      </c>
      <c r="N571" s="115">
        <v>29</v>
      </c>
      <c r="O571" s="115" t="s">
        <v>149</v>
      </c>
      <c r="P571" s="115" t="s">
        <v>235</v>
      </c>
      <c r="Q571" s="115" t="s">
        <v>313</v>
      </c>
      <c r="R571" s="115" t="s">
        <v>34</v>
      </c>
      <c r="S571" s="122">
        <v>1</v>
      </c>
    </row>
    <row r="572" spans="10:19" x14ac:dyDescent="0.25">
      <c r="J572" s="125">
        <v>74719315</v>
      </c>
      <c r="K572" s="115" t="s">
        <v>2814</v>
      </c>
      <c r="L572" s="121" t="s">
        <v>200</v>
      </c>
      <c r="M572" s="116">
        <v>45477</v>
      </c>
      <c r="N572" s="115">
        <v>26</v>
      </c>
      <c r="O572" s="115" t="s">
        <v>149</v>
      </c>
      <c r="P572" s="115" t="s">
        <v>162</v>
      </c>
      <c r="Q572" s="115" t="s">
        <v>313</v>
      </c>
      <c r="R572" s="115" t="s">
        <v>35</v>
      </c>
      <c r="S572" s="122">
        <v>1</v>
      </c>
    </row>
    <row r="573" spans="10:19" x14ac:dyDescent="0.25">
      <c r="J573" s="125">
        <v>77205739</v>
      </c>
      <c r="K573" s="115" t="s">
        <v>1564</v>
      </c>
      <c r="L573" s="121" t="s">
        <v>200</v>
      </c>
      <c r="M573" s="116">
        <v>45413</v>
      </c>
      <c r="N573" s="115">
        <v>20</v>
      </c>
      <c r="O573" s="115" t="s">
        <v>148</v>
      </c>
      <c r="P573" s="115" t="s">
        <v>235</v>
      </c>
      <c r="Q573" s="115" t="s">
        <v>313</v>
      </c>
      <c r="R573" s="115" t="s">
        <v>34</v>
      </c>
      <c r="S573" s="122">
        <v>1</v>
      </c>
    </row>
    <row r="574" spans="10:19" x14ac:dyDescent="0.25">
      <c r="J574" s="125">
        <v>74820873</v>
      </c>
      <c r="K574" s="115" t="s">
        <v>1565</v>
      </c>
      <c r="L574" s="121" t="s">
        <v>200</v>
      </c>
      <c r="M574" s="116">
        <v>45413</v>
      </c>
      <c r="N574" s="115">
        <v>25</v>
      </c>
      <c r="O574" s="115" t="s">
        <v>149</v>
      </c>
      <c r="P574" s="115" t="s">
        <v>235</v>
      </c>
      <c r="Q574" s="115" t="s">
        <v>313</v>
      </c>
      <c r="R574" s="115" t="s">
        <v>34</v>
      </c>
      <c r="S574" s="122">
        <v>1</v>
      </c>
    </row>
    <row r="575" spans="10:19" x14ac:dyDescent="0.25">
      <c r="J575" s="125" t="s">
        <v>1568</v>
      </c>
      <c r="K575" s="115" t="s">
        <v>1569</v>
      </c>
      <c r="L575" s="121" t="s">
        <v>200</v>
      </c>
      <c r="M575" s="116">
        <v>43438</v>
      </c>
      <c r="N575" s="115">
        <v>40</v>
      </c>
      <c r="O575" s="115" t="s">
        <v>150</v>
      </c>
      <c r="P575" s="115" t="s">
        <v>235</v>
      </c>
      <c r="Q575" s="115" t="s">
        <v>313</v>
      </c>
      <c r="R575" s="115" t="s">
        <v>68</v>
      </c>
      <c r="S575" s="122">
        <v>1</v>
      </c>
    </row>
    <row r="576" spans="10:19" x14ac:dyDescent="0.25">
      <c r="J576" s="125" t="s">
        <v>1570</v>
      </c>
      <c r="K576" s="115" t="s">
        <v>1571</v>
      </c>
      <c r="L576" s="121" t="s">
        <v>200</v>
      </c>
      <c r="M576" s="116">
        <v>45049</v>
      </c>
      <c r="N576" s="115">
        <v>30</v>
      </c>
      <c r="O576" s="115" t="s">
        <v>149</v>
      </c>
      <c r="P576" s="115" t="s">
        <v>235</v>
      </c>
      <c r="Q576" s="115" t="s">
        <v>313</v>
      </c>
      <c r="R576" s="115" t="s">
        <v>68</v>
      </c>
      <c r="S576" s="122">
        <v>1</v>
      </c>
    </row>
    <row r="577" spans="10:19" x14ac:dyDescent="0.25">
      <c r="J577" s="125" t="s">
        <v>1572</v>
      </c>
      <c r="K577" s="115" t="s">
        <v>1573</v>
      </c>
      <c r="L577" s="121" t="s">
        <v>200</v>
      </c>
      <c r="M577" s="116">
        <v>44995</v>
      </c>
      <c r="N577" s="115">
        <v>36</v>
      </c>
      <c r="O577" s="115" t="s">
        <v>150</v>
      </c>
      <c r="P577" s="115" t="s">
        <v>235</v>
      </c>
      <c r="Q577" s="115" t="s">
        <v>313</v>
      </c>
      <c r="R577" s="115" t="s">
        <v>34</v>
      </c>
      <c r="S577" s="122">
        <v>1</v>
      </c>
    </row>
    <row r="578" spans="10:19" x14ac:dyDescent="0.25">
      <c r="J578" s="125" t="s">
        <v>1574</v>
      </c>
      <c r="K578" s="115" t="s">
        <v>1575</v>
      </c>
      <c r="L578" s="121" t="s">
        <v>200</v>
      </c>
      <c r="M578" s="116">
        <v>44896</v>
      </c>
      <c r="N578" s="115">
        <v>49</v>
      </c>
      <c r="O578" s="115" t="s">
        <v>151</v>
      </c>
      <c r="P578" s="115" t="s">
        <v>235</v>
      </c>
      <c r="Q578" s="115" t="s">
        <v>313</v>
      </c>
      <c r="R578" s="115" t="s">
        <v>36</v>
      </c>
      <c r="S578" s="122">
        <v>1</v>
      </c>
    </row>
    <row r="579" spans="10:19" x14ac:dyDescent="0.25">
      <c r="J579" s="125" t="s">
        <v>1576</v>
      </c>
      <c r="K579" s="115" t="s">
        <v>1577</v>
      </c>
      <c r="L579" s="121" t="s">
        <v>200</v>
      </c>
      <c r="M579" s="116">
        <v>43537</v>
      </c>
      <c r="N579" s="115">
        <v>28</v>
      </c>
      <c r="O579" s="115" t="s">
        <v>149</v>
      </c>
      <c r="P579" s="115" t="s">
        <v>235</v>
      </c>
      <c r="Q579" s="115" t="s">
        <v>313</v>
      </c>
      <c r="R579" s="115" t="s">
        <v>36</v>
      </c>
      <c r="S579" s="122">
        <v>1</v>
      </c>
    </row>
    <row r="580" spans="10:19" x14ac:dyDescent="0.25">
      <c r="J580" s="125" t="s">
        <v>1578</v>
      </c>
      <c r="K580" s="115" t="s">
        <v>1579</v>
      </c>
      <c r="L580" s="121" t="s">
        <v>200</v>
      </c>
      <c r="M580" s="116">
        <v>44294</v>
      </c>
      <c r="N580" s="115">
        <v>26</v>
      </c>
      <c r="O580" s="115" t="s">
        <v>149</v>
      </c>
      <c r="P580" s="115" t="s">
        <v>235</v>
      </c>
      <c r="Q580" s="115" t="s">
        <v>313</v>
      </c>
      <c r="R580" s="115" t="s">
        <v>36</v>
      </c>
      <c r="S580" s="122">
        <v>1</v>
      </c>
    </row>
    <row r="581" spans="10:19" x14ac:dyDescent="0.25">
      <c r="J581" s="125" t="s">
        <v>1580</v>
      </c>
      <c r="K581" s="115" t="s">
        <v>1581</v>
      </c>
      <c r="L581" s="121" t="s">
        <v>200</v>
      </c>
      <c r="M581" s="116">
        <v>45086</v>
      </c>
      <c r="N581" s="115">
        <v>40</v>
      </c>
      <c r="O581" s="115" t="s">
        <v>150</v>
      </c>
      <c r="P581" s="115" t="s">
        <v>235</v>
      </c>
      <c r="Q581" s="115" t="s">
        <v>313</v>
      </c>
      <c r="R581" s="115" t="s">
        <v>34</v>
      </c>
      <c r="S581" s="122">
        <v>1</v>
      </c>
    </row>
    <row r="582" spans="10:19" x14ac:dyDescent="0.25">
      <c r="J582" s="125" t="s">
        <v>1582</v>
      </c>
      <c r="K582" s="115" t="s">
        <v>1583</v>
      </c>
      <c r="L582" s="121" t="s">
        <v>200</v>
      </c>
      <c r="M582" s="116">
        <v>44893</v>
      </c>
      <c r="N582" s="115">
        <v>51</v>
      </c>
      <c r="O582" s="115" t="s">
        <v>152</v>
      </c>
      <c r="P582" s="115" t="s">
        <v>235</v>
      </c>
      <c r="Q582" s="115" t="s">
        <v>313</v>
      </c>
      <c r="R582" s="115" t="s">
        <v>34</v>
      </c>
      <c r="S582" s="122">
        <v>1</v>
      </c>
    </row>
    <row r="583" spans="10:19" x14ac:dyDescent="0.25">
      <c r="J583" s="125" t="s">
        <v>1584</v>
      </c>
      <c r="K583" s="115" t="s">
        <v>1585</v>
      </c>
      <c r="L583" s="121" t="s">
        <v>200</v>
      </c>
      <c r="M583" s="116">
        <v>44204</v>
      </c>
      <c r="N583" s="115">
        <v>30</v>
      </c>
      <c r="O583" s="115" t="s">
        <v>149</v>
      </c>
      <c r="P583" s="115" t="s">
        <v>235</v>
      </c>
      <c r="Q583" s="115" t="s">
        <v>313</v>
      </c>
      <c r="R583" s="115" t="s">
        <v>68</v>
      </c>
      <c r="S583" s="122">
        <v>1</v>
      </c>
    </row>
    <row r="584" spans="10:19" x14ac:dyDescent="0.25">
      <c r="J584" s="125" t="s">
        <v>1586</v>
      </c>
      <c r="K584" s="115" t="s">
        <v>1587</v>
      </c>
      <c r="L584" s="121" t="s">
        <v>200</v>
      </c>
      <c r="M584" s="116">
        <v>45037</v>
      </c>
      <c r="N584" s="115">
        <v>31</v>
      </c>
      <c r="O584" s="115" t="s">
        <v>149</v>
      </c>
      <c r="P584" s="115" t="s">
        <v>235</v>
      </c>
      <c r="Q584" s="115" t="s">
        <v>313</v>
      </c>
      <c r="R584" s="115" t="s">
        <v>34</v>
      </c>
      <c r="S584" s="122">
        <v>1</v>
      </c>
    </row>
    <row r="585" spans="10:19" x14ac:dyDescent="0.25">
      <c r="J585" s="125" t="s">
        <v>1588</v>
      </c>
      <c r="K585" s="115" t="s">
        <v>1589</v>
      </c>
      <c r="L585" s="121" t="s">
        <v>200</v>
      </c>
      <c r="M585" s="116">
        <v>43525</v>
      </c>
      <c r="N585" s="115">
        <v>45</v>
      </c>
      <c r="O585" s="115" t="s">
        <v>151</v>
      </c>
      <c r="P585" s="115" t="s">
        <v>235</v>
      </c>
      <c r="Q585" s="115" t="s">
        <v>313</v>
      </c>
      <c r="R585" s="115" t="s">
        <v>34</v>
      </c>
      <c r="S585" s="122">
        <v>1</v>
      </c>
    </row>
    <row r="586" spans="10:19" x14ac:dyDescent="0.25">
      <c r="J586" s="125" t="s">
        <v>1590</v>
      </c>
      <c r="K586" s="115" t="s">
        <v>1591</v>
      </c>
      <c r="L586" s="121" t="s">
        <v>200</v>
      </c>
      <c r="M586" s="116">
        <v>42590</v>
      </c>
      <c r="N586" s="115">
        <v>35</v>
      </c>
      <c r="O586" s="115" t="s">
        <v>150</v>
      </c>
      <c r="P586" s="115" t="s">
        <v>235</v>
      </c>
      <c r="Q586" s="115" t="s">
        <v>313</v>
      </c>
      <c r="R586" s="115" t="s">
        <v>34</v>
      </c>
      <c r="S586" s="122">
        <v>1</v>
      </c>
    </row>
    <row r="587" spans="10:19" x14ac:dyDescent="0.25">
      <c r="J587" s="125" t="s">
        <v>1592</v>
      </c>
      <c r="K587" s="115" t="s">
        <v>1593</v>
      </c>
      <c r="L587" s="121" t="s">
        <v>200</v>
      </c>
      <c r="M587" s="116">
        <v>44893</v>
      </c>
      <c r="N587" s="115">
        <v>31</v>
      </c>
      <c r="O587" s="115" t="s">
        <v>149</v>
      </c>
      <c r="P587" s="115" t="s">
        <v>235</v>
      </c>
      <c r="Q587" s="115" t="s">
        <v>313</v>
      </c>
      <c r="R587" s="115" t="s">
        <v>69</v>
      </c>
      <c r="S587" s="122">
        <v>1</v>
      </c>
    </row>
    <row r="588" spans="10:19" x14ac:dyDescent="0.25">
      <c r="J588" s="125" t="s">
        <v>1594</v>
      </c>
      <c r="K588" s="115" t="s">
        <v>1595</v>
      </c>
      <c r="L588" s="121" t="s">
        <v>200</v>
      </c>
      <c r="M588" s="116">
        <v>45016</v>
      </c>
      <c r="N588" s="115">
        <v>47</v>
      </c>
      <c r="O588" s="115" t="s">
        <v>151</v>
      </c>
      <c r="P588" s="115" t="s">
        <v>235</v>
      </c>
      <c r="Q588" s="115" t="s">
        <v>313</v>
      </c>
      <c r="R588" s="115" t="s">
        <v>34</v>
      </c>
      <c r="S588" s="122">
        <v>1</v>
      </c>
    </row>
    <row r="589" spans="10:19" x14ac:dyDescent="0.25">
      <c r="J589" s="125" t="s">
        <v>1596</v>
      </c>
      <c r="K589" s="115" t="s">
        <v>1597</v>
      </c>
      <c r="L589" s="121" t="s">
        <v>200</v>
      </c>
      <c r="M589" s="116">
        <v>44945</v>
      </c>
      <c r="N589" s="115">
        <v>29</v>
      </c>
      <c r="O589" s="115" t="s">
        <v>149</v>
      </c>
      <c r="P589" s="115" t="s">
        <v>235</v>
      </c>
      <c r="Q589" s="115" t="s">
        <v>313</v>
      </c>
      <c r="R589" s="115" t="s">
        <v>34</v>
      </c>
      <c r="S589" s="122">
        <v>1</v>
      </c>
    </row>
    <row r="590" spans="10:19" x14ac:dyDescent="0.25">
      <c r="J590" s="125" t="s">
        <v>1598</v>
      </c>
      <c r="K590" s="115" t="s">
        <v>1599</v>
      </c>
      <c r="L590" s="121" t="s">
        <v>200</v>
      </c>
      <c r="M590" s="116">
        <v>45049</v>
      </c>
      <c r="N590" s="115">
        <v>31</v>
      </c>
      <c r="O590" s="115" t="s">
        <v>149</v>
      </c>
      <c r="P590" s="115" t="s">
        <v>235</v>
      </c>
      <c r="Q590" s="115" t="s">
        <v>313</v>
      </c>
      <c r="R590" s="115" t="s">
        <v>34</v>
      </c>
      <c r="S590" s="122">
        <v>1</v>
      </c>
    </row>
    <row r="591" spans="10:19" x14ac:dyDescent="0.25">
      <c r="J591" s="125" t="s">
        <v>1600</v>
      </c>
      <c r="K591" s="115" t="s">
        <v>1601</v>
      </c>
      <c r="L591" s="121" t="s">
        <v>200</v>
      </c>
      <c r="M591" s="116">
        <v>45086</v>
      </c>
      <c r="N591" s="115">
        <v>28</v>
      </c>
      <c r="O591" s="115" t="s">
        <v>149</v>
      </c>
      <c r="P591" s="115" t="s">
        <v>235</v>
      </c>
      <c r="Q591" s="115" t="s">
        <v>313</v>
      </c>
      <c r="R591" s="115" t="s">
        <v>34</v>
      </c>
      <c r="S591" s="122">
        <v>1</v>
      </c>
    </row>
    <row r="592" spans="10:19" x14ac:dyDescent="0.25">
      <c r="J592" s="125" t="s">
        <v>1602</v>
      </c>
      <c r="K592" s="115" t="s">
        <v>1603</v>
      </c>
      <c r="L592" s="121" t="s">
        <v>200</v>
      </c>
      <c r="M592" s="116">
        <v>44896</v>
      </c>
      <c r="N592" s="115">
        <v>45</v>
      </c>
      <c r="O592" s="115" t="s">
        <v>151</v>
      </c>
      <c r="P592" s="115" t="s">
        <v>235</v>
      </c>
      <c r="Q592" s="115" t="s">
        <v>313</v>
      </c>
      <c r="R592" s="115" t="s">
        <v>34</v>
      </c>
      <c r="S592" s="122">
        <v>1</v>
      </c>
    </row>
    <row r="593" spans="10:19" x14ac:dyDescent="0.25">
      <c r="J593" s="125" t="s">
        <v>1604</v>
      </c>
      <c r="K593" s="115" t="s">
        <v>1605</v>
      </c>
      <c r="L593" s="121" t="s">
        <v>200</v>
      </c>
      <c r="M593" s="116">
        <v>45029</v>
      </c>
      <c r="N593" s="115">
        <v>46</v>
      </c>
      <c r="O593" s="115" t="s">
        <v>151</v>
      </c>
      <c r="P593" s="115" t="s">
        <v>235</v>
      </c>
      <c r="Q593" s="115" t="s">
        <v>313</v>
      </c>
      <c r="R593" s="115" t="s">
        <v>34</v>
      </c>
      <c r="S593" s="122">
        <v>1</v>
      </c>
    </row>
    <row r="594" spans="10:19" x14ac:dyDescent="0.25">
      <c r="J594" s="125" t="s">
        <v>1606</v>
      </c>
      <c r="K594" s="115" t="s">
        <v>1607</v>
      </c>
      <c r="L594" s="121" t="s">
        <v>200</v>
      </c>
      <c r="M594" s="116">
        <v>44740</v>
      </c>
      <c r="N594" s="115">
        <v>37</v>
      </c>
      <c r="O594" s="115" t="s">
        <v>150</v>
      </c>
      <c r="P594" s="115" t="s">
        <v>235</v>
      </c>
      <c r="Q594" s="115" t="s">
        <v>313</v>
      </c>
      <c r="R594" s="115" t="s">
        <v>68</v>
      </c>
      <c r="S594" s="122">
        <v>1</v>
      </c>
    </row>
    <row r="595" spans="10:19" x14ac:dyDescent="0.25">
      <c r="J595" s="125" t="s">
        <v>1608</v>
      </c>
      <c r="K595" s="115" t="s">
        <v>1609</v>
      </c>
      <c r="L595" s="121" t="s">
        <v>200</v>
      </c>
      <c r="M595" s="116">
        <v>45016</v>
      </c>
      <c r="N595" s="115">
        <v>37</v>
      </c>
      <c r="O595" s="115" t="s">
        <v>150</v>
      </c>
      <c r="P595" s="115" t="s">
        <v>235</v>
      </c>
      <c r="Q595" s="115" t="s">
        <v>313</v>
      </c>
      <c r="R595" s="115" t="s">
        <v>105</v>
      </c>
      <c r="S595" s="122">
        <v>1</v>
      </c>
    </row>
    <row r="596" spans="10:19" x14ac:dyDescent="0.25">
      <c r="J596" s="125" t="s">
        <v>1610</v>
      </c>
      <c r="K596" s="115" t="s">
        <v>1611</v>
      </c>
      <c r="L596" s="121" t="s">
        <v>200</v>
      </c>
      <c r="M596" s="116">
        <v>43535</v>
      </c>
      <c r="N596" s="115">
        <v>40</v>
      </c>
      <c r="O596" s="115" t="s">
        <v>150</v>
      </c>
      <c r="P596" s="115" t="s">
        <v>235</v>
      </c>
      <c r="Q596" s="115" t="s">
        <v>313</v>
      </c>
      <c r="R596" s="115" t="s">
        <v>34</v>
      </c>
      <c r="S596" s="122">
        <v>1</v>
      </c>
    </row>
    <row r="597" spans="10:19" x14ac:dyDescent="0.25">
      <c r="J597" s="125" t="s">
        <v>1612</v>
      </c>
      <c r="K597" s="115" t="s">
        <v>1613</v>
      </c>
      <c r="L597" s="121" t="s">
        <v>200</v>
      </c>
      <c r="M597" s="116">
        <v>45078</v>
      </c>
      <c r="N597" s="115">
        <v>35</v>
      </c>
      <c r="O597" s="115" t="s">
        <v>150</v>
      </c>
      <c r="P597" s="115" t="s">
        <v>235</v>
      </c>
      <c r="Q597" s="115" t="s">
        <v>313</v>
      </c>
      <c r="R597" s="115" t="s">
        <v>34</v>
      </c>
      <c r="S597" s="122">
        <v>1</v>
      </c>
    </row>
    <row r="598" spans="10:19" x14ac:dyDescent="0.25">
      <c r="J598" s="125" t="s">
        <v>1614</v>
      </c>
      <c r="K598" s="115" t="s">
        <v>1615</v>
      </c>
      <c r="L598" s="121" t="s">
        <v>200</v>
      </c>
      <c r="M598" s="116">
        <v>43752</v>
      </c>
      <c r="N598" s="115">
        <v>40</v>
      </c>
      <c r="O598" s="115" t="s">
        <v>150</v>
      </c>
      <c r="P598" s="115" t="s">
        <v>235</v>
      </c>
      <c r="Q598" s="115" t="s">
        <v>313</v>
      </c>
      <c r="R598" s="115" t="s">
        <v>36</v>
      </c>
      <c r="S598" s="122">
        <v>1</v>
      </c>
    </row>
    <row r="599" spans="10:19" x14ac:dyDescent="0.25">
      <c r="J599" s="125" t="s">
        <v>1616</v>
      </c>
      <c r="K599" s="115" t="s">
        <v>1617</v>
      </c>
      <c r="L599" s="121" t="s">
        <v>200</v>
      </c>
      <c r="M599" s="116">
        <v>44379</v>
      </c>
      <c r="N599" s="115">
        <v>39</v>
      </c>
      <c r="O599" s="115" t="s">
        <v>150</v>
      </c>
      <c r="P599" s="115" t="s">
        <v>235</v>
      </c>
      <c r="Q599" s="115" t="s">
        <v>313</v>
      </c>
      <c r="R599" s="115" t="s">
        <v>68</v>
      </c>
      <c r="S599" s="122">
        <v>1</v>
      </c>
    </row>
    <row r="600" spans="10:19" x14ac:dyDescent="0.25">
      <c r="J600" s="125" t="s">
        <v>1618</v>
      </c>
      <c r="K600" s="115" t="s">
        <v>1619</v>
      </c>
      <c r="L600" s="121" t="s">
        <v>200</v>
      </c>
      <c r="M600" s="116">
        <v>45013</v>
      </c>
      <c r="N600" s="115">
        <v>44</v>
      </c>
      <c r="O600" s="115" t="s">
        <v>151</v>
      </c>
      <c r="P600" s="115" t="s">
        <v>235</v>
      </c>
      <c r="Q600" s="115" t="s">
        <v>313</v>
      </c>
      <c r="R600" s="115" t="s">
        <v>34</v>
      </c>
      <c r="S600" s="122">
        <v>1</v>
      </c>
    </row>
    <row r="601" spans="10:19" x14ac:dyDescent="0.25">
      <c r="J601" s="125" t="s">
        <v>1620</v>
      </c>
      <c r="K601" s="115" t="s">
        <v>1621</v>
      </c>
      <c r="L601" s="121" t="s">
        <v>200</v>
      </c>
      <c r="M601" s="116">
        <v>45001</v>
      </c>
      <c r="N601" s="115">
        <v>40</v>
      </c>
      <c r="O601" s="115" t="s">
        <v>150</v>
      </c>
      <c r="P601" s="115" t="s">
        <v>235</v>
      </c>
      <c r="Q601" s="115" t="s">
        <v>313</v>
      </c>
      <c r="R601" s="115" t="s">
        <v>35</v>
      </c>
      <c r="S601" s="122">
        <v>1</v>
      </c>
    </row>
    <row r="602" spans="10:19" x14ac:dyDescent="0.25">
      <c r="J602" s="125" t="s">
        <v>1622</v>
      </c>
      <c r="K602" s="115" t="s">
        <v>1623</v>
      </c>
      <c r="L602" s="121" t="s">
        <v>200</v>
      </c>
      <c r="M602" s="116">
        <v>43613</v>
      </c>
      <c r="N602" s="115">
        <v>50</v>
      </c>
      <c r="O602" s="115" t="s">
        <v>152</v>
      </c>
      <c r="P602" s="115" t="s">
        <v>235</v>
      </c>
      <c r="Q602" s="115" t="s">
        <v>313</v>
      </c>
      <c r="R602" s="115" t="s">
        <v>36</v>
      </c>
      <c r="S602" s="122">
        <v>1</v>
      </c>
    </row>
    <row r="603" spans="10:19" x14ac:dyDescent="0.25">
      <c r="J603" s="125" t="s">
        <v>1624</v>
      </c>
      <c r="K603" s="115" t="s">
        <v>1625</v>
      </c>
      <c r="L603" s="121" t="s">
        <v>200</v>
      </c>
      <c r="M603" s="116">
        <v>43694</v>
      </c>
      <c r="N603" s="115">
        <v>37</v>
      </c>
      <c r="O603" s="115" t="s">
        <v>150</v>
      </c>
      <c r="P603" s="115" t="s">
        <v>235</v>
      </c>
      <c r="Q603" s="115" t="s">
        <v>313</v>
      </c>
      <c r="R603" s="115" t="s">
        <v>36</v>
      </c>
      <c r="S603" s="122">
        <v>1</v>
      </c>
    </row>
    <row r="604" spans="10:19" x14ac:dyDescent="0.25">
      <c r="J604" s="125" t="s">
        <v>1626</v>
      </c>
      <c r="K604" s="115" t="s">
        <v>1627</v>
      </c>
      <c r="L604" s="121" t="s">
        <v>200</v>
      </c>
      <c r="M604" s="116">
        <v>44896</v>
      </c>
      <c r="N604" s="115">
        <v>36</v>
      </c>
      <c r="O604" s="115" t="s">
        <v>150</v>
      </c>
      <c r="P604" s="115" t="s">
        <v>235</v>
      </c>
      <c r="Q604" s="115" t="s">
        <v>313</v>
      </c>
      <c r="R604" s="115" t="s">
        <v>69</v>
      </c>
      <c r="S604" s="122">
        <v>1</v>
      </c>
    </row>
    <row r="605" spans="10:19" x14ac:dyDescent="0.25">
      <c r="J605" s="125" t="s">
        <v>1628</v>
      </c>
      <c r="K605" s="115" t="s">
        <v>1629</v>
      </c>
      <c r="L605" s="121" t="s">
        <v>200</v>
      </c>
      <c r="M605" s="116">
        <v>45013</v>
      </c>
      <c r="N605" s="115">
        <v>49</v>
      </c>
      <c r="O605" s="115" t="s">
        <v>151</v>
      </c>
      <c r="P605" s="115" t="s">
        <v>235</v>
      </c>
      <c r="Q605" s="115" t="s">
        <v>313</v>
      </c>
      <c r="R605" s="115" t="s">
        <v>34</v>
      </c>
      <c r="S605" s="122">
        <v>1</v>
      </c>
    </row>
    <row r="606" spans="10:19" x14ac:dyDescent="0.25">
      <c r="J606" s="125" t="s">
        <v>1630</v>
      </c>
      <c r="K606" s="115" t="s">
        <v>1631</v>
      </c>
      <c r="L606" s="121" t="s">
        <v>200</v>
      </c>
      <c r="M606" s="116">
        <v>44896</v>
      </c>
      <c r="N606" s="115">
        <v>29</v>
      </c>
      <c r="O606" s="115" t="s">
        <v>149</v>
      </c>
      <c r="P606" s="115" t="s">
        <v>235</v>
      </c>
      <c r="Q606" s="115" t="s">
        <v>313</v>
      </c>
      <c r="R606" s="115" t="s">
        <v>34</v>
      </c>
      <c r="S606" s="122">
        <v>1</v>
      </c>
    </row>
    <row r="607" spans="10:19" x14ac:dyDescent="0.25">
      <c r="J607" s="125" t="s">
        <v>1632</v>
      </c>
      <c r="K607" s="115" t="s">
        <v>1633</v>
      </c>
      <c r="L607" s="121" t="s">
        <v>200</v>
      </c>
      <c r="M607" s="116">
        <v>45029</v>
      </c>
      <c r="N607" s="115">
        <v>25</v>
      </c>
      <c r="O607" s="115" t="s">
        <v>149</v>
      </c>
      <c r="P607" s="115" t="s">
        <v>235</v>
      </c>
      <c r="Q607" s="115" t="s">
        <v>313</v>
      </c>
      <c r="R607" s="115" t="s">
        <v>105</v>
      </c>
      <c r="S607" s="122">
        <v>1</v>
      </c>
    </row>
    <row r="608" spans="10:19" x14ac:dyDescent="0.25">
      <c r="J608" s="125" t="s">
        <v>1634</v>
      </c>
      <c r="K608" s="115" t="s">
        <v>1635</v>
      </c>
      <c r="L608" s="121" t="s">
        <v>200</v>
      </c>
      <c r="M608" s="116">
        <v>42787</v>
      </c>
      <c r="N608" s="115">
        <v>30</v>
      </c>
      <c r="O608" s="115" t="s">
        <v>149</v>
      </c>
      <c r="P608" s="115" t="s">
        <v>235</v>
      </c>
      <c r="Q608" s="115" t="s">
        <v>313</v>
      </c>
      <c r="R608" s="115" t="s">
        <v>34</v>
      </c>
      <c r="S608" s="122">
        <v>1</v>
      </c>
    </row>
    <row r="609" spans="10:19" x14ac:dyDescent="0.25">
      <c r="J609" s="125" t="s">
        <v>1636</v>
      </c>
      <c r="K609" s="115" t="s">
        <v>1637</v>
      </c>
      <c r="L609" s="121" t="s">
        <v>200</v>
      </c>
      <c r="M609" s="116">
        <v>44896</v>
      </c>
      <c r="N609" s="115">
        <v>45</v>
      </c>
      <c r="O609" s="115" t="s">
        <v>151</v>
      </c>
      <c r="P609" s="115" t="s">
        <v>235</v>
      </c>
      <c r="Q609" s="115" t="s">
        <v>313</v>
      </c>
      <c r="R609" s="115" t="s">
        <v>34</v>
      </c>
      <c r="S609" s="122">
        <v>1</v>
      </c>
    </row>
    <row r="610" spans="10:19" x14ac:dyDescent="0.25">
      <c r="J610" s="125" t="s">
        <v>1638</v>
      </c>
      <c r="K610" s="115" t="s">
        <v>1639</v>
      </c>
      <c r="L610" s="121" t="s">
        <v>200</v>
      </c>
      <c r="M610" s="116">
        <v>44740</v>
      </c>
      <c r="N610" s="115">
        <v>37</v>
      </c>
      <c r="O610" s="115" t="s">
        <v>150</v>
      </c>
      <c r="P610" s="115" t="s">
        <v>235</v>
      </c>
      <c r="Q610" s="115" t="s">
        <v>313</v>
      </c>
      <c r="R610" s="115" t="s">
        <v>68</v>
      </c>
      <c r="S610" s="122">
        <v>1</v>
      </c>
    </row>
    <row r="611" spans="10:19" x14ac:dyDescent="0.25">
      <c r="J611" s="125" t="s">
        <v>1641</v>
      </c>
      <c r="K611" s="115" t="s">
        <v>1642</v>
      </c>
      <c r="L611" s="121" t="s">
        <v>200</v>
      </c>
      <c r="M611" s="116">
        <v>44893</v>
      </c>
      <c r="N611" s="115">
        <v>31</v>
      </c>
      <c r="O611" s="115" t="s">
        <v>149</v>
      </c>
      <c r="P611" s="115" t="s">
        <v>235</v>
      </c>
      <c r="Q611" s="115" t="s">
        <v>313</v>
      </c>
      <c r="R611" s="115" t="s">
        <v>34</v>
      </c>
      <c r="S611" s="122">
        <v>1</v>
      </c>
    </row>
    <row r="612" spans="10:19" x14ac:dyDescent="0.25">
      <c r="J612" s="125" t="s">
        <v>1643</v>
      </c>
      <c r="K612" s="115" t="s">
        <v>1644</v>
      </c>
      <c r="L612" s="121" t="s">
        <v>200</v>
      </c>
      <c r="M612" s="116">
        <v>44734</v>
      </c>
      <c r="N612" s="115">
        <v>24</v>
      </c>
      <c r="O612" s="115" t="s">
        <v>149</v>
      </c>
      <c r="P612" s="115" t="s">
        <v>235</v>
      </c>
      <c r="Q612" s="115" t="s">
        <v>313</v>
      </c>
      <c r="R612" s="115" t="s">
        <v>34</v>
      </c>
      <c r="S612" s="122">
        <v>1</v>
      </c>
    </row>
    <row r="613" spans="10:19" x14ac:dyDescent="0.25">
      <c r="J613" s="125" t="s">
        <v>1645</v>
      </c>
      <c r="K613" s="115" t="s">
        <v>1646</v>
      </c>
      <c r="L613" s="121" t="s">
        <v>200</v>
      </c>
      <c r="M613" s="116">
        <v>43532</v>
      </c>
      <c r="N613" s="115">
        <v>58</v>
      </c>
      <c r="O613" s="115" t="s">
        <v>152</v>
      </c>
      <c r="P613" s="115" t="s">
        <v>235</v>
      </c>
      <c r="Q613" s="115" t="s">
        <v>313</v>
      </c>
      <c r="R613" s="115" t="s">
        <v>34</v>
      </c>
      <c r="S613" s="122">
        <v>1</v>
      </c>
    </row>
    <row r="614" spans="10:19" x14ac:dyDescent="0.25">
      <c r="J614" s="125" t="s">
        <v>1647</v>
      </c>
      <c r="K614" s="115" t="s">
        <v>1648</v>
      </c>
      <c r="L614" s="121" t="s">
        <v>200</v>
      </c>
      <c r="M614" s="116">
        <v>45078</v>
      </c>
      <c r="N614" s="115">
        <v>36</v>
      </c>
      <c r="O614" s="115" t="s">
        <v>150</v>
      </c>
      <c r="P614" s="115" t="s">
        <v>235</v>
      </c>
      <c r="Q614" s="115" t="s">
        <v>313</v>
      </c>
      <c r="R614" s="115" t="s">
        <v>34</v>
      </c>
      <c r="S614" s="122">
        <v>1</v>
      </c>
    </row>
    <row r="615" spans="10:19" x14ac:dyDescent="0.25">
      <c r="J615" s="125" t="s">
        <v>1649</v>
      </c>
      <c r="K615" s="115" t="s">
        <v>1650</v>
      </c>
      <c r="L615" s="121" t="s">
        <v>200</v>
      </c>
      <c r="M615" s="116">
        <v>45103</v>
      </c>
      <c r="N615" s="115">
        <v>52</v>
      </c>
      <c r="O615" s="115" t="s">
        <v>152</v>
      </c>
      <c r="P615" s="115" t="s">
        <v>235</v>
      </c>
      <c r="Q615" s="115" t="s">
        <v>313</v>
      </c>
      <c r="R615" s="115" t="s">
        <v>34</v>
      </c>
      <c r="S615" s="122">
        <v>1</v>
      </c>
    </row>
    <row r="616" spans="10:19" x14ac:dyDescent="0.25">
      <c r="J616" s="125" t="s">
        <v>1651</v>
      </c>
      <c r="K616" s="115" t="s">
        <v>1652</v>
      </c>
      <c r="L616" s="121" t="s">
        <v>200</v>
      </c>
      <c r="M616" s="116">
        <v>45103</v>
      </c>
      <c r="N616" s="115">
        <v>52</v>
      </c>
      <c r="O616" s="115" t="s">
        <v>152</v>
      </c>
      <c r="P616" s="115" t="s">
        <v>235</v>
      </c>
      <c r="Q616" s="115" t="s">
        <v>313</v>
      </c>
      <c r="R616" s="115" t="s">
        <v>34</v>
      </c>
      <c r="S616" s="122">
        <v>1</v>
      </c>
    </row>
    <row r="617" spans="10:19" x14ac:dyDescent="0.25">
      <c r="J617" s="125" t="s">
        <v>1653</v>
      </c>
      <c r="K617" s="115" t="s">
        <v>1202</v>
      </c>
      <c r="L617" s="121" t="s">
        <v>200</v>
      </c>
      <c r="M617" s="116">
        <v>45111</v>
      </c>
      <c r="N617" s="115">
        <v>31</v>
      </c>
      <c r="O617" s="115" t="s">
        <v>149</v>
      </c>
      <c r="P617" s="115" t="s">
        <v>235</v>
      </c>
      <c r="Q617" s="115" t="s">
        <v>313</v>
      </c>
      <c r="R617" s="115" t="s">
        <v>34</v>
      </c>
      <c r="S617" s="122">
        <v>0.5</v>
      </c>
    </row>
    <row r="618" spans="10:19" x14ac:dyDescent="0.25">
      <c r="J618" s="125" t="s">
        <v>1654</v>
      </c>
      <c r="K618" s="115" t="s">
        <v>1655</v>
      </c>
      <c r="L618" s="121" t="s">
        <v>200</v>
      </c>
      <c r="M618" s="116">
        <v>45120</v>
      </c>
      <c r="N618" s="115">
        <v>36</v>
      </c>
      <c r="O618" s="115" t="s">
        <v>150</v>
      </c>
      <c r="P618" s="115" t="s">
        <v>235</v>
      </c>
      <c r="Q618" s="115" t="s">
        <v>313</v>
      </c>
      <c r="R618" s="115" t="s">
        <v>34</v>
      </c>
      <c r="S618" s="122">
        <v>1</v>
      </c>
    </row>
    <row r="619" spans="10:19" x14ac:dyDescent="0.25">
      <c r="J619" s="125" t="s">
        <v>1657</v>
      </c>
      <c r="K619" s="115" t="s">
        <v>1658</v>
      </c>
      <c r="L619" s="121" t="s">
        <v>200</v>
      </c>
      <c r="M619" s="116">
        <v>44935</v>
      </c>
      <c r="N619" s="115">
        <v>32</v>
      </c>
      <c r="O619" s="115" t="s">
        <v>150</v>
      </c>
      <c r="P619" s="115" t="s">
        <v>235</v>
      </c>
      <c r="Q619" s="115" t="s">
        <v>313</v>
      </c>
      <c r="R619" s="115" t="s">
        <v>34</v>
      </c>
      <c r="S619" s="122">
        <v>1</v>
      </c>
    </row>
    <row r="620" spans="10:19" x14ac:dyDescent="0.25">
      <c r="J620" s="125" t="s">
        <v>1659</v>
      </c>
      <c r="K620" s="115" t="s">
        <v>1660</v>
      </c>
      <c r="L620" s="121" t="s">
        <v>200</v>
      </c>
      <c r="M620" s="116">
        <v>45180</v>
      </c>
      <c r="N620" s="115">
        <v>19</v>
      </c>
      <c r="O620" s="115" t="s">
        <v>148</v>
      </c>
      <c r="P620" s="115" t="s">
        <v>235</v>
      </c>
      <c r="Q620" s="115" t="s">
        <v>313</v>
      </c>
      <c r="R620" s="115" t="s">
        <v>34</v>
      </c>
      <c r="S620" s="122">
        <v>1</v>
      </c>
    </row>
    <row r="621" spans="10:19" x14ac:dyDescent="0.25">
      <c r="J621" s="125" t="s">
        <v>1661</v>
      </c>
      <c r="K621" s="115" t="s">
        <v>1662</v>
      </c>
      <c r="L621" s="121" t="s">
        <v>200</v>
      </c>
      <c r="M621" s="116">
        <v>44723</v>
      </c>
      <c r="N621" s="115">
        <v>52</v>
      </c>
      <c r="O621" s="115" t="s">
        <v>152</v>
      </c>
      <c r="P621" s="115" t="s">
        <v>235</v>
      </c>
      <c r="Q621" s="115" t="s">
        <v>313</v>
      </c>
      <c r="R621" s="115" t="s">
        <v>34</v>
      </c>
      <c r="S621" s="122">
        <v>1</v>
      </c>
    </row>
    <row r="622" spans="10:19" x14ac:dyDescent="0.25">
      <c r="J622" s="125" t="s">
        <v>1666</v>
      </c>
      <c r="K622" s="115" t="s">
        <v>1667</v>
      </c>
      <c r="L622" s="121" t="s">
        <v>200</v>
      </c>
      <c r="M622" s="116">
        <v>45008</v>
      </c>
      <c r="N622" s="115">
        <v>48</v>
      </c>
      <c r="O622" s="115" t="s">
        <v>151</v>
      </c>
      <c r="P622" s="115" t="s">
        <v>235</v>
      </c>
      <c r="Q622" s="115" t="s">
        <v>312</v>
      </c>
      <c r="R622" s="115" t="s">
        <v>34</v>
      </c>
      <c r="S622" s="122">
        <v>1</v>
      </c>
    </row>
    <row r="623" spans="10:19" x14ac:dyDescent="0.25">
      <c r="J623" s="125" t="s">
        <v>1668</v>
      </c>
      <c r="K623" s="115" t="s">
        <v>1669</v>
      </c>
      <c r="L623" s="121" t="s">
        <v>200</v>
      </c>
      <c r="M623" s="116">
        <v>43221</v>
      </c>
      <c r="N623" s="115">
        <v>37</v>
      </c>
      <c r="O623" s="115" t="s">
        <v>150</v>
      </c>
      <c r="P623" s="115" t="s">
        <v>235</v>
      </c>
      <c r="Q623" s="115" t="s">
        <v>312</v>
      </c>
      <c r="R623" s="115" t="s">
        <v>34</v>
      </c>
      <c r="S623" s="122">
        <v>1</v>
      </c>
    </row>
    <row r="624" spans="10:19" x14ac:dyDescent="0.25">
      <c r="J624" s="125" t="s">
        <v>1671</v>
      </c>
      <c r="K624" s="115" t="s">
        <v>1672</v>
      </c>
      <c r="L624" s="121" t="s">
        <v>200</v>
      </c>
      <c r="M624" s="116">
        <v>45037</v>
      </c>
      <c r="N624" s="115">
        <v>49</v>
      </c>
      <c r="O624" s="115" t="s">
        <v>151</v>
      </c>
      <c r="P624" s="115" t="s">
        <v>235</v>
      </c>
      <c r="Q624" s="115" t="s">
        <v>312</v>
      </c>
      <c r="R624" s="115" t="s">
        <v>34</v>
      </c>
      <c r="S624" s="122">
        <v>1</v>
      </c>
    </row>
    <row r="625" spans="10:19" x14ac:dyDescent="0.25">
      <c r="J625" s="125" t="s">
        <v>1673</v>
      </c>
      <c r="K625" s="115" t="s">
        <v>1674</v>
      </c>
      <c r="L625" s="121" t="s">
        <v>201</v>
      </c>
      <c r="M625" s="116">
        <v>45434</v>
      </c>
      <c r="N625" s="115">
        <v>56</v>
      </c>
      <c r="O625" s="115" t="s">
        <v>152</v>
      </c>
      <c r="P625" s="115" t="s">
        <v>235</v>
      </c>
      <c r="Q625" s="115" t="s">
        <v>313</v>
      </c>
      <c r="R625" s="115" t="s">
        <v>34</v>
      </c>
      <c r="S625" s="122">
        <v>1</v>
      </c>
    </row>
    <row r="626" spans="10:19" x14ac:dyDescent="0.25">
      <c r="J626" s="125">
        <v>72956341</v>
      </c>
      <c r="K626" s="115" t="s">
        <v>3213</v>
      </c>
      <c r="L626" s="121" t="s">
        <v>200</v>
      </c>
      <c r="M626" s="116">
        <v>45540</v>
      </c>
      <c r="N626" s="115">
        <v>28</v>
      </c>
      <c r="O626" s="115" t="s">
        <v>149</v>
      </c>
      <c r="P626" s="115" t="s">
        <v>235</v>
      </c>
      <c r="Q626" s="115" t="s">
        <v>312</v>
      </c>
      <c r="R626" s="115" t="s">
        <v>68</v>
      </c>
      <c r="S626" s="122">
        <v>1</v>
      </c>
    </row>
    <row r="627" spans="10:19" x14ac:dyDescent="0.25">
      <c r="J627" s="125" t="s">
        <v>1682</v>
      </c>
      <c r="K627" s="115" t="s">
        <v>1683</v>
      </c>
      <c r="L627" s="121" t="s">
        <v>200</v>
      </c>
      <c r="M627" s="116">
        <v>45432</v>
      </c>
      <c r="N627" s="115">
        <v>34</v>
      </c>
      <c r="O627" s="115" t="s">
        <v>150</v>
      </c>
      <c r="P627" s="115" t="s">
        <v>235</v>
      </c>
      <c r="Q627" s="115" t="s">
        <v>313</v>
      </c>
      <c r="R627" s="115" t="s">
        <v>68</v>
      </c>
      <c r="S627" s="122">
        <v>1</v>
      </c>
    </row>
    <row r="628" spans="10:19" x14ac:dyDescent="0.25">
      <c r="J628" s="125" t="s">
        <v>1686</v>
      </c>
      <c r="K628" s="115" t="s">
        <v>1687</v>
      </c>
      <c r="L628" s="121" t="s">
        <v>200</v>
      </c>
      <c r="M628" s="116">
        <v>45434</v>
      </c>
      <c r="N628" s="115">
        <v>35</v>
      </c>
      <c r="O628" s="115" t="s">
        <v>150</v>
      </c>
      <c r="P628" s="115" t="s">
        <v>235</v>
      </c>
      <c r="Q628" s="115" t="s">
        <v>313</v>
      </c>
      <c r="R628" s="115" t="s">
        <v>34</v>
      </c>
      <c r="S628" s="122">
        <v>1</v>
      </c>
    </row>
    <row r="629" spans="10:19" x14ac:dyDescent="0.25">
      <c r="J629" s="125" t="s">
        <v>1690</v>
      </c>
      <c r="K629" s="115" t="s">
        <v>1691</v>
      </c>
      <c r="L629" s="121" t="s">
        <v>200</v>
      </c>
      <c r="M629" s="116">
        <v>45392</v>
      </c>
      <c r="N629" s="115" t="s">
        <v>29</v>
      </c>
      <c r="O629" s="115" t="s">
        <v>153</v>
      </c>
      <c r="P629" s="115" t="s">
        <v>235</v>
      </c>
      <c r="Q629" s="115" t="s">
        <v>313</v>
      </c>
      <c r="R629" s="115" t="s">
        <v>34</v>
      </c>
      <c r="S629" s="122">
        <v>1</v>
      </c>
    </row>
    <row r="630" spans="10:19" x14ac:dyDescent="0.25">
      <c r="J630" s="125">
        <v>41816941</v>
      </c>
      <c r="K630" s="115" t="s">
        <v>1696</v>
      </c>
      <c r="L630" s="121" t="s">
        <v>200</v>
      </c>
      <c r="M630" s="116">
        <v>45439</v>
      </c>
      <c r="N630" s="115">
        <v>41</v>
      </c>
      <c r="O630" s="115" t="s">
        <v>151</v>
      </c>
      <c r="P630" s="115" t="s">
        <v>162</v>
      </c>
      <c r="Q630" s="115" t="s">
        <v>313</v>
      </c>
      <c r="R630" s="115" t="s">
        <v>35</v>
      </c>
      <c r="S630" s="122">
        <v>1</v>
      </c>
    </row>
    <row r="631" spans="10:19" x14ac:dyDescent="0.25">
      <c r="J631" s="125" t="s">
        <v>1700</v>
      </c>
      <c r="K631" s="115" t="s">
        <v>1701</v>
      </c>
      <c r="L631" s="121" t="s">
        <v>200</v>
      </c>
      <c r="M631" s="116">
        <v>45428</v>
      </c>
      <c r="N631" s="115">
        <v>48</v>
      </c>
      <c r="O631" s="115" t="s">
        <v>151</v>
      </c>
      <c r="P631" s="115" t="s">
        <v>235</v>
      </c>
      <c r="Q631" s="115" t="s">
        <v>313</v>
      </c>
      <c r="R631" s="115" t="s">
        <v>105</v>
      </c>
      <c r="S631" s="122">
        <v>1</v>
      </c>
    </row>
    <row r="632" spans="10:19" x14ac:dyDescent="0.25">
      <c r="J632" s="125" t="s">
        <v>1702</v>
      </c>
      <c r="K632" s="115" t="s">
        <v>1703</v>
      </c>
      <c r="L632" s="121" t="s">
        <v>200</v>
      </c>
      <c r="M632" s="116">
        <v>45437</v>
      </c>
      <c r="N632" s="115">
        <v>29</v>
      </c>
      <c r="O632" s="115" t="s">
        <v>149</v>
      </c>
      <c r="P632" s="116">
        <v>45554</v>
      </c>
      <c r="Q632" s="115" t="s">
        <v>313</v>
      </c>
      <c r="R632" s="115" t="s">
        <v>68</v>
      </c>
      <c r="S632" s="122">
        <v>1</v>
      </c>
    </row>
    <row r="633" spans="10:19" x14ac:dyDescent="0.25">
      <c r="J633" s="125">
        <v>41979590</v>
      </c>
      <c r="K633" s="115" t="s">
        <v>1704</v>
      </c>
      <c r="L633" s="121" t="s">
        <v>200</v>
      </c>
      <c r="M633" s="116">
        <v>45414</v>
      </c>
      <c r="N633" s="115">
        <v>41</v>
      </c>
      <c r="O633" s="115" t="s">
        <v>151</v>
      </c>
      <c r="P633" s="115" t="s">
        <v>235</v>
      </c>
      <c r="Q633" s="115" t="s">
        <v>313</v>
      </c>
      <c r="R633" s="115" t="s">
        <v>36</v>
      </c>
      <c r="S633" s="122">
        <v>1</v>
      </c>
    </row>
    <row r="634" spans="10:19" x14ac:dyDescent="0.25">
      <c r="J634" s="125" t="s">
        <v>1705</v>
      </c>
      <c r="K634" s="115" t="s">
        <v>1706</v>
      </c>
      <c r="L634" s="121" t="s">
        <v>200</v>
      </c>
      <c r="M634" s="116">
        <v>45427</v>
      </c>
      <c r="N634" s="115">
        <v>37</v>
      </c>
      <c r="O634" s="115" t="s">
        <v>150</v>
      </c>
      <c r="P634" s="115" t="s">
        <v>235</v>
      </c>
      <c r="Q634" s="115" t="s">
        <v>313</v>
      </c>
      <c r="R634" s="115" t="s">
        <v>68</v>
      </c>
      <c r="S634" s="122">
        <v>1</v>
      </c>
    </row>
    <row r="635" spans="10:19" x14ac:dyDescent="0.25">
      <c r="J635" s="125" t="s">
        <v>1707</v>
      </c>
      <c r="K635" s="115" t="s">
        <v>1708</v>
      </c>
      <c r="L635" s="121" t="s">
        <v>200</v>
      </c>
      <c r="M635" s="116">
        <v>45432</v>
      </c>
      <c r="N635" s="115">
        <v>30</v>
      </c>
      <c r="O635" s="115" t="s">
        <v>149</v>
      </c>
      <c r="P635" s="115" t="s">
        <v>235</v>
      </c>
      <c r="Q635" s="115" t="s">
        <v>313</v>
      </c>
      <c r="R635" s="115" t="s">
        <v>68</v>
      </c>
      <c r="S635" s="122">
        <v>1</v>
      </c>
    </row>
    <row r="636" spans="10:19" x14ac:dyDescent="0.25">
      <c r="J636" s="125" t="s">
        <v>1709</v>
      </c>
      <c r="K636" s="115" t="s">
        <v>1710</v>
      </c>
      <c r="L636" s="121" t="s">
        <v>200</v>
      </c>
      <c r="M636" s="116">
        <v>45432</v>
      </c>
      <c r="N636" s="115">
        <v>53</v>
      </c>
      <c r="O636" s="115" t="s">
        <v>152</v>
      </c>
      <c r="P636" s="115" t="s">
        <v>235</v>
      </c>
      <c r="Q636" s="115" t="s">
        <v>313</v>
      </c>
      <c r="R636" s="115" t="s">
        <v>69</v>
      </c>
      <c r="S636" s="122">
        <v>1</v>
      </c>
    </row>
    <row r="637" spans="10:19" x14ac:dyDescent="0.25">
      <c r="J637" s="125" t="s">
        <v>1712</v>
      </c>
      <c r="K637" s="115" t="s">
        <v>1713</v>
      </c>
      <c r="L637" s="121" t="s">
        <v>200</v>
      </c>
      <c r="M637" s="116">
        <v>45440</v>
      </c>
      <c r="N637" s="115">
        <v>28</v>
      </c>
      <c r="O637" s="115" t="s">
        <v>149</v>
      </c>
      <c r="P637" s="116">
        <v>45562</v>
      </c>
      <c r="Q637" s="115" t="s">
        <v>313</v>
      </c>
      <c r="R637" s="115" t="s">
        <v>34</v>
      </c>
      <c r="S637" s="122">
        <v>1</v>
      </c>
    </row>
    <row r="638" spans="10:19" x14ac:dyDescent="0.25">
      <c r="J638" s="125" t="s">
        <v>1714</v>
      </c>
      <c r="K638" s="115" t="s">
        <v>1715</v>
      </c>
      <c r="L638" s="121" t="s">
        <v>200</v>
      </c>
      <c r="M638" s="116">
        <v>45432</v>
      </c>
      <c r="N638" s="115">
        <v>21</v>
      </c>
      <c r="O638" s="115" t="s">
        <v>148</v>
      </c>
      <c r="P638" s="115" t="s">
        <v>235</v>
      </c>
      <c r="Q638" s="115" t="s">
        <v>313</v>
      </c>
      <c r="R638" s="115" t="s">
        <v>34</v>
      </c>
      <c r="S638" s="122">
        <v>1</v>
      </c>
    </row>
    <row r="639" spans="10:19" x14ac:dyDescent="0.25">
      <c r="J639" s="125" t="s">
        <v>1716</v>
      </c>
      <c r="K639" s="115" t="s">
        <v>1717</v>
      </c>
      <c r="L639" s="121" t="s">
        <v>200</v>
      </c>
      <c r="M639" s="116">
        <v>45523</v>
      </c>
      <c r="N639" s="115">
        <v>35</v>
      </c>
      <c r="O639" s="115" t="s">
        <v>150</v>
      </c>
      <c r="P639" s="115" t="s">
        <v>235</v>
      </c>
      <c r="Q639" s="115" t="s">
        <v>313</v>
      </c>
      <c r="R639" s="115" t="s">
        <v>68</v>
      </c>
      <c r="S639" s="122">
        <v>1</v>
      </c>
    </row>
    <row r="640" spans="10:19" x14ac:dyDescent="0.25">
      <c r="J640" s="125" t="s">
        <v>1718</v>
      </c>
      <c r="K640" s="115" t="s">
        <v>1719</v>
      </c>
      <c r="L640" s="121" t="s">
        <v>200</v>
      </c>
      <c r="M640" s="116">
        <v>45420</v>
      </c>
      <c r="N640" s="115">
        <v>47</v>
      </c>
      <c r="O640" s="115" t="s">
        <v>151</v>
      </c>
      <c r="P640" s="115" t="s">
        <v>235</v>
      </c>
      <c r="Q640" s="115" t="s">
        <v>313</v>
      </c>
      <c r="R640" s="115" t="s">
        <v>34</v>
      </c>
      <c r="S640" s="122">
        <v>1</v>
      </c>
    </row>
    <row r="641" spans="10:19" x14ac:dyDescent="0.25">
      <c r="J641" s="125" t="s">
        <v>1720</v>
      </c>
      <c r="K641" s="115" t="s">
        <v>1721</v>
      </c>
      <c r="L641" s="121" t="s">
        <v>200</v>
      </c>
      <c r="M641" s="116">
        <v>45428</v>
      </c>
      <c r="N641" s="115">
        <v>63</v>
      </c>
      <c r="O641" s="115" t="s">
        <v>153</v>
      </c>
      <c r="P641" s="115" t="s">
        <v>235</v>
      </c>
      <c r="Q641" s="115" t="s">
        <v>313</v>
      </c>
      <c r="R641" s="115" t="s">
        <v>35</v>
      </c>
      <c r="S641" s="122">
        <v>1</v>
      </c>
    </row>
    <row r="642" spans="10:19" x14ac:dyDescent="0.25">
      <c r="J642" s="125" t="s">
        <v>1722</v>
      </c>
      <c r="K642" s="115" t="s">
        <v>1723</v>
      </c>
      <c r="L642" s="121" t="s">
        <v>200</v>
      </c>
      <c r="M642" s="116">
        <v>45428</v>
      </c>
      <c r="N642" s="115">
        <v>43</v>
      </c>
      <c r="O642" s="115" t="s">
        <v>151</v>
      </c>
      <c r="P642" s="115" t="s">
        <v>235</v>
      </c>
      <c r="Q642" s="115" t="s">
        <v>313</v>
      </c>
      <c r="R642" s="115" t="s">
        <v>36</v>
      </c>
      <c r="S642" s="122">
        <v>1</v>
      </c>
    </row>
    <row r="643" spans="10:19" x14ac:dyDescent="0.25">
      <c r="J643" s="125" t="s">
        <v>1724</v>
      </c>
      <c r="K643" s="115" t="s">
        <v>1725</v>
      </c>
      <c r="L643" s="121" t="s">
        <v>200</v>
      </c>
      <c r="M643" s="116">
        <v>45430</v>
      </c>
      <c r="N643" s="115">
        <v>36</v>
      </c>
      <c r="O643" s="115" t="s">
        <v>150</v>
      </c>
      <c r="P643" s="115" t="s">
        <v>235</v>
      </c>
      <c r="Q643" s="115" t="s">
        <v>313</v>
      </c>
      <c r="R643" s="115" t="s">
        <v>68</v>
      </c>
      <c r="S643" s="122">
        <v>1</v>
      </c>
    </row>
    <row r="644" spans="10:19" x14ac:dyDescent="0.25">
      <c r="J644" s="125" t="s">
        <v>1726</v>
      </c>
      <c r="K644" s="115" t="s">
        <v>1727</v>
      </c>
      <c r="L644" s="121" t="s">
        <v>200</v>
      </c>
      <c r="M644" s="116">
        <v>45432</v>
      </c>
      <c r="N644" s="115">
        <v>36</v>
      </c>
      <c r="O644" s="115" t="s">
        <v>150</v>
      </c>
      <c r="P644" s="115" t="s">
        <v>235</v>
      </c>
      <c r="Q644" s="115" t="s">
        <v>313</v>
      </c>
      <c r="R644" s="115" t="s">
        <v>68</v>
      </c>
      <c r="S644" s="122">
        <v>1</v>
      </c>
    </row>
    <row r="645" spans="10:19" x14ac:dyDescent="0.25">
      <c r="J645" s="125" t="s">
        <v>1728</v>
      </c>
      <c r="K645" s="115" t="s">
        <v>1729</v>
      </c>
      <c r="L645" s="121" t="s">
        <v>200</v>
      </c>
      <c r="M645" s="116">
        <v>45432</v>
      </c>
      <c r="N645" s="115">
        <v>30</v>
      </c>
      <c r="O645" s="115" t="s">
        <v>149</v>
      </c>
      <c r="P645" s="116">
        <v>45539</v>
      </c>
      <c r="Q645" s="115" t="s">
        <v>313</v>
      </c>
      <c r="R645" s="115" t="s">
        <v>68</v>
      </c>
      <c r="S645" s="122">
        <v>1</v>
      </c>
    </row>
    <row r="646" spans="10:19" x14ac:dyDescent="0.25">
      <c r="J646" s="125" t="s">
        <v>1730</v>
      </c>
      <c r="K646" s="115" t="s">
        <v>1731</v>
      </c>
      <c r="L646" s="121" t="s">
        <v>200</v>
      </c>
      <c r="M646" s="116">
        <v>45441</v>
      </c>
      <c r="N646" s="115">
        <v>39</v>
      </c>
      <c r="O646" s="115" t="s">
        <v>150</v>
      </c>
      <c r="P646" s="115" t="s">
        <v>235</v>
      </c>
      <c r="Q646" s="115" t="s">
        <v>313</v>
      </c>
      <c r="R646" s="115" t="s">
        <v>34</v>
      </c>
      <c r="S646" s="122">
        <v>1</v>
      </c>
    </row>
    <row r="647" spans="10:19" x14ac:dyDescent="0.25">
      <c r="J647" s="125" t="s">
        <v>1732</v>
      </c>
      <c r="K647" s="115" t="s">
        <v>1733</v>
      </c>
      <c r="L647" s="121" t="s">
        <v>200</v>
      </c>
      <c r="M647" s="116">
        <v>45425</v>
      </c>
      <c r="N647" s="115">
        <v>32</v>
      </c>
      <c r="O647" s="115" t="s">
        <v>150</v>
      </c>
      <c r="P647" s="115" t="s">
        <v>235</v>
      </c>
      <c r="Q647" s="115" t="s">
        <v>313</v>
      </c>
      <c r="R647" s="115" t="s">
        <v>34</v>
      </c>
      <c r="S647" s="122">
        <v>1</v>
      </c>
    </row>
    <row r="648" spans="10:19" x14ac:dyDescent="0.25">
      <c r="J648" s="125" t="s">
        <v>1734</v>
      </c>
      <c r="K648" s="115" t="s">
        <v>1735</v>
      </c>
      <c r="L648" s="121" t="s">
        <v>200</v>
      </c>
      <c r="M648" s="116">
        <v>45425</v>
      </c>
      <c r="N648" s="115">
        <v>32</v>
      </c>
      <c r="O648" s="115" t="s">
        <v>150</v>
      </c>
      <c r="P648" s="115" t="s">
        <v>235</v>
      </c>
      <c r="Q648" s="115" t="s">
        <v>313</v>
      </c>
      <c r="R648" s="115" t="s">
        <v>34</v>
      </c>
      <c r="S648" s="122">
        <v>1</v>
      </c>
    </row>
    <row r="649" spans="10:19" x14ac:dyDescent="0.25">
      <c r="J649" s="125" t="s">
        <v>1736</v>
      </c>
      <c r="K649" s="115" t="s">
        <v>1737</v>
      </c>
      <c r="L649" s="121" t="s">
        <v>200</v>
      </c>
      <c r="M649" s="116">
        <v>45425</v>
      </c>
      <c r="N649" s="115">
        <v>34</v>
      </c>
      <c r="O649" s="115" t="s">
        <v>150</v>
      </c>
      <c r="P649" s="115" t="s">
        <v>235</v>
      </c>
      <c r="Q649" s="115" t="s">
        <v>313</v>
      </c>
      <c r="R649" s="115" t="s">
        <v>34</v>
      </c>
      <c r="S649" s="122">
        <v>1</v>
      </c>
    </row>
    <row r="650" spans="10:19" x14ac:dyDescent="0.25">
      <c r="J650" s="125" t="s">
        <v>1739</v>
      </c>
      <c r="K650" s="115" t="s">
        <v>1740</v>
      </c>
      <c r="L650" s="121" t="s">
        <v>200</v>
      </c>
      <c r="M650" s="116">
        <v>45429</v>
      </c>
      <c r="N650" s="115">
        <v>33</v>
      </c>
      <c r="O650" s="115" t="s">
        <v>150</v>
      </c>
      <c r="P650" s="115" t="s">
        <v>235</v>
      </c>
      <c r="Q650" s="115" t="s">
        <v>313</v>
      </c>
      <c r="R650" s="115" t="s">
        <v>34</v>
      </c>
      <c r="S650" s="122">
        <v>1</v>
      </c>
    </row>
    <row r="651" spans="10:19" x14ac:dyDescent="0.25">
      <c r="J651" s="125" t="s">
        <v>1743</v>
      </c>
      <c r="K651" s="115" t="s">
        <v>825</v>
      </c>
      <c r="L651" s="121" t="s">
        <v>200</v>
      </c>
      <c r="M651" s="116">
        <v>45414</v>
      </c>
      <c r="N651" s="115">
        <v>48</v>
      </c>
      <c r="O651" s="115" t="s">
        <v>151</v>
      </c>
      <c r="P651" s="115" t="s">
        <v>235</v>
      </c>
      <c r="Q651" s="115" t="s">
        <v>313</v>
      </c>
      <c r="R651" s="115" t="s">
        <v>34</v>
      </c>
      <c r="S651" s="122">
        <v>1</v>
      </c>
    </row>
    <row r="652" spans="10:19" x14ac:dyDescent="0.25">
      <c r="J652" s="125" t="s">
        <v>1744</v>
      </c>
      <c r="K652" s="115" t="s">
        <v>1745</v>
      </c>
      <c r="L652" s="121" t="s">
        <v>200</v>
      </c>
      <c r="M652" s="116">
        <v>45418</v>
      </c>
      <c r="N652" s="115">
        <v>50</v>
      </c>
      <c r="O652" s="115" t="s">
        <v>152</v>
      </c>
      <c r="P652" s="115" t="s">
        <v>235</v>
      </c>
      <c r="Q652" s="115" t="s">
        <v>313</v>
      </c>
      <c r="R652" s="115" t="s">
        <v>105</v>
      </c>
      <c r="S652" s="122">
        <v>1</v>
      </c>
    </row>
    <row r="653" spans="10:19" x14ac:dyDescent="0.25">
      <c r="J653" s="125" t="s">
        <v>1753</v>
      </c>
      <c r="K653" s="115" t="s">
        <v>1754</v>
      </c>
      <c r="L653" s="121" t="s">
        <v>200</v>
      </c>
      <c r="M653" s="116">
        <v>45432</v>
      </c>
      <c r="N653" s="115">
        <v>40</v>
      </c>
      <c r="O653" s="115" t="s">
        <v>150</v>
      </c>
      <c r="P653" s="115" t="s">
        <v>235</v>
      </c>
      <c r="Q653" s="115" t="s">
        <v>313</v>
      </c>
      <c r="R653" s="115" t="s">
        <v>68</v>
      </c>
      <c r="S653" s="122">
        <v>1</v>
      </c>
    </row>
    <row r="654" spans="10:19" x14ac:dyDescent="0.25">
      <c r="J654" s="125">
        <v>44898287</v>
      </c>
      <c r="K654" s="115" t="s">
        <v>1756</v>
      </c>
      <c r="L654" s="121" t="s">
        <v>200</v>
      </c>
      <c r="M654" s="116">
        <v>45433</v>
      </c>
      <c r="N654" s="115">
        <v>36</v>
      </c>
      <c r="O654" s="115" t="s">
        <v>150</v>
      </c>
      <c r="P654" s="115" t="s">
        <v>235</v>
      </c>
      <c r="Q654" s="115" t="s">
        <v>313</v>
      </c>
      <c r="R654" s="115" t="s">
        <v>34</v>
      </c>
      <c r="S654" s="122">
        <v>1</v>
      </c>
    </row>
    <row r="655" spans="10:19" x14ac:dyDescent="0.25">
      <c r="J655" s="125">
        <v>42717351</v>
      </c>
      <c r="K655" s="115" t="s">
        <v>1757</v>
      </c>
      <c r="L655" s="121" t="s">
        <v>200</v>
      </c>
      <c r="M655" s="116">
        <v>45428</v>
      </c>
      <c r="N655" s="115">
        <v>39</v>
      </c>
      <c r="O655" s="115" t="s">
        <v>150</v>
      </c>
      <c r="P655" s="115" t="s">
        <v>162</v>
      </c>
      <c r="Q655" s="115" t="s">
        <v>313</v>
      </c>
      <c r="R655" s="115" t="s">
        <v>34</v>
      </c>
      <c r="S655" s="122">
        <v>1</v>
      </c>
    </row>
    <row r="656" spans="10:19" x14ac:dyDescent="0.25">
      <c r="J656" s="125">
        <v>43897248</v>
      </c>
      <c r="K656" s="115" t="s">
        <v>1758</v>
      </c>
      <c r="L656" s="121" t="s">
        <v>200</v>
      </c>
      <c r="M656" s="116">
        <v>45428</v>
      </c>
      <c r="N656" s="115">
        <v>38</v>
      </c>
      <c r="O656" s="115" t="s">
        <v>150</v>
      </c>
      <c r="P656" s="115" t="s">
        <v>162</v>
      </c>
      <c r="Q656" s="115" t="s">
        <v>313</v>
      </c>
      <c r="R656" s="115" t="s">
        <v>34</v>
      </c>
      <c r="S656" s="122">
        <v>1</v>
      </c>
    </row>
    <row r="657" spans="10:19" x14ac:dyDescent="0.25">
      <c r="J657" s="125">
        <v>75503535</v>
      </c>
      <c r="K657" s="115" t="s">
        <v>1759</v>
      </c>
      <c r="L657" s="121" t="s">
        <v>200</v>
      </c>
      <c r="M657" s="116">
        <v>45428</v>
      </c>
      <c r="N657" s="115">
        <v>30</v>
      </c>
      <c r="O657" s="115" t="s">
        <v>149</v>
      </c>
      <c r="P657" s="115" t="s">
        <v>162</v>
      </c>
      <c r="Q657" s="115" t="s">
        <v>313</v>
      </c>
      <c r="R657" s="115" t="s">
        <v>36</v>
      </c>
      <c r="S657" s="122">
        <v>1</v>
      </c>
    </row>
    <row r="658" spans="10:19" x14ac:dyDescent="0.25">
      <c r="J658" s="125" t="s">
        <v>1760</v>
      </c>
      <c r="K658" s="115" t="s">
        <v>1761</v>
      </c>
      <c r="L658" s="121" t="s">
        <v>200</v>
      </c>
      <c r="M658" s="116">
        <v>45428</v>
      </c>
      <c r="N658" s="115">
        <v>52</v>
      </c>
      <c r="O658" s="115" t="s">
        <v>152</v>
      </c>
      <c r="P658" s="115" t="s">
        <v>162</v>
      </c>
      <c r="Q658" s="115" t="s">
        <v>313</v>
      </c>
      <c r="R658" s="115" t="s">
        <v>34</v>
      </c>
      <c r="S658" s="122">
        <v>1</v>
      </c>
    </row>
    <row r="659" spans="10:19" x14ac:dyDescent="0.25">
      <c r="J659" s="125" t="s">
        <v>1762</v>
      </c>
      <c r="K659" s="115" t="s">
        <v>1763</v>
      </c>
      <c r="L659" s="121" t="s">
        <v>200</v>
      </c>
      <c r="M659" s="116">
        <v>45397</v>
      </c>
      <c r="N659" s="115">
        <v>22</v>
      </c>
      <c r="O659" s="115" t="s">
        <v>148</v>
      </c>
      <c r="P659" s="115" t="s">
        <v>235</v>
      </c>
      <c r="Q659" s="115" t="s">
        <v>313</v>
      </c>
      <c r="R659" s="115" t="s">
        <v>35</v>
      </c>
      <c r="S659" s="122">
        <v>1</v>
      </c>
    </row>
    <row r="660" spans="10:19" x14ac:dyDescent="0.25">
      <c r="J660" s="125" t="s">
        <v>1770</v>
      </c>
      <c r="K660" s="115" t="s">
        <v>1771</v>
      </c>
      <c r="L660" s="121" t="s">
        <v>200</v>
      </c>
      <c r="M660" s="116">
        <v>45413</v>
      </c>
      <c r="N660" s="115">
        <v>49</v>
      </c>
      <c r="O660" s="115" t="s">
        <v>151</v>
      </c>
      <c r="P660" s="115" t="s">
        <v>162</v>
      </c>
      <c r="Q660" s="115" t="s">
        <v>313</v>
      </c>
      <c r="R660" s="115" t="s">
        <v>34</v>
      </c>
      <c r="S660" s="122">
        <v>1</v>
      </c>
    </row>
    <row r="661" spans="10:19" x14ac:dyDescent="0.25">
      <c r="J661" s="125" t="s">
        <v>1772</v>
      </c>
      <c r="K661" s="115" t="s">
        <v>1773</v>
      </c>
      <c r="L661" s="121" t="s">
        <v>200</v>
      </c>
      <c r="M661" s="116">
        <v>45413</v>
      </c>
      <c r="N661" s="115">
        <v>47</v>
      </c>
      <c r="O661" s="115" t="s">
        <v>151</v>
      </c>
      <c r="P661" s="115" t="s">
        <v>162</v>
      </c>
      <c r="Q661" s="115" t="s">
        <v>313</v>
      </c>
      <c r="R661" s="115" t="s">
        <v>35</v>
      </c>
      <c r="S661" s="122">
        <v>1</v>
      </c>
    </row>
    <row r="662" spans="10:19" x14ac:dyDescent="0.25">
      <c r="J662" s="125" t="s">
        <v>1774</v>
      </c>
      <c r="K662" s="115" t="s">
        <v>1775</v>
      </c>
      <c r="L662" s="121" t="s">
        <v>200</v>
      </c>
      <c r="M662" s="116">
        <v>45413</v>
      </c>
      <c r="N662" s="115">
        <v>23</v>
      </c>
      <c r="O662" s="115" t="s">
        <v>148</v>
      </c>
      <c r="P662" s="115" t="s">
        <v>162</v>
      </c>
      <c r="Q662" s="115" t="s">
        <v>313</v>
      </c>
      <c r="R662" s="115" t="s">
        <v>34</v>
      </c>
      <c r="S662" s="122">
        <v>1</v>
      </c>
    </row>
    <row r="663" spans="10:19" x14ac:dyDescent="0.25">
      <c r="J663" s="125" t="s">
        <v>1781</v>
      </c>
      <c r="K663" s="115" t="s">
        <v>1782</v>
      </c>
      <c r="L663" s="121" t="s">
        <v>200</v>
      </c>
      <c r="M663" s="116">
        <v>45413</v>
      </c>
      <c r="N663" s="115">
        <v>40</v>
      </c>
      <c r="O663" s="115" t="s">
        <v>150</v>
      </c>
      <c r="P663" s="115" t="s">
        <v>162</v>
      </c>
      <c r="Q663" s="115" t="s">
        <v>313</v>
      </c>
      <c r="R663" s="115" t="s">
        <v>34</v>
      </c>
      <c r="S663" s="122">
        <v>1</v>
      </c>
    </row>
    <row r="664" spans="10:19" x14ac:dyDescent="0.25">
      <c r="J664" s="125" t="s">
        <v>1783</v>
      </c>
      <c r="K664" s="115" t="s">
        <v>1784</v>
      </c>
      <c r="L664" s="121" t="s">
        <v>200</v>
      </c>
      <c r="M664" s="116">
        <v>45413</v>
      </c>
      <c r="N664" s="115">
        <v>37</v>
      </c>
      <c r="O664" s="115" t="s">
        <v>150</v>
      </c>
      <c r="P664" s="115" t="s">
        <v>162</v>
      </c>
      <c r="Q664" s="115" t="s">
        <v>313</v>
      </c>
      <c r="R664" s="115" t="s">
        <v>34</v>
      </c>
      <c r="S664" s="122">
        <v>1</v>
      </c>
    </row>
    <row r="665" spans="10:19" x14ac:dyDescent="0.25">
      <c r="J665" s="125" t="s">
        <v>1785</v>
      </c>
      <c r="K665" s="115" t="s">
        <v>1786</v>
      </c>
      <c r="L665" s="121" t="s">
        <v>200</v>
      </c>
      <c r="M665" s="116">
        <v>45413</v>
      </c>
      <c r="N665" s="115">
        <v>22</v>
      </c>
      <c r="O665" s="115" t="s">
        <v>148</v>
      </c>
      <c r="P665" s="115" t="s">
        <v>162</v>
      </c>
      <c r="Q665" s="115" t="s">
        <v>313</v>
      </c>
      <c r="R665" s="115" t="s">
        <v>34</v>
      </c>
      <c r="S665" s="122">
        <v>1</v>
      </c>
    </row>
    <row r="666" spans="10:19" x14ac:dyDescent="0.25">
      <c r="J666" s="125" t="s">
        <v>1788</v>
      </c>
      <c r="K666" s="115" t="s">
        <v>1789</v>
      </c>
      <c r="L666" s="121" t="s">
        <v>200</v>
      </c>
      <c r="M666" s="116">
        <v>45422</v>
      </c>
      <c r="N666" s="115">
        <v>31</v>
      </c>
      <c r="O666" s="115" t="s">
        <v>149</v>
      </c>
      <c r="P666" s="115" t="s">
        <v>162</v>
      </c>
      <c r="Q666" s="115" t="s">
        <v>313</v>
      </c>
      <c r="R666" s="115" t="s">
        <v>34</v>
      </c>
      <c r="S666" s="122">
        <v>1</v>
      </c>
    </row>
    <row r="667" spans="10:19" x14ac:dyDescent="0.25">
      <c r="J667" s="125" t="s">
        <v>1790</v>
      </c>
      <c r="K667" s="115" t="s">
        <v>1791</v>
      </c>
      <c r="L667" s="121" t="s">
        <v>200</v>
      </c>
      <c r="M667" s="116">
        <v>45415</v>
      </c>
      <c r="N667" s="115">
        <v>50</v>
      </c>
      <c r="O667" s="115" t="s">
        <v>152</v>
      </c>
      <c r="P667" s="115" t="s">
        <v>162</v>
      </c>
      <c r="Q667" s="115" t="s">
        <v>313</v>
      </c>
      <c r="R667" s="115" t="s">
        <v>34</v>
      </c>
      <c r="S667" s="122">
        <v>1</v>
      </c>
    </row>
    <row r="668" spans="10:19" x14ac:dyDescent="0.25">
      <c r="J668" s="125" t="s">
        <v>1794</v>
      </c>
      <c r="K668" s="115" t="s">
        <v>1795</v>
      </c>
      <c r="L668" s="121" t="s">
        <v>200</v>
      </c>
      <c r="M668" s="116">
        <v>45413</v>
      </c>
      <c r="N668" s="115">
        <v>55</v>
      </c>
      <c r="O668" s="115" t="s">
        <v>152</v>
      </c>
      <c r="P668" s="115" t="s">
        <v>162</v>
      </c>
      <c r="Q668" s="115" t="s">
        <v>313</v>
      </c>
      <c r="R668" s="115" t="s">
        <v>34</v>
      </c>
      <c r="S668" s="122">
        <v>1</v>
      </c>
    </row>
    <row r="669" spans="10:19" x14ac:dyDescent="0.25">
      <c r="J669" s="125" t="s">
        <v>1796</v>
      </c>
      <c r="K669" s="115" t="s">
        <v>1797</v>
      </c>
      <c r="L669" s="121" t="s">
        <v>200</v>
      </c>
      <c r="M669" s="116">
        <v>45414</v>
      </c>
      <c r="N669" s="115">
        <v>39</v>
      </c>
      <c r="O669" s="115" t="s">
        <v>150</v>
      </c>
      <c r="P669" s="115" t="s">
        <v>162</v>
      </c>
      <c r="Q669" s="115" t="s">
        <v>313</v>
      </c>
      <c r="R669" s="115" t="s">
        <v>34</v>
      </c>
      <c r="S669" s="122">
        <v>1</v>
      </c>
    </row>
    <row r="670" spans="10:19" x14ac:dyDescent="0.25">
      <c r="J670" s="125" t="s">
        <v>1798</v>
      </c>
      <c r="K670" s="115" t="s">
        <v>1799</v>
      </c>
      <c r="L670" s="121" t="s">
        <v>200</v>
      </c>
      <c r="M670" s="116">
        <v>45415</v>
      </c>
      <c r="N670" s="115">
        <v>43</v>
      </c>
      <c r="O670" s="115" t="s">
        <v>151</v>
      </c>
      <c r="P670" s="115" t="s">
        <v>162</v>
      </c>
      <c r="Q670" s="115" t="s">
        <v>313</v>
      </c>
      <c r="R670" s="115" t="s">
        <v>34</v>
      </c>
      <c r="S670" s="122">
        <v>1</v>
      </c>
    </row>
    <row r="671" spans="10:19" x14ac:dyDescent="0.25">
      <c r="J671" s="125" t="s">
        <v>1801</v>
      </c>
      <c r="K671" s="115" t="s">
        <v>1802</v>
      </c>
      <c r="L671" s="121" t="s">
        <v>200</v>
      </c>
      <c r="M671" s="116">
        <v>45413</v>
      </c>
      <c r="N671" s="115">
        <v>58</v>
      </c>
      <c r="O671" s="115" t="s">
        <v>152</v>
      </c>
      <c r="P671" s="115" t="s">
        <v>162</v>
      </c>
      <c r="Q671" s="115" t="s">
        <v>313</v>
      </c>
      <c r="R671" s="115" t="s">
        <v>34</v>
      </c>
      <c r="S671" s="122">
        <v>1</v>
      </c>
    </row>
    <row r="672" spans="10:19" x14ac:dyDescent="0.25">
      <c r="J672" s="125" t="s">
        <v>1803</v>
      </c>
      <c r="K672" s="115" t="s">
        <v>1804</v>
      </c>
      <c r="L672" s="121" t="s">
        <v>200</v>
      </c>
      <c r="M672" s="116">
        <v>45413</v>
      </c>
      <c r="N672" s="115">
        <v>55</v>
      </c>
      <c r="O672" s="115" t="s">
        <v>152</v>
      </c>
      <c r="P672" s="115" t="s">
        <v>162</v>
      </c>
      <c r="Q672" s="115" t="s">
        <v>313</v>
      </c>
      <c r="R672" s="115" t="s">
        <v>34</v>
      </c>
      <c r="S672" s="122">
        <v>1</v>
      </c>
    </row>
    <row r="673" spans="10:19" x14ac:dyDescent="0.25">
      <c r="J673" s="125" t="s">
        <v>1807</v>
      </c>
      <c r="K673" s="115" t="s">
        <v>1808</v>
      </c>
      <c r="L673" s="121" t="s">
        <v>200</v>
      </c>
      <c r="M673" s="116">
        <v>45414</v>
      </c>
      <c r="N673" s="115">
        <v>28</v>
      </c>
      <c r="O673" s="115" t="s">
        <v>149</v>
      </c>
      <c r="P673" s="115" t="s">
        <v>162</v>
      </c>
      <c r="Q673" s="115" t="s">
        <v>313</v>
      </c>
      <c r="R673" s="115" t="s">
        <v>34</v>
      </c>
      <c r="S673" s="122">
        <v>1</v>
      </c>
    </row>
    <row r="674" spans="10:19" x14ac:dyDescent="0.25">
      <c r="J674" s="125" t="s">
        <v>1812</v>
      </c>
      <c r="K674" s="115" t="s">
        <v>1813</v>
      </c>
      <c r="L674" s="121" t="s">
        <v>200</v>
      </c>
      <c r="M674" s="116">
        <v>45413</v>
      </c>
      <c r="N674" s="115">
        <v>43</v>
      </c>
      <c r="O674" s="115" t="s">
        <v>151</v>
      </c>
      <c r="P674" s="115" t="s">
        <v>162</v>
      </c>
      <c r="Q674" s="115" t="s">
        <v>313</v>
      </c>
      <c r="R674" s="115" t="s">
        <v>34</v>
      </c>
      <c r="S674" s="122">
        <v>1</v>
      </c>
    </row>
    <row r="675" spans="10:19" x14ac:dyDescent="0.25">
      <c r="J675" s="125" t="s">
        <v>1815</v>
      </c>
      <c r="K675" s="115" t="s">
        <v>1816</v>
      </c>
      <c r="L675" s="121" t="s">
        <v>200</v>
      </c>
      <c r="M675" s="116">
        <v>45413</v>
      </c>
      <c r="N675" s="115">
        <v>42</v>
      </c>
      <c r="O675" s="115" t="s">
        <v>151</v>
      </c>
      <c r="P675" s="115" t="s">
        <v>162</v>
      </c>
      <c r="Q675" s="115" t="s">
        <v>313</v>
      </c>
      <c r="R675" s="115" t="s">
        <v>35</v>
      </c>
      <c r="S675" s="122">
        <v>1</v>
      </c>
    </row>
    <row r="676" spans="10:19" x14ac:dyDescent="0.25">
      <c r="J676" s="125" t="s">
        <v>1817</v>
      </c>
      <c r="K676" s="115" t="s">
        <v>1818</v>
      </c>
      <c r="L676" s="121" t="s">
        <v>200</v>
      </c>
      <c r="M676" s="116">
        <v>45419</v>
      </c>
      <c r="N676" s="115">
        <v>26</v>
      </c>
      <c r="O676" s="115" t="s">
        <v>149</v>
      </c>
      <c r="P676" s="115" t="s">
        <v>162</v>
      </c>
      <c r="Q676" s="115" t="s">
        <v>313</v>
      </c>
      <c r="R676" s="115" t="s">
        <v>34</v>
      </c>
      <c r="S676" s="122">
        <v>1</v>
      </c>
    </row>
    <row r="677" spans="10:19" x14ac:dyDescent="0.25">
      <c r="J677" s="125" t="s">
        <v>1819</v>
      </c>
      <c r="K677" s="115" t="s">
        <v>1820</v>
      </c>
      <c r="L677" s="121" t="s">
        <v>200</v>
      </c>
      <c r="M677" s="116">
        <v>45148</v>
      </c>
      <c r="N677" s="115">
        <v>48</v>
      </c>
      <c r="O677" s="115" t="s">
        <v>151</v>
      </c>
      <c r="P677" s="115" t="s">
        <v>162</v>
      </c>
      <c r="Q677" s="115" t="s">
        <v>313</v>
      </c>
      <c r="R677" s="115" t="s">
        <v>35</v>
      </c>
      <c r="S677" s="122">
        <v>1</v>
      </c>
    </row>
    <row r="678" spans="10:19" x14ac:dyDescent="0.25">
      <c r="J678" s="125" t="s">
        <v>1821</v>
      </c>
      <c r="K678" s="115" t="s">
        <v>1822</v>
      </c>
      <c r="L678" s="121" t="s">
        <v>200</v>
      </c>
      <c r="M678" s="116">
        <v>45413</v>
      </c>
      <c r="N678" s="115">
        <v>53</v>
      </c>
      <c r="O678" s="115" t="s">
        <v>152</v>
      </c>
      <c r="P678" s="115" t="s">
        <v>162</v>
      </c>
      <c r="Q678" s="115" t="s">
        <v>313</v>
      </c>
      <c r="R678" s="115" t="s">
        <v>34</v>
      </c>
      <c r="S678" s="122">
        <v>1</v>
      </c>
    </row>
    <row r="679" spans="10:19" x14ac:dyDescent="0.25">
      <c r="J679" s="125" t="s">
        <v>1825</v>
      </c>
      <c r="K679" s="115" t="s">
        <v>1826</v>
      </c>
      <c r="L679" s="121" t="s">
        <v>200</v>
      </c>
      <c r="M679" s="116">
        <v>45413</v>
      </c>
      <c r="N679" s="115">
        <v>43</v>
      </c>
      <c r="O679" s="115" t="s">
        <v>151</v>
      </c>
      <c r="P679" s="115" t="s">
        <v>162</v>
      </c>
      <c r="Q679" s="115" t="s">
        <v>313</v>
      </c>
      <c r="R679" s="115" t="s">
        <v>34</v>
      </c>
      <c r="S679" s="122">
        <v>1</v>
      </c>
    </row>
    <row r="680" spans="10:19" x14ac:dyDescent="0.25">
      <c r="J680" s="125" t="s">
        <v>1828</v>
      </c>
      <c r="K680" s="115" t="s">
        <v>1829</v>
      </c>
      <c r="L680" s="121" t="s">
        <v>200</v>
      </c>
      <c r="M680" s="116">
        <v>45413</v>
      </c>
      <c r="N680" s="115">
        <v>34</v>
      </c>
      <c r="O680" s="115" t="s">
        <v>150</v>
      </c>
      <c r="P680" s="115" t="s">
        <v>162</v>
      </c>
      <c r="Q680" s="115" t="s">
        <v>313</v>
      </c>
      <c r="R680" s="115" t="s">
        <v>34</v>
      </c>
      <c r="S680" s="122">
        <v>1</v>
      </c>
    </row>
    <row r="681" spans="10:19" x14ac:dyDescent="0.25">
      <c r="J681" s="125" t="s">
        <v>1830</v>
      </c>
      <c r="K681" s="115" t="s">
        <v>1831</v>
      </c>
      <c r="L681" s="121" t="s">
        <v>200</v>
      </c>
      <c r="M681" s="116">
        <v>45413</v>
      </c>
      <c r="N681" s="115">
        <v>52</v>
      </c>
      <c r="O681" s="115" t="s">
        <v>152</v>
      </c>
      <c r="P681" s="115" t="s">
        <v>162</v>
      </c>
      <c r="Q681" s="115" t="s">
        <v>313</v>
      </c>
      <c r="R681" s="115" t="s">
        <v>34</v>
      </c>
      <c r="S681" s="122">
        <v>1</v>
      </c>
    </row>
    <row r="682" spans="10:19" x14ac:dyDescent="0.25">
      <c r="J682" s="125" t="s">
        <v>1833</v>
      </c>
      <c r="K682" s="115" t="s">
        <v>1834</v>
      </c>
      <c r="L682" s="121" t="s">
        <v>200</v>
      </c>
      <c r="M682" s="116">
        <v>45413</v>
      </c>
      <c r="N682" s="115">
        <v>28</v>
      </c>
      <c r="O682" s="115" t="s">
        <v>149</v>
      </c>
      <c r="P682" s="115" t="s">
        <v>162</v>
      </c>
      <c r="Q682" s="115" t="s">
        <v>313</v>
      </c>
      <c r="R682" s="115" t="s">
        <v>34</v>
      </c>
      <c r="S682" s="122">
        <v>1</v>
      </c>
    </row>
    <row r="683" spans="10:19" x14ac:dyDescent="0.25">
      <c r="J683" s="125" t="s">
        <v>1836</v>
      </c>
      <c r="K683" s="115" t="s">
        <v>1837</v>
      </c>
      <c r="L683" s="121" t="s">
        <v>200</v>
      </c>
      <c r="M683" s="116">
        <v>45413</v>
      </c>
      <c r="N683" s="115">
        <v>43</v>
      </c>
      <c r="O683" s="115" t="s">
        <v>151</v>
      </c>
      <c r="P683" s="115" t="s">
        <v>162</v>
      </c>
      <c r="Q683" s="115" t="s">
        <v>313</v>
      </c>
      <c r="R683" s="115" t="s">
        <v>34</v>
      </c>
      <c r="S683" s="122">
        <v>1</v>
      </c>
    </row>
    <row r="684" spans="10:19" x14ac:dyDescent="0.25">
      <c r="J684" s="125" t="s">
        <v>1894</v>
      </c>
      <c r="K684" s="115" t="s">
        <v>1895</v>
      </c>
      <c r="L684" s="121" t="s">
        <v>200</v>
      </c>
      <c r="M684" s="116">
        <v>45441</v>
      </c>
      <c r="N684" s="115">
        <v>23</v>
      </c>
      <c r="O684" s="115" t="s">
        <v>148</v>
      </c>
      <c r="P684" s="115" t="s">
        <v>235</v>
      </c>
      <c r="Q684" s="115" t="s">
        <v>313</v>
      </c>
      <c r="R684" s="115" t="s">
        <v>36</v>
      </c>
      <c r="S684" s="122">
        <v>1</v>
      </c>
    </row>
    <row r="685" spans="10:19" x14ac:dyDescent="0.25">
      <c r="J685" s="125">
        <v>72767054</v>
      </c>
      <c r="K685" s="115" t="s">
        <v>2036</v>
      </c>
      <c r="L685" s="121" t="s">
        <v>200</v>
      </c>
      <c r="M685" s="116">
        <v>45425</v>
      </c>
      <c r="N685" s="115">
        <v>23</v>
      </c>
      <c r="O685" s="115" t="s">
        <v>148</v>
      </c>
      <c r="P685" s="115" t="s">
        <v>235</v>
      </c>
      <c r="Q685" s="115" t="s">
        <v>312</v>
      </c>
      <c r="R685" s="115" t="s">
        <v>34</v>
      </c>
      <c r="S685" s="122">
        <v>1</v>
      </c>
    </row>
    <row r="686" spans="10:19" x14ac:dyDescent="0.25">
      <c r="J686" s="125" t="s">
        <v>1851</v>
      </c>
      <c r="K686" s="115" t="s">
        <v>1852</v>
      </c>
      <c r="L686" s="121" t="s">
        <v>200</v>
      </c>
      <c r="M686" s="116">
        <v>45162</v>
      </c>
      <c r="N686" s="115">
        <v>31</v>
      </c>
      <c r="O686" s="115" t="s">
        <v>149</v>
      </c>
      <c r="P686" s="115" t="s">
        <v>235</v>
      </c>
      <c r="Q686" s="115" t="s">
        <v>313</v>
      </c>
      <c r="R686" s="115" t="s">
        <v>68</v>
      </c>
      <c r="S686" s="122">
        <v>1</v>
      </c>
    </row>
    <row r="687" spans="10:19" x14ac:dyDescent="0.25">
      <c r="J687" s="125" t="s">
        <v>1976</v>
      </c>
      <c r="K687" s="115" t="s">
        <v>1977</v>
      </c>
      <c r="L687" s="121" t="s">
        <v>200</v>
      </c>
      <c r="M687" s="116">
        <v>45337</v>
      </c>
      <c r="N687" s="115">
        <v>27</v>
      </c>
      <c r="O687" s="115" t="s">
        <v>149</v>
      </c>
      <c r="P687" s="115" t="s">
        <v>235</v>
      </c>
      <c r="Q687" s="115" t="s">
        <v>313</v>
      </c>
      <c r="R687" s="115" t="s">
        <v>36</v>
      </c>
      <c r="S687" s="122">
        <v>1</v>
      </c>
    </row>
    <row r="688" spans="10:19" x14ac:dyDescent="0.25">
      <c r="J688" s="125" t="s">
        <v>1864</v>
      </c>
      <c r="K688" s="115" t="s">
        <v>1865</v>
      </c>
      <c r="L688" s="121" t="s">
        <v>200</v>
      </c>
      <c r="M688" s="116">
        <v>45149</v>
      </c>
      <c r="N688" s="115">
        <v>42</v>
      </c>
      <c r="O688" s="115" t="s">
        <v>151</v>
      </c>
      <c r="P688" s="115" t="s">
        <v>235</v>
      </c>
      <c r="Q688" s="115" t="s">
        <v>313</v>
      </c>
      <c r="R688" s="115" t="s">
        <v>34</v>
      </c>
      <c r="S688" s="122">
        <v>1</v>
      </c>
    </row>
    <row r="689" spans="10:19" x14ac:dyDescent="0.25">
      <c r="J689" s="125">
        <v>47335222</v>
      </c>
      <c r="K689" s="115" t="s">
        <v>2482</v>
      </c>
      <c r="L689" s="121" t="s">
        <v>200</v>
      </c>
      <c r="M689" s="116">
        <v>45148</v>
      </c>
      <c r="N689" s="115">
        <v>32</v>
      </c>
      <c r="O689" s="115" t="s">
        <v>150</v>
      </c>
      <c r="P689" s="115" t="s">
        <v>235</v>
      </c>
      <c r="Q689" s="115" t="s">
        <v>313</v>
      </c>
      <c r="R689" s="115" t="s">
        <v>72</v>
      </c>
      <c r="S689" s="122">
        <v>1</v>
      </c>
    </row>
    <row r="690" spans="10:19" x14ac:dyDescent="0.25">
      <c r="J690" s="125" t="s">
        <v>2007</v>
      </c>
      <c r="K690" s="115" t="s">
        <v>2008</v>
      </c>
      <c r="L690" s="121" t="s">
        <v>200</v>
      </c>
      <c r="M690" s="116">
        <v>44958</v>
      </c>
      <c r="N690" s="115">
        <v>31</v>
      </c>
      <c r="O690" s="115" t="s">
        <v>149</v>
      </c>
      <c r="P690" s="115" t="s">
        <v>235</v>
      </c>
      <c r="Q690" s="115" t="s">
        <v>313</v>
      </c>
      <c r="R690" s="115" t="s">
        <v>68</v>
      </c>
      <c r="S690" s="122">
        <v>1</v>
      </c>
    </row>
    <row r="691" spans="10:19" x14ac:dyDescent="0.25">
      <c r="J691" s="125" t="s">
        <v>1899</v>
      </c>
      <c r="K691" s="115" t="s">
        <v>1900</v>
      </c>
      <c r="L691" s="121" t="s">
        <v>200</v>
      </c>
      <c r="M691" s="116">
        <v>45162</v>
      </c>
      <c r="N691" s="115">
        <v>38</v>
      </c>
      <c r="O691" s="115" t="s">
        <v>150</v>
      </c>
      <c r="P691" s="115" t="s">
        <v>235</v>
      </c>
      <c r="Q691" s="115" t="s">
        <v>313</v>
      </c>
      <c r="R691" s="115" t="s">
        <v>68</v>
      </c>
      <c r="S691" s="122">
        <v>1</v>
      </c>
    </row>
    <row r="692" spans="10:19" x14ac:dyDescent="0.25">
      <c r="J692" s="125" t="s">
        <v>1979</v>
      </c>
      <c r="K692" s="115" t="s">
        <v>1980</v>
      </c>
      <c r="L692" s="121" t="s">
        <v>200</v>
      </c>
      <c r="M692" s="116">
        <v>45215</v>
      </c>
      <c r="N692" s="115">
        <v>32</v>
      </c>
      <c r="O692" s="115" t="s">
        <v>150</v>
      </c>
      <c r="P692" s="115" t="s">
        <v>235</v>
      </c>
      <c r="Q692" s="115" t="s">
        <v>313</v>
      </c>
      <c r="R692" s="115" t="s">
        <v>34</v>
      </c>
      <c r="S692" s="122">
        <v>1</v>
      </c>
    </row>
    <row r="693" spans="10:19" x14ac:dyDescent="0.25">
      <c r="J693" s="125" t="s">
        <v>1915</v>
      </c>
      <c r="K693" s="115" t="s">
        <v>1983</v>
      </c>
      <c r="L693" s="121" t="s">
        <v>200</v>
      </c>
      <c r="M693" s="116">
        <v>45264</v>
      </c>
      <c r="N693" s="115">
        <v>35</v>
      </c>
      <c r="O693" s="115" t="s">
        <v>150</v>
      </c>
      <c r="P693" s="116">
        <v>45563</v>
      </c>
      <c r="Q693" s="115" t="s">
        <v>313</v>
      </c>
      <c r="R693" s="115" t="s">
        <v>68</v>
      </c>
      <c r="S693" s="122">
        <v>1</v>
      </c>
    </row>
    <row r="694" spans="10:19" x14ac:dyDescent="0.25">
      <c r="J694" s="125" t="s">
        <v>2011</v>
      </c>
      <c r="K694" s="115" t="s">
        <v>2012</v>
      </c>
      <c r="L694" s="121" t="s">
        <v>200</v>
      </c>
      <c r="M694" s="116">
        <v>45215</v>
      </c>
      <c r="N694" s="115">
        <v>40</v>
      </c>
      <c r="O694" s="115" t="s">
        <v>150</v>
      </c>
      <c r="P694" s="115" t="s">
        <v>235</v>
      </c>
      <c r="Q694" s="115" t="s">
        <v>313</v>
      </c>
      <c r="R694" s="115" t="s">
        <v>69</v>
      </c>
      <c r="S694" s="122">
        <v>1</v>
      </c>
    </row>
    <row r="695" spans="10:19" x14ac:dyDescent="0.25">
      <c r="J695" s="125" t="s">
        <v>2021</v>
      </c>
      <c r="K695" s="115" t="s">
        <v>2022</v>
      </c>
      <c r="L695" s="121" t="s">
        <v>200</v>
      </c>
      <c r="M695" s="116">
        <v>44998</v>
      </c>
      <c r="N695" s="115">
        <v>38</v>
      </c>
      <c r="O695" s="115" t="s">
        <v>150</v>
      </c>
      <c r="P695" s="116">
        <v>45563</v>
      </c>
      <c r="Q695" s="115" t="s">
        <v>313</v>
      </c>
      <c r="R695" s="115" t="s">
        <v>68</v>
      </c>
      <c r="S695" s="122">
        <v>1</v>
      </c>
    </row>
    <row r="696" spans="10:19" x14ac:dyDescent="0.25">
      <c r="J696" s="125" t="s">
        <v>2026</v>
      </c>
      <c r="K696" s="115" t="s">
        <v>2027</v>
      </c>
      <c r="L696" s="121" t="s">
        <v>200</v>
      </c>
      <c r="M696" s="116">
        <v>44979</v>
      </c>
      <c r="N696" s="115">
        <v>35</v>
      </c>
      <c r="O696" s="115" t="s">
        <v>150</v>
      </c>
      <c r="P696" s="115" t="s">
        <v>235</v>
      </c>
      <c r="Q696" s="115" t="s">
        <v>313</v>
      </c>
      <c r="R696" s="115" t="s">
        <v>68</v>
      </c>
      <c r="S696" s="122">
        <v>1</v>
      </c>
    </row>
    <row r="697" spans="10:19" x14ac:dyDescent="0.25">
      <c r="J697" s="125" t="s">
        <v>2039</v>
      </c>
      <c r="K697" s="115" t="s">
        <v>2040</v>
      </c>
      <c r="L697" s="121" t="s">
        <v>200</v>
      </c>
      <c r="M697" s="116">
        <v>44844</v>
      </c>
      <c r="N697" s="115">
        <v>32</v>
      </c>
      <c r="O697" s="115" t="s">
        <v>150</v>
      </c>
      <c r="P697" s="115" t="s">
        <v>235</v>
      </c>
      <c r="Q697" s="115" t="s">
        <v>312</v>
      </c>
      <c r="R697" s="115" t="s">
        <v>34</v>
      </c>
      <c r="S697" s="122">
        <v>1</v>
      </c>
    </row>
    <row r="698" spans="10:19" x14ac:dyDescent="0.25">
      <c r="J698" s="125" t="s">
        <v>1846</v>
      </c>
      <c r="K698" s="115" t="s">
        <v>1847</v>
      </c>
      <c r="L698" s="121" t="s">
        <v>200</v>
      </c>
      <c r="M698" s="116">
        <v>44966</v>
      </c>
      <c r="N698" s="115">
        <v>46</v>
      </c>
      <c r="O698" s="115" t="s">
        <v>151</v>
      </c>
      <c r="P698" s="115" t="s">
        <v>235</v>
      </c>
      <c r="Q698" s="115" t="s">
        <v>313</v>
      </c>
      <c r="R698" s="115" t="s">
        <v>36</v>
      </c>
      <c r="S698" s="122">
        <v>1</v>
      </c>
    </row>
    <row r="699" spans="10:19" x14ac:dyDescent="0.25">
      <c r="J699" s="125" t="s">
        <v>1848</v>
      </c>
      <c r="K699" s="115" t="s">
        <v>1849</v>
      </c>
      <c r="L699" s="121" t="s">
        <v>200</v>
      </c>
      <c r="M699" s="116">
        <v>44966</v>
      </c>
      <c r="N699" s="115">
        <v>42</v>
      </c>
      <c r="O699" s="115" t="s">
        <v>151</v>
      </c>
      <c r="P699" s="115" t="s">
        <v>235</v>
      </c>
      <c r="Q699" s="115" t="s">
        <v>313</v>
      </c>
      <c r="R699" s="115" t="s">
        <v>36</v>
      </c>
      <c r="S699" s="122">
        <v>1</v>
      </c>
    </row>
    <row r="700" spans="10:19" x14ac:dyDescent="0.25">
      <c r="J700" s="125" t="s">
        <v>1853</v>
      </c>
      <c r="K700" s="115" t="s">
        <v>1854</v>
      </c>
      <c r="L700" s="121" t="s">
        <v>200</v>
      </c>
      <c r="M700" s="116">
        <v>45124</v>
      </c>
      <c r="N700" s="115">
        <v>47</v>
      </c>
      <c r="O700" s="115" t="s">
        <v>151</v>
      </c>
      <c r="P700" s="115" t="s">
        <v>235</v>
      </c>
      <c r="Q700" s="115" t="s">
        <v>313</v>
      </c>
      <c r="R700" s="115" t="s">
        <v>68</v>
      </c>
      <c r="S700" s="122">
        <v>1</v>
      </c>
    </row>
    <row r="701" spans="10:19" x14ac:dyDescent="0.25">
      <c r="J701" s="125" t="s">
        <v>1874</v>
      </c>
      <c r="K701" s="115" t="s">
        <v>1875</v>
      </c>
      <c r="L701" s="121" t="s">
        <v>200</v>
      </c>
      <c r="M701" s="116">
        <v>45363</v>
      </c>
      <c r="N701" s="115">
        <v>44</v>
      </c>
      <c r="O701" s="115" t="s">
        <v>151</v>
      </c>
      <c r="P701" s="115" t="s">
        <v>235</v>
      </c>
      <c r="Q701" s="115" t="s">
        <v>313</v>
      </c>
      <c r="R701" s="115" t="s">
        <v>68</v>
      </c>
      <c r="S701" s="122">
        <v>1</v>
      </c>
    </row>
    <row r="702" spans="10:19" x14ac:dyDescent="0.25">
      <c r="J702" s="125" t="s">
        <v>1888</v>
      </c>
      <c r="K702" s="115" t="s">
        <v>1889</v>
      </c>
      <c r="L702" s="121" t="s">
        <v>200</v>
      </c>
      <c r="M702" s="116">
        <v>45369</v>
      </c>
      <c r="N702" s="115">
        <v>47</v>
      </c>
      <c r="O702" s="115" t="s">
        <v>151</v>
      </c>
      <c r="P702" s="116">
        <v>45549</v>
      </c>
      <c r="Q702" s="115" t="s">
        <v>313</v>
      </c>
      <c r="R702" s="115" t="s">
        <v>34</v>
      </c>
      <c r="S702" s="122">
        <v>1</v>
      </c>
    </row>
    <row r="703" spans="10:19" x14ac:dyDescent="0.25">
      <c r="J703" s="125" t="s">
        <v>1911</v>
      </c>
      <c r="K703" s="115" t="s">
        <v>1912</v>
      </c>
      <c r="L703" s="121" t="s">
        <v>200</v>
      </c>
      <c r="M703" s="116">
        <v>45408</v>
      </c>
      <c r="N703" s="115">
        <v>44</v>
      </c>
      <c r="O703" s="115" t="s">
        <v>151</v>
      </c>
      <c r="P703" s="116">
        <v>45549</v>
      </c>
      <c r="Q703" s="115" t="s">
        <v>313</v>
      </c>
      <c r="R703" s="115" t="s">
        <v>34</v>
      </c>
      <c r="S703" s="122">
        <v>1</v>
      </c>
    </row>
    <row r="704" spans="10:19" x14ac:dyDescent="0.25">
      <c r="J704" s="125" t="s">
        <v>1931</v>
      </c>
      <c r="K704" s="115" t="s">
        <v>1932</v>
      </c>
      <c r="L704" s="121" t="s">
        <v>200</v>
      </c>
      <c r="M704" s="116">
        <v>44992</v>
      </c>
      <c r="N704" s="115">
        <v>46</v>
      </c>
      <c r="O704" s="115" t="s">
        <v>151</v>
      </c>
      <c r="P704" s="115" t="s">
        <v>235</v>
      </c>
      <c r="Q704" s="115" t="s">
        <v>313</v>
      </c>
      <c r="R704" s="115" t="s">
        <v>68</v>
      </c>
      <c r="S704" s="122">
        <v>1</v>
      </c>
    </row>
    <row r="705" spans="10:19" x14ac:dyDescent="0.25">
      <c r="J705" s="125" t="s">
        <v>1998</v>
      </c>
      <c r="K705" s="115" t="s">
        <v>1999</v>
      </c>
      <c r="L705" s="121" t="s">
        <v>200</v>
      </c>
      <c r="M705" s="116">
        <v>45441</v>
      </c>
      <c r="N705" s="115">
        <v>46</v>
      </c>
      <c r="O705" s="115" t="s">
        <v>151</v>
      </c>
      <c r="P705" s="115" t="s">
        <v>235</v>
      </c>
      <c r="Q705" s="115" t="s">
        <v>313</v>
      </c>
      <c r="R705" s="115" t="s">
        <v>68</v>
      </c>
      <c r="S705" s="122">
        <v>1</v>
      </c>
    </row>
    <row r="706" spans="10:19" x14ac:dyDescent="0.25">
      <c r="J706" s="125" t="s">
        <v>2018</v>
      </c>
      <c r="K706" s="115" t="s">
        <v>2019</v>
      </c>
      <c r="L706" s="121" t="s">
        <v>200</v>
      </c>
      <c r="M706" s="116">
        <v>45299</v>
      </c>
      <c r="N706" s="115">
        <v>44</v>
      </c>
      <c r="O706" s="115" t="s">
        <v>151</v>
      </c>
      <c r="P706" s="115" t="s">
        <v>235</v>
      </c>
      <c r="Q706" s="115" t="s">
        <v>313</v>
      </c>
      <c r="R706" s="115" t="s">
        <v>36</v>
      </c>
      <c r="S706" s="122">
        <v>1</v>
      </c>
    </row>
    <row r="707" spans="10:19" x14ac:dyDescent="0.25">
      <c r="J707" s="125" t="s">
        <v>1892</v>
      </c>
      <c r="K707" s="115" t="s">
        <v>2469</v>
      </c>
      <c r="L707" s="121" t="s">
        <v>200</v>
      </c>
      <c r="M707" s="116">
        <v>45069</v>
      </c>
      <c r="N707" s="115">
        <v>55</v>
      </c>
      <c r="O707" s="115" t="s">
        <v>152</v>
      </c>
      <c r="P707" s="115" t="s">
        <v>235</v>
      </c>
      <c r="Q707" s="115" t="s">
        <v>313</v>
      </c>
      <c r="R707" s="115" t="s">
        <v>72</v>
      </c>
      <c r="S707" s="122">
        <v>1</v>
      </c>
    </row>
    <row r="708" spans="10:19" x14ac:dyDescent="0.25">
      <c r="J708" s="125" t="s">
        <v>1907</v>
      </c>
      <c r="K708" s="115" t="s">
        <v>1908</v>
      </c>
      <c r="L708" s="121" t="s">
        <v>200</v>
      </c>
      <c r="M708" s="116">
        <v>45397</v>
      </c>
      <c r="N708" s="115">
        <v>54</v>
      </c>
      <c r="O708" s="115" t="s">
        <v>152</v>
      </c>
      <c r="P708" s="116">
        <v>45549</v>
      </c>
      <c r="Q708" s="115" t="s">
        <v>313</v>
      </c>
      <c r="R708" s="115" t="s">
        <v>34</v>
      </c>
      <c r="S708" s="122">
        <v>1</v>
      </c>
    </row>
    <row r="709" spans="10:19" x14ac:dyDescent="0.25">
      <c r="J709" s="125" t="s">
        <v>1919</v>
      </c>
      <c r="K709" s="115" t="s">
        <v>1920</v>
      </c>
      <c r="L709" s="121" t="s">
        <v>200</v>
      </c>
      <c r="M709" s="116">
        <v>45215</v>
      </c>
      <c r="N709" s="115">
        <v>54</v>
      </c>
      <c r="O709" s="115" t="s">
        <v>152</v>
      </c>
      <c r="P709" s="115" t="s">
        <v>235</v>
      </c>
      <c r="Q709" s="115" t="s">
        <v>313</v>
      </c>
      <c r="R709" s="115" t="s">
        <v>68</v>
      </c>
      <c r="S709" s="122">
        <v>1</v>
      </c>
    </row>
    <row r="710" spans="10:19" x14ac:dyDescent="0.25">
      <c r="J710" s="125" t="s">
        <v>1945</v>
      </c>
      <c r="K710" s="115" t="s">
        <v>1946</v>
      </c>
      <c r="L710" s="121" t="s">
        <v>200</v>
      </c>
      <c r="M710" s="116">
        <v>45436</v>
      </c>
      <c r="N710" s="115">
        <v>50</v>
      </c>
      <c r="O710" s="115" t="s">
        <v>152</v>
      </c>
      <c r="P710" s="116">
        <v>45549</v>
      </c>
      <c r="Q710" s="115" t="s">
        <v>313</v>
      </c>
      <c r="R710" s="115" t="s">
        <v>34</v>
      </c>
      <c r="S710" s="122">
        <v>1</v>
      </c>
    </row>
    <row r="711" spans="10:19" x14ac:dyDescent="0.25">
      <c r="J711" s="125" t="s">
        <v>2002</v>
      </c>
      <c r="K711" s="115" t="s">
        <v>2003</v>
      </c>
      <c r="L711" s="121" t="s">
        <v>200</v>
      </c>
      <c r="M711" s="116">
        <v>45321</v>
      </c>
      <c r="N711" s="115">
        <v>59</v>
      </c>
      <c r="O711" s="115" t="s">
        <v>153</v>
      </c>
      <c r="P711" s="116">
        <v>45542</v>
      </c>
      <c r="Q711" s="115" t="s">
        <v>313</v>
      </c>
      <c r="R711" s="115" t="s">
        <v>34</v>
      </c>
      <c r="S711" s="122">
        <v>1</v>
      </c>
    </row>
    <row r="712" spans="10:19" x14ac:dyDescent="0.25">
      <c r="J712" s="125" t="s">
        <v>1989</v>
      </c>
      <c r="K712" s="115" t="s">
        <v>1990</v>
      </c>
      <c r="L712" s="121" t="s">
        <v>200</v>
      </c>
      <c r="M712" s="116">
        <v>45112</v>
      </c>
      <c r="N712" s="115">
        <v>50</v>
      </c>
      <c r="O712" s="115" t="s">
        <v>152</v>
      </c>
      <c r="P712" s="116">
        <v>45556</v>
      </c>
      <c r="Q712" s="115" t="s">
        <v>313</v>
      </c>
      <c r="R712" s="115" t="s">
        <v>36</v>
      </c>
      <c r="S712" s="122">
        <v>1</v>
      </c>
    </row>
    <row r="713" spans="10:19" x14ac:dyDescent="0.25">
      <c r="J713" s="125" t="s">
        <v>2071</v>
      </c>
      <c r="K713" s="115" t="s">
        <v>2072</v>
      </c>
      <c r="L713" s="121" t="s">
        <v>200</v>
      </c>
      <c r="M713" s="116">
        <v>45453</v>
      </c>
      <c r="N713" s="115">
        <v>24</v>
      </c>
      <c r="O713" s="115" t="s">
        <v>149</v>
      </c>
      <c r="P713" s="115" t="s">
        <v>235</v>
      </c>
      <c r="Q713" s="115" t="s">
        <v>313</v>
      </c>
      <c r="R713" s="115" t="s">
        <v>34</v>
      </c>
      <c r="S713" s="122">
        <v>1</v>
      </c>
    </row>
    <row r="714" spans="10:19" x14ac:dyDescent="0.25">
      <c r="J714" s="125" t="s">
        <v>2163</v>
      </c>
      <c r="K714" s="115" t="s">
        <v>2164</v>
      </c>
      <c r="L714" s="121" t="s">
        <v>200</v>
      </c>
      <c r="M714" s="116">
        <v>45450</v>
      </c>
      <c r="N714" s="115">
        <v>24</v>
      </c>
      <c r="O714" s="115" t="s">
        <v>149</v>
      </c>
      <c r="P714" s="115" t="s">
        <v>162</v>
      </c>
      <c r="Q714" s="115" t="s">
        <v>313</v>
      </c>
      <c r="R714" s="115" t="s">
        <v>36</v>
      </c>
      <c r="S714" s="122">
        <v>1</v>
      </c>
    </row>
    <row r="715" spans="10:19" x14ac:dyDescent="0.25">
      <c r="J715" s="125" t="s">
        <v>2170</v>
      </c>
      <c r="K715" s="115" t="s">
        <v>2171</v>
      </c>
      <c r="L715" s="121" t="s">
        <v>200</v>
      </c>
      <c r="M715" s="116">
        <v>45456</v>
      </c>
      <c r="N715" s="115">
        <v>20</v>
      </c>
      <c r="O715" s="115" t="s">
        <v>148</v>
      </c>
      <c r="P715" s="115" t="s">
        <v>162</v>
      </c>
      <c r="Q715" s="115" t="s">
        <v>313</v>
      </c>
      <c r="R715" s="115" t="s">
        <v>35</v>
      </c>
      <c r="S715" s="122">
        <v>1</v>
      </c>
    </row>
    <row r="716" spans="10:19" x14ac:dyDescent="0.25">
      <c r="J716" s="125" t="s">
        <v>2176</v>
      </c>
      <c r="K716" s="115" t="s">
        <v>2177</v>
      </c>
      <c r="L716" s="121" t="s">
        <v>200</v>
      </c>
      <c r="M716" s="116">
        <v>45465</v>
      </c>
      <c r="N716" s="115">
        <v>22</v>
      </c>
      <c r="O716" s="115" t="s">
        <v>148</v>
      </c>
      <c r="P716" s="115" t="s">
        <v>162</v>
      </c>
      <c r="Q716" s="115" t="s">
        <v>313</v>
      </c>
      <c r="R716" s="115" t="s">
        <v>36</v>
      </c>
      <c r="S716" s="122">
        <v>1</v>
      </c>
    </row>
    <row r="717" spans="10:19" x14ac:dyDescent="0.25">
      <c r="J717" s="125" t="s">
        <v>2178</v>
      </c>
      <c r="K717" s="115" t="s">
        <v>2179</v>
      </c>
      <c r="L717" s="121" t="s">
        <v>200</v>
      </c>
      <c r="M717" s="116">
        <v>45465</v>
      </c>
      <c r="N717" s="115">
        <v>24</v>
      </c>
      <c r="O717" s="115" t="s">
        <v>149</v>
      </c>
      <c r="P717" s="115" t="s">
        <v>162</v>
      </c>
      <c r="Q717" s="115" t="s">
        <v>313</v>
      </c>
      <c r="R717" s="115" t="s">
        <v>68</v>
      </c>
      <c r="S717" s="122">
        <v>1</v>
      </c>
    </row>
    <row r="718" spans="10:19" x14ac:dyDescent="0.25">
      <c r="J718" s="125">
        <v>73778593</v>
      </c>
      <c r="K718" s="115" t="s">
        <v>2188</v>
      </c>
      <c r="L718" s="121" t="s">
        <v>200</v>
      </c>
      <c r="M718" s="116">
        <v>45439</v>
      </c>
      <c r="N718" s="115">
        <v>23</v>
      </c>
      <c r="O718" s="115" t="s">
        <v>148</v>
      </c>
      <c r="P718" s="115" t="s">
        <v>235</v>
      </c>
      <c r="Q718" s="115" t="s">
        <v>313</v>
      </c>
      <c r="R718" s="115" t="s">
        <v>34</v>
      </c>
      <c r="S718" s="122">
        <v>1</v>
      </c>
    </row>
    <row r="719" spans="10:19" x14ac:dyDescent="0.25">
      <c r="J719" s="125">
        <v>79549830</v>
      </c>
      <c r="K719" s="115" t="s">
        <v>2189</v>
      </c>
      <c r="L719" s="121" t="s">
        <v>200</v>
      </c>
      <c r="M719" s="116">
        <v>45447</v>
      </c>
      <c r="N719" s="115">
        <v>23</v>
      </c>
      <c r="O719" s="115" t="s">
        <v>148</v>
      </c>
      <c r="P719" s="116">
        <v>45544</v>
      </c>
      <c r="Q719" s="115" t="s">
        <v>313</v>
      </c>
      <c r="R719" s="115" t="s">
        <v>34</v>
      </c>
      <c r="S719" s="122">
        <v>0.5</v>
      </c>
    </row>
    <row r="720" spans="10:19" x14ac:dyDescent="0.25">
      <c r="J720" s="126"/>
      <c r="K720" s="117"/>
      <c r="L720" s="110"/>
      <c r="M720" s="116">
        <v>45545</v>
      </c>
      <c r="N720" s="115">
        <v>23</v>
      </c>
      <c r="O720" s="115" t="s">
        <v>148</v>
      </c>
      <c r="P720" s="115" t="s">
        <v>235</v>
      </c>
      <c r="Q720" s="115" t="s">
        <v>313</v>
      </c>
      <c r="R720" s="115" t="s">
        <v>34</v>
      </c>
      <c r="S720" s="122">
        <v>0.5</v>
      </c>
    </row>
    <row r="721" spans="10:19" x14ac:dyDescent="0.25">
      <c r="J721" s="125" t="s">
        <v>2228</v>
      </c>
      <c r="K721" s="115" t="s">
        <v>2229</v>
      </c>
      <c r="L721" s="121" t="s">
        <v>200</v>
      </c>
      <c r="M721" s="116">
        <v>45453</v>
      </c>
      <c r="N721" s="115">
        <v>23</v>
      </c>
      <c r="O721" s="115" t="s">
        <v>148</v>
      </c>
      <c r="P721" s="115" t="s">
        <v>235</v>
      </c>
      <c r="Q721" s="115" t="s">
        <v>313</v>
      </c>
      <c r="R721" s="115" t="s">
        <v>34</v>
      </c>
      <c r="S721" s="122">
        <v>1</v>
      </c>
    </row>
    <row r="722" spans="10:19" x14ac:dyDescent="0.25">
      <c r="J722" s="125" t="s">
        <v>2335</v>
      </c>
      <c r="K722" s="115" t="s">
        <v>2336</v>
      </c>
      <c r="L722" s="121" t="s">
        <v>200</v>
      </c>
      <c r="M722" s="116">
        <v>45444</v>
      </c>
      <c r="N722" s="115">
        <v>21</v>
      </c>
      <c r="O722" s="115" t="s">
        <v>148</v>
      </c>
      <c r="P722" s="115" t="s">
        <v>162</v>
      </c>
      <c r="Q722" s="115" t="s">
        <v>313</v>
      </c>
      <c r="R722" s="115" t="s">
        <v>34</v>
      </c>
      <c r="S722" s="122">
        <v>1</v>
      </c>
    </row>
    <row r="723" spans="10:19" x14ac:dyDescent="0.25">
      <c r="J723" s="125" t="s">
        <v>2345</v>
      </c>
      <c r="K723" s="115" t="s">
        <v>2346</v>
      </c>
      <c r="L723" s="121" t="s">
        <v>200</v>
      </c>
      <c r="M723" s="116">
        <v>45444</v>
      </c>
      <c r="N723" s="115">
        <v>22</v>
      </c>
      <c r="O723" s="115" t="s">
        <v>148</v>
      </c>
      <c r="P723" s="115" t="s">
        <v>162</v>
      </c>
      <c r="Q723" s="115" t="s">
        <v>313</v>
      </c>
      <c r="R723" s="115" t="s">
        <v>34</v>
      </c>
      <c r="S723" s="122">
        <v>1</v>
      </c>
    </row>
    <row r="724" spans="10:19" x14ac:dyDescent="0.25">
      <c r="J724" s="125">
        <v>75596719</v>
      </c>
      <c r="K724" s="115" t="s">
        <v>2048</v>
      </c>
      <c r="L724" s="121" t="s">
        <v>201</v>
      </c>
      <c r="M724" s="116">
        <v>45444</v>
      </c>
      <c r="N724" s="115">
        <v>27</v>
      </c>
      <c r="O724" s="115" t="s">
        <v>149</v>
      </c>
      <c r="P724" s="115" t="s">
        <v>235</v>
      </c>
      <c r="Q724" s="115" t="s">
        <v>312</v>
      </c>
      <c r="R724" s="115" t="s">
        <v>34</v>
      </c>
      <c r="S724" s="122">
        <v>1</v>
      </c>
    </row>
    <row r="725" spans="10:19" x14ac:dyDescent="0.25">
      <c r="J725" s="125">
        <v>77678548</v>
      </c>
      <c r="K725" s="115" t="s">
        <v>2052</v>
      </c>
      <c r="L725" s="121" t="s">
        <v>200</v>
      </c>
      <c r="M725" s="116">
        <v>45447</v>
      </c>
      <c r="N725" s="115">
        <v>24</v>
      </c>
      <c r="O725" s="115" t="s">
        <v>149</v>
      </c>
      <c r="P725" s="115" t="s">
        <v>235</v>
      </c>
      <c r="Q725" s="115" t="s">
        <v>313</v>
      </c>
      <c r="R725" s="115" t="s">
        <v>34</v>
      </c>
      <c r="S725" s="122">
        <v>1</v>
      </c>
    </row>
    <row r="726" spans="10:19" x14ac:dyDescent="0.25">
      <c r="J726" s="125" t="s">
        <v>2064</v>
      </c>
      <c r="K726" s="115" t="s">
        <v>1558</v>
      </c>
      <c r="L726" s="121" t="s">
        <v>200</v>
      </c>
      <c r="M726" s="116">
        <v>45439</v>
      </c>
      <c r="N726" s="115">
        <v>27</v>
      </c>
      <c r="O726" s="115" t="s">
        <v>149</v>
      </c>
      <c r="P726" s="115" t="s">
        <v>235</v>
      </c>
      <c r="Q726" s="115" t="s">
        <v>313</v>
      </c>
      <c r="R726" s="115" t="s">
        <v>34</v>
      </c>
      <c r="S726" s="122">
        <v>1</v>
      </c>
    </row>
    <row r="727" spans="10:19" x14ac:dyDescent="0.25">
      <c r="J727" s="125" t="s">
        <v>2089</v>
      </c>
      <c r="K727" s="115" t="s">
        <v>2090</v>
      </c>
      <c r="L727" s="121" t="s">
        <v>200</v>
      </c>
      <c r="M727" s="116">
        <v>45413</v>
      </c>
      <c r="N727" s="115">
        <v>30</v>
      </c>
      <c r="O727" s="115" t="s">
        <v>149</v>
      </c>
      <c r="P727" s="115" t="s">
        <v>235</v>
      </c>
      <c r="Q727" s="115" t="s">
        <v>313</v>
      </c>
      <c r="R727" s="115" t="s">
        <v>34</v>
      </c>
      <c r="S727" s="122">
        <v>1</v>
      </c>
    </row>
    <row r="728" spans="10:19" x14ac:dyDescent="0.25">
      <c r="J728" s="125" t="s">
        <v>2092</v>
      </c>
      <c r="K728" s="115" t="s">
        <v>2093</v>
      </c>
      <c r="L728" s="121" t="s">
        <v>200</v>
      </c>
      <c r="M728" s="116">
        <v>45461</v>
      </c>
      <c r="N728" s="115">
        <v>26</v>
      </c>
      <c r="O728" s="115" t="s">
        <v>149</v>
      </c>
      <c r="P728" s="115" t="s">
        <v>235</v>
      </c>
      <c r="Q728" s="115" t="s">
        <v>313</v>
      </c>
      <c r="R728" s="115" t="s">
        <v>34</v>
      </c>
      <c r="S728" s="122">
        <v>1</v>
      </c>
    </row>
    <row r="729" spans="10:19" x14ac:dyDescent="0.25">
      <c r="J729" s="125" t="s">
        <v>2099</v>
      </c>
      <c r="K729" s="115" t="s">
        <v>2100</v>
      </c>
      <c r="L729" s="121" t="s">
        <v>200</v>
      </c>
      <c r="M729" s="116">
        <v>45467</v>
      </c>
      <c r="N729" s="115">
        <v>24</v>
      </c>
      <c r="O729" s="115" t="s">
        <v>149</v>
      </c>
      <c r="P729" s="115" t="s">
        <v>235</v>
      </c>
      <c r="Q729" s="115" t="s">
        <v>313</v>
      </c>
      <c r="R729" s="115" t="s">
        <v>34</v>
      </c>
      <c r="S729" s="122">
        <v>1</v>
      </c>
    </row>
    <row r="730" spans="10:19" x14ac:dyDescent="0.25">
      <c r="J730" s="125" t="s">
        <v>2117</v>
      </c>
      <c r="K730" s="115" t="s">
        <v>2444</v>
      </c>
      <c r="L730" s="121" t="s">
        <v>200</v>
      </c>
      <c r="M730" s="116">
        <v>45463</v>
      </c>
      <c r="N730" s="115" t="s">
        <v>29</v>
      </c>
      <c r="O730" s="115" t="s">
        <v>153</v>
      </c>
      <c r="P730" s="116">
        <v>45537</v>
      </c>
      <c r="Q730" s="115" t="s">
        <v>313</v>
      </c>
      <c r="R730" s="115" t="s">
        <v>35</v>
      </c>
      <c r="S730" s="122">
        <v>1</v>
      </c>
    </row>
    <row r="731" spans="10:19" x14ac:dyDescent="0.25">
      <c r="J731" s="125" t="s">
        <v>2124</v>
      </c>
      <c r="K731" s="115" t="s">
        <v>2125</v>
      </c>
      <c r="L731" s="121" t="s">
        <v>201</v>
      </c>
      <c r="M731" s="116">
        <v>45467</v>
      </c>
      <c r="N731" s="115">
        <v>28</v>
      </c>
      <c r="O731" s="115" t="s">
        <v>149</v>
      </c>
      <c r="P731" s="115" t="s">
        <v>162</v>
      </c>
      <c r="Q731" s="115" t="s">
        <v>313</v>
      </c>
      <c r="R731" s="115" t="s">
        <v>68</v>
      </c>
      <c r="S731" s="122">
        <v>1</v>
      </c>
    </row>
    <row r="732" spans="10:19" x14ac:dyDescent="0.25">
      <c r="J732" s="125">
        <v>75697962</v>
      </c>
      <c r="K732" s="115" t="s">
        <v>2129</v>
      </c>
      <c r="L732" s="121" t="s">
        <v>200</v>
      </c>
      <c r="M732" s="116">
        <v>45458</v>
      </c>
      <c r="N732" s="115">
        <v>30</v>
      </c>
      <c r="O732" s="115" t="s">
        <v>149</v>
      </c>
      <c r="P732" s="115" t="s">
        <v>162</v>
      </c>
      <c r="Q732" s="115" t="s">
        <v>313</v>
      </c>
      <c r="R732" s="115" t="s">
        <v>68</v>
      </c>
      <c r="S732" s="122">
        <v>1</v>
      </c>
    </row>
    <row r="733" spans="10:19" x14ac:dyDescent="0.25">
      <c r="J733" s="125" t="s">
        <v>2130</v>
      </c>
      <c r="K733" s="115" t="s">
        <v>2131</v>
      </c>
      <c r="L733" s="121" t="s">
        <v>200</v>
      </c>
      <c r="M733" s="116">
        <v>45467</v>
      </c>
      <c r="N733" s="115">
        <v>28</v>
      </c>
      <c r="O733" s="115" t="s">
        <v>149</v>
      </c>
      <c r="P733" s="115" t="s">
        <v>162</v>
      </c>
      <c r="Q733" s="115" t="s">
        <v>313</v>
      </c>
      <c r="R733" s="115" t="s">
        <v>69</v>
      </c>
      <c r="S733" s="122">
        <v>1</v>
      </c>
    </row>
    <row r="734" spans="10:19" x14ac:dyDescent="0.25">
      <c r="J734" s="125">
        <v>75074932</v>
      </c>
      <c r="K734" s="115" t="s">
        <v>3211</v>
      </c>
      <c r="L734" s="121" t="s">
        <v>200</v>
      </c>
      <c r="M734" s="116">
        <v>45536</v>
      </c>
      <c r="N734" s="115">
        <v>25</v>
      </c>
      <c r="O734" s="115" t="s">
        <v>149</v>
      </c>
      <c r="P734" s="115" t="s">
        <v>235</v>
      </c>
      <c r="Q734" s="115" t="s">
        <v>313</v>
      </c>
      <c r="R734" s="115" t="s">
        <v>34</v>
      </c>
      <c r="S734" s="122">
        <v>1</v>
      </c>
    </row>
    <row r="735" spans="10:19" x14ac:dyDescent="0.25">
      <c r="J735" s="125" t="s">
        <v>2161</v>
      </c>
      <c r="K735" s="115" t="s">
        <v>2162</v>
      </c>
      <c r="L735" s="121" t="s">
        <v>201</v>
      </c>
      <c r="M735" s="116">
        <v>45416</v>
      </c>
      <c r="N735" s="115">
        <v>26</v>
      </c>
      <c r="O735" s="115" t="s">
        <v>149</v>
      </c>
      <c r="P735" s="115" t="s">
        <v>162</v>
      </c>
      <c r="Q735" s="115" t="s">
        <v>313</v>
      </c>
      <c r="R735" s="115" t="s">
        <v>34</v>
      </c>
      <c r="S735" s="122">
        <v>1</v>
      </c>
    </row>
    <row r="736" spans="10:19" x14ac:dyDescent="0.25">
      <c r="J736" s="125" t="s">
        <v>2165</v>
      </c>
      <c r="K736" s="115" t="s">
        <v>2166</v>
      </c>
      <c r="L736" s="121" t="s">
        <v>200</v>
      </c>
      <c r="M736" s="115" t="s">
        <v>2167</v>
      </c>
      <c r="N736" s="115">
        <v>29</v>
      </c>
      <c r="O736" s="115" t="s">
        <v>149</v>
      </c>
      <c r="P736" s="115" t="s">
        <v>162</v>
      </c>
      <c r="Q736" s="115" t="s">
        <v>313</v>
      </c>
      <c r="R736" s="115" t="s">
        <v>36</v>
      </c>
      <c r="S736" s="122">
        <v>1</v>
      </c>
    </row>
    <row r="737" spans="10:19" x14ac:dyDescent="0.25">
      <c r="J737" s="125" t="s">
        <v>2168</v>
      </c>
      <c r="K737" s="115" t="s">
        <v>2169</v>
      </c>
      <c r="L737" s="121" t="s">
        <v>200</v>
      </c>
      <c r="M737" s="116">
        <v>45456</v>
      </c>
      <c r="N737" s="115">
        <v>25</v>
      </c>
      <c r="O737" s="115" t="s">
        <v>149</v>
      </c>
      <c r="P737" s="115" t="s">
        <v>162</v>
      </c>
      <c r="Q737" s="115" t="s">
        <v>313</v>
      </c>
      <c r="R737" s="115" t="s">
        <v>68</v>
      </c>
      <c r="S737" s="122">
        <v>1</v>
      </c>
    </row>
    <row r="738" spans="10:19" x14ac:dyDescent="0.25">
      <c r="J738" s="125" t="s">
        <v>2172</v>
      </c>
      <c r="K738" s="115" t="s">
        <v>2173</v>
      </c>
      <c r="L738" s="121" t="s">
        <v>200</v>
      </c>
      <c r="M738" s="116">
        <v>45456</v>
      </c>
      <c r="N738" s="115">
        <v>24</v>
      </c>
      <c r="O738" s="115" t="s">
        <v>149</v>
      </c>
      <c r="P738" s="115" t="s">
        <v>162</v>
      </c>
      <c r="Q738" s="115" t="s">
        <v>313</v>
      </c>
      <c r="R738" s="115" t="s">
        <v>36</v>
      </c>
      <c r="S738" s="122">
        <v>1</v>
      </c>
    </row>
    <row r="739" spans="10:19" x14ac:dyDescent="0.25">
      <c r="J739" s="125" t="s">
        <v>2174</v>
      </c>
      <c r="K739" s="115" t="s">
        <v>2175</v>
      </c>
      <c r="L739" s="121" t="s">
        <v>200</v>
      </c>
      <c r="M739" s="116">
        <v>45465</v>
      </c>
      <c r="N739" s="115">
        <v>26</v>
      </c>
      <c r="O739" s="115" t="s">
        <v>149</v>
      </c>
      <c r="P739" s="115" t="s">
        <v>162</v>
      </c>
      <c r="Q739" s="115" t="s">
        <v>313</v>
      </c>
      <c r="R739" s="115" t="s">
        <v>68</v>
      </c>
      <c r="S739" s="122">
        <v>1</v>
      </c>
    </row>
    <row r="740" spans="10:19" x14ac:dyDescent="0.25">
      <c r="J740" s="125" t="s">
        <v>2186</v>
      </c>
      <c r="K740" s="115" t="s">
        <v>2187</v>
      </c>
      <c r="L740" s="121" t="s">
        <v>200</v>
      </c>
      <c r="M740" s="116">
        <v>45467</v>
      </c>
      <c r="N740" s="115">
        <v>28</v>
      </c>
      <c r="O740" s="115" t="s">
        <v>149</v>
      </c>
      <c r="P740" s="115" t="s">
        <v>235</v>
      </c>
      <c r="Q740" s="115" t="s">
        <v>313</v>
      </c>
      <c r="R740" s="115" t="s">
        <v>34</v>
      </c>
      <c r="S740" s="122">
        <v>1</v>
      </c>
    </row>
    <row r="741" spans="10:19" x14ac:dyDescent="0.25">
      <c r="J741" s="125">
        <v>72639545</v>
      </c>
      <c r="K741" s="115" t="s">
        <v>2192</v>
      </c>
      <c r="L741" s="121" t="s">
        <v>200</v>
      </c>
      <c r="M741" s="116">
        <v>45457</v>
      </c>
      <c r="N741" s="115">
        <v>25</v>
      </c>
      <c r="O741" s="115" t="s">
        <v>149</v>
      </c>
      <c r="P741" s="115" t="s">
        <v>235</v>
      </c>
      <c r="Q741" s="115" t="s">
        <v>313</v>
      </c>
      <c r="R741" s="115" t="s">
        <v>34</v>
      </c>
      <c r="S741" s="122">
        <v>1</v>
      </c>
    </row>
    <row r="742" spans="10:19" x14ac:dyDescent="0.25">
      <c r="J742" s="125" t="s">
        <v>2215</v>
      </c>
      <c r="K742" s="115" t="s">
        <v>2216</v>
      </c>
      <c r="L742" s="121" t="s">
        <v>200</v>
      </c>
      <c r="M742" s="116">
        <v>45537</v>
      </c>
      <c r="N742" s="115">
        <v>30</v>
      </c>
      <c r="O742" s="115" t="s">
        <v>149</v>
      </c>
      <c r="P742" s="115" t="s">
        <v>235</v>
      </c>
      <c r="Q742" s="115" t="s">
        <v>313</v>
      </c>
      <c r="R742" s="115" t="s">
        <v>68</v>
      </c>
      <c r="S742" s="122">
        <v>1</v>
      </c>
    </row>
    <row r="743" spans="10:19" x14ac:dyDescent="0.25">
      <c r="J743" s="125">
        <v>71235976</v>
      </c>
      <c r="K743" s="115" t="s">
        <v>2232</v>
      </c>
      <c r="L743" s="121" t="s">
        <v>200</v>
      </c>
      <c r="M743" s="116">
        <v>45460</v>
      </c>
      <c r="N743" s="115">
        <v>30</v>
      </c>
      <c r="O743" s="115" t="s">
        <v>149</v>
      </c>
      <c r="P743" s="115" t="s">
        <v>235</v>
      </c>
      <c r="Q743" s="115" t="s">
        <v>312</v>
      </c>
      <c r="R743" s="115" t="s">
        <v>34</v>
      </c>
      <c r="S743" s="122">
        <v>1</v>
      </c>
    </row>
    <row r="744" spans="10:19" x14ac:dyDescent="0.25">
      <c r="J744" s="125">
        <v>48802917</v>
      </c>
      <c r="K744" s="115" t="s">
        <v>2240</v>
      </c>
      <c r="L744" s="121" t="s">
        <v>200</v>
      </c>
      <c r="M744" s="116">
        <v>45443</v>
      </c>
      <c r="N744" s="115">
        <v>30</v>
      </c>
      <c r="O744" s="115" t="s">
        <v>149</v>
      </c>
      <c r="P744" s="115" t="s">
        <v>235</v>
      </c>
      <c r="Q744" s="115" t="s">
        <v>313</v>
      </c>
      <c r="R744" s="115" t="s">
        <v>68</v>
      </c>
      <c r="S744" s="122">
        <v>1</v>
      </c>
    </row>
    <row r="745" spans="10:19" x14ac:dyDescent="0.25">
      <c r="J745" s="125">
        <v>60698937</v>
      </c>
      <c r="K745" s="115" t="s">
        <v>2263</v>
      </c>
      <c r="L745" s="121" t="s">
        <v>200</v>
      </c>
      <c r="M745" s="116">
        <v>45463</v>
      </c>
      <c r="N745" s="115">
        <v>24</v>
      </c>
      <c r="O745" s="115" t="s">
        <v>149</v>
      </c>
      <c r="P745" s="116">
        <v>45550</v>
      </c>
      <c r="Q745" s="115" t="s">
        <v>313</v>
      </c>
      <c r="R745" s="115" t="s">
        <v>68</v>
      </c>
      <c r="S745" s="122">
        <v>1</v>
      </c>
    </row>
    <row r="746" spans="10:19" x14ac:dyDescent="0.25">
      <c r="J746" s="125" t="s">
        <v>2333</v>
      </c>
      <c r="K746" s="115" t="s">
        <v>2334</v>
      </c>
      <c r="L746" s="121" t="s">
        <v>200</v>
      </c>
      <c r="M746" s="116">
        <v>45444</v>
      </c>
      <c r="N746" s="115">
        <v>32</v>
      </c>
      <c r="O746" s="115" t="s">
        <v>150</v>
      </c>
      <c r="P746" s="115" t="s">
        <v>162</v>
      </c>
      <c r="Q746" s="115" t="s">
        <v>313</v>
      </c>
      <c r="R746" s="115" t="s">
        <v>34</v>
      </c>
      <c r="S746" s="122">
        <v>1</v>
      </c>
    </row>
    <row r="747" spans="10:19" x14ac:dyDescent="0.25">
      <c r="J747" s="125" t="s">
        <v>2337</v>
      </c>
      <c r="K747" s="115" t="s">
        <v>2338</v>
      </c>
      <c r="L747" s="121" t="s">
        <v>200</v>
      </c>
      <c r="M747" s="116">
        <v>45460</v>
      </c>
      <c r="N747" s="115">
        <v>31</v>
      </c>
      <c r="O747" s="115" t="s">
        <v>149</v>
      </c>
      <c r="P747" s="115" t="s">
        <v>162</v>
      </c>
      <c r="Q747" s="115" t="s">
        <v>313</v>
      </c>
      <c r="R747" s="115" t="s">
        <v>34</v>
      </c>
      <c r="S747" s="122">
        <v>1</v>
      </c>
    </row>
    <row r="748" spans="10:19" x14ac:dyDescent="0.25">
      <c r="J748" s="125" t="s">
        <v>2339</v>
      </c>
      <c r="K748" s="115" t="s">
        <v>2340</v>
      </c>
      <c r="L748" s="121" t="s">
        <v>200</v>
      </c>
      <c r="M748" s="116">
        <v>45352</v>
      </c>
      <c r="N748" s="115">
        <v>26</v>
      </c>
      <c r="O748" s="115" t="s">
        <v>149</v>
      </c>
      <c r="P748" s="115" t="s">
        <v>162</v>
      </c>
      <c r="Q748" s="115" t="s">
        <v>313</v>
      </c>
      <c r="R748" s="115" t="s">
        <v>34</v>
      </c>
      <c r="S748" s="122">
        <v>1</v>
      </c>
    </row>
    <row r="749" spans="10:19" x14ac:dyDescent="0.25">
      <c r="J749" s="125" t="s">
        <v>2342</v>
      </c>
      <c r="K749" s="115" t="s">
        <v>2343</v>
      </c>
      <c r="L749" s="121" t="s">
        <v>200</v>
      </c>
      <c r="M749" s="116">
        <v>45444</v>
      </c>
      <c r="N749" s="115">
        <v>29</v>
      </c>
      <c r="O749" s="115" t="s">
        <v>149</v>
      </c>
      <c r="P749" s="115" t="s">
        <v>162</v>
      </c>
      <c r="Q749" s="115" t="s">
        <v>313</v>
      </c>
      <c r="R749" s="115" t="s">
        <v>34</v>
      </c>
      <c r="S749" s="122">
        <v>1</v>
      </c>
    </row>
    <row r="750" spans="10:19" x14ac:dyDescent="0.25">
      <c r="J750" s="125" t="s">
        <v>2349</v>
      </c>
      <c r="K750" s="115" t="s">
        <v>2350</v>
      </c>
      <c r="L750" s="121" t="s">
        <v>200</v>
      </c>
      <c r="M750" s="116">
        <v>45450</v>
      </c>
      <c r="N750" s="115">
        <v>27</v>
      </c>
      <c r="O750" s="115" t="s">
        <v>149</v>
      </c>
      <c r="P750" s="115" t="s">
        <v>162</v>
      </c>
      <c r="Q750" s="115" t="s">
        <v>313</v>
      </c>
      <c r="R750" s="115" t="s">
        <v>34</v>
      </c>
      <c r="S750" s="122">
        <v>1</v>
      </c>
    </row>
    <row r="751" spans="10:19" x14ac:dyDescent="0.25">
      <c r="J751" s="125" t="s">
        <v>2063</v>
      </c>
      <c r="K751" s="115" t="s">
        <v>1140</v>
      </c>
      <c r="L751" s="121" t="s">
        <v>200</v>
      </c>
      <c r="M751" s="116">
        <v>45439</v>
      </c>
      <c r="N751" s="115">
        <v>35</v>
      </c>
      <c r="O751" s="115" t="s">
        <v>150</v>
      </c>
      <c r="P751" s="115" t="s">
        <v>235</v>
      </c>
      <c r="Q751" s="115" t="s">
        <v>313</v>
      </c>
      <c r="R751" s="115" t="s">
        <v>34</v>
      </c>
      <c r="S751" s="122">
        <v>1</v>
      </c>
    </row>
    <row r="752" spans="10:19" x14ac:dyDescent="0.25">
      <c r="J752" s="125" t="s">
        <v>2084</v>
      </c>
      <c r="K752" s="115" t="s">
        <v>2085</v>
      </c>
      <c r="L752" s="121" t="s">
        <v>200</v>
      </c>
      <c r="M752" s="116">
        <v>45463</v>
      </c>
      <c r="N752" s="115">
        <v>37</v>
      </c>
      <c r="O752" s="115" t="s">
        <v>150</v>
      </c>
      <c r="P752" s="115" t="s">
        <v>235</v>
      </c>
      <c r="Q752" s="115" t="s">
        <v>313</v>
      </c>
      <c r="R752" s="115" t="s">
        <v>34</v>
      </c>
      <c r="S752" s="122">
        <v>1</v>
      </c>
    </row>
    <row r="753" spans="10:19" x14ac:dyDescent="0.25">
      <c r="J753" s="125" t="s">
        <v>2086</v>
      </c>
      <c r="K753" s="115" t="s">
        <v>2087</v>
      </c>
      <c r="L753" s="121" t="s">
        <v>200</v>
      </c>
      <c r="M753" s="116">
        <v>45468</v>
      </c>
      <c r="N753" s="115">
        <v>40</v>
      </c>
      <c r="O753" s="115" t="s">
        <v>150</v>
      </c>
      <c r="P753" s="115" t="s">
        <v>235</v>
      </c>
      <c r="Q753" s="115" t="s">
        <v>313</v>
      </c>
      <c r="R753" s="115" t="s">
        <v>68</v>
      </c>
      <c r="S753" s="122">
        <v>1</v>
      </c>
    </row>
    <row r="754" spans="10:19" x14ac:dyDescent="0.25">
      <c r="J754" s="125" t="s">
        <v>2098</v>
      </c>
      <c r="K754" s="115" t="s">
        <v>629</v>
      </c>
      <c r="L754" s="121" t="s">
        <v>200</v>
      </c>
      <c r="M754" s="116">
        <v>45464</v>
      </c>
      <c r="N754" s="115">
        <v>35</v>
      </c>
      <c r="O754" s="115" t="s">
        <v>150</v>
      </c>
      <c r="P754" s="115" t="s">
        <v>235</v>
      </c>
      <c r="Q754" s="115" t="s">
        <v>313</v>
      </c>
      <c r="R754" s="115" t="s">
        <v>68</v>
      </c>
      <c r="S754" s="122">
        <v>1</v>
      </c>
    </row>
    <row r="755" spans="10:19" x14ac:dyDescent="0.25">
      <c r="J755" s="125" t="s">
        <v>2109</v>
      </c>
      <c r="K755" s="115" t="s">
        <v>2110</v>
      </c>
      <c r="L755" s="121" t="s">
        <v>200</v>
      </c>
      <c r="M755" s="116">
        <v>45462</v>
      </c>
      <c r="N755" s="115">
        <v>37</v>
      </c>
      <c r="O755" s="115" t="s">
        <v>150</v>
      </c>
      <c r="P755" s="115" t="s">
        <v>235</v>
      </c>
      <c r="Q755" s="115" t="s">
        <v>313</v>
      </c>
      <c r="R755" s="115" t="s">
        <v>34</v>
      </c>
      <c r="S755" s="122">
        <v>1</v>
      </c>
    </row>
    <row r="756" spans="10:19" x14ac:dyDescent="0.25">
      <c r="J756" s="125">
        <v>46587982</v>
      </c>
      <c r="K756" s="115" t="s">
        <v>3002</v>
      </c>
      <c r="L756" s="121" t="s">
        <v>200</v>
      </c>
      <c r="M756" s="116">
        <v>45447</v>
      </c>
      <c r="N756" s="115">
        <v>34</v>
      </c>
      <c r="O756" s="115" t="s">
        <v>150</v>
      </c>
      <c r="P756" s="115" t="s">
        <v>235</v>
      </c>
      <c r="Q756" s="115" t="s">
        <v>313</v>
      </c>
      <c r="R756" s="115" t="s">
        <v>34</v>
      </c>
      <c r="S756" s="122">
        <v>1</v>
      </c>
    </row>
    <row r="757" spans="10:19" x14ac:dyDescent="0.25">
      <c r="J757" s="125" t="s">
        <v>2135</v>
      </c>
      <c r="K757" s="115" t="s">
        <v>2136</v>
      </c>
      <c r="L757" s="121" t="s">
        <v>200</v>
      </c>
      <c r="M757" s="116">
        <v>45446</v>
      </c>
      <c r="N757" s="115">
        <v>40</v>
      </c>
      <c r="O757" s="115" t="s">
        <v>150</v>
      </c>
      <c r="P757" s="115" t="s">
        <v>162</v>
      </c>
      <c r="Q757" s="115" t="s">
        <v>313</v>
      </c>
      <c r="R757" s="115" t="s">
        <v>68</v>
      </c>
      <c r="S757" s="122">
        <v>1</v>
      </c>
    </row>
    <row r="758" spans="10:19" x14ac:dyDescent="0.25">
      <c r="J758" s="125">
        <v>44461687</v>
      </c>
      <c r="K758" s="115" t="s">
        <v>2151</v>
      </c>
      <c r="L758" s="121" t="s">
        <v>200</v>
      </c>
      <c r="M758" s="116">
        <v>45463</v>
      </c>
      <c r="N758" s="115">
        <v>37</v>
      </c>
      <c r="O758" s="115" t="s">
        <v>150</v>
      </c>
      <c r="P758" s="115" t="s">
        <v>235</v>
      </c>
      <c r="Q758" s="115" t="s">
        <v>313</v>
      </c>
      <c r="R758" s="115" t="s">
        <v>36</v>
      </c>
      <c r="S758" s="122">
        <v>1</v>
      </c>
    </row>
    <row r="759" spans="10:19" x14ac:dyDescent="0.25">
      <c r="J759" s="125">
        <v>47271705</v>
      </c>
      <c r="K759" s="115" t="s">
        <v>2158</v>
      </c>
      <c r="L759" s="121" t="s">
        <v>200</v>
      </c>
      <c r="M759" s="116">
        <v>45478</v>
      </c>
      <c r="N759" s="115">
        <v>34</v>
      </c>
      <c r="O759" s="115" t="s">
        <v>150</v>
      </c>
      <c r="P759" s="116">
        <v>45544</v>
      </c>
      <c r="Q759" s="115" t="s">
        <v>313</v>
      </c>
      <c r="R759" s="115" t="s">
        <v>34</v>
      </c>
      <c r="S759" s="122">
        <v>1</v>
      </c>
    </row>
    <row r="760" spans="10:19" x14ac:dyDescent="0.25">
      <c r="J760" s="125" t="s">
        <v>2184</v>
      </c>
      <c r="K760" s="115" t="s">
        <v>2185</v>
      </c>
      <c r="L760" s="121" t="s">
        <v>200</v>
      </c>
      <c r="M760" s="116">
        <v>45446</v>
      </c>
      <c r="N760" s="115">
        <v>36</v>
      </c>
      <c r="O760" s="115" t="s">
        <v>150</v>
      </c>
      <c r="P760" s="115" t="s">
        <v>235</v>
      </c>
      <c r="Q760" s="115" t="s">
        <v>313</v>
      </c>
      <c r="R760" s="115" t="s">
        <v>69</v>
      </c>
      <c r="S760" s="122">
        <v>1</v>
      </c>
    </row>
    <row r="761" spans="10:19" x14ac:dyDescent="0.25">
      <c r="J761" s="125" t="s">
        <v>2211</v>
      </c>
      <c r="K761" s="115" t="s">
        <v>2212</v>
      </c>
      <c r="L761" s="121" t="s">
        <v>200</v>
      </c>
      <c r="M761" s="116">
        <v>45456</v>
      </c>
      <c r="N761" s="115">
        <v>35</v>
      </c>
      <c r="O761" s="115" t="s">
        <v>150</v>
      </c>
      <c r="P761" s="116">
        <v>45546</v>
      </c>
      <c r="Q761" s="115" t="s">
        <v>313</v>
      </c>
      <c r="R761" s="115" t="s">
        <v>68</v>
      </c>
      <c r="S761" s="122">
        <v>1</v>
      </c>
    </row>
    <row r="762" spans="10:19" x14ac:dyDescent="0.25">
      <c r="J762" s="125" t="s">
        <v>2213</v>
      </c>
      <c r="K762" s="115" t="s">
        <v>2214</v>
      </c>
      <c r="L762" s="121" t="s">
        <v>200</v>
      </c>
      <c r="M762" s="116">
        <v>45461</v>
      </c>
      <c r="N762" s="115">
        <v>33</v>
      </c>
      <c r="O762" s="115" t="s">
        <v>150</v>
      </c>
      <c r="P762" s="115" t="s">
        <v>235</v>
      </c>
      <c r="Q762" s="115" t="s">
        <v>313</v>
      </c>
      <c r="R762" s="115" t="s">
        <v>68</v>
      </c>
      <c r="S762" s="122">
        <v>1</v>
      </c>
    </row>
    <row r="763" spans="10:19" x14ac:dyDescent="0.25">
      <c r="J763" s="125" t="s">
        <v>2219</v>
      </c>
      <c r="K763" s="115" t="s">
        <v>2220</v>
      </c>
      <c r="L763" s="121" t="s">
        <v>200</v>
      </c>
      <c r="M763" s="116">
        <v>45463</v>
      </c>
      <c r="N763" s="115">
        <v>34</v>
      </c>
      <c r="O763" s="115" t="s">
        <v>150</v>
      </c>
      <c r="P763" s="115" t="s">
        <v>235</v>
      </c>
      <c r="Q763" s="115" t="s">
        <v>313</v>
      </c>
      <c r="R763" s="115" t="s">
        <v>34</v>
      </c>
      <c r="S763" s="122">
        <v>1</v>
      </c>
    </row>
    <row r="764" spans="10:19" x14ac:dyDescent="0.25">
      <c r="J764" s="125">
        <v>42084232</v>
      </c>
      <c r="K764" s="115" t="s">
        <v>2244</v>
      </c>
      <c r="L764" s="121" t="s">
        <v>200</v>
      </c>
      <c r="M764" s="116">
        <v>45443</v>
      </c>
      <c r="N764" s="115">
        <v>40</v>
      </c>
      <c r="O764" s="115" t="s">
        <v>150</v>
      </c>
      <c r="P764" s="115" t="s">
        <v>235</v>
      </c>
      <c r="Q764" s="115" t="s">
        <v>313</v>
      </c>
      <c r="R764" s="115" t="s">
        <v>68</v>
      </c>
      <c r="S764" s="122">
        <v>1</v>
      </c>
    </row>
    <row r="765" spans="10:19" x14ac:dyDescent="0.25">
      <c r="J765" s="125">
        <v>47132041</v>
      </c>
      <c r="K765" s="115" t="s">
        <v>2245</v>
      </c>
      <c r="L765" s="121" t="s">
        <v>200</v>
      </c>
      <c r="M765" s="116">
        <v>45443</v>
      </c>
      <c r="N765" s="115">
        <v>33</v>
      </c>
      <c r="O765" s="115" t="s">
        <v>150</v>
      </c>
      <c r="P765" s="115" t="s">
        <v>235</v>
      </c>
      <c r="Q765" s="115" t="s">
        <v>313</v>
      </c>
      <c r="R765" s="115" t="s">
        <v>68</v>
      </c>
      <c r="S765" s="122">
        <v>1</v>
      </c>
    </row>
    <row r="766" spans="10:19" x14ac:dyDescent="0.25">
      <c r="J766" s="125">
        <v>47573072</v>
      </c>
      <c r="K766" s="115" t="s">
        <v>1065</v>
      </c>
      <c r="L766" s="121" t="s">
        <v>200</v>
      </c>
      <c r="M766" s="116">
        <v>45460</v>
      </c>
      <c r="N766" s="115">
        <v>32</v>
      </c>
      <c r="O766" s="115" t="s">
        <v>150</v>
      </c>
      <c r="P766" s="115" t="s">
        <v>235</v>
      </c>
      <c r="Q766" s="115" t="s">
        <v>313</v>
      </c>
      <c r="R766" s="115" t="s">
        <v>34</v>
      </c>
      <c r="S766" s="122">
        <v>1</v>
      </c>
    </row>
    <row r="767" spans="10:19" x14ac:dyDescent="0.25">
      <c r="J767" s="125">
        <v>43832491</v>
      </c>
      <c r="K767" s="115" t="s">
        <v>2261</v>
      </c>
      <c r="L767" s="121" t="s">
        <v>200</v>
      </c>
      <c r="M767" s="116">
        <v>45461</v>
      </c>
      <c r="N767" s="115">
        <v>38</v>
      </c>
      <c r="O767" s="115" t="s">
        <v>150</v>
      </c>
      <c r="P767" s="115" t="s">
        <v>235</v>
      </c>
      <c r="Q767" s="115" t="s">
        <v>313</v>
      </c>
      <c r="R767" s="115" t="s">
        <v>34</v>
      </c>
      <c r="S767" s="122">
        <v>1</v>
      </c>
    </row>
    <row r="768" spans="10:19" x14ac:dyDescent="0.25">
      <c r="J768" s="125" t="s">
        <v>2322</v>
      </c>
      <c r="K768" s="115" t="s">
        <v>2323</v>
      </c>
      <c r="L768" s="121" t="s">
        <v>200</v>
      </c>
      <c r="M768" s="116">
        <v>45352</v>
      </c>
      <c r="N768" s="115">
        <v>40</v>
      </c>
      <c r="O768" s="115" t="s">
        <v>150</v>
      </c>
      <c r="P768" s="115" t="s">
        <v>162</v>
      </c>
      <c r="Q768" s="115" t="s">
        <v>313</v>
      </c>
      <c r="R768" s="115" t="s">
        <v>34</v>
      </c>
      <c r="S768" s="122">
        <v>1</v>
      </c>
    </row>
    <row r="769" spans="10:19" x14ac:dyDescent="0.25">
      <c r="J769" s="125" t="s">
        <v>2324</v>
      </c>
      <c r="K769" s="115" t="s">
        <v>2325</v>
      </c>
      <c r="L769" s="121" t="s">
        <v>200</v>
      </c>
      <c r="M769" s="116">
        <v>45444</v>
      </c>
      <c r="N769" s="115">
        <v>38</v>
      </c>
      <c r="O769" s="115" t="s">
        <v>150</v>
      </c>
      <c r="P769" s="115" t="s">
        <v>162</v>
      </c>
      <c r="Q769" s="115" t="s">
        <v>313</v>
      </c>
      <c r="R769" s="115" t="s">
        <v>34</v>
      </c>
      <c r="S769" s="122">
        <v>1</v>
      </c>
    </row>
    <row r="770" spans="10:19" x14ac:dyDescent="0.25">
      <c r="J770" s="125" t="s">
        <v>2329</v>
      </c>
      <c r="K770" s="115" t="s">
        <v>2330</v>
      </c>
      <c r="L770" s="121" t="s">
        <v>200</v>
      </c>
      <c r="M770" s="116">
        <v>45352</v>
      </c>
      <c r="N770" s="115">
        <v>34</v>
      </c>
      <c r="O770" s="115" t="s">
        <v>150</v>
      </c>
      <c r="P770" s="115" t="s">
        <v>162</v>
      </c>
      <c r="Q770" s="115" t="s">
        <v>313</v>
      </c>
      <c r="R770" s="115" t="s">
        <v>34</v>
      </c>
      <c r="S770" s="122">
        <v>1</v>
      </c>
    </row>
    <row r="771" spans="10:19" x14ac:dyDescent="0.25">
      <c r="J771" s="125" t="s">
        <v>2067</v>
      </c>
      <c r="K771" s="115" t="s">
        <v>2068</v>
      </c>
      <c r="L771" s="121" t="s">
        <v>201</v>
      </c>
      <c r="M771" s="116">
        <v>45446</v>
      </c>
      <c r="N771" s="115">
        <v>44</v>
      </c>
      <c r="O771" s="115" t="s">
        <v>151</v>
      </c>
      <c r="P771" s="115" t="s">
        <v>235</v>
      </c>
      <c r="Q771" s="115" t="s">
        <v>313</v>
      </c>
      <c r="R771" s="115" t="s">
        <v>34</v>
      </c>
      <c r="S771" s="122">
        <v>1</v>
      </c>
    </row>
    <row r="772" spans="10:19" x14ac:dyDescent="0.25">
      <c r="J772" s="125" t="s">
        <v>2096</v>
      </c>
      <c r="K772" s="115" t="s">
        <v>2097</v>
      </c>
      <c r="L772" s="121" t="s">
        <v>200</v>
      </c>
      <c r="M772" s="116">
        <v>45408</v>
      </c>
      <c r="N772" s="115">
        <v>49</v>
      </c>
      <c r="O772" s="115" t="s">
        <v>151</v>
      </c>
      <c r="P772" s="115" t="s">
        <v>235</v>
      </c>
      <c r="Q772" s="115" t="s">
        <v>313</v>
      </c>
      <c r="R772" s="115" t="s">
        <v>34</v>
      </c>
      <c r="S772" s="122">
        <v>1</v>
      </c>
    </row>
    <row r="773" spans="10:19" x14ac:dyDescent="0.25">
      <c r="J773" s="125" t="s">
        <v>2104</v>
      </c>
      <c r="K773" s="115" t="s">
        <v>2105</v>
      </c>
      <c r="L773" s="121" t="s">
        <v>200</v>
      </c>
      <c r="M773" s="116">
        <v>45442</v>
      </c>
      <c r="N773" s="115">
        <v>41</v>
      </c>
      <c r="O773" s="115" t="s">
        <v>151</v>
      </c>
      <c r="P773" s="115" t="s">
        <v>235</v>
      </c>
      <c r="Q773" s="115" t="s">
        <v>313</v>
      </c>
      <c r="R773" s="115" t="s">
        <v>36</v>
      </c>
      <c r="S773" s="122">
        <v>1</v>
      </c>
    </row>
    <row r="774" spans="10:19" x14ac:dyDescent="0.25">
      <c r="J774" s="125" t="s">
        <v>2146</v>
      </c>
      <c r="K774" s="115" t="s">
        <v>2147</v>
      </c>
      <c r="L774" s="121" t="s">
        <v>200</v>
      </c>
      <c r="M774" s="116">
        <v>45456</v>
      </c>
      <c r="N774" s="115">
        <v>41</v>
      </c>
      <c r="O774" s="115" t="s">
        <v>151</v>
      </c>
      <c r="P774" s="115" t="s">
        <v>235</v>
      </c>
      <c r="Q774" s="115" t="s">
        <v>313</v>
      </c>
      <c r="R774" s="115" t="s">
        <v>34</v>
      </c>
      <c r="S774" s="122">
        <v>1</v>
      </c>
    </row>
    <row r="775" spans="10:19" x14ac:dyDescent="0.25">
      <c r="J775" s="125" t="s">
        <v>2148</v>
      </c>
      <c r="K775" s="115" t="s">
        <v>2149</v>
      </c>
      <c r="L775" s="121" t="s">
        <v>200</v>
      </c>
      <c r="M775" s="116">
        <v>45453</v>
      </c>
      <c r="N775" s="115">
        <v>46</v>
      </c>
      <c r="O775" s="115" t="s">
        <v>151</v>
      </c>
      <c r="P775" s="115" t="s">
        <v>235</v>
      </c>
      <c r="Q775" s="115" t="s">
        <v>313</v>
      </c>
      <c r="R775" s="115" t="s">
        <v>34</v>
      </c>
      <c r="S775" s="122">
        <v>1</v>
      </c>
    </row>
    <row r="776" spans="10:19" x14ac:dyDescent="0.25">
      <c r="J776" s="125" t="s">
        <v>2150</v>
      </c>
      <c r="K776" s="115" t="s">
        <v>3208</v>
      </c>
      <c r="L776" s="121" t="s">
        <v>200</v>
      </c>
      <c r="M776" s="116">
        <v>45453</v>
      </c>
      <c r="N776" s="115">
        <v>47</v>
      </c>
      <c r="O776" s="115" t="s">
        <v>151</v>
      </c>
      <c r="P776" s="115" t="s">
        <v>235</v>
      </c>
      <c r="Q776" s="115" t="s">
        <v>313</v>
      </c>
      <c r="R776" s="115" t="s">
        <v>34</v>
      </c>
      <c r="S776" s="122">
        <v>1</v>
      </c>
    </row>
    <row r="777" spans="10:19" x14ac:dyDescent="0.25">
      <c r="J777" s="125" t="s">
        <v>2180</v>
      </c>
      <c r="K777" s="115" t="s">
        <v>2181</v>
      </c>
      <c r="L777" s="121" t="s">
        <v>200</v>
      </c>
      <c r="M777" s="116">
        <v>45446</v>
      </c>
      <c r="N777" s="115">
        <v>47</v>
      </c>
      <c r="O777" s="115" t="s">
        <v>151</v>
      </c>
      <c r="P777" s="115" t="s">
        <v>235</v>
      </c>
      <c r="Q777" s="115" t="s">
        <v>313</v>
      </c>
      <c r="R777" s="115" t="s">
        <v>68</v>
      </c>
      <c r="S777" s="122">
        <v>1</v>
      </c>
    </row>
    <row r="778" spans="10:19" x14ac:dyDescent="0.25">
      <c r="J778" s="125" t="s">
        <v>2182</v>
      </c>
      <c r="K778" s="115" t="s">
        <v>2183</v>
      </c>
      <c r="L778" s="121" t="s">
        <v>200</v>
      </c>
      <c r="M778" s="116">
        <v>45461</v>
      </c>
      <c r="N778" s="115">
        <v>43</v>
      </c>
      <c r="O778" s="115" t="s">
        <v>151</v>
      </c>
      <c r="P778" s="115" t="s">
        <v>235</v>
      </c>
      <c r="Q778" s="115" t="s">
        <v>313</v>
      </c>
      <c r="R778" s="115" t="s">
        <v>34</v>
      </c>
      <c r="S778" s="122">
        <v>1</v>
      </c>
    </row>
    <row r="779" spans="10:19" x14ac:dyDescent="0.25">
      <c r="J779" s="125" t="s">
        <v>2190</v>
      </c>
      <c r="K779" s="115" t="s">
        <v>2191</v>
      </c>
      <c r="L779" s="121" t="s">
        <v>200</v>
      </c>
      <c r="M779" s="116">
        <v>45449</v>
      </c>
      <c r="N779" s="115">
        <v>44</v>
      </c>
      <c r="O779" s="115" t="s">
        <v>151</v>
      </c>
      <c r="P779" s="115" t="s">
        <v>235</v>
      </c>
      <c r="Q779" s="115" t="s">
        <v>313</v>
      </c>
      <c r="R779" s="115" t="s">
        <v>34</v>
      </c>
      <c r="S779" s="122">
        <v>1</v>
      </c>
    </row>
    <row r="780" spans="10:19" x14ac:dyDescent="0.25">
      <c r="J780" s="125" t="s">
        <v>2207</v>
      </c>
      <c r="K780" s="115" t="s">
        <v>2208</v>
      </c>
      <c r="L780" s="121" t="s">
        <v>200</v>
      </c>
      <c r="M780" s="116">
        <v>45454</v>
      </c>
      <c r="N780" s="115">
        <v>42</v>
      </c>
      <c r="O780" s="115" t="s">
        <v>151</v>
      </c>
      <c r="P780" s="115" t="s">
        <v>235</v>
      </c>
      <c r="Q780" s="115" t="s">
        <v>313</v>
      </c>
      <c r="R780" s="115" t="s">
        <v>105</v>
      </c>
      <c r="S780" s="122">
        <v>1</v>
      </c>
    </row>
    <row r="781" spans="10:19" x14ac:dyDescent="0.25">
      <c r="J781" s="125" t="s">
        <v>2209</v>
      </c>
      <c r="K781" s="115" t="s">
        <v>2210</v>
      </c>
      <c r="L781" s="121" t="s">
        <v>200</v>
      </c>
      <c r="M781" s="116">
        <v>45456</v>
      </c>
      <c r="N781" s="115">
        <v>42</v>
      </c>
      <c r="O781" s="115" t="s">
        <v>151</v>
      </c>
      <c r="P781" s="115" t="s">
        <v>235</v>
      </c>
      <c r="Q781" s="115" t="s">
        <v>313</v>
      </c>
      <c r="R781" s="115" t="s">
        <v>35</v>
      </c>
      <c r="S781" s="122">
        <v>1</v>
      </c>
    </row>
    <row r="782" spans="10:19" x14ac:dyDescent="0.25">
      <c r="J782" s="125" t="s">
        <v>2217</v>
      </c>
      <c r="K782" s="115" t="s">
        <v>2218</v>
      </c>
      <c r="L782" s="121" t="s">
        <v>200</v>
      </c>
      <c r="M782" s="116">
        <v>45523</v>
      </c>
      <c r="N782" s="115">
        <v>47</v>
      </c>
      <c r="O782" s="115" t="s">
        <v>151</v>
      </c>
      <c r="P782" s="115" t="s">
        <v>235</v>
      </c>
      <c r="Q782" s="115" t="s">
        <v>313</v>
      </c>
      <c r="R782" s="115" t="s">
        <v>69</v>
      </c>
      <c r="S782" s="122">
        <v>1</v>
      </c>
    </row>
    <row r="783" spans="10:19" x14ac:dyDescent="0.25">
      <c r="J783" s="125" t="s">
        <v>2230</v>
      </c>
      <c r="K783" s="115" t="s">
        <v>2231</v>
      </c>
      <c r="L783" s="121" t="s">
        <v>200</v>
      </c>
      <c r="M783" s="116">
        <v>44186</v>
      </c>
      <c r="N783" s="115">
        <v>48</v>
      </c>
      <c r="O783" s="115" t="s">
        <v>151</v>
      </c>
      <c r="P783" s="115" t="s">
        <v>235</v>
      </c>
      <c r="Q783" s="115" t="s">
        <v>313</v>
      </c>
      <c r="R783" s="115" t="s">
        <v>68</v>
      </c>
      <c r="S783" s="122">
        <v>1</v>
      </c>
    </row>
    <row r="784" spans="10:19" x14ac:dyDescent="0.25">
      <c r="J784" s="125">
        <v>40893837</v>
      </c>
      <c r="K784" s="115" t="s">
        <v>2262</v>
      </c>
      <c r="L784" s="121" t="s">
        <v>200</v>
      </c>
      <c r="M784" s="116">
        <v>45463</v>
      </c>
      <c r="N784" s="115">
        <v>43</v>
      </c>
      <c r="O784" s="115" t="s">
        <v>151</v>
      </c>
      <c r="P784" s="115" t="s">
        <v>235</v>
      </c>
      <c r="Q784" s="115" t="s">
        <v>313</v>
      </c>
      <c r="R784" s="115" t="s">
        <v>36</v>
      </c>
      <c r="S784" s="122">
        <v>1</v>
      </c>
    </row>
    <row r="785" spans="10:19" x14ac:dyDescent="0.25">
      <c r="J785" s="125" t="s">
        <v>2286</v>
      </c>
      <c r="K785" s="115" t="s">
        <v>2287</v>
      </c>
      <c r="L785" s="121" t="s">
        <v>200</v>
      </c>
      <c r="M785" s="116">
        <v>45352</v>
      </c>
      <c r="N785" s="115">
        <v>48</v>
      </c>
      <c r="O785" s="115" t="s">
        <v>151</v>
      </c>
      <c r="P785" s="115" t="s">
        <v>162</v>
      </c>
      <c r="Q785" s="115" t="s">
        <v>313</v>
      </c>
      <c r="R785" s="115" t="s">
        <v>34</v>
      </c>
      <c r="S785" s="122">
        <v>1</v>
      </c>
    </row>
    <row r="786" spans="10:19" x14ac:dyDescent="0.25">
      <c r="J786" s="125" t="s">
        <v>2288</v>
      </c>
      <c r="K786" s="115" t="s">
        <v>2289</v>
      </c>
      <c r="L786" s="121" t="s">
        <v>200</v>
      </c>
      <c r="M786" s="116">
        <v>45353</v>
      </c>
      <c r="N786" s="115">
        <v>50</v>
      </c>
      <c r="O786" s="115" t="s">
        <v>152</v>
      </c>
      <c r="P786" s="115" t="s">
        <v>162</v>
      </c>
      <c r="Q786" s="115" t="s">
        <v>313</v>
      </c>
      <c r="R786" s="115" t="s">
        <v>34</v>
      </c>
      <c r="S786" s="122">
        <v>1</v>
      </c>
    </row>
    <row r="787" spans="10:19" x14ac:dyDescent="0.25">
      <c r="J787" s="125" t="s">
        <v>2306</v>
      </c>
      <c r="K787" s="115" t="s">
        <v>2307</v>
      </c>
      <c r="L787" s="121" t="s">
        <v>200</v>
      </c>
      <c r="M787" s="116">
        <v>45451</v>
      </c>
      <c r="N787" s="115">
        <v>49</v>
      </c>
      <c r="O787" s="115" t="s">
        <v>151</v>
      </c>
      <c r="P787" s="115" t="s">
        <v>162</v>
      </c>
      <c r="Q787" s="115" t="s">
        <v>313</v>
      </c>
      <c r="R787" s="115" t="s">
        <v>34</v>
      </c>
      <c r="S787" s="122">
        <v>1</v>
      </c>
    </row>
    <row r="788" spans="10:19" x14ac:dyDescent="0.25">
      <c r="J788" s="125" t="s">
        <v>2308</v>
      </c>
      <c r="K788" s="115" t="s">
        <v>2309</v>
      </c>
      <c r="L788" s="121" t="s">
        <v>200</v>
      </c>
      <c r="M788" s="116">
        <v>45352</v>
      </c>
      <c r="N788" s="115">
        <v>48</v>
      </c>
      <c r="O788" s="115" t="s">
        <v>151</v>
      </c>
      <c r="P788" s="115" t="s">
        <v>162</v>
      </c>
      <c r="Q788" s="115" t="s">
        <v>313</v>
      </c>
      <c r="R788" s="115" t="s">
        <v>34</v>
      </c>
      <c r="S788" s="122">
        <v>1</v>
      </c>
    </row>
    <row r="789" spans="10:19" x14ac:dyDescent="0.25">
      <c r="J789" s="125" t="s">
        <v>2310</v>
      </c>
      <c r="K789" s="115" t="s">
        <v>2311</v>
      </c>
      <c r="L789" s="121" t="s">
        <v>200</v>
      </c>
      <c r="M789" s="116">
        <v>45461</v>
      </c>
      <c r="N789" s="115">
        <v>48</v>
      </c>
      <c r="O789" s="115" t="s">
        <v>151</v>
      </c>
      <c r="P789" s="115" t="s">
        <v>162</v>
      </c>
      <c r="Q789" s="115" t="s">
        <v>313</v>
      </c>
      <c r="R789" s="115" t="s">
        <v>34</v>
      </c>
      <c r="S789" s="122">
        <v>1</v>
      </c>
    </row>
    <row r="790" spans="10:19" x14ac:dyDescent="0.25">
      <c r="J790" s="125" t="s">
        <v>2316</v>
      </c>
      <c r="K790" s="115" t="s">
        <v>2317</v>
      </c>
      <c r="L790" s="121" t="s">
        <v>200</v>
      </c>
      <c r="M790" s="116">
        <v>45460</v>
      </c>
      <c r="N790" s="115">
        <v>44</v>
      </c>
      <c r="O790" s="115" t="s">
        <v>151</v>
      </c>
      <c r="P790" s="115" t="s">
        <v>162</v>
      </c>
      <c r="Q790" s="115" t="s">
        <v>313</v>
      </c>
      <c r="R790" s="115" t="s">
        <v>34</v>
      </c>
      <c r="S790" s="122">
        <v>1</v>
      </c>
    </row>
    <row r="791" spans="10:19" x14ac:dyDescent="0.25">
      <c r="J791" s="125" t="s">
        <v>2318</v>
      </c>
      <c r="K791" s="115" t="s">
        <v>2319</v>
      </c>
      <c r="L791" s="121" t="s">
        <v>200</v>
      </c>
      <c r="M791" s="116">
        <v>45444</v>
      </c>
      <c r="N791" s="115">
        <v>45</v>
      </c>
      <c r="O791" s="115" t="s">
        <v>151</v>
      </c>
      <c r="P791" s="115" t="s">
        <v>162</v>
      </c>
      <c r="Q791" s="115" t="s">
        <v>313</v>
      </c>
      <c r="R791" s="115" t="s">
        <v>34</v>
      </c>
      <c r="S791" s="122">
        <v>1</v>
      </c>
    </row>
    <row r="792" spans="10:19" x14ac:dyDescent="0.25">
      <c r="J792" s="125">
        <v>10066609</v>
      </c>
      <c r="K792" s="115" t="s">
        <v>2061</v>
      </c>
      <c r="L792" s="121" t="s">
        <v>200</v>
      </c>
      <c r="M792" s="116">
        <v>45469</v>
      </c>
      <c r="N792" s="115">
        <v>52</v>
      </c>
      <c r="O792" s="115" t="s">
        <v>152</v>
      </c>
      <c r="P792" s="115" t="s">
        <v>235</v>
      </c>
      <c r="Q792" s="115" t="s">
        <v>313</v>
      </c>
      <c r="R792" s="115" t="s">
        <v>72</v>
      </c>
      <c r="S792" s="122">
        <v>1</v>
      </c>
    </row>
    <row r="793" spans="10:19" x14ac:dyDescent="0.25">
      <c r="J793" s="125" t="s">
        <v>2143</v>
      </c>
      <c r="K793" s="115" t="s">
        <v>2144</v>
      </c>
      <c r="L793" s="121" t="s">
        <v>200</v>
      </c>
      <c r="M793" s="116">
        <v>45449</v>
      </c>
      <c r="N793" s="115">
        <v>53</v>
      </c>
      <c r="O793" s="115" t="s">
        <v>152</v>
      </c>
      <c r="P793" s="115" t="s">
        <v>235</v>
      </c>
      <c r="Q793" s="115" t="s">
        <v>313</v>
      </c>
      <c r="R793" s="115" t="s">
        <v>72</v>
      </c>
      <c r="S793" s="122">
        <v>1</v>
      </c>
    </row>
    <row r="794" spans="10:19" x14ac:dyDescent="0.25">
      <c r="J794" s="125" t="s">
        <v>2156</v>
      </c>
      <c r="K794" s="115" t="s">
        <v>2157</v>
      </c>
      <c r="L794" s="121" t="s">
        <v>200</v>
      </c>
      <c r="M794" s="116">
        <v>45478</v>
      </c>
      <c r="N794" s="115">
        <v>56</v>
      </c>
      <c r="O794" s="115" t="s">
        <v>152</v>
      </c>
      <c r="P794" s="115" t="s">
        <v>235</v>
      </c>
      <c r="Q794" s="115" t="s">
        <v>313</v>
      </c>
      <c r="R794" s="115" t="s">
        <v>68</v>
      </c>
      <c r="S794" s="122">
        <v>1</v>
      </c>
    </row>
    <row r="795" spans="10:19" x14ac:dyDescent="0.25">
      <c r="J795" s="125" t="s">
        <v>2193</v>
      </c>
      <c r="K795" s="115" t="s">
        <v>2194</v>
      </c>
      <c r="L795" s="121" t="s">
        <v>200</v>
      </c>
      <c r="M795" s="116">
        <v>45446</v>
      </c>
      <c r="N795" s="115">
        <v>52</v>
      </c>
      <c r="O795" s="115" t="s">
        <v>152</v>
      </c>
      <c r="P795" s="115" t="s">
        <v>235</v>
      </c>
      <c r="Q795" s="115" t="s">
        <v>313</v>
      </c>
      <c r="R795" s="115" t="s">
        <v>34</v>
      </c>
      <c r="S795" s="122">
        <v>1</v>
      </c>
    </row>
    <row r="796" spans="10:19" x14ac:dyDescent="0.25">
      <c r="J796" s="125">
        <v>25743063</v>
      </c>
      <c r="K796" s="115" t="s">
        <v>2234</v>
      </c>
      <c r="L796" s="121" t="s">
        <v>200</v>
      </c>
      <c r="M796" s="116">
        <v>45439</v>
      </c>
      <c r="N796" s="115">
        <v>53</v>
      </c>
      <c r="O796" s="115" t="s">
        <v>152</v>
      </c>
      <c r="P796" s="115" t="s">
        <v>235</v>
      </c>
      <c r="Q796" s="115" t="s">
        <v>313</v>
      </c>
      <c r="R796" s="115" t="s">
        <v>34</v>
      </c>
      <c r="S796" s="122">
        <v>1</v>
      </c>
    </row>
    <row r="797" spans="10:19" x14ac:dyDescent="0.25">
      <c r="J797" s="125" t="s">
        <v>2265</v>
      </c>
      <c r="K797" s="115" t="s">
        <v>1765</v>
      </c>
      <c r="L797" s="121" t="s">
        <v>200</v>
      </c>
      <c r="M797" s="116">
        <v>45289</v>
      </c>
      <c r="N797" s="115">
        <v>58</v>
      </c>
      <c r="O797" s="115" t="s">
        <v>152</v>
      </c>
      <c r="P797" s="115" t="s">
        <v>1764</v>
      </c>
      <c r="Q797" s="115" t="s">
        <v>312</v>
      </c>
      <c r="R797" s="115" t="s">
        <v>34</v>
      </c>
      <c r="S797" s="122">
        <v>1</v>
      </c>
    </row>
    <row r="798" spans="10:19" x14ac:dyDescent="0.25">
      <c r="J798" s="125" t="s">
        <v>2268</v>
      </c>
      <c r="K798" s="115" t="s">
        <v>2269</v>
      </c>
      <c r="L798" s="121" t="s">
        <v>200</v>
      </c>
      <c r="M798" s="116">
        <v>45450</v>
      </c>
      <c r="N798" s="115">
        <v>53</v>
      </c>
      <c r="O798" s="115" t="s">
        <v>152</v>
      </c>
      <c r="P798" s="115" t="s">
        <v>162</v>
      </c>
      <c r="Q798" s="115" t="s">
        <v>313</v>
      </c>
      <c r="R798" s="115" t="s">
        <v>34</v>
      </c>
      <c r="S798" s="122">
        <v>1</v>
      </c>
    </row>
    <row r="799" spans="10:19" x14ac:dyDescent="0.25">
      <c r="J799" s="125" t="s">
        <v>2279</v>
      </c>
      <c r="K799" s="115" t="s">
        <v>2280</v>
      </c>
      <c r="L799" s="121" t="s">
        <v>200</v>
      </c>
      <c r="M799" s="116">
        <v>45356</v>
      </c>
      <c r="N799" s="115">
        <v>50</v>
      </c>
      <c r="O799" s="115" t="s">
        <v>152</v>
      </c>
      <c r="P799" s="115" t="s">
        <v>162</v>
      </c>
      <c r="Q799" s="115" t="s">
        <v>313</v>
      </c>
      <c r="R799" s="115" t="s">
        <v>34</v>
      </c>
      <c r="S799" s="122">
        <v>1</v>
      </c>
    </row>
    <row r="800" spans="10:19" x14ac:dyDescent="0.25">
      <c r="J800" s="125" t="s">
        <v>2292</v>
      </c>
      <c r="K800" s="115" t="s">
        <v>2293</v>
      </c>
      <c r="L800" s="121" t="s">
        <v>200</v>
      </c>
      <c r="M800" s="116">
        <v>45449</v>
      </c>
      <c r="N800" s="115">
        <v>57</v>
      </c>
      <c r="O800" s="115" t="s">
        <v>152</v>
      </c>
      <c r="P800" s="115" t="s">
        <v>162</v>
      </c>
      <c r="Q800" s="115" t="s">
        <v>313</v>
      </c>
      <c r="R800" s="115" t="s">
        <v>34</v>
      </c>
      <c r="S800" s="122">
        <v>1</v>
      </c>
    </row>
    <row r="801" spans="10:19" x14ac:dyDescent="0.25">
      <c r="J801" s="125" t="s">
        <v>2294</v>
      </c>
      <c r="K801" s="115" t="s">
        <v>2295</v>
      </c>
      <c r="L801" s="121" t="s">
        <v>200</v>
      </c>
      <c r="M801" s="116">
        <v>45352</v>
      </c>
      <c r="N801" s="115">
        <v>55</v>
      </c>
      <c r="O801" s="115" t="s">
        <v>152</v>
      </c>
      <c r="P801" s="115" t="s">
        <v>162</v>
      </c>
      <c r="Q801" s="115" t="s">
        <v>313</v>
      </c>
      <c r="R801" s="115" t="s">
        <v>34</v>
      </c>
      <c r="S801" s="122">
        <v>1</v>
      </c>
    </row>
    <row r="802" spans="10:19" x14ac:dyDescent="0.25">
      <c r="J802" s="125" t="s">
        <v>2296</v>
      </c>
      <c r="K802" s="115" t="s">
        <v>2297</v>
      </c>
      <c r="L802" s="121" t="s">
        <v>200</v>
      </c>
      <c r="M802" s="116">
        <v>45352</v>
      </c>
      <c r="N802" s="115">
        <v>51</v>
      </c>
      <c r="O802" s="115" t="s">
        <v>152</v>
      </c>
      <c r="P802" s="115" t="s">
        <v>162</v>
      </c>
      <c r="Q802" s="115" t="s">
        <v>313</v>
      </c>
      <c r="R802" s="115" t="s">
        <v>34</v>
      </c>
      <c r="S802" s="122">
        <v>1</v>
      </c>
    </row>
    <row r="803" spans="10:19" x14ac:dyDescent="0.25">
      <c r="J803" s="125" t="s">
        <v>2298</v>
      </c>
      <c r="K803" s="115" t="s">
        <v>2299</v>
      </c>
      <c r="L803" s="121" t="s">
        <v>200</v>
      </c>
      <c r="M803" s="116">
        <v>45450</v>
      </c>
      <c r="N803" s="115">
        <v>52</v>
      </c>
      <c r="O803" s="115" t="s">
        <v>152</v>
      </c>
      <c r="P803" s="115" t="s">
        <v>162</v>
      </c>
      <c r="Q803" s="115" t="s">
        <v>313</v>
      </c>
      <c r="R803" s="115" t="s">
        <v>34</v>
      </c>
      <c r="S803" s="122">
        <v>1</v>
      </c>
    </row>
    <row r="804" spans="10:19" x14ac:dyDescent="0.25">
      <c r="J804" s="125" t="s">
        <v>2300</v>
      </c>
      <c r="K804" s="115" t="s">
        <v>2301</v>
      </c>
      <c r="L804" s="121" t="s">
        <v>200</v>
      </c>
      <c r="M804" s="116">
        <v>45444</v>
      </c>
      <c r="N804" s="115">
        <v>50</v>
      </c>
      <c r="O804" s="115" t="s">
        <v>152</v>
      </c>
      <c r="P804" s="115" t="s">
        <v>162</v>
      </c>
      <c r="Q804" s="115" t="s">
        <v>313</v>
      </c>
      <c r="R804" s="115" t="s">
        <v>34</v>
      </c>
      <c r="S804" s="122">
        <v>1</v>
      </c>
    </row>
    <row r="805" spans="10:19" x14ac:dyDescent="0.25">
      <c r="J805" s="125" t="s">
        <v>2302</v>
      </c>
      <c r="K805" s="115" t="s">
        <v>2303</v>
      </c>
      <c r="L805" s="121" t="s">
        <v>200</v>
      </c>
      <c r="M805" s="116">
        <v>45444</v>
      </c>
      <c r="N805" s="115">
        <v>51</v>
      </c>
      <c r="O805" s="115" t="s">
        <v>152</v>
      </c>
      <c r="P805" s="115" t="s">
        <v>162</v>
      </c>
      <c r="Q805" s="115" t="s">
        <v>313</v>
      </c>
      <c r="R805" s="115" t="s">
        <v>34</v>
      </c>
      <c r="S805" s="122">
        <v>1</v>
      </c>
    </row>
    <row r="806" spans="10:19" x14ac:dyDescent="0.25">
      <c r="J806" s="125" t="s">
        <v>2304</v>
      </c>
      <c r="K806" s="115" t="s">
        <v>2305</v>
      </c>
      <c r="L806" s="121" t="s">
        <v>200</v>
      </c>
      <c r="M806" s="116">
        <v>45352</v>
      </c>
      <c r="N806" s="115">
        <v>54</v>
      </c>
      <c r="O806" s="115" t="s">
        <v>152</v>
      </c>
      <c r="P806" s="115" t="s">
        <v>162</v>
      </c>
      <c r="Q806" s="115" t="s">
        <v>313</v>
      </c>
      <c r="R806" s="115" t="s">
        <v>34</v>
      </c>
      <c r="S806" s="122">
        <v>1</v>
      </c>
    </row>
    <row r="807" spans="10:19" x14ac:dyDescent="0.25">
      <c r="J807" s="125" t="s">
        <v>2312</v>
      </c>
      <c r="K807" s="115" t="s">
        <v>2313</v>
      </c>
      <c r="L807" s="121" t="s">
        <v>200</v>
      </c>
      <c r="M807" s="116">
        <v>45383</v>
      </c>
      <c r="N807" s="115">
        <v>56</v>
      </c>
      <c r="O807" s="115" t="s">
        <v>152</v>
      </c>
      <c r="P807" s="115" t="s">
        <v>162</v>
      </c>
      <c r="Q807" s="115" t="s">
        <v>313</v>
      </c>
      <c r="R807" s="115" t="s">
        <v>34</v>
      </c>
      <c r="S807" s="122">
        <v>1</v>
      </c>
    </row>
    <row r="808" spans="10:19" x14ac:dyDescent="0.25">
      <c r="J808" s="125" t="s">
        <v>2314</v>
      </c>
      <c r="K808" s="115" t="s">
        <v>2315</v>
      </c>
      <c r="L808" s="121" t="s">
        <v>200</v>
      </c>
      <c r="M808" s="116">
        <v>45450</v>
      </c>
      <c r="N808" s="115">
        <v>52</v>
      </c>
      <c r="O808" s="115" t="s">
        <v>152</v>
      </c>
      <c r="P808" s="115" t="s">
        <v>162</v>
      </c>
      <c r="Q808" s="115" t="s">
        <v>313</v>
      </c>
      <c r="R808" s="115" t="s">
        <v>34</v>
      </c>
      <c r="S808" s="122">
        <v>1</v>
      </c>
    </row>
    <row r="809" spans="10:19" x14ac:dyDescent="0.25">
      <c r="J809" s="125" t="s">
        <v>2351</v>
      </c>
      <c r="K809" s="115" t="s">
        <v>2352</v>
      </c>
      <c r="L809" s="121" t="s">
        <v>200</v>
      </c>
      <c r="M809" s="116">
        <v>45463</v>
      </c>
      <c r="N809" s="115">
        <v>58</v>
      </c>
      <c r="O809" s="115" t="s">
        <v>152</v>
      </c>
      <c r="P809" s="115" t="s">
        <v>162</v>
      </c>
      <c r="Q809" s="115" t="s">
        <v>313</v>
      </c>
      <c r="R809" s="115" t="s">
        <v>34</v>
      </c>
      <c r="S809" s="122">
        <v>1</v>
      </c>
    </row>
    <row r="810" spans="10:19" x14ac:dyDescent="0.25">
      <c r="J810" s="125" t="s">
        <v>2119</v>
      </c>
      <c r="K810" s="115" t="s">
        <v>2120</v>
      </c>
      <c r="L810" s="121" t="s">
        <v>200</v>
      </c>
      <c r="M810" s="116">
        <v>45516</v>
      </c>
      <c r="N810" s="115">
        <v>62</v>
      </c>
      <c r="O810" s="115" t="s">
        <v>153</v>
      </c>
      <c r="P810" s="116">
        <v>45536</v>
      </c>
      <c r="Q810" s="115" t="s">
        <v>312</v>
      </c>
      <c r="R810" s="115" t="s">
        <v>34</v>
      </c>
      <c r="S810" s="122">
        <v>1</v>
      </c>
    </row>
    <row r="811" spans="10:19" x14ac:dyDescent="0.25">
      <c r="J811" s="125">
        <v>25440277</v>
      </c>
      <c r="K811" s="115" t="s">
        <v>2154</v>
      </c>
      <c r="L811" s="121" t="s">
        <v>200</v>
      </c>
      <c r="M811" s="116">
        <v>45478</v>
      </c>
      <c r="N811" s="115">
        <v>60</v>
      </c>
      <c r="O811" s="115" t="s">
        <v>153</v>
      </c>
      <c r="P811" s="115" t="s">
        <v>235</v>
      </c>
      <c r="Q811" s="115" t="s">
        <v>313</v>
      </c>
      <c r="R811" s="115" t="s">
        <v>34</v>
      </c>
      <c r="S811" s="122">
        <v>1</v>
      </c>
    </row>
    <row r="812" spans="10:19" x14ac:dyDescent="0.25">
      <c r="J812" s="125" t="s">
        <v>2159</v>
      </c>
      <c r="K812" s="115" t="s">
        <v>2160</v>
      </c>
      <c r="L812" s="121" t="s">
        <v>200</v>
      </c>
      <c r="M812" s="116">
        <v>45478</v>
      </c>
      <c r="N812" s="115">
        <v>59</v>
      </c>
      <c r="O812" s="115" t="s">
        <v>153</v>
      </c>
      <c r="P812" s="115" t="s">
        <v>235</v>
      </c>
      <c r="Q812" s="115" t="s">
        <v>313</v>
      </c>
      <c r="R812" s="115" t="s">
        <v>68</v>
      </c>
      <c r="S812" s="122">
        <v>1</v>
      </c>
    </row>
    <row r="813" spans="10:19" x14ac:dyDescent="0.25">
      <c r="J813" s="125" t="s">
        <v>2273</v>
      </c>
      <c r="K813" s="115" t="s">
        <v>2274</v>
      </c>
      <c r="L813" s="121" t="s">
        <v>200</v>
      </c>
      <c r="M813" s="116">
        <v>45405</v>
      </c>
      <c r="N813" s="115">
        <v>62</v>
      </c>
      <c r="O813" s="115" t="s">
        <v>153</v>
      </c>
      <c r="P813" s="115" t="s">
        <v>162</v>
      </c>
      <c r="Q813" s="115" t="s">
        <v>313</v>
      </c>
      <c r="R813" s="115" t="s">
        <v>34</v>
      </c>
      <c r="S813" s="122">
        <v>1</v>
      </c>
    </row>
    <row r="814" spans="10:19" x14ac:dyDescent="0.25">
      <c r="J814" s="125" t="s">
        <v>2275</v>
      </c>
      <c r="K814" s="115" t="s">
        <v>2276</v>
      </c>
      <c r="L814" s="121" t="s">
        <v>200</v>
      </c>
      <c r="M814" s="116">
        <v>45455</v>
      </c>
      <c r="N814" s="115">
        <v>59</v>
      </c>
      <c r="O814" s="115" t="s">
        <v>153</v>
      </c>
      <c r="P814" s="115" t="s">
        <v>162</v>
      </c>
      <c r="Q814" s="115" t="s">
        <v>313</v>
      </c>
      <c r="R814" s="115" t="s">
        <v>35</v>
      </c>
      <c r="S814" s="122">
        <v>1</v>
      </c>
    </row>
    <row r="815" spans="10:19" x14ac:dyDescent="0.25">
      <c r="J815" s="125" t="s">
        <v>2284</v>
      </c>
      <c r="K815" s="115" t="s">
        <v>2285</v>
      </c>
      <c r="L815" s="121" t="s">
        <v>200</v>
      </c>
      <c r="M815" s="116">
        <v>45444</v>
      </c>
      <c r="N815" s="115">
        <v>61</v>
      </c>
      <c r="O815" s="115" t="s">
        <v>153</v>
      </c>
      <c r="P815" s="115" t="s">
        <v>162</v>
      </c>
      <c r="Q815" s="115" t="s">
        <v>313</v>
      </c>
      <c r="R815" s="115" t="s">
        <v>105</v>
      </c>
      <c r="S815" s="122">
        <v>1</v>
      </c>
    </row>
    <row r="816" spans="10:19" x14ac:dyDescent="0.25">
      <c r="J816" s="125" t="s">
        <v>2290</v>
      </c>
      <c r="K816" s="115" t="s">
        <v>2291</v>
      </c>
      <c r="L816" s="121" t="s">
        <v>200</v>
      </c>
      <c r="M816" s="116">
        <v>45463</v>
      </c>
      <c r="N816" s="115">
        <v>59</v>
      </c>
      <c r="O816" s="115" t="s">
        <v>153</v>
      </c>
      <c r="P816" s="115" t="s">
        <v>162</v>
      </c>
      <c r="Q816" s="115" t="s">
        <v>313</v>
      </c>
      <c r="R816" s="115" t="s">
        <v>34</v>
      </c>
      <c r="S816" s="122">
        <v>1</v>
      </c>
    </row>
    <row r="817" spans="10:19" x14ac:dyDescent="0.25">
      <c r="J817" s="125" t="s">
        <v>2195</v>
      </c>
      <c r="K817" s="115" t="s">
        <v>2196</v>
      </c>
      <c r="L817" s="121" t="s">
        <v>200</v>
      </c>
      <c r="M817" s="116">
        <v>45448</v>
      </c>
      <c r="N817" s="115">
        <v>20</v>
      </c>
      <c r="O817" s="115" t="s">
        <v>148</v>
      </c>
      <c r="P817" s="115" t="s">
        <v>235</v>
      </c>
      <c r="Q817" s="115" t="s">
        <v>313</v>
      </c>
      <c r="R817" s="115" t="s">
        <v>68</v>
      </c>
      <c r="S817" s="122">
        <v>1</v>
      </c>
    </row>
    <row r="818" spans="10:19" x14ac:dyDescent="0.25">
      <c r="J818" s="125" t="s">
        <v>2197</v>
      </c>
      <c r="K818" s="115" t="s">
        <v>2198</v>
      </c>
      <c r="L818" s="121" t="s">
        <v>200</v>
      </c>
      <c r="M818" s="116">
        <v>45448</v>
      </c>
      <c r="N818" s="115">
        <v>49</v>
      </c>
      <c r="O818" s="115" t="s">
        <v>151</v>
      </c>
      <c r="P818" s="115" t="s">
        <v>235</v>
      </c>
      <c r="Q818" s="115" t="s">
        <v>313</v>
      </c>
      <c r="R818" s="115" t="s">
        <v>69</v>
      </c>
      <c r="S818" s="122">
        <v>1</v>
      </c>
    </row>
    <row r="819" spans="10:19" x14ac:dyDescent="0.25">
      <c r="J819" s="125" t="s">
        <v>2199</v>
      </c>
      <c r="K819" s="115" t="s">
        <v>2200</v>
      </c>
      <c r="L819" s="121" t="s">
        <v>200</v>
      </c>
      <c r="M819" s="116">
        <v>45523</v>
      </c>
      <c r="N819" s="115">
        <v>42</v>
      </c>
      <c r="O819" s="115" t="s">
        <v>151</v>
      </c>
      <c r="P819" s="115" t="s">
        <v>235</v>
      </c>
      <c r="Q819" s="115" t="s">
        <v>313</v>
      </c>
      <c r="R819" s="115" t="s">
        <v>68</v>
      </c>
      <c r="S819" s="122">
        <v>1</v>
      </c>
    </row>
    <row r="820" spans="10:19" x14ac:dyDescent="0.25">
      <c r="J820" s="125" t="s">
        <v>2201</v>
      </c>
      <c r="K820" s="115" t="s">
        <v>2202</v>
      </c>
      <c r="L820" s="121" t="s">
        <v>200</v>
      </c>
      <c r="M820" s="116">
        <v>45448</v>
      </c>
      <c r="N820" s="115">
        <v>31</v>
      </c>
      <c r="O820" s="115" t="s">
        <v>149</v>
      </c>
      <c r="P820" s="115" t="s">
        <v>235</v>
      </c>
      <c r="Q820" s="115" t="s">
        <v>313</v>
      </c>
      <c r="R820" s="115" t="s">
        <v>34</v>
      </c>
      <c r="S820" s="122">
        <v>1</v>
      </c>
    </row>
    <row r="821" spans="10:19" x14ac:dyDescent="0.25">
      <c r="J821" s="125" t="s">
        <v>2203</v>
      </c>
      <c r="K821" s="115" t="s">
        <v>2204</v>
      </c>
      <c r="L821" s="121" t="s">
        <v>200</v>
      </c>
      <c r="M821" s="116">
        <v>45448</v>
      </c>
      <c r="N821" s="115">
        <v>30</v>
      </c>
      <c r="O821" s="115" t="s">
        <v>149</v>
      </c>
      <c r="P821" s="115" t="s">
        <v>235</v>
      </c>
      <c r="Q821" s="115" t="s">
        <v>313</v>
      </c>
      <c r="R821" s="115" t="s">
        <v>36</v>
      </c>
      <c r="S821" s="122">
        <v>1</v>
      </c>
    </row>
    <row r="822" spans="10:19" x14ac:dyDescent="0.25">
      <c r="J822" s="125" t="s">
        <v>2205</v>
      </c>
      <c r="K822" s="115" t="s">
        <v>2206</v>
      </c>
      <c r="L822" s="121" t="s">
        <v>200</v>
      </c>
      <c r="M822" s="116">
        <v>45449</v>
      </c>
      <c r="N822" s="115">
        <v>42</v>
      </c>
      <c r="O822" s="115" t="s">
        <v>151</v>
      </c>
      <c r="P822" s="115" t="s">
        <v>235</v>
      </c>
      <c r="Q822" s="115" t="s">
        <v>313</v>
      </c>
      <c r="R822" s="115" t="s">
        <v>35</v>
      </c>
      <c r="S822" s="122">
        <v>1</v>
      </c>
    </row>
    <row r="823" spans="10:19" x14ac:dyDescent="0.25">
      <c r="J823" s="125">
        <v>73268726</v>
      </c>
      <c r="K823" s="115" t="s">
        <v>2357</v>
      </c>
      <c r="L823" s="121" t="s">
        <v>200</v>
      </c>
      <c r="M823" s="116">
        <v>45481</v>
      </c>
      <c r="N823" s="115">
        <v>22</v>
      </c>
      <c r="O823" s="115" t="s">
        <v>148</v>
      </c>
      <c r="P823" s="115" t="s">
        <v>235</v>
      </c>
      <c r="Q823" s="115" t="s">
        <v>312</v>
      </c>
      <c r="R823" s="115" t="s">
        <v>34</v>
      </c>
      <c r="S823" s="122">
        <v>1</v>
      </c>
    </row>
    <row r="824" spans="10:19" x14ac:dyDescent="0.25">
      <c r="J824" s="125">
        <v>75704814</v>
      </c>
      <c r="K824" s="115" t="s">
        <v>2368</v>
      </c>
      <c r="L824" s="121" t="s">
        <v>200</v>
      </c>
      <c r="M824" s="116">
        <v>45444</v>
      </c>
      <c r="N824" s="115">
        <v>20</v>
      </c>
      <c r="O824" s="115" t="s">
        <v>148</v>
      </c>
      <c r="P824" s="115" t="s">
        <v>235</v>
      </c>
      <c r="Q824" s="115" t="s">
        <v>312</v>
      </c>
      <c r="R824" s="115" t="s">
        <v>68</v>
      </c>
      <c r="S824" s="122">
        <v>1</v>
      </c>
    </row>
    <row r="825" spans="10:19" x14ac:dyDescent="0.25">
      <c r="J825" s="125" t="s">
        <v>2371</v>
      </c>
      <c r="K825" s="115" t="s">
        <v>2372</v>
      </c>
      <c r="L825" s="121" t="s">
        <v>200</v>
      </c>
      <c r="M825" s="116">
        <v>45481</v>
      </c>
      <c r="N825" s="115">
        <v>23</v>
      </c>
      <c r="O825" s="115" t="s">
        <v>148</v>
      </c>
      <c r="P825" s="115" t="s">
        <v>235</v>
      </c>
      <c r="Q825" s="115" t="s">
        <v>312</v>
      </c>
      <c r="R825" s="115" t="s">
        <v>34</v>
      </c>
      <c r="S825" s="122">
        <v>1</v>
      </c>
    </row>
    <row r="826" spans="10:19" x14ac:dyDescent="0.25">
      <c r="J826" s="125" t="s">
        <v>2393</v>
      </c>
      <c r="K826" s="115" t="s">
        <v>2394</v>
      </c>
      <c r="L826" s="121" t="s">
        <v>200</v>
      </c>
      <c r="M826" s="116">
        <v>45476</v>
      </c>
      <c r="N826" s="115">
        <v>23</v>
      </c>
      <c r="O826" s="115" t="s">
        <v>148</v>
      </c>
      <c r="P826" s="115" t="s">
        <v>235</v>
      </c>
      <c r="Q826" s="115" t="s">
        <v>313</v>
      </c>
      <c r="R826" s="115" t="s">
        <v>34</v>
      </c>
      <c r="S826" s="122">
        <v>1</v>
      </c>
    </row>
    <row r="827" spans="10:19" x14ac:dyDescent="0.25">
      <c r="J827" s="125" t="s">
        <v>2422</v>
      </c>
      <c r="K827" s="115" t="s">
        <v>2423</v>
      </c>
      <c r="L827" s="121" t="s">
        <v>200</v>
      </c>
      <c r="M827" s="116">
        <v>45474</v>
      </c>
      <c r="N827" s="115">
        <v>23</v>
      </c>
      <c r="O827" s="115" t="s">
        <v>148</v>
      </c>
      <c r="P827" s="115" t="s">
        <v>235</v>
      </c>
      <c r="Q827" s="115" t="s">
        <v>313</v>
      </c>
      <c r="R827" s="115" t="s">
        <v>72</v>
      </c>
      <c r="S827" s="122">
        <v>1</v>
      </c>
    </row>
    <row r="828" spans="10:19" x14ac:dyDescent="0.25">
      <c r="J828" s="125" t="s">
        <v>2429</v>
      </c>
      <c r="K828" s="115" t="s">
        <v>404</v>
      </c>
      <c r="L828" s="121" t="s">
        <v>200</v>
      </c>
      <c r="M828" s="116">
        <v>45261</v>
      </c>
      <c r="N828" s="115">
        <v>21</v>
      </c>
      <c r="O828" s="115" t="s">
        <v>148</v>
      </c>
      <c r="P828" s="116">
        <v>45542</v>
      </c>
      <c r="Q828" s="115" t="s">
        <v>313</v>
      </c>
      <c r="R828" s="115" t="s">
        <v>68</v>
      </c>
      <c r="S828" s="122">
        <v>1</v>
      </c>
    </row>
    <row r="829" spans="10:19" x14ac:dyDescent="0.25">
      <c r="J829" s="125" t="s">
        <v>2431</v>
      </c>
      <c r="K829" s="115" t="s">
        <v>415</v>
      </c>
      <c r="L829" s="121" t="s">
        <v>200</v>
      </c>
      <c r="M829" s="116">
        <v>45286</v>
      </c>
      <c r="N829" s="115">
        <v>18</v>
      </c>
      <c r="O829" s="115" t="s">
        <v>148</v>
      </c>
      <c r="P829" s="115" t="s">
        <v>235</v>
      </c>
      <c r="Q829" s="115" t="s">
        <v>313</v>
      </c>
      <c r="R829" s="115" t="s">
        <v>36</v>
      </c>
      <c r="S829" s="122">
        <v>1</v>
      </c>
    </row>
    <row r="830" spans="10:19" x14ac:dyDescent="0.25">
      <c r="J830" s="125" t="s">
        <v>2455</v>
      </c>
      <c r="K830" s="115" t="s">
        <v>2456</v>
      </c>
      <c r="L830" s="121" t="s">
        <v>200</v>
      </c>
      <c r="M830" s="116">
        <v>45483</v>
      </c>
      <c r="N830" s="115">
        <v>20</v>
      </c>
      <c r="O830" s="115" t="s">
        <v>148</v>
      </c>
      <c r="P830" s="115" t="s">
        <v>162</v>
      </c>
      <c r="Q830" s="115" t="s">
        <v>313</v>
      </c>
      <c r="R830" s="115" t="s">
        <v>68</v>
      </c>
      <c r="S830" s="122">
        <v>1</v>
      </c>
    </row>
    <row r="831" spans="10:19" x14ac:dyDescent="0.25">
      <c r="J831" s="125">
        <v>74447631</v>
      </c>
      <c r="K831" s="115" t="s">
        <v>2459</v>
      </c>
      <c r="L831" s="121" t="s">
        <v>200</v>
      </c>
      <c r="M831" s="116">
        <v>45489</v>
      </c>
      <c r="N831" s="115">
        <v>19</v>
      </c>
      <c r="O831" s="115" t="s">
        <v>148</v>
      </c>
      <c r="P831" s="115" t="s">
        <v>162</v>
      </c>
      <c r="Q831" s="115" t="s">
        <v>313</v>
      </c>
      <c r="R831" s="115" t="s">
        <v>105</v>
      </c>
      <c r="S831" s="122">
        <v>1</v>
      </c>
    </row>
    <row r="832" spans="10:19" x14ac:dyDescent="0.25">
      <c r="J832" s="125" t="s">
        <v>2490</v>
      </c>
      <c r="K832" s="115" t="s">
        <v>2491</v>
      </c>
      <c r="L832" s="121" t="s">
        <v>200</v>
      </c>
      <c r="M832" s="116">
        <v>45479</v>
      </c>
      <c r="N832" s="115">
        <v>21</v>
      </c>
      <c r="O832" s="115" t="s">
        <v>148</v>
      </c>
      <c r="P832" s="115" t="s">
        <v>162</v>
      </c>
      <c r="Q832" s="115" t="s">
        <v>313</v>
      </c>
      <c r="R832" s="115" t="s">
        <v>68</v>
      </c>
      <c r="S832" s="122">
        <v>1</v>
      </c>
    </row>
    <row r="833" spans="10:19" x14ac:dyDescent="0.25">
      <c r="J833" s="125" t="s">
        <v>2492</v>
      </c>
      <c r="K833" s="115" t="s">
        <v>2493</v>
      </c>
      <c r="L833" s="121" t="s">
        <v>200</v>
      </c>
      <c r="M833" s="116">
        <v>45484</v>
      </c>
      <c r="N833" s="115">
        <v>21</v>
      </c>
      <c r="O833" s="115" t="s">
        <v>148</v>
      </c>
      <c r="P833" s="115" t="s">
        <v>162</v>
      </c>
      <c r="Q833" s="115" t="s">
        <v>313</v>
      </c>
      <c r="R833" s="115" t="s">
        <v>35</v>
      </c>
      <c r="S833" s="122">
        <v>1</v>
      </c>
    </row>
    <row r="834" spans="10:19" x14ac:dyDescent="0.25">
      <c r="J834" s="125" t="s">
        <v>2494</v>
      </c>
      <c r="K834" s="115" t="s">
        <v>2495</v>
      </c>
      <c r="L834" s="121" t="s">
        <v>200</v>
      </c>
      <c r="M834" s="116">
        <v>45486</v>
      </c>
      <c r="N834" s="115">
        <v>22</v>
      </c>
      <c r="O834" s="115" t="s">
        <v>148</v>
      </c>
      <c r="P834" s="115" t="s">
        <v>162</v>
      </c>
      <c r="Q834" s="115" t="s">
        <v>313</v>
      </c>
      <c r="R834" s="115" t="s">
        <v>34</v>
      </c>
      <c r="S834" s="122">
        <v>1</v>
      </c>
    </row>
    <row r="835" spans="10:19" x14ac:dyDescent="0.25">
      <c r="J835" s="125" t="s">
        <v>2498</v>
      </c>
      <c r="K835" s="115" t="s">
        <v>2499</v>
      </c>
      <c r="L835" s="121" t="s">
        <v>200</v>
      </c>
      <c r="M835" s="116">
        <v>45486</v>
      </c>
      <c r="N835" s="115">
        <v>23</v>
      </c>
      <c r="O835" s="115" t="s">
        <v>148</v>
      </c>
      <c r="P835" s="116">
        <v>45536</v>
      </c>
      <c r="Q835" s="115" t="s">
        <v>313</v>
      </c>
      <c r="R835" s="115" t="s">
        <v>68</v>
      </c>
      <c r="S835" s="122">
        <v>1</v>
      </c>
    </row>
    <row r="836" spans="10:19" x14ac:dyDescent="0.25">
      <c r="J836" s="125" t="s">
        <v>2510</v>
      </c>
      <c r="K836" s="115" t="s">
        <v>2511</v>
      </c>
      <c r="L836" s="121" t="s">
        <v>200</v>
      </c>
      <c r="M836" s="116">
        <v>45481</v>
      </c>
      <c r="N836" s="115">
        <v>22</v>
      </c>
      <c r="O836" s="115" t="s">
        <v>148</v>
      </c>
      <c r="P836" s="115" t="s">
        <v>235</v>
      </c>
      <c r="Q836" s="115" t="s">
        <v>313</v>
      </c>
      <c r="R836" s="115" t="s">
        <v>35</v>
      </c>
      <c r="S836" s="122">
        <v>1</v>
      </c>
    </row>
    <row r="837" spans="10:19" x14ac:dyDescent="0.25">
      <c r="J837" s="125">
        <v>72852696</v>
      </c>
      <c r="K837" s="115" t="s">
        <v>2358</v>
      </c>
      <c r="L837" s="121" t="s">
        <v>200</v>
      </c>
      <c r="M837" s="116">
        <v>45485</v>
      </c>
      <c r="N837" s="115">
        <v>28</v>
      </c>
      <c r="O837" s="115" t="s">
        <v>149</v>
      </c>
      <c r="P837" s="115" t="s">
        <v>235</v>
      </c>
      <c r="Q837" s="115" t="s">
        <v>312</v>
      </c>
      <c r="R837" s="115" t="s">
        <v>36</v>
      </c>
      <c r="S837" s="122">
        <v>1</v>
      </c>
    </row>
    <row r="838" spans="10:19" x14ac:dyDescent="0.25">
      <c r="J838" s="125">
        <v>77083704</v>
      </c>
      <c r="K838" s="115" t="s">
        <v>2359</v>
      </c>
      <c r="L838" s="121" t="s">
        <v>200</v>
      </c>
      <c r="M838" s="116">
        <v>45489</v>
      </c>
      <c r="N838" s="115">
        <v>29</v>
      </c>
      <c r="O838" s="115" t="s">
        <v>149</v>
      </c>
      <c r="P838" s="115" t="s">
        <v>235</v>
      </c>
      <c r="Q838" s="115" t="s">
        <v>312</v>
      </c>
      <c r="R838" s="115" t="s">
        <v>34</v>
      </c>
      <c r="S838" s="122">
        <v>1</v>
      </c>
    </row>
    <row r="839" spans="10:19" x14ac:dyDescent="0.25">
      <c r="J839" s="125">
        <v>70779717</v>
      </c>
      <c r="K839" s="115" t="s">
        <v>2362</v>
      </c>
      <c r="L839" s="121" t="s">
        <v>200</v>
      </c>
      <c r="M839" s="116">
        <v>45460</v>
      </c>
      <c r="N839" s="115">
        <v>25</v>
      </c>
      <c r="O839" s="115" t="s">
        <v>149</v>
      </c>
      <c r="P839" s="115" t="s">
        <v>235</v>
      </c>
      <c r="Q839" s="115" t="s">
        <v>312</v>
      </c>
      <c r="R839" s="115" t="s">
        <v>34</v>
      </c>
      <c r="S839" s="122">
        <v>1</v>
      </c>
    </row>
    <row r="840" spans="10:19" x14ac:dyDescent="0.25">
      <c r="J840" s="125">
        <v>47720586</v>
      </c>
      <c r="K840" s="115" t="s">
        <v>2366</v>
      </c>
      <c r="L840" s="121" t="s">
        <v>200</v>
      </c>
      <c r="M840" s="116">
        <v>45493</v>
      </c>
      <c r="N840" s="115">
        <v>31</v>
      </c>
      <c r="O840" s="115" t="s">
        <v>149</v>
      </c>
      <c r="P840" s="115" t="s">
        <v>235</v>
      </c>
      <c r="Q840" s="115" t="s">
        <v>312</v>
      </c>
      <c r="R840" s="115" t="s">
        <v>34</v>
      </c>
      <c r="S840" s="122">
        <v>1</v>
      </c>
    </row>
    <row r="841" spans="10:19" x14ac:dyDescent="0.25">
      <c r="J841" s="125">
        <v>72755541</v>
      </c>
      <c r="K841" s="115" t="s">
        <v>2367</v>
      </c>
      <c r="L841" s="121" t="s">
        <v>200</v>
      </c>
      <c r="M841" s="116">
        <v>45493</v>
      </c>
      <c r="N841" s="115">
        <v>25</v>
      </c>
      <c r="O841" s="115" t="s">
        <v>149</v>
      </c>
      <c r="P841" s="115" t="s">
        <v>235</v>
      </c>
      <c r="Q841" s="115" t="s">
        <v>312</v>
      </c>
      <c r="R841" s="115" t="s">
        <v>36</v>
      </c>
      <c r="S841" s="122">
        <v>1</v>
      </c>
    </row>
    <row r="842" spans="10:19" x14ac:dyDescent="0.25">
      <c r="J842" s="125">
        <v>61774417</v>
      </c>
      <c r="K842" s="115" t="s">
        <v>2369</v>
      </c>
      <c r="L842" s="121" t="s">
        <v>200</v>
      </c>
      <c r="M842" s="116">
        <v>45432</v>
      </c>
      <c r="N842" s="115">
        <v>32</v>
      </c>
      <c r="O842" s="115" t="s">
        <v>150</v>
      </c>
      <c r="P842" s="115" t="s">
        <v>235</v>
      </c>
      <c r="Q842" s="115" t="s">
        <v>312</v>
      </c>
      <c r="R842" s="115" t="s">
        <v>34</v>
      </c>
      <c r="S842" s="122">
        <v>1</v>
      </c>
    </row>
    <row r="843" spans="10:19" x14ac:dyDescent="0.25">
      <c r="J843" s="125">
        <v>48504786</v>
      </c>
      <c r="K843" s="115" t="s">
        <v>2384</v>
      </c>
      <c r="L843" s="121" t="s">
        <v>200</v>
      </c>
      <c r="M843" s="116">
        <v>45484</v>
      </c>
      <c r="N843" s="115">
        <v>30</v>
      </c>
      <c r="O843" s="115" t="s">
        <v>149</v>
      </c>
      <c r="P843" s="115" t="s">
        <v>235</v>
      </c>
      <c r="Q843" s="115" t="s">
        <v>313</v>
      </c>
      <c r="R843" s="115" t="s">
        <v>34</v>
      </c>
      <c r="S843" s="122">
        <v>1</v>
      </c>
    </row>
    <row r="844" spans="10:19" x14ac:dyDescent="0.25">
      <c r="J844" s="125" t="s">
        <v>2411</v>
      </c>
      <c r="K844" s="115" t="s">
        <v>2412</v>
      </c>
      <c r="L844" s="121" t="s">
        <v>200</v>
      </c>
      <c r="M844" s="116">
        <v>45474</v>
      </c>
      <c r="N844" s="115">
        <v>30</v>
      </c>
      <c r="O844" s="115" t="s">
        <v>149</v>
      </c>
      <c r="P844" s="115" t="s">
        <v>235</v>
      </c>
      <c r="Q844" s="115" t="s">
        <v>313</v>
      </c>
      <c r="R844" s="115" t="s">
        <v>34</v>
      </c>
      <c r="S844" s="122">
        <v>1</v>
      </c>
    </row>
    <row r="845" spans="10:19" x14ac:dyDescent="0.25">
      <c r="J845" s="125">
        <v>75085311</v>
      </c>
      <c r="K845" s="115" t="s">
        <v>2413</v>
      </c>
      <c r="L845" s="121" t="s">
        <v>200</v>
      </c>
      <c r="M845" s="116">
        <v>45475</v>
      </c>
      <c r="N845" s="115">
        <v>27</v>
      </c>
      <c r="O845" s="115" t="s">
        <v>149</v>
      </c>
      <c r="P845" s="115" t="s">
        <v>235</v>
      </c>
      <c r="Q845" s="115" t="s">
        <v>313</v>
      </c>
      <c r="R845" s="115" t="s">
        <v>35</v>
      </c>
      <c r="S845" s="122">
        <v>1</v>
      </c>
    </row>
    <row r="846" spans="10:19" x14ac:dyDescent="0.25">
      <c r="J846" s="125" t="s">
        <v>2430</v>
      </c>
      <c r="K846" s="115" t="s">
        <v>406</v>
      </c>
      <c r="L846" s="121" t="s">
        <v>200</v>
      </c>
      <c r="M846" s="116">
        <v>45261</v>
      </c>
      <c r="N846" s="115">
        <v>28</v>
      </c>
      <c r="O846" s="115" t="s">
        <v>149</v>
      </c>
      <c r="P846" s="116">
        <v>45542</v>
      </c>
      <c r="Q846" s="115" t="s">
        <v>313</v>
      </c>
      <c r="R846" s="115" t="s">
        <v>68</v>
      </c>
      <c r="S846" s="122">
        <v>1</v>
      </c>
    </row>
    <row r="847" spans="10:19" x14ac:dyDescent="0.25">
      <c r="J847" s="125">
        <v>60829242</v>
      </c>
      <c r="K847" s="115" t="s">
        <v>2483</v>
      </c>
      <c r="L847" s="121" t="s">
        <v>200</v>
      </c>
      <c r="M847" s="116">
        <v>45488</v>
      </c>
      <c r="N847" s="115">
        <v>27</v>
      </c>
      <c r="O847" s="115" t="s">
        <v>149</v>
      </c>
      <c r="P847" s="115" t="s">
        <v>235</v>
      </c>
      <c r="Q847" s="115" t="s">
        <v>313</v>
      </c>
      <c r="R847" s="115" t="s">
        <v>34</v>
      </c>
      <c r="S847" s="122">
        <v>1</v>
      </c>
    </row>
    <row r="848" spans="10:19" x14ac:dyDescent="0.25">
      <c r="J848" s="125" t="s">
        <v>2486</v>
      </c>
      <c r="K848" s="115" t="s">
        <v>2487</v>
      </c>
      <c r="L848" s="121" t="s">
        <v>200</v>
      </c>
      <c r="M848" s="116">
        <v>45475</v>
      </c>
      <c r="N848" s="115">
        <v>28</v>
      </c>
      <c r="O848" s="115" t="s">
        <v>149</v>
      </c>
      <c r="P848" s="115" t="s">
        <v>162</v>
      </c>
      <c r="Q848" s="115" t="s">
        <v>313</v>
      </c>
      <c r="R848" s="115" t="s">
        <v>35</v>
      </c>
      <c r="S848" s="122">
        <v>1</v>
      </c>
    </row>
    <row r="849" spans="10:19" x14ac:dyDescent="0.25">
      <c r="J849" s="125" t="s">
        <v>2496</v>
      </c>
      <c r="K849" s="115" t="s">
        <v>2497</v>
      </c>
      <c r="L849" s="121" t="s">
        <v>200</v>
      </c>
      <c r="M849" s="116">
        <v>45485</v>
      </c>
      <c r="N849" s="115">
        <v>27</v>
      </c>
      <c r="O849" s="115" t="s">
        <v>149</v>
      </c>
      <c r="P849" s="115" t="s">
        <v>162</v>
      </c>
      <c r="Q849" s="115" t="s">
        <v>313</v>
      </c>
      <c r="R849" s="115" t="s">
        <v>34</v>
      </c>
      <c r="S849" s="122">
        <v>1</v>
      </c>
    </row>
    <row r="850" spans="10:19" x14ac:dyDescent="0.25">
      <c r="J850" s="125" t="s">
        <v>2500</v>
      </c>
      <c r="K850" s="115" t="s">
        <v>2501</v>
      </c>
      <c r="L850" s="121" t="s">
        <v>200</v>
      </c>
      <c r="M850" s="116">
        <v>45486</v>
      </c>
      <c r="N850" s="115">
        <v>27</v>
      </c>
      <c r="O850" s="115" t="s">
        <v>149</v>
      </c>
      <c r="P850" s="115" t="s">
        <v>162</v>
      </c>
      <c r="Q850" s="115" t="s">
        <v>313</v>
      </c>
      <c r="R850" s="115" t="s">
        <v>72</v>
      </c>
      <c r="S850" s="122">
        <v>1</v>
      </c>
    </row>
    <row r="851" spans="10:19" x14ac:dyDescent="0.25">
      <c r="J851" s="125" t="s">
        <v>2506</v>
      </c>
      <c r="K851" s="115" t="s">
        <v>2507</v>
      </c>
      <c r="L851" s="121" t="s">
        <v>200</v>
      </c>
      <c r="M851" s="116">
        <v>45478</v>
      </c>
      <c r="N851" s="115">
        <v>29</v>
      </c>
      <c r="O851" s="115" t="s">
        <v>149</v>
      </c>
      <c r="P851" s="115" t="s">
        <v>235</v>
      </c>
      <c r="Q851" s="115" t="s">
        <v>313</v>
      </c>
      <c r="R851" s="115" t="s">
        <v>68</v>
      </c>
      <c r="S851" s="122">
        <v>1</v>
      </c>
    </row>
    <row r="852" spans="10:19" x14ac:dyDescent="0.25">
      <c r="J852" s="125" t="s">
        <v>2519</v>
      </c>
      <c r="K852" s="115" t="s">
        <v>2520</v>
      </c>
      <c r="L852" s="121" t="s">
        <v>201</v>
      </c>
      <c r="M852" s="116">
        <v>45491</v>
      </c>
      <c r="N852" s="115">
        <v>26</v>
      </c>
      <c r="O852" s="115" t="s">
        <v>149</v>
      </c>
      <c r="P852" s="115" t="s">
        <v>235</v>
      </c>
      <c r="Q852" s="115" t="s">
        <v>313</v>
      </c>
      <c r="R852" s="115" t="s">
        <v>34</v>
      </c>
      <c r="S852" s="122">
        <v>1</v>
      </c>
    </row>
    <row r="853" spans="10:19" x14ac:dyDescent="0.25">
      <c r="J853" s="125" t="s">
        <v>2523</v>
      </c>
      <c r="K853" s="115" t="s">
        <v>2524</v>
      </c>
      <c r="L853" s="121" t="s">
        <v>200</v>
      </c>
      <c r="M853" s="116">
        <v>45474</v>
      </c>
      <c r="N853" s="115">
        <v>26</v>
      </c>
      <c r="O853" s="115" t="s">
        <v>149</v>
      </c>
      <c r="P853" s="115" t="s">
        <v>235</v>
      </c>
      <c r="Q853" s="115" t="s">
        <v>313</v>
      </c>
      <c r="R853" s="115" t="s">
        <v>68</v>
      </c>
      <c r="S853" s="122">
        <v>1</v>
      </c>
    </row>
    <row r="854" spans="10:19" x14ac:dyDescent="0.25">
      <c r="J854" s="125" t="s">
        <v>2527</v>
      </c>
      <c r="K854" s="115" t="s">
        <v>2528</v>
      </c>
      <c r="L854" s="121" t="s">
        <v>200</v>
      </c>
      <c r="M854" s="116">
        <v>45489</v>
      </c>
      <c r="N854" s="115">
        <v>29</v>
      </c>
      <c r="O854" s="115" t="s">
        <v>149</v>
      </c>
      <c r="P854" s="115" t="s">
        <v>235</v>
      </c>
      <c r="Q854" s="115" t="s">
        <v>313</v>
      </c>
      <c r="R854" s="115" t="s">
        <v>34</v>
      </c>
      <c r="S854" s="122">
        <v>1</v>
      </c>
    </row>
    <row r="855" spans="10:19" x14ac:dyDescent="0.25">
      <c r="J855" s="125" t="s">
        <v>2532</v>
      </c>
      <c r="K855" s="115" t="s">
        <v>2533</v>
      </c>
      <c r="L855" s="121" t="s">
        <v>200</v>
      </c>
      <c r="M855" s="116">
        <v>45481</v>
      </c>
      <c r="N855" s="115">
        <v>30</v>
      </c>
      <c r="O855" s="115" t="s">
        <v>149</v>
      </c>
      <c r="P855" s="115" t="s">
        <v>235</v>
      </c>
      <c r="Q855" s="115" t="s">
        <v>313</v>
      </c>
      <c r="R855" s="115" t="s">
        <v>34</v>
      </c>
      <c r="S855" s="122">
        <v>1</v>
      </c>
    </row>
    <row r="856" spans="10:19" x14ac:dyDescent="0.25">
      <c r="J856" s="125" t="s">
        <v>2534</v>
      </c>
      <c r="K856" s="115" t="s">
        <v>2535</v>
      </c>
      <c r="L856" s="121" t="s">
        <v>200</v>
      </c>
      <c r="M856" s="116">
        <v>45488</v>
      </c>
      <c r="N856" s="115">
        <v>52</v>
      </c>
      <c r="O856" s="115" t="s">
        <v>152</v>
      </c>
      <c r="P856" s="115" t="s">
        <v>235</v>
      </c>
      <c r="Q856" s="115" t="s">
        <v>313</v>
      </c>
      <c r="R856" s="115" t="s">
        <v>34</v>
      </c>
      <c r="S856" s="122">
        <v>1</v>
      </c>
    </row>
    <row r="857" spans="10:19" x14ac:dyDescent="0.25">
      <c r="J857" s="125">
        <v>74987691</v>
      </c>
      <c r="K857" s="115" t="s">
        <v>2541</v>
      </c>
      <c r="L857" s="121" t="s">
        <v>200</v>
      </c>
      <c r="M857" s="116">
        <v>45491</v>
      </c>
      <c r="N857" s="115">
        <v>29</v>
      </c>
      <c r="O857" s="115" t="s">
        <v>149</v>
      </c>
      <c r="P857" s="115" t="s">
        <v>235</v>
      </c>
      <c r="Q857" s="115" t="s">
        <v>313</v>
      </c>
      <c r="R857" s="115" t="s">
        <v>34</v>
      </c>
      <c r="S857" s="122">
        <v>1</v>
      </c>
    </row>
    <row r="858" spans="10:19" x14ac:dyDescent="0.25">
      <c r="J858" s="125" t="s">
        <v>2567</v>
      </c>
      <c r="K858" s="115" t="s">
        <v>2568</v>
      </c>
      <c r="L858" s="121" t="s">
        <v>200</v>
      </c>
      <c r="M858" s="116">
        <v>45474</v>
      </c>
      <c r="N858" s="115">
        <v>27</v>
      </c>
      <c r="O858" s="115" t="s">
        <v>149</v>
      </c>
      <c r="P858" s="115" t="s">
        <v>162</v>
      </c>
      <c r="Q858" s="115" t="s">
        <v>313</v>
      </c>
      <c r="R858" s="115" t="s">
        <v>34</v>
      </c>
      <c r="S858" s="122">
        <v>1</v>
      </c>
    </row>
    <row r="859" spans="10:19" x14ac:dyDescent="0.25">
      <c r="J859" s="125">
        <v>46505974</v>
      </c>
      <c r="K859" s="115" t="s">
        <v>2361</v>
      </c>
      <c r="L859" s="121" t="s">
        <v>200</v>
      </c>
      <c r="M859" s="116">
        <v>45482</v>
      </c>
      <c r="N859" s="115">
        <v>37</v>
      </c>
      <c r="O859" s="115" t="s">
        <v>150</v>
      </c>
      <c r="P859" s="115" t="s">
        <v>235</v>
      </c>
      <c r="Q859" s="115" t="s">
        <v>312</v>
      </c>
      <c r="R859" s="115" t="s">
        <v>34</v>
      </c>
      <c r="S859" s="122">
        <v>1</v>
      </c>
    </row>
    <row r="860" spans="10:19" x14ac:dyDescent="0.25">
      <c r="J860" s="125">
        <v>44427841</v>
      </c>
      <c r="K860" s="115" t="s">
        <v>2370</v>
      </c>
      <c r="L860" s="121" t="s">
        <v>200</v>
      </c>
      <c r="M860" s="116">
        <v>45498</v>
      </c>
      <c r="N860" s="115">
        <v>37</v>
      </c>
      <c r="O860" s="115" t="s">
        <v>150</v>
      </c>
      <c r="P860" s="115" t="s">
        <v>235</v>
      </c>
      <c r="Q860" s="115" t="s">
        <v>312</v>
      </c>
      <c r="R860" s="115" t="s">
        <v>34</v>
      </c>
      <c r="S860" s="122">
        <v>1</v>
      </c>
    </row>
    <row r="861" spans="10:19" x14ac:dyDescent="0.25">
      <c r="J861" s="125">
        <v>43260685</v>
      </c>
      <c r="K861" s="115" t="s">
        <v>2381</v>
      </c>
      <c r="L861" s="121" t="s">
        <v>200</v>
      </c>
      <c r="M861" s="116">
        <v>45498</v>
      </c>
      <c r="N861" s="115">
        <v>38</v>
      </c>
      <c r="O861" s="115" t="s">
        <v>150</v>
      </c>
      <c r="P861" s="115" t="s">
        <v>235</v>
      </c>
      <c r="Q861" s="115" t="s">
        <v>313</v>
      </c>
      <c r="R861" s="115" t="s">
        <v>36</v>
      </c>
      <c r="S861" s="122">
        <v>1</v>
      </c>
    </row>
    <row r="862" spans="10:19" x14ac:dyDescent="0.25">
      <c r="J862" s="125">
        <v>46942168</v>
      </c>
      <c r="K862" s="115" t="s">
        <v>2383</v>
      </c>
      <c r="L862" s="121" t="s">
        <v>200</v>
      </c>
      <c r="M862" s="116">
        <v>45476</v>
      </c>
      <c r="N862" s="115">
        <v>33</v>
      </c>
      <c r="O862" s="115" t="s">
        <v>150</v>
      </c>
      <c r="P862" s="115" t="s">
        <v>235</v>
      </c>
      <c r="Q862" s="115" t="s">
        <v>313</v>
      </c>
      <c r="R862" s="115" t="s">
        <v>34</v>
      </c>
      <c r="S862" s="122">
        <v>1</v>
      </c>
    </row>
    <row r="863" spans="10:19" x14ac:dyDescent="0.25">
      <c r="J863" s="125" t="s">
        <v>2414</v>
      </c>
      <c r="K863" s="115" t="s">
        <v>2415</v>
      </c>
      <c r="L863" s="121" t="s">
        <v>200</v>
      </c>
      <c r="M863" s="116">
        <v>45474</v>
      </c>
      <c r="N863" s="115">
        <v>33</v>
      </c>
      <c r="O863" s="115" t="s">
        <v>150</v>
      </c>
      <c r="P863" s="115" t="s">
        <v>235</v>
      </c>
      <c r="Q863" s="115" t="s">
        <v>313</v>
      </c>
      <c r="R863" s="115" t="s">
        <v>68</v>
      </c>
      <c r="S863" s="122">
        <v>1</v>
      </c>
    </row>
    <row r="864" spans="10:19" x14ac:dyDescent="0.25">
      <c r="J864" s="125" t="s">
        <v>2421</v>
      </c>
      <c r="K864" s="115" t="s">
        <v>638</v>
      </c>
      <c r="L864" s="121" t="s">
        <v>200</v>
      </c>
      <c r="M864" s="116">
        <v>45488</v>
      </c>
      <c r="N864" s="115">
        <v>39</v>
      </c>
      <c r="O864" s="115" t="s">
        <v>150</v>
      </c>
      <c r="P864" s="115" t="s">
        <v>235</v>
      </c>
      <c r="Q864" s="115" t="s">
        <v>313</v>
      </c>
      <c r="R864" s="115" t="s">
        <v>68</v>
      </c>
      <c r="S864" s="122">
        <v>1</v>
      </c>
    </row>
    <row r="865" spans="10:19" x14ac:dyDescent="0.25">
      <c r="J865" s="125" t="s">
        <v>2452</v>
      </c>
      <c r="K865" s="115" t="s">
        <v>2453</v>
      </c>
      <c r="L865" s="121" t="s">
        <v>200</v>
      </c>
      <c r="M865" s="116">
        <v>45482</v>
      </c>
      <c r="N865" s="115">
        <v>40</v>
      </c>
      <c r="O865" s="115" t="s">
        <v>150</v>
      </c>
      <c r="P865" s="116">
        <v>45556</v>
      </c>
      <c r="Q865" s="115" t="s">
        <v>313</v>
      </c>
      <c r="R865" s="115" t="s">
        <v>36</v>
      </c>
      <c r="S865" s="122">
        <v>1</v>
      </c>
    </row>
    <row r="866" spans="10:19" x14ac:dyDescent="0.25">
      <c r="J866" s="125" t="s">
        <v>2441</v>
      </c>
      <c r="K866" s="115" t="s">
        <v>2458</v>
      </c>
      <c r="L866" s="121" t="s">
        <v>200</v>
      </c>
      <c r="M866" s="116">
        <v>45488</v>
      </c>
      <c r="N866" s="115">
        <v>37</v>
      </c>
      <c r="O866" s="115" t="s">
        <v>150</v>
      </c>
      <c r="P866" s="115" t="s">
        <v>162</v>
      </c>
      <c r="Q866" s="115" t="s">
        <v>313</v>
      </c>
      <c r="R866" s="115" t="s">
        <v>69</v>
      </c>
      <c r="S866" s="122">
        <v>1</v>
      </c>
    </row>
    <row r="867" spans="10:19" x14ac:dyDescent="0.25">
      <c r="J867" s="125">
        <v>45941735</v>
      </c>
      <c r="K867" s="115" t="s">
        <v>2464</v>
      </c>
      <c r="L867" s="121" t="s">
        <v>200</v>
      </c>
      <c r="M867" s="116">
        <v>45497</v>
      </c>
      <c r="N867" s="115">
        <v>35</v>
      </c>
      <c r="O867" s="115" t="s">
        <v>150</v>
      </c>
      <c r="P867" s="115" t="s">
        <v>162</v>
      </c>
      <c r="Q867" s="115" t="s">
        <v>313</v>
      </c>
      <c r="R867" s="115" t="s">
        <v>68</v>
      </c>
      <c r="S867" s="122">
        <v>1</v>
      </c>
    </row>
    <row r="868" spans="10:19" x14ac:dyDescent="0.25">
      <c r="J868" s="125" t="s">
        <v>2472</v>
      </c>
      <c r="K868" s="115" t="s">
        <v>1916</v>
      </c>
      <c r="L868" s="121" t="s">
        <v>200</v>
      </c>
      <c r="M868" s="116">
        <v>45275</v>
      </c>
      <c r="N868" s="115">
        <v>43</v>
      </c>
      <c r="O868" s="115" t="s">
        <v>151</v>
      </c>
      <c r="P868" s="115" t="s">
        <v>235</v>
      </c>
      <c r="Q868" s="115" t="s">
        <v>313</v>
      </c>
      <c r="R868" s="115" t="s">
        <v>34</v>
      </c>
      <c r="S868" s="122">
        <v>1</v>
      </c>
    </row>
    <row r="869" spans="10:19" x14ac:dyDescent="0.25">
      <c r="J869" s="126"/>
      <c r="K869" s="115" t="s">
        <v>2473</v>
      </c>
      <c r="L869" s="121" t="s">
        <v>200</v>
      </c>
      <c r="M869" s="116">
        <v>45336</v>
      </c>
      <c r="N869" s="115">
        <v>39</v>
      </c>
      <c r="O869" s="115" t="s">
        <v>150</v>
      </c>
      <c r="P869" s="115" t="s">
        <v>235</v>
      </c>
      <c r="Q869" s="115" t="s">
        <v>313</v>
      </c>
      <c r="R869" s="115" t="s">
        <v>68</v>
      </c>
      <c r="S869" s="122">
        <v>1</v>
      </c>
    </row>
    <row r="870" spans="10:19" x14ac:dyDescent="0.25">
      <c r="J870" s="125" t="s">
        <v>2479</v>
      </c>
      <c r="K870" s="115" t="s">
        <v>2480</v>
      </c>
      <c r="L870" s="121" t="s">
        <v>201</v>
      </c>
      <c r="M870" s="116">
        <v>45113</v>
      </c>
      <c r="N870" s="115">
        <v>32</v>
      </c>
      <c r="O870" s="115" t="s">
        <v>150</v>
      </c>
      <c r="P870" s="115" t="s">
        <v>235</v>
      </c>
      <c r="Q870" s="115" t="s">
        <v>313</v>
      </c>
      <c r="R870" s="115" t="s">
        <v>35</v>
      </c>
      <c r="S870" s="122">
        <v>1</v>
      </c>
    </row>
    <row r="871" spans="10:19" x14ac:dyDescent="0.25">
      <c r="J871" s="125" t="s">
        <v>2484</v>
      </c>
      <c r="K871" s="115" t="s">
        <v>2485</v>
      </c>
      <c r="L871" s="121" t="s">
        <v>200</v>
      </c>
      <c r="M871" s="116">
        <v>45498</v>
      </c>
      <c r="N871" s="115">
        <v>39</v>
      </c>
      <c r="O871" s="115" t="s">
        <v>150</v>
      </c>
      <c r="P871" s="115" t="s">
        <v>235</v>
      </c>
      <c r="Q871" s="115" t="s">
        <v>313</v>
      </c>
      <c r="R871" s="115" t="s">
        <v>34</v>
      </c>
      <c r="S871" s="122">
        <v>1</v>
      </c>
    </row>
    <row r="872" spans="10:19" x14ac:dyDescent="0.25">
      <c r="J872" s="125" t="s">
        <v>2488</v>
      </c>
      <c r="K872" s="115" t="s">
        <v>2489</v>
      </c>
      <c r="L872" s="121" t="s">
        <v>200</v>
      </c>
      <c r="M872" s="116">
        <v>45477</v>
      </c>
      <c r="N872" s="115">
        <v>32</v>
      </c>
      <c r="O872" s="115" t="s">
        <v>150</v>
      </c>
      <c r="P872" s="115" t="s">
        <v>162</v>
      </c>
      <c r="Q872" s="115" t="s">
        <v>313</v>
      </c>
      <c r="R872" s="115" t="s">
        <v>36</v>
      </c>
      <c r="S872" s="122">
        <v>1</v>
      </c>
    </row>
    <row r="873" spans="10:19" x14ac:dyDescent="0.25">
      <c r="J873" s="125" t="s">
        <v>2502</v>
      </c>
      <c r="K873" s="115" t="s">
        <v>2503</v>
      </c>
      <c r="L873" s="121" t="s">
        <v>200</v>
      </c>
      <c r="M873" s="116">
        <v>45500</v>
      </c>
      <c r="N873" s="115">
        <v>32</v>
      </c>
      <c r="O873" s="115" t="s">
        <v>150</v>
      </c>
      <c r="P873" s="115" t="s">
        <v>162</v>
      </c>
      <c r="Q873" s="115" t="s">
        <v>313</v>
      </c>
      <c r="R873" s="115" t="s">
        <v>72</v>
      </c>
      <c r="S873" s="122">
        <v>1</v>
      </c>
    </row>
    <row r="874" spans="10:19" x14ac:dyDescent="0.25">
      <c r="J874" s="125" t="s">
        <v>2504</v>
      </c>
      <c r="K874" s="115" t="s">
        <v>2505</v>
      </c>
      <c r="L874" s="121" t="s">
        <v>200</v>
      </c>
      <c r="M874" s="116">
        <v>45500</v>
      </c>
      <c r="N874" s="115">
        <v>39</v>
      </c>
      <c r="O874" s="115" t="s">
        <v>150</v>
      </c>
      <c r="P874" s="115" t="s">
        <v>162</v>
      </c>
      <c r="Q874" s="115" t="s">
        <v>313</v>
      </c>
      <c r="R874" s="115" t="s">
        <v>72</v>
      </c>
      <c r="S874" s="122">
        <v>1</v>
      </c>
    </row>
    <row r="875" spans="10:19" x14ac:dyDescent="0.25">
      <c r="J875" s="125">
        <v>48241723</v>
      </c>
      <c r="K875" s="115" t="s">
        <v>2514</v>
      </c>
      <c r="L875" s="121" t="s">
        <v>200</v>
      </c>
      <c r="M875" s="116">
        <v>45497</v>
      </c>
      <c r="N875" s="115">
        <v>33</v>
      </c>
      <c r="O875" s="115" t="s">
        <v>150</v>
      </c>
      <c r="P875" s="115" t="s">
        <v>235</v>
      </c>
      <c r="Q875" s="115" t="s">
        <v>313</v>
      </c>
      <c r="R875" s="115" t="s">
        <v>34</v>
      </c>
      <c r="S875" s="122">
        <v>1</v>
      </c>
    </row>
    <row r="876" spans="10:19" x14ac:dyDescent="0.25">
      <c r="J876" s="125" t="s">
        <v>2530</v>
      </c>
      <c r="K876" s="115" t="s">
        <v>2531</v>
      </c>
      <c r="L876" s="121" t="s">
        <v>200</v>
      </c>
      <c r="M876" s="116">
        <v>45481</v>
      </c>
      <c r="N876" s="115">
        <v>41</v>
      </c>
      <c r="O876" s="115" t="s">
        <v>151</v>
      </c>
      <c r="P876" s="116">
        <v>45550</v>
      </c>
      <c r="Q876" s="115" t="s">
        <v>313</v>
      </c>
      <c r="R876" s="115" t="s">
        <v>34</v>
      </c>
      <c r="S876" s="122">
        <v>1</v>
      </c>
    </row>
    <row r="877" spans="10:19" x14ac:dyDescent="0.25">
      <c r="J877" s="125">
        <v>44277999</v>
      </c>
      <c r="K877" s="115" t="s">
        <v>574</v>
      </c>
      <c r="L877" s="121" t="s">
        <v>200</v>
      </c>
      <c r="M877" s="116">
        <v>45498</v>
      </c>
      <c r="N877" s="115">
        <v>37</v>
      </c>
      <c r="O877" s="115" t="s">
        <v>150</v>
      </c>
      <c r="P877" s="115" t="s">
        <v>235</v>
      </c>
      <c r="Q877" s="115" t="s">
        <v>313</v>
      </c>
      <c r="R877" s="115" t="s">
        <v>34</v>
      </c>
      <c r="S877" s="122">
        <v>1</v>
      </c>
    </row>
    <row r="878" spans="10:19" x14ac:dyDescent="0.25">
      <c r="J878" s="125">
        <v>76469349</v>
      </c>
      <c r="K878" s="115" t="s">
        <v>2363</v>
      </c>
      <c r="L878" s="121" t="s">
        <v>200</v>
      </c>
      <c r="M878" s="116">
        <v>45444</v>
      </c>
      <c r="N878" s="115">
        <v>26</v>
      </c>
      <c r="O878" s="115" t="s">
        <v>149</v>
      </c>
      <c r="P878" s="115" t="s">
        <v>235</v>
      </c>
      <c r="Q878" s="115" t="s">
        <v>312</v>
      </c>
      <c r="R878" s="115" t="s">
        <v>34</v>
      </c>
      <c r="S878" s="122">
        <v>1</v>
      </c>
    </row>
    <row r="879" spans="10:19" x14ac:dyDescent="0.25">
      <c r="J879" s="125" t="s">
        <v>2387</v>
      </c>
      <c r="K879" s="115" t="s">
        <v>2388</v>
      </c>
      <c r="L879" s="121" t="s">
        <v>200</v>
      </c>
      <c r="M879" s="116">
        <v>45476</v>
      </c>
      <c r="N879" s="115">
        <v>49</v>
      </c>
      <c r="O879" s="115" t="s">
        <v>151</v>
      </c>
      <c r="P879" s="115" t="s">
        <v>235</v>
      </c>
      <c r="Q879" s="115" t="s">
        <v>313</v>
      </c>
      <c r="R879" s="115" t="s">
        <v>34</v>
      </c>
      <c r="S879" s="122">
        <v>1</v>
      </c>
    </row>
    <row r="880" spans="10:19" x14ac:dyDescent="0.25">
      <c r="J880" s="125" t="s">
        <v>2390</v>
      </c>
      <c r="K880" s="115" t="s">
        <v>2391</v>
      </c>
      <c r="L880" s="121" t="s">
        <v>200</v>
      </c>
      <c r="M880" s="116">
        <v>45476</v>
      </c>
      <c r="N880" s="115">
        <v>43</v>
      </c>
      <c r="O880" s="115" t="s">
        <v>151</v>
      </c>
      <c r="P880" s="115" t="s">
        <v>235</v>
      </c>
      <c r="Q880" s="115" t="s">
        <v>313</v>
      </c>
      <c r="R880" s="115" t="s">
        <v>68</v>
      </c>
      <c r="S880" s="122">
        <v>1</v>
      </c>
    </row>
    <row r="881" spans="10:19" x14ac:dyDescent="0.25">
      <c r="J881" s="125" t="s">
        <v>2396</v>
      </c>
      <c r="K881" s="115" t="s">
        <v>2397</v>
      </c>
      <c r="L881" s="121" t="s">
        <v>200</v>
      </c>
      <c r="M881" s="116">
        <v>45482</v>
      </c>
      <c r="N881" s="115">
        <v>44</v>
      </c>
      <c r="O881" s="115" t="s">
        <v>151</v>
      </c>
      <c r="P881" s="116">
        <v>45544</v>
      </c>
      <c r="Q881" s="115" t="s">
        <v>313</v>
      </c>
      <c r="R881" s="115" t="s">
        <v>34</v>
      </c>
      <c r="S881" s="122">
        <v>1</v>
      </c>
    </row>
    <row r="882" spans="10:19" x14ac:dyDescent="0.25">
      <c r="J882" s="125" t="s">
        <v>2426</v>
      </c>
      <c r="K882" s="115" t="s">
        <v>2427</v>
      </c>
      <c r="L882" s="121" t="s">
        <v>200</v>
      </c>
      <c r="M882" s="116">
        <v>45492</v>
      </c>
      <c r="N882" s="115">
        <v>45</v>
      </c>
      <c r="O882" s="115" t="s">
        <v>151</v>
      </c>
      <c r="P882" s="115" t="s">
        <v>235</v>
      </c>
      <c r="Q882" s="115" t="s">
        <v>313</v>
      </c>
      <c r="R882" s="115" t="s">
        <v>68</v>
      </c>
      <c r="S882" s="122">
        <v>1</v>
      </c>
    </row>
    <row r="883" spans="10:19" x14ac:dyDescent="0.25">
      <c r="J883" s="125" t="s">
        <v>2435</v>
      </c>
      <c r="K883" s="115" t="s">
        <v>2436</v>
      </c>
      <c r="L883" s="121" t="s">
        <v>200</v>
      </c>
      <c r="M883" s="116">
        <v>45477</v>
      </c>
      <c r="N883" s="115" t="s">
        <v>29</v>
      </c>
      <c r="O883" s="115" t="s">
        <v>153</v>
      </c>
      <c r="P883" s="116">
        <v>45542</v>
      </c>
      <c r="Q883" s="115" t="s">
        <v>313</v>
      </c>
      <c r="R883" s="115" t="s">
        <v>72</v>
      </c>
      <c r="S883" s="122">
        <v>1</v>
      </c>
    </row>
    <row r="884" spans="10:19" x14ac:dyDescent="0.25">
      <c r="J884" s="125">
        <v>80085933</v>
      </c>
      <c r="K884" s="115" t="s">
        <v>1142</v>
      </c>
      <c r="L884" s="121" t="s">
        <v>200</v>
      </c>
      <c r="M884" s="116">
        <v>45467</v>
      </c>
      <c r="N884" s="115">
        <v>45</v>
      </c>
      <c r="O884" s="115" t="s">
        <v>151</v>
      </c>
      <c r="P884" s="115" t="s">
        <v>162</v>
      </c>
      <c r="Q884" s="115" t="s">
        <v>313</v>
      </c>
      <c r="R884" s="115" t="s">
        <v>72</v>
      </c>
      <c r="S884" s="122">
        <v>1</v>
      </c>
    </row>
    <row r="885" spans="10:19" x14ac:dyDescent="0.25">
      <c r="J885" s="125" t="s">
        <v>2475</v>
      </c>
      <c r="K885" s="115" t="s">
        <v>2476</v>
      </c>
      <c r="L885" s="121" t="s">
        <v>200</v>
      </c>
      <c r="M885" s="116">
        <v>45275</v>
      </c>
      <c r="N885" s="115">
        <v>45</v>
      </c>
      <c r="O885" s="115" t="s">
        <v>151</v>
      </c>
      <c r="P885" s="115" t="s">
        <v>235</v>
      </c>
      <c r="Q885" s="115" t="s">
        <v>313</v>
      </c>
      <c r="R885" s="115" t="s">
        <v>34</v>
      </c>
      <c r="S885" s="122">
        <v>1</v>
      </c>
    </row>
    <row r="886" spans="10:19" x14ac:dyDescent="0.25">
      <c r="J886" s="125">
        <v>40412956</v>
      </c>
      <c r="K886" s="115" t="s">
        <v>2478</v>
      </c>
      <c r="L886" s="121" t="s">
        <v>200</v>
      </c>
      <c r="M886" s="116">
        <v>45483</v>
      </c>
      <c r="N886" s="115">
        <v>44</v>
      </c>
      <c r="O886" s="115" t="s">
        <v>151</v>
      </c>
      <c r="P886" s="115" t="s">
        <v>235</v>
      </c>
      <c r="Q886" s="115" t="s">
        <v>313</v>
      </c>
      <c r="R886" s="115" t="s">
        <v>68</v>
      </c>
      <c r="S886" s="122">
        <v>1</v>
      </c>
    </row>
    <row r="887" spans="10:19" x14ac:dyDescent="0.25">
      <c r="J887" s="125" t="s">
        <v>2508</v>
      </c>
      <c r="K887" s="115" t="s">
        <v>2509</v>
      </c>
      <c r="L887" s="121" t="s">
        <v>200</v>
      </c>
      <c r="M887" s="116">
        <v>45478</v>
      </c>
      <c r="N887" s="115">
        <v>46</v>
      </c>
      <c r="O887" s="115" t="s">
        <v>151</v>
      </c>
      <c r="P887" s="115" t="s">
        <v>235</v>
      </c>
      <c r="Q887" s="115" t="s">
        <v>313</v>
      </c>
      <c r="R887" s="115" t="s">
        <v>68</v>
      </c>
      <c r="S887" s="122">
        <v>1</v>
      </c>
    </row>
    <row r="888" spans="10:19" x14ac:dyDescent="0.25">
      <c r="J888" s="125" t="s">
        <v>2512</v>
      </c>
      <c r="K888" s="115" t="s">
        <v>2513</v>
      </c>
      <c r="L888" s="121" t="s">
        <v>200</v>
      </c>
      <c r="M888" s="116">
        <v>45482</v>
      </c>
      <c r="N888" s="115">
        <v>42</v>
      </c>
      <c r="O888" s="115" t="s">
        <v>151</v>
      </c>
      <c r="P888" s="115" t="s">
        <v>235</v>
      </c>
      <c r="Q888" s="115" t="s">
        <v>313</v>
      </c>
      <c r="R888" s="115" t="s">
        <v>34</v>
      </c>
      <c r="S888" s="122">
        <v>1</v>
      </c>
    </row>
    <row r="889" spans="10:19" x14ac:dyDescent="0.25">
      <c r="J889" s="125" t="s">
        <v>2515</v>
      </c>
      <c r="K889" s="115" t="s">
        <v>2516</v>
      </c>
      <c r="L889" s="121" t="s">
        <v>200</v>
      </c>
      <c r="M889" s="116">
        <v>45475</v>
      </c>
      <c r="N889" s="115">
        <v>42</v>
      </c>
      <c r="O889" s="115" t="s">
        <v>151</v>
      </c>
      <c r="P889" s="115" t="s">
        <v>235</v>
      </c>
      <c r="Q889" s="115" t="s">
        <v>313</v>
      </c>
      <c r="R889" s="115" t="s">
        <v>34</v>
      </c>
      <c r="S889" s="122">
        <v>1</v>
      </c>
    </row>
    <row r="890" spans="10:19" x14ac:dyDescent="0.25">
      <c r="J890" s="125" t="s">
        <v>2517</v>
      </c>
      <c r="K890" s="115" t="s">
        <v>2518</v>
      </c>
      <c r="L890" s="121" t="s">
        <v>200</v>
      </c>
      <c r="M890" s="116">
        <v>45491</v>
      </c>
      <c r="N890" s="115">
        <v>44</v>
      </c>
      <c r="O890" s="115" t="s">
        <v>151</v>
      </c>
      <c r="P890" s="115" t="s">
        <v>235</v>
      </c>
      <c r="Q890" s="115" t="s">
        <v>313</v>
      </c>
      <c r="R890" s="115" t="s">
        <v>36</v>
      </c>
      <c r="S890" s="122">
        <v>1</v>
      </c>
    </row>
    <row r="891" spans="10:19" x14ac:dyDescent="0.25">
      <c r="J891" s="125" t="s">
        <v>2521</v>
      </c>
      <c r="K891" s="115" t="s">
        <v>2522</v>
      </c>
      <c r="L891" s="121" t="s">
        <v>200</v>
      </c>
      <c r="M891" s="116">
        <v>45474</v>
      </c>
      <c r="N891" s="115">
        <v>44</v>
      </c>
      <c r="O891" s="115" t="s">
        <v>151</v>
      </c>
      <c r="P891" s="115" t="s">
        <v>235</v>
      </c>
      <c r="Q891" s="115" t="s">
        <v>313</v>
      </c>
      <c r="R891" s="115" t="s">
        <v>105</v>
      </c>
      <c r="S891" s="122">
        <v>1</v>
      </c>
    </row>
    <row r="892" spans="10:19" x14ac:dyDescent="0.25">
      <c r="J892" s="125" t="s">
        <v>2529</v>
      </c>
      <c r="K892" s="115" t="s">
        <v>1038</v>
      </c>
      <c r="L892" s="121" t="s">
        <v>200</v>
      </c>
      <c r="M892" s="116">
        <v>45488</v>
      </c>
      <c r="N892" s="115">
        <v>41</v>
      </c>
      <c r="O892" s="115" t="s">
        <v>151</v>
      </c>
      <c r="P892" s="115" t="s">
        <v>235</v>
      </c>
      <c r="Q892" s="115" t="s">
        <v>313</v>
      </c>
      <c r="R892" s="115" t="s">
        <v>34</v>
      </c>
      <c r="S892" s="122">
        <v>1</v>
      </c>
    </row>
    <row r="893" spans="10:19" x14ac:dyDescent="0.25">
      <c r="J893" s="125">
        <v>40272768</v>
      </c>
      <c r="K893" s="115" t="s">
        <v>2555</v>
      </c>
      <c r="L893" s="121" t="s">
        <v>200</v>
      </c>
      <c r="M893" s="116">
        <v>45497</v>
      </c>
      <c r="N893" s="115">
        <v>48</v>
      </c>
      <c r="O893" s="115" t="s">
        <v>151</v>
      </c>
      <c r="P893" s="115" t="s">
        <v>235</v>
      </c>
      <c r="Q893" s="115" t="s">
        <v>313</v>
      </c>
      <c r="R893" s="115" t="s">
        <v>34</v>
      </c>
      <c r="S893" s="122">
        <v>1</v>
      </c>
    </row>
    <row r="894" spans="10:19" x14ac:dyDescent="0.25">
      <c r="J894" s="125">
        <v>42766817</v>
      </c>
      <c r="K894" s="115" t="s">
        <v>2556</v>
      </c>
      <c r="L894" s="121" t="s">
        <v>200</v>
      </c>
      <c r="M894" s="116">
        <v>45491</v>
      </c>
      <c r="N894" s="115">
        <v>42</v>
      </c>
      <c r="O894" s="115" t="s">
        <v>151</v>
      </c>
      <c r="P894" s="115" t="s">
        <v>235</v>
      </c>
      <c r="Q894" s="115" t="s">
        <v>313</v>
      </c>
      <c r="R894" s="115" t="s">
        <v>34</v>
      </c>
      <c r="S894" s="122">
        <v>1</v>
      </c>
    </row>
    <row r="895" spans="10:19" x14ac:dyDescent="0.25">
      <c r="J895" s="125">
        <v>41700269</v>
      </c>
      <c r="K895" s="115" t="s">
        <v>2934</v>
      </c>
      <c r="L895" s="121" t="s">
        <v>200</v>
      </c>
      <c r="M895" s="116">
        <v>45497</v>
      </c>
      <c r="N895" s="115">
        <v>41</v>
      </c>
      <c r="O895" s="115" t="s">
        <v>151</v>
      </c>
      <c r="P895" s="115" t="s">
        <v>162</v>
      </c>
      <c r="Q895" s="115" t="s">
        <v>313</v>
      </c>
      <c r="R895" s="115" t="s">
        <v>68</v>
      </c>
      <c r="S895" s="122">
        <v>1</v>
      </c>
    </row>
    <row r="896" spans="10:19" x14ac:dyDescent="0.25">
      <c r="J896" s="125" t="s">
        <v>2583</v>
      </c>
      <c r="K896" s="115" t="s">
        <v>2584</v>
      </c>
      <c r="L896" s="121" t="s">
        <v>200</v>
      </c>
      <c r="M896" s="116">
        <v>45491</v>
      </c>
      <c r="N896" s="115">
        <v>45</v>
      </c>
      <c r="O896" s="115" t="s">
        <v>151</v>
      </c>
      <c r="P896" s="116">
        <v>45552</v>
      </c>
      <c r="Q896" s="115" t="s">
        <v>313</v>
      </c>
      <c r="R896" s="115" t="s">
        <v>34</v>
      </c>
      <c r="S896" s="122">
        <v>1</v>
      </c>
    </row>
    <row r="897" spans="10:19" x14ac:dyDescent="0.25">
      <c r="J897" s="125" t="s">
        <v>2588</v>
      </c>
      <c r="K897" s="115" t="s">
        <v>2589</v>
      </c>
      <c r="L897" s="121" t="s">
        <v>200</v>
      </c>
      <c r="M897" s="116">
        <v>45495</v>
      </c>
      <c r="N897" s="115">
        <v>44</v>
      </c>
      <c r="O897" s="115" t="s">
        <v>151</v>
      </c>
      <c r="P897" s="115" t="s">
        <v>162</v>
      </c>
      <c r="Q897" s="115" t="s">
        <v>313</v>
      </c>
      <c r="R897" s="115" t="s">
        <v>34</v>
      </c>
      <c r="S897" s="122">
        <v>1</v>
      </c>
    </row>
    <row r="898" spans="10:19" x14ac:dyDescent="0.25">
      <c r="J898" s="125">
        <v>80660959</v>
      </c>
      <c r="K898" s="115" t="s">
        <v>2360</v>
      </c>
      <c r="L898" s="121" t="s">
        <v>200</v>
      </c>
      <c r="M898" s="116">
        <v>45481</v>
      </c>
      <c r="N898" s="115">
        <v>52</v>
      </c>
      <c r="O898" s="115" t="s">
        <v>152</v>
      </c>
      <c r="P898" s="115" t="s">
        <v>235</v>
      </c>
      <c r="Q898" s="115" t="s">
        <v>312</v>
      </c>
      <c r="R898" s="115" t="s">
        <v>36</v>
      </c>
      <c r="S898" s="122">
        <v>1</v>
      </c>
    </row>
    <row r="899" spans="10:19" x14ac:dyDescent="0.25">
      <c r="J899" s="125" t="s">
        <v>2375</v>
      </c>
      <c r="K899" s="115" t="s">
        <v>2376</v>
      </c>
      <c r="L899" s="121" t="s">
        <v>200</v>
      </c>
      <c r="M899" s="116">
        <v>45482</v>
      </c>
      <c r="N899" s="115">
        <v>55</v>
      </c>
      <c r="O899" s="115" t="s">
        <v>152</v>
      </c>
      <c r="P899" s="116">
        <v>45543</v>
      </c>
      <c r="Q899" s="115" t="s">
        <v>312</v>
      </c>
      <c r="R899" s="115" t="s">
        <v>36</v>
      </c>
      <c r="S899" s="122">
        <v>1</v>
      </c>
    </row>
    <row r="900" spans="10:19" x14ac:dyDescent="0.25">
      <c r="J900" s="125">
        <v>25824920</v>
      </c>
      <c r="K900" s="115" t="s">
        <v>2380</v>
      </c>
      <c r="L900" s="121" t="s">
        <v>200</v>
      </c>
      <c r="M900" s="116">
        <v>45471</v>
      </c>
      <c r="N900" s="115">
        <v>57</v>
      </c>
      <c r="O900" s="115" t="s">
        <v>152</v>
      </c>
      <c r="P900" s="115" t="s">
        <v>235</v>
      </c>
      <c r="Q900" s="115" t="s">
        <v>313</v>
      </c>
      <c r="R900" s="115" t="s">
        <v>34</v>
      </c>
      <c r="S900" s="122">
        <v>1</v>
      </c>
    </row>
    <row r="901" spans="10:19" x14ac:dyDescent="0.25">
      <c r="J901" s="125" t="s">
        <v>2400</v>
      </c>
      <c r="K901" s="115" t="s">
        <v>2401</v>
      </c>
      <c r="L901" s="121" t="s">
        <v>200</v>
      </c>
      <c r="M901" s="116">
        <v>45499</v>
      </c>
      <c r="N901" s="115">
        <v>53</v>
      </c>
      <c r="O901" s="115" t="s">
        <v>152</v>
      </c>
      <c r="P901" s="115" t="s">
        <v>235</v>
      </c>
      <c r="Q901" s="115" t="s">
        <v>313</v>
      </c>
      <c r="R901" s="115" t="s">
        <v>36</v>
      </c>
      <c r="S901" s="122">
        <v>1</v>
      </c>
    </row>
    <row r="902" spans="10:19" x14ac:dyDescent="0.25">
      <c r="J902" s="125" t="s">
        <v>2416</v>
      </c>
      <c r="K902" s="115" t="s">
        <v>2417</v>
      </c>
      <c r="L902" s="121" t="s">
        <v>200</v>
      </c>
      <c r="M902" s="116">
        <v>45483</v>
      </c>
      <c r="N902" s="115">
        <v>56</v>
      </c>
      <c r="O902" s="115" t="s">
        <v>152</v>
      </c>
      <c r="P902" s="115" t="s">
        <v>235</v>
      </c>
      <c r="Q902" s="115" t="s">
        <v>313</v>
      </c>
      <c r="R902" s="115" t="s">
        <v>68</v>
      </c>
      <c r="S902" s="122">
        <v>1</v>
      </c>
    </row>
    <row r="903" spans="10:19" x14ac:dyDescent="0.25">
      <c r="J903" s="125" t="s">
        <v>2564</v>
      </c>
      <c r="K903" s="115" t="s">
        <v>2565</v>
      </c>
      <c r="L903" s="121" t="s">
        <v>200</v>
      </c>
      <c r="M903" s="116">
        <v>45474</v>
      </c>
      <c r="N903" s="115">
        <v>57</v>
      </c>
      <c r="O903" s="115" t="s">
        <v>152</v>
      </c>
      <c r="P903" s="115" t="s">
        <v>162</v>
      </c>
      <c r="Q903" s="115" t="s">
        <v>313</v>
      </c>
      <c r="R903" s="115" t="s">
        <v>34</v>
      </c>
      <c r="S903" s="122">
        <v>1</v>
      </c>
    </row>
    <row r="904" spans="10:19" x14ac:dyDescent="0.25">
      <c r="J904" s="125" t="s">
        <v>2573</v>
      </c>
      <c r="K904" s="115" t="s">
        <v>2574</v>
      </c>
      <c r="L904" s="121" t="s">
        <v>200</v>
      </c>
      <c r="M904" s="116">
        <v>45478</v>
      </c>
      <c r="N904" s="115">
        <v>58</v>
      </c>
      <c r="O904" s="115" t="s">
        <v>152</v>
      </c>
      <c r="P904" s="115" t="s">
        <v>162</v>
      </c>
      <c r="Q904" s="115" t="s">
        <v>313</v>
      </c>
      <c r="R904" s="115" t="s">
        <v>34</v>
      </c>
      <c r="S904" s="122">
        <v>1</v>
      </c>
    </row>
    <row r="905" spans="10:19" x14ac:dyDescent="0.25">
      <c r="J905" s="125" t="s">
        <v>2581</v>
      </c>
      <c r="K905" s="115" t="s">
        <v>2582</v>
      </c>
      <c r="L905" s="121" t="s">
        <v>200</v>
      </c>
      <c r="M905" s="116">
        <v>45491</v>
      </c>
      <c r="N905" s="115">
        <v>53</v>
      </c>
      <c r="O905" s="115" t="s">
        <v>152</v>
      </c>
      <c r="P905" s="115" t="s">
        <v>162</v>
      </c>
      <c r="Q905" s="115" t="s">
        <v>313</v>
      </c>
      <c r="R905" s="115" t="s">
        <v>34</v>
      </c>
      <c r="S905" s="122">
        <v>1</v>
      </c>
    </row>
    <row r="906" spans="10:19" x14ac:dyDescent="0.25">
      <c r="J906" s="125" t="s">
        <v>2364</v>
      </c>
      <c r="K906" s="115" t="s">
        <v>2365</v>
      </c>
      <c r="L906" s="121" t="s">
        <v>200</v>
      </c>
      <c r="M906" s="116">
        <v>45461</v>
      </c>
      <c r="N906" s="115">
        <v>59</v>
      </c>
      <c r="O906" s="115" t="s">
        <v>153</v>
      </c>
      <c r="P906" s="115" t="s">
        <v>235</v>
      </c>
      <c r="Q906" s="115" t="s">
        <v>312</v>
      </c>
      <c r="R906" s="115" t="s">
        <v>69</v>
      </c>
      <c r="S906" s="122">
        <v>1</v>
      </c>
    </row>
    <row r="907" spans="10:19" x14ac:dyDescent="0.25">
      <c r="J907" s="125" t="s">
        <v>2525</v>
      </c>
      <c r="K907" s="115" t="s">
        <v>2526</v>
      </c>
      <c r="L907" s="121" t="s">
        <v>200</v>
      </c>
      <c r="M907" s="116">
        <v>45482</v>
      </c>
      <c r="N907" s="115">
        <v>59</v>
      </c>
      <c r="O907" s="115" t="s">
        <v>153</v>
      </c>
      <c r="P907" s="115" t="s">
        <v>235</v>
      </c>
      <c r="Q907" s="115" t="s">
        <v>313</v>
      </c>
      <c r="R907" s="115" t="s">
        <v>69</v>
      </c>
      <c r="S907" s="122">
        <v>1</v>
      </c>
    </row>
    <row r="908" spans="10:19" x14ac:dyDescent="0.25">
      <c r="J908" s="125">
        <v>70056387</v>
      </c>
      <c r="K908" s="115" t="s">
        <v>2594</v>
      </c>
      <c r="L908" s="121" t="s">
        <v>200</v>
      </c>
      <c r="M908" s="116">
        <v>45505</v>
      </c>
      <c r="N908" s="115">
        <v>29</v>
      </c>
      <c r="O908" s="115" t="s">
        <v>149</v>
      </c>
      <c r="P908" s="115" t="s">
        <v>235</v>
      </c>
      <c r="Q908" s="115" t="s">
        <v>312</v>
      </c>
      <c r="R908" s="115" t="s">
        <v>34</v>
      </c>
      <c r="S908" s="122">
        <v>1</v>
      </c>
    </row>
    <row r="909" spans="10:19" x14ac:dyDescent="0.25">
      <c r="J909" s="125" t="s">
        <v>2597</v>
      </c>
      <c r="K909" s="115" t="s">
        <v>2598</v>
      </c>
      <c r="L909" s="121" t="s">
        <v>200</v>
      </c>
      <c r="M909" s="116">
        <v>45505</v>
      </c>
      <c r="N909" s="115">
        <v>42</v>
      </c>
      <c r="O909" s="115" t="s">
        <v>151</v>
      </c>
      <c r="P909" s="115" t="s">
        <v>235</v>
      </c>
      <c r="Q909" s="115" t="s">
        <v>312</v>
      </c>
      <c r="R909" s="115" t="s">
        <v>34</v>
      </c>
      <c r="S909" s="122">
        <v>1</v>
      </c>
    </row>
    <row r="910" spans="10:19" x14ac:dyDescent="0.25">
      <c r="J910" s="125" t="s">
        <v>2599</v>
      </c>
      <c r="K910" s="115" t="s">
        <v>2600</v>
      </c>
      <c r="L910" s="121" t="s">
        <v>200</v>
      </c>
      <c r="M910" s="116">
        <v>45489</v>
      </c>
      <c r="N910" s="115">
        <v>43</v>
      </c>
      <c r="O910" s="115" t="s">
        <v>151</v>
      </c>
      <c r="P910" s="115" t="s">
        <v>235</v>
      </c>
      <c r="Q910" s="115" t="s">
        <v>312</v>
      </c>
      <c r="R910" s="115" t="s">
        <v>34</v>
      </c>
      <c r="S910" s="122">
        <v>1</v>
      </c>
    </row>
    <row r="911" spans="10:19" x14ac:dyDescent="0.25">
      <c r="J911" s="125" t="s">
        <v>2602</v>
      </c>
      <c r="K911" s="115" t="s">
        <v>2603</v>
      </c>
      <c r="L911" s="121" t="s">
        <v>200</v>
      </c>
      <c r="M911" s="116">
        <v>43683</v>
      </c>
      <c r="N911" s="115">
        <v>41</v>
      </c>
      <c r="O911" s="115" t="s">
        <v>151</v>
      </c>
      <c r="P911" s="115" t="s">
        <v>235</v>
      </c>
      <c r="Q911" s="115" t="s">
        <v>313</v>
      </c>
      <c r="R911" s="115" t="s">
        <v>36</v>
      </c>
      <c r="S911" s="122">
        <v>1</v>
      </c>
    </row>
    <row r="912" spans="10:19" x14ac:dyDescent="0.25">
      <c r="J912" s="125" t="s">
        <v>2604</v>
      </c>
      <c r="K912" s="115" t="s">
        <v>2605</v>
      </c>
      <c r="L912" s="121" t="s">
        <v>200</v>
      </c>
      <c r="M912" s="116">
        <v>43684</v>
      </c>
      <c r="N912" s="115">
        <v>57</v>
      </c>
      <c r="O912" s="115" t="s">
        <v>152</v>
      </c>
      <c r="P912" s="115" t="s">
        <v>235</v>
      </c>
      <c r="Q912" s="115" t="s">
        <v>313</v>
      </c>
      <c r="R912" s="115" t="s">
        <v>34</v>
      </c>
      <c r="S912" s="122">
        <v>1</v>
      </c>
    </row>
    <row r="913" spans="10:19" x14ac:dyDescent="0.25">
      <c r="J913" s="125" t="s">
        <v>2606</v>
      </c>
      <c r="K913" s="115" t="s">
        <v>2607</v>
      </c>
      <c r="L913" s="121" t="s">
        <v>200</v>
      </c>
      <c r="M913" s="116">
        <v>44063</v>
      </c>
      <c r="N913" s="115">
        <v>29</v>
      </c>
      <c r="O913" s="115" t="s">
        <v>149</v>
      </c>
      <c r="P913" s="115" t="s">
        <v>235</v>
      </c>
      <c r="Q913" s="115" t="s">
        <v>313</v>
      </c>
      <c r="R913" s="115" t="s">
        <v>68</v>
      </c>
      <c r="S913" s="122">
        <v>1</v>
      </c>
    </row>
    <row r="914" spans="10:19" x14ac:dyDescent="0.25">
      <c r="J914" s="125" t="s">
        <v>2608</v>
      </c>
      <c r="K914" s="115" t="s">
        <v>2609</v>
      </c>
      <c r="L914" s="121" t="s">
        <v>201</v>
      </c>
      <c r="M914" s="116">
        <v>44062</v>
      </c>
      <c r="N914" s="115">
        <v>48</v>
      </c>
      <c r="O914" s="115" t="s">
        <v>151</v>
      </c>
      <c r="P914" s="115" t="s">
        <v>235</v>
      </c>
      <c r="Q914" s="115" t="s">
        <v>313</v>
      </c>
      <c r="R914" s="115" t="s">
        <v>34</v>
      </c>
      <c r="S914" s="122">
        <v>1</v>
      </c>
    </row>
    <row r="915" spans="10:19" x14ac:dyDescent="0.25">
      <c r="J915" s="125" t="s">
        <v>2610</v>
      </c>
      <c r="K915" s="115" t="s">
        <v>2611</v>
      </c>
      <c r="L915" s="121" t="s">
        <v>200</v>
      </c>
      <c r="M915" s="116">
        <v>44099</v>
      </c>
      <c r="N915" s="115">
        <v>51</v>
      </c>
      <c r="O915" s="115" t="s">
        <v>152</v>
      </c>
      <c r="P915" s="115" t="s">
        <v>235</v>
      </c>
      <c r="Q915" s="115" t="s">
        <v>313</v>
      </c>
      <c r="R915" s="115" t="s">
        <v>69</v>
      </c>
      <c r="S915" s="122">
        <v>1</v>
      </c>
    </row>
    <row r="916" spans="10:19" x14ac:dyDescent="0.25">
      <c r="J916" s="125" t="s">
        <v>2612</v>
      </c>
      <c r="K916" s="115" t="s">
        <v>2613</v>
      </c>
      <c r="L916" s="121" t="s">
        <v>200</v>
      </c>
      <c r="M916" s="116">
        <v>44099</v>
      </c>
      <c r="N916" s="115">
        <v>28</v>
      </c>
      <c r="O916" s="115" t="s">
        <v>149</v>
      </c>
      <c r="P916" s="115" t="s">
        <v>235</v>
      </c>
      <c r="Q916" s="115" t="s">
        <v>313</v>
      </c>
      <c r="R916" s="115" t="s">
        <v>105</v>
      </c>
      <c r="S916" s="122">
        <v>1</v>
      </c>
    </row>
    <row r="917" spans="10:19" x14ac:dyDescent="0.25">
      <c r="J917" s="125" t="s">
        <v>2614</v>
      </c>
      <c r="K917" s="115" t="s">
        <v>2615</v>
      </c>
      <c r="L917" s="121" t="s">
        <v>200</v>
      </c>
      <c r="M917" s="116">
        <v>44127</v>
      </c>
      <c r="N917" s="115">
        <v>37</v>
      </c>
      <c r="O917" s="115" t="s">
        <v>150</v>
      </c>
      <c r="P917" s="115" t="s">
        <v>235</v>
      </c>
      <c r="Q917" s="115" t="s">
        <v>313</v>
      </c>
      <c r="R917" s="115" t="s">
        <v>68</v>
      </c>
      <c r="S917" s="122">
        <v>1</v>
      </c>
    </row>
    <row r="918" spans="10:19" x14ac:dyDescent="0.25">
      <c r="J918" s="125" t="s">
        <v>2616</v>
      </c>
      <c r="K918" s="115" t="s">
        <v>2617</v>
      </c>
      <c r="L918" s="121" t="s">
        <v>200</v>
      </c>
      <c r="M918" s="116">
        <v>44512</v>
      </c>
      <c r="N918" s="115">
        <v>47</v>
      </c>
      <c r="O918" s="115" t="s">
        <v>151</v>
      </c>
      <c r="P918" s="115" t="s">
        <v>235</v>
      </c>
      <c r="Q918" s="115" t="s">
        <v>313</v>
      </c>
      <c r="R918" s="115" t="s">
        <v>34</v>
      </c>
      <c r="S918" s="122">
        <v>1</v>
      </c>
    </row>
    <row r="919" spans="10:19" x14ac:dyDescent="0.25">
      <c r="J919" s="125" t="s">
        <v>2618</v>
      </c>
      <c r="K919" s="115" t="s">
        <v>2619</v>
      </c>
      <c r="L919" s="121" t="s">
        <v>200</v>
      </c>
      <c r="M919" s="116">
        <v>44564</v>
      </c>
      <c r="N919" s="115">
        <v>31</v>
      </c>
      <c r="O919" s="115" t="s">
        <v>149</v>
      </c>
      <c r="P919" s="115" t="s">
        <v>235</v>
      </c>
      <c r="Q919" s="115" t="s">
        <v>313</v>
      </c>
      <c r="R919" s="115" t="s">
        <v>34</v>
      </c>
      <c r="S919" s="122">
        <v>1</v>
      </c>
    </row>
    <row r="920" spans="10:19" x14ac:dyDescent="0.25">
      <c r="J920" s="125" t="s">
        <v>2620</v>
      </c>
      <c r="K920" s="115" t="s">
        <v>2621</v>
      </c>
      <c r="L920" s="121" t="s">
        <v>200</v>
      </c>
      <c r="M920" s="116">
        <v>44721</v>
      </c>
      <c r="N920" s="115">
        <v>46</v>
      </c>
      <c r="O920" s="115" t="s">
        <v>151</v>
      </c>
      <c r="P920" s="115" t="s">
        <v>235</v>
      </c>
      <c r="Q920" s="115" t="s">
        <v>313</v>
      </c>
      <c r="R920" s="115" t="s">
        <v>36</v>
      </c>
      <c r="S920" s="122">
        <v>1</v>
      </c>
    </row>
    <row r="921" spans="10:19" x14ac:dyDescent="0.25">
      <c r="J921" s="125" t="s">
        <v>2622</v>
      </c>
      <c r="K921" s="115" t="s">
        <v>2623</v>
      </c>
      <c r="L921" s="121" t="s">
        <v>200</v>
      </c>
      <c r="M921" s="116">
        <v>44789</v>
      </c>
      <c r="N921" s="115">
        <v>33</v>
      </c>
      <c r="O921" s="115" t="s">
        <v>150</v>
      </c>
      <c r="P921" s="115" t="s">
        <v>235</v>
      </c>
      <c r="Q921" s="115" t="s">
        <v>313</v>
      </c>
      <c r="R921" s="115" t="s">
        <v>68</v>
      </c>
      <c r="S921" s="122">
        <v>1</v>
      </c>
    </row>
    <row r="922" spans="10:19" x14ac:dyDescent="0.25">
      <c r="J922" s="125" t="s">
        <v>2624</v>
      </c>
      <c r="K922" s="115" t="s">
        <v>2625</v>
      </c>
      <c r="L922" s="121" t="s">
        <v>200</v>
      </c>
      <c r="M922" s="116">
        <v>44806</v>
      </c>
      <c r="N922" s="115">
        <v>38</v>
      </c>
      <c r="O922" s="115" t="s">
        <v>150</v>
      </c>
      <c r="P922" s="115" t="s">
        <v>235</v>
      </c>
      <c r="Q922" s="115" t="s">
        <v>313</v>
      </c>
      <c r="R922" s="115" t="s">
        <v>68</v>
      </c>
      <c r="S922" s="122">
        <v>1</v>
      </c>
    </row>
    <row r="923" spans="10:19" x14ac:dyDescent="0.25">
      <c r="J923" s="125" t="s">
        <v>2626</v>
      </c>
      <c r="K923" s="115" t="s">
        <v>2627</v>
      </c>
      <c r="L923" s="121" t="s">
        <v>200</v>
      </c>
      <c r="M923" s="116">
        <v>44814</v>
      </c>
      <c r="N923" s="115">
        <v>37</v>
      </c>
      <c r="O923" s="115" t="s">
        <v>150</v>
      </c>
      <c r="P923" s="115" t="s">
        <v>235</v>
      </c>
      <c r="Q923" s="115" t="s">
        <v>313</v>
      </c>
      <c r="R923" s="115" t="s">
        <v>34</v>
      </c>
      <c r="S923" s="122">
        <v>1</v>
      </c>
    </row>
    <row r="924" spans="10:19" x14ac:dyDescent="0.25">
      <c r="J924" s="125" t="s">
        <v>2628</v>
      </c>
      <c r="K924" s="115" t="s">
        <v>2629</v>
      </c>
      <c r="L924" s="121" t="s">
        <v>200</v>
      </c>
      <c r="M924" s="116">
        <v>44880</v>
      </c>
      <c r="N924" s="115">
        <v>32</v>
      </c>
      <c r="O924" s="115" t="s">
        <v>150</v>
      </c>
      <c r="P924" s="115" t="s">
        <v>235</v>
      </c>
      <c r="Q924" s="115" t="s">
        <v>313</v>
      </c>
      <c r="R924" s="115" t="s">
        <v>68</v>
      </c>
      <c r="S924" s="122">
        <v>1</v>
      </c>
    </row>
    <row r="925" spans="10:19" x14ac:dyDescent="0.25">
      <c r="J925" s="125" t="s">
        <v>2630</v>
      </c>
      <c r="K925" s="115" t="s">
        <v>2631</v>
      </c>
      <c r="L925" s="121" t="s">
        <v>200</v>
      </c>
      <c r="M925" s="116">
        <v>45099</v>
      </c>
      <c r="N925" s="115">
        <v>30</v>
      </c>
      <c r="O925" s="115" t="s">
        <v>149</v>
      </c>
      <c r="P925" s="115" t="s">
        <v>235</v>
      </c>
      <c r="Q925" s="115" t="s">
        <v>313</v>
      </c>
      <c r="R925" s="115" t="s">
        <v>69</v>
      </c>
      <c r="S925" s="122">
        <v>1</v>
      </c>
    </row>
    <row r="926" spans="10:19" x14ac:dyDescent="0.25">
      <c r="J926" s="125" t="s">
        <v>2632</v>
      </c>
      <c r="K926" s="115" t="s">
        <v>2633</v>
      </c>
      <c r="L926" s="121" t="s">
        <v>200</v>
      </c>
      <c r="M926" s="116">
        <v>45128</v>
      </c>
      <c r="N926" s="115">
        <v>22</v>
      </c>
      <c r="O926" s="115" t="s">
        <v>148</v>
      </c>
      <c r="P926" s="115" t="s">
        <v>235</v>
      </c>
      <c r="Q926" s="115" t="s">
        <v>313</v>
      </c>
      <c r="R926" s="115" t="s">
        <v>34</v>
      </c>
      <c r="S926" s="122">
        <v>1</v>
      </c>
    </row>
    <row r="927" spans="10:19" x14ac:dyDescent="0.25">
      <c r="J927" s="125" t="s">
        <v>2636</v>
      </c>
      <c r="K927" s="115" t="s">
        <v>2637</v>
      </c>
      <c r="L927" s="121" t="s">
        <v>200</v>
      </c>
      <c r="M927" s="116">
        <v>44995</v>
      </c>
      <c r="N927" s="115">
        <v>31</v>
      </c>
      <c r="O927" s="115" t="s">
        <v>149</v>
      </c>
      <c r="P927" s="115" t="s">
        <v>235</v>
      </c>
      <c r="Q927" s="115" t="s">
        <v>313</v>
      </c>
      <c r="R927" s="115" t="s">
        <v>72</v>
      </c>
      <c r="S927" s="122">
        <v>1</v>
      </c>
    </row>
    <row r="928" spans="10:19" x14ac:dyDescent="0.25">
      <c r="J928" s="125" t="s">
        <v>2638</v>
      </c>
      <c r="K928" s="115" t="s">
        <v>2639</v>
      </c>
      <c r="L928" s="121" t="s">
        <v>200</v>
      </c>
      <c r="M928" s="116">
        <v>45329</v>
      </c>
      <c r="N928" s="115">
        <v>42</v>
      </c>
      <c r="O928" s="115" t="s">
        <v>151</v>
      </c>
      <c r="P928" s="115" t="s">
        <v>235</v>
      </c>
      <c r="Q928" s="115" t="s">
        <v>313</v>
      </c>
      <c r="R928" s="115" t="s">
        <v>69</v>
      </c>
      <c r="S928" s="122">
        <v>1</v>
      </c>
    </row>
    <row r="929" spans="10:19" x14ac:dyDescent="0.25">
      <c r="J929" s="125" t="s">
        <v>2640</v>
      </c>
      <c r="K929" s="115" t="s">
        <v>2641</v>
      </c>
      <c r="L929" s="121" t="s">
        <v>200</v>
      </c>
      <c r="M929" s="116">
        <v>45331</v>
      </c>
      <c r="N929" s="115">
        <v>32</v>
      </c>
      <c r="O929" s="115" t="s">
        <v>150</v>
      </c>
      <c r="P929" s="115" t="s">
        <v>235</v>
      </c>
      <c r="Q929" s="115" t="s">
        <v>313</v>
      </c>
      <c r="R929" s="115" t="s">
        <v>68</v>
      </c>
      <c r="S929" s="122">
        <v>1</v>
      </c>
    </row>
    <row r="930" spans="10:19" x14ac:dyDescent="0.25">
      <c r="J930" s="125" t="s">
        <v>2642</v>
      </c>
      <c r="K930" s="115" t="s">
        <v>2643</v>
      </c>
      <c r="L930" s="121" t="s">
        <v>200</v>
      </c>
      <c r="M930" s="116">
        <v>45327</v>
      </c>
      <c r="N930" s="115">
        <v>30</v>
      </c>
      <c r="O930" s="115" t="s">
        <v>149</v>
      </c>
      <c r="P930" s="115" t="s">
        <v>235</v>
      </c>
      <c r="Q930" s="115" t="s">
        <v>313</v>
      </c>
      <c r="R930" s="115" t="s">
        <v>34</v>
      </c>
      <c r="S930" s="122">
        <v>1</v>
      </c>
    </row>
    <row r="931" spans="10:19" x14ac:dyDescent="0.25">
      <c r="J931" s="125" t="s">
        <v>2645</v>
      </c>
      <c r="K931" s="115" t="s">
        <v>2646</v>
      </c>
      <c r="L931" s="121" t="s">
        <v>200</v>
      </c>
      <c r="M931" s="116">
        <v>45371</v>
      </c>
      <c r="N931" s="115">
        <v>31</v>
      </c>
      <c r="O931" s="115" t="s">
        <v>149</v>
      </c>
      <c r="P931" s="115" t="s">
        <v>235</v>
      </c>
      <c r="Q931" s="115" t="s">
        <v>313</v>
      </c>
      <c r="R931" s="115" t="s">
        <v>34</v>
      </c>
      <c r="S931" s="122">
        <v>1</v>
      </c>
    </row>
    <row r="932" spans="10:19" x14ac:dyDescent="0.25">
      <c r="J932" s="125" t="s">
        <v>2647</v>
      </c>
      <c r="K932" s="115" t="s">
        <v>2648</v>
      </c>
      <c r="L932" s="121" t="s">
        <v>200</v>
      </c>
      <c r="M932" s="116">
        <v>45425</v>
      </c>
      <c r="N932" s="115">
        <v>31</v>
      </c>
      <c r="O932" s="115" t="s">
        <v>149</v>
      </c>
      <c r="P932" s="115" t="s">
        <v>235</v>
      </c>
      <c r="Q932" s="115" t="s">
        <v>313</v>
      </c>
      <c r="R932" s="115" t="s">
        <v>34</v>
      </c>
      <c r="S932" s="122">
        <v>1</v>
      </c>
    </row>
    <row r="933" spans="10:19" x14ac:dyDescent="0.25">
      <c r="J933" s="125" t="s">
        <v>2649</v>
      </c>
      <c r="K933" s="115" t="s">
        <v>2650</v>
      </c>
      <c r="L933" s="121" t="s">
        <v>200</v>
      </c>
      <c r="M933" s="116">
        <v>45462</v>
      </c>
      <c r="N933" s="115">
        <v>29</v>
      </c>
      <c r="O933" s="115" t="s">
        <v>149</v>
      </c>
      <c r="P933" s="115" t="s">
        <v>235</v>
      </c>
      <c r="Q933" s="115" t="s">
        <v>313</v>
      </c>
      <c r="R933" s="115" t="s">
        <v>34</v>
      </c>
      <c r="S933" s="122">
        <v>1</v>
      </c>
    </row>
    <row r="934" spans="10:19" x14ac:dyDescent="0.25">
      <c r="J934" s="125" t="s">
        <v>2652</v>
      </c>
      <c r="K934" s="115" t="s">
        <v>2653</v>
      </c>
      <c r="L934" s="121" t="s">
        <v>200</v>
      </c>
      <c r="M934" s="116">
        <v>45512</v>
      </c>
      <c r="N934" s="115">
        <v>39</v>
      </c>
      <c r="O934" s="115" t="s">
        <v>150</v>
      </c>
      <c r="P934" s="115" t="s">
        <v>235</v>
      </c>
      <c r="Q934" s="115" t="s">
        <v>313</v>
      </c>
      <c r="R934" s="115" t="s">
        <v>34</v>
      </c>
      <c r="S934" s="122">
        <v>1</v>
      </c>
    </row>
    <row r="935" spans="10:19" x14ac:dyDescent="0.25">
      <c r="J935" s="125" t="s">
        <v>2654</v>
      </c>
      <c r="K935" s="115" t="s">
        <v>2655</v>
      </c>
      <c r="L935" s="121" t="s">
        <v>200</v>
      </c>
      <c r="M935" s="116">
        <v>45506</v>
      </c>
      <c r="N935" s="115">
        <v>30</v>
      </c>
      <c r="O935" s="115" t="s">
        <v>149</v>
      </c>
      <c r="P935" s="115" t="s">
        <v>235</v>
      </c>
      <c r="Q935" s="115" t="s">
        <v>313</v>
      </c>
      <c r="R935" s="115" t="s">
        <v>68</v>
      </c>
      <c r="S935" s="122">
        <v>1</v>
      </c>
    </row>
    <row r="936" spans="10:19" x14ac:dyDescent="0.25">
      <c r="J936" s="125" t="s">
        <v>2662</v>
      </c>
      <c r="K936" s="115" t="s">
        <v>2663</v>
      </c>
      <c r="L936" s="121" t="s">
        <v>200</v>
      </c>
      <c r="M936" s="116">
        <v>44977</v>
      </c>
      <c r="N936" s="115">
        <v>41</v>
      </c>
      <c r="O936" s="115" t="s">
        <v>151</v>
      </c>
      <c r="P936" s="115" t="s">
        <v>235</v>
      </c>
      <c r="Q936" s="115" t="s">
        <v>312</v>
      </c>
      <c r="R936" s="115" t="s">
        <v>34</v>
      </c>
      <c r="S936" s="122">
        <v>1</v>
      </c>
    </row>
    <row r="937" spans="10:19" x14ac:dyDescent="0.25">
      <c r="J937" s="125" t="s">
        <v>2664</v>
      </c>
      <c r="K937" s="115" t="s">
        <v>2665</v>
      </c>
      <c r="L937" s="121" t="s">
        <v>200</v>
      </c>
      <c r="M937" s="116">
        <v>45407</v>
      </c>
      <c r="N937" s="115">
        <v>41</v>
      </c>
      <c r="O937" s="115" t="s">
        <v>151</v>
      </c>
      <c r="P937" s="115" t="s">
        <v>235</v>
      </c>
      <c r="Q937" s="115" t="s">
        <v>312</v>
      </c>
      <c r="R937" s="115" t="s">
        <v>68</v>
      </c>
      <c r="S937" s="122">
        <v>1</v>
      </c>
    </row>
    <row r="938" spans="10:19" x14ac:dyDescent="0.25">
      <c r="J938" s="125" t="s">
        <v>2666</v>
      </c>
      <c r="K938" s="115" t="s">
        <v>2667</v>
      </c>
      <c r="L938" s="121" t="s">
        <v>200</v>
      </c>
      <c r="M938" s="116">
        <v>44925</v>
      </c>
      <c r="N938" s="115">
        <v>39</v>
      </c>
      <c r="O938" s="115" t="s">
        <v>150</v>
      </c>
      <c r="P938" s="115" t="s">
        <v>235</v>
      </c>
      <c r="Q938" s="115" t="s">
        <v>312</v>
      </c>
      <c r="R938" s="115" t="s">
        <v>36</v>
      </c>
      <c r="S938" s="122">
        <v>1</v>
      </c>
    </row>
    <row r="939" spans="10:19" x14ac:dyDescent="0.25">
      <c r="J939" s="125">
        <v>40822066</v>
      </c>
      <c r="K939" s="115" t="s">
        <v>2668</v>
      </c>
      <c r="L939" s="121" t="s">
        <v>200</v>
      </c>
      <c r="M939" s="116">
        <v>45487</v>
      </c>
      <c r="N939" s="115">
        <v>43</v>
      </c>
      <c r="O939" s="115" t="s">
        <v>151</v>
      </c>
      <c r="P939" s="116">
        <v>45536</v>
      </c>
      <c r="Q939" s="115" t="s">
        <v>312</v>
      </c>
      <c r="R939" s="115" t="s">
        <v>68</v>
      </c>
      <c r="S939" s="122">
        <v>1</v>
      </c>
    </row>
    <row r="940" spans="10:19" x14ac:dyDescent="0.25">
      <c r="J940" s="125" t="s">
        <v>2669</v>
      </c>
      <c r="K940" s="115" t="s">
        <v>2670</v>
      </c>
      <c r="L940" s="121" t="s">
        <v>200</v>
      </c>
      <c r="M940" s="116">
        <v>45010</v>
      </c>
      <c r="N940" s="115">
        <v>35</v>
      </c>
      <c r="O940" s="115" t="s">
        <v>150</v>
      </c>
      <c r="P940" s="115" t="s">
        <v>235</v>
      </c>
      <c r="Q940" s="115" t="s">
        <v>312</v>
      </c>
      <c r="R940" s="115" t="s">
        <v>34</v>
      </c>
      <c r="S940" s="122">
        <v>1</v>
      </c>
    </row>
    <row r="941" spans="10:19" x14ac:dyDescent="0.25">
      <c r="J941" s="125">
        <v>44561813</v>
      </c>
      <c r="K941" s="115" t="s">
        <v>2675</v>
      </c>
      <c r="L941" s="121" t="s">
        <v>200</v>
      </c>
      <c r="M941" s="116">
        <v>45513</v>
      </c>
      <c r="N941" s="115">
        <v>38</v>
      </c>
      <c r="O941" s="115" t="s">
        <v>150</v>
      </c>
      <c r="P941" s="115" t="s">
        <v>235</v>
      </c>
      <c r="Q941" s="115" t="s">
        <v>313</v>
      </c>
      <c r="R941" s="115" t="s">
        <v>34</v>
      </c>
      <c r="S941" s="122">
        <v>1</v>
      </c>
    </row>
    <row r="942" spans="10:19" x14ac:dyDescent="0.25">
      <c r="J942" s="125">
        <v>44757511</v>
      </c>
      <c r="K942" s="115" t="s">
        <v>2678</v>
      </c>
      <c r="L942" s="121" t="s">
        <v>200</v>
      </c>
      <c r="M942" s="116">
        <v>45521</v>
      </c>
      <c r="N942" s="115">
        <v>37</v>
      </c>
      <c r="O942" s="115" t="s">
        <v>150</v>
      </c>
      <c r="P942" s="115" t="s">
        <v>235</v>
      </c>
      <c r="Q942" s="115" t="s">
        <v>313</v>
      </c>
      <c r="R942" s="115" t="s">
        <v>34</v>
      </c>
      <c r="S942" s="122">
        <v>1</v>
      </c>
    </row>
    <row r="943" spans="10:19" x14ac:dyDescent="0.25">
      <c r="J943" s="125">
        <v>80281799</v>
      </c>
      <c r="K943" s="115" t="s">
        <v>2681</v>
      </c>
      <c r="L943" s="121" t="s">
        <v>200</v>
      </c>
      <c r="M943" s="116">
        <v>45505</v>
      </c>
      <c r="N943" s="115">
        <v>44</v>
      </c>
      <c r="O943" s="115" t="s">
        <v>151</v>
      </c>
      <c r="P943" s="115" t="s">
        <v>235</v>
      </c>
      <c r="Q943" s="115" t="s">
        <v>313</v>
      </c>
      <c r="R943" s="115" t="s">
        <v>72</v>
      </c>
      <c r="S943" s="122">
        <v>1</v>
      </c>
    </row>
    <row r="944" spans="10:19" x14ac:dyDescent="0.25">
      <c r="J944" s="125">
        <v>45241753</v>
      </c>
      <c r="K944" s="115" t="s">
        <v>2682</v>
      </c>
      <c r="L944" s="121" t="s">
        <v>200</v>
      </c>
      <c r="M944" s="116">
        <v>45505</v>
      </c>
      <c r="N944" s="115">
        <v>36</v>
      </c>
      <c r="O944" s="115" t="s">
        <v>150</v>
      </c>
      <c r="P944" s="115" t="s">
        <v>235</v>
      </c>
      <c r="Q944" s="115" t="s">
        <v>313</v>
      </c>
      <c r="R944" s="115" t="s">
        <v>34</v>
      </c>
      <c r="S944" s="122">
        <v>1</v>
      </c>
    </row>
    <row r="945" spans="10:19" x14ac:dyDescent="0.25">
      <c r="J945" s="125">
        <v>47437183</v>
      </c>
      <c r="K945" s="115" t="s">
        <v>2066</v>
      </c>
      <c r="L945" s="121" t="s">
        <v>200</v>
      </c>
      <c r="M945" s="116">
        <v>45530</v>
      </c>
      <c r="N945" s="115">
        <v>32</v>
      </c>
      <c r="O945" s="115" t="s">
        <v>150</v>
      </c>
      <c r="P945" s="116">
        <v>45556</v>
      </c>
      <c r="Q945" s="115" t="s">
        <v>313</v>
      </c>
      <c r="R945" s="115" t="s">
        <v>34</v>
      </c>
      <c r="S945" s="122">
        <v>1</v>
      </c>
    </row>
    <row r="946" spans="10:19" x14ac:dyDescent="0.25">
      <c r="J946" s="125">
        <v>74466137</v>
      </c>
      <c r="K946" s="115" t="s">
        <v>2686</v>
      </c>
      <c r="L946" s="121" t="s">
        <v>200</v>
      </c>
      <c r="M946" s="116">
        <v>45505</v>
      </c>
      <c r="N946" s="115">
        <v>29</v>
      </c>
      <c r="O946" s="115" t="s">
        <v>149</v>
      </c>
      <c r="P946" s="115" t="s">
        <v>235</v>
      </c>
      <c r="Q946" s="115" t="s">
        <v>313</v>
      </c>
      <c r="R946" s="115" t="s">
        <v>36</v>
      </c>
      <c r="S946" s="122">
        <v>1</v>
      </c>
    </row>
    <row r="947" spans="10:19" x14ac:dyDescent="0.25">
      <c r="J947" s="125">
        <v>46528571</v>
      </c>
      <c r="K947" s="115" t="s">
        <v>708</v>
      </c>
      <c r="L947" s="121" t="s">
        <v>200</v>
      </c>
      <c r="M947" s="116">
        <v>45505</v>
      </c>
      <c r="N947" s="115">
        <v>34</v>
      </c>
      <c r="O947" s="115" t="s">
        <v>150</v>
      </c>
      <c r="P947" s="115" t="s">
        <v>235</v>
      </c>
      <c r="Q947" s="115" t="s">
        <v>313</v>
      </c>
      <c r="R947" s="115" t="s">
        <v>36</v>
      </c>
      <c r="S947" s="122">
        <v>1</v>
      </c>
    </row>
    <row r="948" spans="10:19" x14ac:dyDescent="0.25">
      <c r="J948" s="125">
        <v>44291478</v>
      </c>
      <c r="K948" s="115" t="s">
        <v>2688</v>
      </c>
      <c r="L948" s="121" t="s">
        <v>200</v>
      </c>
      <c r="M948" s="116">
        <v>45506</v>
      </c>
      <c r="N948" s="115">
        <v>37</v>
      </c>
      <c r="O948" s="115" t="s">
        <v>150</v>
      </c>
      <c r="P948" s="115" t="s">
        <v>235</v>
      </c>
      <c r="Q948" s="115" t="s">
        <v>313</v>
      </c>
      <c r="R948" s="115" t="s">
        <v>68</v>
      </c>
      <c r="S948" s="122">
        <v>1</v>
      </c>
    </row>
    <row r="949" spans="10:19" x14ac:dyDescent="0.25">
      <c r="J949" s="125">
        <v>47505410</v>
      </c>
      <c r="K949" s="115" t="s">
        <v>2692</v>
      </c>
      <c r="L949" s="121" t="s">
        <v>201</v>
      </c>
      <c r="M949" s="116">
        <v>45526</v>
      </c>
      <c r="N949" s="115">
        <v>33</v>
      </c>
      <c r="O949" s="115" t="s">
        <v>150</v>
      </c>
      <c r="P949" s="115" t="s">
        <v>235</v>
      </c>
      <c r="Q949" s="115" t="s">
        <v>313</v>
      </c>
      <c r="R949" s="115" t="s">
        <v>34</v>
      </c>
      <c r="S949" s="122">
        <v>1</v>
      </c>
    </row>
    <row r="950" spans="10:19" x14ac:dyDescent="0.25">
      <c r="J950" s="125">
        <v>70359039</v>
      </c>
      <c r="K950" s="115" t="s">
        <v>2694</v>
      </c>
      <c r="L950" s="121" t="s">
        <v>200</v>
      </c>
      <c r="M950" s="116">
        <v>45509</v>
      </c>
      <c r="N950" s="115">
        <v>32</v>
      </c>
      <c r="O950" s="115" t="s">
        <v>150</v>
      </c>
      <c r="P950" s="115" t="s">
        <v>235</v>
      </c>
      <c r="Q950" s="115" t="s">
        <v>313</v>
      </c>
      <c r="R950" s="115" t="s">
        <v>34</v>
      </c>
      <c r="S950" s="122">
        <v>1</v>
      </c>
    </row>
    <row r="951" spans="10:19" x14ac:dyDescent="0.25">
      <c r="J951" s="125">
        <v>72549462</v>
      </c>
      <c r="K951" s="115" t="s">
        <v>2695</v>
      </c>
      <c r="L951" s="121" t="s">
        <v>201</v>
      </c>
      <c r="M951" s="116">
        <v>45516</v>
      </c>
      <c r="N951" s="115">
        <v>26</v>
      </c>
      <c r="O951" s="115" t="s">
        <v>149</v>
      </c>
      <c r="P951" s="115" t="s">
        <v>235</v>
      </c>
      <c r="Q951" s="115" t="s">
        <v>313</v>
      </c>
      <c r="R951" s="115" t="s">
        <v>68</v>
      </c>
      <c r="S951" s="122">
        <v>1</v>
      </c>
    </row>
    <row r="952" spans="10:19" x14ac:dyDescent="0.25">
      <c r="J952" s="125" t="s">
        <v>2699</v>
      </c>
      <c r="K952" s="115" t="s">
        <v>2700</v>
      </c>
      <c r="L952" s="121" t="s">
        <v>200</v>
      </c>
      <c r="M952" s="116">
        <v>45532</v>
      </c>
      <c r="N952" s="115">
        <v>52</v>
      </c>
      <c r="O952" s="115" t="s">
        <v>152</v>
      </c>
      <c r="P952" s="116">
        <v>45545</v>
      </c>
      <c r="Q952" s="115" t="s">
        <v>313</v>
      </c>
      <c r="R952" s="115" t="s">
        <v>69</v>
      </c>
      <c r="S952" s="122">
        <v>1</v>
      </c>
    </row>
    <row r="953" spans="10:19" x14ac:dyDescent="0.25">
      <c r="J953" s="125" t="s">
        <v>2702</v>
      </c>
      <c r="K953" s="115" t="s">
        <v>1547</v>
      </c>
      <c r="L953" s="121" t="s">
        <v>200</v>
      </c>
      <c r="M953" s="116">
        <v>45429</v>
      </c>
      <c r="N953" s="115">
        <v>37</v>
      </c>
      <c r="O953" s="115" t="s">
        <v>150</v>
      </c>
      <c r="P953" s="115" t="s">
        <v>235</v>
      </c>
      <c r="Q953" s="115" t="s">
        <v>313</v>
      </c>
      <c r="R953" s="115" t="s">
        <v>34</v>
      </c>
      <c r="S953" s="122">
        <v>1</v>
      </c>
    </row>
    <row r="954" spans="10:19" x14ac:dyDescent="0.25">
      <c r="J954" s="125" t="s">
        <v>2704</v>
      </c>
      <c r="K954" s="115" t="s">
        <v>2705</v>
      </c>
      <c r="L954" s="121" t="s">
        <v>200</v>
      </c>
      <c r="M954" s="116">
        <v>45505</v>
      </c>
      <c r="N954" s="115">
        <v>49</v>
      </c>
      <c r="O954" s="115" t="s">
        <v>151</v>
      </c>
      <c r="P954" s="115" t="s">
        <v>235</v>
      </c>
      <c r="Q954" s="115" t="s">
        <v>313</v>
      </c>
      <c r="R954" s="115" t="s">
        <v>72</v>
      </c>
      <c r="S954" s="122">
        <v>1</v>
      </c>
    </row>
    <row r="955" spans="10:19" x14ac:dyDescent="0.25">
      <c r="J955" s="125" t="s">
        <v>2709</v>
      </c>
      <c r="K955" s="115" t="s">
        <v>2710</v>
      </c>
      <c r="L955" s="121" t="s">
        <v>200</v>
      </c>
      <c r="M955" s="116">
        <v>45516</v>
      </c>
      <c r="N955" s="115">
        <v>37</v>
      </c>
      <c r="O955" s="115" t="s">
        <v>150</v>
      </c>
      <c r="P955" s="115" t="s">
        <v>235</v>
      </c>
      <c r="Q955" s="115" t="s">
        <v>313</v>
      </c>
      <c r="R955" s="115" t="s">
        <v>34</v>
      </c>
      <c r="S955" s="122">
        <v>1</v>
      </c>
    </row>
    <row r="956" spans="10:19" x14ac:dyDescent="0.25">
      <c r="J956" s="125" t="s">
        <v>2719</v>
      </c>
      <c r="K956" s="115" t="s">
        <v>2720</v>
      </c>
      <c r="L956" s="121" t="s">
        <v>200</v>
      </c>
      <c r="M956" s="116">
        <v>45525</v>
      </c>
      <c r="N956" s="115">
        <v>19</v>
      </c>
      <c r="O956" s="115" t="s">
        <v>148</v>
      </c>
      <c r="P956" s="115" t="s">
        <v>235</v>
      </c>
      <c r="Q956" s="115" t="s">
        <v>313</v>
      </c>
      <c r="R956" s="115" t="s">
        <v>34</v>
      </c>
      <c r="S956" s="122">
        <v>1</v>
      </c>
    </row>
    <row r="957" spans="10:19" x14ac:dyDescent="0.25">
      <c r="J957" s="125" t="s">
        <v>2723</v>
      </c>
      <c r="K957" s="115" t="s">
        <v>2724</v>
      </c>
      <c r="L957" s="121" t="s">
        <v>200</v>
      </c>
      <c r="M957" s="116">
        <v>45526</v>
      </c>
      <c r="N957" s="115">
        <v>35</v>
      </c>
      <c r="O957" s="115" t="s">
        <v>150</v>
      </c>
      <c r="P957" s="115" t="s">
        <v>235</v>
      </c>
      <c r="Q957" s="115" t="s">
        <v>313</v>
      </c>
      <c r="R957" s="115" t="s">
        <v>35</v>
      </c>
      <c r="S957" s="122">
        <v>1</v>
      </c>
    </row>
    <row r="958" spans="10:19" x14ac:dyDescent="0.25">
      <c r="J958" s="125" t="s">
        <v>2725</v>
      </c>
      <c r="K958" s="115" t="s">
        <v>2726</v>
      </c>
      <c r="L958" s="121" t="s">
        <v>200</v>
      </c>
      <c r="M958" s="116">
        <v>45474</v>
      </c>
      <c r="N958" s="115">
        <v>40</v>
      </c>
      <c r="O958" s="115" t="s">
        <v>150</v>
      </c>
      <c r="P958" s="115" t="s">
        <v>235</v>
      </c>
      <c r="Q958" s="115" t="s">
        <v>313</v>
      </c>
      <c r="R958" s="115" t="s">
        <v>69</v>
      </c>
      <c r="S958" s="122">
        <v>1</v>
      </c>
    </row>
    <row r="959" spans="10:19" x14ac:dyDescent="0.25">
      <c r="J959" s="125" t="s">
        <v>2740</v>
      </c>
      <c r="K959" s="115" t="s">
        <v>2741</v>
      </c>
      <c r="L959" s="121" t="s">
        <v>200</v>
      </c>
      <c r="M959" s="116">
        <v>45513</v>
      </c>
      <c r="N959" s="115">
        <v>26</v>
      </c>
      <c r="O959" s="115" t="s">
        <v>149</v>
      </c>
      <c r="P959" s="115" t="s">
        <v>235</v>
      </c>
      <c r="Q959" s="115" t="s">
        <v>313</v>
      </c>
      <c r="R959" s="115" t="s">
        <v>34</v>
      </c>
      <c r="S959" s="122">
        <v>1</v>
      </c>
    </row>
    <row r="960" spans="10:19" x14ac:dyDescent="0.25">
      <c r="J960" s="125" t="s">
        <v>2742</v>
      </c>
      <c r="K960" s="115" t="s">
        <v>2743</v>
      </c>
      <c r="L960" s="121" t="s">
        <v>200</v>
      </c>
      <c r="M960" s="116">
        <v>45467</v>
      </c>
      <c r="N960" s="115">
        <v>39</v>
      </c>
      <c r="O960" s="115" t="s">
        <v>150</v>
      </c>
      <c r="P960" s="115" t="s">
        <v>235</v>
      </c>
      <c r="Q960" s="115" t="s">
        <v>313</v>
      </c>
      <c r="R960" s="115" t="s">
        <v>105</v>
      </c>
      <c r="S960" s="122">
        <v>1</v>
      </c>
    </row>
    <row r="961" spans="10:19" x14ac:dyDescent="0.25">
      <c r="J961" s="125" t="s">
        <v>2749</v>
      </c>
      <c r="K961" s="115" t="s">
        <v>2750</v>
      </c>
      <c r="L961" s="121" t="s">
        <v>200</v>
      </c>
      <c r="M961" s="116">
        <v>45469</v>
      </c>
      <c r="N961" s="115">
        <v>32</v>
      </c>
      <c r="O961" s="115" t="s">
        <v>150</v>
      </c>
      <c r="P961" s="115" t="s">
        <v>235</v>
      </c>
      <c r="Q961" s="115" t="s">
        <v>313</v>
      </c>
      <c r="R961" s="115" t="s">
        <v>36</v>
      </c>
      <c r="S961" s="122">
        <v>1</v>
      </c>
    </row>
    <row r="962" spans="10:19" x14ac:dyDescent="0.25">
      <c r="J962" s="125" t="s">
        <v>2752</v>
      </c>
      <c r="K962" s="115" t="s">
        <v>2753</v>
      </c>
      <c r="L962" s="121" t="s">
        <v>200</v>
      </c>
      <c r="M962" s="116">
        <v>45477</v>
      </c>
      <c r="N962" s="115">
        <v>46</v>
      </c>
      <c r="O962" s="115" t="s">
        <v>151</v>
      </c>
      <c r="P962" s="115" t="s">
        <v>235</v>
      </c>
      <c r="Q962" s="115" t="s">
        <v>313</v>
      </c>
      <c r="R962" s="115" t="s">
        <v>68</v>
      </c>
      <c r="S962" s="122">
        <v>1</v>
      </c>
    </row>
    <row r="963" spans="10:19" x14ac:dyDescent="0.25">
      <c r="J963" s="125" t="s">
        <v>2754</v>
      </c>
      <c r="K963" s="115" t="s">
        <v>2755</v>
      </c>
      <c r="L963" s="121" t="s">
        <v>200</v>
      </c>
      <c r="M963" s="116">
        <v>45520</v>
      </c>
      <c r="N963" s="115">
        <v>37</v>
      </c>
      <c r="O963" s="115" t="s">
        <v>150</v>
      </c>
      <c r="P963" s="115" t="s">
        <v>235</v>
      </c>
      <c r="Q963" s="115" t="s">
        <v>313</v>
      </c>
      <c r="R963" s="115" t="s">
        <v>34</v>
      </c>
      <c r="S963" s="122">
        <v>1</v>
      </c>
    </row>
    <row r="964" spans="10:19" x14ac:dyDescent="0.25">
      <c r="J964" s="125" t="s">
        <v>2756</v>
      </c>
      <c r="K964" s="115" t="s">
        <v>2757</v>
      </c>
      <c r="L964" s="121" t="s">
        <v>200</v>
      </c>
      <c r="M964" s="116">
        <v>45520</v>
      </c>
      <c r="N964" s="115">
        <v>36</v>
      </c>
      <c r="O964" s="115" t="s">
        <v>150</v>
      </c>
      <c r="P964" s="115" t="s">
        <v>235</v>
      </c>
      <c r="Q964" s="115" t="s">
        <v>313</v>
      </c>
      <c r="R964" s="115" t="s">
        <v>68</v>
      </c>
      <c r="S964" s="122">
        <v>1</v>
      </c>
    </row>
    <row r="965" spans="10:19" x14ac:dyDescent="0.25">
      <c r="J965" s="125" t="s">
        <v>2759</v>
      </c>
      <c r="K965" s="115" t="s">
        <v>2760</v>
      </c>
      <c r="L965" s="121" t="s">
        <v>200</v>
      </c>
      <c r="M965" s="116">
        <v>45474</v>
      </c>
      <c r="N965" s="115">
        <v>51</v>
      </c>
      <c r="O965" s="115" t="s">
        <v>152</v>
      </c>
      <c r="P965" s="115" t="s">
        <v>235</v>
      </c>
      <c r="Q965" s="115" t="s">
        <v>313</v>
      </c>
      <c r="R965" s="115" t="s">
        <v>68</v>
      </c>
      <c r="S965" s="122">
        <v>1</v>
      </c>
    </row>
    <row r="966" spans="10:19" x14ac:dyDescent="0.25">
      <c r="J966" s="125" t="s">
        <v>2761</v>
      </c>
      <c r="K966" s="115" t="s">
        <v>2762</v>
      </c>
      <c r="L966" s="121" t="s">
        <v>200</v>
      </c>
      <c r="M966" s="116">
        <v>45523</v>
      </c>
      <c r="N966" s="115">
        <v>29</v>
      </c>
      <c r="O966" s="115" t="s">
        <v>149</v>
      </c>
      <c r="P966" s="115" t="s">
        <v>235</v>
      </c>
      <c r="Q966" s="115" t="s">
        <v>313</v>
      </c>
      <c r="R966" s="115" t="s">
        <v>34</v>
      </c>
      <c r="S966" s="122">
        <v>1</v>
      </c>
    </row>
    <row r="967" spans="10:19" x14ac:dyDescent="0.25">
      <c r="J967" s="125" t="s">
        <v>2770</v>
      </c>
      <c r="K967" s="115" t="s">
        <v>2771</v>
      </c>
      <c r="L967" s="121" t="s">
        <v>200</v>
      </c>
      <c r="M967" s="116">
        <v>45483</v>
      </c>
      <c r="N967" s="115">
        <v>34</v>
      </c>
      <c r="O967" s="115" t="s">
        <v>150</v>
      </c>
      <c r="P967" s="115" t="s">
        <v>235</v>
      </c>
      <c r="Q967" s="115" t="s">
        <v>313</v>
      </c>
      <c r="R967" s="115" t="s">
        <v>34</v>
      </c>
      <c r="S967" s="122">
        <v>1</v>
      </c>
    </row>
    <row r="968" spans="10:19" x14ac:dyDescent="0.25">
      <c r="J968" s="125">
        <v>77154425</v>
      </c>
      <c r="K968" s="115" t="s">
        <v>2778</v>
      </c>
      <c r="L968" s="121" t="s">
        <v>200</v>
      </c>
      <c r="M968" s="116">
        <v>45526</v>
      </c>
      <c r="N968" s="115">
        <v>24</v>
      </c>
      <c r="O968" s="115" t="s">
        <v>149</v>
      </c>
      <c r="P968" s="115" t="s">
        <v>235</v>
      </c>
      <c r="Q968" s="115" t="s">
        <v>313</v>
      </c>
      <c r="R968" s="115" t="s">
        <v>68</v>
      </c>
      <c r="S968" s="122">
        <v>1</v>
      </c>
    </row>
    <row r="969" spans="10:19" x14ac:dyDescent="0.25">
      <c r="J969" s="125">
        <v>78551139</v>
      </c>
      <c r="K969" s="115" t="s">
        <v>2779</v>
      </c>
      <c r="L969" s="121" t="s">
        <v>200</v>
      </c>
      <c r="M969" s="116">
        <v>45530</v>
      </c>
      <c r="N969" s="115">
        <v>26</v>
      </c>
      <c r="O969" s="115" t="s">
        <v>149</v>
      </c>
      <c r="P969" s="115" t="s">
        <v>235</v>
      </c>
      <c r="Q969" s="115" t="s">
        <v>313</v>
      </c>
      <c r="R969" s="115" t="s">
        <v>34</v>
      </c>
      <c r="S969" s="122">
        <v>1</v>
      </c>
    </row>
    <row r="970" spans="10:19" x14ac:dyDescent="0.25">
      <c r="J970" s="125">
        <v>71465671</v>
      </c>
      <c r="K970" s="115" t="s">
        <v>2780</v>
      </c>
      <c r="L970" s="121" t="s">
        <v>200</v>
      </c>
      <c r="M970" s="116">
        <v>45530</v>
      </c>
      <c r="N970" s="115">
        <v>26</v>
      </c>
      <c r="O970" s="115" t="s">
        <v>149</v>
      </c>
      <c r="P970" s="115" t="s">
        <v>235</v>
      </c>
      <c r="Q970" s="115" t="s">
        <v>313</v>
      </c>
      <c r="R970" s="115" t="s">
        <v>34</v>
      </c>
      <c r="S970" s="122">
        <v>1</v>
      </c>
    </row>
    <row r="971" spans="10:19" x14ac:dyDescent="0.25">
      <c r="J971" s="125" t="s">
        <v>2781</v>
      </c>
      <c r="K971" s="115" t="s">
        <v>2782</v>
      </c>
      <c r="L971" s="121" t="s">
        <v>201</v>
      </c>
      <c r="M971" s="116">
        <v>45512</v>
      </c>
      <c r="N971" s="115">
        <v>24</v>
      </c>
      <c r="O971" s="115" t="s">
        <v>149</v>
      </c>
      <c r="P971" s="115" t="s">
        <v>235</v>
      </c>
      <c r="Q971" s="115" t="s">
        <v>313</v>
      </c>
      <c r="R971" s="115" t="s">
        <v>36</v>
      </c>
      <c r="S971" s="122">
        <v>1</v>
      </c>
    </row>
    <row r="972" spans="10:19" x14ac:dyDescent="0.25">
      <c r="J972" s="125" t="s">
        <v>2783</v>
      </c>
      <c r="K972" s="115" t="s">
        <v>2784</v>
      </c>
      <c r="L972" s="121" t="s">
        <v>201</v>
      </c>
      <c r="M972" s="116">
        <v>45520</v>
      </c>
      <c r="N972" s="115">
        <v>50</v>
      </c>
      <c r="O972" s="115" t="s">
        <v>152</v>
      </c>
      <c r="P972" s="115" t="s">
        <v>235</v>
      </c>
      <c r="Q972" s="115" t="s">
        <v>313</v>
      </c>
      <c r="R972" s="115" t="s">
        <v>34</v>
      </c>
      <c r="S972" s="122">
        <v>1</v>
      </c>
    </row>
    <row r="973" spans="10:19" x14ac:dyDescent="0.25">
      <c r="J973" s="125">
        <v>40848274</v>
      </c>
      <c r="K973" s="115" t="s">
        <v>2794</v>
      </c>
      <c r="L973" s="121" t="s">
        <v>200</v>
      </c>
      <c r="M973" s="116">
        <v>45322</v>
      </c>
      <c r="N973" s="115">
        <v>45</v>
      </c>
      <c r="O973" s="115" t="s">
        <v>151</v>
      </c>
      <c r="P973" s="115" t="s">
        <v>235</v>
      </c>
      <c r="Q973" s="115" t="s">
        <v>313</v>
      </c>
      <c r="R973" s="115" t="s">
        <v>68</v>
      </c>
      <c r="S973" s="122">
        <v>1</v>
      </c>
    </row>
    <row r="974" spans="10:19" x14ac:dyDescent="0.25">
      <c r="J974" s="125" t="s">
        <v>2795</v>
      </c>
      <c r="K974" s="115" t="s">
        <v>2796</v>
      </c>
      <c r="L974" s="121" t="s">
        <v>200</v>
      </c>
      <c r="M974" s="116">
        <v>45517</v>
      </c>
      <c r="N974" s="115">
        <v>44</v>
      </c>
      <c r="O974" s="115" t="s">
        <v>151</v>
      </c>
      <c r="P974" s="115" t="s">
        <v>235</v>
      </c>
      <c r="Q974" s="115" t="s">
        <v>313</v>
      </c>
      <c r="R974" s="115" t="s">
        <v>68</v>
      </c>
      <c r="S974" s="122">
        <v>1</v>
      </c>
    </row>
    <row r="975" spans="10:19" x14ac:dyDescent="0.25">
      <c r="J975" s="125" t="s">
        <v>2799</v>
      </c>
      <c r="K975" s="115" t="s">
        <v>2800</v>
      </c>
      <c r="L975" s="121" t="s">
        <v>200</v>
      </c>
      <c r="M975" s="116">
        <v>45509</v>
      </c>
      <c r="N975" s="115">
        <v>39</v>
      </c>
      <c r="O975" s="115" t="s">
        <v>150</v>
      </c>
      <c r="P975" s="115" t="s">
        <v>235</v>
      </c>
      <c r="Q975" s="115" t="s">
        <v>313</v>
      </c>
      <c r="R975" s="115" t="s">
        <v>34</v>
      </c>
      <c r="S975" s="122">
        <v>1</v>
      </c>
    </row>
    <row r="976" spans="10:19" x14ac:dyDescent="0.25">
      <c r="J976" s="125" t="s">
        <v>2803</v>
      </c>
      <c r="K976" s="115" t="s">
        <v>2804</v>
      </c>
      <c r="L976" s="121" t="s">
        <v>200</v>
      </c>
      <c r="M976" s="116">
        <v>45527</v>
      </c>
      <c r="N976" s="115">
        <v>40</v>
      </c>
      <c r="O976" s="115" t="s">
        <v>150</v>
      </c>
      <c r="P976" s="115" t="s">
        <v>235</v>
      </c>
      <c r="Q976" s="115" t="s">
        <v>313</v>
      </c>
      <c r="R976" s="115" t="s">
        <v>35</v>
      </c>
      <c r="S976" s="122">
        <v>1</v>
      </c>
    </row>
    <row r="977" spans="10:19" x14ac:dyDescent="0.25">
      <c r="J977" s="125" t="s">
        <v>2805</v>
      </c>
      <c r="K977" s="115" t="s">
        <v>694</v>
      </c>
      <c r="L977" s="121" t="s">
        <v>200</v>
      </c>
      <c r="M977" s="116">
        <v>45527</v>
      </c>
      <c r="N977" s="115">
        <v>25</v>
      </c>
      <c r="O977" s="115" t="s">
        <v>149</v>
      </c>
      <c r="P977" s="115" t="s">
        <v>235</v>
      </c>
      <c r="Q977" s="115" t="s">
        <v>313</v>
      </c>
      <c r="R977" s="115" t="s">
        <v>105</v>
      </c>
      <c r="S977" s="122">
        <v>1</v>
      </c>
    </row>
    <row r="978" spans="10:19" x14ac:dyDescent="0.25">
      <c r="J978" s="125">
        <v>44447062</v>
      </c>
      <c r="K978" s="115" t="s">
        <v>2813</v>
      </c>
      <c r="L978" s="121" t="s">
        <v>200</v>
      </c>
      <c r="M978" s="116">
        <v>45518</v>
      </c>
      <c r="N978" s="115">
        <v>38</v>
      </c>
      <c r="O978" s="115" t="s">
        <v>150</v>
      </c>
      <c r="P978" s="115" t="s">
        <v>162</v>
      </c>
      <c r="Q978" s="115" t="s">
        <v>313</v>
      </c>
      <c r="R978" s="115" t="s">
        <v>34</v>
      </c>
      <c r="S978" s="122">
        <v>1</v>
      </c>
    </row>
    <row r="979" spans="10:19" x14ac:dyDescent="0.25">
      <c r="J979" s="125" t="s">
        <v>2819</v>
      </c>
      <c r="K979" s="115" t="s">
        <v>967</v>
      </c>
      <c r="L979" s="121" t="s">
        <v>200</v>
      </c>
      <c r="M979" s="116">
        <v>45530</v>
      </c>
      <c r="N979" s="115">
        <v>32</v>
      </c>
      <c r="O979" s="115" t="s">
        <v>150</v>
      </c>
      <c r="P979" s="115" t="s">
        <v>162</v>
      </c>
      <c r="Q979" s="115" t="s">
        <v>313</v>
      </c>
      <c r="R979" s="115" t="s">
        <v>68</v>
      </c>
      <c r="S979" s="122">
        <v>0.5</v>
      </c>
    </row>
    <row r="980" spans="10:19" x14ac:dyDescent="0.25">
      <c r="J980" s="125">
        <v>76439458</v>
      </c>
      <c r="K980" s="115" t="s">
        <v>2825</v>
      </c>
      <c r="L980" s="121" t="s">
        <v>200</v>
      </c>
      <c r="M980" s="116">
        <v>45517</v>
      </c>
      <c r="N980" s="115">
        <v>27</v>
      </c>
      <c r="O980" s="115" t="s">
        <v>149</v>
      </c>
      <c r="P980" s="115" t="s">
        <v>162</v>
      </c>
      <c r="Q980" s="115" t="s">
        <v>313</v>
      </c>
      <c r="R980" s="115" t="s">
        <v>69</v>
      </c>
      <c r="S980" s="122">
        <v>1</v>
      </c>
    </row>
    <row r="981" spans="10:19" x14ac:dyDescent="0.25">
      <c r="J981" s="125" t="s">
        <v>2826</v>
      </c>
      <c r="K981" s="115" t="s">
        <v>1986</v>
      </c>
      <c r="L981" s="121" t="s">
        <v>200</v>
      </c>
      <c r="M981" s="116">
        <v>45149</v>
      </c>
      <c r="N981" s="115">
        <v>30</v>
      </c>
      <c r="O981" s="115" t="s">
        <v>149</v>
      </c>
      <c r="P981" s="115" t="s">
        <v>235</v>
      </c>
      <c r="Q981" s="115" t="s">
        <v>313</v>
      </c>
      <c r="R981" s="115" t="s">
        <v>34</v>
      </c>
      <c r="S981" s="122">
        <v>1</v>
      </c>
    </row>
    <row r="982" spans="10:19" x14ac:dyDescent="0.25">
      <c r="J982" s="125">
        <v>43377243</v>
      </c>
      <c r="K982" s="115" t="s">
        <v>2827</v>
      </c>
      <c r="L982" s="121" t="s">
        <v>200</v>
      </c>
      <c r="M982" s="116">
        <v>45453</v>
      </c>
      <c r="N982" s="115">
        <v>38</v>
      </c>
      <c r="O982" s="115" t="s">
        <v>150</v>
      </c>
      <c r="P982" s="115" t="s">
        <v>235</v>
      </c>
      <c r="Q982" s="115" t="s">
        <v>313</v>
      </c>
      <c r="R982" s="115" t="s">
        <v>34</v>
      </c>
      <c r="S982" s="122">
        <v>1</v>
      </c>
    </row>
    <row r="983" spans="10:19" x14ac:dyDescent="0.25">
      <c r="J983" s="125">
        <v>41760279</v>
      </c>
      <c r="K983" s="115" t="s">
        <v>2828</v>
      </c>
      <c r="L983" s="121" t="s">
        <v>200</v>
      </c>
      <c r="M983" s="116">
        <v>45498</v>
      </c>
      <c r="N983" s="115">
        <v>30</v>
      </c>
      <c r="O983" s="115" t="s">
        <v>149</v>
      </c>
      <c r="P983" s="115" t="s">
        <v>235</v>
      </c>
      <c r="Q983" s="115" t="s">
        <v>313</v>
      </c>
      <c r="R983" s="115" t="s">
        <v>34</v>
      </c>
      <c r="S983" s="122">
        <v>1</v>
      </c>
    </row>
    <row r="984" spans="10:19" x14ac:dyDescent="0.25">
      <c r="J984" s="125">
        <v>25782664</v>
      </c>
      <c r="K984" s="115" t="s">
        <v>2830</v>
      </c>
      <c r="L984" s="121" t="s">
        <v>200</v>
      </c>
      <c r="M984" s="116">
        <v>45530</v>
      </c>
      <c r="N984" s="115">
        <v>49</v>
      </c>
      <c r="O984" s="115" t="s">
        <v>151</v>
      </c>
      <c r="P984" s="115" t="s">
        <v>235</v>
      </c>
      <c r="Q984" s="115" t="s">
        <v>313</v>
      </c>
      <c r="R984" s="115" t="s">
        <v>34</v>
      </c>
      <c r="S984" s="122">
        <v>1</v>
      </c>
    </row>
    <row r="985" spans="10:19" x14ac:dyDescent="0.25">
      <c r="J985" s="125" t="s">
        <v>2831</v>
      </c>
      <c r="K985" s="115" t="s">
        <v>2832</v>
      </c>
      <c r="L985" s="121" t="s">
        <v>200</v>
      </c>
      <c r="M985" s="116">
        <v>45507</v>
      </c>
      <c r="N985" s="115">
        <v>33</v>
      </c>
      <c r="O985" s="115" t="s">
        <v>150</v>
      </c>
      <c r="P985" s="115" t="s">
        <v>162</v>
      </c>
      <c r="Q985" s="115" t="s">
        <v>313</v>
      </c>
      <c r="R985" s="115" t="s">
        <v>68</v>
      </c>
      <c r="S985" s="122">
        <v>1</v>
      </c>
    </row>
    <row r="986" spans="10:19" x14ac:dyDescent="0.25">
      <c r="J986" s="125" t="s">
        <v>2833</v>
      </c>
      <c r="K986" s="115" t="s">
        <v>2834</v>
      </c>
      <c r="L986" s="121" t="s">
        <v>200</v>
      </c>
      <c r="M986" s="116">
        <v>45507</v>
      </c>
      <c r="N986" s="115">
        <v>45</v>
      </c>
      <c r="O986" s="115" t="s">
        <v>151</v>
      </c>
      <c r="P986" s="116">
        <v>45551</v>
      </c>
      <c r="Q986" s="115" t="s">
        <v>313</v>
      </c>
      <c r="R986" s="115" t="s">
        <v>68</v>
      </c>
      <c r="S986" s="122">
        <v>1</v>
      </c>
    </row>
    <row r="987" spans="10:19" x14ac:dyDescent="0.25">
      <c r="J987" s="125" t="s">
        <v>2835</v>
      </c>
      <c r="K987" s="115" t="s">
        <v>2836</v>
      </c>
      <c r="L987" s="121" t="s">
        <v>200</v>
      </c>
      <c r="M987" s="116">
        <v>45514</v>
      </c>
      <c r="N987" s="115">
        <v>41</v>
      </c>
      <c r="O987" s="115" t="s">
        <v>151</v>
      </c>
      <c r="P987" s="115" t="s">
        <v>162</v>
      </c>
      <c r="Q987" s="115" t="s">
        <v>313</v>
      </c>
      <c r="R987" s="115" t="s">
        <v>72</v>
      </c>
      <c r="S987" s="122">
        <v>1</v>
      </c>
    </row>
    <row r="988" spans="10:19" x14ac:dyDescent="0.25">
      <c r="J988" s="125" t="s">
        <v>2837</v>
      </c>
      <c r="K988" s="115" t="s">
        <v>2838</v>
      </c>
      <c r="L988" s="121" t="s">
        <v>200</v>
      </c>
      <c r="M988" s="116">
        <v>45514</v>
      </c>
      <c r="N988" s="115">
        <v>20</v>
      </c>
      <c r="O988" s="115" t="s">
        <v>148</v>
      </c>
      <c r="P988" s="115" t="s">
        <v>162</v>
      </c>
      <c r="Q988" s="115" t="s">
        <v>313</v>
      </c>
      <c r="R988" s="115" t="s">
        <v>36</v>
      </c>
      <c r="S988" s="122">
        <v>1</v>
      </c>
    </row>
    <row r="989" spans="10:19" x14ac:dyDescent="0.25">
      <c r="J989" s="125" t="s">
        <v>2839</v>
      </c>
      <c r="K989" s="115" t="s">
        <v>2840</v>
      </c>
      <c r="L989" s="121" t="s">
        <v>200</v>
      </c>
      <c r="M989" s="116">
        <v>45519</v>
      </c>
      <c r="N989" s="115" t="s">
        <v>29</v>
      </c>
      <c r="O989" s="115" t="s">
        <v>153</v>
      </c>
      <c r="P989" s="115" t="s">
        <v>162</v>
      </c>
      <c r="Q989" s="115" t="s">
        <v>313</v>
      </c>
      <c r="R989" s="115" t="s">
        <v>68</v>
      </c>
      <c r="S989" s="122">
        <v>1</v>
      </c>
    </row>
    <row r="990" spans="10:19" x14ac:dyDescent="0.25">
      <c r="J990" s="125" t="s">
        <v>2841</v>
      </c>
      <c r="K990" s="115" t="s">
        <v>2842</v>
      </c>
      <c r="L990" s="121" t="s">
        <v>200</v>
      </c>
      <c r="M990" s="116">
        <v>45519</v>
      </c>
      <c r="N990" s="115">
        <v>23</v>
      </c>
      <c r="O990" s="115" t="s">
        <v>148</v>
      </c>
      <c r="P990" s="115" t="s">
        <v>162</v>
      </c>
      <c r="Q990" s="115" t="s">
        <v>313</v>
      </c>
      <c r="R990" s="115" t="s">
        <v>68</v>
      </c>
      <c r="S990" s="122">
        <v>1</v>
      </c>
    </row>
    <row r="991" spans="10:19" x14ac:dyDescent="0.25">
      <c r="J991" s="125" t="s">
        <v>2843</v>
      </c>
      <c r="K991" s="115" t="s">
        <v>2844</v>
      </c>
      <c r="L991" s="121" t="s">
        <v>200</v>
      </c>
      <c r="M991" s="116">
        <v>45521</v>
      </c>
      <c r="N991" s="115">
        <v>27</v>
      </c>
      <c r="O991" s="115" t="s">
        <v>149</v>
      </c>
      <c r="P991" s="115" t="s">
        <v>162</v>
      </c>
      <c r="Q991" s="115" t="s">
        <v>313</v>
      </c>
      <c r="R991" s="115" t="s">
        <v>36</v>
      </c>
      <c r="S991" s="122">
        <v>1</v>
      </c>
    </row>
    <row r="992" spans="10:19" x14ac:dyDescent="0.25">
      <c r="J992" s="125" t="s">
        <v>2845</v>
      </c>
      <c r="K992" s="115" t="s">
        <v>2846</v>
      </c>
      <c r="L992" s="121" t="s">
        <v>200</v>
      </c>
      <c r="M992" s="116">
        <v>45521</v>
      </c>
      <c r="N992" s="115">
        <v>22</v>
      </c>
      <c r="O992" s="115" t="s">
        <v>148</v>
      </c>
      <c r="P992" s="115" t="s">
        <v>162</v>
      </c>
      <c r="Q992" s="115" t="s">
        <v>313</v>
      </c>
      <c r="R992" s="115" t="s">
        <v>69</v>
      </c>
      <c r="S992" s="122">
        <v>1</v>
      </c>
    </row>
    <row r="993" spans="10:19" x14ac:dyDescent="0.25">
      <c r="J993" s="125" t="s">
        <v>2847</v>
      </c>
      <c r="K993" s="115" t="s">
        <v>2848</v>
      </c>
      <c r="L993" s="121" t="s">
        <v>200</v>
      </c>
      <c r="M993" s="116">
        <v>45521</v>
      </c>
      <c r="N993" s="115">
        <v>23</v>
      </c>
      <c r="O993" s="115" t="s">
        <v>148</v>
      </c>
      <c r="P993" s="115" t="s">
        <v>162</v>
      </c>
      <c r="Q993" s="115" t="s">
        <v>313</v>
      </c>
      <c r="R993" s="115" t="s">
        <v>34</v>
      </c>
      <c r="S993" s="122">
        <v>1</v>
      </c>
    </row>
    <row r="994" spans="10:19" x14ac:dyDescent="0.25">
      <c r="J994" s="125" t="s">
        <v>2849</v>
      </c>
      <c r="K994" s="115" t="s">
        <v>2850</v>
      </c>
      <c r="L994" s="121" t="s">
        <v>200</v>
      </c>
      <c r="M994" s="116">
        <v>45521</v>
      </c>
      <c r="N994" s="115">
        <v>25</v>
      </c>
      <c r="O994" s="115" t="s">
        <v>149</v>
      </c>
      <c r="P994" s="115" t="s">
        <v>162</v>
      </c>
      <c r="Q994" s="115" t="s">
        <v>313</v>
      </c>
      <c r="R994" s="115" t="s">
        <v>72</v>
      </c>
      <c r="S994" s="122">
        <v>1</v>
      </c>
    </row>
    <row r="995" spans="10:19" x14ac:dyDescent="0.25">
      <c r="J995" s="125" t="s">
        <v>2851</v>
      </c>
      <c r="K995" s="115" t="s">
        <v>2852</v>
      </c>
      <c r="L995" s="121" t="s">
        <v>200</v>
      </c>
      <c r="M995" s="116">
        <v>45521</v>
      </c>
      <c r="N995" s="115">
        <v>46</v>
      </c>
      <c r="O995" s="115" t="s">
        <v>151</v>
      </c>
      <c r="P995" s="115" t="s">
        <v>162</v>
      </c>
      <c r="Q995" s="115" t="s">
        <v>313</v>
      </c>
      <c r="R995" s="115" t="s">
        <v>34</v>
      </c>
      <c r="S995" s="122">
        <v>1</v>
      </c>
    </row>
    <row r="996" spans="10:19" x14ac:dyDescent="0.25">
      <c r="J996" s="125" t="s">
        <v>2853</v>
      </c>
      <c r="K996" s="115" t="s">
        <v>2854</v>
      </c>
      <c r="L996" s="121" t="s">
        <v>200</v>
      </c>
      <c r="M996" s="116">
        <v>45526</v>
      </c>
      <c r="N996" s="115">
        <v>23</v>
      </c>
      <c r="O996" s="115" t="s">
        <v>148</v>
      </c>
      <c r="P996" s="115" t="s">
        <v>162</v>
      </c>
      <c r="Q996" s="115" t="s">
        <v>313</v>
      </c>
      <c r="R996" s="115" t="s">
        <v>69</v>
      </c>
      <c r="S996" s="122">
        <v>1</v>
      </c>
    </row>
    <row r="997" spans="10:19" x14ac:dyDescent="0.25">
      <c r="J997" s="125" t="s">
        <v>2856</v>
      </c>
      <c r="K997" s="115" t="s">
        <v>2857</v>
      </c>
      <c r="L997" s="121" t="s">
        <v>200</v>
      </c>
      <c r="M997" s="116">
        <v>45517</v>
      </c>
      <c r="N997" s="115">
        <v>53</v>
      </c>
      <c r="O997" s="115" t="s">
        <v>152</v>
      </c>
      <c r="P997" s="115" t="s">
        <v>235</v>
      </c>
      <c r="Q997" s="115" t="s">
        <v>313</v>
      </c>
      <c r="R997" s="115" t="s">
        <v>34</v>
      </c>
      <c r="S997" s="122">
        <v>1</v>
      </c>
    </row>
    <row r="998" spans="10:19" x14ac:dyDescent="0.25">
      <c r="J998" s="125" t="s">
        <v>2858</v>
      </c>
      <c r="K998" s="115" t="s">
        <v>2859</v>
      </c>
      <c r="L998" s="121" t="s">
        <v>200</v>
      </c>
      <c r="M998" s="116">
        <v>45523</v>
      </c>
      <c r="N998" s="115">
        <v>27</v>
      </c>
      <c r="O998" s="115" t="s">
        <v>149</v>
      </c>
      <c r="P998" s="115" t="s">
        <v>235</v>
      </c>
      <c r="Q998" s="115" t="s">
        <v>313</v>
      </c>
      <c r="R998" s="115" t="s">
        <v>34</v>
      </c>
      <c r="S998" s="122">
        <v>1</v>
      </c>
    </row>
    <row r="999" spans="10:19" x14ac:dyDescent="0.25">
      <c r="J999" s="125" t="s">
        <v>2860</v>
      </c>
      <c r="K999" s="115" t="s">
        <v>2861</v>
      </c>
      <c r="L999" s="121" t="s">
        <v>200</v>
      </c>
      <c r="M999" s="116">
        <v>45498</v>
      </c>
      <c r="N999" s="115">
        <v>39</v>
      </c>
      <c r="O999" s="115" t="s">
        <v>150</v>
      </c>
      <c r="P999" s="115" t="s">
        <v>235</v>
      </c>
      <c r="Q999" s="115" t="s">
        <v>313</v>
      </c>
      <c r="R999" s="115" t="s">
        <v>105</v>
      </c>
      <c r="S999" s="122">
        <v>1</v>
      </c>
    </row>
    <row r="1000" spans="10:19" x14ac:dyDescent="0.25">
      <c r="J1000" s="125" t="s">
        <v>2862</v>
      </c>
      <c r="K1000" s="115" t="s">
        <v>2863</v>
      </c>
      <c r="L1000" s="121" t="s">
        <v>200</v>
      </c>
      <c r="M1000" s="116">
        <v>45511</v>
      </c>
      <c r="N1000" s="115">
        <v>38</v>
      </c>
      <c r="O1000" s="115" t="s">
        <v>150</v>
      </c>
      <c r="P1000" s="115" t="s">
        <v>235</v>
      </c>
      <c r="Q1000" s="115" t="s">
        <v>313</v>
      </c>
      <c r="R1000" s="115" t="s">
        <v>34</v>
      </c>
      <c r="S1000" s="122">
        <v>1</v>
      </c>
    </row>
    <row r="1001" spans="10:19" x14ac:dyDescent="0.25">
      <c r="J1001" s="125" t="s">
        <v>2864</v>
      </c>
      <c r="K1001" s="115" t="s">
        <v>2865</v>
      </c>
      <c r="L1001" s="121" t="s">
        <v>200</v>
      </c>
      <c r="M1001" s="116">
        <v>45518</v>
      </c>
      <c r="N1001" s="115">
        <v>27</v>
      </c>
      <c r="O1001" s="115" t="s">
        <v>149</v>
      </c>
      <c r="P1001" s="115" t="s">
        <v>235</v>
      </c>
      <c r="Q1001" s="115" t="s">
        <v>313</v>
      </c>
      <c r="R1001" s="115" t="s">
        <v>34</v>
      </c>
      <c r="S1001" s="122">
        <v>1</v>
      </c>
    </row>
    <row r="1002" spans="10:19" x14ac:dyDescent="0.25">
      <c r="J1002" s="125" t="s">
        <v>2866</v>
      </c>
      <c r="K1002" s="115" t="s">
        <v>2867</v>
      </c>
      <c r="L1002" s="121" t="s">
        <v>200</v>
      </c>
      <c r="M1002" s="116">
        <v>45518</v>
      </c>
      <c r="N1002" s="115">
        <v>30</v>
      </c>
      <c r="O1002" s="115" t="s">
        <v>149</v>
      </c>
      <c r="P1002" s="115" t="s">
        <v>235</v>
      </c>
      <c r="Q1002" s="115" t="s">
        <v>313</v>
      </c>
      <c r="R1002" s="115" t="s">
        <v>34</v>
      </c>
      <c r="S1002" s="122">
        <v>1</v>
      </c>
    </row>
    <row r="1003" spans="10:19" x14ac:dyDescent="0.25">
      <c r="J1003" s="125" t="s">
        <v>2868</v>
      </c>
      <c r="K1003" s="115" t="s">
        <v>2869</v>
      </c>
      <c r="L1003" s="121" t="s">
        <v>200</v>
      </c>
      <c r="M1003" s="116">
        <v>45519</v>
      </c>
      <c r="N1003" s="115">
        <v>30</v>
      </c>
      <c r="O1003" s="115" t="s">
        <v>149</v>
      </c>
      <c r="P1003" s="115" t="s">
        <v>235</v>
      </c>
      <c r="Q1003" s="115" t="s">
        <v>313</v>
      </c>
      <c r="R1003" s="115" t="s">
        <v>34</v>
      </c>
      <c r="S1003" s="122">
        <v>1</v>
      </c>
    </row>
    <row r="1004" spans="10:19" x14ac:dyDescent="0.25">
      <c r="J1004" s="125" t="s">
        <v>2875</v>
      </c>
      <c r="K1004" s="115" t="s">
        <v>2876</v>
      </c>
      <c r="L1004" s="121" t="s">
        <v>200</v>
      </c>
      <c r="M1004" s="116">
        <v>45523</v>
      </c>
      <c r="N1004" s="115">
        <v>31</v>
      </c>
      <c r="O1004" s="115" t="s">
        <v>149</v>
      </c>
      <c r="P1004" s="115" t="s">
        <v>235</v>
      </c>
      <c r="Q1004" s="115" t="s">
        <v>313</v>
      </c>
      <c r="R1004" s="115" t="s">
        <v>68</v>
      </c>
      <c r="S1004" s="122">
        <v>1</v>
      </c>
    </row>
    <row r="1005" spans="10:19" x14ac:dyDescent="0.25">
      <c r="J1005" s="125" t="s">
        <v>2877</v>
      </c>
      <c r="K1005" s="115" t="s">
        <v>2878</v>
      </c>
      <c r="L1005" s="121" t="s">
        <v>200</v>
      </c>
      <c r="M1005" s="116">
        <v>45530</v>
      </c>
      <c r="N1005" s="115">
        <v>45</v>
      </c>
      <c r="O1005" s="115" t="s">
        <v>151</v>
      </c>
      <c r="P1005" s="115" t="s">
        <v>235</v>
      </c>
      <c r="Q1005" s="115" t="s">
        <v>313</v>
      </c>
      <c r="R1005" s="115" t="s">
        <v>34</v>
      </c>
      <c r="S1005" s="122">
        <v>1</v>
      </c>
    </row>
    <row r="1006" spans="10:19" x14ac:dyDescent="0.25">
      <c r="J1006" s="125" t="s">
        <v>2879</v>
      </c>
      <c r="K1006" s="115" t="s">
        <v>2880</v>
      </c>
      <c r="L1006" s="121" t="s">
        <v>200</v>
      </c>
      <c r="M1006" s="116">
        <v>45530</v>
      </c>
      <c r="N1006" s="115">
        <v>24</v>
      </c>
      <c r="O1006" s="115" t="s">
        <v>149</v>
      </c>
      <c r="P1006" s="115" t="s">
        <v>235</v>
      </c>
      <c r="Q1006" s="115" t="s">
        <v>313</v>
      </c>
      <c r="R1006" s="115" t="s">
        <v>34</v>
      </c>
      <c r="S1006" s="122">
        <v>1</v>
      </c>
    </row>
    <row r="1007" spans="10:19" x14ac:dyDescent="0.25">
      <c r="J1007" s="125" t="s">
        <v>2881</v>
      </c>
      <c r="K1007" s="115" t="s">
        <v>2882</v>
      </c>
      <c r="L1007" s="121" t="s">
        <v>200</v>
      </c>
      <c r="M1007" s="116">
        <v>45530</v>
      </c>
      <c r="N1007" s="115">
        <v>18</v>
      </c>
      <c r="O1007" s="115" t="s">
        <v>148</v>
      </c>
      <c r="P1007" s="115" t="s">
        <v>235</v>
      </c>
      <c r="Q1007" s="115" t="s">
        <v>313</v>
      </c>
      <c r="R1007" s="115" t="s">
        <v>34</v>
      </c>
      <c r="S1007" s="122">
        <v>1</v>
      </c>
    </row>
    <row r="1008" spans="10:19" x14ac:dyDescent="0.25">
      <c r="J1008" s="125">
        <v>75781464</v>
      </c>
      <c r="K1008" s="115" t="s">
        <v>2885</v>
      </c>
      <c r="L1008" s="121" t="s">
        <v>200</v>
      </c>
      <c r="M1008" s="116">
        <v>45495</v>
      </c>
      <c r="N1008" s="115">
        <v>21</v>
      </c>
      <c r="O1008" s="115" t="s">
        <v>148</v>
      </c>
      <c r="P1008" s="115" t="s">
        <v>235</v>
      </c>
      <c r="Q1008" s="115" t="s">
        <v>312</v>
      </c>
      <c r="R1008" s="115" t="s">
        <v>34</v>
      </c>
      <c r="S1008" s="122">
        <v>1</v>
      </c>
    </row>
    <row r="1009" spans="10:19" x14ac:dyDescent="0.25">
      <c r="J1009" s="125">
        <v>70566587</v>
      </c>
      <c r="K1009" s="115" t="s">
        <v>2886</v>
      </c>
      <c r="L1009" s="121" t="s">
        <v>200</v>
      </c>
      <c r="M1009" s="116">
        <v>45493</v>
      </c>
      <c r="N1009" s="115">
        <v>25</v>
      </c>
      <c r="O1009" s="115" t="s">
        <v>149</v>
      </c>
      <c r="P1009" s="115" t="s">
        <v>235</v>
      </c>
      <c r="Q1009" s="115" t="s">
        <v>312</v>
      </c>
      <c r="R1009" s="115" t="s">
        <v>34</v>
      </c>
      <c r="S1009" s="122">
        <v>1</v>
      </c>
    </row>
    <row r="1010" spans="10:19" x14ac:dyDescent="0.25">
      <c r="J1010" s="125">
        <v>73778589</v>
      </c>
      <c r="K1010" s="115" t="s">
        <v>2889</v>
      </c>
      <c r="L1010" s="121" t="s">
        <v>200</v>
      </c>
      <c r="M1010" s="116">
        <v>45470</v>
      </c>
      <c r="N1010" s="115">
        <v>25</v>
      </c>
      <c r="O1010" s="115" t="s">
        <v>149</v>
      </c>
      <c r="P1010" s="115" t="s">
        <v>235</v>
      </c>
      <c r="Q1010" s="115" t="s">
        <v>312</v>
      </c>
      <c r="R1010" s="115" t="s">
        <v>34</v>
      </c>
      <c r="S1010" s="122">
        <v>1</v>
      </c>
    </row>
    <row r="1011" spans="10:19" x14ac:dyDescent="0.25">
      <c r="J1011" s="125">
        <v>10818778</v>
      </c>
      <c r="K1011" s="115" t="s">
        <v>2890</v>
      </c>
      <c r="L1011" s="121" t="s">
        <v>200</v>
      </c>
      <c r="M1011" s="116">
        <v>45176</v>
      </c>
      <c r="N1011" s="115">
        <v>46</v>
      </c>
      <c r="O1011" s="115" t="s">
        <v>151</v>
      </c>
      <c r="P1011" s="115" t="s">
        <v>162</v>
      </c>
      <c r="Q1011" s="115" t="s">
        <v>313</v>
      </c>
      <c r="R1011" s="115" t="s">
        <v>68</v>
      </c>
      <c r="S1011" s="122">
        <v>1</v>
      </c>
    </row>
    <row r="1012" spans="10:19" x14ac:dyDescent="0.25">
      <c r="J1012" s="125" t="s">
        <v>2891</v>
      </c>
      <c r="K1012" s="115" t="s">
        <v>2892</v>
      </c>
      <c r="L1012" s="121" t="s">
        <v>200</v>
      </c>
      <c r="M1012" s="116">
        <v>45504</v>
      </c>
      <c r="N1012" s="115">
        <v>38</v>
      </c>
      <c r="O1012" s="115" t="s">
        <v>150</v>
      </c>
      <c r="P1012" s="115" t="s">
        <v>235</v>
      </c>
      <c r="Q1012" s="115" t="s">
        <v>313</v>
      </c>
      <c r="R1012" s="115" t="s">
        <v>34</v>
      </c>
      <c r="S1012" s="122">
        <v>1</v>
      </c>
    </row>
    <row r="1013" spans="10:19" x14ac:dyDescent="0.25">
      <c r="J1013" s="125" t="s">
        <v>2893</v>
      </c>
      <c r="K1013" s="115" t="s">
        <v>2894</v>
      </c>
      <c r="L1013" s="121" t="s">
        <v>200</v>
      </c>
      <c r="M1013" s="116">
        <v>45503</v>
      </c>
      <c r="N1013" s="115">
        <v>34</v>
      </c>
      <c r="O1013" s="115" t="s">
        <v>150</v>
      </c>
      <c r="P1013" s="115" t="s">
        <v>235</v>
      </c>
      <c r="Q1013" s="115" t="s">
        <v>313</v>
      </c>
      <c r="R1013" s="115" t="s">
        <v>34</v>
      </c>
      <c r="S1013" s="122">
        <v>1</v>
      </c>
    </row>
    <row r="1014" spans="10:19" x14ac:dyDescent="0.25">
      <c r="J1014" s="125" t="s">
        <v>2895</v>
      </c>
      <c r="K1014" s="115" t="s">
        <v>2896</v>
      </c>
      <c r="L1014" s="121" t="s">
        <v>200</v>
      </c>
      <c r="M1014" s="116">
        <v>45503</v>
      </c>
      <c r="N1014" s="115">
        <v>20</v>
      </c>
      <c r="O1014" s="115" t="s">
        <v>148</v>
      </c>
      <c r="P1014" s="115" t="s">
        <v>235</v>
      </c>
      <c r="Q1014" s="115" t="s">
        <v>313</v>
      </c>
      <c r="R1014" s="115" t="s">
        <v>72</v>
      </c>
      <c r="S1014" s="122">
        <v>1</v>
      </c>
    </row>
    <row r="1015" spans="10:19" x14ac:dyDescent="0.25">
      <c r="J1015" s="125" t="s">
        <v>2897</v>
      </c>
      <c r="K1015" s="115" t="s">
        <v>2898</v>
      </c>
      <c r="L1015" s="121" t="s">
        <v>200</v>
      </c>
      <c r="M1015" s="116">
        <v>45503</v>
      </c>
      <c r="N1015" s="115">
        <v>49</v>
      </c>
      <c r="O1015" s="115" t="s">
        <v>151</v>
      </c>
      <c r="P1015" s="115" t="s">
        <v>235</v>
      </c>
      <c r="Q1015" s="115" t="s">
        <v>313</v>
      </c>
      <c r="R1015" s="115" t="s">
        <v>34</v>
      </c>
      <c r="S1015" s="122">
        <v>1</v>
      </c>
    </row>
    <row r="1016" spans="10:19" x14ac:dyDescent="0.25">
      <c r="J1016" s="125" t="s">
        <v>2899</v>
      </c>
      <c r="K1016" s="115" t="s">
        <v>2900</v>
      </c>
      <c r="L1016" s="121" t="s">
        <v>200</v>
      </c>
      <c r="M1016" s="116">
        <v>45503</v>
      </c>
      <c r="N1016" s="115">
        <v>21</v>
      </c>
      <c r="O1016" s="115" t="s">
        <v>148</v>
      </c>
      <c r="P1016" s="115" t="s">
        <v>235</v>
      </c>
      <c r="Q1016" s="115" t="s">
        <v>313</v>
      </c>
      <c r="R1016" s="115" t="s">
        <v>34</v>
      </c>
      <c r="S1016" s="122">
        <v>1</v>
      </c>
    </row>
    <row r="1017" spans="10:19" x14ac:dyDescent="0.25">
      <c r="J1017" s="125" t="s">
        <v>2901</v>
      </c>
      <c r="K1017" s="115" t="s">
        <v>2902</v>
      </c>
      <c r="L1017" s="121" t="s">
        <v>200</v>
      </c>
      <c r="M1017" s="116">
        <v>45513</v>
      </c>
      <c r="N1017" s="115">
        <v>47</v>
      </c>
      <c r="O1017" s="115" t="s">
        <v>151</v>
      </c>
      <c r="P1017" s="115" t="s">
        <v>235</v>
      </c>
      <c r="Q1017" s="115" t="s">
        <v>313</v>
      </c>
      <c r="R1017" s="115" t="s">
        <v>36</v>
      </c>
      <c r="S1017" s="122">
        <v>1</v>
      </c>
    </row>
    <row r="1018" spans="10:19" x14ac:dyDescent="0.25">
      <c r="J1018" s="125" t="s">
        <v>2903</v>
      </c>
      <c r="K1018" s="115" t="s">
        <v>2904</v>
      </c>
      <c r="L1018" s="121" t="s">
        <v>200</v>
      </c>
      <c r="M1018" s="116">
        <v>45513</v>
      </c>
      <c r="N1018" s="115">
        <v>46</v>
      </c>
      <c r="O1018" s="115" t="s">
        <v>151</v>
      </c>
      <c r="P1018" s="115" t="s">
        <v>235</v>
      </c>
      <c r="Q1018" s="115" t="s">
        <v>313</v>
      </c>
      <c r="R1018" s="115" t="s">
        <v>34</v>
      </c>
      <c r="S1018" s="122">
        <v>1</v>
      </c>
    </row>
    <row r="1019" spans="10:19" x14ac:dyDescent="0.25">
      <c r="J1019" s="125" t="s">
        <v>2908</v>
      </c>
      <c r="K1019" s="115" t="s">
        <v>2909</v>
      </c>
      <c r="L1019" s="121" t="s">
        <v>200</v>
      </c>
      <c r="M1019" s="116">
        <v>45519</v>
      </c>
      <c r="N1019" s="115">
        <v>39</v>
      </c>
      <c r="O1019" s="115" t="s">
        <v>150</v>
      </c>
      <c r="P1019" s="115" t="s">
        <v>235</v>
      </c>
      <c r="Q1019" s="115" t="s">
        <v>313</v>
      </c>
      <c r="R1019" s="115" t="s">
        <v>68</v>
      </c>
      <c r="S1019" s="122">
        <v>1</v>
      </c>
    </row>
    <row r="1020" spans="10:19" x14ac:dyDescent="0.25">
      <c r="J1020" s="125" t="s">
        <v>2910</v>
      </c>
      <c r="K1020" s="115" t="s">
        <v>2911</v>
      </c>
      <c r="L1020" s="121" t="s">
        <v>200</v>
      </c>
      <c r="M1020" s="116">
        <v>45519</v>
      </c>
      <c r="N1020" s="115">
        <v>44</v>
      </c>
      <c r="O1020" s="115" t="s">
        <v>151</v>
      </c>
      <c r="P1020" s="115" t="s">
        <v>235</v>
      </c>
      <c r="Q1020" s="115" t="s">
        <v>313</v>
      </c>
      <c r="R1020" s="115" t="s">
        <v>68</v>
      </c>
      <c r="S1020" s="122">
        <v>1</v>
      </c>
    </row>
    <row r="1021" spans="10:19" x14ac:dyDescent="0.25">
      <c r="J1021" s="125" t="s">
        <v>2914</v>
      </c>
      <c r="K1021" s="115" t="s">
        <v>2915</v>
      </c>
      <c r="L1021" s="121" t="s">
        <v>200</v>
      </c>
      <c r="M1021" s="116">
        <v>45532</v>
      </c>
      <c r="N1021" s="115">
        <v>27</v>
      </c>
      <c r="O1021" s="115" t="s">
        <v>149</v>
      </c>
      <c r="P1021" s="115" t="s">
        <v>235</v>
      </c>
      <c r="Q1021" s="115" t="s">
        <v>313</v>
      </c>
      <c r="R1021" s="115" t="s">
        <v>34</v>
      </c>
      <c r="S1021" s="122">
        <v>1</v>
      </c>
    </row>
    <row r="1022" spans="10:19" x14ac:dyDescent="0.25">
      <c r="J1022" s="125" t="s">
        <v>2919</v>
      </c>
      <c r="K1022" s="115" t="s">
        <v>816</v>
      </c>
      <c r="L1022" s="121" t="s">
        <v>201</v>
      </c>
      <c r="M1022" s="116">
        <v>45505</v>
      </c>
      <c r="N1022" s="115">
        <v>37</v>
      </c>
      <c r="O1022" s="115" t="s">
        <v>150</v>
      </c>
      <c r="P1022" s="115" t="s">
        <v>235</v>
      </c>
      <c r="Q1022" s="115" t="s">
        <v>313</v>
      </c>
      <c r="R1022" s="115" t="s">
        <v>68</v>
      </c>
      <c r="S1022" s="122">
        <v>1</v>
      </c>
    </row>
    <row r="1023" spans="10:19" x14ac:dyDescent="0.25">
      <c r="J1023" s="125">
        <v>42423671</v>
      </c>
      <c r="K1023" s="115" t="s">
        <v>2921</v>
      </c>
      <c r="L1023" s="121" t="s">
        <v>200</v>
      </c>
      <c r="M1023" s="116">
        <v>45518</v>
      </c>
      <c r="N1023" s="115">
        <v>40</v>
      </c>
      <c r="O1023" s="115" t="s">
        <v>150</v>
      </c>
      <c r="P1023" s="115" t="s">
        <v>235</v>
      </c>
      <c r="Q1023" s="115" t="s">
        <v>313</v>
      </c>
      <c r="R1023" s="115" t="s">
        <v>105</v>
      </c>
      <c r="S1023" s="122">
        <v>1</v>
      </c>
    </row>
    <row r="1024" spans="10:19" x14ac:dyDescent="0.25">
      <c r="J1024" s="125">
        <v>46900605</v>
      </c>
      <c r="K1024" s="115" t="s">
        <v>2922</v>
      </c>
      <c r="L1024" s="121" t="s">
        <v>200</v>
      </c>
      <c r="M1024" s="116">
        <v>45519</v>
      </c>
      <c r="N1024" s="115">
        <v>33</v>
      </c>
      <c r="O1024" s="115" t="s">
        <v>150</v>
      </c>
      <c r="P1024" s="115" t="s">
        <v>235</v>
      </c>
      <c r="Q1024" s="115" t="s">
        <v>313</v>
      </c>
      <c r="R1024" s="115" t="s">
        <v>34</v>
      </c>
      <c r="S1024" s="122">
        <v>1</v>
      </c>
    </row>
    <row r="1025" spans="10:19" x14ac:dyDescent="0.25">
      <c r="J1025" s="125">
        <v>44662243</v>
      </c>
      <c r="K1025" s="115" t="s">
        <v>1132</v>
      </c>
      <c r="L1025" s="121" t="s">
        <v>200</v>
      </c>
      <c r="M1025" s="116">
        <v>45532</v>
      </c>
      <c r="N1025" s="115">
        <v>37</v>
      </c>
      <c r="O1025" s="115" t="s">
        <v>150</v>
      </c>
      <c r="P1025" s="115" t="s">
        <v>235</v>
      </c>
      <c r="Q1025" s="115" t="s">
        <v>313</v>
      </c>
      <c r="R1025" s="115" t="s">
        <v>68</v>
      </c>
      <c r="S1025" s="122">
        <v>1</v>
      </c>
    </row>
    <row r="1026" spans="10:19" x14ac:dyDescent="0.25">
      <c r="J1026" s="125">
        <v>71751514</v>
      </c>
      <c r="K1026" s="115" t="s">
        <v>2930</v>
      </c>
      <c r="L1026" s="121" t="s">
        <v>200</v>
      </c>
      <c r="M1026" s="116">
        <v>45533</v>
      </c>
      <c r="N1026" s="115">
        <v>32</v>
      </c>
      <c r="O1026" s="115" t="s">
        <v>150</v>
      </c>
      <c r="P1026" s="115" t="s">
        <v>235</v>
      </c>
      <c r="Q1026" s="115" t="s">
        <v>313</v>
      </c>
      <c r="R1026" s="115" t="s">
        <v>34</v>
      </c>
      <c r="S1026" s="122">
        <v>1</v>
      </c>
    </row>
    <row r="1027" spans="10:19" x14ac:dyDescent="0.25">
      <c r="J1027" s="125">
        <v>42979188</v>
      </c>
      <c r="K1027" s="115" t="s">
        <v>2933</v>
      </c>
      <c r="L1027" s="121" t="s">
        <v>200</v>
      </c>
      <c r="M1027" s="116">
        <v>45533</v>
      </c>
      <c r="N1027" s="115">
        <v>39</v>
      </c>
      <c r="O1027" s="115" t="s">
        <v>150</v>
      </c>
      <c r="P1027" s="115" t="s">
        <v>235</v>
      </c>
      <c r="Q1027" s="115" t="s">
        <v>313</v>
      </c>
      <c r="R1027" s="115" t="s">
        <v>34</v>
      </c>
      <c r="S1027" s="122">
        <v>1</v>
      </c>
    </row>
    <row r="1028" spans="10:19" x14ac:dyDescent="0.25">
      <c r="J1028" s="125" t="s">
        <v>2936</v>
      </c>
      <c r="K1028" s="115" t="s">
        <v>2937</v>
      </c>
      <c r="L1028" s="121" t="s">
        <v>200</v>
      </c>
      <c r="M1028" s="116">
        <v>45520</v>
      </c>
      <c r="N1028" s="115">
        <v>28</v>
      </c>
      <c r="O1028" s="115" t="s">
        <v>149</v>
      </c>
      <c r="P1028" s="115" t="s">
        <v>1764</v>
      </c>
      <c r="Q1028" s="115" t="s">
        <v>312</v>
      </c>
      <c r="R1028" s="115" t="s">
        <v>34</v>
      </c>
      <c r="S1028" s="122">
        <v>1</v>
      </c>
    </row>
    <row r="1029" spans="10:19" x14ac:dyDescent="0.25">
      <c r="J1029" s="125" t="s">
        <v>2938</v>
      </c>
      <c r="K1029" s="115" t="s">
        <v>2939</v>
      </c>
      <c r="L1029" s="121" t="s">
        <v>200</v>
      </c>
      <c r="M1029" s="116">
        <v>45505</v>
      </c>
      <c r="N1029" s="115">
        <v>45</v>
      </c>
      <c r="O1029" s="115" t="s">
        <v>151</v>
      </c>
      <c r="P1029" s="115" t="s">
        <v>162</v>
      </c>
      <c r="Q1029" s="115" t="s">
        <v>313</v>
      </c>
      <c r="R1029" s="115" t="s">
        <v>34</v>
      </c>
      <c r="S1029" s="122">
        <v>1</v>
      </c>
    </row>
    <row r="1030" spans="10:19" x14ac:dyDescent="0.25">
      <c r="J1030" s="125" t="s">
        <v>2941</v>
      </c>
      <c r="K1030" s="115" t="s">
        <v>2942</v>
      </c>
      <c r="L1030" s="121" t="s">
        <v>200</v>
      </c>
      <c r="M1030" s="116">
        <v>45505</v>
      </c>
      <c r="N1030" s="115">
        <v>45</v>
      </c>
      <c r="O1030" s="115" t="s">
        <v>151</v>
      </c>
      <c r="P1030" s="115" t="s">
        <v>162</v>
      </c>
      <c r="Q1030" s="115" t="s">
        <v>313</v>
      </c>
      <c r="R1030" s="115" t="s">
        <v>34</v>
      </c>
      <c r="S1030" s="122">
        <v>1</v>
      </c>
    </row>
    <row r="1031" spans="10:19" x14ac:dyDescent="0.25">
      <c r="J1031" s="125" t="s">
        <v>2943</v>
      </c>
      <c r="K1031" s="115" t="s">
        <v>2944</v>
      </c>
      <c r="L1031" s="121" t="s">
        <v>200</v>
      </c>
      <c r="M1031" s="116">
        <v>45507</v>
      </c>
      <c r="N1031" s="115">
        <v>52</v>
      </c>
      <c r="O1031" s="115" t="s">
        <v>152</v>
      </c>
      <c r="P1031" s="115" t="s">
        <v>162</v>
      </c>
      <c r="Q1031" s="115" t="s">
        <v>313</v>
      </c>
      <c r="R1031" s="115" t="s">
        <v>34</v>
      </c>
      <c r="S1031" s="122">
        <v>1</v>
      </c>
    </row>
    <row r="1032" spans="10:19" x14ac:dyDescent="0.25">
      <c r="J1032" s="125" t="s">
        <v>2947</v>
      </c>
      <c r="K1032" s="115" t="s">
        <v>2948</v>
      </c>
      <c r="L1032" s="121" t="s">
        <v>200</v>
      </c>
      <c r="M1032" s="116">
        <v>45509</v>
      </c>
      <c r="N1032" s="115">
        <v>61</v>
      </c>
      <c r="O1032" s="115" t="s">
        <v>153</v>
      </c>
      <c r="P1032" s="115" t="s">
        <v>162</v>
      </c>
      <c r="Q1032" s="115" t="s">
        <v>313</v>
      </c>
      <c r="R1032" s="115" t="s">
        <v>34</v>
      </c>
      <c r="S1032" s="122">
        <v>1</v>
      </c>
    </row>
    <row r="1033" spans="10:19" x14ac:dyDescent="0.25">
      <c r="J1033" s="125" t="s">
        <v>2949</v>
      </c>
      <c r="K1033" s="115" t="s">
        <v>2950</v>
      </c>
      <c r="L1033" s="121" t="s">
        <v>200</v>
      </c>
      <c r="M1033" s="116">
        <v>45514</v>
      </c>
      <c r="N1033" s="115">
        <v>49</v>
      </c>
      <c r="O1033" s="115" t="s">
        <v>151</v>
      </c>
      <c r="P1033" s="115" t="s">
        <v>162</v>
      </c>
      <c r="Q1033" s="115" t="s">
        <v>313</v>
      </c>
      <c r="R1033" s="115" t="s">
        <v>72</v>
      </c>
      <c r="S1033" s="122">
        <v>1</v>
      </c>
    </row>
    <row r="1034" spans="10:19" x14ac:dyDescent="0.25">
      <c r="J1034" s="125" t="s">
        <v>2959</v>
      </c>
      <c r="K1034" s="115" t="s">
        <v>2960</v>
      </c>
      <c r="L1034" s="121" t="s">
        <v>201</v>
      </c>
      <c r="M1034" s="116">
        <v>45017</v>
      </c>
      <c r="N1034" s="115">
        <v>23</v>
      </c>
      <c r="O1034" s="115" t="s">
        <v>148</v>
      </c>
      <c r="P1034" s="115" t="s">
        <v>235</v>
      </c>
      <c r="Q1034" s="115" t="s">
        <v>313</v>
      </c>
      <c r="R1034" s="115" t="s">
        <v>68</v>
      </c>
      <c r="S1034" s="122">
        <v>1</v>
      </c>
    </row>
    <row r="1035" spans="10:19" x14ac:dyDescent="0.25">
      <c r="J1035" s="125" t="s">
        <v>2970</v>
      </c>
      <c r="K1035" s="115" t="s">
        <v>2971</v>
      </c>
      <c r="L1035" s="121" t="s">
        <v>200</v>
      </c>
      <c r="M1035" s="116">
        <v>45364</v>
      </c>
      <c r="N1035" s="115">
        <v>24</v>
      </c>
      <c r="O1035" s="115" t="s">
        <v>149</v>
      </c>
      <c r="P1035" s="115" t="s">
        <v>235</v>
      </c>
      <c r="Q1035" s="115" t="s">
        <v>313</v>
      </c>
      <c r="R1035" s="115" t="s">
        <v>34</v>
      </c>
      <c r="S1035" s="122">
        <v>1</v>
      </c>
    </row>
    <row r="1036" spans="10:19" x14ac:dyDescent="0.25">
      <c r="J1036" s="125" t="s">
        <v>2957</v>
      </c>
      <c r="K1036" s="115" t="s">
        <v>2958</v>
      </c>
      <c r="L1036" s="121" t="s">
        <v>200</v>
      </c>
      <c r="M1036" s="116">
        <v>44928</v>
      </c>
      <c r="N1036" s="115">
        <v>36</v>
      </c>
      <c r="O1036" s="115" t="s">
        <v>150</v>
      </c>
      <c r="P1036" s="115" t="s">
        <v>235</v>
      </c>
      <c r="Q1036" s="115" t="s">
        <v>313</v>
      </c>
      <c r="R1036" s="115" t="s">
        <v>36</v>
      </c>
      <c r="S1036" s="122">
        <v>1</v>
      </c>
    </row>
    <row r="1037" spans="10:19" x14ac:dyDescent="0.25">
      <c r="J1037" s="125" t="s">
        <v>2981</v>
      </c>
      <c r="K1037" s="115" t="s">
        <v>2982</v>
      </c>
      <c r="L1037" s="121" t="s">
        <v>200</v>
      </c>
      <c r="M1037" s="116">
        <v>45421</v>
      </c>
      <c r="N1037" s="115">
        <v>37</v>
      </c>
      <c r="O1037" s="115" t="s">
        <v>150</v>
      </c>
      <c r="P1037" s="115" t="s">
        <v>235</v>
      </c>
      <c r="Q1037" s="115" t="s">
        <v>313</v>
      </c>
      <c r="R1037" s="115" t="s">
        <v>68</v>
      </c>
      <c r="S1037" s="122">
        <v>1</v>
      </c>
    </row>
    <row r="1038" spans="10:19" x14ac:dyDescent="0.25">
      <c r="J1038" s="125" t="s">
        <v>2984</v>
      </c>
      <c r="K1038" s="115" t="s">
        <v>2985</v>
      </c>
      <c r="L1038" s="121" t="s">
        <v>200</v>
      </c>
      <c r="M1038" s="116">
        <v>45420</v>
      </c>
      <c r="N1038" s="115">
        <v>39</v>
      </c>
      <c r="O1038" s="115" t="s">
        <v>150</v>
      </c>
      <c r="P1038" s="115" t="s">
        <v>235</v>
      </c>
      <c r="Q1038" s="115" t="s">
        <v>313</v>
      </c>
      <c r="R1038" s="115" t="s">
        <v>68</v>
      </c>
      <c r="S1038" s="122">
        <v>1</v>
      </c>
    </row>
    <row r="1039" spans="10:19" x14ac:dyDescent="0.25">
      <c r="J1039" s="125" t="s">
        <v>2991</v>
      </c>
      <c r="K1039" s="115" t="s">
        <v>2992</v>
      </c>
      <c r="L1039" s="121" t="s">
        <v>200</v>
      </c>
      <c r="M1039" s="116">
        <v>45518</v>
      </c>
      <c r="N1039" s="115">
        <v>37</v>
      </c>
      <c r="O1039" s="115" t="s">
        <v>150</v>
      </c>
      <c r="P1039" s="115" t="s">
        <v>235</v>
      </c>
      <c r="Q1039" s="115" t="s">
        <v>313</v>
      </c>
      <c r="R1039" s="115" t="s">
        <v>68</v>
      </c>
      <c r="S1039" s="122">
        <v>1</v>
      </c>
    </row>
    <row r="1040" spans="10:19" x14ac:dyDescent="0.25">
      <c r="J1040" s="125" t="s">
        <v>2993</v>
      </c>
      <c r="K1040" s="115" t="s">
        <v>2994</v>
      </c>
      <c r="L1040" s="121" t="s">
        <v>200</v>
      </c>
      <c r="M1040" s="116">
        <v>43857</v>
      </c>
      <c r="N1040" s="115">
        <v>43</v>
      </c>
      <c r="O1040" s="115" t="s">
        <v>151</v>
      </c>
      <c r="P1040" s="115" t="s">
        <v>235</v>
      </c>
      <c r="Q1040" s="115" t="s">
        <v>313</v>
      </c>
      <c r="R1040" s="115" t="s">
        <v>34</v>
      </c>
      <c r="S1040" s="122">
        <v>1</v>
      </c>
    </row>
    <row r="1041" spans="10:19" x14ac:dyDescent="0.25">
      <c r="J1041" s="125">
        <v>76903068</v>
      </c>
      <c r="K1041" s="115" t="s">
        <v>3009</v>
      </c>
      <c r="L1041" s="121" t="s">
        <v>200</v>
      </c>
      <c r="M1041" s="116">
        <v>45546</v>
      </c>
      <c r="N1041" s="115">
        <v>25</v>
      </c>
      <c r="O1041" s="115" t="s">
        <v>149</v>
      </c>
      <c r="P1041" s="115" t="s">
        <v>235</v>
      </c>
      <c r="Q1041" s="115" t="s">
        <v>312</v>
      </c>
      <c r="R1041" s="115" t="s">
        <v>34</v>
      </c>
      <c r="S1041" s="122">
        <v>1</v>
      </c>
    </row>
    <row r="1042" spans="10:19" x14ac:dyDescent="0.25">
      <c r="J1042" s="125">
        <v>46017760</v>
      </c>
      <c r="K1042" s="115" t="s">
        <v>3015</v>
      </c>
      <c r="L1042" s="121" t="s">
        <v>200</v>
      </c>
      <c r="M1042" s="116">
        <v>45534</v>
      </c>
      <c r="N1042" s="115">
        <v>35</v>
      </c>
      <c r="O1042" s="115" t="s">
        <v>150</v>
      </c>
      <c r="P1042" s="115" t="s">
        <v>235</v>
      </c>
      <c r="Q1042" s="115" t="s">
        <v>312</v>
      </c>
      <c r="R1042" s="115" t="s">
        <v>68</v>
      </c>
      <c r="S1042" s="122">
        <v>1</v>
      </c>
    </row>
    <row r="1043" spans="10:19" x14ac:dyDescent="0.25">
      <c r="J1043" s="125">
        <v>72909572</v>
      </c>
      <c r="K1043" s="115" t="s">
        <v>3018</v>
      </c>
      <c r="L1043" s="121" t="s">
        <v>200</v>
      </c>
      <c r="M1043" s="116">
        <v>45540</v>
      </c>
      <c r="N1043" s="115">
        <v>26</v>
      </c>
      <c r="O1043" s="115" t="s">
        <v>149</v>
      </c>
      <c r="P1043" s="115" t="s">
        <v>235</v>
      </c>
      <c r="Q1043" s="115" t="s">
        <v>312</v>
      </c>
      <c r="R1043" s="115" t="s">
        <v>34</v>
      </c>
      <c r="S1043" s="122">
        <v>1</v>
      </c>
    </row>
    <row r="1044" spans="10:19" x14ac:dyDescent="0.25">
      <c r="J1044" s="125" t="s">
        <v>3019</v>
      </c>
      <c r="K1044" s="115" t="s">
        <v>3020</v>
      </c>
      <c r="L1044" s="121" t="s">
        <v>200</v>
      </c>
      <c r="M1044" s="116">
        <v>45552</v>
      </c>
      <c r="N1044" s="115">
        <v>21</v>
      </c>
      <c r="O1044" s="115" t="s">
        <v>148</v>
      </c>
      <c r="P1044" s="115" t="s">
        <v>235</v>
      </c>
      <c r="Q1044" s="115" t="s">
        <v>313</v>
      </c>
      <c r="R1044" s="115" t="s">
        <v>34</v>
      </c>
      <c r="S1044" s="122">
        <v>1</v>
      </c>
    </row>
    <row r="1045" spans="10:19" x14ac:dyDescent="0.25">
      <c r="J1045" s="125" t="s">
        <v>3022</v>
      </c>
      <c r="K1045" s="115" t="s">
        <v>3023</v>
      </c>
      <c r="L1045" s="121" t="s">
        <v>200</v>
      </c>
      <c r="M1045" s="116">
        <v>45559</v>
      </c>
      <c r="N1045" s="115">
        <v>55</v>
      </c>
      <c r="O1045" s="115" t="s">
        <v>152</v>
      </c>
      <c r="P1045" s="115" t="s">
        <v>235</v>
      </c>
      <c r="Q1045" s="115" t="s">
        <v>313</v>
      </c>
      <c r="R1045" s="115" t="s">
        <v>35</v>
      </c>
      <c r="S1045" s="122">
        <v>1</v>
      </c>
    </row>
    <row r="1046" spans="10:19" x14ac:dyDescent="0.25">
      <c r="J1046" s="125" t="s">
        <v>3024</v>
      </c>
      <c r="K1046" s="115" t="s">
        <v>3025</v>
      </c>
      <c r="L1046" s="121" t="s">
        <v>200</v>
      </c>
      <c r="M1046" s="116">
        <v>45561</v>
      </c>
      <c r="N1046" s="115">
        <v>58</v>
      </c>
      <c r="O1046" s="115" t="s">
        <v>152</v>
      </c>
      <c r="P1046" s="115" t="s">
        <v>235</v>
      </c>
      <c r="Q1046" s="115" t="s">
        <v>313</v>
      </c>
      <c r="R1046" s="115" t="s">
        <v>34</v>
      </c>
      <c r="S1046" s="122">
        <v>1</v>
      </c>
    </row>
    <row r="1047" spans="10:19" x14ac:dyDescent="0.25">
      <c r="J1047" s="125">
        <v>10510333</v>
      </c>
      <c r="K1047" s="115" t="s">
        <v>3027</v>
      </c>
      <c r="L1047" s="121" t="s">
        <v>200</v>
      </c>
      <c r="M1047" s="116">
        <v>45548</v>
      </c>
      <c r="N1047" s="115">
        <v>51</v>
      </c>
      <c r="O1047" s="115" t="s">
        <v>152</v>
      </c>
      <c r="P1047" s="115" t="s">
        <v>235</v>
      </c>
      <c r="Q1047" s="115" t="s">
        <v>313</v>
      </c>
      <c r="R1047" s="115" t="s">
        <v>34</v>
      </c>
      <c r="S1047" s="122">
        <v>1</v>
      </c>
    </row>
    <row r="1048" spans="10:19" x14ac:dyDescent="0.25">
      <c r="J1048" s="125" t="s">
        <v>3049</v>
      </c>
      <c r="K1048" s="115" t="s">
        <v>3050</v>
      </c>
      <c r="L1048" s="121" t="s">
        <v>200</v>
      </c>
      <c r="M1048" s="116">
        <v>45539</v>
      </c>
      <c r="N1048" s="115">
        <v>56</v>
      </c>
      <c r="O1048" s="115" t="s">
        <v>152</v>
      </c>
      <c r="P1048" s="115" t="s">
        <v>235</v>
      </c>
      <c r="Q1048" s="115" t="s">
        <v>313</v>
      </c>
      <c r="R1048" s="115" t="s">
        <v>68</v>
      </c>
      <c r="S1048" s="122">
        <v>1</v>
      </c>
    </row>
    <row r="1049" spans="10:19" x14ac:dyDescent="0.25">
      <c r="J1049" s="125">
        <v>44245006</v>
      </c>
      <c r="K1049" s="115" t="s">
        <v>3053</v>
      </c>
      <c r="L1049" s="121" t="s">
        <v>200</v>
      </c>
      <c r="M1049" s="116">
        <v>45554</v>
      </c>
      <c r="N1049" s="115">
        <v>38</v>
      </c>
      <c r="O1049" s="115" t="s">
        <v>150</v>
      </c>
      <c r="P1049" s="115" t="s">
        <v>235</v>
      </c>
      <c r="Q1049" s="115" t="s">
        <v>313</v>
      </c>
      <c r="R1049" s="115" t="s">
        <v>35</v>
      </c>
      <c r="S1049" s="122">
        <v>1</v>
      </c>
    </row>
    <row r="1050" spans="10:19" x14ac:dyDescent="0.25">
      <c r="J1050" s="125">
        <v>42322415</v>
      </c>
      <c r="K1050" s="115" t="s">
        <v>3054</v>
      </c>
      <c r="L1050" s="121" t="s">
        <v>200</v>
      </c>
      <c r="M1050" s="116">
        <v>45535</v>
      </c>
      <c r="N1050" s="115">
        <v>40</v>
      </c>
      <c r="O1050" s="115" t="s">
        <v>150</v>
      </c>
      <c r="P1050" s="115" t="s">
        <v>235</v>
      </c>
      <c r="Q1050" s="115" t="s">
        <v>313</v>
      </c>
      <c r="R1050" s="115" t="s">
        <v>35</v>
      </c>
      <c r="S1050" s="122">
        <v>0.5</v>
      </c>
    </row>
    <row r="1051" spans="10:19" x14ac:dyDescent="0.25">
      <c r="J1051" s="126"/>
      <c r="K1051" s="117"/>
      <c r="L1051" s="110"/>
      <c r="M1051" s="116">
        <v>45544</v>
      </c>
      <c r="N1051" s="115">
        <v>40</v>
      </c>
      <c r="O1051" s="115" t="s">
        <v>150</v>
      </c>
      <c r="P1051" s="115" t="s">
        <v>235</v>
      </c>
      <c r="Q1051" s="115" t="s">
        <v>313</v>
      </c>
      <c r="R1051" s="115" t="s">
        <v>35</v>
      </c>
      <c r="S1051" s="122">
        <v>0.5</v>
      </c>
    </row>
    <row r="1052" spans="10:19" x14ac:dyDescent="0.25">
      <c r="J1052" s="125">
        <v>47473411</v>
      </c>
      <c r="K1052" s="115" t="s">
        <v>3073</v>
      </c>
      <c r="L1052" s="121" t="s">
        <v>200</v>
      </c>
      <c r="M1052" s="116">
        <v>45558</v>
      </c>
      <c r="N1052" s="115">
        <v>32</v>
      </c>
      <c r="O1052" s="115" t="s">
        <v>150</v>
      </c>
      <c r="P1052" s="115" t="s">
        <v>235</v>
      </c>
      <c r="Q1052" s="115" t="s">
        <v>313</v>
      </c>
      <c r="R1052" s="115" t="s">
        <v>68</v>
      </c>
      <c r="S1052" s="122">
        <v>1</v>
      </c>
    </row>
    <row r="1053" spans="10:19" x14ac:dyDescent="0.25">
      <c r="J1053" s="125">
        <v>74342499</v>
      </c>
      <c r="K1053" s="115" t="s">
        <v>3075</v>
      </c>
      <c r="L1053" s="121" t="s">
        <v>200</v>
      </c>
      <c r="M1053" s="116">
        <v>45529</v>
      </c>
      <c r="N1053" s="115">
        <v>28</v>
      </c>
      <c r="O1053" s="115" t="s">
        <v>149</v>
      </c>
      <c r="P1053" s="115" t="s">
        <v>235</v>
      </c>
      <c r="Q1053" s="115" t="s">
        <v>313</v>
      </c>
      <c r="R1053" s="115" t="s">
        <v>34</v>
      </c>
      <c r="S1053" s="122">
        <v>1</v>
      </c>
    </row>
    <row r="1054" spans="10:19" x14ac:dyDescent="0.25">
      <c r="J1054" s="125">
        <v>40229345</v>
      </c>
      <c r="K1054" s="115" t="s">
        <v>3080</v>
      </c>
      <c r="L1054" s="121" t="s">
        <v>200</v>
      </c>
      <c r="M1054" s="116">
        <v>45548</v>
      </c>
      <c r="N1054" s="115">
        <v>51</v>
      </c>
      <c r="O1054" s="115" t="s">
        <v>152</v>
      </c>
      <c r="P1054" s="115" t="s">
        <v>235</v>
      </c>
      <c r="Q1054" s="115" t="s">
        <v>313</v>
      </c>
      <c r="R1054" s="115" t="s">
        <v>34</v>
      </c>
      <c r="S1054" s="122">
        <v>1</v>
      </c>
    </row>
    <row r="1055" spans="10:19" x14ac:dyDescent="0.25">
      <c r="J1055" s="125">
        <v>40121089</v>
      </c>
      <c r="K1055" s="115" t="s">
        <v>3084</v>
      </c>
      <c r="L1055" s="121" t="s">
        <v>200</v>
      </c>
      <c r="M1055" s="116">
        <v>45529</v>
      </c>
      <c r="N1055" s="115">
        <v>46</v>
      </c>
      <c r="O1055" s="115" t="s">
        <v>151</v>
      </c>
      <c r="P1055" s="115" t="s">
        <v>235</v>
      </c>
      <c r="Q1055" s="115" t="s">
        <v>313</v>
      </c>
      <c r="R1055" s="115" t="s">
        <v>34</v>
      </c>
      <c r="S1055" s="122">
        <v>1</v>
      </c>
    </row>
    <row r="1056" spans="10:19" x14ac:dyDescent="0.25">
      <c r="J1056" s="125">
        <v>25848881</v>
      </c>
      <c r="K1056" s="115" t="s">
        <v>3085</v>
      </c>
      <c r="L1056" s="121" t="s">
        <v>200</v>
      </c>
      <c r="M1056" s="116">
        <v>45541</v>
      </c>
      <c r="N1056" s="115">
        <v>49</v>
      </c>
      <c r="O1056" s="115" t="s">
        <v>151</v>
      </c>
      <c r="P1056" s="116">
        <v>45558</v>
      </c>
      <c r="Q1056" s="115" t="s">
        <v>313</v>
      </c>
      <c r="R1056" s="115" t="s">
        <v>34</v>
      </c>
      <c r="S1056" s="122">
        <v>1</v>
      </c>
    </row>
    <row r="1057" spans="10:19" x14ac:dyDescent="0.25">
      <c r="J1057" s="125" t="s">
        <v>3086</v>
      </c>
      <c r="K1057" s="115" t="s">
        <v>3087</v>
      </c>
      <c r="L1057" s="121" t="s">
        <v>200</v>
      </c>
      <c r="M1057" s="116">
        <v>45548</v>
      </c>
      <c r="N1057" s="115">
        <v>44</v>
      </c>
      <c r="O1057" s="115" t="s">
        <v>151</v>
      </c>
      <c r="P1057" s="115" t="s">
        <v>235</v>
      </c>
      <c r="Q1057" s="115" t="s">
        <v>313</v>
      </c>
      <c r="R1057" s="115" t="s">
        <v>34</v>
      </c>
      <c r="S1057" s="122">
        <v>1</v>
      </c>
    </row>
    <row r="1058" spans="10:19" x14ac:dyDescent="0.25">
      <c r="J1058" s="125" t="s">
        <v>3093</v>
      </c>
      <c r="K1058" s="115" t="s">
        <v>3094</v>
      </c>
      <c r="L1058" s="121" t="s">
        <v>200</v>
      </c>
      <c r="M1058" s="116">
        <v>45506</v>
      </c>
      <c r="N1058" s="115">
        <v>43</v>
      </c>
      <c r="O1058" s="115" t="s">
        <v>151</v>
      </c>
      <c r="P1058" s="115" t="s">
        <v>235</v>
      </c>
      <c r="Q1058" s="115" t="s">
        <v>312</v>
      </c>
      <c r="R1058" s="115" t="s">
        <v>36</v>
      </c>
      <c r="S1058" s="122">
        <v>1</v>
      </c>
    </row>
    <row r="1059" spans="10:19" x14ac:dyDescent="0.25">
      <c r="J1059" s="125" t="s">
        <v>3097</v>
      </c>
      <c r="K1059" s="115" t="s">
        <v>3098</v>
      </c>
      <c r="L1059" s="121" t="s">
        <v>200</v>
      </c>
      <c r="M1059" s="116">
        <v>45521</v>
      </c>
      <c r="N1059" s="115">
        <v>30</v>
      </c>
      <c r="O1059" s="115" t="s">
        <v>149</v>
      </c>
      <c r="P1059" s="115" t="s">
        <v>235</v>
      </c>
      <c r="Q1059" s="115" t="s">
        <v>312</v>
      </c>
      <c r="R1059" s="115" t="s">
        <v>36</v>
      </c>
      <c r="S1059" s="122">
        <v>1</v>
      </c>
    </row>
    <row r="1060" spans="10:19" x14ac:dyDescent="0.25">
      <c r="J1060" s="125" t="s">
        <v>3099</v>
      </c>
      <c r="K1060" s="115" t="s">
        <v>3100</v>
      </c>
      <c r="L1060" s="121" t="s">
        <v>200</v>
      </c>
      <c r="M1060" s="116">
        <v>45526</v>
      </c>
      <c r="N1060" s="115">
        <v>30</v>
      </c>
      <c r="O1060" s="115" t="s">
        <v>149</v>
      </c>
      <c r="P1060" s="115" t="s">
        <v>235</v>
      </c>
      <c r="Q1060" s="115" t="s">
        <v>312</v>
      </c>
      <c r="R1060" s="115" t="s">
        <v>68</v>
      </c>
      <c r="S1060" s="122">
        <v>1</v>
      </c>
    </row>
    <row r="1061" spans="10:19" x14ac:dyDescent="0.25">
      <c r="J1061" s="125" t="s">
        <v>3107</v>
      </c>
      <c r="K1061" s="115" t="s">
        <v>3108</v>
      </c>
      <c r="L1061" s="121" t="s">
        <v>200</v>
      </c>
      <c r="M1061" s="116">
        <v>45544</v>
      </c>
      <c r="N1061" s="115">
        <v>32</v>
      </c>
      <c r="O1061" s="115" t="s">
        <v>150</v>
      </c>
      <c r="P1061" s="115" t="s">
        <v>235</v>
      </c>
      <c r="Q1061" s="115" t="s">
        <v>313</v>
      </c>
      <c r="R1061" s="115" t="s">
        <v>72</v>
      </c>
      <c r="S1061" s="122">
        <v>1</v>
      </c>
    </row>
    <row r="1062" spans="10:19" x14ac:dyDescent="0.25">
      <c r="J1062" s="125" t="s">
        <v>3112</v>
      </c>
      <c r="K1062" s="115" t="s">
        <v>3113</v>
      </c>
      <c r="L1062" s="121" t="s">
        <v>201</v>
      </c>
      <c r="M1062" s="116">
        <v>45553</v>
      </c>
      <c r="N1062" s="115">
        <v>40</v>
      </c>
      <c r="O1062" s="115" t="s">
        <v>150</v>
      </c>
      <c r="P1062" s="115" t="s">
        <v>235</v>
      </c>
      <c r="Q1062" s="115" t="s">
        <v>313</v>
      </c>
      <c r="R1062" s="115" t="s">
        <v>34</v>
      </c>
      <c r="S1062" s="122">
        <v>1</v>
      </c>
    </row>
    <row r="1063" spans="10:19" x14ac:dyDescent="0.25">
      <c r="J1063" s="125" t="s">
        <v>3114</v>
      </c>
      <c r="K1063" s="115" t="s">
        <v>3115</v>
      </c>
      <c r="L1063" s="121" t="s">
        <v>200</v>
      </c>
      <c r="M1063" s="116">
        <v>45555</v>
      </c>
      <c r="N1063" s="115">
        <v>50</v>
      </c>
      <c r="O1063" s="115" t="s">
        <v>152</v>
      </c>
      <c r="P1063" s="115" t="s">
        <v>235</v>
      </c>
      <c r="Q1063" s="115" t="s">
        <v>313</v>
      </c>
      <c r="R1063" s="115" t="s">
        <v>34</v>
      </c>
      <c r="S1063" s="122">
        <v>1</v>
      </c>
    </row>
    <row r="1064" spans="10:19" x14ac:dyDescent="0.25">
      <c r="J1064" s="125" t="s">
        <v>3116</v>
      </c>
      <c r="K1064" s="115" t="s">
        <v>3117</v>
      </c>
      <c r="L1064" s="121" t="s">
        <v>200</v>
      </c>
      <c r="M1064" s="116">
        <v>45555</v>
      </c>
      <c r="N1064" s="115">
        <v>56</v>
      </c>
      <c r="O1064" s="115" t="s">
        <v>152</v>
      </c>
      <c r="P1064" s="115" t="s">
        <v>235</v>
      </c>
      <c r="Q1064" s="115" t="s">
        <v>313</v>
      </c>
      <c r="R1064" s="115" t="s">
        <v>34</v>
      </c>
      <c r="S1064" s="122">
        <v>1</v>
      </c>
    </row>
    <row r="1065" spans="10:19" x14ac:dyDescent="0.25">
      <c r="J1065" s="125" t="s">
        <v>3118</v>
      </c>
      <c r="K1065" s="115" t="s">
        <v>3119</v>
      </c>
      <c r="L1065" s="121" t="s">
        <v>200</v>
      </c>
      <c r="M1065" s="116">
        <v>45559</v>
      </c>
      <c r="N1065" s="115">
        <v>52</v>
      </c>
      <c r="O1065" s="115" t="s">
        <v>152</v>
      </c>
      <c r="P1065" s="115" t="s">
        <v>235</v>
      </c>
      <c r="Q1065" s="115" t="s">
        <v>313</v>
      </c>
      <c r="R1065" s="115" t="s">
        <v>35</v>
      </c>
      <c r="S1065" s="122">
        <v>1</v>
      </c>
    </row>
    <row r="1066" spans="10:19" x14ac:dyDescent="0.25">
      <c r="J1066" s="125" t="s">
        <v>3122</v>
      </c>
      <c r="K1066" s="115" t="s">
        <v>3123</v>
      </c>
      <c r="L1066" s="121" t="s">
        <v>200</v>
      </c>
      <c r="M1066" s="116">
        <v>43601</v>
      </c>
      <c r="N1066" s="115">
        <v>33</v>
      </c>
      <c r="O1066" s="115" t="s">
        <v>150</v>
      </c>
      <c r="P1066" s="115" t="s">
        <v>235</v>
      </c>
      <c r="Q1066" s="115" t="s">
        <v>313</v>
      </c>
      <c r="R1066" s="115" t="s">
        <v>34</v>
      </c>
      <c r="S1066" s="122">
        <v>1</v>
      </c>
    </row>
    <row r="1067" spans="10:19" x14ac:dyDescent="0.25">
      <c r="J1067" s="125" t="s">
        <v>3131</v>
      </c>
      <c r="K1067" s="115" t="s">
        <v>3132</v>
      </c>
      <c r="L1067" s="121" t="s">
        <v>201</v>
      </c>
      <c r="M1067" s="116">
        <v>45560</v>
      </c>
      <c r="N1067" s="115">
        <v>33</v>
      </c>
      <c r="O1067" s="115" t="s">
        <v>150</v>
      </c>
      <c r="P1067" s="115" t="s">
        <v>235</v>
      </c>
      <c r="Q1067" s="115" t="s">
        <v>313</v>
      </c>
      <c r="R1067" s="115" t="s">
        <v>34</v>
      </c>
      <c r="S1067" s="122">
        <v>1</v>
      </c>
    </row>
    <row r="1068" spans="10:19" x14ac:dyDescent="0.25">
      <c r="J1068" s="125" t="s">
        <v>3142</v>
      </c>
      <c r="K1068" s="115" t="s">
        <v>3143</v>
      </c>
      <c r="L1068" s="121" t="s">
        <v>200</v>
      </c>
      <c r="M1068" s="116">
        <v>45545</v>
      </c>
      <c r="N1068" s="115">
        <v>43</v>
      </c>
      <c r="O1068" s="115" t="s">
        <v>151</v>
      </c>
      <c r="P1068" s="115" t="s">
        <v>235</v>
      </c>
      <c r="Q1068" s="115" t="s">
        <v>313</v>
      </c>
      <c r="R1068" s="115" t="s">
        <v>105</v>
      </c>
      <c r="S1068" s="122">
        <v>1</v>
      </c>
    </row>
    <row r="1069" spans="10:19" x14ac:dyDescent="0.25">
      <c r="J1069" s="125" t="s">
        <v>3144</v>
      </c>
      <c r="K1069" s="115" t="s">
        <v>3145</v>
      </c>
      <c r="L1069" s="121" t="s">
        <v>200</v>
      </c>
      <c r="M1069" s="116">
        <v>45551</v>
      </c>
      <c r="N1069" s="115">
        <v>59</v>
      </c>
      <c r="O1069" s="115" t="s">
        <v>153</v>
      </c>
      <c r="P1069" s="115" t="s">
        <v>235</v>
      </c>
      <c r="Q1069" s="115" t="s">
        <v>313</v>
      </c>
      <c r="R1069" s="115" t="s">
        <v>34</v>
      </c>
      <c r="S1069" s="122">
        <v>1</v>
      </c>
    </row>
    <row r="1070" spans="10:19" x14ac:dyDescent="0.25">
      <c r="J1070" s="125" t="s">
        <v>3146</v>
      </c>
      <c r="K1070" s="115" t="s">
        <v>3147</v>
      </c>
      <c r="L1070" s="121" t="s">
        <v>200</v>
      </c>
      <c r="M1070" s="116">
        <v>45545</v>
      </c>
      <c r="N1070" s="115">
        <v>20</v>
      </c>
      <c r="O1070" s="115" t="s">
        <v>148</v>
      </c>
      <c r="P1070" s="115" t="s">
        <v>235</v>
      </c>
      <c r="Q1070" s="115" t="s">
        <v>313</v>
      </c>
      <c r="R1070" s="115" t="s">
        <v>34</v>
      </c>
      <c r="S1070" s="122">
        <v>1</v>
      </c>
    </row>
    <row r="1071" spans="10:19" x14ac:dyDescent="0.25">
      <c r="J1071" s="125" t="s">
        <v>3148</v>
      </c>
      <c r="K1071" s="115" t="s">
        <v>3149</v>
      </c>
      <c r="L1071" s="121" t="s">
        <v>200</v>
      </c>
      <c r="M1071" s="116">
        <v>45545</v>
      </c>
      <c r="N1071" s="115">
        <v>48</v>
      </c>
      <c r="O1071" s="115" t="s">
        <v>151</v>
      </c>
      <c r="P1071" s="115" t="s">
        <v>235</v>
      </c>
      <c r="Q1071" s="115" t="s">
        <v>313</v>
      </c>
      <c r="R1071" s="115" t="s">
        <v>34</v>
      </c>
      <c r="S1071" s="122">
        <v>1</v>
      </c>
    </row>
    <row r="1072" spans="10:19" x14ac:dyDescent="0.25">
      <c r="J1072" s="125" t="s">
        <v>3150</v>
      </c>
      <c r="K1072" s="115" t="s">
        <v>3151</v>
      </c>
      <c r="L1072" s="121" t="s">
        <v>200</v>
      </c>
      <c r="M1072" s="116">
        <v>45541</v>
      </c>
      <c r="N1072" s="115">
        <v>39</v>
      </c>
      <c r="O1072" s="115" t="s">
        <v>150</v>
      </c>
      <c r="P1072" s="115" t="s">
        <v>235</v>
      </c>
      <c r="Q1072" s="115" t="s">
        <v>313</v>
      </c>
      <c r="R1072" s="115" t="s">
        <v>68</v>
      </c>
      <c r="S1072" s="122">
        <v>1</v>
      </c>
    </row>
    <row r="1073" spans="10:19" x14ac:dyDescent="0.25">
      <c r="J1073" s="125" t="s">
        <v>3152</v>
      </c>
      <c r="K1073" s="115" t="s">
        <v>3153</v>
      </c>
      <c r="L1073" s="121" t="s">
        <v>200</v>
      </c>
      <c r="M1073" s="116">
        <v>45559</v>
      </c>
      <c r="N1073" s="115">
        <v>22</v>
      </c>
      <c r="O1073" s="115" t="s">
        <v>148</v>
      </c>
      <c r="P1073" s="115" t="s">
        <v>235</v>
      </c>
      <c r="Q1073" s="115" t="s">
        <v>313</v>
      </c>
      <c r="R1073" s="115" t="s">
        <v>72</v>
      </c>
      <c r="S1073" s="122">
        <v>1</v>
      </c>
    </row>
    <row r="1074" spans="10:19" x14ac:dyDescent="0.25">
      <c r="J1074" s="125" t="s">
        <v>3154</v>
      </c>
      <c r="K1074" s="115" t="s">
        <v>3155</v>
      </c>
      <c r="L1074" s="121" t="s">
        <v>201</v>
      </c>
      <c r="M1074" s="116">
        <v>45546</v>
      </c>
      <c r="N1074" s="115">
        <v>21</v>
      </c>
      <c r="O1074" s="115" t="s">
        <v>148</v>
      </c>
      <c r="P1074" s="115" t="s">
        <v>235</v>
      </c>
      <c r="Q1074" s="115" t="s">
        <v>313</v>
      </c>
      <c r="R1074" s="115" t="s">
        <v>34</v>
      </c>
      <c r="S1074" s="122">
        <v>1</v>
      </c>
    </row>
    <row r="1075" spans="10:19" x14ac:dyDescent="0.25">
      <c r="J1075" s="125" t="s">
        <v>3156</v>
      </c>
      <c r="K1075" s="115" t="s">
        <v>3157</v>
      </c>
      <c r="L1075" s="121" t="s">
        <v>200</v>
      </c>
      <c r="M1075" s="116">
        <v>45554</v>
      </c>
      <c r="N1075" s="115">
        <v>42</v>
      </c>
      <c r="O1075" s="115" t="s">
        <v>151</v>
      </c>
      <c r="P1075" s="115" t="s">
        <v>235</v>
      </c>
      <c r="Q1075" s="115" t="s">
        <v>313</v>
      </c>
      <c r="R1075" s="115" t="s">
        <v>34</v>
      </c>
      <c r="S1075" s="122">
        <v>1</v>
      </c>
    </row>
    <row r="1076" spans="10:19" x14ac:dyDescent="0.25">
      <c r="J1076" s="125" t="s">
        <v>3158</v>
      </c>
      <c r="K1076" s="115" t="s">
        <v>3159</v>
      </c>
      <c r="L1076" s="121" t="s">
        <v>200</v>
      </c>
      <c r="M1076" s="116">
        <v>45497</v>
      </c>
      <c r="N1076" s="115">
        <v>29</v>
      </c>
      <c r="O1076" s="115" t="s">
        <v>149</v>
      </c>
      <c r="P1076" s="115" t="s">
        <v>235</v>
      </c>
      <c r="Q1076" s="115" t="s">
        <v>313</v>
      </c>
      <c r="R1076" s="115" t="s">
        <v>34</v>
      </c>
      <c r="S1076" s="122">
        <v>1</v>
      </c>
    </row>
    <row r="1077" spans="10:19" x14ac:dyDescent="0.25">
      <c r="J1077" s="125" t="s">
        <v>3160</v>
      </c>
      <c r="K1077" s="115" t="s">
        <v>3161</v>
      </c>
      <c r="L1077" s="121" t="s">
        <v>200</v>
      </c>
      <c r="M1077" s="116">
        <v>45475</v>
      </c>
      <c r="N1077" s="115">
        <v>37</v>
      </c>
      <c r="O1077" s="115" t="s">
        <v>150</v>
      </c>
      <c r="P1077" s="115" t="s">
        <v>235</v>
      </c>
      <c r="Q1077" s="115" t="s">
        <v>313</v>
      </c>
      <c r="R1077" s="115" t="s">
        <v>34</v>
      </c>
      <c r="S1077" s="122">
        <v>1</v>
      </c>
    </row>
    <row r="1078" spans="10:19" x14ac:dyDescent="0.25">
      <c r="J1078" s="125" t="s">
        <v>3162</v>
      </c>
      <c r="K1078" s="115" t="s">
        <v>3163</v>
      </c>
      <c r="L1078" s="121" t="s">
        <v>200</v>
      </c>
      <c r="M1078" s="116">
        <v>45483</v>
      </c>
      <c r="N1078" s="115">
        <v>31</v>
      </c>
      <c r="O1078" s="115" t="s">
        <v>149</v>
      </c>
      <c r="P1078" s="115" t="s">
        <v>235</v>
      </c>
      <c r="Q1078" s="115" t="s">
        <v>313</v>
      </c>
      <c r="R1078" s="115" t="s">
        <v>34</v>
      </c>
      <c r="S1078" s="122">
        <v>1</v>
      </c>
    </row>
    <row r="1079" spans="10:19" x14ac:dyDescent="0.25">
      <c r="J1079" s="125" t="s">
        <v>3164</v>
      </c>
      <c r="K1079" s="115" t="s">
        <v>3165</v>
      </c>
      <c r="L1079" s="121" t="s">
        <v>200</v>
      </c>
      <c r="M1079" s="116">
        <v>45488</v>
      </c>
      <c r="N1079" s="115">
        <v>27</v>
      </c>
      <c r="O1079" s="115" t="s">
        <v>149</v>
      </c>
      <c r="P1079" s="115" t="s">
        <v>235</v>
      </c>
      <c r="Q1079" s="115" t="s">
        <v>313</v>
      </c>
      <c r="R1079" s="115" t="s">
        <v>34</v>
      </c>
      <c r="S1079" s="122">
        <v>1</v>
      </c>
    </row>
    <row r="1080" spans="10:19" x14ac:dyDescent="0.25">
      <c r="J1080" s="125" t="s">
        <v>3166</v>
      </c>
      <c r="K1080" s="115" t="s">
        <v>3167</v>
      </c>
      <c r="L1080" s="121" t="s">
        <v>200</v>
      </c>
      <c r="M1080" s="116">
        <v>45488</v>
      </c>
      <c r="N1080" s="115">
        <v>21</v>
      </c>
      <c r="O1080" s="115" t="s">
        <v>148</v>
      </c>
      <c r="P1080" s="115" t="s">
        <v>235</v>
      </c>
      <c r="Q1080" s="115" t="s">
        <v>313</v>
      </c>
      <c r="R1080" s="115" t="s">
        <v>34</v>
      </c>
      <c r="S1080" s="122">
        <v>1</v>
      </c>
    </row>
    <row r="1081" spans="10:19" x14ac:dyDescent="0.25">
      <c r="J1081" s="125" t="s">
        <v>3171</v>
      </c>
      <c r="K1081" s="115" t="s">
        <v>3172</v>
      </c>
      <c r="L1081" s="121" t="s">
        <v>200</v>
      </c>
      <c r="M1081" s="116">
        <v>45341</v>
      </c>
      <c r="N1081" s="115">
        <v>35</v>
      </c>
      <c r="O1081" s="115" t="s">
        <v>150</v>
      </c>
      <c r="P1081" s="115" t="s">
        <v>235</v>
      </c>
      <c r="Q1081" s="115" t="s">
        <v>312</v>
      </c>
      <c r="R1081" s="115" t="s">
        <v>72</v>
      </c>
      <c r="S1081" s="122">
        <v>1</v>
      </c>
    </row>
    <row r="1082" spans="10:19" x14ac:dyDescent="0.25">
      <c r="J1082" s="125" t="s">
        <v>3174</v>
      </c>
      <c r="K1082" s="115" t="s">
        <v>3175</v>
      </c>
      <c r="L1082" s="121" t="s">
        <v>200</v>
      </c>
      <c r="M1082" s="116">
        <v>45558</v>
      </c>
      <c r="N1082" s="115">
        <v>54</v>
      </c>
      <c r="O1082" s="115" t="s">
        <v>152</v>
      </c>
      <c r="P1082" s="115" t="s">
        <v>235</v>
      </c>
      <c r="Q1082" s="115" t="s">
        <v>313</v>
      </c>
      <c r="R1082" s="115" t="s">
        <v>34</v>
      </c>
      <c r="S1082" s="122">
        <v>1</v>
      </c>
    </row>
    <row r="1083" spans="10:19" x14ac:dyDescent="0.25">
      <c r="J1083" s="125" t="s">
        <v>3176</v>
      </c>
      <c r="K1083" s="115" t="s">
        <v>3177</v>
      </c>
      <c r="L1083" s="121" t="s">
        <v>200</v>
      </c>
      <c r="M1083" s="116">
        <v>45055</v>
      </c>
      <c r="N1083" s="115">
        <v>42</v>
      </c>
      <c r="O1083" s="115" t="s">
        <v>151</v>
      </c>
      <c r="P1083" s="115" t="s">
        <v>235</v>
      </c>
      <c r="Q1083" s="115" t="s">
        <v>313</v>
      </c>
      <c r="R1083" s="115" t="s">
        <v>68</v>
      </c>
      <c r="S1083" s="122">
        <v>1</v>
      </c>
    </row>
    <row r="1084" spans="10:19" x14ac:dyDescent="0.25">
      <c r="J1084" s="125" t="s">
        <v>3183</v>
      </c>
      <c r="K1084" s="115" t="s">
        <v>3184</v>
      </c>
      <c r="L1084" s="121" t="s">
        <v>200</v>
      </c>
      <c r="M1084" s="116">
        <v>45551</v>
      </c>
      <c r="N1084" s="115">
        <v>36</v>
      </c>
      <c r="O1084" s="115" t="s">
        <v>150</v>
      </c>
      <c r="P1084" s="115" t="s">
        <v>162</v>
      </c>
      <c r="Q1084" s="115" t="s">
        <v>313</v>
      </c>
      <c r="R1084" s="115" t="s">
        <v>68</v>
      </c>
      <c r="S1084" s="122">
        <v>1</v>
      </c>
    </row>
    <row r="1085" spans="10:19" x14ac:dyDescent="0.25">
      <c r="J1085" s="125" t="s">
        <v>3185</v>
      </c>
      <c r="K1085" s="115" t="s">
        <v>3186</v>
      </c>
      <c r="L1085" s="121" t="s">
        <v>200</v>
      </c>
      <c r="M1085" s="116">
        <v>45558</v>
      </c>
      <c r="N1085" s="115">
        <v>28</v>
      </c>
      <c r="O1085" s="115" t="s">
        <v>149</v>
      </c>
      <c r="P1085" s="115" t="s">
        <v>162</v>
      </c>
      <c r="Q1085" s="115" t="s">
        <v>313</v>
      </c>
      <c r="R1085" s="115" t="s">
        <v>68</v>
      </c>
      <c r="S1085" s="122">
        <v>1</v>
      </c>
    </row>
    <row r="1086" spans="10:19" x14ac:dyDescent="0.25">
      <c r="J1086" s="125" t="s">
        <v>3188</v>
      </c>
      <c r="K1086" s="115" t="s">
        <v>3189</v>
      </c>
      <c r="L1086" s="121" t="s">
        <v>200</v>
      </c>
      <c r="M1086" s="116">
        <v>45545</v>
      </c>
      <c r="N1086" s="115">
        <v>27</v>
      </c>
      <c r="O1086" s="115" t="s">
        <v>149</v>
      </c>
      <c r="P1086" s="115" t="s">
        <v>162</v>
      </c>
      <c r="Q1086" s="115" t="s">
        <v>313</v>
      </c>
      <c r="R1086" s="115" t="s">
        <v>36</v>
      </c>
      <c r="S1086" s="122">
        <v>1</v>
      </c>
    </row>
    <row r="1087" spans="10:19" x14ac:dyDescent="0.25">
      <c r="J1087" s="125" t="s">
        <v>3196</v>
      </c>
      <c r="K1087" s="115" t="s">
        <v>3197</v>
      </c>
      <c r="L1087" s="121" t="s">
        <v>200</v>
      </c>
      <c r="M1087" s="116">
        <v>45540</v>
      </c>
      <c r="N1087" s="115">
        <v>33</v>
      </c>
      <c r="O1087" s="115" t="s">
        <v>150</v>
      </c>
      <c r="P1087" s="115" t="s">
        <v>162</v>
      </c>
      <c r="Q1087" s="115" t="s">
        <v>313</v>
      </c>
      <c r="R1087" s="115" t="s">
        <v>34</v>
      </c>
      <c r="S1087" s="122">
        <v>1</v>
      </c>
    </row>
    <row r="1088" spans="10:19" x14ac:dyDescent="0.25">
      <c r="J1088" s="125" t="s">
        <v>3202</v>
      </c>
      <c r="K1088" s="115" t="s">
        <v>3203</v>
      </c>
      <c r="L1088" s="121" t="s">
        <v>200</v>
      </c>
      <c r="M1088" s="116">
        <v>45526</v>
      </c>
      <c r="N1088" s="115">
        <v>19</v>
      </c>
      <c r="O1088" s="115" t="s">
        <v>148</v>
      </c>
      <c r="P1088" s="115" t="s">
        <v>162</v>
      </c>
      <c r="Q1088" s="115" t="s">
        <v>313</v>
      </c>
      <c r="R1088" s="115" t="s">
        <v>34</v>
      </c>
      <c r="S1088" s="122">
        <v>1</v>
      </c>
    </row>
    <row r="1089" spans="10:19" x14ac:dyDescent="0.25">
      <c r="J1089" s="125" t="s">
        <v>3205</v>
      </c>
      <c r="K1089" s="115" t="s">
        <v>3206</v>
      </c>
      <c r="L1089" s="121" t="s">
        <v>200</v>
      </c>
      <c r="M1089" s="116">
        <v>45560</v>
      </c>
      <c r="N1089" s="115">
        <v>22</v>
      </c>
      <c r="O1089" s="115" t="s">
        <v>148</v>
      </c>
      <c r="P1089" s="115" t="s">
        <v>235</v>
      </c>
      <c r="Q1089" s="115" t="s">
        <v>313</v>
      </c>
      <c r="R1089" s="115" t="s">
        <v>34</v>
      </c>
      <c r="S1089" s="122">
        <v>1</v>
      </c>
    </row>
    <row r="1090" spans="10:19" x14ac:dyDescent="0.25">
      <c r="J1090" s="125" t="s">
        <v>3209</v>
      </c>
      <c r="K1090" s="115" t="s">
        <v>3210</v>
      </c>
      <c r="L1090" s="121" t="s">
        <v>201</v>
      </c>
      <c r="M1090" s="116">
        <v>45540</v>
      </c>
      <c r="N1090" s="115">
        <v>31</v>
      </c>
      <c r="O1090" s="115" t="s">
        <v>149</v>
      </c>
      <c r="P1090" s="115" t="s">
        <v>235</v>
      </c>
      <c r="Q1090" s="115" t="s">
        <v>313</v>
      </c>
      <c r="R1090" s="115" t="s">
        <v>68</v>
      </c>
      <c r="S1090" s="122">
        <v>1</v>
      </c>
    </row>
    <row r="1091" spans="10:19" x14ac:dyDescent="0.25">
      <c r="J1091" s="125">
        <v>47019153</v>
      </c>
      <c r="K1091" s="115" t="s">
        <v>3212</v>
      </c>
      <c r="L1091" s="121" t="s">
        <v>200</v>
      </c>
      <c r="M1091" s="116">
        <v>45539</v>
      </c>
      <c r="N1091" s="115">
        <v>33</v>
      </c>
      <c r="O1091" s="115" t="s">
        <v>150</v>
      </c>
      <c r="P1091" s="115" t="s">
        <v>235</v>
      </c>
      <c r="Q1091" s="115" t="s">
        <v>313</v>
      </c>
      <c r="R1091" s="115" t="s">
        <v>34</v>
      </c>
      <c r="S1091" s="122">
        <v>1</v>
      </c>
    </row>
    <row r="1092" spans="10:19" x14ac:dyDescent="0.25">
      <c r="J1092" s="125">
        <v>72478794</v>
      </c>
      <c r="K1092" s="115" t="s">
        <v>537</v>
      </c>
      <c r="L1092" s="121" t="s">
        <v>200</v>
      </c>
      <c r="M1092" s="116">
        <v>45539</v>
      </c>
      <c r="N1092" s="115">
        <v>24</v>
      </c>
      <c r="O1092" s="115" t="s">
        <v>149</v>
      </c>
      <c r="P1092" s="115" t="s">
        <v>235</v>
      </c>
      <c r="Q1092" s="115" t="s">
        <v>313</v>
      </c>
      <c r="R1092" s="115" t="s">
        <v>68</v>
      </c>
      <c r="S1092" s="122">
        <v>1</v>
      </c>
    </row>
    <row r="1093" spans="10:19" x14ac:dyDescent="0.25">
      <c r="J1093" s="125">
        <v>40052620</v>
      </c>
      <c r="K1093" s="115" t="s">
        <v>3214</v>
      </c>
      <c r="L1093" s="121" t="s">
        <v>200</v>
      </c>
      <c r="M1093" s="116">
        <v>45540</v>
      </c>
      <c r="N1093" s="115">
        <v>45</v>
      </c>
      <c r="O1093" s="115" t="s">
        <v>151</v>
      </c>
      <c r="P1093" s="115" t="s">
        <v>235</v>
      </c>
      <c r="Q1093" s="115" t="s">
        <v>313</v>
      </c>
      <c r="R1093" s="115" t="s">
        <v>34</v>
      </c>
      <c r="S1093" s="122">
        <v>1</v>
      </c>
    </row>
    <row r="1094" spans="10:19" x14ac:dyDescent="0.25">
      <c r="J1094" s="125">
        <v>10180513</v>
      </c>
      <c r="K1094" s="115" t="s">
        <v>3215</v>
      </c>
      <c r="L1094" s="121" t="s">
        <v>200</v>
      </c>
      <c r="M1094" s="116">
        <v>45538</v>
      </c>
      <c r="N1094" s="115">
        <v>49</v>
      </c>
      <c r="O1094" s="115" t="s">
        <v>151</v>
      </c>
      <c r="P1094" s="115" t="s">
        <v>235</v>
      </c>
      <c r="Q1094" s="115" t="s">
        <v>313</v>
      </c>
      <c r="R1094" s="115" t="s">
        <v>105</v>
      </c>
      <c r="S1094" s="122">
        <v>1</v>
      </c>
    </row>
    <row r="1095" spans="10:19" x14ac:dyDescent="0.25">
      <c r="J1095" s="125">
        <v>43028691</v>
      </c>
      <c r="K1095" s="115" t="s">
        <v>3216</v>
      </c>
      <c r="L1095" s="121" t="s">
        <v>200</v>
      </c>
      <c r="M1095" s="116">
        <v>45539</v>
      </c>
      <c r="N1095" s="115">
        <v>39</v>
      </c>
      <c r="O1095" s="115" t="s">
        <v>150</v>
      </c>
      <c r="P1095" s="115" t="s">
        <v>235</v>
      </c>
      <c r="Q1095" s="115" t="s">
        <v>313</v>
      </c>
      <c r="R1095" s="115" t="s">
        <v>34</v>
      </c>
      <c r="S1095" s="122">
        <v>1</v>
      </c>
    </row>
    <row r="1096" spans="10:19" x14ac:dyDescent="0.25">
      <c r="J1096" s="125">
        <v>25576253</v>
      </c>
      <c r="K1096" s="115" t="s">
        <v>2829</v>
      </c>
      <c r="L1096" s="121" t="s">
        <v>200</v>
      </c>
      <c r="M1096" s="116">
        <v>45540</v>
      </c>
      <c r="N1096" s="115">
        <v>56</v>
      </c>
      <c r="O1096" s="115" t="s">
        <v>152</v>
      </c>
      <c r="P1096" s="115" t="s">
        <v>235</v>
      </c>
      <c r="Q1096" s="115" t="s">
        <v>313</v>
      </c>
      <c r="R1096" s="115" t="s">
        <v>34</v>
      </c>
      <c r="S1096" s="122">
        <v>1</v>
      </c>
    </row>
    <row r="1097" spans="10:19" x14ac:dyDescent="0.25">
      <c r="J1097" s="125">
        <v>72387432</v>
      </c>
      <c r="K1097" s="115" t="s">
        <v>3218</v>
      </c>
      <c r="L1097" s="121" t="s">
        <v>200</v>
      </c>
      <c r="M1097" s="116">
        <v>45551</v>
      </c>
      <c r="N1097" s="115">
        <v>26</v>
      </c>
      <c r="O1097" s="115" t="s">
        <v>149</v>
      </c>
      <c r="P1097" s="115" t="s">
        <v>235</v>
      </c>
      <c r="Q1097" s="115" t="s">
        <v>313</v>
      </c>
      <c r="R1097" s="115" t="s">
        <v>35</v>
      </c>
      <c r="S1097" s="122">
        <v>1</v>
      </c>
    </row>
    <row r="1098" spans="10:19" x14ac:dyDescent="0.25">
      <c r="J1098" s="125" t="s">
        <v>3219</v>
      </c>
      <c r="K1098" s="115" t="s">
        <v>3220</v>
      </c>
      <c r="L1098" s="121" t="s">
        <v>200</v>
      </c>
      <c r="M1098" s="116">
        <v>45551</v>
      </c>
      <c r="N1098" s="115">
        <v>39</v>
      </c>
      <c r="O1098" s="115" t="s">
        <v>150</v>
      </c>
      <c r="P1098" s="115" t="s">
        <v>235</v>
      </c>
      <c r="Q1098" s="115" t="s">
        <v>313</v>
      </c>
      <c r="R1098" s="115" t="s">
        <v>36</v>
      </c>
      <c r="S1098" s="122">
        <v>1</v>
      </c>
    </row>
    <row r="1099" spans="10:19" x14ac:dyDescent="0.25">
      <c r="J1099" s="125" t="s">
        <v>3221</v>
      </c>
      <c r="K1099" s="115" t="s">
        <v>3222</v>
      </c>
      <c r="L1099" s="121" t="s">
        <v>200</v>
      </c>
      <c r="M1099" s="116">
        <v>45540</v>
      </c>
      <c r="N1099" s="115">
        <v>22</v>
      </c>
      <c r="O1099" s="115" t="s">
        <v>148</v>
      </c>
      <c r="P1099" s="115" t="s">
        <v>162</v>
      </c>
      <c r="Q1099" s="115" t="s">
        <v>313</v>
      </c>
      <c r="R1099" s="115" t="s">
        <v>72</v>
      </c>
      <c r="S1099" s="122">
        <v>1</v>
      </c>
    </row>
    <row r="1100" spans="10:19" x14ac:dyDescent="0.25">
      <c r="J1100" s="125" t="s">
        <v>3223</v>
      </c>
      <c r="K1100" s="115" t="s">
        <v>3224</v>
      </c>
      <c r="L1100" s="121" t="s">
        <v>200</v>
      </c>
      <c r="M1100" s="116">
        <v>45540</v>
      </c>
      <c r="N1100" s="115">
        <v>29</v>
      </c>
      <c r="O1100" s="115" t="s">
        <v>149</v>
      </c>
      <c r="P1100" s="115" t="s">
        <v>162</v>
      </c>
      <c r="Q1100" s="115" t="s">
        <v>313</v>
      </c>
      <c r="R1100" s="115" t="s">
        <v>35</v>
      </c>
      <c r="S1100" s="122">
        <v>1</v>
      </c>
    </row>
    <row r="1101" spans="10:19" x14ac:dyDescent="0.25">
      <c r="J1101" s="125" t="s">
        <v>3225</v>
      </c>
      <c r="K1101" s="115" t="s">
        <v>3226</v>
      </c>
      <c r="L1101" s="121" t="s">
        <v>200</v>
      </c>
      <c r="M1101" s="116">
        <v>45540</v>
      </c>
      <c r="N1101" s="115">
        <v>22</v>
      </c>
      <c r="O1101" s="115" t="s">
        <v>148</v>
      </c>
      <c r="P1101" s="115" t="s">
        <v>162</v>
      </c>
      <c r="Q1101" s="115" t="s">
        <v>313</v>
      </c>
      <c r="R1101" s="115" t="s">
        <v>36</v>
      </c>
      <c r="S1101" s="122">
        <v>1</v>
      </c>
    </row>
    <row r="1102" spans="10:19" x14ac:dyDescent="0.25">
      <c r="J1102" s="125" t="s">
        <v>3230</v>
      </c>
      <c r="K1102" s="115" t="s">
        <v>3231</v>
      </c>
      <c r="L1102" s="121" t="s">
        <v>200</v>
      </c>
      <c r="M1102" s="116">
        <v>45551</v>
      </c>
      <c r="N1102" s="115">
        <v>23</v>
      </c>
      <c r="O1102" s="115" t="s">
        <v>148</v>
      </c>
      <c r="P1102" s="115" t="s">
        <v>235</v>
      </c>
      <c r="Q1102" s="115" t="s">
        <v>313</v>
      </c>
      <c r="R1102" s="115" t="s">
        <v>68</v>
      </c>
      <c r="S1102" s="122">
        <v>1</v>
      </c>
    </row>
    <row r="1103" spans="10:19" x14ac:dyDescent="0.25">
      <c r="J1103" s="125" t="s">
        <v>3232</v>
      </c>
      <c r="K1103" s="115" t="s">
        <v>3233</v>
      </c>
      <c r="L1103" s="121" t="s">
        <v>200</v>
      </c>
      <c r="M1103" s="116">
        <v>45540</v>
      </c>
      <c r="N1103" s="115">
        <v>18</v>
      </c>
      <c r="O1103" s="115" t="s">
        <v>148</v>
      </c>
      <c r="P1103" s="115" t="s">
        <v>235</v>
      </c>
      <c r="Q1103" s="115" t="s">
        <v>313</v>
      </c>
      <c r="R1103" s="115" t="s">
        <v>72</v>
      </c>
      <c r="S1103" s="122">
        <v>1</v>
      </c>
    </row>
    <row r="1104" spans="10:19" x14ac:dyDescent="0.25">
      <c r="J1104" s="125" t="s">
        <v>3234</v>
      </c>
      <c r="K1104" s="115" t="s">
        <v>3235</v>
      </c>
      <c r="L1104" s="121" t="s">
        <v>200</v>
      </c>
      <c r="M1104" s="116">
        <v>45552</v>
      </c>
      <c r="N1104" s="115">
        <v>36</v>
      </c>
      <c r="O1104" s="115" t="s">
        <v>150</v>
      </c>
      <c r="P1104" s="115" t="s">
        <v>235</v>
      </c>
      <c r="Q1104" s="115" t="s">
        <v>313</v>
      </c>
      <c r="R1104" s="115" t="s">
        <v>34</v>
      </c>
      <c r="S1104" s="122">
        <v>1</v>
      </c>
    </row>
    <row r="1105" spans="10:19" x14ac:dyDescent="0.25">
      <c r="J1105" s="125" t="s">
        <v>3236</v>
      </c>
      <c r="K1105" s="115" t="s">
        <v>3237</v>
      </c>
      <c r="L1105" s="121" t="s">
        <v>200</v>
      </c>
      <c r="M1105" s="116">
        <v>45547</v>
      </c>
      <c r="N1105" s="115">
        <v>40</v>
      </c>
      <c r="O1105" s="115" t="s">
        <v>150</v>
      </c>
      <c r="P1105" s="115" t="s">
        <v>235</v>
      </c>
      <c r="Q1105" s="115" t="s">
        <v>313</v>
      </c>
      <c r="R1105" s="115" t="s">
        <v>34</v>
      </c>
      <c r="S1105" s="122">
        <v>1</v>
      </c>
    </row>
    <row r="1106" spans="10:19" x14ac:dyDescent="0.25">
      <c r="J1106" s="125" t="s">
        <v>3238</v>
      </c>
      <c r="K1106" s="115" t="s">
        <v>3239</v>
      </c>
      <c r="L1106" s="121" t="s">
        <v>200</v>
      </c>
      <c r="M1106" s="116">
        <v>45257</v>
      </c>
      <c r="N1106" s="115">
        <v>31</v>
      </c>
      <c r="O1106" s="115" t="s">
        <v>149</v>
      </c>
      <c r="P1106" s="115" t="s">
        <v>235</v>
      </c>
      <c r="Q1106" s="115" t="s">
        <v>313</v>
      </c>
      <c r="R1106" s="115" t="s">
        <v>34</v>
      </c>
      <c r="S1106" s="122">
        <v>1</v>
      </c>
    </row>
    <row r="1107" spans="10:19" x14ac:dyDescent="0.25">
      <c r="J1107" s="125" t="s">
        <v>3240</v>
      </c>
      <c r="K1107" s="115" t="s">
        <v>3241</v>
      </c>
      <c r="L1107" s="121" t="s">
        <v>200</v>
      </c>
      <c r="M1107" s="116">
        <v>45289</v>
      </c>
      <c r="N1107" s="115">
        <v>39</v>
      </c>
      <c r="O1107" s="115" t="s">
        <v>150</v>
      </c>
      <c r="P1107" s="115" t="s">
        <v>235</v>
      </c>
      <c r="Q1107" s="115" t="s">
        <v>313</v>
      </c>
      <c r="R1107" s="115" t="s">
        <v>68</v>
      </c>
      <c r="S1107" s="122">
        <v>1</v>
      </c>
    </row>
    <row r="1108" spans="10:19" x14ac:dyDescent="0.25">
      <c r="J1108" s="125" t="s">
        <v>3242</v>
      </c>
      <c r="K1108" s="115" t="s">
        <v>3243</v>
      </c>
      <c r="L1108" s="121" t="s">
        <v>200</v>
      </c>
      <c r="M1108" s="116">
        <v>45408</v>
      </c>
      <c r="N1108" s="115">
        <v>35</v>
      </c>
      <c r="O1108" s="115" t="s">
        <v>150</v>
      </c>
      <c r="P1108" s="115" t="s">
        <v>235</v>
      </c>
      <c r="Q1108" s="115" t="s">
        <v>313</v>
      </c>
      <c r="R1108" s="115" t="s">
        <v>105</v>
      </c>
      <c r="S1108" s="122">
        <v>1</v>
      </c>
    </row>
    <row r="1109" spans="10:19" x14ac:dyDescent="0.25">
      <c r="J1109" s="125" t="s">
        <v>3244</v>
      </c>
      <c r="K1109" s="115" t="s">
        <v>3245</v>
      </c>
      <c r="L1109" s="121" t="s">
        <v>200</v>
      </c>
      <c r="M1109" s="116">
        <v>45432</v>
      </c>
      <c r="N1109" s="115">
        <v>43</v>
      </c>
      <c r="O1109" s="115" t="s">
        <v>151</v>
      </c>
      <c r="P1109" s="115" t="s">
        <v>235</v>
      </c>
      <c r="Q1109" s="115" t="s">
        <v>313</v>
      </c>
      <c r="R1109" s="115" t="s">
        <v>69</v>
      </c>
      <c r="S1109" s="122">
        <v>1</v>
      </c>
    </row>
    <row r="1110" spans="10:19" x14ac:dyDescent="0.25">
      <c r="J1110" s="125" t="s">
        <v>3246</v>
      </c>
      <c r="K1110" s="115" t="s">
        <v>3247</v>
      </c>
      <c r="L1110" s="121" t="s">
        <v>200</v>
      </c>
      <c r="M1110" s="116">
        <v>45538</v>
      </c>
      <c r="N1110" s="115">
        <v>28</v>
      </c>
      <c r="O1110" s="115" t="s">
        <v>149</v>
      </c>
      <c r="P1110" s="115" t="s">
        <v>235</v>
      </c>
      <c r="Q1110" s="115" t="s">
        <v>313</v>
      </c>
      <c r="R1110" s="115" t="s">
        <v>105</v>
      </c>
      <c r="S1110" s="122">
        <v>1</v>
      </c>
    </row>
    <row r="1111" spans="10:19" x14ac:dyDescent="0.25">
      <c r="J1111" s="125" t="s">
        <v>3248</v>
      </c>
      <c r="K1111" s="115" t="s">
        <v>3249</v>
      </c>
      <c r="L1111" s="121" t="s">
        <v>200</v>
      </c>
      <c r="M1111" s="116">
        <v>45539</v>
      </c>
      <c r="N1111" s="115">
        <v>44</v>
      </c>
      <c r="O1111" s="115" t="s">
        <v>151</v>
      </c>
      <c r="P1111" s="115" t="s">
        <v>235</v>
      </c>
      <c r="Q1111" s="115" t="s">
        <v>313</v>
      </c>
      <c r="R1111" s="115" t="s">
        <v>72</v>
      </c>
      <c r="S1111" s="122">
        <v>1</v>
      </c>
    </row>
    <row r="1112" spans="10:19" x14ac:dyDescent="0.25">
      <c r="J1112" s="125" t="s">
        <v>3250</v>
      </c>
      <c r="K1112" s="115" t="s">
        <v>3251</v>
      </c>
      <c r="L1112" s="121" t="s">
        <v>200</v>
      </c>
      <c r="M1112" s="116">
        <v>45553</v>
      </c>
      <c r="N1112" s="115">
        <v>42</v>
      </c>
      <c r="O1112" s="115" t="s">
        <v>151</v>
      </c>
      <c r="P1112" s="115" t="s">
        <v>235</v>
      </c>
      <c r="Q1112" s="115" t="s">
        <v>313</v>
      </c>
      <c r="R1112" s="115" t="s">
        <v>105</v>
      </c>
      <c r="S1112" s="122">
        <v>1</v>
      </c>
    </row>
    <row r="1113" spans="10:19" x14ac:dyDescent="0.25">
      <c r="J1113" s="125">
        <v>60662311</v>
      </c>
      <c r="K1113" s="115" t="s">
        <v>3256</v>
      </c>
      <c r="L1113" s="121" t="s">
        <v>200</v>
      </c>
      <c r="M1113" s="116">
        <v>45531</v>
      </c>
      <c r="N1113" s="115">
        <v>19</v>
      </c>
      <c r="O1113" s="115" t="s">
        <v>148</v>
      </c>
      <c r="P1113" s="115" t="s">
        <v>235</v>
      </c>
      <c r="Q1113" s="115" t="s">
        <v>312</v>
      </c>
      <c r="R1113" s="115" t="s">
        <v>34</v>
      </c>
      <c r="S1113" s="122">
        <v>1</v>
      </c>
    </row>
    <row r="1114" spans="10:19" x14ac:dyDescent="0.25">
      <c r="J1114" s="125">
        <v>43287752</v>
      </c>
      <c r="K1114" s="115" t="s">
        <v>3257</v>
      </c>
      <c r="L1114" s="121" t="s">
        <v>200</v>
      </c>
      <c r="M1114" s="116">
        <v>45553</v>
      </c>
      <c r="N1114" s="115">
        <v>39</v>
      </c>
      <c r="O1114" s="115" t="s">
        <v>150</v>
      </c>
      <c r="P1114" s="115" t="s">
        <v>235</v>
      </c>
      <c r="Q1114" s="115" t="s">
        <v>312</v>
      </c>
      <c r="R1114" s="115" t="s">
        <v>36</v>
      </c>
      <c r="S1114" s="122">
        <v>1</v>
      </c>
    </row>
    <row r="1115" spans="10:19" x14ac:dyDescent="0.25">
      <c r="J1115" s="125">
        <v>74979099</v>
      </c>
      <c r="K1115" s="115" t="s">
        <v>3259</v>
      </c>
      <c r="L1115" s="121" t="s">
        <v>200</v>
      </c>
      <c r="M1115" s="116">
        <v>45538</v>
      </c>
      <c r="N1115" s="115">
        <v>27</v>
      </c>
      <c r="O1115" s="115" t="s">
        <v>149</v>
      </c>
      <c r="P1115" s="115" t="s">
        <v>235</v>
      </c>
      <c r="Q1115" s="115" t="s">
        <v>313</v>
      </c>
      <c r="R1115" s="115" t="s">
        <v>36</v>
      </c>
      <c r="S1115" s="122">
        <v>1</v>
      </c>
    </row>
    <row r="1116" spans="10:19" x14ac:dyDescent="0.25">
      <c r="J1116" s="125">
        <v>73760919</v>
      </c>
      <c r="K1116" s="115" t="s">
        <v>3260</v>
      </c>
      <c r="L1116" s="121" t="s">
        <v>200</v>
      </c>
      <c r="M1116" s="116">
        <v>45538</v>
      </c>
      <c r="N1116" s="115">
        <v>30</v>
      </c>
      <c r="O1116" s="115" t="s">
        <v>149</v>
      </c>
      <c r="P1116" s="115" t="s">
        <v>235</v>
      </c>
      <c r="Q1116" s="115" t="s">
        <v>313</v>
      </c>
      <c r="R1116" s="115" t="s">
        <v>72</v>
      </c>
      <c r="S1116" s="122">
        <v>1</v>
      </c>
    </row>
    <row r="1117" spans="10:19" x14ac:dyDescent="0.25">
      <c r="J1117" s="125">
        <v>73779992</v>
      </c>
      <c r="K1117" s="115" t="s">
        <v>3263</v>
      </c>
      <c r="L1117" s="121" t="s">
        <v>200</v>
      </c>
      <c r="M1117" s="116">
        <v>45545</v>
      </c>
      <c r="N1117" s="115">
        <v>28</v>
      </c>
      <c r="O1117" s="115" t="s">
        <v>149</v>
      </c>
      <c r="P1117" s="115" t="s">
        <v>235</v>
      </c>
      <c r="Q1117" s="115" t="s">
        <v>313</v>
      </c>
      <c r="R1117" s="115" t="s">
        <v>72</v>
      </c>
      <c r="S1117" s="122">
        <v>1</v>
      </c>
    </row>
    <row r="1118" spans="10:19" x14ac:dyDescent="0.25">
      <c r="J1118" s="125">
        <v>45828949</v>
      </c>
      <c r="K1118" s="115" t="s">
        <v>3265</v>
      </c>
      <c r="L1118" s="121" t="s">
        <v>200</v>
      </c>
      <c r="M1118" s="116">
        <v>45553</v>
      </c>
      <c r="N1118" s="115">
        <v>35</v>
      </c>
      <c r="O1118" s="115" t="s">
        <v>150</v>
      </c>
      <c r="P1118" s="115" t="s">
        <v>235</v>
      </c>
      <c r="Q1118" s="115" t="s">
        <v>313</v>
      </c>
      <c r="R1118" s="115" t="s">
        <v>34</v>
      </c>
      <c r="S1118" s="122">
        <v>1</v>
      </c>
    </row>
    <row r="1119" spans="10:19" x14ac:dyDescent="0.25">
      <c r="J1119" s="125" t="s">
        <v>3269</v>
      </c>
      <c r="K1119" s="115" t="s">
        <v>3270</v>
      </c>
      <c r="L1119" s="121" t="s">
        <v>200</v>
      </c>
      <c r="M1119" s="116">
        <v>45540</v>
      </c>
      <c r="N1119" s="115">
        <v>25</v>
      </c>
      <c r="O1119" s="115" t="s">
        <v>149</v>
      </c>
      <c r="P1119" s="115" t="s">
        <v>235</v>
      </c>
      <c r="Q1119" s="115" t="s">
        <v>313</v>
      </c>
      <c r="R1119" s="115" t="s">
        <v>34</v>
      </c>
      <c r="S1119" s="122">
        <v>1</v>
      </c>
    </row>
    <row r="1120" spans="10:19" x14ac:dyDescent="0.25">
      <c r="J1120" s="125" t="s">
        <v>3276</v>
      </c>
      <c r="K1120" s="115" t="s">
        <v>3277</v>
      </c>
      <c r="L1120" s="121" t="s">
        <v>200</v>
      </c>
      <c r="M1120" s="116">
        <v>45537</v>
      </c>
      <c r="N1120" s="115">
        <v>27</v>
      </c>
      <c r="O1120" s="115" t="s">
        <v>149</v>
      </c>
      <c r="P1120" s="115" t="s">
        <v>235</v>
      </c>
      <c r="Q1120" s="115" t="s">
        <v>313</v>
      </c>
      <c r="R1120" s="115" t="s">
        <v>34</v>
      </c>
      <c r="S1120" s="122">
        <v>1</v>
      </c>
    </row>
    <row r="1121" spans="10:19" x14ac:dyDescent="0.25">
      <c r="J1121" s="125" t="s">
        <v>3281</v>
      </c>
      <c r="K1121" s="115" t="s">
        <v>3282</v>
      </c>
      <c r="L1121" s="121" t="s">
        <v>200</v>
      </c>
      <c r="M1121" s="116">
        <v>45491</v>
      </c>
      <c r="N1121" s="115">
        <v>29</v>
      </c>
      <c r="O1121" s="115" t="s">
        <v>149</v>
      </c>
      <c r="P1121" s="115" t="s">
        <v>235</v>
      </c>
      <c r="Q1121" s="115" t="s">
        <v>313</v>
      </c>
      <c r="R1121" s="115" t="s">
        <v>68</v>
      </c>
      <c r="S1121" s="122">
        <v>1</v>
      </c>
    </row>
    <row r="1122" spans="10:19" x14ac:dyDescent="0.25">
      <c r="J1122" s="125" t="s">
        <v>3284</v>
      </c>
      <c r="K1122" s="115" t="s">
        <v>3285</v>
      </c>
      <c r="L1122" s="121" t="s">
        <v>200</v>
      </c>
      <c r="M1122" s="116">
        <v>45491</v>
      </c>
      <c r="N1122" s="115">
        <v>56</v>
      </c>
      <c r="O1122" s="115" t="s">
        <v>152</v>
      </c>
      <c r="P1122" s="115" t="s">
        <v>235</v>
      </c>
      <c r="Q1122" s="115" t="s">
        <v>313</v>
      </c>
      <c r="R1122" s="115" t="s">
        <v>68</v>
      </c>
      <c r="S1122" s="122">
        <v>1</v>
      </c>
    </row>
    <row r="1123" spans="10:19" x14ac:dyDescent="0.25">
      <c r="J1123" s="125" t="s">
        <v>3286</v>
      </c>
      <c r="K1123" s="115" t="s">
        <v>3287</v>
      </c>
      <c r="L1123" s="121" t="s">
        <v>200</v>
      </c>
      <c r="M1123" s="116">
        <v>45471</v>
      </c>
      <c r="N1123" s="115">
        <v>39</v>
      </c>
      <c r="O1123" s="115" t="s">
        <v>150</v>
      </c>
      <c r="P1123" s="115" t="s">
        <v>235</v>
      </c>
      <c r="Q1123" s="115" t="s">
        <v>313</v>
      </c>
      <c r="R1123" s="115" t="s">
        <v>68</v>
      </c>
      <c r="S1123" s="122">
        <v>1</v>
      </c>
    </row>
    <row r="1124" spans="10:19" x14ac:dyDescent="0.25">
      <c r="J1124" s="125">
        <v>74652611</v>
      </c>
      <c r="K1124" s="115" t="s">
        <v>3289</v>
      </c>
      <c r="L1124" s="121" t="s">
        <v>200</v>
      </c>
      <c r="M1124" s="116">
        <v>45554</v>
      </c>
      <c r="N1124" s="115">
        <v>20</v>
      </c>
      <c r="O1124" s="115" t="s">
        <v>148</v>
      </c>
      <c r="P1124" s="115" t="s">
        <v>162</v>
      </c>
      <c r="Q1124" s="115" t="s">
        <v>313</v>
      </c>
      <c r="R1124" s="115" t="s">
        <v>34</v>
      </c>
      <c r="S1124" s="122">
        <v>1</v>
      </c>
    </row>
    <row r="1125" spans="10:19" x14ac:dyDescent="0.25">
      <c r="J1125" s="125">
        <v>60782024</v>
      </c>
      <c r="K1125" s="115" t="s">
        <v>3291</v>
      </c>
      <c r="L1125" s="121" t="s">
        <v>200</v>
      </c>
      <c r="M1125" s="116">
        <v>45545</v>
      </c>
      <c r="N1125" s="115">
        <v>18</v>
      </c>
      <c r="O1125" s="115" t="s">
        <v>148</v>
      </c>
      <c r="P1125" s="115" t="s">
        <v>1764</v>
      </c>
      <c r="Q1125" s="115" t="s">
        <v>312</v>
      </c>
      <c r="R1125" s="115" t="s">
        <v>34</v>
      </c>
      <c r="S1125" s="122">
        <v>1</v>
      </c>
    </row>
    <row r="1126" spans="10:19" x14ac:dyDescent="0.25">
      <c r="J1126" s="125" t="s">
        <v>3292</v>
      </c>
      <c r="K1126" s="115" t="s">
        <v>1292</v>
      </c>
      <c r="L1126" s="121" t="s">
        <v>201</v>
      </c>
      <c r="M1126" s="116">
        <v>45353</v>
      </c>
      <c r="N1126" s="115">
        <v>49</v>
      </c>
      <c r="O1126" s="115" t="s">
        <v>151</v>
      </c>
      <c r="P1126" s="115" t="s">
        <v>162</v>
      </c>
      <c r="Q1126" s="115" t="s">
        <v>313</v>
      </c>
      <c r="R1126" s="115" t="s">
        <v>34</v>
      </c>
      <c r="S1126" s="122">
        <v>1</v>
      </c>
    </row>
    <row r="1127" spans="10:19" x14ac:dyDescent="0.25">
      <c r="J1127" s="125" t="s">
        <v>3293</v>
      </c>
      <c r="K1127" s="115" t="s">
        <v>1267</v>
      </c>
      <c r="L1127" s="121" t="s">
        <v>200</v>
      </c>
      <c r="M1127" s="116">
        <v>45352</v>
      </c>
      <c r="N1127" s="115">
        <v>21</v>
      </c>
      <c r="O1127" s="115" t="s">
        <v>148</v>
      </c>
      <c r="P1127" s="115" t="s">
        <v>162</v>
      </c>
      <c r="Q1127" s="115" t="s">
        <v>313</v>
      </c>
      <c r="R1127" s="115" t="s">
        <v>34</v>
      </c>
      <c r="S1127" s="122">
        <v>1</v>
      </c>
    </row>
    <row r="1128" spans="10:19" x14ac:dyDescent="0.25">
      <c r="J1128" s="125" t="s">
        <v>3294</v>
      </c>
      <c r="K1128" s="115" t="s">
        <v>1297</v>
      </c>
      <c r="L1128" s="121" t="s">
        <v>200</v>
      </c>
      <c r="M1128" s="116">
        <v>45353</v>
      </c>
      <c r="N1128" s="115">
        <v>44</v>
      </c>
      <c r="O1128" s="115" t="s">
        <v>151</v>
      </c>
      <c r="P1128" s="115" t="s">
        <v>162</v>
      </c>
      <c r="Q1128" s="115" t="s">
        <v>313</v>
      </c>
      <c r="R1128" s="115" t="s">
        <v>34</v>
      </c>
      <c r="S1128" s="122">
        <v>1</v>
      </c>
    </row>
    <row r="1129" spans="10:19" x14ac:dyDescent="0.25">
      <c r="J1129" s="125" t="s">
        <v>3295</v>
      </c>
      <c r="K1129" s="115" t="s">
        <v>1306</v>
      </c>
      <c r="L1129" s="121" t="s">
        <v>200</v>
      </c>
      <c r="M1129" s="116">
        <v>45372</v>
      </c>
      <c r="N1129" s="115">
        <v>40</v>
      </c>
      <c r="O1129" s="115" t="s">
        <v>150</v>
      </c>
      <c r="P1129" s="115" t="s">
        <v>162</v>
      </c>
      <c r="Q1129" s="115" t="s">
        <v>313</v>
      </c>
      <c r="R1129" s="115" t="s">
        <v>34</v>
      </c>
      <c r="S1129" s="122">
        <v>1</v>
      </c>
    </row>
    <row r="1130" spans="10:19" x14ac:dyDescent="0.25">
      <c r="J1130" s="125" t="s">
        <v>3296</v>
      </c>
      <c r="K1130" s="115" t="s">
        <v>1300</v>
      </c>
      <c r="L1130" s="121" t="s">
        <v>200</v>
      </c>
      <c r="M1130" s="116">
        <v>45356</v>
      </c>
      <c r="N1130" s="115">
        <v>38</v>
      </c>
      <c r="O1130" s="115" t="s">
        <v>150</v>
      </c>
      <c r="P1130" s="115" t="s">
        <v>162</v>
      </c>
      <c r="Q1130" s="115" t="s">
        <v>313</v>
      </c>
      <c r="R1130" s="115" t="s">
        <v>34</v>
      </c>
      <c r="S1130" s="122">
        <v>1</v>
      </c>
    </row>
    <row r="1131" spans="10:19" x14ac:dyDescent="0.25">
      <c r="J1131" s="125" t="s">
        <v>3297</v>
      </c>
      <c r="K1131" s="115" t="s">
        <v>2563</v>
      </c>
      <c r="L1131" s="121" t="s">
        <v>200</v>
      </c>
      <c r="M1131" s="116">
        <v>45474</v>
      </c>
      <c r="N1131" s="115">
        <v>27</v>
      </c>
      <c r="O1131" s="115" t="s">
        <v>149</v>
      </c>
      <c r="P1131" s="115" t="s">
        <v>162</v>
      </c>
      <c r="Q1131" s="115" t="s">
        <v>313</v>
      </c>
      <c r="R1131" s="115" t="s">
        <v>34</v>
      </c>
      <c r="S1131" s="122">
        <v>1</v>
      </c>
    </row>
    <row r="1132" spans="10:19" x14ac:dyDescent="0.25">
      <c r="J1132" s="125" t="s">
        <v>3298</v>
      </c>
      <c r="K1132" s="115" t="s">
        <v>2580</v>
      </c>
      <c r="L1132" s="121" t="s">
        <v>200</v>
      </c>
      <c r="M1132" s="116">
        <v>45491</v>
      </c>
      <c r="N1132" s="115">
        <v>25</v>
      </c>
      <c r="O1132" s="115" t="s">
        <v>149</v>
      </c>
      <c r="P1132" s="115" t="s">
        <v>162</v>
      </c>
      <c r="Q1132" s="115" t="s">
        <v>313</v>
      </c>
      <c r="R1132" s="115" t="s">
        <v>34</v>
      </c>
      <c r="S1132" s="122">
        <v>1</v>
      </c>
    </row>
    <row r="1133" spans="10:19" x14ac:dyDescent="0.25">
      <c r="J1133" s="125" t="s">
        <v>3299</v>
      </c>
      <c r="K1133" s="115" t="s">
        <v>3300</v>
      </c>
      <c r="L1133" s="121" t="s">
        <v>200</v>
      </c>
      <c r="M1133" s="116">
        <v>45536</v>
      </c>
      <c r="N1133" s="115">
        <v>20</v>
      </c>
      <c r="O1133" s="115" t="s">
        <v>148</v>
      </c>
      <c r="P1133" s="115" t="s">
        <v>162</v>
      </c>
      <c r="Q1133" s="115" t="s">
        <v>313</v>
      </c>
      <c r="R1133" s="115" t="s">
        <v>34</v>
      </c>
      <c r="S1133" s="122">
        <v>1</v>
      </c>
    </row>
    <row r="1134" spans="10:19" x14ac:dyDescent="0.25">
      <c r="J1134" s="125" t="s">
        <v>3302</v>
      </c>
      <c r="K1134" s="115" t="s">
        <v>3303</v>
      </c>
      <c r="L1134" s="121" t="s">
        <v>200</v>
      </c>
      <c r="M1134" s="116">
        <v>45536</v>
      </c>
      <c r="N1134" s="115">
        <v>19</v>
      </c>
      <c r="O1134" s="115" t="s">
        <v>148</v>
      </c>
      <c r="P1134" s="115" t="s">
        <v>162</v>
      </c>
      <c r="Q1134" s="115" t="s">
        <v>313</v>
      </c>
      <c r="R1134" s="115" t="s">
        <v>34</v>
      </c>
      <c r="S1134" s="122">
        <v>1</v>
      </c>
    </row>
    <row r="1135" spans="10:19" x14ac:dyDescent="0.25">
      <c r="J1135" s="125" t="s">
        <v>3304</v>
      </c>
      <c r="K1135" s="115" t="s">
        <v>3305</v>
      </c>
      <c r="L1135" s="121" t="s">
        <v>200</v>
      </c>
      <c r="M1135" s="116">
        <v>45536</v>
      </c>
      <c r="N1135" s="115">
        <v>24</v>
      </c>
      <c r="O1135" s="115" t="s">
        <v>149</v>
      </c>
      <c r="P1135" s="115" t="s">
        <v>162</v>
      </c>
      <c r="Q1135" s="115" t="s">
        <v>313</v>
      </c>
      <c r="R1135" s="115" t="s">
        <v>34</v>
      </c>
      <c r="S1135" s="122">
        <v>1</v>
      </c>
    </row>
    <row r="1136" spans="10:19" x14ac:dyDescent="0.25">
      <c r="J1136" s="125" t="s">
        <v>3306</v>
      </c>
      <c r="K1136" s="115" t="s">
        <v>3307</v>
      </c>
      <c r="L1136" s="121" t="s">
        <v>200</v>
      </c>
      <c r="M1136" s="116">
        <v>45538</v>
      </c>
      <c r="N1136" s="115">
        <v>53</v>
      </c>
      <c r="O1136" s="115" t="s">
        <v>152</v>
      </c>
      <c r="P1136" s="115" t="s">
        <v>162</v>
      </c>
      <c r="Q1136" s="115" t="s">
        <v>313</v>
      </c>
      <c r="R1136" s="115" t="s">
        <v>34</v>
      </c>
      <c r="S1136" s="122">
        <v>1</v>
      </c>
    </row>
    <row r="1137" spans="10:19" x14ac:dyDescent="0.25">
      <c r="J1137" s="125" t="s">
        <v>3308</v>
      </c>
      <c r="K1137" s="115" t="s">
        <v>3309</v>
      </c>
      <c r="L1137" s="121" t="s">
        <v>200</v>
      </c>
      <c r="M1137" s="116">
        <v>45540</v>
      </c>
      <c r="N1137" s="115">
        <v>55</v>
      </c>
      <c r="O1137" s="115" t="s">
        <v>152</v>
      </c>
      <c r="P1137" s="115" t="s">
        <v>162</v>
      </c>
      <c r="Q1137" s="115" t="s">
        <v>313</v>
      </c>
      <c r="R1137" s="115" t="s">
        <v>34</v>
      </c>
      <c r="S1137" s="122">
        <v>1</v>
      </c>
    </row>
    <row r="1138" spans="10:19" x14ac:dyDescent="0.25">
      <c r="J1138" s="125" t="s">
        <v>3313</v>
      </c>
      <c r="K1138" s="115" t="s">
        <v>3314</v>
      </c>
      <c r="L1138" s="121" t="s">
        <v>200</v>
      </c>
      <c r="M1138" s="116">
        <v>45547</v>
      </c>
      <c r="N1138" s="115">
        <v>53</v>
      </c>
      <c r="O1138" s="115" t="s">
        <v>152</v>
      </c>
      <c r="P1138" s="115" t="s">
        <v>162</v>
      </c>
      <c r="Q1138" s="115" t="s">
        <v>313</v>
      </c>
      <c r="R1138" s="115" t="s">
        <v>34</v>
      </c>
      <c r="S1138" s="122">
        <v>1</v>
      </c>
    </row>
    <row r="1139" spans="10:19" x14ac:dyDescent="0.25">
      <c r="J1139" s="125" t="s">
        <v>3315</v>
      </c>
      <c r="K1139" s="115" t="s">
        <v>3316</v>
      </c>
      <c r="L1139" s="121" t="s">
        <v>200</v>
      </c>
      <c r="M1139" s="116">
        <v>45549</v>
      </c>
      <c r="N1139" s="115">
        <v>43</v>
      </c>
      <c r="O1139" s="115" t="s">
        <v>151</v>
      </c>
      <c r="P1139" s="115" t="s">
        <v>162</v>
      </c>
      <c r="Q1139" s="115" t="s">
        <v>313</v>
      </c>
      <c r="R1139" s="115" t="s">
        <v>34</v>
      </c>
      <c r="S1139" s="122">
        <v>1</v>
      </c>
    </row>
    <row r="1140" spans="10:19" x14ac:dyDescent="0.25">
      <c r="J1140" s="125" t="s">
        <v>3317</v>
      </c>
      <c r="K1140" s="115" t="s">
        <v>3318</v>
      </c>
      <c r="L1140" s="121" t="s">
        <v>200</v>
      </c>
      <c r="M1140" s="116">
        <v>45549</v>
      </c>
      <c r="N1140" s="115">
        <v>40</v>
      </c>
      <c r="O1140" s="115" t="s">
        <v>150</v>
      </c>
      <c r="P1140" s="115" t="s">
        <v>162</v>
      </c>
      <c r="Q1140" s="115" t="s">
        <v>313</v>
      </c>
      <c r="R1140" s="115" t="s">
        <v>34</v>
      </c>
      <c r="S1140" s="122">
        <v>1</v>
      </c>
    </row>
    <row r="1141" spans="10:19" x14ac:dyDescent="0.25">
      <c r="J1141" s="125" t="s">
        <v>3319</v>
      </c>
      <c r="K1141" s="115" t="s">
        <v>3320</v>
      </c>
      <c r="L1141" s="121" t="s">
        <v>200</v>
      </c>
      <c r="M1141" s="116">
        <v>45553</v>
      </c>
      <c r="N1141" s="115">
        <v>31</v>
      </c>
      <c r="O1141" s="115" t="s">
        <v>149</v>
      </c>
      <c r="P1141" s="115" t="s">
        <v>162</v>
      </c>
      <c r="Q1141" s="115" t="s">
        <v>313</v>
      </c>
      <c r="R1141" s="115" t="s">
        <v>34</v>
      </c>
      <c r="S1141" s="122">
        <v>1</v>
      </c>
    </row>
    <row r="1142" spans="10:19" x14ac:dyDescent="0.25">
      <c r="J1142" s="125" t="s">
        <v>3322</v>
      </c>
      <c r="K1142" s="115" t="s">
        <v>3323</v>
      </c>
      <c r="L1142" s="121" t="s">
        <v>200</v>
      </c>
      <c r="M1142" s="116">
        <v>45556</v>
      </c>
      <c r="N1142" s="115">
        <v>36</v>
      </c>
      <c r="O1142" s="115" t="s">
        <v>150</v>
      </c>
      <c r="P1142" s="115" t="s">
        <v>162</v>
      </c>
      <c r="Q1142" s="115" t="s">
        <v>313</v>
      </c>
      <c r="R1142" s="115" t="s">
        <v>34</v>
      </c>
      <c r="S1142" s="122">
        <v>1</v>
      </c>
    </row>
    <row r="1143" spans="10:19" ht="15.75" thickBot="1" x14ac:dyDescent="0.3">
      <c r="J1143" s="125" t="s">
        <v>3324</v>
      </c>
      <c r="K1143" s="115" t="s">
        <v>3325</v>
      </c>
      <c r="L1143" s="121" t="s">
        <v>200</v>
      </c>
      <c r="M1143" s="116">
        <v>45556</v>
      </c>
      <c r="N1143" s="115">
        <v>59</v>
      </c>
      <c r="O1143" s="115" t="s">
        <v>153</v>
      </c>
      <c r="P1143" s="115" t="s">
        <v>162</v>
      </c>
      <c r="Q1143" s="115" t="s">
        <v>313</v>
      </c>
      <c r="R1143" s="115" t="s">
        <v>34</v>
      </c>
      <c r="S1143" s="122">
        <v>1</v>
      </c>
    </row>
    <row r="1144" spans="10:19" ht="15.75" thickTop="1" x14ac:dyDescent="0.25">
      <c r="J1144" s="18" t="s">
        <v>23</v>
      </c>
      <c r="K1144" s="19"/>
      <c r="L1144" s="19"/>
      <c r="M1144" s="19"/>
      <c r="N1144" s="19"/>
      <c r="O1144" s="19"/>
      <c r="P1144" s="19"/>
      <c r="Q1144" s="19"/>
      <c r="R1144" s="20"/>
      <c r="S1144" s="95">
        <v>1120</v>
      </c>
    </row>
    <row r="1342" ht="15.75" thickBot="1" x14ac:dyDescent="0.3"/>
    <row r="1343" ht="15.75" thickTop="1" x14ac:dyDescent="0.25"/>
    <row r="1467" ht="15.75" thickBot="1" x14ac:dyDescent="0.3"/>
    <row r="1468" ht="15.75" thickTop="1" x14ac:dyDescent="0.25"/>
    <row r="1491" ht="15.75" thickBot="1" x14ac:dyDescent="0.3"/>
    <row r="1492" ht="15.75" thickTop="1" x14ac:dyDescent="0.25"/>
    <row r="1499" ht="15.75" thickBot="1" x14ac:dyDescent="0.3"/>
    <row r="1500" ht="15.75" thickTop="1" x14ac:dyDescent="0.25"/>
    <row r="1516" ht="15.75" thickBot="1" x14ac:dyDescent="0.3"/>
    <row r="1517" ht="15.75" thickTop="1" x14ac:dyDescent="0.25"/>
    <row r="1518" ht="15.75" thickBot="1" x14ac:dyDescent="0.3"/>
    <row r="1519" ht="15.75" thickTop="1" x14ac:dyDescent="0.25"/>
  </sheetData>
  <mergeCells count="5">
    <mergeCell ref="C2:G2"/>
    <mergeCell ref="C33:G33"/>
    <mergeCell ref="J2:S2"/>
    <mergeCell ref="U2:AD2"/>
    <mergeCell ref="AF2:AO2"/>
  </mergeCells>
  <pageMargins left="0.7" right="0.7" top="0.75" bottom="0.75" header="0.3" footer="0.3"/>
  <pageSetup paperSize="9"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D1067-EB21-4370-9087-9ABB2F26F796}">
  <dimension ref="A1:P11"/>
  <sheetViews>
    <sheetView showGridLines="0" workbookViewId="0">
      <selection activeCell="H11" sqref="H11"/>
    </sheetView>
  </sheetViews>
  <sheetFormatPr defaultRowHeight="15" x14ac:dyDescent="0.25"/>
  <cols>
    <col min="2" max="2" width="29.28515625" bestFit="1" customWidth="1"/>
    <col min="3" max="3" width="16.28515625" bestFit="1" customWidth="1"/>
    <col min="4" max="4" width="11.5703125" bestFit="1" customWidth="1"/>
    <col min="5" max="5" width="13.42578125" bestFit="1" customWidth="1"/>
    <col min="6" max="6" width="7.7109375" bestFit="1" customWidth="1"/>
    <col min="7" max="7" width="12.28515625" bestFit="1" customWidth="1"/>
    <col min="8" max="8" width="18.5703125" customWidth="1"/>
    <col min="9" max="9" width="14" bestFit="1" customWidth="1"/>
    <col min="10" max="16" width="7.7109375" customWidth="1"/>
  </cols>
  <sheetData>
    <row r="1" spans="1:16" x14ac:dyDescent="0.25">
      <c r="A1" s="44"/>
      <c r="B1" s="160" t="s">
        <v>386</v>
      </c>
      <c r="C1" s="160"/>
      <c r="D1" s="103"/>
      <c r="E1" s="103"/>
      <c r="F1" s="103"/>
      <c r="G1" s="97"/>
      <c r="J1" s="97"/>
      <c r="K1" s="97"/>
      <c r="L1" s="97"/>
      <c r="M1" s="97"/>
      <c r="N1" s="97"/>
      <c r="O1" s="97"/>
      <c r="P1" s="97"/>
    </row>
    <row r="2" spans="1:16" ht="15.75" thickBot="1" x14ac:dyDescent="0.3">
      <c r="A2" s="46"/>
      <c r="B2" s="98"/>
      <c r="C2" s="98"/>
      <c r="D2" s="98"/>
      <c r="E2" s="98"/>
      <c r="F2" s="98"/>
      <c r="G2" s="98"/>
      <c r="J2" s="98"/>
      <c r="K2" s="98"/>
      <c r="L2" s="98"/>
      <c r="M2" s="98"/>
      <c r="N2" s="98"/>
      <c r="O2" s="98"/>
      <c r="P2" s="98"/>
    </row>
    <row r="3" spans="1:16" ht="15.75" thickBot="1" x14ac:dyDescent="0.3">
      <c r="A3" s="46"/>
      <c r="B3" s="52" t="s">
        <v>15</v>
      </c>
      <c r="C3" s="102">
        <v>1</v>
      </c>
    </row>
    <row r="4" spans="1:16" ht="15.75" thickBot="1" x14ac:dyDescent="0.3">
      <c r="A4" s="46"/>
      <c r="B4" s="52" t="s">
        <v>385</v>
      </c>
      <c r="C4" s="53" t="s">
        <v>355</v>
      </c>
    </row>
    <row r="5" spans="1:16" ht="15.75" thickBot="1" x14ac:dyDescent="0.3">
      <c r="A5" s="46"/>
    </row>
    <row r="6" spans="1:16" ht="15.75" thickBot="1" x14ac:dyDescent="0.3">
      <c r="A6" s="46"/>
      <c r="B6" s="100" t="s">
        <v>456</v>
      </c>
      <c r="C6" s="104" t="s">
        <v>423</v>
      </c>
      <c r="D6" s="63" t="s">
        <v>424</v>
      </c>
    </row>
    <row r="7" spans="1:16" x14ac:dyDescent="0.25">
      <c r="A7" s="46"/>
      <c r="B7" s="101" t="s">
        <v>339</v>
      </c>
      <c r="C7" s="70">
        <v>2964.5</v>
      </c>
      <c r="D7" s="105">
        <v>591166.31666666712</v>
      </c>
    </row>
    <row r="8" spans="1:16" ht="15.75" thickBot="1" x14ac:dyDescent="0.3">
      <c r="A8" s="46"/>
      <c r="B8" s="101" t="s">
        <v>184</v>
      </c>
      <c r="C8" s="73">
        <v>319</v>
      </c>
      <c r="D8" s="106">
        <v>94032</v>
      </c>
      <c r="N8" s="99"/>
      <c r="O8" s="99"/>
      <c r="P8" s="99"/>
    </row>
    <row r="9" spans="1:16" ht="15.75" thickBot="1" x14ac:dyDescent="0.3">
      <c r="A9" s="46"/>
      <c r="B9" s="63" t="s">
        <v>633</v>
      </c>
      <c r="C9" s="75">
        <v>3283.5</v>
      </c>
      <c r="D9" s="107">
        <v>685198.31666666712</v>
      </c>
      <c r="N9" s="99"/>
      <c r="O9" s="99"/>
      <c r="P9" s="99"/>
    </row>
    <row r="10" spans="1:16" x14ac:dyDescent="0.25">
      <c r="A10" s="46"/>
      <c r="N10" s="99"/>
      <c r="O10" s="99"/>
      <c r="P10" s="99"/>
    </row>
    <row r="11" spans="1:16" x14ac:dyDescent="0.25">
      <c r="A11" s="46"/>
      <c r="P11" s="99"/>
    </row>
  </sheetData>
  <mergeCells count="1">
    <mergeCell ref="B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P61"/>
  <sheetViews>
    <sheetView workbookViewId="0">
      <selection activeCell="A27" sqref="A27"/>
    </sheetView>
  </sheetViews>
  <sheetFormatPr defaultColWidth="11.42578125" defaultRowHeight="15" x14ac:dyDescent="0.25"/>
  <cols>
    <col min="1" max="1" width="30.85546875" bestFit="1" customWidth="1"/>
  </cols>
  <sheetData>
    <row r="2" spans="1:16" x14ac:dyDescent="0.25">
      <c r="A2" s="1" t="s">
        <v>68</v>
      </c>
      <c r="B2" s="1" t="s">
        <v>68</v>
      </c>
      <c r="F2" s="1" t="s">
        <v>142</v>
      </c>
      <c r="O2" s="1" t="s">
        <v>3332</v>
      </c>
      <c r="P2" s="4"/>
    </row>
    <row r="3" spans="1:16" x14ac:dyDescent="0.25">
      <c r="A3" s="1" t="s">
        <v>34</v>
      </c>
      <c r="B3" s="1" t="s">
        <v>34</v>
      </c>
      <c r="F3" s="1" t="s">
        <v>143</v>
      </c>
      <c r="O3" s="1" t="s">
        <v>3333</v>
      </c>
      <c r="P3" s="4"/>
    </row>
    <row r="4" spans="1:16" x14ac:dyDescent="0.25">
      <c r="A4" s="1" t="s">
        <v>35</v>
      </c>
      <c r="B4" s="1" t="s">
        <v>35</v>
      </c>
      <c r="F4" s="1" t="s">
        <v>144</v>
      </c>
      <c r="O4" s="1" t="s">
        <v>3334</v>
      </c>
      <c r="P4"/>
    </row>
    <row r="5" spans="1:13" x14ac:dyDescent="0.25">
      <c r="A5" s="16" t="s">
        <v>172</v>
      </c>
      <c r="B5" s="1" t="s">
        <v>35</v>
      </c>
      <c r="F5" s="1" t="s">
        <v>145</v>
      </c>
      <c r="L5" t="s">
        <v>2</v>
      </c>
      <c r="M5" t="s">
        <v>183</v>
      </c>
    </row>
    <row r="6" spans="1:13" x14ac:dyDescent="0.25">
      <c r="A6" s="16" t="s">
        <v>163</v>
      </c>
      <c r="B6" s="1" t="s">
        <v>68</v>
      </c>
      <c r="F6" s="1" t="s">
        <v>146</v>
      </c>
      <c r="L6" t="s">
        <v>175</v>
      </c>
      <c r="M6" t="s">
        <v>184</v>
      </c>
    </row>
    <row r="7" spans="1:13" x14ac:dyDescent="0.25">
      <c r="A7" s="1" t="s">
        <v>36</v>
      </c>
      <c r="B7" s="1" t="s">
        <v>36</v>
      </c>
      <c r="F7" s="1" t="s">
        <v>147</v>
      </c>
      <c r="L7" t="s">
        <v>65</v>
      </c>
      <c r="M7" t="s">
        <v>184</v>
      </c>
    </row>
    <row r="8" spans="1:13" x14ac:dyDescent="0.25">
      <c r="A8" s="1" t="s">
        <v>106</v>
      </c>
      <c r="B8" s="1" t="s">
        <v>72</v>
      </c>
      <c r="L8" t="s">
        <v>39</v>
      </c>
      <c r="M8" t="s">
        <v>184</v>
      </c>
    </row>
    <row r="9" spans="1:13" x14ac:dyDescent="0.25">
      <c r="A9" s="1" t="s">
        <v>72</v>
      </c>
      <c r="B9" s="1" t="s">
        <v>72</v>
      </c>
      <c r="L9" t="s">
        <v>169</v>
      </c>
      <c r="M9" t="s">
        <v>184</v>
      </c>
    </row>
    <row r="10" spans="1:13" x14ac:dyDescent="0.25">
      <c r="A10" s="16" t="s">
        <v>354</v>
      </c>
      <c r="B10" s="1" t="s">
        <v>34</v>
      </c>
    </row>
    <row r="11" spans="1:13" x14ac:dyDescent="0.25">
      <c r="A11" s="16" t="s">
        <v>366</v>
      </c>
      <c r="B11" s="1" t="s">
        <v>69</v>
      </c>
    </row>
    <row r="12" spans="1:13" x14ac:dyDescent="0.25">
      <c r="A12" s="1" t="s">
        <v>320</v>
      </c>
      <c r="B12" s="1" t="s">
        <v>68</v>
      </c>
    </row>
    <row r="13" spans="1:13" x14ac:dyDescent="0.25">
      <c r="A13" s="16" t="s">
        <v>322</v>
      </c>
      <c r="B13" s="1" t="s">
        <v>34</v>
      </c>
    </row>
    <row r="14" spans="1:13" x14ac:dyDescent="0.25">
      <c r="A14" s="16" t="s">
        <v>365</v>
      </c>
      <c r="B14" s="1" t="s">
        <v>34</v>
      </c>
    </row>
    <row r="15" spans="1:13" x14ac:dyDescent="0.25">
      <c r="A15" s="2" t="s">
        <v>340</v>
      </c>
      <c r="B15" s="1" t="s">
        <v>34</v>
      </c>
    </row>
    <row r="16" spans="1:13" x14ac:dyDescent="0.25">
      <c r="A16" s="16" t="s">
        <v>321</v>
      </c>
      <c r="B16" s="1" t="s">
        <v>35</v>
      </c>
    </row>
    <row r="17" spans="1:2" x14ac:dyDescent="0.25">
      <c r="A17" s="16" t="s">
        <v>324</v>
      </c>
      <c r="B17" s="1" t="s">
        <v>34</v>
      </c>
    </row>
    <row r="18" spans="1:2" x14ac:dyDescent="0.25">
      <c r="A18" t="s">
        <v>388</v>
      </c>
      <c r="B18" s="1" t="s">
        <v>34</v>
      </c>
    </row>
    <row r="19" spans="1:2" x14ac:dyDescent="0.25">
      <c r="A19" t="s">
        <v>389</v>
      </c>
      <c r="B19" s="1" t="s">
        <v>36</v>
      </c>
    </row>
    <row r="20" spans="1:2" x14ac:dyDescent="0.25">
      <c r="A20" t="s">
        <v>390</v>
      </c>
      <c r="B20" s="1" t="s">
        <v>35</v>
      </c>
    </row>
    <row r="21" spans="1:2" x14ac:dyDescent="0.25">
      <c r="A21" t="s">
        <v>366</v>
      </c>
      <c r="B21" s="1" t="s">
        <v>69</v>
      </c>
    </row>
    <row r="22" spans="1:2" x14ac:dyDescent="0.25">
      <c r="A22" s="16" t="s">
        <v>461</v>
      </c>
      <c r="B22" s="1" t="s">
        <v>68</v>
      </c>
    </row>
    <row r="23" spans="1:2" x14ac:dyDescent="0.25">
      <c r="A23" s="16" t="s">
        <v>1135</v>
      </c>
      <c r="B23" s="1" t="s">
        <v>72</v>
      </c>
    </row>
    <row r="24" spans="1:2" x14ac:dyDescent="0.25">
      <c r="A24" s="2" t="s">
        <v>1741</v>
      </c>
      <c r="B24" s="1" t="s">
        <v>34</v>
      </c>
    </row>
    <row r="25" spans="1:2" x14ac:dyDescent="0.25">
      <c r="A25" s="16" t="s">
        <v>388</v>
      </c>
      <c r="B25" s="1" t="s">
        <v>34</v>
      </c>
    </row>
    <row r="26" spans="1:2" x14ac:dyDescent="0.25">
      <c r="A26" s="16" t="s">
        <v>354</v>
      </c>
      <c r="B26" s="1" t="s">
        <v>34</v>
      </c>
    </row>
    <row r="27" spans="1:2" x14ac:dyDescent="0.25">
      <c r="A27" s="16" t="s">
        <v>2042</v>
      </c>
      <c r="B27" s="1" t="s">
        <v>72</v>
      </c>
    </row>
    <row r="28" spans="1:2" x14ac:dyDescent="0.25">
      <c r="A28" s="16"/>
      <c r="B28" s="1"/>
    </row>
    <row r="29" spans="1:2" x14ac:dyDescent="0.25">
      <c r="A29" s="2"/>
      <c r="B29" s="1"/>
    </row>
    <row r="30" spans="1:2" x14ac:dyDescent="0.25">
      <c r="A30" s="2"/>
      <c r="B30" s="1"/>
    </row>
    <row r="31" spans="1:2" x14ac:dyDescent="0.25">
      <c r="A31" s="2"/>
      <c r="B31" s="1"/>
    </row>
    <row r="32" spans="1:2" x14ac:dyDescent="0.25">
      <c r="A32" s="1" t="s">
        <v>166</v>
      </c>
      <c r="B32" s="1" t="s">
        <v>69</v>
      </c>
    </row>
    <row r="33" spans="1:2" x14ac:dyDescent="0.25">
      <c r="A33" s="1" t="s">
        <v>69</v>
      </c>
      <c r="B33" s="1" t="s">
        <v>69</v>
      </c>
    </row>
    <row r="34" spans="1:2" x14ac:dyDescent="0.25">
      <c r="A34" t="s">
        <v>67</v>
      </c>
      <c r="B34" s="1" t="s">
        <v>72</v>
      </c>
    </row>
    <row r="35" spans="1:2" x14ac:dyDescent="0.25">
      <c r="A35" s="16" t="s">
        <v>123</v>
      </c>
      <c r="B35" s="1" t="s">
        <v>36</v>
      </c>
    </row>
    <row r="36" spans="1:2" x14ac:dyDescent="0.25">
      <c r="A36" s="16" t="s">
        <v>104</v>
      </c>
      <c r="B36" s="1" t="s">
        <v>34</v>
      </c>
    </row>
    <row r="37" spans="1:2" x14ac:dyDescent="0.25">
      <c r="A37" s="16" t="s">
        <v>98</v>
      </c>
      <c r="B37" s="1" t="s">
        <v>68</v>
      </c>
    </row>
    <row r="38" spans="1:2" x14ac:dyDescent="0.25">
      <c r="A38" s="17" t="s">
        <v>97</v>
      </c>
      <c r="B38" s="1" t="s">
        <v>68</v>
      </c>
    </row>
    <row r="39" spans="1:2" x14ac:dyDescent="0.25">
      <c r="A39" s="2" t="s">
        <v>1349</v>
      </c>
      <c r="B39" s="1" t="s">
        <v>68</v>
      </c>
    </row>
    <row r="40" spans="1:2" x14ac:dyDescent="0.25">
      <c r="A40" s="2" t="s">
        <v>1393</v>
      </c>
      <c r="B40" s="1" t="s">
        <v>68</v>
      </c>
    </row>
    <row r="41" spans="1:2" x14ac:dyDescent="0.25">
      <c r="A41" s="16" t="s">
        <v>1137</v>
      </c>
      <c r="B41" s="1" t="s">
        <v>72</v>
      </c>
    </row>
    <row r="42" spans="1:2" x14ac:dyDescent="0.25">
      <c r="A42" s="2" t="s">
        <v>1135</v>
      </c>
      <c r="B42" s="1" t="s">
        <v>72</v>
      </c>
    </row>
    <row r="43" spans="1:2" x14ac:dyDescent="0.25">
      <c r="A43" t="s">
        <v>132</v>
      </c>
      <c r="B43" s="1" t="s">
        <v>72</v>
      </c>
    </row>
    <row r="44" spans="1:2" x14ac:dyDescent="0.25">
      <c r="A44" t="s">
        <v>32</v>
      </c>
      <c r="B44" s="1" t="s">
        <v>34</v>
      </c>
    </row>
    <row r="45" spans="1:2" x14ac:dyDescent="0.25">
      <c r="A45" t="s">
        <v>135</v>
      </c>
      <c r="B45" s="1" t="s">
        <v>34</v>
      </c>
    </row>
    <row r="46" spans="1:2" x14ac:dyDescent="0.25">
      <c r="A46" t="s">
        <v>102</v>
      </c>
      <c r="B46" s="1" t="s">
        <v>34</v>
      </c>
    </row>
    <row r="47" spans="1:2" x14ac:dyDescent="0.25">
      <c r="A47" t="s">
        <v>130</v>
      </c>
      <c r="B47" s="1" t="s">
        <v>72</v>
      </c>
    </row>
    <row r="48" spans="1:2" x14ac:dyDescent="0.25">
      <c r="A48" t="s">
        <v>70</v>
      </c>
      <c r="B48" s="1" t="s">
        <v>72</v>
      </c>
    </row>
    <row r="49" spans="1:2" x14ac:dyDescent="0.25">
      <c r="A49" t="s">
        <v>71</v>
      </c>
      <c r="B49" s="1" t="s">
        <v>34</v>
      </c>
    </row>
    <row r="50" spans="1:2" x14ac:dyDescent="0.25">
      <c r="A50" t="s">
        <v>134</v>
      </c>
      <c r="B50" s="1" t="s">
        <v>34</v>
      </c>
    </row>
    <row r="51" spans="1:2" x14ac:dyDescent="0.25">
      <c r="A51" t="s">
        <v>34</v>
      </c>
      <c r="B51" s="1" t="s">
        <v>34</v>
      </c>
    </row>
    <row r="52" spans="1:2" x14ac:dyDescent="0.25">
      <c r="A52" t="s">
        <v>99</v>
      </c>
      <c r="B52" s="1" t="s">
        <v>34</v>
      </c>
    </row>
    <row r="53" spans="1:2" x14ac:dyDescent="0.25">
      <c r="A53" t="s">
        <v>103</v>
      </c>
      <c r="B53" s="1" t="s">
        <v>34</v>
      </c>
    </row>
    <row r="54" spans="1:2" x14ac:dyDescent="0.25">
      <c r="A54" t="s">
        <v>100</v>
      </c>
      <c r="B54" s="1" t="s">
        <v>34</v>
      </c>
    </row>
    <row r="55" spans="1:2" x14ac:dyDescent="0.25">
      <c r="A55" t="s">
        <v>101</v>
      </c>
      <c r="B55" s="1" t="s">
        <v>34</v>
      </c>
    </row>
    <row r="56" spans="1:2" x14ac:dyDescent="0.25">
      <c r="A56" t="s">
        <v>52</v>
      </c>
      <c r="B56" s="1" t="s">
        <v>34</v>
      </c>
    </row>
    <row r="57" spans="1:2" x14ac:dyDescent="0.25">
      <c r="A57" t="s">
        <v>131</v>
      </c>
      <c r="B57" s="1" t="s">
        <v>34</v>
      </c>
    </row>
    <row r="58" spans="1:2" x14ac:dyDescent="0.25">
      <c r="A58" t="s">
        <v>136</v>
      </c>
      <c r="B58" s="1" t="s">
        <v>34</v>
      </c>
    </row>
    <row r="59" spans="1:2" x14ac:dyDescent="0.25">
      <c r="A59" s="1" t="s">
        <v>133</v>
      </c>
      <c r="B59" s="1" t="s">
        <v>34</v>
      </c>
    </row>
    <row r="60" spans="1:2" x14ac:dyDescent="0.25">
      <c r="A60" t="s">
        <v>66</v>
      </c>
      <c r="B60" s="1" t="s">
        <v>105</v>
      </c>
    </row>
    <row r="61" spans="1:2" x14ac:dyDescent="0.25">
      <c r="A61" s="1" t="s">
        <v>105</v>
      </c>
      <c r="B61" s="1" t="s">
        <v>105</v>
      </c>
    </row>
  </sheetData>
  <protectedRanges>
    <protectedRange sqref="A37:A38" name="Rango1_31"/>
    <protectedRange sqref="A41" name="Rango1_31_1"/>
  </protectedRange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2"/>
  <sheetViews>
    <sheetView showGridLines="0" zoomScaleNormal="100" workbookViewId="0">
      <pane ySplit="1" topLeftCell="A2" activePane="bottomLeft" state="frozen"/>
      <selection pane="bottomLeft" activeCell="A2" sqref="A2"/>
    </sheetView>
  </sheetViews>
  <sheetFormatPr defaultColWidth="11.42578125" defaultRowHeight="15" x14ac:dyDescent="0.25"/>
  <cols>
    <col min="1" max="1" width="12" bestFit="1" customWidth="1"/>
    <col min="2" max="3" width="66.7109375" bestFit="1" customWidth="1"/>
    <col min="4" max="4" width="14.140625" style="3" bestFit="1" customWidth="1"/>
    <col min="5" max="5" width="73.140625" customWidth="1"/>
    <col min="6" max="6" width="16.28515625" style="11" customWidth="1"/>
    <col min="7" max="7" width="15.28515625" style="3" customWidth="1"/>
    <col min="8" max="8" width="58" customWidth="1"/>
    <col min="9" max="9" width="50.5703125" style="3" customWidth="1"/>
    <col min="10" max="10" width="68.85546875" customWidth="1"/>
    <col min="11" max="11" width="48" customWidth="1"/>
    <col min="12" max="12" width="10.85546875" style="3" customWidth="1"/>
    <col min="13" max="13" width="16" style="28" customWidth="1"/>
    <col min="14" max="14" width="26" style="15" customWidth="1"/>
    <col min="15" max="15" width="20" style="28" customWidth="1"/>
    <col min="16" max="16" width="10.7109375" style="3" customWidth="1"/>
    <col min="17" max="20" width="22" style="3" customWidth="1"/>
    <col min="21" max="21" width="13.42578125" customWidth="1"/>
    <col min="22" max="23" width="13.5703125" customWidth="1"/>
    <col min="24" max="24" width="13.42578125" customWidth="1"/>
    <col min="25" max="25" width="11.85546875" bestFit="1" customWidth="1"/>
    <col min="26" max="26" width="14.42578125" bestFit="1" customWidth="1"/>
    <col min="28" max="28" width="11.85546875" bestFit="1" customWidth="1"/>
    <col min="29" max="32" width="11.85546875" customWidth="1"/>
    <col min="37" max="42" width="11.42578125" customWidth="1"/>
  </cols>
  <sheetData>
    <row r="1" spans="1:35" ht="33.75" x14ac:dyDescent="0.25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13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5" t="s">
        <v>11</v>
      </c>
      <c r="M1" s="27" t="s">
        <v>14</v>
      </c>
      <c r="N1" s="14" t="s">
        <v>12</v>
      </c>
      <c r="O1" s="27" t="s">
        <v>13</v>
      </c>
      <c r="P1" s="5" t="s">
        <v>15</v>
      </c>
      <c r="Q1" s="5" t="s">
        <v>16</v>
      </c>
      <c r="R1" s="5" t="s">
        <v>422</v>
      </c>
      <c r="S1" s="26" t="s">
        <v>212</v>
      </c>
      <c r="T1" s="26" t="s">
        <v>185</v>
      </c>
      <c r="U1" s="23" t="s">
        <v>21</v>
      </c>
      <c r="V1" s="23" t="s">
        <v>180</v>
      </c>
      <c r="W1" s="23" t="s">
        <v>181</v>
      </c>
      <c r="X1" s="23" t="s">
        <v>182</v>
      </c>
      <c r="Y1" s="23" t="s">
        <v>139</v>
      </c>
      <c r="Z1" s="23" t="s">
        <v>140</v>
      </c>
      <c r="AA1" s="23" t="s">
        <v>28</v>
      </c>
      <c r="AB1" s="23" t="s">
        <v>179</v>
      </c>
      <c r="AC1" s="33" t="s">
        <v>311</v>
      </c>
      <c r="AD1" s="33" t="s">
        <v>377</v>
      </c>
      <c r="AE1" s="33" t="s">
        <v>379</v>
      </c>
      <c r="AF1" s="33" t="s">
        <v>380</v>
      </c>
      <c r="AG1" t="s">
        <v>385</v>
      </c>
      <c r="AH1" t="s">
        <v>384</v>
      </c>
      <c r="AI1" t="s">
        <v>310</v>
      </c>
    </row>
    <row r="2" spans="1:35" ht="16.5" customHeight="1" x14ac:dyDescent="0.25">
      <c r="A2" s="1"/>
      <c r="B2" s="2"/>
      <c r="C2" s="2"/>
      <c r="D2" s="2"/>
      <c r="E2" s="2"/>
      <c r="F2" s="4"/>
      <c r="G2" s="2"/>
      <c r="H2" s="2"/>
      <c r="I2" s="2"/>
      <c r="J2" s="2"/>
      <c r="K2" s="2"/>
      <c r="L2" s="7"/>
      <c r="M2" s="4"/>
      <c r="N2" s="12"/>
      <c r="O2" s="4"/>
      <c r="P2" s="89"/>
      <c r="Q2" s="8"/>
      <c r="R2" s="8"/>
      <c r="S2" s="8">
        <f>IFERROR(VLOOKUP(Tabla2[[#This Row],[CONTRATISTA PRNCIPAL]],Hoja1!$L$5:$M$9,2,FALSE),"CJV")</f>
      </c>
      <c r="T2" s="8">
        <f>IF(Tabla2[[#This Row],[EMPRESA]]=Tabla2[[#This Row],[CONTRATISTA PRNCIPAL]],"Principal","Secundaria")</f>
      </c>
      <c r="U2" s="9">
        <f>IFERROR(1/COUNTIF(Tabla2[CONTRATISTA PRNCIPAL],Tabla2[[#This Row],[CONTRATISTA PRNCIPAL]]),0)</f>
      </c>
      <c r="V2" s="24"/>
      <c r="W2" s="25"/>
      <c r="X2" s="41">
        <f>+IF(Tabla2[[#This Row],[Edad]]="Corregir","Corregir","Ok")</f>
      </c>
      <c r="Y2" s="9">
        <f>+IFERROR(VLOOKUP(TRIM(Tabla2[[#This Row],[DISTRITO SEGÚN DNI]]),Hoja1!$A$2:$B$61,2,FALSE),"No")</f>
      </c>
      <c r="Z2" s="9">
        <f>IF(OR(LOWER(Tabla2[[#This Row],[GENERO]])="masculino", LOWER(Tabla2[[#This Row],[GENERO]])="femenino"),"OK","Corregir")</f>
      </c>
      <c r="AA2" s="9">
        <f>+IF(Tabla2[[#This Row],[Nro. DNI / CE]]="","Corregir",IF(LEN(Tabla2[[#This Row],[Nro. DNI / CE]])&gt;=8,"OK","Corregir"))</f>
      </c>
      <c r="AB2" s="9">
        <f>COUNTIF(Tabla2[APELLIDOS Y NOMBRES],Tabla2[[#This Row],[APELLIDOS Y NOMBRES]])</f>
      </c>
      <c r="AC2" s="9">
        <f>IF(Tabla2[[#This Row],[Trabajador]]&gt;1,1/Tabla2[[#This Row],[Trabajador]],Tabla2[[#This Row],[Trabajador]])</f>
      </c>
      <c r="AD2" s="64" cm="1">
        <f t="array" ref="AD2">IF(AND(Tabla2[[#This Row],[Trabajador]]&gt;1,Tabla2[[#This Row],[Zona de Influencia]]&lt;&gt;"No"),1/SUMPRODUCT((Tabla2[APELLIDOS Y NOMBRES]=Tabla2[[#This Row],[APELLIDOS Y NOMBRES]])*(Tabla2[Zona de Influencia]&lt;&gt;"No")),SUMPRODUCT((Tabla2[APELLIDOS Y NOMBRES]=Tabla2[[#This Row],[APELLIDOS Y NOMBRES]])*(Tabla2[Zona de Influencia]&lt;&gt;"No")))</f>
      </c>
      <c r="AE2" s="64">
        <f>IF(AND(Tabla2[[#This Row],[Trabajador]]&gt;1,Tabla2[[#This Row],[Zona de Influencia]]&lt;&gt;"No",Tabla2[[#This Row],[Altas]]&lt;&gt;"No Aplica",Tabla2[[#This Row],[Altas]]&lt;&gt;"borrar"),1,IF(AND(Tabla2[[#This Row],[Altas]]&lt;&gt;"No Aplica",Tabla2[[#This Row],[Altas]]&lt;&gt;"borrar"),1,0))</f>
      </c>
      <c r="AF2" s="64">
        <f>IF(AND(Tabla2[[#This Row],[Trabajador]]&gt;1,Tabla2[[#This Row],[Zona de Influencia]]&lt;&gt;"No",Tabla2[[#This Row],[Bajas2]]&lt;&gt;"No Aplica",Tabla2[[#This Row],[Bajas2]]&lt;&gt;"borrar"),1,IF(AND(Tabla2[[#This Row],[Bajas2]]&lt;&gt;"No Aplica",Tabla2[[#This Row],[Bajas2]]&lt;&gt;"borrar"),1,0))</f>
      </c>
      <c r="AG2" s="64"/>
      <c r="AH2"/>
      <c r="AI2"/>
    </row>
  </sheetData>
  <protectedRanges>
    <protectedRange sqref="A1186" name="Rango1_3"/>
    <protectedRange sqref="N687:O701 A694:F701 H694:K694 H696:K701 H695:J695 A693:J693 A688:J688 A689:K692 A687:K687" name="Rango1_23"/>
    <protectedRange sqref="K2059 K2061 K2067 K2071 K2079 K2130 K2160 K2190 K2236 K2240 K2263 K2279:K2280 K2289:K2291 K2301 K2305:K2306 K2311 K2313 K2318 K2347 K2356:K2357 K2364 K2366 K2375 K2379 K2384:K2385 K2546 K2565 K2596 K2601 K2606 K2628 K2631 K2641 K1454 K1612 K1963 K843 K1896:K1897 J2084 J2093 K2082:K2093 K15 K27 K30:K31 K33 K37 K42 K48 K57 K60 K99 K104 K108 K201:K202 K206 K209 K214:K216 K224 K227 K239 K246 K252 K254 K263:K264 K266 K282:K283 K298 K305:K306 K309 K314 K318 K333 K337 K340 K343 K349 K363 K378 K382 K405 K407 K435 K440 K460:K462 K464 K467 K472 K484 K506 K513 K537:K538 K601 K623 K626 K628 K665 K671 K680 K682 K695 K713 K773 K792 K820 K822 K832:K833 K836 K845 K856 K882 K901 K1148:K1149 K1156 K1161 K1178 K1196 K1200 K1221 K1231 K1235 K1244 K1257 K1274:K1275 K1279 K1289:K1290 K1299 K1305 K1312 K1416 K1443 K1463 K1478 K1482 K1502 K1510 K1513 K1516 K1518 K1532 K1535 K1544 K1548 K1574 K1604:K1605 K1621 K1640 K1646:K1647 K1653 K1656 K1681 K1687 K1695 K1711 K1713 K1721 K1724 K1729 K1734 K1736 K1739 K1748 K1774 K1791 K1811 K1813:K1814 K1817:K1819 K1822:K1823 K1826 K1829 K1832 K1841 K1844 K1846:K1847 K1865:K1869 K1880 K1889 K1893 K1899 K1902:K1903 K1912 K1921 K1924:K1925 K1995:K1996 K2016 K2044 K2046 K2049 K2055 P229:P231 P236 P561 P565 P571 P578 P619 P636 P644 P658 P663 P673 P678 P688 P692 P696 P736 P2044 P2061 P2069 P2626 P3047 P3052 P3068 P3079 P3090:P3091 P3100:P3101 P3104:P3109 P3111:P3114 P3119 P3125:P3126 P3128 P3131 P3134 P3138:P3140 P3146 P3150 P3153 P3157 P3160 P3177 P3181 P3191 P3200 P3202 P3212 P3215 P3218:P3219 P3352:P3356 P482 P496 P838 P867 P870:P933 L2:L933 L999 L1072 L1128:L2394 L2430 L2468 L2522 L2534:L3413 L3423 L3427 L3434 L3447 L3457:L3458 L3464 L3520 L3555 L3557 L3565 L3568 L3570:L3571 L3575:L3576 L3583 L3602 L3656 L3770 L3782 L3794 L3848 L4131 L4217 K1384 K1422 K2101 K2320:K2321 K2620" name="Rango1_31"/>
    <protectedRange sqref="D1894:D1958" name="Rango1_35"/>
    <protectedRange sqref="Q2395:R2533" name="Rango1_4_1_3"/>
    <protectedRange sqref="K2410 K2448" name="Rango1_6_1_2"/>
    <protectedRange sqref="K2396:K2400 K2402 K2404:K2409 K2434 K2436 K2443 K2468 K2472 K2500 K2508 L2395:L2429 L2431:L2467 L2469:L2521 L2523:L2533" name="Rango1_31_2"/>
    <protectedRange sqref="A4252:A4258" name="Rango1_31_5_1"/>
    <protectedRange sqref="O4252:O4258" name="Rango1_31_8_1"/>
    <protectedRange sqref="D4258:E4258 D4252:E4256 B4252:C4258" name="Rango1_39_1"/>
    <protectedRange sqref="F4258 F4254:F4255 G4254:I4258 F4252:I4253" name="Rango1_40_1"/>
    <protectedRange sqref="J4258 J4252:J4255" name="Rango1_41_1"/>
    <protectedRange sqref="K4258 K4252:K4255" name="Rango1_42_1"/>
    <protectedRange sqref="AR4252:AR4258 L4252:N4258" name="Rango1_43_1"/>
    <protectedRange sqref="Q4252:R4258" name="Rango1_44_1"/>
    <protectedRange sqref="A4259:A4260" name="Rango1_31_5_2"/>
    <protectedRange sqref="O4259:O4260" name="Rango1_31_8_2"/>
    <protectedRange sqref="B4259:B4260 D4259:E4260 C4259:C4273" name="Rango1_39_2"/>
    <protectedRange sqref="F4259:I4260" name="Rango1_40_2"/>
    <protectedRange sqref="J4259" name="Rango1_41_2"/>
    <protectedRange sqref="K4259:K4260" name="Rango1_42_2"/>
    <protectedRange sqref="AR4259:AR4260 L4259:N4260" name="Rango1_43_2"/>
    <protectedRange sqref="Q4259:R4273" name="Rango1_44_2"/>
    <protectedRange sqref="A4261:A4273" name="Rango1_31_5_1_1"/>
    <protectedRange sqref="O4261:O4273" name="Rango1_31_8_1_1"/>
    <protectedRange sqref="D4273:E4273 D4261:E4267 B4261:B4273" name="Rango1_39_1_1"/>
    <protectedRange sqref="G4267:H4267 F4273:I4273 F4261:H4266 G4268:G4272 I4261:I4272" name="Rango1_40_1_1"/>
    <protectedRange sqref="J4261:J4266 J4273" name="Rango1_41_1_1"/>
    <protectedRange sqref="K4261:K4262 K4273 K4264:K4266" name="Rango1_42_1_1"/>
    <protectedRange sqref="AR4261:AR4273 L4261:N4273 N4274:N4291" name="Rango1_43_1_1"/>
    <protectedRange sqref="D4274:D4291" name="Rango1_1"/>
    <protectedRange sqref="E4274:E4291" name="Rango1_2"/>
    <protectedRange sqref="F4274:F4291" name="Rango1_4"/>
    <protectedRange sqref="G4274:G4291" name="Rango1_5"/>
    <protectedRange sqref="H4274:H4291" name="Rango1_6"/>
    <protectedRange sqref="I4274:K4291" name="Rango1_7"/>
    <protectedRange sqref="L4274:L4291" name="Rango1_10"/>
    <protectedRange sqref="O4274:O4291" name="Rango1_12"/>
    <protectedRange sqref="M4274:M4291" name="Rango1_13"/>
    <protectedRange sqref="P232:P235 P483:P495 P562:P564 P572:P577 P620:P635 P637:P643 P659:P662 P674:P677 P689:P691 P693:P695 P868:P869 P2045:P2060 P2062:P2068 P3048:P3051 P3053:P3067 P3069:P3078 P3080:P3089 P3092:P3099 P3102:P3103 P3110 P3120:P3124 P3127 P3129:P3130 P3132:P3133 P3135:P3137 P3141:P3145 P3147:P3149 P3151:P3152 P3154:P3156 P3158:P3159 P3161:P3176 P3178:P3180 P3192:P3199 P3201 P3213:P3214 P3216:P3217 P2:P228 P237:P481 P497:P560 P566:P570 P579:P618 P645:P657 P664:P672 P679:P687 P697:P735 P737:P837 P839:P866 P1128:P2043 P2627:P3046 P3115:P3118 P3182:P3190 P3203:P3211 P3220:P3351 P4274:R4296 P3922:P3966 P3989:P4273 P3357:P3902 P2070:P2625" name="Rango1_14"/>
    <protectedRange sqref="A4292:A4296" name="Rango1_31_5_3"/>
    <protectedRange sqref="O4292:O4296" name="Rango1_31_8_3"/>
    <protectedRange sqref="B4292:E4296" name="Rango1_39_3"/>
    <protectedRange sqref="F4292:I4296" name="Rango1_40_3"/>
    <protectedRange sqref="J4292:J4296" name="Rango1_41_3"/>
    <protectedRange sqref="K4292:K4294 K4296" name="Rango1_42_3"/>
    <protectedRange sqref="L4292:N4296" name="Rango1_43_3"/>
    <protectedRange sqref="Q1055:R1127" name="Rango1_4_1"/>
    <protectedRange sqref="D1055:F1057 H1055:I1057 E1058:E1063 I1058:I1060 O1062:O1063 O1055:O1060 B1101:C1127 M1055:M1063" name="Rango1_9"/>
    <protectedRange sqref="E1064:E1066 O1064:O1066 M1064:M1067" name="Rango1_3_2"/>
    <protectedRange sqref="A1116:A1118" name="Rango1_27"/>
    <protectedRange sqref="K1101 K1113 K1117 K1120 L1101:L1127" name="Rango1_31_1"/>
    <protectedRange sqref="Q963:R1054" name="Rango1_4_1_1"/>
    <protectedRange sqref="O989:O994" name="Rango1_5_1_1"/>
    <protectedRange sqref="O995:O998" name="Rango1_6_1_1"/>
    <protectedRange sqref="O1011:O1030" name="Rango1_7_1_1"/>
    <protectedRange sqref="E1046:E1052 M1046:M1052 O1031:O1052" name="Rango1_9_2"/>
    <protectedRange sqref="E1053:E1054 M1053:M1054 O1053:O1054" name="Rango1_3_2_1"/>
    <protectedRange sqref="O999:O1001" name="Rango1_8_2"/>
    <protectedRange sqref="Q951:R962" name="Rango1_31_1_1"/>
    <protectedRange sqref="O946:O949 Q946:R950" name="Rango1_31_3_2"/>
    <protectedRange sqref="O934:O945 Q934:R945 P934:P1127" name="Rango1_31_8_2_1"/>
    <protectedRange sqref="B1045 B1047 B1052" name="Rango1_9_1_1"/>
    <protectedRange sqref="A944 A947 A936 A1022:A1044 A1048:A1051 A1046 A1012:A1020 A1053:A1100" name="Rango1_27_1_1"/>
    <protectedRange sqref="A976 D976:K976 M976" name="Rango1_8_1_1"/>
    <protectedRange sqref="K945 K950 K965:K966 K971 K997 K1000 K1002:K1004 K1015:K1016 K1026 K1033 K1043 L989 L992 K958 G951:G952 A952 B942:C942 A948:C950 B1021 A945:C946 G945:I950 B951:C1013" name="Rango1_31_1_1_1"/>
    <protectedRange sqref="G944:I944 A941:K941 A943:K943 J942 D942:H942 M941:M943" name="Rango1_31_3_1_1"/>
    <protectedRange sqref="A934:C935 A937:C940" name="Rango1_31_5_1_1_1"/>
    <protectedRange sqref="D934:E940" name="Rango1_31_6_1_1"/>
    <protectedRange sqref="L990:L991 L993:L998 L941:L988 L1000:L1071 L1073:L1100 F934:M940" name="Rango1_31_8_1_1_1"/>
    <protectedRange sqref="R3896:R3902" name="Rango1_4_1_2"/>
    <protectedRange sqref="R3883:R3887 R3890:R3892 R3894:R3895" name="Rango1_31_3"/>
    <protectedRange sqref="R3880:R3882" name="Rango1_31_3_1"/>
    <protectedRange sqref="R3871:R3879 R3888:R3889 R3893" name="Rango1_31_8"/>
    <protectedRange sqref="D3885" name="Rango1_30_2"/>
    <protectedRange sqref="K3880 H3873:I3873 H3874:H3875 L3879:L3900 N3873:N3884 H3876:I3880" name="Rango1_31_12"/>
    <protectedRange sqref="D3872:K3872 M3871:M3872 N3872:O3872 G3876 G3878:G3880 G3882:G3883 G3885:G3889 G3893:G3894 G3896 G3899:G3902 G3927:G3928 G3935" name="Rango1_31_3_8"/>
    <protectedRange sqref="A3871:A3900" name="Rango1_31_5_3_1"/>
    <protectedRange sqref="I3900 I3902 M3878 M3880 I3896 I3874:I3875 I3884 I3886" name="Rango1_31_8_7"/>
    <protectedRange sqref="B3871:E3871 B3872:C3900" name="Rango1_39_2_1"/>
    <protectedRange sqref="I3883 F3871:I3871 G3873:G3875 G3877 G3881 G3884 G3890:G3892 G3895 G3897:G3898 G3922:G3926 G3929:G3934" name="Rango1_40_2_1"/>
    <protectedRange sqref="J3871" name="Rango1_41_1_2"/>
    <protectedRange sqref="K3871" name="Rango1_42_1_2"/>
    <protectedRange sqref="L3871:L3878 N3871:O3871" name="Rango1_43"/>
    <protectedRange sqref="D3902" name="Rango1_39_1_2"/>
    <protectedRange sqref="L3901:L3902" name="Rango1_31_2_3"/>
    <protectedRange sqref="A3901:A3902" name="Rango1_31_5_2_1"/>
    <protectedRange sqref="B3901:C3902" name="Rango1_39_3_1"/>
    <protectedRange sqref="D3910:E3910 D3920:F3921 H3921 J3920:K3921 M3919:M3921 D3919:E3919" name="Rango1_31_3_3"/>
    <protectedRange sqref="A3903:C3921" name="Rango1_31_5"/>
    <protectedRange sqref="D3903:E3909 D3911:E3918" name="Rango1_31_6"/>
    <protectedRange sqref="I3911:K3911 I3912:I3921 L3903:L3909 H3910:L3910 L3911:L3921 F3910:F3919 J3913:K3913 N3903:N3909 P3903:R3921 M3903:M3918 N3910:O3921 J3912 J3917:K3919 J3914:J3916" name="Rango1_31_8_4"/>
    <protectedRange sqref="F3909 F3905:F3906 F3903:G3904 G3905:G3921" name="Rango1_40"/>
    <protectedRange sqref="H3903:H3909 H3911:H3920" name="Rango1_40_1_2"/>
    <protectedRange sqref="J3909 J3903:J3906" name="Rango1_41"/>
    <protectedRange sqref="K3909 K3903:K3904 K3906" name="Rango1_42"/>
    <protectedRange sqref="O3903:O3909" name="Rango1_43_4"/>
    <protectedRange sqref="I3903:I3909" name="Rango1_40_2_2"/>
    <protectedRange sqref="O3968" name="Rango1_31_3_8_1"/>
    <protectedRange sqref="O3967" name="Rango1_43_5"/>
    <protectedRange sqref="N3969:N3976" name="Rango1_31_12_1"/>
    <protectedRange sqref="N3968" name="Rango1_31_3_8_2"/>
    <protectedRange sqref="N3967" name="Rango1_43_6"/>
    <protectedRange sqref="R3983:R3988" name="Rango1_4_1_4"/>
    <protectedRange sqref="R3976:R3982" name="Rango1_31_4"/>
    <protectedRange sqref="R3974:R3975" name="Rango1_31_3_4"/>
    <protectedRange sqref="R3967:R3973" name="Rango1_31_8_5"/>
    <protectedRange sqref="Q3977:Q3986" name="Rango1_4_1_4_1"/>
    <protectedRange sqref="P3969:Q3976 P3977:P3986" name="Rango1_31_12_2"/>
    <protectedRange sqref="P3968:Q3968" name="Rango1_31_3_8_3"/>
    <protectedRange sqref="P3967:Q3967" name="Rango1_44_2_1"/>
    <protectedRange sqref="Q3987:Q3988" name="Rango1_4_1_2_1"/>
    <protectedRange sqref="P3987:P3988" name="Rango1_31_2_3_1"/>
    <protectedRange sqref="F8467" name="Rango1_31_8_6"/>
    <protectedRange sqref="F2:F13" name="Rango1_31_8_8"/>
    <protectedRange sqref="K2:K13" name="Rango1_31_8_9"/>
  </protectedRanges>
  <phoneticPr fontId="9" type="noConversion"/>
  <conditionalFormatting sqref="D3871:D3900">
    <cfRule type="duplicateValues" dxfId="4" priority="4"/>
  </conditionalFormatting>
  <conditionalFormatting sqref="D3871:D3902">
    <cfRule type="duplicateValues" dxfId="3" priority="5"/>
  </conditionalFormatting>
  <conditionalFormatting sqref="D3901">
    <cfRule type="duplicateValues" dxfId="2" priority="1"/>
    <cfRule type="duplicateValues" dxfId="1" priority="2"/>
    <cfRule type="duplicateValues" dxfId="0" priority="3"/>
  </conditionalFormatting>
  <dataValidations disablePrompts="1" count="3">
    <dataValidation type="list" allowBlank="1" showInputMessage="1" showErrorMessage="1" sqref="K696:K701 K689:K692 K694 G687:G693 K687" xr:uid="{00000000-0002-0000-0200-000000000000}"/>
    <dataValidation type="list" allowBlank="1" showErrorMessage="1" sqref="K2082:K2093 K1384 K1422 K2101 K2321" xr:uid="{00000000-0002-0000-0200-000001000000}"/>
    <dataValidation type="list" allowBlank="1" sqref="Q2:R2596" xr:uid="{00000000-0002-0000-0200-000002000000}"/>
  </dataValidations>
  <pageMargins left="0.7" right="0.7" top="0.75" bottom="0.75" header="0.3" footer="0.3"/>
  <pageSetup paperSize="9" orientation="portrait" r:id="rId1"/>
  <drawing r:id="rId2"/>
  <legacyDrawing r:id="rId3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C57"/>
  <sheetViews>
    <sheetView showGridLines="0" tabSelected="1" zoomScaleNormal="100" workbookViewId="0">
      <pane ySplit="6" topLeftCell="A34" activePane="bottomLeft" state="frozen"/>
      <selection activeCell="A3926" sqref="A3926:R3939"/>
      <selection pane="bottomLeft" activeCell="E48" sqref="E48"/>
    </sheetView>
  </sheetViews>
  <sheetFormatPr defaultColWidth="11.42578125" defaultRowHeight="15" x14ac:dyDescent="0.25"/>
  <cols>
    <col min="1" max="1" width="74.5703125" customWidth="1"/>
    <col min="2" max="2" width="32.85546875" customWidth="1"/>
    <col min="3" max="3" width="27.28515625" bestFit="1" customWidth="1"/>
    <col min="4" max="4" width="13.28515625" bestFit="1" customWidth="1"/>
    <col min="5" max="5" width="56.5703125" bestFit="1" customWidth="1"/>
    <col min="6" max="9" width="13.28515625" bestFit="1" customWidth="1"/>
    <col min="10" max="10" width="12.5703125" bestFit="1" customWidth="1"/>
    <col min="11" max="11" width="13.42578125" bestFit="1" customWidth="1"/>
  </cols>
  <sheetData>
    <row r="2" spans="1:3" x14ac:dyDescent="0.25">
      <c r="A2" s="132" t="s">
        <v>12</v>
      </c>
      <c r="B2" t="s">
        <v>211</v>
      </c>
    </row>
    <row r="3" spans="1:3" x14ac:dyDescent="0.25">
      <c r="A3" s="132" t="s">
        <v>11</v>
      </c>
      <c r="B3" t="s">
        <v>211</v>
      </c>
    </row>
    <row r="5" spans="1:3" x14ac:dyDescent="0.25">
      <c r="A5" s="132" t="s">
        <v>22</v>
      </c>
    </row>
    <row r="6" spans="1:3" x14ac:dyDescent="0.25">
      <c r="A6" s="132" t="s">
        <v>2</v>
      </c>
      <c r="B6" s="132" t="s">
        <v>1</v>
      </c>
      <c r="C6" t="s">
        <v>23</v>
      </c>
    </row>
    <row r="7" spans="1:3" x14ac:dyDescent="0.25">
      <c r="A7" t="s">
        <v>37</v>
      </c>
      <c r="C7" s="163">
        <v>1</v>
      </c>
    </row>
    <row r="8" spans="1:3" x14ac:dyDescent="0.25">
      <c r="A8" t="s">
        <v>42</v>
      </c>
      <c r="C8" s="163">
        <v>1.000000000000002</v>
      </c>
    </row>
    <row r="9" spans="1:3" x14ac:dyDescent="0.25">
      <c r="A9" t="s">
        <v>186</v>
      </c>
      <c r="C9" s="163">
        <v>0.99999999999999989</v>
      </c>
    </row>
    <row r="10" spans="1:3" x14ac:dyDescent="0.25">
      <c r="A10" t="s">
        <v>670</v>
      </c>
      <c r="C10" s="163">
        <v>0.999999999999997</v>
      </c>
    </row>
    <row r="11" spans="1:3" x14ac:dyDescent="0.25">
      <c r="A11" t="s">
        <v>53</v>
      </c>
      <c r="C11" s="163">
        <v>1.0000000000000002</v>
      </c>
    </row>
    <row r="12" spans="1:3" x14ac:dyDescent="0.25">
      <c r="A12" t="s">
        <v>3124</v>
      </c>
      <c r="B12" t="s">
        <v>3124</v>
      </c>
      <c r="C12" s="163">
        <v>1.0000000000000002</v>
      </c>
    </row>
    <row r="13" spans="1:3" x14ac:dyDescent="0.25">
      <c r="A13" t="s">
        <v>1112</v>
      </c>
      <c r="C13" s="163">
        <v>1.0000000000000002</v>
      </c>
    </row>
    <row r="14" spans="1:3" x14ac:dyDescent="0.25">
      <c r="A14" t="s">
        <v>3007</v>
      </c>
      <c r="B14" t="s">
        <v>2043</v>
      </c>
      <c r="C14" s="163">
        <v>1.0000000000000013</v>
      </c>
    </row>
    <row r="15" spans="1:3" x14ac:dyDescent="0.25">
      <c r="A15" t="s">
        <v>791</v>
      </c>
      <c r="B15" t="s">
        <v>791</v>
      </c>
      <c r="C15" s="163">
        <v>1.0000000000000004</v>
      </c>
    </row>
    <row r="16" spans="1:3" x14ac:dyDescent="0.25">
      <c r="A16" t="s">
        <v>59</v>
      </c>
      <c r="C16" s="163">
        <v>0.99999999999999956</v>
      </c>
    </row>
    <row r="17" spans="1:3" x14ac:dyDescent="0.25">
      <c r="A17" t="s">
        <v>2591</v>
      </c>
      <c r="B17" t="s">
        <v>2591</v>
      </c>
      <c r="C17" s="163">
        <v>1</v>
      </c>
    </row>
    <row r="18" spans="1:3" x14ac:dyDescent="0.25">
      <c r="A18" t="s">
        <v>57</v>
      </c>
      <c r="C18" s="163">
        <v>1.0000000000000004</v>
      </c>
    </row>
    <row r="19" spans="1:3" x14ac:dyDescent="0.25">
      <c r="A19" t="s">
        <v>61</v>
      </c>
      <c r="C19" s="163">
        <v>1.0000000000000042</v>
      </c>
    </row>
    <row r="20" spans="1:3" x14ac:dyDescent="0.25">
      <c r="A20" t="s">
        <v>49</v>
      </c>
      <c r="C20" s="163">
        <v>1.0000000000000004</v>
      </c>
    </row>
    <row r="21" spans="1:3" x14ac:dyDescent="0.25">
      <c r="A21" t="s">
        <v>213</v>
      </c>
      <c r="C21" s="163">
        <v>1.0000000000000002</v>
      </c>
    </row>
    <row r="22" spans="1:3" x14ac:dyDescent="0.25">
      <c r="A22" t="s">
        <v>47</v>
      </c>
      <c r="C22" s="163">
        <v>1.0000000000000002</v>
      </c>
    </row>
    <row r="23" spans="1:3" x14ac:dyDescent="0.25">
      <c r="A23" t="s">
        <v>62</v>
      </c>
      <c r="C23" s="163">
        <v>1</v>
      </c>
    </row>
    <row r="24" spans="1:3" x14ac:dyDescent="0.25">
      <c r="A24" t="s">
        <v>43</v>
      </c>
      <c r="C24" s="163">
        <v>0.99999999999999989</v>
      </c>
    </row>
    <row r="25" spans="1:3" x14ac:dyDescent="0.25">
      <c r="A25" t="s">
        <v>41</v>
      </c>
      <c r="C25" s="163">
        <v>1.0000000000000007</v>
      </c>
    </row>
    <row r="26" spans="1:3" x14ac:dyDescent="0.25">
      <c r="A26" t="s">
        <v>639</v>
      </c>
      <c r="C26" s="163">
        <v>0.99999999999999989</v>
      </c>
    </row>
    <row r="27" spans="1:3" x14ac:dyDescent="0.25">
      <c r="A27" t="s">
        <v>60</v>
      </c>
      <c r="C27" s="163">
        <v>1</v>
      </c>
    </row>
    <row r="28" spans="1:3" x14ac:dyDescent="0.25">
      <c r="A28" t="s">
        <v>64</v>
      </c>
      <c r="C28" s="163">
        <v>1.0000000000000002</v>
      </c>
    </row>
    <row r="29" spans="1:3" x14ac:dyDescent="0.25">
      <c r="A29" t="s">
        <v>452</v>
      </c>
      <c r="C29" s="163">
        <v>1.0000000000000022</v>
      </c>
    </row>
    <row r="30" spans="1:3" x14ac:dyDescent="0.25">
      <c r="A30" t="s">
        <v>397</v>
      </c>
      <c r="B30" t="s">
        <v>397</v>
      </c>
      <c r="C30" s="163">
        <v>0.99999999999999922</v>
      </c>
    </row>
    <row r="31" spans="1:3" x14ac:dyDescent="0.25">
      <c r="A31" t="s">
        <v>33</v>
      </c>
      <c r="C31" s="163">
        <v>1.0000000000000004</v>
      </c>
    </row>
    <row r="32" spans="1:3" x14ac:dyDescent="0.25">
      <c r="A32" t="s">
        <v>2995</v>
      </c>
      <c r="B32" t="s">
        <v>2995</v>
      </c>
      <c r="C32" s="163">
        <v>1.0000000000000002</v>
      </c>
    </row>
    <row r="33" spans="1:3" x14ac:dyDescent="0.25">
      <c r="A33" t="s">
        <v>1156</v>
      </c>
      <c r="B33" t="s">
        <v>1156</v>
      </c>
      <c r="C33" s="163">
        <v>0.99999999999999878</v>
      </c>
    </row>
    <row r="34" spans="1:3" x14ac:dyDescent="0.25">
      <c r="A34" t="s">
        <v>1842</v>
      </c>
      <c r="C34" s="163">
        <v>1.0000000000000009</v>
      </c>
    </row>
    <row r="35" spans="1:3" x14ac:dyDescent="0.25">
      <c r="A35" t="s">
        <v>17</v>
      </c>
      <c r="C35" s="163">
        <v>0.99999999999999856</v>
      </c>
    </row>
    <row r="36" spans="1:3" x14ac:dyDescent="0.25">
      <c r="A36" t="s">
        <v>54</v>
      </c>
      <c r="C36" s="163">
        <v>0.99999999999999989</v>
      </c>
    </row>
    <row r="37" spans="1:3" x14ac:dyDescent="0.25">
      <c r="A37" t="s">
        <v>220</v>
      </c>
      <c r="C37" s="163">
        <v>0.99999999999999845</v>
      </c>
    </row>
    <row r="38" spans="1:3" x14ac:dyDescent="0.25">
      <c r="A38" t="s">
        <v>39</v>
      </c>
      <c r="C38" s="163">
        <v>1.0000000000000036</v>
      </c>
    </row>
    <row r="39" spans="1:3" x14ac:dyDescent="0.25">
      <c r="A39" t="s">
        <v>202</v>
      </c>
      <c r="C39" s="163">
        <v>1.0000000000000004</v>
      </c>
    </row>
    <row r="40" spans="1:3" x14ac:dyDescent="0.25">
      <c r="A40" t="s">
        <v>174</v>
      </c>
      <c r="C40" s="163">
        <v>0.99999999999999989</v>
      </c>
    </row>
    <row r="41" spans="1:3" x14ac:dyDescent="0.25">
      <c r="A41" t="s">
        <v>204</v>
      </c>
      <c r="C41" s="163">
        <v>0.99999999999999989</v>
      </c>
    </row>
    <row r="42" spans="1:3" x14ac:dyDescent="0.25">
      <c r="A42" t="s">
        <v>2870</v>
      </c>
      <c r="B42" t="s">
        <v>2870</v>
      </c>
      <c r="C42" s="163">
        <v>0.99999999999999989</v>
      </c>
    </row>
    <row r="43" spans="1:3" x14ac:dyDescent="0.25">
      <c r="A43" t="s">
        <v>218</v>
      </c>
      <c r="C43" s="163">
        <v>1.0000000000000029</v>
      </c>
    </row>
    <row r="44" spans="1:3" x14ac:dyDescent="0.25">
      <c r="A44" t="s">
        <v>26</v>
      </c>
      <c r="C44" s="163">
        <v>0.99999999999999756</v>
      </c>
    </row>
    <row r="45" spans="1:3" x14ac:dyDescent="0.25">
      <c r="A45" t="s">
        <v>2221</v>
      </c>
      <c r="B45" t="s">
        <v>2221</v>
      </c>
      <c r="C45" s="163">
        <v>1</v>
      </c>
    </row>
    <row r="46" spans="1:3" x14ac:dyDescent="0.25">
      <c r="A46" t="s">
        <v>20</v>
      </c>
      <c r="C46" s="163">
        <v>0.99999999999999833</v>
      </c>
    </row>
    <row r="47" spans="1:3" x14ac:dyDescent="0.25">
      <c r="A47" t="s">
        <v>206</v>
      </c>
      <c r="C47" s="163">
        <v>1.0000000000000002</v>
      </c>
    </row>
    <row r="48" spans="1:3" x14ac:dyDescent="0.25">
      <c r="A48" t="s">
        <v>40</v>
      </c>
      <c r="C48" s="163">
        <v>0.99999999999999856</v>
      </c>
    </row>
    <row r="49" spans="1:3" x14ac:dyDescent="0.25">
      <c r="A49" t="s">
        <v>927</v>
      </c>
      <c r="B49" t="s">
        <v>927</v>
      </c>
      <c r="C49" s="163">
        <v>0.99999999999999922</v>
      </c>
    </row>
    <row r="50" spans="1:3" x14ac:dyDescent="0.25">
      <c r="A50" t="s">
        <v>63</v>
      </c>
      <c r="C50" s="163">
        <v>1</v>
      </c>
    </row>
    <row r="51" spans="1:3" x14ac:dyDescent="0.25">
      <c r="A51" t="s">
        <v>3006</v>
      </c>
      <c r="C51" s="163">
        <v>1</v>
      </c>
    </row>
    <row r="52" spans="1:3" x14ac:dyDescent="0.25">
      <c r="A52" t="s">
        <v>1094</v>
      </c>
      <c r="B52" t="s">
        <v>1094</v>
      </c>
      <c r="C52" s="163">
        <v>0.99999999999999756</v>
      </c>
    </row>
    <row r="53" spans="1:3" x14ac:dyDescent="0.25">
      <c r="A53" t="s">
        <v>207</v>
      </c>
      <c r="C53" s="163">
        <v>1.0000000000000007</v>
      </c>
    </row>
    <row r="54" spans="1:3" x14ac:dyDescent="0.25">
      <c r="A54" t="s">
        <v>224</v>
      </c>
      <c r="C54" s="163">
        <v>0.99999999999999944</v>
      </c>
    </row>
    <row r="55" spans="1:3" x14ac:dyDescent="0.25">
      <c r="A55" t="s">
        <v>25</v>
      </c>
      <c r="C55" s="163">
        <v>1.0000000000000002</v>
      </c>
    </row>
    <row r="56" spans="1:3" x14ac:dyDescent="0.25">
      <c r="A56" t="s">
        <v>1255</v>
      </c>
      <c r="B56" t="s">
        <v>1255</v>
      </c>
      <c r="C56" s="163">
        <v>1.0000000000000018</v>
      </c>
    </row>
    <row r="57" spans="1:3" x14ac:dyDescent="0.25">
      <c r="A57" t="s">
        <v>210</v>
      </c>
      <c r="C57" s="163">
        <v>50.000000000000014</v>
      </c>
    </row>
  </sheetData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G60"/>
  <sheetViews>
    <sheetView showGridLines="0" zoomScale="96" zoomScaleNormal="96" workbookViewId="0">
      <pane ySplit="9" topLeftCell="A10" activePane="bottomLeft" state="frozen"/>
      <selection activeCell="A3926" sqref="A3926:R3939"/>
      <selection pane="bottomLeft" activeCell="A24" sqref="A24"/>
    </sheetView>
  </sheetViews>
  <sheetFormatPr defaultColWidth="11.42578125" defaultRowHeight="15" x14ac:dyDescent="0.25"/>
  <cols>
    <col min="1" max="1" width="45.42578125" customWidth="1"/>
    <col min="2" max="2" width="31.28515625" bestFit="1" customWidth="1"/>
    <col min="3" max="3" width="27.28515625" bestFit="1" customWidth="1"/>
    <col min="4" max="9" width="13.28515625" bestFit="1" customWidth="1"/>
    <col min="10" max="10" width="12.5703125" bestFit="1" customWidth="1"/>
    <col min="11" max="11" width="13.42578125" bestFit="1" customWidth="1"/>
  </cols>
  <sheetData>
    <row r="2" spans="1:7" x14ac:dyDescent="0.25">
      <c r="A2" s="161" t="s">
        <v>632</v>
      </c>
      <c r="B2" s="161"/>
      <c r="C2" s="161"/>
      <c r="D2" s="161"/>
      <c r="E2" s="161"/>
      <c r="F2" s="161"/>
      <c r="G2" s="161"/>
    </row>
    <row r="4" spans="1:7" x14ac:dyDescent="0.25">
      <c r="A4" s="132" t="s">
        <v>12</v>
      </c>
      <c r="B4" t="s">
        <v>211</v>
      </c>
    </row>
    <row r="5" spans="1:7" x14ac:dyDescent="0.25">
      <c r="A5" s="132" t="s">
        <v>11</v>
      </c>
      <c r="B5" t="s">
        <v>211</v>
      </c>
    </row>
    <row r="6" spans="1:7" x14ac:dyDescent="0.25">
      <c r="A6" s="132" t="s">
        <v>10</v>
      </c>
      <c r="B6" t="s">
        <v>211</v>
      </c>
    </row>
    <row r="7" spans="1:7" x14ac:dyDescent="0.25">
      <c r="A7" s="132" t="s">
        <v>385</v>
      </c>
      <c r="B7" t="s">
        <v>355</v>
      </c>
    </row>
    <row r="9" spans="1:7" x14ac:dyDescent="0.25">
      <c r="A9" s="132" t="s">
        <v>387</v>
      </c>
      <c r="D9" s="132" t="s">
        <v>15</v>
      </c>
    </row>
    <row r="10" spans="1:7" x14ac:dyDescent="0.25">
      <c r="A10" s="132" t="s">
        <v>2</v>
      </c>
      <c r="B10" s="132" t="s">
        <v>1</v>
      </c>
      <c r="C10" s="132" t="s">
        <v>7</v>
      </c>
      <c r="D10">
        <v>1</v>
      </c>
      <c r="E10">
        <v>2</v>
      </c>
      <c r="F10">
        <v>3</v>
      </c>
      <c r="G10" t="s">
        <v>210</v>
      </c>
    </row>
    <row r="11" spans="1:7" x14ac:dyDescent="0.25">
      <c r="A11" t="s">
        <v>37</v>
      </c>
      <c r="D11" s="163">
        <v>8</v>
      </c>
      <c r="E11" s="163"/>
      <c r="F11" s="163"/>
      <c r="G11" s="163">
        <v>8</v>
      </c>
    </row>
    <row r="12" spans="1:7" x14ac:dyDescent="0.25">
      <c r="A12" t="s">
        <v>42</v>
      </c>
      <c r="D12" s="163">
        <v>129.5</v>
      </c>
      <c r="E12" s="163">
        <v>3.5</v>
      </c>
      <c r="F12" s="163"/>
      <c r="G12" s="163">
        <v>133</v>
      </c>
    </row>
    <row r="13" spans="1:7" x14ac:dyDescent="0.25">
      <c r="A13" t="s">
        <v>186</v>
      </c>
      <c r="D13" s="163">
        <v>10</v>
      </c>
      <c r="E13" s="163"/>
      <c r="F13" s="163"/>
      <c r="G13" s="163">
        <v>10</v>
      </c>
    </row>
    <row r="14" spans="1:7" x14ac:dyDescent="0.25">
      <c r="A14" t="s">
        <v>670</v>
      </c>
      <c r="D14" s="163">
        <v>372.5</v>
      </c>
      <c r="E14" s="163">
        <v>16</v>
      </c>
      <c r="F14" s="163"/>
      <c r="G14" s="163">
        <v>388.5</v>
      </c>
    </row>
    <row r="15" spans="1:7" x14ac:dyDescent="0.25">
      <c r="A15" t="s">
        <v>53</v>
      </c>
      <c r="D15" s="163">
        <v>11</v>
      </c>
      <c r="E15" s="163"/>
      <c r="F15" s="163"/>
      <c r="G15" s="163">
        <v>11</v>
      </c>
    </row>
    <row r="16" spans="1:7" x14ac:dyDescent="0.25">
      <c r="A16" t="s">
        <v>3124</v>
      </c>
      <c r="D16" s="163">
        <v>35</v>
      </c>
      <c r="E16" s="163"/>
      <c r="F16" s="163"/>
      <c r="G16" s="163">
        <v>35</v>
      </c>
    </row>
    <row r="17" spans="1:7" x14ac:dyDescent="0.25">
      <c r="A17" t="s">
        <v>1112</v>
      </c>
      <c r="D17" s="163">
        <v>11</v>
      </c>
      <c r="E17" s="163"/>
      <c r="F17" s="163"/>
      <c r="G17" s="163">
        <v>11</v>
      </c>
    </row>
    <row r="18" spans="1:7" x14ac:dyDescent="0.25">
      <c r="A18" t="s">
        <v>3007</v>
      </c>
      <c r="D18" s="163">
        <v>50</v>
      </c>
      <c r="E18" s="163"/>
      <c r="F18" s="163"/>
      <c r="G18" s="163">
        <v>50</v>
      </c>
    </row>
    <row r="19" spans="1:7" x14ac:dyDescent="0.25">
      <c r="A19" t="s">
        <v>791</v>
      </c>
      <c r="D19" s="163">
        <v>18</v>
      </c>
      <c r="E19" s="163">
        <v>3</v>
      </c>
      <c r="F19" s="163"/>
      <c r="G19" s="163">
        <v>21</v>
      </c>
    </row>
    <row r="20" spans="1:7" x14ac:dyDescent="0.25">
      <c r="A20" t="s">
        <v>59</v>
      </c>
      <c r="D20" s="163">
        <v>10.333333333333332</v>
      </c>
      <c r="E20" s="163">
        <v>8.5</v>
      </c>
      <c r="F20" s="163"/>
      <c r="G20" s="163">
        <v>18.833333333333332</v>
      </c>
    </row>
    <row r="21" spans="1:7" x14ac:dyDescent="0.25">
      <c r="A21" t="s">
        <v>57</v>
      </c>
      <c r="D21" s="163">
        <v>41</v>
      </c>
      <c r="E21" s="163"/>
      <c r="F21" s="163"/>
      <c r="G21" s="163">
        <v>41</v>
      </c>
    </row>
    <row r="22" spans="1:7" x14ac:dyDescent="0.25">
      <c r="A22" t="s">
        <v>61</v>
      </c>
      <c r="D22" s="163">
        <v>167.5</v>
      </c>
      <c r="E22" s="163">
        <v>2</v>
      </c>
      <c r="F22" s="163"/>
      <c r="G22" s="163">
        <v>169.5</v>
      </c>
    </row>
    <row r="23" spans="1:7" x14ac:dyDescent="0.25">
      <c r="A23" t="s">
        <v>49</v>
      </c>
      <c r="D23" s="163">
        <v>40.5</v>
      </c>
      <c r="E23" s="163"/>
      <c r="F23" s="163"/>
      <c r="G23" s="163">
        <v>40.5</v>
      </c>
    </row>
    <row r="24" spans="1:7" x14ac:dyDescent="0.25">
      <c r="A24" t="s">
        <v>213</v>
      </c>
      <c r="D24" s="163">
        <v>6</v>
      </c>
      <c r="E24" s="163">
        <v>3</v>
      </c>
      <c r="F24" s="163"/>
      <c r="G24" s="163">
        <v>9</v>
      </c>
    </row>
    <row r="25" spans="1:7" x14ac:dyDescent="0.25">
      <c r="A25" t="s">
        <v>47</v>
      </c>
      <c r="D25" s="163">
        <v>36</v>
      </c>
      <c r="E25" s="163"/>
      <c r="F25" s="163"/>
      <c r="G25" s="163">
        <v>36</v>
      </c>
    </row>
    <row r="26" spans="1:7" x14ac:dyDescent="0.25">
      <c r="A26" t="s">
        <v>62</v>
      </c>
      <c r="D26" s="163">
        <v>17</v>
      </c>
      <c r="E26" s="163"/>
      <c r="F26" s="163"/>
      <c r="G26" s="163">
        <v>17</v>
      </c>
    </row>
    <row r="27" spans="1:7" x14ac:dyDescent="0.25">
      <c r="A27" t="s">
        <v>43</v>
      </c>
      <c r="D27" s="163">
        <v>9.5</v>
      </c>
      <c r="E27" s="163"/>
      <c r="F27" s="163"/>
      <c r="G27" s="163">
        <v>9.5</v>
      </c>
    </row>
    <row r="28" spans="1:7" x14ac:dyDescent="0.25">
      <c r="A28" t="s">
        <v>41</v>
      </c>
      <c r="D28" s="163">
        <v>39</v>
      </c>
      <c r="E28" s="163">
        <v>3</v>
      </c>
      <c r="F28" s="163"/>
      <c r="G28" s="163">
        <v>42</v>
      </c>
    </row>
    <row r="29" spans="1:7" x14ac:dyDescent="0.25">
      <c r="A29" t="s">
        <v>639</v>
      </c>
      <c r="D29" s="163">
        <v>10</v>
      </c>
      <c r="E29" s="163"/>
      <c r="F29" s="163"/>
      <c r="G29" s="163">
        <v>10</v>
      </c>
    </row>
    <row r="30" spans="1:7" x14ac:dyDescent="0.25">
      <c r="A30" t="s">
        <v>60</v>
      </c>
      <c r="D30" s="163">
        <v>17</v>
      </c>
      <c r="E30" s="163"/>
      <c r="F30" s="163"/>
      <c r="G30" s="163">
        <v>17</v>
      </c>
    </row>
    <row r="31" spans="1:7" x14ac:dyDescent="0.25">
      <c r="A31" t="s">
        <v>64</v>
      </c>
      <c r="D31" s="163">
        <v>11</v>
      </c>
      <c r="E31" s="163"/>
      <c r="F31" s="163"/>
      <c r="G31" s="163">
        <v>11</v>
      </c>
    </row>
    <row r="32" spans="1:7" x14ac:dyDescent="0.25">
      <c r="A32" t="s">
        <v>452</v>
      </c>
      <c r="D32" s="163">
        <v>79</v>
      </c>
      <c r="E32" s="163">
        <v>2</v>
      </c>
      <c r="F32" s="163"/>
      <c r="G32" s="163">
        <v>81</v>
      </c>
    </row>
    <row r="33" spans="1:7" x14ac:dyDescent="0.25">
      <c r="A33" t="s">
        <v>397</v>
      </c>
      <c r="D33" s="163">
        <v>19</v>
      </c>
      <c r="E33" s="163">
        <v>19</v>
      </c>
      <c r="F33" s="163"/>
      <c r="G33" s="163">
        <v>38</v>
      </c>
    </row>
    <row r="34" spans="1:7" x14ac:dyDescent="0.25">
      <c r="A34" t="s">
        <v>33</v>
      </c>
      <c r="D34" s="163">
        <v>9</v>
      </c>
      <c r="E34" s="163">
        <v>12</v>
      </c>
      <c r="F34" s="163"/>
      <c r="G34" s="163">
        <v>21</v>
      </c>
    </row>
    <row r="35" spans="1:7" x14ac:dyDescent="0.25">
      <c r="A35" t="s">
        <v>2995</v>
      </c>
      <c r="D35" s="163">
        <v>11</v>
      </c>
      <c r="E35" s="163"/>
      <c r="F35" s="163"/>
      <c r="G35" s="163">
        <v>11</v>
      </c>
    </row>
    <row r="36" spans="1:7" x14ac:dyDescent="0.25">
      <c r="A36" t="s">
        <v>1156</v>
      </c>
      <c r="D36" s="163">
        <v>105.5</v>
      </c>
      <c r="E36" s="163">
        <v>6</v>
      </c>
      <c r="F36" s="163"/>
      <c r="G36" s="163">
        <v>111.5</v>
      </c>
    </row>
    <row r="37" spans="1:7" x14ac:dyDescent="0.25">
      <c r="A37" t="s">
        <v>1842</v>
      </c>
      <c r="D37" s="163">
        <v>126.5</v>
      </c>
      <c r="E37" s="163">
        <v>55.5</v>
      </c>
      <c r="F37" s="163"/>
      <c r="G37" s="163">
        <v>182</v>
      </c>
    </row>
    <row r="38" spans="1:7" x14ac:dyDescent="0.25">
      <c r="A38" t="s">
        <v>17</v>
      </c>
      <c r="D38" s="163">
        <v>84</v>
      </c>
      <c r="E38" s="163"/>
      <c r="F38" s="163"/>
      <c r="G38" s="163">
        <v>84</v>
      </c>
    </row>
    <row r="39" spans="1:7" x14ac:dyDescent="0.25">
      <c r="A39" t="s">
        <v>54</v>
      </c>
      <c r="D39" s="163">
        <v>28.5</v>
      </c>
      <c r="E39" s="163">
        <v>16</v>
      </c>
      <c r="F39" s="163"/>
      <c r="G39" s="163">
        <v>44.5</v>
      </c>
    </row>
    <row r="40" spans="1:7" x14ac:dyDescent="0.25">
      <c r="A40" t="s">
        <v>220</v>
      </c>
      <c r="D40" s="163">
        <v>88</v>
      </c>
      <c r="E40" s="163">
        <v>1</v>
      </c>
      <c r="F40" s="163"/>
      <c r="G40" s="163">
        <v>89</v>
      </c>
    </row>
    <row r="41" spans="1:7" x14ac:dyDescent="0.25">
      <c r="A41" t="s">
        <v>39</v>
      </c>
      <c r="D41" s="163">
        <v>319</v>
      </c>
      <c r="E41" s="163"/>
      <c r="F41" s="163"/>
      <c r="G41" s="163">
        <v>319</v>
      </c>
    </row>
    <row r="42" spans="1:7" x14ac:dyDescent="0.25">
      <c r="A42" t="s">
        <v>202</v>
      </c>
      <c r="D42" s="163">
        <v>39</v>
      </c>
      <c r="E42" s="163"/>
      <c r="F42" s="163"/>
      <c r="G42" s="163">
        <v>39</v>
      </c>
    </row>
    <row r="43" spans="1:7" x14ac:dyDescent="0.25">
      <c r="A43" t="s">
        <v>174</v>
      </c>
      <c r="D43" s="163">
        <v>103</v>
      </c>
      <c r="E43" s="163">
        <v>3</v>
      </c>
      <c r="F43" s="163"/>
      <c r="G43" s="163">
        <v>106</v>
      </c>
    </row>
    <row r="44" spans="1:7" x14ac:dyDescent="0.25">
      <c r="A44" t="s">
        <v>204</v>
      </c>
      <c r="D44" s="163">
        <v>6</v>
      </c>
      <c r="E44" s="163"/>
      <c r="F44" s="163"/>
      <c r="G44" s="163">
        <v>6</v>
      </c>
    </row>
    <row r="45" spans="1:7" x14ac:dyDescent="0.25">
      <c r="A45" t="s">
        <v>2870</v>
      </c>
      <c r="D45" s="163">
        <v>10</v>
      </c>
      <c r="E45" s="163"/>
      <c r="F45" s="163"/>
      <c r="G45" s="163">
        <v>10</v>
      </c>
    </row>
    <row r="46" spans="1:7" x14ac:dyDescent="0.25">
      <c r="A46" t="s">
        <v>218</v>
      </c>
      <c r="D46" s="163">
        <v>183.5</v>
      </c>
      <c r="E46" s="163">
        <v>14.5</v>
      </c>
      <c r="F46" s="163"/>
      <c r="G46" s="163">
        <v>198</v>
      </c>
    </row>
    <row r="47" spans="1:7" x14ac:dyDescent="0.25">
      <c r="A47" t="s">
        <v>26</v>
      </c>
      <c r="D47" s="163">
        <v>168</v>
      </c>
      <c r="E47" s="163">
        <v>17.5</v>
      </c>
      <c r="F47" s="163">
        <v>18</v>
      </c>
      <c r="G47" s="163">
        <v>203.5</v>
      </c>
    </row>
    <row r="48" spans="1:7" x14ac:dyDescent="0.25">
      <c r="A48" t="s">
        <v>2221</v>
      </c>
      <c r="D48" s="163">
        <v>8</v>
      </c>
      <c r="E48" s="163"/>
      <c r="F48" s="163"/>
      <c r="G48" s="163">
        <v>8</v>
      </c>
    </row>
    <row r="49" spans="1:7" x14ac:dyDescent="0.25">
      <c r="A49" t="s">
        <v>20</v>
      </c>
      <c r="D49" s="163">
        <v>68</v>
      </c>
      <c r="E49" s="163">
        <v>2</v>
      </c>
      <c r="F49" s="163"/>
      <c r="G49" s="163">
        <v>70</v>
      </c>
    </row>
    <row r="50" spans="1:7" x14ac:dyDescent="0.25">
      <c r="A50" t="s">
        <v>206</v>
      </c>
      <c r="D50" s="163">
        <v>20</v>
      </c>
      <c r="E50" s="163"/>
      <c r="F50" s="163"/>
      <c r="G50" s="163">
        <v>20</v>
      </c>
    </row>
    <row r="51" spans="1:7" x14ac:dyDescent="0.25">
      <c r="A51" t="s">
        <v>40</v>
      </c>
      <c r="D51" s="163">
        <v>101.5</v>
      </c>
      <c r="E51" s="163"/>
      <c r="F51" s="163"/>
      <c r="G51" s="163">
        <v>101.5</v>
      </c>
    </row>
    <row r="52" spans="1:7" x14ac:dyDescent="0.25">
      <c r="A52" t="s">
        <v>927</v>
      </c>
      <c r="D52" s="163">
        <v>37.5</v>
      </c>
      <c r="E52" s="163"/>
      <c r="F52" s="163"/>
      <c r="G52" s="163">
        <v>37.5</v>
      </c>
    </row>
    <row r="53" spans="1:7" x14ac:dyDescent="0.25">
      <c r="A53" t="s">
        <v>63</v>
      </c>
      <c r="D53" s="163">
        <v>8</v>
      </c>
      <c r="E53" s="163"/>
      <c r="F53" s="163"/>
      <c r="G53" s="163">
        <v>8</v>
      </c>
    </row>
    <row r="54" spans="1:7" x14ac:dyDescent="0.25">
      <c r="A54" t="s">
        <v>3006</v>
      </c>
      <c r="D54" s="163">
        <v>8</v>
      </c>
      <c r="E54" s="163"/>
      <c r="F54" s="163"/>
      <c r="G54" s="163">
        <v>8</v>
      </c>
    </row>
    <row r="55" spans="1:7" x14ac:dyDescent="0.25">
      <c r="A55" t="s">
        <v>1094</v>
      </c>
      <c r="D55" s="163">
        <v>197.66666666666666</v>
      </c>
      <c r="E55" s="163">
        <v>7</v>
      </c>
      <c r="F55" s="163"/>
      <c r="G55" s="163">
        <v>204.66666666666666</v>
      </c>
    </row>
    <row r="56" spans="1:7" x14ac:dyDescent="0.25">
      <c r="A56" t="s">
        <v>207</v>
      </c>
      <c r="D56" s="163">
        <v>125</v>
      </c>
      <c r="E56" s="163"/>
      <c r="F56" s="163"/>
      <c r="G56" s="163">
        <v>125</v>
      </c>
    </row>
    <row r="57" spans="1:7" x14ac:dyDescent="0.25">
      <c r="A57" t="s">
        <v>224</v>
      </c>
      <c r="D57" s="163">
        <v>44</v>
      </c>
      <c r="E57" s="163"/>
      <c r="F57" s="163"/>
      <c r="G57" s="163">
        <v>44</v>
      </c>
    </row>
    <row r="58" spans="1:7" x14ac:dyDescent="0.25">
      <c r="A58" t="s">
        <v>25</v>
      </c>
      <c r="D58" s="163">
        <v>34.5</v>
      </c>
      <c r="E58" s="163"/>
      <c r="F58" s="163"/>
      <c r="G58" s="163">
        <v>34.5</v>
      </c>
    </row>
    <row r="59" spans="1:7" x14ac:dyDescent="0.25">
      <c r="A59" t="s">
        <v>1255</v>
      </c>
      <c r="D59" s="163">
        <v>190.5</v>
      </c>
      <c r="E59" s="163">
        <v>6</v>
      </c>
      <c r="F59" s="163"/>
      <c r="G59" s="163">
        <v>196.5</v>
      </c>
    </row>
    <row r="60" spans="1:7" x14ac:dyDescent="0.25">
      <c r="A60" t="s">
        <v>210</v>
      </c>
      <c r="D60" s="163">
        <v>3271.5</v>
      </c>
      <c r="E60" s="163">
        <v>200.5</v>
      </c>
      <c r="F60" s="163">
        <v>18</v>
      </c>
      <c r="G60" s="163">
        <v>3490</v>
      </c>
    </row>
  </sheetData>
  <mergeCells count="1">
    <mergeCell ref="A2:G2"/>
  </mergeCell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3"/>
  <sheetViews>
    <sheetView workbookViewId="0">
      <selection activeCell="A15" sqref="A15"/>
    </sheetView>
  </sheetViews>
  <sheetFormatPr defaultColWidth="9.140625" defaultRowHeight="15" x14ac:dyDescent="0.25"/>
  <cols>
    <col min="1" max="1" width="71.140625" bestFit="1" customWidth="1"/>
    <col min="2" max="2" width="56.5703125" bestFit="1" customWidth="1"/>
  </cols>
  <sheetData>
    <row r="1" spans="1:2" x14ac:dyDescent="0.25">
      <c r="A1" t="s">
        <v>308</v>
      </c>
      <c r="B1" t="s">
        <v>309</v>
      </c>
    </row>
    <row r="2" spans="1:2" x14ac:dyDescent="0.25">
      <c r="A2" s="29" t="s">
        <v>175</v>
      </c>
      <c r="B2" s="31" t="s">
        <v>236</v>
      </c>
    </row>
    <row r="3" spans="1:2" x14ac:dyDescent="0.25">
      <c r="A3" s="29" t="s">
        <v>37</v>
      </c>
      <c r="B3" s="31" t="s">
        <v>237</v>
      </c>
    </row>
    <row r="4" spans="1:2" x14ac:dyDescent="0.25">
      <c r="A4" s="29" t="s">
        <v>232</v>
      </c>
      <c r="B4" s="30" t="s">
        <v>238</v>
      </c>
    </row>
    <row r="5" spans="1:2" x14ac:dyDescent="0.25">
      <c r="A5" s="29" t="s">
        <v>42</v>
      </c>
      <c r="B5" s="31" t="s">
        <v>239</v>
      </c>
    </row>
    <row r="6" spans="1:2" x14ac:dyDescent="0.25">
      <c r="A6" s="29" t="s">
        <v>48</v>
      </c>
      <c r="B6" s="31" t="s">
        <v>240</v>
      </c>
    </row>
    <row r="7" spans="1:2" x14ac:dyDescent="0.25">
      <c r="A7" s="29" t="s">
        <v>222</v>
      </c>
      <c r="B7" s="31" t="s">
        <v>241</v>
      </c>
    </row>
    <row r="8" spans="1:2" x14ac:dyDescent="0.25">
      <c r="A8" s="29" t="s">
        <v>186</v>
      </c>
      <c r="B8" s="31" t="s">
        <v>242</v>
      </c>
    </row>
    <row r="9" spans="1:2" x14ac:dyDescent="0.25">
      <c r="A9" s="29" t="s">
        <v>178</v>
      </c>
      <c r="B9" s="31" t="s">
        <v>243</v>
      </c>
    </row>
    <row r="10" spans="1:2" x14ac:dyDescent="0.25">
      <c r="A10" s="29" t="s">
        <v>53</v>
      </c>
      <c r="B10" s="31" t="s">
        <v>244</v>
      </c>
    </row>
    <row r="11" spans="1:2" x14ac:dyDescent="0.25">
      <c r="A11" s="29" t="s">
        <v>188</v>
      </c>
      <c r="B11" s="31" t="s">
        <v>245</v>
      </c>
    </row>
    <row r="12" spans="1:2" x14ac:dyDescent="0.25">
      <c r="A12" s="29" t="s">
        <v>226</v>
      </c>
      <c r="B12" s="31" t="s">
        <v>246</v>
      </c>
    </row>
    <row r="13" spans="1:2" x14ac:dyDescent="0.25">
      <c r="A13" s="29" t="s">
        <v>187</v>
      </c>
      <c r="B13" s="31" t="s">
        <v>247</v>
      </c>
    </row>
    <row r="14" spans="1:2" x14ac:dyDescent="0.25">
      <c r="A14" s="29" t="s">
        <v>27</v>
      </c>
      <c r="B14" s="31" t="s">
        <v>248</v>
      </c>
    </row>
    <row r="15" spans="1:2" x14ac:dyDescent="0.25">
      <c r="A15" s="29" t="s">
        <v>59</v>
      </c>
      <c r="B15" s="31" t="s">
        <v>249</v>
      </c>
    </row>
    <row r="16" spans="1:2" x14ac:dyDescent="0.25">
      <c r="A16" s="29" t="s">
        <v>189</v>
      </c>
      <c r="B16" s="31" t="s">
        <v>250</v>
      </c>
    </row>
    <row r="17" spans="1:2" x14ac:dyDescent="0.25">
      <c r="A17" s="29" t="s">
        <v>191</v>
      </c>
      <c r="B17" s="31" t="s">
        <v>251</v>
      </c>
    </row>
    <row r="18" spans="1:2" x14ac:dyDescent="0.25">
      <c r="A18" s="29" t="s">
        <v>55</v>
      </c>
      <c r="B18" s="31" t="s">
        <v>55</v>
      </c>
    </row>
    <row r="19" spans="1:2" x14ac:dyDescent="0.25">
      <c r="A19" s="29" t="s">
        <v>190</v>
      </c>
      <c r="B19" s="31" t="s">
        <v>252</v>
      </c>
    </row>
    <row r="20" spans="1:2" x14ac:dyDescent="0.25">
      <c r="A20" s="29" t="s">
        <v>57</v>
      </c>
      <c r="B20" s="31" t="s">
        <v>57</v>
      </c>
    </row>
    <row r="21" spans="1:2" x14ac:dyDescent="0.25">
      <c r="A21" s="29" t="s">
        <v>227</v>
      </c>
      <c r="B21" s="31" t="s">
        <v>227</v>
      </c>
    </row>
    <row r="22" spans="1:2" x14ac:dyDescent="0.25">
      <c r="A22" s="29" t="s">
        <v>192</v>
      </c>
      <c r="B22" s="31" t="s">
        <v>253</v>
      </c>
    </row>
    <row r="23" spans="1:2" x14ac:dyDescent="0.25">
      <c r="A23" s="29" t="s">
        <v>19</v>
      </c>
      <c r="B23" s="31" t="s">
        <v>19</v>
      </c>
    </row>
    <row r="24" spans="1:2" x14ac:dyDescent="0.25">
      <c r="A24" s="29" t="s">
        <v>234</v>
      </c>
      <c r="B24" s="31" t="s">
        <v>254</v>
      </c>
    </row>
    <row r="25" spans="1:2" x14ac:dyDescent="0.25">
      <c r="A25" s="29" t="s">
        <v>223</v>
      </c>
      <c r="B25" s="31" t="s">
        <v>255</v>
      </c>
    </row>
    <row r="26" spans="1:2" x14ac:dyDescent="0.25">
      <c r="A26" s="29" t="s">
        <v>193</v>
      </c>
      <c r="B26" s="31" t="s">
        <v>256</v>
      </c>
    </row>
    <row r="27" spans="1:2" x14ac:dyDescent="0.25">
      <c r="A27" s="29" t="s">
        <v>61</v>
      </c>
      <c r="B27" s="31" t="s">
        <v>61</v>
      </c>
    </row>
    <row r="28" spans="1:2" x14ac:dyDescent="0.25">
      <c r="A28" s="29" t="s">
        <v>49</v>
      </c>
      <c r="B28" s="31" t="s">
        <v>257</v>
      </c>
    </row>
    <row r="29" spans="1:2" x14ac:dyDescent="0.25">
      <c r="A29" s="29" t="s">
        <v>213</v>
      </c>
      <c r="B29" s="31" t="s">
        <v>258</v>
      </c>
    </row>
    <row r="30" spans="1:2" x14ac:dyDescent="0.25">
      <c r="A30" s="29" t="s">
        <v>47</v>
      </c>
      <c r="B30" s="31" t="s">
        <v>259</v>
      </c>
    </row>
    <row r="31" spans="1:2" x14ac:dyDescent="0.25">
      <c r="A31" s="29"/>
      <c r="B31" s="30" t="s">
        <v>260</v>
      </c>
    </row>
    <row r="32" spans="1:2" x14ac:dyDescent="0.25">
      <c r="A32" s="29" t="s">
        <v>62</v>
      </c>
      <c r="B32" s="31" t="s">
        <v>261</v>
      </c>
    </row>
    <row r="33" spans="1:2" x14ac:dyDescent="0.25">
      <c r="A33" s="29" t="s">
        <v>43</v>
      </c>
      <c r="B33" s="31" t="s">
        <v>43</v>
      </c>
    </row>
    <row r="34" spans="1:2" x14ac:dyDescent="0.25">
      <c r="A34" s="29" t="s">
        <v>44</v>
      </c>
      <c r="B34" s="31" t="s">
        <v>262</v>
      </c>
    </row>
    <row r="35" spans="1:2" x14ac:dyDescent="0.25">
      <c r="A35" s="29" t="s">
        <v>38</v>
      </c>
      <c r="B35" s="31" t="s">
        <v>38</v>
      </c>
    </row>
    <row r="36" spans="1:2" x14ac:dyDescent="0.25">
      <c r="A36" s="29" t="s">
        <v>41</v>
      </c>
      <c r="B36" s="31" t="s">
        <v>263</v>
      </c>
    </row>
    <row r="37" spans="1:2" x14ac:dyDescent="0.25">
      <c r="A37" s="29" t="s">
        <v>138</v>
      </c>
      <c r="B37" s="31" t="s">
        <v>264</v>
      </c>
    </row>
    <row r="38" spans="1:2" x14ac:dyDescent="0.25">
      <c r="A38" s="29" t="s">
        <v>50</v>
      </c>
      <c r="B38" s="31" t="s">
        <v>265</v>
      </c>
    </row>
    <row r="39" spans="1:2" x14ac:dyDescent="0.25">
      <c r="A39" s="29" t="s">
        <v>60</v>
      </c>
      <c r="B39" s="31" t="s">
        <v>60</v>
      </c>
    </row>
    <row r="40" spans="1:2" x14ac:dyDescent="0.25">
      <c r="A40" s="29" t="s">
        <v>51</v>
      </c>
      <c r="B40" s="31" t="s">
        <v>266</v>
      </c>
    </row>
    <row r="41" spans="1:2" x14ac:dyDescent="0.25">
      <c r="A41" s="29" t="s">
        <v>225</v>
      </c>
      <c r="B41" s="31" t="s">
        <v>267</v>
      </c>
    </row>
    <row r="42" spans="1:2" x14ac:dyDescent="0.25">
      <c r="A42" s="29" t="s">
        <v>64</v>
      </c>
      <c r="B42" s="31" t="s">
        <v>64</v>
      </c>
    </row>
    <row r="43" spans="1:2" x14ac:dyDescent="0.25">
      <c r="A43" s="29" t="s">
        <v>194</v>
      </c>
      <c r="B43" s="31" t="s">
        <v>268</v>
      </c>
    </row>
    <row r="44" spans="1:2" x14ac:dyDescent="0.25">
      <c r="A44" s="29" t="s">
        <v>167</v>
      </c>
      <c r="B44" s="31" t="s">
        <v>269</v>
      </c>
    </row>
    <row r="45" spans="1:2" x14ac:dyDescent="0.25">
      <c r="A45" s="29" t="s">
        <v>56</v>
      </c>
      <c r="B45" s="31" t="s">
        <v>270</v>
      </c>
    </row>
    <row r="46" spans="1:2" x14ac:dyDescent="0.25">
      <c r="A46" s="29" t="s">
        <v>33</v>
      </c>
      <c r="B46" s="31" t="s">
        <v>33</v>
      </c>
    </row>
    <row r="47" spans="1:2" x14ac:dyDescent="0.25">
      <c r="A47" s="29" t="s">
        <v>228</v>
      </c>
      <c r="B47" s="31" t="s">
        <v>271</v>
      </c>
    </row>
    <row r="48" spans="1:2" x14ac:dyDescent="0.25">
      <c r="A48" s="29" t="s">
        <v>221</v>
      </c>
      <c r="B48" s="31" t="s">
        <v>272</v>
      </c>
    </row>
    <row r="49" spans="1:2" x14ac:dyDescent="0.25">
      <c r="A49" s="29" t="s">
        <v>195</v>
      </c>
      <c r="B49" s="31" t="s">
        <v>273</v>
      </c>
    </row>
    <row r="50" spans="1:2" x14ac:dyDescent="0.25">
      <c r="A50" s="29" t="s">
        <v>196</v>
      </c>
      <c r="B50" s="31" t="s">
        <v>274</v>
      </c>
    </row>
    <row r="51" spans="1:2" x14ac:dyDescent="0.25">
      <c r="A51" s="29" t="s">
        <v>219</v>
      </c>
      <c r="B51" s="31" t="s">
        <v>275</v>
      </c>
    </row>
    <row r="52" spans="1:2" x14ac:dyDescent="0.25">
      <c r="A52" s="29" t="s">
        <v>217</v>
      </c>
      <c r="B52" s="31" t="s">
        <v>276</v>
      </c>
    </row>
    <row r="53" spans="1:2" x14ac:dyDescent="0.25">
      <c r="A53" s="29" t="s">
        <v>17</v>
      </c>
      <c r="B53" s="31" t="s">
        <v>277</v>
      </c>
    </row>
    <row r="54" spans="1:2" x14ac:dyDescent="0.25">
      <c r="A54" s="29" t="s">
        <v>199</v>
      </c>
      <c r="B54" s="31" t="s">
        <v>278</v>
      </c>
    </row>
    <row r="55" spans="1:2" x14ac:dyDescent="0.25">
      <c r="A55" s="29" t="s">
        <v>46</v>
      </c>
      <c r="B55" s="31" t="s">
        <v>279</v>
      </c>
    </row>
    <row r="56" spans="1:2" x14ac:dyDescent="0.25">
      <c r="A56" s="29" t="s">
        <v>54</v>
      </c>
      <c r="B56" s="31" t="s">
        <v>280</v>
      </c>
    </row>
    <row r="57" spans="1:2" x14ac:dyDescent="0.25">
      <c r="A57" s="29" t="s">
        <v>220</v>
      </c>
      <c r="B57" s="31" t="s">
        <v>281</v>
      </c>
    </row>
    <row r="58" spans="1:2" x14ac:dyDescent="0.25">
      <c r="A58" t="s">
        <v>229</v>
      </c>
      <c r="B58" s="31" t="s">
        <v>282</v>
      </c>
    </row>
    <row r="59" spans="1:2" x14ac:dyDescent="0.25">
      <c r="A59" s="29" t="s">
        <v>216</v>
      </c>
      <c r="B59" s="31" t="s">
        <v>283</v>
      </c>
    </row>
    <row r="60" spans="1:2" x14ac:dyDescent="0.25">
      <c r="A60" s="29" t="s">
        <v>39</v>
      </c>
      <c r="B60" s="31" t="s">
        <v>284</v>
      </c>
    </row>
    <row r="61" spans="1:2" x14ac:dyDescent="0.25">
      <c r="A61" s="29" t="s">
        <v>45</v>
      </c>
      <c r="B61" s="31" t="s">
        <v>285</v>
      </c>
    </row>
    <row r="62" spans="1:2" x14ac:dyDescent="0.25">
      <c r="A62" s="29" t="s">
        <v>202</v>
      </c>
      <c r="B62" s="31" t="s">
        <v>286</v>
      </c>
    </row>
    <row r="63" spans="1:2" x14ac:dyDescent="0.25">
      <c r="A63" s="29" t="s">
        <v>174</v>
      </c>
      <c r="B63" s="31" t="s">
        <v>287</v>
      </c>
    </row>
    <row r="64" spans="1:2" x14ac:dyDescent="0.25">
      <c r="A64" s="29" t="s">
        <v>231</v>
      </c>
      <c r="B64" s="31" t="s">
        <v>288</v>
      </c>
    </row>
    <row r="65" spans="1:2" x14ac:dyDescent="0.25">
      <c r="A65" s="29" t="s">
        <v>203</v>
      </c>
      <c r="B65" s="31" t="s">
        <v>289</v>
      </c>
    </row>
    <row r="66" spans="1:2" x14ac:dyDescent="0.25">
      <c r="A66" s="29" t="s">
        <v>204</v>
      </c>
      <c r="B66" s="31" t="s">
        <v>290</v>
      </c>
    </row>
    <row r="67" spans="1:2" x14ac:dyDescent="0.25">
      <c r="A67" s="29" t="s">
        <v>205</v>
      </c>
      <c r="B67" s="31" t="s">
        <v>291</v>
      </c>
    </row>
    <row r="68" spans="1:2" x14ac:dyDescent="0.25">
      <c r="A68" s="29" t="s">
        <v>218</v>
      </c>
      <c r="B68" s="31" t="s">
        <v>292</v>
      </c>
    </row>
    <row r="69" spans="1:2" x14ac:dyDescent="0.25">
      <c r="A69" s="29" t="s">
        <v>26</v>
      </c>
      <c r="B69" s="31" t="s">
        <v>293</v>
      </c>
    </row>
    <row r="70" spans="1:2" x14ac:dyDescent="0.25">
      <c r="A70" s="29" t="s">
        <v>24</v>
      </c>
      <c r="B70" s="31" t="s">
        <v>294</v>
      </c>
    </row>
    <row r="71" spans="1:2" x14ac:dyDescent="0.25">
      <c r="A71" s="29" t="s">
        <v>20</v>
      </c>
      <c r="B71" s="31" t="s">
        <v>295</v>
      </c>
    </row>
    <row r="72" spans="1:2" x14ac:dyDescent="0.25">
      <c r="A72" s="29" t="s">
        <v>206</v>
      </c>
      <c r="B72" s="31" t="s">
        <v>296</v>
      </c>
    </row>
    <row r="73" spans="1:2" x14ac:dyDescent="0.25">
      <c r="A73" s="29" t="s">
        <v>137</v>
      </c>
      <c r="B73" s="31" t="s">
        <v>297</v>
      </c>
    </row>
    <row r="74" spans="1:2" x14ac:dyDescent="0.25">
      <c r="A74" s="29" t="s">
        <v>40</v>
      </c>
      <c r="B74" s="31" t="s">
        <v>298</v>
      </c>
    </row>
    <row r="75" spans="1:2" x14ac:dyDescent="0.25">
      <c r="A75" s="29" t="s">
        <v>58</v>
      </c>
      <c r="B75" s="31" t="s">
        <v>299</v>
      </c>
    </row>
    <row r="76" spans="1:2" x14ac:dyDescent="0.25">
      <c r="A76" s="29" t="s">
        <v>233</v>
      </c>
      <c r="B76" s="31" t="s">
        <v>300</v>
      </c>
    </row>
    <row r="77" spans="1:2" x14ac:dyDescent="0.25">
      <c r="A77" s="29"/>
      <c r="B77" s="30" t="s">
        <v>301</v>
      </c>
    </row>
    <row r="78" spans="1:2" x14ac:dyDescent="0.25">
      <c r="A78" s="29" t="s">
        <v>63</v>
      </c>
      <c r="B78" s="31" t="s">
        <v>302</v>
      </c>
    </row>
    <row r="79" spans="1:2" x14ac:dyDescent="0.25">
      <c r="A79" s="29" t="s">
        <v>230</v>
      </c>
      <c r="B79" s="31" t="s">
        <v>303</v>
      </c>
    </row>
    <row r="80" spans="1:2" x14ac:dyDescent="0.25">
      <c r="A80" s="29" t="s">
        <v>177</v>
      </c>
      <c r="B80" s="31" t="s">
        <v>304</v>
      </c>
    </row>
    <row r="81" spans="1:2" x14ac:dyDescent="0.25">
      <c r="A81" s="29" t="s">
        <v>207</v>
      </c>
      <c r="B81" s="31" t="s">
        <v>305</v>
      </c>
    </row>
    <row r="82" spans="1:2" x14ac:dyDescent="0.25">
      <c r="A82" s="29" t="s">
        <v>224</v>
      </c>
      <c r="B82" s="31" t="s">
        <v>306</v>
      </c>
    </row>
    <row r="83" spans="1:2" x14ac:dyDescent="0.25">
      <c r="A83" s="29" t="s">
        <v>25</v>
      </c>
      <c r="B83" s="31" t="s">
        <v>307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E61"/>
  <sheetViews>
    <sheetView showGridLines="0" zoomScaleNormal="85" workbookViewId="0">
      <pane ySplit="6" topLeftCell="A31" activePane="bottomLeft" state="frozen"/>
      <selection pane="bottomLeft" activeCell="C75" sqref="C75"/>
    </sheetView>
  </sheetViews>
  <sheetFormatPr defaultColWidth="11.42578125" defaultRowHeight="15" x14ac:dyDescent="0.25"/>
  <cols>
    <col min="1" max="1" width="25.85546875" customWidth="1"/>
    <col min="2" max="2" width="40.85546875" bestFit="1" customWidth="1"/>
    <col min="3" max="3" width="27.28515625" bestFit="1" customWidth="1"/>
    <col min="4" max="4" width="29" customWidth="1"/>
    <col min="5" max="5" width="49.5703125" bestFit="1" customWidth="1"/>
    <col min="6" max="8" width="4" customWidth="1"/>
    <col min="9" max="9" width="10.140625" customWidth="1"/>
    <col min="10" max="10" width="9.85546875" customWidth="1"/>
    <col min="11" max="11" width="4" customWidth="1"/>
  </cols>
  <sheetData>
    <row r="2" spans="1:5" x14ac:dyDescent="0.25">
      <c r="A2" s="132" t="s">
        <v>12</v>
      </c>
      <c r="B2" t="s">
        <v>211</v>
      </c>
    </row>
    <row r="3" spans="1:5" x14ac:dyDescent="0.25">
      <c r="A3" s="132" t="s">
        <v>11</v>
      </c>
      <c r="B3" t="s">
        <v>211</v>
      </c>
    </row>
    <row r="6" spans="1:5" x14ac:dyDescent="0.25">
      <c r="A6" s="132" t="s">
        <v>139</v>
      </c>
      <c r="B6" s="132" t="s">
        <v>4</v>
      </c>
      <c r="C6" s="132" t="s">
        <v>179</v>
      </c>
      <c r="D6" s="132" t="s">
        <v>2</v>
      </c>
      <c r="E6" s="132" t="s">
        <v>1</v>
      </c>
    </row>
    <row r="7" spans="1:5" x14ac:dyDescent="0.25">
      <c r="A7" t="s">
        <v>68</v>
      </c>
      <c r="B7" t="s">
        <v>1211</v>
      </c>
      <c r="C7">
        <v>2</v>
      </c>
      <c r="D7" t="s">
        <v>54</v>
      </c>
      <c r="E7" t="s">
        <v>54</v>
      </c>
    </row>
    <row r="8" spans="1:5" x14ac:dyDescent="0.25">
      <c r="B8" t="s">
        <v>1213</v>
      </c>
      <c r="C8">
        <v>2</v>
      </c>
      <c r="D8" t="s">
        <v>54</v>
      </c>
      <c r="E8" t="s">
        <v>54</v>
      </c>
    </row>
    <row r="9" spans="1:5" x14ac:dyDescent="0.25">
      <c r="B9" t="s">
        <v>967</v>
      </c>
      <c r="C9">
        <v>2</v>
      </c>
      <c r="D9" t="s">
        <v>1156</v>
      </c>
      <c r="E9" t="s">
        <v>1156</v>
      </c>
    </row>
    <row r="10" spans="1:5" x14ac:dyDescent="0.25">
      <c r="D10" t="s">
        <v>927</v>
      </c>
      <c r="E10" t="s">
        <v>927</v>
      </c>
    </row>
    <row r="11" spans="1:5" x14ac:dyDescent="0.25">
      <c r="B11" t="s">
        <v>848</v>
      </c>
      <c r="C11">
        <v>2</v>
      </c>
      <c r="D11" t="s">
        <v>59</v>
      </c>
      <c r="E11" t="s">
        <v>59</v>
      </c>
    </row>
    <row r="12" spans="1:5" x14ac:dyDescent="0.25">
      <c r="D12" t="s">
        <v>1094</v>
      </c>
      <c r="E12" t="s">
        <v>1094</v>
      </c>
    </row>
    <row r="13" spans="1:5" x14ac:dyDescent="0.25">
      <c r="B13" t="s">
        <v>1235</v>
      </c>
      <c r="C13">
        <v>2</v>
      </c>
      <c r="D13" t="s">
        <v>54</v>
      </c>
      <c r="E13" t="s">
        <v>54</v>
      </c>
    </row>
    <row r="14" spans="1:5" x14ac:dyDescent="0.25">
      <c r="A14" t="s">
        <v>34</v>
      </c>
      <c r="B14" t="s">
        <v>844</v>
      </c>
      <c r="C14">
        <v>2</v>
      </c>
      <c r="D14" t="s">
        <v>59</v>
      </c>
      <c r="E14" t="s">
        <v>59</v>
      </c>
    </row>
    <row r="15" spans="1:5" x14ac:dyDescent="0.25">
      <c r="D15" t="s">
        <v>1094</v>
      </c>
      <c r="E15" t="s">
        <v>1094</v>
      </c>
    </row>
    <row r="16" spans="1:5" x14ac:dyDescent="0.25">
      <c r="B16" t="s">
        <v>1218</v>
      </c>
      <c r="C16">
        <v>2</v>
      </c>
      <c r="D16" t="s">
        <v>54</v>
      </c>
      <c r="E16" t="s">
        <v>54</v>
      </c>
    </row>
    <row r="17" spans="1:5" x14ac:dyDescent="0.25">
      <c r="D17" t="s">
        <v>40</v>
      </c>
      <c r="E17" t="s">
        <v>2033</v>
      </c>
    </row>
    <row r="18" spans="1:5" x14ac:dyDescent="0.25">
      <c r="B18" t="s">
        <v>127</v>
      </c>
      <c r="C18">
        <v>2</v>
      </c>
      <c r="D18" t="s">
        <v>49</v>
      </c>
      <c r="E18" t="s">
        <v>49</v>
      </c>
    </row>
    <row r="19" spans="1:5" x14ac:dyDescent="0.25">
      <c r="D19" t="s">
        <v>1255</v>
      </c>
      <c r="E19" t="s">
        <v>1255</v>
      </c>
    </row>
    <row r="20" spans="1:5" x14ac:dyDescent="0.25">
      <c r="B20" t="s">
        <v>1202</v>
      </c>
      <c r="C20">
        <v>2</v>
      </c>
      <c r="D20" t="s">
        <v>61</v>
      </c>
      <c r="E20" t="s">
        <v>61</v>
      </c>
    </row>
    <row r="21" spans="1:5" x14ac:dyDescent="0.25">
      <c r="D21" t="s">
        <v>1842</v>
      </c>
      <c r="E21" t="s">
        <v>1842</v>
      </c>
    </row>
    <row r="22" spans="1:5" x14ac:dyDescent="0.25">
      <c r="B22" t="s">
        <v>1224</v>
      </c>
      <c r="C22">
        <v>2</v>
      </c>
      <c r="D22" t="s">
        <v>54</v>
      </c>
      <c r="E22" t="s">
        <v>54</v>
      </c>
    </row>
    <row r="23" spans="1:5" x14ac:dyDescent="0.25">
      <c r="B23" t="s">
        <v>799</v>
      </c>
      <c r="C23">
        <v>2</v>
      </c>
      <c r="D23" t="s">
        <v>59</v>
      </c>
      <c r="E23" t="s">
        <v>59</v>
      </c>
    </row>
    <row r="24" spans="1:5" x14ac:dyDescent="0.25">
      <c r="D24" t="s">
        <v>1094</v>
      </c>
      <c r="E24" t="s">
        <v>1094</v>
      </c>
    </row>
    <row r="25" spans="1:5" x14ac:dyDescent="0.25">
      <c r="B25" t="s">
        <v>559</v>
      </c>
      <c r="C25">
        <v>2</v>
      </c>
      <c r="D25" t="s">
        <v>218</v>
      </c>
      <c r="E25" t="s">
        <v>218</v>
      </c>
    </row>
    <row r="26" spans="1:5" x14ac:dyDescent="0.25">
      <c r="B26" t="s">
        <v>2189</v>
      </c>
      <c r="C26">
        <v>2</v>
      </c>
      <c r="D26" t="s">
        <v>26</v>
      </c>
      <c r="E26" t="s">
        <v>26</v>
      </c>
    </row>
    <row r="27" spans="1:5" x14ac:dyDescent="0.25">
      <c r="D27" t="s">
        <v>1094</v>
      </c>
      <c r="E27" t="s">
        <v>1094</v>
      </c>
    </row>
    <row r="28" spans="1:5" x14ac:dyDescent="0.25">
      <c r="A28" t="s">
        <v>35</v>
      </c>
      <c r="B28" t="s">
        <v>1215</v>
      </c>
      <c r="C28">
        <v>2</v>
      </c>
      <c r="D28" t="s">
        <v>54</v>
      </c>
      <c r="E28" t="s">
        <v>54</v>
      </c>
    </row>
    <row r="29" spans="1:5" x14ac:dyDescent="0.25">
      <c r="B29" t="s">
        <v>3054</v>
      </c>
      <c r="C29">
        <v>2</v>
      </c>
      <c r="D29" t="s">
        <v>670</v>
      </c>
      <c r="E29" t="s">
        <v>670</v>
      </c>
    </row>
    <row r="30" spans="1:5" x14ac:dyDescent="0.25">
      <c r="A30" t="s">
        <v>355</v>
      </c>
      <c r="B30" t="s">
        <v>829</v>
      </c>
      <c r="C30">
        <v>2</v>
      </c>
      <c r="D30" t="s">
        <v>59</v>
      </c>
      <c r="E30" t="s">
        <v>59</v>
      </c>
    </row>
    <row r="31" spans="1:5" x14ac:dyDescent="0.25">
      <c r="D31" t="s">
        <v>1094</v>
      </c>
      <c r="E31" t="s">
        <v>1094</v>
      </c>
    </row>
    <row r="32" spans="1:5" x14ac:dyDescent="0.25">
      <c r="B32" t="s">
        <v>1217</v>
      </c>
      <c r="C32">
        <v>2</v>
      </c>
      <c r="D32" t="s">
        <v>54</v>
      </c>
      <c r="E32" t="s">
        <v>54</v>
      </c>
    </row>
    <row r="33" spans="2:5" x14ac:dyDescent="0.25">
      <c r="B33" t="s">
        <v>1670</v>
      </c>
      <c r="C33">
        <v>2</v>
      </c>
      <c r="D33" t="s">
        <v>61</v>
      </c>
      <c r="E33" t="s">
        <v>1665</v>
      </c>
    </row>
    <row r="34" spans="2:5" x14ac:dyDescent="0.25">
      <c r="D34" t="s">
        <v>43</v>
      </c>
      <c r="E34" t="s">
        <v>43</v>
      </c>
    </row>
    <row r="35" spans="2:5" x14ac:dyDescent="0.25">
      <c r="B35" t="s">
        <v>349</v>
      </c>
      <c r="C35">
        <v>2</v>
      </c>
      <c r="D35" t="s">
        <v>42</v>
      </c>
      <c r="E35" t="s">
        <v>42</v>
      </c>
    </row>
    <row r="36" spans="2:5" x14ac:dyDescent="0.25">
      <c r="D36" t="s">
        <v>61</v>
      </c>
      <c r="E36" t="s">
        <v>61</v>
      </c>
    </row>
    <row r="37" spans="2:5" x14ac:dyDescent="0.25">
      <c r="B37" t="s">
        <v>350</v>
      </c>
      <c r="C37">
        <v>2</v>
      </c>
      <c r="D37" t="s">
        <v>42</v>
      </c>
      <c r="E37" t="s">
        <v>42</v>
      </c>
    </row>
    <row r="38" spans="2:5" x14ac:dyDescent="0.25">
      <c r="D38" t="s">
        <v>61</v>
      </c>
      <c r="E38" t="s">
        <v>61</v>
      </c>
    </row>
    <row r="39" spans="2:5" x14ac:dyDescent="0.25">
      <c r="B39" t="s">
        <v>1203</v>
      </c>
      <c r="C39">
        <v>2</v>
      </c>
      <c r="D39" t="s">
        <v>61</v>
      </c>
      <c r="E39" t="s">
        <v>61</v>
      </c>
    </row>
    <row r="40" spans="2:5" x14ac:dyDescent="0.25">
      <c r="D40" t="s">
        <v>1842</v>
      </c>
      <c r="E40" t="s">
        <v>1842</v>
      </c>
    </row>
    <row r="41" spans="2:5" x14ac:dyDescent="0.25">
      <c r="B41" t="s">
        <v>1640</v>
      </c>
      <c r="C41">
        <v>2</v>
      </c>
      <c r="D41" t="s">
        <v>61</v>
      </c>
      <c r="E41" t="s">
        <v>61</v>
      </c>
    </row>
    <row r="42" spans="2:5" x14ac:dyDescent="0.25">
      <c r="B42" t="s">
        <v>1223</v>
      </c>
      <c r="C42">
        <v>2</v>
      </c>
      <c r="D42" t="s">
        <v>54</v>
      </c>
      <c r="E42" t="s">
        <v>54</v>
      </c>
    </row>
    <row r="43" spans="2:5" x14ac:dyDescent="0.25">
      <c r="B43" t="s">
        <v>1225</v>
      </c>
      <c r="C43">
        <v>2</v>
      </c>
      <c r="D43" t="s">
        <v>54</v>
      </c>
      <c r="E43" t="s">
        <v>54</v>
      </c>
    </row>
    <row r="44" spans="2:5" x14ac:dyDescent="0.25">
      <c r="B44" t="s">
        <v>824</v>
      </c>
      <c r="C44">
        <v>2</v>
      </c>
      <c r="D44" t="s">
        <v>59</v>
      </c>
      <c r="E44" t="s">
        <v>59</v>
      </c>
    </row>
    <row r="45" spans="2:5" x14ac:dyDescent="0.25">
      <c r="D45" t="s">
        <v>1094</v>
      </c>
      <c r="E45" t="s">
        <v>1094</v>
      </c>
    </row>
    <row r="46" spans="2:5" x14ac:dyDescent="0.25">
      <c r="B46" t="s">
        <v>853</v>
      </c>
      <c r="C46">
        <v>2</v>
      </c>
      <c r="D46" t="s">
        <v>59</v>
      </c>
      <c r="E46" t="s">
        <v>59</v>
      </c>
    </row>
    <row r="47" spans="2:5" x14ac:dyDescent="0.25">
      <c r="D47" t="s">
        <v>1094</v>
      </c>
      <c r="E47" t="s">
        <v>1094</v>
      </c>
    </row>
    <row r="48" spans="2:5" x14ac:dyDescent="0.25">
      <c r="B48" t="s">
        <v>1032</v>
      </c>
      <c r="C48">
        <v>2</v>
      </c>
      <c r="D48" t="s">
        <v>59</v>
      </c>
      <c r="E48" t="s">
        <v>59</v>
      </c>
    </row>
    <row r="49" spans="1:5" x14ac:dyDescent="0.25">
      <c r="D49" t="s">
        <v>1094</v>
      </c>
      <c r="E49" t="s">
        <v>1094</v>
      </c>
    </row>
    <row r="50" spans="1:5" x14ac:dyDescent="0.25">
      <c r="B50" t="s">
        <v>1767</v>
      </c>
      <c r="C50">
        <v>2</v>
      </c>
      <c r="D50" t="s">
        <v>220</v>
      </c>
      <c r="E50" t="s">
        <v>220</v>
      </c>
    </row>
    <row r="51" spans="1:5" x14ac:dyDescent="0.25">
      <c r="D51" t="s">
        <v>25</v>
      </c>
      <c r="E51" t="s">
        <v>470</v>
      </c>
    </row>
    <row r="52" spans="1:5" x14ac:dyDescent="0.25">
      <c r="B52" t="s">
        <v>3090</v>
      </c>
      <c r="C52">
        <v>2</v>
      </c>
      <c r="D52" t="s">
        <v>670</v>
      </c>
      <c r="E52" t="s">
        <v>1556</v>
      </c>
    </row>
    <row r="53" spans="1:5" x14ac:dyDescent="0.25">
      <c r="D53" t="s">
        <v>220</v>
      </c>
      <c r="E53" t="s">
        <v>220</v>
      </c>
    </row>
    <row r="54" spans="1:5" x14ac:dyDescent="0.25">
      <c r="A54" t="s">
        <v>210</v>
      </c>
    </row>
    <row r="60" spans="1:5" ht="14.45" customHeight="1" x14ac:dyDescent="0.25"/>
    <row r="61" spans="1:5" ht="14.45" customHeight="1" x14ac:dyDescent="0.25"/>
  </sheetData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2:J1535"/>
  <sheetViews>
    <sheetView showGridLines="0" zoomScale="145" zoomScaleNormal="145" workbookViewId="0">
      <pane ySplit="6" topLeftCell="A7" activePane="bottomLeft" state="frozen"/>
      <selection pane="bottomLeft" activeCell="A23" sqref="A23"/>
    </sheetView>
  </sheetViews>
  <sheetFormatPr defaultColWidth="11.42578125" defaultRowHeight="15" x14ac:dyDescent="0.25"/>
  <cols>
    <col min="1" max="1" width="56.7109375" customWidth="1"/>
    <col min="2" max="2" width="40.28515625" customWidth="1"/>
    <col min="3" max="3" width="23.28515625" customWidth="1"/>
    <col min="7" max="7" width="53.7109375" customWidth="1"/>
    <col min="8" max="8" width="34.28515625" bestFit="1" customWidth="1"/>
    <col min="9" max="9" width="13.28515625" bestFit="1" customWidth="1"/>
  </cols>
  <sheetData>
    <row r="2" spans="1:10" ht="21" x14ac:dyDescent="0.25">
      <c r="A2" s="162" t="s">
        <v>30</v>
      </c>
      <c r="B2" s="162"/>
      <c r="C2" s="162"/>
      <c r="D2" s="162"/>
      <c r="G2" s="162" t="s">
        <v>31</v>
      </c>
      <c r="H2" s="162"/>
      <c r="I2" s="162"/>
      <c r="J2" s="162"/>
    </row>
    <row r="4" spans="1:10" x14ac:dyDescent="0.25">
      <c r="A4" s="132" t="s">
        <v>28</v>
      </c>
      <c r="B4" t="s">
        <v>211</v>
      </c>
      <c r="G4" s="132" t="s">
        <v>28</v>
      </c>
      <c r="H4" t="s">
        <v>29</v>
      </c>
    </row>
    <row r="6" spans="1:10" x14ac:dyDescent="0.25">
      <c r="A6" s="132" t="s">
        <v>18</v>
      </c>
      <c r="G6" s="132" t="s">
        <v>18</v>
      </c>
    </row>
    <row r="7" spans="1:10" x14ac:dyDescent="0.25">
      <c r="A7" s="132" t="s">
        <v>2</v>
      </c>
      <c r="B7" s="132" t="s">
        <v>4</v>
      </c>
      <c r="C7" s="132" t="s">
        <v>5</v>
      </c>
      <c r="D7" t="s">
        <v>23</v>
      </c>
      <c r="G7" s="132" t="s">
        <v>2</v>
      </c>
      <c r="H7" s="132" t="s">
        <v>4</v>
      </c>
      <c r="I7" s="132" t="s">
        <v>3</v>
      </c>
      <c r="J7" t="s">
        <v>23</v>
      </c>
    </row>
    <row r="8" spans="1:10" x14ac:dyDescent="0.25">
      <c r="A8" t="s">
        <v>37</v>
      </c>
      <c r="D8">
        <v>8</v>
      </c>
      <c r="G8" t="s">
        <v>235</v>
      </c>
    </row>
    <row r="9" spans="1:10" x14ac:dyDescent="0.25">
      <c r="A9" t="s">
        <v>42</v>
      </c>
      <c r="D9">
        <v>134</v>
      </c>
      <c r="G9" t="s">
        <v>210</v>
      </c>
    </row>
    <row r="10" spans="1:10" x14ac:dyDescent="0.25">
      <c r="A10" t="s">
        <v>186</v>
      </c>
      <c r="D10">
        <v>10</v>
      </c>
    </row>
    <row r="11" spans="1:10" x14ac:dyDescent="0.25">
      <c r="A11" t="s">
        <v>670</v>
      </c>
      <c r="B11" t="s">
        <v>1133</v>
      </c>
      <c r="C11" s="10">
        <v>33849</v>
      </c>
      <c r="D11">
        <v>1</v>
      </c>
    </row>
    <row r="12" spans="1:10" x14ac:dyDescent="0.25">
      <c r="B12" t="s">
        <v>674</v>
      </c>
      <c r="C12" s="10">
        <v>25990</v>
      </c>
      <c r="D12">
        <v>1</v>
      </c>
    </row>
    <row r="13" spans="1:10" x14ac:dyDescent="0.25">
      <c r="B13" t="s">
        <v>3091</v>
      </c>
      <c r="C13" s="10">
        <v>29209</v>
      </c>
      <c r="D13">
        <v>1</v>
      </c>
    </row>
    <row r="14" spans="1:10" x14ac:dyDescent="0.25">
      <c r="B14" t="s">
        <v>731</v>
      </c>
      <c r="C14" s="10">
        <v>31534</v>
      </c>
      <c r="D14">
        <v>1</v>
      </c>
    </row>
    <row r="15" spans="1:10" x14ac:dyDescent="0.25">
      <c r="B15" t="s">
        <v>856</v>
      </c>
      <c r="C15" s="10">
        <v>35781</v>
      </c>
      <c r="D15">
        <v>1</v>
      </c>
    </row>
    <row r="16" spans="1:10" x14ac:dyDescent="0.25">
      <c r="B16" t="s">
        <v>3094</v>
      </c>
      <c r="C16" s="10">
        <v>29600</v>
      </c>
      <c r="D16">
        <v>1</v>
      </c>
    </row>
    <row r="17" spans="2:4" x14ac:dyDescent="0.25">
      <c r="B17" t="s">
        <v>2065</v>
      </c>
      <c r="C17" s="10">
        <v>32334</v>
      </c>
      <c r="D17">
        <v>1</v>
      </c>
    </row>
    <row r="18" spans="2:4" x14ac:dyDescent="0.25">
      <c r="B18" t="s">
        <v>2743</v>
      </c>
      <c r="C18" s="10">
        <v>31162</v>
      </c>
      <c r="D18">
        <v>1</v>
      </c>
    </row>
    <row r="19" spans="2:4" x14ac:dyDescent="0.25">
      <c r="B19" t="s">
        <v>3098</v>
      </c>
      <c r="C19" s="10">
        <v>34379</v>
      </c>
      <c r="D19">
        <v>1</v>
      </c>
    </row>
    <row r="20" spans="2:4" x14ac:dyDescent="0.25">
      <c r="B20" t="s">
        <v>3096</v>
      </c>
      <c r="C20" s="10">
        <v>24477</v>
      </c>
      <c r="D20">
        <v>1</v>
      </c>
    </row>
    <row r="21" spans="2:4" x14ac:dyDescent="0.25">
      <c r="B21" t="s">
        <v>686</v>
      </c>
      <c r="C21" s="10">
        <v>30708</v>
      </c>
      <c r="D21">
        <v>1</v>
      </c>
    </row>
    <row r="22" spans="2:4" x14ac:dyDescent="0.25">
      <c r="B22" t="s">
        <v>2001</v>
      </c>
      <c r="C22" s="10">
        <v>27533</v>
      </c>
      <c r="D22">
        <v>1</v>
      </c>
    </row>
    <row r="23" spans="2:4" x14ac:dyDescent="0.25">
      <c r="B23" t="s">
        <v>3038</v>
      </c>
      <c r="C23" s="10">
        <v>33681</v>
      </c>
      <c r="D23">
        <v>1</v>
      </c>
    </row>
    <row r="24" spans="2:4" x14ac:dyDescent="0.25">
      <c r="B24" t="s">
        <v>2066</v>
      </c>
      <c r="C24" s="10">
        <v>33812</v>
      </c>
      <c r="D24">
        <v>1</v>
      </c>
    </row>
    <row r="25" spans="2:4" x14ac:dyDescent="0.25">
      <c r="B25" t="s">
        <v>755</v>
      </c>
      <c r="C25" s="10">
        <v>37043</v>
      </c>
      <c r="D25">
        <v>1</v>
      </c>
    </row>
    <row r="26" spans="2:4" x14ac:dyDescent="0.25">
      <c r="B26" t="s">
        <v>682</v>
      </c>
      <c r="C26" s="10">
        <v>29510</v>
      </c>
      <c r="D26">
        <v>1</v>
      </c>
    </row>
    <row r="27" spans="2:4" x14ac:dyDescent="0.25">
      <c r="B27" t="s">
        <v>1136</v>
      </c>
      <c r="C27" s="10">
        <v>23163</v>
      </c>
      <c r="D27">
        <v>1</v>
      </c>
    </row>
    <row r="28" spans="2:4" x14ac:dyDescent="0.25">
      <c r="B28" t="s">
        <v>2085</v>
      </c>
      <c r="C28" s="10">
        <v>31714</v>
      </c>
      <c r="D28">
        <v>1</v>
      </c>
    </row>
    <row r="29" spans="2:4" x14ac:dyDescent="0.25">
      <c r="B29" t="s">
        <v>672</v>
      </c>
      <c r="C29" s="10">
        <v>36134</v>
      </c>
      <c r="D29">
        <v>1</v>
      </c>
    </row>
    <row r="30" spans="2:4" x14ac:dyDescent="0.25">
      <c r="B30" t="s">
        <v>683</v>
      </c>
      <c r="C30" s="10">
        <v>33083</v>
      </c>
      <c r="D30">
        <v>1</v>
      </c>
    </row>
    <row r="31" spans="2:4" x14ac:dyDescent="0.25">
      <c r="B31" t="s">
        <v>2729</v>
      </c>
      <c r="C31" s="10">
        <v>32119</v>
      </c>
      <c r="D31">
        <v>1</v>
      </c>
    </row>
    <row r="32" spans="2:4" x14ac:dyDescent="0.25">
      <c r="B32" t="s">
        <v>671</v>
      </c>
      <c r="C32" s="10">
        <v>24723</v>
      </c>
      <c r="D32">
        <v>1</v>
      </c>
    </row>
    <row r="33" spans="2:4" x14ac:dyDescent="0.25">
      <c r="B33" t="s">
        <v>1143</v>
      </c>
      <c r="C33" s="10">
        <v>33714</v>
      </c>
      <c r="D33">
        <v>1</v>
      </c>
    </row>
    <row r="34" spans="2:4" x14ac:dyDescent="0.25">
      <c r="B34" t="s">
        <v>2745</v>
      </c>
      <c r="C34" s="10">
        <v>36908</v>
      </c>
      <c r="D34">
        <v>1</v>
      </c>
    </row>
    <row r="35" spans="2:4" x14ac:dyDescent="0.25">
      <c r="B35" t="s">
        <v>2771</v>
      </c>
      <c r="C35" s="10">
        <v>33152</v>
      </c>
      <c r="D35">
        <v>1</v>
      </c>
    </row>
    <row r="36" spans="2:4" x14ac:dyDescent="0.25">
      <c r="B36" t="s">
        <v>2744</v>
      </c>
      <c r="C36" s="10">
        <v>32550</v>
      </c>
      <c r="D36">
        <v>1</v>
      </c>
    </row>
    <row r="37" spans="2:4" x14ac:dyDescent="0.25">
      <c r="B37" t="s">
        <v>2772</v>
      </c>
      <c r="C37" s="10">
        <v>35635</v>
      </c>
      <c r="D37">
        <v>1</v>
      </c>
    </row>
    <row r="38" spans="2:4" x14ac:dyDescent="0.25">
      <c r="B38" t="s">
        <v>2736</v>
      </c>
      <c r="C38" s="10">
        <v>25968</v>
      </c>
      <c r="D38">
        <v>1</v>
      </c>
    </row>
    <row r="39" spans="2:4" x14ac:dyDescent="0.25">
      <c r="B39" t="s">
        <v>680</v>
      </c>
      <c r="C39" s="10">
        <v>30960</v>
      </c>
      <c r="D39">
        <v>1</v>
      </c>
    </row>
    <row r="40" spans="2:4" x14ac:dyDescent="0.25">
      <c r="B40" t="s">
        <v>681</v>
      </c>
      <c r="C40" s="10">
        <v>26990</v>
      </c>
      <c r="D40">
        <v>1</v>
      </c>
    </row>
    <row r="41" spans="2:4" x14ac:dyDescent="0.25">
      <c r="B41" t="s">
        <v>2758</v>
      </c>
      <c r="C41" s="10">
        <v>29444</v>
      </c>
      <c r="D41">
        <v>1</v>
      </c>
    </row>
    <row r="42" spans="2:4" x14ac:dyDescent="0.25">
      <c r="B42" t="s">
        <v>698</v>
      </c>
      <c r="C42" s="10">
        <v>30196</v>
      </c>
      <c r="D42">
        <v>1</v>
      </c>
    </row>
    <row r="43" spans="2:4" x14ac:dyDescent="0.25">
      <c r="B43" t="s">
        <v>684</v>
      </c>
      <c r="C43" s="10">
        <v>30077</v>
      </c>
      <c r="D43">
        <v>1</v>
      </c>
    </row>
    <row r="44" spans="2:4" x14ac:dyDescent="0.25">
      <c r="B44" t="s">
        <v>685</v>
      </c>
      <c r="C44" s="10">
        <v>28062</v>
      </c>
      <c r="D44">
        <v>1</v>
      </c>
    </row>
    <row r="45" spans="2:4" x14ac:dyDescent="0.25">
      <c r="B45" t="s">
        <v>715</v>
      </c>
      <c r="C45" s="10">
        <v>35615</v>
      </c>
      <c r="D45">
        <v>1</v>
      </c>
    </row>
    <row r="46" spans="2:4" x14ac:dyDescent="0.25">
      <c r="B46" t="s">
        <v>2764</v>
      </c>
      <c r="C46" s="10">
        <v>33180</v>
      </c>
      <c r="D46">
        <v>1</v>
      </c>
    </row>
    <row r="47" spans="2:4" x14ac:dyDescent="0.25">
      <c r="B47" t="s">
        <v>687</v>
      </c>
      <c r="C47" s="10">
        <v>30197</v>
      </c>
      <c r="D47">
        <v>1</v>
      </c>
    </row>
    <row r="48" spans="2:4" x14ac:dyDescent="0.25">
      <c r="B48" t="s">
        <v>688</v>
      </c>
      <c r="C48" s="10">
        <v>26919</v>
      </c>
      <c r="D48">
        <v>1</v>
      </c>
    </row>
    <row r="49" spans="2:4" x14ac:dyDescent="0.25">
      <c r="B49" t="s">
        <v>3078</v>
      </c>
      <c r="C49" s="10">
        <v>24313</v>
      </c>
      <c r="D49">
        <v>1</v>
      </c>
    </row>
    <row r="50" spans="2:4" x14ac:dyDescent="0.25">
      <c r="B50" t="s">
        <v>690</v>
      </c>
      <c r="C50" s="10">
        <v>24470</v>
      </c>
      <c r="D50">
        <v>1</v>
      </c>
    </row>
    <row r="51" spans="2:4" x14ac:dyDescent="0.25">
      <c r="B51" t="s">
        <v>2773</v>
      </c>
      <c r="C51" s="10">
        <v>31583</v>
      </c>
      <c r="D51">
        <v>1</v>
      </c>
    </row>
    <row r="52" spans="2:4" x14ac:dyDescent="0.25">
      <c r="B52" t="s">
        <v>693</v>
      </c>
      <c r="C52" s="10">
        <v>28023</v>
      </c>
      <c r="D52">
        <v>1</v>
      </c>
    </row>
    <row r="53" spans="2:4" x14ac:dyDescent="0.25">
      <c r="B53" t="s">
        <v>2763</v>
      </c>
      <c r="C53" s="10">
        <v>37543</v>
      </c>
      <c r="D53">
        <v>1</v>
      </c>
    </row>
    <row r="54" spans="2:4" x14ac:dyDescent="0.25">
      <c r="B54" t="s">
        <v>2766</v>
      </c>
      <c r="C54" s="10">
        <v>35110</v>
      </c>
      <c r="D54">
        <v>1</v>
      </c>
    </row>
    <row r="55" spans="2:4" x14ac:dyDescent="0.25">
      <c r="B55" t="s">
        <v>2730</v>
      </c>
      <c r="C55" s="10">
        <v>27314</v>
      </c>
      <c r="D55">
        <v>1</v>
      </c>
    </row>
    <row r="56" spans="2:4" x14ac:dyDescent="0.25">
      <c r="B56" t="s">
        <v>726</v>
      </c>
      <c r="C56" s="10">
        <v>29709</v>
      </c>
      <c r="D56">
        <v>1</v>
      </c>
    </row>
    <row r="57" spans="2:4" x14ac:dyDescent="0.25">
      <c r="B57" t="s">
        <v>673</v>
      </c>
      <c r="C57" s="10">
        <v>25091</v>
      </c>
      <c r="D57">
        <v>1</v>
      </c>
    </row>
    <row r="58" spans="2:4" x14ac:dyDescent="0.25">
      <c r="B58" t="s">
        <v>691</v>
      </c>
      <c r="C58" s="10">
        <v>29758</v>
      </c>
      <c r="D58">
        <v>1</v>
      </c>
    </row>
    <row r="59" spans="2:4" x14ac:dyDescent="0.25">
      <c r="B59" t="s">
        <v>695</v>
      </c>
      <c r="C59" s="10">
        <v>31228</v>
      </c>
      <c r="D59">
        <v>1</v>
      </c>
    </row>
    <row r="60" spans="2:4" x14ac:dyDescent="0.25">
      <c r="B60" t="s">
        <v>2753</v>
      </c>
      <c r="C60" s="10">
        <v>28514</v>
      </c>
      <c r="D60">
        <v>1</v>
      </c>
    </row>
    <row r="61" spans="2:4" x14ac:dyDescent="0.25">
      <c r="B61" t="s">
        <v>2724</v>
      </c>
      <c r="C61" s="10">
        <v>32513</v>
      </c>
      <c r="D61">
        <v>1</v>
      </c>
    </row>
    <row r="62" spans="2:4" x14ac:dyDescent="0.25">
      <c r="B62" t="s">
        <v>2721</v>
      </c>
      <c r="C62" s="10">
        <v>31474</v>
      </c>
      <c r="D62">
        <v>1</v>
      </c>
    </row>
    <row r="63" spans="2:4" x14ac:dyDescent="0.25">
      <c r="B63" t="s">
        <v>676</v>
      </c>
      <c r="C63" s="10">
        <v>27286</v>
      </c>
      <c r="D63">
        <v>1</v>
      </c>
    </row>
    <row r="64" spans="2:4" x14ac:dyDescent="0.25">
      <c r="B64" t="s">
        <v>2747</v>
      </c>
      <c r="C64" s="10">
        <v>30877</v>
      </c>
      <c r="D64">
        <v>1</v>
      </c>
    </row>
    <row r="65" spans="2:4" x14ac:dyDescent="0.25">
      <c r="B65" t="s">
        <v>2731</v>
      </c>
      <c r="C65" s="10">
        <v>25830</v>
      </c>
      <c r="D65">
        <v>1</v>
      </c>
    </row>
    <row r="66" spans="2:4" x14ac:dyDescent="0.25">
      <c r="B66" t="s">
        <v>2734</v>
      </c>
      <c r="C66" s="10">
        <v>35297</v>
      </c>
      <c r="D66">
        <v>1</v>
      </c>
    </row>
    <row r="67" spans="2:4" x14ac:dyDescent="0.25">
      <c r="B67" t="s">
        <v>697</v>
      </c>
      <c r="C67" s="10">
        <v>33320</v>
      </c>
      <c r="D67">
        <v>1</v>
      </c>
    </row>
    <row r="68" spans="2:4" x14ac:dyDescent="0.25">
      <c r="B68" t="s">
        <v>699</v>
      </c>
      <c r="C68" s="10">
        <v>29128</v>
      </c>
      <c r="D68">
        <v>1</v>
      </c>
    </row>
    <row r="69" spans="2:4" x14ac:dyDescent="0.25">
      <c r="B69" t="s">
        <v>2750</v>
      </c>
      <c r="C69" s="10">
        <v>33748</v>
      </c>
      <c r="D69">
        <v>1</v>
      </c>
    </row>
    <row r="70" spans="2:4" x14ac:dyDescent="0.25">
      <c r="B70" t="s">
        <v>701</v>
      </c>
      <c r="C70" s="10">
        <v>30972</v>
      </c>
      <c r="D70">
        <v>1</v>
      </c>
    </row>
    <row r="71" spans="2:4" x14ac:dyDescent="0.25">
      <c r="B71" t="s">
        <v>2739</v>
      </c>
      <c r="C71" s="10">
        <v>35501</v>
      </c>
      <c r="D71">
        <v>1</v>
      </c>
    </row>
    <row r="72" spans="2:4" x14ac:dyDescent="0.25">
      <c r="B72" t="s">
        <v>703</v>
      </c>
      <c r="C72" s="10">
        <v>31380</v>
      </c>
      <c r="D72">
        <v>1</v>
      </c>
    </row>
    <row r="73" spans="2:4" x14ac:dyDescent="0.25">
      <c r="B73" t="s">
        <v>704</v>
      </c>
      <c r="C73" s="10">
        <v>28119</v>
      </c>
      <c r="D73">
        <v>1</v>
      </c>
    </row>
    <row r="74" spans="2:4" x14ac:dyDescent="0.25">
      <c r="B74" t="s">
        <v>706</v>
      </c>
      <c r="C74" s="10">
        <v>27627</v>
      </c>
      <c r="D74">
        <v>1</v>
      </c>
    </row>
    <row r="75" spans="2:4" x14ac:dyDescent="0.25">
      <c r="B75" t="s">
        <v>2732</v>
      </c>
      <c r="C75" s="10">
        <v>31101</v>
      </c>
      <c r="D75">
        <v>1</v>
      </c>
    </row>
    <row r="76" spans="2:4" x14ac:dyDescent="0.25">
      <c r="B76" t="s">
        <v>2738</v>
      </c>
      <c r="C76" s="10">
        <v>31766</v>
      </c>
      <c r="D76">
        <v>1</v>
      </c>
    </row>
    <row r="77" spans="2:4" x14ac:dyDescent="0.25">
      <c r="B77" t="s">
        <v>707</v>
      </c>
      <c r="C77" s="10">
        <v>29925</v>
      </c>
      <c r="D77">
        <v>1</v>
      </c>
    </row>
    <row r="78" spans="2:4" x14ac:dyDescent="0.25">
      <c r="B78" t="s">
        <v>708</v>
      </c>
      <c r="C78" s="10">
        <v>33126</v>
      </c>
      <c r="D78">
        <v>1</v>
      </c>
    </row>
    <row r="79" spans="2:4" x14ac:dyDescent="0.25">
      <c r="B79" t="s">
        <v>2774</v>
      </c>
      <c r="C79" s="10">
        <v>34834</v>
      </c>
      <c r="D79">
        <v>1</v>
      </c>
    </row>
    <row r="80" spans="2:4" x14ac:dyDescent="0.25">
      <c r="B80" t="s">
        <v>2751</v>
      </c>
      <c r="C80" s="10">
        <v>27679</v>
      </c>
      <c r="D80">
        <v>1</v>
      </c>
    </row>
    <row r="81" spans="2:4" x14ac:dyDescent="0.25">
      <c r="B81" t="s">
        <v>716</v>
      </c>
      <c r="C81" s="10">
        <v>31363</v>
      </c>
      <c r="D81">
        <v>1</v>
      </c>
    </row>
    <row r="82" spans="2:4" x14ac:dyDescent="0.25">
      <c r="B82" t="s">
        <v>718</v>
      </c>
      <c r="C82" s="10">
        <v>26231</v>
      </c>
      <c r="D82">
        <v>1</v>
      </c>
    </row>
    <row r="83" spans="2:4" x14ac:dyDescent="0.25">
      <c r="B83" t="s">
        <v>719</v>
      </c>
      <c r="C83" s="10">
        <v>32986</v>
      </c>
      <c r="D83">
        <v>1</v>
      </c>
    </row>
    <row r="84" spans="2:4" x14ac:dyDescent="0.25">
      <c r="B84" t="s">
        <v>721</v>
      </c>
      <c r="C84" s="10">
        <v>34658</v>
      </c>
      <c r="D84">
        <v>1</v>
      </c>
    </row>
    <row r="85" spans="2:4" x14ac:dyDescent="0.25">
      <c r="B85" t="s">
        <v>722</v>
      </c>
      <c r="C85" s="10">
        <v>25969</v>
      </c>
      <c r="D85">
        <v>1</v>
      </c>
    </row>
    <row r="86" spans="2:4" x14ac:dyDescent="0.25">
      <c r="B86" t="s">
        <v>723</v>
      </c>
      <c r="C86" s="10">
        <v>37683</v>
      </c>
      <c r="D86">
        <v>1</v>
      </c>
    </row>
    <row r="87" spans="2:4" x14ac:dyDescent="0.25">
      <c r="B87" t="s">
        <v>724</v>
      </c>
      <c r="C87" s="10">
        <v>36998</v>
      </c>
      <c r="D87">
        <v>1</v>
      </c>
    </row>
    <row r="88" spans="2:4" x14ac:dyDescent="0.25">
      <c r="B88" t="s">
        <v>725</v>
      </c>
      <c r="C88" s="10">
        <v>27779</v>
      </c>
      <c r="D88">
        <v>1</v>
      </c>
    </row>
    <row r="89" spans="2:4" x14ac:dyDescent="0.25">
      <c r="B89" t="s">
        <v>727</v>
      </c>
      <c r="C89" s="10">
        <v>27971</v>
      </c>
      <c r="D89">
        <v>1</v>
      </c>
    </row>
    <row r="90" spans="2:4" x14ac:dyDescent="0.25">
      <c r="B90" t="s">
        <v>729</v>
      </c>
      <c r="C90" s="10">
        <v>24325</v>
      </c>
      <c r="D90">
        <v>1</v>
      </c>
    </row>
    <row r="91" spans="2:4" x14ac:dyDescent="0.25">
      <c r="B91" t="s">
        <v>730</v>
      </c>
      <c r="C91" s="10">
        <v>29000</v>
      </c>
      <c r="D91">
        <v>1</v>
      </c>
    </row>
    <row r="92" spans="2:4" x14ac:dyDescent="0.25">
      <c r="B92" t="s">
        <v>732</v>
      </c>
      <c r="C92" s="10">
        <v>26475</v>
      </c>
      <c r="D92">
        <v>1</v>
      </c>
    </row>
    <row r="93" spans="2:4" x14ac:dyDescent="0.25">
      <c r="B93" t="s">
        <v>733</v>
      </c>
      <c r="C93" s="10">
        <v>30440</v>
      </c>
      <c r="D93">
        <v>1</v>
      </c>
    </row>
    <row r="94" spans="2:4" x14ac:dyDescent="0.25">
      <c r="B94" t="s">
        <v>734</v>
      </c>
      <c r="C94" s="10">
        <v>35039</v>
      </c>
      <c r="D94">
        <v>1</v>
      </c>
    </row>
    <row r="95" spans="2:4" x14ac:dyDescent="0.25">
      <c r="B95" t="s">
        <v>735</v>
      </c>
      <c r="C95" s="10">
        <v>29572</v>
      </c>
      <c r="D95">
        <v>1</v>
      </c>
    </row>
    <row r="96" spans="2:4" x14ac:dyDescent="0.25">
      <c r="B96" t="s">
        <v>736</v>
      </c>
      <c r="C96" s="10">
        <v>25735</v>
      </c>
      <c r="D96">
        <v>1</v>
      </c>
    </row>
    <row r="97" spans="2:4" x14ac:dyDescent="0.25">
      <c r="B97" t="s">
        <v>738</v>
      </c>
      <c r="C97" s="10">
        <v>26489</v>
      </c>
      <c r="D97">
        <v>1</v>
      </c>
    </row>
    <row r="98" spans="2:4" x14ac:dyDescent="0.25">
      <c r="B98" t="s">
        <v>740</v>
      </c>
      <c r="C98" s="10">
        <v>33240</v>
      </c>
      <c r="D98">
        <v>1</v>
      </c>
    </row>
    <row r="99" spans="2:4" x14ac:dyDescent="0.25">
      <c r="B99" t="s">
        <v>741</v>
      </c>
      <c r="C99" s="10">
        <v>27135</v>
      </c>
      <c r="D99">
        <v>1</v>
      </c>
    </row>
    <row r="100" spans="2:4" x14ac:dyDescent="0.25">
      <c r="B100" t="s">
        <v>742</v>
      </c>
      <c r="C100" s="10">
        <v>34009</v>
      </c>
      <c r="D100">
        <v>1</v>
      </c>
    </row>
    <row r="101" spans="2:4" x14ac:dyDescent="0.25">
      <c r="B101" t="s">
        <v>743</v>
      </c>
      <c r="C101" s="10">
        <v>28420</v>
      </c>
      <c r="D101">
        <v>1</v>
      </c>
    </row>
    <row r="102" spans="2:4" x14ac:dyDescent="0.25">
      <c r="B102" t="s">
        <v>744</v>
      </c>
      <c r="C102" s="10">
        <v>32045</v>
      </c>
      <c r="D102">
        <v>1</v>
      </c>
    </row>
    <row r="103" spans="2:4" x14ac:dyDescent="0.25">
      <c r="B103" t="s">
        <v>745</v>
      </c>
      <c r="C103" s="10">
        <v>34173</v>
      </c>
      <c r="D103">
        <v>1</v>
      </c>
    </row>
    <row r="104" spans="2:4" x14ac:dyDescent="0.25">
      <c r="B104" t="s">
        <v>746</v>
      </c>
      <c r="C104" s="10">
        <v>29441</v>
      </c>
      <c r="D104">
        <v>1</v>
      </c>
    </row>
    <row r="105" spans="2:4" x14ac:dyDescent="0.25">
      <c r="B105" t="s">
        <v>747</v>
      </c>
      <c r="C105" s="10">
        <v>36904</v>
      </c>
      <c r="D105">
        <v>1</v>
      </c>
    </row>
    <row r="106" spans="2:4" x14ac:dyDescent="0.25">
      <c r="B106" t="s">
        <v>748</v>
      </c>
      <c r="C106" s="10">
        <v>35418</v>
      </c>
      <c r="D106">
        <v>1</v>
      </c>
    </row>
    <row r="107" spans="2:4" x14ac:dyDescent="0.25">
      <c r="B107" t="s">
        <v>749</v>
      </c>
      <c r="C107" s="10">
        <v>34523</v>
      </c>
      <c r="D107">
        <v>1</v>
      </c>
    </row>
    <row r="108" spans="2:4" x14ac:dyDescent="0.25">
      <c r="B108" t="s">
        <v>751</v>
      </c>
      <c r="C108" s="10">
        <v>36779</v>
      </c>
      <c r="D108">
        <v>1</v>
      </c>
    </row>
    <row r="109" spans="2:4" x14ac:dyDescent="0.25">
      <c r="B109" t="s">
        <v>752</v>
      </c>
      <c r="C109" s="10">
        <v>25562</v>
      </c>
      <c r="D109">
        <v>1</v>
      </c>
    </row>
    <row r="110" spans="2:4" x14ac:dyDescent="0.25">
      <c r="B110" t="s">
        <v>753</v>
      </c>
      <c r="C110" s="10">
        <v>30442</v>
      </c>
      <c r="D110">
        <v>1</v>
      </c>
    </row>
    <row r="111" spans="2:4" x14ac:dyDescent="0.25">
      <c r="B111" t="s">
        <v>756</v>
      </c>
      <c r="C111" s="10">
        <v>31998</v>
      </c>
      <c r="D111">
        <v>1</v>
      </c>
    </row>
    <row r="112" spans="2:4" x14ac:dyDescent="0.25">
      <c r="B112" t="s">
        <v>757</v>
      </c>
      <c r="C112" s="10">
        <v>26275</v>
      </c>
      <c r="D112">
        <v>1</v>
      </c>
    </row>
    <row r="113" spans="2:4" x14ac:dyDescent="0.25">
      <c r="B113" t="s">
        <v>758</v>
      </c>
      <c r="C113" s="10">
        <v>28614</v>
      </c>
      <c r="D113">
        <v>1</v>
      </c>
    </row>
    <row r="114" spans="2:4" x14ac:dyDescent="0.25">
      <c r="B114" t="s">
        <v>759</v>
      </c>
      <c r="C114" s="10">
        <v>30864</v>
      </c>
      <c r="D114">
        <v>1</v>
      </c>
    </row>
    <row r="115" spans="2:4" x14ac:dyDescent="0.25">
      <c r="B115" t="s">
        <v>760</v>
      </c>
      <c r="C115" s="10">
        <v>33360</v>
      </c>
      <c r="D115">
        <v>1</v>
      </c>
    </row>
    <row r="116" spans="2:4" x14ac:dyDescent="0.25">
      <c r="B116" t="s">
        <v>761</v>
      </c>
      <c r="C116" s="10">
        <v>38156</v>
      </c>
      <c r="D116">
        <v>1</v>
      </c>
    </row>
    <row r="117" spans="2:4" x14ac:dyDescent="0.25">
      <c r="B117" t="s">
        <v>762</v>
      </c>
      <c r="C117" s="10">
        <v>26727</v>
      </c>
      <c r="D117">
        <v>1</v>
      </c>
    </row>
    <row r="118" spans="2:4" x14ac:dyDescent="0.25">
      <c r="B118" t="s">
        <v>763</v>
      </c>
      <c r="C118" s="10">
        <v>28087</v>
      </c>
      <c r="D118">
        <v>1</v>
      </c>
    </row>
    <row r="119" spans="2:4" x14ac:dyDescent="0.25">
      <c r="B119" t="s">
        <v>764</v>
      </c>
      <c r="C119" s="10">
        <v>31425</v>
      </c>
      <c r="D119">
        <v>1</v>
      </c>
    </row>
    <row r="120" spans="2:4" x14ac:dyDescent="0.25">
      <c r="B120" t="s">
        <v>765</v>
      </c>
      <c r="C120" s="10">
        <v>28567</v>
      </c>
      <c r="D120">
        <v>1</v>
      </c>
    </row>
    <row r="121" spans="2:4" x14ac:dyDescent="0.25">
      <c r="B121" t="s">
        <v>767</v>
      </c>
      <c r="C121" s="10">
        <v>27036</v>
      </c>
      <c r="D121">
        <v>1</v>
      </c>
    </row>
    <row r="122" spans="2:4" x14ac:dyDescent="0.25">
      <c r="B122" t="s">
        <v>768</v>
      </c>
      <c r="C122" s="10">
        <v>31476</v>
      </c>
      <c r="D122">
        <v>1</v>
      </c>
    </row>
    <row r="123" spans="2:4" x14ac:dyDescent="0.25">
      <c r="B123" t="s">
        <v>770</v>
      </c>
      <c r="C123" s="10">
        <v>29587</v>
      </c>
      <c r="D123">
        <v>1</v>
      </c>
    </row>
    <row r="124" spans="2:4" x14ac:dyDescent="0.25">
      <c r="B124" t="s">
        <v>1140</v>
      </c>
      <c r="C124" s="10">
        <v>32583</v>
      </c>
      <c r="D124">
        <v>1</v>
      </c>
    </row>
    <row r="125" spans="2:4" x14ac:dyDescent="0.25">
      <c r="B125" t="s">
        <v>667</v>
      </c>
      <c r="C125" s="10">
        <v>34272</v>
      </c>
      <c r="D125">
        <v>1</v>
      </c>
    </row>
    <row r="126" spans="2:4" x14ac:dyDescent="0.25">
      <c r="B126" t="s">
        <v>677</v>
      </c>
      <c r="C126" s="10">
        <v>28513</v>
      </c>
      <c r="D126">
        <v>1</v>
      </c>
    </row>
    <row r="127" spans="2:4" x14ac:dyDescent="0.25">
      <c r="B127" t="s">
        <v>2737</v>
      </c>
      <c r="C127" s="10">
        <v>33492</v>
      </c>
      <c r="D127">
        <v>1</v>
      </c>
    </row>
    <row r="128" spans="2:4" x14ac:dyDescent="0.25">
      <c r="B128" t="s">
        <v>709</v>
      </c>
      <c r="C128" s="10">
        <v>30410</v>
      </c>
      <c r="D128">
        <v>1</v>
      </c>
    </row>
    <row r="129" spans="2:4" x14ac:dyDescent="0.25">
      <c r="B129" t="s">
        <v>711</v>
      </c>
      <c r="C129" s="10">
        <v>28511</v>
      </c>
      <c r="D129">
        <v>1</v>
      </c>
    </row>
    <row r="130" spans="2:4" x14ac:dyDescent="0.25">
      <c r="B130" t="s">
        <v>714</v>
      </c>
      <c r="C130" s="10">
        <v>21584</v>
      </c>
      <c r="D130">
        <v>1</v>
      </c>
    </row>
    <row r="131" spans="2:4" x14ac:dyDescent="0.25">
      <c r="B131" t="s">
        <v>771</v>
      </c>
      <c r="C131" s="10">
        <v>33301</v>
      </c>
      <c r="D131">
        <v>1</v>
      </c>
    </row>
    <row r="132" spans="2:4" x14ac:dyDescent="0.25">
      <c r="B132" t="s">
        <v>772</v>
      </c>
      <c r="C132" s="10">
        <v>30585</v>
      </c>
      <c r="D132">
        <v>1</v>
      </c>
    </row>
    <row r="133" spans="2:4" x14ac:dyDescent="0.25">
      <c r="B133" t="s">
        <v>773</v>
      </c>
      <c r="C133" s="10">
        <v>37383</v>
      </c>
      <c r="D133">
        <v>1</v>
      </c>
    </row>
    <row r="134" spans="2:4" x14ac:dyDescent="0.25">
      <c r="B134" t="s">
        <v>774</v>
      </c>
      <c r="C134" s="10">
        <v>29602</v>
      </c>
      <c r="D134">
        <v>1</v>
      </c>
    </row>
    <row r="135" spans="2:4" x14ac:dyDescent="0.25">
      <c r="B135" t="s">
        <v>775</v>
      </c>
      <c r="C135" s="10">
        <v>28811</v>
      </c>
      <c r="D135">
        <v>1</v>
      </c>
    </row>
    <row r="136" spans="2:4" x14ac:dyDescent="0.25">
      <c r="B136" t="s">
        <v>776</v>
      </c>
      <c r="C136" s="10">
        <v>23083</v>
      </c>
      <c r="D136">
        <v>1</v>
      </c>
    </row>
    <row r="137" spans="2:4" x14ac:dyDescent="0.25">
      <c r="B137" t="s">
        <v>777</v>
      </c>
      <c r="C137" s="10">
        <v>30011</v>
      </c>
      <c r="D137">
        <v>1</v>
      </c>
    </row>
    <row r="138" spans="2:4" x14ac:dyDescent="0.25">
      <c r="B138" t="s">
        <v>778</v>
      </c>
      <c r="C138" s="10">
        <v>33086</v>
      </c>
      <c r="D138">
        <v>1</v>
      </c>
    </row>
    <row r="139" spans="2:4" x14ac:dyDescent="0.25">
      <c r="B139" t="s">
        <v>779</v>
      </c>
      <c r="C139" s="10">
        <v>28139</v>
      </c>
      <c r="D139">
        <v>1</v>
      </c>
    </row>
    <row r="140" spans="2:4" x14ac:dyDescent="0.25">
      <c r="B140" t="s">
        <v>780</v>
      </c>
      <c r="C140" s="10">
        <v>33079</v>
      </c>
      <c r="D140">
        <v>1</v>
      </c>
    </row>
    <row r="141" spans="2:4" x14ac:dyDescent="0.25">
      <c r="B141" t="s">
        <v>781</v>
      </c>
      <c r="C141" s="10">
        <v>29023</v>
      </c>
      <c r="D141">
        <v>1</v>
      </c>
    </row>
    <row r="142" spans="2:4" x14ac:dyDescent="0.25">
      <c r="B142" t="s">
        <v>782</v>
      </c>
      <c r="C142" s="10">
        <v>30558</v>
      </c>
      <c r="D142">
        <v>1</v>
      </c>
    </row>
    <row r="143" spans="2:4" x14ac:dyDescent="0.25">
      <c r="B143" t="s">
        <v>783</v>
      </c>
      <c r="C143" s="10">
        <v>32906</v>
      </c>
      <c r="D143">
        <v>1</v>
      </c>
    </row>
    <row r="144" spans="2:4" x14ac:dyDescent="0.25">
      <c r="B144" t="s">
        <v>784</v>
      </c>
      <c r="C144" s="10">
        <v>30024</v>
      </c>
      <c r="D144">
        <v>1</v>
      </c>
    </row>
    <row r="145" spans="2:4" x14ac:dyDescent="0.25">
      <c r="B145" t="s">
        <v>785</v>
      </c>
      <c r="C145" s="10">
        <v>30297</v>
      </c>
      <c r="D145">
        <v>1</v>
      </c>
    </row>
    <row r="146" spans="2:4" x14ac:dyDescent="0.25">
      <c r="B146" t="s">
        <v>786</v>
      </c>
      <c r="C146" s="10">
        <v>36047</v>
      </c>
      <c r="D146">
        <v>1</v>
      </c>
    </row>
    <row r="147" spans="2:4" x14ac:dyDescent="0.25">
      <c r="B147" t="s">
        <v>787</v>
      </c>
      <c r="C147" s="10">
        <v>33876</v>
      </c>
      <c r="D147">
        <v>1</v>
      </c>
    </row>
    <row r="148" spans="2:4" x14ac:dyDescent="0.25">
      <c r="B148" t="s">
        <v>788</v>
      </c>
      <c r="C148" s="10">
        <v>33860</v>
      </c>
      <c r="D148">
        <v>1</v>
      </c>
    </row>
    <row r="149" spans="2:4" x14ac:dyDescent="0.25">
      <c r="B149" t="s">
        <v>789</v>
      </c>
      <c r="C149" s="10">
        <v>30191</v>
      </c>
      <c r="D149">
        <v>1</v>
      </c>
    </row>
    <row r="150" spans="2:4" x14ac:dyDescent="0.25">
      <c r="B150" t="s">
        <v>790</v>
      </c>
      <c r="C150" s="10">
        <v>34733</v>
      </c>
      <c r="D150">
        <v>1</v>
      </c>
    </row>
    <row r="151" spans="2:4" x14ac:dyDescent="0.25">
      <c r="B151" t="s">
        <v>1000</v>
      </c>
      <c r="C151" s="10">
        <v>35428</v>
      </c>
      <c r="D151">
        <v>1</v>
      </c>
    </row>
    <row r="152" spans="2:4" x14ac:dyDescent="0.25">
      <c r="B152" t="s">
        <v>1001</v>
      </c>
      <c r="C152" s="10">
        <v>25664</v>
      </c>
      <c r="D152">
        <v>1</v>
      </c>
    </row>
    <row r="153" spans="2:4" x14ac:dyDescent="0.25">
      <c r="B153" t="s">
        <v>1002</v>
      </c>
      <c r="C153" s="10">
        <v>30955</v>
      </c>
      <c r="D153">
        <v>1</v>
      </c>
    </row>
    <row r="154" spans="2:4" x14ac:dyDescent="0.25">
      <c r="B154" t="s">
        <v>1003</v>
      </c>
      <c r="C154" s="10">
        <v>32100</v>
      </c>
      <c r="D154">
        <v>1</v>
      </c>
    </row>
    <row r="155" spans="2:4" x14ac:dyDescent="0.25">
      <c r="B155" t="s">
        <v>1004</v>
      </c>
      <c r="C155" s="10">
        <v>31998</v>
      </c>
      <c r="D155">
        <v>1</v>
      </c>
    </row>
    <row r="156" spans="2:4" x14ac:dyDescent="0.25">
      <c r="B156" t="s">
        <v>1005</v>
      </c>
      <c r="C156" s="10">
        <v>29785</v>
      </c>
      <c r="D156">
        <v>1</v>
      </c>
    </row>
    <row r="157" spans="2:4" x14ac:dyDescent="0.25">
      <c r="B157" t="s">
        <v>1006</v>
      </c>
      <c r="C157" s="10">
        <v>30725</v>
      </c>
      <c r="D157">
        <v>1</v>
      </c>
    </row>
    <row r="158" spans="2:4" x14ac:dyDescent="0.25">
      <c r="B158" t="s">
        <v>1007</v>
      </c>
      <c r="C158" s="10">
        <v>32557</v>
      </c>
      <c r="D158">
        <v>1</v>
      </c>
    </row>
    <row r="159" spans="2:4" x14ac:dyDescent="0.25">
      <c r="B159" t="s">
        <v>1008</v>
      </c>
      <c r="C159" s="10">
        <v>30263</v>
      </c>
      <c r="D159">
        <v>1</v>
      </c>
    </row>
    <row r="160" spans="2:4" x14ac:dyDescent="0.25">
      <c r="B160" t="s">
        <v>1009</v>
      </c>
      <c r="C160" s="10">
        <v>29452</v>
      </c>
      <c r="D160">
        <v>1</v>
      </c>
    </row>
    <row r="161" spans="2:4" x14ac:dyDescent="0.25">
      <c r="B161" t="s">
        <v>1010</v>
      </c>
      <c r="C161" s="10">
        <v>32702</v>
      </c>
      <c r="D161">
        <v>1</v>
      </c>
    </row>
    <row r="162" spans="2:4" x14ac:dyDescent="0.25">
      <c r="B162" t="s">
        <v>1011</v>
      </c>
      <c r="C162" s="10">
        <v>32741</v>
      </c>
      <c r="D162">
        <v>1</v>
      </c>
    </row>
    <row r="163" spans="2:4" x14ac:dyDescent="0.25">
      <c r="B163" t="s">
        <v>1012</v>
      </c>
      <c r="C163" s="10">
        <v>31526</v>
      </c>
      <c r="D163">
        <v>1</v>
      </c>
    </row>
    <row r="164" spans="2:4" x14ac:dyDescent="0.25">
      <c r="B164" t="s">
        <v>1013</v>
      </c>
      <c r="C164" s="10">
        <v>27542</v>
      </c>
      <c r="D164">
        <v>1</v>
      </c>
    </row>
    <row r="165" spans="2:4" x14ac:dyDescent="0.25">
      <c r="B165" t="s">
        <v>1014</v>
      </c>
      <c r="C165" s="10">
        <v>33347</v>
      </c>
      <c r="D165">
        <v>1</v>
      </c>
    </row>
    <row r="166" spans="2:4" x14ac:dyDescent="0.25">
      <c r="B166" t="s">
        <v>1015</v>
      </c>
      <c r="C166" s="10">
        <v>36131</v>
      </c>
      <c r="D166">
        <v>1</v>
      </c>
    </row>
    <row r="167" spans="2:4" x14ac:dyDescent="0.25">
      <c r="B167" t="s">
        <v>1016</v>
      </c>
      <c r="C167" s="10">
        <v>27889</v>
      </c>
      <c r="D167">
        <v>1</v>
      </c>
    </row>
    <row r="168" spans="2:4" x14ac:dyDescent="0.25">
      <c r="B168" t="s">
        <v>1017</v>
      </c>
      <c r="C168" s="10">
        <v>34399</v>
      </c>
      <c r="D168">
        <v>1</v>
      </c>
    </row>
    <row r="169" spans="2:4" x14ac:dyDescent="0.25">
      <c r="B169" t="s">
        <v>1018</v>
      </c>
      <c r="C169" s="10">
        <v>30662</v>
      </c>
      <c r="D169">
        <v>1</v>
      </c>
    </row>
    <row r="170" spans="2:4" x14ac:dyDescent="0.25">
      <c r="B170" t="s">
        <v>1020</v>
      </c>
      <c r="C170" s="10">
        <v>26988</v>
      </c>
      <c r="D170">
        <v>1</v>
      </c>
    </row>
    <row r="171" spans="2:4" x14ac:dyDescent="0.25">
      <c r="B171" t="s">
        <v>1022</v>
      </c>
      <c r="C171" s="10">
        <v>30488</v>
      </c>
      <c r="D171">
        <v>1</v>
      </c>
    </row>
    <row r="172" spans="2:4" x14ac:dyDescent="0.25">
      <c r="B172" t="s">
        <v>1023</v>
      </c>
      <c r="C172" s="10">
        <v>29550</v>
      </c>
      <c r="D172">
        <v>1</v>
      </c>
    </row>
    <row r="173" spans="2:4" x14ac:dyDescent="0.25">
      <c r="B173" t="s">
        <v>1024</v>
      </c>
      <c r="C173" s="10">
        <v>36826</v>
      </c>
      <c r="D173">
        <v>1</v>
      </c>
    </row>
    <row r="174" spans="2:4" x14ac:dyDescent="0.25">
      <c r="B174" t="s">
        <v>1025</v>
      </c>
      <c r="C174" s="10">
        <v>33809</v>
      </c>
      <c r="D174">
        <v>1</v>
      </c>
    </row>
    <row r="175" spans="2:4" x14ac:dyDescent="0.25">
      <c r="B175" t="s">
        <v>1026</v>
      </c>
      <c r="C175" s="10">
        <v>23947</v>
      </c>
      <c r="D175">
        <v>1</v>
      </c>
    </row>
    <row r="176" spans="2:4" x14ac:dyDescent="0.25">
      <c r="B176" t="s">
        <v>2726</v>
      </c>
      <c r="C176" s="10">
        <v>30882</v>
      </c>
      <c r="D176">
        <v>1</v>
      </c>
    </row>
    <row r="177" spans="2:4" x14ac:dyDescent="0.25">
      <c r="B177" t="s">
        <v>2728</v>
      </c>
      <c r="C177" s="10">
        <v>24359</v>
      </c>
      <c r="D177">
        <v>1</v>
      </c>
    </row>
    <row r="178" spans="2:4" x14ac:dyDescent="0.25">
      <c r="B178" t="s">
        <v>1027</v>
      </c>
      <c r="C178" s="10">
        <v>28908</v>
      </c>
      <c r="D178">
        <v>1</v>
      </c>
    </row>
    <row r="179" spans="2:4" x14ac:dyDescent="0.25">
      <c r="B179" t="s">
        <v>1028</v>
      </c>
      <c r="C179" s="10">
        <v>24103</v>
      </c>
      <c r="D179">
        <v>1</v>
      </c>
    </row>
    <row r="180" spans="2:4" x14ac:dyDescent="0.25">
      <c r="B180" t="s">
        <v>2735</v>
      </c>
      <c r="C180" s="10">
        <v>29433</v>
      </c>
      <c r="D180">
        <v>1</v>
      </c>
    </row>
    <row r="181" spans="2:4" x14ac:dyDescent="0.25">
      <c r="B181" t="s">
        <v>3087</v>
      </c>
      <c r="C181" s="10">
        <v>29229</v>
      </c>
      <c r="D181">
        <v>1</v>
      </c>
    </row>
    <row r="182" spans="2:4" x14ac:dyDescent="0.25">
      <c r="B182" t="s">
        <v>1029</v>
      </c>
      <c r="C182" s="10">
        <v>32222</v>
      </c>
      <c r="D182">
        <v>1</v>
      </c>
    </row>
    <row r="183" spans="2:4" x14ac:dyDescent="0.25">
      <c r="B183" t="s">
        <v>2748</v>
      </c>
      <c r="C183" s="10">
        <v>35790</v>
      </c>
      <c r="D183">
        <v>1</v>
      </c>
    </row>
    <row r="184" spans="2:4" x14ac:dyDescent="0.25">
      <c r="B184" t="s">
        <v>1030</v>
      </c>
      <c r="C184" s="10">
        <v>30825</v>
      </c>
      <c r="D184">
        <v>1</v>
      </c>
    </row>
    <row r="185" spans="2:4" x14ac:dyDescent="0.25">
      <c r="B185" t="s">
        <v>1840</v>
      </c>
      <c r="C185" s="10">
        <v>23562</v>
      </c>
      <c r="D185">
        <v>1</v>
      </c>
    </row>
    <row r="186" spans="2:4" x14ac:dyDescent="0.25">
      <c r="B186" t="s">
        <v>2095</v>
      </c>
      <c r="C186" s="10">
        <v>35527</v>
      </c>
      <c r="D186">
        <v>1</v>
      </c>
    </row>
    <row r="187" spans="2:4" x14ac:dyDescent="0.25">
      <c r="B187" t="s">
        <v>1178</v>
      </c>
      <c r="C187" s="10">
        <v>32515</v>
      </c>
      <c r="D187">
        <v>1</v>
      </c>
    </row>
    <row r="188" spans="2:4" x14ac:dyDescent="0.25">
      <c r="B188" t="s">
        <v>1536</v>
      </c>
      <c r="C188" s="10">
        <v>30237</v>
      </c>
      <c r="D188">
        <v>1</v>
      </c>
    </row>
    <row r="189" spans="2:4" x14ac:dyDescent="0.25">
      <c r="B189" t="s">
        <v>1537</v>
      </c>
      <c r="C189" s="10">
        <v>35268</v>
      </c>
      <c r="D189">
        <v>1</v>
      </c>
    </row>
    <row r="190" spans="2:4" x14ac:dyDescent="0.25">
      <c r="B190" t="s">
        <v>1538</v>
      </c>
      <c r="C190" s="10">
        <v>28375</v>
      </c>
      <c r="D190">
        <v>1</v>
      </c>
    </row>
    <row r="191" spans="2:4" x14ac:dyDescent="0.25">
      <c r="B191" t="s">
        <v>1539</v>
      </c>
      <c r="C191" s="10">
        <v>24495</v>
      </c>
      <c r="D191">
        <v>1</v>
      </c>
    </row>
    <row r="192" spans="2:4" x14ac:dyDescent="0.25">
      <c r="B192" t="s">
        <v>1540</v>
      </c>
      <c r="C192" s="10">
        <v>34529</v>
      </c>
      <c r="D192">
        <v>1</v>
      </c>
    </row>
    <row r="193" spans="2:4" x14ac:dyDescent="0.25">
      <c r="B193" t="s">
        <v>1541</v>
      </c>
      <c r="C193" s="10">
        <v>34633</v>
      </c>
      <c r="D193">
        <v>1</v>
      </c>
    </row>
    <row r="194" spans="2:4" x14ac:dyDescent="0.25">
      <c r="B194" t="s">
        <v>1542</v>
      </c>
      <c r="C194" s="10">
        <v>34956</v>
      </c>
      <c r="D194">
        <v>1</v>
      </c>
    </row>
    <row r="195" spans="2:4" x14ac:dyDescent="0.25">
      <c r="B195" t="s">
        <v>1543</v>
      </c>
      <c r="C195" s="10">
        <v>25737</v>
      </c>
      <c r="D195">
        <v>1</v>
      </c>
    </row>
    <row r="196" spans="2:4" x14ac:dyDescent="0.25">
      <c r="B196" t="s">
        <v>1544</v>
      </c>
      <c r="C196" s="10">
        <v>24834</v>
      </c>
      <c r="D196">
        <v>1</v>
      </c>
    </row>
    <row r="197" spans="2:4" x14ac:dyDescent="0.25">
      <c r="B197" t="s">
        <v>1545</v>
      </c>
      <c r="C197" s="10">
        <v>31086</v>
      </c>
      <c r="D197">
        <v>1</v>
      </c>
    </row>
    <row r="198" spans="2:4" x14ac:dyDescent="0.25">
      <c r="B198" t="s">
        <v>1546</v>
      </c>
      <c r="C198" s="10">
        <v>25269</v>
      </c>
      <c r="D198">
        <v>1</v>
      </c>
    </row>
    <row r="199" spans="2:4" x14ac:dyDescent="0.25">
      <c r="B199" t="s">
        <v>1547</v>
      </c>
      <c r="C199" s="10">
        <v>31752</v>
      </c>
      <c r="D199">
        <v>1</v>
      </c>
    </row>
    <row r="200" spans="2:4" x14ac:dyDescent="0.25">
      <c r="B200" t="s">
        <v>1548</v>
      </c>
      <c r="C200" s="10">
        <v>30953</v>
      </c>
      <c r="D200">
        <v>1</v>
      </c>
    </row>
    <row r="201" spans="2:4" x14ac:dyDescent="0.25">
      <c r="B201" t="s">
        <v>1549</v>
      </c>
      <c r="C201" s="10">
        <v>32314</v>
      </c>
      <c r="D201">
        <v>1</v>
      </c>
    </row>
    <row r="202" spans="2:4" x14ac:dyDescent="0.25">
      <c r="B202" t="s">
        <v>1550</v>
      </c>
      <c r="C202" s="10">
        <v>33960</v>
      </c>
      <c r="D202">
        <v>1</v>
      </c>
    </row>
    <row r="203" spans="2:4" x14ac:dyDescent="0.25">
      <c r="B203" t="s">
        <v>1551</v>
      </c>
      <c r="C203" s="10">
        <v>28189</v>
      </c>
      <c r="D203">
        <v>1</v>
      </c>
    </row>
    <row r="204" spans="2:4" x14ac:dyDescent="0.25">
      <c r="B204" t="s">
        <v>1552</v>
      </c>
      <c r="C204" s="10">
        <v>26235</v>
      </c>
      <c r="D204">
        <v>1</v>
      </c>
    </row>
    <row r="205" spans="2:4" x14ac:dyDescent="0.25">
      <c r="B205" t="s">
        <v>1553</v>
      </c>
      <c r="C205" s="10">
        <v>31409</v>
      </c>
      <c r="D205">
        <v>1</v>
      </c>
    </row>
    <row r="206" spans="2:4" x14ac:dyDescent="0.25">
      <c r="B206" t="s">
        <v>1554</v>
      </c>
      <c r="C206" s="10">
        <v>30963</v>
      </c>
      <c r="D206">
        <v>1</v>
      </c>
    </row>
    <row r="207" spans="2:4" x14ac:dyDescent="0.25">
      <c r="B207" t="s">
        <v>1555</v>
      </c>
      <c r="C207" s="10">
        <v>29447</v>
      </c>
      <c r="D207">
        <v>1</v>
      </c>
    </row>
    <row r="208" spans="2:4" x14ac:dyDescent="0.25">
      <c r="B208" t="s">
        <v>1557</v>
      </c>
      <c r="C208" s="10">
        <v>30011</v>
      </c>
      <c r="D208">
        <v>1</v>
      </c>
    </row>
    <row r="209" spans="2:4" x14ac:dyDescent="0.25">
      <c r="B209" t="s">
        <v>1558</v>
      </c>
      <c r="C209" s="10">
        <v>35396</v>
      </c>
      <c r="D209">
        <v>1</v>
      </c>
    </row>
    <row r="210" spans="2:4" x14ac:dyDescent="0.25">
      <c r="B210" t="s">
        <v>1559</v>
      </c>
      <c r="C210" s="10">
        <v>32641</v>
      </c>
      <c r="D210">
        <v>1</v>
      </c>
    </row>
    <row r="211" spans="2:4" x14ac:dyDescent="0.25">
      <c r="B211" t="s">
        <v>1560</v>
      </c>
      <c r="C211" s="10">
        <v>34085</v>
      </c>
      <c r="D211">
        <v>1</v>
      </c>
    </row>
    <row r="212" spans="2:4" x14ac:dyDescent="0.25">
      <c r="B212" t="s">
        <v>1561</v>
      </c>
      <c r="C212" s="10">
        <v>30769</v>
      </c>
      <c r="D212">
        <v>1</v>
      </c>
    </row>
    <row r="213" spans="2:4" x14ac:dyDescent="0.25">
      <c r="B213" t="s">
        <v>1562</v>
      </c>
      <c r="C213" s="10">
        <v>38130</v>
      </c>
      <c r="D213">
        <v>1</v>
      </c>
    </row>
    <row r="214" spans="2:4" x14ac:dyDescent="0.25">
      <c r="B214" t="s">
        <v>2760</v>
      </c>
      <c r="C214" s="10">
        <v>26774</v>
      </c>
      <c r="D214">
        <v>1</v>
      </c>
    </row>
    <row r="215" spans="2:4" x14ac:dyDescent="0.25">
      <c r="B215" t="s">
        <v>1563</v>
      </c>
      <c r="C215" s="10">
        <v>29801</v>
      </c>
      <c r="D215">
        <v>1</v>
      </c>
    </row>
    <row r="216" spans="2:4" x14ac:dyDescent="0.25">
      <c r="B216" t="s">
        <v>2051</v>
      </c>
      <c r="C216" s="10">
        <v>38104</v>
      </c>
      <c r="D216">
        <v>1</v>
      </c>
    </row>
    <row r="217" spans="2:4" x14ac:dyDescent="0.25">
      <c r="B217" t="s">
        <v>2072</v>
      </c>
      <c r="C217" s="10">
        <v>36800</v>
      </c>
      <c r="D217">
        <v>1</v>
      </c>
    </row>
    <row r="218" spans="2:4" x14ac:dyDescent="0.25">
      <c r="B218" t="s">
        <v>2074</v>
      </c>
      <c r="C218" s="10">
        <v>36741</v>
      </c>
      <c r="D218">
        <v>1</v>
      </c>
    </row>
    <row r="219" spans="2:4" x14ac:dyDescent="0.25">
      <c r="B219" t="s">
        <v>2052</v>
      </c>
      <c r="C219" s="10">
        <v>36464</v>
      </c>
      <c r="D219">
        <v>1</v>
      </c>
    </row>
    <row r="220" spans="2:4" x14ac:dyDescent="0.25">
      <c r="B220" t="s">
        <v>2053</v>
      </c>
      <c r="C220" s="10">
        <v>35504</v>
      </c>
      <c r="D220">
        <v>1</v>
      </c>
    </row>
    <row r="221" spans="2:4" x14ac:dyDescent="0.25">
      <c r="B221" t="s">
        <v>2055</v>
      </c>
      <c r="C221" s="10">
        <v>34923</v>
      </c>
      <c r="D221">
        <v>1</v>
      </c>
    </row>
    <row r="222" spans="2:4" x14ac:dyDescent="0.25">
      <c r="B222" t="s">
        <v>2060</v>
      </c>
      <c r="C222" s="10">
        <v>36610</v>
      </c>
      <c r="D222">
        <v>1</v>
      </c>
    </row>
    <row r="223" spans="2:4" x14ac:dyDescent="0.25">
      <c r="B223" t="s">
        <v>2062</v>
      </c>
      <c r="C223" s="10">
        <v>34309</v>
      </c>
      <c r="D223">
        <v>1</v>
      </c>
    </row>
    <row r="224" spans="2:4" x14ac:dyDescent="0.25">
      <c r="B224" t="s">
        <v>2070</v>
      </c>
      <c r="C224" s="10">
        <v>35920</v>
      </c>
      <c r="D224">
        <v>1</v>
      </c>
    </row>
    <row r="225" spans="2:4" x14ac:dyDescent="0.25">
      <c r="B225" t="s">
        <v>2054</v>
      </c>
      <c r="C225" s="10">
        <v>32597</v>
      </c>
      <c r="D225">
        <v>1</v>
      </c>
    </row>
    <row r="226" spans="2:4" x14ac:dyDescent="0.25">
      <c r="B226" t="s">
        <v>2057</v>
      </c>
      <c r="C226" s="10">
        <v>32951</v>
      </c>
      <c r="D226">
        <v>1</v>
      </c>
    </row>
    <row r="227" spans="2:4" x14ac:dyDescent="0.25">
      <c r="B227" t="s">
        <v>2058</v>
      </c>
      <c r="C227" s="10">
        <v>32488</v>
      </c>
      <c r="D227">
        <v>1</v>
      </c>
    </row>
    <row r="228" spans="2:4" x14ac:dyDescent="0.25">
      <c r="B228" t="s">
        <v>2073</v>
      </c>
      <c r="C228" s="10">
        <v>32174</v>
      </c>
      <c r="D228">
        <v>1</v>
      </c>
    </row>
    <row r="229" spans="2:4" x14ac:dyDescent="0.25">
      <c r="B229" t="s">
        <v>2075</v>
      </c>
      <c r="C229" s="10">
        <v>31814</v>
      </c>
      <c r="D229">
        <v>1</v>
      </c>
    </row>
    <row r="230" spans="2:4" x14ac:dyDescent="0.25">
      <c r="B230" t="s">
        <v>2078</v>
      </c>
      <c r="C230" s="10">
        <v>31565</v>
      </c>
      <c r="D230">
        <v>1</v>
      </c>
    </row>
    <row r="231" spans="2:4" x14ac:dyDescent="0.25">
      <c r="B231" t="s">
        <v>2079</v>
      </c>
      <c r="C231" s="10">
        <v>30539</v>
      </c>
      <c r="D231">
        <v>1</v>
      </c>
    </row>
    <row r="232" spans="2:4" x14ac:dyDescent="0.25">
      <c r="B232" t="s">
        <v>2081</v>
      </c>
      <c r="C232" s="10">
        <v>30720</v>
      </c>
      <c r="D232">
        <v>1</v>
      </c>
    </row>
    <row r="233" spans="2:4" x14ac:dyDescent="0.25">
      <c r="B233" t="s">
        <v>2082</v>
      </c>
      <c r="C233" s="10">
        <v>30941</v>
      </c>
      <c r="D233">
        <v>1</v>
      </c>
    </row>
    <row r="234" spans="2:4" x14ac:dyDescent="0.25">
      <c r="B234" t="s">
        <v>2087</v>
      </c>
      <c r="C234" s="10">
        <v>30914</v>
      </c>
      <c r="D234">
        <v>1</v>
      </c>
    </row>
    <row r="235" spans="2:4" x14ac:dyDescent="0.25">
      <c r="B235" t="s">
        <v>2056</v>
      </c>
      <c r="C235" s="10">
        <v>29158</v>
      </c>
      <c r="D235">
        <v>1</v>
      </c>
    </row>
    <row r="236" spans="2:4" x14ac:dyDescent="0.25">
      <c r="B236" t="s">
        <v>2059</v>
      </c>
      <c r="C236" s="10">
        <v>30316</v>
      </c>
      <c r="D236">
        <v>1</v>
      </c>
    </row>
    <row r="237" spans="2:4" x14ac:dyDescent="0.25">
      <c r="B237" t="s">
        <v>2068</v>
      </c>
      <c r="C237" s="10">
        <v>29422</v>
      </c>
      <c r="D237">
        <v>1</v>
      </c>
    </row>
    <row r="238" spans="2:4" x14ac:dyDescent="0.25">
      <c r="B238" t="s">
        <v>2077</v>
      </c>
      <c r="C238" s="10">
        <v>27364</v>
      </c>
      <c r="D238">
        <v>1</v>
      </c>
    </row>
    <row r="239" spans="2:4" x14ac:dyDescent="0.25">
      <c r="B239" t="s">
        <v>2080</v>
      </c>
      <c r="C239" s="10">
        <v>29266</v>
      </c>
      <c r="D239">
        <v>1</v>
      </c>
    </row>
    <row r="240" spans="2:4" x14ac:dyDescent="0.25">
      <c r="B240" t="s">
        <v>2083</v>
      </c>
      <c r="C240" s="10">
        <v>28494</v>
      </c>
      <c r="D240">
        <v>1</v>
      </c>
    </row>
    <row r="241" spans="2:4" x14ac:dyDescent="0.25">
      <c r="B241" t="s">
        <v>2061</v>
      </c>
      <c r="C241" s="10">
        <v>26475</v>
      </c>
      <c r="D241">
        <v>1</v>
      </c>
    </row>
    <row r="242" spans="2:4" x14ac:dyDescent="0.25">
      <c r="B242" t="s">
        <v>2069</v>
      </c>
      <c r="C242" s="10">
        <v>24863</v>
      </c>
      <c r="D242">
        <v>1</v>
      </c>
    </row>
    <row r="243" spans="2:4" x14ac:dyDescent="0.25">
      <c r="B243" t="s">
        <v>2076</v>
      </c>
      <c r="C243" s="10">
        <v>31141</v>
      </c>
      <c r="D243">
        <v>1</v>
      </c>
    </row>
    <row r="244" spans="2:4" x14ac:dyDescent="0.25">
      <c r="B244" t="s">
        <v>2394</v>
      </c>
      <c r="C244" s="10">
        <v>37051</v>
      </c>
      <c r="D244">
        <v>1</v>
      </c>
    </row>
    <row r="245" spans="2:4" x14ac:dyDescent="0.25">
      <c r="B245" t="s">
        <v>2382</v>
      </c>
      <c r="C245" s="10">
        <v>35317</v>
      </c>
      <c r="D245">
        <v>1</v>
      </c>
    </row>
    <row r="246" spans="2:4" x14ac:dyDescent="0.25">
      <c r="B246" t="s">
        <v>2384</v>
      </c>
      <c r="C246" s="10">
        <v>34305</v>
      </c>
      <c r="D246">
        <v>1</v>
      </c>
    </row>
    <row r="247" spans="2:4" x14ac:dyDescent="0.25">
      <c r="B247" t="s">
        <v>2398</v>
      </c>
      <c r="C247" s="10">
        <v>35180</v>
      </c>
      <c r="D247">
        <v>1</v>
      </c>
    </row>
    <row r="248" spans="2:4" x14ac:dyDescent="0.25">
      <c r="B248" t="s">
        <v>2381</v>
      </c>
      <c r="C248" s="10">
        <v>31379</v>
      </c>
      <c r="D248">
        <v>1</v>
      </c>
    </row>
    <row r="249" spans="2:4" x14ac:dyDescent="0.25">
      <c r="B249" t="s">
        <v>2383</v>
      </c>
      <c r="C249" s="10">
        <v>33352</v>
      </c>
      <c r="D249">
        <v>1</v>
      </c>
    </row>
    <row r="250" spans="2:4" x14ac:dyDescent="0.25">
      <c r="B250" t="s">
        <v>2385</v>
      </c>
      <c r="C250" s="10">
        <v>33021</v>
      </c>
      <c r="D250">
        <v>1</v>
      </c>
    </row>
    <row r="251" spans="2:4" x14ac:dyDescent="0.25">
      <c r="B251" t="s">
        <v>2386</v>
      </c>
      <c r="C251" s="10">
        <v>31061</v>
      </c>
      <c r="D251">
        <v>1</v>
      </c>
    </row>
    <row r="252" spans="2:4" x14ac:dyDescent="0.25">
      <c r="B252" t="s">
        <v>2389</v>
      </c>
      <c r="C252" s="10">
        <v>32388</v>
      </c>
      <c r="D252">
        <v>1</v>
      </c>
    </row>
    <row r="253" spans="2:4" x14ac:dyDescent="0.25">
      <c r="B253" t="s">
        <v>2392</v>
      </c>
      <c r="C253" s="10">
        <v>31545</v>
      </c>
      <c r="D253">
        <v>1</v>
      </c>
    </row>
    <row r="254" spans="2:4" x14ac:dyDescent="0.25">
      <c r="B254" t="s">
        <v>2388</v>
      </c>
      <c r="C254" s="10">
        <v>27472</v>
      </c>
      <c r="D254">
        <v>1</v>
      </c>
    </row>
    <row r="255" spans="2:4" x14ac:dyDescent="0.25">
      <c r="B255" t="s">
        <v>2391</v>
      </c>
      <c r="C255" s="10">
        <v>29723</v>
      </c>
      <c r="D255">
        <v>1</v>
      </c>
    </row>
    <row r="256" spans="2:4" x14ac:dyDescent="0.25">
      <c r="B256" t="s">
        <v>2395</v>
      </c>
      <c r="C256" s="10">
        <v>29474</v>
      </c>
      <c r="D256">
        <v>1</v>
      </c>
    </row>
    <row r="257" spans="2:4" x14ac:dyDescent="0.25">
      <c r="B257" t="s">
        <v>2397</v>
      </c>
      <c r="C257" s="10">
        <v>29342</v>
      </c>
      <c r="D257">
        <v>1</v>
      </c>
    </row>
    <row r="258" spans="2:4" x14ac:dyDescent="0.25">
      <c r="B258" t="s">
        <v>2399</v>
      </c>
      <c r="C258" s="10">
        <v>29524</v>
      </c>
      <c r="D258">
        <v>1</v>
      </c>
    </row>
    <row r="259" spans="2:4" x14ac:dyDescent="0.25">
      <c r="B259" t="s">
        <v>2402</v>
      </c>
      <c r="C259" s="10">
        <v>28492</v>
      </c>
      <c r="D259">
        <v>1</v>
      </c>
    </row>
    <row r="260" spans="2:4" x14ac:dyDescent="0.25">
      <c r="B260" t="s">
        <v>2379</v>
      </c>
      <c r="C260" s="10">
        <v>26599</v>
      </c>
      <c r="D260">
        <v>1</v>
      </c>
    </row>
    <row r="261" spans="2:4" x14ac:dyDescent="0.25">
      <c r="B261" t="s">
        <v>2380</v>
      </c>
      <c r="C261" s="10">
        <v>24715</v>
      </c>
      <c r="D261">
        <v>1</v>
      </c>
    </row>
    <row r="262" spans="2:4" x14ac:dyDescent="0.25">
      <c r="B262" t="s">
        <v>2401</v>
      </c>
      <c r="C262" s="10">
        <v>25867</v>
      </c>
      <c r="D262">
        <v>1</v>
      </c>
    </row>
    <row r="263" spans="2:4" x14ac:dyDescent="0.25">
      <c r="B263" t="s">
        <v>2671</v>
      </c>
      <c r="C263" s="10">
        <v>25245</v>
      </c>
      <c r="D263">
        <v>1</v>
      </c>
    </row>
    <row r="264" spans="2:4" x14ac:dyDescent="0.25">
      <c r="B264" t="s">
        <v>2672</v>
      </c>
      <c r="C264" s="10">
        <v>28806</v>
      </c>
      <c r="D264">
        <v>1</v>
      </c>
    </row>
    <row r="265" spans="2:4" x14ac:dyDescent="0.25">
      <c r="B265" t="s">
        <v>2673</v>
      </c>
      <c r="C265" s="10">
        <v>34618</v>
      </c>
      <c r="D265">
        <v>1</v>
      </c>
    </row>
    <row r="266" spans="2:4" x14ac:dyDescent="0.25">
      <c r="B266" t="s">
        <v>2674</v>
      </c>
      <c r="C266" s="10">
        <v>32097</v>
      </c>
      <c r="D266">
        <v>1</v>
      </c>
    </row>
    <row r="267" spans="2:4" x14ac:dyDescent="0.25">
      <c r="B267" t="s">
        <v>2675</v>
      </c>
      <c r="C267" s="10">
        <v>31482</v>
      </c>
      <c r="D267">
        <v>1</v>
      </c>
    </row>
    <row r="268" spans="2:4" x14ac:dyDescent="0.25">
      <c r="B268" t="s">
        <v>2676</v>
      </c>
      <c r="C268" s="10">
        <v>34854</v>
      </c>
      <c r="D268">
        <v>1</v>
      </c>
    </row>
    <row r="269" spans="2:4" x14ac:dyDescent="0.25">
      <c r="B269" t="s">
        <v>2677</v>
      </c>
      <c r="C269" s="10">
        <v>27973</v>
      </c>
      <c r="D269">
        <v>1</v>
      </c>
    </row>
    <row r="270" spans="2:4" x14ac:dyDescent="0.25">
      <c r="B270" t="s">
        <v>2678</v>
      </c>
      <c r="C270" s="10">
        <v>31766</v>
      </c>
      <c r="D270">
        <v>1</v>
      </c>
    </row>
    <row r="271" spans="2:4" x14ac:dyDescent="0.25">
      <c r="B271" t="s">
        <v>2679</v>
      </c>
      <c r="C271" s="10">
        <v>33007</v>
      </c>
      <c r="D271">
        <v>1</v>
      </c>
    </row>
    <row r="272" spans="2:4" x14ac:dyDescent="0.25">
      <c r="B272" t="s">
        <v>2680</v>
      </c>
      <c r="C272" s="10">
        <v>21219</v>
      </c>
      <c r="D272">
        <v>1</v>
      </c>
    </row>
    <row r="273" spans="2:4" x14ac:dyDescent="0.25">
      <c r="B273" t="s">
        <v>2681</v>
      </c>
      <c r="C273" s="10">
        <v>29326</v>
      </c>
      <c r="D273">
        <v>1</v>
      </c>
    </row>
    <row r="274" spans="2:4" x14ac:dyDescent="0.25">
      <c r="B274" t="s">
        <v>2682</v>
      </c>
      <c r="C274" s="10">
        <v>32173</v>
      </c>
      <c r="D274">
        <v>1</v>
      </c>
    </row>
    <row r="275" spans="2:4" x14ac:dyDescent="0.25">
      <c r="B275" t="s">
        <v>2683</v>
      </c>
      <c r="C275" s="10">
        <v>34086</v>
      </c>
      <c r="D275">
        <v>1</v>
      </c>
    </row>
    <row r="276" spans="2:4" x14ac:dyDescent="0.25">
      <c r="B276" t="s">
        <v>2684</v>
      </c>
      <c r="C276" s="10">
        <v>32756</v>
      </c>
      <c r="D276">
        <v>1</v>
      </c>
    </row>
    <row r="277" spans="2:4" x14ac:dyDescent="0.25">
      <c r="B277" t="s">
        <v>2685</v>
      </c>
      <c r="C277" s="10">
        <v>28196</v>
      </c>
      <c r="D277">
        <v>1</v>
      </c>
    </row>
    <row r="278" spans="2:4" x14ac:dyDescent="0.25">
      <c r="B278" t="s">
        <v>2686</v>
      </c>
      <c r="C278" s="10">
        <v>34948</v>
      </c>
      <c r="D278">
        <v>1</v>
      </c>
    </row>
    <row r="279" spans="2:4" x14ac:dyDescent="0.25">
      <c r="B279" t="s">
        <v>2687</v>
      </c>
      <c r="C279" s="10">
        <v>25966</v>
      </c>
      <c r="D279">
        <v>1</v>
      </c>
    </row>
    <row r="280" spans="2:4" x14ac:dyDescent="0.25">
      <c r="B280" t="s">
        <v>2688</v>
      </c>
      <c r="C280" s="10">
        <v>31740</v>
      </c>
      <c r="D280">
        <v>1</v>
      </c>
    </row>
    <row r="281" spans="2:4" x14ac:dyDescent="0.25">
      <c r="B281" t="s">
        <v>2689</v>
      </c>
      <c r="C281" s="10">
        <v>31711</v>
      </c>
      <c r="D281">
        <v>1</v>
      </c>
    </row>
    <row r="282" spans="2:4" x14ac:dyDescent="0.25">
      <c r="B282" t="s">
        <v>2690</v>
      </c>
      <c r="C282" s="10">
        <v>32348</v>
      </c>
      <c r="D282">
        <v>1</v>
      </c>
    </row>
    <row r="283" spans="2:4" x14ac:dyDescent="0.25">
      <c r="B283" t="s">
        <v>2691</v>
      </c>
      <c r="C283" s="10">
        <v>35255</v>
      </c>
      <c r="D283">
        <v>1</v>
      </c>
    </row>
    <row r="284" spans="2:4" x14ac:dyDescent="0.25">
      <c r="B284" t="s">
        <v>2692</v>
      </c>
      <c r="C284" s="10">
        <v>33224</v>
      </c>
      <c r="D284">
        <v>1</v>
      </c>
    </row>
    <row r="285" spans="2:4" x14ac:dyDescent="0.25">
      <c r="B285" t="s">
        <v>2693</v>
      </c>
      <c r="C285" s="10">
        <v>30098</v>
      </c>
      <c r="D285">
        <v>1</v>
      </c>
    </row>
    <row r="286" spans="2:4" x14ac:dyDescent="0.25">
      <c r="B286" t="s">
        <v>2694</v>
      </c>
      <c r="C286" s="10">
        <v>33840</v>
      </c>
      <c r="D286">
        <v>1</v>
      </c>
    </row>
    <row r="287" spans="2:4" x14ac:dyDescent="0.25">
      <c r="B287" t="s">
        <v>2695</v>
      </c>
      <c r="C287" s="10">
        <v>35971</v>
      </c>
      <c r="D287">
        <v>1</v>
      </c>
    </row>
    <row r="288" spans="2:4" x14ac:dyDescent="0.25">
      <c r="B288" t="s">
        <v>2696</v>
      </c>
      <c r="C288" s="10">
        <v>32083</v>
      </c>
      <c r="D288">
        <v>1</v>
      </c>
    </row>
    <row r="289" spans="2:4" x14ac:dyDescent="0.25">
      <c r="B289" t="s">
        <v>2697</v>
      </c>
      <c r="C289" s="10">
        <v>33511</v>
      </c>
      <c r="D289">
        <v>1</v>
      </c>
    </row>
    <row r="290" spans="2:4" x14ac:dyDescent="0.25">
      <c r="B290" t="s">
        <v>2698</v>
      </c>
      <c r="C290" s="10">
        <v>33047</v>
      </c>
      <c r="D290">
        <v>1</v>
      </c>
    </row>
    <row r="291" spans="2:4" x14ac:dyDescent="0.25">
      <c r="B291" t="s">
        <v>2700</v>
      </c>
      <c r="C291" s="10">
        <v>26525</v>
      </c>
      <c r="D291">
        <v>1</v>
      </c>
    </row>
    <row r="292" spans="2:4" x14ac:dyDescent="0.25">
      <c r="B292" t="s">
        <v>2701</v>
      </c>
      <c r="C292" s="10">
        <v>26078</v>
      </c>
      <c r="D292">
        <v>1</v>
      </c>
    </row>
    <row r="293" spans="2:4" x14ac:dyDescent="0.25">
      <c r="B293" t="s">
        <v>2703</v>
      </c>
      <c r="C293" s="10">
        <v>20872</v>
      </c>
      <c r="D293">
        <v>1</v>
      </c>
    </row>
    <row r="294" spans="2:4" x14ac:dyDescent="0.25">
      <c r="B294" t="s">
        <v>2705</v>
      </c>
      <c r="C294" s="10">
        <v>27630</v>
      </c>
      <c r="D294">
        <v>1</v>
      </c>
    </row>
    <row r="295" spans="2:4" x14ac:dyDescent="0.25">
      <c r="B295" t="s">
        <v>2706</v>
      </c>
      <c r="C295" s="10">
        <v>29505</v>
      </c>
      <c r="D295">
        <v>1</v>
      </c>
    </row>
    <row r="296" spans="2:4" x14ac:dyDescent="0.25">
      <c r="B296" t="s">
        <v>2707</v>
      </c>
      <c r="C296" s="10">
        <v>26193</v>
      </c>
      <c r="D296">
        <v>1</v>
      </c>
    </row>
    <row r="297" spans="2:4" x14ac:dyDescent="0.25">
      <c r="B297" t="s">
        <v>2708</v>
      </c>
      <c r="C297" s="10">
        <v>34593</v>
      </c>
      <c r="D297">
        <v>1</v>
      </c>
    </row>
    <row r="298" spans="2:4" x14ac:dyDescent="0.25">
      <c r="B298" t="s">
        <v>2710</v>
      </c>
      <c r="C298" s="10">
        <v>31730</v>
      </c>
      <c r="D298">
        <v>1</v>
      </c>
    </row>
    <row r="299" spans="2:4" x14ac:dyDescent="0.25">
      <c r="B299" t="s">
        <v>2711</v>
      </c>
      <c r="C299" s="10">
        <v>32905</v>
      </c>
      <c r="D299">
        <v>1</v>
      </c>
    </row>
    <row r="300" spans="2:4" x14ac:dyDescent="0.25">
      <c r="B300" t="s">
        <v>2712</v>
      </c>
      <c r="C300" s="10">
        <v>27848</v>
      </c>
      <c r="D300">
        <v>1</v>
      </c>
    </row>
    <row r="301" spans="2:4" x14ac:dyDescent="0.25">
      <c r="B301" t="s">
        <v>2713</v>
      </c>
      <c r="C301" s="10">
        <v>33451</v>
      </c>
      <c r="D301">
        <v>1</v>
      </c>
    </row>
    <row r="302" spans="2:4" x14ac:dyDescent="0.25">
      <c r="B302" t="s">
        <v>2714</v>
      </c>
      <c r="C302" s="10">
        <v>35499</v>
      </c>
      <c r="D302">
        <v>1</v>
      </c>
    </row>
    <row r="303" spans="2:4" x14ac:dyDescent="0.25">
      <c r="B303" t="s">
        <v>2715</v>
      </c>
      <c r="C303" s="10">
        <v>36631</v>
      </c>
      <c r="D303">
        <v>1</v>
      </c>
    </row>
    <row r="304" spans="2:4" x14ac:dyDescent="0.25">
      <c r="B304" t="s">
        <v>2716</v>
      </c>
      <c r="C304" s="10">
        <v>24463</v>
      </c>
      <c r="D304">
        <v>1</v>
      </c>
    </row>
    <row r="305" spans="2:4" x14ac:dyDescent="0.25">
      <c r="B305" t="s">
        <v>2717</v>
      </c>
      <c r="C305" s="10">
        <v>33978</v>
      </c>
      <c r="D305">
        <v>1</v>
      </c>
    </row>
    <row r="306" spans="2:4" x14ac:dyDescent="0.25">
      <c r="B306" t="s">
        <v>2718</v>
      </c>
      <c r="C306" s="10">
        <v>35006</v>
      </c>
      <c r="D306">
        <v>1</v>
      </c>
    </row>
    <row r="307" spans="2:4" x14ac:dyDescent="0.25">
      <c r="B307" t="s">
        <v>2720</v>
      </c>
      <c r="C307" s="10">
        <v>38356</v>
      </c>
      <c r="D307">
        <v>1</v>
      </c>
    </row>
    <row r="308" spans="2:4" x14ac:dyDescent="0.25">
      <c r="B308" t="s">
        <v>2722</v>
      </c>
      <c r="C308" s="10">
        <v>25445</v>
      </c>
      <c r="D308">
        <v>1</v>
      </c>
    </row>
    <row r="309" spans="2:4" x14ac:dyDescent="0.25">
      <c r="B309" t="s">
        <v>2727</v>
      </c>
      <c r="C309" s="10">
        <v>34454</v>
      </c>
      <c r="D309">
        <v>1</v>
      </c>
    </row>
    <row r="310" spans="2:4" x14ac:dyDescent="0.25">
      <c r="B310" t="s">
        <v>2733</v>
      </c>
      <c r="C310" s="10">
        <v>30594</v>
      </c>
      <c r="D310">
        <v>1</v>
      </c>
    </row>
    <row r="311" spans="2:4" x14ac:dyDescent="0.25">
      <c r="B311" t="s">
        <v>2741</v>
      </c>
      <c r="C311" s="10">
        <v>35773</v>
      </c>
      <c r="D311">
        <v>1</v>
      </c>
    </row>
    <row r="312" spans="2:4" x14ac:dyDescent="0.25">
      <c r="B312" t="s">
        <v>2746</v>
      </c>
      <c r="C312" s="10">
        <v>27049</v>
      </c>
      <c r="D312">
        <v>1</v>
      </c>
    </row>
    <row r="313" spans="2:4" x14ac:dyDescent="0.25">
      <c r="B313" t="s">
        <v>2755</v>
      </c>
      <c r="C313" s="10">
        <v>31982</v>
      </c>
      <c r="D313">
        <v>1</v>
      </c>
    </row>
    <row r="314" spans="2:4" x14ac:dyDescent="0.25">
      <c r="B314" t="s">
        <v>2757</v>
      </c>
      <c r="C314" s="10">
        <v>32332</v>
      </c>
      <c r="D314">
        <v>1</v>
      </c>
    </row>
    <row r="315" spans="2:4" x14ac:dyDescent="0.25">
      <c r="B315" t="s">
        <v>2762</v>
      </c>
      <c r="C315" s="10">
        <v>34782</v>
      </c>
      <c r="D315">
        <v>1</v>
      </c>
    </row>
    <row r="316" spans="2:4" x14ac:dyDescent="0.25">
      <c r="B316" t="s">
        <v>2765</v>
      </c>
      <c r="C316" s="10">
        <v>28898</v>
      </c>
      <c r="D316">
        <v>1</v>
      </c>
    </row>
    <row r="317" spans="2:4" x14ac:dyDescent="0.25">
      <c r="B317" t="s">
        <v>2767</v>
      </c>
      <c r="C317" s="10">
        <v>29046</v>
      </c>
      <c r="D317">
        <v>1</v>
      </c>
    </row>
    <row r="318" spans="2:4" x14ac:dyDescent="0.25">
      <c r="B318" t="s">
        <v>2768</v>
      </c>
      <c r="C318" s="10">
        <v>31172</v>
      </c>
      <c r="D318">
        <v>1</v>
      </c>
    </row>
    <row r="319" spans="2:4" x14ac:dyDescent="0.25">
      <c r="B319" t="s">
        <v>2769</v>
      </c>
      <c r="C319" s="10">
        <v>28694</v>
      </c>
      <c r="D319">
        <v>1</v>
      </c>
    </row>
    <row r="320" spans="2:4" x14ac:dyDescent="0.25">
      <c r="B320" t="s">
        <v>2775</v>
      </c>
      <c r="C320" s="10">
        <v>32764</v>
      </c>
      <c r="D320">
        <v>1</v>
      </c>
    </row>
    <row r="321" spans="2:4" x14ac:dyDescent="0.25">
      <c r="B321" t="s">
        <v>3026</v>
      </c>
      <c r="C321" s="10">
        <v>36608</v>
      </c>
      <c r="D321">
        <v>1</v>
      </c>
    </row>
    <row r="322" spans="2:4" x14ac:dyDescent="0.25">
      <c r="B322" t="s">
        <v>3027</v>
      </c>
      <c r="C322" s="10">
        <v>26746</v>
      </c>
      <c r="D322">
        <v>1</v>
      </c>
    </row>
    <row r="323" spans="2:4" x14ac:dyDescent="0.25">
      <c r="B323" t="s">
        <v>3028</v>
      </c>
      <c r="C323" s="10">
        <v>26981</v>
      </c>
      <c r="D323">
        <v>1</v>
      </c>
    </row>
    <row r="324" spans="2:4" x14ac:dyDescent="0.25">
      <c r="B324" t="s">
        <v>3029</v>
      </c>
      <c r="C324" s="10">
        <v>32213</v>
      </c>
      <c r="D324">
        <v>1</v>
      </c>
    </row>
    <row r="325" spans="2:4" x14ac:dyDescent="0.25">
      <c r="B325" t="s">
        <v>3030</v>
      </c>
      <c r="C325" s="10">
        <v>30687</v>
      </c>
      <c r="D325">
        <v>1</v>
      </c>
    </row>
    <row r="326" spans="2:4" x14ac:dyDescent="0.25">
      <c r="B326" t="s">
        <v>3031</v>
      </c>
      <c r="C326" s="10">
        <v>29282</v>
      </c>
      <c r="D326">
        <v>1</v>
      </c>
    </row>
    <row r="327" spans="2:4" x14ac:dyDescent="0.25">
      <c r="B327" t="s">
        <v>3032</v>
      </c>
      <c r="C327" s="10">
        <v>27289</v>
      </c>
      <c r="D327">
        <v>1</v>
      </c>
    </row>
    <row r="328" spans="2:4" x14ac:dyDescent="0.25">
      <c r="B328" t="s">
        <v>3033</v>
      </c>
      <c r="C328" s="10">
        <v>27471</v>
      </c>
      <c r="D328">
        <v>1</v>
      </c>
    </row>
    <row r="329" spans="2:4" x14ac:dyDescent="0.25">
      <c r="B329" t="s">
        <v>3034</v>
      </c>
      <c r="C329" s="10">
        <v>32409</v>
      </c>
      <c r="D329">
        <v>1</v>
      </c>
    </row>
    <row r="330" spans="2:4" x14ac:dyDescent="0.25">
      <c r="B330" t="s">
        <v>3035</v>
      </c>
      <c r="C330" s="10">
        <v>32695</v>
      </c>
      <c r="D330">
        <v>1</v>
      </c>
    </row>
    <row r="331" spans="2:4" x14ac:dyDescent="0.25">
      <c r="B331" t="s">
        <v>3036</v>
      </c>
      <c r="C331" s="10">
        <v>28086</v>
      </c>
      <c r="D331">
        <v>1</v>
      </c>
    </row>
    <row r="332" spans="2:4" x14ac:dyDescent="0.25">
      <c r="B332" t="s">
        <v>3037</v>
      </c>
      <c r="C332" s="10">
        <v>27074</v>
      </c>
      <c r="D332">
        <v>1</v>
      </c>
    </row>
    <row r="333" spans="2:4" x14ac:dyDescent="0.25">
      <c r="B333" t="s">
        <v>3039</v>
      </c>
      <c r="C333" s="10">
        <v>24462</v>
      </c>
      <c r="D333">
        <v>1</v>
      </c>
    </row>
    <row r="334" spans="2:4" x14ac:dyDescent="0.25">
      <c r="B334" t="s">
        <v>3040</v>
      </c>
      <c r="C334" s="10">
        <v>27666</v>
      </c>
      <c r="D334">
        <v>1</v>
      </c>
    </row>
    <row r="335" spans="2:4" x14ac:dyDescent="0.25">
      <c r="B335" t="s">
        <v>3041</v>
      </c>
      <c r="C335" s="10">
        <v>28258</v>
      </c>
      <c r="D335">
        <v>1</v>
      </c>
    </row>
    <row r="336" spans="2:4" x14ac:dyDescent="0.25">
      <c r="B336" t="s">
        <v>3042</v>
      </c>
      <c r="C336" s="10">
        <v>31980</v>
      </c>
      <c r="D336">
        <v>1</v>
      </c>
    </row>
    <row r="337" spans="2:4" x14ac:dyDescent="0.25">
      <c r="B337" t="s">
        <v>3043</v>
      </c>
      <c r="C337" s="10">
        <v>27977</v>
      </c>
      <c r="D337">
        <v>1</v>
      </c>
    </row>
    <row r="338" spans="2:4" x14ac:dyDescent="0.25">
      <c r="B338" t="s">
        <v>3044</v>
      </c>
      <c r="C338" s="10">
        <v>28482</v>
      </c>
      <c r="D338">
        <v>1</v>
      </c>
    </row>
    <row r="339" spans="2:4" x14ac:dyDescent="0.25">
      <c r="B339" t="s">
        <v>3045</v>
      </c>
      <c r="C339" s="10">
        <v>31871</v>
      </c>
      <c r="D339">
        <v>1</v>
      </c>
    </row>
    <row r="340" spans="2:4" x14ac:dyDescent="0.25">
      <c r="B340" t="s">
        <v>3046</v>
      </c>
      <c r="C340" s="10">
        <v>34927</v>
      </c>
      <c r="D340">
        <v>1</v>
      </c>
    </row>
    <row r="341" spans="2:4" x14ac:dyDescent="0.25">
      <c r="B341" t="s">
        <v>3047</v>
      </c>
      <c r="C341" s="10">
        <v>32767</v>
      </c>
      <c r="D341">
        <v>1</v>
      </c>
    </row>
    <row r="342" spans="2:4" x14ac:dyDescent="0.25">
      <c r="B342" t="s">
        <v>3048</v>
      </c>
      <c r="C342" s="10">
        <v>31004</v>
      </c>
      <c r="D342">
        <v>1</v>
      </c>
    </row>
    <row r="343" spans="2:4" x14ac:dyDescent="0.25">
      <c r="B343" t="s">
        <v>3050</v>
      </c>
      <c r="C343" s="10">
        <v>25089</v>
      </c>
      <c r="D343">
        <v>1</v>
      </c>
    </row>
    <row r="344" spans="2:4" x14ac:dyDescent="0.25">
      <c r="B344" t="s">
        <v>3051</v>
      </c>
      <c r="C344" s="10">
        <v>29427</v>
      </c>
      <c r="D344">
        <v>1</v>
      </c>
    </row>
    <row r="345" spans="2:4" x14ac:dyDescent="0.25">
      <c r="B345" t="s">
        <v>3052</v>
      </c>
      <c r="C345" s="10">
        <v>35842</v>
      </c>
      <c r="D345">
        <v>1</v>
      </c>
    </row>
    <row r="346" spans="2:4" x14ac:dyDescent="0.25">
      <c r="B346" t="s">
        <v>3053</v>
      </c>
      <c r="C346" s="10">
        <v>31426</v>
      </c>
      <c r="D346">
        <v>1</v>
      </c>
    </row>
    <row r="347" spans="2:4" x14ac:dyDescent="0.25">
      <c r="B347" t="s">
        <v>3054</v>
      </c>
      <c r="C347" s="10">
        <v>30789</v>
      </c>
      <c r="D347">
        <v>2</v>
      </c>
    </row>
    <row r="348" spans="2:4" x14ac:dyDescent="0.25">
      <c r="B348" t="s">
        <v>3055</v>
      </c>
      <c r="C348" s="10">
        <v>34971</v>
      </c>
      <c r="D348">
        <v>1</v>
      </c>
    </row>
    <row r="349" spans="2:4" x14ac:dyDescent="0.25">
      <c r="B349" t="s">
        <v>3056</v>
      </c>
      <c r="C349" s="10">
        <v>32409</v>
      </c>
      <c r="D349">
        <v>1</v>
      </c>
    </row>
    <row r="350" spans="2:4" x14ac:dyDescent="0.25">
      <c r="B350" t="s">
        <v>3057</v>
      </c>
      <c r="C350" s="10">
        <v>35714</v>
      </c>
      <c r="D350">
        <v>1</v>
      </c>
    </row>
    <row r="351" spans="2:4" x14ac:dyDescent="0.25">
      <c r="B351" t="s">
        <v>3058</v>
      </c>
      <c r="C351" s="10">
        <v>30094</v>
      </c>
      <c r="D351">
        <v>1</v>
      </c>
    </row>
    <row r="352" spans="2:4" x14ac:dyDescent="0.25">
      <c r="B352" t="s">
        <v>3059</v>
      </c>
      <c r="C352" s="10">
        <v>25393</v>
      </c>
      <c r="D352">
        <v>1</v>
      </c>
    </row>
    <row r="353" spans="2:4" x14ac:dyDescent="0.25">
      <c r="B353" t="s">
        <v>3060</v>
      </c>
      <c r="C353" s="10">
        <v>29315</v>
      </c>
      <c r="D353">
        <v>1</v>
      </c>
    </row>
    <row r="354" spans="2:4" x14ac:dyDescent="0.25">
      <c r="B354" t="s">
        <v>3061</v>
      </c>
      <c r="C354" s="10">
        <v>25693</v>
      </c>
      <c r="D354">
        <v>1</v>
      </c>
    </row>
    <row r="355" spans="2:4" x14ac:dyDescent="0.25">
      <c r="B355" t="s">
        <v>3062</v>
      </c>
      <c r="C355" s="10">
        <v>28638</v>
      </c>
      <c r="D355">
        <v>1</v>
      </c>
    </row>
    <row r="356" spans="2:4" x14ac:dyDescent="0.25">
      <c r="B356" t="s">
        <v>3063</v>
      </c>
      <c r="C356" s="10">
        <v>38150</v>
      </c>
      <c r="D356">
        <v>1</v>
      </c>
    </row>
    <row r="357" spans="2:4" x14ac:dyDescent="0.25">
      <c r="B357" t="s">
        <v>3064</v>
      </c>
      <c r="C357" s="10">
        <v>22851</v>
      </c>
      <c r="D357">
        <v>1</v>
      </c>
    </row>
    <row r="358" spans="2:4" x14ac:dyDescent="0.25">
      <c r="B358" t="s">
        <v>3065</v>
      </c>
      <c r="C358" s="10">
        <v>32644</v>
      </c>
      <c r="D358">
        <v>1</v>
      </c>
    </row>
    <row r="359" spans="2:4" x14ac:dyDescent="0.25">
      <c r="B359" t="s">
        <v>3066</v>
      </c>
      <c r="C359" s="10">
        <v>35332</v>
      </c>
      <c r="D359">
        <v>1</v>
      </c>
    </row>
    <row r="360" spans="2:4" x14ac:dyDescent="0.25">
      <c r="B360" t="s">
        <v>3067</v>
      </c>
      <c r="C360" s="10">
        <v>30864</v>
      </c>
      <c r="D360">
        <v>1</v>
      </c>
    </row>
    <row r="361" spans="2:4" x14ac:dyDescent="0.25">
      <c r="B361" t="s">
        <v>3068</v>
      </c>
      <c r="C361" s="10">
        <v>31853</v>
      </c>
      <c r="D361">
        <v>1</v>
      </c>
    </row>
    <row r="362" spans="2:4" x14ac:dyDescent="0.25">
      <c r="B362" t="s">
        <v>3069</v>
      </c>
      <c r="C362" s="10">
        <v>31145</v>
      </c>
      <c r="D362">
        <v>1</v>
      </c>
    </row>
    <row r="363" spans="2:4" x14ac:dyDescent="0.25">
      <c r="B363" t="s">
        <v>3070</v>
      </c>
      <c r="C363" s="10">
        <v>32107</v>
      </c>
      <c r="D363">
        <v>1</v>
      </c>
    </row>
    <row r="364" spans="2:4" x14ac:dyDescent="0.25">
      <c r="B364" t="s">
        <v>3071</v>
      </c>
      <c r="C364" s="10">
        <v>30655</v>
      </c>
      <c r="D364">
        <v>1</v>
      </c>
    </row>
    <row r="365" spans="2:4" x14ac:dyDescent="0.25">
      <c r="B365" t="s">
        <v>3072</v>
      </c>
      <c r="C365" s="10">
        <v>31008</v>
      </c>
      <c r="D365">
        <v>1</v>
      </c>
    </row>
    <row r="366" spans="2:4" x14ac:dyDescent="0.25">
      <c r="B366" t="s">
        <v>3073</v>
      </c>
      <c r="C366" s="10">
        <v>33881</v>
      </c>
      <c r="D366">
        <v>1</v>
      </c>
    </row>
    <row r="367" spans="2:4" x14ac:dyDescent="0.25">
      <c r="B367" t="s">
        <v>3074</v>
      </c>
      <c r="C367" s="10">
        <v>34455</v>
      </c>
      <c r="D367">
        <v>1</v>
      </c>
    </row>
    <row r="368" spans="2:4" x14ac:dyDescent="0.25">
      <c r="B368" t="s">
        <v>3075</v>
      </c>
      <c r="C368" s="10">
        <v>35171</v>
      </c>
      <c r="D368">
        <v>1</v>
      </c>
    </row>
    <row r="369" spans="2:4" x14ac:dyDescent="0.25">
      <c r="B369" t="s">
        <v>3076</v>
      </c>
      <c r="C369" s="10">
        <v>25743</v>
      </c>
      <c r="D369">
        <v>1</v>
      </c>
    </row>
    <row r="370" spans="2:4" x14ac:dyDescent="0.25">
      <c r="B370" t="s">
        <v>3077</v>
      </c>
      <c r="C370" s="10">
        <v>35338</v>
      </c>
      <c r="D370">
        <v>1</v>
      </c>
    </row>
    <row r="371" spans="2:4" x14ac:dyDescent="0.25">
      <c r="B371" t="s">
        <v>3079</v>
      </c>
      <c r="C371" s="10">
        <v>34804</v>
      </c>
      <c r="D371">
        <v>1</v>
      </c>
    </row>
    <row r="372" spans="2:4" x14ac:dyDescent="0.25">
      <c r="B372" t="s">
        <v>3080</v>
      </c>
      <c r="C372" s="10">
        <v>26626</v>
      </c>
      <c r="D372">
        <v>1</v>
      </c>
    </row>
    <row r="373" spans="2:4" x14ac:dyDescent="0.25">
      <c r="B373" t="s">
        <v>3081</v>
      </c>
      <c r="C373" s="10">
        <v>26878</v>
      </c>
      <c r="D373">
        <v>1</v>
      </c>
    </row>
    <row r="374" spans="2:4" x14ac:dyDescent="0.25">
      <c r="B374" t="s">
        <v>3082</v>
      </c>
      <c r="C374" s="10">
        <v>27599</v>
      </c>
      <c r="D374">
        <v>1</v>
      </c>
    </row>
    <row r="375" spans="2:4" x14ac:dyDescent="0.25">
      <c r="B375" t="s">
        <v>3083</v>
      </c>
      <c r="C375" s="10">
        <v>33669</v>
      </c>
      <c r="D375">
        <v>1</v>
      </c>
    </row>
    <row r="376" spans="2:4" x14ac:dyDescent="0.25">
      <c r="B376" t="s">
        <v>3084</v>
      </c>
      <c r="C376" s="10">
        <v>28620</v>
      </c>
      <c r="D376">
        <v>1</v>
      </c>
    </row>
    <row r="377" spans="2:4" x14ac:dyDescent="0.25">
      <c r="B377" t="s">
        <v>3085</v>
      </c>
      <c r="C377" s="10">
        <v>27599</v>
      </c>
      <c r="D377">
        <v>1</v>
      </c>
    </row>
    <row r="378" spans="2:4" x14ac:dyDescent="0.25">
      <c r="B378" t="s">
        <v>3088</v>
      </c>
      <c r="C378" s="10">
        <v>26999</v>
      </c>
      <c r="D378">
        <v>1</v>
      </c>
    </row>
    <row r="379" spans="2:4" x14ac:dyDescent="0.25">
      <c r="B379" t="s">
        <v>3089</v>
      </c>
      <c r="C379" s="10">
        <v>34247</v>
      </c>
      <c r="D379">
        <v>1</v>
      </c>
    </row>
    <row r="380" spans="2:4" x14ac:dyDescent="0.25">
      <c r="B380" t="s">
        <v>3090</v>
      </c>
      <c r="C380" s="10">
        <v>29597</v>
      </c>
      <c r="D380">
        <v>1</v>
      </c>
    </row>
    <row r="381" spans="2:4" x14ac:dyDescent="0.25">
      <c r="B381" t="s">
        <v>3092</v>
      </c>
      <c r="C381" s="10">
        <v>34438</v>
      </c>
      <c r="D381">
        <v>1</v>
      </c>
    </row>
    <row r="382" spans="2:4" x14ac:dyDescent="0.25">
      <c r="B382" t="s">
        <v>3095</v>
      </c>
      <c r="C382" s="10">
        <v>32050</v>
      </c>
      <c r="D382">
        <v>1</v>
      </c>
    </row>
    <row r="383" spans="2:4" x14ac:dyDescent="0.25">
      <c r="B383" t="s">
        <v>3100</v>
      </c>
      <c r="C383" s="10">
        <v>34484</v>
      </c>
      <c r="D383">
        <v>1</v>
      </c>
    </row>
    <row r="384" spans="2:4" x14ac:dyDescent="0.25">
      <c r="B384" t="s">
        <v>3101</v>
      </c>
      <c r="C384" s="10">
        <v>29263</v>
      </c>
      <c r="D384">
        <v>1</v>
      </c>
    </row>
    <row r="385" spans="1:4" x14ac:dyDescent="0.25">
      <c r="B385" t="s">
        <v>3102</v>
      </c>
      <c r="C385" s="10">
        <v>35938</v>
      </c>
      <c r="D385">
        <v>1</v>
      </c>
    </row>
    <row r="386" spans="1:4" x14ac:dyDescent="0.25">
      <c r="B386" t="s">
        <v>3103</v>
      </c>
      <c r="C386" s="10">
        <v>33099</v>
      </c>
      <c r="D386">
        <v>1</v>
      </c>
    </row>
    <row r="387" spans="1:4" x14ac:dyDescent="0.25">
      <c r="B387" t="s">
        <v>3104</v>
      </c>
      <c r="C387" s="10">
        <v>28858</v>
      </c>
      <c r="D387">
        <v>1</v>
      </c>
    </row>
    <row r="388" spans="1:4" x14ac:dyDescent="0.25">
      <c r="B388" t="s">
        <v>3105</v>
      </c>
      <c r="C388" s="10">
        <v>30345</v>
      </c>
      <c r="D388">
        <v>1</v>
      </c>
    </row>
    <row r="389" spans="1:4" x14ac:dyDescent="0.25">
      <c r="B389" t="s">
        <v>3106</v>
      </c>
      <c r="C389" s="10">
        <v>27855</v>
      </c>
      <c r="D389">
        <v>1</v>
      </c>
    </row>
    <row r="390" spans="1:4" x14ac:dyDescent="0.25">
      <c r="B390" t="s">
        <v>3108</v>
      </c>
      <c r="C390" s="10">
        <v>33672</v>
      </c>
      <c r="D390">
        <v>1</v>
      </c>
    </row>
    <row r="391" spans="1:4" x14ac:dyDescent="0.25">
      <c r="B391" t="s">
        <v>3109</v>
      </c>
      <c r="C391" s="10">
        <v>28830</v>
      </c>
      <c r="D391">
        <v>1</v>
      </c>
    </row>
    <row r="392" spans="1:4" x14ac:dyDescent="0.25">
      <c r="B392" t="s">
        <v>3110</v>
      </c>
      <c r="C392" s="10">
        <v>33090</v>
      </c>
      <c r="D392">
        <v>1</v>
      </c>
    </row>
    <row r="393" spans="1:4" x14ac:dyDescent="0.25">
      <c r="B393" t="s">
        <v>3111</v>
      </c>
      <c r="C393" s="10">
        <v>33440</v>
      </c>
      <c r="D393">
        <v>1</v>
      </c>
    </row>
    <row r="394" spans="1:4" x14ac:dyDescent="0.25">
      <c r="B394" t="s">
        <v>3113</v>
      </c>
      <c r="C394" s="10">
        <v>30933</v>
      </c>
      <c r="D394">
        <v>1</v>
      </c>
    </row>
    <row r="395" spans="1:4" x14ac:dyDescent="0.25">
      <c r="B395" t="s">
        <v>3115</v>
      </c>
      <c r="C395" s="10">
        <v>27152</v>
      </c>
      <c r="D395">
        <v>1</v>
      </c>
    </row>
    <row r="396" spans="1:4" x14ac:dyDescent="0.25">
      <c r="B396" t="s">
        <v>3117</v>
      </c>
      <c r="C396" s="10">
        <v>25095</v>
      </c>
      <c r="D396">
        <v>1</v>
      </c>
    </row>
    <row r="397" spans="1:4" x14ac:dyDescent="0.25">
      <c r="B397" t="s">
        <v>3119</v>
      </c>
      <c r="C397" s="10">
        <v>26225</v>
      </c>
      <c r="D397">
        <v>1</v>
      </c>
    </row>
    <row r="398" spans="1:4" x14ac:dyDescent="0.25">
      <c r="B398" t="s">
        <v>3120</v>
      </c>
      <c r="C398" s="10">
        <v>33749</v>
      </c>
      <c r="D398">
        <v>1</v>
      </c>
    </row>
    <row r="399" spans="1:4" x14ac:dyDescent="0.25">
      <c r="B399" t="s">
        <v>3121</v>
      </c>
      <c r="C399" s="10">
        <v>30933</v>
      </c>
      <c r="D399">
        <v>1</v>
      </c>
    </row>
    <row r="400" spans="1:4" x14ac:dyDescent="0.25">
      <c r="A400" t="s">
        <v>53</v>
      </c>
      <c r="D400">
        <v>11</v>
      </c>
    </row>
    <row r="401" spans="1:4" x14ac:dyDescent="0.25">
      <c r="A401" t="s">
        <v>3124</v>
      </c>
      <c r="B401" t="s">
        <v>2963</v>
      </c>
      <c r="C401" s="10">
        <v>33506</v>
      </c>
      <c r="D401">
        <v>1</v>
      </c>
    </row>
    <row r="402" spans="1:4" x14ac:dyDescent="0.25">
      <c r="B402" t="s">
        <v>2969</v>
      </c>
      <c r="C402" s="10">
        <v>26020</v>
      </c>
      <c r="D402">
        <v>1</v>
      </c>
    </row>
    <row r="403" spans="1:4" x14ac:dyDescent="0.25">
      <c r="B403" t="s">
        <v>2954</v>
      </c>
      <c r="C403" s="10">
        <v>35260</v>
      </c>
      <c r="D403">
        <v>1</v>
      </c>
    </row>
    <row r="404" spans="1:4" x14ac:dyDescent="0.25">
      <c r="B404" t="s">
        <v>2974</v>
      </c>
      <c r="C404" s="10">
        <v>32337</v>
      </c>
      <c r="D404">
        <v>1</v>
      </c>
    </row>
    <row r="405" spans="1:4" x14ac:dyDescent="0.25">
      <c r="B405" t="s">
        <v>2972</v>
      </c>
      <c r="C405" s="10">
        <v>32942</v>
      </c>
      <c r="D405">
        <v>1</v>
      </c>
    </row>
    <row r="406" spans="1:4" x14ac:dyDescent="0.25">
      <c r="B406" t="s">
        <v>2955</v>
      </c>
      <c r="C406" s="10">
        <v>27280</v>
      </c>
      <c r="D406">
        <v>1</v>
      </c>
    </row>
    <row r="407" spans="1:4" x14ac:dyDescent="0.25">
      <c r="B407" t="s">
        <v>2956</v>
      </c>
      <c r="C407" s="10">
        <v>34079</v>
      </c>
      <c r="D407">
        <v>1</v>
      </c>
    </row>
    <row r="408" spans="1:4" x14ac:dyDescent="0.25">
      <c r="B408" t="s">
        <v>2968</v>
      </c>
      <c r="C408" s="10">
        <v>33857</v>
      </c>
      <c r="D408">
        <v>1</v>
      </c>
    </row>
    <row r="409" spans="1:4" x14ac:dyDescent="0.25">
      <c r="B409" t="s">
        <v>2958</v>
      </c>
      <c r="C409" s="10">
        <v>32283</v>
      </c>
      <c r="D409">
        <v>1</v>
      </c>
    </row>
    <row r="410" spans="1:4" x14ac:dyDescent="0.25">
      <c r="B410" t="s">
        <v>2973</v>
      </c>
      <c r="C410" s="10">
        <v>33697</v>
      </c>
      <c r="D410">
        <v>1</v>
      </c>
    </row>
    <row r="411" spans="1:4" x14ac:dyDescent="0.25">
      <c r="B411" t="s">
        <v>2960</v>
      </c>
      <c r="C411" s="10">
        <v>37107</v>
      </c>
      <c r="D411">
        <v>1</v>
      </c>
    </row>
    <row r="412" spans="1:4" x14ac:dyDescent="0.25">
      <c r="B412" t="s">
        <v>2961</v>
      </c>
      <c r="C412" s="10">
        <v>35985</v>
      </c>
      <c r="D412">
        <v>1</v>
      </c>
    </row>
    <row r="413" spans="1:4" x14ac:dyDescent="0.25">
      <c r="B413" t="s">
        <v>2962</v>
      </c>
      <c r="C413" s="10">
        <v>31683</v>
      </c>
      <c r="D413">
        <v>1</v>
      </c>
    </row>
    <row r="414" spans="1:4" x14ac:dyDescent="0.25">
      <c r="B414" t="s">
        <v>2964</v>
      </c>
      <c r="C414" s="10">
        <v>35076</v>
      </c>
      <c r="D414">
        <v>1</v>
      </c>
    </row>
    <row r="415" spans="1:4" x14ac:dyDescent="0.25">
      <c r="B415" t="s">
        <v>2986</v>
      </c>
      <c r="C415" s="10">
        <v>31829</v>
      </c>
      <c r="D415">
        <v>1</v>
      </c>
    </row>
    <row r="416" spans="1:4" x14ac:dyDescent="0.25">
      <c r="B416" t="s">
        <v>2965</v>
      </c>
      <c r="C416" s="10">
        <v>28542</v>
      </c>
      <c r="D416">
        <v>1</v>
      </c>
    </row>
    <row r="417" spans="2:4" x14ac:dyDescent="0.25">
      <c r="B417" t="s">
        <v>2966</v>
      </c>
      <c r="C417" s="10">
        <v>31829</v>
      </c>
      <c r="D417">
        <v>1</v>
      </c>
    </row>
    <row r="418" spans="2:4" x14ac:dyDescent="0.25">
      <c r="B418" t="s">
        <v>2967</v>
      </c>
      <c r="C418" s="10">
        <v>31988</v>
      </c>
      <c r="D418">
        <v>1</v>
      </c>
    </row>
    <row r="419" spans="2:4" x14ac:dyDescent="0.25">
      <c r="B419" t="s">
        <v>2976</v>
      </c>
      <c r="C419" s="10">
        <v>34522</v>
      </c>
      <c r="D419">
        <v>1</v>
      </c>
    </row>
    <row r="420" spans="2:4" x14ac:dyDescent="0.25">
      <c r="B420" t="s">
        <v>2971</v>
      </c>
      <c r="C420" s="10">
        <v>36653</v>
      </c>
      <c r="D420">
        <v>1</v>
      </c>
    </row>
    <row r="421" spans="2:4" x14ac:dyDescent="0.25">
      <c r="B421" t="s">
        <v>2977</v>
      </c>
      <c r="C421" s="10">
        <v>32237</v>
      </c>
      <c r="D421">
        <v>1</v>
      </c>
    </row>
    <row r="422" spans="2:4" x14ac:dyDescent="0.25">
      <c r="B422" t="s">
        <v>2978</v>
      </c>
      <c r="C422" s="10">
        <v>31209</v>
      </c>
      <c r="D422">
        <v>1</v>
      </c>
    </row>
    <row r="423" spans="2:4" x14ac:dyDescent="0.25">
      <c r="B423" t="s">
        <v>2980</v>
      </c>
      <c r="C423" s="10">
        <v>33154</v>
      </c>
      <c r="D423">
        <v>1</v>
      </c>
    </row>
    <row r="424" spans="2:4" x14ac:dyDescent="0.25">
      <c r="B424" t="s">
        <v>2982</v>
      </c>
      <c r="C424" s="10">
        <v>31829</v>
      </c>
      <c r="D424">
        <v>1</v>
      </c>
    </row>
    <row r="425" spans="2:4" x14ac:dyDescent="0.25">
      <c r="B425" t="s">
        <v>2985</v>
      </c>
      <c r="C425" s="10">
        <v>31222</v>
      </c>
      <c r="D425">
        <v>1</v>
      </c>
    </row>
    <row r="426" spans="2:4" x14ac:dyDescent="0.25">
      <c r="B426" t="s">
        <v>2975</v>
      </c>
      <c r="C426" s="10">
        <v>27636</v>
      </c>
      <c r="D426">
        <v>1</v>
      </c>
    </row>
    <row r="427" spans="2:4" x14ac:dyDescent="0.25">
      <c r="B427" t="s">
        <v>2979</v>
      </c>
      <c r="C427" s="10">
        <v>28085</v>
      </c>
      <c r="D427">
        <v>1</v>
      </c>
    </row>
    <row r="428" spans="2:4" x14ac:dyDescent="0.25">
      <c r="B428" t="s">
        <v>2983</v>
      </c>
      <c r="C428" s="10">
        <v>30405</v>
      </c>
      <c r="D428">
        <v>1</v>
      </c>
    </row>
    <row r="429" spans="2:4" x14ac:dyDescent="0.25">
      <c r="B429" t="s">
        <v>2988</v>
      </c>
      <c r="C429" s="10">
        <v>38299</v>
      </c>
      <c r="D429">
        <v>1</v>
      </c>
    </row>
    <row r="430" spans="2:4" x14ac:dyDescent="0.25">
      <c r="B430" t="s">
        <v>2989</v>
      </c>
      <c r="C430" s="10">
        <v>34776</v>
      </c>
      <c r="D430">
        <v>1</v>
      </c>
    </row>
    <row r="431" spans="2:4" x14ac:dyDescent="0.25">
      <c r="B431" t="s">
        <v>2987</v>
      </c>
      <c r="C431" s="10">
        <v>33420</v>
      </c>
      <c r="D431">
        <v>1</v>
      </c>
    </row>
    <row r="432" spans="2:4" x14ac:dyDescent="0.25">
      <c r="B432" t="s">
        <v>2990</v>
      </c>
      <c r="C432" s="10">
        <v>33792</v>
      </c>
      <c r="D432">
        <v>1</v>
      </c>
    </row>
    <row r="433" spans="1:4" x14ac:dyDescent="0.25">
      <c r="B433" t="s">
        <v>2992</v>
      </c>
      <c r="C433" s="10">
        <v>31829</v>
      </c>
      <c r="D433">
        <v>1</v>
      </c>
    </row>
    <row r="434" spans="1:4" x14ac:dyDescent="0.25">
      <c r="B434" t="s">
        <v>3125</v>
      </c>
      <c r="C434" s="10">
        <v>36729</v>
      </c>
      <c r="D434">
        <v>1</v>
      </c>
    </row>
    <row r="435" spans="1:4" x14ac:dyDescent="0.25">
      <c r="B435" t="s">
        <v>3126</v>
      </c>
      <c r="C435" s="10">
        <v>34366</v>
      </c>
      <c r="D435">
        <v>1</v>
      </c>
    </row>
    <row r="436" spans="1:4" x14ac:dyDescent="0.25">
      <c r="A436" t="s">
        <v>1112</v>
      </c>
      <c r="B436" t="s">
        <v>1113</v>
      </c>
      <c r="C436" s="10">
        <v>26791</v>
      </c>
      <c r="D436">
        <v>1</v>
      </c>
    </row>
    <row r="437" spans="1:4" x14ac:dyDescent="0.25">
      <c r="B437" t="s">
        <v>1117</v>
      </c>
      <c r="C437" s="10">
        <v>28493</v>
      </c>
      <c r="D437">
        <v>1</v>
      </c>
    </row>
    <row r="438" spans="1:4" x14ac:dyDescent="0.25">
      <c r="B438" t="s">
        <v>3128</v>
      </c>
      <c r="C438" s="10">
        <v>36759</v>
      </c>
      <c r="D438">
        <v>1</v>
      </c>
    </row>
    <row r="439" spans="1:4" x14ac:dyDescent="0.25">
      <c r="B439" t="s">
        <v>1118</v>
      </c>
      <c r="C439" s="10">
        <v>31577</v>
      </c>
      <c r="D439">
        <v>1</v>
      </c>
    </row>
    <row r="440" spans="1:4" x14ac:dyDescent="0.25">
      <c r="B440" t="s">
        <v>3127</v>
      </c>
      <c r="C440" s="10">
        <v>35332</v>
      </c>
      <c r="D440">
        <v>1</v>
      </c>
    </row>
    <row r="441" spans="1:4" x14ac:dyDescent="0.25">
      <c r="B441" t="s">
        <v>1114</v>
      </c>
      <c r="C441" s="10">
        <v>27512</v>
      </c>
      <c r="D441">
        <v>1</v>
      </c>
    </row>
    <row r="442" spans="1:4" x14ac:dyDescent="0.25">
      <c r="B442" t="s">
        <v>1116</v>
      </c>
      <c r="C442" s="10">
        <v>31684</v>
      </c>
      <c r="D442">
        <v>1</v>
      </c>
    </row>
    <row r="443" spans="1:4" x14ac:dyDescent="0.25">
      <c r="B443" t="s">
        <v>1115</v>
      </c>
      <c r="C443" s="10">
        <v>30496</v>
      </c>
      <c r="D443">
        <v>1</v>
      </c>
    </row>
    <row r="444" spans="1:4" x14ac:dyDescent="0.25">
      <c r="B444" t="s">
        <v>1564</v>
      </c>
      <c r="C444" s="10">
        <v>37946</v>
      </c>
      <c r="D444">
        <v>1</v>
      </c>
    </row>
    <row r="445" spans="1:4" x14ac:dyDescent="0.25">
      <c r="B445" t="s">
        <v>1565</v>
      </c>
      <c r="C445" s="10">
        <v>36407</v>
      </c>
      <c r="D445">
        <v>1</v>
      </c>
    </row>
    <row r="446" spans="1:4" x14ac:dyDescent="0.25">
      <c r="B446" t="s">
        <v>2090</v>
      </c>
      <c r="C446" s="10">
        <v>34608</v>
      </c>
      <c r="D446">
        <v>1</v>
      </c>
    </row>
    <row r="447" spans="1:4" x14ac:dyDescent="0.25">
      <c r="A447" t="s">
        <v>3007</v>
      </c>
      <c r="B447" t="s">
        <v>2372</v>
      </c>
      <c r="C447" s="10">
        <v>36890</v>
      </c>
      <c r="D447">
        <v>1</v>
      </c>
    </row>
    <row r="448" spans="1:4" x14ac:dyDescent="0.25">
      <c r="B448" t="s">
        <v>2359</v>
      </c>
      <c r="C448" s="10">
        <v>34837</v>
      </c>
      <c r="D448">
        <v>1</v>
      </c>
    </row>
    <row r="449" spans="2:4" x14ac:dyDescent="0.25">
      <c r="B449" t="s">
        <v>2374</v>
      </c>
      <c r="C449" s="10">
        <v>34770</v>
      </c>
      <c r="D449">
        <v>1</v>
      </c>
    </row>
    <row r="450" spans="2:4" x14ac:dyDescent="0.25">
      <c r="B450" t="s">
        <v>1105</v>
      </c>
      <c r="C450" s="10">
        <v>33228</v>
      </c>
      <c r="D450">
        <v>1</v>
      </c>
    </row>
    <row r="451" spans="2:4" x14ac:dyDescent="0.25">
      <c r="B451" t="s">
        <v>1106</v>
      </c>
      <c r="C451" s="10">
        <v>34986</v>
      </c>
      <c r="D451">
        <v>1</v>
      </c>
    </row>
    <row r="452" spans="2:4" x14ac:dyDescent="0.25">
      <c r="B452" t="s">
        <v>1107</v>
      </c>
      <c r="C452" s="10">
        <v>36779</v>
      </c>
      <c r="D452">
        <v>1</v>
      </c>
    </row>
    <row r="453" spans="2:4" x14ac:dyDescent="0.25">
      <c r="B453" t="s">
        <v>1108</v>
      </c>
      <c r="C453" s="10">
        <v>37219</v>
      </c>
      <c r="D453">
        <v>1</v>
      </c>
    </row>
    <row r="454" spans="2:4" x14ac:dyDescent="0.25">
      <c r="B454" t="s">
        <v>1109</v>
      </c>
      <c r="C454" s="10">
        <v>29864</v>
      </c>
      <c r="D454">
        <v>1</v>
      </c>
    </row>
    <row r="455" spans="2:4" x14ac:dyDescent="0.25">
      <c r="B455" t="s">
        <v>1525</v>
      </c>
      <c r="C455" s="10">
        <v>31830</v>
      </c>
      <c r="D455">
        <v>1</v>
      </c>
    </row>
    <row r="456" spans="2:4" x14ac:dyDescent="0.25">
      <c r="B456" t="s">
        <v>1526</v>
      </c>
      <c r="C456" s="10">
        <v>34473</v>
      </c>
      <c r="D456">
        <v>1</v>
      </c>
    </row>
    <row r="457" spans="2:4" x14ac:dyDescent="0.25">
      <c r="B457" t="s">
        <v>1527</v>
      </c>
      <c r="C457" s="10">
        <v>34013</v>
      </c>
      <c r="D457">
        <v>1</v>
      </c>
    </row>
    <row r="458" spans="2:4" x14ac:dyDescent="0.25">
      <c r="B458" t="s">
        <v>1528</v>
      </c>
      <c r="C458" s="10">
        <v>34469</v>
      </c>
      <c r="D458">
        <v>1</v>
      </c>
    </row>
    <row r="459" spans="2:4" x14ac:dyDescent="0.25">
      <c r="B459" t="s">
        <v>1529</v>
      </c>
      <c r="C459" s="10">
        <v>33430</v>
      </c>
      <c r="D459">
        <v>1</v>
      </c>
    </row>
    <row r="460" spans="2:4" x14ac:dyDescent="0.25">
      <c r="B460" t="s">
        <v>1530</v>
      </c>
      <c r="C460" s="10">
        <v>33460</v>
      </c>
      <c r="D460">
        <v>1</v>
      </c>
    </row>
    <row r="461" spans="2:4" x14ac:dyDescent="0.25">
      <c r="B461" t="s">
        <v>1531</v>
      </c>
      <c r="C461" s="10">
        <v>35469</v>
      </c>
      <c r="D461">
        <v>1</v>
      </c>
    </row>
    <row r="462" spans="2:4" x14ac:dyDescent="0.25">
      <c r="B462" t="s">
        <v>1532</v>
      </c>
      <c r="C462" s="10">
        <v>30319</v>
      </c>
      <c r="D462">
        <v>1</v>
      </c>
    </row>
    <row r="463" spans="2:4" x14ac:dyDescent="0.25">
      <c r="B463" t="s">
        <v>2044</v>
      </c>
      <c r="C463" s="10">
        <v>36021</v>
      </c>
      <c r="D463">
        <v>1</v>
      </c>
    </row>
    <row r="464" spans="2:4" x14ac:dyDescent="0.25">
      <c r="B464" t="s">
        <v>2048</v>
      </c>
      <c r="C464" s="10">
        <v>35581</v>
      </c>
      <c r="D464">
        <v>1</v>
      </c>
    </row>
    <row r="465" spans="2:4" x14ac:dyDescent="0.25">
      <c r="B465" t="s">
        <v>2049</v>
      </c>
      <c r="C465" s="10">
        <v>36509</v>
      </c>
      <c r="D465">
        <v>1</v>
      </c>
    </row>
    <row r="466" spans="2:4" x14ac:dyDescent="0.25">
      <c r="B466" t="s">
        <v>2045</v>
      </c>
      <c r="C466" s="10">
        <v>32130</v>
      </c>
      <c r="D466">
        <v>1</v>
      </c>
    </row>
    <row r="467" spans="2:4" x14ac:dyDescent="0.25">
      <c r="B467" t="s">
        <v>2047</v>
      </c>
      <c r="C467" s="10">
        <v>32591</v>
      </c>
      <c r="D467">
        <v>1</v>
      </c>
    </row>
    <row r="468" spans="2:4" x14ac:dyDescent="0.25">
      <c r="B468" t="s">
        <v>2046</v>
      </c>
      <c r="C468" s="10">
        <v>30358</v>
      </c>
      <c r="D468">
        <v>1</v>
      </c>
    </row>
    <row r="469" spans="2:4" x14ac:dyDescent="0.25">
      <c r="B469" t="s">
        <v>2050</v>
      </c>
      <c r="C469" s="10">
        <v>36064</v>
      </c>
      <c r="D469">
        <v>1</v>
      </c>
    </row>
    <row r="470" spans="2:4" x14ac:dyDescent="0.25">
      <c r="B470" t="s">
        <v>2357</v>
      </c>
      <c r="C470" s="10">
        <v>37202</v>
      </c>
      <c r="D470">
        <v>1</v>
      </c>
    </row>
    <row r="471" spans="2:4" x14ac:dyDescent="0.25">
      <c r="B471" t="s">
        <v>2368</v>
      </c>
      <c r="C471" s="10">
        <v>37990</v>
      </c>
      <c r="D471">
        <v>1</v>
      </c>
    </row>
    <row r="472" spans="2:4" x14ac:dyDescent="0.25">
      <c r="B472" t="s">
        <v>2358</v>
      </c>
      <c r="C472" s="10">
        <v>34992</v>
      </c>
      <c r="D472">
        <v>1</v>
      </c>
    </row>
    <row r="473" spans="2:4" x14ac:dyDescent="0.25">
      <c r="B473" t="s">
        <v>2362</v>
      </c>
      <c r="C473" s="10">
        <v>36133</v>
      </c>
      <c r="D473">
        <v>1</v>
      </c>
    </row>
    <row r="474" spans="2:4" x14ac:dyDescent="0.25">
      <c r="B474" t="s">
        <v>2366</v>
      </c>
      <c r="C474" s="10">
        <v>34093</v>
      </c>
      <c r="D474">
        <v>1</v>
      </c>
    </row>
    <row r="475" spans="2:4" x14ac:dyDescent="0.25">
      <c r="B475" t="s">
        <v>2367</v>
      </c>
      <c r="C475" s="10">
        <v>36263</v>
      </c>
      <c r="D475">
        <v>1</v>
      </c>
    </row>
    <row r="476" spans="2:4" x14ac:dyDescent="0.25">
      <c r="B476" t="s">
        <v>2369</v>
      </c>
      <c r="C476" s="10">
        <v>33867</v>
      </c>
      <c r="D476">
        <v>1</v>
      </c>
    </row>
    <row r="477" spans="2:4" x14ac:dyDescent="0.25">
      <c r="B477" t="s">
        <v>2373</v>
      </c>
      <c r="C477" s="10">
        <v>34987</v>
      </c>
      <c r="D477">
        <v>1</v>
      </c>
    </row>
    <row r="478" spans="2:4" x14ac:dyDescent="0.25">
      <c r="B478" t="s">
        <v>2377</v>
      </c>
      <c r="C478" s="10">
        <v>34985</v>
      </c>
      <c r="D478">
        <v>1</v>
      </c>
    </row>
    <row r="479" spans="2:4" x14ac:dyDescent="0.25">
      <c r="B479" t="s">
        <v>2354</v>
      </c>
      <c r="C479" s="10">
        <v>32039</v>
      </c>
      <c r="D479">
        <v>1</v>
      </c>
    </row>
    <row r="480" spans="2:4" x14ac:dyDescent="0.25">
      <c r="B480" t="s">
        <v>2355</v>
      </c>
      <c r="C480" s="10">
        <v>31857</v>
      </c>
      <c r="D480">
        <v>1</v>
      </c>
    </row>
    <row r="481" spans="2:4" x14ac:dyDescent="0.25">
      <c r="B481" t="s">
        <v>2356</v>
      </c>
      <c r="C481" s="10">
        <v>31696</v>
      </c>
      <c r="D481">
        <v>1</v>
      </c>
    </row>
    <row r="482" spans="2:4" x14ac:dyDescent="0.25">
      <c r="B482" t="s">
        <v>2361</v>
      </c>
      <c r="C482" s="10">
        <v>32054</v>
      </c>
      <c r="D482">
        <v>1</v>
      </c>
    </row>
    <row r="483" spans="2:4" x14ac:dyDescent="0.25">
      <c r="B483" t="s">
        <v>2370</v>
      </c>
      <c r="C483" s="10">
        <v>31950</v>
      </c>
      <c r="D483">
        <v>1</v>
      </c>
    </row>
    <row r="484" spans="2:4" x14ac:dyDescent="0.25">
      <c r="B484" t="s">
        <v>2378</v>
      </c>
      <c r="C484" s="10">
        <v>32142</v>
      </c>
      <c r="D484">
        <v>1</v>
      </c>
    </row>
    <row r="485" spans="2:4" x14ac:dyDescent="0.25">
      <c r="B485" t="s">
        <v>2363</v>
      </c>
      <c r="C485" s="10">
        <v>35955</v>
      </c>
      <c r="D485">
        <v>1</v>
      </c>
    </row>
    <row r="486" spans="2:4" x14ac:dyDescent="0.25">
      <c r="B486" t="s">
        <v>2360</v>
      </c>
      <c r="C486" s="10">
        <v>26488</v>
      </c>
      <c r="D486">
        <v>1</v>
      </c>
    </row>
    <row r="487" spans="2:4" x14ac:dyDescent="0.25">
      <c r="B487" t="s">
        <v>2376</v>
      </c>
      <c r="C487" s="10">
        <v>25417</v>
      </c>
      <c r="D487">
        <v>1</v>
      </c>
    </row>
    <row r="488" spans="2:4" x14ac:dyDescent="0.25">
      <c r="B488" t="s">
        <v>2365</v>
      </c>
      <c r="C488" s="10">
        <v>23712</v>
      </c>
      <c r="D488">
        <v>1</v>
      </c>
    </row>
    <row r="489" spans="2:4" x14ac:dyDescent="0.25">
      <c r="B489" t="s">
        <v>2592</v>
      </c>
      <c r="C489" s="10">
        <v>38526</v>
      </c>
      <c r="D489">
        <v>1</v>
      </c>
    </row>
    <row r="490" spans="2:4" x14ac:dyDescent="0.25">
      <c r="B490" t="s">
        <v>2593</v>
      </c>
      <c r="C490" s="10">
        <v>34252</v>
      </c>
      <c r="D490">
        <v>1</v>
      </c>
    </row>
    <row r="491" spans="2:4" x14ac:dyDescent="0.25">
      <c r="B491" t="s">
        <v>2594</v>
      </c>
      <c r="C491" s="10">
        <v>34848</v>
      </c>
      <c r="D491">
        <v>1</v>
      </c>
    </row>
    <row r="492" spans="2:4" x14ac:dyDescent="0.25">
      <c r="B492" t="s">
        <v>2595</v>
      </c>
      <c r="C492" s="10">
        <v>31380</v>
      </c>
      <c r="D492">
        <v>1</v>
      </c>
    </row>
    <row r="493" spans="2:4" x14ac:dyDescent="0.25">
      <c r="B493" t="s">
        <v>2596</v>
      </c>
      <c r="C493" s="10">
        <v>31763</v>
      </c>
      <c r="D493">
        <v>1</v>
      </c>
    </row>
    <row r="494" spans="2:4" x14ac:dyDescent="0.25">
      <c r="B494" t="s">
        <v>2598</v>
      </c>
      <c r="C494" s="10">
        <v>29972</v>
      </c>
      <c r="D494">
        <v>1</v>
      </c>
    </row>
    <row r="495" spans="2:4" x14ac:dyDescent="0.25">
      <c r="B495" t="s">
        <v>2600</v>
      </c>
      <c r="C495" s="10">
        <v>29673</v>
      </c>
      <c r="D495">
        <v>1</v>
      </c>
    </row>
    <row r="496" spans="2:4" x14ac:dyDescent="0.25">
      <c r="B496" t="s">
        <v>3008</v>
      </c>
      <c r="C496" s="10">
        <v>30223</v>
      </c>
      <c r="D496">
        <v>1</v>
      </c>
    </row>
    <row r="497" spans="1:4" x14ac:dyDescent="0.25">
      <c r="B497" t="s">
        <v>3009</v>
      </c>
      <c r="C497" s="10">
        <v>36407</v>
      </c>
      <c r="D497">
        <v>1</v>
      </c>
    </row>
    <row r="498" spans="1:4" x14ac:dyDescent="0.25">
      <c r="B498" t="s">
        <v>3010</v>
      </c>
      <c r="C498" s="10">
        <v>32773</v>
      </c>
      <c r="D498">
        <v>1</v>
      </c>
    </row>
    <row r="499" spans="1:4" x14ac:dyDescent="0.25">
      <c r="B499" t="s">
        <v>3011</v>
      </c>
      <c r="C499" s="10">
        <v>27349</v>
      </c>
      <c r="D499">
        <v>1</v>
      </c>
    </row>
    <row r="500" spans="1:4" x14ac:dyDescent="0.25">
      <c r="B500" t="s">
        <v>3012</v>
      </c>
      <c r="C500" s="10">
        <v>37377</v>
      </c>
      <c r="D500">
        <v>1</v>
      </c>
    </row>
    <row r="501" spans="1:4" x14ac:dyDescent="0.25">
      <c r="B501" t="s">
        <v>3013</v>
      </c>
      <c r="C501" s="10">
        <v>36901</v>
      </c>
      <c r="D501">
        <v>1</v>
      </c>
    </row>
    <row r="502" spans="1:4" x14ac:dyDescent="0.25">
      <c r="B502" t="s">
        <v>3014</v>
      </c>
      <c r="C502" s="10">
        <v>35424</v>
      </c>
      <c r="D502">
        <v>1</v>
      </c>
    </row>
    <row r="503" spans="1:4" x14ac:dyDescent="0.25">
      <c r="B503" t="s">
        <v>3015</v>
      </c>
      <c r="C503" s="10">
        <v>32710</v>
      </c>
      <c r="D503">
        <v>1</v>
      </c>
    </row>
    <row r="504" spans="1:4" x14ac:dyDescent="0.25">
      <c r="B504" t="s">
        <v>3016</v>
      </c>
      <c r="C504" s="10">
        <v>34536</v>
      </c>
      <c r="D504">
        <v>1</v>
      </c>
    </row>
    <row r="505" spans="1:4" x14ac:dyDescent="0.25">
      <c r="B505" t="s">
        <v>3017</v>
      </c>
      <c r="C505" s="10">
        <v>35795</v>
      </c>
      <c r="D505">
        <v>1</v>
      </c>
    </row>
    <row r="506" spans="1:4" x14ac:dyDescent="0.25">
      <c r="B506" t="s">
        <v>3018</v>
      </c>
      <c r="C506" s="10">
        <v>35840</v>
      </c>
      <c r="D506">
        <v>1</v>
      </c>
    </row>
    <row r="507" spans="1:4" x14ac:dyDescent="0.25">
      <c r="A507" t="s">
        <v>791</v>
      </c>
      <c r="B507" t="s">
        <v>792</v>
      </c>
      <c r="C507" s="10">
        <v>29079</v>
      </c>
      <c r="D507">
        <v>1</v>
      </c>
    </row>
    <row r="508" spans="1:4" x14ac:dyDescent="0.25">
      <c r="B508" t="s">
        <v>793</v>
      </c>
      <c r="C508" s="10">
        <v>33285</v>
      </c>
      <c r="D508">
        <v>1</v>
      </c>
    </row>
    <row r="509" spans="1:4" x14ac:dyDescent="0.25">
      <c r="B509" t="s">
        <v>3134</v>
      </c>
      <c r="C509" s="10">
        <v>35148</v>
      </c>
      <c r="D509">
        <v>1</v>
      </c>
    </row>
    <row r="510" spans="1:4" x14ac:dyDescent="0.25">
      <c r="B510" t="s">
        <v>3137</v>
      </c>
      <c r="C510" s="10">
        <v>35634</v>
      </c>
      <c r="D510">
        <v>1</v>
      </c>
    </row>
    <row r="511" spans="1:4" x14ac:dyDescent="0.25">
      <c r="B511" t="s">
        <v>794</v>
      </c>
      <c r="C511" s="10">
        <v>35745</v>
      </c>
      <c r="D511">
        <v>1</v>
      </c>
    </row>
    <row r="512" spans="1:4" x14ac:dyDescent="0.25">
      <c r="B512" t="s">
        <v>795</v>
      </c>
      <c r="C512" s="10">
        <v>34328</v>
      </c>
      <c r="D512">
        <v>1</v>
      </c>
    </row>
    <row r="513" spans="1:4" x14ac:dyDescent="0.25">
      <c r="B513" t="s">
        <v>796</v>
      </c>
      <c r="C513" s="10">
        <v>30340</v>
      </c>
      <c r="D513">
        <v>1</v>
      </c>
    </row>
    <row r="514" spans="1:4" x14ac:dyDescent="0.25">
      <c r="B514" t="s">
        <v>797</v>
      </c>
      <c r="C514" s="10">
        <v>33061</v>
      </c>
      <c r="D514">
        <v>1</v>
      </c>
    </row>
    <row r="515" spans="1:4" x14ac:dyDescent="0.25">
      <c r="B515" t="s">
        <v>1031</v>
      </c>
      <c r="C515" s="10">
        <v>36397</v>
      </c>
      <c r="D515">
        <v>1</v>
      </c>
    </row>
    <row r="516" spans="1:4" x14ac:dyDescent="0.25">
      <c r="B516" t="s">
        <v>2776</v>
      </c>
      <c r="C516" s="10">
        <v>28857</v>
      </c>
      <c r="D516">
        <v>1</v>
      </c>
    </row>
    <row r="517" spans="1:4" x14ac:dyDescent="0.25">
      <c r="B517" t="s">
        <v>2777</v>
      </c>
      <c r="C517" s="10">
        <v>33344</v>
      </c>
      <c r="D517">
        <v>1</v>
      </c>
    </row>
    <row r="518" spans="1:4" x14ac:dyDescent="0.25">
      <c r="B518" t="s">
        <v>3129</v>
      </c>
      <c r="C518" s="10">
        <v>35052</v>
      </c>
      <c r="D518">
        <v>1</v>
      </c>
    </row>
    <row r="519" spans="1:4" x14ac:dyDescent="0.25">
      <c r="B519" t="s">
        <v>3130</v>
      </c>
      <c r="C519" s="10">
        <v>36246</v>
      </c>
      <c r="D519">
        <v>1</v>
      </c>
    </row>
    <row r="520" spans="1:4" x14ac:dyDescent="0.25">
      <c r="B520" t="s">
        <v>3132</v>
      </c>
      <c r="C520" s="10">
        <v>33388</v>
      </c>
      <c r="D520">
        <v>1</v>
      </c>
    </row>
    <row r="521" spans="1:4" x14ac:dyDescent="0.25">
      <c r="B521" t="s">
        <v>3133</v>
      </c>
      <c r="C521" s="10">
        <v>35562</v>
      </c>
      <c r="D521">
        <v>1</v>
      </c>
    </row>
    <row r="522" spans="1:4" x14ac:dyDescent="0.25">
      <c r="B522" t="s">
        <v>3135</v>
      </c>
      <c r="C522" s="10">
        <v>28552</v>
      </c>
      <c r="D522">
        <v>1</v>
      </c>
    </row>
    <row r="523" spans="1:4" x14ac:dyDescent="0.25">
      <c r="B523" t="s">
        <v>3136</v>
      </c>
      <c r="C523" s="10">
        <v>27238</v>
      </c>
      <c r="D523">
        <v>1</v>
      </c>
    </row>
    <row r="524" spans="1:4" x14ac:dyDescent="0.25">
      <c r="B524" t="s">
        <v>3138</v>
      </c>
      <c r="C524" s="10">
        <v>36754</v>
      </c>
      <c r="D524">
        <v>1</v>
      </c>
    </row>
    <row r="525" spans="1:4" x14ac:dyDescent="0.25">
      <c r="B525" t="s">
        <v>3139</v>
      </c>
      <c r="C525" s="10">
        <v>35226</v>
      </c>
      <c r="D525">
        <v>1</v>
      </c>
    </row>
    <row r="526" spans="1:4" x14ac:dyDescent="0.25">
      <c r="B526" t="s">
        <v>3140</v>
      </c>
      <c r="C526" s="10">
        <v>35527</v>
      </c>
      <c r="D526">
        <v>1</v>
      </c>
    </row>
    <row r="527" spans="1:4" x14ac:dyDescent="0.25">
      <c r="B527" t="s">
        <v>3141</v>
      </c>
      <c r="C527" s="10">
        <v>35077</v>
      </c>
      <c r="D527">
        <v>1</v>
      </c>
    </row>
    <row r="528" spans="1:4" x14ac:dyDescent="0.25">
      <c r="A528" t="s">
        <v>59</v>
      </c>
      <c r="D528">
        <v>23</v>
      </c>
    </row>
    <row r="529" spans="1:4" x14ac:dyDescent="0.25">
      <c r="A529" t="s">
        <v>2591</v>
      </c>
      <c r="B529" t="s">
        <v>2408</v>
      </c>
      <c r="C529" s="10">
        <v>28005</v>
      </c>
      <c r="D529">
        <v>1</v>
      </c>
    </row>
    <row r="530" spans="1:4" x14ac:dyDescent="0.25">
      <c r="B530" t="s">
        <v>2403</v>
      </c>
      <c r="C530" s="10">
        <v>30469</v>
      </c>
      <c r="D530">
        <v>1</v>
      </c>
    </row>
    <row r="531" spans="1:4" x14ac:dyDescent="0.25">
      <c r="B531" t="s">
        <v>2404</v>
      </c>
      <c r="C531" s="10">
        <v>24543</v>
      </c>
      <c r="D531">
        <v>1</v>
      </c>
    </row>
    <row r="532" spans="1:4" x14ac:dyDescent="0.25">
      <c r="B532" t="s">
        <v>2409</v>
      </c>
      <c r="C532" s="10">
        <v>33291</v>
      </c>
      <c r="D532">
        <v>1</v>
      </c>
    </row>
    <row r="533" spans="1:4" x14ac:dyDescent="0.25">
      <c r="B533" t="s">
        <v>2407</v>
      </c>
      <c r="C533" s="10">
        <v>28806</v>
      </c>
      <c r="D533">
        <v>1</v>
      </c>
    </row>
    <row r="534" spans="1:4" x14ac:dyDescent="0.25">
      <c r="B534" t="s">
        <v>2405</v>
      </c>
      <c r="C534" s="10">
        <v>36174</v>
      </c>
      <c r="D534">
        <v>1</v>
      </c>
    </row>
    <row r="535" spans="1:4" x14ac:dyDescent="0.25">
      <c r="B535" t="s">
        <v>2406</v>
      </c>
      <c r="C535" s="10">
        <v>33280</v>
      </c>
      <c r="D535">
        <v>1</v>
      </c>
    </row>
    <row r="536" spans="1:4" x14ac:dyDescent="0.25">
      <c r="B536" t="s">
        <v>2410</v>
      </c>
      <c r="C536" s="10">
        <v>30239</v>
      </c>
      <c r="D536">
        <v>1</v>
      </c>
    </row>
    <row r="537" spans="1:4" x14ac:dyDescent="0.25">
      <c r="A537" t="s">
        <v>57</v>
      </c>
      <c r="D537">
        <v>41</v>
      </c>
    </row>
    <row r="538" spans="1:4" x14ac:dyDescent="0.25">
      <c r="A538" t="s">
        <v>61</v>
      </c>
      <c r="D538">
        <v>173</v>
      </c>
    </row>
    <row r="539" spans="1:4" x14ac:dyDescent="0.25">
      <c r="A539" t="s">
        <v>49</v>
      </c>
      <c r="D539">
        <v>41</v>
      </c>
    </row>
    <row r="540" spans="1:4" x14ac:dyDescent="0.25">
      <c r="A540" t="s">
        <v>213</v>
      </c>
      <c r="B540" t="s">
        <v>2785</v>
      </c>
      <c r="C540" s="10">
        <v>33081</v>
      </c>
      <c r="D540">
        <v>1</v>
      </c>
    </row>
    <row r="541" spans="1:4" x14ac:dyDescent="0.25">
      <c r="B541" t="s">
        <v>2786</v>
      </c>
      <c r="C541" s="10">
        <v>26932</v>
      </c>
      <c r="D541">
        <v>1</v>
      </c>
    </row>
    <row r="542" spans="1:4" x14ac:dyDescent="0.25">
      <c r="B542" t="s">
        <v>2787</v>
      </c>
      <c r="C542" s="10">
        <v>31032</v>
      </c>
      <c r="D542">
        <v>1</v>
      </c>
    </row>
    <row r="543" spans="1:4" x14ac:dyDescent="0.25">
      <c r="B543" t="s">
        <v>2788</v>
      </c>
      <c r="C543" s="10">
        <v>28978</v>
      </c>
      <c r="D543">
        <v>1</v>
      </c>
    </row>
    <row r="544" spans="1:4" x14ac:dyDescent="0.25">
      <c r="B544" t="s">
        <v>2789</v>
      </c>
      <c r="C544" s="10">
        <v>24219</v>
      </c>
      <c r="D544">
        <v>1</v>
      </c>
    </row>
    <row r="545" spans="1:4" x14ac:dyDescent="0.25">
      <c r="B545" t="s">
        <v>2790</v>
      </c>
      <c r="C545" s="10">
        <v>33840</v>
      </c>
      <c r="D545">
        <v>1</v>
      </c>
    </row>
    <row r="546" spans="1:4" x14ac:dyDescent="0.25">
      <c r="B546" t="s">
        <v>2792</v>
      </c>
      <c r="C546" s="10">
        <v>34570</v>
      </c>
      <c r="D546">
        <v>1</v>
      </c>
    </row>
    <row r="547" spans="1:4" x14ac:dyDescent="0.25">
      <c r="B547" t="s">
        <v>2791</v>
      </c>
      <c r="C547" s="10">
        <v>34640</v>
      </c>
      <c r="D547">
        <v>1</v>
      </c>
    </row>
    <row r="548" spans="1:4" x14ac:dyDescent="0.25">
      <c r="B548" t="s">
        <v>2793</v>
      </c>
      <c r="C548" s="10">
        <v>36665</v>
      </c>
      <c r="D548">
        <v>1</v>
      </c>
    </row>
    <row r="549" spans="1:4" x14ac:dyDescent="0.25">
      <c r="A549" t="s">
        <v>47</v>
      </c>
      <c r="D549">
        <v>36</v>
      </c>
    </row>
    <row r="550" spans="1:4" x14ac:dyDescent="0.25">
      <c r="A550" t="s">
        <v>62</v>
      </c>
      <c r="B550" t="s">
        <v>1125</v>
      </c>
      <c r="C550" s="10">
        <v>37209</v>
      </c>
      <c r="D550">
        <v>1</v>
      </c>
    </row>
    <row r="551" spans="1:4" x14ac:dyDescent="0.25">
      <c r="B551" t="s">
        <v>1128</v>
      </c>
      <c r="C551" s="10">
        <v>35140</v>
      </c>
      <c r="D551">
        <v>1</v>
      </c>
    </row>
    <row r="552" spans="1:4" x14ac:dyDescent="0.25">
      <c r="B552" t="s">
        <v>1129</v>
      </c>
      <c r="C552" s="10">
        <v>29598</v>
      </c>
      <c r="D552">
        <v>1</v>
      </c>
    </row>
    <row r="553" spans="1:4" x14ac:dyDescent="0.25">
      <c r="B553" t="s">
        <v>1130</v>
      </c>
      <c r="C553" s="10">
        <v>37443</v>
      </c>
      <c r="D553">
        <v>1</v>
      </c>
    </row>
    <row r="554" spans="1:4" x14ac:dyDescent="0.25">
      <c r="B554" t="s">
        <v>1122</v>
      </c>
      <c r="C554" s="10">
        <v>34660</v>
      </c>
      <c r="D554">
        <v>1</v>
      </c>
    </row>
    <row r="555" spans="1:4" x14ac:dyDescent="0.25">
      <c r="B555" t="s">
        <v>1123</v>
      </c>
      <c r="C555" s="10">
        <v>37386</v>
      </c>
      <c r="D555">
        <v>1</v>
      </c>
    </row>
    <row r="556" spans="1:4" x14ac:dyDescent="0.25">
      <c r="B556" t="s">
        <v>1124</v>
      </c>
      <c r="C556" s="10">
        <v>29406</v>
      </c>
      <c r="D556">
        <v>1</v>
      </c>
    </row>
    <row r="557" spans="1:4" x14ac:dyDescent="0.25">
      <c r="B557" t="s">
        <v>1126</v>
      </c>
      <c r="C557" s="10">
        <v>36342</v>
      </c>
      <c r="D557">
        <v>1</v>
      </c>
    </row>
    <row r="558" spans="1:4" x14ac:dyDescent="0.25">
      <c r="B558" t="s">
        <v>1127</v>
      </c>
      <c r="C558" s="10">
        <v>35565</v>
      </c>
      <c r="D558">
        <v>1</v>
      </c>
    </row>
    <row r="559" spans="1:4" x14ac:dyDescent="0.25">
      <c r="B559" t="s">
        <v>1131</v>
      </c>
      <c r="C559" s="10">
        <v>28307</v>
      </c>
      <c r="D559">
        <v>1</v>
      </c>
    </row>
    <row r="560" spans="1:4" x14ac:dyDescent="0.25">
      <c r="B560" t="s">
        <v>1675</v>
      </c>
      <c r="C560" s="10">
        <v>35615</v>
      </c>
      <c r="D560">
        <v>1</v>
      </c>
    </row>
    <row r="561" spans="1:4" x14ac:dyDescent="0.25">
      <c r="B561" t="s">
        <v>1676</v>
      </c>
      <c r="C561" s="10">
        <v>35279</v>
      </c>
      <c r="D561">
        <v>1</v>
      </c>
    </row>
    <row r="562" spans="1:4" x14ac:dyDescent="0.25">
      <c r="B562" t="s">
        <v>1677</v>
      </c>
      <c r="C562" s="10">
        <v>36314</v>
      </c>
      <c r="D562">
        <v>1</v>
      </c>
    </row>
    <row r="563" spans="1:4" x14ac:dyDescent="0.25">
      <c r="B563" t="s">
        <v>1678</v>
      </c>
      <c r="C563" s="10">
        <v>35873</v>
      </c>
      <c r="D563">
        <v>1</v>
      </c>
    </row>
    <row r="564" spans="1:4" x14ac:dyDescent="0.25">
      <c r="B564" t="s">
        <v>1679</v>
      </c>
      <c r="C564" s="10">
        <v>37119</v>
      </c>
      <c r="D564">
        <v>1</v>
      </c>
    </row>
    <row r="565" spans="1:4" x14ac:dyDescent="0.25">
      <c r="B565" t="s">
        <v>2094</v>
      </c>
      <c r="C565" s="10">
        <v>35983</v>
      </c>
      <c r="D565">
        <v>1</v>
      </c>
    </row>
    <row r="566" spans="1:4" x14ac:dyDescent="0.25">
      <c r="B566" t="s">
        <v>2418</v>
      </c>
      <c r="C566" s="10">
        <v>36442</v>
      </c>
      <c r="D566">
        <v>1</v>
      </c>
    </row>
    <row r="567" spans="1:4" x14ac:dyDescent="0.25">
      <c r="A567" t="s">
        <v>43</v>
      </c>
      <c r="D567">
        <v>10</v>
      </c>
    </row>
    <row r="568" spans="1:4" x14ac:dyDescent="0.25">
      <c r="A568" t="s">
        <v>41</v>
      </c>
      <c r="D568">
        <v>42</v>
      </c>
    </row>
    <row r="569" spans="1:4" x14ac:dyDescent="0.25">
      <c r="A569" t="s">
        <v>639</v>
      </c>
      <c r="D569">
        <v>10</v>
      </c>
    </row>
    <row r="570" spans="1:4" x14ac:dyDescent="0.25">
      <c r="A570" t="s">
        <v>60</v>
      </c>
      <c r="D570">
        <v>17</v>
      </c>
    </row>
    <row r="571" spans="1:4" x14ac:dyDescent="0.25">
      <c r="A571" t="s">
        <v>64</v>
      </c>
      <c r="D571">
        <v>11</v>
      </c>
    </row>
    <row r="572" spans="1:4" x14ac:dyDescent="0.25">
      <c r="A572" t="s">
        <v>452</v>
      </c>
      <c r="B572" t="s">
        <v>2105</v>
      </c>
      <c r="C572" s="10">
        <v>30294</v>
      </c>
      <c r="D572">
        <v>1</v>
      </c>
    </row>
    <row r="573" spans="1:4" x14ac:dyDescent="0.25">
      <c r="B573" t="s">
        <v>453</v>
      </c>
      <c r="C573" s="10">
        <v>33305</v>
      </c>
      <c r="D573">
        <v>1</v>
      </c>
    </row>
    <row r="574" spans="1:4" x14ac:dyDescent="0.25">
      <c r="B574" t="s">
        <v>454</v>
      </c>
      <c r="C574" s="10">
        <v>34266</v>
      </c>
      <c r="D574">
        <v>1</v>
      </c>
    </row>
    <row r="575" spans="1:4" x14ac:dyDescent="0.25">
      <c r="B575" t="s">
        <v>455</v>
      </c>
      <c r="C575" s="10">
        <v>34521</v>
      </c>
      <c r="D575">
        <v>1</v>
      </c>
    </row>
    <row r="576" spans="1:4" x14ac:dyDescent="0.25">
      <c r="B576" t="s">
        <v>694</v>
      </c>
      <c r="C576" s="10">
        <v>36367</v>
      </c>
      <c r="D576">
        <v>1</v>
      </c>
    </row>
    <row r="577" spans="2:4" x14ac:dyDescent="0.25">
      <c r="B577" t="s">
        <v>462</v>
      </c>
      <c r="C577" s="10">
        <v>33794</v>
      </c>
      <c r="D577">
        <v>1</v>
      </c>
    </row>
    <row r="578" spans="2:4" x14ac:dyDescent="0.25">
      <c r="B578" t="s">
        <v>463</v>
      </c>
      <c r="C578" s="10">
        <v>32369</v>
      </c>
      <c r="D578">
        <v>1</v>
      </c>
    </row>
    <row r="579" spans="2:4" x14ac:dyDescent="0.25">
      <c r="B579" t="s">
        <v>464</v>
      </c>
      <c r="C579" s="10">
        <v>24830</v>
      </c>
      <c r="D579">
        <v>1</v>
      </c>
    </row>
    <row r="580" spans="2:4" x14ac:dyDescent="0.25">
      <c r="B580" t="s">
        <v>466</v>
      </c>
      <c r="C580" s="10">
        <v>28515</v>
      </c>
      <c r="D580">
        <v>1</v>
      </c>
    </row>
    <row r="581" spans="2:4" x14ac:dyDescent="0.25">
      <c r="B581" t="s">
        <v>476</v>
      </c>
      <c r="C581" s="10">
        <v>32906</v>
      </c>
      <c r="D581">
        <v>1</v>
      </c>
    </row>
    <row r="582" spans="2:4" x14ac:dyDescent="0.25">
      <c r="B582" t="s">
        <v>477</v>
      </c>
      <c r="C582" s="10">
        <v>36525</v>
      </c>
      <c r="D582">
        <v>1</v>
      </c>
    </row>
    <row r="583" spans="2:4" x14ac:dyDescent="0.25">
      <c r="B583" t="s">
        <v>478</v>
      </c>
      <c r="C583" s="10">
        <v>35209</v>
      </c>
      <c r="D583">
        <v>1</v>
      </c>
    </row>
    <row r="584" spans="2:4" x14ac:dyDescent="0.25">
      <c r="B584" t="s">
        <v>479</v>
      </c>
      <c r="C584" s="10">
        <v>31082</v>
      </c>
      <c r="D584">
        <v>1</v>
      </c>
    </row>
    <row r="585" spans="2:4" x14ac:dyDescent="0.25">
      <c r="B585" t="s">
        <v>480</v>
      </c>
      <c r="C585" s="10">
        <v>30244</v>
      </c>
      <c r="D585">
        <v>1</v>
      </c>
    </row>
    <row r="586" spans="2:4" x14ac:dyDescent="0.25">
      <c r="B586" t="s">
        <v>481</v>
      </c>
      <c r="C586" s="10">
        <v>31123</v>
      </c>
      <c r="D586">
        <v>1</v>
      </c>
    </row>
    <row r="587" spans="2:4" x14ac:dyDescent="0.25">
      <c r="B587" t="s">
        <v>482</v>
      </c>
      <c r="C587" s="10">
        <v>29858</v>
      </c>
      <c r="D587">
        <v>1</v>
      </c>
    </row>
    <row r="588" spans="2:4" x14ac:dyDescent="0.25">
      <c r="B588" t="s">
        <v>483</v>
      </c>
      <c r="C588" s="10">
        <v>26827</v>
      </c>
      <c r="D588">
        <v>1</v>
      </c>
    </row>
    <row r="589" spans="2:4" x14ac:dyDescent="0.25">
      <c r="B589" t="s">
        <v>484</v>
      </c>
      <c r="C589" s="10">
        <v>34250</v>
      </c>
      <c r="D589">
        <v>1</v>
      </c>
    </row>
    <row r="590" spans="2:4" x14ac:dyDescent="0.25">
      <c r="B590" t="s">
        <v>485</v>
      </c>
      <c r="C590" s="10">
        <v>34842</v>
      </c>
      <c r="D590">
        <v>1</v>
      </c>
    </row>
    <row r="591" spans="2:4" x14ac:dyDescent="0.25">
      <c r="B591" t="s">
        <v>486</v>
      </c>
      <c r="C591" s="10">
        <v>29493</v>
      </c>
      <c r="D591">
        <v>1</v>
      </c>
    </row>
    <row r="592" spans="2:4" x14ac:dyDescent="0.25">
      <c r="B592" t="s">
        <v>488</v>
      </c>
      <c r="C592" s="10">
        <v>34999</v>
      </c>
      <c r="D592">
        <v>1</v>
      </c>
    </row>
    <row r="593" spans="2:4" x14ac:dyDescent="0.25">
      <c r="B593" t="s">
        <v>489</v>
      </c>
      <c r="C593" s="10">
        <v>28102</v>
      </c>
      <c r="D593">
        <v>1</v>
      </c>
    </row>
    <row r="594" spans="2:4" x14ac:dyDescent="0.25">
      <c r="B594" t="s">
        <v>490</v>
      </c>
      <c r="C594" s="10">
        <v>33505</v>
      </c>
      <c r="D594">
        <v>1</v>
      </c>
    </row>
    <row r="595" spans="2:4" x14ac:dyDescent="0.25">
      <c r="B595" t="s">
        <v>492</v>
      </c>
      <c r="C595" s="10">
        <v>30904</v>
      </c>
      <c r="D595">
        <v>1</v>
      </c>
    </row>
    <row r="596" spans="2:4" x14ac:dyDescent="0.25">
      <c r="B596" t="s">
        <v>493</v>
      </c>
      <c r="C596" s="10">
        <v>32124</v>
      </c>
      <c r="D596">
        <v>1</v>
      </c>
    </row>
    <row r="597" spans="2:4" x14ac:dyDescent="0.25">
      <c r="B597" t="s">
        <v>494</v>
      </c>
      <c r="C597" s="10">
        <v>33173</v>
      </c>
      <c r="D597">
        <v>1</v>
      </c>
    </row>
    <row r="598" spans="2:4" x14ac:dyDescent="0.25">
      <c r="B598" t="s">
        <v>495</v>
      </c>
      <c r="C598" s="10">
        <v>31595</v>
      </c>
      <c r="D598">
        <v>1</v>
      </c>
    </row>
    <row r="599" spans="2:4" x14ac:dyDescent="0.25">
      <c r="B599" t="s">
        <v>496</v>
      </c>
      <c r="C599" s="10">
        <v>34132</v>
      </c>
      <c r="D599">
        <v>1</v>
      </c>
    </row>
    <row r="600" spans="2:4" x14ac:dyDescent="0.25">
      <c r="B600" t="s">
        <v>497</v>
      </c>
      <c r="C600" s="10">
        <v>36167</v>
      </c>
      <c r="D600">
        <v>1</v>
      </c>
    </row>
    <row r="601" spans="2:4" x14ac:dyDescent="0.25">
      <c r="B601" t="s">
        <v>498</v>
      </c>
      <c r="C601" s="10">
        <v>37453</v>
      </c>
      <c r="D601">
        <v>1</v>
      </c>
    </row>
    <row r="602" spans="2:4" x14ac:dyDescent="0.25">
      <c r="B602" t="s">
        <v>640</v>
      </c>
      <c r="C602" s="10">
        <v>33591</v>
      </c>
      <c r="D602">
        <v>1</v>
      </c>
    </row>
    <row r="603" spans="2:4" x14ac:dyDescent="0.25">
      <c r="B603" t="s">
        <v>641</v>
      </c>
      <c r="C603" s="10">
        <v>34384</v>
      </c>
      <c r="D603">
        <v>1</v>
      </c>
    </row>
    <row r="604" spans="2:4" x14ac:dyDescent="0.25">
      <c r="B604" t="s">
        <v>643</v>
      </c>
      <c r="C604" s="10">
        <v>25667</v>
      </c>
      <c r="D604">
        <v>1</v>
      </c>
    </row>
    <row r="605" spans="2:4" x14ac:dyDescent="0.25">
      <c r="B605" t="s">
        <v>1042</v>
      </c>
      <c r="C605" s="10">
        <v>27746</v>
      </c>
      <c r="D605">
        <v>1</v>
      </c>
    </row>
    <row r="606" spans="2:4" x14ac:dyDescent="0.25">
      <c r="B606" t="s">
        <v>1043</v>
      </c>
      <c r="C606" s="10">
        <v>28767</v>
      </c>
      <c r="D606">
        <v>1</v>
      </c>
    </row>
    <row r="607" spans="2:4" x14ac:dyDescent="0.25">
      <c r="B607" t="s">
        <v>1045</v>
      </c>
      <c r="C607" s="10">
        <v>28109</v>
      </c>
      <c r="D607">
        <v>1</v>
      </c>
    </row>
    <row r="608" spans="2:4" x14ac:dyDescent="0.25">
      <c r="B608" t="s">
        <v>1046</v>
      </c>
      <c r="C608" s="10">
        <v>32378</v>
      </c>
      <c r="D608">
        <v>1</v>
      </c>
    </row>
    <row r="609" spans="2:4" x14ac:dyDescent="0.25">
      <c r="B609" t="s">
        <v>1047</v>
      </c>
      <c r="C609" s="10">
        <v>35497</v>
      </c>
      <c r="D609">
        <v>1</v>
      </c>
    </row>
    <row r="610" spans="2:4" x14ac:dyDescent="0.25">
      <c r="B610" t="s">
        <v>1048</v>
      </c>
      <c r="C610" s="10">
        <v>29467</v>
      </c>
      <c r="D610">
        <v>1</v>
      </c>
    </row>
    <row r="611" spans="2:4" x14ac:dyDescent="0.25">
      <c r="B611" t="s">
        <v>1049</v>
      </c>
      <c r="C611" s="10">
        <v>30421</v>
      </c>
      <c r="D611">
        <v>1</v>
      </c>
    </row>
    <row r="612" spans="2:4" x14ac:dyDescent="0.25">
      <c r="B612" t="s">
        <v>1050</v>
      </c>
      <c r="C612" s="10">
        <v>38059</v>
      </c>
      <c r="D612">
        <v>1</v>
      </c>
    </row>
    <row r="613" spans="2:4" x14ac:dyDescent="0.25">
      <c r="B613" t="s">
        <v>1051</v>
      </c>
      <c r="C613" s="10">
        <v>34167</v>
      </c>
      <c r="D613">
        <v>1</v>
      </c>
    </row>
    <row r="614" spans="2:4" x14ac:dyDescent="0.25">
      <c r="B614" t="s">
        <v>1053</v>
      </c>
      <c r="C614" s="10">
        <v>32255</v>
      </c>
      <c r="D614">
        <v>1</v>
      </c>
    </row>
    <row r="615" spans="2:4" x14ac:dyDescent="0.25">
      <c r="B615" t="s">
        <v>1054</v>
      </c>
      <c r="C615" s="10">
        <v>36562</v>
      </c>
      <c r="D615">
        <v>1</v>
      </c>
    </row>
    <row r="616" spans="2:4" x14ac:dyDescent="0.25">
      <c r="B616" t="s">
        <v>1056</v>
      </c>
      <c r="C616" s="10">
        <v>29150</v>
      </c>
      <c r="D616">
        <v>1</v>
      </c>
    </row>
    <row r="617" spans="2:4" x14ac:dyDescent="0.25">
      <c r="B617" t="s">
        <v>1058</v>
      </c>
      <c r="C617" s="10">
        <v>34498</v>
      </c>
      <c r="D617">
        <v>1</v>
      </c>
    </row>
    <row r="618" spans="2:4" x14ac:dyDescent="0.25">
      <c r="B618" t="s">
        <v>1060</v>
      </c>
      <c r="C618" s="10">
        <v>35094</v>
      </c>
      <c r="D618">
        <v>1</v>
      </c>
    </row>
    <row r="619" spans="2:4" x14ac:dyDescent="0.25">
      <c r="B619" t="s">
        <v>1684</v>
      </c>
      <c r="C619" s="10">
        <v>34213</v>
      </c>
      <c r="D619">
        <v>1</v>
      </c>
    </row>
    <row r="620" spans="2:4" x14ac:dyDescent="0.25">
      <c r="B620" t="s">
        <v>1685</v>
      </c>
      <c r="C620" s="10">
        <v>31131</v>
      </c>
      <c r="D620">
        <v>1</v>
      </c>
    </row>
    <row r="621" spans="2:4" x14ac:dyDescent="0.25">
      <c r="B621" t="s">
        <v>1687</v>
      </c>
      <c r="C621" s="10">
        <v>32635</v>
      </c>
      <c r="D621">
        <v>1</v>
      </c>
    </row>
    <row r="622" spans="2:4" x14ac:dyDescent="0.25">
      <c r="B622" t="s">
        <v>1688</v>
      </c>
      <c r="C622" s="10">
        <v>32467</v>
      </c>
      <c r="D622">
        <v>1</v>
      </c>
    </row>
    <row r="623" spans="2:4" x14ac:dyDescent="0.25">
      <c r="B623" t="s">
        <v>1689</v>
      </c>
      <c r="C623" s="10">
        <v>29717</v>
      </c>
      <c r="D623">
        <v>1</v>
      </c>
    </row>
    <row r="624" spans="2:4" x14ac:dyDescent="0.25">
      <c r="B624" t="s">
        <v>2101</v>
      </c>
      <c r="C624" s="10">
        <v>35196</v>
      </c>
      <c r="D624">
        <v>1</v>
      </c>
    </row>
    <row r="625" spans="2:4" x14ac:dyDescent="0.25">
      <c r="B625" t="s">
        <v>2113</v>
      </c>
      <c r="C625" s="10">
        <v>34305</v>
      </c>
      <c r="D625">
        <v>1</v>
      </c>
    </row>
    <row r="626" spans="2:4" x14ac:dyDescent="0.25">
      <c r="B626" t="s">
        <v>2116</v>
      </c>
      <c r="C626" s="10">
        <v>34277</v>
      </c>
      <c r="D626">
        <v>1</v>
      </c>
    </row>
    <row r="627" spans="2:4" x14ac:dyDescent="0.25">
      <c r="B627" t="s">
        <v>2106</v>
      </c>
      <c r="C627" s="10">
        <v>32671</v>
      </c>
      <c r="D627">
        <v>1</v>
      </c>
    </row>
    <row r="628" spans="2:4" x14ac:dyDescent="0.25">
      <c r="B628" t="s">
        <v>2108</v>
      </c>
      <c r="C628" s="10">
        <v>31876</v>
      </c>
      <c r="D628">
        <v>1</v>
      </c>
    </row>
    <row r="629" spans="2:4" x14ac:dyDescent="0.25">
      <c r="B629" t="s">
        <v>2110</v>
      </c>
      <c r="C629" s="10">
        <v>31829</v>
      </c>
      <c r="D629">
        <v>1</v>
      </c>
    </row>
    <row r="630" spans="2:4" x14ac:dyDescent="0.25">
      <c r="B630" t="s">
        <v>2112</v>
      </c>
      <c r="C630" s="10">
        <v>30705</v>
      </c>
      <c r="D630">
        <v>1</v>
      </c>
    </row>
    <row r="631" spans="2:4" x14ac:dyDescent="0.25">
      <c r="B631" t="s">
        <v>2114</v>
      </c>
      <c r="C631" s="10">
        <v>31969</v>
      </c>
      <c r="D631">
        <v>1</v>
      </c>
    </row>
    <row r="632" spans="2:4" x14ac:dyDescent="0.25">
      <c r="B632" t="s">
        <v>2102</v>
      </c>
      <c r="C632" s="10">
        <v>30265</v>
      </c>
      <c r="D632">
        <v>1</v>
      </c>
    </row>
    <row r="633" spans="2:4" x14ac:dyDescent="0.25">
      <c r="B633" t="s">
        <v>2111</v>
      </c>
      <c r="C633" s="10">
        <v>27384</v>
      </c>
      <c r="D633">
        <v>1</v>
      </c>
    </row>
    <row r="634" spans="2:4" x14ac:dyDescent="0.25">
      <c r="B634" t="s">
        <v>2115</v>
      </c>
      <c r="C634" s="10">
        <v>29028</v>
      </c>
      <c r="D634">
        <v>1</v>
      </c>
    </row>
    <row r="635" spans="2:4" x14ac:dyDescent="0.25">
      <c r="B635" t="s">
        <v>2103</v>
      </c>
      <c r="C635" s="10">
        <v>26553</v>
      </c>
      <c r="D635">
        <v>1</v>
      </c>
    </row>
    <row r="636" spans="2:4" x14ac:dyDescent="0.25">
      <c r="B636" t="s">
        <v>2107</v>
      </c>
      <c r="C636" s="10">
        <v>21488</v>
      </c>
      <c r="D636">
        <v>1</v>
      </c>
    </row>
    <row r="637" spans="2:4" x14ac:dyDescent="0.25">
      <c r="B637" t="s">
        <v>2423</v>
      </c>
      <c r="C637" s="10">
        <v>36832</v>
      </c>
      <c r="D637">
        <v>1</v>
      </c>
    </row>
    <row r="638" spans="2:4" x14ac:dyDescent="0.25">
      <c r="B638" t="s">
        <v>2424</v>
      </c>
      <c r="C638" s="10">
        <v>35310</v>
      </c>
      <c r="D638">
        <v>1</v>
      </c>
    </row>
    <row r="639" spans="2:4" x14ac:dyDescent="0.25">
      <c r="B639" t="s">
        <v>2425</v>
      </c>
      <c r="C639" s="10">
        <v>36268</v>
      </c>
      <c r="D639">
        <v>1</v>
      </c>
    </row>
    <row r="640" spans="2:4" x14ac:dyDescent="0.25">
      <c r="B640" t="s">
        <v>2427</v>
      </c>
      <c r="C640" s="10">
        <v>28874</v>
      </c>
      <c r="D640">
        <v>1</v>
      </c>
    </row>
    <row r="641" spans="1:4" x14ac:dyDescent="0.25">
      <c r="B641" t="s">
        <v>2428</v>
      </c>
      <c r="C641" s="10">
        <v>26553</v>
      </c>
      <c r="D641">
        <v>1</v>
      </c>
    </row>
    <row r="642" spans="1:4" x14ac:dyDescent="0.25">
      <c r="B642" t="s">
        <v>2797</v>
      </c>
      <c r="C642" s="10">
        <v>32789</v>
      </c>
      <c r="D642">
        <v>1</v>
      </c>
    </row>
    <row r="643" spans="1:4" x14ac:dyDescent="0.25">
      <c r="B643" t="s">
        <v>2798</v>
      </c>
      <c r="C643" s="10">
        <v>34045</v>
      </c>
      <c r="D643">
        <v>1</v>
      </c>
    </row>
    <row r="644" spans="1:4" x14ac:dyDescent="0.25">
      <c r="B644" t="s">
        <v>2800</v>
      </c>
      <c r="C644" s="10">
        <v>31089</v>
      </c>
      <c r="D644">
        <v>1</v>
      </c>
    </row>
    <row r="645" spans="1:4" x14ac:dyDescent="0.25">
      <c r="B645" t="s">
        <v>2801</v>
      </c>
      <c r="C645" s="10">
        <v>34448</v>
      </c>
      <c r="D645">
        <v>1</v>
      </c>
    </row>
    <row r="646" spans="1:4" x14ac:dyDescent="0.25">
      <c r="B646" t="s">
        <v>2802</v>
      </c>
      <c r="C646" s="10">
        <v>35057</v>
      </c>
      <c r="D646">
        <v>1</v>
      </c>
    </row>
    <row r="647" spans="1:4" x14ac:dyDescent="0.25">
      <c r="B647" t="s">
        <v>2804</v>
      </c>
      <c r="C647" s="10">
        <v>30636</v>
      </c>
      <c r="D647">
        <v>1</v>
      </c>
    </row>
    <row r="648" spans="1:4" x14ac:dyDescent="0.25">
      <c r="B648" t="s">
        <v>2806</v>
      </c>
      <c r="C648" s="10">
        <v>27518</v>
      </c>
      <c r="D648">
        <v>1</v>
      </c>
    </row>
    <row r="649" spans="1:4" x14ac:dyDescent="0.25">
      <c r="B649" t="s">
        <v>2807</v>
      </c>
      <c r="C649" s="10">
        <v>27023</v>
      </c>
      <c r="D649">
        <v>1</v>
      </c>
    </row>
    <row r="650" spans="1:4" x14ac:dyDescent="0.25">
      <c r="B650" t="s">
        <v>2808</v>
      </c>
      <c r="C650" s="10">
        <v>32408</v>
      </c>
      <c r="D650">
        <v>1</v>
      </c>
    </row>
    <row r="651" spans="1:4" x14ac:dyDescent="0.25">
      <c r="B651" t="s">
        <v>3178</v>
      </c>
      <c r="C651" s="10">
        <v>35236</v>
      </c>
      <c r="D651">
        <v>1</v>
      </c>
    </row>
    <row r="652" spans="1:4" x14ac:dyDescent="0.25">
      <c r="B652" t="s">
        <v>3179</v>
      </c>
      <c r="C652" s="10">
        <v>34838</v>
      </c>
      <c r="D652">
        <v>1</v>
      </c>
    </row>
    <row r="653" spans="1:4" x14ac:dyDescent="0.25">
      <c r="A653" t="s">
        <v>397</v>
      </c>
      <c r="B653" t="s">
        <v>400</v>
      </c>
      <c r="C653" s="10">
        <v>33919</v>
      </c>
      <c r="D653">
        <v>1</v>
      </c>
    </row>
    <row r="654" spans="1:4" x14ac:dyDescent="0.25">
      <c r="B654" t="s">
        <v>330</v>
      </c>
      <c r="C654" s="10">
        <v>35926</v>
      </c>
      <c r="D654">
        <v>1</v>
      </c>
    </row>
    <row r="655" spans="1:4" x14ac:dyDescent="0.25">
      <c r="B655" t="s">
        <v>404</v>
      </c>
      <c r="C655" s="10">
        <v>37583</v>
      </c>
      <c r="D655">
        <v>1</v>
      </c>
    </row>
    <row r="656" spans="1:4" x14ac:dyDescent="0.25">
      <c r="B656" t="s">
        <v>383</v>
      </c>
      <c r="C656" s="10">
        <v>33707</v>
      </c>
      <c r="D656">
        <v>1</v>
      </c>
    </row>
    <row r="657" spans="2:4" x14ac:dyDescent="0.25">
      <c r="B657" t="s">
        <v>398</v>
      </c>
      <c r="C657" s="10">
        <v>30638</v>
      </c>
      <c r="D657">
        <v>1</v>
      </c>
    </row>
    <row r="658" spans="2:4" x14ac:dyDescent="0.25">
      <c r="B658" t="s">
        <v>399</v>
      </c>
      <c r="C658" s="10">
        <v>31392</v>
      </c>
      <c r="D658">
        <v>1</v>
      </c>
    </row>
    <row r="659" spans="2:4" x14ac:dyDescent="0.25">
      <c r="B659" t="s">
        <v>401</v>
      </c>
      <c r="C659" s="10">
        <v>27307</v>
      </c>
      <c r="D659">
        <v>1</v>
      </c>
    </row>
    <row r="660" spans="2:4" x14ac:dyDescent="0.25">
      <c r="B660" t="s">
        <v>402</v>
      </c>
      <c r="C660" s="10">
        <v>29696</v>
      </c>
      <c r="D660">
        <v>1</v>
      </c>
    </row>
    <row r="661" spans="2:4" x14ac:dyDescent="0.25">
      <c r="B661" t="s">
        <v>403</v>
      </c>
      <c r="C661" s="10">
        <v>36222</v>
      </c>
      <c r="D661">
        <v>1</v>
      </c>
    </row>
    <row r="662" spans="2:4" x14ac:dyDescent="0.25">
      <c r="B662" t="s">
        <v>405</v>
      </c>
      <c r="C662" s="10">
        <v>34522</v>
      </c>
      <c r="D662">
        <v>1</v>
      </c>
    </row>
    <row r="663" spans="2:4" x14ac:dyDescent="0.25">
      <c r="B663" t="s">
        <v>406</v>
      </c>
      <c r="C663" s="10">
        <v>35182</v>
      </c>
      <c r="D663">
        <v>1</v>
      </c>
    </row>
    <row r="664" spans="2:4" x14ac:dyDescent="0.25">
      <c r="B664" t="s">
        <v>408</v>
      </c>
      <c r="C664" s="10">
        <v>34624</v>
      </c>
      <c r="D664">
        <v>1</v>
      </c>
    </row>
    <row r="665" spans="2:4" x14ac:dyDescent="0.25">
      <c r="B665" t="s">
        <v>410</v>
      </c>
      <c r="C665" s="10">
        <v>31121</v>
      </c>
      <c r="D665">
        <v>1</v>
      </c>
    </row>
    <row r="666" spans="2:4" x14ac:dyDescent="0.25">
      <c r="B666" t="s">
        <v>412</v>
      </c>
      <c r="C666" s="10">
        <v>28176</v>
      </c>
      <c r="D666">
        <v>1</v>
      </c>
    </row>
    <row r="667" spans="2:4" x14ac:dyDescent="0.25">
      <c r="B667" t="s">
        <v>413</v>
      </c>
      <c r="C667" s="10">
        <v>35236</v>
      </c>
      <c r="D667">
        <v>1</v>
      </c>
    </row>
    <row r="668" spans="2:4" x14ac:dyDescent="0.25">
      <c r="B668" t="s">
        <v>414</v>
      </c>
      <c r="C668" s="10">
        <v>33083</v>
      </c>
      <c r="D668">
        <v>1</v>
      </c>
    </row>
    <row r="669" spans="2:4" x14ac:dyDescent="0.25">
      <c r="B669" t="s">
        <v>415</v>
      </c>
      <c r="C669" s="10">
        <v>38671</v>
      </c>
      <c r="D669">
        <v>1</v>
      </c>
    </row>
    <row r="670" spans="2:4" x14ac:dyDescent="0.25">
      <c r="B670" t="s">
        <v>467</v>
      </c>
      <c r="C670" s="10">
        <v>34318</v>
      </c>
      <c r="D670">
        <v>1</v>
      </c>
    </row>
    <row r="671" spans="2:4" x14ac:dyDescent="0.25">
      <c r="B671" t="s">
        <v>468</v>
      </c>
      <c r="C671" s="10">
        <v>37607</v>
      </c>
      <c r="D671">
        <v>1</v>
      </c>
    </row>
    <row r="672" spans="2:4" x14ac:dyDescent="0.25">
      <c r="B672" t="s">
        <v>501</v>
      </c>
      <c r="C672" t="s">
        <v>3326</v>
      </c>
      <c r="D672">
        <v>1</v>
      </c>
    </row>
    <row r="673" spans="2:4" x14ac:dyDescent="0.25">
      <c r="B673" t="s">
        <v>502</v>
      </c>
      <c r="C673" t="s">
        <v>235</v>
      </c>
      <c r="D673">
        <v>1</v>
      </c>
    </row>
    <row r="674" spans="2:4" x14ac:dyDescent="0.25">
      <c r="B674" t="s">
        <v>1691</v>
      </c>
      <c r="C674" t="s">
        <v>235</v>
      </c>
      <c r="D674">
        <v>1</v>
      </c>
    </row>
    <row r="675" spans="2:4" x14ac:dyDescent="0.25">
      <c r="B675" t="s">
        <v>1693</v>
      </c>
      <c r="C675" t="s">
        <v>235</v>
      </c>
      <c r="D675">
        <v>1</v>
      </c>
    </row>
    <row r="676" spans="2:4" x14ac:dyDescent="0.25">
      <c r="B676" t="s">
        <v>2118</v>
      </c>
      <c r="C676" t="s">
        <v>235</v>
      </c>
      <c r="D676">
        <v>1</v>
      </c>
    </row>
    <row r="677" spans="2:4" x14ac:dyDescent="0.25">
      <c r="B677" t="s">
        <v>2442</v>
      </c>
      <c r="C677" t="s">
        <v>235</v>
      </c>
      <c r="D677">
        <v>1</v>
      </c>
    </row>
    <row r="678" spans="2:4" x14ac:dyDescent="0.25">
      <c r="B678" t="s">
        <v>2433</v>
      </c>
      <c r="C678" t="s">
        <v>235</v>
      </c>
      <c r="D678">
        <v>1</v>
      </c>
    </row>
    <row r="679" spans="2:4" x14ac:dyDescent="0.25">
      <c r="B679" t="s">
        <v>2439</v>
      </c>
      <c r="C679" t="s">
        <v>235</v>
      </c>
      <c r="D679">
        <v>1</v>
      </c>
    </row>
    <row r="680" spans="2:4" x14ac:dyDescent="0.25">
      <c r="B680" t="s">
        <v>2443</v>
      </c>
      <c r="C680" t="s">
        <v>235</v>
      </c>
      <c r="D680">
        <v>1</v>
      </c>
    </row>
    <row r="681" spans="2:4" x14ac:dyDescent="0.25">
      <c r="B681" t="s">
        <v>2446</v>
      </c>
      <c r="C681" t="s">
        <v>235</v>
      </c>
      <c r="D681">
        <v>1</v>
      </c>
    </row>
    <row r="682" spans="2:4" x14ac:dyDescent="0.25">
      <c r="B682" t="s">
        <v>2437</v>
      </c>
      <c r="C682" t="s">
        <v>235</v>
      </c>
      <c r="D682">
        <v>1</v>
      </c>
    </row>
    <row r="683" spans="2:4" x14ac:dyDescent="0.25">
      <c r="B683" t="s">
        <v>2440</v>
      </c>
      <c r="C683" t="s">
        <v>235</v>
      </c>
      <c r="D683">
        <v>1</v>
      </c>
    </row>
    <row r="684" spans="2:4" x14ac:dyDescent="0.25">
      <c r="B684" t="s">
        <v>2444</v>
      </c>
      <c r="C684" t="s">
        <v>235</v>
      </c>
      <c r="D684">
        <v>1</v>
      </c>
    </row>
    <row r="685" spans="2:4" x14ac:dyDescent="0.25">
      <c r="B685" t="s">
        <v>2445</v>
      </c>
      <c r="C685" t="s">
        <v>235</v>
      </c>
      <c r="D685">
        <v>1</v>
      </c>
    </row>
    <row r="686" spans="2:4" x14ac:dyDescent="0.25">
      <c r="B686" t="s">
        <v>2436</v>
      </c>
      <c r="C686" t="s">
        <v>235</v>
      </c>
      <c r="D686">
        <v>1</v>
      </c>
    </row>
    <row r="687" spans="2:4" x14ac:dyDescent="0.25">
      <c r="B687" t="s">
        <v>2447</v>
      </c>
      <c r="C687" t="s">
        <v>235</v>
      </c>
      <c r="D687">
        <v>1</v>
      </c>
    </row>
    <row r="688" spans="2:4" x14ac:dyDescent="0.25">
      <c r="B688" t="s">
        <v>2434</v>
      </c>
      <c r="C688" t="s">
        <v>235</v>
      </c>
      <c r="D688">
        <v>1</v>
      </c>
    </row>
    <row r="689" spans="1:4" x14ac:dyDescent="0.25">
      <c r="B689" t="s">
        <v>2438</v>
      </c>
      <c r="C689" t="s">
        <v>235</v>
      </c>
      <c r="D689">
        <v>1</v>
      </c>
    </row>
    <row r="690" spans="1:4" x14ac:dyDescent="0.25">
      <c r="B690" t="s">
        <v>3180</v>
      </c>
      <c r="C690" t="s">
        <v>235</v>
      </c>
      <c r="D690">
        <v>1</v>
      </c>
    </row>
    <row r="691" spans="1:4" x14ac:dyDescent="0.25">
      <c r="A691" t="s">
        <v>33</v>
      </c>
      <c r="D691">
        <v>21</v>
      </c>
    </row>
    <row r="692" spans="1:4" x14ac:dyDescent="0.25">
      <c r="A692" t="s">
        <v>2995</v>
      </c>
      <c r="B692" t="s">
        <v>3005</v>
      </c>
      <c r="C692" s="10">
        <v>33700</v>
      </c>
      <c r="D692">
        <v>1</v>
      </c>
    </row>
    <row r="693" spans="1:4" x14ac:dyDescent="0.25">
      <c r="B693" t="s">
        <v>2997</v>
      </c>
      <c r="C693" s="10">
        <v>35655</v>
      </c>
      <c r="D693">
        <v>1</v>
      </c>
    </row>
    <row r="694" spans="1:4" x14ac:dyDescent="0.25">
      <c r="B694" t="s">
        <v>3000</v>
      </c>
      <c r="C694" s="10">
        <v>36135</v>
      </c>
      <c r="D694">
        <v>1</v>
      </c>
    </row>
    <row r="695" spans="1:4" x14ac:dyDescent="0.25">
      <c r="B695" t="s">
        <v>2996</v>
      </c>
      <c r="C695" s="10">
        <v>32410</v>
      </c>
      <c r="D695">
        <v>1</v>
      </c>
    </row>
    <row r="696" spans="1:4" x14ac:dyDescent="0.25">
      <c r="B696" t="s">
        <v>2998</v>
      </c>
      <c r="C696" s="10">
        <v>32403</v>
      </c>
      <c r="D696">
        <v>1</v>
      </c>
    </row>
    <row r="697" spans="1:4" x14ac:dyDescent="0.25">
      <c r="B697" t="s">
        <v>3002</v>
      </c>
      <c r="C697" s="10">
        <v>32972</v>
      </c>
      <c r="D697">
        <v>1</v>
      </c>
    </row>
    <row r="698" spans="1:4" x14ac:dyDescent="0.25">
      <c r="B698" t="s">
        <v>3003</v>
      </c>
      <c r="C698" s="10">
        <v>30665</v>
      </c>
      <c r="D698">
        <v>1</v>
      </c>
    </row>
    <row r="699" spans="1:4" x14ac:dyDescent="0.25">
      <c r="B699" t="s">
        <v>3004</v>
      </c>
      <c r="C699" s="10">
        <v>33686</v>
      </c>
      <c r="D699">
        <v>1</v>
      </c>
    </row>
    <row r="700" spans="1:4" x14ac:dyDescent="0.25">
      <c r="B700" t="s">
        <v>2999</v>
      </c>
      <c r="C700" s="10">
        <v>29101</v>
      </c>
      <c r="D700">
        <v>1</v>
      </c>
    </row>
    <row r="701" spans="1:4" x14ac:dyDescent="0.25">
      <c r="B701" t="s">
        <v>3001</v>
      </c>
      <c r="C701" s="10">
        <v>25449</v>
      </c>
      <c r="D701">
        <v>1</v>
      </c>
    </row>
    <row r="702" spans="1:4" x14ac:dyDescent="0.25">
      <c r="B702" t="s">
        <v>3182</v>
      </c>
      <c r="C702" s="10">
        <v>21167</v>
      </c>
      <c r="D702">
        <v>1</v>
      </c>
    </row>
    <row r="703" spans="1:4" x14ac:dyDescent="0.25">
      <c r="A703" t="s">
        <v>1156</v>
      </c>
      <c r="B703" t="s">
        <v>2125</v>
      </c>
      <c r="C703" s="10">
        <v>35169</v>
      </c>
      <c r="D703">
        <v>1</v>
      </c>
    </row>
    <row r="704" spans="1:4" x14ac:dyDescent="0.25">
      <c r="B704" t="s">
        <v>967</v>
      </c>
      <c r="C704" s="10">
        <v>33785</v>
      </c>
      <c r="D704">
        <v>1</v>
      </c>
    </row>
    <row r="705" spans="2:4" x14ac:dyDescent="0.25">
      <c r="B705" t="s">
        <v>1192</v>
      </c>
      <c r="C705" s="10">
        <v>35059</v>
      </c>
      <c r="D705">
        <v>1</v>
      </c>
    </row>
    <row r="706" spans="2:4" x14ac:dyDescent="0.25">
      <c r="B706" t="s">
        <v>1193</v>
      </c>
      <c r="C706" s="10">
        <v>35112</v>
      </c>
      <c r="D706">
        <v>1</v>
      </c>
    </row>
    <row r="707" spans="2:4" x14ac:dyDescent="0.25">
      <c r="B707" t="s">
        <v>1194</v>
      </c>
      <c r="C707" s="10">
        <v>31588</v>
      </c>
      <c r="D707">
        <v>1</v>
      </c>
    </row>
    <row r="708" spans="2:4" x14ac:dyDescent="0.25">
      <c r="B708" t="s">
        <v>1198</v>
      </c>
      <c r="C708" s="10">
        <v>34312</v>
      </c>
      <c r="D708">
        <v>1</v>
      </c>
    </row>
    <row r="709" spans="2:4" x14ac:dyDescent="0.25">
      <c r="B709" t="s">
        <v>1161</v>
      </c>
      <c r="C709" s="10">
        <v>36788</v>
      </c>
      <c r="D709">
        <v>1</v>
      </c>
    </row>
    <row r="710" spans="2:4" x14ac:dyDescent="0.25">
      <c r="B710" t="s">
        <v>1197</v>
      </c>
      <c r="C710" s="10">
        <v>36827</v>
      </c>
      <c r="D710">
        <v>1</v>
      </c>
    </row>
    <row r="711" spans="2:4" x14ac:dyDescent="0.25">
      <c r="B711" t="s">
        <v>1176</v>
      </c>
      <c r="C711" s="10">
        <v>33423</v>
      </c>
      <c r="D711">
        <v>1</v>
      </c>
    </row>
    <row r="712" spans="2:4" x14ac:dyDescent="0.25">
      <c r="B712" t="s">
        <v>1160</v>
      </c>
      <c r="C712" s="10">
        <v>36777</v>
      </c>
      <c r="D712">
        <v>1</v>
      </c>
    </row>
    <row r="713" spans="2:4" x14ac:dyDescent="0.25">
      <c r="B713" t="s">
        <v>1174</v>
      </c>
      <c r="C713" s="10">
        <v>26673</v>
      </c>
      <c r="D713">
        <v>1</v>
      </c>
    </row>
    <row r="714" spans="2:4" x14ac:dyDescent="0.25">
      <c r="B714" t="s">
        <v>1159</v>
      </c>
      <c r="C714" s="10">
        <v>32325</v>
      </c>
      <c r="D714">
        <v>1</v>
      </c>
    </row>
    <row r="715" spans="2:4" x14ac:dyDescent="0.25">
      <c r="B715" t="s">
        <v>1164</v>
      </c>
      <c r="C715" s="10">
        <v>32390</v>
      </c>
      <c r="D715">
        <v>1</v>
      </c>
    </row>
    <row r="716" spans="2:4" x14ac:dyDescent="0.25">
      <c r="B716" t="s">
        <v>1697</v>
      </c>
      <c r="C716" s="10">
        <v>30271</v>
      </c>
      <c r="D716">
        <v>1</v>
      </c>
    </row>
    <row r="717" spans="2:4" x14ac:dyDescent="0.25">
      <c r="B717" t="s">
        <v>1173</v>
      </c>
      <c r="C717" s="10">
        <v>33720</v>
      </c>
      <c r="D717">
        <v>1</v>
      </c>
    </row>
    <row r="718" spans="2:4" x14ac:dyDescent="0.25">
      <c r="B718" t="s">
        <v>1180</v>
      </c>
      <c r="C718" s="10">
        <v>36121</v>
      </c>
      <c r="D718">
        <v>1</v>
      </c>
    </row>
    <row r="719" spans="2:4" x14ac:dyDescent="0.25">
      <c r="B719" t="s">
        <v>3199</v>
      </c>
      <c r="C719" s="10">
        <v>34356</v>
      </c>
      <c r="D719">
        <v>1</v>
      </c>
    </row>
    <row r="720" spans="2:4" x14ac:dyDescent="0.25">
      <c r="B720" t="s">
        <v>1190</v>
      </c>
      <c r="C720" s="10">
        <v>36278</v>
      </c>
      <c r="D720">
        <v>1</v>
      </c>
    </row>
    <row r="721" spans="2:4" x14ac:dyDescent="0.25">
      <c r="B721" t="s">
        <v>1191</v>
      </c>
      <c r="C721" s="10">
        <v>33728</v>
      </c>
      <c r="D721">
        <v>1</v>
      </c>
    </row>
    <row r="722" spans="2:4" x14ac:dyDescent="0.25">
      <c r="B722" t="s">
        <v>1169</v>
      </c>
      <c r="C722" s="10">
        <v>36334</v>
      </c>
      <c r="D722">
        <v>1</v>
      </c>
    </row>
    <row r="723" spans="2:4" x14ac:dyDescent="0.25">
      <c r="B723" t="s">
        <v>1171</v>
      </c>
      <c r="C723" s="10">
        <v>35040</v>
      </c>
      <c r="D723">
        <v>1</v>
      </c>
    </row>
    <row r="724" spans="2:4" x14ac:dyDescent="0.25">
      <c r="B724" t="s">
        <v>1189</v>
      </c>
      <c r="C724" s="10">
        <v>32891</v>
      </c>
      <c r="D724">
        <v>1</v>
      </c>
    </row>
    <row r="725" spans="2:4" x14ac:dyDescent="0.25">
      <c r="B725" t="s">
        <v>1200</v>
      </c>
      <c r="C725" s="10">
        <v>36710</v>
      </c>
      <c r="D725">
        <v>1</v>
      </c>
    </row>
    <row r="726" spans="2:4" x14ac:dyDescent="0.25">
      <c r="B726" t="s">
        <v>2136</v>
      </c>
      <c r="C726" s="10">
        <v>30771</v>
      </c>
      <c r="D726">
        <v>1</v>
      </c>
    </row>
    <row r="727" spans="2:4" x14ac:dyDescent="0.25">
      <c r="B727" t="s">
        <v>1157</v>
      </c>
      <c r="C727" s="10">
        <v>35752</v>
      </c>
      <c r="D727">
        <v>1</v>
      </c>
    </row>
    <row r="728" spans="2:4" x14ac:dyDescent="0.25">
      <c r="B728" t="s">
        <v>1167</v>
      </c>
      <c r="C728" s="10">
        <v>28861</v>
      </c>
      <c r="D728">
        <v>1</v>
      </c>
    </row>
    <row r="729" spans="2:4" x14ac:dyDescent="0.25">
      <c r="B729" t="s">
        <v>1168</v>
      </c>
      <c r="C729" s="10">
        <v>25474</v>
      </c>
      <c r="D729">
        <v>1</v>
      </c>
    </row>
    <row r="730" spans="2:4" x14ac:dyDescent="0.25">
      <c r="B730" t="s">
        <v>1170</v>
      </c>
      <c r="C730" s="10">
        <v>31191</v>
      </c>
      <c r="D730">
        <v>1</v>
      </c>
    </row>
    <row r="731" spans="2:4" x14ac:dyDescent="0.25">
      <c r="B731" t="s">
        <v>1175</v>
      </c>
      <c r="C731" s="10">
        <v>32385</v>
      </c>
      <c r="D731">
        <v>1</v>
      </c>
    </row>
    <row r="732" spans="2:4" x14ac:dyDescent="0.25">
      <c r="B732" t="s">
        <v>1185</v>
      </c>
      <c r="C732" s="10">
        <v>36822</v>
      </c>
      <c r="D732">
        <v>1</v>
      </c>
    </row>
    <row r="733" spans="2:4" x14ac:dyDescent="0.25">
      <c r="B733" t="s">
        <v>1187</v>
      </c>
      <c r="C733" s="10">
        <v>32755</v>
      </c>
      <c r="D733">
        <v>1</v>
      </c>
    </row>
    <row r="734" spans="2:4" x14ac:dyDescent="0.25">
      <c r="B734" t="s">
        <v>1196</v>
      </c>
      <c r="C734" s="10">
        <v>32122</v>
      </c>
      <c r="D734">
        <v>1</v>
      </c>
    </row>
    <row r="735" spans="2:4" x14ac:dyDescent="0.25">
      <c r="B735" t="s">
        <v>1172</v>
      </c>
      <c r="C735" s="10">
        <v>31604</v>
      </c>
      <c r="D735">
        <v>1</v>
      </c>
    </row>
    <row r="736" spans="2:4" x14ac:dyDescent="0.25">
      <c r="B736" t="s">
        <v>1179</v>
      </c>
      <c r="C736" s="10">
        <v>26139</v>
      </c>
      <c r="D736">
        <v>1</v>
      </c>
    </row>
    <row r="737" spans="2:4" x14ac:dyDescent="0.25">
      <c r="B737" t="s">
        <v>1696</v>
      </c>
      <c r="C737" s="10">
        <v>30286</v>
      </c>
      <c r="D737">
        <v>1</v>
      </c>
    </row>
    <row r="738" spans="2:4" x14ac:dyDescent="0.25">
      <c r="B738" t="s">
        <v>2825</v>
      </c>
      <c r="C738" s="10">
        <v>35633</v>
      </c>
      <c r="D738">
        <v>1</v>
      </c>
    </row>
    <row r="739" spans="2:4" x14ac:dyDescent="0.25">
      <c r="B739" t="s">
        <v>1850</v>
      </c>
      <c r="C739" s="10">
        <v>27341</v>
      </c>
      <c r="D739">
        <v>1</v>
      </c>
    </row>
    <row r="740" spans="2:4" x14ac:dyDescent="0.25">
      <c r="B740" t="s">
        <v>2815</v>
      </c>
      <c r="C740" s="10">
        <v>34127</v>
      </c>
      <c r="D740">
        <v>1</v>
      </c>
    </row>
    <row r="741" spans="2:4" x14ac:dyDescent="0.25">
      <c r="B741" t="s">
        <v>1165</v>
      </c>
      <c r="C741" s="10">
        <v>34465</v>
      </c>
      <c r="D741">
        <v>1</v>
      </c>
    </row>
    <row r="742" spans="2:4" x14ac:dyDescent="0.25">
      <c r="B742" t="s">
        <v>3189</v>
      </c>
      <c r="C742" s="10">
        <v>35582</v>
      </c>
      <c r="D742">
        <v>1</v>
      </c>
    </row>
    <row r="743" spans="2:4" x14ac:dyDescent="0.25">
      <c r="B743" t="s">
        <v>713</v>
      </c>
      <c r="C743" s="10">
        <v>30868</v>
      </c>
      <c r="D743">
        <v>1</v>
      </c>
    </row>
    <row r="744" spans="2:4" x14ac:dyDescent="0.25">
      <c r="B744" t="s">
        <v>1184</v>
      </c>
      <c r="C744" s="10">
        <v>37526</v>
      </c>
      <c r="D744">
        <v>1</v>
      </c>
    </row>
    <row r="745" spans="2:4" x14ac:dyDescent="0.25">
      <c r="B745" t="s">
        <v>1142</v>
      </c>
      <c r="C745" s="10">
        <v>28855</v>
      </c>
      <c r="D745">
        <v>1</v>
      </c>
    </row>
    <row r="746" spans="2:4" x14ac:dyDescent="0.25">
      <c r="B746" t="s">
        <v>1162</v>
      </c>
      <c r="C746" s="10">
        <v>33562</v>
      </c>
      <c r="D746">
        <v>1</v>
      </c>
    </row>
    <row r="747" spans="2:4" x14ac:dyDescent="0.25">
      <c r="B747" t="s">
        <v>1163</v>
      </c>
      <c r="C747" s="10">
        <v>35252</v>
      </c>
      <c r="D747">
        <v>1</v>
      </c>
    </row>
    <row r="748" spans="2:4" x14ac:dyDescent="0.25">
      <c r="B748" t="s">
        <v>1166</v>
      </c>
      <c r="C748" s="10">
        <v>36773</v>
      </c>
      <c r="D748">
        <v>1</v>
      </c>
    </row>
    <row r="749" spans="2:4" x14ac:dyDescent="0.25">
      <c r="B749" t="s">
        <v>1181</v>
      </c>
      <c r="C749" s="10">
        <v>35901</v>
      </c>
      <c r="D749">
        <v>1</v>
      </c>
    </row>
    <row r="750" spans="2:4" x14ac:dyDescent="0.25">
      <c r="B750" t="s">
        <v>1182</v>
      </c>
      <c r="C750" s="10">
        <v>33292</v>
      </c>
      <c r="D750">
        <v>1</v>
      </c>
    </row>
    <row r="751" spans="2:4" x14ac:dyDescent="0.25">
      <c r="B751" t="s">
        <v>1186</v>
      </c>
      <c r="C751" s="10">
        <v>35438</v>
      </c>
      <c r="D751">
        <v>1</v>
      </c>
    </row>
    <row r="752" spans="2:4" x14ac:dyDescent="0.25">
      <c r="B752" t="s">
        <v>1188</v>
      </c>
      <c r="C752" s="10">
        <v>31345</v>
      </c>
      <c r="D752">
        <v>1</v>
      </c>
    </row>
    <row r="753" spans="2:4" x14ac:dyDescent="0.25">
      <c r="B753" t="s">
        <v>1195</v>
      </c>
      <c r="C753" s="10">
        <v>34532</v>
      </c>
      <c r="D753">
        <v>1</v>
      </c>
    </row>
    <row r="754" spans="2:4" x14ac:dyDescent="0.25">
      <c r="B754" t="s">
        <v>1201</v>
      </c>
      <c r="C754" s="10">
        <v>26512</v>
      </c>
      <c r="D754">
        <v>1</v>
      </c>
    </row>
    <row r="755" spans="2:4" x14ac:dyDescent="0.25">
      <c r="B755" t="s">
        <v>1692</v>
      </c>
      <c r="C755" s="10">
        <v>35369</v>
      </c>
      <c r="D755">
        <v>1</v>
      </c>
    </row>
    <row r="756" spans="2:4" x14ac:dyDescent="0.25">
      <c r="B756" t="s">
        <v>1694</v>
      </c>
      <c r="C756" s="10">
        <v>35847</v>
      </c>
      <c r="D756">
        <v>1</v>
      </c>
    </row>
    <row r="757" spans="2:4" x14ac:dyDescent="0.25">
      <c r="B757" t="s">
        <v>1695</v>
      </c>
      <c r="C757" s="10">
        <v>35758</v>
      </c>
      <c r="D757">
        <v>1</v>
      </c>
    </row>
    <row r="758" spans="2:4" x14ac:dyDescent="0.25">
      <c r="B758" t="s">
        <v>1698</v>
      </c>
      <c r="C758" s="10">
        <v>32415</v>
      </c>
      <c r="D758">
        <v>1</v>
      </c>
    </row>
    <row r="759" spans="2:4" x14ac:dyDescent="0.25">
      <c r="B759" t="s">
        <v>1699</v>
      </c>
      <c r="C759" s="10">
        <v>35165</v>
      </c>
      <c r="D759">
        <v>1</v>
      </c>
    </row>
    <row r="760" spans="2:4" x14ac:dyDescent="0.25">
      <c r="B760" t="s">
        <v>2133</v>
      </c>
      <c r="C760" s="10">
        <v>38107</v>
      </c>
      <c r="D760">
        <v>1</v>
      </c>
    </row>
    <row r="761" spans="2:4" x14ac:dyDescent="0.25">
      <c r="B761" t="s">
        <v>2127</v>
      </c>
      <c r="C761" s="10">
        <v>35235</v>
      </c>
      <c r="D761">
        <v>1</v>
      </c>
    </row>
    <row r="762" spans="2:4" x14ac:dyDescent="0.25">
      <c r="B762" t="s">
        <v>2129</v>
      </c>
      <c r="C762" s="10">
        <v>34503</v>
      </c>
      <c r="D762">
        <v>1</v>
      </c>
    </row>
    <row r="763" spans="2:4" x14ac:dyDescent="0.25">
      <c r="B763" t="s">
        <v>2131</v>
      </c>
      <c r="C763" s="10">
        <v>35334</v>
      </c>
      <c r="D763">
        <v>1</v>
      </c>
    </row>
    <row r="764" spans="2:4" x14ac:dyDescent="0.25">
      <c r="B764" t="s">
        <v>2134</v>
      </c>
      <c r="C764" s="10">
        <v>36695</v>
      </c>
      <c r="D764">
        <v>1</v>
      </c>
    </row>
    <row r="765" spans="2:4" x14ac:dyDescent="0.25">
      <c r="B765" t="s">
        <v>2121</v>
      </c>
      <c r="C765" s="10">
        <v>31428</v>
      </c>
      <c r="D765">
        <v>1</v>
      </c>
    </row>
    <row r="766" spans="2:4" x14ac:dyDescent="0.25">
      <c r="B766" t="s">
        <v>2122</v>
      </c>
      <c r="C766" s="10">
        <v>28864</v>
      </c>
      <c r="D766">
        <v>1</v>
      </c>
    </row>
    <row r="767" spans="2:4" x14ac:dyDescent="0.25">
      <c r="B767" t="s">
        <v>2123</v>
      </c>
      <c r="C767" s="10">
        <v>29621</v>
      </c>
      <c r="D767">
        <v>1</v>
      </c>
    </row>
    <row r="768" spans="2:4" x14ac:dyDescent="0.25">
      <c r="B768" t="s">
        <v>2126</v>
      </c>
      <c r="C768" s="10">
        <v>29530</v>
      </c>
      <c r="D768">
        <v>1</v>
      </c>
    </row>
    <row r="769" spans="2:4" x14ac:dyDescent="0.25">
      <c r="B769" t="s">
        <v>2128</v>
      </c>
      <c r="C769" s="10">
        <v>29253</v>
      </c>
      <c r="D769">
        <v>1</v>
      </c>
    </row>
    <row r="770" spans="2:4" x14ac:dyDescent="0.25">
      <c r="B770" t="s">
        <v>2132</v>
      </c>
      <c r="C770" s="10">
        <v>28373</v>
      </c>
      <c r="D770">
        <v>1</v>
      </c>
    </row>
    <row r="771" spans="2:4" x14ac:dyDescent="0.25">
      <c r="B771" t="s">
        <v>2137</v>
      </c>
      <c r="C771" s="10">
        <v>29417</v>
      </c>
      <c r="D771">
        <v>1</v>
      </c>
    </row>
    <row r="772" spans="2:4" x14ac:dyDescent="0.25">
      <c r="B772" t="s">
        <v>2456</v>
      </c>
      <c r="C772" s="10">
        <v>37974</v>
      </c>
      <c r="D772">
        <v>1</v>
      </c>
    </row>
    <row r="773" spans="2:4" x14ac:dyDescent="0.25">
      <c r="B773" t="s">
        <v>2459</v>
      </c>
      <c r="C773" s="10">
        <v>38376</v>
      </c>
      <c r="D773">
        <v>1</v>
      </c>
    </row>
    <row r="774" spans="2:4" x14ac:dyDescent="0.25">
      <c r="B774" t="s">
        <v>2451</v>
      </c>
      <c r="C774" s="10">
        <v>34072</v>
      </c>
      <c r="D774">
        <v>1</v>
      </c>
    </row>
    <row r="775" spans="2:4" x14ac:dyDescent="0.25">
      <c r="B775" t="s">
        <v>2448</v>
      </c>
      <c r="C775" s="10">
        <v>32777</v>
      </c>
      <c r="D775">
        <v>1</v>
      </c>
    </row>
    <row r="776" spans="2:4" x14ac:dyDescent="0.25">
      <c r="B776" t="s">
        <v>2453</v>
      </c>
      <c r="C776" s="10">
        <v>30953</v>
      </c>
      <c r="D776">
        <v>1</v>
      </c>
    </row>
    <row r="777" spans="2:4" x14ac:dyDescent="0.25">
      <c r="B777" t="s">
        <v>2457</v>
      </c>
      <c r="C777" s="10">
        <v>33701</v>
      </c>
      <c r="D777">
        <v>1</v>
      </c>
    </row>
    <row r="778" spans="2:4" x14ac:dyDescent="0.25">
      <c r="B778" t="s">
        <v>2458</v>
      </c>
      <c r="C778" s="10">
        <v>31768</v>
      </c>
      <c r="D778">
        <v>1</v>
      </c>
    </row>
    <row r="779" spans="2:4" x14ac:dyDescent="0.25">
      <c r="B779" t="s">
        <v>2461</v>
      </c>
      <c r="C779" s="10">
        <v>33699</v>
      </c>
      <c r="D779">
        <v>1</v>
      </c>
    </row>
    <row r="780" spans="2:4" x14ac:dyDescent="0.25">
      <c r="B780" t="s">
        <v>2462</v>
      </c>
      <c r="C780" s="10">
        <v>30994</v>
      </c>
      <c r="D780">
        <v>1</v>
      </c>
    </row>
    <row r="781" spans="2:4" x14ac:dyDescent="0.25">
      <c r="B781" t="s">
        <v>2464</v>
      </c>
      <c r="C781" s="10">
        <v>32769</v>
      </c>
      <c r="D781">
        <v>1</v>
      </c>
    </row>
    <row r="782" spans="2:4" x14ac:dyDescent="0.25">
      <c r="B782" t="s">
        <v>2449</v>
      </c>
      <c r="C782" s="10">
        <v>30000</v>
      </c>
      <c r="D782">
        <v>1</v>
      </c>
    </row>
    <row r="783" spans="2:4" x14ac:dyDescent="0.25">
      <c r="B783" t="s">
        <v>2450</v>
      </c>
      <c r="C783" s="10">
        <v>29909</v>
      </c>
      <c r="D783">
        <v>1</v>
      </c>
    </row>
    <row r="784" spans="2:4" x14ac:dyDescent="0.25">
      <c r="B784" t="s">
        <v>2463</v>
      </c>
      <c r="C784" s="10">
        <v>27259</v>
      </c>
      <c r="D784">
        <v>1</v>
      </c>
    </row>
    <row r="785" spans="2:4" x14ac:dyDescent="0.25">
      <c r="B785" t="s">
        <v>2454</v>
      </c>
      <c r="C785" s="10">
        <v>26756</v>
      </c>
      <c r="D785">
        <v>1</v>
      </c>
    </row>
    <row r="786" spans="2:4" x14ac:dyDescent="0.25">
      <c r="B786" t="s">
        <v>2460</v>
      </c>
      <c r="C786" s="10">
        <v>26772</v>
      </c>
      <c r="D786">
        <v>1</v>
      </c>
    </row>
    <row r="787" spans="2:4" x14ac:dyDescent="0.25">
      <c r="B787" t="s">
        <v>2809</v>
      </c>
      <c r="C787" s="10">
        <v>35132</v>
      </c>
      <c r="D787">
        <v>1</v>
      </c>
    </row>
    <row r="788" spans="2:4" x14ac:dyDescent="0.25">
      <c r="B788" t="s">
        <v>2810</v>
      </c>
      <c r="C788" s="10">
        <v>29711</v>
      </c>
      <c r="D788">
        <v>1</v>
      </c>
    </row>
    <row r="789" spans="2:4" x14ac:dyDescent="0.25">
      <c r="B789" t="s">
        <v>2811</v>
      </c>
      <c r="C789" s="10">
        <v>25109</v>
      </c>
      <c r="D789">
        <v>1</v>
      </c>
    </row>
    <row r="790" spans="2:4" x14ac:dyDescent="0.25">
      <c r="B790" t="s">
        <v>2812</v>
      </c>
      <c r="C790" s="10">
        <v>33923</v>
      </c>
      <c r="D790">
        <v>1</v>
      </c>
    </row>
    <row r="791" spans="2:4" x14ac:dyDescent="0.25">
      <c r="B791" t="s">
        <v>2813</v>
      </c>
      <c r="C791" s="10">
        <v>31659</v>
      </c>
      <c r="D791">
        <v>1</v>
      </c>
    </row>
    <row r="792" spans="2:4" x14ac:dyDescent="0.25">
      <c r="B792" t="s">
        <v>2814</v>
      </c>
      <c r="C792" s="10">
        <v>35843</v>
      </c>
      <c r="D792">
        <v>1</v>
      </c>
    </row>
    <row r="793" spans="2:4" x14ac:dyDescent="0.25">
      <c r="B793" t="s">
        <v>2816</v>
      </c>
      <c r="C793" s="10">
        <v>35702</v>
      </c>
      <c r="D793">
        <v>1</v>
      </c>
    </row>
    <row r="794" spans="2:4" x14ac:dyDescent="0.25">
      <c r="B794" t="s">
        <v>2817</v>
      </c>
      <c r="C794" s="10">
        <v>34167</v>
      </c>
      <c r="D794">
        <v>1</v>
      </c>
    </row>
    <row r="795" spans="2:4" x14ac:dyDescent="0.25">
      <c r="B795" t="s">
        <v>2818</v>
      </c>
      <c r="C795" s="10">
        <v>35230</v>
      </c>
      <c r="D795">
        <v>1</v>
      </c>
    </row>
    <row r="796" spans="2:4" x14ac:dyDescent="0.25">
      <c r="B796" t="s">
        <v>2820</v>
      </c>
      <c r="C796" s="10">
        <v>30519</v>
      </c>
      <c r="D796">
        <v>1</v>
      </c>
    </row>
    <row r="797" spans="2:4" x14ac:dyDescent="0.25">
      <c r="B797" t="s">
        <v>2821</v>
      </c>
      <c r="C797" s="10">
        <v>31948</v>
      </c>
      <c r="D797">
        <v>1</v>
      </c>
    </row>
    <row r="798" spans="2:4" x14ac:dyDescent="0.25">
      <c r="B798" t="s">
        <v>2822</v>
      </c>
      <c r="C798" s="10">
        <v>35455</v>
      </c>
      <c r="D798">
        <v>1</v>
      </c>
    </row>
    <row r="799" spans="2:4" x14ac:dyDescent="0.25">
      <c r="B799" t="s">
        <v>2823</v>
      </c>
      <c r="C799" s="10">
        <v>38865</v>
      </c>
      <c r="D799">
        <v>1</v>
      </c>
    </row>
    <row r="800" spans="2:4" x14ac:dyDescent="0.25">
      <c r="B800" t="s">
        <v>2824</v>
      </c>
      <c r="C800" s="10">
        <v>31943</v>
      </c>
      <c r="D800">
        <v>1</v>
      </c>
    </row>
    <row r="801" spans="1:4" x14ac:dyDescent="0.25">
      <c r="B801" t="s">
        <v>3184</v>
      </c>
      <c r="C801" s="10">
        <v>32087</v>
      </c>
      <c r="D801">
        <v>1</v>
      </c>
    </row>
    <row r="802" spans="1:4" x14ac:dyDescent="0.25">
      <c r="B802" t="s">
        <v>3186</v>
      </c>
      <c r="C802" s="10">
        <v>35284</v>
      </c>
      <c r="D802">
        <v>1</v>
      </c>
    </row>
    <row r="803" spans="1:4" x14ac:dyDescent="0.25">
      <c r="B803" t="s">
        <v>3187</v>
      </c>
      <c r="C803" s="10">
        <v>34575</v>
      </c>
      <c r="D803">
        <v>1</v>
      </c>
    </row>
    <row r="804" spans="1:4" x14ac:dyDescent="0.25">
      <c r="B804" t="s">
        <v>3190</v>
      </c>
      <c r="C804" s="10">
        <v>29964</v>
      </c>
      <c r="D804">
        <v>1</v>
      </c>
    </row>
    <row r="805" spans="1:4" x14ac:dyDescent="0.25">
      <c r="B805" t="s">
        <v>3191</v>
      </c>
      <c r="C805" s="10">
        <v>38363</v>
      </c>
      <c r="D805">
        <v>1</v>
      </c>
    </row>
    <row r="806" spans="1:4" x14ac:dyDescent="0.25">
      <c r="B806" t="s">
        <v>3192</v>
      </c>
      <c r="C806" s="10">
        <v>33016</v>
      </c>
      <c r="D806">
        <v>1</v>
      </c>
    </row>
    <row r="807" spans="1:4" x14ac:dyDescent="0.25">
      <c r="B807" t="s">
        <v>3193</v>
      </c>
      <c r="C807" s="10">
        <v>31281</v>
      </c>
      <c r="D807">
        <v>1</v>
      </c>
    </row>
    <row r="808" spans="1:4" x14ac:dyDescent="0.25">
      <c r="B808" t="s">
        <v>3194</v>
      </c>
      <c r="C808" s="10">
        <v>32096</v>
      </c>
      <c r="D808">
        <v>1</v>
      </c>
    </row>
    <row r="809" spans="1:4" x14ac:dyDescent="0.25">
      <c r="B809" t="s">
        <v>3195</v>
      </c>
      <c r="C809" s="10">
        <v>33397</v>
      </c>
      <c r="D809">
        <v>1</v>
      </c>
    </row>
    <row r="810" spans="1:4" x14ac:dyDescent="0.25">
      <c r="B810" t="s">
        <v>3197</v>
      </c>
      <c r="C810" s="10">
        <v>33285</v>
      </c>
      <c r="D810">
        <v>1</v>
      </c>
    </row>
    <row r="811" spans="1:4" x14ac:dyDescent="0.25">
      <c r="B811" t="s">
        <v>3198</v>
      </c>
      <c r="C811" s="10">
        <v>33803</v>
      </c>
      <c r="D811">
        <v>1</v>
      </c>
    </row>
    <row r="812" spans="1:4" x14ac:dyDescent="0.25">
      <c r="B812" t="s">
        <v>3200</v>
      </c>
      <c r="C812" s="10">
        <v>34905</v>
      </c>
      <c r="D812">
        <v>1</v>
      </c>
    </row>
    <row r="813" spans="1:4" x14ac:dyDescent="0.25">
      <c r="B813" t="s">
        <v>3201</v>
      </c>
      <c r="C813" s="10">
        <v>29375</v>
      </c>
      <c r="D813">
        <v>1</v>
      </c>
    </row>
    <row r="814" spans="1:4" x14ac:dyDescent="0.25">
      <c r="B814" t="s">
        <v>3203</v>
      </c>
      <c r="C814" s="10">
        <v>38286</v>
      </c>
      <c r="D814">
        <v>1</v>
      </c>
    </row>
    <row r="815" spans="1:4" x14ac:dyDescent="0.25">
      <c r="A815" t="s">
        <v>1842</v>
      </c>
      <c r="B815" t="s">
        <v>1843</v>
      </c>
      <c r="C815" s="10">
        <v>31090</v>
      </c>
      <c r="D815">
        <v>1</v>
      </c>
    </row>
    <row r="816" spans="1:4" x14ac:dyDescent="0.25">
      <c r="B816" t="s">
        <v>2465</v>
      </c>
      <c r="C816" s="10">
        <v>29902</v>
      </c>
      <c r="D816">
        <v>1</v>
      </c>
    </row>
    <row r="817" spans="2:4" x14ac:dyDescent="0.25">
      <c r="B817" t="s">
        <v>1847</v>
      </c>
      <c r="C817" s="10">
        <v>28677</v>
      </c>
      <c r="D817">
        <v>1</v>
      </c>
    </row>
    <row r="818" spans="2:4" x14ac:dyDescent="0.25">
      <c r="B818" t="s">
        <v>1849</v>
      </c>
      <c r="C818" s="10">
        <v>30020</v>
      </c>
      <c r="D818">
        <v>1</v>
      </c>
    </row>
    <row r="819" spans="2:4" x14ac:dyDescent="0.25">
      <c r="B819" t="s">
        <v>1854</v>
      </c>
      <c r="C819" s="10">
        <v>28245</v>
      </c>
      <c r="D819">
        <v>1</v>
      </c>
    </row>
    <row r="820" spans="2:4" x14ac:dyDescent="0.25">
      <c r="B820" t="s">
        <v>1863</v>
      </c>
      <c r="C820" s="10">
        <v>31008</v>
      </c>
      <c r="D820">
        <v>1</v>
      </c>
    </row>
    <row r="821" spans="2:4" x14ac:dyDescent="0.25">
      <c r="B821" t="s">
        <v>3204</v>
      </c>
      <c r="C821" s="10">
        <v>34403</v>
      </c>
      <c r="D821">
        <v>1</v>
      </c>
    </row>
    <row r="822" spans="2:4" x14ac:dyDescent="0.25">
      <c r="B822" t="s">
        <v>1865</v>
      </c>
      <c r="C822" s="10">
        <v>30114</v>
      </c>
      <c r="D822">
        <v>1</v>
      </c>
    </row>
    <row r="823" spans="2:4" x14ac:dyDescent="0.25">
      <c r="B823" t="s">
        <v>1887</v>
      </c>
      <c r="C823" s="10">
        <v>30278</v>
      </c>
      <c r="D823">
        <v>1</v>
      </c>
    </row>
    <row r="824" spans="2:4" x14ac:dyDescent="0.25">
      <c r="B824" t="s">
        <v>1889</v>
      </c>
      <c r="C824" s="10">
        <v>28263</v>
      </c>
      <c r="D824">
        <v>1</v>
      </c>
    </row>
    <row r="825" spans="2:4" x14ac:dyDescent="0.25">
      <c r="B825" t="s">
        <v>1898</v>
      </c>
      <c r="C825" s="10">
        <v>29491</v>
      </c>
      <c r="D825">
        <v>1</v>
      </c>
    </row>
    <row r="826" spans="2:4" x14ac:dyDescent="0.25">
      <c r="B826" t="s">
        <v>1900</v>
      </c>
      <c r="C826" s="10">
        <v>31625</v>
      </c>
      <c r="D826">
        <v>1</v>
      </c>
    </row>
    <row r="827" spans="2:4" x14ac:dyDescent="0.25">
      <c r="B827" t="s">
        <v>1910</v>
      </c>
      <c r="C827" s="10">
        <v>32116</v>
      </c>
      <c r="D827">
        <v>1</v>
      </c>
    </row>
    <row r="828" spans="2:4" x14ac:dyDescent="0.25">
      <c r="B828" t="s">
        <v>1921</v>
      </c>
      <c r="C828" s="10">
        <v>33486</v>
      </c>
      <c r="D828">
        <v>1</v>
      </c>
    </row>
    <row r="829" spans="2:4" x14ac:dyDescent="0.25">
      <c r="B829" t="s">
        <v>1929</v>
      </c>
      <c r="C829" s="10">
        <v>32458</v>
      </c>
      <c r="D829">
        <v>1</v>
      </c>
    </row>
    <row r="830" spans="2:4" x14ac:dyDescent="0.25">
      <c r="B830" t="s">
        <v>1932</v>
      </c>
      <c r="C830" s="10">
        <v>28510</v>
      </c>
      <c r="D830">
        <v>1</v>
      </c>
    </row>
    <row r="831" spans="2:4" x14ac:dyDescent="0.25">
      <c r="B831" t="s">
        <v>1950</v>
      </c>
      <c r="C831" s="10">
        <v>27655</v>
      </c>
      <c r="D831">
        <v>1</v>
      </c>
    </row>
    <row r="832" spans="2:4" x14ac:dyDescent="0.25">
      <c r="B832" t="s">
        <v>1952</v>
      </c>
      <c r="C832" s="10">
        <v>28052</v>
      </c>
      <c r="D832">
        <v>1</v>
      </c>
    </row>
    <row r="833" spans="2:4" x14ac:dyDescent="0.25">
      <c r="B833" t="s">
        <v>1956</v>
      </c>
      <c r="C833" s="10">
        <v>30379</v>
      </c>
      <c r="D833">
        <v>1</v>
      </c>
    </row>
    <row r="834" spans="2:4" x14ac:dyDescent="0.25">
      <c r="B834" t="s">
        <v>1959</v>
      </c>
      <c r="C834" s="10">
        <v>26976</v>
      </c>
      <c r="D834">
        <v>1</v>
      </c>
    </row>
    <row r="835" spans="2:4" x14ac:dyDescent="0.25">
      <c r="B835" t="s">
        <v>1960</v>
      </c>
      <c r="C835" s="10">
        <v>27668</v>
      </c>
      <c r="D835">
        <v>1</v>
      </c>
    </row>
    <row r="836" spans="2:4" x14ac:dyDescent="0.25">
      <c r="B836" t="s">
        <v>1962</v>
      </c>
      <c r="C836" s="10">
        <v>32278</v>
      </c>
      <c r="D836">
        <v>1</v>
      </c>
    </row>
    <row r="837" spans="2:4" x14ac:dyDescent="0.25">
      <c r="B837" t="s">
        <v>1981</v>
      </c>
      <c r="C837" s="10">
        <v>34427</v>
      </c>
      <c r="D837">
        <v>1</v>
      </c>
    </row>
    <row r="838" spans="2:4" x14ac:dyDescent="0.25">
      <c r="B838" t="s">
        <v>1985</v>
      </c>
      <c r="C838" s="10">
        <v>35473</v>
      </c>
      <c r="D838">
        <v>1</v>
      </c>
    </row>
    <row r="839" spans="2:4" x14ac:dyDescent="0.25">
      <c r="B839" t="s">
        <v>1996</v>
      </c>
      <c r="C839" s="10">
        <v>30431</v>
      </c>
      <c r="D839">
        <v>1</v>
      </c>
    </row>
    <row r="840" spans="2:4" x14ac:dyDescent="0.25">
      <c r="B840" t="s">
        <v>1203</v>
      </c>
      <c r="C840" s="10">
        <v>28150</v>
      </c>
      <c r="D840">
        <v>1</v>
      </c>
    </row>
    <row r="841" spans="2:4" x14ac:dyDescent="0.25">
      <c r="B841" t="s">
        <v>2012</v>
      </c>
      <c r="C841" s="10">
        <v>30915</v>
      </c>
      <c r="D841">
        <v>1</v>
      </c>
    </row>
    <row r="842" spans="2:4" x14ac:dyDescent="0.25">
      <c r="B842" t="s">
        <v>2017</v>
      </c>
      <c r="C842" s="10">
        <v>30930</v>
      </c>
      <c r="D842">
        <v>1</v>
      </c>
    </row>
    <row r="843" spans="2:4" x14ac:dyDescent="0.25">
      <c r="B843" t="s">
        <v>2022</v>
      </c>
      <c r="C843" s="10">
        <v>31577</v>
      </c>
      <c r="D843">
        <v>1</v>
      </c>
    </row>
    <row r="844" spans="2:4" x14ac:dyDescent="0.25">
      <c r="B844" t="s">
        <v>2027</v>
      </c>
      <c r="C844" s="10">
        <v>32654</v>
      </c>
      <c r="D844">
        <v>1</v>
      </c>
    </row>
    <row r="845" spans="2:4" x14ac:dyDescent="0.25">
      <c r="B845" t="s">
        <v>1855</v>
      </c>
      <c r="C845" s="10">
        <v>31972</v>
      </c>
      <c r="D845">
        <v>1</v>
      </c>
    </row>
    <row r="846" spans="2:4" x14ac:dyDescent="0.25">
      <c r="B846" t="s">
        <v>1990</v>
      </c>
      <c r="C846" s="10">
        <v>27138</v>
      </c>
      <c r="D846">
        <v>1</v>
      </c>
    </row>
    <row r="847" spans="2:4" x14ac:dyDescent="0.25">
      <c r="B847" t="s">
        <v>1890</v>
      </c>
      <c r="C847" s="10">
        <v>29129</v>
      </c>
      <c r="D847">
        <v>1</v>
      </c>
    </row>
    <row r="848" spans="2:4" x14ac:dyDescent="0.25">
      <c r="B848" t="s">
        <v>1875</v>
      </c>
      <c r="C848" s="10">
        <v>29396</v>
      </c>
      <c r="D848">
        <v>1</v>
      </c>
    </row>
    <row r="849" spans="2:4" x14ac:dyDescent="0.25">
      <c r="B849" t="s">
        <v>1860</v>
      </c>
      <c r="C849" s="10">
        <v>29191</v>
      </c>
      <c r="D849">
        <v>1</v>
      </c>
    </row>
    <row r="850" spans="2:4" x14ac:dyDescent="0.25">
      <c r="B850" t="s">
        <v>1934</v>
      </c>
      <c r="C850" s="10">
        <v>29554</v>
      </c>
      <c r="D850">
        <v>1</v>
      </c>
    </row>
    <row r="851" spans="2:4" x14ac:dyDescent="0.25">
      <c r="B851" t="s">
        <v>1995</v>
      </c>
      <c r="C851" s="10">
        <v>35489</v>
      </c>
      <c r="D851">
        <v>1</v>
      </c>
    </row>
    <row r="852" spans="2:4" x14ac:dyDescent="0.25">
      <c r="B852" t="s">
        <v>1970</v>
      </c>
      <c r="C852" s="10">
        <v>28756</v>
      </c>
      <c r="D852">
        <v>1</v>
      </c>
    </row>
    <row r="853" spans="2:4" x14ac:dyDescent="0.25">
      <c r="B853" t="s">
        <v>1893</v>
      </c>
      <c r="C853" s="10">
        <v>29862</v>
      </c>
      <c r="D853">
        <v>1</v>
      </c>
    </row>
    <row r="854" spans="2:4" x14ac:dyDescent="0.25">
      <c r="B854" t="s">
        <v>1967</v>
      </c>
      <c r="C854" s="10">
        <v>31255</v>
      </c>
      <c r="D854">
        <v>1</v>
      </c>
    </row>
    <row r="855" spans="2:4" x14ac:dyDescent="0.25">
      <c r="B855" t="s">
        <v>1859</v>
      </c>
      <c r="C855" s="10">
        <v>27278</v>
      </c>
      <c r="D855">
        <v>1</v>
      </c>
    </row>
    <row r="856" spans="2:4" x14ac:dyDescent="0.25">
      <c r="B856" t="s">
        <v>1941</v>
      </c>
      <c r="C856" s="10">
        <v>29835</v>
      </c>
      <c r="D856">
        <v>1</v>
      </c>
    </row>
    <row r="857" spans="2:4" x14ac:dyDescent="0.25">
      <c r="B857" t="s">
        <v>1957</v>
      </c>
      <c r="C857" s="10">
        <v>34713</v>
      </c>
      <c r="D857">
        <v>1</v>
      </c>
    </row>
    <row r="858" spans="2:4" x14ac:dyDescent="0.25">
      <c r="B858" t="s">
        <v>1997</v>
      </c>
      <c r="C858" s="10">
        <v>37398</v>
      </c>
      <c r="D858">
        <v>1</v>
      </c>
    </row>
    <row r="859" spans="2:4" x14ac:dyDescent="0.25">
      <c r="B859" t="s">
        <v>2140</v>
      </c>
      <c r="C859" s="10">
        <v>35730</v>
      </c>
      <c r="D859">
        <v>1</v>
      </c>
    </row>
    <row r="860" spans="2:4" x14ac:dyDescent="0.25">
      <c r="B860" t="s">
        <v>1913</v>
      </c>
      <c r="C860" s="10">
        <v>34274</v>
      </c>
      <c r="D860">
        <v>1</v>
      </c>
    </row>
    <row r="861" spans="2:4" x14ac:dyDescent="0.25">
      <c r="B861" t="s">
        <v>1868</v>
      </c>
      <c r="C861" s="10">
        <v>33232</v>
      </c>
      <c r="D861">
        <v>1</v>
      </c>
    </row>
    <row r="862" spans="2:4" x14ac:dyDescent="0.25">
      <c r="B862" t="s">
        <v>1869</v>
      </c>
      <c r="C862" s="10">
        <v>33997</v>
      </c>
      <c r="D862">
        <v>1</v>
      </c>
    </row>
    <row r="863" spans="2:4" x14ac:dyDescent="0.25">
      <c r="B863" t="s">
        <v>1885</v>
      </c>
      <c r="C863" s="10">
        <v>31101</v>
      </c>
      <c r="D863">
        <v>1</v>
      </c>
    </row>
    <row r="864" spans="2:4" x14ac:dyDescent="0.25">
      <c r="B864" t="s">
        <v>1901</v>
      </c>
      <c r="C864" s="10">
        <v>34095</v>
      </c>
      <c r="D864">
        <v>1</v>
      </c>
    </row>
    <row r="865" spans="2:4" x14ac:dyDescent="0.25">
      <c r="B865" t="s">
        <v>1925</v>
      </c>
      <c r="C865" s="10">
        <v>27336</v>
      </c>
      <c r="D865">
        <v>1</v>
      </c>
    </row>
    <row r="866" spans="2:4" x14ac:dyDescent="0.25">
      <c r="B866" t="s">
        <v>1973</v>
      </c>
      <c r="C866" s="10">
        <v>34295</v>
      </c>
      <c r="D866">
        <v>1</v>
      </c>
    </row>
    <row r="867" spans="2:4" x14ac:dyDescent="0.25">
      <c r="B867" t="s">
        <v>1922</v>
      </c>
      <c r="C867" s="10">
        <v>35056</v>
      </c>
      <c r="D867">
        <v>1</v>
      </c>
    </row>
    <row r="868" spans="2:4" x14ac:dyDescent="0.25">
      <c r="B868" t="s">
        <v>1866</v>
      </c>
      <c r="C868" s="10">
        <v>23893</v>
      </c>
      <c r="D868">
        <v>1</v>
      </c>
    </row>
    <row r="869" spans="2:4" x14ac:dyDescent="0.25">
      <c r="B869" t="s">
        <v>1879</v>
      </c>
      <c r="C869" s="10">
        <v>29323</v>
      </c>
      <c r="D869">
        <v>1</v>
      </c>
    </row>
    <row r="870" spans="2:4" x14ac:dyDescent="0.25">
      <c r="B870" t="s">
        <v>1923</v>
      </c>
      <c r="C870" s="10">
        <v>35472</v>
      </c>
      <c r="D870">
        <v>1</v>
      </c>
    </row>
    <row r="871" spans="2:4" x14ac:dyDescent="0.25">
      <c r="B871" t="s">
        <v>1852</v>
      </c>
      <c r="C871" s="10">
        <v>33959</v>
      </c>
      <c r="D871">
        <v>1</v>
      </c>
    </row>
    <row r="872" spans="2:4" x14ac:dyDescent="0.25">
      <c r="B872" t="s">
        <v>1943</v>
      </c>
      <c r="C872" s="10">
        <v>30198</v>
      </c>
      <c r="D872">
        <v>1</v>
      </c>
    </row>
    <row r="873" spans="2:4" x14ac:dyDescent="0.25">
      <c r="B873" t="s">
        <v>1982</v>
      </c>
      <c r="C873" s="10">
        <v>36071</v>
      </c>
      <c r="D873">
        <v>1</v>
      </c>
    </row>
    <row r="874" spans="2:4" x14ac:dyDescent="0.25">
      <c r="B874" t="s">
        <v>1986</v>
      </c>
      <c r="C874" s="10">
        <v>34615</v>
      </c>
      <c r="D874">
        <v>1</v>
      </c>
    </row>
    <row r="875" spans="2:4" x14ac:dyDescent="0.25">
      <c r="B875" t="s">
        <v>1861</v>
      </c>
      <c r="C875" s="10">
        <v>37369</v>
      </c>
      <c r="D875">
        <v>1</v>
      </c>
    </row>
    <row r="876" spans="2:4" x14ac:dyDescent="0.25">
      <c r="B876" t="s">
        <v>2004</v>
      </c>
      <c r="C876" s="10">
        <v>32590</v>
      </c>
      <c r="D876">
        <v>1</v>
      </c>
    </row>
    <row r="877" spans="2:4" x14ac:dyDescent="0.25">
      <c r="B877" t="s">
        <v>1202</v>
      </c>
      <c r="C877" s="10">
        <v>33945</v>
      </c>
      <c r="D877">
        <v>1</v>
      </c>
    </row>
    <row r="878" spans="2:4" x14ac:dyDescent="0.25">
      <c r="B878" t="s">
        <v>1138</v>
      </c>
      <c r="C878" s="10">
        <v>30493</v>
      </c>
      <c r="D878">
        <v>1</v>
      </c>
    </row>
    <row r="879" spans="2:4" x14ac:dyDescent="0.25">
      <c r="B879" t="s">
        <v>1906</v>
      </c>
      <c r="C879" s="10">
        <v>25033</v>
      </c>
      <c r="D879">
        <v>1</v>
      </c>
    </row>
    <row r="880" spans="2:4" x14ac:dyDescent="0.25">
      <c r="B880" t="s">
        <v>1930</v>
      </c>
      <c r="C880" s="10">
        <v>29819</v>
      </c>
      <c r="D880">
        <v>1</v>
      </c>
    </row>
    <row r="881" spans="2:4" x14ac:dyDescent="0.25">
      <c r="B881" t="s">
        <v>1844</v>
      </c>
      <c r="C881" s="10">
        <v>26908</v>
      </c>
      <c r="D881">
        <v>1</v>
      </c>
    </row>
    <row r="882" spans="2:4" x14ac:dyDescent="0.25">
      <c r="B882" t="s">
        <v>1917</v>
      </c>
      <c r="C882" s="10">
        <v>29979</v>
      </c>
      <c r="D882">
        <v>1</v>
      </c>
    </row>
    <row r="883" spans="2:4" x14ac:dyDescent="0.25">
      <c r="B883" t="s">
        <v>1969</v>
      </c>
      <c r="C883" s="10">
        <v>27986</v>
      </c>
      <c r="D883">
        <v>1</v>
      </c>
    </row>
    <row r="884" spans="2:4" x14ac:dyDescent="0.25">
      <c r="B884" t="s">
        <v>1980</v>
      </c>
      <c r="C884" s="10">
        <v>33726</v>
      </c>
      <c r="D884">
        <v>1</v>
      </c>
    </row>
    <row r="885" spans="2:4" x14ac:dyDescent="0.25">
      <c r="B885" t="s">
        <v>1968</v>
      </c>
      <c r="C885" s="10">
        <v>28029</v>
      </c>
      <c r="D885">
        <v>1</v>
      </c>
    </row>
    <row r="886" spans="2:4" x14ac:dyDescent="0.25">
      <c r="B886" t="s">
        <v>1909</v>
      </c>
      <c r="C886" s="10">
        <v>33782</v>
      </c>
      <c r="D886">
        <v>1</v>
      </c>
    </row>
    <row r="887" spans="2:4" x14ac:dyDescent="0.25">
      <c r="B887" t="s">
        <v>1975</v>
      </c>
      <c r="C887" s="10">
        <v>30874</v>
      </c>
      <c r="D887">
        <v>1</v>
      </c>
    </row>
    <row r="888" spans="2:4" x14ac:dyDescent="0.25">
      <c r="B888" t="s">
        <v>1926</v>
      </c>
      <c r="C888" s="10">
        <v>30890</v>
      </c>
      <c r="D888">
        <v>1</v>
      </c>
    </row>
    <row r="889" spans="2:4" x14ac:dyDescent="0.25">
      <c r="B889" t="s">
        <v>1954</v>
      </c>
      <c r="C889" s="10">
        <v>31540</v>
      </c>
      <c r="D889">
        <v>1</v>
      </c>
    </row>
    <row r="890" spans="2:4" x14ac:dyDescent="0.25">
      <c r="B890" t="s">
        <v>1916</v>
      </c>
      <c r="C890" s="10">
        <v>29622</v>
      </c>
      <c r="D890">
        <v>1</v>
      </c>
    </row>
    <row r="891" spans="2:4" x14ac:dyDescent="0.25">
      <c r="B891" t="s">
        <v>1884</v>
      </c>
      <c r="C891" s="10">
        <v>31864</v>
      </c>
      <c r="D891">
        <v>1</v>
      </c>
    </row>
    <row r="892" spans="2:4" x14ac:dyDescent="0.25">
      <c r="B892" t="s">
        <v>1983</v>
      </c>
      <c r="C892" s="10">
        <v>32519</v>
      </c>
      <c r="D892">
        <v>1</v>
      </c>
    </row>
    <row r="893" spans="2:4" x14ac:dyDescent="0.25">
      <c r="B893" t="s">
        <v>1965</v>
      </c>
      <c r="C893" s="10">
        <v>32721</v>
      </c>
      <c r="D893">
        <v>1</v>
      </c>
    </row>
    <row r="894" spans="2:4" x14ac:dyDescent="0.25">
      <c r="B894" t="s">
        <v>1857</v>
      </c>
      <c r="C894" s="10">
        <v>33791</v>
      </c>
      <c r="D894">
        <v>1</v>
      </c>
    </row>
    <row r="895" spans="2:4" x14ac:dyDescent="0.25">
      <c r="B895" t="s">
        <v>1991</v>
      </c>
      <c r="C895" s="10">
        <v>29468</v>
      </c>
      <c r="D895">
        <v>1</v>
      </c>
    </row>
    <row r="896" spans="2:4" x14ac:dyDescent="0.25">
      <c r="B896" t="s">
        <v>1936</v>
      </c>
      <c r="C896" s="10">
        <v>34600</v>
      </c>
      <c r="D896">
        <v>1</v>
      </c>
    </row>
    <row r="897" spans="2:4" x14ac:dyDescent="0.25">
      <c r="B897" t="s">
        <v>1947</v>
      </c>
      <c r="C897" s="10">
        <v>33888</v>
      </c>
      <c r="D897">
        <v>1</v>
      </c>
    </row>
    <row r="898" spans="2:4" x14ac:dyDescent="0.25">
      <c r="B898" t="s">
        <v>1994</v>
      </c>
      <c r="C898" s="10">
        <v>34175</v>
      </c>
      <c r="D898">
        <v>1</v>
      </c>
    </row>
    <row r="899" spans="2:4" x14ac:dyDescent="0.25">
      <c r="B899" t="s">
        <v>2010</v>
      </c>
      <c r="C899" s="10">
        <v>29223</v>
      </c>
      <c r="D899">
        <v>1</v>
      </c>
    </row>
    <row r="900" spans="2:4" x14ac:dyDescent="0.25">
      <c r="B900" t="s">
        <v>2008</v>
      </c>
      <c r="C900" s="10">
        <v>34201</v>
      </c>
      <c r="D900">
        <v>1</v>
      </c>
    </row>
    <row r="901" spans="2:4" x14ac:dyDescent="0.25">
      <c r="B901" t="s">
        <v>1845</v>
      </c>
      <c r="C901" s="10">
        <v>32536</v>
      </c>
      <c r="D901">
        <v>1</v>
      </c>
    </row>
    <row r="902" spans="2:4" x14ac:dyDescent="0.25">
      <c r="B902" t="s">
        <v>1918</v>
      </c>
      <c r="C902" s="10">
        <v>30191</v>
      </c>
      <c r="D902">
        <v>1</v>
      </c>
    </row>
    <row r="903" spans="2:4" x14ac:dyDescent="0.25">
      <c r="B903" t="s">
        <v>1966</v>
      </c>
      <c r="C903" s="10">
        <v>34198</v>
      </c>
      <c r="D903">
        <v>1</v>
      </c>
    </row>
    <row r="904" spans="2:4" x14ac:dyDescent="0.25">
      <c r="B904" t="s">
        <v>1871</v>
      </c>
      <c r="C904" s="10">
        <v>32688</v>
      </c>
      <c r="D904">
        <v>1</v>
      </c>
    </row>
    <row r="905" spans="2:4" x14ac:dyDescent="0.25">
      <c r="B905" t="s">
        <v>1886</v>
      </c>
      <c r="C905" s="10">
        <v>35281</v>
      </c>
      <c r="D905">
        <v>1</v>
      </c>
    </row>
    <row r="906" spans="2:4" x14ac:dyDescent="0.25">
      <c r="B906" t="s">
        <v>2013</v>
      </c>
      <c r="C906" s="10">
        <v>32069</v>
      </c>
      <c r="D906">
        <v>1</v>
      </c>
    </row>
    <row r="907" spans="2:4" x14ac:dyDescent="0.25">
      <c r="B907" t="s">
        <v>2028</v>
      </c>
      <c r="C907" s="10">
        <v>33910</v>
      </c>
      <c r="D907">
        <v>1</v>
      </c>
    </row>
    <row r="908" spans="2:4" x14ac:dyDescent="0.25">
      <c r="B908" t="s">
        <v>2019</v>
      </c>
      <c r="C908" s="10">
        <v>29405</v>
      </c>
      <c r="D908">
        <v>1</v>
      </c>
    </row>
    <row r="909" spans="2:4" x14ac:dyDescent="0.25">
      <c r="B909" t="s">
        <v>1876</v>
      </c>
      <c r="C909" s="10">
        <v>35246</v>
      </c>
      <c r="D909">
        <v>1</v>
      </c>
    </row>
    <row r="910" spans="2:4" x14ac:dyDescent="0.25">
      <c r="B910" t="s">
        <v>1878</v>
      </c>
      <c r="C910" s="10">
        <v>30577</v>
      </c>
      <c r="D910">
        <v>1</v>
      </c>
    </row>
    <row r="911" spans="2:4" x14ac:dyDescent="0.25">
      <c r="B911" t="s">
        <v>1880</v>
      </c>
      <c r="C911" s="10">
        <v>32315</v>
      </c>
      <c r="D911">
        <v>1</v>
      </c>
    </row>
    <row r="912" spans="2:4" x14ac:dyDescent="0.25">
      <c r="B912" t="s">
        <v>1891</v>
      </c>
      <c r="C912" s="10">
        <v>28824</v>
      </c>
      <c r="D912">
        <v>1</v>
      </c>
    </row>
    <row r="913" spans="2:4" x14ac:dyDescent="0.25">
      <c r="B913" t="s">
        <v>1937</v>
      </c>
      <c r="C913" s="10">
        <v>28997</v>
      </c>
      <c r="D913">
        <v>1</v>
      </c>
    </row>
    <row r="914" spans="2:4" x14ac:dyDescent="0.25">
      <c r="B914" t="s">
        <v>2015</v>
      </c>
      <c r="C914" s="10">
        <v>31919</v>
      </c>
      <c r="D914">
        <v>1</v>
      </c>
    </row>
    <row r="915" spans="2:4" x14ac:dyDescent="0.25">
      <c r="B915" t="s">
        <v>2016</v>
      </c>
      <c r="C915" s="10">
        <v>23243</v>
      </c>
      <c r="D915">
        <v>1</v>
      </c>
    </row>
    <row r="916" spans="2:4" x14ac:dyDescent="0.25">
      <c r="B916" t="s">
        <v>2025</v>
      </c>
      <c r="C916" s="10">
        <v>31730</v>
      </c>
      <c r="D916">
        <v>1</v>
      </c>
    </row>
    <row r="917" spans="2:4" x14ac:dyDescent="0.25">
      <c r="B917" t="s">
        <v>1908</v>
      </c>
      <c r="C917" s="10">
        <v>25723</v>
      </c>
      <c r="D917">
        <v>1</v>
      </c>
    </row>
    <row r="918" spans="2:4" x14ac:dyDescent="0.25">
      <c r="B918" t="s">
        <v>1924</v>
      </c>
      <c r="C918" s="10">
        <v>37592</v>
      </c>
      <c r="D918">
        <v>1</v>
      </c>
    </row>
    <row r="919" spans="2:4" x14ac:dyDescent="0.25">
      <c r="B919" t="s">
        <v>2467</v>
      </c>
      <c r="C919" s="10">
        <v>28715</v>
      </c>
      <c r="D919">
        <v>1</v>
      </c>
    </row>
    <row r="920" spans="2:4" x14ac:dyDescent="0.25">
      <c r="B920" t="s">
        <v>1984</v>
      </c>
      <c r="C920" s="10">
        <v>24052</v>
      </c>
      <c r="D920">
        <v>1</v>
      </c>
    </row>
    <row r="921" spans="2:4" x14ac:dyDescent="0.25">
      <c r="B921" t="s">
        <v>2003</v>
      </c>
      <c r="C921" s="10">
        <v>23909</v>
      </c>
      <c r="D921">
        <v>1</v>
      </c>
    </row>
    <row r="922" spans="2:4" x14ac:dyDescent="0.25">
      <c r="B922" t="s">
        <v>1992</v>
      </c>
      <c r="C922" s="10">
        <v>38721</v>
      </c>
      <c r="D922">
        <v>1</v>
      </c>
    </row>
    <row r="923" spans="2:4" x14ac:dyDescent="0.25">
      <c r="B923" t="s">
        <v>1903</v>
      </c>
      <c r="C923" s="10">
        <v>31718</v>
      </c>
      <c r="D923">
        <v>1</v>
      </c>
    </row>
    <row r="924" spans="2:4" x14ac:dyDescent="0.25">
      <c r="B924" t="s">
        <v>1841</v>
      </c>
      <c r="C924" s="10">
        <v>32954</v>
      </c>
      <c r="D924">
        <v>1</v>
      </c>
    </row>
    <row r="925" spans="2:4" x14ac:dyDescent="0.25">
      <c r="B925" t="s">
        <v>1862</v>
      </c>
      <c r="C925" s="10">
        <v>36329</v>
      </c>
      <c r="D925">
        <v>1</v>
      </c>
    </row>
    <row r="926" spans="2:4" x14ac:dyDescent="0.25">
      <c r="B926" t="s">
        <v>1993</v>
      </c>
      <c r="C926" s="10">
        <v>35528</v>
      </c>
      <c r="D926">
        <v>1</v>
      </c>
    </row>
    <row r="927" spans="2:4" x14ac:dyDescent="0.25">
      <c r="B927" t="s">
        <v>1914</v>
      </c>
      <c r="C927" s="10">
        <v>30827</v>
      </c>
      <c r="D927">
        <v>1</v>
      </c>
    </row>
    <row r="928" spans="2:4" x14ac:dyDescent="0.25">
      <c r="B928" t="s">
        <v>1867</v>
      </c>
      <c r="C928" s="10">
        <v>28797</v>
      </c>
      <c r="D928">
        <v>1</v>
      </c>
    </row>
    <row r="929" spans="2:4" x14ac:dyDescent="0.25">
      <c r="B929" t="s">
        <v>1872</v>
      </c>
      <c r="C929" s="10">
        <v>32354</v>
      </c>
      <c r="D929">
        <v>1</v>
      </c>
    </row>
    <row r="930" spans="2:4" x14ac:dyDescent="0.25">
      <c r="B930" t="s">
        <v>1971</v>
      </c>
      <c r="C930" s="10">
        <v>35697</v>
      </c>
      <c r="D930">
        <v>1</v>
      </c>
    </row>
    <row r="931" spans="2:4" x14ac:dyDescent="0.25">
      <c r="B931" t="s">
        <v>2020</v>
      </c>
      <c r="C931" s="10">
        <v>30536</v>
      </c>
      <c r="D931">
        <v>1</v>
      </c>
    </row>
    <row r="932" spans="2:4" x14ac:dyDescent="0.25">
      <c r="B932" t="s">
        <v>1988</v>
      </c>
      <c r="C932" s="10">
        <v>31933</v>
      </c>
      <c r="D932">
        <v>1</v>
      </c>
    </row>
    <row r="933" spans="2:4" x14ac:dyDescent="0.25">
      <c r="B933" t="s">
        <v>1977</v>
      </c>
      <c r="C933" s="10">
        <v>35654</v>
      </c>
      <c r="D933">
        <v>1</v>
      </c>
    </row>
    <row r="934" spans="2:4" x14ac:dyDescent="0.25">
      <c r="B934" t="s">
        <v>1948</v>
      </c>
      <c r="C934" s="10">
        <v>30121</v>
      </c>
      <c r="D934">
        <v>1</v>
      </c>
    </row>
    <row r="935" spans="2:4" x14ac:dyDescent="0.25">
      <c r="B935" t="s">
        <v>1987</v>
      </c>
      <c r="C935" s="10">
        <v>35678</v>
      </c>
      <c r="D935">
        <v>1</v>
      </c>
    </row>
    <row r="936" spans="2:4" x14ac:dyDescent="0.25">
      <c r="B936" t="s">
        <v>1974</v>
      </c>
      <c r="C936" s="10">
        <v>35000</v>
      </c>
      <c r="D936">
        <v>1</v>
      </c>
    </row>
    <row r="937" spans="2:4" x14ac:dyDescent="0.25">
      <c r="B937" t="s">
        <v>2014</v>
      </c>
      <c r="C937" s="10">
        <v>22888</v>
      </c>
      <c r="D937">
        <v>1</v>
      </c>
    </row>
    <row r="938" spans="2:4" x14ac:dyDescent="0.25">
      <c r="B938" t="s">
        <v>2006</v>
      </c>
      <c r="C938" s="10">
        <v>32636</v>
      </c>
      <c r="D938">
        <v>1</v>
      </c>
    </row>
    <row r="939" spans="2:4" x14ac:dyDescent="0.25">
      <c r="B939" t="s">
        <v>1940</v>
      </c>
      <c r="C939" s="10">
        <v>28858</v>
      </c>
      <c r="D939">
        <v>1</v>
      </c>
    </row>
    <row r="940" spans="2:4" x14ac:dyDescent="0.25">
      <c r="B940" t="s">
        <v>1856</v>
      </c>
      <c r="C940" s="10">
        <v>33261</v>
      </c>
      <c r="D940">
        <v>1</v>
      </c>
    </row>
    <row r="941" spans="2:4" x14ac:dyDescent="0.25">
      <c r="B941" t="s">
        <v>1858</v>
      </c>
      <c r="C941" s="10">
        <v>35389</v>
      </c>
      <c r="D941">
        <v>1</v>
      </c>
    </row>
    <row r="942" spans="2:4" x14ac:dyDescent="0.25">
      <c r="B942" t="s">
        <v>2466</v>
      </c>
      <c r="C942" s="10">
        <v>29600</v>
      </c>
      <c r="D942">
        <v>1</v>
      </c>
    </row>
    <row r="943" spans="2:4" x14ac:dyDescent="0.25">
      <c r="B943" t="s">
        <v>1882</v>
      </c>
      <c r="C943" s="10">
        <v>35095</v>
      </c>
      <c r="D943">
        <v>1</v>
      </c>
    </row>
    <row r="944" spans="2:4" x14ac:dyDescent="0.25">
      <c r="B944" t="s">
        <v>1897</v>
      </c>
      <c r="C944" s="10">
        <v>29238</v>
      </c>
      <c r="D944">
        <v>1</v>
      </c>
    </row>
    <row r="945" spans="2:4" x14ac:dyDescent="0.25">
      <c r="B945" t="s">
        <v>1902</v>
      </c>
      <c r="C945" s="10">
        <v>34612</v>
      </c>
      <c r="D945">
        <v>1</v>
      </c>
    </row>
    <row r="946" spans="2:4" x14ac:dyDescent="0.25">
      <c r="B946" t="s">
        <v>1912</v>
      </c>
      <c r="C946" s="10">
        <v>29463</v>
      </c>
      <c r="D946">
        <v>1</v>
      </c>
    </row>
    <row r="947" spans="2:4" x14ac:dyDescent="0.25">
      <c r="B947" t="s">
        <v>1928</v>
      </c>
      <c r="C947" s="10">
        <v>29219</v>
      </c>
      <c r="D947">
        <v>1</v>
      </c>
    </row>
    <row r="948" spans="2:4" x14ac:dyDescent="0.25">
      <c r="B948" t="s">
        <v>1964</v>
      </c>
      <c r="C948" s="10">
        <v>35146</v>
      </c>
      <c r="D948">
        <v>1</v>
      </c>
    </row>
    <row r="949" spans="2:4" x14ac:dyDescent="0.25">
      <c r="B949" t="s">
        <v>1972</v>
      </c>
      <c r="C949" s="10">
        <v>30433</v>
      </c>
      <c r="D949">
        <v>1</v>
      </c>
    </row>
    <row r="950" spans="2:4" x14ac:dyDescent="0.25">
      <c r="B950" t="s">
        <v>2481</v>
      </c>
      <c r="C950" s="10">
        <v>33573</v>
      </c>
      <c r="D950">
        <v>1</v>
      </c>
    </row>
    <row r="951" spans="2:4" x14ac:dyDescent="0.25">
      <c r="B951" t="s">
        <v>2000</v>
      </c>
      <c r="C951" s="10">
        <v>29937</v>
      </c>
      <c r="D951">
        <v>1</v>
      </c>
    </row>
    <row r="952" spans="2:4" x14ac:dyDescent="0.25">
      <c r="B952" t="s">
        <v>2005</v>
      </c>
      <c r="C952" s="10">
        <v>31255</v>
      </c>
      <c r="D952">
        <v>1</v>
      </c>
    </row>
    <row r="953" spans="2:4" x14ac:dyDescent="0.25">
      <c r="B953" t="s">
        <v>2009</v>
      </c>
      <c r="C953" s="10">
        <v>36814</v>
      </c>
      <c r="D953">
        <v>1</v>
      </c>
    </row>
    <row r="954" spans="2:4" x14ac:dyDescent="0.25">
      <c r="B954" t="s">
        <v>1895</v>
      </c>
      <c r="C954" s="10">
        <v>37083</v>
      </c>
      <c r="D954">
        <v>1</v>
      </c>
    </row>
    <row r="955" spans="2:4" x14ac:dyDescent="0.25">
      <c r="B955" t="s">
        <v>1877</v>
      </c>
      <c r="C955" s="10">
        <v>34958</v>
      </c>
      <c r="D955">
        <v>1</v>
      </c>
    </row>
    <row r="956" spans="2:4" x14ac:dyDescent="0.25">
      <c r="B956" t="s">
        <v>1881</v>
      </c>
      <c r="C956" s="10">
        <v>33988</v>
      </c>
      <c r="D956">
        <v>1</v>
      </c>
    </row>
    <row r="957" spans="2:4" x14ac:dyDescent="0.25">
      <c r="B957" t="s">
        <v>1927</v>
      </c>
      <c r="C957" s="10">
        <v>34942</v>
      </c>
      <c r="D957">
        <v>1</v>
      </c>
    </row>
    <row r="958" spans="2:4" x14ac:dyDescent="0.25">
      <c r="B958" t="s">
        <v>2477</v>
      </c>
      <c r="C958" s="10">
        <v>34413</v>
      </c>
      <c r="D958">
        <v>1</v>
      </c>
    </row>
    <row r="959" spans="2:4" x14ac:dyDescent="0.25">
      <c r="B959" t="s">
        <v>1951</v>
      </c>
      <c r="C959" s="10">
        <v>33819</v>
      </c>
      <c r="D959">
        <v>1</v>
      </c>
    </row>
    <row r="960" spans="2:4" x14ac:dyDescent="0.25">
      <c r="B960" t="s">
        <v>2482</v>
      </c>
      <c r="C960" s="10">
        <v>33880</v>
      </c>
      <c r="D960">
        <v>1</v>
      </c>
    </row>
    <row r="961" spans="2:4" x14ac:dyDescent="0.25">
      <c r="B961" t="s">
        <v>2023</v>
      </c>
      <c r="C961" s="10">
        <v>35570</v>
      </c>
      <c r="D961">
        <v>1</v>
      </c>
    </row>
    <row r="962" spans="2:4" x14ac:dyDescent="0.25">
      <c r="B962" t="s">
        <v>1870</v>
      </c>
      <c r="C962" s="10">
        <v>30497</v>
      </c>
      <c r="D962">
        <v>1</v>
      </c>
    </row>
    <row r="963" spans="2:4" x14ac:dyDescent="0.25">
      <c r="B963" t="s">
        <v>1883</v>
      </c>
      <c r="C963" s="10">
        <v>31369</v>
      </c>
      <c r="D963">
        <v>1</v>
      </c>
    </row>
    <row r="964" spans="2:4" x14ac:dyDescent="0.25">
      <c r="B964" t="s">
        <v>1896</v>
      </c>
      <c r="C964" s="10">
        <v>33621</v>
      </c>
      <c r="D964">
        <v>1</v>
      </c>
    </row>
    <row r="965" spans="2:4" x14ac:dyDescent="0.25">
      <c r="B965" t="s">
        <v>1904</v>
      </c>
      <c r="C965" s="10">
        <v>33667</v>
      </c>
      <c r="D965">
        <v>1</v>
      </c>
    </row>
    <row r="966" spans="2:4" x14ac:dyDescent="0.25">
      <c r="B966" t="s">
        <v>2473</v>
      </c>
      <c r="C966" s="10">
        <v>31081</v>
      </c>
      <c r="D966">
        <v>1</v>
      </c>
    </row>
    <row r="967" spans="2:4" x14ac:dyDescent="0.25">
      <c r="B967" t="s">
        <v>1933</v>
      </c>
      <c r="C967" s="10">
        <v>30915</v>
      </c>
      <c r="D967">
        <v>1</v>
      </c>
    </row>
    <row r="968" spans="2:4" x14ac:dyDescent="0.25">
      <c r="B968" t="s">
        <v>1938</v>
      </c>
      <c r="C968" s="10">
        <v>30930</v>
      </c>
      <c r="D968">
        <v>1</v>
      </c>
    </row>
    <row r="969" spans="2:4" x14ac:dyDescent="0.25">
      <c r="B969" t="s">
        <v>1953</v>
      </c>
      <c r="C969" s="10">
        <v>33590</v>
      </c>
      <c r="D969">
        <v>1</v>
      </c>
    </row>
    <row r="970" spans="2:4" x14ac:dyDescent="0.25">
      <c r="B970" t="s">
        <v>1963</v>
      </c>
      <c r="C970" s="10">
        <v>30491</v>
      </c>
      <c r="D970">
        <v>1</v>
      </c>
    </row>
    <row r="971" spans="2:4" x14ac:dyDescent="0.25">
      <c r="B971" t="s">
        <v>1873</v>
      </c>
      <c r="C971" s="10">
        <v>29480</v>
      </c>
      <c r="D971">
        <v>1</v>
      </c>
    </row>
    <row r="972" spans="2:4" x14ac:dyDescent="0.25">
      <c r="B972" t="s">
        <v>1905</v>
      </c>
      <c r="C972" s="10">
        <v>29643</v>
      </c>
      <c r="D972">
        <v>1</v>
      </c>
    </row>
    <row r="973" spans="2:4" x14ac:dyDescent="0.25">
      <c r="B973" t="s">
        <v>2476</v>
      </c>
      <c r="C973" s="10">
        <v>28954</v>
      </c>
      <c r="D973">
        <v>1</v>
      </c>
    </row>
    <row r="974" spans="2:4" x14ac:dyDescent="0.25">
      <c r="B974" t="s">
        <v>1935</v>
      </c>
      <c r="C974" s="10">
        <v>27624</v>
      </c>
      <c r="D974">
        <v>1</v>
      </c>
    </row>
    <row r="975" spans="2:4" x14ac:dyDescent="0.25">
      <c r="B975" t="s">
        <v>1939</v>
      </c>
      <c r="C975" s="10">
        <v>30210</v>
      </c>
      <c r="D975">
        <v>1</v>
      </c>
    </row>
    <row r="976" spans="2:4" x14ac:dyDescent="0.25">
      <c r="B976" t="s">
        <v>1955</v>
      </c>
      <c r="C976" s="10">
        <v>28871</v>
      </c>
      <c r="D976">
        <v>1</v>
      </c>
    </row>
    <row r="977" spans="2:4" x14ac:dyDescent="0.25">
      <c r="B977" t="s">
        <v>1999</v>
      </c>
      <c r="C977" s="10">
        <v>28578</v>
      </c>
      <c r="D977">
        <v>1</v>
      </c>
    </row>
    <row r="978" spans="2:4" x14ac:dyDescent="0.25">
      <c r="B978" t="s">
        <v>2024</v>
      </c>
      <c r="C978" s="10">
        <v>28787</v>
      </c>
      <c r="D978">
        <v>1</v>
      </c>
    </row>
    <row r="979" spans="2:4" x14ac:dyDescent="0.25">
      <c r="B979" t="s">
        <v>2469</v>
      </c>
      <c r="C979" s="10">
        <v>25323</v>
      </c>
      <c r="D979">
        <v>1</v>
      </c>
    </row>
    <row r="980" spans="2:4" x14ac:dyDescent="0.25">
      <c r="B980" t="s">
        <v>1920</v>
      </c>
      <c r="C980" s="10">
        <v>25721</v>
      </c>
      <c r="D980">
        <v>1</v>
      </c>
    </row>
    <row r="981" spans="2:4" x14ac:dyDescent="0.25">
      <c r="B981" t="s">
        <v>1942</v>
      </c>
      <c r="C981" s="10">
        <v>24155</v>
      </c>
      <c r="D981">
        <v>1</v>
      </c>
    </row>
    <row r="982" spans="2:4" x14ac:dyDescent="0.25">
      <c r="B982" t="s">
        <v>1946</v>
      </c>
      <c r="C982" s="10">
        <v>27155</v>
      </c>
      <c r="D982">
        <v>1</v>
      </c>
    </row>
    <row r="983" spans="2:4" x14ac:dyDescent="0.25">
      <c r="B983" t="s">
        <v>1958</v>
      </c>
      <c r="C983" s="10">
        <v>26661</v>
      </c>
      <c r="D983">
        <v>1</v>
      </c>
    </row>
    <row r="984" spans="2:4" x14ac:dyDescent="0.25">
      <c r="B984" t="s">
        <v>1961</v>
      </c>
      <c r="C984" s="10">
        <v>22336</v>
      </c>
      <c r="D984">
        <v>1</v>
      </c>
    </row>
    <row r="985" spans="2:4" x14ac:dyDescent="0.25">
      <c r="B985" t="s">
        <v>2145</v>
      </c>
      <c r="C985" s="10">
        <v>36909</v>
      </c>
      <c r="D985">
        <v>1</v>
      </c>
    </row>
    <row r="986" spans="2:4" x14ac:dyDescent="0.25">
      <c r="B986" t="s">
        <v>2141</v>
      </c>
      <c r="C986" s="10">
        <v>36037</v>
      </c>
      <c r="D986">
        <v>1</v>
      </c>
    </row>
    <row r="987" spans="2:4" x14ac:dyDescent="0.25">
      <c r="B987" t="s">
        <v>2138</v>
      </c>
      <c r="C987" s="10">
        <v>31316</v>
      </c>
      <c r="D987">
        <v>1</v>
      </c>
    </row>
    <row r="988" spans="2:4" x14ac:dyDescent="0.25">
      <c r="B988" t="s">
        <v>2139</v>
      </c>
      <c r="C988" s="10">
        <v>28469</v>
      </c>
      <c r="D988">
        <v>1</v>
      </c>
    </row>
    <row r="989" spans="2:4" x14ac:dyDescent="0.25">
      <c r="B989" t="s">
        <v>2142</v>
      </c>
      <c r="C989" s="10">
        <v>29147</v>
      </c>
      <c r="D989">
        <v>1</v>
      </c>
    </row>
    <row r="990" spans="2:4" x14ac:dyDescent="0.25">
      <c r="B990" t="s">
        <v>2144</v>
      </c>
      <c r="C990" s="10">
        <v>26112</v>
      </c>
      <c r="D990">
        <v>1</v>
      </c>
    </row>
    <row r="991" spans="2:4" x14ac:dyDescent="0.25">
      <c r="B991" t="s">
        <v>2088</v>
      </c>
      <c r="C991" s="10">
        <v>23865</v>
      </c>
      <c r="D991">
        <v>1</v>
      </c>
    </row>
    <row r="992" spans="2:4" x14ac:dyDescent="0.25">
      <c r="B992" t="s">
        <v>2470</v>
      </c>
      <c r="C992" s="10">
        <v>35061</v>
      </c>
      <c r="D992">
        <v>1</v>
      </c>
    </row>
    <row r="993" spans="1:4" x14ac:dyDescent="0.25">
      <c r="B993" t="s">
        <v>2474</v>
      </c>
      <c r="C993" s="10">
        <v>34189</v>
      </c>
      <c r="D993">
        <v>1</v>
      </c>
    </row>
    <row r="994" spans="1:4" x14ac:dyDescent="0.25">
      <c r="B994" t="s">
        <v>2480</v>
      </c>
      <c r="C994" s="10">
        <v>33530</v>
      </c>
      <c r="D994">
        <v>1</v>
      </c>
    </row>
    <row r="995" spans="1:4" x14ac:dyDescent="0.25">
      <c r="B995" t="s">
        <v>2471</v>
      </c>
      <c r="C995" s="10">
        <v>29560</v>
      </c>
      <c r="D995">
        <v>1</v>
      </c>
    </row>
    <row r="996" spans="1:4" x14ac:dyDescent="0.25">
      <c r="B996" t="s">
        <v>2478</v>
      </c>
      <c r="C996" s="10">
        <v>29142</v>
      </c>
      <c r="D996">
        <v>1</v>
      </c>
    </row>
    <row r="997" spans="1:4" x14ac:dyDescent="0.25">
      <c r="B997" t="s">
        <v>2468</v>
      </c>
      <c r="C997" s="10">
        <v>27078</v>
      </c>
      <c r="D997">
        <v>1</v>
      </c>
    </row>
    <row r="998" spans="1:4" x14ac:dyDescent="0.25">
      <c r="A998" t="s">
        <v>17</v>
      </c>
      <c r="D998">
        <v>84</v>
      </c>
    </row>
    <row r="999" spans="1:4" x14ac:dyDescent="0.25">
      <c r="A999" t="s">
        <v>54</v>
      </c>
      <c r="D999">
        <v>53</v>
      </c>
    </row>
    <row r="1000" spans="1:4" x14ac:dyDescent="0.25">
      <c r="A1000" t="s">
        <v>220</v>
      </c>
      <c r="D1000">
        <v>90</v>
      </c>
    </row>
    <row r="1001" spans="1:4" x14ac:dyDescent="0.25">
      <c r="A1001" t="s">
        <v>39</v>
      </c>
      <c r="D1001">
        <v>319</v>
      </c>
    </row>
    <row r="1002" spans="1:4" x14ac:dyDescent="0.25">
      <c r="A1002" t="s">
        <v>202</v>
      </c>
      <c r="B1002" t="s">
        <v>581</v>
      </c>
      <c r="C1002" s="10">
        <v>26738</v>
      </c>
      <c r="D1002">
        <v>1</v>
      </c>
    </row>
    <row r="1003" spans="1:4" x14ac:dyDescent="0.25">
      <c r="B1003" t="s">
        <v>584</v>
      </c>
      <c r="C1003" s="10">
        <v>30540</v>
      </c>
      <c r="D1003">
        <v>1</v>
      </c>
    </row>
    <row r="1004" spans="1:4" x14ac:dyDescent="0.25">
      <c r="B1004" t="s">
        <v>585</v>
      </c>
      <c r="C1004" s="10">
        <v>28427</v>
      </c>
      <c r="D1004">
        <v>1</v>
      </c>
    </row>
    <row r="1005" spans="1:4" x14ac:dyDescent="0.25">
      <c r="B1005" t="s">
        <v>586</v>
      </c>
      <c r="C1005" s="10">
        <v>31604</v>
      </c>
      <c r="D1005">
        <v>1</v>
      </c>
    </row>
    <row r="1006" spans="1:4" x14ac:dyDescent="0.25">
      <c r="B1006" t="s">
        <v>588</v>
      </c>
      <c r="C1006" s="10">
        <v>31171</v>
      </c>
      <c r="D1006">
        <v>1</v>
      </c>
    </row>
    <row r="1007" spans="1:4" x14ac:dyDescent="0.25">
      <c r="B1007" t="s">
        <v>589</v>
      </c>
      <c r="C1007" s="10">
        <v>23255</v>
      </c>
      <c r="D1007">
        <v>1</v>
      </c>
    </row>
    <row r="1008" spans="1:4" x14ac:dyDescent="0.25">
      <c r="B1008" t="s">
        <v>590</v>
      </c>
      <c r="C1008" s="10">
        <v>33572</v>
      </c>
      <c r="D1008">
        <v>1</v>
      </c>
    </row>
    <row r="1009" spans="2:4" x14ac:dyDescent="0.25">
      <c r="B1009" t="s">
        <v>592</v>
      </c>
      <c r="C1009" s="10">
        <v>27634</v>
      </c>
      <c r="D1009">
        <v>1</v>
      </c>
    </row>
    <row r="1010" spans="2:4" x14ac:dyDescent="0.25">
      <c r="B1010" t="s">
        <v>594</v>
      </c>
      <c r="C1010" s="10">
        <v>35754</v>
      </c>
      <c r="D1010">
        <v>1</v>
      </c>
    </row>
    <row r="1011" spans="2:4" x14ac:dyDescent="0.25">
      <c r="B1011" t="s">
        <v>596</v>
      </c>
      <c r="C1011" s="10">
        <v>23560</v>
      </c>
      <c r="D1011">
        <v>1</v>
      </c>
    </row>
    <row r="1012" spans="2:4" x14ac:dyDescent="0.25">
      <c r="B1012" t="s">
        <v>599</v>
      </c>
      <c r="C1012" s="10">
        <v>25907</v>
      </c>
      <c r="D1012">
        <v>1</v>
      </c>
    </row>
    <row r="1013" spans="2:4" x14ac:dyDescent="0.25">
      <c r="B1013" t="s">
        <v>603</v>
      </c>
      <c r="C1013" s="10">
        <v>32154</v>
      </c>
      <c r="D1013">
        <v>1</v>
      </c>
    </row>
    <row r="1014" spans="2:4" x14ac:dyDescent="0.25">
      <c r="B1014" t="s">
        <v>606</v>
      </c>
      <c r="C1014" s="10">
        <v>29467</v>
      </c>
      <c r="D1014">
        <v>1</v>
      </c>
    </row>
    <row r="1015" spans="2:4" x14ac:dyDescent="0.25">
      <c r="B1015" t="s">
        <v>607</v>
      </c>
      <c r="C1015" s="10">
        <v>27030</v>
      </c>
      <c r="D1015">
        <v>1</v>
      </c>
    </row>
    <row r="1016" spans="2:4" x14ac:dyDescent="0.25">
      <c r="B1016" t="s">
        <v>608</v>
      </c>
      <c r="C1016" s="10">
        <v>32641</v>
      </c>
      <c r="D1016">
        <v>1</v>
      </c>
    </row>
    <row r="1017" spans="2:4" x14ac:dyDescent="0.25">
      <c r="B1017" t="s">
        <v>610</v>
      </c>
      <c r="C1017" s="10">
        <v>31866</v>
      </c>
      <c r="D1017">
        <v>1</v>
      </c>
    </row>
    <row r="1018" spans="2:4" x14ac:dyDescent="0.25">
      <c r="B1018" t="s">
        <v>613</v>
      </c>
      <c r="C1018" s="10">
        <v>22516</v>
      </c>
      <c r="D1018">
        <v>1</v>
      </c>
    </row>
    <row r="1019" spans="2:4" x14ac:dyDescent="0.25">
      <c r="B1019" t="s">
        <v>618</v>
      </c>
      <c r="C1019" s="10">
        <v>28839</v>
      </c>
      <c r="D1019">
        <v>1</v>
      </c>
    </row>
    <row r="1020" spans="2:4" x14ac:dyDescent="0.25">
      <c r="B1020" t="s">
        <v>614</v>
      </c>
      <c r="C1020" s="10">
        <v>30244</v>
      </c>
      <c r="D1020">
        <v>1</v>
      </c>
    </row>
    <row r="1021" spans="2:4" x14ac:dyDescent="0.25">
      <c r="B1021" t="s">
        <v>616</v>
      </c>
      <c r="C1021" s="10">
        <v>31538</v>
      </c>
      <c r="D1021">
        <v>1</v>
      </c>
    </row>
    <row r="1022" spans="2:4" x14ac:dyDescent="0.25">
      <c r="B1022" t="s">
        <v>617</v>
      </c>
      <c r="C1022" s="10">
        <v>31486</v>
      </c>
      <c r="D1022">
        <v>1</v>
      </c>
    </row>
    <row r="1023" spans="2:4" x14ac:dyDescent="0.25">
      <c r="B1023" t="s">
        <v>580</v>
      </c>
      <c r="C1023" s="10">
        <v>29118</v>
      </c>
      <c r="D1023">
        <v>1</v>
      </c>
    </row>
    <row r="1024" spans="2:4" x14ac:dyDescent="0.25">
      <c r="B1024" t="s">
        <v>576</v>
      </c>
      <c r="C1024" s="10">
        <v>31866</v>
      </c>
      <c r="D1024">
        <v>1</v>
      </c>
    </row>
    <row r="1025" spans="2:4" x14ac:dyDescent="0.25">
      <c r="B1025" t="s">
        <v>598</v>
      </c>
      <c r="C1025" s="10">
        <v>24313</v>
      </c>
      <c r="D1025">
        <v>1</v>
      </c>
    </row>
    <row r="1026" spans="2:4" x14ac:dyDescent="0.25">
      <c r="B1026" t="s">
        <v>604</v>
      </c>
      <c r="C1026" s="10">
        <v>28847</v>
      </c>
      <c r="D1026">
        <v>1</v>
      </c>
    </row>
    <row r="1027" spans="2:4" x14ac:dyDescent="0.25">
      <c r="B1027" t="s">
        <v>578</v>
      </c>
      <c r="C1027" s="10">
        <v>26873</v>
      </c>
      <c r="D1027">
        <v>1</v>
      </c>
    </row>
    <row r="1028" spans="2:4" x14ac:dyDescent="0.25">
      <c r="B1028" t="s">
        <v>582</v>
      </c>
      <c r="C1028" s="10">
        <v>27524</v>
      </c>
      <c r="D1028">
        <v>1</v>
      </c>
    </row>
    <row r="1029" spans="2:4" x14ac:dyDescent="0.25">
      <c r="B1029" t="s">
        <v>601</v>
      </c>
      <c r="C1029" s="10">
        <v>31432</v>
      </c>
      <c r="D1029">
        <v>1</v>
      </c>
    </row>
    <row r="1030" spans="2:4" x14ac:dyDescent="0.25">
      <c r="B1030" t="s">
        <v>612</v>
      </c>
      <c r="C1030" s="10">
        <v>34413</v>
      </c>
      <c r="D1030">
        <v>1</v>
      </c>
    </row>
    <row r="1031" spans="2:4" x14ac:dyDescent="0.25">
      <c r="B1031" t="s">
        <v>619</v>
      </c>
      <c r="C1031" s="10">
        <v>24933</v>
      </c>
      <c r="D1031">
        <v>1</v>
      </c>
    </row>
    <row r="1032" spans="2:4" x14ac:dyDescent="0.25">
      <c r="B1032" t="s">
        <v>620</v>
      </c>
      <c r="C1032" s="10">
        <v>31562</v>
      </c>
      <c r="D1032">
        <v>1</v>
      </c>
    </row>
    <row r="1033" spans="2:4" x14ac:dyDescent="0.25">
      <c r="B1033" t="s">
        <v>622</v>
      </c>
      <c r="C1033" s="10">
        <v>36353</v>
      </c>
      <c r="D1033">
        <v>1</v>
      </c>
    </row>
    <row r="1034" spans="2:4" x14ac:dyDescent="0.25">
      <c r="B1034" t="s">
        <v>624</v>
      </c>
      <c r="C1034" s="10">
        <v>27595</v>
      </c>
      <c r="D1034">
        <v>1</v>
      </c>
    </row>
    <row r="1035" spans="2:4" x14ac:dyDescent="0.25">
      <c r="B1035" t="s">
        <v>626</v>
      </c>
      <c r="C1035" s="10">
        <v>24514</v>
      </c>
      <c r="D1035">
        <v>1</v>
      </c>
    </row>
    <row r="1036" spans="2:4" x14ac:dyDescent="0.25">
      <c r="B1036" t="s">
        <v>628</v>
      </c>
      <c r="C1036" s="10">
        <v>30413</v>
      </c>
      <c r="D1036">
        <v>1</v>
      </c>
    </row>
    <row r="1037" spans="2:4" x14ac:dyDescent="0.25">
      <c r="B1037" t="s">
        <v>1704</v>
      </c>
      <c r="C1037" s="10">
        <v>30507</v>
      </c>
      <c r="D1037">
        <v>1</v>
      </c>
    </row>
    <row r="1038" spans="2:4" x14ac:dyDescent="0.25">
      <c r="B1038" t="s">
        <v>3228</v>
      </c>
      <c r="C1038" s="10">
        <v>32852</v>
      </c>
      <c r="D1038">
        <v>1</v>
      </c>
    </row>
    <row r="1039" spans="2:4" x14ac:dyDescent="0.25">
      <c r="B1039" t="s">
        <v>2855</v>
      </c>
      <c r="C1039" s="10">
        <v>32380</v>
      </c>
      <c r="D1039">
        <v>1</v>
      </c>
    </row>
    <row r="1040" spans="2:4" x14ac:dyDescent="0.25">
      <c r="B1040" t="s">
        <v>3227</v>
      </c>
      <c r="C1040" s="10">
        <v>30513</v>
      </c>
      <c r="D1040">
        <v>1</v>
      </c>
    </row>
    <row r="1041" spans="1:4" x14ac:dyDescent="0.25">
      <c r="A1041" t="s">
        <v>174</v>
      </c>
      <c r="D1041">
        <v>106</v>
      </c>
    </row>
    <row r="1042" spans="1:4" x14ac:dyDescent="0.25">
      <c r="A1042" t="s">
        <v>204</v>
      </c>
      <c r="D1042">
        <v>6</v>
      </c>
    </row>
    <row r="1043" spans="1:4" x14ac:dyDescent="0.25">
      <c r="A1043" t="s">
        <v>2870</v>
      </c>
      <c r="B1043" t="s">
        <v>343</v>
      </c>
      <c r="C1043" s="10">
        <v>19298</v>
      </c>
      <c r="D1043">
        <v>1</v>
      </c>
    </row>
    <row r="1044" spans="1:4" x14ac:dyDescent="0.25">
      <c r="B1044" t="s">
        <v>374</v>
      </c>
      <c r="C1044" s="10">
        <v>19409</v>
      </c>
      <c r="D1044">
        <v>1</v>
      </c>
    </row>
    <row r="1045" spans="1:4" x14ac:dyDescent="0.25">
      <c r="B1045" t="s">
        <v>373</v>
      </c>
      <c r="C1045" s="10">
        <v>30104</v>
      </c>
      <c r="D1045">
        <v>1</v>
      </c>
    </row>
    <row r="1046" spans="1:4" x14ac:dyDescent="0.25">
      <c r="B1046" t="s">
        <v>372</v>
      </c>
      <c r="C1046" s="10">
        <v>18391</v>
      </c>
      <c r="D1046">
        <v>1</v>
      </c>
    </row>
    <row r="1047" spans="1:4" x14ac:dyDescent="0.25">
      <c r="B1047" t="s">
        <v>375</v>
      </c>
      <c r="C1047" s="10">
        <v>21556</v>
      </c>
      <c r="D1047">
        <v>1</v>
      </c>
    </row>
    <row r="1048" spans="1:4" x14ac:dyDescent="0.25">
      <c r="B1048" t="s">
        <v>2871</v>
      </c>
      <c r="C1048" s="10">
        <v>30862</v>
      </c>
      <c r="D1048">
        <v>1</v>
      </c>
    </row>
    <row r="1049" spans="1:4" x14ac:dyDescent="0.25">
      <c r="B1049" t="s">
        <v>418</v>
      </c>
      <c r="C1049" s="10">
        <v>33690</v>
      </c>
      <c r="D1049">
        <v>1</v>
      </c>
    </row>
    <row r="1050" spans="1:4" x14ac:dyDescent="0.25">
      <c r="B1050" t="s">
        <v>2872</v>
      </c>
      <c r="C1050" s="10">
        <v>29797</v>
      </c>
      <c r="D1050">
        <v>1</v>
      </c>
    </row>
    <row r="1051" spans="1:4" x14ac:dyDescent="0.25">
      <c r="B1051" t="s">
        <v>2873</v>
      </c>
      <c r="C1051" s="10">
        <v>30280</v>
      </c>
      <c r="D1051">
        <v>1</v>
      </c>
    </row>
    <row r="1052" spans="1:4" x14ac:dyDescent="0.25">
      <c r="B1052" t="s">
        <v>2874</v>
      </c>
      <c r="C1052" s="10">
        <v>20445</v>
      </c>
      <c r="D1052">
        <v>1</v>
      </c>
    </row>
    <row r="1053" spans="1:4" x14ac:dyDescent="0.25">
      <c r="A1053" t="s">
        <v>218</v>
      </c>
      <c r="D1053">
        <v>199</v>
      </c>
    </row>
    <row r="1054" spans="1:4" x14ac:dyDescent="0.25">
      <c r="A1054" t="s">
        <v>26</v>
      </c>
      <c r="D1054">
        <v>204</v>
      </c>
    </row>
    <row r="1055" spans="1:4" x14ac:dyDescent="0.25">
      <c r="A1055" t="s">
        <v>2221</v>
      </c>
      <c r="B1055" t="s">
        <v>2222</v>
      </c>
      <c r="C1055" s="10">
        <v>33919</v>
      </c>
      <c r="D1055">
        <v>1</v>
      </c>
    </row>
    <row r="1056" spans="1:4" x14ac:dyDescent="0.25">
      <c r="B1056" t="s">
        <v>2227</v>
      </c>
      <c r="C1056" s="10">
        <v>30503</v>
      </c>
      <c r="D1056">
        <v>1</v>
      </c>
    </row>
    <row r="1057" spans="1:4" x14ac:dyDescent="0.25">
      <c r="B1057" t="s">
        <v>2224</v>
      </c>
      <c r="C1057" s="10">
        <v>35742</v>
      </c>
      <c r="D1057">
        <v>1</v>
      </c>
    </row>
    <row r="1058" spans="1:4" x14ac:dyDescent="0.25">
      <c r="B1058" t="s">
        <v>2225</v>
      </c>
      <c r="C1058" s="10">
        <v>36139</v>
      </c>
      <c r="D1058">
        <v>1</v>
      </c>
    </row>
    <row r="1059" spans="1:4" x14ac:dyDescent="0.25">
      <c r="B1059" t="s">
        <v>2223</v>
      </c>
      <c r="C1059" s="10">
        <v>30692</v>
      </c>
      <c r="D1059">
        <v>1</v>
      </c>
    </row>
    <row r="1060" spans="1:4" x14ac:dyDescent="0.25">
      <c r="B1060" t="s">
        <v>2226</v>
      </c>
      <c r="C1060" s="10">
        <v>32196</v>
      </c>
      <c r="D1060">
        <v>1</v>
      </c>
    </row>
    <row r="1061" spans="1:4" x14ac:dyDescent="0.25">
      <c r="B1061" t="s">
        <v>2536</v>
      </c>
      <c r="C1061" s="10">
        <v>37309</v>
      </c>
      <c r="D1061">
        <v>1</v>
      </c>
    </row>
    <row r="1062" spans="1:4" x14ac:dyDescent="0.25">
      <c r="B1062" t="s">
        <v>3252</v>
      </c>
      <c r="C1062" s="10">
        <v>35318</v>
      </c>
      <c r="D1062">
        <v>1</v>
      </c>
    </row>
    <row r="1063" spans="1:4" x14ac:dyDescent="0.25">
      <c r="A1063" t="s">
        <v>20</v>
      </c>
      <c r="D1063">
        <v>70</v>
      </c>
    </row>
    <row r="1064" spans="1:4" x14ac:dyDescent="0.25">
      <c r="A1064" t="s">
        <v>206</v>
      </c>
      <c r="B1064" t="s">
        <v>1243</v>
      </c>
      <c r="C1064" s="10">
        <v>31319</v>
      </c>
      <c r="D1064">
        <v>1</v>
      </c>
    </row>
    <row r="1065" spans="1:4" x14ac:dyDescent="0.25">
      <c r="B1065" t="s">
        <v>3253</v>
      </c>
      <c r="C1065" s="10">
        <v>33250</v>
      </c>
      <c r="D1065">
        <v>1</v>
      </c>
    </row>
    <row r="1066" spans="1:4" x14ac:dyDescent="0.25">
      <c r="B1066" t="s">
        <v>1240</v>
      </c>
      <c r="C1066" s="10">
        <v>26752</v>
      </c>
      <c r="D1066">
        <v>1</v>
      </c>
    </row>
    <row r="1067" spans="1:4" x14ac:dyDescent="0.25">
      <c r="B1067" t="s">
        <v>2231</v>
      </c>
      <c r="C1067" s="10">
        <v>27820</v>
      </c>
      <c r="D1067">
        <v>1</v>
      </c>
    </row>
    <row r="1068" spans="1:4" x14ac:dyDescent="0.25">
      <c r="B1068" t="s">
        <v>1238</v>
      </c>
      <c r="C1068" s="10">
        <v>33854</v>
      </c>
      <c r="D1068">
        <v>1</v>
      </c>
    </row>
    <row r="1069" spans="1:4" x14ac:dyDescent="0.25">
      <c r="B1069" t="s">
        <v>1245</v>
      </c>
      <c r="C1069" s="10">
        <v>35101</v>
      </c>
      <c r="D1069">
        <v>1</v>
      </c>
    </row>
    <row r="1070" spans="1:4" x14ac:dyDescent="0.25">
      <c r="B1070" t="s">
        <v>1241</v>
      </c>
      <c r="C1070" s="10">
        <v>27135</v>
      </c>
      <c r="D1070">
        <v>1</v>
      </c>
    </row>
    <row r="1071" spans="1:4" x14ac:dyDescent="0.25">
      <c r="B1071" t="s">
        <v>1246</v>
      </c>
      <c r="C1071" s="10">
        <v>26374</v>
      </c>
      <c r="D1071">
        <v>1</v>
      </c>
    </row>
    <row r="1072" spans="1:4" x14ac:dyDescent="0.25">
      <c r="B1072" t="s">
        <v>1242</v>
      </c>
      <c r="C1072" s="10">
        <v>31046</v>
      </c>
      <c r="D1072">
        <v>1</v>
      </c>
    </row>
    <row r="1073" spans="1:4" x14ac:dyDescent="0.25">
      <c r="B1073" t="s">
        <v>2883</v>
      </c>
      <c r="C1073" s="10">
        <v>35360</v>
      </c>
      <c r="D1073">
        <v>1</v>
      </c>
    </row>
    <row r="1074" spans="1:4" x14ac:dyDescent="0.25">
      <c r="B1074" t="s">
        <v>1236</v>
      </c>
      <c r="C1074" s="10">
        <v>31736</v>
      </c>
      <c r="D1074">
        <v>1</v>
      </c>
    </row>
    <row r="1075" spans="1:4" x14ac:dyDescent="0.25">
      <c r="B1075" t="s">
        <v>1247</v>
      </c>
      <c r="C1075" s="10">
        <v>33682</v>
      </c>
      <c r="D1075">
        <v>1</v>
      </c>
    </row>
    <row r="1076" spans="1:4" x14ac:dyDescent="0.25">
      <c r="B1076" t="s">
        <v>1248</v>
      </c>
      <c r="C1076" s="10">
        <v>32262</v>
      </c>
      <c r="D1076">
        <v>1</v>
      </c>
    </row>
    <row r="1077" spans="1:4" x14ac:dyDescent="0.25">
      <c r="B1077" t="s">
        <v>1249</v>
      </c>
      <c r="C1077" s="10">
        <v>31015</v>
      </c>
      <c r="D1077">
        <v>1</v>
      </c>
    </row>
    <row r="1078" spans="1:4" x14ac:dyDescent="0.25">
      <c r="B1078" t="s">
        <v>1251</v>
      </c>
      <c r="C1078" s="10">
        <v>33708</v>
      </c>
      <c r="D1078">
        <v>1</v>
      </c>
    </row>
    <row r="1079" spans="1:4" x14ac:dyDescent="0.25">
      <c r="B1079" t="s">
        <v>1253</v>
      </c>
      <c r="C1079" s="10">
        <v>25023</v>
      </c>
      <c r="D1079">
        <v>1</v>
      </c>
    </row>
    <row r="1080" spans="1:4" x14ac:dyDescent="0.25">
      <c r="B1080" t="s">
        <v>2884</v>
      </c>
      <c r="C1080" s="10">
        <v>35352</v>
      </c>
      <c r="D1080">
        <v>1</v>
      </c>
    </row>
    <row r="1081" spans="1:4" x14ac:dyDescent="0.25">
      <c r="B1081" t="s">
        <v>1738</v>
      </c>
      <c r="C1081" s="10">
        <v>31220</v>
      </c>
      <c r="D1081">
        <v>1</v>
      </c>
    </row>
    <row r="1082" spans="1:4" x14ac:dyDescent="0.25">
      <c r="B1082" t="s">
        <v>3254</v>
      </c>
      <c r="C1082" s="10">
        <v>28407</v>
      </c>
      <c r="D1082">
        <v>1</v>
      </c>
    </row>
    <row r="1083" spans="1:4" x14ac:dyDescent="0.25">
      <c r="B1083" t="s">
        <v>3255</v>
      </c>
      <c r="C1083" s="10">
        <v>33142</v>
      </c>
      <c r="D1083">
        <v>1</v>
      </c>
    </row>
    <row r="1084" spans="1:4" x14ac:dyDescent="0.25">
      <c r="A1084" t="s">
        <v>40</v>
      </c>
      <c r="D1084">
        <v>102</v>
      </c>
    </row>
    <row r="1085" spans="1:4" x14ac:dyDescent="0.25">
      <c r="A1085" t="s">
        <v>927</v>
      </c>
      <c r="B1085" t="s">
        <v>933</v>
      </c>
      <c r="C1085" s="10">
        <v>33450</v>
      </c>
      <c r="D1085">
        <v>1</v>
      </c>
    </row>
    <row r="1086" spans="1:4" x14ac:dyDescent="0.25">
      <c r="B1086" t="s">
        <v>967</v>
      </c>
      <c r="C1086" s="10">
        <v>33785</v>
      </c>
      <c r="D1086">
        <v>1</v>
      </c>
    </row>
    <row r="1087" spans="1:4" x14ac:dyDescent="0.25">
      <c r="B1087" t="s">
        <v>962</v>
      </c>
      <c r="C1087" s="10">
        <v>37708</v>
      </c>
      <c r="D1087">
        <v>1</v>
      </c>
    </row>
    <row r="1088" spans="1:4" x14ac:dyDescent="0.25">
      <c r="B1088" t="s">
        <v>935</v>
      </c>
      <c r="C1088" s="10">
        <v>35165</v>
      </c>
      <c r="D1088">
        <v>1</v>
      </c>
    </row>
    <row r="1089" spans="2:4" x14ac:dyDescent="0.25">
      <c r="B1089" t="s">
        <v>928</v>
      </c>
      <c r="C1089" s="10">
        <v>32460</v>
      </c>
      <c r="D1089">
        <v>1</v>
      </c>
    </row>
    <row r="1090" spans="2:4" x14ac:dyDescent="0.25">
      <c r="B1090" t="s">
        <v>930</v>
      </c>
      <c r="C1090" s="10">
        <v>27272</v>
      </c>
      <c r="D1090">
        <v>1</v>
      </c>
    </row>
    <row r="1091" spans="2:4" x14ac:dyDescent="0.25">
      <c r="B1091" t="s">
        <v>931</v>
      </c>
      <c r="C1091" s="10">
        <v>32159</v>
      </c>
      <c r="D1091">
        <v>1</v>
      </c>
    </row>
    <row r="1092" spans="2:4" x14ac:dyDescent="0.25">
      <c r="B1092" t="s">
        <v>934</v>
      </c>
      <c r="C1092" s="10">
        <v>36147</v>
      </c>
      <c r="D1092">
        <v>1</v>
      </c>
    </row>
    <row r="1093" spans="2:4" x14ac:dyDescent="0.25">
      <c r="B1093" t="s">
        <v>936</v>
      </c>
      <c r="C1093" s="10">
        <v>32090</v>
      </c>
      <c r="D1093">
        <v>1</v>
      </c>
    </row>
    <row r="1094" spans="2:4" x14ac:dyDescent="0.25">
      <c r="B1094" t="s">
        <v>937</v>
      </c>
      <c r="C1094" s="10">
        <v>28075</v>
      </c>
      <c r="D1094">
        <v>1</v>
      </c>
    </row>
    <row r="1095" spans="2:4" x14ac:dyDescent="0.25">
      <c r="B1095" t="s">
        <v>938</v>
      </c>
      <c r="C1095" s="10">
        <v>30710</v>
      </c>
      <c r="D1095">
        <v>1</v>
      </c>
    </row>
    <row r="1096" spans="2:4" x14ac:dyDescent="0.25">
      <c r="B1096" t="s">
        <v>939</v>
      </c>
      <c r="C1096" s="10">
        <v>34614</v>
      </c>
      <c r="D1096">
        <v>1</v>
      </c>
    </row>
    <row r="1097" spans="2:4" x14ac:dyDescent="0.25">
      <c r="B1097" t="s">
        <v>949</v>
      </c>
      <c r="C1097" s="10">
        <v>33621</v>
      </c>
      <c r="D1097">
        <v>1</v>
      </c>
    </row>
    <row r="1098" spans="2:4" x14ac:dyDescent="0.25">
      <c r="B1098" t="s">
        <v>950</v>
      </c>
      <c r="C1098" s="10">
        <v>25809</v>
      </c>
      <c r="D1098">
        <v>1</v>
      </c>
    </row>
    <row r="1099" spans="2:4" x14ac:dyDescent="0.25">
      <c r="B1099" t="s">
        <v>951</v>
      </c>
      <c r="C1099" s="10">
        <v>33019</v>
      </c>
      <c r="D1099">
        <v>1</v>
      </c>
    </row>
    <row r="1100" spans="2:4" x14ac:dyDescent="0.25">
      <c r="B1100" t="s">
        <v>952</v>
      </c>
      <c r="C1100" s="10">
        <v>30768</v>
      </c>
      <c r="D1100">
        <v>1</v>
      </c>
    </row>
    <row r="1101" spans="2:4" x14ac:dyDescent="0.25">
      <c r="B1101" t="s">
        <v>953</v>
      </c>
      <c r="C1101" s="10">
        <v>30486</v>
      </c>
      <c r="D1101">
        <v>1</v>
      </c>
    </row>
    <row r="1102" spans="2:4" x14ac:dyDescent="0.25">
      <c r="B1102" t="s">
        <v>954</v>
      </c>
      <c r="C1102" s="10">
        <v>30334</v>
      </c>
      <c r="D1102">
        <v>1</v>
      </c>
    </row>
    <row r="1103" spans="2:4" x14ac:dyDescent="0.25">
      <c r="B1103" t="s">
        <v>955</v>
      </c>
      <c r="C1103" s="10">
        <v>31734</v>
      </c>
      <c r="D1103">
        <v>1</v>
      </c>
    </row>
    <row r="1104" spans="2:4" x14ac:dyDescent="0.25">
      <c r="B1104" t="s">
        <v>956</v>
      </c>
      <c r="C1104" s="10">
        <v>31061</v>
      </c>
      <c r="D1104">
        <v>1</v>
      </c>
    </row>
    <row r="1105" spans="2:4" x14ac:dyDescent="0.25">
      <c r="B1105" t="s">
        <v>957</v>
      </c>
      <c r="C1105" s="10">
        <v>34740</v>
      </c>
      <c r="D1105">
        <v>1</v>
      </c>
    </row>
    <row r="1106" spans="2:4" x14ac:dyDescent="0.25">
      <c r="B1106" t="s">
        <v>958</v>
      </c>
      <c r="C1106" s="10">
        <v>30589</v>
      </c>
      <c r="D1106">
        <v>1</v>
      </c>
    </row>
    <row r="1107" spans="2:4" x14ac:dyDescent="0.25">
      <c r="B1107" t="s">
        <v>959</v>
      </c>
      <c r="C1107" s="10">
        <v>31348</v>
      </c>
      <c r="D1107">
        <v>1</v>
      </c>
    </row>
    <row r="1108" spans="2:4" x14ac:dyDescent="0.25">
      <c r="B1108" t="s">
        <v>960</v>
      </c>
      <c r="C1108" s="10">
        <v>31348</v>
      </c>
      <c r="D1108">
        <v>1</v>
      </c>
    </row>
    <row r="1109" spans="2:4" x14ac:dyDescent="0.25">
      <c r="B1109" t="s">
        <v>963</v>
      </c>
      <c r="C1109" s="10">
        <v>34254</v>
      </c>
      <c r="D1109">
        <v>1</v>
      </c>
    </row>
    <row r="1110" spans="2:4" x14ac:dyDescent="0.25">
      <c r="B1110" t="s">
        <v>964</v>
      </c>
      <c r="C1110" s="10">
        <v>28157</v>
      </c>
      <c r="D1110">
        <v>1</v>
      </c>
    </row>
    <row r="1111" spans="2:4" x14ac:dyDescent="0.25">
      <c r="B1111" t="s">
        <v>965</v>
      </c>
      <c r="C1111" s="10">
        <v>36613</v>
      </c>
      <c r="D1111">
        <v>1</v>
      </c>
    </row>
    <row r="1112" spans="2:4" x14ac:dyDescent="0.25">
      <c r="B1112" t="s">
        <v>966</v>
      </c>
      <c r="C1112" s="10">
        <v>37202</v>
      </c>
      <c r="D1112">
        <v>1</v>
      </c>
    </row>
    <row r="1113" spans="2:4" x14ac:dyDescent="0.25">
      <c r="B1113" t="s">
        <v>968</v>
      </c>
      <c r="C1113" s="10">
        <v>31514</v>
      </c>
      <c r="D1113">
        <v>1</v>
      </c>
    </row>
    <row r="1114" spans="2:4" x14ac:dyDescent="0.25">
      <c r="B1114" t="s">
        <v>969</v>
      </c>
      <c r="C1114" s="10">
        <v>32213</v>
      </c>
      <c r="D1114">
        <v>1</v>
      </c>
    </row>
    <row r="1115" spans="2:4" x14ac:dyDescent="0.25">
      <c r="B1115" t="s">
        <v>970</v>
      </c>
      <c r="C1115" s="10">
        <v>30001</v>
      </c>
      <c r="D1115">
        <v>1</v>
      </c>
    </row>
    <row r="1116" spans="2:4" x14ac:dyDescent="0.25">
      <c r="B1116" t="s">
        <v>971</v>
      </c>
      <c r="C1116" s="10">
        <v>33303</v>
      </c>
      <c r="D1116">
        <v>1</v>
      </c>
    </row>
    <row r="1117" spans="2:4" x14ac:dyDescent="0.25">
      <c r="B1117" t="s">
        <v>972</v>
      </c>
      <c r="C1117" s="10">
        <v>35636</v>
      </c>
      <c r="D1117">
        <v>1</v>
      </c>
    </row>
    <row r="1118" spans="2:4" x14ac:dyDescent="0.25">
      <c r="B1118" t="s">
        <v>941</v>
      </c>
      <c r="C1118" s="10">
        <v>31454</v>
      </c>
      <c r="D1118">
        <v>1</v>
      </c>
    </row>
    <row r="1119" spans="2:4" x14ac:dyDescent="0.25">
      <c r="B1119" t="s">
        <v>942</v>
      </c>
      <c r="C1119" s="10">
        <v>27893</v>
      </c>
      <c r="D1119">
        <v>1</v>
      </c>
    </row>
    <row r="1120" spans="2:4" x14ac:dyDescent="0.25">
      <c r="B1120" t="s">
        <v>944</v>
      </c>
      <c r="C1120" s="10">
        <v>27256</v>
      </c>
      <c r="D1120">
        <v>1</v>
      </c>
    </row>
    <row r="1121" spans="1:4" x14ac:dyDescent="0.25">
      <c r="B1121" t="s">
        <v>946</v>
      </c>
      <c r="C1121" s="10">
        <v>35920</v>
      </c>
      <c r="D1121">
        <v>1</v>
      </c>
    </row>
    <row r="1122" spans="1:4" x14ac:dyDescent="0.25">
      <c r="B1122" t="s">
        <v>948</v>
      </c>
      <c r="C1122" s="10">
        <v>32955</v>
      </c>
      <c r="D1122">
        <v>1</v>
      </c>
    </row>
    <row r="1123" spans="1:4" x14ac:dyDescent="0.25">
      <c r="A1123" t="s">
        <v>63</v>
      </c>
      <c r="D1123">
        <v>8</v>
      </c>
    </row>
    <row r="1124" spans="1:4" x14ac:dyDescent="0.25">
      <c r="A1124" t="s">
        <v>3006</v>
      </c>
      <c r="D1124">
        <v>8</v>
      </c>
    </row>
    <row r="1125" spans="1:4" x14ac:dyDescent="0.25">
      <c r="A1125" t="s">
        <v>1094</v>
      </c>
      <c r="B1125" t="s">
        <v>800</v>
      </c>
      <c r="C1125" s="10">
        <v>23603</v>
      </c>
      <c r="D1125">
        <v>1</v>
      </c>
    </row>
    <row r="1126" spans="1:4" x14ac:dyDescent="0.25">
      <c r="B1126" t="s">
        <v>801</v>
      </c>
      <c r="C1126" s="10">
        <v>36229</v>
      </c>
      <c r="D1126">
        <v>1</v>
      </c>
    </row>
    <row r="1127" spans="1:4" x14ac:dyDescent="0.25">
      <c r="B1127" t="s">
        <v>804</v>
      </c>
      <c r="C1127" s="10">
        <v>32310</v>
      </c>
      <c r="D1127">
        <v>1</v>
      </c>
    </row>
    <row r="1128" spans="1:4" x14ac:dyDescent="0.25">
      <c r="B1128" t="s">
        <v>2896</v>
      </c>
      <c r="C1128" s="10">
        <v>38146</v>
      </c>
      <c r="D1128">
        <v>1</v>
      </c>
    </row>
    <row r="1129" spans="1:4" x14ac:dyDescent="0.25">
      <c r="B1129" t="s">
        <v>805</v>
      </c>
      <c r="C1129" s="10">
        <v>22950</v>
      </c>
      <c r="D1129">
        <v>1</v>
      </c>
    </row>
    <row r="1130" spans="1:4" x14ac:dyDescent="0.25">
      <c r="B1130" t="s">
        <v>808</v>
      </c>
      <c r="C1130" s="10">
        <v>32260</v>
      </c>
      <c r="D1130">
        <v>1</v>
      </c>
    </row>
    <row r="1131" spans="1:4" x14ac:dyDescent="0.25">
      <c r="B1131" t="s">
        <v>809</v>
      </c>
      <c r="C1131" s="10">
        <v>28337</v>
      </c>
      <c r="D1131">
        <v>1</v>
      </c>
    </row>
    <row r="1132" spans="1:4" x14ac:dyDescent="0.25">
      <c r="B1132" t="s">
        <v>811</v>
      </c>
      <c r="C1132" s="10">
        <v>33173</v>
      </c>
      <c r="D1132">
        <v>1</v>
      </c>
    </row>
    <row r="1133" spans="1:4" x14ac:dyDescent="0.25">
      <c r="B1133" t="s">
        <v>812</v>
      </c>
      <c r="C1133" s="10">
        <v>32510</v>
      </c>
      <c r="D1133">
        <v>1</v>
      </c>
    </row>
    <row r="1134" spans="1:4" x14ac:dyDescent="0.25">
      <c r="B1134" t="s">
        <v>813</v>
      </c>
      <c r="C1134" s="10">
        <v>33773</v>
      </c>
      <c r="D1134">
        <v>1</v>
      </c>
    </row>
    <row r="1135" spans="1:4" x14ac:dyDescent="0.25">
      <c r="B1135" t="s">
        <v>814</v>
      </c>
      <c r="C1135" s="10">
        <v>30203</v>
      </c>
      <c r="D1135">
        <v>1</v>
      </c>
    </row>
    <row r="1136" spans="1:4" x14ac:dyDescent="0.25">
      <c r="B1136" t="s">
        <v>816</v>
      </c>
      <c r="C1136" s="10">
        <v>32021</v>
      </c>
      <c r="D1136">
        <v>1</v>
      </c>
    </row>
    <row r="1137" spans="2:4" x14ac:dyDescent="0.25">
      <c r="B1137" t="s">
        <v>817</v>
      </c>
      <c r="C1137" s="10">
        <v>29291</v>
      </c>
      <c r="D1137">
        <v>2</v>
      </c>
    </row>
    <row r="1138" spans="2:4" x14ac:dyDescent="0.25">
      <c r="B1138" t="s">
        <v>818</v>
      </c>
      <c r="C1138" s="10">
        <v>25186</v>
      </c>
      <c r="D1138">
        <v>1</v>
      </c>
    </row>
    <row r="1139" spans="2:4" x14ac:dyDescent="0.25">
      <c r="B1139" t="s">
        <v>819</v>
      </c>
      <c r="C1139" s="10">
        <v>33515</v>
      </c>
      <c r="D1139">
        <v>1</v>
      </c>
    </row>
    <row r="1140" spans="2:4" x14ac:dyDescent="0.25">
      <c r="B1140" t="s">
        <v>821</v>
      </c>
      <c r="C1140" s="10">
        <v>29868</v>
      </c>
      <c r="D1140">
        <v>1</v>
      </c>
    </row>
    <row r="1141" spans="2:4" x14ac:dyDescent="0.25">
      <c r="B1141" t="s">
        <v>822</v>
      </c>
      <c r="C1141" s="10">
        <v>31748</v>
      </c>
      <c r="D1141">
        <v>1</v>
      </c>
    </row>
    <row r="1142" spans="2:4" x14ac:dyDescent="0.25">
      <c r="B1142" t="s">
        <v>2261</v>
      </c>
      <c r="C1142" s="10">
        <v>31617</v>
      </c>
      <c r="D1142">
        <v>1</v>
      </c>
    </row>
    <row r="1143" spans="2:4" x14ac:dyDescent="0.25">
      <c r="B1143" t="s">
        <v>825</v>
      </c>
      <c r="C1143" s="10">
        <v>28002</v>
      </c>
      <c r="D1143">
        <v>1</v>
      </c>
    </row>
    <row r="1144" spans="2:4" x14ac:dyDescent="0.25">
      <c r="B1144" t="s">
        <v>1134</v>
      </c>
      <c r="C1144" s="10">
        <v>26129</v>
      </c>
      <c r="D1144">
        <v>1</v>
      </c>
    </row>
    <row r="1145" spans="2:4" x14ac:dyDescent="0.25">
      <c r="B1145" t="s">
        <v>1566</v>
      </c>
      <c r="C1145" s="10">
        <v>31675</v>
      </c>
      <c r="D1145">
        <v>1</v>
      </c>
    </row>
    <row r="1146" spans="2:4" x14ac:dyDescent="0.25">
      <c r="B1146" t="s">
        <v>830</v>
      </c>
      <c r="C1146" s="10">
        <v>32789</v>
      </c>
      <c r="D1146">
        <v>1</v>
      </c>
    </row>
    <row r="1147" spans="2:4" x14ac:dyDescent="0.25">
      <c r="B1147" t="s">
        <v>831</v>
      </c>
      <c r="C1147" s="10">
        <v>34383</v>
      </c>
      <c r="D1147">
        <v>1</v>
      </c>
    </row>
    <row r="1148" spans="2:4" x14ac:dyDescent="0.25">
      <c r="B1148" t="s">
        <v>832</v>
      </c>
      <c r="C1148" s="10">
        <v>24484</v>
      </c>
      <c r="D1148">
        <v>1</v>
      </c>
    </row>
    <row r="1149" spans="2:4" x14ac:dyDescent="0.25">
      <c r="B1149" t="s">
        <v>833</v>
      </c>
      <c r="C1149" s="10">
        <v>33127</v>
      </c>
      <c r="D1149">
        <v>1</v>
      </c>
    </row>
    <row r="1150" spans="2:4" x14ac:dyDescent="0.25">
      <c r="B1150" t="s">
        <v>834</v>
      </c>
      <c r="C1150" s="10">
        <v>31609</v>
      </c>
      <c r="D1150">
        <v>1</v>
      </c>
    </row>
    <row r="1151" spans="2:4" x14ac:dyDescent="0.25">
      <c r="B1151" t="s">
        <v>836</v>
      </c>
      <c r="C1151" s="10">
        <v>30609</v>
      </c>
      <c r="D1151">
        <v>1</v>
      </c>
    </row>
    <row r="1152" spans="2:4" x14ac:dyDescent="0.25">
      <c r="B1152" t="s">
        <v>838</v>
      </c>
      <c r="C1152" s="10">
        <v>31404</v>
      </c>
      <c r="D1152">
        <v>1</v>
      </c>
    </row>
    <row r="1153" spans="2:4" x14ac:dyDescent="0.25">
      <c r="B1153" t="s">
        <v>840</v>
      </c>
      <c r="C1153" s="10">
        <v>29604</v>
      </c>
      <c r="D1153">
        <v>1</v>
      </c>
    </row>
    <row r="1154" spans="2:4" x14ac:dyDescent="0.25">
      <c r="B1154" t="s">
        <v>841</v>
      </c>
      <c r="C1154" s="10">
        <v>31418</v>
      </c>
      <c r="D1154">
        <v>1</v>
      </c>
    </row>
    <row r="1155" spans="2:4" x14ac:dyDescent="0.25">
      <c r="B1155" t="s">
        <v>3285</v>
      </c>
      <c r="C1155" s="10">
        <v>25117</v>
      </c>
      <c r="D1155">
        <v>1</v>
      </c>
    </row>
    <row r="1156" spans="2:4" x14ac:dyDescent="0.25">
      <c r="B1156" t="s">
        <v>844</v>
      </c>
      <c r="C1156" s="10">
        <v>29194</v>
      </c>
      <c r="D1156">
        <v>1</v>
      </c>
    </row>
    <row r="1157" spans="2:4" x14ac:dyDescent="0.25">
      <c r="B1157" t="s">
        <v>845</v>
      </c>
      <c r="C1157" s="10">
        <v>30801</v>
      </c>
      <c r="D1157">
        <v>1</v>
      </c>
    </row>
    <row r="1158" spans="2:4" x14ac:dyDescent="0.25">
      <c r="B1158" t="s">
        <v>847</v>
      </c>
      <c r="C1158" s="10">
        <v>28569</v>
      </c>
      <c r="D1158">
        <v>1</v>
      </c>
    </row>
    <row r="1159" spans="2:4" x14ac:dyDescent="0.25">
      <c r="B1159" t="s">
        <v>3287</v>
      </c>
      <c r="C1159" s="10">
        <v>31297</v>
      </c>
      <c r="D1159">
        <v>1</v>
      </c>
    </row>
    <row r="1160" spans="2:4" x14ac:dyDescent="0.25">
      <c r="B1160" t="s">
        <v>849</v>
      </c>
      <c r="C1160" s="10">
        <v>29126</v>
      </c>
      <c r="D1160">
        <v>1</v>
      </c>
    </row>
    <row r="1161" spans="2:4" x14ac:dyDescent="0.25">
      <c r="B1161" t="s">
        <v>1746</v>
      </c>
      <c r="C1161" s="10">
        <v>29653</v>
      </c>
      <c r="D1161">
        <v>1</v>
      </c>
    </row>
    <row r="1162" spans="2:4" x14ac:dyDescent="0.25">
      <c r="B1162" t="s">
        <v>1132</v>
      </c>
      <c r="C1162" s="10">
        <v>31973</v>
      </c>
      <c r="D1162">
        <v>1</v>
      </c>
    </row>
    <row r="1163" spans="2:4" x14ac:dyDescent="0.25">
      <c r="B1163" t="s">
        <v>826</v>
      </c>
      <c r="C1163" s="10">
        <v>33186</v>
      </c>
      <c r="D1163">
        <v>1</v>
      </c>
    </row>
    <row r="1164" spans="2:4" x14ac:dyDescent="0.25">
      <c r="B1164" t="s">
        <v>1839</v>
      </c>
      <c r="C1164" s="10">
        <v>33938</v>
      </c>
      <c r="D1164">
        <v>1</v>
      </c>
    </row>
    <row r="1165" spans="2:4" x14ac:dyDescent="0.25">
      <c r="B1165" t="s">
        <v>850</v>
      </c>
      <c r="C1165" s="10">
        <v>30768</v>
      </c>
      <c r="D1165">
        <v>1</v>
      </c>
    </row>
    <row r="1166" spans="2:4" x14ac:dyDescent="0.25">
      <c r="B1166" t="s">
        <v>829</v>
      </c>
      <c r="C1166" s="10">
        <v>26925</v>
      </c>
      <c r="D1166">
        <v>1</v>
      </c>
    </row>
    <row r="1167" spans="2:4" x14ac:dyDescent="0.25">
      <c r="B1167" t="s">
        <v>839</v>
      </c>
      <c r="C1167" s="10">
        <v>30883</v>
      </c>
      <c r="D1167">
        <v>1</v>
      </c>
    </row>
    <row r="1168" spans="2:4" x14ac:dyDescent="0.25">
      <c r="B1168" t="s">
        <v>802</v>
      </c>
      <c r="C1168" s="10">
        <v>32448</v>
      </c>
      <c r="D1168">
        <v>1</v>
      </c>
    </row>
    <row r="1169" spans="2:4" x14ac:dyDescent="0.25">
      <c r="B1169" t="s">
        <v>852</v>
      </c>
      <c r="C1169" s="10">
        <v>36739</v>
      </c>
      <c r="D1169">
        <v>1</v>
      </c>
    </row>
    <row r="1170" spans="2:4" x14ac:dyDescent="0.25">
      <c r="B1170" t="s">
        <v>842</v>
      </c>
      <c r="C1170" s="10">
        <v>33061</v>
      </c>
      <c r="D1170">
        <v>1</v>
      </c>
    </row>
    <row r="1171" spans="2:4" x14ac:dyDescent="0.25">
      <c r="B1171" t="s">
        <v>854</v>
      </c>
      <c r="C1171" s="10">
        <v>30429</v>
      </c>
      <c r="D1171">
        <v>1</v>
      </c>
    </row>
    <row r="1172" spans="2:4" x14ac:dyDescent="0.25">
      <c r="B1172" t="s">
        <v>848</v>
      </c>
      <c r="C1172" s="10">
        <v>27093</v>
      </c>
      <c r="D1172">
        <v>1</v>
      </c>
    </row>
    <row r="1173" spans="2:4" x14ac:dyDescent="0.25">
      <c r="B1173" t="s">
        <v>837</v>
      </c>
      <c r="C1173" s="10">
        <v>33873</v>
      </c>
      <c r="D1173">
        <v>1</v>
      </c>
    </row>
    <row r="1174" spans="2:4" x14ac:dyDescent="0.25">
      <c r="B1174" t="s">
        <v>803</v>
      </c>
      <c r="C1174" s="10">
        <v>33585</v>
      </c>
      <c r="D1174">
        <v>1</v>
      </c>
    </row>
    <row r="1175" spans="2:4" x14ac:dyDescent="0.25">
      <c r="B1175" t="s">
        <v>835</v>
      </c>
      <c r="C1175" s="10">
        <v>35527</v>
      </c>
      <c r="D1175">
        <v>1</v>
      </c>
    </row>
    <row r="1176" spans="2:4" x14ac:dyDescent="0.25">
      <c r="B1176" t="s">
        <v>2926</v>
      </c>
      <c r="C1176" s="10">
        <v>29500</v>
      </c>
      <c r="D1176">
        <v>1</v>
      </c>
    </row>
    <row r="1177" spans="2:4" x14ac:dyDescent="0.25">
      <c r="B1177" t="s">
        <v>827</v>
      </c>
      <c r="C1177" s="10">
        <v>36448</v>
      </c>
      <c r="D1177">
        <v>1</v>
      </c>
    </row>
    <row r="1178" spans="2:4" x14ac:dyDescent="0.25">
      <c r="B1178" t="s">
        <v>1949</v>
      </c>
      <c r="C1178" s="10">
        <v>25854</v>
      </c>
      <c r="D1178">
        <v>1</v>
      </c>
    </row>
    <row r="1179" spans="2:4" x14ac:dyDescent="0.25">
      <c r="B1179" t="s">
        <v>851</v>
      </c>
      <c r="C1179" s="10">
        <v>30441</v>
      </c>
      <c r="D1179">
        <v>1</v>
      </c>
    </row>
    <row r="1180" spans="2:4" x14ac:dyDescent="0.25">
      <c r="B1180" t="s">
        <v>843</v>
      </c>
      <c r="C1180" s="10">
        <v>26498</v>
      </c>
      <c r="D1180">
        <v>1</v>
      </c>
    </row>
    <row r="1181" spans="2:4" x14ac:dyDescent="0.25">
      <c r="B1181" t="s">
        <v>1978</v>
      </c>
      <c r="C1181" s="10">
        <v>30996</v>
      </c>
      <c r="D1181">
        <v>1</v>
      </c>
    </row>
    <row r="1182" spans="2:4" x14ac:dyDescent="0.25">
      <c r="B1182" t="s">
        <v>2544</v>
      </c>
      <c r="C1182" s="10">
        <v>31959</v>
      </c>
      <c r="D1182">
        <v>1</v>
      </c>
    </row>
    <row r="1183" spans="2:4" x14ac:dyDescent="0.25">
      <c r="B1183" t="s">
        <v>2931</v>
      </c>
      <c r="C1183" s="10">
        <v>33814</v>
      </c>
      <c r="D1183">
        <v>1</v>
      </c>
    </row>
    <row r="1184" spans="2:4" x14ac:dyDescent="0.25">
      <c r="B1184" t="s">
        <v>799</v>
      </c>
      <c r="C1184" s="10">
        <v>27084</v>
      </c>
      <c r="D1184">
        <v>1</v>
      </c>
    </row>
    <row r="1185" spans="2:4" x14ac:dyDescent="0.25">
      <c r="B1185" t="s">
        <v>824</v>
      </c>
      <c r="C1185" s="10">
        <v>34957</v>
      </c>
      <c r="D1185">
        <v>1</v>
      </c>
    </row>
    <row r="1186" spans="2:4" x14ac:dyDescent="0.25">
      <c r="B1186" t="s">
        <v>828</v>
      </c>
      <c r="C1186" s="10">
        <v>29067</v>
      </c>
      <c r="D1186">
        <v>1</v>
      </c>
    </row>
    <row r="1187" spans="2:4" x14ac:dyDescent="0.25">
      <c r="B1187" t="s">
        <v>846</v>
      </c>
      <c r="C1187" s="10">
        <v>32815</v>
      </c>
      <c r="D1187">
        <v>1</v>
      </c>
    </row>
    <row r="1188" spans="2:4" x14ac:dyDescent="0.25">
      <c r="B1188" t="s">
        <v>806</v>
      </c>
      <c r="C1188" s="10">
        <v>33812</v>
      </c>
      <c r="D1188">
        <v>1</v>
      </c>
    </row>
    <row r="1189" spans="2:4" x14ac:dyDescent="0.25">
      <c r="B1189" t="s">
        <v>820</v>
      </c>
      <c r="C1189" s="10">
        <v>36366</v>
      </c>
      <c r="D1189">
        <v>1</v>
      </c>
    </row>
    <row r="1190" spans="2:4" x14ac:dyDescent="0.25">
      <c r="B1190" t="s">
        <v>574</v>
      </c>
      <c r="C1190" s="10">
        <v>31913</v>
      </c>
      <c r="D1190">
        <v>1</v>
      </c>
    </row>
    <row r="1191" spans="2:4" x14ac:dyDescent="0.25">
      <c r="B1191" t="s">
        <v>2189</v>
      </c>
      <c r="C1191" s="10">
        <v>36842</v>
      </c>
      <c r="D1191">
        <v>1</v>
      </c>
    </row>
    <row r="1192" spans="2:4" x14ac:dyDescent="0.25">
      <c r="B1192" t="s">
        <v>798</v>
      </c>
      <c r="C1192" s="10">
        <v>28785</v>
      </c>
      <c r="D1192">
        <v>1</v>
      </c>
    </row>
    <row r="1193" spans="2:4" x14ac:dyDescent="0.25">
      <c r="B1193" t="s">
        <v>807</v>
      </c>
      <c r="C1193" s="10">
        <v>29827</v>
      </c>
      <c r="D1193">
        <v>1</v>
      </c>
    </row>
    <row r="1194" spans="2:4" x14ac:dyDescent="0.25">
      <c r="B1194" t="s">
        <v>853</v>
      </c>
      <c r="C1194" s="10">
        <v>32066</v>
      </c>
      <c r="D1194">
        <v>1</v>
      </c>
    </row>
    <row r="1195" spans="2:4" x14ac:dyDescent="0.25">
      <c r="B1195" t="s">
        <v>1032</v>
      </c>
      <c r="C1195" s="10">
        <v>28553</v>
      </c>
      <c r="D1195">
        <v>1</v>
      </c>
    </row>
    <row r="1196" spans="2:4" x14ac:dyDescent="0.25">
      <c r="B1196" t="s">
        <v>1033</v>
      </c>
      <c r="C1196" s="10">
        <v>30660</v>
      </c>
      <c r="D1196">
        <v>1</v>
      </c>
    </row>
    <row r="1197" spans="2:4" x14ac:dyDescent="0.25">
      <c r="B1197" t="s">
        <v>1065</v>
      </c>
      <c r="C1197" s="10">
        <v>33743</v>
      </c>
      <c r="D1197">
        <v>1</v>
      </c>
    </row>
    <row r="1198" spans="2:4" x14ac:dyDescent="0.25">
      <c r="B1198" t="s">
        <v>1095</v>
      </c>
      <c r="C1198" s="10">
        <v>33881</v>
      </c>
      <c r="D1198">
        <v>1</v>
      </c>
    </row>
    <row r="1199" spans="2:4" x14ac:dyDescent="0.25">
      <c r="B1199" t="s">
        <v>1096</v>
      </c>
      <c r="C1199" s="10">
        <v>33945</v>
      </c>
      <c r="D1199">
        <v>1</v>
      </c>
    </row>
    <row r="1200" spans="2:4" x14ac:dyDescent="0.25">
      <c r="B1200" t="s">
        <v>1097</v>
      </c>
      <c r="C1200" s="10">
        <v>27689</v>
      </c>
      <c r="D1200">
        <v>1</v>
      </c>
    </row>
    <row r="1201" spans="2:4" x14ac:dyDescent="0.25">
      <c r="B1201" t="s">
        <v>1098</v>
      </c>
      <c r="C1201" s="10">
        <v>29152</v>
      </c>
      <c r="D1201">
        <v>1</v>
      </c>
    </row>
    <row r="1202" spans="2:4" x14ac:dyDescent="0.25">
      <c r="B1202" t="s">
        <v>1099</v>
      </c>
      <c r="C1202" s="10">
        <v>31509</v>
      </c>
      <c r="D1202">
        <v>1</v>
      </c>
    </row>
    <row r="1203" spans="2:4" x14ac:dyDescent="0.25">
      <c r="B1203" t="s">
        <v>1100</v>
      </c>
      <c r="C1203" s="10">
        <v>32836</v>
      </c>
      <c r="D1203">
        <v>1</v>
      </c>
    </row>
    <row r="1204" spans="2:4" x14ac:dyDescent="0.25">
      <c r="B1204" t="s">
        <v>1101</v>
      </c>
      <c r="C1204" s="10">
        <v>32707</v>
      </c>
      <c r="D1204">
        <v>1</v>
      </c>
    </row>
    <row r="1205" spans="2:4" x14ac:dyDescent="0.25">
      <c r="B1205" t="s">
        <v>1102</v>
      </c>
      <c r="C1205" s="10">
        <v>33830</v>
      </c>
      <c r="D1205">
        <v>1</v>
      </c>
    </row>
    <row r="1206" spans="2:4" x14ac:dyDescent="0.25">
      <c r="B1206" t="s">
        <v>1103</v>
      </c>
      <c r="C1206" s="10">
        <v>28062</v>
      </c>
      <c r="D1206">
        <v>1</v>
      </c>
    </row>
    <row r="1207" spans="2:4" x14ac:dyDescent="0.25">
      <c r="B1207" t="s">
        <v>1104</v>
      </c>
      <c r="C1207" s="10">
        <v>28976</v>
      </c>
      <c r="D1207">
        <v>1</v>
      </c>
    </row>
    <row r="1208" spans="2:4" x14ac:dyDescent="0.25">
      <c r="B1208" t="s">
        <v>1141</v>
      </c>
      <c r="C1208" s="10">
        <v>35581</v>
      </c>
      <c r="D1208">
        <v>1</v>
      </c>
    </row>
    <row r="1209" spans="2:4" x14ac:dyDescent="0.25">
      <c r="B1209" t="s">
        <v>1567</v>
      </c>
      <c r="C1209" s="10">
        <v>34998</v>
      </c>
      <c r="D1209">
        <v>1</v>
      </c>
    </row>
    <row r="1210" spans="2:4" x14ac:dyDescent="0.25">
      <c r="B1210" t="s">
        <v>1680</v>
      </c>
      <c r="C1210" s="10">
        <v>32799</v>
      </c>
      <c r="D1210">
        <v>1</v>
      </c>
    </row>
    <row r="1211" spans="2:4" x14ac:dyDescent="0.25">
      <c r="B1211" t="s">
        <v>1740</v>
      </c>
      <c r="C1211" s="10">
        <v>33494</v>
      </c>
      <c r="D1211">
        <v>1</v>
      </c>
    </row>
    <row r="1212" spans="2:4" x14ac:dyDescent="0.25">
      <c r="B1212" t="s">
        <v>1742</v>
      </c>
      <c r="C1212" s="10">
        <v>29653</v>
      </c>
      <c r="D1212">
        <v>1</v>
      </c>
    </row>
    <row r="1213" spans="2:4" x14ac:dyDescent="0.25">
      <c r="B1213" t="s">
        <v>1745</v>
      </c>
      <c r="C1213" s="10">
        <v>27061</v>
      </c>
      <c r="D1213">
        <v>1</v>
      </c>
    </row>
    <row r="1214" spans="2:4" x14ac:dyDescent="0.25">
      <c r="B1214" t="s">
        <v>1747</v>
      </c>
      <c r="C1214" s="10">
        <v>34678</v>
      </c>
      <c r="D1214">
        <v>1</v>
      </c>
    </row>
    <row r="1215" spans="2:4" x14ac:dyDescent="0.25">
      <c r="B1215" t="s">
        <v>1748</v>
      </c>
      <c r="C1215" s="10">
        <v>28241</v>
      </c>
      <c r="D1215">
        <v>1</v>
      </c>
    </row>
    <row r="1216" spans="2:4" x14ac:dyDescent="0.25">
      <c r="B1216" t="s">
        <v>1749</v>
      </c>
      <c r="C1216" s="10">
        <v>29039</v>
      </c>
      <c r="D1216">
        <v>1</v>
      </c>
    </row>
    <row r="1217" spans="2:4" x14ac:dyDescent="0.25">
      <c r="B1217" t="s">
        <v>1750</v>
      </c>
      <c r="C1217" s="10">
        <v>32109</v>
      </c>
      <c r="D1217">
        <v>1</v>
      </c>
    </row>
    <row r="1218" spans="2:4" x14ac:dyDescent="0.25">
      <c r="B1218" t="s">
        <v>1751</v>
      </c>
      <c r="C1218" s="10">
        <v>27986</v>
      </c>
      <c r="D1218">
        <v>1</v>
      </c>
    </row>
    <row r="1219" spans="2:4" x14ac:dyDescent="0.25">
      <c r="B1219" t="s">
        <v>1752</v>
      </c>
      <c r="C1219" s="10">
        <v>29893</v>
      </c>
      <c r="D1219">
        <v>1</v>
      </c>
    </row>
    <row r="1220" spans="2:4" x14ac:dyDescent="0.25">
      <c r="B1220" t="s">
        <v>1754</v>
      </c>
      <c r="C1220" s="10">
        <v>30606</v>
      </c>
      <c r="D1220">
        <v>1</v>
      </c>
    </row>
    <row r="1221" spans="2:4" x14ac:dyDescent="0.25">
      <c r="B1221" t="s">
        <v>1755</v>
      </c>
      <c r="C1221" s="10">
        <v>37298</v>
      </c>
      <c r="D1221">
        <v>1</v>
      </c>
    </row>
    <row r="1222" spans="2:4" x14ac:dyDescent="0.25">
      <c r="B1222" t="s">
        <v>1756</v>
      </c>
      <c r="C1222" s="10">
        <v>32128</v>
      </c>
      <c r="D1222">
        <v>1</v>
      </c>
    </row>
    <row r="1223" spans="2:4" x14ac:dyDescent="0.25">
      <c r="B1223" t="s">
        <v>2237</v>
      </c>
      <c r="C1223" s="10">
        <v>34599</v>
      </c>
      <c r="D1223">
        <v>1</v>
      </c>
    </row>
    <row r="1224" spans="2:4" x14ac:dyDescent="0.25">
      <c r="B1224" t="s">
        <v>2240</v>
      </c>
      <c r="C1224" s="10">
        <v>34474</v>
      </c>
      <c r="D1224">
        <v>1</v>
      </c>
    </row>
    <row r="1225" spans="2:4" x14ac:dyDescent="0.25">
      <c r="B1225" t="s">
        <v>2257</v>
      </c>
      <c r="C1225" s="10">
        <v>35226</v>
      </c>
      <c r="D1225">
        <v>1</v>
      </c>
    </row>
    <row r="1226" spans="2:4" x14ac:dyDescent="0.25">
      <c r="B1226" t="s">
        <v>2260</v>
      </c>
      <c r="C1226" s="10">
        <v>34086</v>
      </c>
      <c r="D1226">
        <v>1</v>
      </c>
    </row>
    <row r="1227" spans="2:4" x14ac:dyDescent="0.25">
      <c r="B1227" t="s">
        <v>2263</v>
      </c>
      <c r="C1227" s="10">
        <v>36588</v>
      </c>
      <c r="D1227">
        <v>1</v>
      </c>
    </row>
    <row r="1228" spans="2:4" x14ac:dyDescent="0.25">
      <c r="B1228" t="s">
        <v>2233</v>
      </c>
      <c r="C1228" s="10">
        <v>30714</v>
      </c>
      <c r="D1228">
        <v>1</v>
      </c>
    </row>
    <row r="1229" spans="2:4" x14ac:dyDescent="0.25">
      <c r="B1229" t="s">
        <v>2244</v>
      </c>
      <c r="C1229" s="10">
        <v>30604</v>
      </c>
      <c r="D1229">
        <v>1</v>
      </c>
    </row>
    <row r="1230" spans="2:4" x14ac:dyDescent="0.25">
      <c r="B1230" t="s">
        <v>2245</v>
      </c>
      <c r="C1230" s="10">
        <v>33435</v>
      </c>
      <c r="D1230">
        <v>1</v>
      </c>
    </row>
    <row r="1231" spans="2:4" x14ac:dyDescent="0.25">
      <c r="B1231" t="s">
        <v>2246</v>
      </c>
      <c r="C1231" s="10">
        <v>32422</v>
      </c>
      <c r="D1231">
        <v>1</v>
      </c>
    </row>
    <row r="1232" spans="2:4" x14ac:dyDescent="0.25">
      <c r="B1232" t="s">
        <v>2247</v>
      </c>
      <c r="C1232" s="10">
        <v>31830</v>
      </c>
      <c r="D1232">
        <v>1</v>
      </c>
    </row>
    <row r="1233" spans="2:4" x14ac:dyDescent="0.25">
      <c r="B1233" t="s">
        <v>2249</v>
      </c>
      <c r="C1233" s="10">
        <v>33344</v>
      </c>
      <c r="D1233">
        <v>1</v>
      </c>
    </row>
    <row r="1234" spans="2:4" x14ac:dyDescent="0.25">
      <c r="B1234" t="s">
        <v>2255</v>
      </c>
      <c r="C1234" s="10">
        <v>31836</v>
      </c>
      <c r="D1234">
        <v>1</v>
      </c>
    </row>
    <row r="1235" spans="2:4" x14ac:dyDescent="0.25">
      <c r="B1235" t="s">
        <v>2256</v>
      </c>
      <c r="C1235" s="10">
        <v>31615</v>
      </c>
      <c r="D1235">
        <v>1</v>
      </c>
    </row>
    <row r="1236" spans="2:4" x14ac:dyDescent="0.25">
      <c r="B1236" t="s">
        <v>2259</v>
      </c>
      <c r="C1236" s="10">
        <v>33305</v>
      </c>
      <c r="D1236">
        <v>1</v>
      </c>
    </row>
    <row r="1237" spans="2:4" x14ac:dyDescent="0.25">
      <c r="B1237" t="s">
        <v>2264</v>
      </c>
      <c r="C1237" s="10">
        <v>31519</v>
      </c>
      <c r="D1237">
        <v>1</v>
      </c>
    </row>
    <row r="1238" spans="2:4" x14ac:dyDescent="0.25">
      <c r="B1238" t="s">
        <v>2091</v>
      </c>
      <c r="C1238" s="10">
        <v>27382</v>
      </c>
      <c r="D1238">
        <v>1</v>
      </c>
    </row>
    <row r="1239" spans="2:4" x14ac:dyDescent="0.25">
      <c r="B1239" t="s">
        <v>2235</v>
      </c>
      <c r="C1239" s="10">
        <v>28768</v>
      </c>
      <c r="D1239">
        <v>1</v>
      </c>
    </row>
    <row r="1240" spans="2:4" x14ac:dyDescent="0.25">
      <c r="B1240" t="s">
        <v>2238</v>
      </c>
      <c r="C1240" s="10">
        <v>30021</v>
      </c>
      <c r="D1240">
        <v>1</v>
      </c>
    </row>
    <row r="1241" spans="2:4" x14ac:dyDescent="0.25">
      <c r="B1241" t="s">
        <v>2239</v>
      </c>
      <c r="C1241" s="10">
        <v>29021</v>
      </c>
      <c r="D1241">
        <v>1</v>
      </c>
    </row>
    <row r="1242" spans="2:4" x14ac:dyDescent="0.25">
      <c r="B1242" t="s">
        <v>2242</v>
      </c>
      <c r="C1242" s="10">
        <v>28102</v>
      </c>
      <c r="D1242">
        <v>1</v>
      </c>
    </row>
    <row r="1243" spans="2:4" x14ac:dyDescent="0.25">
      <c r="B1243" t="s">
        <v>2243</v>
      </c>
      <c r="C1243" s="10">
        <v>29939</v>
      </c>
      <c r="D1243">
        <v>1</v>
      </c>
    </row>
    <row r="1244" spans="2:4" x14ac:dyDescent="0.25">
      <c r="B1244" t="s">
        <v>2248</v>
      </c>
      <c r="C1244" s="10">
        <v>28023</v>
      </c>
      <c r="D1244">
        <v>1</v>
      </c>
    </row>
    <row r="1245" spans="2:4" x14ac:dyDescent="0.25">
      <c r="B1245" t="s">
        <v>2250</v>
      </c>
      <c r="C1245" s="10">
        <v>28656</v>
      </c>
      <c r="D1245">
        <v>1</v>
      </c>
    </row>
    <row r="1246" spans="2:4" x14ac:dyDescent="0.25">
      <c r="B1246" t="s">
        <v>2252</v>
      </c>
      <c r="C1246" s="10">
        <v>29130</v>
      </c>
      <c r="D1246">
        <v>1</v>
      </c>
    </row>
    <row r="1247" spans="2:4" x14ac:dyDescent="0.25">
      <c r="B1247" t="s">
        <v>2254</v>
      </c>
      <c r="C1247" s="10">
        <v>29873</v>
      </c>
      <c r="D1247">
        <v>1</v>
      </c>
    </row>
    <row r="1248" spans="2:4" x14ac:dyDescent="0.25">
      <c r="B1248" t="s">
        <v>2262</v>
      </c>
      <c r="C1248" s="10">
        <v>29718</v>
      </c>
      <c r="D1248">
        <v>1</v>
      </c>
    </row>
    <row r="1249" spans="2:4" x14ac:dyDescent="0.25">
      <c r="B1249" t="s">
        <v>2234</v>
      </c>
      <c r="C1249" s="10">
        <v>26013</v>
      </c>
      <c r="D1249">
        <v>1</v>
      </c>
    </row>
    <row r="1250" spans="2:4" x14ac:dyDescent="0.25">
      <c r="B1250" t="s">
        <v>2236</v>
      </c>
      <c r="C1250" s="10">
        <v>26263</v>
      </c>
      <c r="D1250">
        <v>1</v>
      </c>
    </row>
    <row r="1251" spans="2:4" x14ac:dyDescent="0.25">
      <c r="B1251" t="s">
        <v>2241</v>
      </c>
      <c r="C1251" s="10">
        <v>25806</v>
      </c>
      <c r="D1251">
        <v>1</v>
      </c>
    </row>
    <row r="1252" spans="2:4" x14ac:dyDescent="0.25">
      <c r="B1252" t="s">
        <v>2251</v>
      </c>
      <c r="C1252" s="10">
        <v>27044</v>
      </c>
      <c r="D1252">
        <v>1</v>
      </c>
    </row>
    <row r="1253" spans="2:4" x14ac:dyDescent="0.25">
      <c r="B1253" t="s">
        <v>2253</v>
      </c>
      <c r="C1253" s="10">
        <v>25757</v>
      </c>
      <c r="D1253">
        <v>1</v>
      </c>
    </row>
    <row r="1254" spans="2:4" x14ac:dyDescent="0.25">
      <c r="B1254" t="s">
        <v>2258</v>
      </c>
      <c r="C1254" s="10">
        <v>25099</v>
      </c>
      <c r="D1254">
        <v>1</v>
      </c>
    </row>
    <row r="1255" spans="2:4" x14ac:dyDescent="0.25">
      <c r="B1255" t="s">
        <v>2559</v>
      </c>
      <c r="C1255" s="10">
        <v>36806</v>
      </c>
      <c r="D1255">
        <v>1</v>
      </c>
    </row>
    <row r="1256" spans="2:4" x14ac:dyDescent="0.25">
      <c r="B1256" t="s">
        <v>2420</v>
      </c>
      <c r="C1256" s="10">
        <v>35614</v>
      </c>
      <c r="D1256">
        <v>1</v>
      </c>
    </row>
    <row r="1257" spans="2:4" x14ac:dyDescent="0.25">
      <c r="B1257" t="s">
        <v>2537</v>
      </c>
      <c r="C1257" s="10">
        <v>36458</v>
      </c>
      <c r="D1257">
        <v>1</v>
      </c>
    </row>
    <row r="1258" spans="2:4" x14ac:dyDescent="0.25">
      <c r="B1258" t="s">
        <v>2539</v>
      </c>
      <c r="C1258" s="10">
        <v>35111</v>
      </c>
      <c r="D1258">
        <v>1</v>
      </c>
    </row>
    <row r="1259" spans="2:4" x14ac:dyDescent="0.25">
      <c r="B1259" t="s">
        <v>2541</v>
      </c>
      <c r="C1259" s="10">
        <v>34820</v>
      </c>
      <c r="D1259">
        <v>1</v>
      </c>
    </row>
    <row r="1260" spans="2:4" x14ac:dyDescent="0.25">
      <c r="B1260" t="s">
        <v>2547</v>
      </c>
      <c r="C1260" s="10">
        <v>34209</v>
      </c>
      <c r="D1260">
        <v>1</v>
      </c>
    </row>
    <row r="1261" spans="2:4" x14ac:dyDescent="0.25">
      <c r="B1261" t="s">
        <v>2549</v>
      </c>
      <c r="C1261" s="10">
        <v>35590</v>
      </c>
      <c r="D1261">
        <v>1</v>
      </c>
    </row>
    <row r="1262" spans="2:4" x14ac:dyDescent="0.25">
      <c r="B1262" t="s">
        <v>2550</v>
      </c>
      <c r="C1262" s="10">
        <v>35971</v>
      </c>
      <c r="D1262">
        <v>1</v>
      </c>
    </row>
    <row r="1263" spans="2:4" x14ac:dyDescent="0.25">
      <c r="B1263" t="s">
        <v>2558</v>
      </c>
      <c r="C1263" s="10">
        <v>36068</v>
      </c>
      <c r="D1263">
        <v>1</v>
      </c>
    </row>
    <row r="1264" spans="2:4" x14ac:dyDescent="0.25">
      <c r="B1264" t="s">
        <v>2419</v>
      </c>
      <c r="C1264" s="10">
        <v>31244</v>
      </c>
      <c r="D1264">
        <v>1</v>
      </c>
    </row>
    <row r="1265" spans="2:4" x14ac:dyDescent="0.25">
      <c r="B1265" t="s">
        <v>2538</v>
      </c>
      <c r="C1265" s="10">
        <v>30724</v>
      </c>
      <c r="D1265">
        <v>1</v>
      </c>
    </row>
    <row r="1266" spans="2:4" x14ac:dyDescent="0.25">
      <c r="B1266" t="s">
        <v>2540</v>
      </c>
      <c r="C1266" s="10">
        <v>33454</v>
      </c>
      <c r="D1266">
        <v>1</v>
      </c>
    </row>
    <row r="1267" spans="2:4" x14ac:dyDescent="0.25">
      <c r="B1267" t="s">
        <v>2542</v>
      </c>
      <c r="C1267" s="10">
        <v>32823</v>
      </c>
      <c r="D1267">
        <v>1</v>
      </c>
    </row>
    <row r="1268" spans="2:4" x14ac:dyDescent="0.25">
      <c r="B1268" t="s">
        <v>2545</v>
      </c>
      <c r="C1268" s="10">
        <v>33491</v>
      </c>
      <c r="D1268">
        <v>1</v>
      </c>
    </row>
    <row r="1269" spans="2:4" x14ac:dyDescent="0.25">
      <c r="B1269" t="s">
        <v>2546</v>
      </c>
      <c r="C1269" s="10">
        <v>30769</v>
      </c>
      <c r="D1269">
        <v>1</v>
      </c>
    </row>
    <row r="1270" spans="2:4" x14ac:dyDescent="0.25">
      <c r="B1270" t="s">
        <v>2551</v>
      </c>
      <c r="C1270" s="10">
        <v>31162</v>
      </c>
      <c r="D1270">
        <v>1</v>
      </c>
    </row>
    <row r="1271" spans="2:4" x14ac:dyDescent="0.25">
      <c r="B1271" t="s">
        <v>2552</v>
      </c>
      <c r="C1271" s="10">
        <v>30800</v>
      </c>
      <c r="D1271">
        <v>1</v>
      </c>
    </row>
    <row r="1272" spans="2:4" x14ac:dyDescent="0.25">
      <c r="B1272" t="s">
        <v>2557</v>
      </c>
      <c r="C1272" s="10">
        <v>31431</v>
      </c>
      <c r="D1272">
        <v>1</v>
      </c>
    </row>
    <row r="1273" spans="2:4" x14ac:dyDescent="0.25">
      <c r="B1273" t="s">
        <v>2561</v>
      </c>
      <c r="C1273" s="10">
        <v>33192</v>
      </c>
      <c r="D1273">
        <v>1</v>
      </c>
    </row>
    <row r="1274" spans="2:4" x14ac:dyDescent="0.25">
      <c r="B1274" t="s">
        <v>2543</v>
      </c>
      <c r="C1274" s="10">
        <v>27960</v>
      </c>
      <c r="D1274">
        <v>1</v>
      </c>
    </row>
    <row r="1275" spans="2:4" x14ac:dyDescent="0.25">
      <c r="B1275" t="s">
        <v>2554</v>
      </c>
      <c r="C1275" s="10">
        <v>28844</v>
      </c>
      <c r="D1275">
        <v>1</v>
      </c>
    </row>
    <row r="1276" spans="2:4" x14ac:dyDescent="0.25">
      <c r="B1276" t="s">
        <v>2555</v>
      </c>
      <c r="C1276" s="10">
        <v>27787</v>
      </c>
      <c r="D1276">
        <v>1</v>
      </c>
    </row>
    <row r="1277" spans="2:4" x14ac:dyDescent="0.25">
      <c r="B1277" t="s">
        <v>2556</v>
      </c>
      <c r="C1277" s="10">
        <v>29990</v>
      </c>
      <c r="D1277">
        <v>1</v>
      </c>
    </row>
    <row r="1278" spans="2:4" x14ac:dyDescent="0.25">
      <c r="B1278" t="s">
        <v>2560</v>
      </c>
      <c r="C1278" s="10">
        <v>29733</v>
      </c>
      <c r="D1278">
        <v>1</v>
      </c>
    </row>
    <row r="1279" spans="2:4" x14ac:dyDescent="0.25">
      <c r="B1279" t="s">
        <v>2553</v>
      </c>
      <c r="C1279" s="10">
        <v>26490</v>
      </c>
      <c r="D1279">
        <v>1</v>
      </c>
    </row>
    <row r="1280" spans="2:4" x14ac:dyDescent="0.25">
      <c r="B1280" t="s">
        <v>2548</v>
      </c>
      <c r="C1280" s="10">
        <v>22609</v>
      </c>
      <c r="D1280">
        <v>1</v>
      </c>
    </row>
    <row r="1281" spans="2:4" x14ac:dyDescent="0.25">
      <c r="B1281" t="s">
        <v>2892</v>
      </c>
      <c r="C1281" s="10">
        <v>31520</v>
      </c>
      <c r="D1281">
        <v>1</v>
      </c>
    </row>
    <row r="1282" spans="2:4" x14ac:dyDescent="0.25">
      <c r="B1282" t="s">
        <v>2894</v>
      </c>
      <c r="C1282" s="10">
        <v>32924</v>
      </c>
      <c r="D1282">
        <v>1</v>
      </c>
    </row>
    <row r="1283" spans="2:4" x14ac:dyDescent="0.25">
      <c r="B1283" t="s">
        <v>2898</v>
      </c>
      <c r="C1283" s="10">
        <v>27620</v>
      </c>
      <c r="D1283">
        <v>1</v>
      </c>
    </row>
    <row r="1284" spans="2:4" x14ac:dyDescent="0.25">
      <c r="B1284" t="s">
        <v>2900</v>
      </c>
      <c r="C1284" s="10">
        <v>37845</v>
      </c>
      <c r="D1284">
        <v>1</v>
      </c>
    </row>
    <row r="1285" spans="2:4" x14ac:dyDescent="0.25">
      <c r="B1285" t="s">
        <v>2902</v>
      </c>
      <c r="C1285" s="10">
        <v>28347</v>
      </c>
      <c r="D1285">
        <v>1</v>
      </c>
    </row>
    <row r="1286" spans="2:4" x14ac:dyDescent="0.25">
      <c r="B1286" t="s">
        <v>2904</v>
      </c>
      <c r="C1286" s="10">
        <v>28587</v>
      </c>
      <c r="D1286">
        <v>1</v>
      </c>
    </row>
    <row r="1287" spans="2:4" x14ac:dyDescent="0.25">
      <c r="B1287" t="s">
        <v>2905</v>
      </c>
      <c r="C1287" s="10">
        <v>31438</v>
      </c>
      <c r="D1287">
        <v>1</v>
      </c>
    </row>
    <row r="1288" spans="2:4" x14ac:dyDescent="0.25">
      <c r="B1288" t="s">
        <v>2906</v>
      </c>
      <c r="C1288" s="10">
        <v>33521</v>
      </c>
      <c r="D1288">
        <v>1</v>
      </c>
    </row>
    <row r="1289" spans="2:4" x14ac:dyDescent="0.25">
      <c r="B1289" t="s">
        <v>2907</v>
      </c>
      <c r="C1289" s="10">
        <v>29634</v>
      </c>
      <c r="D1289">
        <v>1</v>
      </c>
    </row>
    <row r="1290" spans="2:4" x14ac:dyDescent="0.25">
      <c r="B1290" t="s">
        <v>2909</v>
      </c>
      <c r="C1290" s="10">
        <v>31031</v>
      </c>
      <c r="D1290">
        <v>1</v>
      </c>
    </row>
    <row r="1291" spans="2:4" x14ac:dyDescent="0.25">
      <c r="B1291" t="s">
        <v>2911</v>
      </c>
      <c r="C1291" s="10">
        <v>29207</v>
      </c>
      <c r="D1291">
        <v>1</v>
      </c>
    </row>
    <row r="1292" spans="2:4" x14ac:dyDescent="0.25">
      <c r="B1292" t="s">
        <v>2912</v>
      </c>
      <c r="C1292" s="10">
        <v>28546</v>
      </c>
      <c r="D1292">
        <v>1</v>
      </c>
    </row>
    <row r="1293" spans="2:4" x14ac:dyDescent="0.25">
      <c r="B1293" t="s">
        <v>2913</v>
      </c>
      <c r="C1293" s="10">
        <v>27039</v>
      </c>
      <c r="D1293">
        <v>1</v>
      </c>
    </row>
    <row r="1294" spans="2:4" x14ac:dyDescent="0.25">
      <c r="B1294" t="s">
        <v>2915</v>
      </c>
      <c r="C1294" s="10">
        <v>35589</v>
      </c>
      <c r="D1294">
        <v>1</v>
      </c>
    </row>
    <row r="1295" spans="2:4" x14ac:dyDescent="0.25">
      <c r="B1295" t="s">
        <v>2916</v>
      </c>
      <c r="C1295" s="10">
        <v>35318</v>
      </c>
      <c r="D1295">
        <v>1</v>
      </c>
    </row>
    <row r="1296" spans="2:4" x14ac:dyDescent="0.25">
      <c r="B1296" t="s">
        <v>2917</v>
      </c>
      <c r="C1296" s="10">
        <v>30231</v>
      </c>
      <c r="D1296">
        <v>1</v>
      </c>
    </row>
    <row r="1297" spans="2:4" x14ac:dyDescent="0.25">
      <c r="B1297" t="s">
        <v>2918</v>
      </c>
      <c r="C1297" s="10">
        <v>28832</v>
      </c>
      <c r="D1297">
        <v>1</v>
      </c>
    </row>
    <row r="1298" spans="2:4" x14ac:dyDescent="0.25">
      <c r="B1298" t="s">
        <v>2920</v>
      </c>
      <c r="C1298" s="10">
        <v>26699</v>
      </c>
      <c r="D1298">
        <v>1</v>
      </c>
    </row>
    <row r="1299" spans="2:4" x14ac:dyDescent="0.25">
      <c r="B1299" t="s">
        <v>2921</v>
      </c>
      <c r="C1299" s="10">
        <v>30802</v>
      </c>
      <c r="D1299">
        <v>1</v>
      </c>
    </row>
    <row r="1300" spans="2:4" x14ac:dyDescent="0.25">
      <c r="B1300" t="s">
        <v>2922</v>
      </c>
      <c r="C1300" s="10">
        <v>33299</v>
      </c>
      <c r="D1300">
        <v>1</v>
      </c>
    </row>
    <row r="1301" spans="2:4" x14ac:dyDescent="0.25">
      <c r="B1301" t="s">
        <v>2923</v>
      </c>
      <c r="C1301" s="10">
        <v>30499</v>
      </c>
      <c r="D1301">
        <v>1</v>
      </c>
    </row>
    <row r="1302" spans="2:4" x14ac:dyDescent="0.25">
      <c r="B1302" t="s">
        <v>2924</v>
      </c>
      <c r="C1302" s="10">
        <v>29779</v>
      </c>
      <c r="D1302">
        <v>1</v>
      </c>
    </row>
    <row r="1303" spans="2:4" x14ac:dyDescent="0.25">
      <c r="B1303" t="s">
        <v>2925</v>
      </c>
      <c r="C1303" s="10">
        <v>33118</v>
      </c>
      <c r="D1303">
        <v>1</v>
      </c>
    </row>
    <row r="1304" spans="2:4" x14ac:dyDescent="0.25">
      <c r="B1304" t="s">
        <v>2927</v>
      </c>
      <c r="C1304" s="10">
        <v>33796</v>
      </c>
      <c r="D1304">
        <v>1</v>
      </c>
    </row>
    <row r="1305" spans="2:4" x14ac:dyDescent="0.25">
      <c r="B1305" t="s">
        <v>2928</v>
      </c>
      <c r="C1305" s="10">
        <v>31057</v>
      </c>
      <c r="D1305">
        <v>1</v>
      </c>
    </row>
    <row r="1306" spans="2:4" x14ac:dyDescent="0.25">
      <c r="B1306" t="s">
        <v>2929</v>
      </c>
      <c r="C1306" s="10">
        <v>31256</v>
      </c>
      <c r="D1306">
        <v>1</v>
      </c>
    </row>
    <row r="1307" spans="2:4" x14ac:dyDescent="0.25">
      <c r="B1307" t="s">
        <v>2930</v>
      </c>
      <c r="C1307" s="10">
        <v>33859</v>
      </c>
      <c r="D1307">
        <v>1</v>
      </c>
    </row>
    <row r="1308" spans="2:4" x14ac:dyDescent="0.25">
      <c r="B1308" t="s">
        <v>2932</v>
      </c>
      <c r="C1308" s="10">
        <v>25405</v>
      </c>
      <c r="D1308">
        <v>1</v>
      </c>
    </row>
    <row r="1309" spans="2:4" x14ac:dyDescent="0.25">
      <c r="B1309" t="s">
        <v>2933</v>
      </c>
      <c r="C1309" s="10">
        <v>31179</v>
      </c>
      <c r="D1309">
        <v>1</v>
      </c>
    </row>
    <row r="1310" spans="2:4" x14ac:dyDescent="0.25">
      <c r="B1310" t="s">
        <v>3258</v>
      </c>
      <c r="C1310" s="10">
        <v>29194</v>
      </c>
      <c r="D1310">
        <v>1</v>
      </c>
    </row>
    <row r="1311" spans="2:4" x14ac:dyDescent="0.25">
      <c r="B1311" t="s">
        <v>3259</v>
      </c>
      <c r="C1311" s="10">
        <v>35561</v>
      </c>
      <c r="D1311">
        <v>1</v>
      </c>
    </row>
    <row r="1312" spans="2:4" x14ac:dyDescent="0.25">
      <c r="B1312" t="s">
        <v>3260</v>
      </c>
      <c r="C1312" s="10">
        <v>34550</v>
      </c>
      <c r="D1312">
        <v>1</v>
      </c>
    </row>
    <row r="1313" spans="2:4" x14ac:dyDescent="0.25">
      <c r="B1313" t="s">
        <v>3261</v>
      </c>
      <c r="C1313" s="10">
        <v>27767</v>
      </c>
      <c r="D1313">
        <v>1</v>
      </c>
    </row>
    <row r="1314" spans="2:4" x14ac:dyDescent="0.25">
      <c r="B1314" t="s">
        <v>3262</v>
      </c>
      <c r="C1314" s="10">
        <v>34335</v>
      </c>
      <c r="D1314">
        <v>1</v>
      </c>
    </row>
    <row r="1315" spans="2:4" x14ac:dyDescent="0.25">
      <c r="B1315" t="s">
        <v>3263</v>
      </c>
      <c r="C1315" s="10">
        <v>35013</v>
      </c>
      <c r="D1315">
        <v>1</v>
      </c>
    </row>
    <row r="1316" spans="2:4" x14ac:dyDescent="0.25">
      <c r="B1316" t="s">
        <v>3264</v>
      </c>
      <c r="C1316" s="10">
        <v>30700</v>
      </c>
      <c r="D1316">
        <v>1</v>
      </c>
    </row>
    <row r="1317" spans="2:4" x14ac:dyDescent="0.25">
      <c r="B1317" t="s">
        <v>3265</v>
      </c>
      <c r="C1317" s="10">
        <v>32705</v>
      </c>
      <c r="D1317">
        <v>1</v>
      </c>
    </row>
    <row r="1318" spans="2:4" x14ac:dyDescent="0.25">
      <c r="B1318" t="s">
        <v>3266</v>
      </c>
      <c r="C1318" s="10">
        <v>31249</v>
      </c>
      <c r="D1318">
        <v>1</v>
      </c>
    </row>
    <row r="1319" spans="2:4" x14ac:dyDescent="0.25">
      <c r="B1319" t="s">
        <v>3267</v>
      </c>
      <c r="C1319" s="10">
        <v>30285</v>
      </c>
      <c r="D1319">
        <v>1</v>
      </c>
    </row>
    <row r="1320" spans="2:4" x14ac:dyDescent="0.25">
      <c r="B1320" t="s">
        <v>3268</v>
      </c>
      <c r="C1320" s="10">
        <v>34130</v>
      </c>
      <c r="D1320">
        <v>1</v>
      </c>
    </row>
    <row r="1321" spans="2:4" x14ac:dyDescent="0.25">
      <c r="B1321" t="s">
        <v>3270</v>
      </c>
      <c r="C1321" s="10">
        <v>36170</v>
      </c>
      <c r="D1321">
        <v>1</v>
      </c>
    </row>
    <row r="1322" spans="2:4" x14ac:dyDescent="0.25">
      <c r="B1322" t="s">
        <v>3271</v>
      </c>
      <c r="C1322" s="10">
        <v>34247</v>
      </c>
      <c r="D1322">
        <v>1</v>
      </c>
    </row>
    <row r="1323" spans="2:4" x14ac:dyDescent="0.25">
      <c r="B1323" t="s">
        <v>3272</v>
      </c>
      <c r="C1323" s="10">
        <v>34866</v>
      </c>
      <c r="D1323">
        <v>1</v>
      </c>
    </row>
    <row r="1324" spans="2:4" x14ac:dyDescent="0.25">
      <c r="B1324" t="s">
        <v>3273</v>
      </c>
      <c r="C1324" s="10">
        <v>37604</v>
      </c>
      <c r="D1324">
        <v>1</v>
      </c>
    </row>
    <row r="1325" spans="2:4" x14ac:dyDescent="0.25">
      <c r="B1325" t="s">
        <v>3274</v>
      </c>
      <c r="C1325" s="10">
        <v>26256</v>
      </c>
      <c r="D1325">
        <v>1</v>
      </c>
    </row>
    <row r="1326" spans="2:4" x14ac:dyDescent="0.25">
      <c r="B1326" t="s">
        <v>3275</v>
      </c>
      <c r="C1326" s="10">
        <v>30628</v>
      </c>
      <c r="D1326">
        <v>1</v>
      </c>
    </row>
    <row r="1327" spans="2:4" x14ac:dyDescent="0.25">
      <c r="B1327" t="s">
        <v>3277</v>
      </c>
      <c r="C1327" s="10">
        <v>35692</v>
      </c>
      <c r="D1327">
        <v>1</v>
      </c>
    </row>
    <row r="1328" spans="2:4" x14ac:dyDescent="0.25">
      <c r="B1328" t="s">
        <v>3278</v>
      </c>
      <c r="C1328" s="10">
        <v>37862</v>
      </c>
      <c r="D1328">
        <v>1</v>
      </c>
    </row>
    <row r="1329" spans="1:4" x14ac:dyDescent="0.25">
      <c r="B1329" t="s">
        <v>3279</v>
      </c>
      <c r="C1329" s="10">
        <v>33683</v>
      </c>
      <c r="D1329">
        <v>1</v>
      </c>
    </row>
    <row r="1330" spans="1:4" x14ac:dyDescent="0.25">
      <c r="B1330" t="s">
        <v>3280</v>
      </c>
      <c r="C1330" s="10">
        <v>26578</v>
      </c>
      <c r="D1330">
        <v>1</v>
      </c>
    </row>
    <row r="1331" spans="1:4" x14ac:dyDescent="0.25">
      <c r="B1331" t="s">
        <v>3282</v>
      </c>
      <c r="C1331" s="10">
        <v>34725</v>
      </c>
      <c r="D1331">
        <v>1</v>
      </c>
    </row>
    <row r="1332" spans="1:4" x14ac:dyDescent="0.25">
      <c r="B1332" t="s">
        <v>3283</v>
      </c>
      <c r="C1332" s="10">
        <v>30637</v>
      </c>
      <c r="D1332">
        <v>1</v>
      </c>
    </row>
    <row r="1333" spans="1:4" x14ac:dyDescent="0.25">
      <c r="B1333" t="s">
        <v>3288</v>
      </c>
      <c r="C1333" s="10">
        <v>35444</v>
      </c>
      <c r="D1333">
        <v>1</v>
      </c>
    </row>
    <row r="1334" spans="1:4" x14ac:dyDescent="0.25">
      <c r="A1334" t="s">
        <v>207</v>
      </c>
      <c r="D1334">
        <v>125</v>
      </c>
    </row>
    <row r="1335" spans="1:4" x14ac:dyDescent="0.25">
      <c r="A1335" t="s">
        <v>224</v>
      </c>
      <c r="D1335">
        <v>44</v>
      </c>
    </row>
    <row r="1336" spans="1:4" x14ac:dyDescent="0.25">
      <c r="A1336" t="s">
        <v>25</v>
      </c>
      <c r="D1336">
        <v>35</v>
      </c>
    </row>
    <row r="1337" spans="1:4" x14ac:dyDescent="0.25">
      <c r="A1337" t="s">
        <v>1255</v>
      </c>
      <c r="B1337" t="s">
        <v>127</v>
      </c>
      <c r="C1337" s="10">
        <v>28760</v>
      </c>
      <c r="D1337">
        <v>1</v>
      </c>
    </row>
    <row r="1338" spans="1:4" x14ac:dyDescent="0.25">
      <c r="B1338" t="s">
        <v>1150</v>
      </c>
      <c r="C1338" s="10">
        <v>31328</v>
      </c>
      <c r="D1338">
        <v>1</v>
      </c>
    </row>
    <row r="1339" spans="1:4" x14ac:dyDescent="0.25">
      <c r="B1339" t="s">
        <v>1256</v>
      </c>
      <c r="C1339" s="10">
        <v>25555</v>
      </c>
      <c r="D1339">
        <v>1</v>
      </c>
    </row>
    <row r="1340" spans="1:4" x14ac:dyDescent="0.25">
      <c r="B1340" t="s">
        <v>1258</v>
      </c>
      <c r="C1340" s="10">
        <v>29460</v>
      </c>
      <c r="D1340">
        <v>1</v>
      </c>
    </row>
    <row r="1341" spans="1:4" x14ac:dyDescent="0.25">
      <c r="B1341" t="s">
        <v>1259</v>
      </c>
      <c r="C1341" s="10">
        <v>27530</v>
      </c>
      <c r="D1341">
        <v>1</v>
      </c>
    </row>
    <row r="1342" spans="1:4" x14ac:dyDescent="0.25">
      <c r="B1342" t="s">
        <v>1261</v>
      </c>
      <c r="C1342" s="10">
        <v>23776</v>
      </c>
      <c r="D1342">
        <v>1</v>
      </c>
    </row>
    <row r="1343" spans="1:4" x14ac:dyDescent="0.25">
      <c r="B1343" t="s">
        <v>1262</v>
      </c>
      <c r="C1343" s="10">
        <v>28531</v>
      </c>
      <c r="D1343">
        <v>1</v>
      </c>
    </row>
    <row r="1344" spans="1:4" x14ac:dyDescent="0.25">
      <c r="B1344" t="s">
        <v>1264</v>
      </c>
      <c r="C1344" s="10">
        <v>30340</v>
      </c>
      <c r="D1344">
        <v>1</v>
      </c>
    </row>
    <row r="1345" spans="2:4" x14ac:dyDescent="0.25">
      <c r="B1345" t="s">
        <v>1266</v>
      </c>
      <c r="C1345" s="10">
        <v>38459</v>
      </c>
      <c r="D1345">
        <v>1</v>
      </c>
    </row>
    <row r="1346" spans="2:4" x14ac:dyDescent="0.25">
      <c r="B1346" t="s">
        <v>1267</v>
      </c>
      <c r="C1346" s="10">
        <v>37890</v>
      </c>
      <c r="D1346">
        <v>1</v>
      </c>
    </row>
    <row r="1347" spans="2:4" x14ac:dyDescent="0.25">
      <c r="B1347" t="s">
        <v>2574</v>
      </c>
      <c r="C1347" s="10">
        <v>24046</v>
      </c>
      <c r="D1347">
        <v>1</v>
      </c>
    </row>
    <row r="1348" spans="2:4" x14ac:dyDescent="0.25">
      <c r="B1348" t="s">
        <v>1268</v>
      </c>
      <c r="C1348" s="10">
        <v>36918</v>
      </c>
      <c r="D1348">
        <v>1</v>
      </c>
    </row>
    <row r="1349" spans="2:4" x14ac:dyDescent="0.25">
      <c r="B1349" t="s">
        <v>1269</v>
      </c>
      <c r="C1349" s="10">
        <v>28966</v>
      </c>
      <c r="D1349">
        <v>1</v>
      </c>
    </row>
    <row r="1350" spans="2:4" x14ac:dyDescent="0.25">
      <c r="B1350" t="s">
        <v>1271</v>
      </c>
      <c r="C1350" s="10">
        <v>31779</v>
      </c>
      <c r="D1350">
        <v>1</v>
      </c>
    </row>
    <row r="1351" spans="2:4" x14ac:dyDescent="0.25">
      <c r="B1351" t="s">
        <v>1273</v>
      </c>
      <c r="C1351" s="10">
        <v>26487</v>
      </c>
      <c r="D1351">
        <v>1</v>
      </c>
    </row>
    <row r="1352" spans="2:4" x14ac:dyDescent="0.25">
      <c r="B1352" t="s">
        <v>1275</v>
      </c>
      <c r="C1352" s="10">
        <v>38214</v>
      </c>
      <c r="D1352">
        <v>1</v>
      </c>
    </row>
    <row r="1353" spans="2:4" x14ac:dyDescent="0.25">
      <c r="B1353" t="s">
        <v>1276</v>
      </c>
      <c r="C1353" s="10">
        <v>36051</v>
      </c>
      <c r="D1353">
        <v>1</v>
      </c>
    </row>
    <row r="1354" spans="2:4" x14ac:dyDescent="0.25">
      <c r="B1354" t="s">
        <v>1277</v>
      </c>
      <c r="C1354" s="10">
        <v>36503</v>
      </c>
      <c r="D1354">
        <v>1</v>
      </c>
    </row>
    <row r="1355" spans="2:4" x14ac:dyDescent="0.25">
      <c r="B1355" t="s">
        <v>1278</v>
      </c>
      <c r="C1355" s="10">
        <v>30438</v>
      </c>
      <c r="D1355">
        <v>1</v>
      </c>
    </row>
    <row r="1356" spans="2:4" x14ac:dyDescent="0.25">
      <c r="B1356" t="s">
        <v>1279</v>
      </c>
      <c r="C1356" s="10">
        <v>27011</v>
      </c>
      <c r="D1356">
        <v>1</v>
      </c>
    </row>
    <row r="1357" spans="2:4" x14ac:dyDescent="0.25">
      <c r="B1357" t="s">
        <v>1280</v>
      </c>
      <c r="C1357" s="10">
        <v>36750</v>
      </c>
      <c r="D1357">
        <v>1</v>
      </c>
    </row>
    <row r="1358" spans="2:4" x14ac:dyDescent="0.25">
      <c r="B1358" t="s">
        <v>1281</v>
      </c>
      <c r="C1358" s="10">
        <v>21258</v>
      </c>
      <c r="D1358">
        <v>1</v>
      </c>
    </row>
    <row r="1359" spans="2:4" x14ac:dyDescent="0.25">
      <c r="B1359" t="s">
        <v>2580</v>
      </c>
      <c r="C1359" s="10">
        <v>36385</v>
      </c>
      <c r="D1359">
        <v>1</v>
      </c>
    </row>
    <row r="1360" spans="2:4" x14ac:dyDescent="0.25">
      <c r="B1360" t="s">
        <v>1282</v>
      </c>
      <c r="C1360" s="10">
        <v>23842</v>
      </c>
      <c r="D1360">
        <v>1</v>
      </c>
    </row>
    <row r="1361" spans="2:4" x14ac:dyDescent="0.25">
      <c r="B1361" t="s">
        <v>1284</v>
      </c>
      <c r="C1361" s="10">
        <v>31586</v>
      </c>
      <c r="D1361">
        <v>1</v>
      </c>
    </row>
    <row r="1362" spans="2:4" x14ac:dyDescent="0.25">
      <c r="B1362" t="s">
        <v>1285</v>
      </c>
      <c r="C1362" s="10">
        <v>25121</v>
      </c>
      <c r="D1362">
        <v>1</v>
      </c>
    </row>
    <row r="1363" spans="2:4" x14ac:dyDescent="0.25">
      <c r="B1363" t="s">
        <v>1286</v>
      </c>
      <c r="C1363" s="10">
        <v>26741</v>
      </c>
      <c r="D1363">
        <v>1</v>
      </c>
    </row>
    <row r="1364" spans="2:4" x14ac:dyDescent="0.25">
      <c r="B1364" t="s">
        <v>1287</v>
      </c>
      <c r="C1364" s="10">
        <v>31713</v>
      </c>
      <c r="D1364">
        <v>1</v>
      </c>
    </row>
    <row r="1365" spans="2:4" x14ac:dyDescent="0.25">
      <c r="B1365" t="s">
        <v>1288</v>
      </c>
      <c r="C1365" s="10">
        <v>32796</v>
      </c>
      <c r="D1365">
        <v>1</v>
      </c>
    </row>
    <row r="1366" spans="2:4" x14ac:dyDescent="0.25">
      <c r="B1366" t="s">
        <v>1289</v>
      </c>
      <c r="C1366" s="10">
        <v>35179</v>
      </c>
      <c r="D1366">
        <v>1</v>
      </c>
    </row>
    <row r="1367" spans="2:4" x14ac:dyDescent="0.25">
      <c r="B1367" t="s">
        <v>1290</v>
      </c>
      <c r="C1367" s="10">
        <v>31498</v>
      </c>
      <c r="D1367">
        <v>1</v>
      </c>
    </row>
    <row r="1368" spans="2:4" x14ac:dyDescent="0.25">
      <c r="B1368" t="s">
        <v>1291</v>
      </c>
      <c r="C1368" s="10">
        <v>29377</v>
      </c>
      <c r="D1368">
        <v>1</v>
      </c>
    </row>
    <row r="1369" spans="2:4" x14ac:dyDescent="0.25">
      <c r="B1369" t="s">
        <v>2348</v>
      </c>
      <c r="C1369" s="10">
        <v>36564</v>
      </c>
      <c r="D1369">
        <v>1</v>
      </c>
    </row>
    <row r="1370" spans="2:4" x14ac:dyDescent="0.25">
      <c r="B1370" t="s">
        <v>2323</v>
      </c>
      <c r="C1370" s="10">
        <v>30904</v>
      </c>
      <c r="D1370">
        <v>1</v>
      </c>
    </row>
    <row r="1371" spans="2:4" x14ac:dyDescent="0.25">
      <c r="B1371" t="s">
        <v>2297</v>
      </c>
      <c r="C1371" s="10">
        <v>26631</v>
      </c>
      <c r="D1371">
        <v>1</v>
      </c>
    </row>
    <row r="1372" spans="2:4" x14ac:dyDescent="0.25">
      <c r="B1372" t="s">
        <v>2340</v>
      </c>
      <c r="C1372" s="10">
        <v>35951</v>
      </c>
      <c r="D1372">
        <v>1</v>
      </c>
    </row>
    <row r="1373" spans="2:4" x14ac:dyDescent="0.25">
      <c r="B1373" t="s">
        <v>2295</v>
      </c>
      <c r="C1373" s="10">
        <v>25326</v>
      </c>
      <c r="D1373">
        <v>1</v>
      </c>
    </row>
    <row r="1374" spans="2:4" x14ac:dyDescent="0.25">
      <c r="B1374" t="s">
        <v>2347</v>
      </c>
      <c r="C1374" s="10">
        <v>38460</v>
      </c>
      <c r="D1374">
        <v>1</v>
      </c>
    </row>
    <row r="1375" spans="2:4" x14ac:dyDescent="0.25">
      <c r="B1375" t="s">
        <v>2330</v>
      </c>
      <c r="C1375" s="10">
        <v>32904</v>
      </c>
      <c r="D1375">
        <v>1</v>
      </c>
    </row>
    <row r="1376" spans="2:4" x14ac:dyDescent="0.25">
      <c r="B1376" t="s">
        <v>2287</v>
      </c>
      <c r="C1376" s="10">
        <v>27797</v>
      </c>
      <c r="D1376">
        <v>1</v>
      </c>
    </row>
    <row r="1377" spans="2:4" x14ac:dyDescent="0.25">
      <c r="B1377" t="s">
        <v>2332</v>
      </c>
      <c r="C1377" s="10">
        <v>34974</v>
      </c>
      <c r="D1377">
        <v>1</v>
      </c>
    </row>
    <row r="1378" spans="2:4" x14ac:dyDescent="0.25">
      <c r="B1378" t="s">
        <v>2309</v>
      </c>
      <c r="C1378" s="10">
        <v>27798</v>
      </c>
      <c r="D1378">
        <v>1</v>
      </c>
    </row>
    <row r="1379" spans="2:4" x14ac:dyDescent="0.25">
      <c r="B1379" t="s">
        <v>2305</v>
      </c>
      <c r="C1379" s="10">
        <v>25779</v>
      </c>
      <c r="D1379">
        <v>1</v>
      </c>
    </row>
    <row r="1380" spans="2:4" x14ac:dyDescent="0.25">
      <c r="B1380" t="s">
        <v>1292</v>
      </c>
      <c r="C1380" s="10">
        <v>27580</v>
      </c>
      <c r="D1380">
        <v>1</v>
      </c>
    </row>
    <row r="1381" spans="2:4" x14ac:dyDescent="0.25">
      <c r="B1381" t="s">
        <v>1294</v>
      </c>
      <c r="C1381" s="10">
        <v>22146</v>
      </c>
      <c r="D1381">
        <v>1</v>
      </c>
    </row>
    <row r="1382" spans="2:4" x14ac:dyDescent="0.25">
      <c r="B1382" t="s">
        <v>1295</v>
      </c>
      <c r="C1382" s="10">
        <v>36975</v>
      </c>
      <c r="D1382">
        <v>1</v>
      </c>
    </row>
    <row r="1383" spans="2:4" x14ac:dyDescent="0.25">
      <c r="B1383" t="s">
        <v>1296</v>
      </c>
      <c r="C1383" s="10">
        <v>35800</v>
      </c>
      <c r="D1383">
        <v>1</v>
      </c>
    </row>
    <row r="1384" spans="2:4" x14ac:dyDescent="0.25">
      <c r="B1384" t="s">
        <v>1297</v>
      </c>
      <c r="C1384" s="10">
        <v>29505</v>
      </c>
      <c r="D1384">
        <v>1</v>
      </c>
    </row>
    <row r="1385" spans="2:4" x14ac:dyDescent="0.25">
      <c r="B1385" t="s">
        <v>1299</v>
      </c>
      <c r="C1385" s="10">
        <v>35339</v>
      </c>
      <c r="D1385">
        <v>1</v>
      </c>
    </row>
    <row r="1386" spans="2:4" x14ac:dyDescent="0.25">
      <c r="B1386" t="s">
        <v>2289</v>
      </c>
      <c r="C1386" s="10">
        <v>27235</v>
      </c>
      <c r="D1386">
        <v>1</v>
      </c>
    </row>
    <row r="1387" spans="2:4" x14ac:dyDescent="0.25">
      <c r="B1387" t="s">
        <v>1300</v>
      </c>
      <c r="C1387" s="10">
        <v>31398</v>
      </c>
      <c r="D1387">
        <v>1</v>
      </c>
    </row>
    <row r="1388" spans="2:4" x14ac:dyDescent="0.25">
      <c r="B1388" t="s">
        <v>2280</v>
      </c>
      <c r="C1388" s="10">
        <v>27033</v>
      </c>
      <c r="D1388">
        <v>1</v>
      </c>
    </row>
    <row r="1389" spans="2:4" x14ac:dyDescent="0.25">
      <c r="B1389" t="s">
        <v>3320</v>
      </c>
      <c r="C1389" s="10">
        <v>34203</v>
      </c>
      <c r="D1389">
        <v>1</v>
      </c>
    </row>
    <row r="1390" spans="2:4" x14ac:dyDescent="0.25">
      <c r="B1390" t="s">
        <v>1302</v>
      </c>
      <c r="C1390" s="10">
        <v>37855</v>
      </c>
      <c r="D1390">
        <v>1</v>
      </c>
    </row>
    <row r="1391" spans="2:4" x14ac:dyDescent="0.25">
      <c r="B1391" t="s">
        <v>1304</v>
      </c>
      <c r="C1391" s="10">
        <v>38204</v>
      </c>
      <c r="D1391">
        <v>1</v>
      </c>
    </row>
    <row r="1392" spans="2:4" x14ac:dyDescent="0.25">
      <c r="B1392" t="s">
        <v>2353</v>
      </c>
      <c r="C1392" s="10">
        <v>29130</v>
      </c>
      <c r="D1392">
        <v>1</v>
      </c>
    </row>
    <row r="1393" spans="2:4" x14ac:dyDescent="0.25">
      <c r="B1393" t="s">
        <v>1305</v>
      </c>
      <c r="C1393" s="10">
        <v>34832</v>
      </c>
      <c r="D1393">
        <v>1</v>
      </c>
    </row>
    <row r="1394" spans="2:4" x14ac:dyDescent="0.25">
      <c r="B1394" t="s">
        <v>1306</v>
      </c>
      <c r="C1394" s="10">
        <v>30776</v>
      </c>
      <c r="D1394">
        <v>1</v>
      </c>
    </row>
    <row r="1395" spans="2:4" x14ac:dyDescent="0.25">
      <c r="B1395" t="s">
        <v>1308</v>
      </c>
      <c r="C1395" s="10">
        <v>20472</v>
      </c>
      <c r="D1395">
        <v>1</v>
      </c>
    </row>
    <row r="1396" spans="2:4" x14ac:dyDescent="0.25">
      <c r="B1396" t="s">
        <v>2313</v>
      </c>
      <c r="C1396" s="10">
        <v>25102</v>
      </c>
      <c r="D1396">
        <v>1</v>
      </c>
    </row>
    <row r="1397" spans="2:4" x14ac:dyDescent="0.25">
      <c r="B1397" t="s">
        <v>1310</v>
      </c>
      <c r="C1397" s="10">
        <v>27993</v>
      </c>
      <c r="D1397">
        <v>1</v>
      </c>
    </row>
    <row r="1398" spans="2:4" x14ac:dyDescent="0.25">
      <c r="B1398" t="s">
        <v>1312</v>
      </c>
      <c r="C1398" s="10">
        <v>29763</v>
      </c>
      <c r="D1398">
        <v>1</v>
      </c>
    </row>
    <row r="1399" spans="2:4" x14ac:dyDescent="0.25">
      <c r="B1399" t="s">
        <v>2274</v>
      </c>
      <c r="C1399" s="10">
        <v>22830</v>
      </c>
      <c r="D1399">
        <v>1</v>
      </c>
    </row>
    <row r="1400" spans="2:4" x14ac:dyDescent="0.25">
      <c r="B1400" t="s">
        <v>1314</v>
      </c>
      <c r="C1400" s="10">
        <v>25556</v>
      </c>
      <c r="D1400">
        <v>1</v>
      </c>
    </row>
    <row r="1401" spans="2:4" x14ac:dyDescent="0.25">
      <c r="B1401" t="s">
        <v>1768</v>
      </c>
      <c r="C1401" s="10">
        <v>34058</v>
      </c>
      <c r="D1401">
        <v>1</v>
      </c>
    </row>
    <row r="1402" spans="2:4" x14ac:dyDescent="0.25">
      <c r="B1402" t="s">
        <v>1769</v>
      </c>
      <c r="C1402" s="10">
        <v>29672</v>
      </c>
      <c r="D1402">
        <v>1</v>
      </c>
    </row>
    <row r="1403" spans="2:4" x14ac:dyDescent="0.25">
      <c r="B1403" t="s">
        <v>1771</v>
      </c>
      <c r="C1403" s="10">
        <v>27460</v>
      </c>
      <c r="D1403">
        <v>1</v>
      </c>
    </row>
    <row r="1404" spans="2:4" x14ac:dyDescent="0.25">
      <c r="B1404" t="s">
        <v>1773</v>
      </c>
      <c r="C1404" s="10">
        <v>28267</v>
      </c>
      <c r="D1404">
        <v>1</v>
      </c>
    </row>
    <row r="1405" spans="2:4" x14ac:dyDescent="0.25">
      <c r="B1405" t="s">
        <v>1775</v>
      </c>
      <c r="C1405" s="10">
        <v>37135</v>
      </c>
      <c r="D1405">
        <v>1</v>
      </c>
    </row>
    <row r="1406" spans="2:4" x14ac:dyDescent="0.25">
      <c r="B1406" t="s">
        <v>1776</v>
      </c>
      <c r="C1406" s="10">
        <v>36601</v>
      </c>
      <c r="D1406">
        <v>1</v>
      </c>
    </row>
    <row r="1407" spans="2:4" x14ac:dyDescent="0.25">
      <c r="B1407" t="s">
        <v>1777</v>
      </c>
      <c r="C1407" s="10">
        <v>25886</v>
      </c>
      <c r="D1407">
        <v>1</v>
      </c>
    </row>
    <row r="1408" spans="2:4" x14ac:dyDescent="0.25">
      <c r="B1408" t="s">
        <v>1778</v>
      </c>
      <c r="C1408" s="10">
        <v>28350</v>
      </c>
      <c r="D1408">
        <v>1</v>
      </c>
    </row>
    <row r="1409" spans="2:4" x14ac:dyDescent="0.25">
      <c r="B1409" t="s">
        <v>1779</v>
      </c>
      <c r="C1409" s="10">
        <v>25264</v>
      </c>
      <c r="D1409">
        <v>1</v>
      </c>
    </row>
    <row r="1410" spans="2:4" x14ac:dyDescent="0.25">
      <c r="B1410" t="s">
        <v>1780</v>
      </c>
      <c r="C1410" s="10">
        <v>30100</v>
      </c>
      <c r="D1410">
        <v>1</v>
      </c>
    </row>
    <row r="1411" spans="2:4" x14ac:dyDescent="0.25">
      <c r="B1411" t="s">
        <v>1782</v>
      </c>
      <c r="C1411" s="10">
        <v>30608</v>
      </c>
      <c r="D1411">
        <v>1</v>
      </c>
    </row>
    <row r="1412" spans="2:4" x14ac:dyDescent="0.25">
      <c r="B1412" t="s">
        <v>1784</v>
      </c>
      <c r="C1412" s="10">
        <v>32022</v>
      </c>
      <c r="D1412">
        <v>1</v>
      </c>
    </row>
    <row r="1413" spans="2:4" x14ac:dyDescent="0.25">
      <c r="B1413" t="s">
        <v>1786</v>
      </c>
      <c r="C1413" s="10">
        <v>37400</v>
      </c>
      <c r="D1413">
        <v>1</v>
      </c>
    </row>
    <row r="1414" spans="2:4" x14ac:dyDescent="0.25">
      <c r="B1414" t="s">
        <v>1787</v>
      </c>
      <c r="C1414" s="10">
        <v>29006</v>
      </c>
      <c r="D1414">
        <v>1</v>
      </c>
    </row>
    <row r="1415" spans="2:4" x14ac:dyDescent="0.25">
      <c r="B1415" t="s">
        <v>1789</v>
      </c>
      <c r="C1415" s="10">
        <v>33941</v>
      </c>
      <c r="D1415">
        <v>1</v>
      </c>
    </row>
    <row r="1416" spans="2:4" x14ac:dyDescent="0.25">
      <c r="B1416" t="s">
        <v>1791</v>
      </c>
      <c r="C1416" s="10">
        <v>27106</v>
      </c>
      <c r="D1416">
        <v>1</v>
      </c>
    </row>
    <row r="1417" spans="2:4" x14ac:dyDescent="0.25">
      <c r="B1417" t="s">
        <v>1792</v>
      </c>
      <c r="C1417" s="10">
        <v>37002</v>
      </c>
      <c r="D1417">
        <v>1</v>
      </c>
    </row>
    <row r="1418" spans="2:4" x14ac:dyDescent="0.25">
      <c r="B1418" t="s">
        <v>1793</v>
      </c>
      <c r="C1418" s="10">
        <v>28637</v>
      </c>
      <c r="D1418">
        <v>1</v>
      </c>
    </row>
    <row r="1419" spans="2:4" x14ac:dyDescent="0.25">
      <c r="B1419" t="s">
        <v>1795</v>
      </c>
      <c r="C1419" s="10">
        <v>25266</v>
      </c>
      <c r="D1419">
        <v>1</v>
      </c>
    </row>
    <row r="1420" spans="2:4" x14ac:dyDescent="0.25">
      <c r="B1420" t="s">
        <v>1797</v>
      </c>
      <c r="C1420" s="10">
        <v>31246</v>
      </c>
      <c r="D1420">
        <v>1</v>
      </c>
    </row>
    <row r="1421" spans="2:4" x14ac:dyDescent="0.25">
      <c r="B1421" t="s">
        <v>1799</v>
      </c>
      <c r="C1421" s="10">
        <v>29604</v>
      </c>
      <c r="D1421">
        <v>1</v>
      </c>
    </row>
    <row r="1422" spans="2:4" x14ac:dyDescent="0.25">
      <c r="B1422" t="s">
        <v>1800</v>
      </c>
      <c r="C1422" s="10">
        <v>21864</v>
      </c>
      <c r="D1422">
        <v>1</v>
      </c>
    </row>
    <row r="1423" spans="2:4" x14ac:dyDescent="0.25">
      <c r="B1423" t="s">
        <v>1802</v>
      </c>
      <c r="C1423" s="10">
        <v>24234</v>
      </c>
      <c r="D1423">
        <v>1</v>
      </c>
    </row>
    <row r="1424" spans="2:4" x14ac:dyDescent="0.25">
      <c r="B1424" t="s">
        <v>1804</v>
      </c>
      <c r="C1424" s="10">
        <v>25417</v>
      </c>
      <c r="D1424">
        <v>1</v>
      </c>
    </row>
    <row r="1425" spans="2:4" x14ac:dyDescent="0.25">
      <c r="B1425" t="s">
        <v>1805</v>
      </c>
      <c r="C1425" s="10">
        <v>36451</v>
      </c>
      <c r="D1425">
        <v>1</v>
      </c>
    </row>
    <row r="1426" spans="2:4" x14ac:dyDescent="0.25">
      <c r="B1426" t="s">
        <v>1806</v>
      </c>
      <c r="C1426" s="10">
        <v>25289</v>
      </c>
      <c r="D1426">
        <v>1</v>
      </c>
    </row>
    <row r="1427" spans="2:4" x14ac:dyDescent="0.25">
      <c r="B1427" t="s">
        <v>1808</v>
      </c>
      <c r="C1427" s="10">
        <v>35091</v>
      </c>
      <c r="D1427">
        <v>1</v>
      </c>
    </row>
    <row r="1428" spans="2:4" x14ac:dyDescent="0.25">
      <c r="B1428" t="s">
        <v>1809</v>
      </c>
      <c r="C1428" s="10">
        <v>31021</v>
      </c>
      <c r="D1428">
        <v>1</v>
      </c>
    </row>
    <row r="1429" spans="2:4" x14ac:dyDescent="0.25">
      <c r="B1429" t="s">
        <v>1810</v>
      </c>
      <c r="C1429" s="10">
        <v>36511</v>
      </c>
      <c r="D1429">
        <v>1</v>
      </c>
    </row>
    <row r="1430" spans="2:4" x14ac:dyDescent="0.25">
      <c r="B1430" t="s">
        <v>1811</v>
      </c>
      <c r="C1430" s="10">
        <v>30458</v>
      </c>
      <c r="D1430">
        <v>1</v>
      </c>
    </row>
    <row r="1431" spans="2:4" x14ac:dyDescent="0.25">
      <c r="B1431" t="s">
        <v>1813</v>
      </c>
      <c r="C1431" s="10">
        <v>29780</v>
      </c>
      <c r="D1431">
        <v>1</v>
      </c>
    </row>
    <row r="1432" spans="2:4" x14ac:dyDescent="0.25">
      <c r="B1432" t="s">
        <v>1814</v>
      </c>
      <c r="C1432" s="10">
        <v>32504</v>
      </c>
      <c r="D1432">
        <v>1</v>
      </c>
    </row>
    <row r="1433" spans="2:4" x14ac:dyDescent="0.25">
      <c r="B1433" t="s">
        <v>1816</v>
      </c>
      <c r="C1433" s="10">
        <v>30159</v>
      </c>
      <c r="D1433">
        <v>1</v>
      </c>
    </row>
    <row r="1434" spans="2:4" x14ac:dyDescent="0.25">
      <c r="B1434" t="s">
        <v>1818</v>
      </c>
      <c r="C1434" s="10">
        <v>36017</v>
      </c>
      <c r="D1434">
        <v>1</v>
      </c>
    </row>
    <row r="1435" spans="2:4" x14ac:dyDescent="0.25">
      <c r="B1435" t="s">
        <v>1820</v>
      </c>
      <c r="C1435" s="10">
        <v>27992</v>
      </c>
      <c r="D1435">
        <v>1</v>
      </c>
    </row>
    <row r="1436" spans="2:4" x14ac:dyDescent="0.25">
      <c r="B1436" t="s">
        <v>1822</v>
      </c>
      <c r="C1436" s="10">
        <v>26110</v>
      </c>
      <c r="D1436">
        <v>1</v>
      </c>
    </row>
    <row r="1437" spans="2:4" x14ac:dyDescent="0.25">
      <c r="B1437" t="s">
        <v>1823</v>
      </c>
      <c r="C1437" s="10">
        <v>27071</v>
      </c>
      <c r="D1437">
        <v>1</v>
      </c>
    </row>
    <row r="1438" spans="2:4" x14ac:dyDescent="0.25">
      <c r="B1438" t="s">
        <v>1824</v>
      </c>
      <c r="C1438" s="10">
        <v>37212</v>
      </c>
      <c r="D1438">
        <v>1</v>
      </c>
    </row>
    <row r="1439" spans="2:4" x14ac:dyDescent="0.25">
      <c r="B1439" t="s">
        <v>1826</v>
      </c>
      <c r="C1439" s="10">
        <v>29620</v>
      </c>
      <c r="D1439">
        <v>1</v>
      </c>
    </row>
    <row r="1440" spans="2:4" x14ac:dyDescent="0.25">
      <c r="B1440" t="s">
        <v>1827</v>
      </c>
      <c r="C1440" s="10">
        <v>28387</v>
      </c>
      <c r="D1440">
        <v>1</v>
      </c>
    </row>
    <row r="1441" spans="2:4" x14ac:dyDescent="0.25">
      <c r="B1441" t="s">
        <v>1829</v>
      </c>
      <c r="C1441" s="10">
        <v>32964</v>
      </c>
      <c r="D1441">
        <v>1</v>
      </c>
    </row>
    <row r="1442" spans="2:4" x14ac:dyDescent="0.25">
      <c r="B1442" t="s">
        <v>1831</v>
      </c>
      <c r="C1442" s="10">
        <v>26276</v>
      </c>
      <c r="D1442">
        <v>1</v>
      </c>
    </row>
    <row r="1443" spans="2:4" x14ac:dyDescent="0.25">
      <c r="B1443" t="s">
        <v>1832</v>
      </c>
      <c r="C1443" s="10">
        <v>31500</v>
      </c>
      <c r="D1443">
        <v>1</v>
      </c>
    </row>
    <row r="1444" spans="2:4" x14ac:dyDescent="0.25">
      <c r="B1444" t="s">
        <v>1834</v>
      </c>
      <c r="C1444" s="10">
        <v>35060</v>
      </c>
      <c r="D1444">
        <v>1</v>
      </c>
    </row>
    <row r="1445" spans="2:4" x14ac:dyDescent="0.25">
      <c r="B1445" t="s">
        <v>1835</v>
      </c>
      <c r="C1445" s="10">
        <v>27553</v>
      </c>
      <c r="D1445">
        <v>1</v>
      </c>
    </row>
    <row r="1446" spans="2:4" x14ac:dyDescent="0.25">
      <c r="B1446" t="s">
        <v>1837</v>
      </c>
      <c r="C1446" s="10">
        <v>29673</v>
      </c>
      <c r="D1446">
        <v>1</v>
      </c>
    </row>
    <row r="1447" spans="2:4" x14ac:dyDescent="0.25">
      <c r="B1447" t="s">
        <v>1838</v>
      </c>
      <c r="C1447" s="10">
        <v>23119</v>
      </c>
      <c r="D1447">
        <v>1</v>
      </c>
    </row>
    <row r="1448" spans="2:4" x14ac:dyDescent="0.25">
      <c r="B1448" t="s">
        <v>2336</v>
      </c>
      <c r="C1448" s="10">
        <v>37785</v>
      </c>
      <c r="D1448">
        <v>1</v>
      </c>
    </row>
    <row r="1449" spans="2:4" x14ac:dyDescent="0.25">
      <c r="B1449" t="s">
        <v>2341</v>
      </c>
      <c r="C1449" s="10">
        <v>37891</v>
      </c>
      <c r="D1449">
        <v>1</v>
      </c>
    </row>
    <row r="1450" spans="2:4" x14ac:dyDescent="0.25">
      <c r="B1450" t="s">
        <v>2344</v>
      </c>
      <c r="C1450" s="10">
        <v>36860</v>
      </c>
      <c r="D1450">
        <v>1</v>
      </c>
    </row>
    <row r="1451" spans="2:4" x14ac:dyDescent="0.25">
      <c r="B1451" t="s">
        <v>2346</v>
      </c>
      <c r="C1451" s="10">
        <v>37324</v>
      </c>
      <c r="D1451">
        <v>1</v>
      </c>
    </row>
    <row r="1452" spans="2:4" x14ac:dyDescent="0.25">
      <c r="B1452" t="s">
        <v>2328</v>
      </c>
      <c r="C1452" s="10">
        <v>33824</v>
      </c>
      <c r="D1452">
        <v>1</v>
      </c>
    </row>
    <row r="1453" spans="2:4" x14ac:dyDescent="0.25">
      <c r="B1453" t="s">
        <v>2334</v>
      </c>
      <c r="C1453" s="10">
        <v>33834</v>
      </c>
      <c r="D1453">
        <v>1</v>
      </c>
    </row>
    <row r="1454" spans="2:4" x14ac:dyDescent="0.25">
      <c r="B1454" t="s">
        <v>2338</v>
      </c>
      <c r="C1454" s="10">
        <v>34064</v>
      </c>
      <c r="D1454">
        <v>1</v>
      </c>
    </row>
    <row r="1455" spans="2:4" x14ac:dyDescent="0.25">
      <c r="B1455" t="s">
        <v>2343</v>
      </c>
      <c r="C1455" s="10">
        <v>34697</v>
      </c>
      <c r="D1455">
        <v>1</v>
      </c>
    </row>
    <row r="1456" spans="2:4" x14ac:dyDescent="0.25">
      <c r="B1456" t="s">
        <v>2350</v>
      </c>
      <c r="C1456" s="10">
        <v>35382</v>
      </c>
      <c r="D1456">
        <v>1</v>
      </c>
    </row>
    <row r="1457" spans="2:4" x14ac:dyDescent="0.25">
      <c r="B1457" t="s">
        <v>2266</v>
      </c>
      <c r="C1457" s="10">
        <v>33104</v>
      </c>
      <c r="D1457">
        <v>1</v>
      </c>
    </row>
    <row r="1458" spans="2:4" x14ac:dyDescent="0.25">
      <c r="B1458" t="s">
        <v>2325</v>
      </c>
      <c r="C1458" s="10">
        <v>31439</v>
      </c>
      <c r="D1458">
        <v>1</v>
      </c>
    </row>
    <row r="1459" spans="2:4" x14ac:dyDescent="0.25">
      <c r="B1459" t="s">
        <v>2326</v>
      </c>
      <c r="C1459" s="10">
        <v>32954</v>
      </c>
      <c r="D1459">
        <v>1</v>
      </c>
    </row>
    <row r="1460" spans="2:4" x14ac:dyDescent="0.25">
      <c r="B1460" t="s">
        <v>2327</v>
      </c>
      <c r="C1460" s="10">
        <v>33758</v>
      </c>
      <c r="D1460">
        <v>1</v>
      </c>
    </row>
    <row r="1461" spans="2:4" x14ac:dyDescent="0.25">
      <c r="B1461" t="s">
        <v>2331</v>
      </c>
      <c r="C1461" s="10">
        <v>33349</v>
      </c>
      <c r="D1461">
        <v>1</v>
      </c>
    </row>
    <row r="1462" spans="2:4" x14ac:dyDescent="0.25">
      <c r="B1462" t="s">
        <v>2267</v>
      </c>
      <c r="C1462" s="10">
        <v>28890</v>
      </c>
      <c r="D1462">
        <v>1</v>
      </c>
    </row>
    <row r="1463" spans="2:4" x14ac:dyDescent="0.25">
      <c r="B1463" t="s">
        <v>2271</v>
      </c>
      <c r="C1463" s="10">
        <v>27413</v>
      </c>
      <c r="D1463">
        <v>1</v>
      </c>
    </row>
    <row r="1464" spans="2:4" x14ac:dyDescent="0.25">
      <c r="B1464" t="s">
        <v>2281</v>
      </c>
      <c r="C1464" s="10">
        <v>27227</v>
      </c>
      <c r="D1464">
        <v>1</v>
      </c>
    </row>
    <row r="1465" spans="2:4" x14ac:dyDescent="0.25">
      <c r="B1465" t="s">
        <v>2282</v>
      </c>
      <c r="C1465" s="10">
        <v>27759</v>
      </c>
      <c r="D1465">
        <v>1</v>
      </c>
    </row>
    <row r="1466" spans="2:4" x14ac:dyDescent="0.25">
      <c r="B1466" t="s">
        <v>2283</v>
      </c>
      <c r="C1466" s="10">
        <v>28479</v>
      </c>
      <c r="D1466">
        <v>1</v>
      </c>
    </row>
    <row r="1467" spans="2:4" x14ac:dyDescent="0.25">
      <c r="B1467" t="s">
        <v>2307</v>
      </c>
      <c r="C1467" s="10">
        <v>27551</v>
      </c>
      <c r="D1467">
        <v>1</v>
      </c>
    </row>
    <row r="1468" spans="2:4" x14ac:dyDescent="0.25">
      <c r="B1468" t="s">
        <v>2311</v>
      </c>
      <c r="C1468" s="10">
        <v>27956</v>
      </c>
      <c r="D1468">
        <v>1</v>
      </c>
    </row>
    <row r="1469" spans="2:4" x14ac:dyDescent="0.25">
      <c r="B1469" t="s">
        <v>2317</v>
      </c>
      <c r="C1469" s="10">
        <v>29359</v>
      </c>
      <c r="D1469">
        <v>1</v>
      </c>
    </row>
    <row r="1470" spans="2:4" x14ac:dyDescent="0.25">
      <c r="B1470" t="s">
        <v>2319</v>
      </c>
      <c r="C1470" s="10">
        <v>28813</v>
      </c>
      <c r="D1470">
        <v>1</v>
      </c>
    </row>
    <row r="1471" spans="2:4" x14ac:dyDescent="0.25">
      <c r="B1471" t="s">
        <v>2320</v>
      </c>
      <c r="C1471" s="10">
        <v>29416</v>
      </c>
      <c r="D1471">
        <v>1</v>
      </c>
    </row>
    <row r="1472" spans="2:4" x14ac:dyDescent="0.25">
      <c r="B1472" t="s">
        <v>2321</v>
      </c>
      <c r="C1472" s="10">
        <v>28844</v>
      </c>
      <c r="D1472">
        <v>1</v>
      </c>
    </row>
    <row r="1473" spans="2:4" x14ac:dyDescent="0.25">
      <c r="B1473" t="s">
        <v>2269</v>
      </c>
      <c r="C1473" s="10">
        <v>25919</v>
      </c>
      <c r="D1473">
        <v>1</v>
      </c>
    </row>
    <row r="1474" spans="2:4" x14ac:dyDescent="0.25">
      <c r="B1474" t="s">
        <v>2270</v>
      </c>
      <c r="C1474" s="10">
        <v>24823</v>
      </c>
      <c r="D1474">
        <v>1</v>
      </c>
    </row>
    <row r="1475" spans="2:4" x14ac:dyDescent="0.25">
      <c r="B1475" t="s">
        <v>2278</v>
      </c>
      <c r="C1475" s="10">
        <v>24666</v>
      </c>
      <c r="D1475">
        <v>1</v>
      </c>
    </row>
    <row r="1476" spans="2:4" x14ac:dyDescent="0.25">
      <c r="B1476" t="s">
        <v>2293</v>
      </c>
      <c r="C1476" s="10">
        <v>24716</v>
      </c>
      <c r="D1476">
        <v>1</v>
      </c>
    </row>
    <row r="1477" spans="2:4" x14ac:dyDescent="0.25">
      <c r="B1477" t="s">
        <v>2299</v>
      </c>
      <c r="C1477" s="10">
        <v>26303</v>
      </c>
      <c r="D1477">
        <v>1</v>
      </c>
    </row>
    <row r="1478" spans="2:4" x14ac:dyDescent="0.25">
      <c r="B1478" t="s">
        <v>2301</v>
      </c>
      <c r="C1478" s="10">
        <v>26980</v>
      </c>
      <c r="D1478">
        <v>1</v>
      </c>
    </row>
    <row r="1479" spans="2:4" x14ac:dyDescent="0.25">
      <c r="B1479" t="s">
        <v>2303</v>
      </c>
      <c r="C1479" s="10">
        <v>26873</v>
      </c>
      <c r="D1479">
        <v>1</v>
      </c>
    </row>
    <row r="1480" spans="2:4" x14ac:dyDescent="0.25">
      <c r="B1480" t="s">
        <v>2315</v>
      </c>
      <c r="C1480" s="10">
        <v>26414</v>
      </c>
      <c r="D1480">
        <v>1</v>
      </c>
    </row>
    <row r="1481" spans="2:4" x14ac:dyDescent="0.25">
      <c r="B1481" t="s">
        <v>2352</v>
      </c>
      <c r="C1481" s="10">
        <v>24068</v>
      </c>
      <c r="D1481">
        <v>1</v>
      </c>
    </row>
    <row r="1482" spans="2:4" x14ac:dyDescent="0.25">
      <c r="B1482" t="s">
        <v>2272</v>
      </c>
      <c r="C1482" s="10">
        <v>22475</v>
      </c>
      <c r="D1482">
        <v>1</v>
      </c>
    </row>
    <row r="1483" spans="2:4" x14ac:dyDescent="0.25">
      <c r="B1483" t="s">
        <v>2276</v>
      </c>
      <c r="C1483" s="10">
        <v>23823</v>
      </c>
      <c r="D1483">
        <v>1</v>
      </c>
    </row>
    <row r="1484" spans="2:4" x14ac:dyDescent="0.25">
      <c r="B1484" t="s">
        <v>2277</v>
      </c>
      <c r="C1484" s="10">
        <v>23745</v>
      </c>
      <c r="D1484">
        <v>1</v>
      </c>
    </row>
    <row r="1485" spans="2:4" x14ac:dyDescent="0.25">
      <c r="B1485" t="s">
        <v>2285</v>
      </c>
      <c r="C1485" s="10">
        <v>23090</v>
      </c>
      <c r="D1485">
        <v>1</v>
      </c>
    </row>
    <row r="1486" spans="2:4" x14ac:dyDescent="0.25">
      <c r="B1486" t="s">
        <v>2291</v>
      </c>
      <c r="C1486" s="10">
        <v>23872</v>
      </c>
      <c r="D1486">
        <v>1</v>
      </c>
    </row>
    <row r="1487" spans="2:4" x14ac:dyDescent="0.25">
      <c r="B1487" t="s">
        <v>2578</v>
      </c>
      <c r="C1487" s="10">
        <v>38070</v>
      </c>
      <c r="D1487">
        <v>1</v>
      </c>
    </row>
    <row r="1488" spans="2:4" x14ac:dyDescent="0.25">
      <c r="B1488" t="s">
        <v>2563</v>
      </c>
      <c r="C1488" s="10">
        <v>35391</v>
      </c>
      <c r="D1488">
        <v>1</v>
      </c>
    </row>
    <row r="1489" spans="2:4" x14ac:dyDescent="0.25">
      <c r="B1489" t="s">
        <v>2568</v>
      </c>
      <c r="C1489" s="10">
        <v>35684</v>
      </c>
      <c r="D1489">
        <v>1</v>
      </c>
    </row>
    <row r="1490" spans="2:4" x14ac:dyDescent="0.25">
      <c r="B1490" t="s">
        <v>2572</v>
      </c>
      <c r="C1490" s="10">
        <v>34393</v>
      </c>
      <c r="D1490">
        <v>1</v>
      </c>
    </row>
    <row r="1491" spans="2:4" x14ac:dyDescent="0.25">
      <c r="B1491" t="s">
        <v>2576</v>
      </c>
      <c r="C1491" s="10">
        <v>35042</v>
      </c>
      <c r="D1491">
        <v>1</v>
      </c>
    </row>
    <row r="1492" spans="2:4" x14ac:dyDescent="0.25">
      <c r="B1492" t="s">
        <v>2570</v>
      </c>
      <c r="C1492" s="10">
        <v>31961</v>
      </c>
      <c r="D1492">
        <v>1</v>
      </c>
    </row>
    <row r="1493" spans="2:4" x14ac:dyDescent="0.25">
      <c r="B1493" t="s">
        <v>2575</v>
      </c>
      <c r="C1493" s="10">
        <v>32556</v>
      </c>
      <c r="D1493">
        <v>1</v>
      </c>
    </row>
    <row r="1494" spans="2:4" x14ac:dyDescent="0.25">
      <c r="B1494" t="s">
        <v>2577</v>
      </c>
      <c r="C1494" s="10">
        <v>33356</v>
      </c>
      <c r="D1494">
        <v>1</v>
      </c>
    </row>
    <row r="1495" spans="2:4" x14ac:dyDescent="0.25">
      <c r="B1495" t="s">
        <v>2579</v>
      </c>
      <c r="C1495" s="10">
        <v>32695</v>
      </c>
      <c r="D1495">
        <v>1</v>
      </c>
    </row>
    <row r="1496" spans="2:4" x14ac:dyDescent="0.25">
      <c r="B1496" t="s">
        <v>2585</v>
      </c>
      <c r="C1496" s="10">
        <v>33612</v>
      </c>
      <c r="D1496">
        <v>1</v>
      </c>
    </row>
    <row r="1497" spans="2:4" x14ac:dyDescent="0.25">
      <c r="B1497" t="s">
        <v>2584</v>
      </c>
      <c r="C1497" s="10">
        <v>29015</v>
      </c>
      <c r="D1497">
        <v>1</v>
      </c>
    </row>
    <row r="1498" spans="2:4" x14ac:dyDescent="0.25">
      <c r="B1498" t="s">
        <v>2586</v>
      </c>
      <c r="C1498" s="10">
        <v>29057</v>
      </c>
      <c r="D1498">
        <v>1</v>
      </c>
    </row>
    <row r="1499" spans="2:4" x14ac:dyDescent="0.25">
      <c r="B1499" t="s">
        <v>2587</v>
      </c>
      <c r="C1499" s="10">
        <v>27290</v>
      </c>
      <c r="D1499">
        <v>1</v>
      </c>
    </row>
    <row r="1500" spans="2:4" x14ac:dyDescent="0.25">
      <c r="B1500" t="s">
        <v>2589</v>
      </c>
      <c r="C1500" s="10">
        <v>29240</v>
      </c>
      <c r="D1500">
        <v>1</v>
      </c>
    </row>
    <row r="1501" spans="2:4" x14ac:dyDescent="0.25">
      <c r="B1501" t="s">
        <v>2590</v>
      </c>
      <c r="C1501" s="10">
        <v>29919</v>
      </c>
      <c r="D1501">
        <v>1</v>
      </c>
    </row>
    <row r="1502" spans="2:4" x14ac:dyDescent="0.25">
      <c r="B1502" t="s">
        <v>2565</v>
      </c>
      <c r="C1502" s="10">
        <v>24704</v>
      </c>
      <c r="D1502">
        <v>1</v>
      </c>
    </row>
    <row r="1503" spans="2:4" x14ac:dyDescent="0.25">
      <c r="B1503" t="s">
        <v>2569</v>
      </c>
      <c r="C1503" s="10">
        <v>25177</v>
      </c>
      <c r="D1503">
        <v>1</v>
      </c>
    </row>
    <row r="1504" spans="2:4" x14ac:dyDescent="0.25">
      <c r="B1504" t="s">
        <v>2571</v>
      </c>
      <c r="C1504" s="10">
        <v>24168</v>
      </c>
      <c r="D1504">
        <v>1</v>
      </c>
    </row>
    <row r="1505" spans="2:4" x14ac:dyDescent="0.25">
      <c r="B1505" t="s">
        <v>2582</v>
      </c>
      <c r="C1505" s="10">
        <v>25859</v>
      </c>
      <c r="D1505">
        <v>1</v>
      </c>
    </row>
    <row r="1506" spans="2:4" x14ac:dyDescent="0.25">
      <c r="B1506" t="s">
        <v>2562</v>
      </c>
      <c r="C1506" s="10">
        <v>22078</v>
      </c>
      <c r="D1506">
        <v>1</v>
      </c>
    </row>
    <row r="1507" spans="2:4" x14ac:dyDescent="0.25">
      <c r="B1507" t="s">
        <v>2566</v>
      </c>
      <c r="C1507" s="10">
        <v>23210</v>
      </c>
      <c r="D1507">
        <v>1</v>
      </c>
    </row>
    <row r="1508" spans="2:4" x14ac:dyDescent="0.25">
      <c r="B1508" t="s">
        <v>2939</v>
      </c>
      <c r="C1508" s="10">
        <v>28808</v>
      </c>
      <c r="D1508">
        <v>1</v>
      </c>
    </row>
    <row r="1509" spans="2:4" x14ac:dyDescent="0.25">
      <c r="B1509" t="s">
        <v>2940</v>
      </c>
      <c r="C1509" s="10">
        <v>32892</v>
      </c>
      <c r="D1509">
        <v>1</v>
      </c>
    </row>
    <row r="1510" spans="2:4" x14ac:dyDescent="0.25">
      <c r="B1510" t="s">
        <v>2942</v>
      </c>
      <c r="C1510" s="10">
        <v>29003</v>
      </c>
      <c r="D1510">
        <v>1</v>
      </c>
    </row>
    <row r="1511" spans="2:4" x14ac:dyDescent="0.25">
      <c r="B1511" t="s">
        <v>2944</v>
      </c>
      <c r="C1511" s="10">
        <v>26537</v>
      </c>
      <c r="D1511">
        <v>1</v>
      </c>
    </row>
    <row r="1512" spans="2:4" x14ac:dyDescent="0.25">
      <c r="B1512" t="s">
        <v>2945</v>
      </c>
      <c r="C1512" s="10">
        <v>32375</v>
      </c>
      <c r="D1512">
        <v>1</v>
      </c>
    </row>
    <row r="1513" spans="2:4" x14ac:dyDescent="0.25">
      <c r="B1513" t="s">
        <v>2946</v>
      </c>
      <c r="C1513" s="10">
        <v>33385</v>
      </c>
      <c r="D1513">
        <v>1</v>
      </c>
    </row>
    <row r="1514" spans="2:4" x14ac:dyDescent="0.25">
      <c r="B1514" t="s">
        <v>2948</v>
      </c>
      <c r="C1514" s="10">
        <v>23124</v>
      </c>
      <c r="D1514">
        <v>1</v>
      </c>
    </row>
    <row r="1515" spans="2:4" x14ac:dyDescent="0.25">
      <c r="B1515" t="s">
        <v>2950</v>
      </c>
      <c r="C1515" s="10">
        <v>27482</v>
      </c>
      <c r="D1515">
        <v>1</v>
      </c>
    </row>
    <row r="1516" spans="2:4" x14ac:dyDescent="0.25">
      <c r="B1516" t="s">
        <v>2951</v>
      </c>
      <c r="C1516" s="10">
        <v>24644</v>
      </c>
      <c r="D1516">
        <v>1</v>
      </c>
    </row>
    <row r="1517" spans="2:4" x14ac:dyDescent="0.25">
      <c r="B1517" t="s">
        <v>2952</v>
      </c>
      <c r="C1517" s="10">
        <v>32619</v>
      </c>
      <c r="D1517">
        <v>1</v>
      </c>
    </row>
    <row r="1518" spans="2:4" x14ac:dyDescent="0.25">
      <c r="B1518" t="s">
        <v>2953</v>
      </c>
      <c r="C1518" s="10">
        <v>37510</v>
      </c>
      <c r="D1518">
        <v>1</v>
      </c>
    </row>
    <row r="1519" spans="2:4" x14ac:dyDescent="0.25">
      <c r="B1519" t="s">
        <v>3300</v>
      </c>
      <c r="C1519" s="10">
        <v>38065</v>
      </c>
      <c r="D1519">
        <v>1</v>
      </c>
    </row>
    <row r="1520" spans="2:4" x14ac:dyDescent="0.25">
      <c r="B1520" t="s">
        <v>3301</v>
      </c>
      <c r="C1520" s="10">
        <v>26448</v>
      </c>
      <c r="D1520">
        <v>1</v>
      </c>
    </row>
    <row r="1521" spans="1:4" x14ac:dyDescent="0.25">
      <c r="B1521" t="s">
        <v>3303</v>
      </c>
      <c r="C1521" s="10">
        <v>38298</v>
      </c>
      <c r="D1521">
        <v>1</v>
      </c>
    </row>
    <row r="1522" spans="1:4" x14ac:dyDescent="0.25">
      <c r="B1522" t="s">
        <v>3305</v>
      </c>
      <c r="C1522" s="10">
        <v>36613</v>
      </c>
      <c r="D1522">
        <v>1</v>
      </c>
    </row>
    <row r="1523" spans="1:4" x14ac:dyDescent="0.25">
      <c r="B1523" t="s">
        <v>3307</v>
      </c>
      <c r="C1523" s="10">
        <v>26030</v>
      </c>
      <c r="D1523">
        <v>1</v>
      </c>
    </row>
    <row r="1524" spans="1:4" x14ac:dyDescent="0.25">
      <c r="B1524" t="s">
        <v>3309</v>
      </c>
      <c r="C1524" s="10">
        <v>25198</v>
      </c>
      <c r="D1524">
        <v>1</v>
      </c>
    </row>
    <row r="1525" spans="1:4" x14ac:dyDescent="0.25">
      <c r="B1525" t="s">
        <v>3310</v>
      </c>
      <c r="C1525" s="10">
        <v>32121</v>
      </c>
      <c r="D1525">
        <v>1</v>
      </c>
    </row>
    <row r="1526" spans="1:4" x14ac:dyDescent="0.25">
      <c r="B1526" t="s">
        <v>3311</v>
      </c>
      <c r="C1526" s="10">
        <v>26757</v>
      </c>
      <c r="D1526">
        <v>1</v>
      </c>
    </row>
    <row r="1527" spans="1:4" x14ac:dyDescent="0.25">
      <c r="B1527" t="s">
        <v>3312</v>
      </c>
      <c r="C1527" s="10">
        <v>27489</v>
      </c>
      <c r="D1527">
        <v>1</v>
      </c>
    </row>
    <row r="1528" spans="1:4" x14ac:dyDescent="0.25">
      <c r="B1528" t="s">
        <v>3314</v>
      </c>
      <c r="C1528" s="10">
        <v>26147</v>
      </c>
      <c r="D1528">
        <v>1</v>
      </c>
    </row>
    <row r="1529" spans="1:4" x14ac:dyDescent="0.25">
      <c r="B1529" t="s">
        <v>3316</v>
      </c>
      <c r="C1529" s="10">
        <v>29700</v>
      </c>
      <c r="D1529">
        <v>1</v>
      </c>
    </row>
    <row r="1530" spans="1:4" x14ac:dyDescent="0.25">
      <c r="B1530" t="s">
        <v>3318</v>
      </c>
      <c r="C1530" s="10">
        <v>30866</v>
      </c>
      <c r="D1530">
        <v>1</v>
      </c>
    </row>
    <row r="1531" spans="1:4" x14ac:dyDescent="0.25">
      <c r="B1531" t="s">
        <v>3321</v>
      </c>
      <c r="C1531" s="10">
        <v>23211</v>
      </c>
      <c r="D1531">
        <v>1</v>
      </c>
    </row>
    <row r="1532" spans="1:4" x14ac:dyDescent="0.25">
      <c r="B1532" t="s">
        <v>3323</v>
      </c>
      <c r="C1532" s="10">
        <v>32184</v>
      </c>
      <c r="D1532">
        <v>1</v>
      </c>
    </row>
    <row r="1533" spans="1:4" x14ac:dyDescent="0.25">
      <c r="B1533" t="s">
        <v>3325</v>
      </c>
      <c r="C1533" s="10">
        <v>23717</v>
      </c>
      <c r="D1533">
        <v>1</v>
      </c>
    </row>
    <row r="1534" spans="1:4" x14ac:dyDescent="0.25">
      <c r="A1534" t="s">
        <v>235</v>
      </c>
      <c r="D1534">
        <v>12</v>
      </c>
    </row>
    <row r="1535" spans="1:4" x14ac:dyDescent="0.25">
      <c r="A1535" t="s">
        <v>210</v>
      </c>
      <c r="D1535">
        <v>3551</v>
      </c>
    </row>
  </sheetData>
  <mergeCells count="2">
    <mergeCell ref="G2:J2"/>
    <mergeCell ref="A2:D2"/>
  </mergeCell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Reporte Social - RRHH</vt:lpstr>
      <vt:lpstr>CJ Y EPC</vt:lpstr>
      <vt:lpstr>Hoja1</vt:lpstr>
      <vt:lpstr>Cuadro</vt:lpstr>
      <vt:lpstr>Contratistas</vt:lpstr>
      <vt:lpstr>Tabla</vt:lpstr>
      <vt:lpstr>Sheet1</vt:lpstr>
      <vt:lpstr>Dos Subcontratas por Mes</vt:lpstr>
      <vt:lpstr>Validacion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Alfredo Beltran Byrne</dc:creator>
  <cp:lastModifiedBy>Alvaro Beltran Caceres</cp:lastModifiedBy>
  <dcterms:created xsi:type="dcterms:W3CDTF">2021-03-03T19:44:50Z</dcterms:created>
  <dcterms:modified xsi:type="dcterms:W3CDTF">2025-01-03T00:46:29Z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